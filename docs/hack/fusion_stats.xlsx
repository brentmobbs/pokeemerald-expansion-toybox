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Bases" sheetId="2" state="visible" r:id="rId4"/>
    <sheet name="Fusions" sheetId="3" state="visible" r:id="rId5"/>
  </sheets>
  <definedNames>
    <definedName function="false" hidden="true" localSheetId="2" name="_xlnm._FilterDatabase" vbProcedure="false">Fusions!$A$1:$AQ$1327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" authorId="0">
      <text>
        <r>
          <rPr>
            <sz val="10"/>
            <rFont val="Arial"/>
            <family val="2"/>
          </rPr>
          <t xml:space="preserve">Fill in each base's one ability here. Fusions pick it up automatically.</t>
        </r>
      </text>
    </comment>
  </commentList>
</comments>
</file>

<file path=xl/sharedStrings.xml><?xml version="1.0" encoding="utf-8"?>
<sst xmlns="http://schemas.openxmlformats.org/spreadsheetml/2006/main" count="205" uniqueCount="145">
  <si>
    <t xml:space="preserve">Setting</t>
  </si>
  <si>
    <t xml:space="preserve">Value</t>
  </si>
  <si>
    <t xml:space="preserve">Note</t>
  </si>
  <si>
    <t xml:space="preserve">Base BST</t>
  </si>
  <si>
    <t xml:space="preserve">Owner's rule: every base is scaled to this total.</t>
  </si>
  <si>
    <t xml:space="preserve">Fusion BST</t>
  </si>
  <si>
    <t xml:space="preserve">Owner's rule: every fusion is scaled to this total.</t>
  </si>
  <si>
    <t xml:space="preserve">Weight of higher stat</t>
  </si>
  <si>
    <t xml:space="preserve">Owner's rule: fusion stat = 2/3 of the higher parent + 1/3 of the lower, per stat.</t>
  </si>
  <si>
    <t xml:space="preserve">Weight of lower stat</t>
  </si>
  <si>
    <t xml:space="preserve">How rounding works</t>
  </si>
  <si>
    <t xml:space="preserve">Stats are scaled, then rounded down; the points still missing from the target total go one each to the stats that lost the most in rounding (ties: earlier stat first). This keeps every total exact.</t>
  </si>
  <si>
    <t xml:space="preserve">Fusion stats use</t>
  </si>
  <si>
    <t xml:space="preserve">The bases' 400-scaled stats (owner's rule), not their original stats. The 2/3 + 1/3 mix is not rounded before scaling to 500.</t>
  </si>
  <si>
    <t xml:space="preserve">Original stats source</t>
  </si>
  <si>
    <t xml:space="preserve">pokeemerald-expansion species data, latest-generation values.</t>
  </si>
  <si>
    <t xml:space="preserve">Yellow cells</t>
  </si>
  <si>
    <t xml:space="preserve">Inputs you can change. Everything else is calculated.</t>
  </si>
  <si>
    <t xml:space="preserve">Placeholder names</t>
  </si>
  <si>
    <t xml:space="preserve">Fusion names are auto-made placeholders (first half of A + second half of B).</t>
  </si>
  <si>
    <t xml:space="preserve">ID</t>
  </si>
  <si>
    <t xml:space="preserve">Name</t>
  </si>
  <si>
    <t xml:space="preserve">Type</t>
  </si>
  <si>
    <t xml:space="preserve">Orig. gen</t>
  </si>
  <si>
    <t xml:space="preserve">Ability</t>
  </si>
  <si>
    <t xml:space="preserve">Orig HP</t>
  </si>
  <si>
    <t xml:space="preserve">Orig Atk</t>
  </si>
  <si>
    <t xml:space="preserve">Orig Def</t>
  </si>
  <si>
    <t xml:space="preserve">Orig SpA</t>
  </si>
  <si>
    <t xml:space="preserve">Orig SpD</t>
  </si>
  <si>
    <t xml:space="preserve">Orig Spe</t>
  </si>
  <si>
    <t xml:space="preserve">Orig BST</t>
  </si>
  <si>
    <t xml:space="preserve">HP</t>
  </si>
  <si>
    <t xml:space="preserve">Atk</t>
  </si>
  <si>
    <t xml:space="preserve">Def</t>
  </si>
  <si>
    <t xml:space="preserve">SpA</t>
  </si>
  <si>
    <t xml:space="preserve">SpD</t>
  </si>
  <si>
    <t xml:space="preserve">Spe</t>
  </si>
  <si>
    <t xml:space="preserve">BST</t>
  </si>
  <si>
    <t xml:space="preserve">HP exact</t>
  </si>
  <si>
    <t xml:space="preserve">Atk exact</t>
  </si>
  <si>
    <t xml:space="preserve">Def exact</t>
  </si>
  <si>
    <t xml:space="preserve">SpA exact</t>
  </si>
  <si>
    <t xml:space="preserve">SpD exact</t>
  </si>
  <si>
    <t xml:space="preserve">Spe exact</t>
  </si>
  <si>
    <t xml:space="preserve">HP floor</t>
  </si>
  <si>
    <t xml:space="preserve">Atk floor</t>
  </si>
  <si>
    <t xml:space="preserve">Def floor</t>
  </si>
  <si>
    <t xml:space="preserve">SpA floor</t>
  </si>
  <si>
    <t xml:space="preserve">SpD floor</t>
  </si>
  <si>
    <t xml:space="preserve">Spe floor</t>
  </si>
  <si>
    <t xml:space="preserve">Points left</t>
  </si>
  <si>
    <t xml:space="preserve">HP remainder</t>
  </si>
  <si>
    <t xml:space="preserve">Atk remainder</t>
  </si>
  <si>
    <t xml:space="preserve">Def remainder</t>
  </si>
  <si>
    <t xml:space="preserve">SpA remainder</t>
  </si>
  <si>
    <t xml:space="preserve">SpD remainder</t>
  </si>
  <si>
    <t xml:space="preserve">Spe remainder</t>
  </si>
  <si>
    <t xml:space="preserve">Porygon</t>
  </si>
  <si>
    <t xml:space="preserve">Normal</t>
  </si>
  <si>
    <t xml:space="preserve">Dunsparce</t>
  </si>
  <si>
    <t xml:space="preserve">Teddiursa</t>
  </si>
  <si>
    <t xml:space="preserve">Growlithe</t>
  </si>
  <si>
    <t xml:space="preserve">Fire</t>
  </si>
  <si>
    <t xml:space="preserve">Cyndaquil</t>
  </si>
  <si>
    <t xml:space="preserve">Numel</t>
  </si>
  <si>
    <t xml:space="preserve">Azurill</t>
  </si>
  <si>
    <t xml:space="preserve">Water</t>
  </si>
  <si>
    <t xml:space="preserve">Corsola</t>
  </si>
  <si>
    <t xml:space="preserve">Mudkip</t>
  </si>
  <si>
    <t xml:space="preserve">Pichu</t>
  </si>
  <si>
    <t xml:space="preserve">Electric</t>
  </si>
  <si>
    <t xml:space="preserve">Voltorb</t>
  </si>
  <si>
    <t xml:space="preserve">Mareep</t>
  </si>
  <si>
    <t xml:space="preserve">Bulbasaur</t>
  </si>
  <si>
    <t xml:space="preserve">Grass</t>
  </si>
  <si>
    <t xml:space="preserve">Celebi</t>
  </si>
  <si>
    <t xml:space="preserve">Shroomish</t>
  </si>
  <si>
    <t xml:space="preserve">Swinub</t>
  </si>
  <si>
    <t xml:space="preserve">Ice</t>
  </si>
  <si>
    <t xml:space="preserve">Snorunt</t>
  </si>
  <si>
    <t xml:space="preserve">Spheal</t>
  </si>
  <si>
    <t xml:space="preserve">Mankey</t>
  </si>
  <si>
    <t xml:space="preserve">Fighting</t>
  </si>
  <si>
    <t xml:space="preserve">Tyrogue</t>
  </si>
  <si>
    <t xml:space="preserve">Makuhita</t>
  </si>
  <si>
    <t xml:space="preserve">Ekans</t>
  </si>
  <si>
    <t xml:space="preserve">Poison</t>
  </si>
  <si>
    <t xml:space="preserve">Gulpin</t>
  </si>
  <si>
    <t xml:space="preserve">Koffing</t>
  </si>
  <si>
    <t xml:space="preserve">Sandshrew</t>
  </si>
  <si>
    <t xml:space="preserve">Ground</t>
  </si>
  <si>
    <t xml:space="preserve">Phanpy</t>
  </si>
  <si>
    <t xml:space="preserve">Baltoy</t>
  </si>
  <si>
    <t xml:space="preserve">Zubat</t>
  </si>
  <si>
    <t xml:space="preserve">Flying</t>
  </si>
  <si>
    <t xml:space="preserve">Murkrow</t>
  </si>
  <si>
    <t xml:space="preserve">Swablu</t>
  </si>
  <si>
    <t xml:space="preserve">Mew</t>
  </si>
  <si>
    <t xml:space="preserve">Psychic</t>
  </si>
  <si>
    <t xml:space="preserve">Spoink</t>
  </si>
  <si>
    <t xml:space="preserve">Jirachi</t>
  </si>
  <si>
    <t xml:space="preserve">Paras</t>
  </si>
  <si>
    <t xml:space="preserve">Bug</t>
  </si>
  <si>
    <t xml:space="preserve">Pineco</t>
  </si>
  <si>
    <t xml:space="preserve">Wurmple</t>
  </si>
  <si>
    <t xml:space="preserve">Shuckle</t>
  </si>
  <si>
    <t xml:space="preserve">Rock</t>
  </si>
  <si>
    <t xml:space="preserve">Larvitar</t>
  </si>
  <si>
    <t xml:space="preserve">Nosepass</t>
  </si>
  <si>
    <t xml:space="preserve">Gastly</t>
  </si>
  <si>
    <t xml:space="preserve">Ghost</t>
  </si>
  <si>
    <t xml:space="preserve">Misdreavus</t>
  </si>
  <si>
    <t xml:space="preserve">Sableye</t>
  </si>
  <si>
    <t xml:space="preserve">Dratini</t>
  </si>
  <si>
    <t xml:space="preserve">Dragon</t>
  </si>
  <si>
    <t xml:space="preserve">Bagon</t>
  </si>
  <si>
    <t xml:space="preserve">Sneasel</t>
  </si>
  <si>
    <t xml:space="preserve">Dark</t>
  </si>
  <si>
    <t xml:space="preserve">Houndour</t>
  </si>
  <si>
    <t xml:space="preserve">Carvanha</t>
  </si>
  <si>
    <t xml:space="preserve">Magnemite</t>
  </si>
  <si>
    <t xml:space="preserve">Steel</t>
  </si>
  <si>
    <t xml:space="preserve">Aron</t>
  </si>
  <si>
    <t xml:space="preserve">Beldum</t>
  </si>
  <si>
    <t xml:space="preserve">Cleffa</t>
  </si>
  <si>
    <t xml:space="preserve">Fairy</t>
  </si>
  <si>
    <t xml:space="preserve">Togepi</t>
  </si>
  <si>
    <t xml:space="preserve">#</t>
  </si>
  <si>
    <t xml:space="preserve">Parent A ID</t>
  </si>
  <si>
    <t xml:space="preserve">Parent B ID</t>
  </si>
  <si>
    <t xml:space="preserve">Parent A</t>
  </si>
  <si>
    <t xml:space="preserve">Parent B</t>
  </si>
  <si>
    <t xml:space="preserve">Name (placeholder)</t>
  </si>
  <si>
    <t xml:space="preserve">Type 1</t>
  </si>
  <si>
    <t xml:space="preserve">Type 2</t>
  </si>
  <si>
    <t xml:space="preserve">Ability 1 (A)</t>
  </si>
  <si>
    <t xml:space="preserve">Ability 2 (B)</t>
  </si>
  <si>
    <t xml:space="preserve">Ability 3 (type pool)</t>
  </si>
  <si>
    <t xml:space="preserve">Mix HP</t>
  </si>
  <si>
    <t xml:space="preserve">Mix Atk</t>
  </si>
  <si>
    <t xml:space="preserve">Mix Def</t>
  </si>
  <si>
    <t xml:space="preserve">Mix SpA</t>
  </si>
  <si>
    <t xml:space="preserve">Mix SpD</t>
  </si>
  <si>
    <t xml:space="preserve">Mix Spe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</si>
</sst>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400</v>
      </c>
      <c r="C2" s="2" t="s">
        <v>4</v>
      </c>
    </row>
    <row r="3" customFormat="false" ht="15" hidden="false" customHeight="false" outlineLevel="0" collapsed="false">
      <c r="A3" s="2" t="s">
        <v>5</v>
      </c>
      <c r="B3" s="3" t="n">
        <v>500</v>
      </c>
      <c r="C3" s="2" t="s">
        <v>6</v>
      </c>
    </row>
    <row r="4" customFormat="false" ht="15" hidden="false" customHeight="false" outlineLevel="0" collapsed="false">
      <c r="A4" s="2" t="s">
        <v>7</v>
      </c>
      <c r="B4" s="2" t="n">
        <f aca="false">2/3</f>
        <v>0.666666666666667</v>
      </c>
      <c r="C4" s="2" t="s">
        <v>8</v>
      </c>
    </row>
    <row r="5" customFormat="false" ht="15" hidden="false" customHeight="false" outlineLevel="0" collapsed="false">
      <c r="A5" s="2" t="s">
        <v>9</v>
      </c>
      <c r="B5" s="2" t="n">
        <f aca="false">1-B4</f>
        <v>0.333333333333333</v>
      </c>
      <c r="C5" s="2"/>
    </row>
    <row r="6" customFormat="false" ht="15" hidden="false" customHeight="false" outlineLevel="0" collapsed="false">
      <c r="A6" s="2"/>
      <c r="B6" s="2"/>
      <c r="C6" s="2"/>
    </row>
    <row r="7" customFormat="false" ht="15" hidden="false" customHeight="false" outlineLevel="0" collapsed="false">
      <c r="A7" s="2" t="s">
        <v>10</v>
      </c>
      <c r="B7" s="2"/>
      <c r="C7" s="2" t="s">
        <v>11</v>
      </c>
    </row>
    <row r="8" customFormat="false" ht="15" hidden="false" customHeight="false" outlineLevel="0" collapsed="false">
      <c r="A8" s="2" t="s">
        <v>12</v>
      </c>
      <c r="B8" s="2"/>
      <c r="C8" s="2" t="s">
        <v>13</v>
      </c>
    </row>
    <row r="9" customFormat="false" ht="15" hidden="false" customHeight="false" outlineLevel="0" collapsed="false">
      <c r="A9" s="2" t="s">
        <v>14</v>
      </c>
      <c r="B9" s="2"/>
      <c r="C9" s="2" t="s">
        <v>15</v>
      </c>
    </row>
    <row r="10" customFormat="false" ht="15" hidden="false" customHeight="false" outlineLevel="0" collapsed="false">
      <c r="A10" s="2" t="s">
        <v>16</v>
      </c>
      <c r="B10" s="2"/>
      <c r="C10" s="2" t="s">
        <v>17</v>
      </c>
    </row>
    <row r="11" customFormat="false" ht="15" hidden="false" customHeight="false" outlineLevel="0" collapsed="false">
      <c r="A11" s="2" t="s">
        <v>18</v>
      </c>
      <c r="B11" s="2"/>
      <c r="C11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16"/>
    <col collapsed="false" customWidth="true" hidden="false" outlineLevel="0" max="19" min="6" style="0" width="9"/>
    <col collapsed="false" customWidth="true" hidden="true" outlineLevel="1" max="38" min="20" style="0" width="13"/>
  </cols>
  <sheetData>
    <row r="1" customFormat="false" ht="15" hidden="false" customHeight="fals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4" t="s">
        <v>46</v>
      </c>
      <c r="AB1" s="4" t="s">
        <v>47</v>
      </c>
      <c r="AC1" s="4" t="s">
        <v>48</v>
      </c>
      <c r="AD1" s="4" t="s">
        <v>49</v>
      </c>
      <c r="AE1" s="4" t="s">
        <v>50</v>
      </c>
      <c r="AF1" s="4" t="s">
        <v>51</v>
      </c>
      <c r="AG1" s="4" t="s">
        <v>52</v>
      </c>
      <c r="AH1" s="4" t="s">
        <v>53</v>
      </c>
      <c r="AI1" s="4" t="s">
        <v>54</v>
      </c>
      <c r="AJ1" s="4" t="s">
        <v>55</v>
      </c>
      <c r="AK1" s="4" t="s">
        <v>56</v>
      </c>
      <c r="AL1" s="4" t="s">
        <v>57</v>
      </c>
    </row>
    <row r="2" customFormat="false" ht="15" hidden="false" customHeight="false" outlineLevel="0" collapsed="false">
      <c r="A2" s="2" t="n">
        <v>1</v>
      </c>
      <c r="B2" s="2" t="s">
        <v>58</v>
      </c>
      <c r="C2" s="2" t="s">
        <v>59</v>
      </c>
      <c r="D2" s="2" t="n">
        <v>1</v>
      </c>
      <c r="E2" s="5"/>
      <c r="F2" s="6" t="n">
        <v>65</v>
      </c>
      <c r="G2" s="6" t="n">
        <v>60</v>
      </c>
      <c r="H2" s="6" t="n">
        <v>70</v>
      </c>
      <c r="I2" s="6" t="n">
        <v>85</v>
      </c>
      <c r="J2" s="6" t="n">
        <v>75</v>
      </c>
      <c r="K2" s="6" t="n">
        <v>40</v>
      </c>
      <c r="L2" s="2" t="n">
        <f aca="false">SUM(F2:K2)</f>
        <v>395</v>
      </c>
      <c r="M2" s="7" t="n">
        <f aca="false">Z2+IF(SUMPRODUCT(--($AG2:$AL2&gt;AG2))&lt;$AF2,1,0)</f>
        <v>66</v>
      </c>
      <c r="N2" s="7" t="n">
        <f aca="false">AA2+IF(SUMPRODUCT(--($AG2:$AL2&gt;AH2))+SUMPRODUCT(--($AG2:AG2=AH2))&lt;$AF2,1,0)</f>
        <v>61</v>
      </c>
      <c r="O2" s="7" t="n">
        <f aca="false">AB2+IF(SUMPRODUCT(--($AG2:$AL2&gt;AI2))+SUMPRODUCT(--($AG2:AH2=AI2))&lt;$AF2,1,0)</f>
        <v>71</v>
      </c>
      <c r="P2" s="7" t="n">
        <f aca="false">AC2+IF(SUMPRODUCT(--($AG2:$AL2&gt;AJ2))+SUMPRODUCT(--($AG2:AI2=AJ2))&lt;$AF2,1,0)</f>
        <v>86</v>
      </c>
      <c r="Q2" s="7" t="n">
        <f aca="false">AD2+IF(SUMPRODUCT(--($AG2:$AL2&gt;AK2))+SUMPRODUCT(--($AG2:AJ2=AK2))&lt;$AF2,1,0)</f>
        <v>76</v>
      </c>
      <c r="R2" s="7" t="n">
        <f aca="false">AE2+IF(SUMPRODUCT(--($AG2:$AL2&gt;AL2))+SUMPRODUCT(--($AG2:AK2=AL2))&lt;$AF2,1,0)</f>
        <v>40</v>
      </c>
      <c r="S2" s="7" t="n">
        <f aca="false">SUM(M2:R2)</f>
        <v>400</v>
      </c>
      <c r="T2" s="7" t="n">
        <f aca="false">F2*Settings!$B$2/SUM(F2:K2)</f>
        <v>65.8227848101266</v>
      </c>
      <c r="U2" s="7" t="n">
        <f aca="false">G2*Settings!$B$2/SUM(F2:K2)</f>
        <v>60.7594936708861</v>
      </c>
      <c r="V2" s="7" t="n">
        <f aca="false">H2*Settings!$B$2/SUM(F2:K2)</f>
        <v>70.8860759493671</v>
      </c>
      <c r="W2" s="7" t="n">
        <f aca="false">I2*Settings!$B$2/SUM(F2:K2)</f>
        <v>86.0759493670886</v>
      </c>
      <c r="X2" s="7" t="n">
        <f aca="false">J2*Settings!$B$2/SUM(F2:K2)</f>
        <v>75.9493670886076</v>
      </c>
      <c r="Y2" s="7" t="n">
        <f aca="false">K2*Settings!$B$2/SUM(F2:K2)</f>
        <v>40.5063291139241</v>
      </c>
      <c r="Z2" s="7" t="n">
        <f aca="false">INT(T2)</f>
        <v>65</v>
      </c>
      <c r="AA2" s="7" t="n">
        <f aca="false">INT(U2)</f>
        <v>60</v>
      </c>
      <c r="AB2" s="7" t="n">
        <f aca="false">INT(V2)</f>
        <v>70</v>
      </c>
      <c r="AC2" s="7" t="n">
        <f aca="false">INT(W2)</f>
        <v>86</v>
      </c>
      <c r="AD2" s="7" t="n">
        <f aca="false">INT(X2)</f>
        <v>75</v>
      </c>
      <c r="AE2" s="7" t="n">
        <f aca="false">INT(Y2)</f>
        <v>40</v>
      </c>
      <c r="AF2" s="7" t="n">
        <f aca="false">Settings!$B$2-SUM(Z2:AE2)</f>
        <v>4</v>
      </c>
      <c r="AG2" s="7" t="n">
        <f aca="false">ROUND(T2-Z2,9)</f>
        <v>0.82278481</v>
      </c>
      <c r="AH2" s="7" t="n">
        <f aca="false">ROUND(U2-AA2,9)</f>
        <v>0.759493671</v>
      </c>
      <c r="AI2" s="7" t="n">
        <f aca="false">ROUND(V2-AB2,9)</f>
        <v>0.886075949</v>
      </c>
      <c r="AJ2" s="7" t="n">
        <f aca="false">ROUND(W2-AC2,9)</f>
        <v>0.075949367</v>
      </c>
      <c r="AK2" s="7" t="n">
        <f aca="false">ROUND(X2-AD2,9)</f>
        <v>0.949367089</v>
      </c>
      <c r="AL2" s="7" t="n">
        <f aca="false">ROUND(Y2-AE2,9)</f>
        <v>0.506329114</v>
      </c>
    </row>
    <row r="3" customFormat="false" ht="15" hidden="false" customHeight="false" outlineLevel="0" collapsed="false">
      <c r="A3" s="2" t="n">
        <v>2</v>
      </c>
      <c r="B3" s="2" t="s">
        <v>60</v>
      </c>
      <c r="C3" s="2" t="s">
        <v>59</v>
      </c>
      <c r="D3" s="2" t="n">
        <v>2</v>
      </c>
      <c r="E3" s="5"/>
      <c r="F3" s="6" t="n">
        <v>100</v>
      </c>
      <c r="G3" s="6" t="n">
        <v>70</v>
      </c>
      <c r="H3" s="6" t="n">
        <v>70</v>
      </c>
      <c r="I3" s="6" t="n">
        <v>65</v>
      </c>
      <c r="J3" s="6" t="n">
        <v>65</v>
      </c>
      <c r="K3" s="6" t="n">
        <v>45</v>
      </c>
      <c r="L3" s="2" t="n">
        <f aca="false">SUM(F3:K3)</f>
        <v>415</v>
      </c>
      <c r="M3" s="7" t="n">
        <f aca="false">Z3+IF(SUMPRODUCT(--($AG3:$AL3&gt;AG3))&lt;$AF3,1,0)</f>
        <v>96</v>
      </c>
      <c r="N3" s="7" t="n">
        <f aca="false">AA3+IF(SUMPRODUCT(--($AG3:$AL3&gt;AH3))+SUMPRODUCT(--($AG3:AG3=AH3))&lt;$AF3,1,0)</f>
        <v>68</v>
      </c>
      <c r="O3" s="7" t="n">
        <f aca="false">AB3+IF(SUMPRODUCT(--($AG3:$AL3&gt;AI3))+SUMPRODUCT(--($AG3:AH3=AI3))&lt;$AF3,1,0)</f>
        <v>67</v>
      </c>
      <c r="P3" s="7" t="n">
        <f aca="false">AC3+IF(SUMPRODUCT(--($AG3:$AL3&gt;AJ3))+SUMPRODUCT(--($AG3:AI3=AJ3))&lt;$AF3,1,0)</f>
        <v>63</v>
      </c>
      <c r="Q3" s="7" t="n">
        <f aca="false">AD3+IF(SUMPRODUCT(--($AG3:$AL3&gt;AK3))+SUMPRODUCT(--($AG3:AJ3=AK3))&lt;$AF3,1,0)</f>
        <v>63</v>
      </c>
      <c r="R3" s="7" t="n">
        <f aca="false">AE3+IF(SUMPRODUCT(--($AG3:$AL3&gt;AL3))+SUMPRODUCT(--($AG3:AK3=AL3))&lt;$AF3,1,0)</f>
        <v>43</v>
      </c>
      <c r="S3" s="7" t="n">
        <f aca="false">SUM(M3:R3)</f>
        <v>400</v>
      </c>
      <c r="T3" s="7" t="n">
        <f aca="false">F3*Settings!$B$2/SUM(F3:K3)</f>
        <v>96.3855421686747</v>
      </c>
      <c r="U3" s="7" t="n">
        <f aca="false">G3*Settings!$B$2/SUM(F3:K3)</f>
        <v>67.4698795180723</v>
      </c>
      <c r="V3" s="7" t="n">
        <f aca="false">H3*Settings!$B$2/SUM(F3:K3)</f>
        <v>67.4698795180723</v>
      </c>
      <c r="W3" s="7" t="n">
        <f aca="false">I3*Settings!$B$2/SUM(F3:K3)</f>
        <v>62.6506024096386</v>
      </c>
      <c r="X3" s="7" t="n">
        <f aca="false">J3*Settings!$B$2/SUM(F3:K3)</f>
        <v>62.6506024096386</v>
      </c>
      <c r="Y3" s="7" t="n">
        <f aca="false">K3*Settings!$B$2/SUM(F3:K3)</f>
        <v>43.3734939759036</v>
      </c>
      <c r="Z3" s="7" t="n">
        <f aca="false">INT(T3)</f>
        <v>96</v>
      </c>
      <c r="AA3" s="7" t="n">
        <f aca="false">INT(U3)</f>
        <v>67</v>
      </c>
      <c r="AB3" s="7" t="n">
        <f aca="false">INT(V3)</f>
        <v>67</v>
      </c>
      <c r="AC3" s="7" t="n">
        <f aca="false">INT(W3)</f>
        <v>62</v>
      </c>
      <c r="AD3" s="7" t="n">
        <f aca="false">INT(X3)</f>
        <v>62</v>
      </c>
      <c r="AE3" s="7" t="n">
        <f aca="false">INT(Y3)</f>
        <v>43</v>
      </c>
      <c r="AF3" s="7" t="n">
        <f aca="false">Settings!$B$2-SUM(Z3:AE3)</f>
        <v>3</v>
      </c>
      <c r="AG3" s="7" t="n">
        <f aca="false">ROUND(T3-Z3,9)</f>
        <v>0.385542169</v>
      </c>
      <c r="AH3" s="7" t="n">
        <f aca="false">ROUND(U3-AA3,9)</f>
        <v>0.469879518</v>
      </c>
      <c r="AI3" s="7" t="n">
        <f aca="false">ROUND(V3-AB3,9)</f>
        <v>0.469879518</v>
      </c>
      <c r="AJ3" s="7" t="n">
        <f aca="false">ROUND(W3-AC3,9)</f>
        <v>0.65060241</v>
      </c>
      <c r="AK3" s="7" t="n">
        <f aca="false">ROUND(X3-AD3,9)</f>
        <v>0.65060241</v>
      </c>
      <c r="AL3" s="7" t="n">
        <f aca="false">ROUND(Y3-AE3,9)</f>
        <v>0.373493976</v>
      </c>
    </row>
    <row r="4" customFormat="false" ht="15" hidden="false" customHeight="false" outlineLevel="0" collapsed="false">
      <c r="A4" s="2" t="n">
        <v>3</v>
      </c>
      <c r="B4" s="2" t="s">
        <v>61</v>
      </c>
      <c r="C4" s="2" t="s">
        <v>59</v>
      </c>
      <c r="D4" s="2" t="n">
        <v>2</v>
      </c>
      <c r="E4" s="5"/>
      <c r="F4" s="6" t="n">
        <v>60</v>
      </c>
      <c r="G4" s="6" t="n">
        <v>80</v>
      </c>
      <c r="H4" s="6" t="n">
        <v>50</v>
      </c>
      <c r="I4" s="6" t="n">
        <v>50</v>
      </c>
      <c r="J4" s="6" t="n">
        <v>50</v>
      </c>
      <c r="K4" s="6" t="n">
        <v>40</v>
      </c>
      <c r="L4" s="2" t="n">
        <f aca="false">SUM(F4:K4)</f>
        <v>330</v>
      </c>
      <c r="M4" s="7" t="n">
        <f aca="false">Z4+IF(SUMPRODUCT(--($AG4:$AL4&gt;AG4))&lt;$AF4,1,0)</f>
        <v>73</v>
      </c>
      <c r="N4" s="7" t="n">
        <f aca="false">AA4+IF(SUMPRODUCT(--($AG4:$AL4&gt;AH4))+SUMPRODUCT(--($AG4:AG4=AH4))&lt;$AF4,1,0)</f>
        <v>97</v>
      </c>
      <c r="O4" s="7" t="n">
        <f aca="false">AB4+IF(SUMPRODUCT(--($AG4:$AL4&gt;AI4))+SUMPRODUCT(--($AG4:AH4=AI4))&lt;$AF4,1,0)</f>
        <v>61</v>
      </c>
      <c r="P4" s="7" t="n">
        <f aca="false">AC4+IF(SUMPRODUCT(--($AG4:$AL4&gt;AJ4))+SUMPRODUCT(--($AG4:AI4=AJ4))&lt;$AF4,1,0)</f>
        <v>61</v>
      </c>
      <c r="Q4" s="7" t="n">
        <f aca="false">AD4+IF(SUMPRODUCT(--($AG4:$AL4&gt;AK4))+SUMPRODUCT(--($AG4:AJ4=AK4))&lt;$AF4,1,0)</f>
        <v>60</v>
      </c>
      <c r="R4" s="7" t="n">
        <f aca="false">AE4+IF(SUMPRODUCT(--($AG4:$AL4&gt;AL4))+SUMPRODUCT(--($AG4:AK4=AL4))&lt;$AF4,1,0)</f>
        <v>48</v>
      </c>
      <c r="S4" s="7" t="n">
        <f aca="false">SUM(M4:R4)</f>
        <v>400</v>
      </c>
      <c r="T4" s="7" t="n">
        <f aca="false">F4*Settings!$B$2/SUM(F4:K4)</f>
        <v>72.7272727272727</v>
      </c>
      <c r="U4" s="7" t="n">
        <f aca="false">G4*Settings!$B$2/SUM(F4:K4)</f>
        <v>96.969696969697</v>
      </c>
      <c r="V4" s="7" t="n">
        <f aca="false">H4*Settings!$B$2/SUM(F4:K4)</f>
        <v>60.6060606060606</v>
      </c>
      <c r="W4" s="7" t="n">
        <f aca="false">I4*Settings!$B$2/SUM(F4:K4)</f>
        <v>60.6060606060606</v>
      </c>
      <c r="X4" s="7" t="n">
        <f aca="false">J4*Settings!$B$2/SUM(F4:K4)</f>
        <v>60.6060606060606</v>
      </c>
      <c r="Y4" s="7" t="n">
        <f aca="false">K4*Settings!$B$2/SUM(F4:K4)</f>
        <v>48.4848484848485</v>
      </c>
      <c r="Z4" s="7" t="n">
        <f aca="false">INT(T4)</f>
        <v>72</v>
      </c>
      <c r="AA4" s="7" t="n">
        <f aca="false">INT(U4)</f>
        <v>96</v>
      </c>
      <c r="AB4" s="7" t="n">
        <f aca="false">INT(V4)</f>
        <v>60</v>
      </c>
      <c r="AC4" s="7" t="n">
        <f aca="false">INT(W4)</f>
        <v>60</v>
      </c>
      <c r="AD4" s="7" t="n">
        <f aca="false">INT(X4)</f>
        <v>60</v>
      </c>
      <c r="AE4" s="7" t="n">
        <f aca="false">INT(Y4)</f>
        <v>48</v>
      </c>
      <c r="AF4" s="7" t="n">
        <f aca="false">Settings!$B$2-SUM(Z4:AE4)</f>
        <v>4</v>
      </c>
      <c r="AG4" s="7" t="n">
        <f aca="false">ROUND(T4-Z4,9)</f>
        <v>0.727272727</v>
      </c>
      <c r="AH4" s="7" t="n">
        <f aca="false">ROUND(U4-AA4,9)</f>
        <v>0.96969697</v>
      </c>
      <c r="AI4" s="7" t="n">
        <f aca="false">ROUND(V4-AB4,9)</f>
        <v>0.606060606</v>
      </c>
      <c r="AJ4" s="7" t="n">
        <f aca="false">ROUND(W4-AC4,9)</f>
        <v>0.606060606</v>
      </c>
      <c r="AK4" s="7" t="n">
        <f aca="false">ROUND(X4-AD4,9)</f>
        <v>0.606060606</v>
      </c>
      <c r="AL4" s="7" t="n">
        <f aca="false">ROUND(Y4-AE4,9)</f>
        <v>0.484848485</v>
      </c>
    </row>
    <row r="5" customFormat="false" ht="15" hidden="false" customHeight="false" outlineLevel="0" collapsed="false">
      <c r="A5" s="2" t="n">
        <v>4</v>
      </c>
      <c r="B5" s="2" t="s">
        <v>62</v>
      </c>
      <c r="C5" s="2" t="s">
        <v>63</v>
      </c>
      <c r="D5" s="2" t="n">
        <v>1</v>
      </c>
      <c r="E5" s="5"/>
      <c r="F5" s="6" t="n">
        <v>55</v>
      </c>
      <c r="G5" s="6" t="n">
        <v>70</v>
      </c>
      <c r="H5" s="6" t="n">
        <v>45</v>
      </c>
      <c r="I5" s="6" t="n">
        <v>70</v>
      </c>
      <c r="J5" s="6" t="n">
        <v>50</v>
      </c>
      <c r="K5" s="6" t="n">
        <v>60</v>
      </c>
      <c r="L5" s="2" t="n">
        <f aca="false">SUM(F5:K5)</f>
        <v>350</v>
      </c>
      <c r="M5" s="7" t="n">
        <f aca="false">Z5+IF(SUMPRODUCT(--($AG5:$AL5&gt;AG5))&lt;$AF5,1,0)</f>
        <v>63</v>
      </c>
      <c r="N5" s="7" t="n">
        <f aca="false">AA5+IF(SUMPRODUCT(--($AG5:$AL5&gt;AH5))+SUMPRODUCT(--($AG5:AG5=AH5))&lt;$AF5,1,0)</f>
        <v>80</v>
      </c>
      <c r="O5" s="7" t="n">
        <f aca="false">AB5+IF(SUMPRODUCT(--($AG5:$AL5&gt;AI5))+SUMPRODUCT(--($AG5:AH5=AI5))&lt;$AF5,1,0)</f>
        <v>51</v>
      </c>
      <c r="P5" s="7" t="n">
        <f aca="false">AC5+IF(SUMPRODUCT(--($AG5:$AL5&gt;AJ5))+SUMPRODUCT(--($AG5:AI5=AJ5))&lt;$AF5,1,0)</f>
        <v>80</v>
      </c>
      <c r="Q5" s="7" t="n">
        <f aca="false">AD5+IF(SUMPRODUCT(--($AG5:$AL5&gt;AK5))+SUMPRODUCT(--($AG5:AJ5=AK5))&lt;$AF5,1,0)</f>
        <v>57</v>
      </c>
      <c r="R5" s="7" t="n">
        <f aca="false">AE5+IF(SUMPRODUCT(--($AG5:$AL5&gt;AL5))+SUMPRODUCT(--($AG5:AK5=AL5))&lt;$AF5,1,0)</f>
        <v>69</v>
      </c>
      <c r="S5" s="7" t="n">
        <f aca="false">SUM(M5:R5)</f>
        <v>400</v>
      </c>
      <c r="T5" s="7" t="n">
        <f aca="false">F5*Settings!$B$2/SUM(F5:K5)</f>
        <v>62.8571428571429</v>
      </c>
      <c r="U5" s="7" t="n">
        <f aca="false">G5*Settings!$B$2/SUM(F5:K5)</f>
        <v>80</v>
      </c>
      <c r="V5" s="7" t="n">
        <f aca="false">H5*Settings!$B$2/SUM(F5:K5)</f>
        <v>51.4285714285714</v>
      </c>
      <c r="W5" s="7" t="n">
        <f aca="false">I5*Settings!$B$2/SUM(F5:K5)</f>
        <v>80</v>
      </c>
      <c r="X5" s="7" t="n">
        <f aca="false">J5*Settings!$B$2/SUM(F5:K5)</f>
        <v>57.1428571428571</v>
      </c>
      <c r="Y5" s="7" t="n">
        <f aca="false">K5*Settings!$B$2/SUM(F5:K5)</f>
        <v>68.5714285714286</v>
      </c>
      <c r="Z5" s="7" t="n">
        <f aca="false">INT(T5)</f>
        <v>62</v>
      </c>
      <c r="AA5" s="7" t="n">
        <f aca="false">INT(U5)</f>
        <v>80</v>
      </c>
      <c r="AB5" s="7" t="n">
        <f aca="false">INT(V5)</f>
        <v>51</v>
      </c>
      <c r="AC5" s="7" t="n">
        <f aca="false">INT(W5)</f>
        <v>80</v>
      </c>
      <c r="AD5" s="7" t="n">
        <f aca="false">INT(X5)</f>
        <v>57</v>
      </c>
      <c r="AE5" s="7" t="n">
        <f aca="false">INT(Y5)</f>
        <v>68</v>
      </c>
      <c r="AF5" s="7" t="n">
        <f aca="false">Settings!$B$2-SUM(Z5:AE5)</f>
        <v>2</v>
      </c>
      <c r="AG5" s="7" t="n">
        <f aca="false">ROUND(T5-Z5,9)</f>
        <v>0.857142857</v>
      </c>
      <c r="AH5" s="7" t="n">
        <f aca="false">ROUND(U5-AA5,9)</f>
        <v>0</v>
      </c>
      <c r="AI5" s="7" t="n">
        <f aca="false">ROUND(V5-AB5,9)</f>
        <v>0.428571429</v>
      </c>
      <c r="AJ5" s="7" t="n">
        <f aca="false">ROUND(W5-AC5,9)</f>
        <v>0</v>
      </c>
      <c r="AK5" s="7" t="n">
        <f aca="false">ROUND(X5-AD5,9)</f>
        <v>0.142857143</v>
      </c>
      <c r="AL5" s="7" t="n">
        <f aca="false">ROUND(Y5-AE5,9)</f>
        <v>0.571428571</v>
      </c>
    </row>
    <row r="6" customFormat="false" ht="15" hidden="false" customHeight="false" outlineLevel="0" collapsed="false">
      <c r="A6" s="2" t="n">
        <v>5</v>
      </c>
      <c r="B6" s="2" t="s">
        <v>64</v>
      </c>
      <c r="C6" s="2" t="s">
        <v>63</v>
      </c>
      <c r="D6" s="2" t="n">
        <v>2</v>
      </c>
      <c r="E6" s="5"/>
      <c r="F6" s="6" t="n">
        <v>39</v>
      </c>
      <c r="G6" s="6" t="n">
        <v>52</v>
      </c>
      <c r="H6" s="6" t="n">
        <v>43</v>
      </c>
      <c r="I6" s="6" t="n">
        <v>60</v>
      </c>
      <c r="J6" s="6" t="n">
        <v>50</v>
      </c>
      <c r="K6" s="6" t="n">
        <v>65</v>
      </c>
      <c r="L6" s="2" t="n">
        <f aca="false">SUM(F6:K6)</f>
        <v>309</v>
      </c>
      <c r="M6" s="7" t="n">
        <f aca="false">Z6+IF(SUMPRODUCT(--($AG6:$AL6&gt;AG6))&lt;$AF6,1,0)</f>
        <v>50</v>
      </c>
      <c r="N6" s="7" t="n">
        <f aca="false">AA6+IF(SUMPRODUCT(--($AG6:$AL6&gt;AH6))+SUMPRODUCT(--($AG6:AG6=AH6))&lt;$AF6,1,0)</f>
        <v>67</v>
      </c>
      <c r="O6" s="7" t="n">
        <f aca="false">AB6+IF(SUMPRODUCT(--($AG6:$AL6&gt;AI6))+SUMPRODUCT(--($AG6:AH6=AI6))&lt;$AF6,1,0)</f>
        <v>56</v>
      </c>
      <c r="P6" s="7" t="n">
        <f aca="false">AC6+IF(SUMPRODUCT(--($AG6:$AL6&gt;AJ6))+SUMPRODUCT(--($AG6:AI6=AJ6))&lt;$AF6,1,0)</f>
        <v>78</v>
      </c>
      <c r="Q6" s="7" t="n">
        <f aca="false">AD6+IF(SUMPRODUCT(--($AG6:$AL6&gt;AK6))+SUMPRODUCT(--($AG6:AJ6=AK6))&lt;$AF6,1,0)</f>
        <v>65</v>
      </c>
      <c r="R6" s="7" t="n">
        <f aca="false">AE6+IF(SUMPRODUCT(--($AG6:$AL6&gt;AL6))+SUMPRODUCT(--($AG6:AK6=AL6))&lt;$AF6,1,0)</f>
        <v>84</v>
      </c>
      <c r="S6" s="7" t="n">
        <f aca="false">SUM(M6:R6)</f>
        <v>400</v>
      </c>
      <c r="T6" s="7" t="n">
        <f aca="false">F6*Settings!$B$2/SUM(F6:K6)</f>
        <v>50.4854368932039</v>
      </c>
      <c r="U6" s="7" t="n">
        <f aca="false">G6*Settings!$B$2/SUM(F6:K6)</f>
        <v>67.3139158576052</v>
      </c>
      <c r="V6" s="7" t="n">
        <f aca="false">H6*Settings!$B$2/SUM(F6:K6)</f>
        <v>55.663430420712</v>
      </c>
      <c r="W6" s="7" t="n">
        <f aca="false">I6*Settings!$B$2/SUM(F6:K6)</f>
        <v>77.6699029126214</v>
      </c>
      <c r="X6" s="7" t="n">
        <f aca="false">J6*Settings!$B$2/SUM(F6:K6)</f>
        <v>64.7249190938511</v>
      </c>
      <c r="Y6" s="7" t="n">
        <f aca="false">K6*Settings!$B$2/SUM(F6:K6)</f>
        <v>84.1423948220065</v>
      </c>
      <c r="Z6" s="7" t="n">
        <f aca="false">INT(T6)</f>
        <v>50</v>
      </c>
      <c r="AA6" s="7" t="n">
        <f aca="false">INT(U6)</f>
        <v>67</v>
      </c>
      <c r="AB6" s="7" t="n">
        <f aca="false">INT(V6)</f>
        <v>55</v>
      </c>
      <c r="AC6" s="7" t="n">
        <f aca="false">INT(W6)</f>
        <v>77</v>
      </c>
      <c r="AD6" s="7" t="n">
        <f aca="false">INT(X6)</f>
        <v>64</v>
      </c>
      <c r="AE6" s="7" t="n">
        <f aca="false">INT(Y6)</f>
        <v>84</v>
      </c>
      <c r="AF6" s="7" t="n">
        <f aca="false">Settings!$B$2-SUM(Z6:AE6)</f>
        <v>3</v>
      </c>
      <c r="AG6" s="7" t="n">
        <f aca="false">ROUND(T6-Z6,9)</f>
        <v>0.485436893</v>
      </c>
      <c r="AH6" s="7" t="n">
        <f aca="false">ROUND(U6-AA6,9)</f>
        <v>0.313915858</v>
      </c>
      <c r="AI6" s="7" t="n">
        <f aca="false">ROUND(V6-AB6,9)</f>
        <v>0.663430421</v>
      </c>
      <c r="AJ6" s="7" t="n">
        <f aca="false">ROUND(W6-AC6,9)</f>
        <v>0.669902913</v>
      </c>
      <c r="AK6" s="7" t="n">
        <f aca="false">ROUND(X6-AD6,9)</f>
        <v>0.724919094</v>
      </c>
      <c r="AL6" s="7" t="n">
        <f aca="false">ROUND(Y6-AE6,9)</f>
        <v>0.142394822</v>
      </c>
    </row>
    <row r="7" customFormat="false" ht="15" hidden="false" customHeight="false" outlineLevel="0" collapsed="false">
      <c r="A7" s="2" t="n">
        <v>6</v>
      </c>
      <c r="B7" s="2" t="s">
        <v>65</v>
      </c>
      <c r="C7" s="2" t="s">
        <v>63</v>
      </c>
      <c r="D7" s="2" t="n">
        <v>3</v>
      </c>
      <c r="E7" s="5"/>
      <c r="F7" s="6" t="n">
        <v>60</v>
      </c>
      <c r="G7" s="6" t="n">
        <v>60</v>
      </c>
      <c r="H7" s="6" t="n">
        <v>40</v>
      </c>
      <c r="I7" s="6" t="n">
        <v>65</v>
      </c>
      <c r="J7" s="6" t="n">
        <v>45</v>
      </c>
      <c r="K7" s="6" t="n">
        <v>35</v>
      </c>
      <c r="L7" s="2" t="n">
        <f aca="false">SUM(F7:K7)</f>
        <v>305</v>
      </c>
      <c r="M7" s="7" t="n">
        <f aca="false">Z7+IF(SUMPRODUCT(--($AG7:$AL7&gt;AG7))&lt;$AF7,1,0)</f>
        <v>79</v>
      </c>
      <c r="N7" s="7" t="n">
        <f aca="false">AA7+IF(SUMPRODUCT(--($AG7:$AL7&gt;AH7))+SUMPRODUCT(--($AG7:AG7=AH7))&lt;$AF7,1,0)</f>
        <v>79</v>
      </c>
      <c r="O7" s="7" t="n">
        <f aca="false">AB7+IF(SUMPRODUCT(--($AG7:$AL7&gt;AI7))+SUMPRODUCT(--($AG7:AH7=AI7))&lt;$AF7,1,0)</f>
        <v>52</v>
      </c>
      <c r="P7" s="7" t="n">
        <f aca="false">AC7+IF(SUMPRODUCT(--($AG7:$AL7&gt;AJ7))+SUMPRODUCT(--($AG7:AI7=AJ7))&lt;$AF7,1,0)</f>
        <v>85</v>
      </c>
      <c r="Q7" s="7" t="n">
        <f aca="false">AD7+IF(SUMPRODUCT(--($AG7:$AL7&gt;AK7))+SUMPRODUCT(--($AG7:AJ7=AK7))&lt;$AF7,1,0)</f>
        <v>59</v>
      </c>
      <c r="R7" s="7" t="n">
        <f aca="false">AE7+IF(SUMPRODUCT(--($AG7:$AL7&gt;AL7))+SUMPRODUCT(--($AG7:AK7=AL7))&lt;$AF7,1,0)</f>
        <v>46</v>
      </c>
      <c r="S7" s="7" t="n">
        <f aca="false">SUM(M7:R7)</f>
        <v>400</v>
      </c>
      <c r="T7" s="7" t="n">
        <f aca="false">F7*Settings!$B$2/SUM(F7:K7)</f>
        <v>78.6885245901639</v>
      </c>
      <c r="U7" s="7" t="n">
        <f aca="false">G7*Settings!$B$2/SUM(F7:K7)</f>
        <v>78.6885245901639</v>
      </c>
      <c r="V7" s="7" t="n">
        <f aca="false">H7*Settings!$B$2/SUM(F7:K7)</f>
        <v>52.4590163934426</v>
      </c>
      <c r="W7" s="7" t="n">
        <f aca="false">I7*Settings!$B$2/SUM(F7:K7)</f>
        <v>85.2459016393443</v>
      </c>
      <c r="X7" s="7" t="n">
        <f aca="false">J7*Settings!$B$2/SUM(F7:K7)</f>
        <v>59.016393442623</v>
      </c>
      <c r="Y7" s="7" t="n">
        <f aca="false">K7*Settings!$B$2/SUM(F7:K7)</f>
        <v>45.9016393442623</v>
      </c>
      <c r="Z7" s="7" t="n">
        <f aca="false">INT(T7)</f>
        <v>78</v>
      </c>
      <c r="AA7" s="7" t="n">
        <f aca="false">INT(U7)</f>
        <v>78</v>
      </c>
      <c r="AB7" s="7" t="n">
        <f aca="false">INT(V7)</f>
        <v>52</v>
      </c>
      <c r="AC7" s="7" t="n">
        <f aca="false">INT(W7)</f>
        <v>85</v>
      </c>
      <c r="AD7" s="7" t="n">
        <f aca="false">INT(X7)</f>
        <v>59</v>
      </c>
      <c r="AE7" s="7" t="n">
        <f aca="false">INT(Y7)</f>
        <v>45</v>
      </c>
      <c r="AF7" s="7" t="n">
        <f aca="false">Settings!$B$2-SUM(Z7:AE7)</f>
        <v>3</v>
      </c>
      <c r="AG7" s="7" t="n">
        <f aca="false">ROUND(T7-Z7,9)</f>
        <v>0.68852459</v>
      </c>
      <c r="AH7" s="7" t="n">
        <f aca="false">ROUND(U7-AA7,9)</f>
        <v>0.68852459</v>
      </c>
      <c r="AI7" s="7" t="n">
        <f aca="false">ROUND(V7-AB7,9)</f>
        <v>0.459016393</v>
      </c>
      <c r="AJ7" s="7" t="n">
        <f aca="false">ROUND(W7-AC7,9)</f>
        <v>0.245901639</v>
      </c>
      <c r="AK7" s="7" t="n">
        <f aca="false">ROUND(X7-AD7,9)</f>
        <v>0.016393443</v>
      </c>
      <c r="AL7" s="7" t="n">
        <f aca="false">ROUND(Y7-AE7,9)</f>
        <v>0.901639344</v>
      </c>
    </row>
    <row r="8" customFormat="false" ht="15" hidden="false" customHeight="false" outlineLevel="0" collapsed="false">
      <c r="A8" s="2" t="n">
        <v>7</v>
      </c>
      <c r="B8" s="2" t="s">
        <v>66</v>
      </c>
      <c r="C8" s="2" t="s">
        <v>67</v>
      </c>
      <c r="D8" s="2" t="n">
        <v>3</v>
      </c>
      <c r="E8" s="5"/>
      <c r="F8" s="6" t="n">
        <v>50</v>
      </c>
      <c r="G8" s="6" t="n">
        <v>20</v>
      </c>
      <c r="H8" s="6" t="n">
        <v>40</v>
      </c>
      <c r="I8" s="6" t="n">
        <v>20</v>
      </c>
      <c r="J8" s="6" t="n">
        <v>40</v>
      </c>
      <c r="K8" s="6" t="n">
        <v>20</v>
      </c>
      <c r="L8" s="2" t="n">
        <f aca="false">SUM(F8:K8)</f>
        <v>190</v>
      </c>
      <c r="M8" s="7" t="n">
        <f aca="false">Z8+IF(SUMPRODUCT(--($AG8:$AL8&gt;AG8))&lt;$AF8,1,0)</f>
        <v>106</v>
      </c>
      <c r="N8" s="7" t="n">
        <f aca="false">AA8+IF(SUMPRODUCT(--($AG8:$AL8&gt;AH8))+SUMPRODUCT(--($AG8:AG8=AH8))&lt;$AF8,1,0)</f>
        <v>42</v>
      </c>
      <c r="O8" s="7" t="n">
        <f aca="false">AB8+IF(SUMPRODUCT(--($AG8:$AL8&gt;AI8))+SUMPRODUCT(--($AG8:AH8=AI8))&lt;$AF8,1,0)</f>
        <v>84</v>
      </c>
      <c r="P8" s="7" t="n">
        <f aca="false">AC8+IF(SUMPRODUCT(--($AG8:$AL8&gt;AJ8))+SUMPRODUCT(--($AG8:AI8=AJ8))&lt;$AF8,1,0)</f>
        <v>42</v>
      </c>
      <c r="Q8" s="7" t="n">
        <f aca="false">AD8+IF(SUMPRODUCT(--($AG8:$AL8&gt;AK8))+SUMPRODUCT(--($AG8:AJ8=AK8))&lt;$AF8,1,0)</f>
        <v>84</v>
      </c>
      <c r="R8" s="7" t="n">
        <f aca="false">AE8+IF(SUMPRODUCT(--($AG8:$AL8&gt;AL8))+SUMPRODUCT(--($AG8:AK8=AL8))&lt;$AF8,1,0)</f>
        <v>42</v>
      </c>
      <c r="S8" s="7" t="n">
        <f aca="false">SUM(M8:R8)</f>
        <v>400</v>
      </c>
      <c r="T8" s="7" t="n">
        <f aca="false">F8*Settings!$B$2/SUM(F8:K8)</f>
        <v>105.263157894737</v>
      </c>
      <c r="U8" s="7" t="n">
        <f aca="false">G8*Settings!$B$2/SUM(F8:K8)</f>
        <v>42.1052631578947</v>
      </c>
      <c r="V8" s="7" t="n">
        <f aca="false">H8*Settings!$B$2/SUM(F8:K8)</f>
        <v>84.2105263157895</v>
      </c>
      <c r="W8" s="7" t="n">
        <f aca="false">I8*Settings!$B$2/SUM(F8:K8)</f>
        <v>42.1052631578947</v>
      </c>
      <c r="X8" s="7" t="n">
        <f aca="false">J8*Settings!$B$2/SUM(F8:K8)</f>
        <v>84.2105263157895</v>
      </c>
      <c r="Y8" s="7" t="n">
        <f aca="false">K8*Settings!$B$2/SUM(F8:K8)</f>
        <v>42.1052631578947</v>
      </c>
      <c r="Z8" s="7" t="n">
        <f aca="false">INT(T8)</f>
        <v>105</v>
      </c>
      <c r="AA8" s="7" t="n">
        <f aca="false">INT(U8)</f>
        <v>42</v>
      </c>
      <c r="AB8" s="7" t="n">
        <f aca="false">INT(V8)</f>
        <v>84</v>
      </c>
      <c r="AC8" s="7" t="n">
        <f aca="false">INT(W8)</f>
        <v>42</v>
      </c>
      <c r="AD8" s="7" t="n">
        <f aca="false">INT(X8)</f>
        <v>84</v>
      </c>
      <c r="AE8" s="7" t="n">
        <f aca="false">INT(Y8)</f>
        <v>42</v>
      </c>
      <c r="AF8" s="7" t="n">
        <f aca="false">Settings!$B$2-SUM(Z8:AE8)</f>
        <v>1</v>
      </c>
      <c r="AG8" s="7" t="n">
        <f aca="false">ROUND(T8-Z8,9)</f>
        <v>0.263157895</v>
      </c>
      <c r="AH8" s="7" t="n">
        <f aca="false">ROUND(U8-AA8,9)</f>
        <v>0.105263158</v>
      </c>
      <c r="AI8" s="7" t="n">
        <f aca="false">ROUND(V8-AB8,9)</f>
        <v>0.210526316</v>
      </c>
      <c r="AJ8" s="7" t="n">
        <f aca="false">ROUND(W8-AC8,9)</f>
        <v>0.105263158</v>
      </c>
      <c r="AK8" s="7" t="n">
        <f aca="false">ROUND(X8-AD8,9)</f>
        <v>0.210526316</v>
      </c>
      <c r="AL8" s="7" t="n">
        <f aca="false">ROUND(Y8-AE8,9)</f>
        <v>0.105263158</v>
      </c>
    </row>
    <row r="9" customFormat="false" ht="15" hidden="false" customHeight="false" outlineLevel="0" collapsed="false">
      <c r="A9" s="2" t="n">
        <v>8</v>
      </c>
      <c r="B9" s="2" t="s">
        <v>68</v>
      </c>
      <c r="C9" s="2" t="s">
        <v>67</v>
      </c>
      <c r="D9" s="2" t="n">
        <v>2</v>
      </c>
      <c r="E9" s="5"/>
      <c r="F9" s="6" t="n">
        <v>65</v>
      </c>
      <c r="G9" s="6" t="n">
        <v>55</v>
      </c>
      <c r="H9" s="6" t="n">
        <v>95</v>
      </c>
      <c r="I9" s="6" t="n">
        <v>65</v>
      </c>
      <c r="J9" s="6" t="n">
        <v>95</v>
      </c>
      <c r="K9" s="6" t="n">
        <v>35</v>
      </c>
      <c r="L9" s="2" t="n">
        <f aca="false">SUM(F9:K9)</f>
        <v>410</v>
      </c>
      <c r="M9" s="7" t="n">
        <f aca="false">Z9+IF(SUMPRODUCT(--($AG9:$AL9&gt;AG9))&lt;$AF9,1,0)</f>
        <v>63</v>
      </c>
      <c r="N9" s="7" t="n">
        <f aca="false">AA9+IF(SUMPRODUCT(--($AG9:$AL9&gt;AH9))+SUMPRODUCT(--($AG9:AG9=AH9))&lt;$AF9,1,0)</f>
        <v>54</v>
      </c>
      <c r="O9" s="7" t="n">
        <f aca="false">AB9+IF(SUMPRODUCT(--($AG9:$AL9&gt;AI9))+SUMPRODUCT(--($AG9:AH9=AI9))&lt;$AF9,1,0)</f>
        <v>93</v>
      </c>
      <c r="P9" s="7" t="n">
        <f aca="false">AC9+IF(SUMPRODUCT(--($AG9:$AL9&gt;AJ9))+SUMPRODUCT(--($AG9:AI9=AJ9))&lt;$AF9,1,0)</f>
        <v>63</v>
      </c>
      <c r="Q9" s="7" t="n">
        <f aca="false">AD9+IF(SUMPRODUCT(--($AG9:$AL9&gt;AK9))+SUMPRODUCT(--($AG9:AJ9=AK9))&lt;$AF9,1,0)</f>
        <v>93</v>
      </c>
      <c r="R9" s="7" t="n">
        <f aca="false">AE9+IF(SUMPRODUCT(--($AG9:$AL9&gt;AL9))+SUMPRODUCT(--($AG9:AK9=AL9))&lt;$AF9,1,0)</f>
        <v>34</v>
      </c>
      <c r="S9" s="7" t="n">
        <f aca="false">SUM(M9:R9)</f>
        <v>400</v>
      </c>
      <c r="T9" s="7" t="n">
        <f aca="false">F9*Settings!$B$2/SUM(F9:K9)</f>
        <v>63.4146341463415</v>
      </c>
      <c r="U9" s="7" t="n">
        <f aca="false">G9*Settings!$B$2/SUM(F9:K9)</f>
        <v>53.6585365853659</v>
      </c>
      <c r="V9" s="7" t="n">
        <f aca="false">H9*Settings!$B$2/SUM(F9:K9)</f>
        <v>92.6829268292683</v>
      </c>
      <c r="W9" s="7" t="n">
        <f aca="false">I9*Settings!$B$2/SUM(F9:K9)</f>
        <v>63.4146341463415</v>
      </c>
      <c r="X9" s="7" t="n">
        <f aca="false">J9*Settings!$B$2/SUM(F9:K9)</f>
        <v>92.6829268292683</v>
      </c>
      <c r="Y9" s="7" t="n">
        <f aca="false">K9*Settings!$B$2/SUM(F9:K9)</f>
        <v>34.1463414634146</v>
      </c>
      <c r="Z9" s="7" t="n">
        <f aca="false">INT(T9)</f>
        <v>63</v>
      </c>
      <c r="AA9" s="7" t="n">
        <f aca="false">INT(U9)</f>
        <v>53</v>
      </c>
      <c r="AB9" s="7" t="n">
        <f aca="false">INT(V9)</f>
        <v>92</v>
      </c>
      <c r="AC9" s="7" t="n">
        <f aca="false">INT(W9)</f>
        <v>63</v>
      </c>
      <c r="AD9" s="7" t="n">
        <f aca="false">INT(X9)</f>
        <v>92</v>
      </c>
      <c r="AE9" s="7" t="n">
        <f aca="false">INT(Y9)</f>
        <v>34</v>
      </c>
      <c r="AF9" s="7" t="n">
        <f aca="false">Settings!$B$2-SUM(Z9:AE9)</f>
        <v>3</v>
      </c>
      <c r="AG9" s="7" t="n">
        <f aca="false">ROUND(T9-Z9,9)</f>
        <v>0.414634146</v>
      </c>
      <c r="AH9" s="7" t="n">
        <f aca="false">ROUND(U9-AA9,9)</f>
        <v>0.658536585</v>
      </c>
      <c r="AI9" s="7" t="n">
        <f aca="false">ROUND(V9-AB9,9)</f>
        <v>0.682926829</v>
      </c>
      <c r="AJ9" s="7" t="n">
        <f aca="false">ROUND(W9-AC9,9)</f>
        <v>0.414634146</v>
      </c>
      <c r="AK9" s="7" t="n">
        <f aca="false">ROUND(X9-AD9,9)</f>
        <v>0.682926829</v>
      </c>
      <c r="AL9" s="7" t="n">
        <f aca="false">ROUND(Y9-AE9,9)</f>
        <v>0.146341463</v>
      </c>
    </row>
    <row r="10" customFormat="false" ht="15" hidden="false" customHeight="false" outlineLevel="0" collapsed="false">
      <c r="A10" s="2" t="n">
        <v>9</v>
      </c>
      <c r="B10" s="2" t="s">
        <v>69</v>
      </c>
      <c r="C10" s="2" t="s">
        <v>67</v>
      </c>
      <c r="D10" s="2" t="n">
        <v>3</v>
      </c>
      <c r="E10" s="5"/>
      <c r="F10" s="6" t="n">
        <v>50</v>
      </c>
      <c r="G10" s="6" t="n">
        <v>70</v>
      </c>
      <c r="H10" s="6" t="n">
        <v>50</v>
      </c>
      <c r="I10" s="6" t="n">
        <v>50</v>
      </c>
      <c r="J10" s="6" t="n">
        <v>50</v>
      </c>
      <c r="K10" s="6" t="n">
        <v>40</v>
      </c>
      <c r="L10" s="2" t="n">
        <f aca="false">SUM(F10:K10)</f>
        <v>310</v>
      </c>
      <c r="M10" s="7" t="n">
        <f aca="false">Z10+IF(SUMPRODUCT(--($AG10:$AL10&gt;AG10))&lt;$AF10,1,0)</f>
        <v>65</v>
      </c>
      <c r="N10" s="7" t="n">
        <f aca="false">AA10+IF(SUMPRODUCT(--($AG10:$AL10&gt;AH10))+SUMPRODUCT(--($AG10:AG10=AH10))&lt;$AF10,1,0)</f>
        <v>90</v>
      </c>
      <c r="O10" s="7" t="n">
        <f aca="false">AB10+IF(SUMPRODUCT(--($AG10:$AL10&gt;AI10))+SUMPRODUCT(--($AG10:AH10=AI10))&lt;$AF10,1,0)</f>
        <v>65</v>
      </c>
      <c r="P10" s="7" t="n">
        <f aca="false">AC10+IF(SUMPRODUCT(--($AG10:$AL10&gt;AJ10))+SUMPRODUCT(--($AG10:AI10=AJ10))&lt;$AF10,1,0)</f>
        <v>64</v>
      </c>
      <c r="Q10" s="7" t="n">
        <f aca="false">AD10+IF(SUMPRODUCT(--($AG10:$AL10&gt;AK10))+SUMPRODUCT(--($AG10:AJ10=AK10))&lt;$AF10,1,0)</f>
        <v>64</v>
      </c>
      <c r="R10" s="7" t="n">
        <f aca="false">AE10+IF(SUMPRODUCT(--($AG10:$AL10&gt;AL10))+SUMPRODUCT(--($AG10:AK10=AL10))&lt;$AF10,1,0)</f>
        <v>52</v>
      </c>
      <c r="S10" s="7" t="n">
        <f aca="false">SUM(M10:R10)</f>
        <v>400</v>
      </c>
      <c r="T10" s="7" t="n">
        <f aca="false">F10*Settings!$B$2/SUM(F10:K10)</f>
        <v>64.5161290322581</v>
      </c>
      <c r="U10" s="7" t="n">
        <f aca="false">G10*Settings!$B$2/SUM(F10:K10)</f>
        <v>90.3225806451613</v>
      </c>
      <c r="V10" s="7" t="n">
        <f aca="false">H10*Settings!$B$2/SUM(F10:K10)</f>
        <v>64.5161290322581</v>
      </c>
      <c r="W10" s="7" t="n">
        <f aca="false">I10*Settings!$B$2/SUM(F10:K10)</f>
        <v>64.5161290322581</v>
      </c>
      <c r="X10" s="7" t="n">
        <f aca="false">J10*Settings!$B$2/SUM(F10:K10)</f>
        <v>64.5161290322581</v>
      </c>
      <c r="Y10" s="7" t="n">
        <f aca="false">K10*Settings!$B$2/SUM(F10:K10)</f>
        <v>51.6129032258065</v>
      </c>
      <c r="Z10" s="7" t="n">
        <f aca="false">INT(T10)</f>
        <v>64</v>
      </c>
      <c r="AA10" s="7" t="n">
        <f aca="false">INT(U10)</f>
        <v>90</v>
      </c>
      <c r="AB10" s="7" t="n">
        <f aca="false">INT(V10)</f>
        <v>64</v>
      </c>
      <c r="AC10" s="7" t="n">
        <f aca="false">INT(W10)</f>
        <v>64</v>
      </c>
      <c r="AD10" s="7" t="n">
        <f aca="false">INT(X10)</f>
        <v>64</v>
      </c>
      <c r="AE10" s="7" t="n">
        <f aca="false">INT(Y10)</f>
        <v>51</v>
      </c>
      <c r="AF10" s="7" t="n">
        <f aca="false">Settings!$B$2-SUM(Z10:AE10)</f>
        <v>3</v>
      </c>
      <c r="AG10" s="7" t="n">
        <f aca="false">ROUND(T10-Z10,9)</f>
        <v>0.516129032</v>
      </c>
      <c r="AH10" s="7" t="n">
        <f aca="false">ROUND(U10-AA10,9)</f>
        <v>0.322580645</v>
      </c>
      <c r="AI10" s="7" t="n">
        <f aca="false">ROUND(V10-AB10,9)</f>
        <v>0.516129032</v>
      </c>
      <c r="AJ10" s="7" t="n">
        <f aca="false">ROUND(W10-AC10,9)</f>
        <v>0.516129032</v>
      </c>
      <c r="AK10" s="7" t="n">
        <f aca="false">ROUND(X10-AD10,9)</f>
        <v>0.516129032</v>
      </c>
      <c r="AL10" s="7" t="n">
        <f aca="false">ROUND(Y10-AE10,9)</f>
        <v>0.612903226</v>
      </c>
    </row>
    <row r="11" customFormat="false" ht="15" hidden="false" customHeight="false" outlineLevel="0" collapsed="false">
      <c r="A11" s="2" t="n">
        <v>10</v>
      </c>
      <c r="B11" s="2" t="s">
        <v>70</v>
      </c>
      <c r="C11" s="2" t="s">
        <v>71</v>
      </c>
      <c r="D11" s="2" t="n">
        <v>2</v>
      </c>
      <c r="E11" s="5"/>
      <c r="F11" s="6" t="n">
        <v>20</v>
      </c>
      <c r="G11" s="6" t="n">
        <v>40</v>
      </c>
      <c r="H11" s="6" t="n">
        <v>15</v>
      </c>
      <c r="I11" s="6" t="n">
        <v>35</v>
      </c>
      <c r="J11" s="6" t="n">
        <v>35</v>
      </c>
      <c r="K11" s="6" t="n">
        <v>60</v>
      </c>
      <c r="L11" s="2" t="n">
        <f aca="false">SUM(F11:K11)</f>
        <v>205</v>
      </c>
      <c r="M11" s="7" t="n">
        <f aca="false">Z11+IF(SUMPRODUCT(--($AG11:$AL11&gt;AG11))&lt;$AF11,1,0)</f>
        <v>39</v>
      </c>
      <c r="N11" s="7" t="n">
        <f aca="false">AA11+IF(SUMPRODUCT(--($AG11:$AL11&gt;AH11))+SUMPRODUCT(--($AG11:AG11=AH11))&lt;$AF11,1,0)</f>
        <v>78</v>
      </c>
      <c r="O11" s="7" t="n">
        <f aca="false">AB11+IF(SUMPRODUCT(--($AG11:$AL11&gt;AI11))+SUMPRODUCT(--($AG11:AH11=AI11))&lt;$AF11,1,0)</f>
        <v>29</v>
      </c>
      <c r="P11" s="7" t="n">
        <f aca="false">AC11+IF(SUMPRODUCT(--($AG11:$AL11&gt;AJ11))+SUMPRODUCT(--($AG11:AI11=AJ11))&lt;$AF11,1,0)</f>
        <v>69</v>
      </c>
      <c r="Q11" s="7" t="n">
        <f aca="false">AD11+IF(SUMPRODUCT(--($AG11:$AL11&gt;AK11))+SUMPRODUCT(--($AG11:AJ11=AK11))&lt;$AF11,1,0)</f>
        <v>68</v>
      </c>
      <c r="R11" s="7" t="n">
        <f aca="false">AE11+IF(SUMPRODUCT(--($AG11:$AL11&gt;AL11))+SUMPRODUCT(--($AG11:AK11=AL11))&lt;$AF11,1,0)</f>
        <v>117</v>
      </c>
      <c r="S11" s="7" t="n">
        <f aca="false">SUM(M11:R11)</f>
        <v>400</v>
      </c>
      <c r="T11" s="7" t="n">
        <f aca="false">F11*Settings!$B$2/SUM(F11:K11)</f>
        <v>39.0243902439024</v>
      </c>
      <c r="U11" s="7" t="n">
        <f aca="false">G11*Settings!$B$2/SUM(F11:K11)</f>
        <v>78.0487804878049</v>
      </c>
      <c r="V11" s="7" t="n">
        <f aca="false">H11*Settings!$B$2/SUM(F11:K11)</f>
        <v>29.2682926829268</v>
      </c>
      <c r="W11" s="7" t="n">
        <f aca="false">I11*Settings!$B$2/SUM(F11:K11)</f>
        <v>68.2926829268293</v>
      </c>
      <c r="X11" s="7" t="n">
        <f aca="false">J11*Settings!$B$2/SUM(F11:K11)</f>
        <v>68.2926829268293</v>
      </c>
      <c r="Y11" s="7" t="n">
        <f aca="false">K11*Settings!$B$2/SUM(F11:K11)</f>
        <v>117.073170731707</v>
      </c>
      <c r="Z11" s="7" t="n">
        <f aca="false">INT(T11)</f>
        <v>39</v>
      </c>
      <c r="AA11" s="7" t="n">
        <f aca="false">INT(U11)</f>
        <v>78</v>
      </c>
      <c r="AB11" s="7" t="n">
        <f aca="false">INT(V11)</f>
        <v>29</v>
      </c>
      <c r="AC11" s="7" t="n">
        <f aca="false">INT(W11)</f>
        <v>68</v>
      </c>
      <c r="AD11" s="7" t="n">
        <f aca="false">INT(X11)</f>
        <v>68</v>
      </c>
      <c r="AE11" s="7" t="n">
        <f aca="false">INT(Y11)</f>
        <v>117</v>
      </c>
      <c r="AF11" s="7" t="n">
        <f aca="false">Settings!$B$2-SUM(Z11:AE11)</f>
        <v>1</v>
      </c>
      <c r="AG11" s="7" t="n">
        <f aca="false">ROUND(T11-Z11,9)</f>
        <v>0.024390244</v>
      </c>
      <c r="AH11" s="7" t="n">
        <f aca="false">ROUND(U11-AA11,9)</f>
        <v>0.048780488</v>
      </c>
      <c r="AI11" s="7" t="n">
        <f aca="false">ROUND(V11-AB11,9)</f>
        <v>0.268292683</v>
      </c>
      <c r="AJ11" s="7" t="n">
        <f aca="false">ROUND(W11-AC11,9)</f>
        <v>0.292682927</v>
      </c>
      <c r="AK11" s="7" t="n">
        <f aca="false">ROUND(X11-AD11,9)</f>
        <v>0.292682927</v>
      </c>
      <c r="AL11" s="7" t="n">
        <f aca="false">ROUND(Y11-AE11,9)</f>
        <v>0.073170732</v>
      </c>
    </row>
    <row r="12" customFormat="false" ht="15" hidden="false" customHeight="false" outlineLevel="0" collapsed="false">
      <c r="A12" s="2" t="n">
        <v>11</v>
      </c>
      <c r="B12" s="2" t="s">
        <v>72</v>
      </c>
      <c r="C12" s="2" t="s">
        <v>71</v>
      </c>
      <c r="D12" s="2" t="n">
        <v>1</v>
      </c>
      <c r="E12" s="5"/>
      <c r="F12" s="6" t="n">
        <v>40</v>
      </c>
      <c r="G12" s="6" t="n">
        <v>30</v>
      </c>
      <c r="H12" s="6" t="n">
        <v>50</v>
      </c>
      <c r="I12" s="6" t="n">
        <v>55</v>
      </c>
      <c r="J12" s="6" t="n">
        <v>55</v>
      </c>
      <c r="K12" s="6" t="n">
        <v>100</v>
      </c>
      <c r="L12" s="2" t="n">
        <f aca="false">SUM(F12:K12)</f>
        <v>330</v>
      </c>
      <c r="M12" s="7" t="n">
        <f aca="false">Z12+IF(SUMPRODUCT(--($AG12:$AL12&gt;AG12))&lt;$AF12,1,0)</f>
        <v>48</v>
      </c>
      <c r="N12" s="7" t="n">
        <f aca="false">AA12+IF(SUMPRODUCT(--($AG12:$AL12&gt;AH12))+SUMPRODUCT(--($AG12:AG12=AH12))&lt;$AF12,1,0)</f>
        <v>36</v>
      </c>
      <c r="O12" s="7" t="n">
        <f aca="false">AB12+IF(SUMPRODUCT(--($AG12:$AL12&gt;AI12))+SUMPRODUCT(--($AG12:AH12=AI12))&lt;$AF12,1,0)</f>
        <v>61</v>
      </c>
      <c r="P12" s="7" t="n">
        <f aca="false">AC12+IF(SUMPRODUCT(--($AG12:$AL12&gt;AJ12))+SUMPRODUCT(--($AG12:AI12=AJ12))&lt;$AF12,1,0)</f>
        <v>67</v>
      </c>
      <c r="Q12" s="7" t="n">
        <f aca="false">AD12+IF(SUMPRODUCT(--($AG12:$AL12&gt;AK12))+SUMPRODUCT(--($AG12:AJ12=AK12))&lt;$AF12,1,0)</f>
        <v>67</v>
      </c>
      <c r="R12" s="7" t="n">
        <f aca="false">AE12+IF(SUMPRODUCT(--($AG12:$AL12&gt;AL12))+SUMPRODUCT(--($AG12:AK12=AL12))&lt;$AF12,1,0)</f>
        <v>121</v>
      </c>
      <c r="S12" s="7" t="n">
        <f aca="false">SUM(M12:R12)</f>
        <v>400</v>
      </c>
      <c r="T12" s="7" t="n">
        <f aca="false">F12*Settings!$B$2/SUM(F12:K12)</f>
        <v>48.4848484848485</v>
      </c>
      <c r="U12" s="7" t="n">
        <f aca="false">G12*Settings!$B$2/SUM(F12:K12)</f>
        <v>36.3636363636364</v>
      </c>
      <c r="V12" s="7" t="n">
        <f aca="false">H12*Settings!$B$2/SUM(F12:K12)</f>
        <v>60.6060606060606</v>
      </c>
      <c r="W12" s="7" t="n">
        <f aca="false">I12*Settings!$B$2/SUM(F12:K12)</f>
        <v>66.6666666666667</v>
      </c>
      <c r="X12" s="7" t="n">
        <f aca="false">J12*Settings!$B$2/SUM(F12:K12)</f>
        <v>66.6666666666667</v>
      </c>
      <c r="Y12" s="7" t="n">
        <f aca="false">K12*Settings!$B$2/SUM(F12:K12)</f>
        <v>121.212121212121</v>
      </c>
      <c r="Z12" s="7" t="n">
        <f aca="false">INT(T12)</f>
        <v>48</v>
      </c>
      <c r="AA12" s="7" t="n">
        <f aca="false">INT(U12)</f>
        <v>36</v>
      </c>
      <c r="AB12" s="7" t="n">
        <f aca="false">INT(V12)</f>
        <v>60</v>
      </c>
      <c r="AC12" s="7" t="n">
        <f aca="false">INT(W12)</f>
        <v>66</v>
      </c>
      <c r="AD12" s="7" t="n">
        <f aca="false">INT(X12)</f>
        <v>66</v>
      </c>
      <c r="AE12" s="7" t="n">
        <f aca="false">INT(Y12)</f>
        <v>121</v>
      </c>
      <c r="AF12" s="7" t="n">
        <f aca="false">Settings!$B$2-SUM(Z12:AE12)</f>
        <v>3</v>
      </c>
      <c r="AG12" s="7" t="n">
        <f aca="false">ROUND(T12-Z12,9)</f>
        <v>0.484848485</v>
      </c>
      <c r="AH12" s="7" t="n">
        <f aca="false">ROUND(U12-AA12,9)</f>
        <v>0.363636364</v>
      </c>
      <c r="AI12" s="7" t="n">
        <f aca="false">ROUND(V12-AB12,9)</f>
        <v>0.606060606</v>
      </c>
      <c r="AJ12" s="7" t="n">
        <f aca="false">ROUND(W12-AC12,9)</f>
        <v>0.666666667</v>
      </c>
      <c r="AK12" s="7" t="n">
        <f aca="false">ROUND(X12-AD12,9)</f>
        <v>0.666666667</v>
      </c>
      <c r="AL12" s="7" t="n">
        <f aca="false">ROUND(Y12-AE12,9)</f>
        <v>0.212121212</v>
      </c>
    </row>
    <row r="13" customFormat="false" ht="15" hidden="false" customHeight="false" outlineLevel="0" collapsed="false">
      <c r="A13" s="2" t="n">
        <v>12</v>
      </c>
      <c r="B13" s="2" t="s">
        <v>73</v>
      </c>
      <c r="C13" s="2" t="s">
        <v>71</v>
      </c>
      <c r="D13" s="2" t="n">
        <v>2</v>
      </c>
      <c r="E13" s="5"/>
      <c r="F13" s="6" t="n">
        <v>55</v>
      </c>
      <c r="G13" s="6" t="n">
        <v>40</v>
      </c>
      <c r="H13" s="6" t="n">
        <v>40</v>
      </c>
      <c r="I13" s="6" t="n">
        <v>65</v>
      </c>
      <c r="J13" s="6" t="n">
        <v>45</v>
      </c>
      <c r="K13" s="6" t="n">
        <v>35</v>
      </c>
      <c r="L13" s="2" t="n">
        <f aca="false">SUM(F13:K13)</f>
        <v>280</v>
      </c>
      <c r="M13" s="7" t="n">
        <f aca="false">Z13+IF(SUMPRODUCT(--($AG13:$AL13&gt;AG13))&lt;$AF13,1,0)</f>
        <v>79</v>
      </c>
      <c r="N13" s="7" t="n">
        <f aca="false">AA13+IF(SUMPRODUCT(--($AG13:$AL13&gt;AH13))+SUMPRODUCT(--($AG13:AG13=AH13))&lt;$AF13,1,0)</f>
        <v>57</v>
      </c>
      <c r="O13" s="7" t="n">
        <f aca="false">AB13+IF(SUMPRODUCT(--($AG13:$AL13&gt;AI13))+SUMPRODUCT(--($AG13:AH13=AI13))&lt;$AF13,1,0)</f>
        <v>57</v>
      </c>
      <c r="P13" s="7" t="n">
        <f aca="false">AC13+IF(SUMPRODUCT(--($AG13:$AL13&gt;AJ13))+SUMPRODUCT(--($AG13:AI13=AJ13))&lt;$AF13,1,0)</f>
        <v>93</v>
      </c>
      <c r="Q13" s="7" t="n">
        <f aca="false">AD13+IF(SUMPRODUCT(--($AG13:$AL13&gt;AK13))+SUMPRODUCT(--($AG13:AJ13=AK13))&lt;$AF13,1,0)</f>
        <v>64</v>
      </c>
      <c r="R13" s="7" t="n">
        <f aca="false">AE13+IF(SUMPRODUCT(--($AG13:$AL13&gt;AL13))+SUMPRODUCT(--($AG13:AK13=AL13))&lt;$AF13,1,0)</f>
        <v>50</v>
      </c>
      <c r="S13" s="7" t="n">
        <f aca="false">SUM(M13:R13)</f>
        <v>400</v>
      </c>
      <c r="T13" s="7" t="n">
        <f aca="false">F13*Settings!$B$2/SUM(F13:K13)</f>
        <v>78.5714285714286</v>
      </c>
      <c r="U13" s="7" t="n">
        <f aca="false">G13*Settings!$B$2/SUM(F13:K13)</f>
        <v>57.1428571428571</v>
      </c>
      <c r="V13" s="7" t="n">
        <f aca="false">H13*Settings!$B$2/SUM(F13:K13)</f>
        <v>57.1428571428571</v>
      </c>
      <c r="W13" s="7" t="n">
        <f aca="false">I13*Settings!$B$2/SUM(F13:K13)</f>
        <v>92.8571428571429</v>
      </c>
      <c r="X13" s="7" t="n">
        <f aca="false">J13*Settings!$B$2/SUM(F13:K13)</f>
        <v>64.2857142857143</v>
      </c>
      <c r="Y13" s="7" t="n">
        <f aca="false">K13*Settings!$B$2/SUM(F13:K13)</f>
        <v>50</v>
      </c>
      <c r="Z13" s="7" t="n">
        <f aca="false">INT(T13)</f>
        <v>78</v>
      </c>
      <c r="AA13" s="7" t="n">
        <f aca="false">INT(U13)</f>
        <v>57</v>
      </c>
      <c r="AB13" s="7" t="n">
        <f aca="false">INT(V13)</f>
        <v>57</v>
      </c>
      <c r="AC13" s="7" t="n">
        <f aca="false">INT(W13)</f>
        <v>92</v>
      </c>
      <c r="AD13" s="7" t="n">
        <f aca="false">INT(X13)</f>
        <v>64</v>
      </c>
      <c r="AE13" s="7" t="n">
        <f aca="false">INT(Y13)</f>
        <v>50</v>
      </c>
      <c r="AF13" s="7" t="n">
        <f aca="false">Settings!$B$2-SUM(Z13:AE13)</f>
        <v>2</v>
      </c>
      <c r="AG13" s="7" t="n">
        <f aca="false">ROUND(T13-Z13,9)</f>
        <v>0.571428571</v>
      </c>
      <c r="AH13" s="7" t="n">
        <f aca="false">ROUND(U13-AA13,9)</f>
        <v>0.142857143</v>
      </c>
      <c r="AI13" s="7" t="n">
        <f aca="false">ROUND(V13-AB13,9)</f>
        <v>0.142857143</v>
      </c>
      <c r="AJ13" s="7" t="n">
        <f aca="false">ROUND(W13-AC13,9)</f>
        <v>0.857142857</v>
      </c>
      <c r="AK13" s="7" t="n">
        <f aca="false">ROUND(X13-AD13,9)</f>
        <v>0.285714286</v>
      </c>
      <c r="AL13" s="7" t="n">
        <f aca="false">ROUND(Y13-AE13,9)</f>
        <v>0</v>
      </c>
    </row>
    <row r="14" customFormat="false" ht="15" hidden="false" customHeight="false" outlineLevel="0" collapsed="false">
      <c r="A14" s="2" t="n">
        <v>13</v>
      </c>
      <c r="B14" s="2" t="s">
        <v>74</v>
      </c>
      <c r="C14" s="2" t="s">
        <v>75</v>
      </c>
      <c r="D14" s="2" t="n">
        <v>1</v>
      </c>
      <c r="E14" s="5"/>
      <c r="F14" s="6" t="n">
        <v>45</v>
      </c>
      <c r="G14" s="6" t="n">
        <v>49</v>
      </c>
      <c r="H14" s="6" t="n">
        <v>49</v>
      </c>
      <c r="I14" s="6" t="n">
        <v>65</v>
      </c>
      <c r="J14" s="6" t="n">
        <v>65</v>
      </c>
      <c r="K14" s="6" t="n">
        <v>45</v>
      </c>
      <c r="L14" s="2" t="n">
        <f aca="false">SUM(F14:K14)</f>
        <v>318</v>
      </c>
      <c r="M14" s="7" t="n">
        <f aca="false">Z14+IF(SUMPRODUCT(--($AG14:$AL14&gt;AG14))&lt;$AF14,1,0)</f>
        <v>56</v>
      </c>
      <c r="N14" s="7" t="n">
        <f aca="false">AA14+IF(SUMPRODUCT(--($AG14:$AL14&gt;AH14))+SUMPRODUCT(--($AG14:AG14=AH14))&lt;$AF14,1,0)</f>
        <v>62</v>
      </c>
      <c r="O14" s="7" t="n">
        <f aca="false">AB14+IF(SUMPRODUCT(--($AG14:$AL14&gt;AI14))+SUMPRODUCT(--($AG14:AH14=AI14))&lt;$AF14,1,0)</f>
        <v>62</v>
      </c>
      <c r="P14" s="7" t="n">
        <f aca="false">AC14+IF(SUMPRODUCT(--($AG14:$AL14&gt;AJ14))+SUMPRODUCT(--($AG14:AI14=AJ14))&lt;$AF14,1,0)</f>
        <v>82</v>
      </c>
      <c r="Q14" s="7" t="n">
        <f aca="false">AD14+IF(SUMPRODUCT(--($AG14:$AL14&gt;AK14))+SUMPRODUCT(--($AG14:AJ14=AK14))&lt;$AF14,1,0)</f>
        <v>82</v>
      </c>
      <c r="R14" s="7" t="n">
        <f aca="false">AE14+IF(SUMPRODUCT(--($AG14:$AL14&gt;AL14))+SUMPRODUCT(--($AG14:AK14=AL14))&lt;$AF14,1,0)</f>
        <v>56</v>
      </c>
      <c r="S14" s="7" t="n">
        <f aca="false">SUM(M14:R14)</f>
        <v>400</v>
      </c>
      <c r="T14" s="7" t="n">
        <f aca="false">F14*Settings!$B$2/SUM(F14:K14)</f>
        <v>56.6037735849057</v>
      </c>
      <c r="U14" s="7" t="n">
        <f aca="false">G14*Settings!$B$2/SUM(F14:K14)</f>
        <v>61.6352201257862</v>
      </c>
      <c r="V14" s="7" t="n">
        <f aca="false">H14*Settings!$B$2/SUM(F14:K14)</f>
        <v>61.6352201257862</v>
      </c>
      <c r="W14" s="7" t="n">
        <f aca="false">I14*Settings!$B$2/SUM(F14:K14)</f>
        <v>81.7610062893082</v>
      </c>
      <c r="X14" s="7" t="n">
        <f aca="false">J14*Settings!$B$2/SUM(F14:K14)</f>
        <v>81.7610062893082</v>
      </c>
      <c r="Y14" s="7" t="n">
        <f aca="false">K14*Settings!$B$2/SUM(F14:K14)</f>
        <v>56.6037735849057</v>
      </c>
      <c r="Z14" s="7" t="n">
        <f aca="false">INT(T14)</f>
        <v>56</v>
      </c>
      <c r="AA14" s="7" t="n">
        <f aca="false">INT(U14)</f>
        <v>61</v>
      </c>
      <c r="AB14" s="7" t="n">
        <f aca="false">INT(V14)</f>
        <v>61</v>
      </c>
      <c r="AC14" s="7" t="n">
        <f aca="false">INT(W14)</f>
        <v>81</v>
      </c>
      <c r="AD14" s="7" t="n">
        <f aca="false">INT(X14)</f>
        <v>81</v>
      </c>
      <c r="AE14" s="7" t="n">
        <f aca="false">INT(Y14)</f>
        <v>56</v>
      </c>
      <c r="AF14" s="7" t="n">
        <f aca="false">Settings!$B$2-SUM(Z14:AE14)</f>
        <v>4</v>
      </c>
      <c r="AG14" s="7" t="n">
        <f aca="false">ROUND(T14-Z14,9)</f>
        <v>0.603773585</v>
      </c>
      <c r="AH14" s="7" t="n">
        <f aca="false">ROUND(U14-AA14,9)</f>
        <v>0.635220126</v>
      </c>
      <c r="AI14" s="7" t="n">
        <f aca="false">ROUND(V14-AB14,9)</f>
        <v>0.635220126</v>
      </c>
      <c r="AJ14" s="7" t="n">
        <f aca="false">ROUND(W14-AC14,9)</f>
        <v>0.761006289</v>
      </c>
      <c r="AK14" s="7" t="n">
        <f aca="false">ROUND(X14-AD14,9)</f>
        <v>0.761006289</v>
      </c>
      <c r="AL14" s="7" t="n">
        <f aca="false">ROUND(Y14-AE14,9)</f>
        <v>0.603773585</v>
      </c>
    </row>
    <row r="15" customFormat="false" ht="15" hidden="false" customHeight="false" outlineLevel="0" collapsed="false">
      <c r="A15" s="2" t="n">
        <v>14</v>
      </c>
      <c r="B15" s="2" t="s">
        <v>76</v>
      </c>
      <c r="C15" s="2" t="s">
        <v>75</v>
      </c>
      <c r="D15" s="2" t="n">
        <v>2</v>
      </c>
      <c r="E15" s="5"/>
      <c r="F15" s="6" t="n">
        <v>100</v>
      </c>
      <c r="G15" s="6" t="n">
        <v>100</v>
      </c>
      <c r="H15" s="6" t="n">
        <v>100</v>
      </c>
      <c r="I15" s="6" t="n">
        <v>100</v>
      </c>
      <c r="J15" s="6" t="n">
        <v>100</v>
      </c>
      <c r="K15" s="6" t="n">
        <v>100</v>
      </c>
      <c r="L15" s="2" t="n">
        <f aca="false">SUM(F15:K15)</f>
        <v>600</v>
      </c>
      <c r="M15" s="7" t="n">
        <f aca="false">Z15+IF(SUMPRODUCT(--($AG15:$AL15&gt;AG15))&lt;$AF15,1,0)</f>
        <v>67</v>
      </c>
      <c r="N15" s="7" t="n">
        <f aca="false">AA15+IF(SUMPRODUCT(--($AG15:$AL15&gt;AH15))+SUMPRODUCT(--($AG15:AG15=AH15))&lt;$AF15,1,0)</f>
        <v>67</v>
      </c>
      <c r="O15" s="7" t="n">
        <f aca="false">AB15+IF(SUMPRODUCT(--($AG15:$AL15&gt;AI15))+SUMPRODUCT(--($AG15:AH15=AI15))&lt;$AF15,1,0)</f>
        <v>67</v>
      </c>
      <c r="P15" s="7" t="n">
        <f aca="false">AC15+IF(SUMPRODUCT(--($AG15:$AL15&gt;AJ15))+SUMPRODUCT(--($AG15:AI15=AJ15))&lt;$AF15,1,0)</f>
        <v>67</v>
      </c>
      <c r="Q15" s="7" t="n">
        <f aca="false">AD15+IF(SUMPRODUCT(--($AG15:$AL15&gt;AK15))+SUMPRODUCT(--($AG15:AJ15=AK15))&lt;$AF15,1,0)</f>
        <v>66</v>
      </c>
      <c r="R15" s="7" t="n">
        <f aca="false">AE15+IF(SUMPRODUCT(--($AG15:$AL15&gt;AL15))+SUMPRODUCT(--($AG15:AK15=AL15))&lt;$AF15,1,0)</f>
        <v>66</v>
      </c>
      <c r="S15" s="7" t="n">
        <f aca="false">SUM(M15:R15)</f>
        <v>400</v>
      </c>
      <c r="T15" s="7" t="n">
        <f aca="false">F15*Settings!$B$2/SUM(F15:K15)</f>
        <v>66.6666666666667</v>
      </c>
      <c r="U15" s="7" t="n">
        <f aca="false">G15*Settings!$B$2/SUM(F15:K15)</f>
        <v>66.6666666666667</v>
      </c>
      <c r="V15" s="7" t="n">
        <f aca="false">H15*Settings!$B$2/SUM(F15:K15)</f>
        <v>66.6666666666667</v>
      </c>
      <c r="W15" s="7" t="n">
        <f aca="false">I15*Settings!$B$2/SUM(F15:K15)</f>
        <v>66.6666666666667</v>
      </c>
      <c r="X15" s="7" t="n">
        <f aca="false">J15*Settings!$B$2/SUM(F15:K15)</f>
        <v>66.6666666666667</v>
      </c>
      <c r="Y15" s="7" t="n">
        <f aca="false">K15*Settings!$B$2/SUM(F15:K15)</f>
        <v>66.6666666666667</v>
      </c>
      <c r="Z15" s="7" t="n">
        <f aca="false">INT(T15)</f>
        <v>66</v>
      </c>
      <c r="AA15" s="7" t="n">
        <f aca="false">INT(U15)</f>
        <v>66</v>
      </c>
      <c r="AB15" s="7" t="n">
        <f aca="false">INT(V15)</f>
        <v>66</v>
      </c>
      <c r="AC15" s="7" t="n">
        <f aca="false">INT(W15)</f>
        <v>66</v>
      </c>
      <c r="AD15" s="7" t="n">
        <f aca="false">INT(X15)</f>
        <v>66</v>
      </c>
      <c r="AE15" s="7" t="n">
        <f aca="false">INT(Y15)</f>
        <v>66</v>
      </c>
      <c r="AF15" s="7" t="n">
        <f aca="false">Settings!$B$2-SUM(Z15:AE15)</f>
        <v>4</v>
      </c>
      <c r="AG15" s="7" t="n">
        <f aca="false">ROUND(T15-Z15,9)</f>
        <v>0.666666667</v>
      </c>
      <c r="AH15" s="7" t="n">
        <f aca="false">ROUND(U15-AA15,9)</f>
        <v>0.666666667</v>
      </c>
      <c r="AI15" s="7" t="n">
        <f aca="false">ROUND(V15-AB15,9)</f>
        <v>0.666666667</v>
      </c>
      <c r="AJ15" s="7" t="n">
        <f aca="false">ROUND(W15-AC15,9)</f>
        <v>0.666666667</v>
      </c>
      <c r="AK15" s="7" t="n">
        <f aca="false">ROUND(X15-AD15,9)</f>
        <v>0.666666667</v>
      </c>
      <c r="AL15" s="7" t="n">
        <f aca="false">ROUND(Y15-AE15,9)</f>
        <v>0.666666667</v>
      </c>
    </row>
    <row r="16" customFormat="false" ht="15" hidden="false" customHeight="false" outlineLevel="0" collapsed="false">
      <c r="A16" s="2" t="n">
        <v>15</v>
      </c>
      <c r="B16" s="2" t="s">
        <v>77</v>
      </c>
      <c r="C16" s="2" t="s">
        <v>75</v>
      </c>
      <c r="D16" s="2" t="n">
        <v>3</v>
      </c>
      <c r="E16" s="5"/>
      <c r="F16" s="6" t="n">
        <v>60</v>
      </c>
      <c r="G16" s="6" t="n">
        <v>40</v>
      </c>
      <c r="H16" s="6" t="n">
        <v>60</v>
      </c>
      <c r="I16" s="6" t="n">
        <v>40</v>
      </c>
      <c r="J16" s="6" t="n">
        <v>60</v>
      </c>
      <c r="K16" s="6" t="n">
        <v>35</v>
      </c>
      <c r="L16" s="2" t="n">
        <f aca="false">SUM(F16:K16)</f>
        <v>295</v>
      </c>
      <c r="M16" s="7" t="n">
        <f aca="false">Z16+IF(SUMPRODUCT(--($AG16:$AL16&gt;AG16))&lt;$AF16,1,0)</f>
        <v>82</v>
      </c>
      <c r="N16" s="7" t="n">
        <f aca="false">AA16+IF(SUMPRODUCT(--($AG16:$AL16&gt;AH16))+SUMPRODUCT(--($AG16:AG16=AH16))&lt;$AF16,1,0)</f>
        <v>54</v>
      </c>
      <c r="O16" s="7" t="n">
        <f aca="false">AB16+IF(SUMPRODUCT(--($AG16:$AL16&gt;AI16))+SUMPRODUCT(--($AG16:AH16=AI16))&lt;$AF16,1,0)</f>
        <v>81</v>
      </c>
      <c r="P16" s="7" t="n">
        <f aca="false">AC16+IF(SUMPRODUCT(--($AG16:$AL16&gt;AJ16))+SUMPRODUCT(--($AG16:AI16=AJ16))&lt;$AF16,1,0)</f>
        <v>54</v>
      </c>
      <c r="Q16" s="7" t="n">
        <f aca="false">AD16+IF(SUMPRODUCT(--($AG16:$AL16&gt;AK16))+SUMPRODUCT(--($AG16:AJ16=AK16))&lt;$AF16,1,0)</f>
        <v>81</v>
      </c>
      <c r="R16" s="7" t="n">
        <f aca="false">AE16+IF(SUMPRODUCT(--($AG16:$AL16&gt;AL16))+SUMPRODUCT(--($AG16:AK16=AL16))&lt;$AF16,1,0)</f>
        <v>48</v>
      </c>
      <c r="S16" s="7" t="n">
        <f aca="false">SUM(M16:R16)</f>
        <v>400</v>
      </c>
      <c r="T16" s="7" t="n">
        <f aca="false">F16*Settings!$B$2/SUM(F16:K16)</f>
        <v>81.3559322033898</v>
      </c>
      <c r="U16" s="7" t="n">
        <f aca="false">G16*Settings!$B$2/SUM(F16:K16)</f>
        <v>54.2372881355932</v>
      </c>
      <c r="V16" s="7" t="n">
        <f aca="false">H16*Settings!$B$2/SUM(F16:K16)</f>
        <v>81.3559322033898</v>
      </c>
      <c r="W16" s="7" t="n">
        <f aca="false">I16*Settings!$B$2/SUM(F16:K16)</f>
        <v>54.2372881355932</v>
      </c>
      <c r="X16" s="7" t="n">
        <f aca="false">J16*Settings!$B$2/SUM(F16:K16)</f>
        <v>81.3559322033898</v>
      </c>
      <c r="Y16" s="7" t="n">
        <f aca="false">K16*Settings!$B$2/SUM(F16:K16)</f>
        <v>47.4576271186441</v>
      </c>
      <c r="Z16" s="7" t="n">
        <f aca="false">INT(T16)</f>
        <v>81</v>
      </c>
      <c r="AA16" s="7" t="n">
        <f aca="false">INT(U16)</f>
        <v>54</v>
      </c>
      <c r="AB16" s="7" t="n">
        <f aca="false">INT(V16)</f>
        <v>81</v>
      </c>
      <c r="AC16" s="7" t="n">
        <f aca="false">INT(W16)</f>
        <v>54</v>
      </c>
      <c r="AD16" s="7" t="n">
        <f aca="false">INT(X16)</f>
        <v>81</v>
      </c>
      <c r="AE16" s="7" t="n">
        <f aca="false">INT(Y16)</f>
        <v>47</v>
      </c>
      <c r="AF16" s="7" t="n">
        <f aca="false">Settings!$B$2-SUM(Z16:AE16)</f>
        <v>2</v>
      </c>
      <c r="AG16" s="7" t="n">
        <f aca="false">ROUND(T16-Z16,9)</f>
        <v>0.355932203</v>
      </c>
      <c r="AH16" s="7" t="n">
        <f aca="false">ROUND(U16-AA16,9)</f>
        <v>0.237288136</v>
      </c>
      <c r="AI16" s="7" t="n">
        <f aca="false">ROUND(V16-AB16,9)</f>
        <v>0.355932203</v>
      </c>
      <c r="AJ16" s="7" t="n">
        <f aca="false">ROUND(W16-AC16,9)</f>
        <v>0.237288136</v>
      </c>
      <c r="AK16" s="7" t="n">
        <f aca="false">ROUND(X16-AD16,9)</f>
        <v>0.355932203</v>
      </c>
      <c r="AL16" s="7" t="n">
        <f aca="false">ROUND(Y16-AE16,9)</f>
        <v>0.457627119</v>
      </c>
    </row>
    <row r="17" customFormat="false" ht="15" hidden="false" customHeight="false" outlineLevel="0" collapsed="false">
      <c r="A17" s="2" t="n">
        <v>16</v>
      </c>
      <c r="B17" s="2" t="s">
        <v>78</v>
      </c>
      <c r="C17" s="2" t="s">
        <v>79</v>
      </c>
      <c r="D17" s="2" t="n">
        <v>2</v>
      </c>
      <c r="E17" s="5"/>
      <c r="F17" s="6" t="n">
        <v>50</v>
      </c>
      <c r="G17" s="6" t="n">
        <v>50</v>
      </c>
      <c r="H17" s="6" t="n">
        <v>40</v>
      </c>
      <c r="I17" s="6" t="n">
        <v>30</v>
      </c>
      <c r="J17" s="6" t="n">
        <v>30</v>
      </c>
      <c r="K17" s="6" t="n">
        <v>50</v>
      </c>
      <c r="L17" s="2" t="n">
        <f aca="false">SUM(F17:K17)</f>
        <v>250</v>
      </c>
      <c r="M17" s="7" t="n">
        <f aca="false">Z17+IF(SUMPRODUCT(--($AG17:$AL17&gt;AG17))&lt;$AF17,1,0)</f>
        <v>80</v>
      </c>
      <c r="N17" s="7" t="n">
        <f aca="false">AA17+IF(SUMPRODUCT(--($AG17:$AL17&gt;AH17))+SUMPRODUCT(--($AG17:AG17=AH17))&lt;$AF17,1,0)</f>
        <v>80</v>
      </c>
      <c r="O17" s="7" t="n">
        <f aca="false">AB17+IF(SUMPRODUCT(--($AG17:$AL17&gt;AI17))+SUMPRODUCT(--($AG17:AH17=AI17))&lt;$AF17,1,0)</f>
        <v>64</v>
      </c>
      <c r="P17" s="7" t="n">
        <f aca="false">AC17+IF(SUMPRODUCT(--($AG17:$AL17&gt;AJ17))+SUMPRODUCT(--($AG17:AI17=AJ17))&lt;$AF17,1,0)</f>
        <v>48</v>
      </c>
      <c r="Q17" s="7" t="n">
        <f aca="false">AD17+IF(SUMPRODUCT(--($AG17:$AL17&gt;AK17))+SUMPRODUCT(--($AG17:AJ17=AK17))&lt;$AF17,1,0)</f>
        <v>48</v>
      </c>
      <c r="R17" s="7" t="n">
        <f aca="false">AE17+IF(SUMPRODUCT(--($AG17:$AL17&gt;AL17))+SUMPRODUCT(--($AG17:AK17=AL17))&lt;$AF17,1,0)</f>
        <v>80</v>
      </c>
      <c r="S17" s="7" t="n">
        <f aca="false">SUM(M17:R17)</f>
        <v>400</v>
      </c>
      <c r="T17" s="7" t="n">
        <f aca="false">F17*Settings!$B$2/SUM(F17:K17)</f>
        <v>80</v>
      </c>
      <c r="U17" s="7" t="n">
        <f aca="false">G17*Settings!$B$2/SUM(F17:K17)</f>
        <v>80</v>
      </c>
      <c r="V17" s="7" t="n">
        <f aca="false">H17*Settings!$B$2/SUM(F17:K17)</f>
        <v>64</v>
      </c>
      <c r="W17" s="7" t="n">
        <f aca="false">I17*Settings!$B$2/SUM(F17:K17)</f>
        <v>48</v>
      </c>
      <c r="X17" s="7" t="n">
        <f aca="false">J17*Settings!$B$2/SUM(F17:K17)</f>
        <v>48</v>
      </c>
      <c r="Y17" s="7" t="n">
        <f aca="false">K17*Settings!$B$2/SUM(F17:K17)</f>
        <v>80</v>
      </c>
      <c r="Z17" s="7" t="n">
        <f aca="false">INT(T17)</f>
        <v>80</v>
      </c>
      <c r="AA17" s="7" t="n">
        <f aca="false">INT(U17)</f>
        <v>80</v>
      </c>
      <c r="AB17" s="7" t="n">
        <f aca="false">INT(V17)</f>
        <v>64</v>
      </c>
      <c r="AC17" s="7" t="n">
        <f aca="false">INT(W17)</f>
        <v>48</v>
      </c>
      <c r="AD17" s="7" t="n">
        <f aca="false">INT(X17)</f>
        <v>48</v>
      </c>
      <c r="AE17" s="7" t="n">
        <f aca="false">INT(Y17)</f>
        <v>80</v>
      </c>
      <c r="AF17" s="7" t="n">
        <f aca="false">Settings!$B$2-SUM(Z17:AE17)</f>
        <v>0</v>
      </c>
      <c r="AG17" s="7" t="n">
        <f aca="false">ROUND(T17-Z17,9)</f>
        <v>0</v>
      </c>
      <c r="AH17" s="7" t="n">
        <f aca="false">ROUND(U17-AA17,9)</f>
        <v>0</v>
      </c>
      <c r="AI17" s="7" t="n">
        <f aca="false">ROUND(V17-AB17,9)</f>
        <v>0</v>
      </c>
      <c r="AJ17" s="7" t="n">
        <f aca="false">ROUND(W17-AC17,9)</f>
        <v>0</v>
      </c>
      <c r="AK17" s="7" t="n">
        <f aca="false">ROUND(X17-AD17,9)</f>
        <v>0</v>
      </c>
      <c r="AL17" s="7" t="n">
        <f aca="false">ROUND(Y17-AE17,9)</f>
        <v>0</v>
      </c>
    </row>
    <row r="18" customFormat="false" ht="15" hidden="false" customHeight="false" outlineLevel="0" collapsed="false">
      <c r="A18" s="2" t="n">
        <v>17</v>
      </c>
      <c r="B18" s="2" t="s">
        <v>80</v>
      </c>
      <c r="C18" s="2" t="s">
        <v>79</v>
      </c>
      <c r="D18" s="2" t="n">
        <v>3</v>
      </c>
      <c r="E18" s="5"/>
      <c r="F18" s="6" t="n">
        <v>50</v>
      </c>
      <c r="G18" s="6" t="n">
        <v>50</v>
      </c>
      <c r="H18" s="6" t="n">
        <v>50</v>
      </c>
      <c r="I18" s="6" t="n">
        <v>50</v>
      </c>
      <c r="J18" s="6" t="n">
        <v>50</v>
      </c>
      <c r="K18" s="6" t="n">
        <v>50</v>
      </c>
      <c r="L18" s="2" t="n">
        <f aca="false">SUM(F18:K18)</f>
        <v>300</v>
      </c>
      <c r="M18" s="7" t="n">
        <f aca="false">Z18+IF(SUMPRODUCT(--($AG18:$AL18&gt;AG18))&lt;$AF18,1,0)</f>
        <v>67</v>
      </c>
      <c r="N18" s="7" t="n">
        <f aca="false">AA18+IF(SUMPRODUCT(--($AG18:$AL18&gt;AH18))+SUMPRODUCT(--($AG18:AG18=AH18))&lt;$AF18,1,0)</f>
        <v>67</v>
      </c>
      <c r="O18" s="7" t="n">
        <f aca="false">AB18+IF(SUMPRODUCT(--($AG18:$AL18&gt;AI18))+SUMPRODUCT(--($AG18:AH18=AI18))&lt;$AF18,1,0)</f>
        <v>67</v>
      </c>
      <c r="P18" s="7" t="n">
        <f aca="false">AC18+IF(SUMPRODUCT(--($AG18:$AL18&gt;AJ18))+SUMPRODUCT(--($AG18:AI18=AJ18))&lt;$AF18,1,0)</f>
        <v>67</v>
      </c>
      <c r="Q18" s="7" t="n">
        <f aca="false">AD18+IF(SUMPRODUCT(--($AG18:$AL18&gt;AK18))+SUMPRODUCT(--($AG18:AJ18=AK18))&lt;$AF18,1,0)</f>
        <v>66</v>
      </c>
      <c r="R18" s="7" t="n">
        <f aca="false">AE18+IF(SUMPRODUCT(--($AG18:$AL18&gt;AL18))+SUMPRODUCT(--($AG18:AK18=AL18))&lt;$AF18,1,0)</f>
        <v>66</v>
      </c>
      <c r="S18" s="7" t="n">
        <f aca="false">SUM(M18:R18)</f>
        <v>400</v>
      </c>
      <c r="T18" s="7" t="n">
        <f aca="false">F18*Settings!$B$2/SUM(F18:K18)</f>
        <v>66.6666666666667</v>
      </c>
      <c r="U18" s="7" t="n">
        <f aca="false">G18*Settings!$B$2/SUM(F18:K18)</f>
        <v>66.6666666666667</v>
      </c>
      <c r="V18" s="7" t="n">
        <f aca="false">H18*Settings!$B$2/SUM(F18:K18)</f>
        <v>66.6666666666667</v>
      </c>
      <c r="W18" s="7" t="n">
        <f aca="false">I18*Settings!$B$2/SUM(F18:K18)</f>
        <v>66.6666666666667</v>
      </c>
      <c r="X18" s="7" t="n">
        <f aca="false">J18*Settings!$B$2/SUM(F18:K18)</f>
        <v>66.6666666666667</v>
      </c>
      <c r="Y18" s="7" t="n">
        <f aca="false">K18*Settings!$B$2/SUM(F18:K18)</f>
        <v>66.6666666666667</v>
      </c>
      <c r="Z18" s="7" t="n">
        <f aca="false">INT(T18)</f>
        <v>66</v>
      </c>
      <c r="AA18" s="7" t="n">
        <f aca="false">INT(U18)</f>
        <v>66</v>
      </c>
      <c r="AB18" s="7" t="n">
        <f aca="false">INT(V18)</f>
        <v>66</v>
      </c>
      <c r="AC18" s="7" t="n">
        <f aca="false">INT(W18)</f>
        <v>66</v>
      </c>
      <c r="AD18" s="7" t="n">
        <f aca="false">INT(X18)</f>
        <v>66</v>
      </c>
      <c r="AE18" s="7" t="n">
        <f aca="false">INT(Y18)</f>
        <v>66</v>
      </c>
      <c r="AF18" s="7" t="n">
        <f aca="false">Settings!$B$2-SUM(Z18:AE18)</f>
        <v>4</v>
      </c>
      <c r="AG18" s="7" t="n">
        <f aca="false">ROUND(T18-Z18,9)</f>
        <v>0.666666667</v>
      </c>
      <c r="AH18" s="7" t="n">
        <f aca="false">ROUND(U18-AA18,9)</f>
        <v>0.666666667</v>
      </c>
      <c r="AI18" s="7" t="n">
        <f aca="false">ROUND(V18-AB18,9)</f>
        <v>0.666666667</v>
      </c>
      <c r="AJ18" s="7" t="n">
        <f aca="false">ROUND(W18-AC18,9)</f>
        <v>0.666666667</v>
      </c>
      <c r="AK18" s="7" t="n">
        <f aca="false">ROUND(X18-AD18,9)</f>
        <v>0.666666667</v>
      </c>
      <c r="AL18" s="7" t="n">
        <f aca="false">ROUND(Y18-AE18,9)</f>
        <v>0.666666667</v>
      </c>
    </row>
    <row r="19" customFormat="false" ht="15" hidden="false" customHeight="false" outlineLevel="0" collapsed="false">
      <c r="A19" s="2" t="n">
        <v>18</v>
      </c>
      <c r="B19" s="2" t="s">
        <v>81</v>
      </c>
      <c r="C19" s="2" t="s">
        <v>79</v>
      </c>
      <c r="D19" s="2" t="n">
        <v>3</v>
      </c>
      <c r="E19" s="5"/>
      <c r="F19" s="6" t="n">
        <v>70</v>
      </c>
      <c r="G19" s="6" t="n">
        <v>40</v>
      </c>
      <c r="H19" s="6" t="n">
        <v>50</v>
      </c>
      <c r="I19" s="6" t="n">
        <v>55</v>
      </c>
      <c r="J19" s="6" t="n">
        <v>50</v>
      </c>
      <c r="K19" s="6" t="n">
        <v>25</v>
      </c>
      <c r="L19" s="2" t="n">
        <f aca="false">SUM(F19:K19)</f>
        <v>290</v>
      </c>
      <c r="M19" s="7" t="n">
        <f aca="false">Z19+IF(SUMPRODUCT(--($AG19:$AL19&gt;AG19))&lt;$AF19,1,0)</f>
        <v>97</v>
      </c>
      <c r="N19" s="7" t="n">
        <f aca="false">AA19+IF(SUMPRODUCT(--($AG19:$AL19&gt;AH19))+SUMPRODUCT(--($AG19:AG19=AH19))&lt;$AF19,1,0)</f>
        <v>55</v>
      </c>
      <c r="O19" s="7" t="n">
        <f aca="false">AB19+IF(SUMPRODUCT(--($AG19:$AL19&gt;AI19))+SUMPRODUCT(--($AG19:AH19=AI19))&lt;$AF19,1,0)</f>
        <v>69</v>
      </c>
      <c r="P19" s="7" t="n">
        <f aca="false">AC19+IF(SUMPRODUCT(--($AG19:$AL19&gt;AJ19))+SUMPRODUCT(--($AG19:AI19=AJ19))&lt;$AF19,1,0)</f>
        <v>76</v>
      </c>
      <c r="Q19" s="7" t="n">
        <f aca="false">AD19+IF(SUMPRODUCT(--($AG19:$AL19&gt;AK19))+SUMPRODUCT(--($AG19:AJ19=AK19))&lt;$AF19,1,0)</f>
        <v>69</v>
      </c>
      <c r="R19" s="7" t="n">
        <f aca="false">AE19+IF(SUMPRODUCT(--($AG19:$AL19&gt;AL19))+SUMPRODUCT(--($AG19:AK19=AL19))&lt;$AF19,1,0)</f>
        <v>34</v>
      </c>
      <c r="S19" s="7" t="n">
        <f aca="false">SUM(M19:R19)</f>
        <v>400</v>
      </c>
      <c r="T19" s="7" t="n">
        <f aca="false">F19*Settings!$B$2/SUM(F19:K19)</f>
        <v>96.551724137931</v>
      </c>
      <c r="U19" s="7" t="n">
        <f aca="false">G19*Settings!$B$2/SUM(F19:K19)</f>
        <v>55.1724137931034</v>
      </c>
      <c r="V19" s="7" t="n">
        <f aca="false">H19*Settings!$B$2/SUM(F19:K19)</f>
        <v>68.9655172413793</v>
      </c>
      <c r="W19" s="7" t="n">
        <f aca="false">I19*Settings!$B$2/SUM(F19:K19)</f>
        <v>75.8620689655172</v>
      </c>
      <c r="X19" s="7" t="n">
        <f aca="false">J19*Settings!$B$2/SUM(F19:K19)</f>
        <v>68.9655172413793</v>
      </c>
      <c r="Y19" s="7" t="n">
        <f aca="false">K19*Settings!$B$2/SUM(F19:K19)</f>
        <v>34.4827586206897</v>
      </c>
      <c r="Z19" s="7" t="n">
        <f aca="false">INT(T19)</f>
        <v>96</v>
      </c>
      <c r="AA19" s="7" t="n">
        <f aca="false">INT(U19)</f>
        <v>55</v>
      </c>
      <c r="AB19" s="7" t="n">
        <f aca="false">INT(V19)</f>
        <v>68</v>
      </c>
      <c r="AC19" s="7" t="n">
        <f aca="false">INT(W19)</f>
        <v>75</v>
      </c>
      <c r="AD19" s="7" t="n">
        <f aca="false">INT(X19)</f>
        <v>68</v>
      </c>
      <c r="AE19" s="7" t="n">
        <f aca="false">INT(Y19)</f>
        <v>34</v>
      </c>
      <c r="AF19" s="7" t="n">
        <f aca="false">Settings!$B$2-SUM(Z19:AE19)</f>
        <v>4</v>
      </c>
      <c r="AG19" s="7" t="n">
        <f aca="false">ROUND(T19-Z19,9)</f>
        <v>0.551724138</v>
      </c>
      <c r="AH19" s="7" t="n">
        <f aca="false">ROUND(U19-AA19,9)</f>
        <v>0.172413793</v>
      </c>
      <c r="AI19" s="7" t="n">
        <f aca="false">ROUND(V19-AB19,9)</f>
        <v>0.965517241</v>
      </c>
      <c r="AJ19" s="7" t="n">
        <f aca="false">ROUND(W19-AC19,9)</f>
        <v>0.862068966</v>
      </c>
      <c r="AK19" s="7" t="n">
        <f aca="false">ROUND(X19-AD19,9)</f>
        <v>0.965517241</v>
      </c>
      <c r="AL19" s="7" t="n">
        <f aca="false">ROUND(Y19-AE19,9)</f>
        <v>0.482758621</v>
      </c>
    </row>
    <row r="20" customFormat="false" ht="15" hidden="false" customHeight="false" outlineLevel="0" collapsed="false">
      <c r="A20" s="2" t="n">
        <v>19</v>
      </c>
      <c r="B20" s="2" t="s">
        <v>82</v>
      </c>
      <c r="C20" s="2" t="s">
        <v>83</v>
      </c>
      <c r="D20" s="2" t="n">
        <v>1</v>
      </c>
      <c r="E20" s="5"/>
      <c r="F20" s="6" t="n">
        <v>40</v>
      </c>
      <c r="G20" s="6" t="n">
        <v>80</v>
      </c>
      <c r="H20" s="6" t="n">
        <v>35</v>
      </c>
      <c r="I20" s="6" t="n">
        <v>35</v>
      </c>
      <c r="J20" s="6" t="n">
        <v>45</v>
      </c>
      <c r="K20" s="6" t="n">
        <v>70</v>
      </c>
      <c r="L20" s="2" t="n">
        <f aca="false">SUM(F20:K20)</f>
        <v>305</v>
      </c>
      <c r="M20" s="7" t="n">
        <f aca="false">Z20+IF(SUMPRODUCT(--($AG20:$AL20&gt;AG20))&lt;$AF20,1,0)</f>
        <v>52</v>
      </c>
      <c r="N20" s="7" t="n">
        <f aca="false">AA20+IF(SUMPRODUCT(--($AG20:$AL20&gt;AH20))+SUMPRODUCT(--($AG20:AG20=AH20))&lt;$AF20,1,0)</f>
        <v>105</v>
      </c>
      <c r="O20" s="7" t="n">
        <f aca="false">AB20+IF(SUMPRODUCT(--($AG20:$AL20&gt;AI20))+SUMPRODUCT(--($AG20:AH20=AI20))&lt;$AF20,1,0)</f>
        <v>46</v>
      </c>
      <c r="P20" s="7" t="n">
        <f aca="false">AC20+IF(SUMPRODUCT(--($AG20:$AL20&gt;AJ20))+SUMPRODUCT(--($AG20:AI20=AJ20))&lt;$AF20,1,0)</f>
        <v>46</v>
      </c>
      <c r="Q20" s="7" t="n">
        <f aca="false">AD20+IF(SUMPRODUCT(--($AG20:$AL20&gt;AK20))+SUMPRODUCT(--($AG20:AJ20=AK20))&lt;$AF20,1,0)</f>
        <v>59</v>
      </c>
      <c r="R20" s="7" t="n">
        <f aca="false">AE20+IF(SUMPRODUCT(--($AG20:$AL20&gt;AL20))+SUMPRODUCT(--($AG20:AK20=AL20))&lt;$AF20,1,0)</f>
        <v>92</v>
      </c>
      <c r="S20" s="7" t="n">
        <f aca="false">SUM(M20:R20)</f>
        <v>400</v>
      </c>
      <c r="T20" s="7" t="n">
        <f aca="false">F20*Settings!$B$2/SUM(F20:K20)</f>
        <v>52.4590163934426</v>
      </c>
      <c r="U20" s="7" t="n">
        <f aca="false">G20*Settings!$B$2/SUM(F20:K20)</f>
        <v>104.918032786885</v>
      </c>
      <c r="V20" s="7" t="n">
        <f aca="false">H20*Settings!$B$2/SUM(F20:K20)</f>
        <v>45.9016393442623</v>
      </c>
      <c r="W20" s="7" t="n">
        <f aca="false">I20*Settings!$B$2/SUM(F20:K20)</f>
        <v>45.9016393442623</v>
      </c>
      <c r="X20" s="7" t="n">
        <f aca="false">J20*Settings!$B$2/SUM(F20:K20)</f>
        <v>59.016393442623</v>
      </c>
      <c r="Y20" s="7" t="n">
        <f aca="false">K20*Settings!$B$2/SUM(F20:K20)</f>
        <v>91.8032786885246</v>
      </c>
      <c r="Z20" s="7" t="n">
        <f aca="false">INT(T20)</f>
        <v>52</v>
      </c>
      <c r="AA20" s="7" t="n">
        <f aca="false">INT(U20)</f>
        <v>104</v>
      </c>
      <c r="AB20" s="7" t="n">
        <f aca="false">INT(V20)</f>
        <v>45</v>
      </c>
      <c r="AC20" s="7" t="n">
        <f aca="false">INT(W20)</f>
        <v>45</v>
      </c>
      <c r="AD20" s="7" t="n">
        <f aca="false">INT(X20)</f>
        <v>59</v>
      </c>
      <c r="AE20" s="7" t="n">
        <f aca="false">INT(Y20)</f>
        <v>91</v>
      </c>
      <c r="AF20" s="7" t="n">
        <f aca="false">Settings!$B$2-SUM(Z20:AE20)</f>
        <v>4</v>
      </c>
      <c r="AG20" s="7" t="n">
        <f aca="false">ROUND(T20-Z20,9)</f>
        <v>0.459016393</v>
      </c>
      <c r="AH20" s="7" t="n">
        <f aca="false">ROUND(U20-AA20,9)</f>
        <v>0.918032787</v>
      </c>
      <c r="AI20" s="7" t="n">
        <f aca="false">ROUND(V20-AB20,9)</f>
        <v>0.901639344</v>
      </c>
      <c r="AJ20" s="7" t="n">
        <f aca="false">ROUND(W20-AC20,9)</f>
        <v>0.901639344</v>
      </c>
      <c r="AK20" s="7" t="n">
        <f aca="false">ROUND(X20-AD20,9)</f>
        <v>0.016393443</v>
      </c>
      <c r="AL20" s="7" t="n">
        <f aca="false">ROUND(Y20-AE20,9)</f>
        <v>0.803278689</v>
      </c>
    </row>
    <row r="21" customFormat="false" ht="15" hidden="false" customHeight="false" outlineLevel="0" collapsed="false">
      <c r="A21" s="2" t="n">
        <v>20</v>
      </c>
      <c r="B21" s="2" t="s">
        <v>84</v>
      </c>
      <c r="C21" s="2" t="s">
        <v>83</v>
      </c>
      <c r="D21" s="2" t="n">
        <v>2</v>
      </c>
      <c r="E21" s="5"/>
      <c r="F21" s="6" t="n">
        <v>35</v>
      </c>
      <c r="G21" s="6" t="n">
        <v>35</v>
      </c>
      <c r="H21" s="6" t="n">
        <v>35</v>
      </c>
      <c r="I21" s="6" t="n">
        <v>35</v>
      </c>
      <c r="J21" s="6" t="n">
        <v>35</v>
      </c>
      <c r="K21" s="6" t="n">
        <v>35</v>
      </c>
      <c r="L21" s="2" t="n">
        <f aca="false">SUM(F21:K21)</f>
        <v>210</v>
      </c>
      <c r="M21" s="7" t="n">
        <f aca="false">Z21+IF(SUMPRODUCT(--($AG21:$AL21&gt;AG21))&lt;$AF21,1,0)</f>
        <v>67</v>
      </c>
      <c r="N21" s="7" t="n">
        <f aca="false">AA21+IF(SUMPRODUCT(--($AG21:$AL21&gt;AH21))+SUMPRODUCT(--($AG21:AG21=AH21))&lt;$AF21,1,0)</f>
        <v>67</v>
      </c>
      <c r="O21" s="7" t="n">
        <f aca="false">AB21+IF(SUMPRODUCT(--($AG21:$AL21&gt;AI21))+SUMPRODUCT(--($AG21:AH21=AI21))&lt;$AF21,1,0)</f>
        <v>67</v>
      </c>
      <c r="P21" s="7" t="n">
        <f aca="false">AC21+IF(SUMPRODUCT(--($AG21:$AL21&gt;AJ21))+SUMPRODUCT(--($AG21:AI21=AJ21))&lt;$AF21,1,0)</f>
        <v>67</v>
      </c>
      <c r="Q21" s="7" t="n">
        <f aca="false">AD21+IF(SUMPRODUCT(--($AG21:$AL21&gt;AK21))+SUMPRODUCT(--($AG21:AJ21=AK21))&lt;$AF21,1,0)</f>
        <v>66</v>
      </c>
      <c r="R21" s="7" t="n">
        <f aca="false">AE21+IF(SUMPRODUCT(--($AG21:$AL21&gt;AL21))+SUMPRODUCT(--($AG21:AK21=AL21))&lt;$AF21,1,0)</f>
        <v>66</v>
      </c>
      <c r="S21" s="7" t="n">
        <f aca="false">SUM(M21:R21)</f>
        <v>400</v>
      </c>
      <c r="T21" s="7" t="n">
        <f aca="false">F21*Settings!$B$2/SUM(F21:K21)</f>
        <v>66.6666666666667</v>
      </c>
      <c r="U21" s="7" t="n">
        <f aca="false">G21*Settings!$B$2/SUM(F21:K21)</f>
        <v>66.6666666666667</v>
      </c>
      <c r="V21" s="7" t="n">
        <f aca="false">H21*Settings!$B$2/SUM(F21:K21)</f>
        <v>66.6666666666667</v>
      </c>
      <c r="W21" s="7" t="n">
        <f aca="false">I21*Settings!$B$2/SUM(F21:K21)</f>
        <v>66.6666666666667</v>
      </c>
      <c r="X21" s="7" t="n">
        <f aca="false">J21*Settings!$B$2/SUM(F21:K21)</f>
        <v>66.6666666666667</v>
      </c>
      <c r="Y21" s="7" t="n">
        <f aca="false">K21*Settings!$B$2/SUM(F21:K21)</f>
        <v>66.6666666666667</v>
      </c>
      <c r="Z21" s="7" t="n">
        <f aca="false">INT(T21)</f>
        <v>66</v>
      </c>
      <c r="AA21" s="7" t="n">
        <f aca="false">INT(U21)</f>
        <v>66</v>
      </c>
      <c r="AB21" s="7" t="n">
        <f aca="false">INT(V21)</f>
        <v>66</v>
      </c>
      <c r="AC21" s="7" t="n">
        <f aca="false">INT(W21)</f>
        <v>66</v>
      </c>
      <c r="AD21" s="7" t="n">
        <f aca="false">INT(X21)</f>
        <v>66</v>
      </c>
      <c r="AE21" s="7" t="n">
        <f aca="false">INT(Y21)</f>
        <v>66</v>
      </c>
      <c r="AF21" s="7" t="n">
        <f aca="false">Settings!$B$2-SUM(Z21:AE21)</f>
        <v>4</v>
      </c>
      <c r="AG21" s="7" t="n">
        <f aca="false">ROUND(T21-Z21,9)</f>
        <v>0.666666667</v>
      </c>
      <c r="AH21" s="7" t="n">
        <f aca="false">ROUND(U21-AA21,9)</f>
        <v>0.666666667</v>
      </c>
      <c r="AI21" s="7" t="n">
        <f aca="false">ROUND(V21-AB21,9)</f>
        <v>0.666666667</v>
      </c>
      <c r="AJ21" s="7" t="n">
        <f aca="false">ROUND(W21-AC21,9)</f>
        <v>0.666666667</v>
      </c>
      <c r="AK21" s="7" t="n">
        <f aca="false">ROUND(X21-AD21,9)</f>
        <v>0.666666667</v>
      </c>
      <c r="AL21" s="7" t="n">
        <f aca="false">ROUND(Y21-AE21,9)</f>
        <v>0.666666667</v>
      </c>
    </row>
    <row r="22" customFormat="false" ht="15" hidden="false" customHeight="false" outlineLevel="0" collapsed="false">
      <c r="A22" s="2" t="n">
        <v>21</v>
      </c>
      <c r="B22" s="2" t="s">
        <v>85</v>
      </c>
      <c r="C22" s="2" t="s">
        <v>83</v>
      </c>
      <c r="D22" s="2" t="n">
        <v>3</v>
      </c>
      <c r="E22" s="5"/>
      <c r="F22" s="6" t="n">
        <v>72</v>
      </c>
      <c r="G22" s="6" t="n">
        <v>60</v>
      </c>
      <c r="H22" s="6" t="n">
        <v>30</v>
      </c>
      <c r="I22" s="6" t="n">
        <v>20</v>
      </c>
      <c r="J22" s="6" t="n">
        <v>30</v>
      </c>
      <c r="K22" s="6" t="n">
        <v>25</v>
      </c>
      <c r="L22" s="2" t="n">
        <f aca="false">SUM(F22:K22)</f>
        <v>237</v>
      </c>
      <c r="M22" s="7" t="n">
        <f aca="false">Z22+IF(SUMPRODUCT(--($AG22:$AL22&gt;AG22))&lt;$AF22,1,0)</f>
        <v>121</v>
      </c>
      <c r="N22" s="7" t="n">
        <f aca="false">AA22+IF(SUMPRODUCT(--($AG22:$AL22&gt;AH22))+SUMPRODUCT(--($AG22:AG22=AH22))&lt;$AF22,1,0)</f>
        <v>101</v>
      </c>
      <c r="O22" s="7" t="n">
        <f aca="false">AB22+IF(SUMPRODUCT(--($AG22:$AL22&gt;AI22))+SUMPRODUCT(--($AG22:AH22=AI22))&lt;$AF22,1,0)</f>
        <v>51</v>
      </c>
      <c r="P22" s="7" t="n">
        <f aca="false">AC22+IF(SUMPRODUCT(--($AG22:$AL22&gt;AJ22))+SUMPRODUCT(--($AG22:AI22=AJ22))&lt;$AF22,1,0)</f>
        <v>34</v>
      </c>
      <c r="Q22" s="7" t="n">
        <f aca="false">AD22+IF(SUMPRODUCT(--($AG22:$AL22&gt;AK22))+SUMPRODUCT(--($AG22:AJ22=AK22))&lt;$AF22,1,0)</f>
        <v>51</v>
      </c>
      <c r="R22" s="7" t="n">
        <f aca="false">AE22+IF(SUMPRODUCT(--($AG22:$AL22&gt;AL22))+SUMPRODUCT(--($AG22:AK22=AL22))&lt;$AF22,1,0)</f>
        <v>42</v>
      </c>
      <c r="S22" s="7" t="n">
        <f aca="false">SUM(M22:R22)</f>
        <v>400</v>
      </c>
      <c r="T22" s="7" t="n">
        <f aca="false">F22*Settings!$B$2/SUM(F22:K22)</f>
        <v>121.518987341772</v>
      </c>
      <c r="U22" s="7" t="n">
        <f aca="false">G22*Settings!$B$2/SUM(F22:K22)</f>
        <v>101.26582278481</v>
      </c>
      <c r="V22" s="7" t="n">
        <f aca="false">H22*Settings!$B$2/SUM(F22:K22)</f>
        <v>50.6329113924051</v>
      </c>
      <c r="W22" s="7" t="n">
        <f aca="false">I22*Settings!$B$2/SUM(F22:K22)</f>
        <v>33.7552742616034</v>
      </c>
      <c r="X22" s="7" t="n">
        <f aca="false">J22*Settings!$B$2/SUM(F22:K22)</f>
        <v>50.6329113924051</v>
      </c>
      <c r="Y22" s="7" t="n">
        <f aca="false">K22*Settings!$B$2/SUM(F22:K22)</f>
        <v>42.1940928270042</v>
      </c>
      <c r="Z22" s="7" t="n">
        <f aca="false">INT(T22)</f>
        <v>121</v>
      </c>
      <c r="AA22" s="7" t="n">
        <f aca="false">INT(U22)</f>
        <v>101</v>
      </c>
      <c r="AB22" s="7" t="n">
        <f aca="false">INT(V22)</f>
        <v>50</v>
      </c>
      <c r="AC22" s="7" t="n">
        <f aca="false">INT(W22)</f>
        <v>33</v>
      </c>
      <c r="AD22" s="7" t="n">
        <f aca="false">INT(X22)</f>
        <v>50</v>
      </c>
      <c r="AE22" s="7" t="n">
        <f aca="false">INT(Y22)</f>
        <v>42</v>
      </c>
      <c r="AF22" s="7" t="n">
        <f aca="false">Settings!$B$2-SUM(Z22:AE22)</f>
        <v>3</v>
      </c>
      <c r="AG22" s="7" t="n">
        <f aca="false">ROUND(T22-Z22,9)</f>
        <v>0.518987342</v>
      </c>
      <c r="AH22" s="7" t="n">
        <f aca="false">ROUND(U22-AA22,9)</f>
        <v>0.265822785</v>
      </c>
      <c r="AI22" s="7" t="n">
        <f aca="false">ROUND(V22-AB22,9)</f>
        <v>0.632911392</v>
      </c>
      <c r="AJ22" s="7" t="n">
        <f aca="false">ROUND(W22-AC22,9)</f>
        <v>0.755274262</v>
      </c>
      <c r="AK22" s="7" t="n">
        <f aca="false">ROUND(X22-AD22,9)</f>
        <v>0.632911392</v>
      </c>
      <c r="AL22" s="7" t="n">
        <f aca="false">ROUND(Y22-AE22,9)</f>
        <v>0.194092827</v>
      </c>
    </row>
    <row r="23" customFormat="false" ht="15" hidden="false" customHeight="false" outlineLevel="0" collapsed="false">
      <c r="A23" s="2" t="n">
        <v>22</v>
      </c>
      <c r="B23" s="2" t="s">
        <v>86</v>
      </c>
      <c r="C23" s="2" t="s">
        <v>87</v>
      </c>
      <c r="D23" s="2" t="n">
        <v>1</v>
      </c>
      <c r="E23" s="5"/>
      <c r="F23" s="6" t="n">
        <v>35</v>
      </c>
      <c r="G23" s="6" t="n">
        <v>60</v>
      </c>
      <c r="H23" s="6" t="n">
        <v>44</v>
      </c>
      <c r="I23" s="6" t="n">
        <v>40</v>
      </c>
      <c r="J23" s="6" t="n">
        <v>54</v>
      </c>
      <c r="K23" s="6" t="n">
        <v>55</v>
      </c>
      <c r="L23" s="2" t="n">
        <f aca="false">SUM(F23:K23)</f>
        <v>288</v>
      </c>
      <c r="M23" s="7" t="n">
        <f aca="false">Z23+IF(SUMPRODUCT(--($AG23:$AL23&gt;AG23))&lt;$AF23,1,0)</f>
        <v>49</v>
      </c>
      <c r="N23" s="7" t="n">
        <f aca="false">AA23+IF(SUMPRODUCT(--($AG23:$AL23&gt;AH23))+SUMPRODUCT(--($AG23:AG23=AH23))&lt;$AF23,1,0)</f>
        <v>83</v>
      </c>
      <c r="O23" s="7" t="n">
        <f aca="false">AB23+IF(SUMPRODUCT(--($AG23:$AL23&gt;AI23))+SUMPRODUCT(--($AG23:AH23=AI23))&lt;$AF23,1,0)</f>
        <v>61</v>
      </c>
      <c r="P23" s="7" t="n">
        <f aca="false">AC23+IF(SUMPRODUCT(--($AG23:$AL23&gt;AJ23))+SUMPRODUCT(--($AG23:AI23=AJ23))&lt;$AF23,1,0)</f>
        <v>56</v>
      </c>
      <c r="Q23" s="7" t="n">
        <f aca="false">AD23+IF(SUMPRODUCT(--($AG23:$AL23&gt;AK23))+SUMPRODUCT(--($AG23:AJ23=AK23))&lt;$AF23,1,0)</f>
        <v>75</v>
      </c>
      <c r="R23" s="7" t="n">
        <f aca="false">AE23+IF(SUMPRODUCT(--($AG23:$AL23&gt;AL23))+SUMPRODUCT(--($AG23:AK23=AL23))&lt;$AF23,1,0)</f>
        <v>76</v>
      </c>
      <c r="S23" s="7" t="n">
        <f aca="false">SUM(M23:R23)</f>
        <v>400</v>
      </c>
      <c r="T23" s="7" t="n">
        <f aca="false">F23*Settings!$B$2/SUM(F23:K23)</f>
        <v>48.6111111111111</v>
      </c>
      <c r="U23" s="7" t="n">
        <f aca="false">G23*Settings!$B$2/SUM(F23:K23)</f>
        <v>83.3333333333333</v>
      </c>
      <c r="V23" s="7" t="n">
        <f aca="false">H23*Settings!$B$2/SUM(F23:K23)</f>
        <v>61.1111111111111</v>
      </c>
      <c r="W23" s="7" t="n">
        <f aca="false">I23*Settings!$B$2/SUM(F23:K23)</f>
        <v>55.5555555555556</v>
      </c>
      <c r="X23" s="7" t="n">
        <f aca="false">J23*Settings!$B$2/SUM(F23:K23)</f>
        <v>75</v>
      </c>
      <c r="Y23" s="7" t="n">
        <f aca="false">K23*Settings!$B$2/SUM(F23:K23)</f>
        <v>76.3888888888889</v>
      </c>
      <c r="Z23" s="7" t="n">
        <f aca="false">INT(T23)</f>
        <v>48</v>
      </c>
      <c r="AA23" s="7" t="n">
        <f aca="false">INT(U23)</f>
        <v>83</v>
      </c>
      <c r="AB23" s="7" t="n">
        <f aca="false">INT(V23)</f>
        <v>61</v>
      </c>
      <c r="AC23" s="7" t="n">
        <f aca="false">INT(W23)</f>
        <v>55</v>
      </c>
      <c r="AD23" s="7" t="n">
        <f aca="false">INT(X23)</f>
        <v>75</v>
      </c>
      <c r="AE23" s="7" t="n">
        <f aca="false">INT(Y23)</f>
        <v>76</v>
      </c>
      <c r="AF23" s="7" t="n">
        <f aca="false">Settings!$B$2-SUM(Z23:AE23)</f>
        <v>2</v>
      </c>
      <c r="AG23" s="7" t="n">
        <f aca="false">ROUND(T23-Z23,9)</f>
        <v>0.611111111</v>
      </c>
      <c r="AH23" s="7" t="n">
        <f aca="false">ROUND(U23-AA23,9)</f>
        <v>0.333333333</v>
      </c>
      <c r="AI23" s="7" t="n">
        <f aca="false">ROUND(V23-AB23,9)</f>
        <v>0.111111111</v>
      </c>
      <c r="AJ23" s="7" t="n">
        <f aca="false">ROUND(W23-AC23,9)</f>
        <v>0.555555556</v>
      </c>
      <c r="AK23" s="7" t="n">
        <f aca="false">ROUND(X23-AD23,9)</f>
        <v>0</v>
      </c>
      <c r="AL23" s="7" t="n">
        <f aca="false">ROUND(Y23-AE23,9)</f>
        <v>0.388888889</v>
      </c>
    </row>
    <row r="24" customFormat="false" ht="15" hidden="false" customHeight="false" outlineLevel="0" collapsed="false">
      <c r="A24" s="2" t="n">
        <v>23</v>
      </c>
      <c r="B24" s="2" t="s">
        <v>88</v>
      </c>
      <c r="C24" s="2" t="s">
        <v>87</v>
      </c>
      <c r="D24" s="2" t="n">
        <v>3</v>
      </c>
      <c r="E24" s="5"/>
      <c r="F24" s="6" t="n">
        <v>70</v>
      </c>
      <c r="G24" s="6" t="n">
        <v>43</v>
      </c>
      <c r="H24" s="6" t="n">
        <v>53</v>
      </c>
      <c r="I24" s="6" t="n">
        <v>43</v>
      </c>
      <c r="J24" s="6" t="n">
        <v>53</v>
      </c>
      <c r="K24" s="6" t="n">
        <v>40</v>
      </c>
      <c r="L24" s="2" t="n">
        <f aca="false">SUM(F24:K24)</f>
        <v>302</v>
      </c>
      <c r="M24" s="7" t="n">
        <f aca="false">Z24+IF(SUMPRODUCT(--($AG24:$AL24&gt;AG24))&lt;$AF24,1,0)</f>
        <v>93</v>
      </c>
      <c r="N24" s="7" t="n">
        <f aca="false">AA24+IF(SUMPRODUCT(--($AG24:$AL24&gt;AH24))+SUMPRODUCT(--($AG24:AG24=AH24))&lt;$AF24,1,0)</f>
        <v>57</v>
      </c>
      <c r="O24" s="7" t="n">
        <f aca="false">AB24+IF(SUMPRODUCT(--($AG24:$AL24&gt;AI24))+SUMPRODUCT(--($AG24:AH24=AI24))&lt;$AF24,1,0)</f>
        <v>70</v>
      </c>
      <c r="P24" s="7" t="n">
        <f aca="false">AC24+IF(SUMPRODUCT(--($AG24:$AL24&gt;AJ24))+SUMPRODUCT(--($AG24:AI24=AJ24))&lt;$AF24,1,0)</f>
        <v>57</v>
      </c>
      <c r="Q24" s="7" t="n">
        <f aca="false">AD24+IF(SUMPRODUCT(--($AG24:$AL24&gt;AK24))+SUMPRODUCT(--($AG24:AJ24=AK24))&lt;$AF24,1,0)</f>
        <v>70</v>
      </c>
      <c r="R24" s="7" t="n">
        <f aca="false">AE24+IF(SUMPRODUCT(--($AG24:$AL24&gt;AL24))+SUMPRODUCT(--($AG24:AK24=AL24))&lt;$AF24,1,0)</f>
        <v>53</v>
      </c>
      <c r="S24" s="7" t="n">
        <f aca="false">SUM(M24:R24)</f>
        <v>400</v>
      </c>
      <c r="T24" s="7" t="n">
        <f aca="false">F24*Settings!$B$2/SUM(F24:K24)</f>
        <v>92.7152317880795</v>
      </c>
      <c r="U24" s="7" t="n">
        <f aca="false">G24*Settings!$B$2/SUM(F24:K24)</f>
        <v>56.953642384106</v>
      </c>
      <c r="V24" s="7" t="n">
        <f aca="false">H24*Settings!$B$2/SUM(F24:K24)</f>
        <v>70.1986754966887</v>
      </c>
      <c r="W24" s="7" t="n">
        <f aca="false">I24*Settings!$B$2/SUM(F24:K24)</f>
        <v>56.953642384106</v>
      </c>
      <c r="X24" s="7" t="n">
        <f aca="false">J24*Settings!$B$2/SUM(F24:K24)</f>
        <v>70.1986754966887</v>
      </c>
      <c r="Y24" s="7" t="n">
        <f aca="false">K24*Settings!$B$2/SUM(F24:K24)</f>
        <v>52.9801324503311</v>
      </c>
      <c r="Z24" s="7" t="n">
        <f aca="false">INT(T24)</f>
        <v>92</v>
      </c>
      <c r="AA24" s="7" t="n">
        <f aca="false">INT(U24)</f>
        <v>56</v>
      </c>
      <c r="AB24" s="7" t="n">
        <f aca="false">INT(V24)</f>
        <v>70</v>
      </c>
      <c r="AC24" s="7" t="n">
        <f aca="false">INT(W24)</f>
        <v>56</v>
      </c>
      <c r="AD24" s="7" t="n">
        <f aca="false">INT(X24)</f>
        <v>70</v>
      </c>
      <c r="AE24" s="7" t="n">
        <f aca="false">INT(Y24)</f>
        <v>52</v>
      </c>
      <c r="AF24" s="7" t="n">
        <f aca="false">Settings!$B$2-SUM(Z24:AE24)</f>
        <v>4</v>
      </c>
      <c r="AG24" s="7" t="n">
        <f aca="false">ROUND(T24-Z24,9)</f>
        <v>0.715231788</v>
      </c>
      <c r="AH24" s="7" t="n">
        <f aca="false">ROUND(U24-AA24,9)</f>
        <v>0.953642384</v>
      </c>
      <c r="AI24" s="7" t="n">
        <f aca="false">ROUND(V24-AB24,9)</f>
        <v>0.198675497</v>
      </c>
      <c r="AJ24" s="7" t="n">
        <f aca="false">ROUND(W24-AC24,9)</f>
        <v>0.953642384</v>
      </c>
      <c r="AK24" s="7" t="n">
        <f aca="false">ROUND(X24-AD24,9)</f>
        <v>0.198675497</v>
      </c>
      <c r="AL24" s="7" t="n">
        <f aca="false">ROUND(Y24-AE24,9)</f>
        <v>0.98013245</v>
      </c>
    </row>
    <row r="25" customFormat="false" ht="15" hidden="false" customHeight="false" outlineLevel="0" collapsed="false">
      <c r="A25" s="2" t="n">
        <v>24</v>
      </c>
      <c r="B25" s="2" t="s">
        <v>89</v>
      </c>
      <c r="C25" s="2" t="s">
        <v>87</v>
      </c>
      <c r="D25" s="2" t="n">
        <v>1</v>
      </c>
      <c r="E25" s="5"/>
      <c r="F25" s="6" t="n">
        <v>40</v>
      </c>
      <c r="G25" s="6" t="n">
        <v>65</v>
      </c>
      <c r="H25" s="6" t="n">
        <v>95</v>
      </c>
      <c r="I25" s="6" t="n">
        <v>60</v>
      </c>
      <c r="J25" s="6" t="n">
        <v>45</v>
      </c>
      <c r="K25" s="6" t="n">
        <v>35</v>
      </c>
      <c r="L25" s="2" t="n">
        <f aca="false">SUM(F25:K25)</f>
        <v>340</v>
      </c>
      <c r="M25" s="7" t="n">
        <f aca="false">Z25+IF(SUMPRODUCT(--($AG25:$AL25&gt;AG25))&lt;$AF25,1,0)</f>
        <v>47</v>
      </c>
      <c r="N25" s="7" t="n">
        <f aca="false">AA25+IF(SUMPRODUCT(--($AG25:$AL25&gt;AH25))+SUMPRODUCT(--($AG25:AG25=AH25))&lt;$AF25,1,0)</f>
        <v>76</v>
      </c>
      <c r="O25" s="7" t="n">
        <f aca="false">AB25+IF(SUMPRODUCT(--($AG25:$AL25&gt;AI25))+SUMPRODUCT(--($AG25:AH25=AI25))&lt;$AF25,1,0)</f>
        <v>112</v>
      </c>
      <c r="P25" s="7" t="n">
        <f aca="false">AC25+IF(SUMPRODUCT(--($AG25:$AL25&gt;AJ25))+SUMPRODUCT(--($AG25:AI25=AJ25))&lt;$AF25,1,0)</f>
        <v>71</v>
      </c>
      <c r="Q25" s="7" t="n">
        <f aca="false">AD25+IF(SUMPRODUCT(--($AG25:$AL25&gt;AK25))+SUMPRODUCT(--($AG25:AJ25=AK25))&lt;$AF25,1,0)</f>
        <v>53</v>
      </c>
      <c r="R25" s="7" t="n">
        <f aca="false">AE25+IF(SUMPRODUCT(--($AG25:$AL25&gt;AL25))+SUMPRODUCT(--($AG25:AK25=AL25))&lt;$AF25,1,0)</f>
        <v>41</v>
      </c>
      <c r="S25" s="7" t="n">
        <f aca="false">SUM(M25:R25)</f>
        <v>400</v>
      </c>
      <c r="T25" s="7" t="n">
        <f aca="false">F25*Settings!$B$2/SUM(F25:K25)</f>
        <v>47.0588235294118</v>
      </c>
      <c r="U25" s="7" t="n">
        <f aca="false">G25*Settings!$B$2/SUM(F25:K25)</f>
        <v>76.4705882352941</v>
      </c>
      <c r="V25" s="7" t="n">
        <f aca="false">H25*Settings!$B$2/SUM(F25:K25)</f>
        <v>111.764705882353</v>
      </c>
      <c r="W25" s="7" t="n">
        <f aca="false">I25*Settings!$B$2/SUM(F25:K25)</f>
        <v>70.5882352941177</v>
      </c>
      <c r="X25" s="7" t="n">
        <f aca="false">J25*Settings!$B$2/SUM(F25:K25)</f>
        <v>52.9411764705882</v>
      </c>
      <c r="Y25" s="7" t="n">
        <f aca="false">K25*Settings!$B$2/SUM(F25:K25)</f>
        <v>41.1764705882353</v>
      </c>
      <c r="Z25" s="7" t="n">
        <f aca="false">INT(T25)</f>
        <v>47</v>
      </c>
      <c r="AA25" s="7" t="n">
        <f aca="false">INT(U25)</f>
        <v>76</v>
      </c>
      <c r="AB25" s="7" t="n">
        <f aca="false">INT(V25)</f>
        <v>111</v>
      </c>
      <c r="AC25" s="7" t="n">
        <f aca="false">INT(W25)</f>
        <v>70</v>
      </c>
      <c r="AD25" s="7" t="n">
        <f aca="false">INT(X25)</f>
        <v>52</v>
      </c>
      <c r="AE25" s="7" t="n">
        <f aca="false">INT(Y25)</f>
        <v>41</v>
      </c>
      <c r="AF25" s="7" t="n">
        <f aca="false">Settings!$B$2-SUM(Z25:AE25)</f>
        <v>3</v>
      </c>
      <c r="AG25" s="7" t="n">
        <f aca="false">ROUND(T25-Z25,9)</f>
        <v>0.058823529</v>
      </c>
      <c r="AH25" s="7" t="n">
        <f aca="false">ROUND(U25-AA25,9)</f>
        <v>0.470588235</v>
      </c>
      <c r="AI25" s="7" t="n">
        <f aca="false">ROUND(V25-AB25,9)</f>
        <v>0.764705882</v>
      </c>
      <c r="AJ25" s="7" t="n">
        <f aca="false">ROUND(W25-AC25,9)</f>
        <v>0.588235294</v>
      </c>
      <c r="AK25" s="7" t="n">
        <f aca="false">ROUND(X25-AD25,9)</f>
        <v>0.941176471</v>
      </c>
      <c r="AL25" s="7" t="n">
        <f aca="false">ROUND(Y25-AE25,9)</f>
        <v>0.176470588</v>
      </c>
    </row>
    <row r="26" customFormat="false" ht="15" hidden="false" customHeight="false" outlineLevel="0" collapsed="false">
      <c r="A26" s="2" t="n">
        <v>25</v>
      </c>
      <c r="B26" s="2" t="s">
        <v>90</v>
      </c>
      <c r="C26" s="2" t="s">
        <v>91</v>
      </c>
      <c r="D26" s="2" t="n">
        <v>1</v>
      </c>
      <c r="E26" s="5"/>
      <c r="F26" s="6" t="n">
        <v>50</v>
      </c>
      <c r="G26" s="6" t="n">
        <v>75</v>
      </c>
      <c r="H26" s="6" t="n">
        <v>85</v>
      </c>
      <c r="I26" s="6" t="n">
        <v>20</v>
      </c>
      <c r="J26" s="6" t="n">
        <v>30</v>
      </c>
      <c r="K26" s="6" t="n">
        <v>40</v>
      </c>
      <c r="L26" s="2" t="n">
        <f aca="false">SUM(F26:K26)</f>
        <v>300</v>
      </c>
      <c r="M26" s="7" t="n">
        <f aca="false">Z26+IF(SUMPRODUCT(--($AG26:$AL26&gt;AG26))&lt;$AF26,1,0)</f>
        <v>67</v>
      </c>
      <c r="N26" s="7" t="n">
        <f aca="false">AA26+IF(SUMPRODUCT(--($AG26:$AL26&gt;AH26))+SUMPRODUCT(--($AG26:AG26=AH26))&lt;$AF26,1,0)</f>
        <v>100</v>
      </c>
      <c r="O26" s="7" t="n">
        <f aca="false">AB26+IF(SUMPRODUCT(--($AG26:$AL26&gt;AI26))+SUMPRODUCT(--($AG26:AH26=AI26))&lt;$AF26,1,0)</f>
        <v>113</v>
      </c>
      <c r="P26" s="7" t="n">
        <f aca="false">AC26+IF(SUMPRODUCT(--($AG26:$AL26&gt;AJ26))+SUMPRODUCT(--($AG26:AI26=AJ26))&lt;$AF26,1,0)</f>
        <v>27</v>
      </c>
      <c r="Q26" s="7" t="n">
        <f aca="false">AD26+IF(SUMPRODUCT(--($AG26:$AL26&gt;AK26))+SUMPRODUCT(--($AG26:AJ26=AK26))&lt;$AF26,1,0)</f>
        <v>40</v>
      </c>
      <c r="R26" s="7" t="n">
        <f aca="false">AE26+IF(SUMPRODUCT(--($AG26:$AL26&gt;AL26))+SUMPRODUCT(--($AG26:AK26=AL26))&lt;$AF26,1,0)</f>
        <v>53</v>
      </c>
      <c r="S26" s="7" t="n">
        <f aca="false">SUM(M26:R26)</f>
        <v>400</v>
      </c>
      <c r="T26" s="7" t="n">
        <f aca="false">F26*Settings!$B$2/SUM(F26:K26)</f>
        <v>66.6666666666667</v>
      </c>
      <c r="U26" s="7" t="n">
        <f aca="false">G26*Settings!$B$2/SUM(F26:K26)</f>
        <v>100</v>
      </c>
      <c r="V26" s="7" t="n">
        <f aca="false">H26*Settings!$B$2/SUM(F26:K26)</f>
        <v>113.333333333333</v>
      </c>
      <c r="W26" s="7" t="n">
        <f aca="false">I26*Settings!$B$2/SUM(F26:K26)</f>
        <v>26.6666666666667</v>
      </c>
      <c r="X26" s="7" t="n">
        <f aca="false">J26*Settings!$B$2/SUM(F26:K26)</f>
        <v>40</v>
      </c>
      <c r="Y26" s="7" t="n">
        <f aca="false">K26*Settings!$B$2/SUM(F26:K26)</f>
        <v>53.3333333333333</v>
      </c>
      <c r="Z26" s="7" t="n">
        <f aca="false">INT(T26)</f>
        <v>66</v>
      </c>
      <c r="AA26" s="7" t="n">
        <f aca="false">INT(U26)</f>
        <v>100</v>
      </c>
      <c r="AB26" s="7" t="n">
        <f aca="false">INT(V26)</f>
        <v>113</v>
      </c>
      <c r="AC26" s="7" t="n">
        <f aca="false">INT(W26)</f>
        <v>26</v>
      </c>
      <c r="AD26" s="7" t="n">
        <f aca="false">INT(X26)</f>
        <v>40</v>
      </c>
      <c r="AE26" s="7" t="n">
        <f aca="false">INT(Y26)</f>
        <v>53</v>
      </c>
      <c r="AF26" s="7" t="n">
        <f aca="false">Settings!$B$2-SUM(Z26:AE26)</f>
        <v>2</v>
      </c>
      <c r="AG26" s="7" t="n">
        <f aca="false">ROUND(T26-Z26,9)</f>
        <v>0.666666667</v>
      </c>
      <c r="AH26" s="7" t="n">
        <f aca="false">ROUND(U26-AA26,9)</f>
        <v>0</v>
      </c>
      <c r="AI26" s="7" t="n">
        <f aca="false">ROUND(V26-AB26,9)</f>
        <v>0.333333333</v>
      </c>
      <c r="AJ26" s="7" t="n">
        <f aca="false">ROUND(W26-AC26,9)</f>
        <v>0.666666667</v>
      </c>
      <c r="AK26" s="7" t="n">
        <f aca="false">ROUND(X26-AD26,9)</f>
        <v>0</v>
      </c>
      <c r="AL26" s="7" t="n">
        <f aca="false">ROUND(Y26-AE26,9)</f>
        <v>0.333333333</v>
      </c>
    </row>
    <row r="27" customFormat="false" ht="15" hidden="false" customHeight="false" outlineLevel="0" collapsed="false">
      <c r="A27" s="2" t="n">
        <v>26</v>
      </c>
      <c r="B27" s="2" t="s">
        <v>92</v>
      </c>
      <c r="C27" s="2" t="s">
        <v>91</v>
      </c>
      <c r="D27" s="2" t="n">
        <v>2</v>
      </c>
      <c r="E27" s="5"/>
      <c r="F27" s="6" t="n">
        <v>90</v>
      </c>
      <c r="G27" s="6" t="n">
        <v>60</v>
      </c>
      <c r="H27" s="6" t="n">
        <v>60</v>
      </c>
      <c r="I27" s="6" t="n">
        <v>40</v>
      </c>
      <c r="J27" s="6" t="n">
        <v>40</v>
      </c>
      <c r="K27" s="6" t="n">
        <v>40</v>
      </c>
      <c r="L27" s="2" t="n">
        <f aca="false">SUM(F27:K27)</f>
        <v>330</v>
      </c>
      <c r="M27" s="7" t="n">
        <f aca="false">Z27+IF(SUMPRODUCT(--($AG27:$AL27&gt;AG27))&lt;$AF27,1,0)</f>
        <v>109</v>
      </c>
      <c r="N27" s="7" t="n">
        <f aca="false">AA27+IF(SUMPRODUCT(--($AG27:$AL27&gt;AH27))+SUMPRODUCT(--($AG27:AG27=AH27))&lt;$AF27,1,0)</f>
        <v>73</v>
      </c>
      <c r="O27" s="7" t="n">
        <f aca="false">AB27+IF(SUMPRODUCT(--($AG27:$AL27&gt;AI27))+SUMPRODUCT(--($AG27:AH27=AI27))&lt;$AF27,1,0)</f>
        <v>73</v>
      </c>
      <c r="P27" s="7" t="n">
        <f aca="false">AC27+IF(SUMPRODUCT(--($AG27:$AL27&gt;AJ27))+SUMPRODUCT(--($AG27:AI27=AJ27))&lt;$AF27,1,0)</f>
        <v>49</v>
      </c>
      <c r="Q27" s="7" t="n">
        <f aca="false">AD27+IF(SUMPRODUCT(--($AG27:$AL27&gt;AK27))+SUMPRODUCT(--($AG27:AJ27=AK27))&lt;$AF27,1,0)</f>
        <v>48</v>
      </c>
      <c r="R27" s="7" t="n">
        <f aca="false">AE27+IF(SUMPRODUCT(--($AG27:$AL27&gt;AL27))+SUMPRODUCT(--($AG27:AK27=AL27))&lt;$AF27,1,0)</f>
        <v>48</v>
      </c>
      <c r="S27" s="7" t="n">
        <f aca="false">SUM(M27:R27)</f>
        <v>400</v>
      </c>
      <c r="T27" s="7" t="n">
        <f aca="false">F27*Settings!$B$2/SUM(F27:K27)</f>
        <v>109.090909090909</v>
      </c>
      <c r="U27" s="7" t="n">
        <f aca="false">G27*Settings!$B$2/SUM(F27:K27)</f>
        <v>72.7272727272727</v>
      </c>
      <c r="V27" s="7" t="n">
        <f aca="false">H27*Settings!$B$2/SUM(F27:K27)</f>
        <v>72.7272727272727</v>
      </c>
      <c r="W27" s="7" t="n">
        <f aca="false">I27*Settings!$B$2/SUM(F27:K27)</f>
        <v>48.4848484848485</v>
      </c>
      <c r="X27" s="7" t="n">
        <f aca="false">J27*Settings!$B$2/SUM(F27:K27)</f>
        <v>48.4848484848485</v>
      </c>
      <c r="Y27" s="7" t="n">
        <f aca="false">K27*Settings!$B$2/SUM(F27:K27)</f>
        <v>48.4848484848485</v>
      </c>
      <c r="Z27" s="7" t="n">
        <f aca="false">INT(T27)</f>
        <v>109</v>
      </c>
      <c r="AA27" s="7" t="n">
        <f aca="false">INT(U27)</f>
        <v>72</v>
      </c>
      <c r="AB27" s="7" t="n">
        <f aca="false">INT(V27)</f>
        <v>72</v>
      </c>
      <c r="AC27" s="7" t="n">
        <f aca="false">INT(W27)</f>
        <v>48</v>
      </c>
      <c r="AD27" s="7" t="n">
        <f aca="false">INT(X27)</f>
        <v>48</v>
      </c>
      <c r="AE27" s="7" t="n">
        <f aca="false">INT(Y27)</f>
        <v>48</v>
      </c>
      <c r="AF27" s="7" t="n">
        <f aca="false">Settings!$B$2-SUM(Z27:AE27)</f>
        <v>3</v>
      </c>
      <c r="AG27" s="7" t="n">
        <f aca="false">ROUND(T27-Z27,9)</f>
        <v>0.090909091</v>
      </c>
      <c r="AH27" s="7" t="n">
        <f aca="false">ROUND(U27-AA27,9)</f>
        <v>0.727272727</v>
      </c>
      <c r="AI27" s="7" t="n">
        <f aca="false">ROUND(V27-AB27,9)</f>
        <v>0.727272727</v>
      </c>
      <c r="AJ27" s="7" t="n">
        <f aca="false">ROUND(W27-AC27,9)</f>
        <v>0.484848485</v>
      </c>
      <c r="AK27" s="7" t="n">
        <f aca="false">ROUND(X27-AD27,9)</f>
        <v>0.484848485</v>
      </c>
      <c r="AL27" s="7" t="n">
        <f aca="false">ROUND(Y27-AE27,9)</f>
        <v>0.484848485</v>
      </c>
    </row>
    <row r="28" customFormat="false" ht="15" hidden="false" customHeight="false" outlineLevel="0" collapsed="false">
      <c r="A28" s="2" t="n">
        <v>27</v>
      </c>
      <c r="B28" s="2" t="s">
        <v>93</v>
      </c>
      <c r="C28" s="2" t="s">
        <v>91</v>
      </c>
      <c r="D28" s="2" t="n">
        <v>3</v>
      </c>
      <c r="E28" s="5"/>
      <c r="F28" s="6" t="n">
        <v>40</v>
      </c>
      <c r="G28" s="6" t="n">
        <v>40</v>
      </c>
      <c r="H28" s="6" t="n">
        <v>55</v>
      </c>
      <c r="I28" s="6" t="n">
        <v>40</v>
      </c>
      <c r="J28" s="6" t="n">
        <v>70</v>
      </c>
      <c r="K28" s="6" t="n">
        <v>55</v>
      </c>
      <c r="L28" s="2" t="n">
        <f aca="false">SUM(F28:K28)</f>
        <v>300</v>
      </c>
      <c r="M28" s="7" t="n">
        <f aca="false">Z28+IF(SUMPRODUCT(--($AG28:$AL28&gt;AG28))&lt;$AF28,1,0)</f>
        <v>54</v>
      </c>
      <c r="N28" s="7" t="n">
        <f aca="false">AA28+IF(SUMPRODUCT(--($AG28:$AL28&gt;AH28))+SUMPRODUCT(--($AG28:AG28=AH28))&lt;$AF28,1,0)</f>
        <v>54</v>
      </c>
      <c r="O28" s="7" t="n">
        <f aca="false">AB28+IF(SUMPRODUCT(--($AG28:$AL28&gt;AI28))+SUMPRODUCT(--($AG28:AH28=AI28))&lt;$AF28,1,0)</f>
        <v>73</v>
      </c>
      <c r="P28" s="7" t="n">
        <f aca="false">AC28+IF(SUMPRODUCT(--($AG28:$AL28&gt;AJ28))+SUMPRODUCT(--($AG28:AI28=AJ28))&lt;$AF28,1,0)</f>
        <v>53</v>
      </c>
      <c r="Q28" s="7" t="n">
        <f aca="false">AD28+IF(SUMPRODUCT(--($AG28:$AL28&gt;AK28))+SUMPRODUCT(--($AG28:AJ28=AK28))&lt;$AF28,1,0)</f>
        <v>93</v>
      </c>
      <c r="R28" s="7" t="n">
        <f aca="false">AE28+IF(SUMPRODUCT(--($AG28:$AL28&gt;AL28))+SUMPRODUCT(--($AG28:AK28=AL28))&lt;$AF28,1,0)</f>
        <v>73</v>
      </c>
      <c r="S28" s="7" t="n">
        <f aca="false">SUM(M28:R28)</f>
        <v>400</v>
      </c>
      <c r="T28" s="7" t="n">
        <f aca="false">F28*Settings!$B$2/SUM(F28:K28)</f>
        <v>53.3333333333333</v>
      </c>
      <c r="U28" s="7" t="n">
        <f aca="false">G28*Settings!$B$2/SUM(F28:K28)</f>
        <v>53.3333333333333</v>
      </c>
      <c r="V28" s="7" t="n">
        <f aca="false">H28*Settings!$B$2/SUM(F28:K28)</f>
        <v>73.3333333333333</v>
      </c>
      <c r="W28" s="7" t="n">
        <f aca="false">I28*Settings!$B$2/SUM(F28:K28)</f>
        <v>53.3333333333333</v>
      </c>
      <c r="X28" s="7" t="n">
        <f aca="false">J28*Settings!$B$2/SUM(F28:K28)</f>
        <v>93.3333333333333</v>
      </c>
      <c r="Y28" s="7" t="n">
        <f aca="false">K28*Settings!$B$2/SUM(F28:K28)</f>
        <v>73.3333333333333</v>
      </c>
      <c r="Z28" s="7" t="n">
        <f aca="false">INT(T28)</f>
        <v>53</v>
      </c>
      <c r="AA28" s="7" t="n">
        <f aca="false">INT(U28)</f>
        <v>53</v>
      </c>
      <c r="AB28" s="7" t="n">
        <f aca="false">INT(V28)</f>
        <v>73</v>
      </c>
      <c r="AC28" s="7" t="n">
        <f aca="false">INT(W28)</f>
        <v>53</v>
      </c>
      <c r="AD28" s="7" t="n">
        <f aca="false">INT(X28)</f>
        <v>93</v>
      </c>
      <c r="AE28" s="7" t="n">
        <f aca="false">INT(Y28)</f>
        <v>73</v>
      </c>
      <c r="AF28" s="7" t="n">
        <f aca="false">Settings!$B$2-SUM(Z28:AE28)</f>
        <v>2</v>
      </c>
      <c r="AG28" s="7" t="n">
        <f aca="false">ROUND(T28-Z28,9)</f>
        <v>0.333333333</v>
      </c>
      <c r="AH28" s="7" t="n">
        <f aca="false">ROUND(U28-AA28,9)</f>
        <v>0.333333333</v>
      </c>
      <c r="AI28" s="7" t="n">
        <f aca="false">ROUND(V28-AB28,9)</f>
        <v>0.333333333</v>
      </c>
      <c r="AJ28" s="7" t="n">
        <f aca="false">ROUND(W28-AC28,9)</f>
        <v>0.333333333</v>
      </c>
      <c r="AK28" s="7" t="n">
        <f aca="false">ROUND(X28-AD28,9)</f>
        <v>0.333333333</v>
      </c>
      <c r="AL28" s="7" t="n">
        <f aca="false">ROUND(Y28-AE28,9)</f>
        <v>0.333333333</v>
      </c>
    </row>
    <row r="29" customFormat="false" ht="15" hidden="false" customHeight="false" outlineLevel="0" collapsed="false">
      <c r="A29" s="2" t="n">
        <v>28</v>
      </c>
      <c r="B29" s="2" t="s">
        <v>94</v>
      </c>
      <c r="C29" s="2" t="s">
        <v>95</v>
      </c>
      <c r="D29" s="2" t="n">
        <v>1</v>
      </c>
      <c r="E29" s="5"/>
      <c r="F29" s="6" t="n">
        <v>40</v>
      </c>
      <c r="G29" s="6" t="n">
        <v>45</v>
      </c>
      <c r="H29" s="6" t="n">
        <v>35</v>
      </c>
      <c r="I29" s="6" t="n">
        <v>30</v>
      </c>
      <c r="J29" s="6" t="n">
        <v>40</v>
      </c>
      <c r="K29" s="6" t="n">
        <v>55</v>
      </c>
      <c r="L29" s="2" t="n">
        <f aca="false">SUM(F29:K29)</f>
        <v>245</v>
      </c>
      <c r="M29" s="7" t="n">
        <f aca="false">Z29+IF(SUMPRODUCT(--($AG29:$AL29&gt;AG29))&lt;$AF29,1,0)</f>
        <v>65</v>
      </c>
      <c r="N29" s="7" t="n">
        <f aca="false">AA29+IF(SUMPRODUCT(--($AG29:$AL29&gt;AH29))+SUMPRODUCT(--($AG29:AG29=AH29))&lt;$AF29,1,0)</f>
        <v>74</v>
      </c>
      <c r="O29" s="7" t="n">
        <f aca="false">AB29+IF(SUMPRODUCT(--($AG29:$AL29&gt;AI29))+SUMPRODUCT(--($AG29:AH29=AI29))&lt;$AF29,1,0)</f>
        <v>57</v>
      </c>
      <c r="P29" s="7" t="n">
        <f aca="false">AC29+IF(SUMPRODUCT(--($AG29:$AL29&gt;AJ29))+SUMPRODUCT(--($AG29:AI29=AJ29))&lt;$AF29,1,0)</f>
        <v>49</v>
      </c>
      <c r="Q29" s="7" t="n">
        <f aca="false">AD29+IF(SUMPRODUCT(--($AG29:$AL29&gt;AK29))+SUMPRODUCT(--($AG29:AJ29=AK29))&lt;$AF29,1,0)</f>
        <v>65</v>
      </c>
      <c r="R29" s="7" t="n">
        <f aca="false">AE29+IF(SUMPRODUCT(--($AG29:$AL29&gt;AL29))+SUMPRODUCT(--($AG29:AK29=AL29))&lt;$AF29,1,0)</f>
        <v>90</v>
      </c>
      <c r="S29" s="7" t="n">
        <f aca="false">SUM(M29:R29)</f>
        <v>400</v>
      </c>
      <c r="T29" s="7" t="n">
        <f aca="false">F29*Settings!$B$2/SUM(F29:K29)</f>
        <v>65.3061224489796</v>
      </c>
      <c r="U29" s="7" t="n">
        <f aca="false">G29*Settings!$B$2/SUM(F29:K29)</f>
        <v>73.4693877551021</v>
      </c>
      <c r="V29" s="7" t="n">
        <f aca="false">H29*Settings!$B$2/SUM(F29:K29)</f>
        <v>57.1428571428571</v>
      </c>
      <c r="W29" s="7" t="n">
        <f aca="false">I29*Settings!$B$2/SUM(F29:K29)</f>
        <v>48.9795918367347</v>
      </c>
      <c r="X29" s="7" t="n">
        <f aca="false">J29*Settings!$B$2/SUM(F29:K29)</f>
        <v>65.3061224489796</v>
      </c>
      <c r="Y29" s="7" t="n">
        <f aca="false">K29*Settings!$B$2/SUM(F29:K29)</f>
        <v>89.7959183673469</v>
      </c>
      <c r="Z29" s="7" t="n">
        <f aca="false">INT(T29)</f>
        <v>65</v>
      </c>
      <c r="AA29" s="7" t="n">
        <f aca="false">INT(U29)</f>
        <v>73</v>
      </c>
      <c r="AB29" s="7" t="n">
        <f aca="false">INT(V29)</f>
        <v>57</v>
      </c>
      <c r="AC29" s="7" t="n">
        <f aca="false">INT(W29)</f>
        <v>48</v>
      </c>
      <c r="AD29" s="7" t="n">
        <f aca="false">INT(X29)</f>
        <v>65</v>
      </c>
      <c r="AE29" s="7" t="n">
        <f aca="false">INT(Y29)</f>
        <v>89</v>
      </c>
      <c r="AF29" s="7" t="n">
        <f aca="false">Settings!$B$2-SUM(Z29:AE29)</f>
        <v>3</v>
      </c>
      <c r="AG29" s="7" t="n">
        <f aca="false">ROUND(T29-Z29,9)</f>
        <v>0.306122449</v>
      </c>
      <c r="AH29" s="7" t="n">
        <f aca="false">ROUND(U29-AA29,9)</f>
        <v>0.469387755</v>
      </c>
      <c r="AI29" s="7" t="n">
        <f aca="false">ROUND(V29-AB29,9)</f>
        <v>0.142857143</v>
      </c>
      <c r="AJ29" s="7" t="n">
        <f aca="false">ROUND(W29-AC29,9)</f>
        <v>0.979591837</v>
      </c>
      <c r="AK29" s="7" t="n">
        <f aca="false">ROUND(X29-AD29,9)</f>
        <v>0.306122449</v>
      </c>
      <c r="AL29" s="7" t="n">
        <f aca="false">ROUND(Y29-AE29,9)</f>
        <v>0.795918367</v>
      </c>
    </row>
    <row r="30" customFormat="false" ht="15" hidden="false" customHeight="false" outlineLevel="0" collapsed="false">
      <c r="A30" s="2" t="n">
        <v>29</v>
      </c>
      <c r="B30" s="2" t="s">
        <v>96</v>
      </c>
      <c r="C30" s="2" t="s">
        <v>95</v>
      </c>
      <c r="D30" s="2" t="n">
        <v>2</v>
      </c>
      <c r="E30" s="5"/>
      <c r="F30" s="6" t="n">
        <v>60</v>
      </c>
      <c r="G30" s="6" t="n">
        <v>85</v>
      </c>
      <c r="H30" s="6" t="n">
        <v>42</v>
      </c>
      <c r="I30" s="6" t="n">
        <v>85</v>
      </c>
      <c r="J30" s="6" t="n">
        <v>42</v>
      </c>
      <c r="K30" s="6" t="n">
        <v>91</v>
      </c>
      <c r="L30" s="2" t="n">
        <f aca="false">SUM(F30:K30)</f>
        <v>405</v>
      </c>
      <c r="M30" s="7" t="n">
        <f aca="false">Z30+IF(SUMPRODUCT(--($AG30:$AL30&gt;AG30))&lt;$AF30,1,0)</f>
        <v>59</v>
      </c>
      <c r="N30" s="7" t="n">
        <f aca="false">AA30+IF(SUMPRODUCT(--($AG30:$AL30&gt;AH30))+SUMPRODUCT(--($AG30:AG30=AH30))&lt;$AF30,1,0)</f>
        <v>84</v>
      </c>
      <c r="O30" s="7" t="n">
        <f aca="false">AB30+IF(SUMPRODUCT(--($AG30:$AL30&gt;AI30))+SUMPRODUCT(--($AG30:AH30=AI30))&lt;$AF30,1,0)</f>
        <v>42</v>
      </c>
      <c r="P30" s="7" t="n">
        <f aca="false">AC30+IF(SUMPRODUCT(--($AG30:$AL30&gt;AJ30))+SUMPRODUCT(--($AG30:AI30=AJ30))&lt;$AF30,1,0)</f>
        <v>84</v>
      </c>
      <c r="Q30" s="7" t="n">
        <f aca="false">AD30+IF(SUMPRODUCT(--($AG30:$AL30&gt;AK30))+SUMPRODUCT(--($AG30:AJ30=AK30))&lt;$AF30,1,0)</f>
        <v>41</v>
      </c>
      <c r="R30" s="7" t="n">
        <f aca="false">AE30+IF(SUMPRODUCT(--($AG30:$AL30&gt;AL30))+SUMPRODUCT(--($AG30:AK30=AL30))&lt;$AF30,1,0)</f>
        <v>90</v>
      </c>
      <c r="S30" s="7" t="n">
        <f aca="false">SUM(M30:R30)</f>
        <v>400</v>
      </c>
      <c r="T30" s="7" t="n">
        <f aca="false">F30*Settings!$B$2/SUM(F30:K30)</f>
        <v>59.2592592592593</v>
      </c>
      <c r="U30" s="7" t="n">
        <f aca="false">G30*Settings!$B$2/SUM(F30:K30)</f>
        <v>83.9506172839506</v>
      </c>
      <c r="V30" s="7" t="n">
        <f aca="false">H30*Settings!$B$2/SUM(F30:K30)</f>
        <v>41.4814814814815</v>
      </c>
      <c r="W30" s="7" t="n">
        <f aca="false">I30*Settings!$B$2/SUM(F30:K30)</f>
        <v>83.9506172839506</v>
      </c>
      <c r="X30" s="7" t="n">
        <f aca="false">J30*Settings!$B$2/SUM(F30:K30)</f>
        <v>41.4814814814815</v>
      </c>
      <c r="Y30" s="7" t="n">
        <f aca="false">K30*Settings!$B$2/SUM(F30:K30)</f>
        <v>89.8765432098765</v>
      </c>
      <c r="Z30" s="7" t="n">
        <f aca="false">INT(T30)</f>
        <v>59</v>
      </c>
      <c r="AA30" s="7" t="n">
        <f aca="false">INT(U30)</f>
        <v>83</v>
      </c>
      <c r="AB30" s="7" t="n">
        <f aca="false">INT(V30)</f>
        <v>41</v>
      </c>
      <c r="AC30" s="7" t="n">
        <f aca="false">INT(W30)</f>
        <v>83</v>
      </c>
      <c r="AD30" s="7" t="n">
        <f aca="false">INT(X30)</f>
        <v>41</v>
      </c>
      <c r="AE30" s="7" t="n">
        <f aca="false">INT(Y30)</f>
        <v>89</v>
      </c>
      <c r="AF30" s="7" t="n">
        <f aca="false">Settings!$B$2-SUM(Z30:AE30)</f>
        <v>4</v>
      </c>
      <c r="AG30" s="7" t="n">
        <f aca="false">ROUND(T30-Z30,9)</f>
        <v>0.259259259</v>
      </c>
      <c r="AH30" s="7" t="n">
        <f aca="false">ROUND(U30-AA30,9)</f>
        <v>0.950617284</v>
      </c>
      <c r="AI30" s="7" t="n">
        <f aca="false">ROUND(V30-AB30,9)</f>
        <v>0.481481481</v>
      </c>
      <c r="AJ30" s="7" t="n">
        <f aca="false">ROUND(W30-AC30,9)</f>
        <v>0.950617284</v>
      </c>
      <c r="AK30" s="7" t="n">
        <f aca="false">ROUND(X30-AD30,9)</f>
        <v>0.481481481</v>
      </c>
      <c r="AL30" s="7" t="n">
        <f aca="false">ROUND(Y30-AE30,9)</f>
        <v>0.87654321</v>
      </c>
    </row>
    <row r="31" customFormat="false" ht="15" hidden="false" customHeight="false" outlineLevel="0" collapsed="false">
      <c r="A31" s="2" t="n">
        <v>30</v>
      </c>
      <c r="B31" s="2" t="s">
        <v>97</v>
      </c>
      <c r="C31" s="2" t="s">
        <v>95</v>
      </c>
      <c r="D31" s="2" t="n">
        <v>3</v>
      </c>
      <c r="E31" s="5"/>
      <c r="F31" s="6" t="n">
        <v>45</v>
      </c>
      <c r="G31" s="6" t="n">
        <v>40</v>
      </c>
      <c r="H31" s="6" t="n">
        <v>60</v>
      </c>
      <c r="I31" s="6" t="n">
        <v>40</v>
      </c>
      <c r="J31" s="6" t="n">
        <v>75</v>
      </c>
      <c r="K31" s="6" t="n">
        <v>50</v>
      </c>
      <c r="L31" s="2" t="n">
        <f aca="false">SUM(F31:K31)</f>
        <v>310</v>
      </c>
      <c r="M31" s="7" t="n">
        <f aca="false">Z31+IF(SUMPRODUCT(--($AG31:$AL31&gt;AG31))&lt;$AF31,1,0)</f>
        <v>58</v>
      </c>
      <c r="N31" s="7" t="n">
        <f aca="false">AA31+IF(SUMPRODUCT(--($AG31:$AL31&gt;AH31))+SUMPRODUCT(--($AG31:AG31=AH31))&lt;$AF31,1,0)</f>
        <v>52</v>
      </c>
      <c r="O31" s="7" t="n">
        <f aca="false">AB31+IF(SUMPRODUCT(--($AG31:$AL31&gt;AI31))+SUMPRODUCT(--($AG31:AH31=AI31))&lt;$AF31,1,0)</f>
        <v>77</v>
      </c>
      <c r="P31" s="7" t="n">
        <f aca="false">AC31+IF(SUMPRODUCT(--($AG31:$AL31&gt;AJ31))+SUMPRODUCT(--($AG31:AI31=AJ31))&lt;$AF31,1,0)</f>
        <v>52</v>
      </c>
      <c r="Q31" s="7" t="n">
        <f aca="false">AD31+IF(SUMPRODUCT(--($AG31:$AL31&gt;AK31))+SUMPRODUCT(--($AG31:AJ31=AK31))&lt;$AF31,1,0)</f>
        <v>97</v>
      </c>
      <c r="R31" s="7" t="n">
        <f aca="false">AE31+IF(SUMPRODUCT(--($AG31:$AL31&gt;AL31))+SUMPRODUCT(--($AG31:AK31=AL31))&lt;$AF31,1,0)</f>
        <v>64</v>
      </c>
      <c r="S31" s="7" t="n">
        <f aca="false">SUM(M31:R31)</f>
        <v>400</v>
      </c>
      <c r="T31" s="7" t="n">
        <f aca="false">F31*Settings!$B$2/SUM(F31:K31)</f>
        <v>58.0645161290323</v>
      </c>
      <c r="U31" s="7" t="n">
        <f aca="false">G31*Settings!$B$2/SUM(F31:K31)</f>
        <v>51.6129032258065</v>
      </c>
      <c r="V31" s="7" t="n">
        <f aca="false">H31*Settings!$B$2/SUM(F31:K31)</f>
        <v>77.4193548387097</v>
      </c>
      <c r="W31" s="7" t="n">
        <f aca="false">I31*Settings!$B$2/SUM(F31:K31)</f>
        <v>51.6129032258065</v>
      </c>
      <c r="X31" s="7" t="n">
        <f aca="false">J31*Settings!$B$2/SUM(F31:K31)</f>
        <v>96.7741935483871</v>
      </c>
      <c r="Y31" s="7" t="n">
        <f aca="false">K31*Settings!$B$2/SUM(F31:K31)</f>
        <v>64.5161290322581</v>
      </c>
      <c r="Z31" s="7" t="n">
        <f aca="false">INT(T31)</f>
        <v>58</v>
      </c>
      <c r="AA31" s="7" t="n">
        <f aca="false">INT(U31)</f>
        <v>51</v>
      </c>
      <c r="AB31" s="7" t="n">
        <f aca="false">INT(V31)</f>
        <v>77</v>
      </c>
      <c r="AC31" s="7" t="n">
        <f aca="false">INT(W31)</f>
        <v>51</v>
      </c>
      <c r="AD31" s="7" t="n">
        <f aca="false">INT(X31)</f>
        <v>96</v>
      </c>
      <c r="AE31" s="7" t="n">
        <f aca="false">INT(Y31)</f>
        <v>64</v>
      </c>
      <c r="AF31" s="7" t="n">
        <f aca="false">Settings!$B$2-SUM(Z31:AE31)</f>
        <v>3</v>
      </c>
      <c r="AG31" s="7" t="n">
        <f aca="false">ROUND(T31-Z31,9)</f>
        <v>0.064516129</v>
      </c>
      <c r="AH31" s="7" t="n">
        <f aca="false">ROUND(U31-AA31,9)</f>
        <v>0.612903226</v>
      </c>
      <c r="AI31" s="7" t="n">
        <f aca="false">ROUND(V31-AB31,9)</f>
        <v>0.419354839</v>
      </c>
      <c r="AJ31" s="7" t="n">
        <f aca="false">ROUND(W31-AC31,9)</f>
        <v>0.612903226</v>
      </c>
      <c r="AK31" s="7" t="n">
        <f aca="false">ROUND(X31-AD31,9)</f>
        <v>0.774193548</v>
      </c>
      <c r="AL31" s="7" t="n">
        <f aca="false">ROUND(Y31-AE31,9)</f>
        <v>0.516129032</v>
      </c>
    </row>
    <row r="32" customFormat="false" ht="15" hidden="false" customHeight="false" outlineLevel="0" collapsed="false">
      <c r="A32" s="2" t="n">
        <v>31</v>
      </c>
      <c r="B32" s="2" t="s">
        <v>98</v>
      </c>
      <c r="C32" s="2" t="s">
        <v>99</v>
      </c>
      <c r="D32" s="2" t="n">
        <v>1</v>
      </c>
      <c r="E32" s="5"/>
      <c r="F32" s="6" t="n">
        <v>100</v>
      </c>
      <c r="G32" s="6" t="n">
        <v>100</v>
      </c>
      <c r="H32" s="6" t="n">
        <v>100</v>
      </c>
      <c r="I32" s="6" t="n">
        <v>100</v>
      </c>
      <c r="J32" s="6" t="n">
        <v>100</v>
      </c>
      <c r="K32" s="6" t="n">
        <v>100</v>
      </c>
      <c r="L32" s="2" t="n">
        <f aca="false">SUM(F32:K32)</f>
        <v>600</v>
      </c>
      <c r="M32" s="7" t="n">
        <f aca="false">Z32+IF(SUMPRODUCT(--($AG32:$AL32&gt;AG32))&lt;$AF32,1,0)</f>
        <v>67</v>
      </c>
      <c r="N32" s="7" t="n">
        <f aca="false">AA32+IF(SUMPRODUCT(--($AG32:$AL32&gt;AH32))+SUMPRODUCT(--($AG32:AG32=AH32))&lt;$AF32,1,0)</f>
        <v>67</v>
      </c>
      <c r="O32" s="7" t="n">
        <f aca="false">AB32+IF(SUMPRODUCT(--($AG32:$AL32&gt;AI32))+SUMPRODUCT(--($AG32:AH32=AI32))&lt;$AF32,1,0)</f>
        <v>67</v>
      </c>
      <c r="P32" s="7" t="n">
        <f aca="false">AC32+IF(SUMPRODUCT(--($AG32:$AL32&gt;AJ32))+SUMPRODUCT(--($AG32:AI32=AJ32))&lt;$AF32,1,0)</f>
        <v>67</v>
      </c>
      <c r="Q32" s="7" t="n">
        <f aca="false">AD32+IF(SUMPRODUCT(--($AG32:$AL32&gt;AK32))+SUMPRODUCT(--($AG32:AJ32=AK32))&lt;$AF32,1,0)</f>
        <v>66</v>
      </c>
      <c r="R32" s="7" t="n">
        <f aca="false">AE32+IF(SUMPRODUCT(--($AG32:$AL32&gt;AL32))+SUMPRODUCT(--($AG32:AK32=AL32))&lt;$AF32,1,0)</f>
        <v>66</v>
      </c>
      <c r="S32" s="7" t="n">
        <f aca="false">SUM(M32:R32)</f>
        <v>400</v>
      </c>
      <c r="T32" s="7" t="n">
        <f aca="false">F32*Settings!$B$2/SUM(F32:K32)</f>
        <v>66.6666666666667</v>
      </c>
      <c r="U32" s="7" t="n">
        <f aca="false">G32*Settings!$B$2/SUM(F32:K32)</f>
        <v>66.6666666666667</v>
      </c>
      <c r="V32" s="7" t="n">
        <f aca="false">H32*Settings!$B$2/SUM(F32:K32)</f>
        <v>66.6666666666667</v>
      </c>
      <c r="W32" s="7" t="n">
        <f aca="false">I32*Settings!$B$2/SUM(F32:K32)</f>
        <v>66.6666666666667</v>
      </c>
      <c r="X32" s="7" t="n">
        <f aca="false">J32*Settings!$B$2/SUM(F32:K32)</f>
        <v>66.6666666666667</v>
      </c>
      <c r="Y32" s="7" t="n">
        <f aca="false">K32*Settings!$B$2/SUM(F32:K32)</f>
        <v>66.6666666666667</v>
      </c>
      <c r="Z32" s="7" t="n">
        <f aca="false">INT(T32)</f>
        <v>66</v>
      </c>
      <c r="AA32" s="7" t="n">
        <f aca="false">INT(U32)</f>
        <v>66</v>
      </c>
      <c r="AB32" s="7" t="n">
        <f aca="false">INT(V32)</f>
        <v>66</v>
      </c>
      <c r="AC32" s="7" t="n">
        <f aca="false">INT(W32)</f>
        <v>66</v>
      </c>
      <c r="AD32" s="7" t="n">
        <f aca="false">INT(X32)</f>
        <v>66</v>
      </c>
      <c r="AE32" s="7" t="n">
        <f aca="false">INT(Y32)</f>
        <v>66</v>
      </c>
      <c r="AF32" s="7" t="n">
        <f aca="false">Settings!$B$2-SUM(Z32:AE32)</f>
        <v>4</v>
      </c>
      <c r="AG32" s="7" t="n">
        <f aca="false">ROUND(T32-Z32,9)</f>
        <v>0.666666667</v>
      </c>
      <c r="AH32" s="7" t="n">
        <f aca="false">ROUND(U32-AA32,9)</f>
        <v>0.666666667</v>
      </c>
      <c r="AI32" s="7" t="n">
        <f aca="false">ROUND(V32-AB32,9)</f>
        <v>0.666666667</v>
      </c>
      <c r="AJ32" s="7" t="n">
        <f aca="false">ROUND(W32-AC32,9)</f>
        <v>0.666666667</v>
      </c>
      <c r="AK32" s="7" t="n">
        <f aca="false">ROUND(X32-AD32,9)</f>
        <v>0.666666667</v>
      </c>
      <c r="AL32" s="7" t="n">
        <f aca="false">ROUND(Y32-AE32,9)</f>
        <v>0.666666667</v>
      </c>
    </row>
    <row r="33" customFormat="false" ht="15" hidden="false" customHeight="false" outlineLevel="0" collapsed="false">
      <c r="A33" s="2" t="n">
        <v>32</v>
      </c>
      <c r="B33" s="2" t="s">
        <v>100</v>
      </c>
      <c r="C33" s="2" t="s">
        <v>99</v>
      </c>
      <c r="D33" s="2" t="n">
        <v>3</v>
      </c>
      <c r="E33" s="5"/>
      <c r="F33" s="6" t="n">
        <v>60</v>
      </c>
      <c r="G33" s="6" t="n">
        <v>25</v>
      </c>
      <c r="H33" s="6" t="n">
        <v>35</v>
      </c>
      <c r="I33" s="6" t="n">
        <v>70</v>
      </c>
      <c r="J33" s="6" t="n">
        <v>80</v>
      </c>
      <c r="K33" s="6" t="n">
        <v>60</v>
      </c>
      <c r="L33" s="2" t="n">
        <f aca="false">SUM(F33:K33)</f>
        <v>330</v>
      </c>
      <c r="M33" s="7" t="n">
        <f aca="false">Z33+IF(SUMPRODUCT(--($AG33:$AL33&gt;AG33))&lt;$AF33,1,0)</f>
        <v>73</v>
      </c>
      <c r="N33" s="7" t="n">
        <f aca="false">AA33+IF(SUMPRODUCT(--($AG33:$AL33&gt;AH33))+SUMPRODUCT(--($AG33:AG33=AH33))&lt;$AF33,1,0)</f>
        <v>30</v>
      </c>
      <c r="O33" s="7" t="n">
        <f aca="false">AB33+IF(SUMPRODUCT(--($AG33:$AL33&gt;AI33))+SUMPRODUCT(--($AG33:AH33=AI33))&lt;$AF33,1,0)</f>
        <v>42</v>
      </c>
      <c r="P33" s="7" t="n">
        <f aca="false">AC33+IF(SUMPRODUCT(--($AG33:$AL33&gt;AJ33))+SUMPRODUCT(--($AG33:AI33=AJ33))&lt;$AF33,1,0)</f>
        <v>85</v>
      </c>
      <c r="Q33" s="7" t="n">
        <f aca="false">AD33+IF(SUMPRODUCT(--($AG33:$AL33&gt;AK33))+SUMPRODUCT(--($AG33:AJ33=AK33))&lt;$AF33,1,0)</f>
        <v>97</v>
      </c>
      <c r="R33" s="7" t="n">
        <f aca="false">AE33+IF(SUMPRODUCT(--($AG33:$AL33&gt;AL33))+SUMPRODUCT(--($AG33:AK33=AL33))&lt;$AF33,1,0)</f>
        <v>73</v>
      </c>
      <c r="S33" s="7" t="n">
        <f aca="false">SUM(M33:R33)</f>
        <v>400</v>
      </c>
      <c r="T33" s="7" t="n">
        <f aca="false">F33*Settings!$B$2/SUM(F33:K33)</f>
        <v>72.7272727272727</v>
      </c>
      <c r="U33" s="7" t="n">
        <f aca="false">G33*Settings!$B$2/SUM(F33:K33)</f>
        <v>30.3030303030303</v>
      </c>
      <c r="V33" s="7" t="n">
        <f aca="false">H33*Settings!$B$2/SUM(F33:K33)</f>
        <v>42.4242424242424</v>
      </c>
      <c r="W33" s="7" t="n">
        <f aca="false">I33*Settings!$B$2/SUM(F33:K33)</f>
        <v>84.8484848484848</v>
      </c>
      <c r="X33" s="7" t="n">
        <f aca="false">J33*Settings!$B$2/SUM(F33:K33)</f>
        <v>96.969696969697</v>
      </c>
      <c r="Y33" s="7" t="n">
        <f aca="false">K33*Settings!$B$2/SUM(F33:K33)</f>
        <v>72.7272727272727</v>
      </c>
      <c r="Z33" s="7" t="n">
        <f aca="false">INT(T33)</f>
        <v>72</v>
      </c>
      <c r="AA33" s="7" t="n">
        <f aca="false">INT(U33)</f>
        <v>30</v>
      </c>
      <c r="AB33" s="7" t="n">
        <f aca="false">INT(V33)</f>
        <v>42</v>
      </c>
      <c r="AC33" s="7" t="n">
        <f aca="false">INT(W33)</f>
        <v>84</v>
      </c>
      <c r="AD33" s="7" t="n">
        <f aca="false">INT(X33)</f>
        <v>96</v>
      </c>
      <c r="AE33" s="7" t="n">
        <f aca="false">INT(Y33)</f>
        <v>72</v>
      </c>
      <c r="AF33" s="7" t="n">
        <f aca="false">Settings!$B$2-SUM(Z33:AE33)</f>
        <v>4</v>
      </c>
      <c r="AG33" s="7" t="n">
        <f aca="false">ROUND(T33-Z33,9)</f>
        <v>0.727272727</v>
      </c>
      <c r="AH33" s="7" t="n">
        <f aca="false">ROUND(U33-AA33,9)</f>
        <v>0.303030303</v>
      </c>
      <c r="AI33" s="7" t="n">
        <f aca="false">ROUND(V33-AB33,9)</f>
        <v>0.424242424</v>
      </c>
      <c r="AJ33" s="7" t="n">
        <f aca="false">ROUND(W33-AC33,9)</f>
        <v>0.848484848</v>
      </c>
      <c r="AK33" s="7" t="n">
        <f aca="false">ROUND(X33-AD33,9)</f>
        <v>0.96969697</v>
      </c>
      <c r="AL33" s="7" t="n">
        <f aca="false">ROUND(Y33-AE33,9)</f>
        <v>0.727272727</v>
      </c>
    </row>
    <row r="34" customFormat="false" ht="15" hidden="false" customHeight="false" outlineLevel="0" collapsed="false">
      <c r="A34" s="2" t="n">
        <v>33</v>
      </c>
      <c r="B34" s="2" t="s">
        <v>101</v>
      </c>
      <c r="C34" s="2" t="s">
        <v>99</v>
      </c>
      <c r="D34" s="2" t="n">
        <v>3</v>
      </c>
      <c r="E34" s="5"/>
      <c r="F34" s="6" t="n">
        <v>100</v>
      </c>
      <c r="G34" s="6" t="n">
        <v>100</v>
      </c>
      <c r="H34" s="6" t="n">
        <v>100</v>
      </c>
      <c r="I34" s="6" t="n">
        <v>100</v>
      </c>
      <c r="J34" s="6" t="n">
        <v>100</v>
      </c>
      <c r="K34" s="6" t="n">
        <v>100</v>
      </c>
      <c r="L34" s="2" t="n">
        <f aca="false">SUM(F34:K34)</f>
        <v>600</v>
      </c>
      <c r="M34" s="7" t="n">
        <f aca="false">Z34+IF(SUMPRODUCT(--($AG34:$AL34&gt;AG34))&lt;$AF34,1,0)</f>
        <v>67</v>
      </c>
      <c r="N34" s="7" t="n">
        <f aca="false">AA34+IF(SUMPRODUCT(--($AG34:$AL34&gt;AH34))+SUMPRODUCT(--($AG34:AG34=AH34))&lt;$AF34,1,0)</f>
        <v>67</v>
      </c>
      <c r="O34" s="7" t="n">
        <f aca="false">AB34+IF(SUMPRODUCT(--($AG34:$AL34&gt;AI34))+SUMPRODUCT(--($AG34:AH34=AI34))&lt;$AF34,1,0)</f>
        <v>67</v>
      </c>
      <c r="P34" s="7" t="n">
        <f aca="false">AC34+IF(SUMPRODUCT(--($AG34:$AL34&gt;AJ34))+SUMPRODUCT(--($AG34:AI34=AJ34))&lt;$AF34,1,0)</f>
        <v>67</v>
      </c>
      <c r="Q34" s="7" t="n">
        <f aca="false">AD34+IF(SUMPRODUCT(--($AG34:$AL34&gt;AK34))+SUMPRODUCT(--($AG34:AJ34=AK34))&lt;$AF34,1,0)</f>
        <v>66</v>
      </c>
      <c r="R34" s="7" t="n">
        <f aca="false">AE34+IF(SUMPRODUCT(--($AG34:$AL34&gt;AL34))+SUMPRODUCT(--($AG34:AK34=AL34))&lt;$AF34,1,0)</f>
        <v>66</v>
      </c>
      <c r="S34" s="7" t="n">
        <f aca="false">SUM(M34:R34)</f>
        <v>400</v>
      </c>
      <c r="T34" s="7" t="n">
        <f aca="false">F34*Settings!$B$2/SUM(F34:K34)</f>
        <v>66.6666666666667</v>
      </c>
      <c r="U34" s="7" t="n">
        <f aca="false">G34*Settings!$B$2/SUM(F34:K34)</f>
        <v>66.6666666666667</v>
      </c>
      <c r="V34" s="7" t="n">
        <f aca="false">H34*Settings!$B$2/SUM(F34:K34)</f>
        <v>66.6666666666667</v>
      </c>
      <c r="W34" s="7" t="n">
        <f aca="false">I34*Settings!$B$2/SUM(F34:K34)</f>
        <v>66.6666666666667</v>
      </c>
      <c r="X34" s="7" t="n">
        <f aca="false">J34*Settings!$B$2/SUM(F34:K34)</f>
        <v>66.6666666666667</v>
      </c>
      <c r="Y34" s="7" t="n">
        <f aca="false">K34*Settings!$B$2/SUM(F34:K34)</f>
        <v>66.6666666666667</v>
      </c>
      <c r="Z34" s="7" t="n">
        <f aca="false">INT(T34)</f>
        <v>66</v>
      </c>
      <c r="AA34" s="7" t="n">
        <f aca="false">INT(U34)</f>
        <v>66</v>
      </c>
      <c r="AB34" s="7" t="n">
        <f aca="false">INT(V34)</f>
        <v>66</v>
      </c>
      <c r="AC34" s="7" t="n">
        <f aca="false">INT(W34)</f>
        <v>66</v>
      </c>
      <c r="AD34" s="7" t="n">
        <f aca="false">INT(X34)</f>
        <v>66</v>
      </c>
      <c r="AE34" s="7" t="n">
        <f aca="false">INT(Y34)</f>
        <v>66</v>
      </c>
      <c r="AF34" s="7" t="n">
        <f aca="false">Settings!$B$2-SUM(Z34:AE34)</f>
        <v>4</v>
      </c>
      <c r="AG34" s="7" t="n">
        <f aca="false">ROUND(T34-Z34,9)</f>
        <v>0.666666667</v>
      </c>
      <c r="AH34" s="7" t="n">
        <f aca="false">ROUND(U34-AA34,9)</f>
        <v>0.666666667</v>
      </c>
      <c r="AI34" s="7" t="n">
        <f aca="false">ROUND(V34-AB34,9)</f>
        <v>0.666666667</v>
      </c>
      <c r="AJ34" s="7" t="n">
        <f aca="false">ROUND(W34-AC34,9)</f>
        <v>0.666666667</v>
      </c>
      <c r="AK34" s="7" t="n">
        <f aca="false">ROUND(X34-AD34,9)</f>
        <v>0.666666667</v>
      </c>
      <c r="AL34" s="7" t="n">
        <f aca="false">ROUND(Y34-AE34,9)</f>
        <v>0.666666667</v>
      </c>
    </row>
    <row r="35" customFormat="false" ht="15" hidden="false" customHeight="false" outlineLevel="0" collapsed="false">
      <c r="A35" s="2" t="n">
        <v>34</v>
      </c>
      <c r="B35" s="2" t="s">
        <v>102</v>
      </c>
      <c r="C35" s="2" t="s">
        <v>103</v>
      </c>
      <c r="D35" s="2" t="n">
        <v>1</v>
      </c>
      <c r="E35" s="5"/>
      <c r="F35" s="6" t="n">
        <v>35</v>
      </c>
      <c r="G35" s="6" t="n">
        <v>70</v>
      </c>
      <c r="H35" s="6" t="n">
        <v>55</v>
      </c>
      <c r="I35" s="6" t="n">
        <v>45</v>
      </c>
      <c r="J35" s="6" t="n">
        <v>55</v>
      </c>
      <c r="K35" s="6" t="n">
        <v>25</v>
      </c>
      <c r="L35" s="2" t="n">
        <f aca="false">SUM(F35:K35)</f>
        <v>285</v>
      </c>
      <c r="M35" s="7" t="n">
        <f aca="false">Z35+IF(SUMPRODUCT(--($AG35:$AL35&gt;AG35))&lt;$AF35,1,0)</f>
        <v>49</v>
      </c>
      <c r="N35" s="7" t="n">
        <f aca="false">AA35+IF(SUMPRODUCT(--($AG35:$AL35&gt;AH35))+SUMPRODUCT(--($AG35:AG35=AH35))&lt;$AF35,1,0)</f>
        <v>99</v>
      </c>
      <c r="O35" s="7" t="n">
        <f aca="false">AB35+IF(SUMPRODUCT(--($AG35:$AL35&gt;AI35))+SUMPRODUCT(--($AG35:AH35=AI35))&lt;$AF35,1,0)</f>
        <v>77</v>
      </c>
      <c r="P35" s="7" t="n">
        <f aca="false">AC35+IF(SUMPRODUCT(--($AG35:$AL35&gt;AJ35))+SUMPRODUCT(--($AG35:AI35=AJ35))&lt;$AF35,1,0)</f>
        <v>63</v>
      </c>
      <c r="Q35" s="7" t="n">
        <f aca="false">AD35+IF(SUMPRODUCT(--($AG35:$AL35&gt;AK35))+SUMPRODUCT(--($AG35:AJ35=AK35))&lt;$AF35,1,0)</f>
        <v>77</v>
      </c>
      <c r="R35" s="7" t="n">
        <f aca="false">AE35+IF(SUMPRODUCT(--($AG35:$AL35&gt;AL35))+SUMPRODUCT(--($AG35:AK35=AL35))&lt;$AF35,1,0)</f>
        <v>35</v>
      </c>
      <c r="S35" s="7" t="n">
        <f aca="false">SUM(M35:R35)</f>
        <v>400</v>
      </c>
      <c r="T35" s="7" t="n">
        <f aca="false">F35*Settings!$B$2/SUM(F35:K35)</f>
        <v>49.1228070175439</v>
      </c>
      <c r="U35" s="7" t="n">
        <f aca="false">G35*Settings!$B$2/SUM(F35:K35)</f>
        <v>98.2456140350877</v>
      </c>
      <c r="V35" s="7" t="n">
        <f aca="false">H35*Settings!$B$2/SUM(F35:K35)</f>
        <v>77.1929824561404</v>
      </c>
      <c r="W35" s="7" t="n">
        <f aca="false">I35*Settings!$B$2/SUM(F35:K35)</f>
        <v>63.1578947368421</v>
      </c>
      <c r="X35" s="7" t="n">
        <f aca="false">J35*Settings!$B$2/SUM(F35:K35)</f>
        <v>77.1929824561404</v>
      </c>
      <c r="Y35" s="7" t="n">
        <f aca="false">K35*Settings!$B$2/SUM(F35:K35)</f>
        <v>35.0877192982456</v>
      </c>
      <c r="Z35" s="7" t="n">
        <f aca="false">INT(T35)</f>
        <v>49</v>
      </c>
      <c r="AA35" s="7" t="n">
        <f aca="false">INT(U35)</f>
        <v>98</v>
      </c>
      <c r="AB35" s="7" t="n">
        <f aca="false">INT(V35)</f>
        <v>77</v>
      </c>
      <c r="AC35" s="7" t="n">
        <f aca="false">INT(W35)</f>
        <v>63</v>
      </c>
      <c r="AD35" s="7" t="n">
        <f aca="false">INT(X35)</f>
        <v>77</v>
      </c>
      <c r="AE35" s="7" t="n">
        <f aca="false">INT(Y35)</f>
        <v>35</v>
      </c>
      <c r="AF35" s="7" t="n">
        <f aca="false">Settings!$B$2-SUM(Z35:AE35)</f>
        <v>1</v>
      </c>
      <c r="AG35" s="7" t="n">
        <f aca="false">ROUND(T35-Z35,9)</f>
        <v>0.122807018</v>
      </c>
      <c r="AH35" s="7" t="n">
        <f aca="false">ROUND(U35-AA35,9)</f>
        <v>0.245614035</v>
      </c>
      <c r="AI35" s="7" t="n">
        <f aca="false">ROUND(V35-AB35,9)</f>
        <v>0.192982456</v>
      </c>
      <c r="AJ35" s="7" t="n">
        <f aca="false">ROUND(W35-AC35,9)</f>
        <v>0.157894737</v>
      </c>
      <c r="AK35" s="7" t="n">
        <f aca="false">ROUND(X35-AD35,9)</f>
        <v>0.192982456</v>
      </c>
      <c r="AL35" s="7" t="n">
        <f aca="false">ROUND(Y35-AE35,9)</f>
        <v>0.087719298</v>
      </c>
    </row>
    <row r="36" customFormat="false" ht="15" hidden="false" customHeight="false" outlineLevel="0" collapsed="false">
      <c r="A36" s="2" t="n">
        <v>35</v>
      </c>
      <c r="B36" s="2" t="s">
        <v>104</v>
      </c>
      <c r="C36" s="2" t="s">
        <v>103</v>
      </c>
      <c r="D36" s="2" t="n">
        <v>2</v>
      </c>
      <c r="E36" s="5"/>
      <c r="F36" s="6" t="n">
        <v>50</v>
      </c>
      <c r="G36" s="6" t="n">
        <v>65</v>
      </c>
      <c r="H36" s="6" t="n">
        <v>90</v>
      </c>
      <c r="I36" s="6" t="n">
        <v>35</v>
      </c>
      <c r="J36" s="6" t="n">
        <v>35</v>
      </c>
      <c r="K36" s="6" t="n">
        <v>15</v>
      </c>
      <c r="L36" s="2" t="n">
        <f aca="false">SUM(F36:K36)</f>
        <v>290</v>
      </c>
      <c r="M36" s="7" t="n">
        <f aca="false">Z36+IF(SUMPRODUCT(--($AG36:$AL36&gt;AG36))&lt;$AF36,1,0)</f>
        <v>69</v>
      </c>
      <c r="N36" s="7" t="n">
        <f aca="false">AA36+IF(SUMPRODUCT(--($AG36:$AL36&gt;AH36))+SUMPRODUCT(--($AG36:AG36=AH36))&lt;$AF36,1,0)</f>
        <v>90</v>
      </c>
      <c r="O36" s="7" t="n">
        <f aca="false">AB36+IF(SUMPRODUCT(--($AG36:$AL36&gt;AI36))+SUMPRODUCT(--($AG36:AH36=AI36))&lt;$AF36,1,0)</f>
        <v>124</v>
      </c>
      <c r="P36" s="7" t="n">
        <f aca="false">AC36+IF(SUMPRODUCT(--($AG36:$AL36&gt;AJ36))+SUMPRODUCT(--($AG36:AI36=AJ36))&lt;$AF36,1,0)</f>
        <v>48</v>
      </c>
      <c r="Q36" s="7" t="n">
        <f aca="false">AD36+IF(SUMPRODUCT(--($AG36:$AL36&gt;AK36))+SUMPRODUCT(--($AG36:AJ36=AK36))&lt;$AF36,1,0)</f>
        <v>48</v>
      </c>
      <c r="R36" s="7" t="n">
        <f aca="false">AE36+IF(SUMPRODUCT(--($AG36:$AL36&gt;AL36))+SUMPRODUCT(--($AG36:AK36=AL36))&lt;$AF36,1,0)</f>
        <v>21</v>
      </c>
      <c r="S36" s="7" t="n">
        <f aca="false">SUM(M36:R36)</f>
        <v>400</v>
      </c>
      <c r="T36" s="7" t="n">
        <f aca="false">F36*Settings!$B$2/SUM(F36:K36)</f>
        <v>68.9655172413793</v>
      </c>
      <c r="U36" s="7" t="n">
        <f aca="false">G36*Settings!$B$2/SUM(F36:K36)</f>
        <v>89.6551724137931</v>
      </c>
      <c r="V36" s="7" t="n">
        <f aca="false">H36*Settings!$B$2/SUM(F36:K36)</f>
        <v>124.137931034483</v>
      </c>
      <c r="W36" s="7" t="n">
        <f aca="false">I36*Settings!$B$2/SUM(F36:K36)</f>
        <v>48.2758620689655</v>
      </c>
      <c r="X36" s="7" t="n">
        <f aca="false">J36*Settings!$B$2/SUM(F36:K36)</f>
        <v>48.2758620689655</v>
      </c>
      <c r="Y36" s="7" t="n">
        <f aca="false">K36*Settings!$B$2/SUM(F36:K36)</f>
        <v>20.6896551724138</v>
      </c>
      <c r="Z36" s="7" t="n">
        <f aca="false">INT(T36)</f>
        <v>68</v>
      </c>
      <c r="AA36" s="7" t="n">
        <f aca="false">INT(U36)</f>
        <v>89</v>
      </c>
      <c r="AB36" s="7" t="n">
        <f aca="false">INT(V36)</f>
        <v>124</v>
      </c>
      <c r="AC36" s="7" t="n">
        <f aca="false">INT(W36)</f>
        <v>48</v>
      </c>
      <c r="AD36" s="7" t="n">
        <f aca="false">INT(X36)</f>
        <v>48</v>
      </c>
      <c r="AE36" s="7" t="n">
        <f aca="false">INT(Y36)</f>
        <v>20</v>
      </c>
      <c r="AF36" s="7" t="n">
        <f aca="false">Settings!$B$2-SUM(Z36:AE36)</f>
        <v>3</v>
      </c>
      <c r="AG36" s="7" t="n">
        <f aca="false">ROUND(T36-Z36,9)</f>
        <v>0.965517241</v>
      </c>
      <c r="AH36" s="7" t="n">
        <f aca="false">ROUND(U36-AA36,9)</f>
        <v>0.655172414</v>
      </c>
      <c r="AI36" s="7" t="n">
        <f aca="false">ROUND(V36-AB36,9)</f>
        <v>0.137931034</v>
      </c>
      <c r="AJ36" s="7" t="n">
        <f aca="false">ROUND(W36-AC36,9)</f>
        <v>0.275862069</v>
      </c>
      <c r="AK36" s="7" t="n">
        <f aca="false">ROUND(X36-AD36,9)</f>
        <v>0.275862069</v>
      </c>
      <c r="AL36" s="7" t="n">
        <f aca="false">ROUND(Y36-AE36,9)</f>
        <v>0.689655172</v>
      </c>
    </row>
    <row r="37" customFormat="false" ht="15" hidden="false" customHeight="false" outlineLevel="0" collapsed="false">
      <c r="A37" s="2" t="n">
        <v>36</v>
      </c>
      <c r="B37" s="2" t="s">
        <v>105</v>
      </c>
      <c r="C37" s="2" t="s">
        <v>103</v>
      </c>
      <c r="D37" s="2" t="n">
        <v>3</v>
      </c>
      <c r="E37" s="5"/>
      <c r="F37" s="6" t="n">
        <v>45</v>
      </c>
      <c r="G37" s="6" t="n">
        <v>45</v>
      </c>
      <c r="H37" s="6" t="n">
        <v>35</v>
      </c>
      <c r="I37" s="6" t="n">
        <v>20</v>
      </c>
      <c r="J37" s="6" t="n">
        <v>30</v>
      </c>
      <c r="K37" s="6" t="n">
        <v>20</v>
      </c>
      <c r="L37" s="2" t="n">
        <f aca="false">SUM(F37:K37)</f>
        <v>195</v>
      </c>
      <c r="M37" s="7" t="n">
        <f aca="false">Z37+IF(SUMPRODUCT(--($AG37:$AL37&gt;AG37))&lt;$AF37,1,0)</f>
        <v>92</v>
      </c>
      <c r="N37" s="7" t="n">
        <f aca="false">AA37+IF(SUMPRODUCT(--($AG37:$AL37&gt;AH37))+SUMPRODUCT(--($AG37:AG37=AH37))&lt;$AF37,1,0)</f>
        <v>92</v>
      </c>
      <c r="O37" s="7" t="n">
        <f aca="false">AB37+IF(SUMPRODUCT(--($AG37:$AL37&gt;AI37))+SUMPRODUCT(--($AG37:AH37=AI37))&lt;$AF37,1,0)</f>
        <v>72</v>
      </c>
      <c r="P37" s="7" t="n">
        <f aca="false">AC37+IF(SUMPRODUCT(--($AG37:$AL37&gt;AJ37))+SUMPRODUCT(--($AG37:AI37=AJ37))&lt;$AF37,1,0)</f>
        <v>41</v>
      </c>
      <c r="Q37" s="7" t="n">
        <f aca="false">AD37+IF(SUMPRODUCT(--($AG37:$AL37&gt;AK37))+SUMPRODUCT(--($AG37:AJ37=AK37))&lt;$AF37,1,0)</f>
        <v>62</v>
      </c>
      <c r="R37" s="7" t="n">
        <f aca="false">AE37+IF(SUMPRODUCT(--($AG37:$AL37&gt;AL37))+SUMPRODUCT(--($AG37:AK37=AL37))&lt;$AF37,1,0)</f>
        <v>41</v>
      </c>
      <c r="S37" s="7" t="n">
        <f aca="false">SUM(M37:R37)</f>
        <v>400</v>
      </c>
      <c r="T37" s="7" t="n">
        <f aca="false">F37*Settings!$B$2/SUM(F37:K37)</f>
        <v>92.3076923076923</v>
      </c>
      <c r="U37" s="7" t="n">
        <f aca="false">G37*Settings!$B$2/SUM(F37:K37)</f>
        <v>92.3076923076923</v>
      </c>
      <c r="V37" s="7" t="n">
        <f aca="false">H37*Settings!$B$2/SUM(F37:K37)</f>
        <v>71.7948717948718</v>
      </c>
      <c r="W37" s="7" t="n">
        <f aca="false">I37*Settings!$B$2/SUM(F37:K37)</f>
        <v>41.025641025641</v>
      </c>
      <c r="X37" s="7" t="n">
        <f aca="false">J37*Settings!$B$2/SUM(F37:K37)</f>
        <v>61.5384615384615</v>
      </c>
      <c r="Y37" s="7" t="n">
        <f aca="false">K37*Settings!$B$2/SUM(F37:K37)</f>
        <v>41.025641025641</v>
      </c>
      <c r="Z37" s="7" t="n">
        <f aca="false">INT(T37)</f>
        <v>92</v>
      </c>
      <c r="AA37" s="7" t="n">
        <f aca="false">INT(U37)</f>
        <v>92</v>
      </c>
      <c r="AB37" s="7" t="n">
        <f aca="false">INT(V37)</f>
        <v>71</v>
      </c>
      <c r="AC37" s="7" t="n">
        <f aca="false">INT(W37)</f>
        <v>41</v>
      </c>
      <c r="AD37" s="7" t="n">
        <f aca="false">INT(X37)</f>
        <v>61</v>
      </c>
      <c r="AE37" s="7" t="n">
        <f aca="false">INT(Y37)</f>
        <v>41</v>
      </c>
      <c r="AF37" s="7" t="n">
        <f aca="false">Settings!$B$2-SUM(Z37:AE37)</f>
        <v>2</v>
      </c>
      <c r="AG37" s="7" t="n">
        <f aca="false">ROUND(T37-Z37,9)</f>
        <v>0.307692308</v>
      </c>
      <c r="AH37" s="7" t="n">
        <f aca="false">ROUND(U37-AA37,9)</f>
        <v>0.307692308</v>
      </c>
      <c r="AI37" s="7" t="n">
        <f aca="false">ROUND(V37-AB37,9)</f>
        <v>0.794871795</v>
      </c>
      <c r="AJ37" s="7" t="n">
        <f aca="false">ROUND(W37-AC37,9)</f>
        <v>0.025641026</v>
      </c>
      <c r="AK37" s="7" t="n">
        <f aca="false">ROUND(X37-AD37,9)</f>
        <v>0.538461538</v>
      </c>
      <c r="AL37" s="7" t="n">
        <f aca="false">ROUND(Y37-AE37,9)</f>
        <v>0.025641026</v>
      </c>
    </row>
    <row r="38" customFormat="false" ht="15" hidden="false" customHeight="false" outlineLevel="0" collapsed="false">
      <c r="A38" s="2" t="n">
        <v>37</v>
      </c>
      <c r="B38" s="2" t="s">
        <v>106</v>
      </c>
      <c r="C38" s="2" t="s">
        <v>107</v>
      </c>
      <c r="D38" s="2" t="n">
        <v>2</v>
      </c>
      <c r="E38" s="5"/>
      <c r="F38" s="6" t="n">
        <v>20</v>
      </c>
      <c r="G38" s="6" t="n">
        <v>10</v>
      </c>
      <c r="H38" s="6" t="n">
        <v>230</v>
      </c>
      <c r="I38" s="6" t="n">
        <v>10</v>
      </c>
      <c r="J38" s="6" t="n">
        <v>230</v>
      </c>
      <c r="K38" s="6" t="n">
        <v>5</v>
      </c>
      <c r="L38" s="2" t="n">
        <f aca="false">SUM(F38:K38)</f>
        <v>505</v>
      </c>
      <c r="M38" s="7" t="n">
        <f aca="false">Z38+IF(SUMPRODUCT(--($AG38:$AL38&gt;AG38))&lt;$AF38,1,0)</f>
        <v>16</v>
      </c>
      <c r="N38" s="7" t="n">
        <f aca="false">AA38+IF(SUMPRODUCT(--($AG38:$AL38&gt;AH38))+SUMPRODUCT(--($AG38:AG38=AH38))&lt;$AF38,1,0)</f>
        <v>8</v>
      </c>
      <c r="O38" s="7" t="n">
        <f aca="false">AB38+IF(SUMPRODUCT(--($AG38:$AL38&gt;AI38))+SUMPRODUCT(--($AG38:AH38=AI38))&lt;$AF38,1,0)</f>
        <v>182</v>
      </c>
      <c r="P38" s="7" t="n">
        <f aca="false">AC38+IF(SUMPRODUCT(--($AG38:$AL38&gt;AJ38))+SUMPRODUCT(--($AG38:AI38=AJ38))&lt;$AF38,1,0)</f>
        <v>8</v>
      </c>
      <c r="Q38" s="7" t="n">
        <f aca="false">AD38+IF(SUMPRODUCT(--($AG38:$AL38&gt;AK38))+SUMPRODUCT(--($AG38:AJ38=AK38))&lt;$AF38,1,0)</f>
        <v>182</v>
      </c>
      <c r="R38" s="7" t="n">
        <f aca="false">AE38+IF(SUMPRODUCT(--($AG38:$AL38&gt;AL38))+SUMPRODUCT(--($AG38:AK38=AL38))&lt;$AF38,1,0)</f>
        <v>4</v>
      </c>
      <c r="S38" s="7" t="n">
        <f aca="false">SUM(M38:R38)</f>
        <v>400</v>
      </c>
      <c r="T38" s="7" t="n">
        <f aca="false">F38*Settings!$B$2/SUM(F38:K38)</f>
        <v>15.8415841584158</v>
      </c>
      <c r="U38" s="7" t="n">
        <f aca="false">G38*Settings!$B$2/SUM(F38:K38)</f>
        <v>7.92079207920792</v>
      </c>
      <c r="V38" s="7" t="n">
        <f aca="false">H38*Settings!$B$2/SUM(F38:K38)</f>
        <v>182.178217821782</v>
      </c>
      <c r="W38" s="7" t="n">
        <f aca="false">I38*Settings!$B$2/SUM(F38:K38)</f>
        <v>7.92079207920792</v>
      </c>
      <c r="X38" s="7" t="n">
        <f aca="false">J38*Settings!$B$2/SUM(F38:K38)</f>
        <v>182.178217821782</v>
      </c>
      <c r="Y38" s="7" t="n">
        <f aca="false">K38*Settings!$B$2/SUM(F38:K38)</f>
        <v>3.96039603960396</v>
      </c>
      <c r="Z38" s="7" t="n">
        <f aca="false">INT(T38)</f>
        <v>15</v>
      </c>
      <c r="AA38" s="7" t="n">
        <f aca="false">INT(U38)</f>
        <v>7</v>
      </c>
      <c r="AB38" s="7" t="n">
        <f aca="false">INT(V38)</f>
        <v>182</v>
      </c>
      <c r="AC38" s="7" t="n">
        <f aca="false">INT(W38)</f>
        <v>7</v>
      </c>
      <c r="AD38" s="7" t="n">
        <f aca="false">INT(X38)</f>
        <v>182</v>
      </c>
      <c r="AE38" s="7" t="n">
        <f aca="false">INT(Y38)</f>
        <v>3</v>
      </c>
      <c r="AF38" s="7" t="n">
        <f aca="false">Settings!$B$2-SUM(Z38:AE38)</f>
        <v>4</v>
      </c>
      <c r="AG38" s="7" t="n">
        <f aca="false">ROUND(T38-Z38,9)</f>
        <v>0.841584158</v>
      </c>
      <c r="AH38" s="7" t="n">
        <f aca="false">ROUND(U38-AA38,9)</f>
        <v>0.920792079</v>
      </c>
      <c r="AI38" s="7" t="n">
        <f aca="false">ROUND(V38-AB38,9)</f>
        <v>0.178217822</v>
      </c>
      <c r="AJ38" s="7" t="n">
        <f aca="false">ROUND(W38-AC38,9)</f>
        <v>0.920792079</v>
      </c>
      <c r="AK38" s="7" t="n">
        <f aca="false">ROUND(X38-AD38,9)</f>
        <v>0.178217822</v>
      </c>
      <c r="AL38" s="7" t="n">
        <f aca="false">ROUND(Y38-AE38,9)</f>
        <v>0.96039604</v>
      </c>
    </row>
    <row r="39" customFormat="false" ht="15" hidden="false" customHeight="false" outlineLevel="0" collapsed="false">
      <c r="A39" s="2" t="n">
        <v>38</v>
      </c>
      <c r="B39" s="2" t="s">
        <v>108</v>
      </c>
      <c r="C39" s="2" t="s">
        <v>107</v>
      </c>
      <c r="D39" s="2" t="n">
        <v>2</v>
      </c>
      <c r="E39" s="5"/>
      <c r="F39" s="6" t="n">
        <v>50</v>
      </c>
      <c r="G39" s="6" t="n">
        <v>64</v>
      </c>
      <c r="H39" s="6" t="n">
        <v>50</v>
      </c>
      <c r="I39" s="6" t="n">
        <v>45</v>
      </c>
      <c r="J39" s="6" t="n">
        <v>50</v>
      </c>
      <c r="K39" s="6" t="n">
        <v>41</v>
      </c>
      <c r="L39" s="2" t="n">
        <f aca="false">SUM(F39:K39)</f>
        <v>300</v>
      </c>
      <c r="M39" s="7" t="n">
        <f aca="false">Z39+IF(SUMPRODUCT(--($AG39:$AL39&gt;AG39))&lt;$AF39,1,0)</f>
        <v>67</v>
      </c>
      <c r="N39" s="7" t="n">
        <f aca="false">AA39+IF(SUMPRODUCT(--($AG39:$AL39&gt;AH39))+SUMPRODUCT(--($AG39:AG39=AH39))&lt;$AF39,1,0)</f>
        <v>85</v>
      </c>
      <c r="O39" s="7" t="n">
        <f aca="false">AB39+IF(SUMPRODUCT(--($AG39:$AL39&gt;AI39))+SUMPRODUCT(--($AG39:AH39=AI39))&lt;$AF39,1,0)</f>
        <v>67</v>
      </c>
      <c r="P39" s="7" t="n">
        <f aca="false">AC39+IF(SUMPRODUCT(--($AG39:$AL39&gt;AJ39))+SUMPRODUCT(--($AG39:AI39=AJ39))&lt;$AF39,1,0)</f>
        <v>60</v>
      </c>
      <c r="Q39" s="7" t="n">
        <f aca="false">AD39+IF(SUMPRODUCT(--($AG39:$AL39&gt;AK39))+SUMPRODUCT(--($AG39:AJ39=AK39))&lt;$AF39,1,0)</f>
        <v>67</v>
      </c>
      <c r="R39" s="7" t="n">
        <f aca="false">AE39+IF(SUMPRODUCT(--($AG39:$AL39&gt;AL39))+SUMPRODUCT(--($AG39:AK39=AL39))&lt;$AF39,1,0)</f>
        <v>54</v>
      </c>
      <c r="S39" s="7" t="n">
        <f aca="false">SUM(M39:R39)</f>
        <v>400</v>
      </c>
      <c r="T39" s="7" t="n">
        <f aca="false">F39*Settings!$B$2/SUM(F39:K39)</f>
        <v>66.6666666666667</v>
      </c>
      <c r="U39" s="7" t="n">
        <f aca="false">G39*Settings!$B$2/SUM(F39:K39)</f>
        <v>85.3333333333333</v>
      </c>
      <c r="V39" s="7" t="n">
        <f aca="false">H39*Settings!$B$2/SUM(F39:K39)</f>
        <v>66.6666666666667</v>
      </c>
      <c r="W39" s="7" t="n">
        <f aca="false">I39*Settings!$B$2/SUM(F39:K39)</f>
        <v>60</v>
      </c>
      <c r="X39" s="7" t="n">
        <f aca="false">J39*Settings!$B$2/SUM(F39:K39)</f>
        <v>66.6666666666667</v>
      </c>
      <c r="Y39" s="7" t="n">
        <f aca="false">K39*Settings!$B$2/SUM(F39:K39)</f>
        <v>54.6666666666667</v>
      </c>
      <c r="Z39" s="7" t="n">
        <f aca="false">INT(T39)</f>
        <v>66</v>
      </c>
      <c r="AA39" s="7" t="n">
        <f aca="false">INT(U39)</f>
        <v>85</v>
      </c>
      <c r="AB39" s="7" t="n">
        <f aca="false">INT(V39)</f>
        <v>66</v>
      </c>
      <c r="AC39" s="7" t="n">
        <f aca="false">INT(W39)</f>
        <v>60</v>
      </c>
      <c r="AD39" s="7" t="n">
        <f aca="false">INT(X39)</f>
        <v>66</v>
      </c>
      <c r="AE39" s="7" t="n">
        <f aca="false">INT(Y39)</f>
        <v>54</v>
      </c>
      <c r="AF39" s="7" t="n">
        <f aca="false">Settings!$B$2-SUM(Z39:AE39)</f>
        <v>3</v>
      </c>
      <c r="AG39" s="7" t="n">
        <f aca="false">ROUND(T39-Z39,9)</f>
        <v>0.666666667</v>
      </c>
      <c r="AH39" s="7" t="n">
        <f aca="false">ROUND(U39-AA39,9)</f>
        <v>0.333333333</v>
      </c>
      <c r="AI39" s="7" t="n">
        <f aca="false">ROUND(V39-AB39,9)</f>
        <v>0.666666667</v>
      </c>
      <c r="AJ39" s="7" t="n">
        <f aca="false">ROUND(W39-AC39,9)</f>
        <v>0</v>
      </c>
      <c r="AK39" s="7" t="n">
        <f aca="false">ROUND(X39-AD39,9)</f>
        <v>0.666666667</v>
      </c>
      <c r="AL39" s="7" t="n">
        <f aca="false">ROUND(Y39-AE39,9)</f>
        <v>0.666666667</v>
      </c>
    </row>
    <row r="40" customFormat="false" ht="15" hidden="false" customHeight="false" outlineLevel="0" collapsed="false">
      <c r="A40" s="2" t="n">
        <v>39</v>
      </c>
      <c r="B40" s="2" t="s">
        <v>109</v>
      </c>
      <c r="C40" s="2" t="s">
        <v>107</v>
      </c>
      <c r="D40" s="2" t="n">
        <v>3</v>
      </c>
      <c r="E40" s="5"/>
      <c r="F40" s="6" t="n">
        <v>30</v>
      </c>
      <c r="G40" s="6" t="n">
        <v>45</v>
      </c>
      <c r="H40" s="6" t="n">
        <v>135</v>
      </c>
      <c r="I40" s="6" t="n">
        <v>45</v>
      </c>
      <c r="J40" s="6" t="n">
        <v>90</v>
      </c>
      <c r="K40" s="6" t="n">
        <v>30</v>
      </c>
      <c r="L40" s="2" t="n">
        <f aca="false">SUM(F40:K40)</f>
        <v>375</v>
      </c>
      <c r="M40" s="7" t="n">
        <f aca="false">Z40+IF(SUMPRODUCT(--($AG40:$AL40&gt;AG40))&lt;$AF40,1,0)</f>
        <v>32</v>
      </c>
      <c r="N40" s="7" t="n">
        <f aca="false">AA40+IF(SUMPRODUCT(--($AG40:$AL40&gt;AH40))+SUMPRODUCT(--($AG40:AG40=AH40))&lt;$AF40,1,0)</f>
        <v>48</v>
      </c>
      <c r="O40" s="7" t="n">
        <f aca="false">AB40+IF(SUMPRODUCT(--($AG40:$AL40&gt;AI40))+SUMPRODUCT(--($AG40:AH40=AI40))&lt;$AF40,1,0)</f>
        <v>144</v>
      </c>
      <c r="P40" s="7" t="n">
        <f aca="false">AC40+IF(SUMPRODUCT(--($AG40:$AL40&gt;AJ40))+SUMPRODUCT(--($AG40:AI40=AJ40))&lt;$AF40,1,0)</f>
        <v>48</v>
      </c>
      <c r="Q40" s="7" t="n">
        <f aca="false">AD40+IF(SUMPRODUCT(--($AG40:$AL40&gt;AK40))+SUMPRODUCT(--($AG40:AJ40=AK40))&lt;$AF40,1,0)</f>
        <v>96</v>
      </c>
      <c r="R40" s="7" t="n">
        <f aca="false">AE40+IF(SUMPRODUCT(--($AG40:$AL40&gt;AL40))+SUMPRODUCT(--($AG40:AK40=AL40))&lt;$AF40,1,0)</f>
        <v>32</v>
      </c>
      <c r="S40" s="7" t="n">
        <f aca="false">SUM(M40:R40)</f>
        <v>400</v>
      </c>
      <c r="T40" s="7" t="n">
        <f aca="false">F40*Settings!$B$2/SUM(F40:K40)</f>
        <v>32</v>
      </c>
      <c r="U40" s="7" t="n">
        <f aca="false">G40*Settings!$B$2/SUM(F40:K40)</f>
        <v>48</v>
      </c>
      <c r="V40" s="7" t="n">
        <f aca="false">H40*Settings!$B$2/SUM(F40:K40)</f>
        <v>144</v>
      </c>
      <c r="W40" s="7" t="n">
        <f aca="false">I40*Settings!$B$2/SUM(F40:K40)</f>
        <v>48</v>
      </c>
      <c r="X40" s="7" t="n">
        <f aca="false">J40*Settings!$B$2/SUM(F40:K40)</f>
        <v>96</v>
      </c>
      <c r="Y40" s="7" t="n">
        <f aca="false">K40*Settings!$B$2/SUM(F40:K40)</f>
        <v>32</v>
      </c>
      <c r="Z40" s="7" t="n">
        <f aca="false">INT(T40)</f>
        <v>32</v>
      </c>
      <c r="AA40" s="7" t="n">
        <f aca="false">INT(U40)</f>
        <v>48</v>
      </c>
      <c r="AB40" s="7" t="n">
        <f aca="false">INT(V40)</f>
        <v>144</v>
      </c>
      <c r="AC40" s="7" t="n">
        <f aca="false">INT(W40)</f>
        <v>48</v>
      </c>
      <c r="AD40" s="7" t="n">
        <f aca="false">INT(X40)</f>
        <v>96</v>
      </c>
      <c r="AE40" s="7" t="n">
        <f aca="false">INT(Y40)</f>
        <v>32</v>
      </c>
      <c r="AF40" s="7" t="n">
        <f aca="false">Settings!$B$2-SUM(Z40:AE40)</f>
        <v>0</v>
      </c>
      <c r="AG40" s="7" t="n">
        <f aca="false">ROUND(T40-Z40,9)</f>
        <v>0</v>
      </c>
      <c r="AH40" s="7" t="n">
        <f aca="false">ROUND(U40-AA40,9)</f>
        <v>0</v>
      </c>
      <c r="AI40" s="7" t="n">
        <f aca="false">ROUND(V40-AB40,9)</f>
        <v>0</v>
      </c>
      <c r="AJ40" s="7" t="n">
        <f aca="false">ROUND(W40-AC40,9)</f>
        <v>0</v>
      </c>
      <c r="AK40" s="7" t="n">
        <f aca="false">ROUND(X40-AD40,9)</f>
        <v>0</v>
      </c>
      <c r="AL40" s="7" t="n">
        <f aca="false">ROUND(Y40-AE40,9)</f>
        <v>0</v>
      </c>
    </row>
    <row r="41" customFormat="false" ht="15" hidden="false" customHeight="false" outlineLevel="0" collapsed="false">
      <c r="A41" s="2" t="n">
        <v>40</v>
      </c>
      <c r="B41" s="2" t="s">
        <v>110</v>
      </c>
      <c r="C41" s="2" t="s">
        <v>111</v>
      </c>
      <c r="D41" s="2" t="n">
        <v>1</v>
      </c>
      <c r="E41" s="5"/>
      <c r="F41" s="6" t="n">
        <v>30</v>
      </c>
      <c r="G41" s="6" t="n">
        <v>35</v>
      </c>
      <c r="H41" s="6" t="n">
        <v>30</v>
      </c>
      <c r="I41" s="6" t="n">
        <v>100</v>
      </c>
      <c r="J41" s="6" t="n">
        <v>35</v>
      </c>
      <c r="K41" s="6" t="n">
        <v>80</v>
      </c>
      <c r="L41" s="2" t="n">
        <f aca="false">SUM(F41:K41)</f>
        <v>310</v>
      </c>
      <c r="M41" s="7" t="n">
        <f aca="false">Z41+IF(SUMPRODUCT(--($AG41:$AL41&gt;AG41))&lt;$AF41,1,0)</f>
        <v>39</v>
      </c>
      <c r="N41" s="7" t="n">
        <f aca="false">AA41+IF(SUMPRODUCT(--($AG41:$AL41&gt;AH41))+SUMPRODUCT(--($AG41:AG41=AH41))&lt;$AF41,1,0)</f>
        <v>45</v>
      </c>
      <c r="O41" s="7" t="n">
        <f aca="false">AB41+IF(SUMPRODUCT(--($AG41:$AL41&gt;AI41))+SUMPRODUCT(--($AG41:AH41=AI41))&lt;$AF41,1,0)</f>
        <v>39</v>
      </c>
      <c r="P41" s="7" t="n">
        <f aca="false">AC41+IF(SUMPRODUCT(--($AG41:$AL41&gt;AJ41))+SUMPRODUCT(--($AG41:AI41=AJ41))&lt;$AF41,1,0)</f>
        <v>129</v>
      </c>
      <c r="Q41" s="7" t="n">
        <f aca="false">AD41+IF(SUMPRODUCT(--($AG41:$AL41&gt;AK41))+SUMPRODUCT(--($AG41:AJ41=AK41))&lt;$AF41,1,0)</f>
        <v>45</v>
      </c>
      <c r="R41" s="7" t="n">
        <f aca="false">AE41+IF(SUMPRODUCT(--($AG41:$AL41&gt;AL41))+SUMPRODUCT(--($AG41:AK41=AL41))&lt;$AF41,1,0)</f>
        <v>103</v>
      </c>
      <c r="S41" s="7" t="n">
        <f aca="false">SUM(M41:R41)</f>
        <v>400</v>
      </c>
      <c r="T41" s="7" t="n">
        <f aca="false">F41*Settings!$B$2/SUM(F41:K41)</f>
        <v>38.7096774193548</v>
      </c>
      <c r="U41" s="7" t="n">
        <f aca="false">G41*Settings!$B$2/SUM(F41:K41)</f>
        <v>45.1612903225807</v>
      </c>
      <c r="V41" s="7" t="n">
        <f aca="false">H41*Settings!$B$2/SUM(F41:K41)</f>
        <v>38.7096774193548</v>
      </c>
      <c r="W41" s="7" t="n">
        <f aca="false">I41*Settings!$B$2/SUM(F41:K41)</f>
        <v>129.032258064516</v>
      </c>
      <c r="X41" s="7" t="n">
        <f aca="false">J41*Settings!$B$2/SUM(F41:K41)</f>
        <v>45.1612903225807</v>
      </c>
      <c r="Y41" s="7" t="n">
        <f aca="false">K41*Settings!$B$2/SUM(F41:K41)</f>
        <v>103.225806451613</v>
      </c>
      <c r="Z41" s="7" t="n">
        <f aca="false">INT(T41)</f>
        <v>38</v>
      </c>
      <c r="AA41" s="7" t="n">
        <f aca="false">INT(U41)</f>
        <v>45</v>
      </c>
      <c r="AB41" s="7" t="n">
        <f aca="false">INT(V41)</f>
        <v>38</v>
      </c>
      <c r="AC41" s="7" t="n">
        <f aca="false">INT(W41)</f>
        <v>129</v>
      </c>
      <c r="AD41" s="7" t="n">
        <f aca="false">INT(X41)</f>
        <v>45</v>
      </c>
      <c r="AE41" s="7" t="n">
        <f aca="false">INT(Y41)</f>
        <v>103</v>
      </c>
      <c r="AF41" s="7" t="n">
        <f aca="false">Settings!$B$2-SUM(Z41:AE41)</f>
        <v>2</v>
      </c>
      <c r="AG41" s="7" t="n">
        <f aca="false">ROUND(T41-Z41,9)</f>
        <v>0.709677419</v>
      </c>
      <c r="AH41" s="7" t="n">
        <f aca="false">ROUND(U41-AA41,9)</f>
        <v>0.161290323</v>
      </c>
      <c r="AI41" s="7" t="n">
        <f aca="false">ROUND(V41-AB41,9)</f>
        <v>0.709677419</v>
      </c>
      <c r="AJ41" s="7" t="n">
        <f aca="false">ROUND(W41-AC41,9)</f>
        <v>0.032258065</v>
      </c>
      <c r="AK41" s="7" t="n">
        <f aca="false">ROUND(X41-AD41,9)</f>
        <v>0.161290323</v>
      </c>
      <c r="AL41" s="7" t="n">
        <f aca="false">ROUND(Y41-AE41,9)</f>
        <v>0.225806452</v>
      </c>
    </row>
    <row r="42" customFormat="false" ht="15" hidden="false" customHeight="false" outlineLevel="0" collapsed="false">
      <c r="A42" s="2" t="n">
        <v>41</v>
      </c>
      <c r="B42" s="2" t="s">
        <v>112</v>
      </c>
      <c r="C42" s="2" t="s">
        <v>111</v>
      </c>
      <c r="D42" s="2" t="n">
        <v>2</v>
      </c>
      <c r="E42" s="5"/>
      <c r="F42" s="6" t="n">
        <v>60</v>
      </c>
      <c r="G42" s="6" t="n">
        <v>60</v>
      </c>
      <c r="H42" s="6" t="n">
        <v>60</v>
      </c>
      <c r="I42" s="6" t="n">
        <v>85</v>
      </c>
      <c r="J42" s="6" t="n">
        <v>85</v>
      </c>
      <c r="K42" s="6" t="n">
        <v>85</v>
      </c>
      <c r="L42" s="2" t="n">
        <f aca="false">SUM(F42:K42)</f>
        <v>435</v>
      </c>
      <c r="M42" s="7" t="n">
        <f aca="false">Z42+IF(SUMPRODUCT(--($AG42:$AL42&gt;AG42))&lt;$AF42,1,0)</f>
        <v>56</v>
      </c>
      <c r="N42" s="7" t="n">
        <f aca="false">AA42+IF(SUMPRODUCT(--($AG42:$AL42&gt;AH42))+SUMPRODUCT(--($AG42:AG42=AH42))&lt;$AF42,1,0)</f>
        <v>55</v>
      </c>
      <c r="O42" s="7" t="n">
        <f aca="false">AB42+IF(SUMPRODUCT(--($AG42:$AL42&gt;AI42))+SUMPRODUCT(--($AG42:AH42=AI42))&lt;$AF42,1,0)</f>
        <v>55</v>
      </c>
      <c r="P42" s="7" t="n">
        <f aca="false">AC42+IF(SUMPRODUCT(--($AG42:$AL42&gt;AJ42))+SUMPRODUCT(--($AG42:AI42=AJ42))&lt;$AF42,1,0)</f>
        <v>78</v>
      </c>
      <c r="Q42" s="7" t="n">
        <f aca="false">AD42+IF(SUMPRODUCT(--($AG42:$AL42&gt;AK42))+SUMPRODUCT(--($AG42:AJ42=AK42))&lt;$AF42,1,0)</f>
        <v>78</v>
      </c>
      <c r="R42" s="7" t="n">
        <f aca="false">AE42+IF(SUMPRODUCT(--($AG42:$AL42&gt;AL42))+SUMPRODUCT(--($AG42:AK42=AL42))&lt;$AF42,1,0)</f>
        <v>78</v>
      </c>
      <c r="S42" s="7" t="n">
        <f aca="false">SUM(M42:R42)</f>
        <v>400</v>
      </c>
      <c r="T42" s="7" t="n">
        <f aca="false">F42*Settings!$B$2/SUM(F42:K42)</f>
        <v>55.1724137931034</v>
      </c>
      <c r="U42" s="7" t="n">
        <f aca="false">G42*Settings!$B$2/SUM(F42:K42)</f>
        <v>55.1724137931034</v>
      </c>
      <c r="V42" s="7" t="n">
        <f aca="false">H42*Settings!$B$2/SUM(F42:K42)</f>
        <v>55.1724137931034</v>
      </c>
      <c r="W42" s="7" t="n">
        <f aca="false">I42*Settings!$B$2/SUM(F42:K42)</f>
        <v>78.1609195402299</v>
      </c>
      <c r="X42" s="7" t="n">
        <f aca="false">J42*Settings!$B$2/SUM(F42:K42)</f>
        <v>78.1609195402299</v>
      </c>
      <c r="Y42" s="7" t="n">
        <f aca="false">K42*Settings!$B$2/SUM(F42:K42)</f>
        <v>78.1609195402299</v>
      </c>
      <c r="Z42" s="7" t="n">
        <f aca="false">INT(T42)</f>
        <v>55</v>
      </c>
      <c r="AA42" s="7" t="n">
        <f aca="false">INT(U42)</f>
        <v>55</v>
      </c>
      <c r="AB42" s="7" t="n">
        <f aca="false">INT(V42)</f>
        <v>55</v>
      </c>
      <c r="AC42" s="7" t="n">
        <f aca="false">INT(W42)</f>
        <v>78</v>
      </c>
      <c r="AD42" s="7" t="n">
        <f aca="false">INT(X42)</f>
        <v>78</v>
      </c>
      <c r="AE42" s="7" t="n">
        <f aca="false">INT(Y42)</f>
        <v>78</v>
      </c>
      <c r="AF42" s="7" t="n">
        <f aca="false">Settings!$B$2-SUM(Z42:AE42)</f>
        <v>1</v>
      </c>
      <c r="AG42" s="7" t="n">
        <f aca="false">ROUND(T42-Z42,9)</f>
        <v>0.172413793</v>
      </c>
      <c r="AH42" s="7" t="n">
        <f aca="false">ROUND(U42-AA42,9)</f>
        <v>0.172413793</v>
      </c>
      <c r="AI42" s="7" t="n">
        <f aca="false">ROUND(V42-AB42,9)</f>
        <v>0.172413793</v>
      </c>
      <c r="AJ42" s="7" t="n">
        <f aca="false">ROUND(W42-AC42,9)</f>
        <v>0.16091954</v>
      </c>
      <c r="AK42" s="7" t="n">
        <f aca="false">ROUND(X42-AD42,9)</f>
        <v>0.16091954</v>
      </c>
      <c r="AL42" s="7" t="n">
        <f aca="false">ROUND(Y42-AE42,9)</f>
        <v>0.16091954</v>
      </c>
    </row>
    <row r="43" customFormat="false" ht="15" hidden="false" customHeight="false" outlineLevel="0" collapsed="false">
      <c r="A43" s="2" t="n">
        <v>42</v>
      </c>
      <c r="B43" s="2" t="s">
        <v>113</v>
      </c>
      <c r="C43" s="2" t="s">
        <v>111</v>
      </c>
      <c r="D43" s="2" t="n">
        <v>3</v>
      </c>
      <c r="E43" s="5"/>
      <c r="F43" s="6" t="n">
        <v>50</v>
      </c>
      <c r="G43" s="6" t="n">
        <v>75</v>
      </c>
      <c r="H43" s="6" t="n">
        <v>75</v>
      </c>
      <c r="I43" s="6" t="n">
        <v>65</v>
      </c>
      <c r="J43" s="6" t="n">
        <v>65</v>
      </c>
      <c r="K43" s="6" t="n">
        <v>50</v>
      </c>
      <c r="L43" s="2" t="n">
        <f aca="false">SUM(F43:K43)</f>
        <v>380</v>
      </c>
      <c r="M43" s="7" t="n">
        <f aca="false">Z43+IF(SUMPRODUCT(--($AG43:$AL43&gt;AG43))&lt;$AF43,1,0)</f>
        <v>53</v>
      </c>
      <c r="N43" s="7" t="n">
        <f aca="false">AA43+IF(SUMPRODUCT(--($AG43:$AL43&gt;AH43))+SUMPRODUCT(--($AG43:AG43=AH43))&lt;$AF43,1,0)</f>
        <v>79</v>
      </c>
      <c r="O43" s="7" t="n">
        <f aca="false">AB43+IF(SUMPRODUCT(--($AG43:$AL43&gt;AI43))+SUMPRODUCT(--($AG43:AH43=AI43))&lt;$AF43,1,0)</f>
        <v>79</v>
      </c>
      <c r="P43" s="7" t="n">
        <f aca="false">AC43+IF(SUMPRODUCT(--($AG43:$AL43&gt;AJ43))+SUMPRODUCT(--($AG43:AI43=AJ43))&lt;$AF43,1,0)</f>
        <v>68</v>
      </c>
      <c r="Q43" s="7" t="n">
        <f aca="false">AD43+IF(SUMPRODUCT(--($AG43:$AL43&gt;AK43))+SUMPRODUCT(--($AG43:AJ43=AK43))&lt;$AF43,1,0)</f>
        <v>68</v>
      </c>
      <c r="R43" s="7" t="n">
        <f aca="false">AE43+IF(SUMPRODUCT(--($AG43:$AL43&gt;AL43))+SUMPRODUCT(--($AG43:AK43=AL43))&lt;$AF43,1,0)</f>
        <v>53</v>
      </c>
      <c r="S43" s="7" t="n">
        <f aca="false">SUM(M43:R43)</f>
        <v>400</v>
      </c>
      <c r="T43" s="7" t="n">
        <f aca="false">F43*Settings!$B$2/SUM(F43:K43)</f>
        <v>52.6315789473684</v>
      </c>
      <c r="U43" s="7" t="n">
        <f aca="false">G43*Settings!$B$2/SUM(F43:K43)</f>
        <v>78.9473684210526</v>
      </c>
      <c r="V43" s="7" t="n">
        <f aca="false">H43*Settings!$B$2/SUM(F43:K43)</f>
        <v>78.9473684210526</v>
      </c>
      <c r="W43" s="7" t="n">
        <f aca="false">I43*Settings!$B$2/SUM(F43:K43)</f>
        <v>68.421052631579</v>
      </c>
      <c r="X43" s="7" t="n">
        <f aca="false">J43*Settings!$B$2/SUM(F43:K43)</f>
        <v>68.421052631579</v>
      </c>
      <c r="Y43" s="7" t="n">
        <f aca="false">K43*Settings!$B$2/SUM(F43:K43)</f>
        <v>52.6315789473684</v>
      </c>
      <c r="Z43" s="7" t="n">
        <f aca="false">INT(T43)</f>
        <v>52</v>
      </c>
      <c r="AA43" s="7" t="n">
        <f aca="false">INT(U43)</f>
        <v>78</v>
      </c>
      <c r="AB43" s="7" t="n">
        <f aca="false">INT(V43)</f>
        <v>78</v>
      </c>
      <c r="AC43" s="7" t="n">
        <f aca="false">INT(W43)</f>
        <v>68</v>
      </c>
      <c r="AD43" s="7" t="n">
        <f aca="false">INT(X43)</f>
        <v>68</v>
      </c>
      <c r="AE43" s="7" t="n">
        <f aca="false">INT(Y43)</f>
        <v>52</v>
      </c>
      <c r="AF43" s="7" t="n">
        <f aca="false">Settings!$B$2-SUM(Z43:AE43)</f>
        <v>4</v>
      </c>
      <c r="AG43" s="7" t="n">
        <f aca="false">ROUND(T43-Z43,9)</f>
        <v>0.631578947</v>
      </c>
      <c r="AH43" s="7" t="n">
        <f aca="false">ROUND(U43-AA43,9)</f>
        <v>0.947368421</v>
      </c>
      <c r="AI43" s="7" t="n">
        <f aca="false">ROUND(V43-AB43,9)</f>
        <v>0.947368421</v>
      </c>
      <c r="AJ43" s="7" t="n">
        <f aca="false">ROUND(W43-AC43,9)</f>
        <v>0.421052632</v>
      </c>
      <c r="AK43" s="7" t="n">
        <f aca="false">ROUND(X43-AD43,9)</f>
        <v>0.421052632</v>
      </c>
      <c r="AL43" s="7" t="n">
        <f aca="false">ROUND(Y43-AE43,9)</f>
        <v>0.631578947</v>
      </c>
    </row>
    <row r="44" customFormat="false" ht="15" hidden="false" customHeight="false" outlineLevel="0" collapsed="false">
      <c r="A44" s="2" t="n">
        <v>43</v>
      </c>
      <c r="B44" s="2" t="s">
        <v>114</v>
      </c>
      <c r="C44" s="2" t="s">
        <v>115</v>
      </c>
      <c r="D44" s="2" t="n">
        <v>1</v>
      </c>
      <c r="E44" s="5"/>
      <c r="F44" s="6" t="n">
        <v>41</v>
      </c>
      <c r="G44" s="6" t="n">
        <v>64</v>
      </c>
      <c r="H44" s="6" t="n">
        <v>45</v>
      </c>
      <c r="I44" s="6" t="n">
        <v>50</v>
      </c>
      <c r="J44" s="6" t="n">
        <v>50</v>
      </c>
      <c r="K44" s="6" t="n">
        <v>50</v>
      </c>
      <c r="L44" s="2" t="n">
        <f aca="false">SUM(F44:K44)</f>
        <v>300</v>
      </c>
      <c r="M44" s="7" t="n">
        <f aca="false">Z44+IF(SUMPRODUCT(--($AG44:$AL44&gt;AG44))&lt;$AF44,1,0)</f>
        <v>55</v>
      </c>
      <c r="N44" s="7" t="n">
        <f aca="false">AA44+IF(SUMPRODUCT(--($AG44:$AL44&gt;AH44))+SUMPRODUCT(--($AG44:AG44=AH44))&lt;$AF44,1,0)</f>
        <v>85</v>
      </c>
      <c r="O44" s="7" t="n">
        <f aca="false">AB44+IF(SUMPRODUCT(--($AG44:$AL44&gt;AI44))+SUMPRODUCT(--($AG44:AH44=AI44))&lt;$AF44,1,0)</f>
        <v>60</v>
      </c>
      <c r="P44" s="7" t="n">
        <f aca="false">AC44+IF(SUMPRODUCT(--($AG44:$AL44&gt;AJ44))+SUMPRODUCT(--($AG44:AI44=AJ44))&lt;$AF44,1,0)</f>
        <v>67</v>
      </c>
      <c r="Q44" s="7" t="n">
        <f aca="false">AD44+IF(SUMPRODUCT(--($AG44:$AL44&gt;AK44))+SUMPRODUCT(--($AG44:AJ44=AK44))&lt;$AF44,1,0)</f>
        <v>67</v>
      </c>
      <c r="R44" s="7" t="n">
        <f aca="false">AE44+IF(SUMPRODUCT(--($AG44:$AL44&gt;AL44))+SUMPRODUCT(--($AG44:AK44=AL44))&lt;$AF44,1,0)</f>
        <v>66</v>
      </c>
      <c r="S44" s="7" t="n">
        <f aca="false">SUM(M44:R44)</f>
        <v>400</v>
      </c>
      <c r="T44" s="7" t="n">
        <f aca="false">F44*Settings!$B$2/SUM(F44:K44)</f>
        <v>54.6666666666667</v>
      </c>
      <c r="U44" s="7" t="n">
        <f aca="false">G44*Settings!$B$2/SUM(F44:K44)</f>
        <v>85.3333333333333</v>
      </c>
      <c r="V44" s="7" t="n">
        <f aca="false">H44*Settings!$B$2/SUM(F44:K44)</f>
        <v>60</v>
      </c>
      <c r="W44" s="7" t="n">
        <f aca="false">I44*Settings!$B$2/SUM(F44:K44)</f>
        <v>66.6666666666667</v>
      </c>
      <c r="X44" s="7" t="n">
        <f aca="false">J44*Settings!$B$2/SUM(F44:K44)</f>
        <v>66.6666666666667</v>
      </c>
      <c r="Y44" s="7" t="n">
        <f aca="false">K44*Settings!$B$2/SUM(F44:K44)</f>
        <v>66.6666666666667</v>
      </c>
      <c r="Z44" s="7" t="n">
        <f aca="false">INT(T44)</f>
        <v>54</v>
      </c>
      <c r="AA44" s="7" t="n">
        <f aca="false">INT(U44)</f>
        <v>85</v>
      </c>
      <c r="AB44" s="7" t="n">
        <f aca="false">INT(V44)</f>
        <v>60</v>
      </c>
      <c r="AC44" s="7" t="n">
        <f aca="false">INT(W44)</f>
        <v>66</v>
      </c>
      <c r="AD44" s="7" t="n">
        <f aca="false">INT(X44)</f>
        <v>66</v>
      </c>
      <c r="AE44" s="7" t="n">
        <f aca="false">INT(Y44)</f>
        <v>66</v>
      </c>
      <c r="AF44" s="7" t="n">
        <f aca="false">Settings!$B$2-SUM(Z44:AE44)</f>
        <v>3</v>
      </c>
      <c r="AG44" s="7" t="n">
        <f aca="false">ROUND(T44-Z44,9)</f>
        <v>0.666666667</v>
      </c>
      <c r="AH44" s="7" t="n">
        <f aca="false">ROUND(U44-AA44,9)</f>
        <v>0.333333333</v>
      </c>
      <c r="AI44" s="7" t="n">
        <f aca="false">ROUND(V44-AB44,9)</f>
        <v>0</v>
      </c>
      <c r="AJ44" s="7" t="n">
        <f aca="false">ROUND(W44-AC44,9)</f>
        <v>0.666666667</v>
      </c>
      <c r="AK44" s="7" t="n">
        <f aca="false">ROUND(X44-AD44,9)</f>
        <v>0.666666667</v>
      </c>
      <c r="AL44" s="7" t="n">
        <f aca="false">ROUND(Y44-AE44,9)</f>
        <v>0.666666667</v>
      </c>
    </row>
    <row r="45" customFormat="false" ht="15" hidden="false" customHeight="false" outlineLevel="0" collapsed="false">
      <c r="A45" s="2" t="n">
        <v>44</v>
      </c>
      <c r="B45" s="2" t="s">
        <v>116</v>
      </c>
      <c r="C45" s="2" t="s">
        <v>115</v>
      </c>
      <c r="D45" s="2" t="n">
        <v>3</v>
      </c>
      <c r="E45" s="5"/>
      <c r="F45" s="6" t="n">
        <v>45</v>
      </c>
      <c r="G45" s="6" t="n">
        <v>75</v>
      </c>
      <c r="H45" s="6" t="n">
        <v>60</v>
      </c>
      <c r="I45" s="6" t="n">
        <v>40</v>
      </c>
      <c r="J45" s="6" t="n">
        <v>30</v>
      </c>
      <c r="K45" s="6" t="n">
        <v>50</v>
      </c>
      <c r="L45" s="2" t="n">
        <f aca="false">SUM(F45:K45)</f>
        <v>300</v>
      </c>
      <c r="M45" s="7" t="n">
        <f aca="false">Z45+IF(SUMPRODUCT(--($AG45:$AL45&gt;AG45))&lt;$AF45,1,0)</f>
        <v>60</v>
      </c>
      <c r="N45" s="7" t="n">
        <f aca="false">AA45+IF(SUMPRODUCT(--($AG45:$AL45&gt;AH45))+SUMPRODUCT(--($AG45:AG45=AH45))&lt;$AF45,1,0)</f>
        <v>100</v>
      </c>
      <c r="O45" s="7" t="n">
        <f aca="false">AB45+IF(SUMPRODUCT(--($AG45:$AL45&gt;AI45))+SUMPRODUCT(--($AG45:AH45=AI45))&lt;$AF45,1,0)</f>
        <v>80</v>
      </c>
      <c r="P45" s="7" t="n">
        <f aca="false">AC45+IF(SUMPRODUCT(--($AG45:$AL45&gt;AJ45))+SUMPRODUCT(--($AG45:AI45=AJ45))&lt;$AF45,1,0)</f>
        <v>53</v>
      </c>
      <c r="Q45" s="7" t="n">
        <f aca="false">AD45+IF(SUMPRODUCT(--($AG45:$AL45&gt;AK45))+SUMPRODUCT(--($AG45:AJ45=AK45))&lt;$AF45,1,0)</f>
        <v>40</v>
      </c>
      <c r="R45" s="7" t="n">
        <f aca="false">AE45+IF(SUMPRODUCT(--($AG45:$AL45&gt;AL45))+SUMPRODUCT(--($AG45:AK45=AL45))&lt;$AF45,1,0)</f>
        <v>67</v>
      </c>
      <c r="S45" s="7" t="n">
        <f aca="false">SUM(M45:R45)</f>
        <v>400</v>
      </c>
      <c r="T45" s="7" t="n">
        <f aca="false">F45*Settings!$B$2/SUM(F45:K45)</f>
        <v>60</v>
      </c>
      <c r="U45" s="7" t="n">
        <f aca="false">G45*Settings!$B$2/SUM(F45:K45)</f>
        <v>100</v>
      </c>
      <c r="V45" s="7" t="n">
        <f aca="false">H45*Settings!$B$2/SUM(F45:K45)</f>
        <v>80</v>
      </c>
      <c r="W45" s="7" t="n">
        <f aca="false">I45*Settings!$B$2/SUM(F45:K45)</f>
        <v>53.3333333333333</v>
      </c>
      <c r="X45" s="7" t="n">
        <f aca="false">J45*Settings!$B$2/SUM(F45:K45)</f>
        <v>40</v>
      </c>
      <c r="Y45" s="7" t="n">
        <f aca="false">K45*Settings!$B$2/SUM(F45:K45)</f>
        <v>66.6666666666667</v>
      </c>
      <c r="Z45" s="7" t="n">
        <f aca="false">INT(T45)</f>
        <v>60</v>
      </c>
      <c r="AA45" s="7" t="n">
        <f aca="false">INT(U45)</f>
        <v>100</v>
      </c>
      <c r="AB45" s="7" t="n">
        <f aca="false">INT(V45)</f>
        <v>80</v>
      </c>
      <c r="AC45" s="7" t="n">
        <f aca="false">INT(W45)</f>
        <v>53</v>
      </c>
      <c r="AD45" s="7" t="n">
        <f aca="false">INT(X45)</f>
        <v>40</v>
      </c>
      <c r="AE45" s="7" t="n">
        <f aca="false">INT(Y45)</f>
        <v>66</v>
      </c>
      <c r="AF45" s="7" t="n">
        <f aca="false">Settings!$B$2-SUM(Z45:AE45)</f>
        <v>1</v>
      </c>
      <c r="AG45" s="7" t="n">
        <f aca="false">ROUND(T45-Z45,9)</f>
        <v>0</v>
      </c>
      <c r="AH45" s="7" t="n">
        <f aca="false">ROUND(U45-AA45,9)</f>
        <v>0</v>
      </c>
      <c r="AI45" s="7" t="n">
        <f aca="false">ROUND(V45-AB45,9)</f>
        <v>0</v>
      </c>
      <c r="AJ45" s="7" t="n">
        <f aca="false">ROUND(W45-AC45,9)</f>
        <v>0.333333333</v>
      </c>
      <c r="AK45" s="7" t="n">
        <f aca="false">ROUND(X45-AD45,9)</f>
        <v>0</v>
      </c>
      <c r="AL45" s="7" t="n">
        <f aca="false">ROUND(Y45-AE45,9)</f>
        <v>0.666666667</v>
      </c>
    </row>
    <row r="46" customFormat="false" ht="15" hidden="false" customHeight="false" outlineLevel="0" collapsed="false">
      <c r="A46" s="2" t="n">
        <v>45</v>
      </c>
      <c r="B46" s="2" t="s">
        <v>117</v>
      </c>
      <c r="C46" s="2" t="s">
        <v>118</v>
      </c>
      <c r="D46" s="2" t="n">
        <v>2</v>
      </c>
      <c r="E46" s="5"/>
      <c r="F46" s="6" t="n">
        <v>55</v>
      </c>
      <c r="G46" s="6" t="n">
        <v>95</v>
      </c>
      <c r="H46" s="6" t="n">
        <v>55</v>
      </c>
      <c r="I46" s="6" t="n">
        <v>35</v>
      </c>
      <c r="J46" s="6" t="n">
        <v>75</v>
      </c>
      <c r="K46" s="6" t="n">
        <v>115</v>
      </c>
      <c r="L46" s="2" t="n">
        <f aca="false">SUM(F46:K46)</f>
        <v>430</v>
      </c>
      <c r="M46" s="7" t="n">
        <f aca="false">Z46+IF(SUMPRODUCT(--($AG46:$AL46&gt;AG46))&lt;$AF46,1,0)</f>
        <v>51</v>
      </c>
      <c r="N46" s="7" t="n">
        <f aca="false">AA46+IF(SUMPRODUCT(--($AG46:$AL46&gt;AH46))+SUMPRODUCT(--($AG46:AG46=AH46))&lt;$AF46,1,0)</f>
        <v>88</v>
      </c>
      <c r="O46" s="7" t="n">
        <f aca="false">AB46+IF(SUMPRODUCT(--($AG46:$AL46&gt;AI46))+SUMPRODUCT(--($AG46:AH46=AI46))&lt;$AF46,1,0)</f>
        <v>51</v>
      </c>
      <c r="P46" s="7" t="n">
        <f aca="false">AC46+IF(SUMPRODUCT(--($AG46:$AL46&gt;AJ46))+SUMPRODUCT(--($AG46:AI46=AJ46))&lt;$AF46,1,0)</f>
        <v>33</v>
      </c>
      <c r="Q46" s="7" t="n">
        <f aca="false">AD46+IF(SUMPRODUCT(--($AG46:$AL46&gt;AK46))+SUMPRODUCT(--($AG46:AJ46=AK46))&lt;$AF46,1,0)</f>
        <v>70</v>
      </c>
      <c r="R46" s="7" t="n">
        <f aca="false">AE46+IF(SUMPRODUCT(--($AG46:$AL46&gt;AL46))+SUMPRODUCT(--($AG46:AK46=AL46))&lt;$AF46,1,0)</f>
        <v>107</v>
      </c>
      <c r="S46" s="7" t="n">
        <f aca="false">SUM(M46:R46)</f>
        <v>400</v>
      </c>
      <c r="T46" s="7" t="n">
        <f aca="false">F46*Settings!$B$2/SUM(F46:K46)</f>
        <v>51.1627906976744</v>
      </c>
      <c r="U46" s="7" t="n">
        <f aca="false">G46*Settings!$B$2/SUM(F46:K46)</f>
        <v>88.3720930232558</v>
      </c>
      <c r="V46" s="7" t="n">
        <f aca="false">H46*Settings!$B$2/SUM(F46:K46)</f>
        <v>51.1627906976744</v>
      </c>
      <c r="W46" s="7" t="n">
        <f aca="false">I46*Settings!$B$2/SUM(F46:K46)</f>
        <v>32.5581395348837</v>
      </c>
      <c r="X46" s="7" t="n">
        <f aca="false">J46*Settings!$B$2/SUM(F46:K46)</f>
        <v>69.7674418604651</v>
      </c>
      <c r="Y46" s="7" t="n">
        <f aca="false">K46*Settings!$B$2/SUM(F46:K46)</f>
        <v>106.976744186047</v>
      </c>
      <c r="Z46" s="7" t="n">
        <f aca="false">INT(T46)</f>
        <v>51</v>
      </c>
      <c r="AA46" s="7" t="n">
        <f aca="false">INT(U46)</f>
        <v>88</v>
      </c>
      <c r="AB46" s="7" t="n">
        <f aca="false">INT(V46)</f>
        <v>51</v>
      </c>
      <c r="AC46" s="7" t="n">
        <f aca="false">INT(W46)</f>
        <v>32</v>
      </c>
      <c r="AD46" s="7" t="n">
        <f aca="false">INT(X46)</f>
        <v>69</v>
      </c>
      <c r="AE46" s="7" t="n">
        <f aca="false">INT(Y46)</f>
        <v>106</v>
      </c>
      <c r="AF46" s="7" t="n">
        <f aca="false">Settings!$B$2-SUM(Z46:AE46)</f>
        <v>3</v>
      </c>
      <c r="AG46" s="7" t="n">
        <f aca="false">ROUND(T46-Z46,9)</f>
        <v>0.162790698</v>
      </c>
      <c r="AH46" s="7" t="n">
        <f aca="false">ROUND(U46-AA46,9)</f>
        <v>0.372093023</v>
      </c>
      <c r="AI46" s="7" t="n">
        <f aca="false">ROUND(V46-AB46,9)</f>
        <v>0.162790698</v>
      </c>
      <c r="AJ46" s="7" t="n">
        <f aca="false">ROUND(W46-AC46,9)</f>
        <v>0.558139535</v>
      </c>
      <c r="AK46" s="7" t="n">
        <f aca="false">ROUND(X46-AD46,9)</f>
        <v>0.76744186</v>
      </c>
      <c r="AL46" s="7" t="n">
        <f aca="false">ROUND(Y46-AE46,9)</f>
        <v>0.976744186</v>
      </c>
    </row>
    <row r="47" customFormat="false" ht="15" hidden="false" customHeight="false" outlineLevel="0" collapsed="false">
      <c r="A47" s="2" t="n">
        <v>46</v>
      </c>
      <c r="B47" s="2" t="s">
        <v>119</v>
      </c>
      <c r="C47" s="2" t="s">
        <v>118</v>
      </c>
      <c r="D47" s="2" t="n">
        <v>2</v>
      </c>
      <c r="E47" s="5"/>
      <c r="F47" s="6" t="n">
        <v>45</v>
      </c>
      <c r="G47" s="6" t="n">
        <v>60</v>
      </c>
      <c r="H47" s="6" t="n">
        <v>30</v>
      </c>
      <c r="I47" s="6" t="n">
        <v>80</v>
      </c>
      <c r="J47" s="6" t="n">
        <v>50</v>
      </c>
      <c r="K47" s="6" t="n">
        <v>65</v>
      </c>
      <c r="L47" s="2" t="n">
        <f aca="false">SUM(F47:K47)</f>
        <v>330</v>
      </c>
      <c r="M47" s="7" t="n">
        <f aca="false">Z47+IF(SUMPRODUCT(--($AG47:$AL47&gt;AG47))&lt;$AF47,1,0)</f>
        <v>54</v>
      </c>
      <c r="N47" s="7" t="n">
        <f aca="false">AA47+IF(SUMPRODUCT(--($AG47:$AL47&gt;AH47))+SUMPRODUCT(--($AG47:AG47=AH47))&lt;$AF47,1,0)</f>
        <v>73</v>
      </c>
      <c r="O47" s="7" t="n">
        <f aca="false">AB47+IF(SUMPRODUCT(--($AG47:$AL47&gt;AI47))+SUMPRODUCT(--($AG47:AH47=AI47))&lt;$AF47,1,0)</f>
        <v>36</v>
      </c>
      <c r="P47" s="7" t="n">
        <f aca="false">AC47+IF(SUMPRODUCT(--($AG47:$AL47&gt;AJ47))+SUMPRODUCT(--($AG47:AI47=AJ47))&lt;$AF47,1,0)</f>
        <v>97</v>
      </c>
      <c r="Q47" s="7" t="n">
        <f aca="false">AD47+IF(SUMPRODUCT(--($AG47:$AL47&gt;AK47))+SUMPRODUCT(--($AG47:AJ47=AK47))&lt;$AF47,1,0)</f>
        <v>61</v>
      </c>
      <c r="R47" s="7" t="n">
        <f aca="false">AE47+IF(SUMPRODUCT(--($AG47:$AL47&gt;AL47))+SUMPRODUCT(--($AG47:AK47=AL47))&lt;$AF47,1,0)</f>
        <v>79</v>
      </c>
      <c r="S47" s="7" t="n">
        <f aca="false">SUM(M47:R47)</f>
        <v>400</v>
      </c>
      <c r="T47" s="7" t="n">
        <f aca="false">F47*Settings!$B$2/SUM(F47:K47)</f>
        <v>54.5454545454546</v>
      </c>
      <c r="U47" s="7" t="n">
        <f aca="false">G47*Settings!$B$2/SUM(F47:K47)</f>
        <v>72.7272727272727</v>
      </c>
      <c r="V47" s="7" t="n">
        <f aca="false">H47*Settings!$B$2/SUM(F47:K47)</f>
        <v>36.3636363636364</v>
      </c>
      <c r="W47" s="7" t="n">
        <f aca="false">I47*Settings!$B$2/SUM(F47:K47)</f>
        <v>96.969696969697</v>
      </c>
      <c r="X47" s="7" t="n">
        <f aca="false">J47*Settings!$B$2/SUM(F47:K47)</f>
        <v>60.6060606060606</v>
      </c>
      <c r="Y47" s="7" t="n">
        <f aca="false">K47*Settings!$B$2/SUM(F47:K47)</f>
        <v>78.7878787878788</v>
      </c>
      <c r="Z47" s="7" t="n">
        <f aca="false">INT(T47)</f>
        <v>54</v>
      </c>
      <c r="AA47" s="7" t="n">
        <f aca="false">INT(U47)</f>
        <v>72</v>
      </c>
      <c r="AB47" s="7" t="n">
        <f aca="false">INT(V47)</f>
        <v>36</v>
      </c>
      <c r="AC47" s="7" t="n">
        <f aca="false">INT(W47)</f>
        <v>96</v>
      </c>
      <c r="AD47" s="7" t="n">
        <f aca="false">INT(X47)</f>
        <v>60</v>
      </c>
      <c r="AE47" s="7" t="n">
        <f aca="false">INT(Y47)</f>
        <v>78</v>
      </c>
      <c r="AF47" s="7" t="n">
        <f aca="false">Settings!$B$2-SUM(Z47:AE47)</f>
        <v>4</v>
      </c>
      <c r="AG47" s="7" t="n">
        <f aca="false">ROUND(T47-Z47,9)</f>
        <v>0.545454545</v>
      </c>
      <c r="AH47" s="7" t="n">
        <f aca="false">ROUND(U47-AA47,9)</f>
        <v>0.727272727</v>
      </c>
      <c r="AI47" s="7" t="n">
        <f aca="false">ROUND(V47-AB47,9)</f>
        <v>0.363636364</v>
      </c>
      <c r="AJ47" s="7" t="n">
        <f aca="false">ROUND(W47-AC47,9)</f>
        <v>0.96969697</v>
      </c>
      <c r="AK47" s="7" t="n">
        <f aca="false">ROUND(X47-AD47,9)</f>
        <v>0.606060606</v>
      </c>
      <c r="AL47" s="7" t="n">
        <f aca="false">ROUND(Y47-AE47,9)</f>
        <v>0.787878788</v>
      </c>
    </row>
    <row r="48" customFormat="false" ht="15" hidden="false" customHeight="false" outlineLevel="0" collapsed="false">
      <c r="A48" s="2" t="n">
        <v>47</v>
      </c>
      <c r="B48" s="2" t="s">
        <v>120</v>
      </c>
      <c r="C48" s="2" t="s">
        <v>118</v>
      </c>
      <c r="D48" s="2" t="n">
        <v>3</v>
      </c>
      <c r="E48" s="5"/>
      <c r="F48" s="6" t="n">
        <v>45</v>
      </c>
      <c r="G48" s="6" t="n">
        <v>90</v>
      </c>
      <c r="H48" s="6" t="n">
        <v>20</v>
      </c>
      <c r="I48" s="6" t="n">
        <v>65</v>
      </c>
      <c r="J48" s="6" t="n">
        <v>20</v>
      </c>
      <c r="K48" s="6" t="n">
        <v>65</v>
      </c>
      <c r="L48" s="2" t="n">
        <f aca="false">SUM(F48:K48)</f>
        <v>305</v>
      </c>
      <c r="M48" s="7" t="n">
        <f aca="false">Z48+IF(SUMPRODUCT(--($AG48:$AL48&gt;AG48))&lt;$AF48,1,0)</f>
        <v>59</v>
      </c>
      <c r="N48" s="7" t="n">
        <f aca="false">AA48+IF(SUMPRODUCT(--($AG48:$AL48&gt;AH48))+SUMPRODUCT(--($AG48:AG48=AH48))&lt;$AF48,1,0)</f>
        <v>118</v>
      </c>
      <c r="O48" s="7" t="n">
        <f aca="false">AB48+IF(SUMPRODUCT(--($AG48:$AL48&gt;AI48))+SUMPRODUCT(--($AG48:AH48=AI48))&lt;$AF48,1,0)</f>
        <v>26</v>
      </c>
      <c r="P48" s="7" t="n">
        <f aca="false">AC48+IF(SUMPRODUCT(--($AG48:$AL48&gt;AJ48))+SUMPRODUCT(--($AG48:AI48=AJ48))&lt;$AF48,1,0)</f>
        <v>86</v>
      </c>
      <c r="Q48" s="7" t="n">
        <f aca="false">AD48+IF(SUMPRODUCT(--($AG48:$AL48&gt;AK48))+SUMPRODUCT(--($AG48:AJ48=AK48))&lt;$AF48,1,0)</f>
        <v>26</v>
      </c>
      <c r="R48" s="7" t="n">
        <f aca="false">AE48+IF(SUMPRODUCT(--($AG48:$AL48&gt;AL48))+SUMPRODUCT(--($AG48:AK48=AL48))&lt;$AF48,1,0)</f>
        <v>85</v>
      </c>
      <c r="S48" s="7" t="n">
        <f aca="false">SUM(M48:R48)</f>
        <v>400</v>
      </c>
      <c r="T48" s="7" t="n">
        <f aca="false">F48*Settings!$B$2/SUM(F48:K48)</f>
        <v>59.016393442623</v>
      </c>
      <c r="U48" s="7" t="n">
        <f aca="false">G48*Settings!$B$2/SUM(F48:K48)</f>
        <v>118.032786885246</v>
      </c>
      <c r="V48" s="7" t="n">
        <f aca="false">H48*Settings!$B$2/SUM(F48:K48)</f>
        <v>26.2295081967213</v>
      </c>
      <c r="W48" s="7" t="n">
        <f aca="false">I48*Settings!$B$2/SUM(F48:K48)</f>
        <v>85.2459016393443</v>
      </c>
      <c r="X48" s="7" t="n">
        <f aca="false">J48*Settings!$B$2/SUM(F48:K48)</f>
        <v>26.2295081967213</v>
      </c>
      <c r="Y48" s="7" t="n">
        <f aca="false">K48*Settings!$B$2/SUM(F48:K48)</f>
        <v>85.2459016393443</v>
      </c>
      <c r="Z48" s="7" t="n">
        <f aca="false">INT(T48)</f>
        <v>59</v>
      </c>
      <c r="AA48" s="7" t="n">
        <f aca="false">INT(U48)</f>
        <v>118</v>
      </c>
      <c r="AB48" s="7" t="n">
        <f aca="false">INT(V48)</f>
        <v>26</v>
      </c>
      <c r="AC48" s="7" t="n">
        <f aca="false">INT(W48)</f>
        <v>85</v>
      </c>
      <c r="AD48" s="7" t="n">
        <f aca="false">INT(X48)</f>
        <v>26</v>
      </c>
      <c r="AE48" s="7" t="n">
        <f aca="false">INT(Y48)</f>
        <v>85</v>
      </c>
      <c r="AF48" s="7" t="n">
        <f aca="false">Settings!$B$2-SUM(Z48:AE48)</f>
        <v>1</v>
      </c>
      <c r="AG48" s="7" t="n">
        <f aca="false">ROUND(T48-Z48,9)</f>
        <v>0.016393443</v>
      </c>
      <c r="AH48" s="7" t="n">
        <f aca="false">ROUND(U48-AA48,9)</f>
        <v>0.032786885</v>
      </c>
      <c r="AI48" s="7" t="n">
        <f aca="false">ROUND(V48-AB48,9)</f>
        <v>0.229508197</v>
      </c>
      <c r="AJ48" s="7" t="n">
        <f aca="false">ROUND(W48-AC48,9)</f>
        <v>0.245901639</v>
      </c>
      <c r="AK48" s="7" t="n">
        <f aca="false">ROUND(X48-AD48,9)</f>
        <v>0.229508197</v>
      </c>
      <c r="AL48" s="7" t="n">
        <f aca="false">ROUND(Y48-AE48,9)</f>
        <v>0.245901639</v>
      </c>
    </row>
    <row r="49" customFormat="false" ht="15" hidden="false" customHeight="false" outlineLevel="0" collapsed="false">
      <c r="A49" s="2" t="n">
        <v>48</v>
      </c>
      <c r="B49" s="2" t="s">
        <v>121</v>
      </c>
      <c r="C49" s="2" t="s">
        <v>122</v>
      </c>
      <c r="D49" s="2" t="n">
        <v>1</v>
      </c>
      <c r="E49" s="5"/>
      <c r="F49" s="6" t="n">
        <v>25</v>
      </c>
      <c r="G49" s="6" t="n">
        <v>35</v>
      </c>
      <c r="H49" s="6" t="n">
        <v>70</v>
      </c>
      <c r="I49" s="6" t="n">
        <v>95</v>
      </c>
      <c r="J49" s="6" t="n">
        <v>55</v>
      </c>
      <c r="K49" s="6" t="n">
        <v>45</v>
      </c>
      <c r="L49" s="2" t="n">
        <f aca="false">SUM(F49:K49)</f>
        <v>325</v>
      </c>
      <c r="M49" s="7" t="n">
        <f aca="false">Z49+IF(SUMPRODUCT(--($AG49:$AL49&gt;AG49))&lt;$AF49,1,0)</f>
        <v>31</v>
      </c>
      <c r="N49" s="7" t="n">
        <f aca="false">AA49+IF(SUMPRODUCT(--($AG49:$AL49&gt;AH49))+SUMPRODUCT(--($AG49:AG49=AH49))&lt;$AF49,1,0)</f>
        <v>43</v>
      </c>
      <c r="O49" s="7" t="n">
        <f aca="false">AB49+IF(SUMPRODUCT(--($AG49:$AL49&gt;AI49))+SUMPRODUCT(--($AG49:AH49=AI49))&lt;$AF49,1,0)</f>
        <v>86</v>
      </c>
      <c r="P49" s="7" t="n">
        <f aca="false">AC49+IF(SUMPRODUCT(--($AG49:$AL49&gt;AJ49))+SUMPRODUCT(--($AG49:AI49=AJ49))&lt;$AF49,1,0)</f>
        <v>117</v>
      </c>
      <c r="Q49" s="7" t="n">
        <f aca="false">AD49+IF(SUMPRODUCT(--($AG49:$AL49&gt;AK49))+SUMPRODUCT(--($AG49:AJ49=AK49))&lt;$AF49,1,0)</f>
        <v>68</v>
      </c>
      <c r="R49" s="7" t="n">
        <f aca="false">AE49+IF(SUMPRODUCT(--($AG49:$AL49&gt;AL49))+SUMPRODUCT(--($AG49:AK49=AL49))&lt;$AF49,1,0)</f>
        <v>55</v>
      </c>
      <c r="S49" s="7" t="n">
        <f aca="false">SUM(M49:R49)</f>
        <v>400</v>
      </c>
      <c r="T49" s="7" t="n">
        <f aca="false">F49*Settings!$B$2/SUM(F49:K49)</f>
        <v>30.7692307692308</v>
      </c>
      <c r="U49" s="7" t="n">
        <f aca="false">G49*Settings!$B$2/SUM(F49:K49)</f>
        <v>43.0769230769231</v>
      </c>
      <c r="V49" s="7" t="n">
        <f aca="false">H49*Settings!$B$2/SUM(F49:K49)</f>
        <v>86.1538461538462</v>
      </c>
      <c r="W49" s="7" t="n">
        <f aca="false">I49*Settings!$B$2/SUM(F49:K49)</f>
        <v>116.923076923077</v>
      </c>
      <c r="X49" s="7" t="n">
        <f aca="false">J49*Settings!$B$2/SUM(F49:K49)</f>
        <v>67.6923076923077</v>
      </c>
      <c r="Y49" s="7" t="n">
        <f aca="false">K49*Settings!$B$2/SUM(F49:K49)</f>
        <v>55.3846153846154</v>
      </c>
      <c r="Z49" s="7" t="n">
        <f aca="false">INT(T49)</f>
        <v>30</v>
      </c>
      <c r="AA49" s="7" t="n">
        <f aca="false">INT(U49)</f>
        <v>43</v>
      </c>
      <c r="AB49" s="7" t="n">
        <f aca="false">INT(V49)</f>
        <v>86</v>
      </c>
      <c r="AC49" s="7" t="n">
        <f aca="false">INT(W49)</f>
        <v>116</v>
      </c>
      <c r="AD49" s="7" t="n">
        <f aca="false">INT(X49)</f>
        <v>67</v>
      </c>
      <c r="AE49" s="7" t="n">
        <f aca="false">INT(Y49)</f>
        <v>55</v>
      </c>
      <c r="AF49" s="7" t="n">
        <f aca="false">Settings!$B$2-SUM(Z49:AE49)</f>
        <v>3</v>
      </c>
      <c r="AG49" s="7" t="n">
        <f aca="false">ROUND(T49-Z49,9)</f>
        <v>0.769230769</v>
      </c>
      <c r="AH49" s="7" t="n">
        <f aca="false">ROUND(U49-AA49,9)</f>
        <v>0.076923077</v>
      </c>
      <c r="AI49" s="7" t="n">
        <f aca="false">ROUND(V49-AB49,9)</f>
        <v>0.153846154</v>
      </c>
      <c r="AJ49" s="7" t="n">
        <f aca="false">ROUND(W49-AC49,9)</f>
        <v>0.923076923</v>
      </c>
      <c r="AK49" s="7" t="n">
        <f aca="false">ROUND(X49-AD49,9)</f>
        <v>0.692307692</v>
      </c>
      <c r="AL49" s="7" t="n">
        <f aca="false">ROUND(Y49-AE49,9)</f>
        <v>0.384615385</v>
      </c>
    </row>
    <row r="50" customFormat="false" ht="15" hidden="false" customHeight="false" outlineLevel="0" collapsed="false">
      <c r="A50" s="2" t="n">
        <v>49</v>
      </c>
      <c r="B50" s="2" t="s">
        <v>123</v>
      </c>
      <c r="C50" s="2" t="s">
        <v>122</v>
      </c>
      <c r="D50" s="2" t="n">
        <v>3</v>
      </c>
      <c r="E50" s="5"/>
      <c r="F50" s="6" t="n">
        <v>50</v>
      </c>
      <c r="G50" s="6" t="n">
        <v>70</v>
      </c>
      <c r="H50" s="6" t="n">
        <v>100</v>
      </c>
      <c r="I50" s="6" t="n">
        <v>40</v>
      </c>
      <c r="J50" s="6" t="n">
        <v>40</v>
      </c>
      <c r="K50" s="6" t="n">
        <v>30</v>
      </c>
      <c r="L50" s="2" t="n">
        <f aca="false">SUM(F50:K50)</f>
        <v>330</v>
      </c>
      <c r="M50" s="7" t="n">
        <f aca="false">Z50+IF(SUMPRODUCT(--($AG50:$AL50&gt;AG50))&lt;$AF50,1,0)</f>
        <v>61</v>
      </c>
      <c r="N50" s="7" t="n">
        <f aca="false">AA50+IF(SUMPRODUCT(--($AG50:$AL50&gt;AH50))+SUMPRODUCT(--($AG50:AG50=AH50))&lt;$AF50,1,0)</f>
        <v>85</v>
      </c>
      <c r="O50" s="7" t="n">
        <f aca="false">AB50+IF(SUMPRODUCT(--($AG50:$AL50&gt;AI50))+SUMPRODUCT(--($AG50:AH50=AI50))&lt;$AF50,1,0)</f>
        <v>121</v>
      </c>
      <c r="P50" s="7" t="n">
        <f aca="false">AC50+IF(SUMPRODUCT(--($AG50:$AL50&gt;AJ50))+SUMPRODUCT(--($AG50:AI50=AJ50))&lt;$AF50,1,0)</f>
        <v>49</v>
      </c>
      <c r="Q50" s="7" t="n">
        <f aca="false">AD50+IF(SUMPRODUCT(--($AG50:$AL50&gt;AK50))+SUMPRODUCT(--($AG50:AJ50=AK50))&lt;$AF50,1,0)</f>
        <v>48</v>
      </c>
      <c r="R50" s="7" t="n">
        <f aca="false">AE50+IF(SUMPRODUCT(--($AG50:$AL50&gt;AL50))+SUMPRODUCT(--($AG50:AK50=AL50))&lt;$AF50,1,0)</f>
        <v>36</v>
      </c>
      <c r="S50" s="7" t="n">
        <f aca="false">SUM(M50:R50)</f>
        <v>400</v>
      </c>
      <c r="T50" s="7" t="n">
        <f aca="false">F50*Settings!$B$2/SUM(F50:K50)</f>
        <v>60.6060606060606</v>
      </c>
      <c r="U50" s="7" t="n">
        <f aca="false">G50*Settings!$B$2/SUM(F50:K50)</f>
        <v>84.8484848484848</v>
      </c>
      <c r="V50" s="7" t="n">
        <f aca="false">H50*Settings!$B$2/SUM(F50:K50)</f>
        <v>121.212121212121</v>
      </c>
      <c r="W50" s="7" t="n">
        <f aca="false">I50*Settings!$B$2/SUM(F50:K50)</f>
        <v>48.4848484848485</v>
      </c>
      <c r="X50" s="7" t="n">
        <f aca="false">J50*Settings!$B$2/SUM(F50:K50)</f>
        <v>48.4848484848485</v>
      </c>
      <c r="Y50" s="7" t="n">
        <f aca="false">K50*Settings!$B$2/SUM(F50:K50)</f>
        <v>36.3636363636364</v>
      </c>
      <c r="Z50" s="7" t="n">
        <f aca="false">INT(T50)</f>
        <v>60</v>
      </c>
      <c r="AA50" s="7" t="n">
        <f aca="false">INT(U50)</f>
        <v>84</v>
      </c>
      <c r="AB50" s="7" t="n">
        <f aca="false">INT(V50)</f>
        <v>121</v>
      </c>
      <c r="AC50" s="7" t="n">
        <f aca="false">INT(W50)</f>
        <v>48</v>
      </c>
      <c r="AD50" s="7" t="n">
        <f aca="false">INT(X50)</f>
        <v>48</v>
      </c>
      <c r="AE50" s="7" t="n">
        <f aca="false">INT(Y50)</f>
        <v>36</v>
      </c>
      <c r="AF50" s="7" t="n">
        <f aca="false">Settings!$B$2-SUM(Z50:AE50)</f>
        <v>3</v>
      </c>
      <c r="AG50" s="7" t="n">
        <f aca="false">ROUND(T50-Z50,9)</f>
        <v>0.606060606</v>
      </c>
      <c r="AH50" s="7" t="n">
        <f aca="false">ROUND(U50-AA50,9)</f>
        <v>0.848484848</v>
      </c>
      <c r="AI50" s="7" t="n">
        <f aca="false">ROUND(V50-AB50,9)</f>
        <v>0.212121212</v>
      </c>
      <c r="AJ50" s="7" t="n">
        <f aca="false">ROUND(W50-AC50,9)</f>
        <v>0.484848485</v>
      </c>
      <c r="AK50" s="7" t="n">
        <f aca="false">ROUND(X50-AD50,9)</f>
        <v>0.484848485</v>
      </c>
      <c r="AL50" s="7" t="n">
        <f aca="false">ROUND(Y50-AE50,9)</f>
        <v>0.363636364</v>
      </c>
    </row>
    <row r="51" customFormat="false" ht="15" hidden="false" customHeight="false" outlineLevel="0" collapsed="false">
      <c r="A51" s="2" t="n">
        <v>50</v>
      </c>
      <c r="B51" s="2" t="s">
        <v>124</v>
      </c>
      <c r="C51" s="2" t="s">
        <v>122</v>
      </c>
      <c r="D51" s="2" t="n">
        <v>3</v>
      </c>
      <c r="E51" s="5"/>
      <c r="F51" s="6" t="n">
        <v>40</v>
      </c>
      <c r="G51" s="6" t="n">
        <v>55</v>
      </c>
      <c r="H51" s="6" t="n">
        <v>80</v>
      </c>
      <c r="I51" s="6" t="n">
        <v>35</v>
      </c>
      <c r="J51" s="6" t="n">
        <v>60</v>
      </c>
      <c r="K51" s="6" t="n">
        <v>30</v>
      </c>
      <c r="L51" s="2" t="n">
        <f aca="false">SUM(F51:K51)</f>
        <v>300</v>
      </c>
      <c r="M51" s="7" t="n">
        <f aca="false">Z51+IF(SUMPRODUCT(--($AG51:$AL51&gt;AG51))&lt;$AF51,1,0)</f>
        <v>53</v>
      </c>
      <c r="N51" s="7" t="n">
        <f aca="false">AA51+IF(SUMPRODUCT(--($AG51:$AL51&gt;AH51))+SUMPRODUCT(--($AG51:AG51=AH51))&lt;$AF51,1,0)</f>
        <v>73</v>
      </c>
      <c r="O51" s="7" t="n">
        <f aca="false">AB51+IF(SUMPRODUCT(--($AG51:$AL51&gt;AI51))+SUMPRODUCT(--($AG51:AH51=AI51))&lt;$AF51,1,0)</f>
        <v>107</v>
      </c>
      <c r="P51" s="7" t="n">
        <f aca="false">AC51+IF(SUMPRODUCT(--($AG51:$AL51&gt;AJ51))+SUMPRODUCT(--($AG51:AI51=AJ51))&lt;$AF51,1,0)</f>
        <v>47</v>
      </c>
      <c r="Q51" s="7" t="n">
        <f aca="false">AD51+IF(SUMPRODUCT(--($AG51:$AL51&gt;AK51))+SUMPRODUCT(--($AG51:AJ51=AK51))&lt;$AF51,1,0)</f>
        <v>80</v>
      </c>
      <c r="R51" s="7" t="n">
        <f aca="false">AE51+IF(SUMPRODUCT(--($AG51:$AL51&gt;AL51))+SUMPRODUCT(--($AG51:AK51=AL51))&lt;$AF51,1,0)</f>
        <v>40</v>
      </c>
      <c r="S51" s="7" t="n">
        <f aca="false">SUM(M51:R51)</f>
        <v>400</v>
      </c>
      <c r="T51" s="7" t="n">
        <f aca="false">F51*Settings!$B$2/SUM(F51:K51)</f>
        <v>53.3333333333333</v>
      </c>
      <c r="U51" s="7" t="n">
        <f aca="false">G51*Settings!$B$2/SUM(F51:K51)</f>
        <v>73.3333333333333</v>
      </c>
      <c r="V51" s="7" t="n">
        <f aca="false">H51*Settings!$B$2/SUM(F51:K51)</f>
        <v>106.666666666667</v>
      </c>
      <c r="W51" s="7" t="n">
        <f aca="false">I51*Settings!$B$2/SUM(F51:K51)</f>
        <v>46.6666666666667</v>
      </c>
      <c r="X51" s="7" t="n">
        <f aca="false">J51*Settings!$B$2/SUM(F51:K51)</f>
        <v>80</v>
      </c>
      <c r="Y51" s="7" t="n">
        <f aca="false">K51*Settings!$B$2/SUM(F51:K51)</f>
        <v>40</v>
      </c>
      <c r="Z51" s="7" t="n">
        <f aca="false">INT(T51)</f>
        <v>53</v>
      </c>
      <c r="AA51" s="7" t="n">
        <f aca="false">INT(U51)</f>
        <v>73</v>
      </c>
      <c r="AB51" s="7" t="n">
        <f aca="false">INT(V51)</f>
        <v>106</v>
      </c>
      <c r="AC51" s="7" t="n">
        <f aca="false">INT(W51)</f>
        <v>46</v>
      </c>
      <c r="AD51" s="7" t="n">
        <f aca="false">INT(X51)</f>
        <v>80</v>
      </c>
      <c r="AE51" s="7" t="n">
        <f aca="false">INT(Y51)</f>
        <v>40</v>
      </c>
      <c r="AF51" s="7" t="n">
        <f aca="false">Settings!$B$2-SUM(Z51:AE51)</f>
        <v>2</v>
      </c>
      <c r="AG51" s="7" t="n">
        <f aca="false">ROUND(T51-Z51,9)</f>
        <v>0.333333333</v>
      </c>
      <c r="AH51" s="7" t="n">
        <f aca="false">ROUND(U51-AA51,9)</f>
        <v>0.333333333</v>
      </c>
      <c r="AI51" s="7" t="n">
        <f aca="false">ROUND(V51-AB51,9)</f>
        <v>0.666666667</v>
      </c>
      <c r="AJ51" s="7" t="n">
        <f aca="false">ROUND(W51-AC51,9)</f>
        <v>0.666666667</v>
      </c>
      <c r="AK51" s="7" t="n">
        <f aca="false">ROUND(X51-AD51,9)</f>
        <v>0</v>
      </c>
      <c r="AL51" s="7" t="n">
        <f aca="false">ROUND(Y51-AE51,9)</f>
        <v>0</v>
      </c>
    </row>
    <row r="52" customFormat="false" ht="15" hidden="false" customHeight="false" outlineLevel="0" collapsed="false">
      <c r="A52" s="2" t="n">
        <v>51</v>
      </c>
      <c r="B52" s="2" t="s">
        <v>125</v>
      </c>
      <c r="C52" s="2" t="s">
        <v>126</v>
      </c>
      <c r="D52" s="2" t="n">
        <v>2</v>
      </c>
      <c r="E52" s="5"/>
      <c r="F52" s="6" t="n">
        <v>50</v>
      </c>
      <c r="G52" s="6" t="n">
        <v>25</v>
      </c>
      <c r="H52" s="6" t="n">
        <v>28</v>
      </c>
      <c r="I52" s="6" t="n">
        <v>45</v>
      </c>
      <c r="J52" s="6" t="n">
        <v>55</v>
      </c>
      <c r="K52" s="6" t="n">
        <v>15</v>
      </c>
      <c r="L52" s="2" t="n">
        <f aca="false">SUM(F52:K52)</f>
        <v>218</v>
      </c>
      <c r="M52" s="7" t="n">
        <f aca="false">Z52+IF(SUMPRODUCT(--($AG52:$AL52&gt;AG52))&lt;$AF52,1,0)</f>
        <v>92</v>
      </c>
      <c r="N52" s="7" t="n">
        <f aca="false">AA52+IF(SUMPRODUCT(--($AG52:$AL52&gt;AH52))+SUMPRODUCT(--($AG52:AG52=AH52))&lt;$AF52,1,0)</f>
        <v>46</v>
      </c>
      <c r="O52" s="7" t="n">
        <f aca="false">AB52+IF(SUMPRODUCT(--($AG52:$AL52&gt;AI52))+SUMPRODUCT(--($AG52:AH52=AI52))&lt;$AF52,1,0)</f>
        <v>51</v>
      </c>
      <c r="P52" s="7" t="n">
        <f aca="false">AC52+IF(SUMPRODUCT(--($AG52:$AL52&gt;AJ52))+SUMPRODUCT(--($AG52:AI52=AJ52))&lt;$AF52,1,0)</f>
        <v>83</v>
      </c>
      <c r="Q52" s="7" t="n">
        <f aca="false">AD52+IF(SUMPRODUCT(--($AG52:$AL52&gt;AK52))+SUMPRODUCT(--($AG52:AJ52=AK52))&lt;$AF52,1,0)</f>
        <v>101</v>
      </c>
      <c r="R52" s="7" t="n">
        <f aca="false">AE52+IF(SUMPRODUCT(--($AG52:$AL52&gt;AL52))+SUMPRODUCT(--($AG52:AK52=AL52))&lt;$AF52,1,0)</f>
        <v>27</v>
      </c>
      <c r="S52" s="7" t="n">
        <f aca="false">SUM(M52:R52)</f>
        <v>400</v>
      </c>
      <c r="T52" s="7" t="n">
        <f aca="false">F52*Settings!$B$2/SUM(F52:K52)</f>
        <v>91.7431192660551</v>
      </c>
      <c r="U52" s="7" t="n">
        <f aca="false">G52*Settings!$B$2/SUM(F52:K52)</f>
        <v>45.8715596330275</v>
      </c>
      <c r="V52" s="7" t="n">
        <f aca="false">H52*Settings!$B$2/SUM(F52:K52)</f>
        <v>51.3761467889908</v>
      </c>
      <c r="W52" s="7" t="n">
        <f aca="false">I52*Settings!$B$2/SUM(F52:K52)</f>
        <v>82.5688073394495</v>
      </c>
      <c r="X52" s="7" t="n">
        <f aca="false">J52*Settings!$B$2/SUM(F52:K52)</f>
        <v>100.917431192661</v>
      </c>
      <c r="Y52" s="7" t="n">
        <f aca="false">K52*Settings!$B$2/SUM(F52:K52)</f>
        <v>27.5229357798165</v>
      </c>
      <c r="Z52" s="7" t="n">
        <f aca="false">INT(T52)</f>
        <v>91</v>
      </c>
      <c r="AA52" s="7" t="n">
        <f aca="false">INT(U52)</f>
        <v>45</v>
      </c>
      <c r="AB52" s="7" t="n">
        <f aca="false">INT(V52)</f>
        <v>51</v>
      </c>
      <c r="AC52" s="7" t="n">
        <f aca="false">INT(W52)</f>
        <v>82</v>
      </c>
      <c r="AD52" s="7" t="n">
        <f aca="false">INT(X52)</f>
        <v>100</v>
      </c>
      <c r="AE52" s="7" t="n">
        <f aca="false">INT(Y52)</f>
        <v>27</v>
      </c>
      <c r="AF52" s="7" t="n">
        <f aca="false">Settings!$B$2-SUM(Z52:AE52)</f>
        <v>4</v>
      </c>
      <c r="AG52" s="7" t="n">
        <f aca="false">ROUND(T52-Z52,9)</f>
        <v>0.743119266</v>
      </c>
      <c r="AH52" s="7" t="n">
        <f aca="false">ROUND(U52-AA52,9)</f>
        <v>0.871559633</v>
      </c>
      <c r="AI52" s="7" t="n">
        <f aca="false">ROUND(V52-AB52,9)</f>
        <v>0.376146789</v>
      </c>
      <c r="AJ52" s="7" t="n">
        <f aca="false">ROUND(W52-AC52,9)</f>
        <v>0.568807339</v>
      </c>
      <c r="AK52" s="7" t="n">
        <f aca="false">ROUND(X52-AD52,9)</f>
        <v>0.917431193</v>
      </c>
      <c r="AL52" s="7" t="n">
        <f aca="false">ROUND(Y52-AE52,9)</f>
        <v>0.52293578</v>
      </c>
    </row>
    <row r="53" customFormat="false" ht="15" hidden="false" customHeight="false" outlineLevel="0" collapsed="false">
      <c r="A53" s="2" t="n">
        <v>52</v>
      </c>
      <c r="B53" s="2" t="s">
        <v>127</v>
      </c>
      <c r="C53" s="2" t="s">
        <v>126</v>
      </c>
      <c r="D53" s="2" t="n">
        <v>2</v>
      </c>
      <c r="E53" s="5"/>
      <c r="F53" s="6" t="n">
        <v>35</v>
      </c>
      <c r="G53" s="6" t="n">
        <v>20</v>
      </c>
      <c r="H53" s="6" t="n">
        <v>65</v>
      </c>
      <c r="I53" s="6" t="n">
        <v>40</v>
      </c>
      <c r="J53" s="6" t="n">
        <v>65</v>
      </c>
      <c r="K53" s="6" t="n">
        <v>20</v>
      </c>
      <c r="L53" s="2" t="n">
        <f aca="false">SUM(F53:K53)</f>
        <v>245</v>
      </c>
      <c r="M53" s="7" t="n">
        <f aca="false">Z53+IF(SUMPRODUCT(--($AG53:$AL53&gt;AG53))&lt;$AF53,1,0)</f>
        <v>57</v>
      </c>
      <c r="N53" s="7" t="n">
        <f aca="false">AA53+IF(SUMPRODUCT(--($AG53:$AL53&gt;AH53))+SUMPRODUCT(--($AG53:AG53=AH53))&lt;$AF53,1,0)</f>
        <v>33</v>
      </c>
      <c r="O53" s="7" t="n">
        <f aca="false">AB53+IF(SUMPRODUCT(--($AG53:$AL53&gt;AI53))+SUMPRODUCT(--($AG53:AH53=AI53))&lt;$AF53,1,0)</f>
        <v>106</v>
      </c>
      <c r="P53" s="7" t="n">
        <f aca="false">AC53+IF(SUMPRODUCT(--($AG53:$AL53&gt;AJ53))+SUMPRODUCT(--($AG53:AI53=AJ53))&lt;$AF53,1,0)</f>
        <v>65</v>
      </c>
      <c r="Q53" s="7" t="n">
        <f aca="false">AD53+IF(SUMPRODUCT(--($AG53:$AL53&gt;AK53))+SUMPRODUCT(--($AG53:AJ53=AK53))&lt;$AF53,1,0)</f>
        <v>106</v>
      </c>
      <c r="R53" s="7" t="n">
        <f aca="false">AE53+IF(SUMPRODUCT(--($AG53:$AL53&gt;AL53))+SUMPRODUCT(--($AG53:AK53=AL53))&lt;$AF53,1,0)</f>
        <v>33</v>
      </c>
      <c r="S53" s="7" t="n">
        <f aca="false">SUM(M53:R53)</f>
        <v>400</v>
      </c>
      <c r="T53" s="7" t="n">
        <f aca="false">F53*Settings!$B$2/SUM(F53:K53)</f>
        <v>57.1428571428571</v>
      </c>
      <c r="U53" s="7" t="n">
        <f aca="false">G53*Settings!$B$2/SUM(F53:K53)</f>
        <v>32.6530612244898</v>
      </c>
      <c r="V53" s="7" t="n">
        <f aca="false">H53*Settings!$B$2/SUM(F53:K53)</f>
        <v>106.122448979592</v>
      </c>
      <c r="W53" s="7" t="n">
        <f aca="false">I53*Settings!$B$2/SUM(F53:K53)</f>
        <v>65.3061224489796</v>
      </c>
      <c r="X53" s="7" t="n">
        <f aca="false">J53*Settings!$B$2/SUM(F53:K53)</f>
        <v>106.122448979592</v>
      </c>
      <c r="Y53" s="7" t="n">
        <f aca="false">K53*Settings!$B$2/SUM(F53:K53)</f>
        <v>32.6530612244898</v>
      </c>
      <c r="Z53" s="7" t="n">
        <f aca="false">INT(T53)</f>
        <v>57</v>
      </c>
      <c r="AA53" s="7" t="n">
        <f aca="false">INT(U53)</f>
        <v>32</v>
      </c>
      <c r="AB53" s="7" t="n">
        <f aca="false">INT(V53)</f>
        <v>106</v>
      </c>
      <c r="AC53" s="7" t="n">
        <f aca="false">INT(W53)</f>
        <v>65</v>
      </c>
      <c r="AD53" s="7" t="n">
        <f aca="false">INT(X53)</f>
        <v>106</v>
      </c>
      <c r="AE53" s="7" t="n">
        <f aca="false">INT(Y53)</f>
        <v>32</v>
      </c>
      <c r="AF53" s="7" t="n">
        <f aca="false">Settings!$B$2-SUM(Z53:AE53)</f>
        <v>2</v>
      </c>
      <c r="AG53" s="7" t="n">
        <f aca="false">ROUND(T53-Z53,9)</f>
        <v>0.142857143</v>
      </c>
      <c r="AH53" s="7" t="n">
        <f aca="false">ROUND(U53-AA53,9)</f>
        <v>0.653061224</v>
      </c>
      <c r="AI53" s="7" t="n">
        <f aca="false">ROUND(V53-AB53,9)</f>
        <v>0.12244898</v>
      </c>
      <c r="AJ53" s="7" t="n">
        <f aca="false">ROUND(W53-AC53,9)</f>
        <v>0.306122449</v>
      </c>
      <c r="AK53" s="7" t="n">
        <f aca="false">ROUND(X53-AD53,9)</f>
        <v>0.12244898</v>
      </c>
      <c r="AL53" s="7" t="n">
        <f aca="false">ROUND(Y53-AE53,9)</f>
        <v>0.653061224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3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3" min="1" style="0" width="9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8" min="7" style="0" width="9"/>
    <col collapsed="false" customWidth="true" hidden="false" outlineLevel="0" max="10" min="9" style="0" width="14"/>
    <col collapsed="false" customWidth="true" hidden="false" outlineLevel="0" max="11" min="11" style="0" width="18"/>
    <col collapsed="false" customWidth="true" hidden="false" outlineLevel="0" max="24" min="12" style="0" width="9"/>
    <col collapsed="false" customWidth="true" hidden="true" outlineLevel="1" max="43" min="25" style="0" width="13"/>
  </cols>
  <sheetData>
    <row r="1" customFormat="false" ht="15" hidden="false" customHeight="false" outlineLevel="0" collapsed="false">
      <c r="A1" s="4" t="s">
        <v>128</v>
      </c>
      <c r="B1" s="4" t="s">
        <v>129</v>
      </c>
      <c r="C1" s="4" t="s">
        <v>130</v>
      </c>
      <c r="D1" s="4" t="s">
        <v>131</v>
      </c>
      <c r="E1" s="4" t="s">
        <v>132</v>
      </c>
      <c r="F1" s="4" t="s">
        <v>133</v>
      </c>
      <c r="G1" s="4" t="s">
        <v>134</v>
      </c>
      <c r="H1" s="4" t="s">
        <v>135</v>
      </c>
      <c r="I1" s="4" t="s">
        <v>136</v>
      </c>
      <c r="J1" s="4" t="s">
        <v>137</v>
      </c>
      <c r="K1" s="4" t="s">
        <v>138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139</v>
      </c>
      <c r="T1" s="4" t="s">
        <v>140</v>
      </c>
      <c r="U1" s="4" t="s">
        <v>141</v>
      </c>
      <c r="V1" s="4" t="s">
        <v>142</v>
      </c>
      <c r="W1" s="4" t="s">
        <v>143</v>
      </c>
      <c r="X1" s="4" t="s">
        <v>144</v>
      </c>
      <c r="Y1" s="4" t="s">
        <v>39</v>
      </c>
      <c r="Z1" s="4" t="s">
        <v>40</v>
      </c>
      <c r="AA1" s="4" t="s">
        <v>41</v>
      </c>
      <c r="AB1" s="4" t="s">
        <v>42</v>
      </c>
      <c r="AC1" s="4" t="s">
        <v>43</v>
      </c>
      <c r="AD1" s="4" t="s">
        <v>44</v>
      </c>
      <c r="AE1" s="4" t="s">
        <v>45</v>
      </c>
      <c r="AF1" s="4" t="s">
        <v>46</v>
      </c>
      <c r="AG1" s="4" t="s">
        <v>47</v>
      </c>
      <c r="AH1" s="4" t="s">
        <v>48</v>
      </c>
      <c r="AI1" s="4" t="s">
        <v>49</v>
      </c>
      <c r="AJ1" s="4" t="s">
        <v>50</v>
      </c>
      <c r="AK1" s="4" t="s">
        <v>51</v>
      </c>
      <c r="AL1" s="4" t="s">
        <v>52</v>
      </c>
      <c r="AM1" s="4" t="s">
        <v>53</v>
      </c>
      <c r="AN1" s="4" t="s">
        <v>54</v>
      </c>
      <c r="AO1" s="4" t="s">
        <v>55</v>
      </c>
      <c r="AP1" s="4" t="s">
        <v>56</v>
      </c>
      <c r="AQ1" s="4" t="s">
        <v>57</v>
      </c>
    </row>
    <row r="2" customFormat="false" ht="15" hidden="false" customHeight="false" outlineLevel="0" collapsed="false">
      <c r="A2" s="2" t="n">
        <v>1</v>
      </c>
      <c r="B2" s="6" t="n">
        <v>1</v>
      </c>
      <c r="C2" s="6" t="n">
        <v>2</v>
      </c>
      <c r="D2" s="8" t="str">
        <f aca="false">INDEX(Bases!$B$2:$B$53,B2)</f>
        <v>Porygon</v>
      </c>
      <c r="E2" s="8" t="str">
        <f aca="false">INDEX(Bases!$B$2:$B$53,C2)</f>
        <v>Dunsparce</v>
      </c>
      <c r="F2" s="2" t="str">
        <f aca="false">LEFT(D2,ROUNDUP(LEN(D2)/2,0))&amp;LOWER(MID(E2,ROUNDUP(LEN(E2)/2,0)+1,20))</f>
        <v>Poryarce</v>
      </c>
      <c r="G2" s="8" t="str">
        <f aca="false">INDEX(Bases!$C$2:$C$53,B2)</f>
        <v>Normal</v>
      </c>
      <c r="H2" s="8" t="str">
        <f aca="false">IF(INDEX(Bases!$C$2:$C$53,C2)=G2,"",INDEX(Bases!$C$2:$C$53,C2))</f>
        <v/>
      </c>
      <c r="I2" s="8" t="str">
        <f aca="false">IF(INDEX(Bases!$E$2:$E$53,B2)="","",INDEX(Bases!$E$2:$E$53,B2))</f>
        <v/>
      </c>
      <c r="J2" s="8" t="str">
        <f aca="false">IF(INDEX(Bases!$E$2:$E$53,C2)="","",INDEX(Bases!$E$2:$E$53,C2))</f>
        <v/>
      </c>
      <c r="K2" s="5"/>
      <c r="L2" s="2" t="n">
        <f aca="false">AE2+IF(SUMPRODUCT(--($AL2:$AQ2&gt;AL2))&lt;$AK2,1,0)</f>
        <v>104</v>
      </c>
      <c r="M2" s="2" t="n">
        <f aca="false">AF2+IF(SUMPRODUCT(--($AL2:$AQ2&gt;AM2))+SUMPRODUCT(--($AL2:AL2=AM2))&lt;$AK2,1,0)</f>
        <v>79</v>
      </c>
      <c r="N2" s="2" t="n">
        <f aca="false">AG2+IF(SUMPRODUCT(--($AL2:$AQ2&gt;AN2))+SUMPRODUCT(--($AL2:AM2=AN2))&lt;$AK2,1,0)</f>
        <v>84</v>
      </c>
      <c r="O2" s="2" t="n">
        <f aca="false">AH2+IF(SUMPRODUCT(--($AL2:$AQ2&gt;AO2))+SUMPRODUCT(--($AL2:AN2=AO2))&lt;$AK2,1,0)</f>
        <v>95</v>
      </c>
      <c r="P2" s="2" t="n">
        <f aca="false">AI2+IF(SUMPRODUCT(--($AL2:$AQ2&gt;AP2))+SUMPRODUCT(--($AL2:AO2=AP2))&lt;$AK2,1,0)</f>
        <v>87</v>
      </c>
      <c r="Q2" s="2" t="n">
        <f aca="false">AJ2+IF(SUMPRODUCT(--($AL2:$AQ2&gt;AQ2))+SUMPRODUCT(--($AL2:AP2=AQ2))&lt;$AK2,1,0)</f>
        <v>51</v>
      </c>
      <c r="R2" s="2" t="n">
        <f aca="false">SUM(L2:Q2)</f>
        <v>500</v>
      </c>
      <c r="S2" s="2" t="n">
        <f aca="false">Settings!$B$4*MAX(INDEX(Bases!$M$2:$M$53,B2),INDEX(Bases!$M$2:$M$53,C2))+Settings!$B$5*MIN(INDEX(Bases!$M$2:$M$53,B2),INDEX(Bases!$M$2:$M$53,C2))</f>
        <v>86</v>
      </c>
      <c r="T2" s="2" t="n">
        <f aca="false">Settings!$B$4*MAX(INDEX(Bases!$N$2:$N$53,B2),INDEX(Bases!$N$2:$N$53,C2))+Settings!$B$5*MIN(INDEX(Bases!$N$2:$N$53,B2),INDEX(Bases!$N$2:$N$53,C2))</f>
        <v>65.6666666666667</v>
      </c>
      <c r="U2" s="2" t="n">
        <f aca="false">Settings!$B$4*MAX(INDEX(Bases!$O$2:$O$53,B2),INDEX(Bases!$O$2:$O$53,C2))+Settings!$B$5*MIN(INDEX(Bases!$O$2:$O$53,B2),INDEX(Bases!$O$2:$O$53,C2))</f>
        <v>69.6666666666667</v>
      </c>
      <c r="V2" s="2" t="n">
        <f aca="false">Settings!$B$4*MAX(INDEX(Bases!$P$2:$P$53,B2),INDEX(Bases!$P$2:$P$53,C2))+Settings!$B$5*MIN(INDEX(Bases!$P$2:$P$53,B2),INDEX(Bases!$P$2:$P$53,C2))</f>
        <v>78.3333333333333</v>
      </c>
      <c r="W2" s="2" t="n">
        <f aca="false">Settings!$B$4*MAX(INDEX(Bases!$Q$2:$Q$53,B2),INDEX(Bases!$Q$2:$Q$53,C2))+Settings!$B$5*MIN(INDEX(Bases!$Q$2:$Q$53,B2),INDEX(Bases!$Q$2:$Q$53,C2))</f>
        <v>71.6666666666667</v>
      </c>
      <c r="X2" s="2" t="n">
        <f aca="false">Settings!$B$4*MAX(INDEX(Bases!$R$2:$R$53,B2),INDEX(Bases!$R$2:$R$53,C2))+Settings!$B$5*MIN(INDEX(Bases!$R$2:$R$53,B2),INDEX(Bases!$R$2:$R$53,C2))</f>
        <v>42</v>
      </c>
      <c r="Y2" s="2" t="n">
        <f aca="false">S2*Settings!$B$3/SUM(S2:X2)</f>
        <v>104.032258064516</v>
      </c>
      <c r="Z2" s="2" t="n">
        <f aca="false">T2*Settings!$B$3/SUM(S2:X2)</f>
        <v>79.4354838709677</v>
      </c>
      <c r="AA2" s="2" t="n">
        <f aca="false">U2*Settings!$B$3/SUM(S2:X2)</f>
        <v>84.2741935483871</v>
      </c>
      <c r="AB2" s="2" t="n">
        <f aca="false">V2*Settings!$B$3/SUM(S2:X2)</f>
        <v>94.758064516129</v>
      </c>
      <c r="AC2" s="2" t="n">
        <f aca="false">W2*Settings!$B$3/SUM(S2:X2)</f>
        <v>86.6935483870968</v>
      </c>
      <c r="AD2" s="2" t="n">
        <f aca="false">X2*Settings!$B$3/SUM(S2:X2)</f>
        <v>50.8064516129032</v>
      </c>
      <c r="AE2" s="2" t="n">
        <f aca="false">INT(Y2)</f>
        <v>104</v>
      </c>
      <c r="AF2" s="2" t="n">
        <f aca="false">INT(Z2)</f>
        <v>79</v>
      </c>
      <c r="AG2" s="2" t="n">
        <f aca="false">INT(AA2)</f>
        <v>84</v>
      </c>
      <c r="AH2" s="2" t="n">
        <f aca="false">INT(AB2)</f>
        <v>94</v>
      </c>
      <c r="AI2" s="2" t="n">
        <f aca="false">INT(AC2)</f>
        <v>86</v>
      </c>
      <c r="AJ2" s="2" t="n">
        <f aca="false">INT(AD2)</f>
        <v>50</v>
      </c>
      <c r="AK2" s="2" t="n">
        <f aca="false">Settings!$B$3-SUM(AE2:AJ2)</f>
        <v>3</v>
      </c>
      <c r="AL2" s="2" t="n">
        <f aca="false">ROUND(Y2-AE2,9)</f>
        <v>0.032258065</v>
      </c>
      <c r="AM2" s="2" t="n">
        <f aca="false">ROUND(Z2-AF2,9)</f>
        <v>0.435483871</v>
      </c>
      <c r="AN2" s="2" t="n">
        <f aca="false">ROUND(AA2-AG2,9)</f>
        <v>0.274193548</v>
      </c>
      <c r="AO2" s="2" t="n">
        <f aca="false">ROUND(AB2-AH2,9)</f>
        <v>0.758064516</v>
      </c>
      <c r="AP2" s="2" t="n">
        <f aca="false">ROUND(AC2-AI2,9)</f>
        <v>0.693548387</v>
      </c>
      <c r="AQ2" s="2" t="n">
        <f aca="false">ROUND(AD2-AJ2,9)</f>
        <v>0.806451613</v>
      </c>
    </row>
    <row r="3" customFormat="false" ht="15" hidden="false" customHeight="false" outlineLevel="0" collapsed="false">
      <c r="A3" s="2" t="n">
        <v>2</v>
      </c>
      <c r="B3" s="6" t="n">
        <v>1</v>
      </c>
      <c r="C3" s="6" t="n">
        <v>3</v>
      </c>
      <c r="D3" s="8" t="str">
        <f aca="false">INDEX(Bases!$B$2:$B$53,B3)</f>
        <v>Porygon</v>
      </c>
      <c r="E3" s="8" t="str">
        <f aca="false">INDEX(Bases!$B$2:$B$53,C3)</f>
        <v>Teddiursa</v>
      </c>
      <c r="F3" s="2" t="str">
        <f aca="false">LEFT(D3,ROUNDUP(LEN(D3)/2,0))&amp;LOWER(MID(E3,ROUNDUP(LEN(E3)/2,0)+1,20))</f>
        <v>Poryursa</v>
      </c>
      <c r="G3" s="8" t="str">
        <f aca="false">INDEX(Bases!$C$2:$C$53,B3)</f>
        <v>Normal</v>
      </c>
      <c r="H3" s="8" t="str">
        <f aca="false">IF(INDEX(Bases!$C$2:$C$53,C3)=G3,"",INDEX(Bases!$C$2:$C$53,C3))</f>
        <v/>
      </c>
      <c r="I3" s="8" t="str">
        <f aca="false">IF(INDEX(Bases!$E$2:$E$53,B3)="","",INDEX(Bases!$E$2:$E$53,B3))</f>
        <v/>
      </c>
      <c r="J3" s="8" t="str">
        <f aca="false">IF(INDEX(Bases!$E$2:$E$53,C3)="","",INDEX(Bases!$E$2:$E$53,C3))</f>
        <v/>
      </c>
      <c r="K3" s="5"/>
      <c r="L3" s="2" t="n">
        <f aca="false">AE3+IF(SUMPRODUCT(--($AL3:$AQ3&gt;AL3))&lt;$AK3,1,0)</f>
        <v>85</v>
      </c>
      <c r="M3" s="2" t="n">
        <f aca="false">AF3+IF(SUMPRODUCT(--($AL3:$AQ3&gt;AM3))+SUMPRODUCT(--($AL3:AL3=AM3))&lt;$AK3,1,0)</f>
        <v>102</v>
      </c>
      <c r="N3" s="2" t="n">
        <f aca="false">AG3+IF(SUMPRODUCT(--($AL3:$AQ3&gt;AN3))+SUMPRODUCT(--($AL3:AM3=AN3))&lt;$AK3,1,0)</f>
        <v>81</v>
      </c>
      <c r="O3" s="2" t="n">
        <f aca="false">AH3+IF(SUMPRODUCT(--($AL3:$AQ3&gt;AO3))+SUMPRODUCT(--($AL3:AN3=AO3))&lt;$AK3,1,0)</f>
        <v>93</v>
      </c>
      <c r="P3" s="2" t="n">
        <f aca="false">AI3+IF(SUMPRODUCT(--($AL3:$AQ3&gt;AP3))+SUMPRODUCT(--($AL3:AO3=AP3))&lt;$AK3,1,0)</f>
        <v>85</v>
      </c>
      <c r="Q3" s="2" t="n">
        <f aca="false">AJ3+IF(SUMPRODUCT(--($AL3:$AQ3&gt;AQ3))+SUMPRODUCT(--($AL3:AP3=AQ3))&lt;$AK3,1,0)</f>
        <v>54</v>
      </c>
      <c r="R3" s="2" t="n">
        <f aca="false">SUM(L3:Q3)</f>
        <v>500</v>
      </c>
      <c r="S3" s="2" t="n">
        <f aca="false">Settings!$B$4*MAX(INDEX(Bases!$M$2:$M$53,B3),INDEX(Bases!$M$2:$M$53,C3))+Settings!$B$5*MIN(INDEX(Bases!$M$2:$M$53,B3),INDEX(Bases!$M$2:$M$53,C3))</f>
        <v>70.6666666666667</v>
      </c>
      <c r="T3" s="2" t="n">
        <f aca="false">Settings!$B$4*MAX(INDEX(Bases!$N$2:$N$53,B3),INDEX(Bases!$N$2:$N$53,C3))+Settings!$B$5*MIN(INDEX(Bases!$N$2:$N$53,B3),INDEX(Bases!$N$2:$N$53,C3))</f>
        <v>85</v>
      </c>
      <c r="U3" s="2" t="n">
        <f aca="false">Settings!$B$4*MAX(INDEX(Bases!$O$2:$O$53,B3),INDEX(Bases!$O$2:$O$53,C3))+Settings!$B$5*MIN(INDEX(Bases!$O$2:$O$53,B3),INDEX(Bases!$O$2:$O$53,C3))</f>
        <v>67.6666666666667</v>
      </c>
      <c r="V3" s="2" t="n">
        <f aca="false">Settings!$B$4*MAX(INDEX(Bases!$P$2:$P$53,B3),INDEX(Bases!$P$2:$P$53,C3))+Settings!$B$5*MIN(INDEX(Bases!$P$2:$P$53,B3),INDEX(Bases!$P$2:$P$53,C3))</f>
        <v>77.6666666666667</v>
      </c>
      <c r="W3" s="2" t="n">
        <f aca="false">Settings!$B$4*MAX(INDEX(Bases!$Q$2:$Q$53,B3),INDEX(Bases!$Q$2:$Q$53,C3))+Settings!$B$5*MIN(INDEX(Bases!$Q$2:$Q$53,B3),INDEX(Bases!$Q$2:$Q$53,C3))</f>
        <v>70.6666666666667</v>
      </c>
      <c r="X3" s="2" t="n">
        <f aca="false">Settings!$B$4*MAX(INDEX(Bases!$R$2:$R$53,B3),INDEX(Bases!$R$2:$R$53,C3))+Settings!$B$5*MIN(INDEX(Bases!$R$2:$R$53,B3),INDEX(Bases!$R$2:$R$53,C3))</f>
        <v>45.3333333333333</v>
      </c>
      <c r="Y3" s="2" t="n">
        <f aca="false">S3*Settings!$B$3/SUM(S3:X3)</f>
        <v>84.7322142286171</v>
      </c>
      <c r="Z3" s="2" t="n">
        <f aca="false">T3*Settings!$B$3/SUM(S3:X3)</f>
        <v>101.918465227818</v>
      </c>
      <c r="AA3" s="2" t="n">
        <f aca="false">U3*Settings!$B$3/SUM(S3:X3)</f>
        <v>81.1350919264588</v>
      </c>
      <c r="AB3" s="2" t="n">
        <f aca="false">V3*Settings!$B$3/SUM(S3:X3)</f>
        <v>93.1254996003197</v>
      </c>
      <c r="AC3" s="2" t="n">
        <f aca="false">W3*Settings!$B$3/SUM(S3:X3)</f>
        <v>84.7322142286171</v>
      </c>
      <c r="AD3" s="2" t="n">
        <f aca="false">X3*Settings!$B$3/SUM(S3:X3)</f>
        <v>54.3565147881695</v>
      </c>
      <c r="AE3" s="2" t="n">
        <f aca="false">INT(Y3)</f>
        <v>84</v>
      </c>
      <c r="AF3" s="2" t="n">
        <f aca="false">INT(Z3)</f>
        <v>101</v>
      </c>
      <c r="AG3" s="2" t="n">
        <f aca="false">INT(AA3)</f>
        <v>81</v>
      </c>
      <c r="AH3" s="2" t="n">
        <f aca="false">INT(AB3)</f>
        <v>93</v>
      </c>
      <c r="AI3" s="2" t="n">
        <f aca="false">INT(AC3)</f>
        <v>84</v>
      </c>
      <c r="AJ3" s="2" t="n">
        <f aca="false">INT(AD3)</f>
        <v>54</v>
      </c>
      <c r="AK3" s="2" t="n">
        <f aca="false">Settings!$B$3-SUM(AE3:AJ3)</f>
        <v>3</v>
      </c>
      <c r="AL3" s="2" t="n">
        <f aca="false">ROUND(Y3-AE3,9)</f>
        <v>0.732214229</v>
      </c>
      <c r="AM3" s="2" t="n">
        <f aca="false">ROUND(Z3-AF3,9)</f>
        <v>0.918465228</v>
      </c>
      <c r="AN3" s="2" t="n">
        <f aca="false">ROUND(AA3-AG3,9)</f>
        <v>0.135091926</v>
      </c>
      <c r="AO3" s="2" t="n">
        <f aca="false">ROUND(AB3-AH3,9)</f>
        <v>0.1254996</v>
      </c>
      <c r="AP3" s="2" t="n">
        <f aca="false">ROUND(AC3-AI3,9)</f>
        <v>0.732214229</v>
      </c>
      <c r="AQ3" s="2" t="n">
        <f aca="false">ROUND(AD3-AJ3,9)</f>
        <v>0.356514788</v>
      </c>
    </row>
    <row r="4" customFormat="false" ht="15" hidden="false" customHeight="false" outlineLevel="0" collapsed="false">
      <c r="A4" s="2" t="n">
        <v>3</v>
      </c>
      <c r="B4" s="6" t="n">
        <v>1</v>
      </c>
      <c r="C4" s="6" t="n">
        <v>4</v>
      </c>
      <c r="D4" s="8" t="str">
        <f aca="false">INDEX(Bases!$B$2:$B$53,B4)</f>
        <v>Porygon</v>
      </c>
      <c r="E4" s="8" t="str">
        <f aca="false">INDEX(Bases!$B$2:$B$53,C4)</f>
        <v>Growlithe</v>
      </c>
      <c r="F4" s="2" t="str">
        <f aca="false">LEFT(D4,ROUNDUP(LEN(D4)/2,0))&amp;LOWER(MID(E4,ROUNDUP(LEN(E4)/2,0)+1,20))</f>
        <v>Poryithe</v>
      </c>
      <c r="G4" s="8" t="str">
        <f aca="false">INDEX(Bases!$C$2:$C$53,B4)</f>
        <v>Normal</v>
      </c>
      <c r="H4" s="8" t="str">
        <f aca="false">IF(INDEX(Bases!$C$2:$C$53,C4)=G4,"",INDEX(Bases!$C$2:$C$53,C4))</f>
        <v>Fire</v>
      </c>
      <c r="I4" s="8" t="str">
        <f aca="false">IF(INDEX(Bases!$E$2:$E$53,B4)="","",INDEX(Bases!$E$2:$E$53,B4))</f>
        <v/>
      </c>
      <c r="J4" s="8" t="str">
        <f aca="false">IF(INDEX(Bases!$E$2:$E$53,C4)="","",INDEX(Bases!$E$2:$E$53,C4))</f>
        <v/>
      </c>
      <c r="K4" s="5"/>
      <c r="L4" s="2" t="n">
        <f aca="false">AE4+IF(SUMPRODUCT(--($AL4:$AQ4&gt;AL4))&lt;$AK4,1,0)</f>
        <v>78</v>
      </c>
      <c r="M4" s="2" t="n">
        <f aca="false">AF4+IF(SUMPRODUCT(--($AL4:$AQ4&gt;AM4))+SUMPRODUCT(--($AL4:AL4=AM4))&lt;$AK4,1,0)</f>
        <v>89</v>
      </c>
      <c r="N4" s="2" t="n">
        <f aca="false">AG4+IF(SUMPRODUCT(--($AL4:$AQ4&gt;AN4))+SUMPRODUCT(--($AL4:AM4=AN4))&lt;$AK4,1,0)</f>
        <v>77</v>
      </c>
      <c r="O4" s="2" t="n">
        <f aca="false">AH4+IF(SUMPRODUCT(--($AL4:$AQ4&gt;AO4))+SUMPRODUCT(--($AL4:AN4=AO4))&lt;$AK4,1,0)</f>
        <v>101</v>
      </c>
      <c r="P4" s="2" t="n">
        <f aca="false">AI4+IF(SUMPRODUCT(--($AL4:$AQ4&gt;AP4))+SUMPRODUCT(--($AL4:AO4=AP4))&lt;$AK4,1,0)</f>
        <v>84</v>
      </c>
      <c r="Q4" s="2" t="n">
        <f aca="false">AJ4+IF(SUMPRODUCT(--($AL4:$AQ4&gt;AQ4))+SUMPRODUCT(--($AL4:AP4=AQ4))&lt;$AK4,1,0)</f>
        <v>71</v>
      </c>
      <c r="R4" s="2" t="n">
        <f aca="false">SUM(L4:Q4)</f>
        <v>500</v>
      </c>
      <c r="S4" s="2" t="n">
        <f aca="false">Settings!$B$4*MAX(INDEX(Bases!$M$2:$M$53,B4),INDEX(Bases!$M$2:$M$53,C4))+Settings!$B$5*MIN(INDEX(Bases!$M$2:$M$53,B4),INDEX(Bases!$M$2:$M$53,C4))</f>
        <v>65</v>
      </c>
      <c r="T4" s="2" t="n">
        <f aca="false">Settings!$B$4*MAX(INDEX(Bases!$N$2:$N$53,B4),INDEX(Bases!$N$2:$N$53,C4))+Settings!$B$5*MIN(INDEX(Bases!$N$2:$N$53,B4),INDEX(Bases!$N$2:$N$53,C4))</f>
        <v>73.6666666666667</v>
      </c>
      <c r="U4" s="2" t="n">
        <f aca="false">Settings!$B$4*MAX(INDEX(Bases!$O$2:$O$53,B4),INDEX(Bases!$O$2:$O$53,C4))+Settings!$B$5*MIN(INDEX(Bases!$O$2:$O$53,B4),INDEX(Bases!$O$2:$O$53,C4))</f>
        <v>64.3333333333333</v>
      </c>
      <c r="V4" s="2" t="n">
        <f aca="false">Settings!$B$4*MAX(INDEX(Bases!$P$2:$P$53,B4),INDEX(Bases!$P$2:$P$53,C4))+Settings!$B$5*MIN(INDEX(Bases!$P$2:$P$53,B4),INDEX(Bases!$P$2:$P$53,C4))</f>
        <v>84</v>
      </c>
      <c r="W4" s="2" t="n">
        <f aca="false">Settings!$B$4*MAX(INDEX(Bases!$Q$2:$Q$53,B4),INDEX(Bases!$Q$2:$Q$53,C4))+Settings!$B$5*MIN(INDEX(Bases!$Q$2:$Q$53,B4),INDEX(Bases!$Q$2:$Q$53,C4))</f>
        <v>69.6666666666667</v>
      </c>
      <c r="X4" s="2" t="n">
        <f aca="false">Settings!$B$4*MAX(INDEX(Bases!$R$2:$R$53,B4),INDEX(Bases!$R$2:$R$53,C4))+Settings!$B$5*MIN(INDEX(Bases!$R$2:$R$53,B4),INDEX(Bases!$R$2:$R$53,C4))</f>
        <v>59.3333333333333</v>
      </c>
      <c r="Y4" s="2" t="n">
        <f aca="false">S4*Settings!$B$3/SUM(S4:X4)</f>
        <v>78.125</v>
      </c>
      <c r="Z4" s="2" t="n">
        <f aca="false">T4*Settings!$B$3/SUM(S4:X4)</f>
        <v>88.5416666666667</v>
      </c>
      <c r="AA4" s="2" t="n">
        <f aca="false">U4*Settings!$B$3/SUM(S4:X4)</f>
        <v>77.323717948718</v>
      </c>
      <c r="AB4" s="2" t="n">
        <f aca="false">V4*Settings!$B$3/SUM(S4:X4)</f>
        <v>100.961538461538</v>
      </c>
      <c r="AC4" s="2" t="n">
        <f aca="false">W4*Settings!$B$3/SUM(S4:X4)</f>
        <v>83.7339743589744</v>
      </c>
      <c r="AD4" s="2" t="n">
        <f aca="false">X4*Settings!$B$3/SUM(S4:X4)</f>
        <v>71.3141025641026</v>
      </c>
      <c r="AE4" s="2" t="n">
        <f aca="false">INT(Y4)</f>
        <v>78</v>
      </c>
      <c r="AF4" s="2" t="n">
        <f aca="false">INT(Z4)</f>
        <v>88</v>
      </c>
      <c r="AG4" s="2" t="n">
        <f aca="false">INT(AA4)</f>
        <v>77</v>
      </c>
      <c r="AH4" s="2" t="n">
        <f aca="false">INT(AB4)</f>
        <v>100</v>
      </c>
      <c r="AI4" s="2" t="n">
        <f aca="false">INT(AC4)</f>
        <v>83</v>
      </c>
      <c r="AJ4" s="2" t="n">
        <f aca="false">INT(AD4)</f>
        <v>71</v>
      </c>
      <c r="AK4" s="2" t="n">
        <f aca="false">Settings!$B$3-SUM(AE4:AJ4)</f>
        <v>3</v>
      </c>
      <c r="AL4" s="2" t="n">
        <f aca="false">ROUND(Y4-AE4,9)</f>
        <v>0.125</v>
      </c>
      <c r="AM4" s="2" t="n">
        <f aca="false">ROUND(Z4-AF4,9)</f>
        <v>0.541666667</v>
      </c>
      <c r="AN4" s="2" t="n">
        <f aca="false">ROUND(AA4-AG4,9)</f>
        <v>0.323717949</v>
      </c>
      <c r="AO4" s="2" t="n">
        <f aca="false">ROUND(AB4-AH4,9)</f>
        <v>0.961538462</v>
      </c>
      <c r="AP4" s="2" t="n">
        <f aca="false">ROUND(AC4-AI4,9)</f>
        <v>0.733974359</v>
      </c>
      <c r="AQ4" s="2" t="n">
        <f aca="false">ROUND(AD4-AJ4,9)</f>
        <v>0.314102564</v>
      </c>
    </row>
    <row r="5" customFormat="false" ht="15" hidden="false" customHeight="false" outlineLevel="0" collapsed="false">
      <c r="A5" s="2" t="n">
        <v>4</v>
      </c>
      <c r="B5" s="6" t="n">
        <v>1</v>
      </c>
      <c r="C5" s="6" t="n">
        <v>5</v>
      </c>
      <c r="D5" s="8" t="str">
        <f aca="false">INDEX(Bases!$B$2:$B$53,B5)</f>
        <v>Porygon</v>
      </c>
      <c r="E5" s="8" t="str">
        <f aca="false">INDEX(Bases!$B$2:$B$53,C5)</f>
        <v>Cyndaquil</v>
      </c>
      <c r="F5" s="2" t="str">
        <f aca="false">LEFT(D5,ROUNDUP(LEN(D5)/2,0))&amp;LOWER(MID(E5,ROUNDUP(LEN(E5)/2,0)+1,20))</f>
        <v>Poryquil</v>
      </c>
      <c r="G5" s="8" t="str">
        <f aca="false">INDEX(Bases!$C$2:$C$53,B5)</f>
        <v>Normal</v>
      </c>
      <c r="H5" s="8" t="str">
        <f aca="false">IF(INDEX(Bases!$C$2:$C$53,C5)=G5,"",INDEX(Bases!$C$2:$C$53,C5))</f>
        <v>Fire</v>
      </c>
      <c r="I5" s="8" t="str">
        <f aca="false">IF(INDEX(Bases!$E$2:$E$53,B5)="","",INDEX(Bases!$E$2:$E$53,B5))</f>
        <v/>
      </c>
      <c r="J5" s="8" t="str">
        <f aca="false">IF(INDEX(Bases!$E$2:$E$53,C5)="","",INDEX(Bases!$E$2:$E$53,C5))</f>
        <v/>
      </c>
      <c r="K5" s="5"/>
      <c r="L5" s="2" t="n">
        <f aca="false">AE5+IF(SUMPRODUCT(--($AL5:$AQ5&gt;AL5))&lt;$AK5,1,0)</f>
        <v>73</v>
      </c>
      <c r="M5" s="2" t="n">
        <f aca="false">AF5+IF(SUMPRODUCT(--($AL5:$AQ5&gt;AM5))+SUMPRODUCT(--($AL5:AL5=AM5))&lt;$AK5,1,0)</f>
        <v>78</v>
      </c>
      <c r="N5" s="2" t="n">
        <f aca="false">AG5+IF(SUMPRODUCT(--($AL5:$AQ5&gt;AN5))+SUMPRODUCT(--($AL5:AM5=AN5))&lt;$AK5,1,0)</f>
        <v>79</v>
      </c>
      <c r="O5" s="2" t="n">
        <f aca="false">AH5+IF(SUMPRODUCT(--($AL5:$AQ5&gt;AO5))+SUMPRODUCT(--($AL5:AN5=AO5))&lt;$AK5,1,0)</f>
        <v>100</v>
      </c>
      <c r="P5" s="2" t="n">
        <f aca="false">AI5+IF(SUMPRODUCT(--($AL5:$AQ5&gt;AP5))+SUMPRODUCT(--($AL5:AO5=AP5))&lt;$AK5,1,0)</f>
        <v>87</v>
      </c>
      <c r="Q5" s="2" t="n">
        <f aca="false">AJ5+IF(SUMPRODUCT(--($AL5:$AQ5&gt;AQ5))+SUMPRODUCT(--($AL5:AP5=AQ5))&lt;$AK5,1,0)</f>
        <v>83</v>
      </c>
      <c r="R5" s="2" t="n">
        <f aca="false">SUM(L5:Q5)</f>
        <v>500</v>
      </c>
      <c r="S5" s="2" t="n">
        <f aca="false">Settings!$B$4*MAX(INDEX(Bases!$M$2:$M$53,B5),INDEX(Bases!$M$2:$M$53,C5))+Settings!$B$5*MIN(INDEX(Bases!$M$2:$M$53,B5),INDEX(Bases!$M$2:$M$53,C5))</f>
        <v>60.6666666666667</v>
      </c>
      <c r="T5" s="2" t="n">
        <f aca="false">Settings!$B$4*MAX(INDEX(Bases!$N$2:$N$53,B5),INDEX(Bases!$N$2:$N$53,C5))+Settings!$B$5*MIN(INDEX(Bases!$N$2:$N$53,B5),INDEX(Bases!$N$2:$N$53,C5))</f>
        <v>65</v>
      </c>
      <c r="U5" s="2" t="n">
        <f aca="false">Settings!$B$4*MAX(INDEX(Bases!$O$2:$O$53,B5),INDEX(Bases!$O$2:$O$53,C5))+Settings!$B$5*MIN(INDEX(Bases!$O$2:$O$53,B5),INDEX(Bases!$O$2:$O$53,C5))</f>
        <v>66</v>
      </c>
      <c r="V5" s="2" t="n">
        <f aca="false">Settings!$B$4*MAX(INDEX(Bases!$P$2:$P$53,B5),INDEX(Bases!$P$2:$P$53,C5))+Settings!$B$5*MIN(INDEX(Bases!$P$2:$P$53,B5),INDEX(Bases!$P$2:$P$53,C5))</f>
        <v>83.3333333333333</v>
      </c>
      <c r="W5" s="2" t="n">
        <f aca="false">Settings!$B$4*MAX(INDEX(Bases!$Q$2:$Q$53,B5),INDEX(Bases!$Q$2:$Q$53,C5))+Settings!$B$5*MIN(INDEX(Bases!$Q$2:$Q$53,B5),INDEX(Bases!$Q$2:$Q$53,C5))</f>
        <v>72.3333333333333</v>
      </c>
      <c r="X5" s="2" t="n">
        <f aca="false">Settings!$B$4*MAX(INDEX(Bases!$R$2:$R$53,B5),INDEX(Bases!$R$2:$R$53,C5))+Settings!$B$5*MIN(INDEX(Bases!$R$2:$R$53,B5),INDEX(Bases!$R$2:$R$53,C5))</f>
        <v>69.3333333333333</v>
      </c>
      <c r="Y5" s="2" t="n">
        <f aca="false">S5*Settings!$B$3/SUM(S5:X5)</f>
        <v>72.8</v>
      </c>
      <c r="Z5" s="2" t="n">
        <f aca="false">T5*Settings!$B$3/SUM(S5:X5)</f>
        <v>78</v>
      </c>
      <c r="AA5" s="2" t="n">
        <f aca="false">U5*Settings!$B$3/SUM(S5:X5)</f>
        <v>79.2</v>
      </c>
      <c r="AB5" s="2" t="n">
        <f aca="false">V5*Settings!$B$3/SUM(S5:X5)</f>
        <v>100</v>
      </c>
      <c r="AC5" s="2" t="n">
        <f aca="false">W5*Settings!$B$3/SUM(S5:X5)</f>
        <v>86.8</v>
      </c>
      <c r="AD5" s="2" t="n">
        <f aca="false">X5*Settings!$B$3/SUM(S5:X5)</f>
        <v>83.2</v>
      </c>
      <c r="AE5" s="2" t="n">
        <f aca="false">INT(Y5)</f>
        <v>72</v>
      </c>
      <c r="AF5" s="2" t="n">
        <f aca="false">INT(Z5)</f>
        <v>78</v>
      </c>
      <c r="AG5" s="2" t="n">
        <f aca="false">INT(AA5)</f>
        <v>79</v>
      </c>
      <c r="AH5" s="2" t="n">
        <f aca="false">INT(AB5)</f>
        <v>100</v>
      </c>
      <c r="AI5" s="2" t="n">
        <f aca="false">INT(AC5)</f>
        <v>86</v>
      </c>
      <c r="AJ5" s="2" t="n">
        <f aca="false">INT(AD5)</f>
        <v>83</v>
      </c>
      <c r="AK5" s="2" t="n">
        <f aca="false">Settings!$B$3-SUM(AE5:AJ5)</f>
        <v>2</v>
      </c>
      <c r="AL5" s="2" t="n">
        <f aca="false">ROUND(Y5-AE5,9)</f>
        <v>0.8</v>
      </c>
      <c r="AM5" s="2" t="n">
        <f aca="false">ROUND(Z5-AF5,9)</f>
        <v>0</v>
      </c>
      <c r="AN5" s="2" t="n">
        <f aca="false">ROUND(AA5-AG5,9)</f>
        <v>0.2</v>
      </c>
      <c r="AO5" s="2" t="n">
        <f aca="false">ROUND(AB5-AH5,9)</f>
        <v>0</v>
      </c>
      <c r="AP5" s="2" t="n">
        <f aca="false">ROUND(AC5-AI5,9)</f>
        <v>0.8</v>
      </c>
      <c r="AQ5" s="2" t="n">
        <f aca="false">ROUND(AD5-AJ5,9)</f>
        <v>0.2</v>
      </c>
    </row>
    <row r="6" customFormat="false" ht="15" hidden="false" customHeight="false" outlineLevel="0" collapsed="false">
      <c r="A6" s="2" t="n">
        <v>5</v>
      </c>
      <c r="B6" s="6" t="n">
        <v>1</v>
      </c>
      <c r="C6" s="6" t="n">
        <v>6</v>
      </c>
      <c r="D6" s="8" t="str">
        <f aca="false">INDEX(Bases!$B$2:$B$53,B6)</f>
        <v>Porygon</v>
      </c>
      <c r="E6" s="8" t="str">
        <f aca="false">INDEX(Bases!$B$2:$B$53,C6)</f>
        <v>Numel</v>
      </c>
      <c r="F6" s="2" t="str">
        <f aca="false">LEFT(D6,ROUNDUP(LEN(D6)/2,0))&amp;LOWER(MID(E6,ROUNDUP(LEN(E6)/2,0)+1,20))</f>
        <v>Poryel</v>
      </c>
      <c r="G6" s="8" t="str">
        <f aca="false">INDEX(Bases!$C$2:$C$53,B6)</f>
        <v>Normal</v>
      </c>
      <c r="H6" s="8" t="str">
        <f aca="false">IF(INDEX(Bases!$C$2:$C$53,C6)=G6,"",INDEX(Bases!$C$2:$C$53,C6))</f>
        <v>Fire</v>
      </c>
      <c r="I6" s="8" t="str">
        <f aca="false">IF(INDEX(Bases!$E$2:$E$53,B6)="","",INDEX(Bases!$E$2:$E$53,B6))</f>
        <v/>
      </c>
      <c r="J6" s="8" t="str">
        <f aca="false">IF(INDEX(Bases!$E$2:$E$53,C6)="","",INDEX(Bases!$E$2:$E$53,C6))</f>
        <v/>
      </c>
      <c r="K6" s="5"/>
      <c r="L6" s="2" t="n">
        <f aca="false">AE6+IF(SUMPRODUCT(--($AL6:$AQ6&gt;AL6))&lt;$AK6,1,0)</f>
        <v>91</v>
      </c>
      <c r="M6" s="2" t="n">
        <f aca="false">AF6+IF(SUMPRODUCT(--($AL6:$AQ6&gt;AM6))+SUMPRODUCT(--($AL6:AL6=AM6))&lt;$AK6,1,0)</f>
        <v>89</v>
      </c>
      <c r="N6" s="2" t="n">
        <f aca="false">AG6+IF(SUMPRODUCT(--($AL6:$AQ6&gt;AN6))+SUMPRODUCT(--($AL6:AM6=AN6))&lt;$AK6,1,0)</f>
        <v>78</v>
      </c>
      <c r="O6" s="2" t="n">
        <f aca="false">AH6+IF(SUMPRODUCT(--($AL6:$AQ6&gt;AO6))+SUMPRODUCT(--($AL6:AN6=AO6))&lt;$AK6,1,0)</f>
        <v>104</v>
      </c>
      <c r="P6" s="2" t="n">
        <f aca="false">AI6+IF(SUMPRODUCT(--($AL6:$AQ6&gt;AP6))+SUMPRODUCT(--($AL6:AO6=AP6))&lt;$AK6,1,0)</f>
        <v>85</v>
      </c>
      <c r="Q6" s="2" t="n">
        <f aca="false">AJ6+IF(SUMPRODUCT(--($AL6:$AQ6&gt;AQ6))+SUMPRODUCT(--($AL6:AP6=AQ6))&lt;$AK6,1,0)</f>
        <v>53</v>
      </c>
      <c r="R6" s="2" t="n">
        <f aca="false">SUM(L6:Q6)</f>
        <v>500</v>
      </c>
      <c r="S6" s="2" t="n">
        <f aca="false">Settings!$B$4*MAX(INDEX(Bases!$M$2:$M$53,B6),INDEX(Bases!$M$2:$M$53,C6))+Settings!$B$5*MIN(INDEX(Bases!$M$2:$M$53,B6),INDEX(Bases!$M$2:$M$53,C6))</f>
        <v>74.6666666666667</v>
      </c>
      <c r="T6" s="2" t="n">
        <f aca="false">Settings!$B$4*MAX(INDEX(Bases!$N$2:$N$53,B6),INDEX(Bases!$N$2:$N$53,C6))+Settings!$B$5*MIN(INDEX(Bases!$N$2:$N$53,B6),INDEX(Bases!$N$2:$N$53,C6))</f>
        <v>73</v>
      </c>
      <c r="U6" s="2" t="n">
        <f aca="false">Settings!$B$4*MAX(INDEX(Bases!$O$2:$O$53,B6),INDEX(Bases!$O$2:$O$53,C6))+Settings!$B$5*MIN(INDEX(Bases!$O$2:$O$53,B6),INDEX(Bases!$O$2:$O$53,C6))</f>
        <v>64.6666666666667</v>
      </c>
      <c r="V6" s="2" t="n">
        <f aca="false">Settings!$B$4*MAX(INDEX(Bases!$P$2:$P$53,B6),INDEX(Bases!$P$2:$P$53,C6))+Settings!$B$5*MIN(INDEX(Bases!$P$2:$P$53,B6),INDEX(Bases!$P$2:$P$53,C6))</f>
        <v>85.6666666666667</v>
      </c>
      <c r="W6" s="2" t="n">
        <f aca="false">Settings!$B$4*MAX(INDEX(Bases!$Q$2:$Q$53,B6),INDEX(Bases!$Q$2:$Q$53,C6))+Settings!$B$5*MIN(INDEX(Bases!$Q$2:$Q$53,B6),INDEX(Bases!$Q$2:$Q$53,C6))</f>
        <v>70.3333333333333</v>
      </c>
      <c r="X6" s="2" t="n">
        <f aca="false">Settings!$B$4*MAX(INDEX(Bases!$R$2:$R$53,B6),INDEX(Bases!$R$2:$R$53,C6))+Settings!$B$5*MIN(INDEX(Bases!$R$2:$R$53,B6),INDEX(Bases!$R$2:$R$53,C6))</f>
        <v>44</v>
      </c>
      <c r="Y6" s="2" t="n">
        <f aca="false">S6*Settings!$B$3/SUM(S6:X6)</f>
        <v>90.5416329830235</v>
      </c>
      <c r="Z6" s="2" t="n">
        <f aca="false">T6*Settings!$B$3/SUM(S6:X6)</f>
        <v>88.5206143896524</v>
      </c>
      <c r="AA6" s="2" t="n">
        <f aca="false">U6*Settings!$B$3/SUM(S6:X6)</f>
        <v>78.4155214227971</v>
      </c>
      <c r="AB6" s="2" t="n">
        <f aca="false">V6*Settings!$B$3/SUM(S6:X6)</f>
        <v>103.880355699272</v>
      </c>
      <c r="AC6" s="2" t="n">
        <f aca="false">W6*Settings!$B$3/SUM(S6:X6)</f>
        <v>85.2869846402587</v>
      </c>
      <c r="AD6" s="2" t="n">
        <f aca="false">X6*Settings!$B$3/SUM(S6:X6)</f>
        <v>53.354890864996</v>
      </c>
      <c r="AE6" s="2" t="n">
        <f aca="false">INT(Y6)</f>
        <v>90</v>
      </c>
      <c r="AF6" s="2" t="n">
        <f aca="false">INT(Z6)</f>
        <v>88</v>
      </c>
      <c r="AG6" s="2" t="n">
        <f aca="false">INT(AA6)</f>
        <v>78</v>
      </c>
      <c r="AH6" s="2" t="n">
        <f aca="false">INT(AB6)</f>
        <v>103</v>
      </c>
      <c r="AI6" s="2" t="n">
        <f aca="false">INT(AC6)</f>
        <v>85</v>
      </c>
      <c r="AJ6" s="2" t="n">
        <f aca="false">INT(AD6)</f>
        <v>53</v>
      </c>
      <c r="AK6" s="2" t="n">
        <f aca="false">Settings!$B$3-SUM(AE6:AJ6)</f>
        <v>3</v>
      </c>
      <c r="AL6" s="2" t="n">
        <f aca="false">ROUND(Y6-AE6,9)</f>
        <v>0.541632983</v>
      </c>
      <c r="AM6" s="2" t="n">
        <f aca="false">ROUND(Z6-AF6,9)</f>
        <v>0.52061439</v>
      </c>
      <c r="AN6" s="2" t="n">
        <f aca="false">ROUND(AA6-AG6,9)</f>
        <v>0.415521423</v>
      </c>
      <c r="AO6" s="2" t="n">
        <f aca="false">ROUND(AB6-AH6,9)</f>
        <v>0.880355699</v>
      </c>
      <c r="AP6" s="2" t="n">
        <f aca="false">ROUND(AC6-AI6,9)</f>
        <v>0.28698464</v>
      </c>
      <c r="AQ6" s="2" t="n">
        <f aca="false">ROUND(AD6-AJ6,9)</f>
        <v>0.354890865</v>
      </c>
    </row>
    <row r="7" customFormat="false" ht="15" hidden="false" customHeight="false" outlineLevel="0" collapsed="false">
      <c r="A7" s="2" t="n">
        <v>6</v>
      </c>
      <c r="B7" s="6" t="n">
        <v>1</v>
      </c>
      <c r="C7" s="6" t="n">
        <v>7</v>
      </c>
      <c r="D7" s="8" t="str">
        <f aca="false">INDEX(Bases!$B$2:$B$53,B7)</f>
        <v>Porygon</v>
      </c>
      <c r="E7" s="8" t="str">
        <f aca="false">INDEX(Bases!$B$2:$B$53,C7)</f>
        <v>Azurill</v>
      </c>
      <c r="F7" s="2" t="str">
        <f aca="false">LEFT(D7,ROUNDUP(LEN(D7)/2,0))&amp;LOWER(MID(E7,ROUNDUP(LEN(E7)/2,0)+1,20))</f>
        <v>Poryill</v>
      </c>
      <c r="G7" s="8" t="str">
        <f aca="false">INDEX(Bases!$C$2:$C$53,B7)</f>
        <v>Normal</v>
      </c>
      <c r="H7" s="8" t="str">
        <f aca="false">IF(INDEX(Bases!$C$2:$C$53,C7)=G7,"",INDEX(Bases!$C$2:$C$53,C7))</f>
        <v>Water</v>
      </c>
      <c r="I7" s="8" t="str">
        <f aca="false">IF(INDEX(Bases!$E$2:$E$53,B7)="","",INDEX(Bases!$E$2:$E$53,B7))</f>
        <v/>
      </c>
      <c r="J7" s="8" t="str">
        <f aca="false">IF(INDEX(Bases!$E$2:$E$53,C7)="","",INDEX(Bases!$E$2:$E$53,C7))</f>
        <v/>
      </c>
      <c r="K7" s="5"/>
      <c r="L7" s="2" t="n">
        <f aca="false">AE7+IF(SUMPRODUCT(--($AL7:$AQ7&gt;AL7))&lt;$AK7,1,0)</f>
        <v>110</v>
      </c>
      <c r="M7" s="2" t="n">
        <f aca="false">AF7+IF(SUMPRODUCT(--($AL7:$AQ7&gt;AM7))+SUMPRODUCT(--($AL7:AL7=AM7))&lt;$AK7,1,0)</f>
        <v>65</v>
      </c>
      <c r="N7" s="2" t="n">
        <f aca="false">AG7+IF(SUMPRODUCT(--($AL7:$AQ7&gt;AN7))+SUMPRODUCT(--($AL7:AM7=AN7))&lt;$AK7,1,0)</f>
        <v>95</v>
      </c>
      <c r="O7" s="2" t="n">
        <f aca="false">AH7+IF(SUMPRODUCT(--($AL7:$AQ7&gt;AO7))+SUMPRODUCT(--($AL7:AN7=AO7))&lt;$AK7,1,0)</f>
        <v>85</v>
      </c>
      <c r="P7" s="2" t="n">
        <f aca="false">AI7+IF(SUMPRODUCT(--($AL7:$AQ7&gt;AP7))+SUMPRODUCT(--($AL7:AO7=AP7))&lt;$AK7,1,0)</f>
        <v>96</v>
      </c>
      <c r="Q7" s="2" t="n">
        <f aca="false">AJ7+IF(SUMPRODUCT(--($AL7:$AQ7&gt;AQ7))+SUMPRODUCT(--($AL7:AP7=AQ7))&lt;$AK7,1,0)</f>
        <v>49</v>
      </c>
      <c r="R7" s="2" t="n">
        <f aca="false">SUM(L7:Q7)</f>
        <v>500</v>
      </c>
      <c r="S7" s="2" t="n">
        <f aca="false">Settings!$B$4*MAX(INDEX(Bases!$M$2:$M$53,B7),INDEX(Bases!$M$2:$M$53,C7))+Settings!$B$5*MIN(INDEX(Bases!$M$2:$M$53,B7),INDEX(Bases!$M$2:$M$53,C7))</f>
        <v>92.6666666666667</v>
      </c>
      <c r="T7" s="2" t="n">
        <f aca="false">Settings!$B$4*MAX(INDEX(Bases!$N$2:$N$53,B7),INDEX(Bases!$N$2:$N$53,C7))+Settings!$B$5*MIN(INDEX(Bases!$N$2:$N$53,B7),INDEX(Bases!$N$2:$N$53,C7))</f>
        <v>54.6666666666667</v>
      </c>
      <c r="U7" s="2" t="n">
        <f aca="false">Settings!$B$4*MAX(INDEX(Bases!$O$2:$O$53,B7),INDEX(Bases!$O$2:$O$53,C7))+Settings!$B$5*MIN(INDEX(Bases!$O$2:$O$53,B7),INDEX(Bases!$O$2:$O$53,C7))</f>
        <v>79.6666666666667</v>
      </c>
      <c r="V7" s="2" t="n">
        <f aca="false">Settings!$B$4*MAX(INDEX(Bases!$P$2:$P$53,B7),INDEX(Bases!$P$2:$P$53,C7))+Settings!$B$5*MIN(INDEX(Bases!$P$2:$P$53,B7),INDEX(Bases!$P$2:$P$53,C7))</f>
        <v>71.3333333333333</v>
      </c>
      <c r="W7" s="2" t="n">
        <f aca="false">Settings!$B$4*MAX(INDEX(Bases!$Q$2:$Q$53,B7),INDEX(Bases!$Q$2:$Q$53,C7))+Settings!$B$5*MIN(INDEX(Bases!$Q$2:$Q$53,B7),INDEX(Bases!$Q$2:$Q$53,C7))</f>
        <v>81.3333333333333</v>
      </c>
      <c r="X7" s="2" t="n">
        <f aca="false">Settings!$B$4*MAX(INDEX(Bases!$R$2:$R$53,B7),INDEX(Bases!$R$2:$R$53,C7))+Settings!$B$5*MIN(INDEX(Bases!$R$2:$R$53,B7),INDEX(Bases!$R$2:$R$53,C7))</f>
        <v>41.3333333333333</v>
      </c>
      <c r="Y7" s="2" t="n">
        <f aca="false">S7*Settings!$B$3/SUM(S7:X7)</f>
        <v>110.055423594616</v>
      </c>
      <c r="Z7" s="2" t="n">
        <f aca="false">T7*Settings!$B$3/SUM(S7:X7)</f>
        <v>64.9247822644497</v>
      </c>
      <c r="AA7" s="2" t="n">
        <f aca="false">U7*Settings!$B$3/SUM(S7:X7)</f>
        <v>94.6159936658749</v>
      </c>
      <c r="AB7" s="2" t="n">
        <f aca="false">V7*Settings!$B$3/SUM(S7:X7)</f>
        <v>84.7189231987332</v>
      </c>
      <c r="AC7" s="2" t="n">
        <f aca="false">W7*Settings!$B$3/SUM(S7:X7)</f>
        <v>96.5954077593033</v>
      </c>
      <c r="AD7" s="2" t="n">
        <f aca="false">X7*Settings!$B$3/SUM(S7:X7)</f>
        <v>49.089469517023</v>
      </c>
      <c r="AE7" s="2" t="n">
        <f aca="false">INT(Y7)</f>
        <v>110</v>
      </c>
      <c r="AF7" s="2" t="n">
        <f aca="false">INT(Z7)</f>
        <v>64</v>
      </c>
      <c r="AG7" s="2" t="n">
        <f aca="false">INT(AA7)</f>
        <v>94</v>
      </c>
      <c r="AH7" s="2" t="n">
        <f aca="false">INT(AB7)</f>
        <v>84</v>
      </c>
      <c r="AI7" s="2" t="n">
        <f aca="false">INT(AC7)</f>
        <v>96</v>
      </c>
      <c r="AJ7" s="2" t="n">
        <f aca="false">INT(AD7)</f>
        <v>49</v>
      </c>
      <c r="AK7" s="2" t="n">
        <f aca="false">Settings!$B$3-SUM(AE7:AJ7)</f>
        <v>3</v>
      </c>
      <c r="AL7" s="2" t="n">
        <f aca="false">ROUND(Y7-AE7,9)</f>
        <v>0.055423595</v>
      </c>
      <c r="AM7" s="2" t="n">
        <f aca="false">ROUND(Z7-AF7,9)</f>
        <v>0.924782264</v>
      </c>
      <c r="AN7" s="2" t="n">
        <f aca="false">ROUND(AA7-AG7,9)</f>
        <v>0.615993666</v>
      </c>
      <c r="AO7" s="2" t="n">
        <f aca="false">ROUND(AB7-AH7,9)</f>
        <v>0.718923199</v>
      </c>
      <c r="AP7" s="2" t="n">
        <f aca="false">ROUND(AC7-AI7,9)</f>
        <v>0.595407759</v>
      </c>
      <c r="AQ7" s="2" t="n">
        <f aca="false">ROUND(AD7-AJ7,9)</f>
        <v>0.089469517</v>
      </c>
    </row>
    <row r="8" customFormat="false" ht="15" hidden="false" customHeight="false" outlineLevel="0" collapsed="false">
      <c r="A8" s="2" t="n">
        <v>7</v>
      </c>
      <c r="B8" s="6" t="n">
        <v>1</v>
      </c>
      <c r="C8" s="6" t="n">
        <v>8</v>
      </c>
      <c r="D8" s="8" t="str">
        <f aca="false">INDEX(Bases!$B$2:$B$53,B8)</f>
        <v>Porygon</v>
      </c>
      <c r="E8" s="8" t="str">
        <f aca="false">INDEX(Bases!$B$2:$B$53,C8)</f>
        <v>Corsola</v>
      </c>
      <c r="F8" s="2" t="str">
        <f aca="false">LEFT(D8,ROUNDUP(LEN(D8)/2,0))&amp;LOWER(MID(E8,ROUNDUP(LEN(E8)/2,0)+1,20))</f>
        <v>Poryola</v>
      </c>
      <c r="G8" s="8" t="str">
        <f aca="false">INDEX(Bases!$C$2:$C$53,B8)</f>
        <v>Normal</v>
      </c>
      <c r="H8" s="8" t="str">
        <f aca="false">IF(INDEX(Bases!$C$2:$C$53,C8)=G8,"",INDEX(Bases!$C$2:$C$53,C8))</f>
        <v>Water</v>
      </c>
      <c r="I8" s="8" t="str">
        <f aca="false">IF(INDEX(Bases!$E$2:$E$53,B8)="","",INDEX(Bases!$E$2:$E$53,B8))</f>
        <v/>
      </c>
      <c r="J8" s="8" t="str">
        <f aca="false">IF(INDEX(Bases!$E$2:$E$53,C8)="","",INDEX(Bases!$E$2:$E$53,C8))</f>
        <v/>
      </c>
      <c r="K8" s="5"/>
      <c r="L8" s="2" t="n">
        <f aca="false">AE8+IF(SUMPRODUCT(--($AL8:$AQ8&gt;AL8))&lt;$AK8,1,0)</f>
        <v>78</v>
      </c>
      <c r="M8" s="2" t="n">
        <f aca="false">AF8+IF(SUMPRODUCT(--($AL8:$AQ8&gt;AM8))+SUMPRODUCT(--($AL8:AL8=AM8))&lt;$AK8,1,0)</f>
        <v>71</v>
      </c>
      <c r="N8" s="2" t="n">
        <f aca="false">AG8+IF(SUMPRODUCT(--($AL8:$AQ8&gt;AN8))+SUMPRODUCT(--($AL8:AM8=AN8))&lt;$AK8,1,0)</f>
        <v>104</v>
      </c>
      <c r="O8" s="2" t="n">
        <f aca="false">AH8+IF(SUMPRODUCT(--($AL8:$AQ8&gt;AO8))+SUMPRODUCT(--($AL8:AN8=AO8))&lt;$AK8,1,0)</f>
        <v>95</v>
      </c>
      <c r="P8" s="2" t="n">
        <f aca="false">AI8+IF(SUMPRODUCT(--($AL8:$AQ8&gt;AP8))+SUMPRODUCT(--($AL8:AO8=AP8))&lt;$AK8,1,0)</f>
        <v>106</v>
      </c>
      <c r="Q8" s="2" t="n">
        <f aca="false">AJ8+IF(SUMPRODUCT(--($AL8:$AQ8&gt;AQ8))+SUMPRODUCT(--($AL8:AP8=AQ8))&lt;$AK8,1,0)</f>
        <v>46</v>
      </c>
      <c r="R8" s="2" t="n">
        <f aca="false">SUM(L8:Q8)</f>
        <v>500</v>
      </c>
      <c r="S8" s="2" t="n">
        <f aca="false">Settings!$B$4*MAX(INDEX(Bases!$M$2:$M$53,B8),INDEX(Bases!$M$2:$M$53,C8))+Settings!$B$5*MIN(INDEX(Bases!$M$2:$M$53,B8),INDEX(Bases!$M$2:$M$53,C8))</f>
        <v>65</v>
      </c>
      <c r="T8" s="2" t="n">
        <f aca="false">Settings!$B$4*MAX(INDEX(Bases!$N$2:$N$53,B8),INDEX(Bases!$N$2:$N$53,C8))+Settings!$B$5*MIN(INDEX(Bases!$N$2:$N$53,B8),INDEX(Bases!$N$2:$N$53,C8))</f>
        <v>58.6666666666667</v>
      </c>
      <c r="U8" s="2" t="n">
        <f aca="false">Settings!$B$4*MAX(INDEX(Bases!$O$2:$O$53,B8),INDEX(Bases!$O$2:$O$53,C8))+Settings!$B$5*MIN(INDEX(Bases!$O$2:$O$53,B8),INDEX(Bases!$O$2:$O$53,C8))</f>
        <v>85.6666666666667</v>
      </c>
      <c r="V8" s="2" t="n">
        <f aca="false">Settings!$B$4*MAX(INDEX(Bases!$P$2:$P$53,B8),INDEX(Bases!$P$2:$P$53,C8))+Settings!$B$5*MIN(INDEX(Bases!$P$2:$P$53,B8),INDEX(Bases!$P$2:$P$53,C8))</f>
        <v>78.3333333333333</v>
      </c>
      <c r="W8" s="2" t="n">
        <f aca="false">Settings!$B$4*MAX(INDEX(Bases!$Q$2:$Q$53,B8),INDEX(Bases!$Q$2:$Q$53,C8))+Settings!$B$5*MIN(INDEX(Bases!$Q$2:$Q$53,B8),INDEX(Bases!$Q$2:$Q$53,C8))</f>
        <v>87.3333333333333</v>
      </c>
      <c r="X8" s="2" t="n">
        <f aca="false">Settings!$B$4*MAX(INDEX(Bases!$R$2:$R$53,B8),INDEX(Bases!$R$2:$R$53,C8))+Settings!$B$5*MIN(INDEX(Bases!$R$2:$R$53,B8),INDEX(Bases!$R$2:$R$53,C8))</f>
        <v>38</v>
      </c>
      <c r="Y8" s="2" t="n">
        <f aca="false">S8*Settings!$B$3/SUM(S8:X8)</f>
        <v>78.6924939467312</v>
      </c>
      <c r="Z8" s="2" t="n">
        <f aca="false">T8*Settings!$B$3/SUM(S8:X8)</f>
        <v>71.0250201775626</v>
      </c>
      <c r="AA8" s="2" t="n">
        <f aca="false">U8*Settings!$B$3/SUM(S8:X8)</f>
        <v>103.712671509282</v>
      </c>
      <c r="AB8" s="2" t="n">
        <f aca="false">V8*Settings!$B$3/SUM(S8:X8)</f>
        <v>94.8345439870864</v>
      </c>
      <c r="AC8" s="2" t="n">
        <f aca="false">W8*Settings!$B$3/SUM(S8:X8)</f>
        <v>105.730427764326</v>
      </c>
      <c r="AD8" s="2" t="n">
        <f aca="false">X8*Settings!$B$3/SUM(S8:X8)</f>
        <v>46.0048426150121</v>
      </c>
      <c r="AE8" s="2" t="n">
        <f aca="false">INT(Y8)</f>
        <v>78</v>
      </c>
      <c r="AF8" s="2" t="n">
        <f aca="false">INT(Z8)</f>
        <v>71</v>
      </c>
      <c r="AG8" s="2" t="n">
        <f aca="false">INT(AA8)</f>
        <v>103</v>
      </c>
      <c r="AH8" s="2" t="n">
        <f aca="false">INT(AB8)</f>
        <v>94</v>
      </c>
      <c r="AI8" s="2" t="n">
        <f aca="false">INT(AC8)</f>
        <v>105</v>
      </c>
      <c r="AJ8" s="2" t="n">
        <f aca="false">INT(AD8)</f>
        <v>46</v>
      </c>
      <c r="AK8" s="2" t="n">
        <f aca="false">Settings!$B$3-SUM(AE8:AJ8)</f>
        <v>3</v>
      </c>
      <c r="AL8" s="2" t="n">
        <f aca="false">ROUND(Y8-AE8,9)</f>
        <v>0.692493947</v>
      </c>
      <c r="AM8" s="2" t="n">
        <f aca="false">ROUND(Z8-AF8,9)</f>
        <v>0.025020178</v>
      </c>
      <c r="AN8" s="2" t="n">
        <f aca="false">ROUND(AA8-AG8,9)</f>
        <v>0.712671509</v>
      </c>
      <c r="AO8" s="2" t="n">
        <f aca="false">ROUND(AB8-AH8,9)</f>
        <v>0.834543987</v>
      </c>
      <c r="AP8" s="2" t="n">
        <f aca="false">ROUND(AC8-AI8,9)</f>
        <v>0.730427764</v>
      </c>
      <c r="AQ8" s="2" t="n">
        <f aca="false">ROUND(AD8-AJ8,9)</f>
        <v>0.004842615</v>
      </c>
    </row>
    <row r="9" customFormat="false" ht="15" hidden="false" customHeight="false" outlineLevel="0" collapsed="false">
      <c r="A9" s="2" t="n">
        <v>8</v>
      </c>
      <c r="B9" s="6" t="n">
        <v>1</v>
      </c>
      <c r="C9" s="6" t="n">
        <v>9</v>
      </c>
      <c r="D9" s="8" t="str">
        <f aca="false">INDEX(Bases!$B$2:$B$53,B9)</f>
        <v>Porygon</v>
      </c>
      <c r="E9" s="8" t="str">
        <f aca="false">INDEX(Bases!$B$2:$B$53,C9)</f>
        <v>Mudkip</v>
      </c>
      <c r="F9" s="2" t="str">
        <f aca="false">LEFT(D9,ROUNDUP(LEN(D9)/2,0))&amp;LOWER(MID(E9,ROUNDUP(LEN(E9)/2,0)+1,20))</f>
        <v>Porykip</v>
      </c>
      <c r="G9" s="8" t="str">
        <f aca="false">INDEX(Bases!$C$2:$C$53,B9)</f>
        <v>Normal</v>
      </c>
      <c r="H9" s="8" t="str">
        <f aca="false">IF(INDEX(Bases!$C$2:$C$53,C9)=G9,"",INDEX(Bases!$C$2:$C$53,C9))</f>
        <v>Water</v>
      </c>
      <c r="I9" s="8" t="str">
        <f aca="false">IF(INDEX(Bases!$E$2:$E$53,B9)="","",INDEX(Bases!$E$2:$E$53,B9))</f>
        <v/>
      </c>
      <c r="J9" s="8" t="str">
        <f aca="false">IF(INDEX(Bases!$E$2:$E$53,C9)="","",INDEX(Bases!$E$2:$E$53,C9))</f>
        <v/>
      </c>
      <c r="K9" s="5"/>
      <c r="L9" s="2" t="n">
        <f aca="false">AE9+IF(SUMPRODUCT(--($AL9:$AQ9&gt;AL9))&lt;$AK9,1,0)</f>
        <v>79</v>
      </c>
      <c r="M9" s="2" t="n">
        <f aca="false">AF9+IF(SUMPRODUCT(--($AL9:$AQ9&gt;AM9))+SUMPRODUCT(--($AL9:AL9=AM9))&lt;$AK9,1,0)</f>
        <v>97</v>
      </c>
      <c r="N9" s="2" t="n">
        <f aca="false">AG9+IF(SUMPRODUCT(--($AL9:$AQ9&gt;AN9))+SUMPRODUCT(--($AL9:AM9=AN9))&lt;$AK9,1,0)</f>
        <v>84</v>
      </c>
      <c r="O9" s="2" t="n">
        <f aca="false">AH9+IF(SUMPRODUCT(--($AL9:$AQ9&gt;AO9))+SUMPRODUCT(--($AL9:AN9=AO9))&lt;$AK9,1,0)</f>
        <v>95</v>
      </c>
      <c r="P9" s="2" t="n">
        <f aca="false">AI9+IF(SUMPRODUCT(--($AL9:$AQ9&gt;AP9))+SUMPRODUCT(--($AL9:AO9=AP9))&lt;$AK9,1,0)</f>
        <v>87</v>
      </c>
      <c r="Q9" s="2" t="n">
        <f aca="false">AJ9+IF(SUMPRODUCT(--($AL9:$AQ9&gt;AQ9))+SUMPRODUCT(--($AL9:AP9=AQ9))&lt;$AK9,1,0)</f>
        <v>58</v>
      </c>
      <c r="R9" s="2" t="n">
        <f aca="false">SUM(L9:Q9)</f>
        <v>500</v>
      </c>
      <c r="S9" s="2" t="n">
        <f aca="false">Settings!$B$4*MAX(INDEX(Bases!$M$2:$M$53,B9),INDEX(Bases!$M$2:$M$53,C9))+Settings!$B$5*MIN(INDEX(Bases!$M$2:$M$53,B9),INDEX(Bases!$M$2:$M$53,C9))</f>
        <v>65.6666666666667</v>
      </c>
      <c r="T9" s="2" t="n">
        <f aca="false">Settings!$B$4*MAX(INDEX(Bases!$N$2:$N$53,B9),INDEX(Bases!$N$2:$N$53,C9))+Settings!$B$5*MIN(INDEX(Bases!$N$2:$N$53,B9),INDEX(Bases!$N$2:$N$53,C9))</f>
        <v>80.3333333333333</v>
      </c>
      <c r="U9" s="2" t="n">
        <f aca="false">Settings!$B$4*MAX(INDEX(Bases!$O$2:$O$53,B9),INDEX(Bases!$O$2:$O$53,C9))+Settings!$B$5*MIN(INDEX(Bases!$O$2:$O$53,B9),INDEX(Bases!$O$2:$O$53,C9))</f>
        <v>69</v>
      </c>
      <c r="V9" s="2" t="n">
        <f aca="false">Settings!$B$4*MAX(INDEX(Bases!$P$2:$P$53,B9),INDEX(Bases!$P$2:$P$53,C9))+Settings!$B$5*MIN(INDEX(Bases!$P$2:$P$53,B9),INDEX(Bases!$P$2:$P$53,C9))</f>
        <v>78.6666666666667</v>
      </c>
      <c r="W9" s="2" t="n">
        <f aca="false">Settings!$B$4*MAX(INDEX(Bases!$Q$2:$Q$53,B9),INDEX(Bases!$Q$2:$Q$53,C9))+Settings!$B$5*MIN(INDEX(Bases!$Q$2:$Q$53,B9),INDEX(Bases!$Q$2:$Q$53,C9))</f>
        <v>72</v>
      </c>
      <c r="X9" s="2" t="n">
        <f aca="false">Settings!$B$4*MAX(INDEX(Bases!$R$2:$R$53,B9),INDEX(Bases!$R$2:$R$53,C9))+Settings!$B$5*MIN(INDEX(Bases!$R$2:$R$53,B9),INDEX(Bases!$R$2:$R$53,C9))</f>
        <v>48</v>
      </c>
      <c r="Y9" s="2" t="n">
        <f aca="false">S9*Settings!$B$3/SUM(S9:X9)</f>
        <v>79.3714746172442</v>
      </c>
      <c r="Z9" s="2" t="n">
        <f aca="false">T9*Settings!$B$3/SUM(S9:X9)</f>
        <v>97.09911361805</v>
      </c>
      <c r="AA9" s="2" t="n">
        <f aca="false">U9*Settings!$B$3/SUM(S9:X9)</f>
        <v>83.4004834810637</v>
      </c>
      <c r="AB9" s="2" t="n">
        <f aca="false">V9*Settings!$B$3/SUM(S9:X9)</f>
        <v>95.0846091861402</v>
      </c>
      <c r="AC9" s="2" t="n">
        <f aca="false">W9*Settings!$B$3/SUM(S9:X9)</f>
        <v>87.0265914585012</v>
      </c>
      <c r="AD9" s="2" t="n">
        <f aca="false">X9*Settings!$B$3/SUM(S9:X9)</f>
        <v>58.0177276390008</v>
      </c>
      <c r="AE9" s="2" t="n">
        <f aca="false">INT(Y9)</f>
        <v>79</v>
      </c>
      <c r="AF9" s="2" t="n">
        <f aca="false">INT(Z9)</f>
        <v>97</v>
      </c>
      <c r="AG9" s="2" t="n">
        <f aca="false">INT(AA9)</f>
        <v>83</v>
      </c>
      <c r="AH9" s="2" t="n">
        <f aca="false">INT(AB9)</f>
        <v>95</v>
      </c>
      <c r="AI9" s="2" t="n">
        <f aca="false">INT(AC9)</f>
        <v>87</v>
      </c>
      <c r="AJ9" s="2" t="n">
        <f aca="false">INT(AD9)</f>
        <v>58</v>
      </c>
      <c r="AK9" s="2" t="n">
        <f aca="false">Settings!$B$3-SUM(AE9:AJ9)</f>
        <v>1</v>
      </c>
      <c r="AL9" s="2" t="n">
        <f aca="false">ROUND(Y9-AE9,9)</f>
        <v>0.371474617</v>
      </c>
      <c r="AM9" s="2" t="n">
        <f aca="false">ROUND(Z9-AF9,9)</f>
        <v>0.099113618</v>
      </c>
      <c r="AN9" s="2" t="n">
        <f aca="false">ROUND(AA9-AG9,9)</f>
        <v>0.400483481</v>
      </c>
      <c r="AO9" s="2" t="n">
        <f aca="false">ROUND(AB9-AH9,9)</f>
        <v>0.084609186</v>
      </c>
      <c r="AP9" s="2" t="n">
        <f aca="false">ROUND(AC9-AI9,9)</f>
        <v>0.026591459</v>
      </c>
      <c r="AQ9" s="2" t="n">
        <f aca="false">ROUND(AD9-AJ9,9)</f>
        <v>0.017727639</v>
      </c>
    </row>
    <row r="10" customFormat="false" ht="15" hidden="false" customHeight="false" outlineLevel="0" collapsed="false">
      <c r="A10" s="2" t="n">
        <v>9</v>
      </c>
      <c r="B10" s="6" t="n">
        <v>1</v>
      </c>
      <c r="C10" s="6" t="n">
        <v>10</v>
      </c>
      <c r="D10" s="8" t="str">
        <f aca="false">INDEX(Bases!$B$2:$B$53,B10)</f>
        <v>Porygon</v>
      </c>
      <c r="E10" s="8" t="str">
        <f aca="false">INDEX(Bases!$B$2:$B$53,C10)</f>
        <v>Pichu</v>
      </c>
      <c r="F10" s="2" t="str">
        <f aca="false">LEFT(D10,ROUNDUP(LEN(D10)/2,0))&amp;LOWER(MID(E10,ROUNDUP(LEN(E10)/2,0)+1,20))</f>
        <v>Poryhu</v>
      </c>
      <c r="G10" s="8" t="str">
        <f aca="false">INDEX(Bases!$C$2:$C$53,B10)</f>
        <v>Normal</v>
      </c>
      <c r="H10" s="8" t="str">
        <f aca="false">IF(INDEX(Bases!$C$2:$C$53,C10)=G10,"",INDEX(Bases!$C$2:$C$53,C10))</f>
        <v>Electric</v>
      </c>
      <c r="I10" s="8" t="str">
        <f aca="false">IF(INDEX(Bases!$E$2:$E$53,B10)="","",INDEX(Bases!$E$2:$E$53,B10))</f>
        <v/>
      </c>
      <c r="J10" s="8" t="str">
        <f aca="false">IF(INDEX(Bases!$E$2:$E$53,C10)="","",INDEX(Bases!$E$2:$E$53,C10))</f>
        <v/>
      </c>
      <c r="K10" s="5"/>
      <c r="L10" s="2" t="n">
        <f aca="false">AE10+IF(SUMPRODUCT(--($AL10:$AQ10&gt;AL10))&lt;$AK10,1,0)</f>
        <v>66</v>
      </c>
      <c r="M10" s="2" t="n">
        <f aca="false">AF10+IF(SUMPRODUCT(--($AL10:$AQ10&gt;AM10))+SUMPRODUCT(--($AL10:AL10=AM10))&lt;$AK10,1,0)</f>
        <v>84</v>
      </c>
      <c r="N10" s="2" t="n">
        <f aca="false">AG10+IF(SUMPRODUCT(--($AL10:$AQ10&gt;AN10))+SUMPRODUCT(--($AL10:AM10=AN10))&lt;$AK10,1,0)</f>
        <v>66</v>
      </c>
      <c r="O10" s="2" t="n">
        <f aca="false">AH10+IF(SUMPRODUCT(--($AL10:$AQ10&gt;AO10))+SUMPRODUCT(--($AL10:AN10=AO10))&lt;$AK10,1,0)</f>
        <v>93</v>
      </c>
      <c r="P10" s="2" t="n">
        <f aca="false">AI10+IF(SUMPRODUCT(--($AL10:$AQ10&gt;AP10))+SUMPRODUCT(--($AL10:AO10=AP10))&lt;$AK10,1,0)</f>
        <v>85</v>
      </c>
      <c r="Q10" s="2" t="n">
        <f aca="false">AJ10+IF(SUMPRODUCT(--($AL10:$AQ10&gt;AQ10))+SUMPRODUCT(--($AL10:AP10=AQ10))&lt;$AK10,1,0)</f>
        <v>106</v>
      </c>
      <c r="R10" s="2" t="n">
        <f aca="false">SUM(L10:Q10)</f>
        <v>500</v>
      </c>
      <c r="S10" s="2" t="n">
        <f aca="false">Settings!$B$4*MAX(INDEX(Bases!$M$2:$M$53,B10),INDEX(Bases!$M$2:$M$53,C10))+Settings!$B$5*MIN(INDEX(Bases!$M$2:$M$53,B10),INDEX(Bases!$M$2:$M$53,C10))</f>
        <v>57</v>
      </c>
      <c r="T10" s="2" t="n">
        <f aca="false">Settings!$B$4*MAX(INDEX(Bases!$N$2:$N$53,B10),INDEX(Bases!$N$2:$N$53,C10))+Settings!$B$5*MIN(INDEX(Bases!$N$2:$N$53,B10),INDEX(Bases!$N$2:$N$53,C10))</f>
        <v>72.3333333333333</v>
      </c>
      <c r="U10" s="2" t="n">
        <f aca="false">Settings!$B$4*MAX(INDEX(Bases!$O$2:$O$53,B10),INDEX(Bases!$O$2:$O$53,C10))+Settings!$B$5*MIN(INDEX(Bases!$O$2:$O$53,B10),INDEX(Bases!$O$2:$O$53,C10))</f>
        <v>57</v>
      </c>
      <c r="V10" s="2" t="n">
        <f aca="false">Settings!$B$4*MAX(INDEX(Bases!$P$2:$P$53,B10),INDEX(Bases!$P$2:$P$53,C10))+Settings!$B$5*MIN(INDEX(Bases!$P$2:$P$53,B10),INDEX(Bases!$P$2:$P$53,C10))</f>
        <v>80.3333333333333</v>
      </c>
      <c r="W10" s="2" t="n">
        <f aca="false">Settings!$B$4*MAX(INDEX(Bases!$Q$2:$Q$53,B10),INDEX(Bases!$Q$2:$Q$53,C10))+Settings!$B$5*MIN(INDEX(Bases!$Q$2:$Q$53,B10),INDEX(Bases!$Q$2:$Q$53,C10))</f>
        <v>73.3333333333333</v>
      </c>
      <c r="X10" s="2" t="n">
        <f aca="false">Settings!$B$4*MAX(INDEX(Bases!$R$2:$R$53,B10),INDEX(Bases!$R$2:$R$53,C10))+Settings!$B$5*MIN(INDEX(Bases!$R$2:$R$53,B10),INDEX(Bases!$R$2:$R$53,C10))</f>
        <v>91.3333333333333</v>
      </c>
      <c r="Y10" s="2" t="n">
        <f aca="false">S10*Settings!$B$3/SUM(S10:X10)</f>
        <v>66.0741885625966</v>
      </c>
      <c r="Z10" s="2" t="n">
        <f aca="false">T10*Settings!$B$3/SUM(S10:X10)</f>
        <v>83.8485316846986</v>
      </c>
      <c r="AA10" s="2" t="n">
        <f aca="false">U10*Settings!$B$3/SUM(S10:X10)</f>
        <v>66.0741885625966</v>
      </c>
      <c r="AB10" s="2" t="n">
        <f aca="false">V10*Settings!$B$3/SUM(S10:X10)</f>
        <v>93.1221020092736</v>
      </c>
      <c r="AC10" s="2" t="n">
        <f aca="false">W10*Settings!$B$3/SUM(S10:X10)</f>
        <v>85.0077279752705</v>
      </c>
      <c r="AD10" s="2" t="n">
        <f aca="false">X10*Settings!$B$3/SUM(S10:X10)</f>
        <v>105.873261205564</v>
      </c>
      <c r="AE10" s="2" t="n">
        <f aca="false">INT(Y10)</f>
        <v>66</v>
      </c>
      <c r="AF10" s="2" t="n">
        <f aca="false">INT(Z10)</f>
        <v>83</v>
      </c>
      <c r="AG10" s="2" t="n">
        <f aca="false">INT(AA10)</f>
        <v>66</v>
      </c>
      <c r="AH10" s="2" t="n">
        <f aca="false">INT(AB10)</f>
        <v>93</v>
      </c>
      <c r="AI10" s="2" t="n">
        <f aca="false">INT(AC10)</f>
        <v>85</v>
      </c>
      <c r="AJ10" s="2" t="n">
        <f aca="false">INT(AD10)</f>
        <v>105</v>
      </c>
      <c r="AK10" s="2" t="n">
        <f aca="false">Settings!$B$3-SUM(AE10:AJ10)</f>
        <v>2</v>
      </c>
      <c r="AL10" s="2" t="n">
        <f aca="false">ROUND(Y10-AE10,9)</f>
        <v>0.074188563</v>
      </c>
      <c r="AM10" s="2" t="n">
        <f aca="false">ROUND(Z10-AF10,9)</f>
        <v>0.848531685</v>
      </c>
      <c r="AN10" s="2" t="n">
        <f aca="false">ROUND(AA10-AG10,9)</f>
        <v>0.074188563</v>
      </c>
      <c r="AO10" s="2" t="n">
        <f aca="false">ROUND(AB10-AH10,9)</f>
        <v>0.122102009</v>
      </c>
      <c r="AP10" s="2" t="n">
        <f aca="false">ROUND(AC10-AI10,9)</f>
        <v>0.007727975</v>
      </c>
      <c r="AQ10" s="2" t="n">
        <f aca="false">ROUND(AD10-AJ10,9)</f>
        <v>0.873261206</v>
      </c>
    </row>
    <row r="11" customFormat="false" ht="15" hidden="false" customHeight="false" outlineLevel="0" collapsed="false">
      <c r="A11" s="2" t="n">
        <v>10</v>
      </c>
      <c r="B11" s="6" t="n">
        <v>1</v>
      </c>
      <c r="C11" s="6" t="n">
        <v>11</v>
      </c>
      <c r="D11" s="8" t="str">
        <f aca="false">INDEX(Bases!$B$2:$B$53,B11)</f>
        <v>Porygon</v>
      </c>
      <c r="E11" s="8" t="str">
        <f aca="false">INDEX(Bases!$B$2:$B$53,C11)</f>
        <v>Voltorb</v>
      </c>
      <c r="F11" s="2" t="str">
        <f aca="false">LEFT(D11,ROUNDUP(LEN(D11)/2,0))&amp;LOWER(MID(E11,ROUNDUP(LEN(E11)/2,0)+1,20))</f>
        <v>Poryorb</v>
      </c>
      <c r="G11" s="8" t="str">
        <f aca="false">INDEX(Bases!$C$2:$C$53,B11)</f>
        <v>Normal</v>
      </c>
      <c r="H11" s="8" t="str">
        <f aca="false">IF(INDEX(Bases!$C$2:$C$53,C11)=G11,"",INDEX(Bases!$C$2:$C$53,C11))</f>
        <v>Electric</v>
      </c>
      <c r="I11" s="8" t="str">
        <f aca="false">IF(INDEX(Bases!$E$2:$E$53,B11)="","",INDEX(Bases!$E$2:$E$53,B11))</f>
        <v/>
      </c>
      <c r="J11" s="8" t="str">
        <f aca="false">IF(INDEX(Bases!$E$2:$E$53,C11)="","",INDEX(Bases!$E$2:$E$53,C11))</f>
        <v/>
      </c>
      <c r="K11" s="5"/>
      <c r="L11" s="2" t="n">
        <f aca="false">AE11+IF(SUMPRODUCT(--($AL11:$AQ11&gt;AL11))&lt;$AK11,1,0)</f>
        <v>70</v>
      </c>
      <c r="M11" s="2" t="n">
        <f aca="false">AF11+IF(SUMPRODUCT(--($AL11:$AQ11&gt;AM11))+SUMPRODUCT(--($AL11:AL11=AM11))&lt;$AK11,1,0)</f>
        <v>62</v>
      </c>
      <c r="N11" s="2" t="n">
        <f aca="false">AG11+IF(SUMPRODUCT(--($AL11:$AQ11&gt;AN11))+SUMPRODUCT(--($AL11:AM11=AN11))&lt;$AK11,1,0)</f>
        <v>79</v>
      </c>
      <c r="O11" s="2" t="n">
        <f aca="false">AH11+IF(SUMPRODUCT(--($AL11:$AQ11&gt;AO11))+SUMPRODUCT(--($AL11:AN11=AO11))&lt;$AK11,1,0)</f>
        <v>93</v>
      </c>
      <c r="P11" s="2" t="n">
        <f aca="false">AI11+IF(SUMPRODUCT(--($AL11:$AQ11&gt;AP11))+SUMPRODUCT(--($AL11:AO11=AP11))&lt;$AK11,1,0)</f>
        <v>86</v>
      </c>
      <c r="Q11" s="2" t="n">
        <f aca="false">AJ11+IF(SUMPRODUCT(--($AL11:$AQ11&gt;AQ11))+SUMPRODUCT(--($AL11:AP11=AQ11))&lt;$AK11,1,0)</f>
        <v>110</v>
      </c>
      <c r="R11" s="2" t="n">
        <f aca="false">SUM(L11:Q11)</f>
        <v>500</v>
      </c>
      <c r="S11" s="2" t="n">
        <f aca="false">Settings!$B$4*MAX(INDEX(Bases!$M$2:$M$53,B11),INDEX(Bases!$M$2:$M$53,C11))+Settings!$B$5*MIN(INDEX(Bases!$M$2:$M$53,B11),INDEX(Bases!$M$2:$M$53,C11))</f>
        <v>60</v>
      </c>
      <c r="T11" s="2" t="n">
        <f aca="false">Settings!$B$4*MAX(INDEX(Bases!$N$2:$N$53,B11),INDEX(Bases!$N$2:$N$53,C11))+Settings!$B$5*MIN(INDEX(Bases!$N$2:$N$53,B11),INDEX(Bases!$N$2:$N$53,C11))</f>
        <v>52.6666666666667</v>
      </c>
      <c r="U11" s="2" t="n">
        <f aca="false">Settings!$B$4*MAX(INDEX(Bases!$O$2:$O$53,B11),INDEX(Bases!$O$2:$O$53,C11))+Settings!$B$5*MIN(INDEX(Bases!$O$2:$O$53,B11),INDEX(Bases!$O$2:$O$53,C11))</f>
        <v>67.6666666666667</v>
      </c>
      <c r="V11" s="2" t="n">
        <f aca="false">Settings!$B$4*MAX(INDEX(Bases!$P$2:$P$53,B11),INDEX(Bases!$P$2:$P$53,C11))+Settings!$B$5*MIN(INDEX(Bases!$P$2:$P$53,B11),INDEX(Bases!$P$2:$P$53,C11))</f>
        <v>79.6666666666667</v>
      </c>
      <c r="W11" s="2" t="n">
        <f aca="false">Settings!$B$4*MAX(INDEX(Bases!$Q$2:$Q$53,B11),INDEX(Bases!$Q$2:$Q$53,C11))+Settings!$B$5*MIN(INDEX(Bases!$Q$2:$Q$53,B11),INDEX(Bases!$Q$2:$Q$53,C11))</f>
        <v>73</v>
      </c>
      <c r="X11" s="2" t="n">
        <f aca="false">Settings!$B$4*MAX(INDEX(Bases!$R$2:$R$53,B11),INDEX(Bases!$R$2:$R$53,C11))+Settings!$B$5*MIN(INDEX(Bases!$R$2:$R$53,B11),INDEX(Bases!$R$2:$R$53,C11))</f>
        <v>94</v>
      </c>
      <c r="Y11" s="2" t="n">
        <f aca="false">S11*Settings!$B$3/SUM(S11:X11)</f>
        <v>70.2576112412178</v>
      </c>
      <c r="Z11" s="2" t="n">
        <f aca="false">T11*Settings!$B$3/SUM(S11:X11)</f>
        <v>61.6705698672912</v>
      </c>
      <c r="AA11" s="2" t="n">
        <f aca="false">U11*Settings!$B$3/SUM(S11:X11)</f>
        <v>79.2349726775956</v>
      </c>
      <c r="AB11" s="2" t="n">
        <f aca="false">V11*Settings!$B$3/SUM(S11:X11)</f>
        <v>93.2864949258392</v>
      </c>
      <c r="AC11" s="2" t="n">
        <f aca="false">W11*Settings!$B$3/SUM(S11:X11)</f>
        <v>85.480093676815</v>
      </c>
      <c r="AD11" s="2" t="n">
        <f aca="false">X11*Settings!$B$3/SUM(S11:X11)</f>
        <v>110.070257611241</v>
      </c>
      <c r="AE11" s="2" t="n">
        <f aca="false">INT(Y11)</f>
        <v>70</v>
      </c>
      <c r="AF11" s="2" t="n">
        <f aca="false">INT(Z11)</f>
        <v>61</v>
      </c>
      <c r="AG11" s="2" t="n">
        <f aca="false">INT(AA11)</f>
        <v>79</v>
      </c>
      <c r="AH11" s="2" t="n">
        <f aca="false">INT(AB11)</f>
        <v>93</v>
      </c>
      <c r="AI11" s="2" t="n">
        <f aca="false">INT(AC11)</f>
        <v>85</v>
      </c>
      <c r="AJ11" s="2" t="n">
        <f aca="false">INT(AD11)</f>
        <v>110</v>
      </c>
      <c r="AK11" s="2" t="n">
        <f aca="false">Settings!$B$3-SUM(AE11:AJ11)</f>
        <v>2</v>
      </c>
      <c r="AL11" s="2" t="n">
        <f aca="false">ROUND(Y11-AE11,9)</f>
        <v>0.257611241</v>
      </c>
      <c r="AM11" s="2" t="n">
        <f aca="false">ROUND(Z11-AF11,9)</f>
        <v>0.670569867</v>
      </c>
      <c r="AN11" s="2" t="n">
        <f aca="false">ROUND(AA11-AG11,9)</f>
        <v>0.234972678</v>
      </c>
      <c r="AO11" s="2" t="n">
        <f aca="false">ROUND(AB11-AH11,9)</f>
        <v>0.286494926</v>
      </c>
      <c r="AP11" s="2" t="n">
        <f aca="false">ROUND(AC11-AI11,9)</f>
        <v>0.480093677</v>
      </c>
      <c r="AQ11" s="2" t="n">
        <f aca="false">ROUND(AD11-AJ11,9)</f>
        <v>0.070257611</v>
      </c>
    </row>
    <row r="12" customFormat="false" ht="15" hidden="false" customHeight="false" outlineLevel="0" collapsed="false">
      <c r="A12" s="2" t="n">
        <v>11</v>
      </c>
      <c r="B12" s="6" t="n">
        <v>1</v>
      </c>
      <c r="C12" s="6" t="n">
        <v>12</v>
      </c>
      <c r="D12" s="8" t="str">
        <f aca="false">INDEX(Bases!$B$2:$B$53,B12)</f>
        <v>Porygon</v>
      </c>
      <c r="E12" s="8" t="str">
        <f aca="false">INDEX(Bases!$B$2:$B$53,C12)</f>
        <v>Mareep</v>
      </c>
      <c r="F12" s="2" t="str">
        <f aca="false">LEFT(D12,ROUNDUP(LEN(D12)/2,0))&amp;LOWER(MID(E12,ROUNDUP(LEN(E12)/2,0)+1,20))</f>
        <v>Poryeep</v>
      </c>
      <c r="G12" s="8" t="str">
        <f aca="false">INDEX(Bases!$C$2:$C$53,B12)</f>
        <v>Normal</v>
      </c>
      <c r="H12" s="8" t="str">
        <f aca="false">IF(INDEX(Bases!$C$2:$C$53,C12)=G12,"",INDEX(Bases!$C$2:$C$53,C12))</f>
        <v>Electric</v>
      </c>
      <c r="I12" s="8" t="str">
        <f aca="false">IF(INDEX(Bases!$E$2:$E$53,B12)="","",INDEX(Bases!$E$2:$E$53,B12))</f>
        <v/>
      </c>
      <c r="J12" s="8" t="str">
        <f aca="false">IF(INDEX(Bases!$E$2:$E$53,C12)="","",INDEX(Bases!$E$2:$E$53,C12))</f>
        <v/>
      </c>
      <c r="K12" s="5"/>
      <c r="L12" s="2" t="n">
        <f aca="false">AE12+IF(SUMPRODUCT(--($AL12:$AQ12&gt;AL12))&lt;$AK12,1,0)</f>
        <v>91</v>
      </c>
      <c r="M12" s="2" t="n">
        <f aca="false">AF12+IF(SUMPRODUCT(--($AL12:$AQ12&gt;AM12))+SUMPRODUCT(--($AL12:AL12=AM12))&lt;$AK12,1,0)</f>
        <v>73</v>
      </c>
      <c r="N12" s="2" t="n">
        <f aca="false">AG12+IF(SUMPRODUCT(--($AL12:$AQ12&gt;AN12))+SUMPRODUCT(--($AL12:AM12=AN12))&lt;$AK12,1,0)</f>
        <v>81</v>
      </c>
      <c r="O12" s="2" t="n">
        <f aca="false">AH12+IF(SUMPRODUCT(--($AL12:$AQ12&gt;AO12))+SUMPRODUCT(--($AL12:AN12=AO12))&lt;$AK12,1,0)</f>
        <v>110</v>
      </c>
      <c r="P12" s="2" t="n">
        <f aca="false">AI12+IF(SUMPRODUCT(--($AL12:$AQ12&gt;AP12))+SUMPRODUCT(--($AL12:AO12=AP12))&lt;$AK12,1,0)</f>
        <v>88</v>
      </c>
      <c r="Q12" s="2" t="n">
        <f aca="false">AJ12+IF(SUMPRODUCT(--($AL12:$AQ12&gt;AQ12))+SUMPRODUCT(--($AL12:AP12=AQ12))&lt;$AK12,1,0)</f>
        <v>57</v>
      </c>
      <c r="R12" s="2" t="n">
        <f aca="false">SUM(L12:Q12)</f>
        <v>500</v>
      </c>
      <c r="S12" s="2" t="n">
        <f aca="false">Settings!$B$4*MAX(INDEX(Bases!$M$2:$M$53,B12),INDEX(Bases!$M$2:$M$53,C12))+Settings!$B$5*MIN(INDEX(Bases!$M$2:$M$53,B12),INDEX(Bases!$M$2:$M$53,C12))</f>
        <v>74.6666666666667</v>
      </c>
      <c r="T12" s="2" t="n">
        <f aca="false">Settings!$B$4*MAX(INDEX(Bases!$N$2:$N$53,B12),INDEX(Bases!$N$2:$N$53,C12))+Settings!$B$5*MIN(INDEX(Bases!$N$2:$N$53,B12),INDEX(Bases!$N$2:$N$53,C12))</f>
        <v>59.6666666666667</v>
      </c>
      <c r="U12" s="2" t="n">
        <f aca="false">Settings!$B$4*MAX(INDEX(Bases!$O$2:$O$53,B12),INDEX(Bases!$O$2:$O$53,C12))+Settings!$B$5*MIN(INDEX(Bases!$O$2:$O$53,B12),INDEX(Bases!$O$2:$O$53,C12))</f>
        <v>66.3333333333333</v>
      </c>
      <c r="V12" s="2" t="n">
        <f aca="false">Settings!$B$4*MAX(INDEX(Bases!$P$2:$P$53,B12),INDEX(Bases!$P$2:$P$53,C12))+Settings!$B$5*MIN(INDEX(Bases!$P$2:$P$53,B12),INDEX(Bases!$P$2:$P$53,C12))</f>
        <v>90.6666666666667</v>
      </c>
      <c r="W12" s="2" t="n">
        <f aca="false">Settings!$B$4*MAX(INDEX(Bases!$Q$2:$Q$53,B12),INDEX(Bases!$Q$2:$Q$53,C12))+Settings!$B$5*MIN(INDEX(Bases!$Q$2:$Q$53,B12),INDEX(Bases!$Q$2:$Q$53,C12))</f>
        <v>72</v>
      </c>
      <c r="X12" s="2" t="n">
        <f aca="false">Settings!$B$4*MAX(INDEX(Bases!$R$2:$R$53,B12),INDEX(Bases!$R$2:$R$53,C12))+Settings!$B$5*MIN(INDEX(Bases!$R$2:$R$53,B12),INDEX(Bases!$R$2:$R$53,C12))</f>
        <v>46.6666666666667</v>
      </c>
      <c r="Y12" s="2" t="n">
        <f aca="false">S12*Settings!$B$3/SUM(S12:X12)</f>
        <v>91.0569105691057</v>
      </c>
      <c r="Z12" s="2" t="n">
        <f aca="false">T12*Settings!$B$3/SUM(S12:X12)</f>
        <v>72.7642276422764</v>
      </c>
      <c r="AA12" s="2" t="n">
        <f aca="false">U12*Settings!$B$3/SUM(S12:X12)</f>
        <v>80.8943089430894</v>
      </c>
      <c r="AB12" s="2" t="n">
        <f aca="false">V12*Settings!$B$3/SUM(S12:X12)</f>
        <v>110.569105691057</v>
      </c>
      <c r="AC12" s="2" t="n">
        <f aca="false">W12*Settings!$B$3/SUM(S12:X12)</f>
        <v>87.8048780487805</v>
      </c>
      <c r="AD12" s="2" t="n">
        <f aca="false">X12*Settings!$B$3/SUM(S12:X12)</f>
        <v>56.910569105691</v>
      </c>
      <c r="AE12" s="2" t="n">
        <f aca="false">INT(Y12)</f>
        <v>91</v>
      </c>
      <c r="AF12" s="2" t="n">
        <f aca="false">INT(Z12)</f>
        <v>72</v>
      </c>
      <c r="AG12" s="2" t="n">
        <f aca="false">INT(AA12)</f>
        <v>80</v>
      </c>
      <c r="AH12" s="2" t="n">
        <f aca="false">INT(AB12)</f>
        <v>110</v>
      </c>
      <c r="AI12" s="2" t="n">
        <f aca="false">INT(AC12)</f>
        <v>87</v>
      </c>
      <c r="AJ12" s="2" t="n">
        <f aca="false">INT(AD12)</f>
        <v>56</v>
      </c>
      <c r="AK12" s="2" t="n">
        <f aca="false">Settings!$B$3-SUM(AE12:AJ12)</f>
        <v>4</v>
      </c>
      <c r="AL12" s="2" t="n">
        <f aca="false">ROUND(Y12-AE12,9)</f>
        <v>0.056910569</v>
      </c>
      <c r="AM12" s="2" t="n">
        <f aca="false">ROUND(Z12-AF12,9)</f>
        <v>0.764227642</v>
      </c>
      <c r="AN12" s="2" t="n">
        <f aca="false">ROUND(AA12-AG12,9)</f>
        <v>0.894308943</v>
      </c>
      <c r="AO12" s="2" t="n">
        <f aca="false">ROUND(AB12-AH12,9)</f>
        <v>0.569105691</v>
      </c>
      <c r="AP12" s="2" t="n">
        <f aca="false">ROUND(AC12-AI12,9)</f>
        <v>0.804878049</v>
      </c>
      <c r="AQ12" s="2" t="n">
        <f aca="false">ROUND(AD12-AJ12,9)</f>
        <v>0.910569106</v>
      </c>
    </row>
    <row r="13" customFormat="false" ht="15" hidden="false" customHeight="false" outlineLevel="0" collapsed="false">
      <c r="A13" s="2" t="n">
        <v>12</v>
      </c>
      <c r="B13" s="6" t="n">
        <v>1</v>
      </c>
      <c r="C13" s="6" t="n">
        <v>13</v>
      </c>
      <c r="D13" s="8" t="str">
        <f aca="false">INDEX(Bases!$B$2:$B$53,B13)</f>
        <v>Porygon</v>
      </c>
      <c r="E13" s="8" t="str">
        <f aca="false">INDEX(Bases!$B$2:$B$53,C13)</f>
        <v>Bulbasaur</v>
      </c>
      <c r="F13" s="2" t="str">
        <f aca="false">LEFT(D13,ROUNDUP(LEN(D13)/2,0))&amp;LOWER(MID(E13,ROUNDUP(LEN(E13)/2,0)+1,20))</f>
        <v>Porysaur</v>
      </c>
      <c r="G13" s="8" t="str">
        <f aca="false">INDEX(Bases!$C$2:$C$53,B13)</f>
        <v>Normal</v>
      </c>
      <c r="H13" s="8" t="str">
        <f aca="false">IF(INDEX(Bases!$C$2:$C$53,C13)=G13,"",INDEX(Bases!$C$2:$C$53,C13))</f>
        <v>Grass</v>
      </c>
      <c r="I13" s="8" t="str">
        <f aca="false">IF(INDEX(Bases!$E$2:$E$53,B13)="","",INDEX(Bases!$E$2:$E$53,B13))</f>
        <v/>
      </c>
      <c r="J13" s="8" t="str">
        <f aca="false">IF(INDEX(Bases!$E$2:$E$53,C13)="","",INDEX(Bases!$E$2:$E$53,C13))</f>
        <v/>
      </c>
      <c r="K13" s="5"/>
      <c r="L13" s="2" t="n">
        <f aca="false">AE13+IF(SUMPRODUCT(--($AL13:$AQ13&gt;AL13))&lt;$AK13,1,0)</f>
        <v>77</v>
      </c>
      <c r="M13" s="2" t="n">
        <f aca="false">AF13+IF(SUMPRODUCT(--($AL13:$AQ13&gt;AM13))+SUMPRODUCT(--($AL13:AL13=AM13))&lt;$AK13,1,0)</f>
        <v>76</v>
      </c>
      <c r="N13" s="2" t="n">
        <f aca="false">AG13+IF(SUMPRODUCT(--($AL13:$AQ13&gt;AN13))+SUMPRODUCT(--($AL13:AM13=AN13))&lt;$AK13,1,0)</f>
        <v>83</v>
      </c>
      <c r="O13" s="2" t="n">
        <f aca="false">AH13+IF(SUMPRODUCT(--($AL13:$AQ13&gt;AO13))+SUMPRODUCT(--($AL13:AN13=AO13))&lt;$AK13,1,0)</f>
        <v>104</v>
      </c>
      <c r="P13" s="2" t="n">
        <f aca="false">AI13+IF(SUMPRODUCT(--($AL13:$AQ13&gt;AP13))+SUMPRODUCT(--($AL13:AO13=AP13))&lt;$AK13,1,0)</f>
        <v>98</v>
      </c>
      <c r="Q13" s="2" t="n">
        <f aca="false">AJ13+IF(SUMPRODUCT(--($AL13:$AQ13&gt;AQ13))+SUMPRODUCT(--($AL13:AP13=AQ13))&lt;$AK13,1,0)</f>
        <v>62</v>
      </c>
      <c r="R13" s="2" t="n">
        <f aca="false">SUM(L13:Q13)</f>
        <v>500</v>
      </c>
      <c r="S13" s="2" t="n">
        <f aca="false">Settings!$B$4*MAX(INDEX(Bases!$M$2:$M$53,B13),INDEX(Bases!$M$2:$M$53,C13))+Settings!$B$5*MIN(INDEX(Bases!$M$2:$M$53,B13),INDEX(Bases!$M$2:$M$53,C13))</f>
        <v>62.6666666666667</v>
      </c>
      <c r="T13" s="2" t="n">
        <f aca="false">Settings!$B$4*MAX(INDEX(Bases!$N$2:$N$53,B13),INDEX(Bases!$N$2:$N$53,C13))+Settings!$B$5*MIN(INDEX(Bases!$N$2:$N$53,B13),INDEX(Bases!$N$2:$N$53,C13))</f>
        <v>61.6666666666667</v>
      </c>
      <c r="U13" s="2" t="n">
        <f aca="false">Settings!$B$4*MAX(INDEX(Bases!$O$2:$O$53,B13),INDEX(Bases!$O$2:$O$53,C13))+Settings!$B$5*MIN(INDEX(Bases!$O$2:$O$53,B13),INDEX(Bases!$O$2:$O$53,C13))</f>
        <v>68</v>
      </c>
      <c r="V13" s="2" t="n">
        <f aca="false">Settings!$B$4*MAX(INDEX(Bases!$P$2:$P$53,B13),INDEX(Bases!$P$2:$P$53,C13))+Settings!$B$5*MIN(INDEX(Bases!$P$2:$P$53,B13),INDEX(Bases!$P$2:$P$53,C13))</f>
        <v>84.6666666666667</v>
      </c>
      <c r="W13" s="2" t="n">
        <f aca="false">Settings!$B$4*MAX(INDEX(Bases!$Q$2:$Q$53,B13),INDEX(Bases!$Q$2:$Q$53,C13))+Settings!$B$5*MIN(INDEX(Bases!$Q$2:$Q$53,B13),INDEX(Bases!$Q$2:$Q$53,C13))</f>
        <v>80</v>
      </c>
      <c r="X13" s="2" t="n">
        <f aca="false">Settings!$B$4*MAX(INDEX(Bases!$R$2:$R$53,B13),INDEX(Bases!$R$2:$R$53,C13))+Settings!$B$5*MIN(INDEX(Bases!$R$2:$R$53,B13),INDEX(Bases!$R$2:$R$53,C13))</f>
        <v>50.6666666666667</v>
      </c>
      <c r="Y13" s="2" t="n">
        <f aca="false">S13*Settings!$B$3/SUM(S13:X13)</f>
        <v>76.8601798855274</v>
      </c>
      <c r="Z13" s="2" t="n">
        <f aca="false">T13*Settings!$B$3/SUM(S13:X13)</f>
        <v>75.6336876533115</v>
      </c>
      <c r="AA13" s="2" t="n">
        <f aca="false">U13*Settings!$B$3/SUM(S13:X13)</f>
        <v>83.4014717906787</v>
      </c>
      <c r="AB13" s="2" t="n">
        <f aca="false">V13*Settings!$B$3/SUM(S13:X13)</f>
        <v>103.843008994276</v>
      </c>
      <c r="AC13" s="2" t="n">
        <f aca="false">W13*Settings!$B$3/SUM(S13:X13)</f>
        <v>98.119378577269</v>
      </c>
      <c r="AD13" s="2" t="n">
        <f aca="false">X13*Settings!$B$3/SUM(S13:X13)</f>
        <v>62.142273098937</v>
      </c>
      <c r="AE13" s="2" t="n">
        <f aca="false">INT(Y13)</f>
        <v>76</v>
      </c>
      <c r="AF13" s="2" t="n">
        <f aca="false">INT(Z13)</f>
        <v>75</v>
      </c>
      <c r="AG13" s="2" t="n">
        <f aca="false">INT(AA13)</f>
        <v>83</v>
      </c>
      <c r="AH13" s="2" t="n">
        <f aca="false">INT(AB13)</f>
        <v>103</v>
      </c>
      <c r="AI13" s="2" t="n">
        <f aca="false">INT(AC13)</f>
        <v>98</v>
      </c>
      <c r="AJ13" s="2" t="n">
        <f aca="false">INT(AD13)</f>
        <v>62</v>
      </c>
      <c r="AK13" s="2" t="n">
        <f aca="false">Settings!$B$3-SUM(AE13:AJ13)</f>
        <v>3</v>
      </c>
      <c r="AL13" s="2" t="n">
        <f aca="false">ROUND(Y13-AE13,9)</f>
        <v>0.860179886</v>
      </c>
      <c r="AM13" s="2" t="n">
        <f aca="false">ROUND(Z13-AF13,9)</f>
        <v>0.633687653</v>
      </c>
      <c r="AN13" s="2" t="n">
        <f aca="false">ROUND(AA13-AG13,9)</f>
        <v>0.401471791</v>
      </c>
      <c r="AO13" s="2" t="n">
        <f aca="false">ROUND(AB13-AH13,9)</f>
        <v>0.843008994</v>
      </c>
      <c r="AP13" s="2" t="n">
        <f aca="false">ROUND(AC13-AI13,9)</f>
        <v>0.119378577</v>
      </c>
      <c r="AQ13" s="2" t="n">
        <f aca="false">ROUND(AD13-AJ13,9)</f>
        <v>0.142273099</v>
      </c>
    </row>
    <row r="14" customFormat="false" ht="15" hidden="false" customHeight="false" outlineLevel="0" collapsed="false">
      <c r="A14" s="2" t="n">
        <v>13</v>
      </c>
      <c r="B14" s="6" t="n">
        <v>1</v>
      </c>
      <c r="C14" s="6" t="n">
        <v>14</v>
      </c>
      <c r="D14" s="8" t="str">
        <f aca="false">INDEX(Bases!$B$2:$B$53,B14)</f>
        <v>Porygon</v>
      </c>
      <c r="E14" s="8" t="str">
        <f aca="false">INDEX(Bases!$B$2:$B$53,C14)</f>
        <v>Celebi</v>
      </c>
      <c r="F14" s="2" t="str">
        <f aca="false">LEFT(D14,ROUNDUP(LEN(D14)/2,0))&amp;LOWER(MID(E14,ROUNDUP(LEN(E14)/2,0)+1,20))</f>
        <v>Poryebi</v>
      </c>
      <c r="G14" s="8" t="str">
        <f aca="false">INDEX(Bases!$C$2:$C$53,B14)</f>
        <v>Normal</v>
      </c>
      <c r="H14" s="8" t="str">
        <f aca="false">IF(INDEX(Bases!$C$2:$C$53,C14)=G14,"",INDEX(Bases!$C$2:$C$53,C14))</f>
        <v>Grass</v>
      </c>
      <c r="I14" s="8" t="str">
        <f aca="false">IF(INDEX(Bases!$E$2:$E$53,B14)="","",INDEX(Bases!$E$2:$E$53,B14))</f>
        <v/>
      </c>
      <c r="J14" s="8" t="str">
        <f aca="false">IF(INDEX(Bases!$E$2:$E$53,C14)="","",INDEX(Bases!$E$2:$E$53,C14))</f>
        <v/>
      </c>
      <c r="K14" s="5"/>
      <c r="L14" s="2" t="n">
        <f aca="false">AE14+IF(SUMPRODUCT(--($AL14:$AQ14&gt;AL14))&lt;$AK14,1,0)</f>
        <v>81</v>
      </c>
      <c r="M14" s="2" t="n">
        <f aca="false">AF14+IF(SUMPRODUCT(--($AL14:$AQ14&gt;AM14))+SUMPRODUCT(--($AL14:AL14=AM14))&lt;$AK14,1,0)</f>
        <v>79</v>
      </c>
      <c r="N14" s="2" t="n">
        <f aca="false">AG14+IF(SUMPRODUCT(--($AL14:$AQ14&gt;AN14))+SUMPRODUCT(--($AL14:AM14=AN14))&lt;$AK14,1,0)</f>
        <v>85</v>
      </c>
      <c r="O14" s="2" t="n">
        <f aca="false">AH14+IF(SUMPRODUCT(--($AL14:$AQ14&gt;AO14))+SUMPRODUCT(--($AL14:AN14=AO14))&lt;$AK14,1,0)</f>
        <v>97</v>
      </c>
      <c r="P14" s="2" t="n">
        <f aca="false">AI14+IF(SUMPRODUCT(--($AL14:$AQ14&gt;AP14))+SUMPRODUCT(--($AL14:AO14=AP14))&lt;$AK14,1,0)</f>
        <v>88</v>
      </c>
      <c r="Q14" s="2" t="n">
        <f aca="false">AJ14+IF(SUMPRODUCT(--($AL14:$AQ14&gt;AQ14))+SUMPRODUCT(--($AL14:AP14=AQ14))&lt;$AK14,1,0)</f>
        <v>70</v>
      </c>
      <c r="R14" s="2" t="n">
        <f aca="false">SUM(L14:Q14)</f>
        <v>500</v>
      </c>
      <c r="S14" s="2" t="n">
        <f aca="false">Settings!$B$4*MAX(INDEX(Bases!$M$2:$M$53,B14),INDEX(Bases!$M$2:$M$53,C14))+Settings!$B$5*MIN(INDEX(Bases!$M$2:$M$53,B14),INDEX(Bases!$M$2:$M$53,C14))</f>
        <v>66.6666666666667</v>
      </c>
      <c r="T14" s="2" t="n">
        <f aca="false">Settings!$B$4*MAX(INDEX(Bases!$N$2:$N$53,B14),INDEX(Bases!$N$2:$N$53,C14))+Settings!$B$5*MIN(INDEX(Bases!$N$2:$N$53,B14),INDEX(Bases!$N$2:$N$53,C14))</f>
        <v>65</v>
      </c>
      <c r="U14" s="2" t="n">
        <f aca="false">Settings!$B$4*MAX(INDEX(Bases!$O$2:$O$53,B14),INDEX(Bases!$O$2:$O$53,C14))+Settings!$B$5*MIN(INDEX(Bases!$O$2:$O$53,B14),INDEX(Bases!$O$2:$O$53,C14))</f>
        <v>69.6666666666667</v>
      </c>
      <c r="V14" s="2" t="n">
        <f aca="false">Settings!$B$4*MAX(INDEX(Bases!$P$2:$P$53,B14),INDEX(Bases!$P$2:$P$53,C14))+Settings!$B$5*MIN(INDEX(Bases!$P$2:$P$53,B14),INDEX(Bases!$P$2:$P$53,C14))</f>
        <v>79.6666666666667</v>
      </c>
      <c r="W14" s="2" t="n">
        <f aca="false">Settings!$B$4*MAX(INDEX(Bases!$Q$2:$Q$53,B14),INDEX(Bases!$Q$2:$Q$53,C14))+Settings!$B$5*MIN(INDEX(Bases!$Q$2:$Q$53,B14),INDEX(Bases!$Q$2:$Q$53,C14))</f>
        <v>72.6666666666667</v>
      </c>
      <c r="X14" s="2" t="n">
        <f aca="false">Settings!$B$4*MAX(INDEX(Bases!$R$2:$R$53,B14),INDEX(Bases!$R$2:$R$53,C14))+Settings!$B$5*MIN(INDEX(Bases!$R$2:$R$53,B14),INDEX(Bases!$R$2:$R$53,C14))</f>
        <v>57.3333333333333</v>
      </c>
      <c r="Y14" s="2" t="n">
        <f aca="false">S14*Settings!$B$3/SUM(S14:X14)</f>
        <v>81.10300081103</v>
      </c>
      <c r="Z14" s="2" t="n">
        <f aca="false">T14*Settings!$B$3/SUM(S14:X14)</f>
        <v>79.0754257907543</v>
      </c>
      <c r="AA14" s="2" t="n">
        <f aca="false">U14*Settings!$B$3/SUM(S14:X14)</f>
        <v>84.7526358475264</v>
      </c>
      <c r="AB14" s="2" t="n">
        <f aca="false">V14*Settings!$B$3/SUM(S14:X14)</f>
        <v>96.9180859691809</v>
      </c>
      <c r="AC14" s="2" t="n">
        <f aca="false">W14*Settings!$B$3/SUM(S14:X14)</f>
        <v>88.4022708840227</v>
      </c>
      <c r="AD14" s="2" t="n">
        <f aca="false">X14*Settings!$B$3/SUM(S14:X14)</f>
        <v>69.7485806974858</v>
      </c>
      <c r="AE14" s="2" t="n">
        <f aca="false">INT(Y14)</f>
        <v>81</v>
      </c>
      <c r="AF14" s="2" t="n">
        <f aca="false">INT(Z14)</f>
        <v>79</v>
      </c>
      <c r="AG14" s="2" t="n">
        <f aca="false">INT(AA14)</f>
        <v>84</v>
      </c>
      <c r="AH14" s="2" t="n">
        <f aca="false">INT(AB14)</f>
        <v>96</v>
      </c>
      <c r="AI14" s="2" t="n">
        <f aca="false">INT(AC14)</f>
        <v>88</v>
      </c>
      <c r="AJ14" s="2" t="n">
        <f aca="false">INT(AD14)</f>
        <v>69</v>
      </c>
      <c r="AK14" s="2" t="n">
        <f aca="false">Settings!$B$3-SUM(AE14:AJ14)</f>
        <v>3</v>
      </c>
      <c r="AL14" s="2" t="n">
        <f aca="false">ROUND(Y14-AE14,9)</f>
        <v>0.103000811</v>
      </c>
      <c r="AM14" s="2" t="n">
        <f aca="false">ROUND(Z14-AF14,9)</f>
        <v>0.075425791</v>
      </c>
      <c r="AN14" s="2" t="n">
        <f aca="false">ROUND(AA14-AG14,9)</f>
        <v>0.752635848</v>
      </c>
      <c r="AO14" s="2" t="n">
        <f aca="false">ROUND(AB14-AH14,9)</f>
        <v>0.918085969</v>
      </c>
      <c r="AP14" s="2" t="n">
        <f aca="false">ROUND(AC14-AI14,9)</f>
        <v>0.402270884</v>
      </c>
      <c r="AQ14" s="2" t="n">
        <f aca="false">ROUND(AD14-AJ14,9)</f>
        <v>0.748580697</v>
      </c>
    </row>
    <row r="15" customFormat="false" ht="15" hidden="false" customHeight="false" outlineLevel="0" collapsed="false">
      <c r="A15" s="2" t="n">
        <v>14</v>
      </c>
      <c r="B15" s="6" t="n">
        <v>1</v>
      </c>
      <c r="C15" s="6" t="n">
        <v>15</v>
      </c>
      <c r="D15" s="8" t="str">
        <f aca="false">INDEX(Bases!$B$2:$B$53,B15)</f>
        <v>Porygon</v>
      </c>
      <c r="E15" s="8" t="str">
        <f aca="false">INDEX(Bases!$B$2:$B$53,C15)</f>
        <v>Shroomish</v>
      </c>
      <c r="F15" s="2" t="str">
        <f aca="false">LEFT(D15,ROUNDUP(LEN(D15)/2,0))&amp;LOWER(MID(E15,ROUNDUP(LEN(E15)/2,0)+1,20))</f>
        <v>Porymish</v>
      </c>
      <c r="G15" s="8" t="str">
        <f aca="false">INDEX(Bases!$C$2:$C$53,B15)</f>
        <v>Normal</v>
      </c>
      <c r="H15" s="8" t="str">
        <f aca="false">IF(INDEX(Bases!$C$2:$C$53,C15)=G15,"",INDEX(Bases!$C$2:$C$53,C15))</f>
        <v>Grass</v>
      </c>
      <c r="I15" s="8" t="str">
        <f aca="false">IF(INDEX(Bases!$E$2:$E$53,B15)="","",INDEX(Bases!$E$2:$E$53,B15))</f>
        <v/>
      </c>
      <c r="J15" s="8" t="str">
        <f aca="false">IF(INDEX(Bases!$E$2:$E$53,C15)="","",INDEX(Bases!$E$2:$E$53,C15))</f>
        <v/>
      </c>
      <c r="K15" s="5"/>
      <c r="L15" s="2" t="n">
        <f aca="false">AE15+IF(SUMPRODUCT(--($AL15:$AQ15&gt;AL15))&lt;$AK15,1,0)</f>
        <v>93</v>
      </c>
      <c r="M15" s="2" t="n">
        <f aca="false">AF15+IF(SUMPRODUCT(--($AL15:$AQ15&gt;AM15))+SUMPRODUCT(--($AL15:AL15=AM15))&lt;$AK15,1,0)</f>
        <v>71</v>
      </c>
      <c r="N15" s="2" t="n">
        <f aca="false">AG15+IF(SUMPRODUCT(--($AL15:$AQ15&gt;AN15))+SUMPRODUCT(--($AL15:AM15=AN15))&lt;$AK15,1,0)</f>
        <v>94</v>
      </c>
      <c r="O15" s="2" t="n">
        <f aca="false">AH15+IF(SUMPRODUCT(--($AL15:$AQ15&gt;AO15))+SUMPRODUCT(--($AL15:AN15=AO15))&lt;$AK15,1,0)</f>
        <v>91</v>
      </c>
      <c r="P15" s="2" t="n">
        <f aca="false">AI15+IF(SUMPRODUCT(--($AL15:$AQ15&gt;AP15))+SUMPRODUCT(--($AL15:AO15=AP15))&lt;$AK15,1,0)</f>
        <v>96</v>
      </c>
      <c r="Q15" s="2" t="n">
        <f aca="false">AJ15+IF(SUMPRODUCT(--($AL15:$AQ15&gt;AQ15))+SUMPRODUCT(--($AL15:AP15=AQ15))&lt;$AK15,1,0)</f>
        <v>55</v>
      </c>
      <c r="R15" s="2" t="n">
        <f aca="false">SUM(L15:Q15)</f>
        <v>500</v>
      </c>
      <c r="S15" s="2" t="n">
        <f aca="false">Settings!$B$4*MAX(INDEX(Bases!$M$2:$M$53,B15),INDEX(Bases!$M$2:$M$53,C15))+Settings!$B$5*MIN(INDEX(Bases!$M$2:$M$53,B15),INDEX(Bases!$M$2:$M$53,C15))</f>
        <v>76.6666666666667</v>
      </c>
      <c r="T15" s="2" t="n">
        <f aca="false">Settings!$B$4*MAX(INDEX(Bases!$N$2:$N$53,B15),INDEX(Bases!$N$2:$N$53,C15))+Settings!$B$5*MIN(INDEX(Bases!$N$2:$N$53,B15),INDEX(Bases!$N$2:$N$53,C15))</f>
        <v>58.6666666666667</v>
      </c>
      <c r="U15" s="2" t="n">
        <f aca="false">Settings!$B$4*MAX(INDEX(Bases!$O$2:$O$53,B15),INDEX(Bases!$O$2:$O$53,C15))+Settings!$B$5*MIN(INDEX(Bases!$O$2:$O$53,B15),INDEX(Bases!$O$2:$O$53,C15))</f>
        <v>77.6666666666667</v>
      </c>
      <c r="V15" s="2" t="n">
        <f aca="false">Settings!$B$4*MAX(INDEX(Bases!$P$2:$P$53,B15),INDEX(Bases!$P$2:$P$53,C15))+Settings!$B$5*MIN(INDEX(Bases!$P$2:$P$53,B15),INDEX(Bases!$P$2:$P$53,C15))</f>
        <v>75.3333333333333</v>
      </c>
      <c r="W15" s="2" t="n">
        <f aca="false">Settings!$B$4*MAX(INDEX(Bases!$Q$2:$Q$53,B15),INDEX(Bases!$Q$2:$Q$53,C15))+Settings!$B$5*MIN(INDEX(Bases!$Q$2:$Q$53,B15),INDEX(Bases!$Q$2:$Q$53,C15))</f>
        <v>79.3333333333333</v>
      </c>
      <c r="X15" s="2" t="n">
        <f aca="false">Settings!$B$4*MAX(INDEX(Bases!$R$2:$R$53,B15),INDEX(Bases!$R$2:$R$53,C15))+Settings!$B$5*MIN(INDEX(Bases!$R$2:$R$53,B15),INDEX(Bases!$R$2:$R$53,C15))</f>
        <v>45.3333333333333</v>
      </c>
      <c r="Y15" s="2" t="n">
        <f aca="false">S15*Settings!$B$3/SUM(S15:X15)</f>
        <v>92.816787732042</v>
      </c>
      <c r="Z15" s="2" t="n">
        <f aca="false">T15*Settings!$B$3/SUM(S15:X15)</f>
        <v>71.0250201775626</v>
      </c>
      <c r="AA15" s="2" t="n">
        <f aca="false">U15*Settings!$B$3/SUM(S15:X15)</f>
        <v>94.0274414850686</v>
      </c>
      <c r="AB15" s="2" t="n">
        <f aca="false">V15*Settings!$B$3/SUM(S15:X15)</f>
        <v>91.2025827280065</v>
      </c>
      <c r="AC15" s="2" t="n">
        <f aca="false">W15*Settings!$B$3/SUM(S15:X15)</f>
        <v>96.045197740113</v>
      </c>
      <c r="AD15" s="2" t="n">
        <f aca="false">X15*Settings!$B$3/SUM(S15:X15)</f>
        <v>54.8829701372074</v>
      </c>
      <c r="AE15" s="2" t="n">
        <f aca="false">INT(Y15)</f>
        <v>92</v>
      </c>
      <c r="AF15" s="2" t="n">
        <f aca="false">INT(Z15)</f>
        <v>71</v>
      </c>
      <c r="AG15" s="2" t="n">
        <f aca="false">INT(AA15)</f>
        <v>94</v>
      </c>
      <c r="AH15" s="2" t="n">
        <f aca="false">INT(AB15)</f>
        <v>91</v>
      </c>
      <c r="AI15" s="2" t="n">
        <f aca="false">INT(AC15)</f>
        <v>96</v>
      </c>
      <c r="AJ15" s="2" t="n">
        <f aca="false">INT(AD15)</f>
        <v>54</v>
      </c>
      <c r="AK15" s="2" t="n">
        <f aca="false">Settings!$B$3-SUM(AE15:AJ15)</f>
        <v>2</v>
      </c>
      <c r="AL15" s="2" t="n">
        <f aca="false">ROUND(Y15-AE15,9)</f>
        <v>0.816787732</v>
      </c>
      <c r="AM15" s="2" t="n">
        <f aca="false">ROUND(Z15-AF15,9)</f>
        <v>0.025020178</v>
      </c>
      <c r="AN15" s="2" t="n">
        <f aca="false">ROUND(AA15-AG15,9)</f>
        <v>0.027441485</v>
      </c>
      <c r="AO15" s="2" t="n">
        <f aca="false">ROUND(AB15-AH15,9)</f>
        <v>0.202582728</v>
      </c>
      <c r="AP15" s="2" t="n">
        <f aca="false">ROUND(AC15-AI15,9)</f>
        <v>0.04519774</v>
      </c>
      <c r="AQ15" s="2" t="n">
        <f aca="false">ROUND(AD15-AJ15,9)</f>
        <v>0.882970137</v>
      </c>
    </row>
    <row r="16" customFormat="false" ht="15" hidden="false" customHeight="false" outlineLevel="0" collapsed="false">
      <c r="A16" s="2" t="n">
        <v>15</v>
      </c>
      <c r="B16" s="6" t="n">
        <v>1</v>
      </c>
      <c r="C16" s="6" t="n">
        <v>16</v>
      </c>
      <c r="D16" s="8" t="str">
        <f aca="false">INDEX(Bases!$B$2:$B$53,B16)</f>
        <v>Porygon</v>
      </c>
      <c r="E16" s="8" t="str">
        <f aca="false">INDEX(Bases!$B$2:$B$53,C16)</f>
        <v>Swinub</v>
      </c>
      <c r="F16" s="2" t="str">
        <f aca="false">LEFT(D16,ROUNDUP(LEN(D16)/2,0))&amp;LOWER(MID(E16,ROUNDUP(LEN(E16)/2,0)+1,20))</f>
        <v>Porynub</v>
      </c>
      <c r="G16" s="8" t="str">
        <f aca="false">INDEX(Bases!$C$2:$C$53,B16)</f>
        <v>Normal</v>
      </c>
      <c r="H16" s="8" t="str">
        <f aca="false">IF(INDEX(Bases!$C$2:$C$53,C16)=G16,"",INDEX(Bases!$C$2:$C$53,C16))</f>
        <v>Ice</v>
      </c>
      <c r="I16" s="8" t="str">
        <f aca="false">IF(INDEX(Bases!$E$2:$E$53,B16)="","",INDEX(Bases!$E$2:$E$53,B16))</f>
        <v/>
      </c>
      <c r="J16" s="8" t="str">
        <f aca="false">IF(INDEX(Bases!$E$2:$E$53,C16)="","",INDEX(Bases!$E$2:$E$53,C16))</f>
        <v/>
      </c>
      <c r="K16" s="5"/>
      <c r="L16" s="2" t="n">
        <f aca="false">AE16+IF(SUMPRODUCT(--($AL16:$AQ16&gt;AL16))&lt;$AK16,1,0)</f>
        <v>89</v>
      </c>
      <c r="M16" s="2" t="n">
        <f aca="false">AF16+IF(SUMPRODUCT(--($AL16:$AQ16&gt;AM16))+SUMPRODUCT(--($AL16:AL16=AM16))&lt;$AK16,1,0)</f>
        <v>87</v>
      </c>
      <c r="N16" s="2" t="n">
        <f aca="false">AG16+IF(SUMPRODUCT(--($AL16:$AQ16&gt;AN16))+SUMPRODUCT(--($AL16:AM16=AN16))&lt;$AK16,1,0)</f>
        <v>81</v>
      </c>
      <c r="O16" s="2" t="n">
        <f aca="false">AH16+IF(SUMPRODUCT(--($AL16:$AQ16&gt;AO16))+SUMPRODUCT(--($AL16:AN16=AO16))&lt;$AK16,1,0)</f>
        <v>86</v>
      </c>
      <c r="P16" s="2" t="n">
        <f aca="false">AI16+IF(SUMPRODUCT(--($AL16:$AQ16&gt;AP16))+SUMPRODUCT(--($AL16:AO16=AP16))&lt;$AK16,1,0)</f>
        <v>79</v>
      </c>
      <c r="Q16" s="2" t="n">
        <f aca="false">AJ16+IF(SUMPRODUCT(--($AL16:$AQ16&gt;AQ16))+SUMPRODUCT(--($AL16:AP16=AQ16))&lt;$AK16,1,0)</f>
        <v>78</v>
      </c>
      <c r="R16" s="2" t="n">
        <f aca="false">SUM(L16:Q16)</f>
        <v>500</v>
      </c>
      <c r="S16" s="2" t="n">
        <f aca="false">Settings!$B$4*MAX(INDEX(Bases!$M$2:$M$53,B16),INDEX(Bases!$M$2:$M$53,C16))+Settings!$B$5*MIN(INDEX(Bases!$M$2:$M$53,B16),INDEX(Bases!$M$2:$M$53,C16))</f>
        <v>75.3333333333333</v>
      </c>
      <c r="T16" s="2" t="n">
        <f aca="false">Settings!$B$4*MAX(INDEX(Bases!$N$2:$N$53,B16),INDEX(Bases!$N$2:$N$53,C16))+Settings!$B$5*MIN(INDEX(Bases!$N$2:$N$53,B16),INDEX(Bases!$N$2:$N$53,C16))</f>
        <v>73.6666666666667</v>
      </c>
      <c r="U16" s="2" t="n">
        <f aca="false">Settings!$B$4*MAX(INDEX(Bases!$O$2:$O$53,B16),INDEX(Bases!$O$2:$O$53,C16))+Settings!$B$5*MIN(INDEX(Bases!$O$2:$O$53,B16),INDEX(Bases!$O$2:$O$53,C16))</f>
        <v>68.6666666666667</v>
      </c>
      <c r="V16" s="2" t="n">
        <f aca="false">Settings!$B$4*MAX(INDEX(Bases!$P$2:$P$53,B16),INDEX(Bases!$P$2:$P$53,C16))+Settings!$B$5*MIN(INDEX(Bases!$P$2:$P$53,B16),INDEX(Bases!$P$2:$P$53,C16))</f>
        <v>73.3333333333333</v>
      </c>
      <c r="W16" s="2" t="n">
        <f aca="false">Settings!$B$4*MAX(INDEX(Bases!$Q$2:$Q$53,B16),INDEX(Bases!$Q$2:$Q$53,C16))+Settings!$B$5*MIN(INDEX(Bases!$Q$2:$Q$53,B16),INDEX(Bases!$Q$2:$Q$53,C16))</f>
        <v>66.6666666666667</v>
      </c>
      <c r="X16" s="2" t="n">
        <f aca="false">Settings!$B$4*MAX(INDEX(Bases!$R$2:$R$53,B16),INDEX(Bases!$R$2:$R$53,C16))+Settings!$B$5*MIN(INDEX(Bases!$R$2:$R$53,B16),INDEX(Bases!$R$2:$R$53,C16))</f>
        <v>66.6666666666667</v>
      </c>
      <c r="Y16" s="2" t="n">
        <f aca="false">S16*Settings!$B$3/SUM(S16:X16)</f>
        <v>88.7666928515318</v>
      </c>
      <c r="Z16" s="2" t="n">
        <f aca="false">T16*Settings!$B$3/SUM(S16:X16)</f>
        <v>86.802827965436</v>
      </c>
      <c r="AA16" s="2" t="n">
        <f aca="false">U16*Settings!$B$3/SUM(S16:X16)</f>
        <v>80.9112333071485</v>
      </c>
      <c r="AB16" s="2" t="n">
        <f aca="false">V16*Settings!$B$3/SUM(S16:X16)</f>
        <v>86.4100549882168</v>
      </c>
      <c r="AC16" s="2" t="n">
        <f aca="false">W16*Settings!$B$3/SUM(S16:X16)</f>
        <v>78.5545954438335</v>
      </c>
      <c r="AD16" s="2" t="n">
        <f aca="false">X16*Settings!$B$3/SUM(S16:X16)</f>
        <v>78.5545954438335</v>
      </c>
      <c r="AE16" s="2" t="n">
        <f aca="false">INT(Y16)</f>
        <v>88</v>
      </c>
      <c r="AF16" s="2" t="n">
        <f aca="false">INT(Z16)</f>
        <v>86</v>
      </c>
      <c r="AG16" s="2" t="n">
        <f aca="false">INT(AA16)</f>
        <v>80</v>
      </c>
      <c r="AH16" s="2" t="n">
        <f aca="false">INT(AB16)</f>
        <v>86</v>
      </c>
      <c r="AI16" s="2" t="n">
        <f aca="false">INT(AC16)</f>
        <v>78</v>
      </c>
      <c r="AJ16" s="2" t="n">
        <f aca="false">INT(AD16)</f>
        <v>78</v>
      </c>
      <c r="AK16" s="2" t="n">
        <f aca="false">Settings!$B$3-SUM(AE16:AJ16)</f>
        <v>4</v>
      </c>
      <c r="AL16" s="2" t="n">
        <f aca="false">ROUND(Y16-AE16,9)</f>
        <v>0.766692852</v>
      </c>
      <c r="AM16" s="2" t="n">
        <f aca="false">ROUND(Z16-AF16,9)</f>
        <v>0.802827965</v>
      </c>
      <c r="AN16" s="2" t="n">
        <f aca="false">ROUND(AA16-AG16,9)</f>
        <v>0.911233307</v>
      </c>
      <c r="AO16" s="2" t="n">
        <f aca="false">ROUND(AB16-AH16,9)</f>
        <v>0.410054988</v>
      </c>
      <c r="AP16" s="2" t="n">
        <f aca="false">ROUND(AC16-AI16,9)</f>
        <v>0.554595444</v>
      </c>
      <c r="AQ16" s="2" t="n">
        <f aca="false">ROUND(AD16-AJ16,9)</f>
        <v>0.554595444</v>
      </c>
    </row>
    <row r="17" customFormat="false" ht="15" hidden="false" customHeight="false" outlineLevel="0" collapsed="false">
      <c r="A17" s="2" t="n">
        <v>16</v>
      </c>
      <c r="B17" s="6" t="n">
        <v>1</v>
      </c>
      <c r="C17" s="6" t="n">
        <v>17</v>
      </c>
      <c r="D17" s="8" t="str">
        <f aca="false">INDEX(Bases!$B$2:$B$53,B17)</f>
        <v>Porygon</v>
      </c>
      <c r="E17" s="8" t="str">
        <f aca="false">INDEX(Bases!$B$2:$B$53,C17)</f>
        <v>Snorunt</v>
      </c>
      <c r="F17" s="2" t="str">
        <f aca="false">LEFT(D17,ROUNDUP(LEN(D17)/2,0))&amp;LOWER(MID(E17,ROUNDUP(LEN(E17)/2,0)+1,20))</f>
        <v>Poryunt</v>
      </c>
      <c r="G17" s="8" t="str">
        <f aca="false">INDEX(Bases!$C$2:$C$53,B17)</f>
        <v>Normal</v>
      </c>
      <c r="H17" s="8" t="str">
        <f aca="false">IF(INDEX(Bases!$C$2:$C$53,C17)=G17,"",INDEX(Bases!$C$2:$C$53,C17))</f>
        <v>Ice</v>
      </c>
      <c r="I17" s="8" t="str">
        <f aca="false">IF(INDEX(Bases!$E$2:$E$53,B17)="","",INDEX(Bases!$E$2:$E$53,B17))</f>
        <v/>
      </c>
      <c r="J17" s="8" t="str">
        <f aca="false">IF(INDEX(Bases!$E$2:$E$53,C17)="","",INDEX(Bases!$E$2:$E$53,C17))</f>
        <v/>
      </c>
      <c r="K17" s="5"/>
      <c r="L17" s="2" t="n">
        <f aca="false">AE17+IF(SUMPRODUCT(--($AL17:$AQ17&gt;AL17))&lt;$AK17,1,0)</f>
        <v>81</v>
      </c>
      <c r="M17" s="2" t="n">
        <f aca="false">AF17+IF(SUMPRODUCT(--($AL17:$AQ17&gt;AM17))+SUMPRODUCT(--($AL17:AL17=AM17))&lt;$AK17,1,0)</f>
        <v>79</v>
      </c>
      <c r="N17" s="2" t="n">
        <f aca="false">AG17+IF(SUMPRODUCT(--($AL17:$AQ17&gt;AN17))+SUMPRODUCT(--($AL17:AM17=AN17))&lt;$AK17,1,0)</f>
        <v>85</v>
      </c>
      <c r="O17" s="2" t="n">
        <f aca="false">AH17+IF(SUMPRODUCT(--($AL17:$AQ17&gt;AO17))+SUMPRODUCT(--($AL17:AN17=AO17))&lt;$AK17,1,0)</f>
        <v>97</v>
      </c>
      <c r="P17" s="2" t="n">
        <f aca="false">AI17+IF(SUMPRODUCT(--($AL17:$AQ17&gt;AP17))+SUMPRODUCT(--($AL17:AO17=AP17))&lt;$AK17,1,0)</f>
        <v>88</v>
      </c>
      <c r="Q17" s="2" t="n">
        <f aca="false">AJ17+IF(SUMPRODUCT(--($AL17:$AQ17&gt;AQ17))+SUMPRODUCT(--($AL17:AP17=AQ17))&lt;$AK17,1,0)</f>
        <v>70</v>
      </c>
      <c r="R17" s="2" t="n">
        <f aca="false">SUM(L17:Q17)</f>
        <v>500</v>
      </c>
      <c r="S17" s="2" t="n">
        <f aca="false">Settings!$B$4*MAX(INDEX(Bases!$M$2:$M$53,B17),INDEX(Bases!$M$2:$M$53,C17))+Settings!$B$5*MIN(INDEX(Bases!$M$2:$M$53,B17),INDEX(Bases!$M$2:$M$53,C17))</f>
        <v>66.6666666666667</v>
      </c>
      <c r="T17" s="2" t="n">
        <f aca="false">Settings!$B$4*MAX(INDEX(Bases!$N$2:$N$53,B17),INDEX(Bases!$N$2:$N$53,C17))+Settings!$B$5*MIN(INDEX(Bases!$N$2:$N$53,B17),INDEX(Bases!$N$2:$N$53,C17))</f>
        <v>65</v>
      </c>
      <c r="U17" s="2" t="n">
        <f aca="false">Settings!$B$4*MAX(INDEX(Bases!$O$2:$O$53,B17),INDEX(Bases!$O$2:$O$53,C17))+Settings!$B$5*MIN(INDEX(Bases!$O$2:$O$53,B17),INDEX(Bases!$O$2:$O$53,C17))</f>
        <v>69.6666666666667</v>
      </c>
      <c r="V17" s="2" t="n">
        <f aca="false">Settings!$B$4*MAX(INDEX(Bases!$P$2:$P$53,B17),INDEX(Bases!$P$2:$P$53,C17))+Settings!$B$5*MIN(INDEX(Bases!$P$2:$P$53,B17),INDEX(Bases!$P$2:$P$53,C17))</f>
        <v>79.6666666666667</v>
      </c>
      <c r="W17" s="2" t="n">
        <f aca="false">Settings!$B$4*MAX(INDEX(Bases!$Q$2:$Q$53,B17),INDEX(Bases!$Q$2:$Q$53,C17))+Settings!$B$5*MIN(INDEX(Bases!$Q$2:$Q$53,B17),INDEX(Bases!$Q$2:$Q$53,C17))</f>
        <v>72.6666666666667</v>
      </c>
      <c r="X17" s="2" t="n">
        <f aca="false">Settings!$B$4*MAX(INDEX(Bases!$R$2:$R$53,B17),INDEX(Bases!$R$2:$R$53,C17))+Settings!$B$5*MIN(INDEX(Bases!$R$2:$R$53,B17),INDEX(Bases!$R$2:$R$53,C17))</f>
        <v>57.3333333333333</v>
      </c>
      <c r="Y17" s="2" t="n">
        <f aca="false">S17*Settings!$B$3/SUM(S17:X17)</f>
        <v>81.10300081103</v>
      </c>
      <c r="Z17" s="2" t="n">
        <f aca="false">T17*Settings!$B$3/SUM(S17:X17)</f>
        <v>79.0754257907543</v>
      </c>
      <c r="AA17" s="2" t="n">
        <f aca="false">U17*Settings!$B$3/SUM(S17:X17)</f>
        <v>84.7526358475264</v>
      </c>
      <c r="AB17" s="2" t="n">
        <f aca="false">V17*Settings!$B$3/SUM(S17:X17)</f>
        <v>96.9180859691809</v>
      </c>
      <c r="AC17" s="2" t="n">
        <f aca="false">W17*Settings!$B$3/SUM(S17:X17)</f>
        <v>88.4022708840227</v>
      </c>
      <c r="AD17" s="2" t="n">
        <f aca="false">X17*Settings!$B$3/SUM(S17:X17)</f>
        <v>69.7485806974858</v>
      </c>
      <c r="AE17" s="2" t="n">
        <f aca="false">INT(Y17)</f>
        <v>81</v>
      </c>
      <c r="AF17" s="2" t="n">
        <f aca="false">INT(Z17)</f>
        <v>79</v>
      </c>
      <c r="AG17" s="2" t="n">
        <f aca="false">INT(AA17)</f>
        <v>84</v>
      </c>
      <c r="AH17" s="2" t="n">
        <f aca="false">INT(AB17)</f>
        <v>96</v>
      </c>
      <c r="AI17" s="2" t="n">
        <f aca="false">INT(AC17)</f>
        <v>88</v>
      </c>
      <c r="AJ17" s="2" t="n">
        <f aca="false">INT(AD17)</f>
        <v>69</v>
      </c>
      <c r="AK17" s="2" t="n">
        <f aca="false">Settings!$B$3-SUM(AE17:AJ17)</f>
        <v>3</v>
      </c>
      <c r="AL17" s="2" t="n">
        <f aca="false">ROUND(Y17-AE17,9)</f>
        <v>0.103000811</v>
      </c>
      <c r="AM17" s="2" t="n">
        <f aca="false">ROUND(Z17-AF17,9)</f>
        <v>0.075425791</v>
      </c>
      <c r="AN17" s="2" t="n">
        <f aca="false">ROUND(AA17-AG17,9)</f>
        <v>0.752635848</v>
      </c>
      <c r="AO17" s="2" t="n">
        <f aca="false">ROUND(AB17-AH17,9)</f>
        <v>0.918085969</v>
      </c>
      <c r="AP17" s="2" t="n">
        <f aca="false">ROUND(AC17-AI17,9)</f>
        <v>0.402270884</v>
      </c>
      <c r="AQ17" s="2" t="n">
        <f aca="false">ROUND(AD17-AJ17,9)</f>
        <v>0.748580697</v>
      </c>
    </row>
    <row r="18" customFormat="false" ht="15" hidden="false" customHeight="false" outlineLevel="0" collapsed="false">
      <c r="A18" s="2" t="n">
        <v>17</v>
      </c>
      <c r="B18" s="6" t="n">
        <v>1</v>
      </c>
      <c r="C18" s="6" t="n">
        <v>18</v>
      </c>
      <c r="D18" s="8" t="str">
        <f aca="false">INDEX(Bases!$B$2:$B$53,B18)</f>
        <v>Porygon</v>
      </c>
      <c r="E18" s="8" t="str">
        <f aca="false">INDEX(Bases!$B$2:$B$53,C18)</f>
        <v>Spheal</v>
      </c>
      <c r="F18" s="2" t="str">
        <f aca="false">LEFT(D18,ROUNDUP(LEN(D18)/2,0))&amp;LOWER(MID(E18,ROUNDUP(LEN(E18)/2,0)+1,20))</f>
        <v>Poryeal</v>
      </c>
      <c r="G18" s="8" t="str">
        <f aca="false">INDEX(Bases!$C$2:$C$53,B18)</f>
        <v>Normal</v>
      </c>
      <c r="H18" s="8" t="str">
        <f aca="false">IF(INDEX(Bases!$C$2:$C$53,C18)=G18,"",INDEX(Bases!$C$2:$C$53,C18))</f>
        <v>Ice</v>
      </c>
      <c r="I18" s="8" t="str">
        <f aca="false">IF(INDEX(Bases!$E$2:$E$53,B18)="","",INDEX(Bases!$E$2:$E$53,B18))</f>
        <v/>
      </c>
      <c r="J18" s="8" t="str">
        <f aca="false">IF(INDEX(Bases!$E$2:$E$53,C18)="","",INDEX(Bases!$E$2:$E$53,C18))</f>
        <v/>
      </c>
      <c r="K18" s="5"/>
      <c r="L18" s="2" t="n">
        <f aca="false">AE18+IF(SUMPRODUCT(--($AL18:$AQ18&gt;AL18))&lt;$AK18,1,0)</f>
        <v>105</v>
      </c>
      <c r="M18" s="2" t="n">
        <f aca="false">AF18+IF(SUMPRODUCT(--($AL18:$AQ18&gt;AM18))+SUMPRODUCT(--($AL18:AL18=AM18))&lt;$AK18,1,0)</f>
        <v>72</v>
      </c>
      <c r="N18" s="2" t="n">
        <f aca="false">AG18+IF(SUMPRODUCT(--($AL18:$AQ18&gt;AN18))+SUMPRODUCT(--($AL18:AM18=AN18))&lt;$AK18,1,0)</f>
        <v>86</v>
      </c>
      <c r="O18" s="2" t="n">
        <f aca="false">AH18+IF(SUMPRODUCT(--($AL18:$AQ18&gt;AO18))+SUMPRODUCT(--($AL18:AN18=AO18))&lt;$AK18,1,0)</f>
        <v>101</v>
      </c>
      <c r="P18" s="2" t="n">
        <f aca="false">AI18+IF(SUMPRODUCT(--($AL18:$AQ18&gt;AP18))+SUMPRODUCT(--($AL18:AO18=AP18))&lt;$AK18,1,0)</f>
        <v>90</v>
      </c>
      <c r="Q18" s="2" t="n">
        <f aca="false">AJ18+IF(SUMPRODUCT(--($AL18:$AQ18&gt;AQ18))+SUMPRODUCT(--($AL18:AP18=AQ18))&lt;$AK18,1,0)</f>
        <v>46</v>
      </c>
      <c r="R18" s="2" t="n">
        <f aca="false">SUM(L18:Q18)</f>
        <v>500</v>
      </c>
      <c r="S18" s="2" t="n">
        <f aca="false">Settings!$B$4*MAX(INDEX(Bases!$M$2:$M$53,B18),INDEX(Bases!$M$2:$M$53,C18))+Settings!$B$5*MIN(INDEX(Bases!$M$2:$M$53,B18),INDEX(Bases!$M$2:$M$53,C18))</f>
        <v>86.6666666666667</v>
      </c>
      <c r="T18" s="2" t="n">
        <f aca="false">Settings!$B$4*MAX(INDEX(Bases!$N$2:$N$53,B18),INDEX(Bases!$N$2:$N$53,C18))+Settings!$B$5*MIN(INDEX(Bases!$N$2:$N$53,B18),INDEX(Bases!$N$2:$N$53,C18))</f>
        <v>59</v>
      </c>
      <c r="U18" s="2" t="n">
        <f aca="false">Settings!$B$4*MAX(INDEX(Bases!$O$2:$O$53,B18),INDEX(Bases!$O$2:$O$53,C18))+Settings!$B$5*MIN(INDEX(Bases!$O$2:$O$53,B18),INDEX(Bases!$O$2:$O$53,C18))</f>
        <v>70.3333333333333</v>
      </c>
      <c r="V18" s="2" t="n">
        <f aca="false">Settings!$B$4*MAX(INDEX(Bases!$P$2:$P$53,B18),INDEX(Bases!$P$2:$P$53,C18))+Settings!$B$5*MIN(INDEX(Bases!$P$2:$P$53,B18),INDEX(Bases!$P$2:$P$53,C18))</f>
        <v>82.6666666666667</v>
      </c>
      <c r="W18" s="2" t="n">
        <f aca="false">Settings!$B$4*MAX(INDEX(Bases!$Q$2:$Q$53,B18),INDEX(Bases!$Q$2:$Q$53,C18))+Settings!$B$5*MIN(INDEX(Bases!$Q$2:$Q$53,B18),INDEX(Bases!$Q$2:$Q$53,C18))</f>
        <v>73.6666666666667</v>
      </c>
      <c r="X18" s="2" t="n">
        <f aca="false">Settings!$B$4*MAX(INDEX(Bases!$R$2:$R$53,B18),INDEX(Bases!$R$2:$R$53,C18))+Settings!$B$5*MIN(INDEX(Bases!$R$2:$R$53,B18),INDEX(Bases!$R$2:$R$53,C18))</f>
        <v>38</v>
      </c>
      <c r="Y18" s="2" t="n">
        <f aca="false">S18*Settings!$B$3/SUM(S18:X18)</f>
        <v>105.605199025183</v>
      </c>
      <c r="Z18" s="2" t="n">
        <f aca="false">T18*Settings!$B$3/SUM(S18:X18)</f>
        <v>71.8927701056052</v>
      </c>
      <c r="AA18" s="2" t="n">
        <f aca="false">U18*Settings!$B$3/SUM(S18:X18)</f>
        <v>85.7026807473599</v>
      </c>
      <c r="AB18" s="2" t="n">
        <f aca="false">V18*Settings!$B$3/SUM(S18:X18)</f>
        <v>100.731112916328</v>
      </c>
      <c r="AC18" s="2" t="n">
        <f aca="false">W18*Settings!$B$3/SUM(S18:X18)</f>
        <v>89.7644191714054</v>
      </c>
      <c r="AD18" s="2" t="n">
        <f aca="false">X18*Settings!$B$3/SUM(S18:X18)</f>
        <v>46.3038180341186</v>
      </c>
      <c r="AE18" s="2" t="n">
        <f aca="false">INT(Y18)</f>
        <v>105</v>
      </c>
      <c r="AF18" s="2" t="n">
        <f aca="false">INT(Z18)</f>
        <v>71</v>
      </c>
      <c r="AG18" s="2" t="n">
        <f aca="false">INT(AA18)</f>
        <v>85</v>
      </c>
      <c r="AH18" s="2" t="n">
        <f aca="false">INT(AB18)</f>
        <v>100</v>
      </c>
      <c r="AI18" s="2" t="n">
        <f aca="false">INT(AC18)</f>
        <v>89</v>
      </c>
      <c r="AJ18" s="2" t="n">
        <f aca="false">INT(AD18)</f>
        <v>46</v>
      </c>
      <c r="AK18" s="2" t="n">
        <f aca="false">Settings!$B$3-SUM(AE18:AJ18)</f>
        <v>4</v>
      </c>
      <c r="AL18" s="2" t="n">
        <f aca="false">ROUND(Y18-AE18,9)</f>
        <v>0.605199025</v>
      </c>
      <c r="AM18" s="2" t="n">
        <f aca="false">ROUND(Z18-AF18,9)</f>
        <v>0.892770106</v>
      </c>
      <c r="AN18" s="2" t="n">
        <f aca="false">ROUND(AA18-AG18,9)</f>
        <v>0.702680747</v>
      </c>
      <c r="AO18" s="2" t="n">
        <f aca="false">ROUND(AB18-AH18,9)</f>
        <v>0.731112916</v>
      </c>
      <c r="AP18" s="2" t="n">
        <f aca="false">ROUND(AC18-AI18,9)</f>
        <v>0.764419171</v>
      </c>
      <c r="AQ18" s="2" t="n">
        <f aca="false">ROUND(AD18-AJ18,9)</f>
        <v>0.303818034</v>
      </c>
    </row>
    <row r="19" customFormat="false" ht="15" hidden="false" customHeight="false" outlineLevel="0" collapsed="false">
      <c r="A19" s="2" t="n">
        <v>18</v>
      </c>
      <c r="B19" s="6" t="n">
        <v>1</v>
      </c>
      <c r="C19" s="6" t="n">
        <v>19</v>
      </c>
      <c r="D19" s="8" t="str">
        <f aca="false">INDEX(Bases!$B$2:$B$53,B19)</f>
        <v>Porygon</v>
      </c>
      <c r="E19" s="8" t="str">
        <f aca="false">INDEX(Bases!$B$2:$B$53,C19)</f>
        <v>Mankey</v>
      </c>
      <c r="F19" s="2" t="str">
        <f aca="false">LEFT(D19,ROUNDUP(LEN(D19)/2,0))&amp;LOWER(MID(E19,ROUNDUP(LEN(E19)/2,0)+1,20))</f>
        <v>Porykey</v>
      </c>
      <c r="G19" s="8" t="str">
        <f aca="false">INDEX(Bases!$C$2:$C$53,B19)</f>
        <v>Normal</v>
      </c>
      <c r="H19" s="8" t="str">
        <f aca="false">IF(INDEX(Bases!$C$2:$C$53,C19)=G19,"",INDEX(Bases!$C$2:$C$53,C19))</f>
        <v>Fighting</v>
      </c>
      <c r="I19" s="8" t="str">
        <f aca="false">IF(INDEX(Bases!$E$2:$E$53,B19)="","",INDEX(Bases!$E$2:$E$53,B19))</f>
        <v/>
      </c>
      <c r="J19" s="8" t="str">
        <f aca="false">IF(INDEX(Bases!$E$2:$E$53,C19)="","",INDEX(Bases!$E$2:$E$53,C19))</f>
        <v/>
      </c>
      <c r="K19" s="5"/>
      <c r="L19" s="2" t="n">
        <f aca="false">AE19+IF(SUMPRODUCT(--($AL19:$AQ19&gt;AL19))&lt;$AK19,1,0)</f>
        <v>71</v>
      </c>
      <c r="M19" s="2" t="n">
        <f aca="false">AF19+IF(SUMPRODUCT(--($AL19:$AQ19&gt;AM19))+SUMPRODUCT(--($AL19:AL19=AM19))&lt;$AK19,1,0)</f>
        <v>105</v>
      </c>
      <c r="N19" s="2" t="n">
        <f aca="false">AG19+IF(SUMPRODUCT(--($AL19:$AQ19&gt;AN19))+SUMPRODUCT(--($AL19:AM19=AN19))&lt;$AK19,1,0)</f>
        <v>73</v>
      </c>
      <c r="O19" s="2" t="n">
        <f aca="false">AH19+IF(SUMPRODUCT(--($AL19:$AQ19&gt;AO19))+SUMPRODUCT(--($AL19:AN19=AO19))&lt;$AK19,1,0)</f>
        <v>84</v>
      </c>
      <c r="P19" s="2" t="n">
        <f aca="false">AI19+IF(SUMPRODUCT(--($AL19:$AQ19&gt;AP19))+SUMPRODUCT(--($AL19:AO19=AP19))&lt;$AK19,1,0)</f>
        <v>81</v>
      </c>
      <c r="Q19" s="2" t="n">
        <f aca="false">AJ19+IF(SUMPRODUCT(--($AL19:$AQ19&gt;AQ19))+SUMPRODUCT(--($AL19:AP19=AQ19))&lt;$AK19,1,0)</f>
        <v>86</v>
      </c>
      <c r="R19" s="2" t="n">
        <f aca="false">SUM(L19:Q19)</f>
        <v>500</v>
      </c>
      <c r="S19" s="2" t="n">
        <f aca="false">Settings!$B$4*MAX(INDEX(Bases!$M$2:$M$53,B19),INDEX(Bases!$M$2:$M$53,C19))+Settings!$B$5*MIN(INDEX(Bases!$M$2:$M$53,B19),INDEX(Bases!$M$2:$M$53,C19))</f>
        <v>61.3333333333333</v>
      </c>
      <c r="T19" s="2" t="n">
        <f aca="false">Settings!$B$4*MAX(INDEX(Bases!$N$2:$N$53,B19),INDEX(Bases!$N$2:$N$53,C19))+Settings!$B$5*MIN(INDEX(Bases!$N$2:$N$53,B19),INDEX(Bases!$N$2:$N$53,C19))</f>
        <v>90.3333333333333</v>
      </c>
      <c r="U19" s="2" t="n">
        <f aca="false">Settings!$B$4*MAX(INDEX(Bases!$O$2:$O$53,B19),INDEX(Bases!$O$2:$O$53,C19))+Settings!$B$5*MIN(INDEX(Bases!$O$2:$O$53,B19),INDEX(Bases!$O$2:$O$53,C19))</f>
        <v>62.6666666666667</v>
      </c>
      <c r="V19" s="2" t="n">
        <f aca="false">Settings!$B$4*MAX(INDEX(Bases!$P$2:$P$53,B19),INDEX(Bases!$P$2:$P$53,C19))+Settings!$B$5*MIN(INDEX(Bases!$P$2:$P$53,B19),INDEX(Bases!$P$2:$P$53,C19))</f>
        <v>72.6666666666667</v>
      </c>
      <c r="W19" s="2" t="n">
        <f aca="false">Settings!$B$4*MAX(INDEX(Bases!$Q$2:$Q$53,B19),INDEX(Bases!$Q$2:$Q$53,C19))+Settings!$B$5*MIN(INDEX(Bases!$Q$2:$Q$53,B19),INDEX(Bases!$Q$2:$Q$53,C19))</f>
        <v>70.3333333333333</v>
      </c>
      <c r="X19" s="2" t="n">
        <f aca="false">Settings!$B$4*MAX(INDEX(Bases!$R$2:$R$53,B19),INDEX(Bases!$R$2:$R$53,C19))+Settings!$B$5*MIN(INDEX(Bases!$R$2:$R$53,B19),INDEX(Bases!$R$2:$R$53,C19))</f>
        <v>74.6666666666667</v>
      </c>
      <c r="Y19" s="2" t="n">
        <f aca="false">S19*Settings!$B$3/SUM(S19:X19)</f>
        <v>70.9876543209877</v>
      </c>
      <c r="Z19" s="2" t="n">
        <f aca="false">T19*Settings!$B$3/SUM(S19:X19)</f>
        <v>104.552469135802</v>
      </c>
      <c r="AA19" s="2" t="n">
        <f aca="false">U19*Settings!$B$3/SUM(S19:X19)</f>
        <v>72.5308641975309</v>
      </c>
      <c r="AB19" s="2" t="n">
        <f aca="false">V19*Settings!$B$3/SUM(S19:X19)</f>
        <v>84.1049382716049</v>
      </c>
      <c r="AC19" s="2" t="n">
        <f aca="false">W19*Settings!$B$3/SUM(S19:X19)</f>
        <v>81.4043209876543</v>
      </c>
      <c r="AD19" s="2" t="n">
        <f aca="false">X19*Settings!$B$3/SUM(S19:X19)</f>
        <v>86.4197530864198</v>
      </c>
      <c r="AE19" s="2" t="n">
        <f aca="false">INT(Y19)</f>
        <v>70</v>
      </c>
      <c r="AF19" s="2" t="n">
        <f aca="false">INT(Z19)</f>
        <v>104</v>
      </c>
      <c r="AG19" s="2" t="n">
        <f aca="false">INT(AA19)</f>
        <v>72</v>
      </c>
      <c r="AH19" s="2" t="n">
        <f aca="false">INT(AB19)</f>
        <v>84</v>
      </c>
      <c r="AI19" s="2" t="n">
        <f aca="false">INT(AC19)</f>
        <v>81</v>
      </c>
      <c r="AJ19" s="2" t="n">
        <f aca="false">INT(AD19)</f>
        <v>86</v>
      </c>
      <c r="AK19" s="2" t="n">
        <f aca="false">Settings!$B$3-SUM(AE19:AJ19)</f>
        <v>3</v>
      </c>
      <c r="AL19" s="2" t="n">
        <f aca="false">ROUND(Y19-AE19,9)</f>
        <v>0.987654321</v>
      </c>
      <c r="AM19" s="2" t="n">
        <f aca="false">ROUND(Z19-AF19,9)</f>
        <v>0.552469136</v>
      </c>
      <c r="AN19" s="2" t="n">
        <f aca="false">ROUND(AA19-AG19,9)</f>
        <v>0.530864198</v>
      </c>
      <c r="AO19" s="2" t="n">
        <f aca="false">ROUND(AB19-AH19,9)</f>
        <v>0.104938272</v>
      </c>
      <c r="AP19" s="2" t="n">
        <f aca="false">ROUND(AC19-AI19,9)</f>
        <v>0.404320988</v>
      </c>
      <c r="AQ19" s="2" t="n">
        <f aca="false">ROUND(AD19-AJ19,9)</f>
        <v>0.419753086</v>
      </c>
    </row>
    <row r="20" customFormat="false" ht="15" hidden="false" customHeight="false" outlineLevel="0" collapsed="false">
      <c r="A20" s="2" t="n">
        <v>19</v>
      </c>
      <c r="B20" s="6" t="n">
        <v>1</v>
      </c>
      <c r="C20" s="6" t="n">
        <v>20</v>
      </c>
      <c r="D20" s="8" t="str">
        <f aca="false">INDEX(Bases!$B$2:$B$53,B20)</f>
        <v>Porygon</v>
      </c>
      <c r="E20" s="8" t="str">
        <f aca="false">INDEX(Bases!$B$2:$B$53,C20)</f>
        <v>Tyrogue</v>
      </c>
      <c r="F20" s="2" t="str">
        <f aca="false">LEFT(D20,ROUNDUP(LEN(D20)/2,0))&amp;LOWER(MID(E20,ROUNDUP(LEN(E20)/2,0)+1,20))</f>
        <v>Porygue</v>
      </c>
      <c r="G20" s="8" t="str">
        <f aca="false">INDEX(Bases!$C$2:$C$53,B20)</f>
        <v>Normal</v>
      </c>
      <c r="H20" s="8" t="str">
        <f aca="false">IF(INDEX(Bases!$C$2:$C$53,C20)=G20,"",INDEX(Bases!$C$2:$C$53,C20))</f>
        <v>Fighting</v>
      </c>
      <c r="I20" s="8" t="str">
        <f aca="false">IF(INDEX(Bases!$E$2:$E$53,B20)="","",INDEX(Bases!$E$2:$E$53,B20))</f>
        <v/>
      </c>
      <c r="J20" s="8" t="str">
        <f aca="false">IF(INDEX(Bases!$E$2:$E$53,C20)="","",INDEX(Bases!$E$2:$E$53,C20))</f>
        <v/>
      </c>
      <c r="K20" s="5"/>
      <c r="L20" s="2" t="n">
        <f aca="false">AE20+IF(SUMPRODUCT(--($AL20:$AQ20&gt;AL20))&lt;$AK20,1,0)</f>
        <v>81</v>
      </c>
      <c r="M20" s="2" t="n">
        <f aca="false">AF20+IF(SUMPRODUCT(--($AL20:$AQ20&gt;AM20))+SUMPRODUCT(--($AL20:AL20=AM20))&lt;$AK20,1,0)</f>
        <v>79</v>
      </c>
      <c r="N20" s="2" t="n">
        <f aca="false">AG20+IF(SUMPRODUCT(--($AL20:$AQ20&gt;AN20))+SUMPRODUCT(--($AL20:AM20=AN20))&lt;$AK20,1,0)</f>
        <v>85</v>
      </c>
      <c r="O20" s="2" t="n">
        <f aca="false">AH20+IF(SUMPRODUCT(--($AL20:$AQ20&gt;AO20))+SUMPRODUCT(--($AL20:AN20=AO20))&lt;$AK20,1,0)</f>
        <v>97</v>
      </c>
      <c r="P20" s="2" t="n">
        <f aca="false">AI20+IF(SUMPRODUCT(--($AL20:$AQ20&gt;AP20))+SUMPRODUCT(--($AL20:AO20=AP20))&lt;$AK20,1,0)</f>
        <v>88</v>
      </c>
      <c r="Q20" s="2" t="n">
        <f aca="false">AJ20+IF(SUMPRODUCT(--($AL20:$AQ20&gt;AQ20))+SUMPRODUCT(--($AL20:AP20=AQ20))&lt;$AK20,1,0)</f>
        <v>70</v>
      </c>
      <c r="R20" s="2" t="n">
        <f aca="false">SUM(L20:Q20)</f>
        <v>500</v>
      </c>
      <c r="S20" s="2" t="n">
        <f aca="false">Settings!$B$4*MAX(INDEX(Bases!$M$2:$M$53,B20),INDEX(Bases!$M$2:$M$53,C20))+Settings!$B$5*MIN(INDEX(Bases!$M$2:$M$53,B20),INDEX(Bases!$M$2:$M$53,C20))</f>
        <v>66.6666666666667</v>
      </c>
      <c r="T20" s="2" t="n">
        <f aca="false">Settings!$B$4*MAX(INDEX(Bases!$N$2:$N$53,B20),INDEX(Bases!$N$2:$N$53,C20))+Settings!$B$5*MIN(INDEX(Bases!$N$2:$N$53,B20),INDEX(Bases!$N$2:$N$53,C20))</f>
        <v>65</v>
      </c>
      <c r="U20" s="2" t="n">
        <f aca="false">Settings!$B$4*MAX(INDEX(Bases!$O$2:$O$53,B20),INDEX(Bases!$O$2:$O$53,C20))+Settings!$B$5*MIN(INDEX(Bases!$O$2:$O$53,B20),INDEX(Bases!$O$2:$O$53,C20))</f>
        <v>69.6666666666667</v>
      </c>
      <c r="V20" s="2" t="n">
        <f aca="false">Settings!$B$4*MAX(INDEX(Bases!$P$2:$P$53,B20),INDEX(Bases!$P$2:$P$53,C20))+Settings!$B$5*MIN(INDEX(Bases!$P$2:$P$53,B20),INDEX(Bases!$P$2:$P$53,C20))</f>
        <v>79.6666666666667</v>
      </c>
      <c r="W20" s="2" t="n">
        <f aca="false">Settings!$B$4*MAX(INDEX(Bases!$Q$2:$Q$53,B20),INDEX(Bases!$Q$2:$Q$53,C20))+Settings!$B$5*MIN(INDEX(Bases!$Q$2:$Q$53,B20),INDEX(Bases!$Q$2:$Q$53,C20))</f>
        <v>72.6666666666667</v>
      </c>
      <c r="X20" s="2" t="n">
        <f aca="false">Settings!$B$4*MAX(INDEX(Bases!$R$2:$R$53,B20),INDEX(Bases!$R$2:$R$53,C20))+Settings!$B$5*MIN(INDEX(Bases!$R$2:$R$53,B20),INDEX(Bases!$R$2:$R$53,C20))</f>
        <v>57.3333333333333</v>
      </c>
      <c r="Y20" s="2" t="n">
        <f aca="false">S20*Settings!$B$3/SUM(S20:X20)</f>
        <v>81.10300081103</v>
      </c>
      <c r="Z20" s="2" t="n">
        <f aca="false">T20*Settings!$B$3/SUM(S20:X20)</f>
        <v>79.0754257907543</v>
      </c>
      <c r="AA20" s="2" t="n">
        <f aca="false">U20*Settings!$B$3/SUM(S20:X20)</f>
        <v>84.7526358475264</v>
      </c>
      <c r="AB20" s="2" t="n">
        <f aca="false">V20*Settings!$B$3/SUM(S20:X20)</f>
        <v>96.9180859691809</v>
      </c>
      <c r="AC20" s="2" t="n">
        <f aca="false">W20*Settings!$B$3/SUM(S20:X20)</f>
        <v>88.4022708840227</v>
      </c>
      <c r="AD20" s="2" t="n">
        <f aca="false">X20*Settings!$B$3/SUM(S20:X20)</f>
        <v>69.7485806974858</v>
      </c>
      <c r="AE20" s="2" t="n">
        <f aca="false">INT(Y20)</f>
        <v>81</v>
      </c>
      <c r="AF20" s="2" t="n">
        <f aca="false">INT(Z20)</f>
        <v>79</v>
      </c>
      <c r="AG20" s="2" t="n">
        <f aca="false">INT(AA20)</f>
        <v>84</v>
      </c>
      <c r="AH20" s="2" t="n">
        <f aca="false">INT(AB20)</f>
        <v>96</v>
      </c>
      <c r="AI20" s="2" t="n">
        <f aca="false">INT(AC20)</f>
        <v>88</v>
      </c>
      <c r="AJ20" s="2" t="n">
        <f aca="false">INT(AD20)</f>
        <v>69</v>
      </c>
      <c r="AK20" s="2" t="n">
        <f aca="false">Settings!$B$3-SUM(AE20:AJ20)</f>
        <v>3</v>
      </c>
      <c r="AL20" s="2" t="n">
        <f aca="false">ROUND(Y20-AE20,9)</f>
        <v>0.103000811</v>
      </c>
      <c r="AM20" s="2" t="n">
        <f aca="false">ROUND(Z20-AF20,9)</f>
        <v>0.075425791</v>
      </c>
      <c r="AN20" s="2" t="n">
        <f aca="false">ROUND(AA20-AG20,9)</f>
        <v>0.752635848</v>
      </c>
      <c r="AO20" s="2" t="n">
        <f aca="false">ROUND(AB20-AH20,9)</f>
        <v>0.918085969</v>
      </c>
      <c r="AP20" s="2" t="n">
        <f aca="false">ROUND(AC20-AI20,9)</f>
        <v>0.402270884</v>
      </c>
      <c r="AQ20" s="2" t="n">
        <f aca="false">ROUND(AD20-AJ20,9)</f>
        <v>0.748580697</v>
      </c>
    </row>
    <row r="21" customFormat="false" ht="15" hidden="false" customHeight="false" outlineLevel="0" collapsed="false">
      <c r="A21" s="2" t="n">
        <v>20</v>
      </c>
      <c r="B21" s="6" t="n">
        <v>1</v>
      </c>
      <c r="C21" s="6" t="n">
        <v>21</v>
      </c>
      <c r="D21" s="8" t="str">
        <f aca="false">INDEX(Bases!$B$2:$B$53,B21)</f>
        <v>Porygon</v>
      </c>
      <c r="E21" s="8" t="str">
        <f aca="false">INDEX(Bases!$B$2:$B$53,C21)</f>
        <v>Makuhita</v>
      </c>
      <c r="F21" s="2" t="str">
        <f aca="false">LEFT(D21,ROUNDUP(LEN(D21)/2,0))&amp;LOWER(MID(E21,ROUNDUP(LEN(E21)/2,0)+1,20))</f>
        <v>Poryhita</v>
      </c>
      <c r="G21" s="8" t="str">
        <f aca="false">INDEX(Bases!$C$2:$C$53,B21)</f>
        <v>Normal</v>
      </c>
      <c r="H21" s="8" t="str">
        <f aca="false">IF(INDEX(Bases!$C$2:$C$53,C21)=G21,"",INDEX(Bases!$C$2:$C$53,C21))</f>
        <v>Fighting</v>
      </c>
      <c r="I21" s="8" t="str">
        <f aca="false">IF(INDEX(Bases!$E$2:$E$53,B21)="","",INDEX(Bases!$E$2:$E$53,B21))</f>
        <v/>
      </c>
      <c r="J21" s="8" t="str">
        <f aca="false">IF(INDEX(Bases!$E$2:$E$53,C21)="","",INDEX(Bases!$E$2:$E$53,C21))</f>
        <v/>
      </c>
      <c r="K21" s="5"/>
      <c r="L21" s="2" t="n">
        <f aca="false">AE21+IF(SUMPRODUCT(--($AL21:$AQ21&gt;AL21))&lt;$AK21,1,0)</f>
        <v>119</v>
      </c>
      <c r="M21" s="2" t="n">
        <f aca="false">AF21+IF(SUMPRODUCT(--($AL21:$AQ21&gt;AM21))+SUMPRODUCT(--($AL21:AL21=AM21))&lt;$AK21,1,0)</f>
        <v>101</v>
      </c>
      <c r="N21" s="2" t="n">
        <f aca="false">AG21+IF(SUMPRODUCT(--($AL21:$AQ21&gt;AN21))+SUMPRODUCT(--($AL21:AM21=AN21))&lt;$AK21,1,0)</f>
        <v>74</v>
      </c>
      <c r="O21" s="2" t="n">
        <f aca="false">AH21+IF(SUMPRODUCT(--($AL21:$AQ21&gt;AO21))+SUMPRODUCT(--($AL21:AN21=AO21))&lt;$AK21,1,0)</f>
        <v>80</v>
      </c>
      <c r="P21" s="2" t="n">
        <f aca="false">AI21+IF(SUMPRODUCT(--($AL21:$AQ21&gt;AP21))+SUMPRODUCT(--($AL21:AO21=AP21))&lt;$AK21,1,0)</f>
        <v>78</v>
      </c>
      <c r="Q21" s="2" t="n">
        <f aca="false">AJ21+IF(SUMPRODUCT(--($AL21:$AQ21&gt;AQ21))+SUMPRODUCT(--($AL21:AP21=AQ21))&lt;$AK21,1,0)</f>
        <v>48</v>
      </c>
      <c r="R21" s="2" t="n">
        <f aca="false">SUM(L21:Q21)</f>
        <v>500</v>
      </c>
      <c r="S21" s="2" t="n">
        <f aca="false">Settings!$B$4*MAX(INDEX(Bases!$M$2:$M$53,B21),INDEX(Bases!$M$2:$M$53,C21))+Settings!$B$5*MIN(INDEX(Bases!$M$2:$M$53,B21),INDEX(Bases!$M$2:$M$53,C21))</f>
        <v>102.666666666667</v>
      </c>
      <c r="T21" s="2" t="n">
        <f aca="false">Settings!$B$4*MAX(INDEX(Bases!$N$2:$N$53,B21),INDEX(Bases!$N$2:$N$53,C21))+Settings!$B$5*MIN(INDEX(Bases!$N$2:$N$53,B21),INDEX(Bases!$N$2:$N$53,C21))</f>
        <v>87.6666666666667</v>
      </c>
      <c r="U21" s="2" t="n">
        <f aca="false">Settings!$B$4*MAX(INDEX(Bases!$O$2:$O$53,B21),INDEX(Bases!$O$2:$O$53,C21))+Settings!$B$5*MIN(INDEX(Bases!$O$2:$O$53,B21),INDEX(Bases!$O$2:$O$53,C21))</f>
        <v>64.3333333333333</v>
      </c>
      <c r="V21" s="2" t="n">
        <f aca="false">Settings!$B$4*MAX(INDEX(Bases!$P$2:$P$53,B21),INDEX(Bases!$P$2:$P$53,C21))+Settings!$B$5*MIN(INDEX(Bases!$P$2:$P$53,B21),INDEX(Bases!$P$2:$P$53,C21))</f>
        <v>68.6666666666667</v>
      </c>
      <c r="W21" s="2" t="n">
        <f aca="false">Settings!$B$4*MAX(INDEX(Bases!$Q$2:$Q$53,B21),INDEX(Bases!$Q$2:$Q$53,C21))+Settings!$B$5*MIN(INDEX(Bases!$Q$2:$Q$53,B21),INDEX(Bases!$Q$2:$Q$53,C21))</f>
        <v>67.6666666666667</v>
      </c>
      <c r="X21" s="2" t="n">
        <f aca="false">Settings!$B$4*MAX(INDEX(Bases!$R$2:$R$53,B21),INDEX(Bases!$R$2:$R$53,C21))+Settings!$B$5*MIN(INDEX(Bases!$R$2:$R$53,B21),INDEX(Bases!$R$2:$R$53,C21))</f>
        <v>41.3333333333333</v>
      </c>
      <c r="Y21" s="2" t="n">
        <f aca="false">S21*Settings!$B$3/SUM(S21:X21)</f>
        <v>118.735543562066</v>
      </c>
      <c r="Z21" s="2" t="n">
        <f aca="false">T21*Settings!$B$3/SUM(S21:X21)</f>
        <v>101.387818041635</v>
      </c>
      <c r="AA21" s="2" t="n">
        <f aca="false">U21*Settings!$B$3/SUM(S21:X21)</f>
        <v>74.402467232074</v>
      </c>
      <c r="AB21" s="2" t="n">
        <f aca="false">V21*Settings!$B$3/SUM(S21:X21)</f>
        <v>79.414032382421</v>
      </c>
      <c r="AC21" s="2" t="n">
        <f aca="false">W21*Settings!$B$3/SUM(S21:X21)</f>
        <v>78.2575173477255</v>
      </c>
      <c r="AD21" s="2" t="n">
        <f aca="false">X21*Settings!$B$3/SUM(S21:X21)</f>
        <v>47.8026214340786</v>
      </c>
      <c r="AE21" s="2" t="n">
        <f aca="false">INT(Y21)</f>
        <v>118</v>
      </c>
      <c r="AF21" s="2" t="n">
        <f aca="false">INT(Z21)</f>
        <v>101</v>
      </c>
      <c r="AG21" s="2" t="n">
        <f aca="false">INT(AA21)</f>
        <v>74</v>
      </c>
      <c r="AH21" s="2" t="n">
        <f aca="false">INT(AB21)</f>
        <v>79</v>
      </c>
      <c r="AI21" s="2" t="n">
        <f aca="false">INT(AC21)</f>
        <v>78</v>
      </c>
      <c r="AJ21" s="2" t="n">
        <f aca="false">INT(AD21)</f>
        <v>47</v>
      </c>
      <c r="AK21" s="2" t="n">
        <f aca="false">Settings!$B$3-SUM(AE21:AJ21)</f>
        <v>3</v>
      </c>
      <c r="AL21" s="2" t="n">
        <f aca="false">ROUND(Y21-AE21,9)</f>
        <v>0.735543562</v>
      </c>
      <c r="AM21" s="2" t="n">
        <f aca="false">ROUND(Z21-AF21,9)</f>
        <v>0.387818042</v>
      </c>
      <c r="AN21" s="2" t="n">
        <f aca="false">ROUND(AA21-AG21,9)</f>
        <v>0.402467232</v>
      </c>
      <c r="AO21" s="2" t="n">
        <f aca="false">ROUND(AB21-AH21,9)</f>
        <v>0.414032382</v>
      </c>
      <c r="AP21" s="2" t="n">
        <f aca="false">ROUND(AC21-AI21,9)</f>
        <v>0.257517348</v>
      </c>
      <c r="AQ21" s="2" t="n">
        <f aca="false">ROUND(AD21-AJ21,9)</f>
        <v>0.802621434</v>
      </c>
    </row>
    <row r="22" customFormat="false" ht="15" hidden="false" customHeight="false" outlineLevel="0" collapsed="false">
      <c r="A22" s="2" t="n">
        <v>21</v>
      </c>
      <c r="B22" s="6" t="n">
        <v>1</v>
      </c>
      <c r="C22" s="6" t="n">
        <v>22</v>
      </c>
      <c r="D22" s="8" t="str">
        <f aca="false">INDEX(Bases!$B$2:$B$53,B22)</f>
        <v>Porygon</v>
      </c>
      <c r="E22" s="8" t="str">
        <f aca="false">INDEX(Bases!$B$2:$B$53,C22)</f>
        <v>Ekans</v>
      </c>
      <c r="F22" s="2" t="str">
        <f aca="false">LEFT(D22,ROUNDUP(LEN(D22)/2,0))&amp;LOWER(MID(E22,ROUNDUP(LEN(E22)/2,0)+1,20))</f>
        <v>Poryns</v>
      </c>
      <c r="G22" s="8" t="str">
        <f aca="false">INDEX(Bases!$C$2:$C$53,B22)</f>
        <v>Normal</v>
      </c>
      <c r="H22" s="8" t="str">
        <f aca="false">IF(INDEX(Bases!$C$2:$C$53,C22)=G22,"",INDEX(Bases!$C$2:$C$53,C22))</f>
        <v>Poison</v>
      </c>
      <c r="I22" s="8" t="str">
        <f aca="false">IF(INDEX(Bases!$E$2:$E$53,B22)="","",INDEX(Bases!$E$2:$E$53,B22))</f>
        <v/>
      </c>
      <c r="J22" s="8" t="str">
        <f aca="false">IF(INDEX(Bases!$E$2:$E$53,C22)="","",INDEX(Bases!$E$2:$E$53,C22))</f>
        <v/>
      </c>
      <c r="K22" s="5"/>
      <c r="L22" s="2" t="n">
        <f aca="false">AE22+IF(SUMPRODUCT(--($AL22:$AQ22&gt;AL22))&lt;$AK22,1,0)</f>
        <v>72</v>
      </c>
      <c r="M22" s="2" t="n">
        <f aca="false">AF22+IF(SUMPRODUCT(--($AL22:$AQ22&gt;AM22))+SUMPRODUCT(--($AL22:AL22=AM22))&lt;$AK22,1,0)</f>
        <v>90</v>
      </c>
      <c r="N22" s="2" t="n">
        <f aca="false">AG22+IF(SUMPRODUCT(--($AL22:$AQ22&gt;AN22))+SUMPRODUCT(--($AL22:AM22=AN22))&lt;$AK22,1,0)</f>
        <v>81</v>
      </c>
      <c r="O22" s="2" t="n">
        <f aca="false">AH22+IF(SUMPRODUCT(--($AL22:$AQ22&gt;AO22))+SUMPRODUCT(--($AL22:AN22=AO22))&lt;$AK22,1,0)</f>
        <v>91</v>
      </c>
      <c r="P22" s="2" t="n">
        <f aca="false">AI22+IF(SUMPRODUCT(--($AL22:$AQ22&gt;AP22))+SUMPRODUCT(--($AL22:AO22=AP22))&lt;$AK22,1,0)</f>
        <v>90</v>
      </c>
      <c r="Q22" s="2" t="n">
        <f aca="false">AJ22+IF(SUMPRODUCT(--($AL22:$AQ22&gt;AQ22))+SUMPRODUCT(--($AL22:AP22=AQ22))&lt;$AK22,1,0)</f>
        <v>76</v>
      </c>
      <c r="R22" s="2" t="n">
        <f aca="false">SUM(L22:Q22)</f>
        <v>500</v>
      </c>
      <c r="S22" s="2" t="n">
        <f aca="false">Settings!$B$4*MAX(INDEX(Bases!$M$2:$M$53,B22),INDEX(Bases!$M$2:$M$53,C22))+Settings!$B$5*MIN(INDEX(Bases!$M$2:$M$53,B22),INDEX(Bases!$M$2:$M$53,C22))</f>
        <v>60.3333333333333</v>
      </c>
      <c r="T22" s="2" t="n">
        <f aca="false">Settings!$B$4*MAX(INDEX(Bases!$N$2:$N$53,B22),INDEX(Bases!$N$2:$N$53,C22))+Settings!$B$5*MIN(INDEX(Bases!$N$2:$N$53,B22),INDEX(Bases!$N$2:$N$53,C22))</f>
        <v>75.6666666666667</v>
      </c>
      <c r="U22" s="2" t="n">
        <f aca="false">Settings!$B$4*MAX(INDEX(Bases!$O$2:$O$53,B22),INDEX(Bases!$O$2:$O$53,C22))+Settings!$B$5*MIN(INDEX(Bases!$O$2:$O$53,B22),INDEX(Bases!$O$2:$O$53,C22))</f>
        <v>67.6666666666667</v>
      </c>
      <c r="V22" s="2" t="n">
        <f aca="false">Settings!$B$4*MAX(INDEX(Bases!$P$2:$P$53,B22),INDEX(Bases!$P$2:$P$53,C22))+Settings!$B$5*MIN(INDEX(Bases!$P$2:$P$53,B22),INDEX(Bases!$P$2:$P$53,C22))</f>
        <v>76</v>
      </c>
      <c r="W22" s="2" t="n">
        <f aca="false">Settings!$B$4*MAX(INDEX(Bases!$Q$2:$Q$53,B22),INDEX(Bases!$Q$2:$Q$53,C22))+Settings!$B$5*MIN(INDEX(Bases!$Q$2:$Q$53,B22),INDEX(Bases!$Q$2:$Q$53,C22))</f>
        <v>75.6666666666667</v>
      </c>
      <c r="X22" s="2" t="n">
        <f aca="false">Settings!$B$4*MAX(INDEX(Bases!$R$2:$R$53,B22),INDEX(Bases!$R$2:$R$53,C22))+Settings!$B$5*MIN(INDEX(Bases!$R$2:$R$53,B22),INDEX(Bases!$R$2:$R$53,C22))</f>
        <v>64</v>
      </c>
      <c r="Y22" s="2" t="n">
        <f aca="false">S22*Settings!$B$3/SUM(S22:X22)</f>
        <v>71.939586645469</v>
      </c>
      <c r="Z22" s="2" t="n">
        <f aca="false">T22*Settings!$B$3/SUM(S22:X22)</f>
        <v>90.2225755166932</v>
      </c>
      <c r="AA22" s="2" t="n">
        <f aca="false">U22*Settings!$B$3/SUM(S22:X22)</f>
        <v>80.6836248012719</v>
      </c>
      <c r="AB22" s="2" t="n">
        <f aca="false">V22*Settings!$B$3/SUM(S22:X22)</f>
        <v>90.6200317965024</v>
      </c>
      <c r="AC22" s="2" t="n">
        <f aca="false">W22*Settings!$B$3/SUM(S22:X22)</f>
        <v>90.2225755166932</v>
      </c>
      <c r="AD22" s="2" t="n">
        <f aca="false">X22*Settings!$B$3/SUM(S22:X22)</f>
        <v>76.3116057233704</v>
      </c>
      <c r="AE22" s="2" t="n">
        <f aca="false">INT(Y22)</f>
        <v>71</v>
      </c>
      <c r="AF22" s="2" t="n">
        <f aca="false">INT(Z22)</f>
        <v>90</v>
      </c>
      <c r="AG22" s="2" t="n">
        <f aca="false">INT(AA22)</f>
        <v>80</v>
      </c>
      <c r="AH22" s="2" t="n">
        <f aca="false">INT(AB22)</f>
        <v>90</v>
      </c>
      <c r="AI22" s="2" t="n">
        <f aca="false">INT(AC22)</f>
        <v>90</v>
      </c>
      <c r="AJ22" s="2" t="n">
        <f aca="false">INT(AD22)</f>
        <v>76</v>
      </c>
      <c r="AK22" s="2" t="n">
        <f aca="false">Settings!$B$3-SUM(AE22:AJ22)</f>
        <v>3</v>
      </c>
      <c r="AL22" s="2" t="n">
        <f aca="false">ROUND(Y22-AE22,9)</f>
        <v>0.939586645</v>
      </c>
      <c r="AM22" s="2" t="n">
        <f aca="false">ROUND(Z22-AF22,9)</f>
        <v>0.222575517</v>
      </c>
      <c r="AN22" s="2" t="n">
        <f aca="false">ROUND(AA22-AG22,9)</f>
        <v>0.683624801</v>
      </c>
      <c r="AO22" s="2" t="n">
        <f aca="false">ROUND(AB22-AH22,9)</f>
        <v>0.620031797</v>
      </c>
      <c r="AP22" s="2" t="n">
        <f aca="false">ROUND(AC22-AI22,9)</f>
        <v>0.222575517</v>
      </c>
      <c r="AQ22" s="2" t="n">
        <f aca="false">ROUND(AD22-AJ22,9)</f>
        <v>0.311605723</v>
      </c>
    </row>
    <row r="23" customFormat="false" ht="15" hidden="false" customHeight="false" outlineLevel="0" collapsed="false">
      <c r="A23" s="2" t="n">
        <v>22</v>
      </c>
      <c r="B23" s="6" t="n">
        <v>1</v>
      </c>
      <c r="C23" s="6" t="n">
        <v>23</v>
      </c>
      <c r="D23" s="8" t="str">
        <f aca="false">INDEX(Bases!$B$2:$B$53,B23)</f>
        <v>Porygon</v>
      </c>
      <c r="E23" s="8" t="str">
        <f aca="false">INDEX(Bases!$B$2:$B$53,C23)</f>
        <v>Gulpin</v>
      </c>
      <c r="F23" s="2" t="str">
        <f aca="false">LEFT(D23,ROUNDUP(LEN(D23)/2,0))&amp;LOWER(MID(E23,ROUNDUP(LEN(E23)/2,0)+1,20))</f>
        <v>Porypin</v>
      </c>
      <c r="G23" s="8" t="str">
        <f aca="false">INDEX(Bases!$C$2:$C$53,B23)</f>
        <v>Normal</v>
      </c>
      <c r="H23" s="8" t="str">
        <f aca="false">IF(INDEX(Bases!$C$2:$C$53,C23)=G23,"",INDEX(Bases!$C$2:$C$53,C23))</f>
        <v>Poison</v>
      </c>
      <c r="I23" s="8" t="str">
        <f aca="false">IF(INDEX(Bases!$E$2:$E$53,B23)="","",INDEX(Bases!$E$2:$E$53,B23))</f>
        <v/>
      </c>
      <c r="J23" s="8" t="str">
        <f aca="false">IF(INDEX(Bases!$E$2:$E$53,C23)="","",INDEX(Bases!$E$2:$E$53,C23))</f>
        <v/>
      </c>
      <c r="K23" s="5"/>
      <c r="L23" s="2" t="n">
        <f aca="false">AE23+IF(SUMPRODUCT(--($AL23:$AQ23&gt;AL23))&lt;$AK23,1,0)</f>
        <v>102</v>
      </c>
      <c r="M23" s="2" t="n">
        <f aca="false">AF23+IF(SUMPRODUCT(--($AL23:$AQ23&gt;AM23))+SUMPRODUCT(--($AL23:AL23=AM23))&lt;$AK23,1,0)</f>
        <v>72</v>
      </c>
      <c r="N23" s="2" t="n">
        <f aca="false">AG23+IF(SUMPRODUCT(--($AL23:$AQ23&gt;AN23))+SUMPRODUCT(--($AL23:AM23=AN23))&lt;$AK23,1,0)</f>
        <v>85</v>
      </c>
      <c r="O23" s="2" t="n">
        <f aca="false">AH23+IF(SUMPRODUCT(--($AL23:$AQ23&gt;AO23))+SUMPRODUCT(--($AL23:AN23=AO23))&lt;$AK23,1,0)</f>
        <v>92</v>
      </c>
      <c r="P23" s="2" t="n">
        <f aca="false">AI23+IF(SUMPRODUCT(--($AL23:$AQ23&gt;AP23))+SUMPRODUCT(--($AL23:AO23=AP23))&lt;$AK23,1,0)</f>
        <v>90</v>
      </c>
      <c r="Q23" s="2" t="n">
        <f aca="false">AJ23+IF(SUMPRODUCT(--($AL23:$AQ23&gt;AQ23))+SUMPRODUCT(--($AL23:AP23=AQ23))&lt;$AK23,1,0)</f>
        <v>59</v>
      </c>
      <c r="R23" s="2" t="n">
        <f aca="false">SUM(L23:Q23)</f>
        <v>500</v>
      </c>
      <c r="S23" s="2" t="n">
        <f aca="false">Settings!$B$4*MAX(INDEX(Bases!$M$2:$M$53,B23),INDEX(Bases!$M$2:$M$53,C23))+Settings!$B$5*MIN(INDEX(Bases!$M$2:$M$53,B23),INDEX(Bases!$M$2:$M$53,C23))</f>
        <v>84</v>
      </c>
      <c r="T23" s="2" t="n">
        <f aca="false">Settings!$B$4*MAX(INDEX(Bases!$N$2:$N$53,B23),INDEX(Bases!$N$2:$N$53,C23))+Settings!$B$5*MIN(INDEX(Bases!$N$2:$N$53,B23),INDEX(Bases!$N$2:$N$53,C23))</f>
        <v>59.6666666666667</v>
      </c>
      <c r="U23" s="2" t="n">
        <f aca="false">Settings!$B$4*MAX(INDEX(Bases!$O$2:$O$53,B23),INDEX(Bases!$O$2:$O$53,C23))+Settings!$B$5*MIN(INDEX(Bases!$O$2:$O$53,B23),INDEX(Bases!$O$2:$O$53,C23))</f>
        <v>70.6666666666667</v>
      </c>
      <c r="V23" s="2" t="n">
        <f aca="false">Settings!$B$4*MAX(INDEX(Bases!$P$2:$P$53,B23),INDEX(Bases!$P$2:$P$53,C23))+Settings!$B$5*MIN(INDEX(Bases!$P$2:$P$53,B23),INDEX(Bases!$P$2:$P$53,C23))</f>
        <v>76.3333333333333</v>
      </c>
      <c r="W23" s="2" t="n">
        <f aca="false">Settings!$B$4*MAX(INDEX(Bases!$Q$2:$Q$53,B23),INDEX(Bases!$Q$2:$Q$53,C23))+Settings!$B$5*MIN(INDEX(Bases!$Q$2:$Q$53,B23),INDEX(Bases!$Q$2:$Q$53,C23))</f>
        <v>74</v>
      </c>
      <c r="X23" s="2" t="n">
        <f aca="false">Settings!$B$4*MAX(INDEX(Bases!$R$2:$R$53,B23),INDEX(Bases!$R$2:$R$53,C23))+Settings!$B$5*MIN(INDEX(Bases!$R$2:$R$53,B23),INDEX(Bases!$R$2:$R$53,C23))</f>
        <v>48.6666666666667</v>
      </c>
      <c r="Y23" s="2" t="n">
        <f aca="false">S23*Settings!$B$3/SUM(S23:X23)</f>
        <v>101.612903225806</v>
      </c>
      <c r="Z23" s="2" t="n">
        <f aca="false">T23*Settings!$B$3/SUM(S23:X23)</f>
        <v>72.1774193548387</v>
      </c>
      <c r="AA23" s="2" t="n">
        <f aca="false">U23*Settings!$B$3/SUM(S23:X23)</f>
        <v>85.4838709677419</v>
      </c>
      <c r="AB23" s="2" t="n">
        <f aca="false">V23*Settings!$B$3/SUM(S23:X23)</f>
        <v>92.3387096774194</v>
      </c>
      <c r="AC23" s="2" t="n">
        <f aca="false">W23*Settings!$B$3/SUM(S23:X23)</f>
        <v>89.5161290322581</v>
      </c>
      <c r="AD23" s="2" t="n">
        <f aca="false">X23*Settings!$B$3/SUM(S23:X23)</f>
        <v>58.8709677419355</v>
      </c>
      <c r="AE23" s="2" t="n">
        <f aca="false">INT(Y23)</f>
        <v>101</v>
      </c>
      <c r="AF23" s="2" t="n">
        <f aca="false">INT(Z23)</f>
        <v>72</v>
      </c>
      <c r="AG23" s="2" t="n">
        <f aca="false">INT(AA23)</f>
        <v>85</v>
      </c>
      <c r="AH23" s="2" t="n">
        <f aca="false">INT(AB23)</f>
        <v>92</v>
      </c>
      <c r="AI23" s="2" t="n">
        <f aca="false">INT(AC23)</f>
        <v>89</v>
      </c>
      <c r="AJ23" s="2" t="n">
        <f aca="false">INT(AD23)</f>
        <v>58</v>
      </c>
      <c r="AK23" s="2" t="n">
        <f aca="false">Settings!$B$3-SUM(AE23:AJ23)</f>
        <v>3</v>
      </c>
      <c r="AL23" s="2" t="n">
        <f aca="false">ROUND(Y23-AE23,9)</f>
        <v>0.612903226</v>
      </c>
      <c r="AM23" s="2" t="n">
        <f aca="false">ROUND(Z23-AF23,9)</f>
        <v>0.177419355</v>
      </c>
      <c r="AN23" s="2" t="n">
        <f aca="false">ROUND(AA23-AG23,9)</f>
        <v>0.483870968</v>
      </c>
      <c r="AO23" s="2" t="n">
        <f aca="false">ROUND(AB23-AH23,9)</f>
        <v>0.338709677</v>
      </c>
      <c r="AP23" s="2" t="n">
        <f aca="false">ROUND(AC23-AI23,9)</f>
        <v>0.516129032</v>
      </c>
      <c r="AQ23" s="2" t="n">
        <f aca="false">ROUND(AD23-AJ23,9)</f>
        <v>0.870967742</v>
      </c>
    </row>
    <row r="24" customFormat="false" ht="15" hidden="false" customHeight="false" outlineLevel="0" collapsed="false">
      <c r="A24" s="2" t="n">
        <v>23</v>
      </c>
      <c r="B24" s="6" t="n">
        <v>1</v>
      </c>
      <c r="C24" s="6" t="n">
        <v>24</v>
      </c>
      <c r="D24" s="8" t="str">
        <f aca="false">INDEX(Bases!$B$2:$B$53,B24)</f>
        <v>Porygon</v>
      </c>
      <c r="E24" s="8" t="str">
        <f aca="false">INDEX(Bases!$B$2:$B$53,C24)</f>
        <v>Koffing</v>
      </c>
      <c r="F24" s="2" t="str">
        <f aca="false">LEFT(D24,ROUNDUP(LEN(D24)/2,0))&amp;LOWER(MID(E24,ROUNDUP(LEN(E24)/2,0)+1,20))</f>
        <v>Porying</v>
      </c>
      <c r="G24" s="8" t="str">
        <f aca="false">INDEX(Bases!$C$2:$C$53,B24)</f>
        <v>Normal</v>
      </c>
      <c r="H24" s="8" t="str">
        <f aca="false">IF(INDEX(Bases!$C$2:$C$53,C24)=G24,"",INDEX(Bases!$C$2:$C$53,C24))</f>
        <v>Poison</v>
      </c>
      <c r="I24" s="8" t="str">
        <f aca="false">IF(INDEX(Bases!$E$2:$E$53,B24)="","",INDEX(Bases!$E$2:$E$53,B24))</f>
        <v/>
      </c>
      <c r="J24" s="8" t="str">
        <f aca="false">IF(INDEX(Bases!$E$2:$E$53,C24)="","",INDEX(Bases!$E$2:$E$53,C24))</f>
        <v/>
      </c>
      <c r="K24" s="5"/>
      <c r="L24" s="2" t="n">
        <f aca="false">AE24+IF(SUMPRODUCT(--($AL24:$AQ24&gt;AL24))&lt;$AK24,1,0)</f>
        <v>71</v>
      </c>
      <c r="M24" s="2" t="n">
        <f aca="false">AF24+IF(SUMPRODUCT(--($AL24:$AQ24&gt;AM24))+SUMPRODUCT(--($AL24:AL24=AM24))&lt;$AK24,1,0)</f>
        <v>85</v>
      </c>
      <c r="N24" s="2" t="n">
        <f aca="false">AG24+IF(SUMPRODUCT(--($AL24:$AQ24&gt;AN24))+SUMPRODUCT(--($AL24:AM24=AN24))&lt;$AK24,1,0)</f>
        <v>117</v>
      </c>
      <c r="O24" s="2" t="n">
        <f aca="false">AH24+IF(SUMPRODUCT(--($AL24:$AQ24&gt;AO24))+SUMPRODUCT(--($AL24:AN24=AO24))&lt;$AK24,1,0)</f>
        <v>97</v>
      </c>
      <c r="P24" s="2" t="n">
        <f aca="false">AI24+IF(SUMPRODUCT(--($AL24:$AQ24&gt;AP24))+SUMPRODUCT(--($AL24:AO24=AP24))&lt;$AK24,1,0)</f>
        <v>82</v>
      </c>
      <c r="Q24" s="2" t="n">
        <f aca="false">AJ24+IF(SUMPRODUCT(--($AL24:$AQ24&gt;AQ24))+SUMPRODUCT(--($AL24:AP24=AQ24))&lt;$AK24,1,0)</f>
        <v>48</v>
      </c>
      <c r="R24" s="2" t="n">
        <f aca="false">SUM(L24:Q24)</f>
        <v>500</v>
      </c>
      <c r="S24" s="2" t="n">
        <f aca="false">Settings!$B$4*MAX(INDEX(Bases!$M$2:$M$53,B24),INDEX(Bases!$M$2:$M$53,C24))+Settings!$B$5*MIN(INDEX(Bases!$M$2:$M$53,B24),INDEX(Bases!$M$2:$M$53,C24))</f>
        <v>59.6666666666667</v>
      </c>
      <c r="T24" s="2" t="n">
        <f aca="false">Settings!$B$4*MAX(INDEX(Bases!$N$2:$N$53,B24),INDEX(Bases!$N$2:$N$53,C24))+Settings!$B$5*MIN(INDEX(Bases!$N$2:$N$53,B24),INDEX(Bases!$N$2:$N$53,C24))</f>
        <v>71</v>
      </c>
      <c r="U24" s="2" t="n">
        <f aca="false">Settings!$B$4*MAX(INDEX(Bases!$O$2:$O$53,B24),INDEX(Bases!$O$2:$O$53,C24))+Settings!$B$5*MIN(INDEX(Bases!$O$2:$O$53,B24),INDEX(Bases!$O$2:$O$53,C24))</f>
        <v>98.3333333333333</v>
      </c>
      <c r="V24" s="2" t="n">
        <f aca="false">Settings!$B$4*MAX(INDEX(Bases!$P$2:$P$53,B24),INDEX(Bases!$P$2:$P$53,C24))+Settings!$B$5*MIN(INDEX(Bases!$P$2:$P$53,B24),INDEX(Bases!$P$2:$P$53,C24))</f>
        <v>81</v>
      </c>
      <c r="W24" s="2" t="n">
        <f aca="false">Settings!$B$4*MAX(INDEX(Bases!$Q$2:$Q$53,B24),INDEX(Bases!$Q$2:$Q$53,C24))+Settings!$B$5*MIN(INDEX(Bases!$Q$2:$Q$53,B24),INDEX(Bases!$Q$2:$Q$53,C24))</f>
        <v>68.3333333333333</v>
      </c>
      <c r="X24" s="2" t="n">
        <f aca="false">Settings!$B$4*MAX(INDEX(Bases!$R$2:$R$53,B24),INDEX(Bases!$R$2:$R$53,C24))+Settings!$B$5*MIN(INDEX(Bases!$R$2:$R$53,B24),INDEX(Bases!$R$2:$R$53,C24))</f>
        <v>40.6666666666667</v>
      </c>
      <c r="Y24" s="2" t="n">
        <f aca="false">S24*Settings!$B$3/SUM(S24:X24)</f>
        <v>71.2012728719173</v>
      </c>
      <c r="Z24" s="2" t="n">
        <f aca="false">T24*Settings!$B$3/SUM(S24:X24)</f>
        <v>84.7255369928401</v>
      </c>
      <c r="AA24" s="2" t="n">
        <f aca="false">U24*Settings!$B$3/SUM(S24:X24)</f>
        <v>117.342879872713</v>
      </c>
      <c r="AB24" s="2" t="n">
        <f aca="false">V24*Settings!$B$3/SUM(S24:X24)</f>
        <v>96.6587112171838</v>
      </c>
      <c r="AC24" s="2" t="n">
        <f aca="false">W24*Settings!$B$3/SUM(S24:X24)</f>
        <v>81.5433571996818</v>
      </c>
      <c r="AD24" s="2" t="n">
        <f aca="false">X24*Settings!$B$3/SUM(S24:X24)</f>
        <v>48.5282418456643</v>
      </c>
      <c r="AE24" s="2" t="n">
        <f aca="false">INT(Y24)</f>
        <v>71</v>
      </c>
      <c r="AF24" s="2" t="n">
        <f aca="false">INT(Z24)</f>
        <v>84</v>
      </c>
      <c r="AG24" s="2" t="n">
        <f aca="false">INT(AA24)</f>
        <v>117</v>
      </c>
      <c r="AH24" s="2" t="n">
        <f aca="false">INT(AB24)</f>
        <v>96</v>
      </c>
      <c r="AI24" s="2" t="n">
        <f aca="false">INT(AC24)</f>
        <v>81</v>
      </c>
      <c r="AJ24" s="2" t="n">
        <f aca="false">INT(AD24)</f>
        <v>48</v>
      </c>
      <c r="AK24" s="2" t="n">
        <f aca="false">Settings!$B$3-SUM(AE24:AJ24)</f>
        <v>3</v>
      </c>
      <c r="AL24" s="2" t="n">
        <f aca="false">ROUND(Y24-AE24,9)</f>
        <v>0.201272872</v>
      </c>
      <c r="AM24" s="2" t="n">
        <f aca="false">ROUND(Z24-AF24,9)</f>
        <v>0.725536993</v>
      </c>
      <c r="AN24" s="2" t="n">
        <f aca="false">ROUND(AA24-AG24,9)</f>
        <v>0.342879873</v>
      </c>
      <c r="AO24" s="2" t="n">
        <f aca="false">ROUND(AB24-AH24,9)</f>
        <v>0.658711217</v>
      </c>
      <c r="AP24" s="2" t="n">
        <f aca="false">ROUND(AC24-AI24,9)</f>
        <v>0.5433572</v>
      </c>
      <c r="AQ24" s="2" t="n">
        <f aca="false">ROUND(AD24-AJ24,9)</f>
        <v>0.528241846</v>
      </c>
    </row>
    <row r="25" customFormat="false" ht="15" hidden="false" customHeight="false" outlineLevel="0" collapsed="false">
      <c r="A25" s="2" t="n">
        <v>24</v>
      </c>
      <c r="B25" s="6" t="n">
        <v>1</v>
      </c>
      <c r="C25" s="6" t="n">
        <v>25</v>
      </c>
      <c r="D25" s="8" t="str">
        <f aca="false">INDEX(Bases!$B$2:$B$53,B25)</f>
        <v>Porygon</v>
      </c>
      <c r="E25" s="8" t="str">
        <f aca="false">INDEX(Bases!$B$2:$B$53,C25)</f>
        <v>Sandshrew</v>
      </c>
      <c r="F25" s="2" t="str">
        <f aca="false">LEFT(D25,ROUNDUP(LEN(D25)/2,0))&amp;LOWER(MID(E25,ROUNDUP(LEN(E25)/2,0)+1,20))</f>
        <v>Poryhrew</v>
      </c>
      <c r="G25" s="8" t="str">
        <f aca="false">INDEX(Bases!$C$2:$C$53,B25)</f>
        <v>Normal</v>
      </c>
      <c r="H25" s="8" t="str">
        <f aca="false">IF(INDEX(Bases!$C$2:$C$53,C25)=G25,"",INDEX(Bases!$C$2:$C$53,C25))</f>
        <v>Ground</v>
      </c>
      <c r="I25" s="8" t="str">
        <f aca="false">IF(INDEX(Bases!$E$2:$E$53,B25)="","",INDEX(Bases!$E$2:$E$53,B25))</f>
        <v/>
      </c>
      <c r="J25" s="8" t="str">
        <f aca="false">IF(INDEX(Bases!$E$2:$E$53,C25)="","",INDEX(Bases!$E$2:$E$53,C25))</f>
        <v/>
      </c>
      <c r="K25" s="5"/>
      <c r="L25" s="2" t="n">
        <f aca="false">AE25+IF(SUMPRODUCT(--($AL25:$AQ25&gt;AL25))&lt;$AK25,1,0)</f>
        <v>77</v>
      </c>
      <c r="M25" s="2" t="n">
        <f aca="false">AF25+IF(SUMPRODUCT(--($AL25:$AQ25&gt;AM25))+SUMPRODUCT(--($AL25:AL25=AM25))&lt;$AK25,1,0)</f>
        <v>101</v>
      </c>
      <c r="N25" s="2" t="n">
        <f aca="false">AG25+IF(SUMPRODUCT(--($AL25:$AQ25&gt;AN25))+SUMPRODUCT(--($AL25:AM25=AN25))&lt;$AK25,1,0)</f>
        <v>115</v>
      </c>
      <c r="O25" s="2" t="n">
        <f aca="false">AH25+IF(SUMPRODUCT(--($AL25:$AQ25&gt;AO25))+SUMPRODUCT(--($AL25:AN25=AO25))&lt;$AK25,1,0)</f>
        <v>77</v>
      </c>
      <c r="P25" s="2" t="n">
        <f aca="false">AI25+IF(SUMPRODUCT(--($AL25:$AQ25&gt;AP25))+SUMPRODUCT(--($AL25:AO25=AP25))&lt;$AK25,1,0)</f>
        <v>74</v>
      </c>
      <c r="Q25" s="2" t="n">
        <f aca="false">AJ25+IF(SUMPRODUCT(--($AL25:$AQ25&gt;AQ25))+SUMPRODUCT(--($AL25:AP25=AQ25))&lt;$AK25,1,0)</f>
        <v>56</v>
      </c>
      <c r="R25" s="2" t="n">
        <f aca="false">SUM(L25:Q25)</f>
        <v>500</v>
      </c>
      <c r="S25" s="2" t="n">
        <f aca="false">Settings!$B$4*MAX(INDEX(Bases!$M$2:$M$53,B25),INDEX(Bases!$M$2:$M$53,C25))+Settings!$B$5*MIN(INDEX(Bases!$M$2:$M$53,B25),INDEX(Bases!$M$2:$M$53,C25))</f>
        <v>66.6666666666667</v>
      </c>
      <c r="T25" s="2" t="n">
        <f aca="false">Settings!$B$4*MAX(INDEX(Bases!$N$2:$N$53,B25),INDEX(Bases!$N$2:$N$53,C25))+Settings!$B$5*MIN(INDEX(Bases!$N$2:$N$53,B25),INDEX(Bases!$N$2:$N$53,C25))</f>
        <v>87</v>
      </c>
      <c r="U25" s="2" t="n">
        <f aca="false">Settings!$B$4*MAX(INDEX(Bases!$O$2:$O$53,B25),INDEX(Bases!$O$2:$O$53,C25))+Settings!$B$5*MIN(INDEX(Bases!$O$2:$O$53,B25),INDEX(Bases!$O$2:$O$53,C25))</f>
        <v>99</v>
      </c>
      <c r="V25" s="2" t="n">
        <f aca="false">Settings!$B$4*MAX(INDEX(Bases!$P$2:$P$53,B25),INDEX(Bases!$P$2:$P$53,C25))+Settings!$B$5*MIN(INDEX(Bases!$P$2:$P$53,B25),INDEX(Bases!$P$2:$P$53,C25))</f>
        <v>66.3333333333333</v>
      </c>
      <c r="W25" s="2" t="n">
        <f aca="false">Settings!$B$4*MAX(INDEX(Bases!$Q$2:$Q$53,B25),INDEX(Bases!$Q$2:$Q$53,C25))+Settings!$B$5*MIN(INDEX(Bases!$Q$2:$Q$53,B25),INDEX(Bases!$Q$2:$Q$53,C25))</f>
        <v>64</v>
      </c>
      <c r="X25" s="2" t="n">
        <f aca="false">Settings!$B$4*MAX(INDEX(Bases!$R$2:$R$53,B25),INDEX(Bases!$R$2:$R$53,C25))+Settings!$B$5*MIN(INDEX(Bases!$R$2:$R$53,B25),INDEX(Bases!$R$2:$R$53,C25))</f>
        <v>48.6666666666667</v>
      </c>
      <c r="Y25" s="2" t="n">
        <f aca="false">S25*Settings!$B$3/SUM(S25:X25)</f>
        <v>77.2200772200772</v>
      </c>
      <c r="Z25" s="2" t="n">
        <f aca="false">T25*Settings!$B$3/SUM(S25:X25)</f>
        <v>100.772200772201</v>
      </c>
      <c r="AA25" s="2" t="n">
        <f aca="false">U25*Settings!$B$3/SUM(S25:X25)</f>
        <v>114.671814671815</v>
      </c>
      <c r="AB25" s="2" t="n">
        <f aca="false">V25*Settings!$B$3/SUM(S25:X25)</f>
        <v>76.8339768339768</v>
      </c>
      <c r="AC25" s="2" t="n">
        <f aca="false">W25*Settings!$B$3/SUM(S25:X25)</f>
        <v>74.1312741312741</v>
      </c>
      <c r="AD25" s="2" t="n">
        <f aca="false">X25*Settings!$B$3/SUM(S25:X25)</f>
        <v>56.3706563706564</v>
      </c>
      <c r="AE25" s="2" t="n">
        <f aca="false">INT(Y25)</f>
        <v>77</v>
      </c>
      <c r="AF25" s="2" t="n">
        <f aca="false">INT(Z25)</f>
        <v>100</v>
      </c>
      <c r="AG25" s="2" t="n">
        <f aca="false">INT(AA25)</f>
        <v>114</v>
      </c>
      <c r="AH25" s="2" t="n">
        <f aca="false">INT(AB25)</f>
        <v>76</v>
      </c>
      <c r="AI25" s="2" t="n">
        <f aca="false">INT(AC25)</f>
        <v>74</v>
      </c>
      <c r="AJ25" s="2" t="n">
        <f aca="false">INT(AD25)</f>
        <v>56</v>
      </c>
      <c r="AK25" s="2" t="n">
        <f aca="false">Settings!$B$3-SUM(AE25:AJ25)</f>
        <v>3</v>
      </c>
      <c r="AL25" s="2" t="n">
        <f aca="false">ROUND(Y25-AE25,9)</f>
        <v>0.22007722</v>
      </c>
      <c r="AM25" s="2" t="n">
        <f aca="false">ROUND(Z25-AF25,9)</f>
        <v>0.772200772</v>
      </c>
      <c r="AN25" s="2" t="n">
        <f aca="false">ROUND(AA25-AG25,9)</f>
        <v>0.671814672</v>
      </c>
      <c r="AO25" s="2" t="n">
        <f aca="false">ROUND(AB25-AH25,9)</f>
        <v>0.833976834</v>
      </c>
      <c r="AP25" s="2" t="n">
        <f aca="false">ROUND(AC25-AI25,9)</f>
        <v>0.131274131</v>
      </c>
      <c r="AQ25" s="2" t="n">
        <f aca="false">ROUND(AD25-AJ25,9)</f>
        <v>0.370656371</v>
      </c>
    </row>
    <row r="26" customFormat="false" ht="15" hidden="false" customHeight="false" outlineLevel="0" collapsed="false">
      <c r="A26" s="2" t="n">
        <v>25</v>
      </c>
      <c r="B26" s="6" t="n">
        <v>1</v>
      </c>
      <c r="C26" s="6" t="n">
        <v>26</v>
      </c>
      <c r="D26" s="8" t="str">
        <f aca="false">INDEX(Bases!$B$2:$B$53,B26)</f>
        <v>Porygon</v>
      </c>
      <c r="E26" s="8" t="str">
        <f aca="false">INDEX(Bases!$B$2:$B$53,C26)</f>
        <v>Phanpy</v>
      </c>
      <c r="F26" s="2" t="str">
        <f aca="false">LEFT(D26,ROUNDUP(LEN(D26)/2,0))&amp;LOWER(MID(E26,ROUNDUP(LEN(E26)/2,0)+1,20))</f>
        <v>Porynpy</v>
      </c>
      <c r="G26" s="8" t="str">
        <f aca="false">INDEX(Bases!$C$2:$C$53,B26)</f>
        <v>Normal</v>
      </c>
      <c r="H26" s="8" t="str">
        <f aca="false">IF(INDEX(Bases!$C$2:$C$53,C26)=G26,"",INDEX(Bases!$C$2:$C$53,C26))</f>
        <v>Ground</v>
      </c>
      <c r="I26" s="8" t="str">
        <f aca="false">IF(INDEX(Bases!$E$2:$E$53,B26)="","",INDEX(Bases!$E$2:$E$53,B26))</f>
        <v/>
      </c>
      <c r="J26" s="8" t="str">
        <f aca="false">IF(INDEX(Bases!$E$2:$E$53,C26)="","",INDEX(Bases!$E$2:$E$53,C26))</f>
        <v/>
      </c>
      <c r="K26" s="5"/>
      <c r="L26" s="2" t="n">
        <f aca="false">AE26+IF(SUMPRODUCT(--($AL26:$AQ26&gt;AL26))&lt;$AK26,1,0)</f>
        <v>112</v>
      </c>
      <c r="M26" s="2" t="n">
        <f aca="false">AF26+IF(SUMPRODUCT(--($AL26:$AQ26&gt;AM26))+SUMPRODUCT(--($AL26:AL26=AM26))&lt;$AK26,1,0)</f>
        <v>82</v>
      </c>
      <c r="N26" s="2" t="n">
        <f aca="false">AG26+IF(SUMPRODUCT(--($AL26:$AQ26&gt;AN26))+SUMPRODUCT(--($AL26:AM26=AN26))&lt;$AK26,1,0)</f>
        <v>86</v>
      </c>
      <c r="O26" s="2" t="n">
        <f aca="false">AH26+IF(SUMPRODUCT(--($AL26:$AQ26&gt;AO26))+SUMPRODUCT(--($AL26:AN26=AO26))&lt;$AK26,1,0)</f>
        <v>87</v>
      </c>
      <c r="P26" s="2" t="n">
        <f aca="false">AI26+IF(SUMPRODUCT(--($AL26:$AQ26&gt;AP26))+SUMPRODUCT(--($AL26:AO26=AP26))&lt;$AK26,1,0)</f>
        <v>79</v>
      </c>
      <c r="Q26" s="2" t="n">
        <f aca="false">AJ26+IF(SUMPRODUCT(--($AL26:$AQ26&gt;AQ26))+SUMPRODUCT(--($AL26:AP26=AQ26))&lt;$AK26,1,0)</f>
        <v>54</v>
      </c>
      <c r="R26" s="2" t="n">
        <f aca="false">SUM(L26:Q26)</f>
        <v>500</v>
      </c>
      <c r="S26" s="2" t="n">
        <f aca="false">Settings!$B$4*MAX(INDEX(Bases!$M$2:$M$53,B26),INDEX(Bases!$M$2:$M$53,C26))+Settings!$B$5*MIN(INDEX(Bases!$M$2:$M$53,B26),INDEX(Bases!$M$2:$M$53,C26))</f>
        <v>94.6666666666667</v>
      </c>
      <c r="T26" s="2" t="n">
        <f aca="false">Settings!$B$4*MAX(INDEX(Bases!$N$2:$N$53,B26),INDEX(Bases!$N$2:$N$53,C26))+Settings!$B$5*MIN(INDEX(Bases!$N$2:$N$53,B26),INDEX(Bases!$N$2:$N$53,C26))</f>
        <v>69</v>
      </c>
      <c r="U26" s="2" t="n">
        <f aca="false">Settings!$B$4*MAX(INDEX(Bases!$O$2:$O$53,B26),INDEX(Bases!$O$2:$O$53,C26))+Settings!$B$5*MIN(INDEX(Bases!$O$2:$O$53,B26),INDEX(Bases!$O$2:$O$53,C26))</f>
        <v>72.3333333333333</v>
      </c>
      <c r="V26" s="2" t="n">
        <f aca="false">Settings!$B$4*MAX(INDEX(Bases!$P$2:$P$53,B26),INDEX(Bases!$P$2:$P$53,C26))+Settings!$B$5*MIN(INDEX(Bases!$P$2:$P$53,B26),INDEX(Bases!$P$2:$P$53,C26))</f>
        <v>73.6666666666667</v>
      </c>
      <c r="W26" s="2" t="n">
        <f aca="false">Settings!$B$4*MAX(INDEX(Bases!$Q$2:$Q$53,B26),INDEX(Bases!$Q$2:$Q$53,C26))+Settings!$B$5*MIN(INDEX(Bases!$Q$2:$Q$53,B26),INDEX(Bases!$Q$2:$Q$53,C26))</f>
        <v>66.6666666666667</v>
      </c>
      <c r="X26" s="2" t="n">
        <f aca="false">Settings!$B$4*MAX(INDEX(Bases!$R$2:$R$53,B26),INDEX(Bases!$R$2:$R$53,C26))+Settings!$B$5*MIN(INDEX(Bases!$R$2:$R$53,B26),INDEX(Bases!$R$2:$R$53,C26))</f>
        <v>45.3333333333333</v>
      </c>
      <c r="Y26" s="2" t="n">
        <f aca="false">S26*Settings!$B$3/SUM(S26:X26)</f>
        <v>112.252964426877</v>
      </c>
      <c r="Z26" s="2" t="n">
        <f aca="false">T26*Settings!$B$3/SUM(S26:X26)</f>
        <v>81.8181818181818</v>
      </c>
      <c r="AA26" s="2" t="n">
        <f aca="false">U26*Settings!$B$3/SUM(S26:X26)</f>
        <v>85.7707509881423</v>
      </c>
      <c r="AB26" s="2" t="n">
        <f aca="false">V26*Settings!$B$3/SUM(S26:X26)</f>
        <v>87.3517786561265</v>
      </c>
      <c r="AC26" s="2" t="n">
        <f aca="false">W26*Settings!$B$3/SUM(S26:X26)</f>
        <v>79.0513833992095</v>
      </c>
      <c r="AD26" s="2" t="n">
        <f aca="false">X26*Settings!$B$3/SUM(S26:X26)</f>
        <v>53.7549407114625</v>
      </c>
      <c r="AE26" s="2" t="n">
        <f aca="false">INT(Y26)</f>
        <v>112</v>
      </c>
      <c r="AF26" s="2" t="n">
        <f aca="false">INT(Z26)</f>
        <v>81</v>
      </c>
      <c r="AG26" s="2" t="n">
        <f aca="false">INT(AA26)</f>
        <v>85</v>
      </c>
      <c r="AH26" s="2" t="n">
        <f aca="false">INT(AB26)</f>
        <v>87</v>
      </c>
      <c r="AI26" s="2" t="n">
        <f aca="false">INT(AC26)</f>
        <v>79</v>
      </c>
      <c r="AJ26" s="2" t="n">
        <f aca="false">INT(AD26)</f>
        <v>53</v>
      </c>
      <c r="AK26" s="2" t="n">
        <f aca="false">Settings!$B$3-SUM(AE26:AJ26)</f>
        <v>3</v>
      </c>
      <c r="AL26" s="2" t="n">
        <f aca="false">ROUND(Y26-AE26,9)</f>
        <v>0.252964427</v>
      </c>
      <c r="AM26" s="2" t="n">
        <f aca="false">ROUND(Z26-AF26,9)</f>
        <v>0.818181818</v>
      </c>
      <c r="AN26" s="2" t="n">
        <f aca="false">ROUND(AA26-AG26,9)</f>
        <v>0.770750988</v>
      </c>
      <c r="AO26" s="2" t="n">
        <f aca="false">ROUND(AB26-AH26,9)</f>
        <v>0.351778656</v>
      </c>
      <c r="AP26" s="2" t="n">
        <f aca="false">ROUND(AC26-AI26,9)</f>
        <v>0.051383399</v>
      </c>
      <c r="AQ26" s="2" t="n">
        <f aca="false">ROUND(AD26-AJ26,9)</f>
        <v>0.754940711</v>
      </c>
    </row>
    <row r="27" customFormat="false" ht="15" hidden="false" customHeight="false" outlineLevel="0" collapsed="false">
      <c r="A27" s="2" t="n">
        <v>26</v>
      </c>
      <c r="B27" s="6" t="n">
        <v>1</v>
      </c>
      <c r="C27" s="6" t="n">
        <v>27</v>
      </c>
      <c r="D27" s="8" t="str">
        <f aca="false">INDEX(Bases!$B$2:$B$53,B27)</f>
        <v>Porygon</v>
      </c>
      <c r="E27" s="8" t="str">
        <f aca="false">INDEX(Bases!$B$2:$B$53,C27)</f>
        <v>Baltoy</v>
      </c>
      <c r="F27" s="2" t="str">
        <f aca="false">LEFT(D27,ROUNDUP(LEN(D27)/2,0))&amp;LOWER(MID(E27,ROUNDUP(LEN(E27)/2,0)+1,20))</f>
        <v>Porytoy</v>
      </c>
      <c r="G27" s="8" t="str">
        <f aca="false">INDEX(Bases!$C$2:$C$53,B27)</f>
        <v>Normal</v>
      </c>
      <c r="H27" s="8" t="str">
        <f aca="false">IF(INDEX(Bases!$C$2:$C$53,C27)=G27,"",INDEX(Bases!$C$2:$C$53,C27))</f>
        <v>Ground</v>
      </c>
      <c r="I27" s="8" t="str">
        <f aca="false">IF(INDEX(Bases!$E$2:$E$53,B27)="","",INDEX(Bases!$E$2:$E$53,B27))</f>
        <v/>
      </c>
      <c r="J27" s="8" t="str">
        <f aca="false">IF(INDEX(Bases!$E$2:$E$53,C27)="","",INDEX(Bases!$E$2:$E$53,C27))</f>
        <v/>
      </c>
      <c r="K27" s="5"/>
      <c r="L27" s="2" t="n">
        <f aca="false">AE27+IF(SUMPRODUCT(--($AL27:$AQ27&gt;AL27))&lt;$AK27,1,0)</f>
        <v>74</v>
      </c>
      <c r="M27" s="2" t="n">
        <f aca="false">AF27+IF(SUMPRODUCT(--($AL27:$AQ27&gt;AM27))+SUMPRODUCT(--($AL27:AL27=AM27))&lt;$AK27,1,0)</f>
        <v>70</v>
      </c>
      <c r="N27" s="2" t="n">
        <f aca="false">AG27+IF(SUMPRODUCT(--($AL27:$AQ27&gt;AN27))+SUMPRODUCT(--($AL27:AM27=AN27))&lt;$AK27,1,0)</f>
        <v>87</v>
      </c>
      <c r="O27" s="2" t="n">
        <f aca="false">AH27+IF(SUMPRODUCT(--($AL27:$AQ27&gt;AO27))+SUMPRODUCT(--($AL27:AN27=AO27))&lt;$AK27,1,0)</f>
        <v>90</v>
      </c>
      <c r="P27" s="2" t="n">
        <f aca="false">AI27+IF(SUMPRODUCT(--($AL27:$AQ27&gt;AP27))+SUMPRODUCT(--($AL27:AO27=AP27))&lt;$AK27,1,0)</f>
        <v>105</v>
      </c>
      <c r="Q27" s="2" t="n">
        <f aca="false">AJ27+IF(SUMPRODUCT(--($AL27:$AQ27&gt;AQ27))+SUMPRODUCT(--($AL27:AP27=AQ27))&lt;$AK27,1,0)</f>
        <v>74</v>
      </c>
      <c r="R27" s="2" t="n">
        <f aca="false">SUM(L27:Q27)</f>
        <v>500</v>
      </c>
      <c r="S27" s="2" t="n">
        <f aca="false">Settings!$B$4*MAX(INDEX(Bases!$M$2:$M$53,B27),INDEX(Bases!$M$2:$M$53,C27))+Settings!$B$5*MIN(INDEX(Bases!$M$2:$M$53,B27),INDEX(Bases!$M$2:$M$53,C27))</f>
        <v>62</v>
      </c>
      <c r="T27" s="2" t="n">
        <f aca="false">Settings!$B$4*MAX(INDEX(Bases!$N$2:$N$53,B27),INDEX(Bases!$N$2:$N$53,C27))+Settings!$B$5*MIN(INDEX(Bases!$N$2:$N$53,B27),INDEX(Bases!$N$2:$N$53,C27))</f>
        <v>58.6666666666667</v>
      </c>
      <c r="U27" s="2" t="n">
        <f aca="false">Settings!$B$4*MAX(INDEX(Bases!$O$2:$O$53,B27),INDEX(Bases!$O$2:$O$53,C27))+Settings!$B$5*MIN(INDEX(Bases!$O$2:$O$53,B27),INDEX(Bases!$O$2:$O$53,C27))</f>
        <v>72.3333333333333</v>
      </c>
      <c r="V27" s="2" t="n">
        <f aca="false">Settings!$B$4*MAX(INDEX(Bases!$P$2:$P$53,B27),INDEX(Bases!$P$2:$P$53,C27))+Settings!$B$5*MIN(INDEX(Bases!$P$2:$P$53,B27),INDEX(Bases!$P$2:$P$53,C27))</f>
        <v>75</v>
      </c>
      <c r="W27" s="2" t="n">
        <f aca="false">Settings!$B$4*MAX(INDEX(Bases!$Q$2:$Q$53,B27),INDEX(Bases!$Q$2:$Q$53,C27))+Settings!$B$5*MIN(INDEX(Bases!$Q$2:$Q$53,B27),INDEX(Bases!$Q$2:$Q$53,C27))</f>
        <v>87.3333333333333</v>
      </c>
      <c r="X27" s="2" t="n">
        <f aca="false">Settings!$B$4*MAX(INDEX(Bases!$R$2:$R$53,B27),INDEX(Bases!$R$2:$R$53,C27))+Settings!$B$5*MIN(INDEX(Bases!$R$2:$R$53,B27),INDEX(Bases!$R$2:$R$53,C27))</f>
        <v>62</v>
      </c>
      <c r="Y27" s="2" t="n">
        <f aca="false">S27*Settings!$B$3/SUM(S27:X27)</f>
        <v>74.2811501597444</v>
      </c>
      <c r="Z27" s="2" t="n">
        <f aca="false">T27*Settings!$B$3/SUM(S27:X27)</f>
        <v>70.2875399361022</v>
      </c>
      <c r="AA27" s="2" t="n">
        <f aca="false">U27*Settings!$B$3/SUM(S27:X27)</f>
        <v>86.6613418530351</v>
      </c>
      <c r="AB27" s="2" t="n">
        <f aca="false">V27*Settings!$B$3/SUM(S27:X27)</f>
        <v>89.8562300319489</v>
      </c>
      <c r="AC27" s="2" t="n">
        <f aca="false">W27*Settings!$B$3/SUM(S27:X27)</f>
        <v>104.632587859425</v>
      </c>
      <c r="AD27" s="2" t="n">
        <f aca="false">X27*Settings!$B$3/SUM(S27:X27)</f>
        <v>74.2811501597444</v>
      </c>
      <c r="AE27" s="2" t="n">
        <f aca="false">INT(Y27)</f>
        <v>74</v>
      </c>
      <c r="AF27" s="2" t="n">
        <f aca="false">INT(Z27)</f>
        <v>70</v>
      </c>
      <c r="AG27" s="2" t="n">
        <f aca="false">INT(AA27)</f>
        <v>86</v>
      </c>
      <c r="AH27" s="2" t="n">
        <f aca="false">INT(AB27)</f>
        <v>89</v>
      </c>
      <c r="AI27" s="2" t="n">
        <f aca="false">INT(AC27)</f>
        <v>104</v>
      </c>
      <c r="AJ27" s="2" t="n">
        <f aca="false">INT(AD27)</f>
        <v>74</v>
      </c>
      <c r="AK27" s="2" t="n">
        <f aca="false">Settings!$B$3-SUM(AE27:AJ27)</f>
        <v>3</v>
      </c>
      <c r="AL27" s="2" t="n">
        <f aca="false">ROUND(Y27-AE27,9)</f>
        <v>0.28115016</v>
      </c>
      <c r="AM27" s="2" t="n">
        <f aca="false">ROUND(Z27-AF27,9)</f>
        <v>0.287539936</v>
      </c>
      <c r="AN27" s="2" t="n">
        <f aca="false">ROUND(AA27-AG27,9)</f>
        <v>0.661341853</v>
      </c>
      <c r="AO27" s="2" t="n">
        <f aca="false">ROUND(AB27-AH27,9)</f>
        <v>0.856230032</v>
      </c>
      <c r="AP27" s="2" t="n">
        <f aca="false">ROUND(AC27-AI27,9)</f>
        <v>0.632587859</v>
      </c>
      <c r="AQ27" s="2" t="n">
        <f aca="false">ROUND(AD27-AJ27,9)</f>
        <v>0.28115016</v>
      </c>
    </row>
    <row r="28" customFormat="false" ht="15" hidden="false" customHeight="false" outlineLevel="0" collapsed="false">
      <c r="A28" s="2" t="n">
        <v>27</v>
      </c>
      <c r="B28" s="6" t="n">
        <v>1</v>
      </c>
      <c r="C28" s="6" t="n">
        <v>28</v>
      </c>
      <c r="D28" s="8" t="str">
        <f aca="false">INDEX(Bases!$B$2:$B$53,B28)</f>
        <v>Porygon</v>
      </c>
      <c r="E28" s="8" t="str">
        <f aca="false">INDEX(Bases!$B$2:$B$53,C28)</f>
        <v>Zubat</v>
      </c>
      <c r="F28" s="2" t="str">
        <f aca="false">LEFT(D28,ROUNDUP(LEN(D28)/2,0))&amp;LOWER(MID(E28,ROUNDUP(LEN(E28)/2,0)+1,20))</f>
        <v>Poryat</v>
      </c>
      <c r="G28" s="8" t="str">
        <f aca="false">INDEX(Bases!$C$2:$C$53,B28)</f>
        <v>Normal</v>
      </c>
      <c r="H28" s="8" t="str">
        <f aca="false">IF(INDEX(Bases!$C$2:$C$53,C28)=G28,"",INDEX(Bases!$C$2:$C$53,C28))</f>
        <v>Flying</v>
      </c>
      <c r="I28" s="8" t="str">
        <f aca="false">IF(INDEX(Bases!$E$2:$E$53,B28)="","",INDEX(Bases!$E$2:$E$53,B28))</f>
        <v/>
      </c>
      <c r="J28" s="8" t="str">
        <f aca="false">IF(INDEX(Bases!$E$2:$E$53,C28)="","",INDEX(Bases!$E$2:$E$53,C28))</f>
        <v/>
      </c>
      <c r="K28" s="5"/>
      <c r="L28" s="2" t="n">
        <f aca="false">AE28+IF(SUMPRODUCT(--($AL28:$AQ28&gt;AL28))&lt;$AK28,1,0)</f>
        <v>78</v>
      </c>
      <c r="M28" s="2" t="n">
        <f aca="false">AF28+IF(SUMPRODUCT(--($AL28:$AQ28&gt;AM28))+SUMPRODUCT(--($AL28:AL28=AM28))&lt;$AK28,1,0)</f>
        <v>83</v>
      </c>
      <c r="N28" s="2" t="n">
        <f aca="false">AG28+IF(SUMPRODUCT(--($AL28:$AQ28&gt;AN28))+SUMPRODUCT(--($AL28:AM28=AN28))&lt;$AK28,1,0)</f>
        <v>79</v>
      </c>
      <c r="O28" s="2" t="n">
        <f aca="false">AH28+IF(SUMPRODUCT(--($AL28:$AQ28&gt;AO28))+SUMPRODUCT(--($AL28:AN28=AO28))&lt;$AK28,1,0)</f>
        <v>87</v>
      </c>
      <c r="P28" s="2" t="n">
        <f aca="false">AI28+IF(SUMPRODUCT(--($AL28:$AQ28&gt;AP28))+SUMPRODUCT(--($AL28:AO28=AP28))&lt;$AK28,1,0)</f>
        <v>86</v>
      </c>
      <c r="Q28" s="2" t="n">
        <f aca="false">AJ28+IF(SUMPRODUCT(--($AL28:$AQ28&gt;AQ28))+SUMPRODUCT(--($AL28:AP28=AQ28))&lt;$AK28,1,0)</f>
        <v>87</v>
      </c>
      <c r="R28" s="2" t="n">
        <f aca="false">SUM(L28:Q28)</f>
        <v>500</v>
      </c>
      <c r="S28" s="2" t="n">
        <f aca="false">Settings!$B$4*MAX(INDEX(Bases!$M$2:$M$53,B28),INDEX(Bases!$M$2:$M$53,C28))+Settings!$B$5*MIN(INDEX(Bases!$M$2:$M$53,B28),INDEX(Bases!$M$2:$M$53,C28))</f>
        <v>65.6666666666667</v>
      </c>
      <c r="T28" s="2" t="n">
        <f aca="false">Settings!$B$4*MAX(INDEX(Bases!$N$2:$N$53,B28),INDEX(Bases!$N$2:$N$53,C28))+Settings!$B$5*MIN(INDEX(Bases!$N$2:$N$53,B28),INDEX(Bases!$N$2:$N$53,C28))</f>
        <v>69.6666666666667</v>
      </c>
      <c r="U28" s="2" t="n">
        <f aca="false">Settings!$B$4*MAX(INDEX(Bases!$O$2:$O$53,B28),INDEX(Bases!$O$2:$O$53,C28))+Settings!$B$5*MIN(INDEX(Bases!$O$2:$O$53,B28),INDEX(Bases!$O$2:$O$53,C28))</f>
        <v>66.3333333333333</v>
      </c>
      <c r="V28" s="2" t="n">
        <f aca="false">Settings!$B$4*MAX(INDEX(Bases!$P$2:$P$53,B28),INDEX(Bases!$P$2:$P$53,C28))+Settings!$B$5*MIN(INDEX(Bases!$P$2:$P$53,B28),INDEX(Bases!$P$2:$P$53,C28))</f>
        <v>73.6666666666667</v>
      </c>
      <c r="W28" s="2" t="n">
        <f aca="false">Settings!$B$4*MAX(INDEX(Bases!$Q$2:$Q$53,B28),INDEX(Bases!$Q$2:$Q$53,C28))+Settings!$B$5*MIN(INDEX(Bases!$Q$2:$Q$53,B28),INDEX(Bases!$Q$2:$Q$53,C28))</f>
        <v>72.3333333333333</v>
      </c>
      <c r="X28" s="2" t="n">
        <f aca="false">Settings!$B$4*MAX(INDEX(Bases!$R$2:$R$53,B28),INDEX(Bases!$R$2:$R$53,C28))+Settings!$B$5*MIN(INDEX(Bases!$R$2:$R$53,B28),INDEX(Bases!$R$2:$R$53,C28))</f>
        <v>73.3333333333333</v>
      </c>
      <c r="Y28" s="2" t="n">
        <f aca="false">S28*Settings!$B$3/SUM(S28:X28)</f>
        <v>77.9889152810768</v>
      </c>
      <c r="Z28" s="2" t="n">
        <f aca="false">T28*Settings!$B$3/SUM(S28:X28)</f>
        <v>82.7395091053048</v>
      </c>
      <c r="AA28" s="2" t="n">
        <f aca="false">U28*Settings!$B$3/SUM(S28:X28)</f>
        <v>78.7806809184481</v>
      </c>
      <c r="AB28" s="2" t="n">
        <f aca="false">V28*Settings!$B$3/SUM(S28:X28)</f>
        <v>87.4901029295329</v>
      </c>
      <c r="AC28" s="2" t="n">
        <f aca="false">W28*Settings!$B$3/SUM(S28:X28)</f>
        <v>85.9065716547902</v>
      </c>
      <c r="AD28" s="2" t="n">
        <f aca="false">X28*Settings!$B$3/SUM(S28:X28)</f>
        <v>87.0942201108472</v>
      </c>
      <c r="AE28" s="2" t="n">
        <f aca="false">INT(Y28)</f>
        <v>77</v>
      </c>
      <c r="AF28" s="2" t="n">
        <f aca="false">INT(Z28)</f>
        <v>82</v>
      </c>
      <c r="AG28" s="2" t="n">
        <f aca="false">INT(AA28)</f>
        <v>78</v>
      </c>
      <c r="AH28" s="2" t="n">
        <f aca="false">INT(AB28)</f>
        <v>87</v>
      </c>
      <c r="AI28" s="2" t="n">
        <f aca="false">INT(AC28)</f>
        <v>85</v>
      </c>
      <c r="AJ28" s="2" t="n">
        <f aca="false">INT(AD28)</f>
        <v>87</v>
      </c>
      <c r="AK28" s="2" t="n">
        <f aca="false">Settings!$B$3-SUM(AE28:AJ28)</f>
        <v>4</v>
      </c>
      <c r="AL28" s="2" t="n">
        <f aca="false">ROUND(Y28-AE28,9)</f>
        <v>0.988915281</v>
      </c>
      <c r="AM28" s="2" t="n">
        <f aca="false">ROUND(Z28-AF28,9)</f>
        <v>0.739509105</v>
      </c>
      <c r="AN28" s="2" t="n">
        <f aca="false">ROUND(AA28-AG28,9)</f>
        <v>0.780680918</v>
      </c>
      <c r="AO28" s="2" t="n">
        <f aca="false">ROUND(AB28-AH28,9)</f>
        <v>0.49010293</v>
      </c>
      <c r="AP28" s="2" t="n">
        <f aca="false">ROUND(AC28-AI28,9)</f>
        <v>0.906571655</v>
      </c>
      <c r="AQ28" s="2" t="n">
        <f aca="false">ROUND(AD28-AJ28,9)</f>
        <v>0.094220111</v>
      </c>
    </row>
    <row r="29" customFormat="false" ht="15" hidden="false" customHeight="false" outlineLevel="0" collapsed="false">
      <c r="A29" s="2" t="n">
        <v>28</v>
      </c>
      <c r="B29" s="6" t="n">
        <v>1</v>
      </c>
      <c r="C29" s="6" t="n">
        <v>29</v>
      </c>
      <c r="D29" s="8" t="str">
        <f aca="false">INDEX(Bases!$B$2:$B$53,B29)</f>
        <v>Porygon</v>
      </c>
      <c r="E29" s="8" t="str">
        <f aca="false">INDEX(Bases!$B$2:$B$53,C29)</f>
        <v>Murkrow</v>
      </c>
      <c r="F29" s="2" t="str">
        <f aca="false">LEFT(D29,ROUNDUP(LEN(D29)/2,0))&amp;LOWER(MID(E29,ROUNDUP(LEN(E29)/2,0)+1,20))</f>
        <v>Poryrow</v>
      </c>
      <c r="G29" s="8" t="str">
        <f aca="false">INDEX(Bases!$C$2:$C$53,B29)</f>
        <v>Normal</v>
      </c>
      <c r="H29" s="8" t="str">
        <f aca="false">IF(INDEX(Bases!$C$2:$C$53,C29)=G29,"",INDEX(Bases!$C$2:$C$53,C29))</f>
        <v>Flying</v>
      </c>
      <c r="I29" s="8" t="str">
        <f aca="false">IF(INDEX(Bases!$E$2:$E$53,B29)="","",INDEX(Bases!$E$2:$E$53,B29))</f>
        <v/>
      </c>
      <c r="J29" s="8" t="str">
        <f aca="false">IF(INDEX(Bases!$E$2:$E$53,C29)="","",INDEX(Bases!$E$2:$E$53,C29))</f>
        <v/>
      </c>
      <c r="K29" s="5"/>
      <c r="L29" s="2" t="n">
        <f aca="false">AE29+IF(SUMPRODUCT(--($AL29:$AQ29&gt;AL29))&lt;$AK29,1,0)</f>
        <v>75</v>
      </c>
      <c r="M29" s="2" t="n">
        <f aca="false">AF29+IF(SUMPRODUCT(--($AL29:$AQ29&gt;AM29))+SUMPRODUCT(--($AL29:AL29=AM29))&lt;$AK29,1,0)</f>
        <v>90</v>
      </c>
      <c r="N29" s="2" t="n">
        <f aca="false">AG29+IF(SUMPRODUCT(--($AL29:$AQ29&gt;AN29))+SUMPRODUCT(--($AL29:AM29=AN29))&lt;$AK29,1,0)</f>
        <v>72</v>
      </c>
      <c r="O29" s="2" t="n">
        <f aca="false">AH29+IF(SUMPRODUCT(--($AL29:$AQ29&gt;AO29))+SUMPRODUCT(--($AL29:AN29=AO29))&lt;$AK29,1,0)</f>
        <v>101</v>
      </c>
      <c r="P29" s="2" t="n">
        <f aca="false">AI29+IF(SUMPRODUCT(--($AL29:$AQ29&gt;AP29))+SUMPRODUCT(--($AL29:AO29=AP29))&lt;$AK29,1,0)</f>
        <v>76</v>
      </c>
      <c r="Q29" s="2" t="n">
        <f aca="false">AJ29+IF(SUMPRODUCT(--($AL29:$AQ29&gt;AQ29))+SUMPRODUCT(--($AL29:AP29=AQ29))&lt;$AK29,1,0)</f>
        <v>86</v>
      </c>
      <c r="R29" s="2" t="n">
        <f aca="false">SUM(L29:Q29)</f>
        <v>500</v>
      </c>
      <c r="S29" s="2" t="n">
        <f aca="false">Settings!$B$4*MAX(INDEX(Bases!$M$2:$M$53,B29),INDEX(Bases!$M$2:$M$53,C29))+Settings!$B$5*MIN(INDEX(Bases!$M$2:$M$53,B29),INDEX(Bases!$M$2:$M$53,C29))</f>
        <v>63.6666666666667</v>
      </c>
      <c r="T29" s="2" t="n">
        <f aca="false">Settings!$B$4*MAX(INDEX(Bases!$N$2:$N$53,B29),INDEX(Bases!$N$2:$N$53,C29))+Settings!$B$5*MIN(INDEX(Bases!$N$2:$N$53,B29),INDEX(Bases!$N$2:$N$53,C29))</f>
        <v>76.3333333333333</v>
      </c>
      <c r="U29" s="2" t="n">
        <f aca="false">Settings!$B$4*MAX(INDEX(Bases!$O$2:$O$53,B29),INDEX(Bases!$O$2:$O$53,C29))+Settings!$B$5*MIN(INDEX(Bases!$O$2:$O$53,B29),INDEX(Bases!$O$2:$O$53,C29))</f>
        <v>61.3333333333333</v>
      </c>
      <c r="V29" s="2" t="n">
        <f aca="false">Settings!$B$4*MAX(INDEX(Bases!$P$2:$P$53,B29),INDEX(Bases!$P$2:$P$53,C29))+Settings!$B$5*MIN(INDEX(Bases!$P$2:$P$53,B29),INDEX(Bases!$P$2:$P$53,C29))</f>
        <v>85.3333333333333</v>
      </c>
      <c r="W29" s="2" t="n">
        <f aca="false">Settings!$B$4*MAX(INDEX(Bases!$Q$2:$Q$53,B29),INDEX(Bases!$Q$2:$Q$53,C29))+Settings!$B$5*MIN(INDEX(Bases!$Q$2:$Q$53,B29),INDEX(Bases!$Q$2:$Q$53,C29))</f>
        <v>64.3333333333333</v>
      </c>
      <c r="X29" s="2" t="n">
        <f aca="false">Settings!$B$4*MAX(INDEX(Bases!$R$2:$R$53,B29),INDEX(Bases!$R$2:$R$53,C29))+Settings!$B$5*MIN(INDEX(Bases!$R$2:$R$53,B29),INDEX(Bases!$R$2:$R$53,C29))</f>
        <v>73.3333333333333</v>
      </c>
      <c r="Y29" s="2" t="n">
        <f aca="false">S29*Settings!$B$3/SUM(S29:X29)</f>
        <v>75.019638648861</v>
      </c>
      <c r="Z29" s="2" t="n">
        <f aca="false">T29*Settings!$B$3/SUM(S29:X29)</f>
        <v>89.9450117831893</v>
      </c>
      <c r="AA29" s="2" t="n">
        <f aca="false">U29*Settings!$B$3/SUM(S29:X29)</f>
        <v>72.2702278083268</v>
      </c>
      <c r="AB29" s="2" t="n">
        <f aca="false">V29*Settings!$B$3/SUM(S29:X29)</f>
        <v>100.549882168107</v>
      </c>
      <c r="AC29" s="2" t="n">
        <f aca="false">W29*Settings!$B$3/SUM(S29:X29)</f>
        <v>75.8051846032993</v>
      </c>
      <c r="AD29" s="2" t="n">
        <f aca="false">X29*Settings!$B$3/SUM(S29:X29)</f>
        <v>86.4100549882168</v>
      </c>
      <c r="AE29" s="2" t="n">
        <f aca="false">INT(Y29)</f>
        <v>75</v>
      </c>
      <c r="AF29" s="2" t="n">
        <f aca="false">INT(Z29)</f>
        <v>89</v>
      </c>
      <c r="AG29" s="2" t="n">
        <f aca="false">INT(AA29)</f>
        <v>72</v>
      </c>
      <c r="AH29" s="2" t="n">
        <f aca="false">INT(AB29)</f>
        <v>100</v>
      </c>
      <c r="AI29" s="2" t="n">
        <f aca="false">INT(AC29)</f>
        <v>75</v>
      </c>
      <c r="AJ29" s="2" t="n">
        <f aca="false">INT(AD29)</f>
        <v>86</v>
      </c>
      <c r="AK29" s="2" t="n">
        <f aca="false">Settings!$B$3-SUM(AE29:AJ29)</f>
        <v>3</v>
      </c>
      <c r="AL29" s="2" t="n">
        <f aca="false">ROUND(Y29-AE29,9)</f>
        <v>0.019638649</v>
      </c>
      <c r="AM29" s="2" t="n">
        <f aca="false">ROUND(Z29-AF29,9)</f>
        <v>0.945011783</v>
      </c>
      <c r="AN29" s="2" t="n">
        <f aca="false">ROUND(AA29-AG29,9)</f>
        <v>0.270227808</v>
      </c>
      <c r="AO29" s="2" t="n">
        <f aca="false">ROUND(AB29-AH29,9)</f>
        <v>0.549882168</v>
      </c>
      <c r="AP29" s="2" t="n">
        <f aca="false">ROUND(AC29-AI29,9)</f>
        <v>0.805184603</v>
      </c>
      <c r="AQ29" s="2" t="n">
        <f aca="false">ROUND(AD29-AJ29,9)</f>
        <v>0.410054988</v>
      </c>
    </row>
    <row r="30" customFormat="false" ht="15" hidden="false" customHeight="false" outlineLevel="0" collapsed="false">
      <c r="A30" s="2" t="n">
        <v>29</v>
      </c>
      <c r="B30" s="6" t="n">
        <v>1</v>
      </c>
      <c r="C30" s="6" t="n">
        <v>30</v>
      </c>
      <c r="D30" s="8" t="str">
        <f aca="false">INDEX(Bases!$B$2:$B$53,B30)</f>
        <v>Porygon</v>
      </c>
      <c r="E30" s="8" t="str">
        <f aca="false">INDEX(Bases!$B$2:$B$53,C30)</f>
        <v>Swablu</v>
      </c>
      <c r="F30" s="2" t="str">
        <f aca="false">LEFT(D30,ROUNDUP(LEN(D30)/2,0))&amp;LOWER(MID(E30,ROUNDUP(LEN(E30)/2,0)+1,20))</f>
        <v>Poryblu</v>
      </c>
      <c r="G30" s="8" t="str">
        <f aca="false">INDEX(Bases!$C$2:$C$53,B30)</f>
        <v>Normal</v>
      </c>
      <c r="H30" s="8" t="str">
        <f aca="false">IF(INDEX(Bases!$C$2:$C$53,C30)=G30,"",INDEX(Bases!$C$2:$C$53,C30))</f>
        <v>Flying</v>
      </c>
      <c r="I30" s="8" t="str">
        <f aca="false">IF(INDEX(Bases!$E$2:$E$53,B30)="","",INDEX(Bases!$E$2:$E$53,B30))</f>
        <v/>
      </c>
      <c r="J30" s="8" t="str">
        <f aca="false">IF(INDEX(Bases!$E$2:$E$53,C30)="","",INDEX(Bases!$E$2:$E$53,C30))</f>
        <v/>
      </c>
      <c r="K30" s="5"/>
      <c r="L30" s="2" t="n">
        <f aca="false">AE30+IF(SUMPRODUCT(--($AL30:$AQ30&gt;AL30))&lt;$AK30,1,0)</f>
        <v>76</v>
      </c>
      <c r="M30" s="2" t="n">
        <f aca="false">AF30+IF(SUMPRODUCT(--($AL30:$AQ30&gt;AM30))+SUMPRODUCT(--($AL30:AL30=AM30))&lt;$AK30,1,0)</f>
        <v>70</v>
      </c>
      <c r="N30" s="2" t="n">
        <f aca="false">AG30+IF(SUMPRODUCT(--($AL30:$AQ30&gt;AN30))+SUMPRODUCT(--($AL30:AM30=AN30))&lt;$AK30,1,0)</f>
        <v>90</v>
      </c>
      <c r="O30" s="2" t="n">
        <f aca="false">AH30+IF(SUMPRODUCT(--($AL30:$AQ30&gt;AO30))+SUMPRODUCT(--($AL30:AN30=AO30))&lt;$AK30,1,0)</f>
        <v>89</v>
      </c>
      <c r="P30" s="2" t="n">
        <f aca="false">AI30+IF(SUMPRODUCT(--($AL30:$AQ30&gt;AP30))+SUMPRODUCT(--($AL30:AO30=AP30))&lt;$AK30,1,0)</f>
        <v>108</v>
      </c>
      <c r="Q30" s="2" t="n">
        <f aca="false">AJ30+IF(SUMPRODUCT(--($AL30:$AQ30&gt;AQ30))+SUMPRODUCT(--($AL30:AP30=AQ30))&lt;$AK30,1,0)</f>
        <v>67</v>
      </c>
      <c r="R30" s="2" t="n">
        <f aca="false">SUM(L30:Q30)</f>
        <v>500</v>
      </c>
      <c r="S30" s="2" t="n">
        <f aca="false">Settings!$B$4*MAX(INDEX(Bases!$M$2:$M$53,B30),INDEX(Bases!$M$2:$M$53,C30))+Settings!$B$5*MIN(INDEX(Bases!$M$2:$M$53,B30),INDEX(Bases!$M$2:$M$53,C30))</f>
        <v>63.3333333333333</v>
      </c>
      <c r="T30" s="2" t="n">
        <f aca="false">Settings!$B$4*MAX(INDEX(Bases!$N$2:$N$53,B30),INDEX(Bases!$N$2:$N$53,C30))+Settings!$B$5*MIN(INDEX(Bases!$N$2:$N$53,B30),INDEX(Bases!$N$2:$N$53,C30))</f>
        <v>58</v>
      </c>
      <c r="U30" s="2" t="n">
        <f aca="false">Settings!$B$4*MAX(INDEX(Bases!$O$2:$O$53,B30),INDEX(Bases!$O$2:$O$53,C30))+Settings!$B$5*MIN(INDEX(Bases!$O$2:$O$53,B30),INDEX(Bases!$O$2:$O$53,C30))</f>
        <v>75</v>
      </c>
      <c r="V30" s="2" t="n">
        <f aca="false">Settings!$B$4*MAX(INDEX(Bases!$P$2:$P$53,B30),INDEX(Bases!$P$2:$P$53,C30))+Settings!$B$5*MIN(INDEX(Bases!$P$2:$P$53,B30),INDEX(Bases!$P$2:$P$53,C30))</f>
        <v>74.6666666666667</v>
      </c>
      <c r="W30" s="2" t="n">
        <f aca="false">Settings!$B$4*MAX(INDEX(Bases!$Q$2:$Q$53,B30),INDEX(Bases!$Q$2:$Q$53,C30))+Settings!$B$5*MIN(INDEX(Bases!$Q$2:$Q$53,B30),INDEX(Bases!$Q$2:$Q$53,C30))</f>
        <v>90</v>
      </c>
      <c r="X30" s="2" t="n">
        <f aca="false">Settings!$B$4*MAX(INDEX(Bases!$R$2:$R$53,B30),INDEX(Bases!$R$2:$R$53,C30))+Settings!$B$5*MIN(INDEX(Bases!$R$2:$R$53,B30),INDEX(Bases!$R$2:$R$53,C30))</f>
        <v>56</v>
      </c>
      <c r="Y30" s="2" t="n">
        <f aca="false">S30*Settings!$B$3/SUM(S30:X30)</f>
        <v>75.9392486011191</v>
      </c>
      <c r="Z30" s="2" t="n">
        <f aca="false">T30*Settings!$B$3/SUM(S30:X30)</f>
        <v>69.5443645083933</v>
      </c>
      <c r="AA30" s="2" t="n">
        <f aca="false">U30*Settings!$B$3/SUM(S30:X30)</f>
        <v>89.9280575539568</v>
      </c>
      <c r="AB30" s="2" t="n">
        <f aca="false">V30*Settings!$B$3/SUM(S30:X30)</f>
        <v>89.5283772981615</v>
      </c>
      <c r="AC30" s="2" t="n">
        <f aca="false">W30*Settings!$B$3/SUM(S30:X30)</f>
        <v>107.913669064748</v>
      </c>
      <c r="AD30" s="2" t="n">
        <f aca="false">X30*Settings!$B$3/SUM(S30:X30)</f>
        <v>67.1462829736211</v>
      </c>
      <c r="AE30" s="2" t="n">
        <f aca="false">INT(Y30)</f>
        <v>75</v>
      </c>
      <c r="AF30" s="2" t="n">
        <f aca="false">INT(Z30)</f>
        <v>69</v>
      </c>
      <c r="AG30" s="2" t="n">
        <f aca="false">INT(AA30)</f>
        <v>89</v>
      </c>
      <c r="AH30" s="2" t="n">
        <f aca="false">INT(AB30)</f>
        <v>89</v>
      </c>
      <c r="AI30" s="2" t="n">
        <f aca="false">INT(AC30)</f>
        <v>107</v>
      </c>
      <c r="AJ30" s="2" t="n">
        <f aca="false">INT(AD30)</f>
        <v>67</v>
      </c>
      <c r="AK30" s="2" t="n">
        <f aca="false">Settings!$B$3-SUM(AE30:AJ30)</f>
        <v>4</v>
      </c>
      <c r="AL30" s="2" t="n">
        <f aca="false">ROUND(Y30-AE30,9)</f>
        <v>0.939248601</v>
      </c>
      <c r="AM30" s="2" t="n">
        <f aca="false">ROUND(Z30-AF30,9)</f>
        <v>0.544364508</v>
      </c>
      <c r="AN30" s="2" t="n">
        <f aca="false">ROUND(AA30-AG30,9)</f>
        <v>0.928057554</v>
      </c>
      <c r="AO30" s="2" t="n">
        <f aca="false">ROUND(AB30-AH30,9)</f>
        <v>0.528377298</v>
      </c>
      <c r="AP30" s="2" t="n">
        <f aca="false">ROUND(AC30-AI30,9)</f>
        <v>0.913669065</v>
      </c>
      <c r="AQ30" s="2" t="n">
        <f aca="false">ROUND(AD30-AJ30,9)</f>
        <v>0.146282974</v>
      </c>
    </row>
    <row r="31" customFormat="false" ht="15" hidden="false" customHeight="false" outlineLevel="0" collapsed="false">
      <c r="A31" s="2" t="n">
        <v>30</v>
      </c>
      <c r="B31" s="6" t="n">
        <v>1</v>
      </c>
      <c r="C31" s="6" t="n">
        <v>31</v>
      </c>
      <c r="D31" s="8" t="str">
        <f aca="false">INDEX(Bases!$B$2:$B$53,B31)</f>
        <v>Porygon</v>
      </c>
      <c r="E31" s="8" t="str">
        <f aca="false">INDEX(Bases!$B$2:$B$53,C31)</f>
        <v>Mew</v>
      </c>
      <c r="F31" s="2" t="str">
        <f aca="false">LEFT(D31,ROUNDUP(LEN(D31)/2,0))&amp;LOWER(MID(E31,ROUNDUP(LEN(E31)/2,0)+1,20))</f>
        <v>Poryw</v>
      </c>
      <c r="G31" s="8" t="str">
        <f aca="false">INDEX(Bases!$C$2:$C$53,B31)</f>
        <v>Normal</v>
      </c>
      <c r="H31" s="8" t="str">
        <f aca="false">IF(INDEX(Bases!$C$2:$C$53,C31)=G31,"",INDEX(Bases!$C$2:$C$53,C31))</f>
        <v>Psychic</v>
      </c>
      <c r="I31" s="8" t="str">
        <f aca="false">IF(INDEX(Bases!$E$2:$E$53,B31)="","",INDEX(Bases!$E$2:$E$53,B31))</f>
        <v/>
      </c>
      <c r="J31" s="8" t="str">
        <f aca="false">IF(INDEX(Bases!$E$2:$E$53,C31)="","",INDEX(Bases!$E$2:$E$53,C31))</f>
        <v/>
      </c>
      <c r="K31" s="5"/>
      <c r="L31" s="2" t="n">
        <f aca="false">AE31+IF(SUMPRODUCT(--($AL31:$AQ31&gt;AL31))&lt;$AK31,1,0)</f>
        <v>81</v>
      </c>
      <c r="M31" s="2" t="n">
        <f aca="false">AF31+IF(SUMPRODUCT(--($AL31:$AQ31&gt;AM31))+SUMPRODUCT(--($AL31:AL31=AM31))&lt;$AK31,1,0)</f>
        <v>79</v>
      </c>
      <c r="N31" s="2" t="n">
        <f aca="false">AG31+IF(SUMPRODUCT(--($AL31:$AQ31&gt;AN31))+SUMPRODUCT(--($AL31:AM31=AN31))&lt;$AK31,1,0)</f>
        <v>85</v>
      </c>
      <c r="O31" s="2" t="n">
        <f aca="false">AH31+IF(SUMPRODUCT(--($AL31:$AQ31&gt;AO31))+SUMPRODUCT(--($AL31:AN31=AO31))&lt;$AK31,1,0)</f>
        <v>97</v>
      </c>
      <c r="P31" s="2" t="n">
        <f aca="false">AI31+IF(SUMPRODUCT(--($AL31:$AQ31&gt;AP31))+SUMPRODUCT(--($AL31:AO31=AP31))&lt;$AK31,1,0)</f>
        <v>88</v>
      </c>
      <c r="Q31" s="2" t="n">
        <f aca="false">AJ31+IF(SUMPRODUCT(--($AL31:$AQ31&gt;AQ31))+SUMPRODUCT(--($AL31:AP31=AQ31))&lt;$AK31,1,0)</f>
        <v>70</v>
      </c>
      <c r="R31" s="2" t="n">
        <f aca="false">SUM(L31:Q31)</f>
        <v>500</v>
      </c>
      <c r="S31" s="2" t="n">
        <f aca="false">Settings!$B$4*MAX(INDEX(Bases!$M$2:$M$53,B31),INDEX(Bases!$M$2:$M$53,C31))+Settings!$B$5*MIN(INDEX(Bases!$M$2:$M$53,B31),INDEX(Bases!$M$2:$M$53,C31))</f>
        <v>66.6666666666667</v>
      </c>
      <c r="T31" s="2" t="n">
        <f aca="false">Settings!$B$4*MAX(INDEX(Bases!$N$2:$N$53,B31),INDEX(Bases!$N$2:$N$53,C31))+Settings!$B$5*MIN(INDEX(Bases!$N$2:$N$53,B31),INDEX(Bases!$N$2:$N$53,C31))</f>
        <v>65</v>
      </c>
      <c r="U31" s="2" t="n">
        <f aca="false">Settings!$B$4*MAX(INDEX(Bases!$O$2:$O$53,B31),INDEX(Bases!$O$2:$O$53,C31))+Settings!$B$5*MIN(INDEX(Bases!$O$2:$O$53,B31),INDEX(Bases!$O$2:$O$53,C31))</f>
        <v>69.6666666666667</v>
      </c>
      <c r="V31" s="2" t="n">
        <f aca="false">Settings!$B$4*MAX(INDEX(Bases!$P$2:$P$53,B31),INDEX(Bases!$P$2:$P$53,C31))+Settings!$B$5*MIN(INDEX(Bases!$P$2:$P$53,B31),INDEX(Bases!$P$2:$P$53,C31))</f>
        <v>79.6666666666667</v>
      </c>
      <c r="W31" s="2" t="n">
        <f aca="false">Settings!$B$4*MAX(INDEX(Bases!$Q$2:$Q$53,B31),INDEX(Bases!$Q$2:$Q$53,C31))+Settings!$B$5*MIN(INDEX(Bases!$Q$2:$Q$53,B31),INDEX(Bases!$Q$2:$Q$53,C31))</f>
        <v>72.6666666666667</v>
      </c>
      <c r="X31" s="2" t="n">
        <f aca="false">Settings!$B$4*MAX(INDEX(Bases!$R$2:$R$53,B31),INDEX(Bases!$R$2:$R$53,C31))+Settings!$B$5*MIN(INDEX(Bases!$R$2:$R$53,B31),INDEX(Bases!$R$2:$R$53,C31))</f>
        <v>57.3333333333333</v>
      </c>
      <c r="Y31" s="2" t="n">
        <f aca="false">S31*Settings!$B$3/SUM(S31:X31)</f>
        <v>81.10300081103</v>
      </c>
      <c r="Z31" s="2" t="n">
        <f aca="false">T31*Settings!$B$3/SUM(S31:X31)</f>
        <v>79.0754257907543</v>
      </c>
      <c r="AA31" s="2" t="n">
        <f aca="false">U31*Settings!$B$3/SUM(S31:X31)</f>
        <v>84.7526358475264</v>
      </c>
      <c r="AB31" s="2" t="n">
        <f aca="false">V31*Settings!$B$3/SUM(S31:X31)</f>
        <v>96.9180859691809</v>
      </c>
      <c r="AC31" s="2" t="n">
        <f aca="false">W31*Settings!$B$3/SUM(S31:X31)</f>
        <v>88.4022708840227</v>
      </c>
      <c r="AD31" s="2" t="n">
        <f aca="false">X31*Settings!$B$3/SUM(S31:X31)</f>
        <v>69.7485806974858</v>
      </c>
      <c r="AE31" s="2" t="n">
        <f aca="false">INT(Y31)</f>
        <v>81</v>
      </c>
      <c r="AF31" s="2" t="n">
        <f aca="false">INT(Z31)</f>
        <v>79</v>
      </c>
      <c r="AG31" s="2" t="n">
        <f aca="false">INT(AA31)</f>
        <v>84</v>
      </c>
      <c r="AH31" s="2" t="n">
        <f aca="false">INT(AB31)</f>
        <v>96</v>
      </c>
      <c r="AI31" s="2" t="n">
        <f aca="false">INT(AC31)</f>
        <v>88</v>
      </c>
      <c r="AJ31" s="2" t="n">
        <f aca="false">INT(AD31)</f>
        <v>69</v>
      </c>
      <c r="AK31" s="2" t="n">
        <f aca="false">Settings!$B$3-SUM(AE31:AJ31)</f>
        <v>3</v>
      </c>
      <c r="AL31" s="2" t="n">
        <f aca="false">ROUND(Y31-AE31,9)</f>
        <v>0.103000811</v>
      </c>
      <c r="AM31" s="2" t="n">
        <f aca="false">ROUND(Z31-AF31,9)</f>
        <v>0.075425791</v>
      </c>
      <c r="AN31" s="2" t="n">
        <f aca="false">ROUND(AA31-AG31,9)</f>
        <v>0.752635848</v>
      </c>
      <c r="AO31" s="2" t="n">
        <f aca="false">ROUND(AB31-AH31,9)</f>
        <v>0.918085969</v>
      </c>
      <c r="AP31" s="2" t="n">
        <f aca="false">ROUND(AC31-AI31,9)</f>
        <v>0.402270884</v>
      </c>
      <c r="AQ31" s="2" t="n">
        <f aca="false">ROUND(AD31-AJ31,9)</f>
        <v>0.748580697</v>
      </c>
    </row>
    <row r="32" customFormat="false" ht="15" hidden="false" customHeight="false" outlineLevel="0" collapsed="false">
      <c r="A32" s="2" t="n">
        <v>31</v>
      </c>
      <c r="B32" s="6" t="n">
        <v>1</v>
      </c>
      <c r="C32" s="6" t="n">
        <v>32</v>
      </c>
      <c r="D32" s="8" t="str">
        <f aca="false">INDEX(Bases!$B$2:$B$53,B32)</f>
        <v>Porygon</v>
      </c>
      <c r="E32" s="8" t="str">
        <f aca="false">INDEX(Bases!$B$2:$B$53,C32)</f>
        <v>Spoink</v>
      </c>
      <c r="F32" s="2" t="str">
        <f aca="false">LEFT(D32,ROUNDUP(LEN(D32)/2,0))&amp;LOWER(MID(E32,ROUNDUP(LEN(E32)/2,0)+1,20))</f>
        <v>Poryink</v>
      </c>
      <c r="G32" s="8" t="str">
        <f aca="false">INDEX(Bases!$C$2:$C$53,B32)</f>
        <v>Normal</v>
      </c>
      <c r="H32" s="8" t="str">
        <f aca="false">IF(INDEX(Bases!$C$2:$C$53,C32)=G32,"",INDEX(Bases!$C$2:$C$53,C32))</f>
        <v>Psychic</v>
      </c>
      <c r="I32" s="8" t="str">
        <f aca="false">IF(INDEX(Bases!$E$2:$E$53,B32)="","",INDEX(Bases!$E$2:$E$53,B32))</f>
        <v/>
      </c>
      <c r="J32" s="8" t="str">
        <f aca="false">IF(INDEX(Bases!$E$2:$E$53,C32)="","",INDEX(Bases!$E$2:$E$53,C32))</f>
        <v/>
      </c>
      <c r="K32" s="5"/>
      <c r="L32" s="2" t="n">
        <f aca="false">AE32+IF(SUMPRODUCT(--($AL32:$AQ32&gt;AL32))&lt;$AK32,1,0)</f>
        <v>84</v>
      </c>
      <c r="M32" s="2" t="n">
        <f aca="false">AF32+IF(SUMPRODUCT(--($AL32:$AQ32&gt;AM32))+SUMPRODUCT(--($AL32:AL32=AM32))&lt;$AK32,1,0)</f>
        <v>60</v>
      </c>
      <c r="N32" s="2" t="n">
        <f aca="false">AG32+IF(SUMPRODUCT(--($AL32:$AQ32&gt;AN32))+SUMPRODUCT(--($AL32:AM32=AN32))&lt;$AK32,1,0)</f>
        <v>73</v>
      </c>
      <c r="O32" s="2" t="n">
        <f aca="false">AH32+IF(SUMPRODUCT(--($AL32:$AQ32&gt;AO32))+SUMPRODUCT(--($AL32:AN32=AO32))&lt;$AK32,1,0)</f>
        <v>102</v>
      </c>
      <c r="P32" s="2" t="n">
        <f aca="false">AI32+IF(SUMPRODUCT(--($AL32:$AQ32&gt;AP32))+SUMPRODUCT(--($AL32:AO32=AP32))&lt;$AK32,1,0)</f>
        <v>107</v>
      </c>
      <c r="Q32" s="2" t="n">
        <f aca="false">AJ32+IF(SUMPRODUCT(--($AL32:$AQ32&gt;AQ32))+SUMPRODUCT(--($AL32:AP32=AQ32))&lt;$AK32,1,0)</f>
        <v>74</v>
      </c>
      <c r="R32" s="2" t="n">
        <f aca="false">SUM(L32:Q32)</f>
        <v>500</v>
      </c>
      <c r="S32" s="2" t="n">
        <f aca="false">Settings!$B$4*MAX(INDEX(Bases!$M$2:$M$53,B32),INDEX(Bases!$M$2:$M$53,C32))+Settings!$B$5*MIN(INDEX(Bases!$M$2:$M$53,B32),INDEX(Bases!$M$2:$M$53,C32))</f>
        <v>70.6666666666667</v>
      </c>
      <c r="T32" s="2" t="n">
        <f aca="false">Settings!$B$4*MAX(INDEX(Bases!$N$2:$N$53,B32),INDEX(Bases!$N$2:$N$53,C32))+Settings!$B$5*MIN(INDEX(Bases!$N$2:$N$53,B32),INDEX(Bases!$N$2:$N$53,C32))</f>
        <v>50.6666666666667</v>
      </c>
      <c r="U32" s="2" t="n">
        <f aca="false">Settings!$B$4*MAX(INDEX(Bases!$O$2:$O$53,B32),INDEX(Bases!$O$2:$O$53,C32))+Settings!$B$5*MIN(INDEX(Bases!$O$2:$O$53,B32),INDEX(Bases!$O$2:$O$53,C32))</f>
        <v>61.3333333333333</v>
      </c>
      <c r="V32" s="2" t="n">
        <f aca="false">Settings!$B$4*MAX(INDEX(Bases!$P$2:$P$53,B32),INDEX(Bases!$P$2:$P$53,C32))+Settings!$B$5*MIN(INDEX(Bases!$P$2:$P$53,B32),INDEX(Bases!$P$2:$P$53,C32))</f>
        <v>85.6666666666667</v>
      </c>
      <c r="W32" s="2" t="n">
        <f aca="false">Settings!$B$4*MAX(INDEX(Bases!$Q$2:$Q$53,B32),INDEX(Bases!$Q$2:$Q$53,C32))+Settings!$B$5*MIN(INDEX(Bases!$Q$2:$Q$53,B32),INDEX(Bases!$Q$2:$Q$53,C32))</f>
        <v>90</v>
      </c>
      <c r="X32" s="2" t="n">
        <f aca="false">Settings!$B$4*MAX(INDEX(Bases!$R$2:$R$53,B32),INDEX(Bases!$R$2:$R$53,C32))+Settings!$B$5*MIN(INDEX(Bases!$R$2:$R$53,B32),INDEX(Bases!$R$2:$R$53,C32))</f>
        <v>62</v>
      </c>
      <c r="Y32" s="2" t="n">
        <f aca="false">S32*Settings!$B$3/SUM(S32:X32)</f>
        <v>84.06026962728</v>
      </c>
      <c r="Z32" s="2" t="n">
        <f aca="false">T32*Settings!$B$3/SUM(S32:X32)</f>
        <v>60.2696272799366</v>
      </c>
      <c r="AA32" s="2" t="n">
        <f aca="false">U32*Settings!$B$3/SUM(S32:X32)</f>
        <v>72.9579698651864</v>
      </c>
      <c r="AB32" s="2" t="n">
        <f aca="false">V32*Settings!$B$3/SUM(S32:X32)</f>
        <v>101.903251387787</v>
      </c>
      <c r="AC32" s="2" t="n">
        <f aca="false">W32*Settings!$B$3/SUM(S32:X32)</f>
        <v>107.057890563045</v>
      </c>
      <c r="AD32" s="2" t="n">
        <f aca="false">X32*Settings!$B$3/SUM(S32:X32)</f>
        <v>73.7509912767645</v>
      </c>
      <c r="AE32" s="2" t="n">
        <f aca="false">INT(Y32)</f>
        <v>84</v>
      </c>
      <c r="AF32" s="2" t="n">
        <f aca="false">INT(Z32)</f>
        <v>60</v>
      </c>
      <c r="AG32" s="2" t="n">
        <f aca="false">INT(AA32)</f>
        <v>72</v>
      </c>
      <c r="AH32" s="2" t="n">
        <f aca="false">INT(AB32)</f>
        <v>101</v>
      </c>
      <c r="AI32" s="2" t="n">
        <f aca="false">INT(AC32)</f>
        <v>107</v>
      </c>
      <c r="AJ32" s="2" t="n">
        <f aca="false">INT(AD32)</f>
        <v>73</v>
      </c>
      <c r="AK32" s="2" t="n">
        <f aca="false">Settings!$B$3-SUM(AE32:AJ32)</f>
        <v>3</v>
      </c>
      <c r="AL32" s="2" t="n">
        <f aca="false">ROUND(Y32-AE32,9)</f>
        <v>0.060269627</v>
      </c>
      <c r="AM32" s="2" t="n">
        <f aca="false">ROUND(Z32-AF32,9)</f>
        <v>0.26962728</v>
      </c>
      <c r="AN32" s="2" t="n">
        <f aca="false">ROUND(AA32-AG32,9)</f>
        <v>0.957969865</v>
      </c>
      <c r="AO32" s="2" t="n">
        <f aca="false">ROUND(AB32-AH32,9)</f>
        <v>0.903251388</v>
      </c>
      <c r="AP32" s="2" t="n">
        <f aca="false">ROUND(AC32-AI32,9)</f>
        <v>0.057890563</v>
      </c>
      <c r="AQ32" s="2" t="n">
        <f aca="false">ROUND(AD32-AJ32,9)</f>
        <v>0.750991277</v>
      </c>
    </row>
    <row r="33" customFormat="false" ht="15" hidden="false" customHeight="false" outlineLevel="0" collapsed="false">
      <c r="A33" s="2" t="n">
        <v>32</v>
      </c>
      <c r="B33" s="6" t="n">
        <v>1</v>
      </c>
      <c r="C33" s="6" t="n">
        <v>33</v>
      </c>
      <c r="D33" s="8" t="str">
        <f aca="false">INDEX(Bases!$B$2:$B$53,B33)</f>
        <v>Porygon</v>
      </c>
      <c r="E33" s="8" t="str">
        <f aca="false">INDEX(Bases!$B$2:$B$53,C33)</f>
        <v>Jirachi</v>
      </c>
      <c r="F33" s="2" t="str">
        <f aca="false">LEFT(D33,ROUNDUP(LEN(D33)/2,0))&amp;LOWER(MID(E33,ROUNDUP(LEN(E33)/2,0)+1,20))</f>
        <v>Porychi</v>
      </c>
      <c r="G33" s="8" t="str">
        <f aca="false">INDEX(Bases!$C$2:$C$53,B33)</f>
        <v>Normal</v>
      </c>
      <c r="H33" s="8" t="str">
        <f aca="false">IF(INDEX(Bases!$C$2:$C$53,C33)=G33,"",INDEX(Bases!$C$2:$C$53,C33))</f>
        <v>Psychic</v>
      </c>
      <c r="I33" s="8" t="str">
        <f aca="false">IF(INDEX(Bases!$E$2:$E$53,B33)="","",INDEX(Bases!$E$2:$E$53,B33))</f>
        <v/>
      </c>
      <c r="J33" s="8" t="str">
        <f aca="false">IF(INDEX(Bases!$E$2:$E$53,C33)="","",INDEX(Bases!$E$2:$E$53,C33))</f>
        <v/>
      </c>
      <c r="K33" s="5"/>
      <c r="L33" s="2" t="n">
        <f aca="false">AE33+IF(SUMPRODUCT(--($AL33:$AQ33&gt;AL33))&lt;$AK33,1,0)</f>
        <v>81</v>
      </c>
      <c r="M33" s="2" t="n">
        <f aca="false">AF33+IF(SUMPRODUCT(--($AL33:$AQ33&gt;AM33))+SUMPRODUCT(--($AL33:AL33=AM33))&lt;$AK33,1,0)</f>
        <v>79</v>
      </c>
      <c r="N33" s="2" t="n">
        <f aca="false">AG33+IF(SUMPRODUCT(--($AL33:$AQ33&gt;AN33))+SUMPRODUCT(--($AL33:AM33=AN33))&lt;$AK33,1,0)</f>
        <v>85</v>
      </c>
      <c r="O33" s="2" t="n">
        <f aca="false">AH33+IF(SUMPRODUCT(--($AL33:$AQ33&gt;AO33))+SUMPRODUCT(--($AL33:AN33=AO33))&lt;$AK33,1,0)</f>
        <v>97</v>
      </c>
      <c r="P33" s="2" t="n">
        <f aca="false">AI33+IF(SUMPRODUCT(--($AL33:$AQ33&gt;AP33))+SUMPRODUCT(--($AL33:AO33=AP33))&lt;$AK33,1,0)</f>
        <v>88</v>
      </c>
      <c r="Q33" s="2" t="n">
        <f aca="false">AJ33+IF(SUMPRODUCT(--($AL33:$AQ33&gt;AQ33))+SUMPRODUCT(--($AL33:AP33=AQ33))&lt;$AK33,1,0)</f>
        <v>70</v>
      </c>
      <c r="R33" s="2" t="n">
        <f aca="false">SUM(L33:Q33)</f>
        <v>500</v>
      </c>
      <c r="S33" s="2" t="n">
        <f aca="false">Settings!$B$4*MAX(INDEX(Bases!$M$2:$M$53,B33),INDEX(Bases!$M$2:$M$53,C33))+Settings!$B$5*MIN(INDEX(Bases!$M$2:$M$53,B33),INDEX(Bases!$M$2:$M$53,C33))</f>
        <v>66.6666666666667</v>
      </c>
      <c r="T33" s="2" t="n">
        <f aca="false">Settings!$B$4*MAX(INDEX(Bases!$N$2:$N$53,B33),INDEX(Bases!$N$2:$N$53,C33))+Settings!$B$5*MIN(INDEX(Bases!$N$2:$N$53,B33),INDEX(Bases!$N$2:$N$53,C33))</f>
        <v>65</v>
      </c>
      <c r="U33" s="2" t="n">
        <f aca="false">Settings!$B$4*MAX(INDEX(Bases!$O$2:$O$53,B33),INDEX(Bases!$O$2:$O$53,C33))+Settings!$B$5*MIN(INDEX(Bases!$O$2:$O$53,B33),INDEX(Bases!$O$2:$O$53,C33))</f>
        <v>69.6666666666667</v>
      </c>
      <c r="V33" s="2" t="n">
        <f aca="false">Settings!$B$4*MAX(INDEX(Bases!$P$2:$P$53,B33),INDEX(Bases!$P$2:$P$53,C33))+Settings!$B$5*MIN(INDEX(Bases!$P$2:$P$53,B33),INDEX(Bases!$P$2:$P$53,C33))</f>
        <v>79.6666666666667</v>
      </c>
      <c r="W33" s="2" t="n">
        <f aca="false">Settings!$B$4*MAX(INDEX(Bases!$Q$2:$Q$53,B33),INDEX(Bases!$Q$2:$Q$53,C33))+Settings!$B$5*MIN(INDEX(Bases!$Q$2:$Q$53,B33),INDEX(Bases!$Q$2:$Q$53,C33))</f>
        <v>72.6666666666667</v>
      </c>
      <c r="X33" s="2" t="n">
        <f aca="false">Settings!$B$4*MAX(INDEX(Bases!$R$2:$R$53,B33),INDEX(Bases!$R$2:$R$53,C33))+Settings!$B$5*MIN(INDEX(Bases!$R$2:$R$53,B33),INDEX(Bases!$R$2:$R$53,C33))</f>
        <v>57.3333333333333</v>
      </c>
      <c r="Y33" s="2" t="n">
        <f aca="false">S33*Settings!$B$3/SUM(S33:X33)</f>
        <v>81.10300081103</v>
      </c>
      <c r="Z33" s="2" t="n">
        <f aca="false">T33*Settings!$B$3/SUM(S33:X33)</f>
        <v>79.0754257907543</v>
      </c>
      <c r="AA33" s="2" t="n">
        <f aca="false">U33*Settings!$B$3/SUM(S33:X33)</f>
        <v>84.7526358475264</v>
      </c>
      <c r="AB33" s="2" t="n">
        <f aca="false">V33*Settings!$B$3/SUM(S33:X33)</f>
        <v>96.9180859691809</v>
      </c>
      <c r="AC33" s="2" t="n">
        <f aca="false">W33*Settings!$B$3/SUM(S33:X33)</f>
        <v>88.4022708840227</v>
      </c>
      <c r="AD33" s="2" t="n">
        <f aca="false">X33*Settings!$B$3/SUM(S33:X33)</f>
        <v>69.7485806974858</v>
      </c>
      <c r="AE33" s="2" t="n">
        <f aca="false">INT(Y33)</f>
        <v>81</v>
      </c>
      <c r="AF33" s="2" t="n">
        <f aca="false">INT(Z33)</f>
        <v>79</v>
      </c>
      <c r="AG33" s="2" t="n">
        <f aca="false">INT(AA33)</f>
        <v>84</v>
      </c>
      <c r="AH33" s="2" t="n">
        <f aca="false">INT(AB33)</f>
        <v>96</v>
      </c>
      <c r="AI33" s="2" t="n">
        <f aca="false">INT(AC33)</f>
        <v>88</v>
      </c>
      <c r="AJ33" s="2" t="n">
        <f aca="false">INT(AD33)</f>
        <v>69</v>
      </c>
      <c r="AK33" s="2" t="n">
        <f aca="false">Settings!$B$3-SUM(AE33:AJ33)</f>
        <v>3</v>
      </c>
      <c r="AL33" s="2" t="n">
        <f aca="false">ROUND(Y33-AE33,9)</f>
        <v>0.103000811</v>
      </c>
      <c r="AM33" s="2" t="n">
        <f aca="false">ROUND(Z33-AF33,9)</f>
        <v>0.075425791</v>
      </c>
      <c r="AN33" s="2" t="n">
        <f aca="false">ROUND(AA33-AG33,9)</f>
        <v>0.752635848</v>
      </c>
      <c r="AO33" s="2" t="n">
        <f aca="false">ROUND(AB33-AH33,9)</f>
        <v>0.918085969</v>
      </c>
      <c r="AP33" s="2" t="n">
        <f aca="false">ROUND(AC33-AI33,9)</f>
        <v>0.402270884</v>
      </c>
      <c r="AQ33" s="2" t="n">
        <f aca="false">ROUND(AD33-AJ33,9)</f>
        <v>0.748580697</v>
      </c>
    </row>
    <row r="34" customFormat="false" ht="15" hidden="false" customHeight="false" outlineLevel="0" collapsed="false">
      <c r="A34" s="2" t="n">
        <v>33</v>
      </c>
      <c r="B34" s="6" t="n">
        <v>1</v>
      </c>
      <c r="C34" s="6" t="n">
        <v>34</v>
      </c>
      <c r="D34" s="8" t="str">
        <f aca="false">INDEX(Bases!$B$2:$B$53,B34)</f>
        <v>Porygon</v>
      </c>
      <c r="E34" s="8" t="str">
        <f aca="false">INDEX(Bases!$B$2:$B$53,C34)</f>
        <v>Paras</v>
      </c>
      <c r="F34" s="2" t="str">
        <f aca="false">LEFT(D34,ROUNDUP(LEN(D34)/2,0))&amp;LOWER(MID(E34,ROUNDUP(LEN(E34)/2,0)+1,20))</f>
        <v>Poryas</v>
      </c>
      <c r="G34" s="8" t="str">
        <f aca="false">INDEX(Bases!$C$2:$C$53,B34)</f>
        <v>Normal</v>
      </c>
      <c r="H34" s="8" t="str">
        <f aca="false">IF(INDEX(Bases!$C$2:$C$53,C34)=G34,"",INDEX(Bases!$C$2:$C$53,C34))</f>
        <v>Bug</v>
      </c>
      <c r="I34" s="8" t="str">
        <f aca="false">IF(INDEX(Bases!$E$2:$E$53,B34)="","",INDEX(Bases!$E$2:$E$53,B34))</f>
        <v/>
      </c>
      <c r="J34" s="8" t="str">
        <f aca="false">IF(INDEX(Bases!$E$2:$E$53,C34)="","",INDEX(Bases!$E$2:$E$53,C34))</f>
        <v/>
      </c>
      <c r="K34" s="5"/>
      <c r="L34" s="2" t="n">
        <f aca="false">AE34+IF(SUMPRODUCT(--($AL34:$AQ34&gt;AL34))&lt;$AK34,1,0)</f>
        <v>73</v>
      </c>
      <c r="M34" s="2" t="n">
        <f aca="false">AF34+IF(SUMPRODUCT(--($AL34:$AQ34&gt;AM34))+SUMPRODUCT(--($AL34:AL34=AM34))&lt;$AK34,1,0)</f>
        <v>104</v>
      </c>
      <c r="N34" s="2" t="n">
        <f aca="false">AG34+IF(SUMPRODUCT(--($AL34:$AQ34&gt;AN34))+SUMPRODUCT(--($AL34:AM34=AN34))&lt;$AK34,1,0)</f>
        <v>90</v>
      </c>
      <c r="O34" s="2" t="n">
        <f aca="false">AH34+IF(SUMPRODUCT(--($AL34:$AQ34&gt;AO34))+SUMPRODUCT(--($AL34:AN34=AO34))&lt;$AK34,1,0)</f>
        <v>95</v>
      </c>
      <c r="P34" s="2" t="n">
        <f aca="false">AI34+IF(SUMPRODUCT(--($AL34:$AQ34&gt;AP34))+SUMPRODUCT(--($AL34:AO34=AP34))&lt;$AK34,1,0)</f>
        <v>92</v>
      </c>
      <c r="Q34" s="2" t="n">
        <f aca="false">AJ34+IF(SUMPRODUCT(--($AL34:$AQ34&gt;AQ34))+SUMPRODUCT(--($AL34:AP34=AQ34))&lt;$AK34,1,0)</f>
        <v>46</v>
      </c>
      <c r="R34" s="2" t="n">
        <f aca="false">SUM(L34:Q34)</f>
        <v>500</v>
      </c>
      <c r="S34" s="2" t="n">
        <f aca="false">Settings!$B$4*MAX(INDEX(Bases!$M$2:$M$53,B34),INDEX(Bases!$M$2:$M$53,C34))+Settings!$B$5*MIN(INDEX(Bases!$M$2:$M$53,B34),INDEX(Bases!$M$2:$M$53,C34))</f>
        <v>60.3333333333333</v>
      </c>
      <c r="T34" s="2" t="n">
        <f aca="false">Settings!$B$4*MAX(INDEX(Bases!$N$2:$N$53,B34),INDEX(Bases!$N$2:$N$53,C34))+Settings!$B$5*MIN(INDEX(Bases!$N$2:$N$53,B34),INDEX(Bases!$N$2:$N$53,C34))</f>
        <v>86.3333333333333</v>
      </c>
      <c r="U34" s="2" t="n">
        <f aca="false">Settings!$B$4*MAX(INDEX(Bases!$O$2:$O$53,B34),INDEX(Bases!$O$2:$O$53,C34))+Settings!$B$5*MIN(INDEX(Bases!$O$2:$O$53,B34),INDEX(Bases!$O$2:$O$53,C34))</f>
        <v>75</v>
      </c>
      <c r="V34" s="2" t="n">
        <f aca="false">Settings!$B$4*MAX(INDEX(Bases!$P$2:$P$53,B34),INDEX(Bases!$P$2:$P$53,C34))+Settings!$B$5*MIN(INDEX(Bases!$P$2:$P$53,B34),INDEX(Bases!$P$2:$P$53,C34))</f>
        <v>78.3333333333333</v>
      </c>
      <c r="W34" s="2" t="n">
        <f aca="false">Settings!$B$4*MAX(INDEX(Bases!$Q$2:$Q$53,B34),INDEX(Bases!$Q$2:$Q$53,C34))+Settings!$B$5*MIN(INDEX(Bases!$Q$2:$Q$53,B34),INDEX(Bases!$Q$2:$Q$53,C34))</f>
        <v>76.6666666666667</v>
      </c>
      <c r="X34" s="2" t="n">
        <f aca="false">Settings!$B$4*MAX(INDEX(Bases!$R$2:$R$53,B34),INDEX(Bases!$R$2:$R$53,C34))+Settings!$B$5*MIN(INDEX(Bases!$R$2:$R$53,B34),INDEX(Bases!$R$2:$R$53,C34))</f>
        <v>38.3333333333333</v>
      </c>
      <c r="Y34" s="2" t="n">
        <f aca="false">S34*Settings!$B$3/SUM(S34:X34)</f>
        <v>72.6907630522088</v>
      </c>
      <c r="Z34" s="2" t="n">
        <f aca="false">T34*Settings!$B$3/SUM(S34:X34)</f>
        <v>104.016064257028</v>
      </c>
      <c r="AA34" s="2" t="n">
        <f aca="false">U34*Settings!$B$3/SUM(S34:X34)</f>
        <v>90.3614457831325</v>
      </c>
      <c r="AB34" s="2" t="n">
        <f aca="false">V34*Settings!$B$3/SUM(S34:X34)</f>
        <v>94.3775100401606</v>
      </c>
      <c r="AC34" s="2" t="n">
        <f aca="false">W34*Settings!$B$3/SUM(S34:X34)</f>
        <v>92.3694779116466</v>
      </c>
      <c r="AD34" s="2" t="n">
        <f aca="false">X34*Settings!$B$3/SUM(S34:X34)</f>
        <v>46.1847389558233</v>
      </c>
      <c r="AE34" s="2" t="n">
        <f aca="false">INT(Y34)</f>
        <v>72</v>
      </c>
      <c r="AF34" s="2" t="n">
        <f aca="false">INT(Z34)</f>
        <v>104</v>
      </c>
      <c r="AG34" s="2" t="n">
        <f aca="false">INT(AA34)</f>
        <v>90</v>
      </c>
      <c r="AH34" s="2" t="n">
        <f aca="false">INT(AB34)</f>
        <v>94</v>
      </c>
      <c r="AI34" s="2" t="n">
        <f aca="false">INT(AC34)</f>
        <v>92</v>
      </c>
      <c r="AJ34" s="2" t="n">
        <f aca="false">INT(AD34)</f>
        <v>46</v>
      </c>
      <c r="AK34" s="2" t="n">
        <f aca="false">Settings!$B$3-SUM(AE34:AJ34)</f>
        <v>2</v>
      </c>
      <c r="AL34" s="2" t="n">
        <f aca="false">ROUND(Y34-AE34,9)</f>
        <v>0.690763052</v>
      </c>
      <c r="AM34" s="2" t="n">
        <f aca="false">ROUND(Z34-AF34,9)</f>
        <v>0.016064257</v>
      </c>
      <c r="AN34" s="2" t="n">
        <f aca="false">ROUND(AA34-AG34,9)</f>
        <v>0.361445783</v>
      </c>
      <c r="AO34" s="2" t="n">
        <f aca="false">ROUND(AB34-AH34,9)</f>
        <v>0.37751004</v>
      </c>
      <c r="AP34" s="2" t="n">
        <f aca="false">ROUND(AC34-AI34,9)</f>
        <v>0.369477912</v>
      </c>
      <c r="AQ34" s="2" t="n">
        <f aca="false">ROUND(AD34-AJ34,9)</f>
        <v>0.184738956</v>
      </c>
    </row>
    <row r="35" customFormat="false" ht="15" hidden="false" customHeight="false" outlineLevel="0" collapsed="false">
      <c r="A35" s="2" t="n">
        <v>34</v>
      </c>
      <c r="B35" s="6" t="n">
        <v>1</v>
      </c>
      <c r="C35" s="6" t="n">
        <v>35</v>
      </c>
      <c r="D35" s="8" t="str">
        <f aca="false">INDEX(Bases!$B$2:$B$53,B35)</f>
        <v>Porygon</v>
      </c>
      <c r="E35" s="8" t="str">
        <f aca="false">INDEX(Bases!$B$2:$B$53,C35)</f>
        <v>Pineco</v>
      </c>
      <c r="F35" s="2" t="str">
        <f aca="false">LEFT(D35,ROUNDUP(LEN(D35)/2,0))&amp;LOWER(MID(E35,ROUNDUP(LEN(E35)/2,0)+1,20))</f>
        <v>Poryeco</v>
      </c>
      <c r="G35" s="8" t="str">
        <f aca="false">INDEX(Bases!$C$2:$C$53,B35)</f>
        <v>Normal</v>
      </c>
      <c r="H35" s="8" t="str">
        <f aca="false">IF(INDEX(Bases!$C$2:$C$53,C35)=G35,"",INDEX(Bases!$C$2:$C$53,C35))</f>
        <v>Bug</v>
      </c>
      <c r="I35" s="8" t="str">
        <f aca="false">IF(INDEX(Bases!$E$2:$E$53,B35)="","",INDEX(Bases!$E$2:$E$53,B35))</f>
        <v/>
      </c>
      <c r="J35" s="8" t="str">
        <f aca="false">IF(INDEX(Bases!$E$2:$E$53,C35)="","",INDEX(Bases!$E$2:$E$53,C35))</f>
        <v/>
      </c>
      <c r="K35" s="5"/>
      <c r="L35" s="2" t="n">
        <f aca="false">AE35+IF(SUMPRODUCT(--($AL35:$AQ35&gt;AL35))&lt;$AK35,1,0)</f>
        <v>79</v>
      </c>
      <c r="M35" s="2" t="n">
        <f aca="false">AF35+IF(SUMPRODUCT(--($AL35:$AQ35&gt;AM35))+SUMPRODUCT(--($AL35:AL35=AM35))&lt;$AK35,1,0)</f>
        <v>94</v>
      </c>
      <c r="N35" s="2" t="n">
        <f aca="false">AG35+IF(SUMPRODUCT(--($AL35:$AQ35&gt;AN35))+SUMPRODUCT(--($AL35:AM35=AN35))&lt;$AK35,1,0)</f>
        <v>124</v>
      </c>
      <c r="O35" s="2" t="n">
        <f aca="false">AH35+IF(SUMPRODUCT(--($AL35:$AQ35&gt;AO35))+SUMPRODUCT(--($AL35:AN35=AO35))&lt;$AK35,1,0)</f>
        <v>86</v>
      </c>
      <c r="P35" s="2" t="n">
        <f aca="false">AI35+IF(SUMPRODUCT(--($AL35:$AQ35&gt;AP35))+SUMPRODUCT(--($AL35:AO35=AP35))&lt;$AK35,1,0)</f>
        <v>78</v>
      </c>
      <c r="Q35" s="2" t="n">
        <f aca="false">AJ35+IF(SUMPRODUCT(--($AL35:$AQ35&gt;AQ35))+SUMPRODUCT(--($AL35:AP35=AQ35))&lt;$AK35,1,0)</f>
        <v>39</v>
      </c>
      <c r="R35" s="2" t="n">
        <f aca="false">SUM(L35:Q35)</f>
        <v>500</v>
      </c>
      <c r="S35" s="2" t="n">
        <f aca="false">Settings!$B$4*MAX(INDEX(Bases!$M$2:$M$53,B35),INDEX(Bases!$M$2:$M$53,C35))+Settings!$B$5*MIN(INDEX(Bases!$M$2:$M$53,B35),INDEX(Bases!$M$2:$M$53,C35))</f>
        <v>68</v>
      </c>
      <c r="T35" s="2" t="n">
        <f aca="false">Settings!$B$4*MAX(INDEX(Bases!$N$2:$N$53,B35),INDEX(Bases!$N$2:$N$53,C35))+Settings!$B$5*MIN(INDEX(Bases!$N$2:$N$53,B35),INDEX(Bases!$N$2:$N$53,C35))</f>
        <v>80.3333333333333</v>
      </c>
      <c r="U35" s="2" t="n">
        <f aca="false">Settings!$B$4*MAX(INDEX(Bases!$O$2:$O$53,B35),INDEX(Bases!$O$2:$O$53,C35))+Settings!$B$5*MIN(INDEX(Bases!$O$2:$O$53,B35),INDEX(Bases!$O$2:$O$53,C35))</f>
        <v>106.333333333333</v>
      </c>
      <c r="V35" s="2" t="n">
        <f aca="false">Settings!$B$4*MAX(INDEX(Bases!$P$2:$P$53,B35),INDEX(Bases!$P$2:$P$53,C35))+Settings!$B$5*MIN(INDEX(Bases!$P$2:$P$53,B35),INDEX(Bases!$P$2:$P$53,C35))</f>
        <v>73.3333333333333</v>
      </c>
      <c r="W35" s="2" t="n">
        <f aca="false">Settings!$B$4*MAX(INDEX(Bases!$Q$2:$Q$53,B35),INDEX(Bases!$Q$2:$Q$53,C35))+Settings!$B$5*MIN(INDEX(Bases!$Q$2:$Q$53,B35),INDEX(Bases!$Q$2:$Q$53,C35))</f>
        <v>66.6666666666667</v>
      </c>
      <c r="X35" s="2" t="n">
        <f aca="false">Settings!$B$4*MAX(INDEX(Bases!$R$2:$R$53,B35),INDEX(Bases!$R$2:$R$53,C35))+Settings!$B$5*MIN(INDEX(Bases!$R$2:$R$53,B35),INDEX(Bases!$R$2:$R$53,C35))</f>
        <v>33.6666666666667</v>
      </c>
      <c r="Y35" s="2" t="n">
        <f aca="false">S35*Settings!$B$3/SUM(S35:X35)</f>
        <v>79.3774319066148</v>
      </c>
      <c r="Z35" s="2" t="n">
        <f aca="false">T35*Settings!$B$3/SUM(S35:X35)</f>
        <v>93.7743190661479</v>
      </c>
      <c r="AA35" s="2" t="n">
        <f aca="false">U35*Settings!$B$3/SUM(S35:X35)</f>
        <v>124.124513618677</v>
      </c>
      <c r="AB35" s="2" t="n">
        <f aca="false">V35*Settings!$B$3/SUM(S35:X35)</f>
        <v>85.6031128404669</v>
      </c>
      <c r="AC35" s="2" t="n">
        <f aca="false">W35*Settings!$B$3/SUM(S35:X35)</f>
        <v>77.8210116731517</v>
      </c>
      <c r="AD35" s="2" t="n">
        <f aca="false">X35*Settings!$B$3/SUM(S35:X35)</f>
        <v>39.2996108949416</v>
      </c>
      <c r="AE35" s="2" t="n">
        <f aca="false">INT(Y35)</f>
        <v>79</v>
      </c>
      <c r="AF35" s="2" t="n">
        <f aca="false">INT(Z35)</f>
        <v>93</v>
      </c>
      <c r="AG35" s="2" t="n">
        <f aca="false">INT(AA35)</f>
        <v>124</v>
      </c>
      <c r="AH35" s="2" t="n">
        <f aca="false">INT(AB35)</f>
        <v>85</v>
      </c>
      <c r="AI35" s="2" t="n">
        <f aca="false">INT(AC35)</f>
        <v>77</v>
      </c>
      <c r="AJ35" s="2" t="n">
        <f aca="false">INT(AD35)</f>
        <v>39</v>
      </c>
      <c r="AK35" s="2" t="n">
        <f aca="false">Settings!$B$3-SUM(AE35:AJ35)</f>
        <v>3</v>
      </c>
      <c r="AL35" s="2" t="n">
        <f aca="false">ROUND(Y35-AE35,9)</f>
        <v>0.377431907</v>
      </c>
      <c r="AM35" s="2" t="n">
        <f aca="false">ROUND(Z35-AF35,9)</f>
        <v>0.774319066</v>
      </c>
      <c r="AN35" s="2" t="n">
        <f aca="false">ROUND(AA35-AG35,9)</f>
        <v>0.124513619</v>
      </c>
      <c r="AO35" s="2" t="n">
        <f aca="false">ROUND(AB35-AH35,9)</f>
        <v>0.60311284</v>
      </c>
      <c r="AP35" s="2" t="n">
        <f aca="false">ROUND(AC35-AI35,9)</f>
        <v>0.821011673</v>
      </c>
      <c r="AQ35" s="2" t="n">
        <f aca="false">ROUND(AD35-AJ35,9)</f>
        <v>0.299610895</v>
      </c>
    </row>
    <row r="36" customFormat="false" ht="15" hidden="false" customHeight="false" outlineLevel="0" collapsed="false">
      <c r="A36" s="2" t="n">
        <v>35</v>
      </c>
      <c r="B36" s="6" t="n">
        <v>1</v>
      </c>
      <c r="C36" s="6" t="n">
        <v>36</v>
      </c>
      <c r="D36" s="8" t="str">
        <f aca="false">INDEX(Bases!$B$2:$B$53,B36)</f>
        <v>Porygon</v>
      </c>
      <c r="E36" s="8" t="str">
        <f aca="false">INDEX(Bases!$B$2:$B$53,C36)</f>
        <v>Wurmple</v>
      </c>
      <c r="F36" s="2" t="str">
        <f aca="false">LEFT(D36,ROUNDUP(LEN(D36)/2,0))&amp;LOWER(MID(E36,ROUNDUP(LEN(E36)/2,0)+1,20))</f>
        <v>Poryple</v>
      </c>
      <c r="G36" s="8" t="str">
        <f aca="false">INDEX(Bases!$C$2:$C$53,B36)</f>
        <v>Normal</v>
      </c>
      <c r="H36" s="8" t="str">
        <f aca="false">IF(INDEX(Bases!$C$2:$C$53,C36)=G36,"",INDEX(Bases!$C$2:$C$53,C36))</f>
        <v>Bug</v>
      </c>
      <c r="I36" s="8" t="str">
        <f aca="false">IF(INDEX(Bases!$E$2:$E$53,B36)="","",INDEX(Bases!$E$2:$E$53,B36))</f>
        <v/>
      </c>
      <c r="J36" s="8" t="str">
        <f aca="false">IF(INDEX(Bases!$E$2:$E$53,C36)="","",INDEX(Bases!$E$2:$E$53,C36))</f>
        <v/>
      </c>
      <c r="K36" s="5"/>
      <c r="L36" s="2" t="n">
        <f aca="false">AE36+IF(SUMPRODUCT(--($AL36:$AQ36&gt;AL36))&lt;$AK36,1,0)</f>
        <v>99</v>
      </c>
      <c r="M36" s="2" t="n">
        <f aca="false">AF36+IF(SUMPRODUCT(--($AL36:$AQ36&gt;AM36))+SUMPRODUCT(--($AL36:AL36=AM36))&lt;$AK36,1,0)</f>
        <v>97</v>
      </c>
      <c r="N36" s="2" t="n">
        <f aca="false">AG36+IF(SUMPRODUCT(--($AL36:$AQ36&gt;AN36))+SUMPRODUCT(--($AL36:AM36=AN36))&lt;$AK36,1,0)</f>
        <v>85</v>
      </c>
      <c r="O36" s="2" t="n">
        <f aca="false">AH36+IF(SUMPRODUCT(--($AL36:$AQ36&gt;AO36))+SUMPRODUCT(--($AL36:AN36=AO36))&lt;$AK36,1,0)</f>
        <v>85</v>
      </c>
      <c r="P36" s="2" t="n">
        <f aca="false">AI36+IF(SUMPRODUCT(--($AL36:$AQ36&gt;AP36))+SUMPRODUCT(--($AL36:AO36=AP36))&lt;$AK36,1,0)</f>
        <v>85</v>
      </c>
      <c r="Q36" s="2" t="n">
        <f aca="false">AJ36+IF(SUMPRODUCT(--($AL36:$AQ36&gt;AQ36))+SUMPRODUCT(--($AL36:AP36=AQ36))&lt;$AK36,1,0)</f>
        <v>49</v>
      </c>
      <c r="R36" s="2" t="n">
        <f aca="false">SUM(L36:Q36)</f>
        <v>500</v>
      </c>
      <c r="S36" s="2" t="n">
        <f aca="false">Settings!$B$4*MAX(INDEX(Bases!$M$2:$M$53,B36),INDEX(Bases!$M$2:$M$53,C36))+Settings!$B$5*MIN(INDEX(Bases!$M$2:$M$53,B36),INDEX(Bases!$M$2:$M$53,C36))</f>
        <v>83.3333333333333</v>
      </c>
      <c r="T36" s="2" t="n">
        <f aca="false">Settings!$B$4*MAX(INDEX(Bases!$N$2:$N$53,B36),INDEX(Bases!$N$2:$N$53,C36))+Settings!$B$5*MIN(INDEX(Bases!$N$2:$N$53,B36),INDEX(Bases!$N$2:$N$53,C36))</f>
        <v>81.6666666666667</v>
      </c>
      <c r="U36" s="2" t="n">
        <f aca="false">Settings!$B$4*MAX(INDEX(Bases!$O$2:$O$53,B36),INDEX(Bases!$O$2:$O$53,C36))+Settings!$B$5*MIN(INDEX(Bases!$O$2:$O$53,B36),INDEX(Bases!$O$2:$O$53,C36))</f>
        <v>71.6666666666667</v>
      </c>
      <c r="V36" s="2" t="n">
        <f aca="false">Settings!$B$4*MAX(INDEX(Bases!$P$2:$P$53,B36),INDEX(Bases!$P$2:$P$53,C36))+Settings!$B$5*MIN(INDEX(Bases!$P$2:$P$53,B36),INDEX(Bases!$P$2:$P$53,C36))</f>
        <v>71</v>
      </c>
      <c r="W36" s="2" t="n">
        <f aca="false">Settings!$B$4*MAX(INDEX(Bases!$Q$2:$Q$53,B36),INDEX(Bases!$Q$2:$Q$53,C36))+Settings!$B$5*MIN(INDEX(Bases!$Q$2:$Q$53,B36),INDEX(Bases!$Q$2:$Q$53,C36))</f>
        <v>71.3333333333333</v>
      </c>
      <c r="X36" s="2" t="n">
        <f aca="false">Settings!$B$4*MAX(INDEX(Bases!$R$2:$R$53,B36),INDEX(Bases!$R$2:$R$53,C36))+Settings!$B$5*MIN(INDEX(Bases!$R$2:$R$53,B36),INDEX(Bases!$R$2:$R$53,C36))</f>
        <v>40.6666666666667</v>
      </c>
      <c r="Y36" s="2" t="n">
        <f aca="false">S36*Settings!$B$3/SUM(S36:X36)</f>
        <v>99.2851469420175</v>
      </c>
      <c r="Z36" s="2" t="n">
        <f aca="false">T36*Settings!$B$3/SUM(S36:X36)</f>
        <v>97.2994440031771</v>
      </c>
      <c r="AA36" s="2" t="n">
        <f aca="false">U36*Settings!$B$3/SUM(S36:X36)</f>
        <v>85.385226370135</v>
      </c>
      <c r="AB36" s="2" t="n">
        <f aca="false">V36*Settings!$B$3/SUM(S36:X36)</f>
        <v>84.5909451945989</v>
      </c>
      <c r="AC36" s="2" t="n">
        <f aca="false">W36*Settings!$B$3/SUM(S36:X36)</f>
        <v>84.988085782367</v>
      </c>
      <c r="AD36" s="2" t="n">
        <f aca="false">X36*Settings!$B$3/SUM(S36:X36)</f>
        <v>48.4511517077045</v>
      </c>
      <c r="AE36" s="2" t="n">
        <f aca="false">INT(Y36)</f>
        <v>99</v>
      </c>
      <c r="AF36" s="2" t="n">
        <f aca="false">INT(Z36)</f>
        <v>97</v>
      </c>
      <c r="AG36" s="2" t="n">
        <f aca="false">INT(AA36)</f>
        <v>85</v>
      </c>
      <c r="AH36" s="2" t="n">
        <f aca="false">INT(AB36)</f>
        <v>84</v>
      </c>
      <c r="AI36" s="2" t="n">
        <f aca="false">INT(AC36)</f>
        <v>84</v>
      </c>
      <c r="AJ36" s="2" t="n">
        <f aca="false">INT(AD36)</f>
        <v>48</v>
      </c>
      <c r="AK36" s="2" t="n">
        <f aca="false">Settings!$B$3-SUM(AE36:AJ36)</f>
        <v>3</v>
      </c>
      <c r="AL36" s="2" t="n">
        <f aca="false">ROUND(Y36-AE36,9)</f>
        <v>0.285146942</v>
      </c>
      <c r="AM36" s="2" t="n">
        <f aca="false">ROUND(Z36-AF36,9)</f>
        <v>0.299444003</v>
      </c>
      <c r="AN36" s="2" t="n">
        <f aca="false">ROUND(AA36-AG36,9)</f>
        <v>0.38522637</v>
      </c>
      <c r="AO36" s="2" t="n">
        <f aca="false">ROUND(AB36-AH36,9)</f>
        <v>0.590945195</v>
      </c>
      <c r="AP36" s="2" t="n">
        <f aca="false">ROUND(AC36-AI36,9)</f>
        <v>0.988085782</v>
      </c>
      <c r="AQ36" s="2" t="n">
        <f aca="false">ROUND(AD36-AJ36,9)</f>
        <v>0.451151708</v>
      </c>
    </row>
    <row r="37" customFormat="false" ht="15" hidden="false" customHeight="false" outlineLevel="0" collapsed="false">
      <c r="A37" s="2" t="n">
        <v>36</v>
      </c>
      <c r="B37" s="6" t="n">
        <v>1</v>
      </c>
      <c r="C37" s="6" t="n">
        <v>37</v>
      </c>
      <c r="D37" s="8" t="str">
        <f aca="false">INDEX(Bases!$B$2:$B$53,B37)</f>
        <v>Porygon</v>
      </c>
      <c r="E37" s="8" t="str">
        <f aca="false">INDEX(Bases!$B$2:$B$53,C37)</f>
        <v>Shuckle</v>
      </c>
      <c r="F37" s="2" t="str">
        <f aca="false">LEFT(D37,ROUNDUP(LEN(D37)/2,0))&amp;LOWER(MID(E37,ROUNDUP(LEN(E37)/2,0)+1,20))</f>
        <v>Porykle</v>
      </c>
      <c r="G37" s="8" t="str">
        <f aca="false">INDEX(Bases!$C$2:$C$53,B37)</f>
        <v>Normal</v>
      </c>
      <c r="H37" s="8" t="str">
        <f aca="false">IF(INDEX(Bases!$C$2:$C$53,C37)=G37,"",INDEX(Bases!$C$2:$C$53,C37))</f>
        <v>Rock</v>
      </c>
      <c r="I37" s="8" t="str">
        <f aca="false">IF(INDEX(Bases!$E$2:$E$53,B37)="","",INDEX(Bases!$E$2:$E$53,B37))</f>
        <v/>
      </c>
      <c r="J37" s="8" t="str">
        <f aca="false">IF(INDEX(Bases!$E$2:$E$53,C37)="","",INDEX(Bases!$E$2:$E$53,C37))</f>
        <v/>
      </c>
      <c r="K37" s="5"/>
      <c r="L37" s="2" t="n">
        <f aca="false">AE37+IF(SUMPRODUCT(--($AL37:$AQ37&gt;AL37))&lt;$AK37,1,0)</f>
        <v>52</v>
      </c>
      <c r="M37" s="2" t="n">
        <f aca="false">AF37+IF(SUMPRODUCT(--($AL37:$AQ37&gt;AM37))+SUMPRODUCT(--($AL37:AL37=AM37))&lt;$AK37,1,0)</f>
        <v>46</v>
      </c>
      <c r="N37" s="2" t="n">
        <f aca="false">AG37+IF(SUMPRODUCT(--($AL37:$AQ37&gt;AN37))+SUMPRODUCT(--($AL37:AM37=AN37))&lt;$AK37,1,0)</f>
        <v>153</v>
      </c>
      <c r="O37" s="2" t="n">
        <f aca="false">AH37+IF(SUMPRODUCT(--($AL37:$AQ37&gt;AO37))+SUMPRODUCT(--($AL37:AN37=AO37))&lt;$AK37,1,0)</f>
        <v>64</v>
      </c>
      <c r="P37" s="2" t="n">
        <f aca="false">AI37+IF(SUMPRODUCT(--($AL37:$AQ37&gt;AP37))+SUMPRODUCT(--($AL37:AO37=AP37))&lt;$AK37,1,0)</f>
        <v>155</v>
      </c>
      <c r="Q37" s="2" t="n">
        <f aca="false">AJ37+IF(SUMPRODUCT(--($AL37:$AQ37&gt;AQ37))+SUMPRODUCT(--($AL37:AP37=AQ37))&lt;$AK37,1,0)</f>
        <v>30</v>
      </c>
      <c r="R37" s="2" t="n">
        <f aca="false">SUM(L37:Q37)</f>
        <v>500</v>
      </c>
      <c r="S37" s="2" t="n">
        <f aca="false">Settings!$B$4*MAX(INDEX(Bases!$M$2:$M$53,B37),INDEX(Bases!$M$2:$M$53,C37))+Settings!$B$5*MIN(INDEX(Bases!$M$2:$M$53,B37),INDEX(Bases!$M$2:$M$53,C37))</f>
        <v>49.3333333333333</v>
      </c>
      <c r="T37" s="2" t="n">
        <f aca="false">Settings!$B$4*MAX(INDEX(Bases!$N$2:$N$53,B37),INDEX(Bases!$N$2:$N$53,C37))+Settings!$B$5*MIN(INDEX(Bases!$N$2:$N$53,B37),INDEX(Bases!$N$2:$N$53,C37))</f>
        <v>43.3333333333333</v>
      </c>
      <c r="U37" s="2" t="n">
        <f aca="false">Settings!$B$4*MAX(INDEX(Bases!$O$2:$O$53,B37),INDEX(Bases!$O$2:$O$53,C37))+Settings!$B$5*MIN(INDEX(Bases!$O$2:$O$53,B37),INDEX(Bases!$O$2:$O$53,C37))</f>
        <v>145</v>
      </c>
      <c r="V37" s="2" t="n">
        <f aca="false">Settings!$B$4*MAX(INDEX(Bases!$P$2:$P$53,B37),INDEX(Bases!$P$2:$P$53,C37))+Settings!$B$5*MIN(INDEX(Bases!$P$2:$P$53,B37),INDEX(Bases!$P$2:$P$53,C37))</f>
        <v>60</v>
      </c>
      <c r="W37" s="2" t="n">
        <f aca="false">Settings!$B$4*MAX(INDEX(Bases!$Q$2:$Q$53,B37),INDEX(Bases!$Q$2:$Q$53,C37))+Settings!$B$5*MIN(INDEX(Bases!$Q$2:$Q$53,B37),INDEX(Bases!$Q$2:$Q$53,C37))</f>
        <v>146.666666666667</v>
      </c>
      <c r="X37" s="2" t="n">
        <f aca="false">Settings!$B$4*MAX(INDEX(Bases!$R$2:$R$53,B37),INDEX(Bases!$R$2:$R$53,C37))+Settings!$B$5*MIN(INDEX(Bases!$R$2:$R$53,B37),INDEX(Bases!$R$2:$R$53,C37))</f>
        <v>28</v>
      </c>
      <c r="Y37" s="2" t="n">
        <f aca="false">S37*Settings!$B$3/SUM(S37:X37)</f>
        <v>52.2230063514467</v>
      </c>
      <c r="Z37" s="2" t="n">
        <f aca="false">T37*Settings!$B$3/SUM(S37:X37)</f>
        <v>45.8715596330275</v>
      </c>
      <c r="AA37" s="2" t="n">
        <f aca="false">U37*Settings!$B$3/SUM(S37:X37)</f>
        <v>153.493295695131</v>
      </c>
      <c r="AB37" s="2" t="n">
        <f aca="false">V37*Settings!$B$3/SUM(S37:X37)</f>
        <v>63.514467184192</v>
      </c>
      <c r="AC37" s="2" t="n">
        <f aca="false">W37*Settings!$B$3/SUM(S37:X37)</f>
        <v>155.257586450247</v>
      </c>
      <c r="AD37" s="2" t="n">
        <f aca="false">X37*Settings!$B$3/SUM(S37:X37)</f>
        <v>29.6400846859562</v>
      </c>
      <c r="AE37" s="2" t="n">
        <f aca="false">INT(Y37)</f>
        <v>52</v>
      </c>
      <c r="AF37" s="2" t="n">
        <f aca="false">INT(Z37)</f>
        <v>45</v>
      </c>
      <c r="AG37" s="2" t="n">
        <f aca="false">INT(AA37)</f>
        <v>153</v>
      </c>
      <c r="AH37" s="2" t="n">
        <f aca="false">INT(AB37)</f>
        <v>63</v>
      </c>
      <c r="AI37" s="2" t="n">
        <f aca="false">INT(AC37)</f>
        <v>155</v>
      </c>
      <c r="AJ37" s="2" t="n">
        <f aca="false">INT(AD37)</f>
        <v>29</v>
      </c>
      <c r="AK37" s="2" t="n">
        <f aca="false">Settings!$B$3-SUM(AE37:AJ37)</f>
        <v>3</v>
      </c>
      <c r="AL37" s="2" t="n">
        <f aca="false">ROUND(Y37-AE37,9)</f>
        <v>0.223006351</v>
      </c>
      <c r="AM37" s="2" t="n">
        <f aca="false">ROUND(Z37-AF37,9)</f>
        <v>0.871559633</v>
      </c>
      <c r="AN37" s="2" t="n">
        <f aca="false">ROUND(AA37-AG37,9)</f>
        <v>0.493295695</v>
      </c>
      <c r="AO37" s="2" t="n">
        <f aca="false">ROUND(AB37-AH37,9)</f>
        <v>0.514467184</v>
      </c>
      <c r="AP37" s="2" t="n">
        <f aca="false">ROUND(AC37-AI37,9)</f>
        <v>0.25758645</v>
      </c>
      <c r="AQ37" s="2" t="n">
        <f aca="false">ROUND(AD37-AJ37,9)</f>
        <v>0.640084686</v>
      </c>
    </row>
    <row r="38" customFormat="false" ht="15" hidden="false" customHeight="false" outlineLevel="0" collapsed="false">
      <c r="A38" s="2" t="n">
        <v>37</v>
      </c>
      <c r="B38" s="6" t="n">
        <v>1</v>
      </c>
      <c r="C38" s="6" t="n">
        <v>38</v>
      </c>
      <c r="D38" s="8" t="str">
        <f aca="false">INDEX(Bases!$B$2:$B$53,B38)</f>
        <v>Porygon</v>
      </c>
      <c r="E38" s="8" t="str">
        <f aca="false">INDEX(Bases!$B$2:$B$53,C38)</f>
        <v>Larvitar</v>
      </c>
      <c r="F38" s="2" t="str">
        <f aca="false">LEFT(D38,ROUNDUP(LEN(D38)/2,0))&amp;LOWER(MID(E38,ROUNDUP(LEN(E38)/2,0)+1,20))</f>
        <v>Poryitar</v>
      </c>
      <c r="G38" s="8" t="str">
        <f aca="false">INDEX(Bases!$C$2:$C$53,B38)</f>
        <v>Normal</v>
      </c>
      <c r="H38" s="8" t="str">
        <f aca="false">IF(INDEX(Bases!$C$2:$C$53,C38)=G38,"",INDEX(Bases!$C$2:$C$53,C38))</f>
        <v>Rock</v>
      </c>
      <c r="I38" s="8" t="str">
        <f aca="false">IF(INDEX(Bases!$E$2:$E$53,B38)="","",INDEX(Bases!$E$2:$E$53,B38))</f>
        <v/>
      </c>
      <c r="J38" s="8" t="str">
        <f aca="false">IF(INDEX(Bases!$E$2:$E$53,C38)="","",INDEX(Bases!$E$2:$E$53,C38))</f>
        <v/>
      </c>
      <c r="K38" s="5"/>
      <c r="L38" s="2" t="n">
        <f aca="false">AE38+IF(SUMPRODUCT(--($AL38:$AQ38&gt;AL38))&lt;$AK38,1,0)</f>
        <v>81</v>
      </c>
      <c r="M38" s="2" t="n">
        <f aca="false">AF38+IF(SUMPRODUCT(--($AL38:$AQ38&gt;AM38))+SUMPRODUCT(--($AL38:AL38=AM38))&lt;$AK38,1,0)</f>
        <v>93</v>
      </c>
      <c r="N38" s="2" t="n">
        <f aca="false">AG38+IF(SUMPRODUCT(--($AL38:$AQ38&gt;AN38))+SUMPRODUCT(--($AL38:AM38=AN38))&lt;$AK38,1,0)</f>
        <v>84</v>
      </c>
      <c r="O38" s="2" t="n">
        <f aca="false">AH38+IF(SUMPRODUCT(--($AL38:$AQ38&gt;AO38))+SUMPRODUCT(--($AL38:AN38=AO38))&lt;$AK38,1,0)</f>
        <v>94</v>
      </c>
      <c r="P38" s="2" t="n">
        <f aca="false">AI38+IF(SUMPRODUCT(--($AL38:$AQ38&gt;AP38))+SUMPRODUCT(--($AL38:AO38=AP38))&lt;$AK38,1,0)</f>
        <v>88</v>
      </c>
      <c r="Q38" s="2" t="n">
        <f aca="false">AJ38+IF(SUMPRODUCT(--($AL38:$AQ38&gt;AQ38))+SUMPRODUCT(--($AL38:AP38=AQ38))&lt;$AK38,1,0)</f>
        <v>60</v>
      </c>
      <c r="R38" s="2" t="n">
        <f aca="false">SUM(L38:Q38)</f>
        <v>500</v>
      </c>
      <c r="S38" s="2" t="n">
        <f aca="false">Settings!$B$4*MAX(INDEX(Bases!$M$2:$M$53,B38),INDEX(Bases!$M$2:$M$53,C38))+Settings!$B$5*MIN(INDEX(Bases!$M$2:$M$53,B38),INDEX(Bases!$M$2:$M$53,C38))</f>
        <v>66.6666666666667</v>
      </c>
      <c r="T38" s="2" t="n">
        <f aca="false">Settings!$B$4*MAX(INDEX(Bases!$N$2:$N$53,B38),INDEX(Bases!$N$2:$N$53,C38))+Settings!$B$5*MIN(INDEX(Bases!$N$2:$N$53,B38),INDEX(Bases!$N$2:$N$53,C38))</f>
        <v>77</v>
      </c>
      <c r="U38" s="2" t="n">
        <f aca="false">Settings!$B$4*MAX(INDEX(Bases!$O$2:$O$53,B38),INDEX(Bases!$O$2:$O$53,C38))+Settings!$B$5*MIN(INDEX(Bases!$O$2:$O$53,B38),INDEX(Bases!$O$2:$O$53,C38))</f>
        <v>69.6666666666667</v>
      </c>
      <c r="V38" s="2" t="n">
        <f aca="false">Settings!$B$4*MAX(INDEX(Bases!$P$2:$P$53,B38),INDEX(Bases!$P$2:$P$53,C38))+Settings!$B$5*MIN(INDEX(Bases!$P$2:$P$53,B38),INDEX(Bases!$P$2:$P$53,C38))</f>
        <v>77.3333333333333</v>
      </c>
      <c r="W38" s="2" t="n">
        <f aca="false">Settings!$B$4*MAX(INDEX(Bases!$Q$2:$Q$53,B38),INDEX(Bases!$Q$2:$Q$53,C38))+Settings!$B$5*MIN(INDEX(Bases!$Q$2:$Q$53,B38),INDEX(Bases!$Q$2:$Q$53,C38))</f>
        <v>73</v>
      </c>
      <c r="X38" s="2" t="n">
        <f aca="false">Settings!$B$4*MAX(INDEX(Bases!$R$2:$R$53,B38),INDEX(Bases!$R$2:$R$53,C38))+Settings!$B$5*MIN(INDEX(Bases!$R$2:$R$53,B38),INDEX(Bases!$R$2:$R$53,C38))</f>
        <v>49.3333333333333</v>
      </c>
      <c r="Y38" s="2" t="n">
        <f aca="false">S38*Settings!$B$3/SUM(S38:X38)</f>
        <v>80.7102502017756</v>
      </c>
      <c r="Z38" s="2" t="n">
        <f aca="false">T38*Settings!$B$3/SUM(S38:X38)</f>
        <v>93.2203389830509</v>
      </c>
      <c r="AA38" s="2" t="n">
        <f aca="false">U38*Settings!$B$3/SUM(S38:X38)</f>
        <v>84.3422114608555</v>
      </c>
      <c r="AB38" s="2" t="n">
        <f aca="false">V38*Settings!$B$3/SUM(S38:X38)</f>
        <v>93.6238902340597</v>
      </c>
      <c r="AC38" s="2" t="n">
        <f aca="false">W38*Settings!$B$3/SUM(S38:X38)</f>
        <v>88.3777239709443</v>
      </c>
      <c r="AD38" s="2" t="n">
        <f aca="false">X38*Settings!$B$3/SUM(S38:X38)</f>
        <v>59.725585149314</v>
      </c>
      <c r="AE38" s="2" t="n">
        <f aca="false">INT(Y38)</f>
        <v>80</v>
      </c>
      <c r="AF38" s="2" t="n">
        <f aca="false">INT(Z38)</f>
        <v>93</v>
      </c>
      <c r="AG38" s="2" t="n">
        <f aca="false">INT(AA38)</f>
        <v>84</v>
      </c>
      <c r="AH38" s="2" t="n">
        <f aca="false">INT(AB38)</f>
        <v>93</v>
      </c>
      <c r="AI38" s="2" t="n">
        <f aca="false">INT(AC38)</f>
        <v>88</v>
      </c>
      <c r="AJ38" s="2" t="n">
        <f aca="false">INT(AD38)</f>
        <v>59</v>
      </c>
      <c r="AK38" s="2" t="n">
        <f aca="false">Settings!$B$3-SUM(AE38:AJ38)</f>
        <v>3</v>
      </c>
      <c r="AL38" s="2" t="n">
        <f aca="false">ROUND(Y38-AE38,9)</f>
        <v>0.710250202</v>
      </c>
      <c r="AM38" s="2" t="n">
        <f aca="false">ROUND(Z38-AF38,9)</f>
        <v>0.220338983</v>
      </c>
      <c r="AN38" s="2" t="n">
        <f aca="false">ROUND(AA38-AG38,9)</f>
        <v>0.342211461</v>
      </c>
      <c r="AO38" s="2" t="n">
        <f aca="false">ROUND(AB38-AH38,9)</f>
        <v>0.623890234</v>
      </c>
      <c r="AP38" s="2" t="n">
        <f aca="false">ROUND(AC38-AI38,9)</f>
        <v>0.377723971</v>
      </c>
      <c r="AQ38" s="2" t="n">
        <f aca="false">ROUND(AD38-AJ38,9)</f>
        <v>0.725585149</v>
      </c>
    </row>
    <row r="39" customFormat="false" ht="15" hidden="false" customHeight="false" outlineLevel="0" collapsed="false">
      <c r="A39" s="2" t="n">
        <v>38</v>
      </c>
      <c r="B39" s="6" t="n">
        <v>1</v>
      </c>
      <c r="C39" s="6" t="n">
        <v>39</v>
      </c>
      <c r="D39" s="8" t="str">
        <f aca="false">INDEX(Bases!$B$2:$B$53,B39)</f>
        <v>Porygon</v>
      </c>
      <c r="E39" s="8" t="str">
        <f aca="false">INDEX(Bases!$B$2:$B$53,C39)</f>
        <v>Nosepass</v>
      </c>
      <c r="F39" s="2" t="str">
        <f aca="false">LEFT(D39,ROUNDUP(LEN(D39)/2,0))&amp;LOWER(MID(E39,ROUNDUP(LEN(E39)/2,0)+1,20))</f>
        <v>Porypass</v>
      </c>
      <c r="G39" s="8" t="str">
        <f aca="false">INDEX(Bases!$C$2:$C$53,B39)</f>
        <v>Normal</v>
      </c>
      <c r="H39" s="8" t="str">
        <f aca="false">IF(INDEX(Bases!$C$2:$C$53,C39)=G39,"",INDEX(Bases!$C$2:$C$53,C39))</f>
        <v>Rock</v>
      </c>
      <c r="I39" s="8" t="str">
        <f aca="false">IF(INDEX(Bases!$E$2:$E$53,B39)="","",INDEX(Bases!$E$2:$E$53,B39))</f>
        <v/>
      </c>
      <c r="J39" s="8" t="str">
        <f aca="false">IF(INDEX(Bases!$E$2:$E$53,C39)="","",INDEX(Bases!$E$2:$E$53,C39))</f>
        <v/>
      </c>
      <c r="K39" s="5"/>
      <c r="L39" s="2" t="n">
        <f aca="false">AE39+IF(SUMPRODUCT(--($AL39:$AQ39&gt;AL39))&lt;$AK39,1,0)</f>
        <v>63</v>
      </c>
      <c r="M39" s="2" t="n">
        <f aca="false">AF39+IF(SUMPRODUCT(--($AL39:$AQ39&gt;AM39))+SUMPRODUCT(--($AL39:AL39=AM39))&lt;$AK39,1,0)</f>
        <v>66</v>
      </c>
      <c r="N39" s="2" t="n">
        <f aca="false">AG39+IF(SUMPRODUCT(--($AL39:$AQ39&gt;AN39))+SUMPRODUCT(--($AL39:AM39=AN39))&lt;$AK39,1,0)</f>
        <v>139</v>
      </c>
      <c r="O39" s="2" t="n">
        <f aca="false">AH39+IF(SUMPRODUCT(--($AL39:$AQ39&gt;AO39))+SUMPRODUCT(--($AL39:AN39=AO39))&lt;$AK39,1,0)</f>
        <v>85</v>
      </c>
      <c r="P39" s="2" t="n">
        <f aca="false">AI39+IF(SUMPRODUCT(--($AL39:$AQ39&gt;AP39))+SUMPRODUCT(--($AL39:AO39=AP39))&lt;$AK39,1,0)</f>
        <v>104</v>
      </c>
      <c r="Q39" s="2" t="n">
        <f aca="false">AJ39+IF(SUMPRODUCT(--($AL39:$AQ39&gt;AQ39))+SUMPRODUCT(--($AL39:AP39=AQ39))&lt;$AK39,1,0)</f>
        <v>43</v>
      </c>
      <c r="R39" s="2" t="n">
        <f aca="false">SUM(L39:Q39)</f>
        <v>500</v>
      </c>
      <c r="S39" s="2" t="n">
        <f aca="false">Settings!$B$4*MAX(INDEX(Bases!$M$2:$M$53,B39),INDEX(Bases!$M$2:$M$53,C39))+Settings!$B$5*MIN(INDEX(Bases!$M$2:$M$53,B39),INDEX(Bases!$M$2:$M$53,C39))</f>
        <v>54.6666666666667</v>
      </c>
      <c r="T39" s="2" t="n">
        <f aca="false">Settings!$B$4*MAX(INDEX(Bases!$N$2:$N$53,B39),INDEX(Bases!$N$2:$N$53,C39))+Settings!$B$5*MIN(INDEX(Bases!$N$2:$N$53,B39),INDEX(Bases!$N$2:$N$53,C39))</f>
        <v>56.6666666666667</v>
      </c>
      <c r="U39" s="2" t="n">
        <f aca="false">Settings!$B$4*MAX(INDEX(Bases!$O$2:$O$53,B39),INDEX(Bases!$O$2:$O$53,C39))+Settings!$B$5*MIN(INDEX(Bases!$O$2:$O$53,B39),INDEX(Bases!$O$2:$O$53,C39))</f>
        <v>119.666666666667</v>
      </c>
      <c r="V39" s="2" t="n">
        <f aca="false">Settings!$B$4*MAX(INDEX(Bases!$P$2:$P$53,B39),INDEX(Bases!$P$2:$P$53,C39))+Settings!$B$5*MIN(INDEX(Bases!$P$2:$P$53,B39),INDEX(Bases!$P$2:$P$53,C39))</f>
        <v>73.3333333333333</v>
      </c>
      <c r="W39" s="2" t="n">
        <f aca="false">Settings!$B$4*MAX(INDEX(Bases!$Q$2:$Q$53,B39),INDEX(Bases!$Q$2:$Q$53,C39))+Settings!$B$5*MIN(INDEX(Bases!$Q$2:$Q$53,B39),INDEX(Bases!$Q$2:$Q$53,C39))</f>
        <v>89.3333333333333</v>
      </c>
      <c r="X39" s="2" t="n">
        <f aca="false">Settings!$B$4*MAX(INDEX(Bases!$R$2:$R$53,B39),INDEX(Bases!$R$2:$R$53,C39))+Settings!$B$5*MIN(INDEX(Bases!$R$2:$R$53,B39),INDEX(Bases!$R$2:$R$53,C39))</f>
        <v>37.3333333333333</v>
      </c>
      <c r="Y39" s="2" t="n">
        <f aca="false">S39*Settings!$B$3/SUM(S39:X39)</f>
        <v>63.4184068058778</v>
      </c>
      <c r="Z39" s="2" t="n">
        <f aca="false">T39*Settings!$B$3/SUM(S39:X39)</f>
        <v>65.738592420727</v>
      </c>
      <c r="AA39" s="2" t="n">
        <f aca="false">U39*Settings!$B$3/SUM(S39:X39)</f>
        <v>138.824439288476</v>
      </c>
      <c r="AB39" s="2" t="n">
        <f aca="false">V39*Settings!$B$3/SUM(S39:X39)</f>
        <v>85.0734725444702</v>
      </c>
      <c r="AC39" s="2" t="n">
        <f aca="false">W39*Settings!$B$3/SUM(S39:X39)</f>
        <v>103.634957463264</v>
      </c>
      <c r="AD39" s="2" t="n">
        <f aca="false">X39*Settings!$B$3/SUM(S39:X39)</f>
        <v>43.3101314771848</v>
      </c>
      <c r="AE39" s="2" t="n">
        <f aca="false">INT(Y39)</f>
        <v>63</v>
      </c>
      <c r="AF39" s="2" t="n">
        <f aca="false">INT(Z39)</f>
        <v>65</v>
      </c>
      <c r="AG39" s="2" t="n">
        <f aca="false">INT(AA39)</f>
        <v>138</v>
      </c>
      <c r="AH39" s="2" t="n">
        <f aca="false">INT(AB39)</f>
        <v>85</v>
      </c>
      <c r="AI39" s="2" t="n">
        <f aca="false">INT(AC39)</f>
        <v>103</v>
      </c>
      <c r="AJ39" s="2" t="n">
        <f aca="false">INT(AD39)</f>
        <v>43</v>
      </c>
      <c r="AK39" s="2" t="n">
        <f aca="false">Settings!$B$3-SUM(AE39:AJ39)</f>
        <v>3</v>
      </c>
      <c r="AL39" s="2" t="n">
        <f aca="false">ROUND(Y39-AE39,9)</f>
        <v>0.418406806</v>
      </c>
      <c r="AM39" s="2" t="n">
        <f aca="false">ROUND(Z39-AF39,9)</f>
        <v>0.738592421</v>
      </c>
      <c r="AN39" s="2" t="n">
        <f aca="false">ROUND(AA39-AG39,9)</f>
        <v>0.824439288</v>
      </c>
      <c r="AO39" s="2" t="n">
        <f aca="false">ROUND(AB39-AH39,9)</f>
        <v>0.073472544</v>
      </c>
      <c r="AP39" s="2" t="n">
        <f aca="false">ROUND(AC39-AI39,9)</f>
        <v>0.634957463</v>
      </c>
      <c r="AQ39" s="2" t="n">
        <f aca="false">ROUND(AD39-AJ39,9)</f>
        <v>0.310131477</v>
      </c>
    </row>
    <row r="40" customFormat="false" ht="15" hidden="false" customHeight="false" outlineLevel="0" collapsed="false">
      <c r="A40" s="2" t="n">
        <v>39</v>
      </c>
      <c r="B40" s="6" t="n">
        <v>1</v>
      </c>
      <c r="C40" s="6" t="n">
        <v>40</v>
      </c>
      <c r="D40" s="8" t="str">
        <f aca="false">INDEX(Bases!$B$2:$B$53,B40)</f>
        <v>Porygon</v>
      </c>
      <c r="E40" s="8" t="str">
        <f aca="false">INDEX(Bases!$B$2:$B$53,C40)</f>
        <v>Gastly</v>
      </c>
      <c r="F40" s="2" t="str">
        <f aca="false">LEFT(D40,ROUNDUP(LEN(D40)/2,0))&amp;LOWER(MID(E40,ROUNDUP(LEN(E40)/2,0)+1,20))</f>
        <v>Porytly</v>
      </c>
      <c r="G40" s="8" t="str">
        <f aca="false">INDEX(Bases!$C$2:$C$53,B40)</f>
        <v>Normal</v>
      </c>
      <c r="H40" s="8" t="str">
        <f aca="false">IF(INDEX(Bases!$C$2:$C$53,C40)=G40,"",INDEX(Bases!$C$2:$C$53,C40))</f>
        <v>Ghost</v>
      </c>
      <c r="I40" s="8" t="str">
        <f aca="false">IF(INDEX(Bases!$E$2:$E$53,B40)="","",INDEX(Bases!$E$2:$E$53,B40))</f>
        <v/>
      </c>
      <c r="J40" s="8" t="str">
        <f aca="false">IF(INDEX(Bases!$E$2:$E$53,C40)="","",INDEX(Bases!$E$2:$E$53,C40))</f>
        <v/>
      </c>
      <c r="K40" s="5"/>
      <c r="L40" s="2" t="n">
        <f aca="false">AE40+IF(SUMPRODUCT(--($AL40:$AQ40&gt;AL40))&lt;$AK40,1,0)</f>
        <v>66</v>
      </c>
      <c r="M40" s="2" t="n">
        <f aca="false">AF40+IF(SUMPRODUCT(--($AL40:$AQ40&gt;AM40))+SUMPRODUCT(--($AL40:AL40=AM40))&lt;$AK40,1,0)</f>
        <v>64</v>
      </c>
      <c r="N40" s="2" t="n">
        <f aca="false">AG40+IF(SUMPRODUCT(--($AL40:$AQ40&gt;AN40))+SUMPRODUCT(--($AL40:AM40=AN40))&lt;$AK40,1,0)</f>
        <v>69</v>
      </c>
      <c r="O40" s="2" t="n">
        <f aca="false">AH40+IF(SUMPRODUCT(--($AL40:$AQ40&gt;AO40))+SUMPRODUCT(--($AL40:AN40=AO40))&lt;$AK40,1,0)</f>
        <v>132</v>
      </c>
      <c r="P40" s="2" t="n">
        <f aca="false">AI40+IF(SUMPRODUCT(--($AL40:$AQ40&gt;AP40))+SUMPRODUCT(--($AL40:AO40=AP40))&lt;$AK40,1,0)</f>
        <v>75</v>
      </c>
      <c r="Q40" s="2" t="n">
        <f aca="false">AJ40+IF(SUMPRODUCT(--($AL40:$AQ40&gt;AQ40))+SUMPRODUCT(--($AL40:AP40=AQ40))&lt;$AK40,1,0)</f>
        <v>94</v>
      </c>
      <c r="R40" s="2" t="n">
        <f aca="false">SUM(L40:Q40)</f>
        <v>500</v>
      </c>
      <c r="S40" s="2" t="n">
        <f aca="false">Settings!$B$4*MAX(INDEX(Bases!$M$2:$M$53,B40),INDEX(Bases!$M$2:$M$53,C40))+Settings!$B$5*MIN(INDEX(Bases!$M$2:$M$53,B40),INDEX(Bases!$M$2:$M$53,C40))</f>
        <v>57</v>
      </c>
      <c r="T40" s="2" t="n">
        <f aca="false">Settings!$B$4*MAX(INDEX(Bases!$N$2:$N$53,B40),INDEX(Bases!$N$2:$N$53,C40))+Settings!$B$5*MIN(INDEX(Bases!$N$2:$N$53,B40),INDEX(Bases!$N$2:$N$53,C40))</f>
        <v>55.6666666666667</v>
      </c>
      <c r="U40" s="2" t="n">
        <f aca="false">Settings!$B$4*MAX(INDEX(Bases!$O$2:$O$53,B40),INDEX(Bases!$O$2:$O$53,C40))+Settings!$B$5*MIN(INDEX(Bases!$O$2:$O$53,B40),INDEX(Bases!$O$2:$O$53,C40))</f>
        <v>60.3333333333333</v>
      </c>
      <c r="V40" s="2" t="n">
        <f aca="false">Settings!$B$4*MAX(INDEX(Bases!$P$2:$P$53,B40),INDEX(Bases!$P$2:$P$53,C40))+Settings!$B$5*MIN(INDEX(Bases!$P$2:$P$53,B40),INDEX(Bases!$P$2:$P$53,C40))</f>
        <v>114.666666666667</v>
      </c>
      <c r="W40" s="2" t="n">
        <f aca="false">Settings!$B$4*MAX(INDEX(Bases!$Q$2:$Q$53,B40),INDEX(Bases!$Q$2:$Q$53,C40))+Settings!$B$5*MIN(INDEX(Bases!$Q$2:$Q$53,B40),INDEX(Bases!$Q$2:$Q$53,C40))</f>
        <v>65.6666666666667</v>
      </c>
      <c r="X40" s="2" t="n">
        <f aca="false">Settings!$B$4*MAX(INDEX(Bases!$R$2:$R$53,B40),INDEX(Bases!$R$2:$R$53,C40))+Settings!$B$5*MIN(INDEX(Bases!$R$2:$R$53,B40),INDEX(Bases!$R$2:$R$53,C40))</f>
        <v>82</v>
      </c>
      <c r="Y40" s="2" t="n">
        <f aca="false">S40*Settings!$B$3/SUM(S40:X40)</f>
        <v>65.4670750382849</v>
      </c>
      <c r="Z40" s="2" t="n">
        <f aca="false">T40*Settings!$B$3/SUM(S40:X40)</f>
        <v>63.9356814701378</v>
      </c>
      <c r="AA40" s="2" t="n">
        <f aca="false">U40*Settings!$B$3/SUM(S40:X40)</f>
        <v>69.2955589586524</v>
      </c>
      <c r="AB40" s="2" t="n">
        <f aca="false">V40*Settings!$B$3/SUM(S40:X40)</f>
        <v>131.699846860643</v>
      </c>
      <c r="AC40" s="2" t="n">
        <f aca="false">W40*Settings!$B$3/SUM(S40:X40)</f>
        <v>75.4211332312404</v>
      </c>
      <c r="AD40" s="2" t="n">
        <f aca="false">X40*Settings!$B$3/SUM(S40:X40)</f>
        <v>94.1807044410414</v>
      </c>
      <c r="AE40" s="2" t="n">
        <f aca="false">INT(Y40)</f>
        <v>65</v>
      </c>
      <c r="AF40" s="2" t="n">
        <f aca="false">INT(Z40)</f>
        <v>63</v>
      </c>
      <c r="AG40" s="2" t="n">
        <f aca="false">INT(AA40)</f>
        <v>69</v>
      </c>
      <c r="AH40" s="2" t="n">
        <f aca="false">INT(AB40)</f>
        <v>131</v>
      </c>
      <c r="AI40" s="2" t="n">
        <f aca="false">INT(AC40)</f>
        <v>75</v>
      </c>
      <c r="AJ40" s="2" t="n">
        <f aca="false">INT(AD40)</f>
        <v>94</v>
      </c>
      <c r="AK40" s="2" t="n">
        <f aca="false">Settings!$B$3-SUM(AE40:AJ40)</f>
        <v>3</v>
      </c>
      <c r="AL40" s="2" t="n">
        <f aca="false">ROUND(Y40-AE40,9)</f>
        <v>0.467075038</v>
      </c>
      <c r="AM40" s="2" t="n">
        <f aca="false">ROUND(Z40-AF40,9)</f>
        <v>0.93568147</v>
      </c>
      <c r="AN40" s="2" t="n">
        <f aca="false">ROUND(AA40-AG40,9)</f>
        <v>0.295558959</v>
      </c>
      <c r="AO40" s="2" t="n">
        <f aca="false">ROUND(AB40-AH40,9)</f>
        <v>0.699846861</v>
      </c>
      <c r="AP40" s="2" t="n">
        <f aca="false">ROUND(AC40-AI40,9)</f>
        <v>0.421133231</v>
      </c>
      <c r="AQ40" s="2" t="n">
        <f aca="false">ROUND(AD40-AJ40,9)</f>
        <v>0.180704441</v>
      </c>
    </row>
    <row r="41" customFormat="false" ht="15" hidden="false" customHeight="false" outlineLevel="0" collapsed="false">
      <c r="A41" s="2" t="n">
        <v>40</v>
      </c>
      <c r="B41" s="6" t="n">
        <v>1</v>
      </c>
      <c r="C41" s="6" t="n">
        <v>41</v>
      </c>
      <c r="D41" s="8" t="str">
        <f aca="false">INDEX(Bases!$B$2:$B$53,B41)</f>
        <v>Porygon</v>
      </c>
      <c r="E41" s="8" t="str">
        <f aca="false">INDEX(Bases!$B$2:$B$53,C41)</f>
        <v>Misdreavus</v>
      </c>
      <c r="F41" s="2" t="str">
        <f aca="false">LEFT(D41,ROUNDUP(LEN(D41)/2,0))&amp;LOWER(MID(E41,ROUNDUP(LEN(E41)/2,0)+1,20))</f>
        <v>Poryeavus</v>
      </c>
      <c r="G41" s="8" t="str">
        <f aca="false">INDEX(Bases!$C$2:$C$53,B41)</f>
        <v>Normal</v>
      </c>
      <c r="H41" s="8" t="str">
        <f aca="false">IF(INDEX(Bases!$C$2:$C$53,C41)=G41,"",INDEX(Bases!$C$2:$C$53,C41))</f>
        <v>Ghost</v>
      </c>
      <c r="I41" s="8" t="str">
        <f aca="false">IF(INDEX(Bases!$E$2:$E$53,B41)="","",INDEX(Bases!$E$2:$E$53,B41))</f>
        <v/>
      </c>
      <c r="J41" s="8" t="str">
        <f aca="false">IF(INDEX(Bases!$E$2:$E$53,C41)="","",INDEX(Bases!$E$2:$E$53,C41))</f>
        <v/>
      </c>
      <c r="K41" s="5"/>
      <c r="L41" s="2" t="n">
        <f aca="false">AE41+IF(SUMPRODUCT(--($AL41:$AQ41&gt;AL41))&lt;$AK41,1,0)</f>
        <v>76</v>
      </c>
      <c r="M41" s="2" t="n">
        <f aca="false">AF41+IF(SUMPRODUCT(--($AL41:$AQ41&gt;AM41))+SUMPRODUCT(--($AL41:AL41=AM41))&lt;$AK41,1,0)</f>
        <v>71</v>
      </c>
      <c r="N41" s="2" t="n">
        <f aca="false">AG41+IF(SUMPRODUCT(--($AL41:$AQ41&gt;AN41))+SUMPRODUCT(--($AL41:AM41=AN41))&lt;$AK41,1,0)</f>
        <v>79</v>
      </c>
      <c r="O41" s="2" t="n">
        <f aca="false">AH41+IF(SUMPRODUCT(--($AL41:$AQ41&gt;AO41))+SUMPRODUCT(--($AL41:AN41=AO41))&lt;$AK41,1,0)</f>
        <v>101</v>
      </c>
      <c r="P41" s="2" t="n">
        <f aca="false">AI41+IF(SUMPRODUCT(--($AL41:$AQ41&gt;AP41))+SUMPRODUCT(--($AL41:AO41=AP41))&lt;$AK41,1,0)</f>
        <v>94</v>
      </c>
      <c r="Q41" s="2" t="n">
        <f aca="false">AJ41+IF(SUMPRODUCT(--($AL41:$AQ41&gt;AQ41))+SUMPRODUCT(--($AL41:AP41=AQ41))&lt;$AK41,1,0)</f>
        <v>79</v>
      </c>
      <c r="R41" s="2" t="n">
        <f aca="false">SUM(L41:Q41)</f>
        <v>500</v>
      </c>
      <c r="S41" s="2" t="n">
        <f aca="false">Settings!$B$4*MAX(INDEX(Bases!$M$2:$M$53,B41),INDEX(Bases!$M$2:$M$53,C41))+Settings!$B$5*MIN(INDEX(Bases!$M$2:$M$53,B41),INDEX(Bases!$M$2:$M$53,C41))</f>
        <v>62.6666666666667</v>
      </c>
      <c r="T41" s="2" t="n">
        <f aca="false">Settings!$B$4*MAX(INDEX(Bases!$N$2:$N$53,B41),INDEX(Bases!$N$2:$N$53,C41))+Settings!$B$5*MIN(INDEX(Bases!$N$2:$N$53,B41),INDEX(Bases!$N$2:$N$53,C41))</f>
        <v>59</v>
      </c>
      <c r="U41" s="2" t="n">
        <f aca="false">Settings!$B$4*MAX(INDEX(Bases!$O$2:$O$53,B41),INDEX(Bases!$O$2:$O$53,C41))+Settings!$B$5*MIN(INDEX(Bases!$O$2:$O$53,B41),INDEX(Bases!$O$2:$O$53,C41))</f>
        <v>65.6666666666667</v>
      </c>
      <c r="V41" s="2" t="n">
        <f aca="false">Settings!$B$4*MAX(INDEX(Bases!$P$2:$P$53,B41),INDEX(Bases!$P$2:$P$53,C41))+Settings!$B$5*MIN(INDEX(Bases!$P$2:$P$53,B41),INDEX(Bases!$P$2:$P$53,C41))</f>
        <v>83.3333333333333</v>
      </c>
      <c r="W41" s="2" t="n">
        <f aca="false">Settings!$B$4*MAX(INDEX(Bases!$Q$2:$Q$53,B41),INDEX(Bases!$Q$2:$Q$53,C41))+Settings!$B$5*MIN(INDEX(Bases!$Q$2:$Q$53,B41),INDEX(Bases!$Q$2:$Q$53,C41))</f>
        <v>77.3333333333333</v>
      </c>
      <c r="X41" s="2" t="n">
        <f aca="false">Settings!$B$4*MAX(INDEX(Bases!$R$2:$R$53,B41),INDEX(Bases!$R$2:$R$53,C41))+Settings!$B$5*MIN(INDEX(Bases!$R$2:$R$53,B41),INDEX(Bases!$R$2:$R$53,C41))</f>
        <v>65.3333333333333</v>
      </c>
      <c r="Y41" s="2" t="n">
        <f aca="false">S41*Settings!$B$3/SUM(S41:X41)</f>
        <v>75.8064516129032</v>
      </c>
      <c r="Z41" s="2" t="n">
        <f aca="false">T41*Settings!$B$3/SUM(S41:X41)</f>
        <v>71.3709677419355</v>
      </c>
      <c r="AA41" s="2" t="n">
        <f aca="false">U41*Settings!$B$3/SUM(S41:X41)</f>
        <v>79.4354838709677</v>
      </c>
      <c r="AB41" s="2" t="n">
        <f aca="false">V41*Settings!$B$3/SUM(S41:X41)</f>
        <v>100.806451612903</v>
      </c>
      <c r="AC41" s="2" t="n">
        <f aca="false">W41*Settings!$B$3/SUM(S41:X41)</f>
        <v>93.5483870967742</v>
      </c>
      <c r="AD41" s="2" t="n">
        <f aca="false">X41*Settings!$B$3/SUM(S41:X41)</f>
        <v>79.0322580645161</v>
      </c>
      <c r="AE41" s="2" t="n">
        <f aca="false">INT(Y41)</f>
        <v>75</v>
      </c>
      <c r="AF41" s="2" t="n">
        <f aca="false">INT(Z41)</f>
        <v>71</v>
      </c>
      <c r="AG41" s="2" t="n">
        <f aca="false">INT(AA41)</f>
        <v>79</v>
      </c>
      <c r="AH41" s="2" t="n">
        <f aca="false">INT(AB41)</f>
        <v>100</v>
      </c>
      <c r="AI41" s="2" t="n">
        <f aca="false">INT(AC41)</f>
        <v>93</v>
      </c>
      <c r="AJ41" s="2" t="n">
        <f aca="false">INT(AD41)</f>
        <v>79</v>
      </c>
      <c r="AK41" s="2" t="n">
        <f aca="false">Settings!$B$3-SUM(AE41:AJ41)</f>
        <v>3</v>
      </c>
      <c r="AL41" s="2" t="n">
        <f aca="false">ROUND(Y41-AE41,9)</f>
        <v>0.806451613</v>
      </c>
      <c r="AM41" s="2" t="n">
        <f aca="false">ROUND(Z41-AF41,9)</f>
        <v>0.370967742</v>
      </c>
      <c r="AN41" s="2" t="n">
        <f aca="false">ROUND(AA41-AG41,9)</f>
        <v>0.435483871</v>
      </c>
      <c r="AO41" s="2" t="n">
        <f aca="false">ROUND(AB41-AH41,9)</f>
        <v>0.806451613</v>
      </c>
      <c r="AP41" s="2" t="n">
        <f aca="false">ROUND(AC41-AI41,9)</f>
        <v>0.548387097</v>
      </c>
      <c r="AQ41" s="2" t="n">
        <f aca="false">ROUND(AD41-AJ41,9)</f>
        <v>0.032258065</v>
      </c>
    </row>
    <row r="42" customFormat="false" ht="15" hidden="false" customHeight="false" outlineLevel="0" collapsed="false">
      <c r="A42" s="2" t="n">
        <v>41</v>
      </c>
      <c r="B42" s="6" t="n">
        <v>1</v>
      </c>
      <c r="C42" s="6" t="n">
        <v>42</v>
      </c>
      <c r="D42" s="8" t="str">
        <f aca="false">INDEX(Bases!$B$2:$B$53,B42)</f>
        <v>Porygon</v>
      </c>
      <c r="E42" s="8" t="str">
        <f aca="false">INDEX(Bases!$B$2:$B$53,C42)</f>
        <v>Sableye</v>
      </c>
      <c r="F42" s="2" t="str">
        <f aca="false">LEFT(D42,ROUNDUP(LEN(D42)/2,0))&amp;LOWER(MID(E42,ROUNDUP(LEN(E42)/2,0)+1,20))</f>
        <v>Poryeye</v>
      </c>
      <c r="G42" s="8" t="str">
        <f aca="false">INDEX(Bases!$C$2:$C$53,B42)</f>
        <v>Normal</v>
      </c>
      <c r="H42" s="8" t="str">
        <f aca="false">IF(INDEX(Bases!$C$2:$C$53,C42)=G42,"",INDEX(Bases!$C$2:$C$53,C42))</f>
        <v>Ghost</v>
      </c>
      <c r="I42" s="8" t="str">
        <f aca="false">IF(INDEX(Bases!$E$2:$E$53,B42)="","",INDEX(Bases!$E$2:$E$53,B42))</f>
        <v/>
      </c>
      <c r="J42" s="8" t="str">
        <f aca="false">IF(INDEX(Bases!$E$2:$E$53,C42)="","",INDEX(Bases!$E$2:$E$53,C42))</f>
        <v/>
      </c>
      <c r="K42" s="5"/>
      <c r="L42" s="2" t="n">
        <f aca="false">AE42+IF(SUMPRODUCT(--($AL42:$AQ42&gt;AL42))&lt;$AK42,1,0)</f>
        <v>75</v>
      </c>
      <c r="M42" s="2" t="n">
        <f aca="false">AF42+IF(SUMPRODUCT(--($AL42:$AQ42&gt;AM42))+SUMPRODUCT(--($AL42:AL42=AM42))&lt;$AK42,1,0)</f>
        <v>88</v>
      </c>
      <c r="N42" s="2" t="n">
        <f aca="false">AG42+IF(SUMPRODUCT(--($AL42:$AQ42&gt;AN42))+SUMPRODUCT(--($AL42:AM42=AN42))&lt;$AK42,1,0)</f>
        <v>92</v>
      </c>
      <c r="O42" s="2" t="n">
        <f aca="false">AH42+IF(SUMPRODUCT(--($AL42:$AQ42&gt;AO42))+SUMPRODUCT(--($AL42:AN42=AO42))&lt;$AK42,1,0)</f>
        <v>97</v>
      </c>
      <c r="P42" s="2" t="n">
        <f aca="false">AI42+IF(SUMPRODUCT(--($AL42:$AQ42&gt;AP42))+SUMPRODUCT(--($AL42:AO42=AP42))&lt;$AK42,1,0)</f>
        <v>89</v>
      </c>
      <c r="Q42" s="2" t="n">
        <f aca="false">AJ42+IF(SUMPRODUCT(--($AL42:$AQ42&gt;AQ42))+SUMPRODUCT(--($AL42:AP42=AQ42))&lt;$AK42,1,0)</f>
        <v>59</v>
      </c>
      <c r="R42" s="2" t="n">
        <f aca="false">SUM(L42:Q42)</f>
        <v>500</v>
      </c>
      <c r="S42" s="2" t="n">
        <f aca="false">Settings!$B$4*MAX(INDEX(Bases!$M$2:$M$53,B42),INDEX(Bases!$M$2:$M$53,C42))+Settings!$B$5*MIN(INDEX(Bases!$M$2:$M$53,B42),INDEX(Bases!$M$2:$M$53,C42))</f>
        <v>61.6666666666667</v>
      </c>
      <c r="T42" s="2" t="n">
        <f aca="false">Settings!$B$4*MAX(INDEX(Bases!$N$2:$N$53,B42),INDEX(Bases!$N$2:$N$53,C42))+Settings!$B$5*MIN(INDEX(Bases!$N$2:$N$53,B42),INDEX(Bases!$N$2:$N$53,C42))</f>
        <v>73</v>
      </c>
      <c r="U42" s="2" t="n">
        <f aca="false">Settings!$B$4*MAX(INDEX(Bases!$O$2:$O$53,B42),INDEX(Bases!$O$2:$O$53,C42))+Settings!$B$5*MIN(INDEX(Bases!$O$2:$O$53,B42),INDEX(Bases!$O$2:$O$53,C42))</f>
        <v>76.3333333333333</v>
      </c>
      <c r="V42" s="2" t="n">
        <f aca="false">Settings!$B$4*MAX(INDEX(Bases!$P$2:$P$53,B42),INDEX(Bases!$P$2:$P$53,C42))+Settings!$B$5*MIN(INDEX(Bases!$P$2:$P$53,B42),INDEX(Bases!$P$2:$P$53,C42))</f>
        <v>80</v>
      </c>
      <c r="W42" s="2" t="n">
        <f aca="false">Settings!$B$4*MAX(INDEX(Bases!$Q$2:$Q$53,B42),INDEX(Bases!$Q$2:$Q$53,C42))+Settings!$B$5*MIN(INDEX(Bases!$Q$2:$Q$53,B42),INDEX(Bases!$Q$2:$Q$53,C42))</f>
        <v>73.3333333333333</v>
      </c>
      <c r="X42" s="2" t="n">
        <f aca="false">Settings!$B$4*MAX(INDEX(Bases!$R$2:$R$53,B42),INDEX(Bases!$R$2:$R$53,C42))+Settings!$B$5*MIN(INDEX(Bases!$R$2:$R$53,B42),INDEX(Bases!$R$2:$R$53,C42))</f>
        <v>48.6666666666667</v>
      </c>
      <c r="Y42" s="2" t="n">
        <f aca="false">S42*Settings!$B$3/SUM(S42:X42)</f>
        <v>74.6569814366425</v>
      </c>
      <c r="Z42" s="2" t="n">
        <f aca="false">T42*Settings!$B$3/SUM(S42:X42)</f>
        <v>88.3777239709443</v>
      </c>
      <c r="AA42" s="2" t="n">
        <f aca="false">U42*Settings!$B$3/SUM(S42:X42)</f>
        <v>92.4132364810331</v>
      </c>
      <c r="AB42" s="2" t="n">
        <f aca="false">V42*Settings!$B$3/SUM(S42:X42)</f>
        <v>96.8523002421308</v>
      </c>
      <c r="AC42" s="2" t="n">
        <f aca="false">W42*Settings!$B$3/SUM(S42:X42)</f>
        <v>88.7812752219532</v>
      </c>
      <c r="AD42" s="2" t="n">
        <f aca="false">X42*Settings!$B$3/SUM(S42:X42)</f>
        <v>58.9184826472962</v>
      </c>
      <c r="AE42" s="2" t="n">
        <f aca="false">INT(Y42)</f>
        <v>74</v>
      </c>
      <c r="AF42" s="2" t="n">
        <f aca="false">INT(Z42)</f>
        <v>88</v>
      </c>
      <c r="AG42" s="2" t="n">
        <f aca="false">INT(AA42)</f>
        <v>92</v>
      </c>
      <c r="AH42" s="2" t="n">
        <f aca="false">INT(AB42)</f>
        <v>96</v>
      </c>
      <c r="AI42" s="2" t="n">
        <f aca="false">INT(AC42)</f>
        <v>88</v>
      </c>
      <c r="AJ42" s="2" t="n">
        <f aca="false">INT(AD42)</f>
        <v>58</v>
      </c>
      <c r="AK42" s="2" t="n">
        <f aca="false">Settings!$B$3-SUM(AE42:AJ42)</f>
        <v>4</v>
      </c>
      <c r="AL42" s="2" t="n">
        <f aca="false">ROUND(Y42-AE42,9)</f>
        <v>0.656981437</v>
      </c>
      <c r="AM42" s="2" t="n">
        <f aca="false">ROUND(Z42-AF42,9)</f>
        <v>0.377723971</v>
      </c>
      <c r="AN42" s="2" t="n">
        <f aca="false">ROUND(AA42-AG42,9)</f>
        <v>0.413236481</v>
      </c>
      <c r="AO42" s="2" t="n">
        <f aca="false">ROUND(AB42-AH42,9)</f>
        <v>0.852300242</v>
      </c>
      <c r="AP42" s="2" t="n">
        <f aca="false">ROUND(AC42-AI42,9)</f>
        <v>0.781275222</v>
      </c>
      <c r="AQ42" s="2" t="n">
        <f aca="false">ROUND(AD42-AJ42,9)</f>
        <v>0.918482647</v>
      </c>
    </row>
    <row r="43" customFormat="false" ht="15" hidden="false" customHeight="false" outlineLevel="0" collapsed="false">
      <c r="A43" s="2" t="n">
        <v>42</v>
      </c>
      <c r="B43" s="6" t="n">
        <v>1</v>
      </c>
      <c r="C43" s="6" t="n">
        <v>43</v>
      </c>
      <c r="D43" s="8" t="str">
        <f aca="false">INDEX(Bases!$B$2:$B$53,B43)</f>
        <v>Porygon</v>
      </c>
      <c r="E43" s="8" t="str">
        <f aca="false">INDEX(Bases!$B$2:$B$53,C43)</f>
        <v>Dratini</v>
      </c>
      <c r="F43" s="2" t="str">
        <f aca="false">LEFT(D43,ROUNDUP(LEN(D43)/2,0))&amp;LOWER(MID(E43,ROUNDUP(LEN(E43)/2,0)+1,20))</f>
        <v>Poryini</v>
      </c>
      <c r="G43" s="8" t="str">
        <f aca="false">INDEX(Bases!$C$2:$C$53,B43)</f>
        <v>Normal</v>
      </c>
      <c r="H43" s="8" t="str">
        <f aca="false">IF(INDEX(Bases!$C$2:$C$53,C43)=G43,"",INDEX(Bases!$C$2:$C$53,C43))</f>
        <v>Dragon</v>
      </c>
      <c r="I43" s="8" t="str">
        <f aca="false">IF(INDEX(Bases!$E$2:$E$53,B43)="","",INDEX(Bases!$E$2:$E$53,B43))</f>
        <v/>
      </c>
      <c r="J43" s="8" t="str">
        <f aca="false">IF(INDEX(Bases!$E$2:$E$53,C43)="","",INDEX(Bases!$E$2:$E$53,C43))</f>
        <v/>
      </c>
      <c r="K43" s="5"/>
      <c r="L43" s="2" t="n">
        <f aca="false">AE43+IF(SUMPRODUCT(--($AL43:$AQ43&gt;AL43))&lt;$AK43,1,0)</f>
        <v>75</v>
      </c>
      <c r="M43" s="2" t="n">
        <f aca="false">AF43+IF(SUMPRODUCT(--($AL43:$AQ43&gt;AM43))+SUMPRODUCT(--($AL43:AL43=AM43))&lt;$AK43,1,0)</f>
        <v>92</v>
      </c>
      <c r="N43" s="2" t="n">
        <f aca="false">AG43+IF(SUMPRODUCT(--($AL43:$AQ43&gt;AN43))+SUMPRODUCT(--($AL43:AM43=AN43))&lt;$AK43,1,0)</f>
        <v>81</v>
      </c>
      <c r="O43" s="2" t="n">
        <f aca="false">AH43+IF(SUMPRODUCT(--($AL43:$AQ43&gt;AO43))+SUMPRODUCT(--($AL43:AN43=AO43))&lt;$AK43,1,0)</f>
        <v>96</v>
      </c>
      <c r="P43" s="2" t="n">
        <f aca="false">AI43+IF(SUMPRODUCT(--($AL43:$AQ43&gt;AP43))+SUMPRODUCT(--($AL43:AO43=AP43))&lt;$AK43,1,0)</f>
        <v>87</v>
      </c>
      <c r="Q43" s="2" t="n">
        <f aca="false">AJ43+IF(SUMPRODUCT(--($AL43:$AQ43&gt;AQ43))+SUMPRODUCT(--($AL43:AP43=AQ43))&lt;$AK43,1,0)</f>
        <v>69</v>
      </c>
      <c r="R43" s="2" t="n">
        <f aca="false">SUM(L43:Q43)</f>
        <v>500</v>
      </c>
      <c r="S43" s="2" t="n">
        <f aca="false">Settings!$B$4*MAX(INDEX(Bases!$M$2:$M$53,B43),INDEX(Bases!$M$2:$M$53,C43))+Settings!$B$5*MIN(INDEX(Bases!$M$2:$M$53,B43),INDEX(Bases!$M$2:$M$53,C43))</f>
        <v>62.3333333333333</v>
      </c>
      <c r="T43" s="2" t="n">
        <f aca="false">Settings!$B$4*MAX(INDEX(Bases!$N$2:$N$53,B43),INDEX(Bases!$N$2:$N$53,C43))+Settings!$B$5*MIN(INDEX(Bases!$N$2:$N$53,B43),INDEX(Bases!$N$2:$N$53,C43))</f>
        <v>77</v>
      </c>
      <c r="U43" s="2" t="n">
        <f aca="false">Settings!$B$4*MAX(INDEX(Bases!$O$2:$O$53,B43),INDEX(Bases!$O$2:$O$53,C43))+Settings!$B$5*MIN(INDEX(Bases!$O$2:$O$53,B43),INDEX(Bases!$O$2:$O$53,C43))</f>
        <v>67.3333333333333</v>
      </c>
      <c r="V43" s="2" t="n">
        <f aca="false">Settings!$B$4*MAX(INDEX(Bases!$P$2:$P$53,B43),INDEX(Bases!$P$2:$P$53,C43))+Settings!$B$5*MIN(INDEX(Bases!$P$2:$P$53,B43),INDEX(Bases!$P$2:$P$53,C43))</f>
        <v>79.6666666666667</v>
      </c>
      <c r="W43" s="2" t="n">
        <f aca="false">Settings!$B$4*MAX(INDEX(Bases!$Q$2:$Q$53,B43),INDEX(Bases!$Q$2:$Q$53,C43))+Settings!$B$5*MIN(INDEX(Bases!$Q$2:$Q$53,B43),INDEX(Bases!$Q$2:$Q$53,C43))</f>
        <v>73</v>
      </c>
      <c r="X43" s="2" t="n">
        <f aca="false">Settings!$B$4*MAX(INDEX(Bases!$R$2:$R$53,B43),INDEX(Bases!$R$2:$R$53,C43))+Settings!$B$5*MIN(INDEX(Bases!$R$2:$R$53,B43),INDEX(Bases!$R$2:$R$53,C43))</f>
        <v>57.3333333333333</v>
      </c>
      <c r="Y43" s="2" t="n">
        <f aca="false">S43*Settings!$B$3/SUM(S43:X43)</f>
        <v>74.8</v>
      </c>
      <c r="Z43" s="2" t="n">
        <f aca="false">T43*Settings!$B$3/SUM(S43:X43)</f>
        <v>92.4</v>
      </c>
      <c r="AA43" s="2" t="n">
        <f aca="false">U43*Settings!$B$3/SUM(S43:X43)</f>
        <v>80.8</v>
      </c>
      <c r="AB43" s="2" t="n">
        <f aca="false">V43*Settings!$B$3/SUM(S43:X43)</f>
        <v>95.6</v>
      </c>
      <c r="AC43" s="2" t="n">
        <f aca="false">W43*Settings!$B$3/SUM(S43:X43)</f>
        <v>87.6</v>
      </c>
      <c r="AD43" s="2" t="n">
        <f aca="false">X43*Settings!$B$3/SUM(S43:X43)</f>
        <v>68.8</v>
      </c>
      <c r="AE43" s="2" t="n">
        <f aca="false">INT(Y43)</f>
        <v>74</v>
      </c>
      <c r="AF43" s="2" t="n">
        <f aca="false">INT(Z43)</f>
        <v>92</v>
      </c>
      <c r="AG43" s="2" t="n">
        <f aca="false">INT(AA43)</f>
        <v>80</v>
      </c>
      <c r="AH43" s="2" t="n">
        <f aca="false">INT(AB43)</f>
        <v>95</v>
      </c>
      <c r="AI43" s="2" t="n">
        <f aca="false">INT(AC43)</f>
        <v>87</v>
      </c>
      <c r="AJ43" s="2" t="n">
        <f aca="false">INT(AD43)</f>
        <v>68</v>
      </c>
      <c r="AK43" s="2" t="n">
        <f aca="false">Settings!$B$3-SUM(AE43:AJ43)</f>
        <v>4</v>
      </c>
      <c r="AL43" s="2" t="n">
        <f aca="false">ROUND(Y43-AE43,9)</f>
        <v>0.8</v>
      </c>
      <c r="AM43" s="2" t="n">
        <f aca="false">ROUND(Z43-AF43,9)</f>
        <v>0.4</v>
      </c>
      <c r="AN43" s="2" t="n">
        <f aca="false">ROUND(AA43-AG43,9)</f>
        <v>0.8</v>
      </c>
      <c r="AO43" s="2" t="n">
        <f aca="false">ROUND(AB43-AH43,9)</f>
        <v>0.6</v>
      </c>
      <c r="AP43" s="2" t="n">
        <f aca="false">ROUND(AC43-AI43,9)</f>
        <v>0.6</v>
      </c>
      <c r="AQ43" s="2" t="n">
        <f aca="false">ROUND(AD43-AJ43,9)</f>
        <v>0.8</v>
      </c>
    </row>
    <row r="44" customFormat="false" ht="15" hidden="false" customHeight="false" outlineLevel="0" collapsed="false">
      <c r="A44" s="2" t="n">
        <v>43</v>
      </c>
      <c r="B44" s="6" t="n">
        <v>1</v>
      </c>
      <c r="C44" s="6" t="n">
        <v>44</v>
      </c>
      <c r="D44" s="8" t="str">
        <f aca="false">INDEX(Bases!$B$2:$B$53,B44)</f>
        <v>Porygon</v>
      </c>
      <c r="E44" s="8" t="str">
        <f aca="false">INDEX(Bases!$B$2:$B$53,C44)</f>
        <v>Bagon</v>
      </c>
      <c r="F44" s="2" t="str">
        <f aca="false">LEFT(D44,ROUNDUP(LEN(D44)/2,0))&amp;LOWER(MID(E44,ROUNDUP(LEN(E44)/2,0)+1,20))</f>
        <v>Poryon</v>
      </c>
      <c r="G44" s="8" t="str">
        <f aca="false">INDEX(Bases!$C$2:$C$53,B44)</f>
        <v>Normal</v>
      </c>
      <c r="H44" s="8" t="str">
        <f aca="false">IF(INDEX(Bases!$C$2:$C$53,C44)=G44,"",INDEX(Bases!$C$2:$C$53,C44))</f>
        <v>Dragon</v>
      </c>
      <c r="I44" s="8" t="str">
        <f aca="false">IF(INDEX(Bases!$E$2:$E$53,B44)="","",INDEX(Bases!$E$2:$E$53,B44))</f>
        <v/>
      </c>
      <c r="J44" s="8" t="str">
        <f aca="false">IF(INDEX(Bases!$E$2:$E$53,C44)="","",INDEX(Bases!$E$2:$E$53,C44))</f>
        <v/>
      </c>
      <c r="K44" s="5"/>
      <c r="L44" s="2" t="n">
        <f aca="false">AE44+IF(SUMPRODUCT(--($AL44:$AQ44&gt;AL44))&lt;$AK44,1,0)</f>
        <v>75</v>
      </c>
      <c r="M44" s="2" t="n">
        <f aca="false">AF44+IF(SUMPRODUCT(--($AL44:$AQ44&gt;AM44))+SUMPRODUCT(--($AL44:AL44=AM44))&lt;$AK44,1,0)</f>
        <v>103</v>
      </c>
      <c r="N44" s="2" t="n">
        <f aca="false">AG44+IF(SUMPRODUCT(--($AL44:$AQ44&gt;AN44))+SUMPRODUCT(--($AL44:AM44=AN44))&lt;$AK44,1,0)</f>
        <v>91</v>
      </c>
      <c r="O44" s="2" t="n">
        <f aca="false">AH44+IF(SUMPRODUCT(--($AL44:$AQ44&gt;AO44))+SUMPRODUCT(--($AL44:AN44=AO44))&lt;$AK44,1,0)</f>
        <v>88</v>
      </c>
      <c r="P44" s="2" t="n">
        <f aca="false">AI44+IF(SUMPRODUCT(--($AL44:$AQ44&gt;AP44))+SUMPRODUCT(--($AL44:AO44=AP44))&lt;$AK44,1,0)</f>
        <v>75</v>
      </c>
      <c r="Q44" s="2" t="n">
        <f aca="false">AJ44+IF(SUMPRODUCT(--($AL44:$AQ44&gt;AQ44))+SUMPRODUCT(--($AL44:AP44=AQ44))&lt;$AK44,1,0)</f>
        <v>68</v>
      </c>
      <c r="R44" s="2" t="n">
        <f aca="false">SUM(L44:Q44)</f>
        <v>500</v>
      </c>
      <c r="S44" s="2" t="n">
        <f aca="false">Settings!$B$4*MAX(INDEX(Bases!$M$2:$M$53,B44),INDEX(Bases!$M$2:$M$53,C44))+Settings!$B$5*MIN(INDEX(Bases!$M$2:$M$53,B44),INDEX(Bases!$M$2:$M$53,C44))</f>
        <v>64</v>
      </c>
      <c r="T44" s="2" t="n">
        <f aca="false">Settings!$B$4*MAX(INDEX(Bases!$N$2:$N$53,B44),INDEX(Bases!$N$2:$N$53,C44))+Settings!$B$5*MIN(INDEX(Bases!$N$2:$N$53,B44),INDEX(Bases!$N$2:$N$53,C44))</f>
        <v>87</v>
      </c>
      <c r="U44" s="2" t="n">
        <f aca="false">Settings!$B$4*MAX(INDEX(Bases!$O$2:$O$53,B44),INDEX(Bases!$O$2:$O$53,C44))+Settings!$B$5*MIN(INDEX(Bases!$O$2:$O$53,B44),INDEX(Bases!$O$2:$O$53,C44))</f>
        <v>77</v>
      </c>
      <c r="V44" s="2" t="n">
        <f aca="false">Settings!$B$4*MAX(INDEX(Bases!$P$2:$P$53,B44),INDEX(Bases!$P$2:$P$53,C44))+Settings!$B$5*MIN(INDEX(Bases!$P$2:$P$53,B44),INDEX(Bases!$P$2:$P$53,C44))</f>
        <v>75</v>
      </c>
      <c r="W44" s="2" t="n">
        <f aca="false">Settings!$B$4*MAX(INDEX(Bases!$Q$2:$Q$53,B44),INDEX(Bases!$Q$2:$Q$53,C44))+Settings!$B$5*MIN(INDEX(Bases!$Q$2:$Q$53,B44),INDEX(Bases!$Q$2:$Q$53,C44))</f>
        <v>64</v>
      </c>
      <c r="X44" s="2" t="n">
        <f aca="false">Settings!$B$4*MAX(INDEX(Bases!$R$2:$R$53,B44),INDEX(Bases!$R$2:$R$53,C44))+Settings!$B$5*MIN(INDEX(Bases!$R$2:$R$53,B44),INDEX(Bases!$R$2:$R$53,C44))</f>
        <v>58</v>
      </c>
      <c r="Y44" s="2" t="n">
        <f aca="false">S44*Settings!$B$3/SUM(S44:X44)</f>
        <v>75.2941176470588</v>
      </c>
      <c r="Z44" s="2" t="n">
        <f aca="false">T44*Settings!$B$3/SUM(S44:X44)</f>
        <v>102.352941176471</v>
      </c>
      <c r="AA44" s="2" t="n">
        <f aca="false">U44*Settings!$B$3/SUM(S44:X44)</f>
        <v>90.5882352941177</v>
      </c>
      <c r="AB44" s="2" t="n">
        <f aca="false">V44*Settings!$B$3/SUM(S44:X44)</f>
        <v>88.2352941176471</v>
      </c>
      <c r="AC44" s="2" t="n">
        <f aca="false">W44*Settings!$B$3/SUM(S44:X44)</f>
        <v>75.2941176470588</v>
      </c>
      <c r="AD44" s="2" t="n">
        <f aca="false">X44*Settings!$B$3/SUM(S44:X44)</f>
        <v>68.2352941176471</v>
      </c>
      <c r="AE44" s="2" t="n">
        <f aca="false">INT(Y44)</f>
        <v>75</v>
      </c>
      <c r="AF44" s="2" t="n">
        <f aca="false">INT(Z44)</f>
        <v>102</v>
      </c>
      <c r="AG44" s="2" t="n">
        <f aca="false">INT(AA44)</f>
        <v>90</v>
      </c>
      <c r="AH44" s="2" t="n">
        <f aca="false">INT(AB44)</f>
        <v>88</v>
      </c>
      <c r="AI44" s="2" t="n">
        <f aca="false">INT(AC44)</f>
        <v>75</v>
      </c>
      <c r="AJ44" s="2" t="n">
        <f aca="false">INT(AD44)</f>
        <v>68</v>
      </c>
      <c r="AK44" s="2" t="n">
        <f aca="false">Settings!$B$3-SUM(AE44:AJ44)</f>
        <v>2</v>
      </c>
      <c r="AL44" s="2" t="n">
        <f aca="false">ROUND(Y44-AE44,9)</f>
        <v>0.294117647</v>
      </c>
      <c r="AM44" s="2" t="n">
        <f aca="false">ROUND(Z44-AF44,9)</f>
        <v>0.352941176</v>
      </c>
      <c r="AN44" s="2" t="n">
        <f aca="false">ROUND(AA44-AG44,9)</f>
        <v>0.588235294</v>
      </c>
      <c r="AO44" s="2" t="n">
        <f aca="false">ROUND(AB44-AH44,9)</f>
        <v>0.235294118</v>
      </c>
      <c r="AP44" s="2" t="n">
        <f aca="false">ROUND(AC44-AI44,9)</f>
        <v>0.294117647</v>
      </c>
      <c r="AQ44" s="2" t="n">
        <f aca="false">ROUND(AD44-AJ44,9)</f>
        <v>0.235294118</v>
      </c>
    </row>
    <row r="45" customFormat="false" ht="15" hidden="false" customHeight="false" outlineLevel="0" collapsed="false">
      <c r="A45" s="2" t="n">
        <v>44</v>
      </c>
      <c r="B45" s="6" t="n">
        <v>1</v>
      </c>
      <c r="C45" s="6" t="n">
        <v>45</v>
      </c>
      <c r="D45" s="8" t="str">
        <f aca="false">INDEX(Bases!$B$2:$B$53,B45)</f>
        <v>Porygon</v>
      </c>
      <c r="E45" s="8" t="str">
        <f aca="false">INDEX(Bases!$B$2:$B$53,C45)</f>
        <v>Sneasel</v>
      </c>
      <c r="F45" s="2" t="str">
        <f aca="false">LEFT(D45,ROUNDUP(LEN(D45)/2,0))&amp;LOWER(MID(E45,ROUNDUP(LEN(E45)/2,0)+1,20))</f>
        <v>Porysel</v>
      </c>
      <c r="G45" s="8" t="str">
        <f aca="false">INDEX(Bases!$C$2:$C$53,B45)</f>
        <v>Normal</v>
      </c>
      <c r="H45" s="8" t="str">
        <f aca="false">IF(INDEX(Bases!$C$2:$C$53,C45)=G45,"",INDEX(Bases!$C$2:$C$53,C45))</f>
        <v>Dark</v>
      </c>
      <c r="I45" s="8" t="str">
        <f aca="false">IF(INDEX(Bases!$E$2:$E$53,B45)="","",INDEX(Bases!$E$2:$E$53,B45))</f>
        <v/>
      </c>
      <c r="J45" s="8" t="str">
        <f aca="false">IF(INDEX(Bases!$E$2:$E$53,C45)="","",INDEX(Bases!$E$2:$E$53,C45))</f>
        <v/>
      </c>
      <c r="K45" s="5"/>
      <c r="L45" s="2" t="n">
        <f aca="false">AE45+IF(SUMPRODUCT(--($AL45:$AQ45&gt;AL45))&lt;$AK45,1,0)</f>
        <v>71</v>
      </c>
      <c r="M45" s="2" t="n">
        <f aca="false">AF45+IF(SUMPRODUCT(--($AL45:$AQ45&gt;AM45))+SUMPRODUCT(--($AL45:AL45=AM45))&lt;$AK45,1,0)</f>
        <v>92</v>
      </c>
      <c r="N45" s="2" t="n">
        <f aca="false">AG45+IF(SUMPRODUCT(--($AL45:$AQ45&gt;AN45))+SUMPRODUCT(--($AL45:AM45=AN45))&lt;$AK45,1,0)</f>
        <v>74</v>
      </c>
      <c r="O45" s="2" t="n">
        <f aca="false">AH45+IF(SUMPRODUCT(--($AL45:$AQ45&gt;AO45))+SUMPRODUCT(--($AL45:AN45=AO45))&lt;$AK45,1,0)</f>
        <v>79</v>
      </c>
      <c r="P45" s="2" t="n">
        <f aca="false">AI45+IF(SUMPRODUCT(--($AL45:$AQ45&gt;AP45))+SUMPRODUCT(--($AL45:AO45=AP45))&lt;$AK45,1,0)</f>
        <v>86</v>
      </c>
      <c r="Q45" s="2" t="n">
        <f aca="false">AJ45+IF(SUMPRODUCT(--($AL45:$AQ45&gt;AQ45))+SUMPRODUCT(--($AL45:AP45=AQ45))&lt;$AK45,1,0)</f>
        <v>98</v>
      </c>
      <c r="R45" s="2" t="n">
        <f aca="false">SUM(L45:Q45)</f>
        <v>500</v>
      </c>
      <c r="S45" s="2" t="n">
        <f aca="false">Settings!$B$4*MAX(INDEX(Bases!$M$2:$M$53,B45),INDEX(Bases!$M$2:$M$53,C45))+Settings!$B$5*MIN(INDEX(Bases!$M$2:$M$53,B45),INDEX(Bases!$M$2:$M$53,C45))</f>
        <v>61</v>
      </c>
      <c r="T45" s="2" t="n">
        <f aca="false">Settings!$B$4*MAX(INDEX(Bases!$N$2:$N$53,B45),INDEX(Bases!$N$2:$N$53,C45))+Settings!$B$5*MIN(INDEX(Bases!$N$2:$N$53,B45),INDEX(Bases!$N$2:$N$53,C45))</f>
        <v>79</v>
      </c>
      <c r="U45" s="2" t="n">
        <f aca="false">Settings!$B$4*MAX(INDEX(Bases!$O$2:$O$53,B45),INDEX(Bases!$O$2:$O$53,C45))+Settings!$B$5*MIN(INDEX(Bases!$O$2:$O$53,B45),INDEX(Bases!$O$2:$O$53,C45))</f>
        <v>64.3333333333333</v>
      </c>
      <c r="V45" s="2" t="n">
        <f aca="false">Settings!$B$4*MAX(INDEX(Bases!$P$2:$P$53,B45),INDEX(Bases!$P$2:$P$53,C45))+Settings!$B$5*MIN(INDEX(Bases!$P$2:$P$53,B45),INDEX(Bases!$P$2:$P$53,C45))</f>
        <v>68.3333333333333</v>
      </c>
      <c r="W45" s="2" t="n">
        <f aca="false">Settings!$B$4*MAX(INDEX(Bases!$Q$2:$Q$53,B45),INDEX(Bases!$Q$2:$Q$53,C45))+Settings!$B$5*MIN(INDEX(Bases!$Q$2:$Q$53,B45),INDEX(Bases!$Q$2:$Q$53,C45))</f>
        <v>74</v>
      </c>
      <c r="X45" s="2" t="n">
        <f aca="false">Settings!$B$4*MAX(INDEX(Bases!$R$2:$R$53,B45),INDEX(Bases!$R$2:$R$53,C45))+Settings!$B$5*MIN(INDEX(Bases!$R$2:$R$53,B45),INDEX(Bases!$R$2:$R$53,C45))</f>
        <v>84.6666666666667</v>
      </c>
      <c r="Y45" s="2" t="n">
        <f aca="false">S45*Settings!$B$3/SUM(S45:X45)</f>
        <v>70.7109737248841</v>
      </c>
      <c r="Z45" s="2" t="n">
        <f aca="false">T45*Settings!$B$3/SUM(S45:X45)</f>
        <v>91.5765069551778</v>
      </c>
      <c r="AA45" s="2" t="n">
        <f aca="false">U45*Settings!$B$3/SUM(S45:X45)</f>
        <v>74.5749613601237</v>
      </c>
      <c r="AB45" s="2" t="n">
        <f aca="false">V45*Settings!$B$3/SUM(S45:X45)</f>
        <v>79.2117465224111</v>
      </c>
      <c r="AC45" s="2" t="n">
        <f aca="false">W45*Settings!$B$3/SUM(S45:X45)</f>
        <v>85.7805255023184</v>
      </c>
      <c r="AD45" s="2" t="n">
        <f aca="false">X45*Settings!$B$3/SUM(S45:X45)</f>
        <v>98.145285935085</v>
      </c>
      <c r="AE45" s="2" t="n">
        <f aca="false">INT(Y45)</f>
        <v>70</v>
      </c>
      <c r="AF45" s="2" t="n">
        <f aca="false">INT(Z45)</f>
        <v>91</v>
      </c>
      <c r="AG45" s="2" t="n">
        <f aca="false">INT(AA45)</f>
        <v>74</v>
      </c>
      <c r="AH45" s="2" t="n">
        <f aca="false">INT(AB45)</f>
        <v>79</v>
      </c>
      <c r="AI45" s="2" t="n">
        <f aca="false">INT(AC45)</f>
        <v>85</v>
      </c>
      <c r="AJ45" s="2" t="n">
        <f aca="false">INT(AD45)</f>
        <v>98</v>
      </c>
      <c r="AK45" s="2" t="n">
        <f aca="false">Settings!$B$3-SUM(AE45:AJ45)</f>
        <v>3</v>
      </c>
      <c r="AL45" s="2" t="n">
        <f aca="false">ROUND(Y45-AE45,9)</f>
        <v>0.710973725</v>
      </c>
      <c r="AM45" s="2" t="n">
        <f aca="false">ROUND(Z45-AF45,9)</f>
        <v>0.576506955</v>
      </c>
      <c r="AN45" s="2" t="n">
        <f aca="false">ROUND(AA45-AG45,9)</f>
        <v>0.57496136</v>
      </c>
      <c r="AO45" s="2" t="n">
        <f aca="false">ROUND(AB45-AH45,9)</f>
        <v>0.211746522</v>
      </c>
      <c r="AP45" s="2" t="n">
        <f aca="false">ROUND(AC45-AI45,9)</f>
        <v>0.780525502</v>
      </c>
      <c r="AQ45" s="2" t="n">
        <f aca="false">ROUND(AD45-AJ45,9)</f>
        <v>0.145285935</v>
      </c>
    </row>
    <row r="46" customFormat="false" ht="15" hidden="false" customHeight="false" outlineLevel="0" collapsed="false">
      <c r="A46" s="2" t="n">
        <v>45</v>
      </c>
      <c r="B46" s="6" t="n">
        <v>1</v>
      </c>
      <c r="C46" s="6" t="n">
        <v>46</v>
      </c>
      <c r="D46" s="8" t="str">
        <f aca="false">INDEX(Bases!$B$2:$B$53,B46)</f>
        <v>Porygon</v>
      </c>
      <c r="E46" s="8" t="str">
        <f aca="false">INDEX(Bases!$B$2:$B$53,C46)</f>
        <v>Houndour</v>
      </c>
      <c r="F46" s="2" t="str">
        <f aca="false">LEFT(D46,ROUNDUP(LEN(D46)/2,0))&amp;LOWER(MID(E46,ROUNDUP(LEN(E46)/2,0)+1,20))</f>
        <v>Porydour</v>
      </c>
      <c r="G46" s="8" t="str">
        <f aca="false">INDEX(Bases!$C$2:$C$53,B46)</f>
        <v>Normal</v>
      </c>
      <c r="H46" s="8" t="str">
        <f aca="false">IF(INDEX(Bases!$C$2:$C$53,C46)=G46,"",INDEX(Bases!$C$2:$C$53,C46))</f>
        <v>Dark</v>
      </c>
      <c r="I46" s="8" t="str">
        <f aca="false">IF(INDEX(Bases!$E$2:$E$53,B46)="","",INDEX(Bases!$E$2:$E$53,B46))</f>
        <v/>
      </c>
      <c r="J46" s="8" t="str">
        <f aca="false">IF(INDEX(Bases!$E$2:$E$53,C46)="","",INDEX(Bases!$E$2:$E$53,C46))</f>
        <v/>
      </c>
      <c r="K46" s="5"/>
      <c r="L46" s="2" t="n">
        <f aca="false">AE46+IF(SUMPRODUCT(--($AL46:$AQ46&gt;AL46))&lt;$AK46,1,0)</f>
        <v>74</v>
      </c>
      <c r="M46" s="2" t="n">
        <f aca="false">AF46+IF(SUMPRODUCT(--($AL46:$AQ46&gt;AM46))+SUMPRODUCT(--($AL46:AL46=AM46))&lt;$AK46,1,0)</f>
        <v>82</v>
      </c>
      <c r="N46" s="2" t="n">
        <f aca="false">AG46+IF(SUMPRODUCT(--($AL46:$AQ46&gt;AN46))+SUMPRODUCT(--($AL46:AM46=AN46))&lt;$AK46,1,0)</f>
        <v>71</v>
      </c>
      <c r="O46" s="2" t="n">
        <f aca="false">AH46+IF(SUMPRODUCT(--($AL46:$AQ46&gt;AO46))+SUMPRODUCT(--($AL46:AN46=AO46))&lt;$AK46,1,0)</f>
        <v>111</v>
      </c>
      <c r="P46" s="2" t="n">
        <f aca="false">AI46+IF(SUMPRODUCT(--($AL46:$AQ46&gt;AP46))+SUMPRODUCT(--($AL46:AO46=AP46))&lt;$AK46,1,0)</f>
        <v>84</v>
      </c>
      <c r="Q46" s="2" t="n">
        <f aca="false">AJ46+IF(SUMPRODUCT(--($AL46:$AQ46&gt;AQ46))+SUMPRODUCT(--($AL46:AP46=AQ46))&lt;$AK46,1,0)</f>
        <v>78</v>
      </c>
      <c r="R46" s="2" t="n">
        <f aca="false">SUM(L46:Q46)</f>
        <v>500</v>
      </c>
      <c r="S46" s="2" t="n">
        <f aca="false">Settings!$B$4*MAX(INDEX(Bases!$M$2:$M$53,B46),INDEX(Bases!$M$2:$M$53,C46))+Settings!$B$5*MIN(INDEX(Bases!$M$2:$M$53,B46),INDEX(Bases!$M$2:$M$53,C46))</f>
        <v>62</v>
      </c>
      <c r="T46" s="2" t="n">
        <f aca="false">Settings!$B$4*MAX(INDEX(Bases!$N$2:$N$53,B46),INDEX(Bases!$N$2:$N$53,C46))+Settings!$B$5*MIN(INDEX(Bases!$N$2:$N$53,B46),INDEX(Bases!$N$2:$N$53,C46))</f>
        <v>69</v>
      </c>
      <c r="U46" s="2" t="n">
        <f aca="false">Settings!$B$4*MAX(INDEX(Bases!$O$2:$O$53,B46),INDEX(Bases!$O$2:$O$53,C46))+Settings!$B$5*MIN(INDEX(Bases!$O$2:$O$53,B46),INDEX(Bases!$O$2:$O$53,C46))</f>
        <v>59.3333333333333</v>
      </c>
      <c r="V46" s="2" t="n">
        <f aca="false">Settings!$B$4*MAX(INDEX(Bases!$P$2:$P$53,B46),INDEX(Bases!$P$2:$P$53,C46))+Settings!$B$5*MIN(INDEX(Bases!$P$2:$P$53,B46),INDEX(Bases!$P$2:$P$53,C46))</f>
        <v>93.3333333333333</v>
      </c>
      <c r="W46" s="2" t="n">
        <f aca="false">Settings!$B$4*MAX(INDEX(Bases!$Q$2:$Q$53,B46),INDEX(Bases!$Q$2:$Q$53,C46))+Settings!$B$5*MIN(INDEX(Bases!$Q$2:$Q$53,B46),INDEX(Bases!$Q$2:$Q$53,C46))</f>
        <v>71</v>
      </c>
      <c r="X46" s="2" t="n">
        <f aca="false">Settings!$B$4*MAX(INDEX(Bases!$R$2:$R$53,B46),INDEX(Bases!$R$2:$R$53,C46))+Settings!$B$5*MIN(INDEX(Bases!$R$2:$R$53,B46),INDEX(Bases!$R$2:$R$53,C46))</f>
        <v>66</v>
      </c>
      <c r="Y46" s="2" t="n">
        <f aca="false">S46*Settings!$B$3/SUM(S46:X46)</f>
        <v>73.6925515055468</v>
      </c>
      <c r="Z46" s="2" t="n">
        <f aca="false">T46*Settings!$B$3/SUM(S46:X46)</f>
        <v>82.0126782884311</v>
      </c>
      <c r="AA46" s="2" t="n">
        <f aca="false">U46*Settings!$B$3/SUM(S46:X46)</f>
        <v>70.5229793977813</v>
      </c>
      <c r="AB46" s="2" t="n">
        <f aca="false">V46*Settings!$B$3/SUM(S46:X46)</f>
        <v>110.935023771791</v>
      </c>
      <c r="AC46" s="2" t="n">
        <f aca="false">W46*Settings!$B$3/SUM(S46:X46)</f>
        <v>84.3898573692552</v>
      </c>
      <c r="AD46" s="2" t="n">
        <f aca="false">X46*Settings!$B$3/SUM(S46:X46)</f>
        <v>78.4469096671949</v>
      </c>
      <c r="AE46" s="2" t="n">
        <f aca="false">INT(Y46)</f>
        <v>73</v>
      </c>
      <c r="AF46" s="2" t="n">
        <f aca="false">INT(Z46)</f>
        <v>82</v>
      </c>
      <c r="AG46" s="2" t="n">
        <f aca="false">INT(AA46)</f>
        <v>70</v>
      </c>
      <c r="AH46" s="2" t="n">
        <f aca="false">INT(AB46)</f>
        <v>110</v>
      </c>
      <c r="AI46" s="2" t="n">
        <f aca="false">INT(AC46)</f>
        <v>84</v>
      </c>
      <c r="AJ46" s="2" t="n">
        <f aca="false">INT(AD46)</f>
        <v>78</v>
      </c>
      <c r="AK46" s="2" t="n">
        <f aca="false">Settings!$B$3-SUM(AE46:AJ46)</f>
        <v>3</v>
      </c>
      <c r="AL46" s="2" t="n">
        <f aca="false">ROUND(Y46-AE46,9)</f>
        <v>0.692551506</v>
      </c>
      <c r="AM46" s="2" t="n">
        <f aca="false">ROUND(Z46-AF46,9)</f>
        <v>0.012678288</v>
      </c>
      <c r="AN46" s="2" t="n">
        <f aca="false">ROUND(AA46-AG46,9)</f>
        <v>0.522979398</v>
      </c>
      <c r="AO46" s="2" t="n">
        <f aca="false">ROUND(AB46-AH46,9)</f>
        <v>0.935023772</v>
      </c>
      <c r="AP46" s="2" t="n">
        <f aca="false">ROUND(AC46-AI46,9)</f>
        <v>0.389857369</v>
      </c>
      <c r="AQ46" s="2" t="n">
        <f aca="false">ROUND(AD46-AJ46,9)</f>
        <v>0.446909667</v>
      </c>
    </row>
    <row r="47" customFormat="false" ht="15" hidden="false" customHeight="false" outlineLevel="0" collapsed="false">
      <c r="A47" s="2" t="n">
        <v>46</v>
      </c>
      <c r="B47" s="6" t="n">
        <v>1</v>
      </c>
      <c r="C47" s="6" t="n">
        <v>47</v>
      </c>
      <c r="D47" s="8" t="str">
        <f aca="false">INDEX(Bases!$B$2:$B$53,B47)</f>
        <v>Porygon</v>
      </c>
      <c r="E47" s="8" t="str">
        <f aca="false">INDEX(Bases!$B$2:$B$53,C47)</f>
        <v>Carvanha</v>
      </c>
      <c r="F47" s="2" t="str">
        <f aca="false">LEFT(D47,ROUNDUP(LEN(D47)/2,0))&amp;LOWER(MID(E47,ROUNDUP(LEN(E47)/2,0)+1,20))</f>
        <v>Poryanha</v>
      </c>
      <c r="G47" s="8" t="str">
        <f aca="false">INDEX(Bases!$C$2:$C$53,B47)</f>
        <v>Normal</v>
      </c>
      <c r="H47" s="8" t="str">
        <f aca="false">IF(INDEX(Bases!$C$2:$C$53,C47)=G47,"",INDEX(Bases!$C$2:$C$53,C47))</f>
        <v>Dark</v>
      </c>
      <c r="I47" s="8" t="str">
        <f aca="false">IF(INDEX(Bases!$E$2:$E$53,B47)="","",INDEX(Bases!$E$2:$E$53,B47))</f>
        <v/>
      </c>
      <c r="J47" s="8" t="str">
        <f aca="false">IF(INDEX(Bases!$E$2:$E$53,C47)="","",INDEX(Bases!$E$2:$E$53,C47))</f>
        <v/>
      </c>
      <c r="K47" s="5"/>
      <c r="L47" s="2" t="n">
        <f aca="false">AE47+IF(SUMPRODUCT(--($AL47:$AQ47&gt;AL47))&lt;$AK47,1,0)</f>
        <v>73</v>
      </c>
      <c r="M47" s="2" t="n">
        <f aca="false">AF47+IF(SUMPRODUCT(--($AL47:$AQ47&gt;AM47))+SUMPRODUCT(--($AL47:AL47=AM47))&lt;$AK47,1,0)</f>
        <v>114</v>
      </c>
      <c r="N47" s="2" t="n">
        <f aca="false">AG47+IF(SUMPRODUCT(--($AL47:$AQ47&gt;AN47))+SUMPRODUCT(--($AL47:AM47=AN47))&lt;$AK47,1,0)</f>
        <v>65</v>
      </c>
      <c r="O47" s="2" t="n">
        <f aca="false">AH47+IF(SUMPRODUCT(--($AL47:$AQ47&gt;AO47))+SUMPRODUCT(--($AL47:AN47=AO47))&lt;$AK47,1,0)</f>
        <v>99</v>
      </c>
      <c r="P47" s="2" t="n">
        <f aca="false">AI47+IF(SUMPRODUCT(--($AL47:$AQ47&gt;AP47))+SUMPRODUCT(--($AL47:AO47=AP47))&lt;$AK47,1,0)</f>
        <v>68</v>
      </c>
      <c r="Q47" s="2" t="n">
        <f aca="false">AJ47+IF(SUMPRODUCT(--($AL47:$AQ47&gt;AQ47))+SUMPRODUCT(--($AL47:AP47=AQ47))&lt;$AK47,1,0)</f>
        <v>81</v>
      </c>
      <c r="R47" s="2" t="n">
        <f aca="false">SUM(L47:Q47)</f>
        <v>500</v>
      </c>
      <c r="S47" s="2" t="n">
        <f aca="false">Settings!$B$4*MAX(INDEX(Bases!$M$2:$M$53,B47),INDEX(Bases!$M$2:$M$53,C47))+Settings!$B$5*MIN(INDEX(Bases!$M$2:$M$53,B47),INDEX(Bases!$M$2:$M$53,C47))</f>
        <v>63.6666666666667</v>
      </c>
      <c r="T47" s="2" t="n">
        <f aca="false">Settings!$B$4*MAX(INDEX(Bases!$N$2:$N$53,B47),INDEX(Bases!$N$2:$N$53,C47))+Settings!$B$5*MIN(INDEX(Bases!$N$2:$N$53,B47),INDEX(Bases!$N$2:$N$53,C47))</f>
        <v>99</v>
      </c>
      <c r="U47" s="2" t="n">
        <f aca="false">Settings!$B$4*MAX(INDEX(Bases!$O$2:$O$53,B47),INDEX(Bases!$O$2:$O$53,C47))+Settings!$B$5*MIN(INDEX(Bases!$O$2:$O$53,B47),INDEX(Bases!$O$2:$O$53,C47))</f>
        <v>56</v>
      </c>
      <c r="V47" s="2" t="n">
        <f aca="false">Settings!$B$4*MAX(INDEX(Bases!$P$2:$P$53,B47),INDEX(Bases!$P$2:$P$53,C47))+Settings!$B$5*MIN(INDEX(Bases!$P$2:$P$53,B47),INDEX(Bases!$P$2:$P$53,C47))</f>
        <v>86</v>
      </c>
      <c r="W47" s="2" t="n">
        <f aca="false">Settings!$B$4*MAX(INDEX(Bases!$Q$2:$Q$53,B47),INDEX(Bases!$Q$2:$Q$53,C47))+Settings!$B$5*MIN(INDEX(Bases!$Q$2:$Q$53,B47),INDEX(Bases!$Q$2:$Q$53,C47))</f>
        <v>59.3333333333333</v>
      </c>
      <c r="X47" s="2" t="n">
        <f aca="false">Settings!$B$4*MAX(INDEX(Bases!$R$2:$R$53,B47),INDEX(Bases!$R$2:$R$53,C47))+Settings!$B$5*MIN(INDEX(Bases!$R$2:$R$53,B47),INDEX(Bases!$R$2:$R$53,C47))</f>
        <v>70</v>
      </c>
      <c r="Y47" s="2" t="n">
        <f aca="false">S47*Settings!$B$3/SUM(S47:X47)</f>
        <v>73.3486943164363</v>
      </c>
      <c r="Z47" s="2" t="n">
        <f aca="false">T47*Settings!$B$3/SUM(S47:X47)</f>
        <v>114.055299539171</v>
      </c>
      <c r="AA47" s="2" t="n">
        <f aca="false">U47*Settings!$B$3/SUM(S47:X47)</f>
        <v>64.5161290322581</v>
      </c>
      <c r="AB47" s="2" t="n">
        <f aca="false">V47*Settings!$B$3/SUM(S47:X47)</f>
        <v>99.0783410138249</v>
      </c>
      <c r="AC47" s="2" t="n">
        <f aca="false">W47*Settings!$B$3/SUM(S47:X47)</f>
        <v>68.3563748079877</v>
      </c>
      <c r="AD47" s="2" t="n">
        <f aca="false">X47*Settings!$B$3/SUM(S47:X47)</f>
        <v>80.6451612903226</v>
      </c>
      <c r="AE47" s="2" t="n">
        <f aca="false">INT(Y47)</f>
        <v>73</v>
      </c>
      <c r="AF47" s="2" t="n">
        <f aca="false">INT(Z47)</f>
        <v>114</v>
      </c>
      <c r="AG47" s="2" t="n">
        <f aca="false">INT(AA47)</f>
        <v>64</v>
      </c>
      <c r="AH47" s="2" t="n">
        <f aca="false">INT(AB47)</f>
        <v>99</v>
      </c>
      <c r="AI47" s="2" t="n">
        <f aca="false">INT(AC47)</f>
        <v>68</v>
      </c>
      <c r="AJ47" s="2" t="n">
        <f aca="false">INT(AD47)</f>
        <v>80</v>
      </c>
      <c r="AK47" s="2" t="n">
        <f aca="false">Settings!$B$3-SUM(AE47:AJ47)</f>
        <v>2</v>
      </c>
      <c r="AL47" s="2" t="n">
        <f aca="false">ROUND(Y47-AE47,9)</f>
        <v>0.348694316</v>
      </c>
      <c r="AM47" s="2" t="n">
        <f aca="false">ROUND(Z47-AF47,9)</f>
        <v>0.055299539</v>
      </c>
      <c r="AN47" s="2" t="n">
        <f aca="false">ROUND(AA47-AG47,9)</f>
        <v>0.516129032</v>
      </c>
      <c r="AO47" s="2" t="n">
        <f aca="false">ROUND(AB47-AH47,9)</f>
        <v>0.078341014</v>
      </c>
      <c r="AP47" s="2" t="n">
        <f aca="false">ROUND(AC47-AI47,9)</f>
        <v>0.356374808</v>
      </c>
      <c r="AQ47" s="2" t="n">
        <f aca="false">ROUND(AD47-AJ47,9)</f>
        <v>0.64516129</v>
      </c>
    </row>
    <row r="48" customFormat="false" ht="15" hidden="false" customHeight="false" outlineLevel="0" collapsed="false">
      <c r="A48" s="2" t="n">
        <v>47</v>
      </c>
      <c r="B48" s="6" t="n">
        <v>1</v>
      </c>
      <c r="C48" s="6" t="n">
        <v>48</v>
      </c>
      <c r="D48" s="8" t="str">
        <f aca="false">INDEX(Bases!$B$2:$B$53,B48)</f>
        <v>Porygon</v>
      </c>
      <c r="E48" s="8" t="str">
        <f aca="false">INDEX(Bases!$B$2:$B$53,C48)</f>
        <v>Magnemite</v>
      </c>
      <c r="F48" s="2" t="str">
        <f aca="false">LEFT(D48,ROUNDUP(LEN(D48)/2,0))&amp;LOWER(MID(E48,ROUNDUP(LEN(E48)/2,0)+1,20))</f>
        <v>Porymite</v>
      </c>
      <c r="G48" s="8" t="str">
        <f aca="false">INDEX(Bases!$C$2:$C$53,B48)</f>
        <v>Normal</v>
      </c>
      <c r="H48" s="8" t="str">
        <f aca="false">IF(INDEX(Bases!$C$2:$C$53,C48)=G48,"",INDEX(Bases!$C$2:$C$53,C48))</f>
        <v>Steel</v>
      </c>
      <c r="I48" s="8" t="str">
        <f aca="false">IF(INDEX(Bases!$E$2:$E$53,B48)="","",INDEX(Bases!$E$2:$E$53,B48))</f>
        <v/>
      </c>
      <c r="J48" s="8" t="str">
        <f aca="false">IF(INDEX(Bases!$E$2:$E$53,C48)="","",INDEX(Bases!$E$2:$E$53,C48))</f>
        <v/>
      </c>
      <c r="K48" s="5"/>
      <c r="L48" s="2" t="n">
        <f aca="false">AE48+IF(SUMPRODUCT(--($AL48:$AQ48&gt;AL48))&lt;$AK48,1,0)</f>
        <v>65</v>
      </c>
      <c r="M48" s="2" t="n">
        <f aca="false">AF48+IF(SUMPRODUCT(--($AL48:$AQ48&gt;AM48))+SUMPRODUCT(--($AL48:AL48=AM48))&lt;$AK48,1,0)</f>
        <v>65</v>
      </c>
      <c r="N48" s="2" t="n">
        <f aca="false">AG48+IF(SUMPRODUCT(--($AL48:$AQ48&gt;AN48))+SUMPRODUCT(--($AL48:AM48=AN48))&lt;$AK48,1,0)</f>
        <v>96</v>
      </c>
      <c r="O48" s="2" t="n">
        <f aca="false">AH48+IF(SUMPRODUCT(--($AL48:$AQ48&gt;AO48))+SUMPRODUCT(--($AL48:AN48=AO48))&lt;$AK48,1,0)</f>
        <v>127</v>
      </c>
      <c r="P48" s="2" t="n">
        <f aca="false">AI48+IF(SUMPRODUCT(--($AL48:$AQ48&gt;AP48))+SUMPRODUCT(--($AL48:AO48=AP48))&lt;$AK48,1,0)</f>
        <v>87</v>
      </c>
      <c r="Q48" s="2" t="n">
        <f aca="false">AJ48+IF(SUMPRODUCT(--($AL48:$AQ48&gt;AQ48))+SUMPRODUCT(--($AL48:AP48=AQ48))&lt;$AK48,1,0)</f>
        <v>60</v>
      </c>
      <c r="R48" s="2" t="n">
        <f aca="false">SUM(L48:Q48)</f>
        <v>500</v>
      </c>
      <c r="S48" s="2" t="n">
        <f aca="false">Settings!$B$4*MAX(INDEX(Bases!$M$2:$M$53,B48),INDEX(Bases!$M$2:$M$53,C48))+Settings!$B$5*MIN(INDEX(Bases!$M$2:$M$53,B48),INDEX(Bases!$M$2:$M$53,C48))</f>
        <v>54.3333333333333</v>
      </c>
      <c r="T48" s="2" t="n">
        <f aca="false">Settings!$B$4*MAX(INDEX(Bases!$N$2:$N$53,B48),INDEX(Bases!$N$2:$N$53,C48))+Settings!$B$5*MIN(INDEX(Bases!$N$2:$N$53,B48),INDEX(Bases!$N$2:$N$53,C48))</f>
        <v>55</v>
      </c>
      <c r="U48" s="2" t="n">
        <f aca="false">Settings!$B$4*MAX(INDEX(Bases!$O$2:$O$53,B48),INDEX(Bases!$O$2:$O$53,C48))+Settings!$B$5*MIN(INDEX(Bases!$O$2:$O$53,B48),INDEX(Bases!$O$2:$O$53,C48))</f>
        <v>81</v>
      </c>
      <c r="V48" s="2" t="n">
        <f aca="false">Settings!$B$4*MAX(INDEX(Bases!$P$2:$P$53,B48),INDEX(Bases!$P$2:$P$53,C48))+Settings!$B$5*MIN(INDEX(Bases!$P$2:$P$53,B48),INDEX(Bases!$P$2:$P$53,C48))</f>
        <v>106.666666666667</v>
      </c>
      <c r="W48" s="2" t="n">
        <f aca="false">Settings!$B$4*MAX(INDEX(Bases!$Q$2:$Q$53,B48),INDEX(Bases!$Q$2:$Q$53,C48))+Settings!$B$5*MIN(INDEX(Bases!$Q$2:$Q$53,B48),INDEX(Bases!$Q$2:$Q$53,C48))</f>
        <v>73.3333333333333</v>
      </c>
      <c r="X48" s="2" t="n">
        <f aca="false">Settings!$B$4*MAX(INDEX(Bases!$R$2:$R$53,B48),INDEX(Bases!$R$2:$R$53,C48))+Settings!$B$5*MIN(INDEX(Bases!$R$2:$R$53,B48),INDEX(Bases!$R$2:$R$53,C48))</f>
        <v>50</v>
      </c>
      <c r="Y48" s="2" t="n">
        <f aca="false">S48*Settings!$B$3/SUM(S48:X48)</f>
        <v>64.6312450436162</v>
      </c>
      <c r="Z48" s="2" t="n">
        <f aca="false">T48*Settings!$B$3/SUM(S48:X48)</f>
        <v>65.4242664551943</v>
      </c>
      <c r="AA48" s="2" t="n">
        <f aca="false">U48*Settings!$B$3/SUM(S48:X48)</f>
        <v>96.3521015067407</v>
      </c>
      <c r="AB48" s="2" t="n">
        <f aca="false">V48*Settings!$B$3/SUM(S48:X48)</f>
        <v>126.883425852498</v>
      </c>
      <c r="AC48" s="2" t="n">
        <f aca="false">W48*Settings!$B$3/SUM(S48:X48)</f>
        <v>87.2323552735924</v>
      </c>
      <c r="AD48" s="2" t="n">
        <f aca="false">X48*Settings!$B$3/SUM(S48:X48)</f>
        <v>59.4766058683585</v>
      </c>
      <c r="AE48" s="2" t="n">
        <f aca="false">INT(Y48)</f>
        <v>64</v>
      </c>
      <c r="AF48" s="2" t="n">
        <f aca="false">INT(Z48)</f>
        <v>65</v>
      </c>
      <c r="AG48" s="2" t="n">
        <f aca="false">INT(AA48)</f>
        <v>96</v>
      </c>
      <c r="AH48" s="2" t="n">
        <f aca="false">INT(AB48)</f>
        <v>126</v>
      </c>
      <c r="AI48" s="2" t="n">
        <f aca="false">INT(AC48)</f>
        <v>87</v>
      </c>
      <c r="AJ48" s="2" t="n">
        <f aca="false">INT(AD48)</f>
        <v>59</v>
      </c>
      <c r="AK48" s="2" t="n">
        <f aca="false">Settings!$B$3-SUM(AE48:AJ48)</f>
        <v>3</v>
      </c>
      <c r="AL48" s="2" t="n">
        <f aca="false">ROUND(Y48-AE48,9)</f>
        <v>0.631245044</v>
      </c>
      <c r="AM48" s="2" t="n">
        <f aca="false">ROUND(Z48-AF48,9)</f>
        <v>0.424266455</v>
      </c>
      <c r="AN48" s="2" t="n">
        <f aca="false">ROUND(AA48-AG48,9)</f>
        <v>0.352101507</v>
      </c>
      <c r="AO48" s="2" t="n">
        <f aca="false">ROUND(AB48-AH48,9)</f>
        <v>0.883425852</v>
      </c>
      <c r="AP48" s="2" t="n">
        <f aca="false">ROUND(AC48-AI48,9)</f>
        <v>0.232355274</v>
      </c>
      <c r="AQ48" s="2" t="n">
        <f aca="false">ROUND(AD48-AJ48,9)</f>
        <v>0.476605868</v>
      </c>
    </row>
    <row r="49" customFormat="false" ht="15" hidden="false" customHeight="false" outlineLevel="0" collapsed="false">
      <c r="A49" s="2" t="n">
        <v>48</v>
      </c>
      <c r="B49" s="6" t="n">
        <v>1</v>
      </c>
      <c r="C49" s="6" t="n">
        <v>49</v>
      </c>
      <c r="D49" s="8" t="str">
        <f aca="false">INDEX(Bases!$B$2:$B$53,B49)</f>
        <v>Porygon</v>
      </c>
      <c r="E49" s="8" t="str">
        <f aca="false">INDEX(Bases!$B$2:$B$53,C49)</f>
        <v>Aron</v>
      </c>
      <c r="F49" s="2" t="str">
        <f aca="false">LEFT(D49,ROUNDUP(LEN(D49)/2,0))&amp;LOWER(MID(E49,ROUNDUP(LEN(E49)/2,0)+1,20))</f>
        <v>Poryon</v>
      </c>
      <c r="G49" s="8" t="str">
        <f aca="false">INDEX(Bases!$C$2:$C$53,B49)</f>
        <v>Normal</v>
      </c>
      <c r="H49" s="8" t="str">
        <f aca="false">IF(INDEX(Bases!$C$2:$C$53,C49)=G49,"",INDEX(Bases!$C$2:$C$53,C49))</f>
        <v>Steel</v>
      </c>
      <c r="I49" s="8" t="str">
        <f aca="false">IF(INDEX(Bases!$E$2:$E$53,B49)="","",INDEX(Bases!$E$2:$E$53,B49))</f>
        <v/>
      </c>
      <c r="J49" s="8" t="str">
        <f aca="false">IF(INDEX(Bases!$E$2:$E$53,C49)="","",INDEX(Bases!$E$2:$E$53,C49))</f>
        <v/>
      </c>
      <c r="K49" s="5"/>
      <c r="L49" s="2" t="n">
        <f aca="false">AE49+IF(SUMPRODUCT(--($AL49:$AQ49&gt;AL49))&lt;$AK49,1,0)</f>
        <v>76</v>
      </c>
      <c r="M49" s="2" t="n">
        <f aca="false">AF49+IF(SUMPRODUCT(--($AL49:$AQ49&gt;AM49))+SUMPRODUCT(--($AL49:AL49=AM49))&lt;$AK49,1,0)</f>
        <v>91</v>
      </c>
      <c r="N49" s="2" t="n">
        <f aca="false">AG49+IF(SUMPRODUCT(--($AL49:$AQ49&gt;AN49))+SUMPRODUCT(--($AL49:AM49=AN49))&lt;$AK49,1,0)</f>
        <v>123</v>
      </c>
      <c r="O49" s="2" t="n">
        <f aca="false">AH49+IF(SUMPRODUCT(--($AL49:$AQ49&gt;AO49))+SUMPRODUCT(--($AL49:AN49=AO49))&lt;$AK49,1,0)</f>
        <v>87</v>
      </c>
      <c r="P49" s="2" t="n">
        <f aca="false">AI49+IF(SUMPRODUCT(--($AL49:$AQ49&gt;AP49))+SUMPRODUCT(--($AL49:AO49=AP49))&lt;$AK49,1,0)</f>
        <v>78</v>
      </c>
      <c r="Q49" s="2" t="n">
        <f aca="false">AJ49+IF(SUMPRODUCT(--($AL49:$AQ49&gt;AQ49))+SUMPRODUCT(--($AL49:AP49=AQ49))&lt;$AK49,1,0)</f>
        <v>45</v>
      </c>
      <c r="R49" s="2" t="n">
        <f aca="false">SUM(L49:Q49)</f>
        <v>500</v>
      </c>
      <c r="S49" s="2" t="n">
        <f aca="false">Settings!$B$4*MAX(INDEX(Bases!$M$2:$M$53,B49),INDEX(Bases!$M$2:$M$53,C49))+Settings!$B$5*MIN(INDEX(Bases!$M$2:$M$53,B49),INDEX(Bases!$M$2:$M$53,C49))</f>
        <v>64.3333333333333</v>
      </c>
      <c r="T49" s="2" t="n">
        <f aca="false">Settings!$B$4*MAX(INDEX(Bases!$N$2:$N$53,B49),INDEX(Bases!$N$2:$N$53,C49))+Settings!$B$5*MIN(INDEX(Bases!$N$2:$N$53,B49),INDEX(Bases!$N$2:$N$53,C49))</f>
        <v>77</v>
      </c>
      <c r="U49" s="2" t="n">
        <f aca="false">Settings!$B$4*MAX(INDEX(Bases!$O$2:$O$53,B49),INDEX(Bases!$O$2:$O$53,C49))+Settings!$B$5*MIN(INDEX(Bases!$O$2:$O$53,B49),INDEX(Bases!$O$2:$O$53,C49))</f>
        <v>104.333333333333</v>
      </c>
      <c r="V49" s="2" t="n">
        <f aca="false">Settings!$B$4*MAX(INDEX(Bases!$P$2:$P$53,B49),INDEX(Bases!$P$2:$P$53,C49))+Settings!$B$5*MIN(INDEX(Bases!$P$2:$P$53,B49),INDEX(Bases!$P$2:$P$53,C49))</f>
        <v>73.6666666666667</v>
      </c>
      <c r="W49" s="2" t="n">
        <f aca="false">Settings!$B$4*MAX(INDEX(Bases!$Q$2:$Q$53,B49),INDEX(Bases!$Q$2:$Q$53,C49))+Settings!$B$5*MIN(INDEX(Bases!$Q$2:$Q$53,B49),INDEX(Bases!$Q$2:$Q$53,C49))</f>
        <v>66.6666666666667</v>
      </c>
      <c r="X49" s="2" t="n">
        <f aca="false">Settings!$B$4*MAX(INDEX(Bases!$R$2:$R$53,B49),INDEX(Bases!$R$2:$R$53,C49))+Settings!$B$5*MIN(INDEX(Bases!$R$2:$R$53,B49),INDEX(Bases!$R$2:$R$53,C49))</f>
        <v>38.6666666666667</v>
      </c>
      <c r="Y49" s="2" t="n">
        <f aca="false">S49*Settings!$B$3/SUM(S49:X49)</f>
        <v>75.7456828885401</v>
      </c>
      <c r="Z49" s="2" t="n">
        <f aca="false">T49*Settings!$B$3/SUM(S49:X49)</f>
        <v>90.6593406593407</v>
      </c>
      <c r="AA49" s="2" t="n">
        <f aca="false">U49*Settings!$B$3/SUM(S49:X49)</f>
        <v>122.841444270016</v>
      </c>
      <c r="AB49" s="2" t="n">
        <f aca="false">V49*Settings!$B$3/SUM(S49:X49)</f>
        <v>86.734693877551</v>
      </c>
      <c r="AC49" s="2" t="n">
        <f aca="false">W49*Settings!$B$3/SUM(S49:X49)</f>
        <v>78.4929356357928</v>
      </c>
      <c r="AD49" s="2" t="n">
        <f aca="false">X49*Settings!$B$3/SUM(S49:X49)</f>
        <v>45.5259026687598</v>
      </c>
      <c r="AE49" s="2" t="n">
        <f aca="false">INT(Y49)</f>
        <v>75</v>
      </c>
      <c r="AF49" s="2" t="n">
        <f aca="false">INT(Z49)</f>
        <v>90</v>
      </c>
      <c r="AG49" s="2" t="n">
        <f aca="false">INT(AA49)</f>
        <v>122</v>
      </c>
      <c r="AH49" s="2" t="n">
        <f aca="false">INT(AB49)</f>
        <v>86</v>
      </c>
      <c r="AI49" s="2" t="n">
        <f aca="false">INT(AC49)</f>
        <v>78</v>
      </c>
      <c r="AJ49" s="2" t="n">
        <f aca="false">INT(AD49)</f>
        <v>45</v>
      </c>
      <c r="AK49" s="2" t="n">
        <f aca="false">Settings!$B$3-SUM(AE49:AJ49)</f>
        <v>4</v>
      </c>
      <c r="AL49" s="2" t="n">
        <f aca="false">ROUND(Y49-AE49,9)</f>
        <v>0.745682889</v>
      </c>
      <c r="AM49" s="2" t="n">
        <f aca="false">ROUND(Z49-AF49,9)</f>
        <v>0.659340659</v>
      </c>
      <c r="AN49" s="2" t="n">
        <f aca="false">ROUND(AA49-AG49,9)</f>
        <v>0.84144427</v>
      </c>
      <c r="AO49" s="2" t="n">
        <f aca="false">ROUND(AB49-AH49,9)</f>
        <v>0.734693878</v>
      </c>
      <c r="AP49" s="2" t="n">
        <f aca="false">ROUND(AC49-AI49,9)</f>
        <v>0.492935636</v>
      </c>
      <c r="AQ49" s="2" t="n">
        <f aca="false">ROUND(AD49-AJ49,9)</f>
        <v>0.525902669</v>
      </c>
    </row>
    <row r="50" customFormat="false" ht="15" hidden="false" customHeight="false" outlineLevel="0" collapsed="false">
      <c r="A50" s="2" t="n">
        <v>49</v>
      </c>
      <c r="B50" s="6" t="n">
        <v>1</v>
      </c>
      <c r="C50" s="6" t="n">
        <v>50</v>
      </c>
      <c r="D50" s="8" t="str">
        <f aca="false">INDEX(Bases!$B$2:$B$53,B50)</f>
        <v>Porygon</v>
      </c>
      <c r="E50" s="8" t="str">
        <f aca="false">INDEX(Bases!$B$2:$B$53,C50)</f>
        <v>Beldum</v>
      </c>
      <c r="F50" s="2" t="str">
        <f aca="false">LEFT(D50,ROUNDUP(LEN(D50)/2,0))&amp;LOWER(MID(E50,ROUNDUP(LEN(E50)/2,0)+1,20))</f>
        <v>Porydum</v>
      </c>
      <c r="G50" s="8" t="str">
        <f aca="false">INDEX(Bases!$C$2:$C$53,B50)</f>
        <v>Normal</v>
      </c>
      <c r="H50" s="8" t="str">
        <f aca="false">IF(INDEX(Bases!$C$2:$C$53,C50)=G50,"",INDEX(Bases!$C$2:$C$53,C50))</f>
        <v>Steel</v>
      </c>
      <c r="I50" s="8" t="str">
        <f aca="false">IF(INDEX(Bases!$E$2:$E$53,B50)="","",INDEX(Bases!$E$2:$E$53,B50))</f>
        <v/>
      </c>
      <c r="J50" s="8" t="str">
        <f aca="false">IF(INDEX(Bases!$E$2:$E$53,C50)="","",INDEX(Bases!$E$2:$E$53,C50))</f>
        <v/>
      </c>
      <c r="K50" s="5"/>
      <c r="L50" s="2" t="n">
        <f aca="false">AE50+IF(SUMPRODUCT(--($AL50:$AQ50&gt;AL50))&lt;$AK50,1,0)</f>
        <v>74</v>
      </c>
      <c r="M50" s="2" t="n">
        <f aca="false">AF50+IF(SUMPRODUCT(--($AL50:$AQ50&gt;AM50))+SUMPRODUCT(--($AL50:AL50=AM50))&lt;$AK50,1,0)</f>
        <v>83</v>
      </c>
      <c r="N50" s="2" t="n">
        <f aca="false">AG50+IF(SUMPRODUCT(--($AL50:$AQ50&gt;AN50))+SUMPRODUCT(--($AL50:AM50=AN50))&lt;$AK50,1,0)</f>
        <v>114</v>
      </c>
      <c r="O50" s="2" t="n">
        <f aca="false">AH50+IF(SUMPRODUCT(--($AL50:$AQ50&gt;AO50))+SUMPRODUCT(--($AL50:AN50=AO50))&lt;$AK50,1,0)</f>
        <v>87</v>
      </c>
      <c r="P50" s="2" t="n">
        <f aca="false">AI50+IF(SUMPRODUCT(--($AL50:$AQ50&gt;AP50))+SUMPRODUCT(--($AL50:AO50=AP50))&lt;$AK50,1,0)</f>
        <v>94</v>
      </c>
      <c r="Q50" s="2" t="n">
        <f aca="false">AJ50+IF(SUMPRODUCT(--($AL50:$AQ50&gt;AQ50))+SUMPRODUCT(--($AL50:AP50=AQ50))&lt;$AK50,1,0)</f>
        <v>48</v>
      </c>
      <c r="R50" s="2" t="n">
        <f aca="false">SUM(L50:Q50)</f>
        <v>500</v>
      </c>
      <c r="S50" s="2" t="n">
        <f aca="false">Settings!$B$4*MAX(INDEX(Bases!$M$2:$M$53,B50),INDEX(Bases!$M$2:$M$53,C50))+Settings!$B$5*MIN(INDEX(Bases!$M$2:$M$53,B50),INDEX(Bases!$M$2:$M$53,C50))</f>
        <v>61.6666666666667</v>
      </c>
      <c r="T50" s="2" t="n">
        <f aca="false">Settings!$B$4*MAX(INDEX(Bases!$N$2:$N$53,B50),INDEX(Bases!$N$2:$N$53,C50))+Settings!$B$5*MIN(INDEX(Bases!$N$2:$N$53,B50),INDEX(Bases!$N$2:$N$53,C50))</f>
        <v>69</v>
      </c>
      <c r="U50" s="2" t="n">
        <f aca="false">Settings!$B$4*MAX(INDEX(Bases!$O$2:$O$53,B50),INDEX(Bases!$O$2:$O$53,C50))+Settings!$B$5*MIN(INDEX(Bases!$O$2:$O$53,B50),INDEX(Bases!$O$2:$O$53,C50))</f>
        <v>95</v>
      </c>
      <c r="V50" s="2" t="n">
        <f aca="false">Settings!$B$4*MAX(INDEX(Bases!$P$2:$P$53,B50),INDEX(Bases!$P$2:$P$53,C50))+Settings!$B$5*MIN(INDEX(Bases!$P$2:$P$53,B50),INDEX(Bases!$P$2:$P$53,C50))</f>
        <v>73</v>
      </c>
      <c r="W50" s="2" t="n">
        <f aca="false">Settings!$B$4*MAX(INDEX(Bases!$Q$2:$Q$53,B50),INDEX(Bases!$Q$2:$Q$53,C50))+Settings!$B$5*MIN(INDEX(Bases!$Q$2:$Q$53,B50),INDEX(Bases!$Q$2:$Q$53,C50))</f>
        <v>78.6666666666667</v>
      </c>
      <c r="X50" s="2" t="n">
        <f aca="false">Settings!$B$4*MAX(INDEX(Bases!$R$2:$R$53,B50),INDEX(Bases!$R$2:$R$53,C50))+Settings!$B$5*MIN(INDEX(Bases!$R$2:$R$53,B50),INDEX(Bases!$R$2:$R$53,C50))</f>
        <v>40</v>
      </c>
      <c r="Y50" s="2" t="n">
        <f aca="false">S50*Settings!$B$3/SUM(S50:X50)</f>
        <v>73.8817891373802</v>
      </c>
      <c r="Z50" s="2" t="n">
        <f aca="false">T50*Settings!$B$3/SUM(S50:X50)</f>
        <v>82.667731629393</v>
      </c>
      <c r="AA50" s="2" t="n">
        <f aca="false">U50*Settings!$B$3/SUM(S50:X50)</f>
        <v>113.817891373802</v>
      </c>
      <c r="AB50" s="2" t="n">
        <f aca="false">V50*Settings!$B$3/SUM(S50:X50)</f>
        <v>87.4600638977636</v>
      </c>
      <c r="AC50" s="2" t="n">
        <f aca="false">W50*Settings!$B$3/SUM(S50:X50)</f>
        <v>94.2492012779553</v>
      </c>
      <c r="AD50" s="2" t="n">
        <f aca="false">X50*Settings!$B$3/SUM(S50:X50)</f>
        <v>47.9233226837061</v>
      </c>
      <c r="AE50" s="2" t="n">
        <f aca="false">INT(Y50)</f>
        <v>73</v>
      </c>
      <c r="AF50" s="2" t="n">
        <f aca="false">INT(Z50)</f>
        <v>82</v>
      </c>
      <c r="AG50" s="2" t="n">
        <f aca="false">INT(AA50)</f>
        <v>113</v>
      </c>
      <c r="AH50" s="2" t="n">
        <f aca="false">INT(AB50)</f>
        <v>87</v>
      </c>
      <c r="AI50" s="2" t="n">
        <f aca="false">INT(AC50)</f>
        <v>94</v>
      </c>
      <c r="AJ50" s="2" t="n">
        <f aca="false">INT(AD50)</f>
        <v>47</v>
      </c>
      <c r="AK50" s="2" t="n">
        <f aca="false">Settings!$B$3-SUM(AE50:AJ50)</f>
        <v>4</v>
      </c>
      <c r="AL50" s="2" t="n">
        <f aca="false">ROUND(Y50-AE50,9)</f>
        <v>0.881789137</v>
      </c>
      <c r="AM50" s="2" t="n">
        <f aca="false">ROUND(Z50-AF50,9)</f>
        <v>0.667731629</v>
      </c>
      <c r="AN50" s="2" t="n">
        <f aca="false">ROUND(AA50-AG50,9)</f>
        <v>0.817891374</v>
      </c>
      <c r="AO50" s="2" t="n">
        <f aca="false">ROUND(AB50-AH50,9)</f>
        <v>0.460063898</v>
      </c>
      <c r="AP50" s="2" t="n">
        <f aca="false">ROUND(AC50-AI50,9)</f>
        <v>0.249201278</v>
      </c>
      <c r="AQ50" s="2" t="n">
        <f aca="false">ROUND(AD50-AJ50,9)</f>
        <v>0.923322684</v>
      </c>
    </row>
    <row r="51" customFormat="false" ht="15" hidden="false" customHeight="false" outlineLevel="0" collapsed="false">
      <c r="A51" s="2" t="n">
        <v>50</v>
      </c>
      <c r="B51" s="6" t="n">
        <v>1</v>
      </c>
      <c r="C51" s="6" t="n">
        <v>51</v>
      </c>
      <c r="D51" s="8" t="str">
        <f aca="false">INDEX(Bases!$B$2:$B$53,B51)</f>
        <v>Porygon</v>
      </c>
      <c r="E51" s="8" t="str">
        <f aca="false">INDEX(Bases!$B$2:$B$53,C51)</f>
        <v>Cleffa</v>
      </c>
      <c r="F51" s="2" t="str">
        <f aca="false">LEFT(D51,ROUNDUP(LEN(D51)/2,0))&amp;LOWER(MID(E51,ROUNDUP(LEN(E51)/2,0)+1,20))</f>
        <v>Poryffa</v>
      </c>
      <c r="G51" s="8" t="str">
        <f aca="false">INDEX(Bases!$C$2:$C$53,B51)</f>
        <v>Normal</v>
      </c>
      <c r="H51" s="8" t="str">
        <f aca="false">IF(INDEX(Bases!$C$2:$C$53,C51)=G51,"",INDEX(Bases!$C$2:$C$53,C51))</f>
        <v>Fairy</v>
      </c>
      <c r="I51" s="8" t="str">
        <f aca="false">IF(INDEX(Bases!$E$2:$E$53,B51)="","",INDEX(Bases!$E$2:$E$53,B51))</f>
        <v/>
      </c>
      <c r="J51" s="8" t="str">
        <f aca="false">IF(INDEX(Bases!$E$2:$E$53,C51)="","",INDEX(Bases!$E$2:$E$53,C51))</f>
        <v/>
      </c>
      <c r="K51" s="5"/>
      <c r="L51" s="2" t="n">
        <f aca="false">AE51+IF(SUMPRODUCT(--($AL51:$AQ51&gt;AL51))&lt;$AK51,1,0)</f>
        <v>100</v>
      </c>
      <c r="M51" s="2" t="n">
        <f aca="false">AF51+IF(SUMPRODUCT(--($AL51:$AQ51&gt;AM51))+SUMPRODUCT(--($AL51:AL51=AM51))&lt;$AK51,1,0)</f>
        <v>67</v>
      </c>
      <c r="N51" s="2" t="n">
        <f aca="false">AG51+IF(SUMPRODUCT(--($AL51:$AQ51&gt;AN51))+SUMPRODUCT(--($AL51:AM51=AN51))&lt;$AK51,1,0)</f>
        <v>77</v>
      </c>
      <c r="O51" s="2" t="n">
        <f aca="false">AH51+IF(SUMPRODUCT(--($AL51:$AQ51&gt;AO51))+SUMPRODUCT(--($AL51:AN51=AO51))&lt;$AK51,1,0)</f>
        <v>102</v>
      </c>
      <c r="P51" s="2" t="n">
        <f aca="false">AI51+IF(SUMPRODUCT(--($AL51:$AQ51&gt;AP51))+SUMPRODUCT(--($AL51:AO51=AP51))&lt;$AK51,1,0)</f>
        <v>111</v>
      </c>
      <c r="Q51" s="2" t="n">
        <f aca="false">AJ51+IF(SUMPRODUCT(--($AL51:$AQ51&gt;AQ51))+SUMPRODUCT(--($AL51:AP51=AQ51))&lt;$AK51,1,0)</f>
        <v>43</v>
      </c>
      <c r="R51" s="2" t="n">
        <f aca="false">SUM(L51:Q51)</f>
        <v>500</v>
      </c>
      <c r="S51" s="2" t="n">
        <f aca="false">Settings!$B$4*MAX(INDEX(Bases!$M$2:$M$53,B51),INDEX(Bases!$M$2:$M$53,C51))+Settings!$B$5*MIN(INDEX(Bases!$M$2:$M$53,B51),INDEX(Bases!$M$2:$M$53,C51))</f>
        <v>83.3333333333333</v>
      </c>
      <c r="T51" s="2" t="n">
        <f aca="false">Settings!$B$4*MAX(INDEX(Bases!$N$2:$N$53,B51),INDEX(Bases!$N$2:$N$53,C51))+Settings!$B$5*MIN(INDEX(Bases!$N$2:$N$53,B51),INDEX(Bases!$N$2:$N$53,C51))</f>
        <v>56</v>
      </c>
      <c r="U51" s="2" t="n">
        <f aca="false">Settings!$B$4*MAX(INDEX(Bases!$O$2:$O$53,B51),INDEX(Bases!$O$2:$O$53,C51))+Settings!$B$5*MIN(INDEX(Bases!$O$2:$O$53,B51),INDEX(Bases!$O$2:$O$53,C51))</f>
        <v>64.3333333333333</v>
      </c>
      <c r="V51" s="2" t="n">
        <f aca="false">Settings!$B$4*MAX(INDEX(Bases!$P$2:$P$53,B51),INDEX(Bases!$P$2:$P$53,C51))+Settings!$B$5*MIN(INDEX(Bases!$P$2:$P$53,B51),INDEX(Bases!$P$2:$P$53,C51))</f>
        <v>85</v>
      </c>
      <c r="W51" s="2" t="n">
        <f aca="false">Settings!$B$4*MAX(INDEX(Bases!$Q$2:$Q$53,B51),INDEX(Bases!$Q$2:$Q$53,C51))+Settings!$B$5*MIN(INDEX(Bases!$Q$2:$Q$53,B51),INDEX(Bases!$Q$2:$Q$53,C51))</f>
        <v>92.6666666666667</v>
      </c>
      <c r="X51" s="2" t="n">
        <f aca="false">Settings!$B$4*MAX(INDEX(Bases!$R$2:$R$53,B51),INDEX(Bases!$R$2:$R$53,C51))+Settings!$B$5*MIN(INDEX(Bases!$R$2:$R$53,B51),INDEX(Bases!$R$2:$R$53,C51))</f>
        <v>35.6666666666667</v>
      </c>
      <c r="Y51" s="2" t="n">
        <f aca="false">S51*Settings!$B$3/SUM(S51:X51)</f>
        <v>99.9200639488409</v>
      </c>
      <c r="Z51" s="2" t="n">
        <f aca="false">T51*Settings!$B$3/SUM(S51:X51)</f>
        <v>67.1462829736211</v>
      </c>
      <c r="AA51" s="2" t="n">
        <f aca="false">U51*Settings!$B$3/SUM(S51:X51)</f>
        <v>77.1382893685052</v>
      </c>
      <c r="AB51" s="2" t="n">
        <f aca="false">V51*Settings!$B$3/SUM(S51:X51)</f>
        <v>101.918465227818</v>
      </c>
      <c r="AC51" s="2" t="n">
        <f aca="false">W51*Settings!$B$3/SUM(S51:X51)</f>
        <v>111.111111111111</v>
      </c>
      <c r="AD51" s="2" t="n">
        <f aca="false">X51*Settings!$B$3/SUM(S51:X51)</f>
        <v>42.7657873701039</v>
      </c>
      <c r="AE51" s="2" t="n">
        <f aca="false">INT(Y51)</f>
        <v>99</v>
      </c>
      <c r="AF51" s="2" t="n">
        <f aca="false">INT(Z51)</f>
        <v>67</v>
      </c>
      <c r="AG51" s="2" t="n">
        <f aca="false">INT(AA51)</f>
        <v>77</v>
      </c>
      <c r="AH51" s="2" t="n">
        <f aca="false">INT(AB51)</f>
        <v>101</v>
      </c>
      <c r="AI51" s="2" t="n">
        <f aca="false">INT(AC51)</f>
        <v>111</v>
      </c>
      <c r="AJ51" s="2" t="n">
        <f aca="false">INT(AD51)</f>
        <v>42</v>
      </c>
      <c r="AK51" s="2" t="n">
        <f aca="false">Settings!$B$3-SUM(AE51:AJ51)</f>
        <v>3</v>
      </c>
      <c r="AL51" s="2" t="n">
        <f aca="false">ROUND(Y51-AE51,9)</f>
        <v>0.920063949</v>
      </c>
      <c r="AM51" s="2" t="n">
        <f aca="false">ROUND(Z51-AF51,9)</f>
        <v>0.146282974</v>
      </c>
      <c r="AN51" s="2" t="n">
        <f aca="false">ROUND(AA51-AG51,9)</f>
        <v>0.138289369</v>
      </c>
      <c r="AO51" s="2" t="n">
        <f aca="false">ROUND(AB51-AH51,9)</f>
        <v>0.918465228</v>
      </c>
      <c r="AP51" s="2" t="n">
        <f aca="false">ROUND(AC51-AI51,9)</f>
        <v>0.111111111</v>
      </c>
      <c r="AQ51" s="2" t="n">
        <f aca="false">ROUND(AD51-AJ51,9)</f>
        <v>0.76578737</v>
      </c>
    </row>
    <row r="52" customFormat="false" ht="15" hidden="false" customHeight="false" outlineLevel="0" collapsed="false">
      <c r="A52" s="2" t="n">
        <v>51</v>
      </c>
      <c r="B52" s="6" t="n">
        <v>1</v>
      </c>
      <c r="C52" s="6" t="n">
        <v>52</v>
      </c>
      <c r="D52" s="8" t="str">
        <f aca="false">INDEX(Bases!$B$2:$B$53,B52)</f>
        <v>Porygon</v>
      </c>
      <c r="E52" s="8" t="str">
        <f aca="false">INDEX(Bases!$B$2:$B$53,C52)</f>
        <v>Togepi</v>
      </c>
      <c r="F52" s="2" t="str">
        <f aca="false">LEFT(D52,ROUNDUP(LEN(D52)/2,0))&amp;LOWER(MID(E52,ROUNDUP(LEN(E52)/2,0)+1,20))</f>
        <v>Poryepi</v>
      </c>
      <c r="G52" s="8" t="str">
        <f aca="false">INDEX(Bases!$C$2:$C$53,B52)</f>
        <v>Normal</v>
      </c>
      <c r="H52" s="8" t="str">
        <f aca="false">IF(INDEX(Bases!$C$2:$C$53,C52)=G52,"",INDEX(Bases!$C$2:$C$53,C52))</f>
        <v>Fairy</v>
      </c>
      <c r="I52" s="8" t="str">
        <f aca="false">IF(INDEX(Bases!$E$2:$E$53,B52)="","",INDEX(Bases!$E$2:$E$53,B52))</f>
        <v/>
      </c>
      <c r="J52" s="8" t="str">
        <f aca="false">IF(INDEX(Bases!$E$2:$E$53,C52)="","",INDEX(Bases!$E$2:$E$53,C52))</f>
        <v/>
      </c>
      <c r="K52" s="5"/>
      <c r="L52" s="2" t="n">
        <f aca="false">AE52+IF(SUMPRODUCT(--($AL52:$AQ52&gt;AL52))&lt;$AK52,1,0)</f>
        <v>75</v>
      </c>
      <c r="M52" s="2" t="n">
        <f aca="false">AF52+IF(SUMPRODUCT(--($AL52:$AQ52&gt;AM52))+SUMPRODUCT(--($AL52:AL52=AM52))&lt;$AK52,1,0)</f>
        <v>61</v>
      </c>
      <c r="N52" s="2" t="n">
        <f aca="false">AG52+IF(SUMPRODUCT(--($AL52:$AQ52&gt;AN52))+SUMPRODUCT(--($AL52:AM52=AN52))&lt;$AK52,1,0)</f>
        <v>112</v>
      </c>
      <c r="O52" s="2" t="n">
        <f aca="false">AH52+IF(SUMPRODUCT(--($AL52:$AQ52&gt;AO52))+SUMPRODUCT(--($AL52:AN52=AO52))&lt;$AK52,1,0)</f>
        <v>94</v>
      </c>
      <c r="P52" s="2" t="n">
        <f aca="false">AI52+IF(SUMPRODUCT(--($AL52:$AQ52&gt;AP52))+SUMPRODUCT(--($AL52:AO52=AP52))&lt;$AK52,1,0)</f>
        <v>114</v>
      </c>
      <c r="Q52" s="2" t="n">
        <f aca="false">AJ52+IF(SUMPRODUCT(--($AL52:$AQ52&gt;AQ52))+SUMPRODUCT(--($AL52:AP52=AQ52))&lt;$AK52,1,0)</f>
        <v>44</v>
      </c>
      <c r="R52" s="2" t="n">
        <f aca="false">SUM(L52:Q52)</f>
        <v>500</v>
      </c>
      <c r="S52" s="2" t="n">
        <f aca="false">Settings!$B$4*MAX(INDEX(Bases!$M$2:$M$53,B52),INDEX(Bases!$M$2:$M$53,C52))+Settings!$B$5*MIN(INDEX(Bases!$M$2:$M$53,B52),INDEX(Bases!$M$2:$M$53,C52))</f>
        <v>63</v>
      </c>
      <c r="T52" s="2" t="n">
        <f aca="false">Settings!$B$4*MAX(INDEX(Bases!$N$2:$N$53,B52),INDEX(Bases!$N$2:$N$53,C52))+Settings!$B$5*MIN(INDEX(Bases!$N$2:$N$53,B52),INDEX(Bases!$N$2:$N$53,C52))</f>
        <v>51.6666666666667</v>
      </c>
      <c r="U52" s="2" t="n">
        <f aca="false">Settings!$B$4*MAX(INDEX(Bases!$O$2:$O$53,B52),INDEX(Bases!$O$2:$O$53,C52))+Settings!$B$5*MIN(INDEX(Bases!$O$2:$O$53,B52),INDEX(Bases!$O$2:$O$53,C52))</f>
        <v>94.3333333333333</v>
      </c>
      <c r="V52" s="2" t="n">
        <f aca="false">Settings!$B$4*MAX(INDEX(Bases!$P$2:$P$53,B52),INDEX(Bases!$P$2:$P$53,C52))+Settings!$B$5*MIN(INDEX(Bases!$P$2:$P$53,B52),INDEX(Bases!$P$2:$P$53,C52))</f>
        <v>79</v>
      </c>
      <c r="W52" s="2" t="n">
        <f aca="false">Settings!$B$4*MAX(INDEX(Bases!$Q$2:$Q$53,B52),INDEX(Bases!$Q$2:$Q$53,C52))+Settings!$B$5*MIN(INDEX(Bases!$Q$2:$Q$53,B52),INDEX(Bases!$Q$2:$Q$53,C52))</f>
        <v>96</v>
      </c>
      <c r="X52" s="2" t="n">
        <f aca="false">Settings!$B$4*MAX(INDEX(Bases!$R$2:$R$53,B52),INDEX(Bases!$R$2:$R$53,C52))+Settings!$B$5*MIN(INDEX(Bases!$R$2:$R$53,B52),INDEX(Bases!$R$2:$R$53,C52))</f>
        <v>37.6666666666667</v>
      </c>
      <c r="Y52" s="2" t="n">
        <f aca="false">S52*Settings!$B$3/SUM(S52:X52)</f>
        <v>74.703557312253</v>
      </c>
      <c r="Z52" s="2" t="n">
        <f aca="false">T52*Settings!$B$3/SUM(S52:X52)</f>
        <v>61.2648221343873</v>
      </c>
      <c r="AA52" s="2" t="n">
        <f aca="false">U52*Settings!$B$3/SUM(S52:X52)</f>
        <v>111.857707509881</v>
      </c>
      <c r="AB52" s="2" t="n">
        <f aca="false">V52*Settings!$B$3/SUM(S52:X52)</f>
        <v>93.6758893280632</v>
      </c>
      <c r="AC52" s="2" t="n">
        <f aca="false">W52*Settings!$B$3/SUM(S52:X52)</f>
        <v>113.833992094862</v>
      </c>
      <c r="AD52" s="2" t="n">
        <f aca="false">X52*Settings!$B$3/SUM(S52:X52)</f>
        <v>44.6640316205534</v>
      </c>
      <c r="AE52" s="2" t="n">
        <f aca="false">INT(Y52)</f>
        <v>74</v>
      </c>
      <c r="AF52" s="2" t="n">
        <f aca="false">INT(Z52)</f>
        <v>61</v>
      </c>
      <c r="AG52" s="2" t="n">
        <f aca="false">INT(AA52)</f>
        <v>111</v>
      </c>
      <c r="AH52" s="2" t="n">
        <f aca="false">INT(AB52)</f>
        <v>93</v>
      </c>
      <c r="AI52" s="2" t="n">
        <f aca="false">INT(AC52)</f>
        <v>113</v>
      </c>
      <c r="AJ52" s="2" t="n">
        <f aca="false">INT(AD52)</f>
        <v>44</v>
      </c>
      <c r="AK52" s="2" t="n">
        <f aca="false">Settings!$B$3-SUM(AE52:AJ52)</f>
        <v>4</v>
      </c>
      <c r="AL52" s="2" t="n">
        <f aca="false">ROUND(Y52-AE52,9)</f>
        <v>0.703557312</v>
      </c>
      <c r="AM52" s="2" t="n">
        <f aca="false">ROUND(Z52-AF52,9)</f>
        <v>0.264822134</v>
      </c>
      <c r="AN52" s="2" t="n">
        <f aca="false">ROUND(AA52-AG52,9)</f>
        <v>0.85770751</v>
      </c>
      <c r="AO52" s="2" t="n">
        <f aca="false">ROUND(AB52-AH52,9)</f>
        <v>0.675889328</v>
      </c>
      <c r="AP52" s="2" t="n">
        <f aca="false">ROUND(AC52-AI52,9)</f>
        <v>0.833992095</v>
      </c>
      <c r="AQ52" s="2" t="n">
        <f aca="false">ROUND(AD52-AJ52,9)</f>
        <v>0.664031621</v>
      </c>
    </row>
    <row r="53" customFormat="false" ht="15" hidden="false" customHeight="false" outlineLevel="0" collapsed="false">
      <c r="A53" s="2" t="n">
        <v>52</v>
      </c>
      <c r="B53" s="6" t="n">
        <v>2</v>
      </c>
      <c r="C53" s="6" t="n">
        <v>3</v>
      </c>
      <c r="D53" s="8" t="str">
        <f aca="false">INDEX(Bases!$B$2:$B$53,B53)</f>
        <v>Dunsparce</v>
      </c>
      <c r="E53" s="8" t="str">
        <f aca="false">INDEX(Bases!$B$2:$B$53,C53)</f>
        <v>Teddiursa</v>
      </c>
      <c r="F53" s="2" t="str">
        <f aca="false">LEFT(D53,ROUNDUP(LEN(D53)/2,0))&amp;LOWER(MID(E53,ROUNDUP(LEN(E53)/2,0)+1,20))</f>
        <v>Dunspursa</v>
      </c>
      <c r="G53" s="8" t="str">
        <f aca="false">INDEX(Bases!$C$2:$C$53,B53)</f>
        <v>Normal</v>
      </c>
      <c r="H53" s="8" t="str">
        <f aca="false">IF(INDEX(Bases!$C$2:$C$53,C53)=G53,"",INDEX(Bases!$C$2:$C$53,C53))</f>
        <v/>
      </c>
      <c r="I53" s="8" t="str">
        <f aca="false">IF(INDEX(Bases!$E$2:$E$53,B53)="","",INDEX(Bases!$E$2:$E$53,B53))</f>
        <v/>
      </c>
      <c r="J53" s="8" t="str">
        <f aca="false">IF(INDEX(Bases!$E$2:$E$53,C53)="","",INDEX(Bases!$E$2:$E$53,C53))</f>
        <v/>
      </c>
      <c r="K53" s="5"/>
      <c r="L53" s="2" t="n">
        <f aca="false">AE53+IF(SUMPRODUCT(--($AL53:$AQ53&gt;AL53))&lt;$AK53,1,0)</f>
        <v>108</v>
      </c>
      <c r="M53" s="2" t="n">
        <f aca="false">AF53+IF(SUMPRODUCT(--($AL53:$AQ53&gt;AM53))+SUMPRODUCT(--($AL53:AL53=AM53))&lt;$AK53,1,0)</f>
        <v>106</v>
      </c>
      <c r="N53" s="2" t="n">
        <f aca="false">AG53+IF(SUMPRODUCT(--($AL53:$AQ53&gt;AN53))+SUMPRODUCT(--($AL53:AM53=AN53))&lt;$AK53,1,0)</f>
        <v>79</v>
      </c>
      <c r="O53" s="2" t="n">
        <f aca="false">AH53+IF(SUMPRODUCT(--($AL53:$AQ53&gt;AO53))+SUMPRODUCT(--($AL53:AN53=AO53))&lt;$AK53,1,0)</f>
        <v>76</v>
      </c>
      <c r="P53" s="2" t="n">
        <f aca="false">AI53+IF(SUMPRODUCT(--($AL53:$AQ53&gt;AP53))+SUMPRODUCT(--($AL53:AO53=AP53))&lt;$AK53,1,0)</f>
        <v>75</v>
      </c>
      <c r="Q53" s="2" t="n">
        <f aca="false">AJ53+IF(SUMPRODUCT(--($AL53:$AQ53&gt;AQ53))+SUMPRODUCT(--($AL53:AP53=AQ53))&lt;$AK53,1,0)</f>
        <v>56</v>
      </c>
      <c r="R53" s="2" t="n">
        <f aca="false">SUM(L53:Q53)</f>
        <v>500</v>
      </c>
      <c r="S53" s="2" t="n">
        <f aca="false">Settings!$B$4*MAX(INDEX(Bases!$M$2:$M$53,B53),INDEX(Bases!$M$2:$M$53,C53))+Settings!$B$5*MIN(INDEX(Bases!$M$2:$M$53,B53),INDEX(Bases!$M$2:$M$53,C53))</f>
        <v>88.3333333333333</v>
      </c>
      <c r="T53" s="2" t="n">
        <f aca="false">Settings!$B$4*MAX(INDEX(Bases!$N$2:$N$53,B53),INDEX(Bases!$N$2:$N$53,C53))+Settings!$B$5*MIN(INDEX(Bases!$N$2:$N$53,B53),INDEX(Bases!$N$2:$N$53,C53))</f>
        <v>87.3333333333333</v>
      </c>
      <c r="U53" s="2" t="n">
        <f aca="false">Settings!$B$4*MAX(INDEX(Bases!$O$2:$O$53,B53),INDEX(Bases!$O$2:$O$53,C53))+Settings!$B$5*MIN(INDEX(Bases!$O$2:$O$53,B53),INDEX(Bases!$O$2:$O$53,C53))</f>
        <v>65</v>
      </c>
      <c r="V53" s="2" t="n">
        <f aca="false">Settings!$B$4*MAX(INDEX(Bases!$P$2:$P$53,B53),INDEX(Bases!$P$2:$P$53,C53))+Settings!$B$5*MIN(INDEX(Bases!$P$2:$P$53,B53),INDEX(Bases!$P$2:$P$53,C53))</f>
        <v>62.3333333333333</v>
      </c>
      <c r="W53" s="2" t="n">
        <f aca="false">Settings!$B$4*MAX(INDEX(Bases!$Q$2:$Q$53,B53),INDEX(Bases!$Q$2:$Q$53,C53))+Settings!$B$5*MIN(INDEX(Bases!$Q$2:$Q$53,B53),INDEX(Bases!$Q$2:$Q$53,C53))</f>
        <v>62</v>
      </c>
      <c r="X53" s="2" t="n">
        <f aca="false">Settings!$B$4*MAX(INDEX(Bases!$R$2:$R$53,B53),INDEX(Bases!$R$2:$R$53,C53))+Settings!$B$5*MIN(INDEX(Bases!$R$2:$R$53,B53),INDEX(Bases!$R$2:$R$53,C53))</f>
        <v>46.3333333333333</v>
      </c>
      <c r="Y53" s="2" t="n">
        <f aca="false">S53*Settings!$B$3/SUM(S53:X53)</f>
        <v>107.374392220421</v>
      </c>
      <c r="Z53" s="2" t="n">
        <f aca="false">T53*Settings!$B$3/SUM(S53:X53)</f>
        <v>106.158833063209</v>
      </c>
      <c r="AA53" s="2" t="n">
        <f aca="false">U53*Settings!$B$3/SUM(S53:X53)</f>
        <v>79.0113452188007</v>
      </c>
      <c r="AB53" s="2" t="n">
        <f aca="false">V53*Settings!$B$3/SUM(S53:X53)</f>
        <v>75.7698541329011</v>
      </c>
      <c r="AC53" s="2" t="n">
        <f aca="false">W53*Settings!$B$3/SUM(S53:X53)</f>
        <v>75.3646677471637</v>
      </c>
      <c r="AD53" s="2" t="n">
        <f aca="false">X53*Settings!$B$3/SUM(S53:X53)</f>
        <v>56.3209076175041</v>
      </c>
      <c r="AE53" s="2" t="n">
        <f aca="false">INT(Y53)</f>
        <v>107</v>
      </c>
      <c r="AF53" s="2" t="n">
        <f aca="false">INT(Z53)</f>
        <v>106</v>
      </c>
      <c r="AG53" s="2" t="n">
        <f aca="false">INT(AA53)</f>
        <v>79</v>
      </c>
      <c r="AH53" s="2" t="n">
        <f aca="false">INT(AB53)</f>
        <v>75</v>
      </c>
      <c r="AI53" s="2" t="n">
        <f aca="false">INT(AC53)</f>
        <v>75</v>
      </c>
      <c r="AJ53" s="2" t="n">
        <f aca="false">INT(AD53)</f>
        <v>56</v>
      </c>
      <c r="AK53" s="2" t="n">
        <f aca="false">Settings!$B$3-SUM(AE53:AJ53)</f>
        <v>2</v>
      </c>
      <c r="AL53" s="2" t="n">
        <f aca="false">ROUND(Y53-AE53,9)</f>
        <v>0.37439222</v>
      </c>
      <c r="AM53" s="2" t="n">
        <f aca="false">ROUND(Z53-AF53,9)</f>
        <v>0.158833063</v>
      </c>
      <c r="AN53" s="2" t="n">
        <f aca="false">ROUND(AA53-AG53,9)</f>
        <v>0.011345219</v>
      </c>
      <c r="AO53" s="2" t="n">
        <f aca="false">ROUND(AB53-AH53,9)</f>
        <v>0.769854133</v>
      </c>
      <c r="AP53" s="2" t="n">
        <f aca="false">ROUND(AC53-AI53,9)</f>
        <v>0.364667747</v>
      </c>
      <c r="AQ53" s="2" t="n">
        <f aca="false">ROUND(AD53-AJ53,9)</f>
        <v>0.320907618</v>
      </c>
    </row>
    <row r="54" customFormat="false" ht="15" hidden="false" customHeight="false" outlineLevel="0" collapsed="false">
      <c r="A54" s="2" t="n">
        <v>53</v>
      </c>
      <c r="B54" s="6" t="n">
        <v>2</v>
      </c>
      <c r="C54" s="6" t="n">
        <v>4</v>
      </c>
      <c r="D54" s="8" t="str">
        <f aca="false">INDEX(Bases!$B$2:$B$53,B54)</f>
        <v>Dunsparce</v>
      </c>
      <c r="E54" s="8" t="str">
        <f aca="false">INDEX(Bases!$B$2:$B$53,C54)</f>
        <v>Growlithe</v>
      </c>
      <c r="F54" s="2" t="str">
        <f aca="false">LEFT(D54,ROUNDUP(LEN(D54)/2,0))&amp;LOWER(MID(E54,ROUNDUP(LEN(E54)/2,0)+1,20))</f>
        <v>Dunspithe</v>
      </c>
      <c r="G54" s="8" t="str">
        <f aca="false">INDEX(Bases!$C$2:$C$53,B54)</f>
        <v>Normal</v>
      </c>
      <c r="H54" s="8" t="str">
        <f aca="false">IF(INDEX(Bases!$C$2:$C$53,C54)=G54,"",INDEX(Bases!$C$2:$C$53,C54))</f>
        <v>Fire</v>
      </c>
      <c r="I54" s="8" t="str">
        <f aca="false">IF(INDEX(Bases!$E$2:$E$53,B54)="","",INDEX(Bases!$E$2:$E$53,B54))</f>
        <v/>
      </c>
      <c r="J54" s="8" t="str">
        <f aca="false">IF(INDEX(Bases!$E$2:$E$53,C54)="","",INDEX(Bases!$E$2:$E$53,C54))</f>
        <v/>
      </c>
      <c r="K54" s="5"/>
      <c r="L54" s="2" t="n">
        <f aca="false">AE54+IF(SUMPRODUCT(--($AL54:$AQ54&gt;AL54))&lt;$AK54,1,0)</f>
        <v>101</v>
      </c>
      <c r="M54" s="2" t="n">
        <f aca="false">AF54+IF(SUMPRODUCT(--($AL54:$AQ54&gt;AM54))+SUMPRODUCT(--($AL54:AL54=AM54))&lt;$AK54,1,0)</f>
        <v>91</v>
      </c>
      <c r="N54" s="2" t="n">
        <f aca="false">AG54+IF(SUMPRODUCT(--($AL54:$AQ54&gt;AN54))+SUMPRODUCT(--($AL54:AM54=AN54))&lt;$AK54,1,0)</f>
        <v>74</v>
      </c>
      <c r="O54" s="2" t="n">
        <f aca="false">AH54+IF(SUMPRODUCT(--($AL54:$AQ54&gt;AO54))+SUMPRODUCT(--($AL54:AN54=AO54))&lt;$AK54,1,0)</f>
        <v>89</v>
      </c>
      <c r="P54" s="2" t="n">
        <f aca="false">AI54+IF(SUMPRODUCT(--($AL54:$AQ54&gt;AP54))+SUMPRODUCT(--($AL54:AO54=AP54))&lt;$AK54,1,0)</f>
        <v>73</v>
      </c>
      <c r="Q54" s="2" t="n">
        <f aca="false">AJ54+IF(SUMPRODUCT(--($AL54:$AQ54&gt;AQ54))+SUMPRODUCT(--($AL54:AP54=AQ54))&lt;$AK54,1,0)</f>
        <v>72</v>
      </c>
      <c r="R54" s="2" t="n">
        <f aca="false">SUM(L54:Q54)</f>
        <v>500</v>
      </c>
      <c r="S54" s="2" t="n">
        <f aca="false">Settings!$B$4*MAX(INDEX(Bases!$M$2:$M$53,B54),INDEX(Bases!$M$2:$M$53,C54))+Settings!$B$5*MIN(INDEX(Bases!$M$2:$M$53,B54),INDEX(Bases!$M$2:$M$53,C54))</f>
        <v>85</v>
      </c>
      <c r="T54" s="2" t="n">
        <f aca="false">Settings!$B$4*MAX(INDEX(Bases!$N$2:$N$53,B54),INDEX(Bases!$N$2:$N$53,C54))+Settings!$B$5*MIN(INDEX(Bases!$N$2:$N$53,B54),INDEX(Bases!$N$2:$N$53,C54))</f>
        <v>76</v>
      </c>
      <c r="U54" s="2" t="n">
        <f aca="false">Settings!$B$4*MAX(INDEX(Bases!$O$2:$O$53,B54),INDEX(Bases!$O$2:$O$53,C54))+Settings!$B$5*MIN(INDEX(Bases!$O$2:$O$53,B54),INDEX(Bases!$O$2:$O$53,C54))</f>
        <v>61.6666666666667</v>
      </c>
      <c r="V54" s="2" t="n">
        <f aca="false">Settings!$B$4*MAX(INDEX(Bases!$P$2:$P$53,B54),INDEX(Bases!$P$2:$P$53,C54))+Settings!$B$5*MIN(INDEX(Bases!$P$2:$P$53,B54),INDEX(Bases!$P$2:$P$53,C54))</f>
        <v>74.3333333333333</v>
      </c>
      <c r="W54" s="2" t="n">
        <f aca="false">Settings!$B$4*MAX(INDEX(Bases!$Q$2:$Q$53,B54),INDEX(Bases!$Q$2:$Q$53,C54))+Settings!$B$5*MIN(INDEX(Bases!$Q$2:$Q$53,B54),INDEX(Bases!$Q$2:$Q$53,C54))</f>
        <v>61</v>
      </c>
      <c r="X54" s="2" t="n">
        <f aca="false">Settings!$B$4*MAX(INDEX(Bases!$R$2:$R$53,B54),INDEX(Bases!$R$2:$R$53,C54))+Settings!$B$5*MIN(INDEX(Bases!$R$2:$R$53,B54),INDEX(Bases!$R$2:$R$53,C54))</f>
        <v>60.3333333333333</v>
      </c>
      <c r="Y54" s="2" t="n">
        <f aca="false">S54*Settings!$B$3/SUM(S54:X54)</f>
        <v>101.593625498008</v>
      </c>
      <c r="Z54" s="2" t="n">
        <f aca="false">T54*Settings!$B$3/SUM(S54:X54)</f>
        <v>90.8366533864542</v>
      </c>
      <c r="AA54" s="2" t="n">
        <f aca="false">U54*Settings!$B$3/SUM(S54:X54)</f>
        <v>73.7051792828685</v>
      </c>
      <c r="AB54" s="2" t="n">
        <f aca="false">V54*Settings!$B$3/SUM(S54:X54)</f>
        <v>88.8446215139442</v>
      </c>
      <c r="AC54" s="2" t="n">
        <f aca="false">W54*Settings!$B$3/SUM(S54:X54)</f>
        <v>72.9083665338646</v>
      </c>
      <c r="AD54" s="2" t="n">
        <f aca="false">X54*Settings!$B$3/SUM(S54:X54)</f>
        <v>72.1115537848606</v>
      </c>
      <c r="AE54" s="2" t="n">
        <f aca="false">INT(Y54)</f>
        <v>101</v>
      </c>
      <c r="AF54" s="2" t="n">
        <f aca="false">INT(Z54)</f>
        <v>90</v>
      </c>
      <c r="AG54" s="2" t="n">
        <f aca="false">INT(AA54)</f>
        <v>73</v>
      </c>
      <c r="AH54" s="2" t="n">
        <f aca="false">INT(AB54)</f>
        <v>88</v>
      </c>
      <c r="AI54" s="2" t="n">
        <f aca="false">INT(AC54)</f>
        <v>72</v>
      </c>
      <c r="AJ54" s="2" t="n">
        <f aca="false">INT(AD54)</f>
        <v>72</v>
      </c>
      <c r="AK54" s="2" t="n">
        <f aca="false">Settings!$B$3-SUM(AE54:AJ54)</f>
        <v>4</v>
      </c>
      <c r="AL54" s="2" t="n">
        <f aca="false">ROUND(Y54-AE54,9)</f>
        <v>0.593625498</v>
      </c>
      <c r="AM54" s="2" t="n">
        <f aca="false">ROUND(Z54-AF54,9)</f>
        <v>0.836653386</v>
      </c>
      <c r="AN54" s="2" t="n">
        <f aca="false">ROUND(AA54-AG54,9)</f>
        <v>0.705179283</v>
      </c>
      <c r="AO54" s="2" t="n">
        <f aca="false">ROUND(AB54-AH54,9)</f>
        <v>0.844621514</v>
      </c>
      <c r="AP54" s="2" t="n">
        <f aca="false">ROUND(AC54-AI54,9)</f>
        <v>0.908366534</v>
      </c>
      <c r="AQ54" s="2" t="n">
        <f aca="false">ROUND(AD54-AJ54,9)</f>
        <v>0.111553785</v>
      </c>
    </row>
    <row r="55" customFormat="false" ht="15" hidden="false" customHeight="false" outlineLevel="0" collapsed="false">
      <c r="A55" s="2" t="n">
        <v>54</v>
      </c>
      <c r="B55" s="6" t="n">
        <v>2</v>
      </c>
      <c r="C55" s="6" t="n">
        <v>5</v>
      </c>
      <c r="D55" s="8" t="str">
        <f aca="false">INDEX(Bases!$B$2:$B$53,B55)</f>
        <v>Dunsparce</v>
      </c>
      <c r="E55" s="8" t="str">
        <f aca="false">INDEX(Bases!$B$2:$B$53,C55)</f>
        <v>Cyndaquil</v>
      </c>
      <c r="F55" s="2" t="str">
        <f aca="false">LEFT(D55,ROUNDUP(LEN(D55)/2,0))&amp;LOWER(MID(E55,ROUNDUP(LEN(E55)/2,0)+1,20))</f>
        <v>Dunspquil</v>
      </c>
      <c r="G55" s="8" t="str">
        <f aca="false">INDEX(Bases!$C$2:$C$53,B55)</f>
        <v>Normal</v>
      </c>
      <c r="H55" s="8" t="str">
        <f aca="false">IF(INDEX(Bases!$C$2:$C$53,C55)=G55,"",INDEX(Bases!$C$2:$C$53,C55))</f>
        <v>Fire</v>
      </c>
      <c r="I55" s="8" t="str">
        <f aca="false">IF(INDEX(Bases!$E$2:$E$53,B55)="","",INDEX(Bases!$E$2:$E$53,B55))</f>
        <v/>
      </c>
      <c r="J55" s="8" t="str">
        <f aca="false">IF(INDEX(Bases!$E$2:$E$53,C55)="","",INDEX(Bases!$E$2:$E$53,C55))</f>
        <v/>
      </c>
      <c r="K55" s="5"/>
      <c r="L55" s="2" t="n">
        <f aca="false">AE55+IF(SUMPRODUCT(--($AL55:$AQ55&gt;AL55))&lt;$AK55,1,0)</f>
        <v>96</v>
      </c>
      <c r="M55" s="2" t="n">
        <f aca="false">AF55+IF(SUMPRODUCT(--($AL55:$AQ55&gt;AM55))+SUMPRODUCT(--($AL55:AL55=AM55))&lt;$AK55,1,0)</f>
        <v>81</v>
      </c>
      <c r="N55" s="2" t="n">
        <f aca="false">AG55+IF(SUMPRODUCT(--($AL55:$AQ55&gt;AN55))+SUMPRODUCT(--($AL55:AM55=AN55))&lt;$AK55,1,0)</f>
        <v>75</v>
      </c>
      <c r="O55" s="2" t="n">
        <f aca="false">AH55+IF(SUMPRODUCT(--($AL55:$AQ55&gt;AO55))+SUMPRODUCT(--($AL55:AN55=AO55))&lt;$AK55,1,0)</f>
        <v>87</v>
      </c>
      <c r="P55" s="2" t="n">
        <f aca="false">AI55+IF(SUMPRODUCT(--($AL55:$AQ55&gt;AP55))+SUMPRODUCT(--($AL55:AO55=AP55))&lt;$AK55,1,0)</f>
        <v>77</v>
      </c>
      <c r="Q55" s="2" t="n">
        <f aca="false">AJ55+IF(SUMPRODUCT(--($AL55:$AQ55&gt;AQ55))+SUMPRODUCT(--($AL55:AP55=AQ55))&lt;$AK55,1,0)</f>
        <v>84</v>
      </c>
      <c r="R55" s="2" t="n">
        <f aca="false">SUM(L55:Q55)</f>
        <v>500</v>
      </c>
      <c r="S55" s="2" t="n">
        <f aca="false">Settings!$B$4*MAX(INDEX(Bases!$M$2:$M$53,B55),INDEX(Bases!$M$2:$M$53,C55))+Settings!$B$5*MIN(INDEX(Bases!$M$2:$M$53,B55),INDEX(Bases!$M$2:$M$53,C55))</f>
        <v>80.6666666666667</v>
      </c>
      <c r="T55" s="2" t="n">
        <f aca="false">Settings!$B$4*MAX(INDEX(Bases!$N$2:$N$53,B55),INDEX(Bases!$N$2:$N$53,C55))+Settings!$B$5*MIN(INDEX(Bases!$N$2:$N$53,B55),INDEX(Bases!$N$2:$N$53,C55))</f>
        <v>67.6666666666667</v>
      </c>
      <c r="U55" s="2" t="n">
        <f aca="false">Settings!$B$4*MAX(INDEX(Bases!$O$2:$O$53,B55),INDEX(Bases!$O$2:$O$53,C55))+Settings!$B$5*MIN(INDEX(Bases!$O$2:$O$53,B55),INDEX(Bases!$O$2:$O$53,C55))</f>
        <v>63.3333333333333</v>
      </c>
      <c r="V55" s="2" t="n">
        <f aca="false">Settings!$B$4*MAX(INDEX(Bases!$P$2:$P$53,B55),INDEX(Bases!$P$2:$P$53,C55))+Settings!$B$5*MIN(INDEX(Bases!$P$2:$P$53,B55),INDEX(Bases!$P$2:$P$53,C55))</f>
        <v>73</v>
      </c>
      <c r="W55" s="2" t="n">
        <f aca="false">Settings!$B$4*MAX(INDEX(Bases!$Q$2:$Q$53,B55),INDEX(Bases!$Q$2:$Q$53,C55))+Settings!$B$5*MIN(INDEX(Bases!$Q$2:$Q$53,B55),INDEX(Bases!$Q$2:$Q$53,C55))</f>
        <v>64.3333333333333</v>
      </c>
      <c r="X55" s="2" t="n">
        <f aca="false">Settings!$B$4*MAX(INDEX(Bases!$R$2:$R$53,B55),INDEX(Bases!$R$2:$R$53,C55))+Settings!$B$5*MIN(INDEX(Bases!$R$2:$R$53,B55),INDEX(Bases!$R$2:$R$53,C55))</f>
        <v>70.3333333333333</v>
      </c>
      <c r="Y55" s="2" t="n">
        <f aca="false">S55*Settings!$B$3/SUM(S55:X55)</f>
        <v>96.1844197138315</v>
      </c>
      <c r="Z55" s="2" t="n">
        <f aca="false">T55*Settings!$B$3/SUM(S55:X55)</f>
        <v>80.6836248012719</v>
      </c>
      <c r="AA55" s="2" t="n">
        <f aca="false">U55*Settings!$B$3/SUM(S55:X55)</f>
        <v>75.516693163752</v>
      </c>
      <c r="AB55" s="2" t="n">
        <f aca="false">V55*Settings!$B$3/SUM(S55:X55)</f>
        <v>87.0429252782194</v>
      </c>
      <c r="AC55" s="2" t="n">
        <f aca="false">W55*Settings!$B$3/SUM(S55:X55)</f>
        <v>76.7090620031796</v>
      </c>
      <c r="AD55" s="2" t="n">
        <f aca="false">X55*Settings!$B$3/SUM(S55:X55)</f>
        <v>83.8632750397456</v>
      </c>
      <c r="AE55" s="2" t="n">
        <f aca="false">INT(Y55)</f>
        <v>96</v>
      </c>
      <c r="AF55" s="2" t="n">
        <f aca="false">INT(Z55)</f>
        <v>80</v>
      </c>
      <c r="AG55" s="2" t="n">
        <f aca="false">INT(AA55)</f>
        <v>75</v>
      </c>
      <c r="AH55" s="2" t="n">
        <f aca="false">INT(AB55)</f>
        <v>87</v>
      </c>
      <c r="AI55" s="2" t="n">
        <f aca="false">INT(AC55)</f>
        <v>76</v>
      </c>
      <c r="AJ55" s="2" t="n">
        <f aca="false">INT(AD55)</f>
        <v>83</v>
      </c>
      <c r="AK55" s="2" t="n">
        <f aca="false">Settings!$B$3-SUM(AE55:AJ55)</f>
        <v>3</v>
      </c>
      <c r="AL55" s="2" t="n">
        <f aca="false">ROUND(Y55-AE55,9)</f>
        <v>0.184419714</v>
      </c>
      <c r="AM55" s="2" t="n">
        <f aca="false">ROUND(Z55-AF55,9)</f>
        <v>0.683624801</v>
      </c>
      <c r="AN55" s="2" t="n">
        <f aca="false">ROUND(AA55-AG55,9)</f>
        <v>0.516693164</v>
      </c>
      <c r="AO55" s="2" t="n">
        <f aca="false">ROUND(AB55-AH55,9)</f>
        <v>0.042925278</v>
      </c>
      <c r="AP55" s="2" t="n">
        <f aca="false">ROUND(AC55-AI55,9)</f>
        <v>0.709062003</v>
      </c>
      <c r="AQ55" s="2" t="n">
        <f aca="false">ROUND(AD55-AJ55,9)</f>
        <v>0.86327504</v>
      </c>
    </row>
    <row r="56" customFormat="false" ht="15" hidden="false" customHeight="false" outlineLevel="0" collapsed="false">
      <c r="A56" s="2" t="n">
        <v>55</v>
      </c>
      <c r="B56" s="6" t="n">
        <v>2</v>
      </c>
      <c r="C56" s="6" t="n">
        <v>6</v>
      </c>
      <c r="D56" s="8" t="str">
        <f aca="false">INDEX(Bases!$B$2:$B$53,B56)</f>
        <v>Dunsparce</v>
      </c>
      <c r="E56" s="8" t="str">
        <f aca="false">INDEX(Bases!$B$2:$B$53,C56)</f>
        <v>Numel</v>
      </c>
      <c r="F56" s="2" t="str">
        <f aca="false">LEFT(D56,ROUNDUP(LEN(D56)/2,0))&amp;LOWER(MID(E56,ROUNDUP(LEN(E56)/2,0)+1,20))</f>
        <v>Dunspel</v>
      </c>
      <c r="G56" s="8" t="str">
        <f aca="false">INDEX(Bases!$C$2:$C$53,B56)</f>
        <v>Normal</v>
      </c>
      <c r="H56" s="8" t="str">
        <f aca="false">IF(INDEX(Bases!$C$2:$C$53,C56)=G56,"",INDEX(Bases!$C$2:$C$53,C56))</f>
        <v>Fire</v>
      </c>
      <c r="I56" s="8" t="str">
        <f aca="false">IF(INDEX(Bases!$E$2:$E$53,B56)="","",INDEX(Bases!$E$2:$E$53,B56))</f>
        <v/>
      </c>
      <c r="J56" s="8" t="str">
        <f aca="false">IF(INDEX(Bases!$E$2:$E$53,C56)="","",INDEX(Bases!$E$2:$E$53,C56))</f>
        <v/>
      </c>
      <c r="K56" s="5"/>
      <c r="L56" s="2" t="n">
        <f aca="false">AE56+IF(SUMPRODUCT(--($AL56:$AQ56&gt;AL56))&lt;$AK56,1,0)</f>
        <v>110</v>
      </c>
      <c r="M56" s="2" t="n">
        <f aca="false">AF56+IF(SUMPRODUCT(--($AL56:$AQ56&gt;AM56))+SUMPRODUCT(--($AL56:AL56=AM56))&lt;$AK56,1,0)</f>
        <v>91</v>
      </c>
      <c r="N56" s="2" t="n">
        <f aca="false">AG56+IF(SUMPRODUCT(--($AL56:$AQ56&gt;AN56))+SUMPRODUCT(--($AL56:AM56=AN56))&lt;$AK56,1,0)</f>
        <v>75</v>
      </c>
      <c r="O56" s="2" t="n">
        <f aca="false">AH56+IF(SUMPRODUCT(--($AL56:$AQ56&gt;AO56))+SUMPRODUCT(--($AL56:AN56=AO56))&lt;$AK56,1,0)</f>
        <v>94</v>
      </c>
      <c r="P56" s="2" t="n">
        <f aca="false">AI56+IF(SUMPRODUCT(--($AL56:$AQ56&gt;AP56))+SUMPRODUCT(--($AL56:AO56=AP56))&lt;$AK56,1,0)</f>
        <v>75</v>
      </c>
      <c r="Q56" s="2" t="n">
        <f aca="false">AJ56+IF(SUMPRODUCT(--($AL56:$AQ56&gt;AQ56))+SUMPRODUCT(--($AL56:AP56=AQ56))&lt;$AK56,1,0)</f>
        <v>55</v>
      </c>
      <c r="R56" s="2" t="n">
        <f aca="false">SUM(L56:Q56)</f>
        <v>500</v>
      </c>
      <c r="S56" s="2" t="n">
        <f aca="false">Settings!$B$4*MAX(INDEX(Bases!$M$2:$M$53,B56),INDEX(Bases!$M$2:$M$53,C56))+Settings!$B$5*MIN(INDEX(Bases!$M$2:$M$53,B56),INDEX(Bases!$M$2:$M$53,C56))</f>
        <v>90.3333333333333</v>
      </c>
      <c r="T56" s="2" t="n">
        <f aca="false">Settings!$B$4*MAX(INDEX(Bases!$N$2:$N$53,B56),INDEX(Bases!$N$2:$N$53,C56))+Settings!$B$5*MIN(INDEX(Bases!$N$2:$N$53,B56),INDEX(Bases!$N$2:$N$53,C56))</f>
        <v>75.3333333333333</v>
      </c>
      <c r="U56" s="2" t="n">
        <f aca="false">Settings!$B$4*MAX(INDEX(Bases!$O$2:$O$53,B56),INDEX(Bases!$O$2:$O$53,C56))+Settings!$B$5*MIN(INDEX(Bases!$O$2:$O$53,B56),INDEX(Bases!$O$2:$O$53,C56))</f>
        <v>62</v>
      </c>
      <c r="V56" s="2" t="n">
        <f aca="false">Settings!$B$4*MAX(INDEX(Bases!$P$2:$P$53,B56),INDEX(Bases!$P$2:$P$53,C56))+Settings!$B$5*MIN(INDEX(Bases!$P$2:$P$53,B56),INDEX(Bases!$P$2:$P$53,C56))</f>
        <v>77.6666666666667</v>
      </c>
      <c r="W56" s="2" t="n">
        <f aca="false">Settings!$B$4*MAX(INDEX(Bases!$Q$2:$Q$53,B56),INDEX(Bases!$Q$2:$Q$53,C56))+Settings!$B$5*MIN(INDEX(Bases!$Q$2:$Q$53,B56),INDEX(Bases!$Q$2:$Q$53,C56))</f>
        <v>61.6666666666667</v>
      </c>
      <c r="X56" s="2" t="n">
        <f aca="false">Settings!$B$4*MAX(INDEX(Bases!$R$2:$R$53,B56),INDEX(Bases!$R$2:$R$53,C56))+Settings!$B$5*MIN(INDEX(Bases!$R$2:$R$53,B56),INDEX(Bases!$R$2:$R$53,C56))</f>
        <v>45</v>
      </c>
      <c r="Y56" s="2" t="n">
        <f aca="false">S56*Settings!$B$3/SUM(S56:X56)</f>
        <v>109.62783171521</v>
      </c>
      <c r="Z56" s="2" t="n">
        <f aca="false">T56*Settings!$B$3/SUM(S56:X56)</f>
        <v>91.4239482200647</v>
      </c>
      <c r="AA56" s="2" t="n">
        <f aca="false">U56*Settings!$B$3/SUM(S56:X56)</f>
        <v>75.2427184466019</v>
      </c>
      <c r="AB56" s="2" t="n">
        <f aca="false">V56*Settings!$B$3/SUM(S56:X56)</f>
        <v>94.2556634304207</v>
      </c>
      <c r="AC56" s="2" t="n">
        <f aca="false">W56*Settings!$B$3/SUM(S56:X56)</f>
        <v>74.8381877022654</v>
      </c>
      <c r="AD56" s="2" t="n">
        <f aca="false">X56*Settings!$B$3/SUM(S56:X56)</f>
        <v>54.6116504854369</v>
      </c>
      <c r="AE56" s="2" t="n">
        <f aca="false">INT(Y56)</f>
        <v>109</v>
      </c>
      <c r="AF56" s="2" t="n">
        <f aca="false">INT(Z56)</f>
        <v>91</v>
      </c>
      <c r="AG56" s="2" t="n">
        <f aca="false">INT(AA56)</f>
        <v>75</v>
      </c>
      <c r="AH56" s="2" t="n">
        <f aca="false">INT(AB56)</f>
        <v>94</v>
      </c>
      <c r="AI56" s="2" t="n">
        <f aca="false">INT(AC56)</f>
        <v>74</v>
      </c>
      <c r="AJ56" s="2" t="n">
        <f aca="false">INT(AD56)</f>
        <v>54</v>
      </c>
      <c r="AK56" s="2" t="n">
        <f aca="false">Settings!$B$3-SUM(AE56:AJ56)</f>
        <v>3</v>
      </c>
      <c r="AL56" s="2" t="n">
        <f aca="false">ROUND(Y56-AE56,9)</f>
        <v>0.627831715</v>
      </c>
      <c r="AM56" s="2" t="n">
        <f aca="false">ROUND(Z56-AF56,9)</f>
        <v>0.42394822</v>
      </c>
      <c r="AN56" s="2" t="n">
        <f aca="false">ROUND(AA56-AG56,9)</f>
        <v>0.242718447</v>
      </c>
      <c r="AO56" s="2" t="n">
        <f aca="false">ROUND(AB56-AH56,9)</f>
        <v>0.25566343</v>
      </c>
      <c r="AP56" s="2" t="n">
        <f aca="false">ROUND(AC56-AI56,9)</f>
        <v>0.838187702</v>
      </c>
      <c r="AQ56" s="2" t="n">
        <f aca="false">ROUND(AD56-AJ56,9)</f>
        <v>0.611650485</v>
      </c>
    </row>
    <row r="57" customFormat="false" ht="15" hidden="false" customHeight="false" outlineLevel="0" collapsed="false">
      <c r="A57" s="2" t="n">
        <v>56</v>
      </c>
      <c r="B57" s="6" t="n">
        <v>2</v>
      </c>
      <c r="C57" s="6" t="n">
        <v>7</v>
      </c>
      <c r="D57" s="8" t="str">
        <f aca="false">INDEX(Bases!$B$2:$B$53,B57)</f>
        <v>Dunsparce</v>
      </c>
      <c r="E57" s="8" t="str">
        <f aca="false">INDEX(Bases!$B$2:$B$53,C57)</f>
        <v>Azurill</v>
      </c>
      <c r="F57" s="2" t="str">
        <f aca="false">LEFT(D57,ROUNDUP(LEN(D57)/2,0))&amp;LOWER(MID(E57,ROUNDUP(LEN(E57)/2,0)+1,20))</f>
        <v>Dunspill</v>
      </c>
      <c r="G57" s="8" t="str">
        <f aca="false">INDEX(Bases!$C$2:$C$53,B57)</f>
        <v>Normal</v>
      </c>
      <c r="H57" s="8" t="str">
        <f aca="false">IF(INDEX(Bases!$C$2:$C$53,C57)=G57,"",INDEX(Bases!$C$2:$C$53,C57))</f>
        <v>Water</v>
      </c>
      <c r="I57" s="8" t="str">
        <f aca="false">IF(INDEX(Bases!$E$2:$E$53,B57)="","",INDEX(Bases!$E$2:$E$53,B57))</f>
        <v/>
      </c>
      <c r="J57" s="8" t="str">
        <f aca="false">IF(INDEX(Bases!$E$2:$E$53,C57)="","",INDEX(Bases!$E$2:$E$53,C57))</f>
        <v/>
      </c>
      <c r="K57" s="5"/>
      <c r="L57" s="2" t="n">
        <f aca="false">AE57+IF(SUMPRODUCT(--($AL57:$AQ57&gt;AL57))&lt;$AK57,1,0)</f>
        <v>124</v>
      </c>
      <c r="M57" s="2" t="n">
        <f aca="false">AF57+IF(SUMPRODUCT(--($AL57:$AQ57&gt;AM57))+SUMPRODUCT(--($AL57:AL57=AM57))&lt;$AK57,1,0)</f>
        <v>71</v>
      </c>
      <c r="N57" s="2" t="n">
        <f aca="false">AG57+IF(SUMPRODUCT(--($AL57:$AQ57&gt;AN57))+SUMPRODUCT(--($AL57:AM57=AN57))&lt;$AK57,1,0)</f>
        <v>94</v>
      </c>
      <c r="O57" s="2" t="n">
        <f aca="false">AH57+IF(SUMPRODUCT(--($AL57:$AQ57&gt;AO57))+SUMPRODUCT(--($AL57:AN57=AO57))&lt;$AK57,1,0)</f>
        <v>67</v>
      </c>
      <c r="P57" s="2" t="n">
        <f aca="false">AI57+IF(SUMPRODUCT(--($AL57:$AQ57&gt;AP57))+SUMPRODUCT(--($AL57:AO57=AP57))&lt;$AK57,1,0)</f>
        <v>93</v>
      </c>
      <c r="Q57" s="2" t="n">
        <f aca="false">AJ57+IF(SUMPRODUCT(--($AL57:$AQ57&gt;AQ57))+SUMPRODUCT(--($AL57:AP57=AQ57))&lt;$AK57,1,0)</f>
        <v>51</v>
      </c>
      <c r="R57" s="2" t="n">
        <f aca="false">SUM(L57:Q57)</f>
        <v>500</v>
      </c>
      <c r="S57" s="2" t="n">
        <f aca="false">Settings!$B$4*MAX(INDEX(Bases!$M$2:$M$53,B57),INDEX(Bases!$M$2:$M$53,C57))+Settings!$B$5*MIN(INDEX(Bases!$M$2:$M$53,B57),INDEX(Bases!$M$2:$M$53,C57))</f>
        <v>102.666666666667</v>
      </c>
      <c r="T57" s="2" t="n">
        <f aca="false">Settings!$B$4*MAX(INDEX(Bases!$N$2:$N$53,B57),INDEX(Bases!$N$2:$N$53,C57))+Settings!$B$5*MIN(INDEX(Bases!$N$2:$N$53,B57),INDEX(Bases!$N$2:$N$53,C57))</f>
        <v>59.3333333333333</v>
      </c>
      <c r="U57" s="2" t="n">
        <f aca="false">Settings!$B$4*MAX(INDEX(Bases!$O$2:$O$53,B57),INDEX(Bases!$O$2:$O$53,C57))+Settings!$B$5*MIN(INDEX(Bases!$O$2:$O$53,B57),INDEX(Bases!$O$2:$O$53,C57))</f>
        <v>78.3333333333333</v>
      </c>
      <c r="V57" s="2" t="n">
        <f aca="false">Settings!$B$4*MAX(INDEX(Bases!$P$2:$P$53,B57),INDEX(Bases!$P$2:$P$53,C57))+Settings!$B$5*MIN(INDEX(Bases!$P$2:$P$53,B57),INDEX(Bases!$P$2:$P$53,C57))</f>
        <v>56</v>
      </c>
      <c r="W57" s="2" t="n">
        <f aca="false">Settings!$B$4*MAX(INDEX(Bases!$Q$2:$Q$53,B57),INDEX(Bases!$Q$2:$Q$53,C57))+Settings!$B$5*MIN(INDEX(Bases!$Q$2:$Q$53,B57),INDEX(Bases!$Q$2:$Q$53,C57))</f>
        <v>77</v>
      </c>
      <c r="X57" s="2" t="n">
        <f aca="false">Settings!$B$4*MAX(INDEX(Bases!$R$2:$R$53,B57),INDEX(Bases!$R$2:$R$53,C57))+Settings!$B$5*MIN(INDEX(Bases!$R$2:$R$53,B57),INDEX(Bases!$R$2:$R$53,C57))</f>
        <v>42.6666666666667</v>
      </c>
      <c r="Y57" s="2" t="n">
        <f aca="false">S57*Settings!$B$3/SUM(S57:X57)</f>
        <v>123.397435897436</v>
      </c>
      <c r="Z57" s="2" t="n">
        <f aca="false">T57*Settings!$B$3/SUM(S57:X57)</f>
        <v>71.3141025641026</v>
      </c>
      <c r="AA57" s="2" t="n">
        <f aca="false">U57*Settings!$B$3/SUM(S57:X57)</f>
        <v>94.150641025641</v>
      </c>
      <c r="AB57" s="2" t="n">
        <f aca="false">V57*Settings!$B$3/SUM(S57:X57)</f>
        <v>67.3076923076923</v>
      </c>
      <c r="AC57" s="2" t="n">
        <f aca="false">W57*Settings!$B$3/SUM(S57:X57)</f>
        <v>92.5480769230769</v>
      </c>
      <c r="AD57" s="2" t="n">
        <f aca="false">X57*Settings!$B$3/SUM(S57:X57)</f>
        <v>51.2820512820513</v>
      </c>
      <c r="AE57" s="2" t="n">
        <f aca="false">INT(Y57)</f>
        <v>123</v>
      </c>
      <c r="AF57" s="2" t="n">
        <f aca="false">INT(Z57)</f>
        <v>71</v>
      </c>
      <c r="AG57" s="2" t="n">
        <f aca="false">INT(AA57)</f>
        <v>94</v>
      </c>
      <c r="AH57" s="2" t="n">
        <f aca="false">INT(AB57)</f>
        <v>67</v>
      </c>
      <c r="AI57" s="2" t="n">
        <f aca="false">INT(AC57)</f>
        <v>92</v>
      </c>
      <c r="AJ57" s="2" t="n">
        <f aca="false">INT(AD57)</f>
        <v>51</v>
      </c>
      <c r="AK57" s="2" t="n">
        <f aca="false">Settings!$B$3-SUM(AE57:AJ57)</f>
        <v>2</v>
      </c>
      <c r="AL57" s="2" t="n">
        <f aca="false">ROUND(Y57-AE57,9)</f>
        <v>0.397435897</v>
      </c>
      <c r="AM57" s="2" t="n">
        <f aca="false">ROUND(Z57-AF57,9)</f>
        <v>0.314102564</v>
      </c>
      <c r="AN57" s="2" t="n">
        <f aca="false">ROUND(AA57-AG57,9)</f>
        <v>0.150641026</v>
      </c>
      <c r="AO57" s="2" t="n">
        <f aca="false">ROUND(AB57-AH57,9)</f>
        <v>0.307692308</v>
      </c>
      <c r="AP57" s="2" t="n">
        <f aca="false">ROUND(AC57-AI57,9)</f>
        <v>0.548076923</v>
      </c>
      <c r="AQ57" s="2" t="n">
        <f aca="false">ROUND(AD57-AJ57,9)</f>
        <v>0.282051282</v>
      </c>
    </row>
    <row r="58" customFormat="false" ht="15" hidden="false" customHeight="false" outlineLevel="0" collapsed="false">
      <c r="A58" s="2" t="n">
        <v>57</v>
      </c>
      <c r="B58" s="6" t="n">
        <v>2</v>
      </c>
      <c r="C58" s="6" t="n">
        <v>8</v>
      </c>
      <c r="D58" s="8" t="str">
        <f aca="false">INDEX(Bases!$B$2:$B$53,B58)</f>
        <v>Dunsparce</v>
      </c>
      <c r="E58" s="8" t="str">
        <f aca="false">INDEX(Bases!$B$2:$B$53,C58)</f>
        <v>Corsola</v>
      </c>
      <c r="F58" s="2" t="str">
        <f aca="false">LEFT(D58,ROUNDUP(LEN(D58)/2,0))&amp;LOWER(MID(E58,ROUNDUP(LEN(E58)/2,0)+1,20))</f>
        <v>Dunspola</v>
      </c>
      <c r="G58" s="8" t="str">
        <f aca="false">INDEX(Bases!$C$2:$C$53,B58)</f>
        <v>Normal</v>
      </c>
      <c r="H58" s="8" t="str">
        <f aca="false">IF(INDEX(Bases!$C$2:$C$53,C58)=G58,"",INDEX(Bases!$C$2:$C$53,C58))</f>
        <v>Water</v>
      </c>
      <c r="I58" s="8" t="str">
        <f aca="false">IF(INDEX(Bases!$E$2:$E$53,B58)="","",INDEX(Bases!$E$2:$E$53,B58))</f>
        <v/>
      </c>
      <c r="J58" s="8" t="str">
        <f aca="false">IF(INDEX(Bases!$E$2:$E$53,C58)="","",INDEX(Bases!$E$2:$E$53,C58))</f>
        <v/>
      </c>
      <c r="K58" s="5"/>
      <c r="L58" s="2" t="n">
        <f aca="false">AE58+IF(SUMPRODUCT(--($AL58:$AQ58&gt;AL58))&lt;$AK58,1,0)</f>
        <v>101</v>
      </c>
      <c r="M58" s="2" t="n">
        <f aca="false">AF58+IF(SUMPRODUCT(--($AL58:$AQ58&gt;AM58))+SUMPRODUCT(--($AL58:AL58=AM58))&lt;$AK58,1,0)</f>
        <v>76</v>
      </c>
      <c r="N58" s="2" t="n">
        <f aca="false">AG58+IF(SUMPRODUCT(--($AL58:$AQ58&gt;AN58))+SUMPRODUCT(--($AL58:AM58=AN58))&lt;$AK58,1,0)</f>
        <v>101</v>
      </c>
      <c r="O58" s="2" t="n">
        <f aca="false">AH58+IF(SUMPRODUCT(--($AL58:$AQ58&gt;AO58))+SUMPRODUCT(--($AL58:AN58=AO58))&lt;$AK58,1,0)</f>
        <v>75</v>
      </c>
      <c r="P58" s="2" t="n">
        <f aca="false">AI58+IF(SUMPRODUCT(--($AL58:$AQ58&gt;AP58))+SUMPRODUCT(--($AL58:AO58=AP58))&lt;$AK58,1,0)</f>
        <v>99</v>
      </c>
      <c r="Q58" s="2" t="n">
        <f aca="false">AJ58+IF(SUMPRODUCT(--($AL58:$AQ58&gt;AQ58))+SUMPRODUCT(--($AL58:AP58=AQ58))&lt;$AK58,1,0)</f>
        <v>48</v>
      </c>
      <c r="R58" s="2" t="n">
        <f aca="false">SUM(L58:Q58)</f>
        <v>500</v>
      </c>
      <c r="S58" s="2" t="n">
        <f aca="false">Settings!$B$4*MAX(INDEX(Bases!$M$2:$M$53,B58),INDEX(Bases!$M$2:$M$53,C58))+Settings!$B$5*MIN(INDEX(Bases!$M$2:$M$53,B58),INDEX(Bases!$M$2:$M$53,C58))</f>
        <v>85</v>
      </c>
      <c r="T58" s="2" t="n">
        <f aca="false">Settings!$B$4*MAX(INDEX(Bases!$N$2:$N$53,B58),INDEX(Bases!$N$2:$N$53,C58))+Settings!$B$5*MIN(INDEX(Bases!$N$2:$N$53,B58),INDEX(Bases!$N$2:$N$53,C58))</f>
        <v>63.3333333333333</v>
      </c>
      <c r="U58" s="2" t="n">
        <f aca="false">Settings!$B$4*MAX(INDEX(Bases!$O$2:$O$53,B58),INDEX(Bases!$O$2:$O$53,C58))+Settings!$B$5*MIN(INDEX(Bases!$O$2:$O$53,B58),INDEX(Bases!$O$2:$O$53,C58))</f>
        <v>84.3333333333333</v>
      </c>
      <c r="V58" s="2" t="n">
        <f aca="false">Settings!$B$4*MAX(INDEX(Bases!$P$2:$P$53,B58),INDEX(Bases!$P$2:$P$53,C58))+Settings!$B$5*MIN(INDEX(Bases!$P$2:$P$53,B58),INDEX(Bases!$P$2:$P$53,C58))</f>
        <v>63</v>
      </c>
      <c r="W58" s="2" t="n">
        <f aca="false">Settings!$B$4*MAX(INDEX(Bases!$Q$2:$Q$53,B58),INDEX(Bases!$Q$2:$Q$53,C58))+Settings!$B$5*MIN(INDEX(Bases!$Q$2:$Q$53,B58),INDEX(Bases!$Q$2:$Q$53,C58))</f>
        <v>83</v>
      </c>
      <c r="X58" s="2" t="n">
        <f aca="false">Settings!$B$4*MAX(INDEX(Bases!$R$2:$R$53,B58),INDEX(Bases!$R$2:$R$53,C58))+Settings!$B$5*MIN(INDEX(Bases!$R$2:$R$53,B58),INDEX(Bases!$R$2:$R$53,C58))</f>
        <v>40</v>
      </c>
      <c r="Y58" s="2" t="n">
        <f aca="false">S58*Settings!$B$3/SUM(S58:X58)</f>
        <v>101.512738853503</v>
      </c>
      <c r="Z58" s="2" t="n">
        <f aca="false">T58*Settings!$B$3/SUM(S58:X58)</f>
        <v>75.6369426751592</v>
      </c>
      <c r="AA58" s="2" t="n">
        <f aca="false">U58*Settings!$B$3/SUM(S58:X58)</f>
        <v>100.716560509554</v>
      </c>
      <c r="AB58" s="2" t="n">
        <f aca="false">V58*Settings!$B$3/SUM(S58:X58)</f>
        <v>75.2388535031847</v>
      </c>
      <c r="AC58" s="2" t="n">
        <f aca="false">W58*Settings!$B$3/SUM(S58:X58)</f>
        <v>99.1242038216561</v>
      </c>
      <c r="AD58" s="2" t="n">
        <f aca="false">X58*Settings!$B$3/SUM(S58:X58)</f>
        <v>47.7707006369427</v>
      </c>
      <c r="AE58" s="2" t="n">
        <f aca="false">INT(Y58)</f>
        <v>101</v>
      </c>
      <c r="AF58" s="2" t="n">
        <f aca="false">INT(Z58)</f>
        <v>75</v>
      </c>
      <c r="AG58" s="2" t="n">
        <f aca="false">INT(AA58)</f>
        <v>100</v>
      </c>
      <c r="AH58" s="2" t="n">
        <f aca="false">INT(AB58)</f>
        <v>75</v>
      </c>
      <c r="AI58" s="2" t="n">
        <f aca="false">INT(AC58)</f>
        <v>99</v>
      </c>
      <c r="AJ58" s="2" t="n">
        <f aca="false">INT(AD58)</f>
        <v>47</v>
      </c>
      <c r="AK58" s="2" t="n">
        <f aca="false">Settings!$B$3-SUM(AE58:AJ58)</f>
        <v>3</v>
      </c>
      <c r="AL58" s="2" t="n">
        <f aca="false">ROUND(Y58-AE58,9)</f>
        <v>0.512738854</v>
      </c>
      <c r="AM58" s="2" t="n">
        <f aca="false">ROUND(Z58-AF58,9)</f>
        <v>0.636942675</v>
      </c>
      <c r="AN58" s="2" t="n">
        <f aca="false">ROUND(AA58-AG58,9)</f>
        <v>0.71656051</v>
      </c>
      <c r="AO58" s="2" t="n">
        <f aca="false">ROUND(AB58-AH58,9)</f>
        <v>0.238853503</v>
      </c>
      <c r="AP58" s="2" t="n">
        <f aca="false">ROUND(AC58-AI58,9)</f>
        <v>0.124203822</v>
      </c>
      <c r="AQ58" s="2" t="n">
        <f aca="false">ROUND(AD58-AJ58,9)</f>
        <v>0.770700637</v>
      </c>
    </row>
    <row r="59" customFormat="false" ht="15" hidden="false" customHeight="false" outlineLevel="0" collapsed="false">
      <c r="A59" s="2" t="n">
        <v>58</v>
      </c>
      <c r="B59" s="6" t="n">
        <v>2</v>
      </c>
      <c r="C59" s="6" t="n">
        <v>9</v>
      </c>
      <c r="D59" s="8" t="str">
        <f aca="false">INDEX(Bases!$B$2:$B$53,B59)</f>
        <v>Dunsparce</v>
      </c>
      <c r="E59" s="8" t="str">
        <f aca="false">INDEX(Bases!$B$2:$B$53,C59)</f>
        <v>Mudkip</v>
      </c>
      <c r="F59" s="2" t="str">
        <f aca="false">LEFT(D59,ROUNDUP(LEN(D59)/2,0))&amp;LOWER(MID(E59,ROUNDUP(LEN(E59)/2,0)+1,20))</f>
        <v>Dunspkip</v>
      </c>
      <c r="G59" s="8" t="str">
        <f aca="false">INDEX(Bases!$C$2:$C$53,B59)</f>
        <v>Normal</v>
      </c>
      <c r="H59" s="8" t="str">
        <f aca="false">IF(INDEX(Bases!$C$2:$C$53,C59)=G59,"",INDEX(Bases!$C$2:$C$53,C59))</f>
        <v>Water</v>
      </c>
      <c r="I59" s="8" t="str">
        <f aca="false">IF(INDEX(Bases!$E$2:$E$53,B59)="","",INDEX(Bases!$E$2:$E$53,B59))</f>
        <v/>
      </c>
      <c r="J59" s="8" t="str">
        <f aca="false">IF(INDEX(Bases!$E$2:$E$53,C59)="","",INDEX(Bases!$E$2:$E$53,C59))</f>
        <v/>
      </c>
      <c r="K59" s="5"/>
      <c r="L59" s="2" t="n">
        <f aca="false">AE59+IF(SUMPRODUCT(--($AL59:$AQ59&gt;AL59))&lt;$AK59,1,0)</f>
        <v>104</v>
      </c>
      <c r="M59" s="2" t="n">
        <f aca="false">AF59+IF(SUMPRODUCT(--($AL59:$AQ59&gt;AM59))+SUMPRODUCT(--($AL59:AL59=AM59))&lt;$AK59,1,0)</f>
        <v>101</v>
      </c>
      <c r="N59" s="2" t="n">
        <f aca="false">AG59+IF(SUMPRODUCT(--($AL59:$AQ59&gt;AN59))+SUMPRODUCT(--($AL59:AM59=AN59))&lt;$AK59,1,0)</f>
        <v>81</v>
      </c>
      <c r="O59" s="2" t="n">
        <f aca="false">AH59+IF(SUMPRODUCT(--($AL59:$AQ59&gt;AO59))+SUMPRODUCT(--($AL59:AN59=AO59))&lt;$AK59,1,0)</f>
        <v>77</v>
      </c>
      <c r="P59" s="2" t="n">
        <f aca="false">AI59+IF(SUMPRODUCT(--($AL59:$AQ59&gt;AP59))+SUMPRODUCT(--($AL59:AO59=AP59))&lt;$AK59,1,0)</f>
        <v>77</v>
      </c>
      <c r="Q59" s="2" t="n">
        <f aca="false">AJ59+IF(SUMPRODUCT(--($AL59:$AQ59&gt;AQ59))+SUMPRODUCT(--($AL59:AP59=AQ59))&lt;$AK59,1,0)</f>
        <v>60</v>
      </c>
      <c r="R59" s="2" t="n">
        <f aca="false">SUM(L59:Q59)</f>
        <v>500</v>
      </c>
      <c r="S59" s="2" t="n">
        <f aca="false">Settings!$B$4*MAX(INDEX(Bases!$M$2:$M$53,B59),INDEX(Bases!$M$2:$M$53,C59))+Settings!$B$5*MIN(INDEX(Bases!$M$2:$M$53,B59),INDEX(Bases!$M$2:$M$53,C59))</f>
        <v>85.6666666666667</v>
      </c>
      <c r="T59" s="2" t="n">
        <f aca="false">Settings!$B$4*MAX(INDEX(Bases!$N$2:$N$53,B59),INDEX(Bases!$N$2:$N$53,C59))+Settings!$B$5*MIN(INDEX(Bases!$N$2:$N$53,B59),INDEX(Bases!$N$2:$N$53,C59))</f>
        <v>82.6666666666667</v>
      </c>
      <c r="U59" s="2" t="n">
        <f aca="false">Settings!$B$4*MAX(INDEX(Bases!$O$2:$O$53,B59),INDEX(Bases!$O$2:$O$53,C59))+Settings!$B$5*MIN(INDEX(Bases!$O$2:$O$53,B59),INDEX(Bases!$O$2:$O$53,C59))</f>
        <v>66.3333333333333</v>
      </c>
      <c r="V59" s="2" t="n">
        <f aca="false">Settings!$B$4*MAX(INDEX(Bases!$P$2:$P$53,B59),INDEX(Bases!$P$2:$P$53,C59))+Settings!$B$5*MIN(INDEX(Bases!$P$2:$P$53,B59),INDEX(Bases!$P$2:$P$53,C59))</f>
        <v>63.6666666666667</v>
      </c>
      <c r="W59" s="2" t="n">
        <f aca="false">Settings!$B$4*MAX(INDEX(Bases!$Q$2:$Q$53,B59),INDEX(Bases!$Q$2:$Q$53,C59))+Settings!$B$5*MIN(INDEX(Bases!$Q$2:$Q$53,B59),INDEX(Bases!$Q$2:$Q$53,C59))</f>
        <v>63.6666666666667</v>
      </c>
      <c r="X59" s="2" t="n">
        <f aca="false">Settings!$B$4*MAX(INDEX(Bases!$R$2:$R$53,B59),INDEX(Bases!$R$2:$R$53,C59))+Settings!$B$5*MIN(INDEX(Bases!$R$2:$R$53,B59),INDEX(Bases!$R$2:$R$53,C59))</f>
        <v>49</v>
      </c>
      <c r="Y59" s="2" t="n">
        <f aca="false">S59*Settings!$B$3/SUM(S59:X59)</f>
        <v>104.217356042174</v>
      </c>
      <c r="Z59" s="2" t="n">
        <f aca="false">T59*Settings!$B$3/SUM(S59:X59)</f>
        <v>100.567721005677</v>
      </c>
      <c r="AA59" s="2" t="n">
        <f aca="false">U59*Settings!$B$3/SUM(S59:X59)</f>
        <v>80.6974858069749</v>
      </c>
      <c r="AB59" s="2" t="n">
        <f aca="false">V59*Settings!$B$3/SUM(S59:X59)</f>
        <v>77.4533657745337</v>
      </c>
      <c r="AC59" s="2" t="n">
        <f aca="false">W59*Settings!$B$3/SUM(S59:X59)</f>
        <v>77.4533657745337</v>
      </c>
      <c r="AD59" s="2" t="n">
        <f aca="false">X59*Settings!$B$3/SUM(S59:X59)</f>
        <v>59.6107055961071</v>
      </c>
      <c r="AE59" s="2" t="n">
        <f aca="false">INT(Y59)</f>
        <v>104</v>
      </c>
      <c r="AF59" s="2" t="n">
        <f aca="false">INT(Z59)</f>
        <v>100</v>
      </c>
      <c r="AG59" s="2" t="n">
        <f aca="false">INT(AA59)</f>
        <v>80</v>
      </c>
      <c r="AH59" s="2" t="n">
        <f aca="false">INT(AB59)</f>
        <v>77</v>
      </c>
      <c r="AI59" s="2" t="n">
        <f aca="false">INT(AC59)</f>
        <v>77</v>
      </c>
      <c r="AJ59" s="2" t="n">
        <f aca="false">INT(AD59)</f>
        <v>59</v>
      </c>
      <c r="AK59" s="2" t="n">
        <f aca="false">Settings!$B$3-SUM(AE59:AJ59)</f>
        <v>3</v>
      </c>
      <c r="AL59" s="2" t="n">
        <f aca="false">ROUND(Y59-AE59,9)</f>
        <v>0.217356042</v>
      </c>
      <c r="AM59" s="2" t="n">
        <f aca="false">ROUND(Z59-AF59,9)</f>
        <v>0.567721006</v>
      </c>
      <c r="AN59" s="2" t="n">
        <f aca="false">ROUND(AA59-AG59,9)</f>
        <v>0.697485807</v>
      </c>
      <c r="AO59" s="2" t="n">
        <f aca="false">ROUND(AB59-AH59,9)</f>
        <v>0.453365775</v>
      </c>
      <c r="AP59" s="2" t="n">
        <f aca="false">ROUND(AC59-AI59,9)</f>
        <v>0.453365775</v>
      </c>
      <c r="AQ59" s="2" t="n">
        <f aca="false">ROUND(AD59-AJ59,9)</f>
        <v>0.610705596</v>
      </c>
    </row>
    <row r="60" customFormat="false" ht="15" hidden="false" customHeight="false" outlineLevel="0" collapsed="false">
      <c r="A60" s="2" t="n">
        <v>59</v>
      </c>
      <c r="B60" s="6" t="n">
        <v>2</v>
      </c>
      <c r="C60" s="6" t="n">
        <v>10</v>
      </c>
      <c r="D60" s="8" t="str">
        <f aca="false">INDEX(Bases!$B$2:$B$53,B60)</f>
        <v>Dunsparce</v>
      </c>
      <c r="E60" s="8" t="str">
        <f aca="false">INDEX(Bases!$B$2:$B$53,C60)</f>
        <v>Pichu</v>
      </c>
      <c r="F60" s="2" t="str">
        <f aca="false">LEFT(D60,ROUNDUP(LEN(D60)/2,0))&amp;LOWER(MID(E60,ROUNDUP(LEN(E60)/2,0)+1,20))</f>
        <v>Dunsphu</v>
      </c>
      <c r="G60" s="8" t="str">
        <f aca="false">INDEX(Bases!$C$2:$C$53,B60)</f>
        <v>Normal</v>
      </c>
      <c r="H60" s="8" t="str">
        <f aca="false">IF(INDEX(Bases!$C$2:$C$53,C60)=G60,"",INDEX(Bases!$C$2:$C$53,C60))</f>
        <v>Electric</v>
      </c>
      <c r="I60" s="8" t="str">
        <f aca="false">IF(INDEX(Bases!$E$2:$E$53,B60)="","",INDEX(Bases!$E$2:$E$53,B60))</f>
        <v/>
      </c>
      <c r="J60" s="8" t="str">
        <f aca="false">IF(INDEX(Bases!$E$2:$E$53,C60)="","",INDEX(Bases!$E$2:$E$53,C60))</f>
        <v/>
      </c>
      <c r="K60" s="5"/>
      <c r="L60" s="2" t="n">
        <f aca="false">AE60+IF(SUMPRODUCT(--($AL60:$AQ60&gt;AL60))&lt;$AK60,1,0)</f>
        <v>89</v>
      </c>
      <c r="M60" s="2" t="n">
        <f aca="false">AF60+IF(SUMPRODUCT(--($AL60:$AQ60&gt;AM60))+SUMPRODUCT(--($AL60:AL60=AM60))&lt;$AK60,1,0)</f>
        <v>86</v>
      </c>
      <c r="N60" s="2" t="n">
        <f aca="false">AG60+IF(SUMPRODUCT(--($AL60:$AQ60&gt;AN60))+SUMPRODUCT(--($AL60:AM60=AN60))&lt;$AK60,1,0)</f>
        <v>63</v>
      </c>
      <c r="O60" s="2" t="n">
        <f aca="false">AH60+IF(SUMPRODUCT(--($AL60:$AQ60&gt;AO60))+SUMPRODUCT(--($AL60:AN60=AO60))&lt;$AK60,1,0)</f>
        <v>78</v>
      </c>
      <c r="P60" s="2" t="n">
        <f aca="false">AI60+IF(SUMPRODUCT(--($AL60:$AQ60&gt;AP60))+SUMPRODUCT(--($AL60:AO60=AP60))&lt;$AK60,1,0)</f>
        <v>77</v>
      </c>
      <c r="Q60" s="2" t="n">
        <f aca="false">AJ60+IF(SUMPRODUCT(--($AL60:$AQ60&gt;AQ60))+SUMPRODUCT(--($AL60:AP60=AQ60))&lt;$AK60,1,0)</f>
        <v>107</v>
      </c>
      <c r="R60" s="2" t="n">
        <f aca="false">SUM(L60:Q60)</f>
        <v>500</v>
      </c>
      <c r="S60" s="2" t="n">
        <f aca="false">Settings!$B$4*MAX(INDEX(Bases!$M$2:$M$53,B60),INDEX(Bases!$M$2:$M$53,C60))+Settings!$B$5*MIN(INDEX(Bases!$M$2:$M$53,B60),INDEX(Bases!$M$2:$M$53,C60))</f>
        <v>77</v>
      </c>
      <c r="T60" s="2" t="n">
        <f aca="false">Settings!$B$4*MAX(INDEX(Bases!$N$2:$N$53,B60),INDEX(Bases!$N$2:$N$53,C60))+Settings!$B$5*MIN(INDEX(Bases!$N$2:$N$53,B60),INDEX(Bases!$N$2:$N$53,C60))</f>
        <v>74.6666666666667</v>
      </c>
      <c r="U60" s="2" t="n">
        <f aca="false">Settings!$B$4*MAX(INDEX(Bases!$O$2:$O$53,B60),INDEX(Bases!$O$2:$O$53,C60))+Settings!$B$5*MIN(INDEX(Bases!$O$2:$O$53,B60),INDEX(Bases!$O$2:$O$53,C60))</f>
        <v>54.3333333333333</v>
      </c>
      <c r="V60" s="2" t="n">
        <f aca="false">Settings!$B$4*MAX(INDEX(Bases!$P$2:$P$53,B60),INDEX(Bases!$P$2:$P$53,C60))+Settings!$B$5*MIN(INDEX(Bases!$P$2:$P$53,B60),INDEX(Bases!$P$2:$P$53,C60))</f>
        <v>67</v>
      </c>
      <c r="W60" s="2" t="n">
        <f aca="false">Settings!$B$4*MAX(INDEX(Bases!$Q$2:$Q$53,B60),INDEX(Bases!$Q$2:$Q$53,C60))+Settings!$B$5*MIN(INDEX(Bases!$Q$2:$Q$53,B60),INDEX(Bases!$Q$2:$Q$53,C60))</f>
        <v>66.3333333333333</v>
      </c>
      <c r="X60" s="2" t="n">
        <f aca="false">Settings!$B$4*MAX(INDEX(Bases!$R$2:$R$53,B60),INDEX(Bases!$R$2:$R$53,C60))+Settings!$B$5*MIN(INDEX(Bases!$R$2:$R$53,B60),INDEX(Bases!$R$2:$R$53,C60))</f>
        <v>92.3333333333333</v>
      </c>
      <c r="Y60" s="2" t="n">
        <f aca="false">S60*Settings!$B$3/SUM(S60:X60)</f>
        <v>89.1891891891892</v>
      </c>
      <c r="Z60" s="2" t="n">
        <f aca="false">T60*Settings!$B$3/SUM(S60:X60)</f>
        <v>86.4864864864865</v>
      </c>
      <c r="AA60" s="2" t="n">
        <f aca="false">U60*Settings!$B$3/SUM(S60:X60)</f>
        <v>62.9343629343629</v>
      </c>
      <c r="AB60" s="2" t="n">
        <f aca="false">V60*Settings!$B$3/SUM(S60:X60)</f>
        <v>77.6061776061776</v>
      </c>
      <c r="AC60" s="2" t="n">
        <f aca="false">W60*Settings!$B$3/SUM(S60:X60)</f>
        <v>76.8339768339768</v>
      </c>
      <c r="AD60" s="2" t="n">
        <f aca="false">X60*Settings!$B$3/SUM(S60:X60)</f>
        <v>106.949806949807</v>
      </c>
      <c r="AE60" s="2" t="n">
        <f aca="false">INT(Y60)</f>
        <v>89</v>
      </c>
      <c r="AF60" s="2" t="n">
        <f aca="false">INT(Z60)</f>
        <v>86</v>
      </c>
      <c r="AG60" s="2" t="n">
        <f aca="false">INT(AA60)</f>
        <v>62</v>
      </c>
      <c r="AH60" s="2" t="n">
        <f aca="false">INT(AB60)</f>
        <v>77</v>
      </c>
      <c r="AI60" s="2" t="n">
        <f aca="false">INT(AC60)</f>
        <v>76</v>
      </c>
      <c r="AJ60" s="2" t="n">
        <f aca="false">INT(AD60)</f>
        <v>106</v>
      </c>
      <c r="AK60" s="2" t="n">
        <f aca="false">Settings!$B$3-SUM(AE60:AJ60)</f>
        <v>4</v>
      </c>
      <c r="AL60" s="2" t="n">
        <f aca="false">ROUND(Y60-AE60,9)</f>
        <v>0.189189189</v>
      </c>
      <c r="AM60" s="2" t="n">
        <f aca="false">ROUND(Z60-AF60,9)</f>
        <v>0.486486486</v>
      </c>
      <c r="AN60" s="2" t="n">
        <f aca="false">ROUND(AA60-AG60,9)</f>
        <v>0.934362934</v>
      </c>
      <c r="AO60" s="2" t="n">
        <f aca="false">ROUND(AB60-AH60,9)</f>
        <v>0.606177606</v>
      </c>
      <c r="AP60" s="2" t="n">
        <f aca="false">ROUND(AC60-AI60,9)</f>
        <v>0.833976834</v>
      </c>
      <c r="AQ60" s="2" t="n">
        <f aca="false">ROUND(AD60-AJ60,9)</f>
        <v>0.94980695</v>
      </c>
    </row>
    <row r="61" customFormat="false" ht="15" hidden="false" customHeight="false" outlineLevel="0" collapsed="false">
      <c r="A61" s="2" t="n">
        <v>60</v>
      </c>
      <c r="B61" s="6" t="n">
        <v>2</v>
      </c>
      <c r="C61" s="6" t="n">
        <v>11</v>
      </c>
      <c r="D61" s="8" t="str">
        <f aca="false">INDEX(Bases!$B$2:$B$53,B61)</f>
        <v>Dunsparce</v>
      </c>
      <c r="E61" s="8" t="str">
        <f aca="false">INDEX(Bases!$B$2:$B$53,C61)</f>
        <v>Voltorb</v>
      </c>
      <c r="F61" s="2" t="str">
        <f aca="false">LEFT(D61,ROUNDUP(LEN(D61)/2,0))&amp;LOWER(MID(E61,ROUNDUP(LEN(E61)/2,0)+1,20))</f>
        <v>Dunsporb</v>
      </c>
      <c r="G61" s="8" t="str">
        <f aca="false">INDEX(Bases!$C$2:$C$53,B61)</f>
        <v>Normal</v>
      </c>
      <c r="H61" s="8" t="str">
        <f aca="false">IF(INDEX(Bases!$C$2:$C$53,C61)=G61,"",INDEX(Bases!$C$2:$C$53,C61))</f>
        <v>Electric</v>
      </c>
      <c r="I61" s="8" t="str">
        <f aca="false">IF(INDEX(Bases!$E$2:$E$53,B61)="","",INDEX(Bases!$E$2:$E$53,B61))</f>
        <v/>
      </c>
      <c r="J61" s="8" t="str">
        <f aca="false">IF(INDEX(Bases!$E$2:$E$53,C61)="","",INDEX(Bases!$E$2:$E$53,C61))</f>
        <v/>
      </c>
      <c r="K61" s="5"/>
      <c r="L61" s="2" t="n">
        <f aca="false">AE61+IF(SUMPRODUCT(--($AL61:$AQ61&gt;AL61))&lt;$AK61,1,0)</f>
        <v>93</v>
      </c>
      <c r="M61" s="2" t="n">
        <f aca="false">AF61+IF(SUMPRODUCT(--($AL61:$AQ61&gt;AM61))+SUMPRODUCT(--($AL61:AL61=AM61))&lt;$AK61,1,0)</f>
        <v>67</v>
      </c>
      <c r="N61" s="2" t="n">
        <f aca="false">AG61+IF(SUMPRODUCT(--($AL61:$AQ61&gt;AN61))+SUMPRODUCT(--($AL61:AM61=AN61))&lt;$AK61,1,0)</f>
        <v>76</v>
      </c>
      <c r="O61" s="2" t="n">
        <f aca="false">AH61+IF(SUMPRODUCT(--($AL61:$AQ61&gt;AO61))+SUMPRODUCT(--($AL61:AN61=AO61))&lt;$AK61,1,0)</f>
        <v>77</v>
      </c>
      <c r="P61" s="2" t="n">
        <f aca="false">AI61+IF(SUMPRODUCT(--($AL61:$AQ61&gt;AP61))+SUMPRODUCT(--($AL61:AO61=AP61))&lt;$AK61,1,0)</f>
        <v>76</v>
      </c>
      <c r="Q61" s="2" t="n">
        <f aca="false">AJ61+IF(SUMPRODUCT(--($AL61:$AQ61&gt;AQ61))+SUMPRODUCT(--($AL61:AP61=AQ61))&lt;$AK61,1,0)</f>
        <v>111</v>
      </c>
      <c r="R61" s="2" t="n">
        <f aca="false">SUM(L61:Q61)</f>
        <v>500</v>
      </c>
      <c r="S61" s="2" t="n">
        <f aca="false">Settings!$B$4*MAX(INDEX(Bases!$M$2:$M$53,B61),INDEX(Bases!$M$2:$M$53,C61))+Settings!$B$5*MIN(INDEX(Bases!$M$2:$M$53,B61),INDEX(Bases!$M$2:$M$53,C61))</f>
        <v>80</v>
      </c>
      <c r="T61" s="2" t="n">
        <f aca="false">Settings!$B$4*MAX(INDEX(Bases!$N$2:$N$53,B61),INDEX(Bases!$N$2:$N$53,C61))+Settings!$B$5*MIN(INDEX(Bases!$N$2:$N$53,B61),INDEX(Bases!$N$2:$N$53,C61))</f>
        <v>57.3333333333333</v>
      </c>
      <c r="U61" s="2" t="n">
        <f aca="false">Settings!$B$4*MAX(INDEX(Bases!$O$2:$O$53,B61),INDEX(Bases!$O$2:$O$53,C61))+Settings!$B$5*MIN(INDEX(Bases!$O$2:$O$53,B61),INDEX(Bases!$O$2:$O$53,C61))</f>
        <v>65</v>
      </c>
      <c r="V61" s="2" t="n">
        <f aca="false">Settings!$B$4*MAX(INDEX(Bases!$P$2:$P$53,B61),INDEX(Bases!$P$2:$P$53,C61))+Settings!$B$5*MIN(INDEX(Bases!$P$2:$P$53,B61),INDEX(Bases!$P$2:$P$53,C61))</f>
        <v>65.6666666666667</v>
      </c>
      <c r="W61" s="2" t="n">
        <f aca="false">Settings!$B$4*MAX(INDEX(Bases!$Q$2:$Q$53,B61),INDEX(Bases!$Q$2:$Q$53,C61))+Settings!$B$5*MIN(INDEX(Bases!$Q$2:$Q$53,B61),INDEX(Bases!$Q$2:$Q$53,C61))</f>
        <v>65.6666666666667</v>
      </c>
      <c r="X61" s="2" t="n">
        <f aca="false">Settings!$B$4*MAX(INDEX(Bases!$R$2:$R$53,B61),INDEX(Bases!$R$2:$R$53,C61))+Settings!$B$5*MIN(INDEX(Bases!$R$2:$R$53,B61),INDEX(Bases!$R$2:$R$53,C61))</f>
        <v>95</v>
      </c>
      <c r="Y61" s="2" t="n">
        <f aca="false">S61*Settings!$B$3/SUM(S61:X61)</f>
        <v>93.3125972006221</v>
      </c>
      <c r="Z61" s="2" t="n">
        <f aca="false">T61*Settings!$B$3/SUM(S61:X61)</f>
        <v>66.8740279937792</v>
      </c>
      <c r="AA61" s="2" t="n">
        <f aca="false">U61*Settings!$B$3/SUM(S61:X61)</f>
        <v>75.8164852255055</v>
      </c>
      <c r="AB61" s="2" t="n">
        <f aca="false">V61*Settings!$B$3/SUM(S61:X61)</f>
        <v>76.5940902021773</v>
      </c>
      <c r="AC61" s="2" t="n">
        <f aca="false">W61*Settings!$B$3/SUM(S61:X61)</f>
        <v>76.5940902021773</v>
      </c>
      <c r="AD61" s="2" t="n">
        <f aca="false">X61*Settings!$B$3/SUM(S61:X61)</f>
        <v>110.808709175739</v>
      </c>
      <c r="AE61" s="2" t="n">
        <f aca="false">INT(Y61)</f>
        <v>93</v>
      </c>
      <c r="AF61" s="2" t="n">
        <f aca="false">INT(Z61)</f>
        <v>66</v>
      </c>
      <c r="AG61" s="2" t="n">
        <f aca="false">INT(AA61)</f>
        <v>75</v>
      </c>
      <c r="AH61" s="2" t="n">
        <f aca="false">INT(AB61)</f>
        <v>76</v>
      </c>
      <c r="AI61" s="2" t="n">
        <f aca="false">INT(AC61)</f>
        <v>76</v>
      </c>
      <c r="AJ61" s="2" t="n">
        <f aca="false">INT(AD61)</f>
        <v>110</v>
      </c>
      <c r="AK61" s="2" t="n">
        <f aca="false">Settings!$B$3-SUM(AE61:AJ61)</f>
        <v>4</v>
      </c>
      <c r="AL61" s="2" t="n">
        <f aca="false">ROUND(Y61-AE61,9)</f>
        <v>0.312597201</v>
      </c>
      <c r="AM61" s="2" t="n">
        <f aca="false">ROUND(Z61-AF61,9)</f>
        <v>0.874027994</v>
      </c>
      <c r="AN61" s="2" t="n">
        <f aca="false">ROUND(AA61-AG61,9)</f>
        <v>0.816485226</v>
      </c>
      <c r="AO61" s="2" t="n">
        <f aca="false">ROUND(AB61-AH61,9)</f>
        <v>0.594090202</v>
      </c>
      <c r="AP61" s="2" t="n">
        <f aca="false">ROUND(AC61-AI61,9)</f>
        <v>0.594090202</v>
      </c>
      <c r="AQ61" s="2" t="n">
        <f aca="false">ROUND(AD61-AJ61,9)</f>
        <v>0.808709176</v>
      </c>
    </row>
    <row r="62" customFormat="false" ht="15" hidden="false" customHeight="false" outlineLevel="0" collapsed="false">
      <c r="A62" s="2" t="n">
        <v>61</v>
      </c>
      <c r="B62" s="6" t="n">
        <v>2</v>
      </c>
      <c r="C62" s="6" t="n">
        <v>12</v>
      </c>
      <c r="D62" s="8" t="str">
        <f aca="false">INDEX(Bases!$B$2:$B$53,B62)</f>
        <v>Dunsparce</v>
      </c>
      <c r="E62" s="8" t="str">
        <f aca="false">INDEX(Bases!$B$2:$B$53,C62)</f>
        <v>Mareep</v>
      </c>
      <c r="F62" s="2" t="str">
        <f aca="false">LEFT(D62,ROUNDUP(LEN(D62)/2,0))&amp;LOWER(MID(E62,ROUNDUP(LEN(E62)/2,0)+1,20))</f>
        <v>Dunspeep</v>
      </c>
      <c r="G62" s="8" t="str">
        <f aca="false">INDEX(Bases!$C$2:$C$53,B62)</f>
        <v>Normal</v>
      </c>
      <c r="H62" s="8" t="str">
        <f aca="false">IF(INDEX(Bases!$C$2:$C$53,C62)=G62,"",INDEX(Bases!$C$2:$C$53,C62))</f>
        <v>Electric</v>
      </c>
      <c r="I62" s="8" t="str">
        <f aca="false">IF(INDEX(Bases!$E$2:$E$53,B62)="","",INDEX(Bases!$E$2:$E$53,B62))</f>
        <v/>
      </c>
      <c r="J62" s="8" t="str">
        <f aca="false">IF(INDEX(Bases!$E$2:$E$53,C62)="","",INDEX(Bases!$E$2:$E$53,C62))</f>
        <v/>
      </c>
      <c r="K62" s="5"/>
      <c r="L62" s="2" t="n">
        <f aca="false">AE62+IF(SUMPRODUCT(--($AL62:$AQ62&gt;AL62))&lt;$AK62,1,0)</f>
        <v>109</v>
      </c>
      <c r="M62" s="2" t="n">
        <f aca="false">AF62+IF(SUMPRODUCT(--($AL62:$AQ62&gt;AM62))+SUMPRODUCT(--($AL62:AL62=AM62))&lt;$AK62,1,0)</f>
        <v>78</v>
      </c>
      <c r="N62" s="2" t="n">
        <f aca="false">AG62+IF(SUMPRODUCT(--($AL62:$AQ62&gt;AN62))+SUMPRODUCT(--($AL62:AM62=AN62))&lt;$AK62,1,0)</f>
        <v>77</v>
      </c>
      <c r="O62" s="2" t="n">
        <f aca="false">AH62+IF(SUMPRODUCT(--($AL62:$AQ62&gt;AO62))+SUMPRODUCT(--($AL62:AN62=AO62))&lt;$AK62,1,0)</f>
        <v>101</v>
      </c>
      <c r="P62" s="2" t="n">
        <f aca="false">AI62+IF(SUMPRODUCT(--($AL62:$AQ62&gt;AP62))+SUMPRODUCT(--($AL62:AO62=AP62))&lt;$AK62,1,0)</f>
        <v>77</v>
      </c>
      <c r="Q62" s="2" t="n">
        <f aca="false">AJ62+IF(SUMPRODUCT(--($AL62:$AQ62&gt;AQ62))+SUMPRODUCT(--($AL62:AP62=AQ62))&lt;$AK62,1,0)</f>
        <v>58</v>
      </c>
      <c r="R62" s="2" t="n">
        <f aca="false">SUM(L62:Q62)</f>
        <v>500</v>
      </c>
      <c r="S62" s="2" t="n">
        <f aca="false">Settings!$B$4*MAX(INDEX(Bases!$M$2:$M$53,B62),INDEX(Bases!$M$2:$M$53,C62))+Settings!$B$5*MIN(INDEX(Bases!$M$2:$M$53,B62),INDEX(Bases!$M$2:$M$53,C62))</f>
        <v>90.3333333333333</v>
      </c>
      <c r="T62" s="2" t="n">
        <f aca="false">Settings!$B$4*MAX(INDEX(Bases!$N$2:$N$53,B62),INDEX(Bases!$N$2:$N$53,C62))+Settings!$B$5*MIN(INDEX(Bases!$N$2:$N$53,B62),INDEX(Bases!$N$2:$N$53,C62))</f>
        <v>64.3333333333333</v>
      </c>
      <c r="U62" s="2" t="n">
        <f aca="false">Settings!$B$4*MAX(INDEX(Bases!$O$2:$O$53,B62),INDEX(Bases!$O$2:$O$53,C62))+Settings!$B$5*MIN(INDEX(Bases!$O$2:$O$53,B62),INDEX(Bases!$O$2:$O$53,C62))</f>
        <v>63.6666666666667</v>
      </c>
      <c r="V62" s="2" t="n">
        <f aca="false">Settings!$B$4*MAX(INDEX(Bases!$P$2:$P$53,B62),INDEX(Bases!$P$2:$P$53,C62))+Settings!$B$5*MIN(INDEX(Bases!$P$2:$P$53,B62),INDEX(Bases!$P$2:$P$53,C62))</f>
        <v>83</v>
      </c>
      <c r="W62" s="2" t="n">
        <f aca="false">Settings!$B$4*MAX(INDEX(Bases!$Q$2:$Q$53,B62),INDEX(Bases!$Q$2:$Q$53,C62))+Settings!$B$5*MIN(INDEX(Bases!$Q$2:$Q$53,B62),INDEX(Bases!$Q$2:$Q$53,C62))</f>
        <v>63.6666666666667</v>
      </c>
      <c r="X62" s="2" t="n">
        <f aca="false">Settings!$B$4*MAX(INDEX(Bases!$R$2:$R$53,B62),INDEX(Bases!$R$2:$R$53,C62))+Settings!$B$5*MIN(INDEX(Bases!$R$2:$R$53,B62),INDEX(Bases!$R$2:$R$53,C62))</f>
        <v>47.6666666666667</v>
      </c>
      <c r="Y62" s="2" t="n">
        <f aca="false">S62*Settings!$B$3/SUM(S62:X62)</f>
        <v>109.450726978998</v>
      </c>
      <c r="Z62" s="2" t="n">
        <f aca="false">T62*Settings!$B$3/SUM(S62:X62)</f>
        <v>77.9483037156704</v>
      </c>
      <c r="AA62" s="2" t="n">
        <f aca="false">U62*Settings!$B$3/SUM(S62:X62)</f>
        <v>77.140549273021</v>
      </c>
      <c r="AB62" s="2" t="n">
        <f aca="false">V62*Settings!$B$3/SUM(S62:X62)</f>
        <v>100.565428109855</v>
      </c>
      <c r="AC62" s="2" t="n">
        <f aca="false">W62*Settings!$B$3/SUM(S62:X62)</f>
        <v>77.140549273021</v>
      </c>
      <c r="AD62" s="2" t="n">
        <f aca="false">X62*Settings!$B$3/SUM(S62:X62)</f>
        <v>57.7544426494346</v>
      </c>
      <c r="AE62" s="2" t="n">
        <f aca="false">INT(Y62)</f>
        <v>109</v>
      </c>
      <c r="AF62" s="2" t="n">
        <f aca="false">INT(Z62)</f>
        <v>77</v>
      </c>
      <c r="AG62" s="2" t="n">
        <f aca="false">INT(AA62)</f>
        <v>77</v>
      </c>
      <c r="AH62" s="2" t="n">
        <f aca="false">INT(AB62)</f>
        <v>100</v>
      </c>
      <c r="AI62" s="2" t="n">
        <f aca="false">INT(AC62)</f>
        <v>77</v>
      </c>
      <c r="AJ62" s="2" t="n">
        <f aca="false">INT(AD62)</f>
        <v>57</v>
      </c>
      <c r="AK62" s="2" t="n">
        <f aca="false">Settings!$B$3-SUM(AE62:AJ62)</f>
        <v>3</v>
      </c>
      <c r="AL62" s="2" t="n">
        <f aca="false">ROUND(Y62-AE62,9)</f>
        <v>0.450726979</v>
      </c>
      <c r="AM62" s="2" t="n">
        <f aca="false">ROUND(Z62-AF62,9)</f>
        <v>0.948303716</v>
      </c>
      <c r="AN62" s="2" t="n">
        <f aca="false">ROUND(AA62-AG62,9)</f>
        <v>0.140549273</v>
      </c>
      <c r="AO62" s="2" t="n">
        <f aca="false">ROUND(AB62-AH62,9)</f>
        <v>0.56542811</v>
      </c>
      <c r="AP62" s="2" t="n">
        <f aca="false">ROUND(AC62-AI62,9)</f>
        <v>0.140549273</v>
      </c>
      <c r="AQ62" s="2" t="n">
        <f aca="false">ROUND(AD62-AJ62,9)</f>
        <v>0.754442649</v>
      </c>
    </row>
    <row r="63" customFormat="false" ht="15" hidden="false" customHeight="false" outlineLevel="0" collapsed="false">
      <c r="A63" s="2" t="n">
        <v>62</v>
      </c>
      <c r="B63" s="6" t="n">
        <v>2</v>
      </c>
      <c r="C63" s="6" t="n">
        <v>13</v>
      </c>
      <c r="D63" s="8" t="str">
        <f aca="false">INDEX(Bases!$B$2:$B$53,B63)</f>
        <v>Dunsparce</v>
      </c>
      <c r="E63" s="8" t="str">
        <f aca="false">INDEX(Bases!$B$2:$B$53,C63)</f>
        <v>Bulbasaur</v>
      </c>
      <c r="F63" s="2" t="str">
        <f aca="false">LEFT(D63,ROUNDUP(LEN(D63)/2,0))&amp;LOWER(MID(E63,ROUNDUP(LEN(E63)/2,0)+1,20))</f>
        <v>Dunspsaur</v>
      </c>
      <c r="G63" s="8" t="str">
        <f aca="false">INDEX(Bases!$C$2:$C$53,B63)</f>
        <v>Normal</v>
      </c>
      <c r="H63" s="8" t="str">
        <f aca="false">IF(INDEX(Bases!$C$2:$C$53,C63)=G63,"",INDEX(Bases!$C$2:$C$53,C63))</f>
        <v>Grass</v>
      </c>
      <c r="I63" s="8" t="str">
        <f aca="false">IF(INDEX(Bases!$E$2:$E$53,B63)="","",INDEX(Bases!$E$2:$E$53,B63))</f>
        <v/>
      </c>
      <c r="J63" s="8" t="str">
        <f aca="false">IF(INDEX(Bases!$E$2:$E$53,C63)="","",INDEX(Bases!$E$2:$E$53,C63))</f>
        <v/>
      </c>
      <c r="K63" s="5"/>
      <c r="L63" s="2" t="n">
        <f aca="false">AE63+IF(SUMPRODUCT(--($AL63:$AQ63&gt;AL63))&lt;$AK63,1,0)</f>
        <v>99</v>
      </c>
      <c r="M63" s="2" t="n">
        <f aca="false">AF63+IF(SUMPRODUCT(--($AL63:$AQ63&gt;AM63))+SUMPRODUCT(--($AL63:AL63=AM63))&lt;$AK63,1,0)</f>
        <v>79</v>
      </c>
      <c r="N63" s="2" t="n">
        <f aca="false">AG63+IF(SUMPRODUCT(--($AL63:$AQ63&gt;AN63))+SUMPRODUCT(--($AL63:AM63=AN63))&lt;$AK63,1,0)</f>
        <v>78</v>
      </c>
      <c r="O63" s="2" t="n">
        <f aca="false">AH63+IF(SUMPRODUCT(--($AL63:$AQ63&gt;AO63))+SUMPRODUCT(--($AL63:AN63=AO63))&lt;$AK63,1,0)</f>
        <v>91</v>
      </c>
      <c r="P63" s="2" t="n">
        <f aca="false">AI63+IF(SUMPRODUCT(--($AL63:$AQ63&gt;AP63))+SUMPRODUCT(--($AL63:AO63=AP63))&lt;$AK63,1,0)</f>
        <v>91</v>
      </c>
      <c r="Q63" s="2" t="n">
        <f aca="false">AJ63+IF(SUMPRODUCT(--($AL63:$AQ63&gt;AQ63))+SUMPRODUCT(--($AL63:AP63=AQ63))&lt;$AK63,1,0)</f>
        <v>62</v>
      </c>
      <c r="R63" s="2" t="n">
        <f aca="false">SUM(L63:Q63)</f>
        <v>500</v>
      </c>
      <c r="S63" s="2" t="n">
        <f aca="false">Settings!$B$4*MAX(INDEX(Bases!$M$2:$M$53,B63),INDEX(Bases!$M$2:$M$53,C63))+Settings!$B$5*MIN(INDEX(Bases!$M$2:$M$53,B63),INDEX(Bases!$M$2:$M$53,C63))</f>
        <v>82.6666666666667</v>
      </c>
      <c r="T63" s="2" t="n">
        <f aca="false">Settings!$B$4*MAX(INDEX(Bases!$N$2:$N$53,B63),INDEX(Bases!$N$2:$N$53,C63))+Settings!$B$5*MIN(INDEX(Bases!$N$2:$N$53,B63),INDEX(Bases!$N$2:$N$53,C63))</f>
        <v>66</v>
      </c>
      <c r="U63" s="2" t="n">
        <f aca="false">Settings!$B$4*MAX(INDEX(Bases!$O$2:$O$53,B63),INDEX(Bases!$O$2:$O$53,C63))+Settings!$B$5*MIN(INDEX(Bases!$O$2:$O$53,B63),INDEX(Bases!$O$2:$O$53,C63))</f>
        <v>65.3333333333333</v>
      </c>
      <c r="V63" s="2" t="n">
        <f aca="false">Settings!$B$4*MAX(INDEX(Bases!$P$2:$P$53,B63),INDEX(Bases!$P$2:$P$53,C63))+Settings!$B$5*MIN(INDEX(Bases!$P$2:$P$53,B63),INDEX(Bases!$P$2:$P$53,C63))</f>
        <v>75.6666666666667</v>
      </c>
      <c r="W63" s="2" t="n">
        <f aca="false">Settings!$B$4*MAX(INDEX(Bases!$Q$2:$Q$53,B63),INDEX(Bases!$Q$2:$Q$53,C63))+Settings!$B$5*MIN(INDEX(Bases!$Q$2:$Q$53,B63),INDEX(Bases!$Q$2:$Q$53,C63))</f>
        <v>75.6666666666667</v>
      </c>
      <c r="X63" s="2" t="n">
        <f aca="false">Settings!$B$4*MAX(INDEX(Bases!$R$2:$R$53,B63),INDEX(Bases!$R$2:$R$53,C63))+Settings!$B$5*MIN(INDEX(Bases!$R$2:$R$53,B63),INDEX(Bases!$R$2:$R$53,C63))</f>
        <v>51.6666666666667</v>
      </c>
      <c r="Y63" s="2" t="n">
        <f aca="false">S63*Settings!$B$3/SUM(S63:X63)</f>
        <v>99.1207034372502</v>
      </c>
      <c r="Z63" s="2" t="n">
        <f aca="false">T63*Settings!$B$3/SUM(S63:X63)</f>
        <v>79.136690647482</v>
      </c>
      <c r="AA63" s="2" t="n">
        <f aca="false">U63*Settings!$B$3/SUM(S63:X63)</f>
        <v>78.3373301358913</v>
      </c>
      <c r="AB63" s="2" t="n">
        <f aca="false">V63*Settings!$B$3/SUM(S63:X63)</f>
        <v>90.7274180655476</v>
      </c>
      <c r="AC63" s="2" t="n">
        <f aca="false">W63*Settings!$B$3/SUM(S63:X63)</f>
        <v>90.7274180655476</v>
      </c>
      <c r="AD63" s="2" t="n">
        <f aca="false">X63*Settings!$B$3/SUM(S63:X63)</f>
        <v>61.9504396482814</v>
      </c>
      <c r="AE63" s="2" t="n">
        <f aca="false">INT(Y63)</f>
        <v>99</v>
      </c>
      <c r="AF63" s="2" t="n">
        <f aca="false">INT(Z63)</f>
        <v>79</v>
      </c>
      <c r="AG63" s="2" t="n">
        <f aca="false">INT(AA63)</f>
        <v>78</v>
      </c>
      <c r="AH63" s="2" t="n">
        <f aca="false">INT(AB63)</f>
        <v>90</v>
      </c>
      <c r="AI63" s="2" t="n">
        <f aca="false">INT(AC63)</f>
        <v>90</v>
      </c>
      <c r="AJ63" s="2" t="n">
        <f aca="false">INT(AD63)</f>
        <v>61</v>
      </c>
      <c r="AK63" s="2" t="n">
        <f aca="false">Settings!$B$3-SUM(AE63:AJ63)</f>
        <v>3</v>
      </c>
      <c r="AL63" s="2" t="n">
        <f aca="false">ROUND(Y63-AE63,9)</f>
        <v>0.120703437</v>
      </c>
      <c r="AM63" s="2" t="n">
        <f aca="false">ROUND(Z63-AF63,9)</f>
        <v>0.136690647</v>
      </c>
      <c r="AN63" s="2" t="n">
        <f aca="false">ROUND(AA63-AG63,9)</f>
        <v>0.337330136</v>
      </c>
      <c r="AO63" s="2" t="n">
        <f aca="false">ROUND(AB63-AH63,9)</f>
        <v>0.727418066</v>
      </c>
      <c r="AP63" s="2" t="n">
        <f aca="false">ROUND(AC63-AI63,9)</f>
        <v>0.727418066</v>
      </c>
      <c r="AQ63" s="2" t="n">
        <f aca="false">ROUND(AD63-AJ63,9)</f>
        <v>0.950439648</v>
      </c>
    </row>
    <row r="64" customFormat="false" ht="15" hidden="false" customHeight="false" outlineLevel="0" collapsed="false">
      <c r="A64" s="2" t="n">
        <v>63</v>
      </c>
      <c r="B64" s="6" t="n">
        <v>2</v>
      </c>
      <c r="C64" s="6" t="n">
        <v>14</v>
      </c>
      <c r="D64" s="8" t="str">
        <f aca="false">INDEX(Bases!$B$2:$B$53,B64)</f>
        <v>Dunsparce</v>
      </c>
      <c r="E64" s="8" t="str">
        <f aca="false">INDEX(Bases!$B$2:$B$53,C64)</f>
        <v>Celebi</v>
      </c>
      <c r="F64" s="2" t="str">
        <f aca="false">LEFT(D64,ROUNDUP(LEN(D64)/2,0))&amp;LOWER(MID(E64,ROUNDUP(LEN(E64)/2,0)+1,20))</f>
        <v>Dunspebi</v>
      </c>
      <c r="G64" s="8" t="str">
        <f aca="false">INDEX(Bases!$C$2:$C$53,B64)</f>
        <v>Normal</v>
      </c>
      <c r="H64" s="8" t="str">
        <f aca="false">IF(INDEX(Bases!$C$2:$C$53,C64)=G64,"",INDEX(Bases!$C$2:$C$53,C64))</f>
        <v>Grass</v>
      </c>
      <c r="I64" s="8" t="str">
        <f aca="false">IF(INDEX(Bases!$E$2:$E$53,B64)="","",INDEX(Bases!$E$2:$E$53,B64))</f>
        <v/>
      </c>
      <c r="J64" s="8" t="str">
        <f aca="false">IF(INDEX(Bases!$E$2:$E$53,C64)="","",INDEX(Bases!$E$2:$E$53,C64))</f>
        <v/>
      </c>
      <c r="K64" s="5"/>
      <c r="L64" s="2" t="n">
        <f aca="false">AE64+IF(SUMPRODUCT(--($AL64:$AQ64&gt;AL64))&lt;$AK64,1,0)</f>
        <v>105</v>
      </c>
      <c r="M64" s="2" t="n">
        <f aca="false">AF64+IF(SUMPRODUCT(--($AL64:$AQ64&gt;AM64))+SUMPRODUCT(--($AL64:AL64=AM64))&lt;$AK64,1,0)</f>
        <v>83</v>
      </c>
      <c r="N64" s="2" t="n">
        <f aca="false">AG64+IF(SUMPRODUCT(--($AL64:$AQ64&gt;AN64))+SUMPRODUCT(--($AL64:AM64=AN64))&lt;$AK64,1,0)</f>
        <v>82</v>
      </c>
      <c r="O64" s="2" t="n">
        <f aca="false">AH64+IF(SUMPRODUCT(--($AL64:$AQ64&gt;AO64))+SUMPRODUCT(--($AL64:AN64=AO64))&lt;$AK64,1,0)</f>
        <v>80</v>
      </c>
      <c r="P64" s="2" t="n">
        <f aca="false">AI64+IF(SUMPRODUCT(--($AL64:$AQ64&gt;AP64))+SUMPRODUCT(--($AL64:AO64=AP64))&lt;$AK64,1,0)</f>
        <v>79</v>
      </c>
      <c r="Q64" s="2" t="n">
        <f aca="false">AJ64+IF(SUMPRODUCT(--($AL64:$AQ64&gt;AQ64))+SUMPRODUCT(--($AL64:AP64=AQ64))&lt;$AK64,1,0)</f>
        <v>71</v>
      </c>
      <c r="R64" s="2" t="n">
        <f aca="false">SUM(L64:Q64)</f>
        <v>500</v>
      </c>
      <c r="S64" s="2" t="n">
        <f aca="false">Settings!$B$4*MAX(INDEX(Bases!$M$2:$M$53,B64),INDEX(Bases!$M$2:$M$53,C64))+Settings!$B$5*MIN(INDEX(Bases!$M$2:$M$53,B64),INDEX(Bases!$M$2:$M$53,C64))</f>
        <v>86.3333333333333</v>
      </c>
      <c r="T64" s="2" t="n">
        <f aca="false">Settings!$B$4*MAX(INDEX(Bases!$N$2:$N$53,B64),INDEX(Bases!$N$2:$N$53,C64))+Settings!$B$5*MIN(INDEX(Bases!$N$2:$N$53,B64),INDEX(Bases!$N$2:$N$53,C64))</f>
        <v>67.6666666666667</v>
      </c>
      <c r="U64" s="2" t="n">
        <f aca="false">Settings!$B$4*MAX(INDEX(Bases!$O$2:$O$53,B64),INDEX(Bases!$O$2:$O$53,C64))+Settings!$B$5*MIN(INDEX(Bases!$O$2:$O$53,B64),INDEX(Bases!$O$2:$O$53,C64))</f>
        <v>67</v>
      </c>
      <c r="V64" s="2" t="n">
        <f aca="false">Settings!$B$4*MAX(INDEX(Bases!$P$2:$P$53,B64),INDEX(Bases!$P$2:$P$53,C64))+Settings!$B$5*MIN(INDEX(Bases!$P$2:$P$53,B64),INDEX(Bases!$P$2:$P$53,C64))</f>
        <v>65.6666666666667</v>
      </c>
      <c r="W64" s="2" t="n">
        <f aca="false">Settings!$B$4*MAX(INDEX(Bases!$Q$2:$Q$53,B64),INDEX(Bases!$Q$2:$Q$53,C64))+Settings!$B$5*MIN(INDEX(Bases!$Q$2:$Q$53,B64),INDEX(Bases!$Q$2:$Q$53,C64))</f>
        <v>65</v>
      </c>
      <c r="X64" s="2" t="n">
        <f aca="false">Settings!$B$4*MAX(INDEX(Bases!$R$2:$R$53,B64),INDEX(Bases!$R$2:$R$53,C64))+Settings!$B$5*MIN(INDEX(Bases!$R$2:$R$53,B64),INDEX(Bases!$R$2:$R$53,C64))</f>
        <v>58.3333333333333</v>
      </c>
      <c r="Y64" s="2" t="n">
        <f aca="false">S64*Settings!$B$3/SUM(S64:X64)</f>
        <v>105.284552845528</v>
      </c>
      <c r="Z64" s="2" t="n">
        <f aca="false">T64*Settings!$B$3/SUM(S64:X64)</f>
        <v>82.520325203252</v>
      </c>
      <c r="AA64" s="2" t="n">
        <f aca="false">U64*Settings!$B$3/SUM(S64:X64)</f>
        <v>81.7073170731707</v>
      </c>
      <c r="AB64" s="2" t="n">
        <f aca="false">V64*Settings!$B$3/SUM(S64:X64)</f>
        <v>80.0813008130081</v>
      </c>
      <c r="AC64" s="2" t="n">
        <f aca="false">W64*Settings!$B$3/SUM(S64:X64)</f>
        <v>79.2682926829268</v>
      </c>
      <c r="AD64" s="2" t="n">
        <f aca="false">X64*Settings!$B$3/SUM(S64:X64)</f>
        <v>71.1382113821138</v>
      </c>
      <c r="AE64" s="2" t="n">
        <f aca="false">INT(Y64)</f>
        <v>105</v>
      </c>
      <c r="AF64" s="2" t="n">
        <f aca="false">INT(Z64)</f>
        <v>82</v>
      </c>
      <c r="AG64" s="2" t="n">
        <f aca="false">INT(AA64)</f>
        <v>81</v>
      </c>
      <c r="AH64" s="2" t="n">
        <f aca="false">INT(AB64)</f>
        <v>80</v>
      </c>
      <c r="AI64" s="2" t="n">
        <f aca="false">INT(AC64)</f>
        <v>79</v>
      </c>
      <c r="AJ64" s="2" t="n">
        <f aca="false">INT(AD64)</f>
        <v>71</v>
      </c>
      <c r="AK64" s="2" t="n">
        <f aca="false">Settings!$B$3-SUM(AE64:AJ64)</f>
        <v>2</v>
      </c>
      <c r="AL64" s="2" t="n">
        <f aca="false">ROUND(Y64-AE64,9)</f>
        <v>0.284552846</v>
      </c>
      <c r="AM64" s="2" t="n">
        <f aca="false">ROUND(Z64-AF64,9)</f>
        <v>0.520325203</v>
      </c>
      <c r="AN64" s="2" t="n">
        <f aca="false">ROUND(AA64-AG64,9)</f>
        <v>0.707317073</v>
      </c>
      <c r="AO64" s="2" t="n">
        <f aca="false">ROUND(AB64-AH64,9)</f>
        <v>0.081300813</v>
      </c>
      <c r="AP64" s="2" t="n">
        <f aca="false">ROUND(AC64-AI64,9)</f>
        <v>0.268292683</v>
      </c>
      <c r="AQ64" s="2" t="n">
        <f aca="false">ROUND(AD64-AJ64,9)</f>
        <v>0.138211382</v>
      </c>
    </row>
    <row r="65" customFormat="false" ht="15" hidden="false" customHeight="false" outlineLevel="0" collapsed="false">
      <c r="A65" s="2" t="n">
        <v>64</v>
      </c>
      <c r="B65" s="6" t="n">
        <v>2</v>
      </c>
      <c r="C65" s="6" t="n">
        <v>15</v>
      </c>
      <c r="D65" s="8" t="str">
        <f aca="false">INDEX(Bases!$B$2:$B$53,B65)</f>
        <v>Dunsparce</v>
      </c>
      <c r="E65" s="8" t="str">
        <f aca="false">INDEX(Bases!$B$2:$B$53,C65)</f>
        <v>Shroomish</v>
      </c>
      <c r="F65" s="2" t="str">
        <f aca="false">LEFT(D65,ROUNDUP(LEN(D65)/2,0))&amp;LOWER(MID(E65,ROUNDUP(LEN(E65)/2,0)+1,20))</f>
        <v>Dunspmish</v>
      </c>
      <c r="G65" s="8" t="str">
        <f aca="false">INDEX(Bases!$C$2:$C$53,B65)</f>
        <v>Normal</v>
      </c>
      <c r="H65" s="8" t="str">
        <f aca="false">IF(INDEX(Bases!$C$2:$C$53,C65)=G65,"",INDEX(Bases!$C$2:$C$53,C65))</f>
        <v>Grass</v>
      </c>
      <c r="I65" s="8" t="str">
        <f aca="false">IF(INDEX(Bases!$E$2:$E$53,B65)="","",INDEX(Bases!$E$2:$E$53,B65))</f>
        <v/>
      </c>
      <c r="J65" s="8" t="str">
        <f aca="false">IF(INDEX(Bases!$E$2:$E$53,C65)="","",INDEX(Bases!$E$2:$E$53,C65))</f>
        <v/>
      </c>
      <c r="K65" s="5"/>
      <c r="L65" s="2" t="n">
        <f aca="false">AE65+IF(SUMPRODUCT(--($AL65:$AQ65&gt;AL65))&lt;$AK65,1,0)</f>
        <v>111</v>
      </c>
      <c r="M65" s="2" t="n">
        <f aca="false">AF65+IF(SUMPRODUCT(--($AL65:$AQ65&gt;AM65))+SUMPRODUCT(--($AL65:AL65=AM65))&lt;$AK65,1,0)</f>
        <v>77</v>
      </c>
      <c r="N65" s="2" t="n">
        <f aca="false">AG65+IF(SUMPRODUCT(--($AL65:$AQ65&gt;AN65))+SUMPRODUCT(--($AL65:AM65=AN65))&lt;$AK65,1,0)</f>
        <v>92</v>
      </c>
      <c r="O65" s="2" t="n">
        <f aca="false">AH65+IF(SUMPRODUCT(--($AL65:$AQ65&gt;AO65))+SUMPRODUCT(--($AL65:AN65=AO65))&lt;$AK65,1,0)</f>
        <v>73</v>
      </c>
      <c r="P65" s="2" t="n">
        <f aca="false">AI65+IF(SUMPRODUCT(--($AL65:$AQ65&gt;AP65))+SUMPRODUCT(--($AL65:AO65=AP65))&lt;$AK65,1,0)</f>
        <v>91</v>
      </c>
      <c r="Q65" s="2" t="n">
        <f aca="false">AJ65+IF(SUMPRODUCT(--($AL65:$AQ65&gt;AQ65))+SUMPRODUCT(--($AL65:AP65=AQ65))&lt;$AK65,1,0)</f>
        <v>56</v>
      </c>
      <c r="R65" s="2" t="n">
        <f aca="false">SUM(L65:Q65)</f>
        <v>500</v>
      </c>
      <c r="S65" s="2" t="n">
        <f aca="false">Settings!$B$4*MAX(INDEX(Bases!$M$2:$M$53,B65),INDEX(Bases!$M$2:$M$53,C65))+Settings!$B$5*MIN(INDEX(Bases!$M$2:$M$53,B65),INDEX(Bases!$M$2:$M$53,C65))</f>
        <v>91.3333333333333</v>
      </c>
      <c r="T65" s="2" t="n">
        <f aca="false">Settings!$B$4*MAX(INDEX(Bases!$N$2:$N$53,B65),INDEX(Bases!$N$2:$N$53,C65))+Settings!$B$5*MIN(INDEX(Bases!$N$2:$N$53,B65),INDEX(Bases!$N$2:$N$53,C65))</f>
        <v>63.3333333333333</v>
      </c>
      <c r="U65" s="2" t="n">
        <f aca="false">Settings!$B$4*MAX(INDEX(Bases!$O$2:$O$53,B65),INDEX(Bases!$O$2:$O$53,C65))+Settings!$B$5*MIN(INDEX(Bases!$O$2:$O$53,B65),INDEX(Bases!$O$2:$O$53,C65))</f>
        <v>76.3333333333333</v>
      </c>
      <c r="V65" s="2" t="n">
        <f aca="false">Settings!$B$4*MAX(INDEX(Bases!$P$2:$P$53,B65),INDEX(Bases!$P$2:$P$53,C65))+Settings!$B$5*MIN(INDEX(Bases!$P$2:$P$53,B65),INDEX(Bases!$P$2:$P$53,C65))</f>
        <v>60</v>
      </c>
      <c r="W65" s="2" t="n">
        <f aca="false">Settings!$B$4*MAX(INDEX(Bases!$Q$2:$Q$53,B65),INDEX(Bases!$Q$2:$Q$53,C65))+Settings!$B$5*MIN(INDEX(Bases!$Q$2:$Q$53,B65),INDEX(Bases!$Q$2:$Q$53,C65))</f>
        <v>75</v>
      </c>
      <c r="X65" s="2" t="n">
        <f aca="false">Settings!$B$4*MAX(INDEX(Bases!$R$2:$R$53,B65),INDEX(Bases!$R$2:$R$53,C65))+Settings!$B$5*MIN(INDEX(Bases!$R$2:$R$53,B65),INDEX(Bases!$R$2:$R$53,C65))</f>
        <v>46.3333333333333</v>
      </c>
      <c r="Y65" s="2" t="n">
        <f aca="false">S65*Settings!$B$3/SUM(S65:X65)</f>
        <v>110.751818916734</v>
      </c>
      <c r="Z65" s="2" t="n">
        <f aca="false">T65*Settings!$B$3/SUM(S65:X65)</f>
        <v>76.7987065481002</v>
      </c>
      <c r="AA65" s="2" t="n">
        <f aca="false">U65*Settings!$B$3/SUM(S65:X65)</f>
        <v>92.5626515763945</v>
      </c>
      <c r="AB65" s="2" t="n">
        <f aca="false">V65*Settings!$B$3/SUM(S65:X65)</f>
        <v>72.7566693613581</v>
      </c>
      <c r="AC65" s="2" t="n">
        <f aca="false">W65*Settings!$B$3/SUM(S65:X65)</f>
        <v>90.9458367016977</v>
      </c>
      <c r="AD65" s="2" t="n">
        <f aca="false">X65*Settings!$B$3/SUM(S65:X65)</f>
        <v>56.1843168957155</v>
      </c>
      <c r="AE65" s="2" t="n">
        <f aca="false">INT(Y65)</f>
        <v>110</v>
      </c>
      <c r="AF65" s="2" t="n">
        <f aca="false">INT(Z65)</f>
        <v>76</v>
      </c>
      <c r="AG65" s="2" t="n">
        <f aca="false">INT(AA65)</f>
        <v>92</v>
      </c>
      <c r="AH65" s="2" t="n">
        <f aca="false">INT(AB65)</f>
        <v>72</v>
      </c>
      <c r="AI65" s="2" t="n">
        <f aca="false">INT(AC65)</f>
        <v>90</v>
      </c>
      <c r="AJ65" s="2" t="n">
        <f aca="false">INT(AD65)</f>
        <v>56</v>
      </c>
      <c r="AK65" s="2" t="n">
        <f aca="false">Settings!$B$3-SUM(AE65:AJ65)</f>
        <v>4</v>
      </c>
      <c r="AL65" s="2" t="n">
        <f aca="false">ROUND(Y65-AE65,9)</f>
        <v>0.751818917</v>
      </c>
      <c r="AM65" s="2" t="n">
        <f aca="false">ROUND(Z65-AF65,9)</f>
        <v>0.798706548</v>
      </c>
      <c r="AN65" s="2" t="n">
        <f aca="false">ROUND(AA65-AG65,9)</f>
        <v>0.562651576</v>
      </c>
      <c r="AO65" s="2" t="n">
        <f aca="false">ROUND(AB65-AH65,9)</f>
        <v>0.756669361</v>
      </c>
      <c r="AP65" s="2" t="n">
        <f aca="false">ROUND(AC65-AI65,9)</f>
        <v>0.945836702</v>
      </c>
      <c r="AQ65" s="2" t="n">
        <f aca="false">ROUND(AD65-AJ65,9)</f>
        <v>0.184316896</v>
      </c>
    </row>
    <row r="66" customFormat="false" ht="15" hidden="false" customHeight="false" outlineLevel="0" collapsed="false">
      <c r="A66" s="2" t="n">
        <v>65</v>
      </c>
      <c r="B66" s="6" t="n">
        <v>2</v>
      </c>
      <c r="C66" s="6" t="n">
        <v>16</v>
      </c>
      <c r="D66" s="8" t="str">
        <f aca="false">INDEX(Bases!$B$2:$B$53,B66)</f>
        <v>Dunsparce</v>
      </c>
      <c r="E66" s="8" t="str">
        <f aca="false">INDEX(Bases!$B$2:$B$53,C66)</f>
        <v>Swinub</v>
      </c>
      <c r="F66" s="2" t="str">
        <f aca="false">LEFT(D66,ROUNDUP(LEN(D66)/2,0))&amp;LOWER(MID(E66,ROUNDUP(LEN(E66)/2,0)+1,20))</f>
        <v>Dunspnub</v>
      </c>
      <c r="G66" s="8" t="str">
        <f aca="false">INDEX(Bases!$C$2:$C$53,B66)</f>
        <v>Normal</v>
      </c>
      <c r="H66" s="8" t="str">
        <f aca="false">IF(INDEX(Bases!$C$2:$C$53,C66)=G66,"",INDEX(Bases!$C$2:$C$53,C66))</f>
        <v>Ice</v>
      </c>
      <c r="I66" s="8" t="str">
        <f aca="false">IF(INDEX(Bases!$E$2:$E$53,B66)="","",INDEX(Bases!$E$2:$E$53,B66))</f>
        <v/>
      </c>
      <c r="J66" s="8" t="str">
        <f aca="false">IF(INDEX(Bases!$E$2:$E$53,C66)="","",INDEX(Bases!$E$2:$E$53,C66))</f>
        <v/>
      </c>
      <c r="K66" s="5"/>
      <c r="L66" s="2" t="n">
        <f aca="false">AE66+IF(SUMPRODUCT(--($AL66:$AQ66&gt;AL66))&lt;$AK66,1,0)</f>
        <v>109</v>
      </c>
      <c r="M66" s="2" t="n">
        <f aca="false">AF66+IF(SUMPRODUCT(--($AL66:$AQ66&gt;AM66))+SUMPRODUCT(--($AL66:AL66=AM66))&lt;$AK66,1,0)</f>
        <v>91</v>
      </c>
      <c r="N66" s="2" t="n">
        <f aca="false">AG66+IF(SUMPRODUCT(--($AL66:$AQ66&gt;AN66))+SUMPRODUCT(--($AL66:AM66=AN66))&lt;$AK66,1,0)</f>
        <v>79</v>
      </c>
      <c r="O66" s="2" t="n">
        <f aca="false">AH66+IF(SUMPRODUCT(--($AL66:$AQ66&gt;AO66))+SUMPRODUCT(--($AL66:AN66=AO66))&lt;$AK66,1,0)</f>
        <v>70</v>
      </c>
      <c r="P66" s="2" t="n">
        <f aca="false">AI66+IF(SUMPRODUCT(--($AL66:$AQ66&gt;AP66))+SUMPRODUCT(--($AL66:AO66=AP66))&lt;$AK66,1,0)</f>
        <v>70</v>
      </c>
      <c r="Q66" s="2" t="n">
        <f aca="false">AJ66+IF(SUMPRODUCT(--($AL66:$AQ66&gt;AQ66))+SUMPRODUCT(--($AL66:AP66=AQ66))&lt;$AK66,1,0)</f>
        <v>81</v>
      </c>
      <c r="R66" s="2" t="n">
        <f aca="false">SUM(L66:Q66)</f>
        <v>500</v>
      </c>
      <c r="S66" s="2" t="n">
        <f aca="false">Settings!$B$4*MAX(INDEX(Bases!$M$2:$M$53,B66),INDEX(Bases!$M$2:$M$53,C66))+Settings!$B$5*MIN(INDEX(Bases!$M$2:$M$53,B66),INDEX(Bases!$M$2:$M$53,C66))</f>
        <v>90.6666666666667</v>
      </c>
      <c r="T66" s="2" t="n">
        <f aca="false">Settings!$B$4*MAX(INDEX(Bases!$N$2:$N$53,B66),INDEX(Bases!$N$2:$N$53,C66))+Settings!$B$5*MIN(INDEX(Bases!$N$2:$N$53,B66),INDEX(Bases!$N$2:$N$53,C66))</f>
        <v>76</v>
      </c>
      <c r="U66" s="2" t="n">
        <f aca="false">Settings!$B$4*MAX(INDEX(Bases!$O$2:$O$53,B66),INDEX(Bases!$O$2:$O$53,C66))+Settings!$B$5*MIN(INDEX(Bases!$O$2:$O$53,B66),INDEX(Bases!$O$2:$O$53,C66))</f>
        <v>66</v>
      </c>
      <c r="V66" s="2" t="n">
        <f aca="false">Settings!$B$4*MAX(INDEX(Bases!$P$2:$P$53,B66),INDEX(Bases!$P$2:$P$53,C66))+Settings!$B$5*MIN(INDEX(Bases!$P$2:$P$53,B66),INDEX(Bases!$P$2:$P$53,C66))</f>
        <v>58</v>
      </c>
      <c r="W66" s="2" t="n">
        <f aca="false">Settings!$B$4*MAX(INDEX(Bases!$Q$2:$Q$53,B66),INDEX(Bases!$Q$2:$Q$53,C66))+Settings!$B$5*MIN(INDEX(Bases!$Q$2:$Q$53,B66),INDEX(Bases!$Q$2:$Q$53,C66))</f>
        <v>58</v>
      </c>
      <c r="X66" s="2" t="n">
        <f aca="false">Settings!$B$4*MAX(INDEX(Bases!$R$2:$R$53,B66),INDEX(Bases!$R$2:$R$53,C66))+Settings!$B$5*MIN(INDEX(Bases!$R$2:$R$53,B66),INDEX(Bases!$R$2:$R$53,C66))</f>
        <v>67.6666666666667</v>
      </c>
      <c r="Y66" s="2" t="n">
        <f aca="false">S66*Settings!$B$3/SUM(S66:X66)</f>
        <v>108.88710968775</v>
      </c>
      <c r="Z66" s="2" t="n">
        <f aca="false">T66*Settings!$B$3/SUM(S66:X66)</f>
        <v>91.2730184147318</v>
      </c>
      <c r="AA66" s="2" t="n">
        <f aca="false">U66*Settings!$B$3/SUM(S66:X66)</f>
        <v>79.2634107285829</v>
      </c>
      <c r="AB66" s="2" t="n">
        <f aca="false">V66*Settings!$B$3/SUM(S66:X66)</f>
        <v>69.6557245796637</v>
      </c>
      <c r="AC66" s="2" t="n">
        <f aca="false">W66*Settings!$B$3/SUM(S66:X66)</f>
        <v>69.6557245796637</v>
      </c>
      <c r="AD66" s="2" t="n">
        <f aca="false">X66*Settings!$B$3/SUM(S66:X66)</f>
        <v>81.2650120096077</v>
      </c>
      <c r="AE66" s="2" t="n">
        <f aca="false">INT(Y66)</f>
        <v>108</v>
      </c>
      <c r="AF66" s="2" t="n">
        <f aca="false">INT(Z66)</f>
        <v>91</v>
      </c>
      <c r="AG66" s="2" t="n">
        <f aca="false">INT(AA66)</f>
        <v>79</v>
      </c>
      <c r="AH66" s="2" t="n">
        <f aca="false">INT(AB66)</f>
        <v>69</v>
      </c>
      <c r="AI66" s="2" t="n">
        <f aca="false">INT(AC66)</f>
        <v>69</v>
      </c>
      <c r="AJ66" s="2" t="n">
        <f aca="false">INT(AD66)</f>
        <v>81</v>
      </c>
      <c r="AK66" s="2" t="n">
        <f aca="false">Settings!$B$3-SUM(AE66:AJ66)</f>
        <v>3</v>
      </c>
      <c r="AL66" s="2" t="n">
        <f aca="false">ROUND(Y66-AE66,9)</f>
        <v>0.887109688</v>
      </c>
      <c r="AM66" s="2" t="n">
        <f aca="false">ROUND(Z66-AF66,9)</f>
        <v>0.273018415</v>
      </c>
      <c r="AN66" s="2" t="n">
        <f aca="false">ROUND(AA66-AG66,9)</f>
        <v>0.263410729</v>
      </c>
      <c r="AO66" s="2" t="n">
        <f aca="false">ROUND(AB66-AH66,9)</f>
        <v>0.65572458</v>
      </c>
      <c r="AP66" s="2" t="n">
        <f aca="false">ROUND(AC66-AI66,9)</f>
        <v>0.65572458</v>
      </c>
      <c r="AQ66" s="2" t="n">
        <f aca="false">ROUND(AD66-AJ66,9)</f>
        <v>0.26501201</v>
      </c>
    </row>
    <row r="67" customFormat="false" ht="15" hidden="false" customHeight="false" outlineLevel="0" collapsed="false">
      <c r="A67" s="2" t="n">
        <v>66</v>
      </c>
      <c r="B67" s="6" t="n">
        <v>2</v>
      </c>
      <c r="C67" s="6" t="n">
        <v>17</v>
      </c>
      <c r="D67" s="8" t="str">
        <f aca="false">INDEX(Bases!$B$2:$B$53,B67)</f>
        <v>Dunsparce</v>
      </c>
      <c r="E67" s="8" t="str">
        <f aca="false">INDEX(Bases!$B$2:$B$53,C67)</f>
        <v>Snorunt</v>
      </c>
      <c r="F67" s="2" t="str">
        <f aca="false">LEFT(D67,ROUNDUP(LEN(D67)/2,0))&amp;LOWER(MID(E67,ROUNDUP(LEN(E67)/2,0)+1,20))</f>
        <v>Dunspunt</v>
      </c>
      <c r="G67" s="8" t="str">
        <f aca="false">INDEX(Bases!$C$2:$C$53,B67)</f>
        <v>Normal</v>
      </c>
      <c r="H67" s="8" t="str">
        <f aca="false">IF(INDEX(Bases!$C$2:$C$53,C67)=G67,"",INDEX(Bases!$C$2:$C$53,C67))</f>
        <v>Ice</v>
      </c>
      <c r="I67" s="8" t="str">
        <f aca="false">IF(INDEX(Bases!$E$2:$E$53,B67)="","",INDEX(Bases!$E$2:$E$53,B67))</f>
        <v/>
      </c>
      <c r="J67" s="8" t="str">
        <f aca="false">IF(INDEX(Bases!$E$2:$E$53,C67)="","",INDEX(Bases!$E$2:$E$53,C67))</f>
        <v/>
      </c>
      <c r="K67" s="5"/>
      <c r="L67" s="2" t="n">
        <f aca="false">AE67+IF(SUMPRODUCT(--($AL67:$AQ67&gt;AL67))&lt;$AK67,1,0)</f>
        <v>105</v>
      </c>
      <c r="M67" s="2" t="n">
        <f aca="false">AF67+IF(SUMPRODUCT(--($AL67:$AQ67&gt;AM67))+SUMPRODUCT(--($AL67:AL67=AM67))&lt;$AK67,1,0)</f>
        <v>83</v>
      </c>
      <c r="N67" s="2" t="n">
        <f aca="false">AG67+IF(SUMPRODUCT(--($AL67:$AQ67&gt;AN67))+SUMPRODUCT(--($AL67:AM67=AN67))&lt;$AK67,1,0)</f>
        <v>82</v>
      </c>
      <c r="O67" s="2" t="n">
        <f aca="false">AH67+IF(SUMPRODUCT(--($AL67:$AQ67&gt;AO67))+SUMPRODUCT(--($AL67:AN67=AO67))&lt;$AK67,1,0)</f>
        <v>80</v>
      </c>
      <c r="P67" s="2" t="n">
        <f aca="false">AI67+IF(SUMPRODUCT(--($AL67:$AQ67&gt;AP67))+SUMPRODUCT(--($AL67:AO67=AP67))&lt;$AK67,1,0)</f>
        <v>79</v>
      </c>
      <c r="Q67" s="2" t="n">
        <f aca="false">AJ67+IF(SUMPRODUCT(--($AL67:$AQ67&gt;AQ67))+SUMPRODUCT(--($AL67:AP67=AQ67))&lt;$AK67,1,0)</f>
        <v>71</v>
      </c>
      <c r="R67" s="2" t="n">
        <f aca="false">SUM(L67:Q67)</f>
        <v>500</v>
      </c>
      <c r="S67" s="2" t="n">
        <f aca="false">Settings!$B$4*MAX(INDEX(Bases!$M$2:$M$53,B67),INDEX(Bases!$M$2:$M$53,C67))+Settings!$B$5*MIN(INDEX(Bases!$M$2:$M$53,B67),INDEX(Bases!$M$2:$M$53,C67))</f>
        <v>86.3333333333333</v>
      </c>
      <c r="T67" s="2" t="n">
        <f aca="false">Settings!$B$4*MAX(INDEX(Bases!$N$2:$N$53,B67),INDEX(Bases!$N$2:$N$53,C67))+Settings!$B$5*MIN(INDEX(Bases!$N$2:$N$53,B67),INDEX(Bases!$N$2:$N$53,C67))</f>
        <v>67.6666666666667</v>
      </c>
      <c r="U67" s="2" t="n">
        <f aca="false">Settings!$B$4*MAX(INDEX(Bases!$O$2:$O$53,B67),INDEX(Bases!$O$2:$O$53,C67))+Settings!$B$5*MIN(INDEX(Bases!$O$2:$O$53,B67),INDEX(Bases!$O$2:$O$53,C67))</f>
        <v>67</v>
      </c>
      <c r="V67" s="2" t="n">
        <f aca="false">Settings!$B$4*MAX(INDEX(Bases!$P$2:$P$53,B67),INDEX(Bases!$P$2:$P$53,C67))+Settings!$B$5*MIN(INDEX(Bases!$P$2:$P$53,B67),INDEX(Bases!$P$2:$P$53,C67))</f>
        <v>65.6666666666667</v>
      </c>
      <c r="W67" s="2" t="n">
        <f aca="false">Settings!$B$4*MAX(INDEX(Bases!$Q$2:$Q$53,B67),INDEX(Bases!$Q$2:$Q$53,C67))+Settings!$B$5*MIN(INDEX(Bases!$Q$2:$Q$53,B67),INDEX(Bases!$Q$2:$Q$53,C67))</f>
        <v>65</v>
      </c>
      <c r="X67" s="2" t="n">
        <f aca="false">Settings!$B$4*MAX(INDEX(Bases!$R$2:$R$53,B67),INDEX(Bases!$R$2:$R$53,C67))+Settings!$B$5*MIN(INDEX(Bases!$R$2:$R$53,B67),INDEX(Bases!$R$2:$R$53,C67))</f>
        <v>58.3333333333333</v>
      </c>
      <c r="Y67" s="2" t="n">
        <f aca="false">S67*Settings!$B$3/SUM(S67:X67)</f>
        <v>105.284552845528</v>
      </c>
      <c r="Z67" s="2" t="n">
        <f aca="false">T67*Settings!$B$3/SUM(S67:X67)</f>
        <v>82.520325203252</v>
      </c>
      <c r="AA67" s="2" t="n">
        <f aca="false">U67*Settings!$B$3/SUM(S67:X67)</f>
        <v>81.7073170731707</v>
      </c>
      <c r="AB67" s="2" t="n">
        <f aca="false">V67*Settings!$B$3/SUM(S67:X67)</f>
        <v>80.0813008130081</v>
      </c>
      <c r="AC67" s="2" t="n">
        <f aca="false">W67*Settings!$B$3/SUM(S67:X67)</f>
        <v>79.2682926829268</v>
      </c>
      <c r="AD67" s="2" t="n">
        <f aca="false">X67*Settings!$B$3/SUM(S67:X67)</f>
        <v>71.1382113821138</v>
      </c>
      <c r="AE67" s="2" t="n">
        <f aca="false">INT(Y67)</f>
        <v>105</v>
      </c>
      <c r="AF67" s="2" t="n">
        <f aca="false">INT(Z67)</f>
        <v>82</v>
      </c>
      <c r="AG67" s="2" t="n">
        <f aca="false">INT(AA67)</f>
        <v>81</v>
      </c>
      <c r="AH67" s="2" t="n">
        <f aca="false">INT(AB67)</f>
        <v>80</v>
      </c>
      <c r="AI67" s="2" t="n">
        <f aca="false">INT(AC67)</f>
        <v>79</v>
      </c>
      <c r="AJ67" s="2" t="n">
        <f aca="false">INT(AD67)</f>
        <v>71</v>
      </c>
      <c r="AK67" s="2" t="n">
        <f aca="false">Settings!$B$3-SUM(AE67:AJ67)</f>
        <v>2</v>
      </c>
      <c r="AL67" s="2" t="n">
        <f aca="false">ROUND(Y67-AE67,9)</f>
        <v>0.284552846</v>
      </c>
      <c r="AM67" s="2" t="n">
        <f aca="false">ROUND(Z67-AF67,9)</f>
        <v>0.520325203</v>
      </c>
      <c r="AN67" s="2" t="n">
        <f aca="false">ROUND(AA67-AG67,9)</f>
        <v>0.707317073</v>
      </c>
      <c r="AO67" s="2" t="n">
        <f aca="false">ROUND(AB67-AH67,9)</f>
        <v>0.081300813</v>
      </c>
      <c r="AP67" s="2" t="n">
        <f aca="false">ROUND(AC67-AI67,9)</f>
        <v>0.268292683</v>
      </c>
      <c r="AQ67" s="2" t="n">
        <f aca="false">ROUND(AD67-AJ67,9)</f>
        <v>0.138211382</v>
      </c>
    </row>
    <row r="68" customFormat="false" ht="15" hidden="false" customHeight="false" outlineLevel="0" collapsed="false">
      <c r="A68" s="2" t="n">
        <v>67</v>
      </c>
      <c r="B68" s="6" t="n">
        <v>2</v>
      </c>
      <c r="C68" s="6" t="n">
        <v>18</v>
      </c>
      <c r="D68" s="8" t="str">
        <f aca="false">INDEX(Bases!$B$2:$B$53,B68)</f>
        <v>Dunsparce</v>
      </c>
      <c r="E68" s="8" t="str">
        <f aca="false">INDEX(Bases!$B$2:$B$53,C68)</f>
        <v>Spheal</v>
      </c>
      <c r="F68" s="2" t="str">
        <f aca="false">LEFT(D68,ROUNDUP(LEN(D68)/2,0))&amp;LOWER(MID(E68,ROUNDUP(LEN(E68)/2,0)+1,20))</f>
        <v>Dunspeal</v>
      </c>
      <c r="G68" s="8" t="str">
        <f aca="false">INDEX(Bases!$C$2:$C$53,B68)</f>
        <v>Normal</v>
      </c>
      <c r="H68" s="8" t="str">
        <f aca="false">IF(INDEX(Bases!$C$2:$C$53,C68)=G68,"",INDEX(Bases!$C$2:$C$53,C68))</f>
        <v>Ice</v>
      </c>
      <c r="I68" s="8" t="str">
        <f aca="false">IF(INDEX(Bases!$E$2:$E$53,B68)="","",INDEX(Bases!$E$2:$E$53,B68))</f>
        <v/>
      </c>
      <c r="J68" s="8" t="str">
        <f aca="false">IF(INDEX(Bases!$E$2:$E$53,C68)="","",INDEX(Bases!$E$2:$E$53,C68))</f>
        <v/>
      </c>
      <c r="K68" s="5"/>
      <c r="L68" s="2" t="n">
        <f aca="false">AE68+IF(SUMPRODUCT(--($AL68:$AQ68&gt;AL68))&lt;$AK68,1,0)</f>
        <v>119</v>
      </c>
      <c r="M68" s="2" t="n">
        <f aca="false">AF68+IF(SUMPRODUCT(--($AL68:$AQ68&gt;AM68))+SUMPRODUCT(--($AL68:AL68=AM68))&lt;$AK68,1,0)</f>
        <v>78</v>
      </c>
      <c r="N68" s="2" t="n">
        <f aca="false">AG68+IF(SUMPRODUCT(--($AL68:$AQ68&gt;AN68))+SUMPRODUCT(--($AL68:AM68=AN68))&lt;$AK68,1,0)</f>
        <v>84</v>
      </c>
      <c r="O68" s="2" t="n">
        <f aca="false">AH68+IF(SUMPRODUCT(--($AL68:$AQ68&gt;AO68))+SUMPRODUCT(--($AL68:AN68=AO68))&lt;$AK68,1,0)</f>
        <v>88</v>
      </c>
      <c r="P68" s="2" t="n">
        <f aca="false">AI68+IF(SUMPRODUCT(--($AL68:$AQ68&gt;AP68))+SUMPRODUCT(--($AL68:AO68=AP68))&lt;$AK68,1,0)</f>
        <v>82</v>
      </c>
      <c r="Q68" s="2" t="n">
        <f aca="false">AJ68+IF(SUMPRODUCT(--($AL68:$AQ68&gt;AQ68))+SUMPRODUCT(--($AL68:AP68=AQ68))&lt;$AK68,1,0)</f>
        <v>49</v>
      </c>
      <c r="R68" s="2" t="n">
        <f aca="false">SUM(L68:Q68)</f>
        <v>500</v>
      </c>
      <c r="S68" s="2" t="n">
        <f aca="false">Settings!$B$4*MAX(INDEX(Bases!$M$2:$M$53,B68),INDEX(Bases!$M$2:$M$53,C68))+Settings!$B$5*MIN(INDEX(Bases!$M$2:$M$53,B68),INDEX(Bases!$M$2:$M$53,C68))</f>
        <v>96.6666666666667</v>
      </c>
      <c r="T68" s="2" t="n">
        <f aca="false">Settings!$B$4*MAX(INDEX(Bases!$N$2:$N$53,B68),INDEX(Bases!$N$2:$N$53,C68))+Settings!$B$5*MIN(INDEX(Bases!$N$2:$N$53,B68),INDEX(Bases!$N$2:$N$53,C68))</f>
        <v>63.6666666666667</v>
      </c>
      <c r="U68" s="2" t="n">
        <f aca="false">Settings!$B$4*MAX(INDEX(Bases!$O$2:$O$53,B68),INDEX(Bases!$O$2:$O$53,C68))+Settings!$B$5*MIN(INDEX(Bases!$O$2:$O$53,B68),INDEX(Bases!$O$2:$O$53,C68))</f>
        <v>68.3333333333333</v>
      </c>
      <c r="V68" s="2" t="n">
        <f aca="false">Settings!$B$4*MAX(INDEX(Bases!$P$2:$P$53,B68),INDEX(Bases!$P$2:$P$53,C68))+Settings!$B$5*MIN(INDEX(Bases!$P$2:$P$53,B68),INDEX(Bases!$P$2:$P$53,C68))</f>
        <v>71.6666666666667</v>
      </c>
      <c r="W68" s="2" t="n">
        <f aca="false">Settings!$B$4*MAX(INDEX(Bases!$Q$2:$Q$53,B68),INDEX(Bases!$Q$2:$Q$53,C68))+Settings!$B$5*MIN(INDEX(Bases!$Q$2:$Q$53,B68),INDEX(Bases!$Q$2:$Q$53,C68))</f>
        <v>67</v>
      </c>
      <c r="X68" s="2" t="n">
        <f aca="false">Settings!$B$4*MAX(INDEX(Bases!$R$2:$R$53,B68),INDEX(Bases!$R$2:$R$53,C68))+Settings!$B$5*MIN(INDEX(Bases!$R$2:$R$53,B68),INDEX(Bases!$R$2:$R$53,C68))</f>
        <v>40</v>
      </c>
      <c r="Y68" s="2" t="n">
        <f aca="false">S68*Settings!$B$3/SUM(S68:X68)</f>
        <v>118.657937806874</v>
      </c>
      <c r="Z68" s="2" t="n">
        <f aca="false">T68*Settings!$B$3/SUM(S68:X68)</f>
        <v>78.1505728314239</v>
      </c>
      <c r="AA68" s="2" t="n">
        <f aca="false">U68*Settings!$B$3/SUM(S68:X68)</f>
        <v>83.8788870703765</v>
      </c>
      <c r="AB68" s="2" t="n">
        <f aca="false">V68*Settings!$B$3/SUM(S68:X68)</f>
        <v>87.9705400981997</v>
      </c>
      <c r="AC68" s="2" t="n">
        <f aca="false">W68*Settings!$B$3/SUM(S68:X68)</f>
        <v>82.2422258592471</v>
      </c>
      <c r="AD68" s="2" t="n">
        <f aca="false">X68*Settings!$B$3/SUM(S68:X68)</f>
        <v>49.0998363338789</v>
      </c>
      <c r="AE68" s="2" t="n">
        <f aca="false">INT(Y68)</f>
        <v>118</v>
      </c>
      <c r="AF68" s="2" t="n">
        <f aca="false">INT(Z68)</f>
        <v>78</v>
      </c>
      <c r="AG68" s="2" t="n">
        <f aca="false">INT(AA68)</f>
        <v>83</v>
      </c>
      <c r="AH68" s="2" t="n">
        <f aca="false">INT(AB68)</f>
        <v>87</v>
      </c>
      <c r="AI68" s="2" t="n">
        <f aca="false">INT(AC68)</f>
        <v>82</v>
      </c>
      <c r="AJ68" s="2" t="n">
        <f aca="false">INT(AD68)</f>
        <v>49</v>
      </c>
      <c r="AK68" s="2" t="n">
        <f aca="false">Settings!$B$3-SUM(AE68:AJ68)</f>
        <v>3</v>
      </c>
      <c r="AL68" s="2" t="n">
        <f aca="false">ROUND(Y68-AE68,9)</f>
        <v>0.657937807</v>
      </c>
      <c r="AM68" s="2" t="n">
        <f aca="false">ROUND(Z68-AF68,9)</f>
        <v>0.150572831</v>
      </c>
      <c r="AN68" s="2" t="n">
        <f aca="false">ROUND(AA68-AG68,9)</f>
        <v>0.87888707</v>
      </c>
      <c r="AO68" s="2" t="n">
        <f aca="false">ROUND(AB68-AH68,9)</f>
        <v>0.970540098</v>
      </c>
      <c r="AP68" s="2" t="n">
        <f aca="false">ROUND(AC68-AI68,9)</f>
        <v>0.242225859</v>
      </c>
      <c r="AQ68" s="2" t="n">
        <f aca="false">ROUND(AD68-AJ68,9)</f>
        <v>0.099836334</v>
      </c>
    </row>
    <row r="69" customFormat="false" ht="15" hidden="false" customHeight="false" outlineLevel="0" collapsed="false">
      <c r="A69" s="2" t="n">
        <v>68</v>
      </c>
      <c r="B69" s="6" t="n">
        <v>2</v>
      </c>
      <c r="C69" s="6" t="n">
        <v>19</v>
      </c>
      <c r="D69" s="8" t="str">
        <f aca="false">INDEX(Bases!$B$2:$B$53,B69)</f>
        <v>Dunsparce</v>
      </c>
      <c r="E69" s="8" t="str">
        <f aca="false">INDEX(Bases!$B$2:$B$53,C69)</f>
        <v>Mankey</v>
      </c>
      <c r="F69" s="2" t="str">
        <f aca="false">LEFT(D69,ROUNDUP(LEN(D69)/2,0))&amp;LOWER(MID(E69,ROUNDUP(LEN(E69)/2,0)+1,20))</f>
        <v>Dunspkey</v>
      </c>
      <c r="G69" s="8" t="str">
        <f aca="false">INDEX(Bases!$C$2:$C$53,B69)</f>
        <v>Normal</v>
      </c>
      <c r="H69" s="8" t="str">
        <f aca="false">IF(INDEX(Bases!$C$2:$C$53,C69)=G69,"",INDEX(Bases!$C$2:$C$53,C69))</f>
        <v>Fighting</v>
      </c>
      <c r="I69" s="8" t="str">
        <f aca="false">IF(INDEX(Bases!$E$2:$E$53,B69)="","",INDEX(Bases!$E$2:$E$53,B69))</f>
        <v/>
      </c>
      <c r="J69" s="8" t="str">
        <f aca="false">IF(INDEX(Bases!$E$2:$E$53,C69)="","",INDEX(Bases!$E$2:$E$53,C69))</f>
        <v/>
      </c>
      <c r="K69" s="5"/>
      <c r="L69" s="2" t="n">
        <f aca="false">AE69+IF(SUMPRODUCT(--($AL69:$AQ69&gt;AL69))&lt;$AK69,1,0)</f>
        <v>95</v>
      </c>
      <c r="M69" s="2" t="n">
        <f aca="false">AF69+IF(SUMPRODUCT(--($AL69:$AQ69&gt;AM69))+SUMPRODUCT(--($AL69:AL69=AM69))&lt;$AK69,1,0)</f>
        <v>108</v>
      </c>
      <c r="N69" s="2" t="n">
        <f aca="false">AG69+IF(SUMPRODUCT(--($AL69:$AQ69&gt;AN69))+SUMPRODUCT(--($AL69:AM69=AN69))&lt;$AK69,1,0)</f>
        <v>70</v>
      </c>
      <c r="O69" s="2" t="n">
        <f aca="false">AH69+IF(SUMPRODUCT(--($AL69:$AQ69&gt;AO69))+SUMPRODUCT(--($AL69:AN69=AO69))&lt;$AK69,1,0)</f>
        <v>67</v>
      </c>
      <c r="P69" s="2" t="n">
        <f aca="false">AI69+IF(SUMPRODUCT(--($AL69:$AQ69&gt;AP69))+SUMPRODUCT(--($AL69:AO69=AP69))&lt;$AK69,1,0)</f>
        <v>72</v>
      </c>
      <c r="Q69" s="2" t="n">
        <f aca="false">AJ69+IF(SUMPRODUCT(--($AL69:$AQ69&gt;AQ69))+SUMPRODUCT(--($AL69:AP69=AQ69))&lt;$AK69,1,0)</f>
        <v>88</v>
      </c>
      <c r="R69" s="2" t="n">
        <f aca="false">SUM(L69:Q69)</f>
        <v>500</v>
      </c>
      <c r="S69" s="2" t="n">
        <f aca="false">Settings!$B$4*MAX(INDEX(Bases!$M$2:$M$53,B69),INDEX(Bases!$M$2:$M$53,C69))+Settings!$B$5*MIN(INDEX(Bases!$M$2:$M$53,B69),INDEX(Bases!$M$2:$M$53,C69))</f>
        <v>81.3333333333333</v>
      </c>
      <c r="T69" s="2" t="n">
        <f aca="false">Settings!$B$4*MAX(INDEX(Bases!$N$2:$N$53,B69),INDEX(Bases!$N$2:$N$53,C69))+Settings!$B$5*MIN(INDEX(Bases!$N$2:$N$53,B69),INDEX(Bases!$N$2:$N$53,C69))</f>
        <v>92.6666666666667</v>
      </c>
      <c r="U69" s="2" t="n">
        <f aca="false">Settings!$B$4*MAX(INDEX(Bases!$O$2:$O$53,B69),INDEX(Bases!$O$2:$O$53,C69))+Settings!$B$5*MIN(INDEX(Bases!$O$2:$O$53,B69),INDEX(Bases!$O$2:$O$53,C69))</f>
        <v>60</v>
      </c>
      <c r="V69" s="2" t="n">
        <f aca="false">Settings!$B$4*MAX(INDEX(Bases!$P$2:$P$53,B69),INDEX(Bases!$P$2:$P$53,C69))+Settings!$B$5*MIN(INDEX(Bases!$P$2:$P$53,B69),INDEX(Bases!$P$2:$P$53,C69))</f>
        <v>57.3333333333333</v>
      </c>
      <c r="W69" s="2" t="n">
        <f aca="false">Settings!$B$4*MAX(INDEX(Bases!$Q$2:$Q$53,B69),INDEX(Bases!$Q$2:$Q$53,C69))+Settings!$B$5*MIN(INDEX(Bases!$Q$2:$Q$53,B69),INDEX(Bases!$Q$2:$Q$53,C69))</f>
        <v>61.6666666666667</v>
      </c>
      <c r="X69" s="2" t="n">
        <f aca="false">Settings!$B$4*MAX(INDEX(Bases!$R$2:$R$53,B69),INDEX(Bases!$R$2:$R$53,C69))+Settings!$B$5*MIN(INDEX(Bases!$R$2:$R$53,B69),INDEX(Bases!$R$2:$R$53,C69))</f>
        <v>75.6666666666667</v>
      </c>
      <c r="Y69" s="2" t="n">
        <f aca="false">S69*Settings!$B$3/SUM(S69:X69)</f>
        <v>94.8678071539658</v>
      </c>
      <c r="Z69" s="2" t="n">
        <f aca="false">T69*Settings!$B$3/SUM(S69:X69)</f>
        <v>108.087091757387</v>
      </c>
      <c r="AA69" s="2" t="n">
        <f aca="false">U69*Settings!$B$3/SUM(S69:X69)</f>
        <v>69.9844479004666</v>
      </c>
      <c r="AB69" s="2" t="n">
        <f aca="false">V69*Settings!$B$3/SUM(S69:X69)</f>
        <v>66.8740279937792</v>
      </c>
      <c r="AC69" s="2" t="n">
        <f aca="false">W69*Settings!$B$3/SUM(S69:X69)</f>
        <v>71.9284603421462</v>
      </c>
      <c r="AD69" s="2" t="n">
        <f aca="false">X69*Settings!$B$3/SUM(S69:X69)</f>
        <v>88.2581648522551</v>
      </c>
      <c r="AE69" s="2" t="n">
        <f aca="false">INT(Y69)</f>
        <v>94</v>
      </c>
      <c r="AF69" s="2" t="n">
        <f aca="false">INT(Z69)</f>
        <v>108</v>
      </c>
      <c r="AG69" s="2" t="n">
        <f aca="false">INT(AA69)</f>
        <v>69</v>
      </c>
      <c r="AH69" s="2" t="n">
        <f aca="false">INT(AB69)</f>
        <v>66</v>
      </c>
      <c r="AI69" s="2" t="n">
        <f aca="false">INT(AC69)</f>
        <v>71</v>
      </c>
      <c r="AJ69" s="2" t="n">
        <f aca="false">INT(AD69)</f>
        <v>88</v>
      </c>
      <c r="AK69" s="2" t="n">
        <f aca="false">Settings!$B$3-SUM(AE69:AJ69)</f>
        <v>4</v>
      </c>
      <c r="AL69" s="2" t="n">
        <f aca="false">ROUND(Y69-AE69,9)</f>
        <v>0.867807154</v>
      </c>
      <c r="AM69" s="2" t="n">
        <f aca="false">ROUND(Z69-AF69,9)</f>
        <v>0.087091757</v>
      </c>
      <c r="AN69" s="2" t="n">
        <f aca="false">ROUND(AA69-AG69,9)</f>
        <v>0.9844479</v>
      </c>
      <c r="AO69" s="2" t="n">
        <f aca="false">ROUND(AB69-AH69,9)</f>
        <v>0.874027994</v>
      </c>
      <c r="AP69" s="2" t="n">
        <f aca="false">ROUND(AC69-AI69,9)</f>
        <v>0.928460342</v>
      </c>
      <c r="AQ69" s="2" t="n">
        <f aca="false">ROUND(AD69-AJ69,9)</f>
        <v>0.258164852</v>
      </c>
    </row>
    <row r="70" customFormat="false" ht="15" hidden="false" customHeight="false" outlineLevel="0" collapsed="false">
      <c r="A70" s="2" t="n">
        <v>69</v>
      </c>
      <c r="B70" s="6" t="n">
        <v>2</v>
      </c>
      <c r="C70" s="6" t="n">
        <v>20</v>
      </c>
      <c r="D70" s="8" t="str">
        <f aca="false">INDEX(Bases!$B$2:$B$53,B70)</f>
        <v>Dunsparce</v>
      </c>
      <c r="E70" s="8" t="str">
        <f aca="false">INDEX(Bases!$B$2:$B$53,C70)</f>
        <v>Tyrogue</v>
      </c>
      <c r="F70" s="2" t="str">
        <f aca="false">LEFT(D70,ROUNDUP(LEN(D70)/2,0))&amp;LOWER(MID(E70,ROUNDUP(LEN(E70)/2,0)+1,20))</f>
        <v>Dunspgue</v>
      </c>
      <c r="G70" s="8" t="str">
        <f aca="false">INDEX(Bases!$C$2:$C$53,B70)</f>
        <v>Normal</v>
      </c>
      <c r="H70" s="8" t="str">
        <f aca="false">IF(INDEX(Bases!$C$2:$C$53,C70)=G70,"",INDEX(Bases!$C$2:$C$53,C70))</f>
        <v>Fighting</v>
      </c>
      <c r="I70" s="8" t="str">
        <f aca="false">IF(INDEX(Bases!$E$2:$E$53,B70)="","",INDEX(Bases!$E$2:$E$53,B70))</f>
        <v/>
      </c>
      <c r="J70" s="8" t="str">
        <f aca="false">IF(INDEX(Bases!$E$2:$E$53,C70)="","",INDEX(Bases!$E$2:$E$53,C70))</f>
        <v/>
      </c>
      <c r="K70" s="5"/>
      <c r="L70" s="2" t="n">
        <f aca="false">AE70+IF(SUMPRODUCT(--($AL70:$AQ70&gt;AL70))&lt;$AK70,1,0)</f>
        <v>105</v>
      </c>
      <c r="M70" s="2" t="n">
        <f aca="false">AF70+IF(SUMPRODUCT(--($AL70:$AQ70&gt;AM70))+SUMPRODUCT(--($AL70:AL70=AM70))&lt;$AK70,1,0)</f>
        <v>83</v>
      </c>
      <c r="N70" s="2" t="n">
        <f aca="false">AG70+IF(SUMPRODUCT(--($AL70:$AQ70&gt;AN70))+SUMPRODUCT(--($AL70:AM70=AN70))&lt;$AK70,1,0)</f>
        <v>82</v>
      </c>
      <c r="O70" s="2" t="n">
        <f aca="false">AH70+IF(SUMPRODUCT(--($AL70:$AQ70&gt;AO70))+SUMPRODUCT(--($AL70:AN70=AO70))&lt;$AK70,1,0)</f>
        <v>80</v>
      </c>
      <c r="P70" s="2" t="n">
        <f aca="false">AI70+IF(SUMPRODUCT(--($AL70:$AQ70&gt;AP70))+SUMPRODUCT(--($AL70:AO70=AP70))&lt;$AK70,1,0)</f>
        <v>79</v>
      </c>
      <c r="Q70" s="2" t="n">
        <f aca="false">AJ70+IF(SUMPRODUCT(--($AL70:$AQ70&gt;AQ70))+SUMPRODUCT(--($AL70:AP70=AQ70))&lt;$AK70,1,0)</f>
        <v>71</v>
      </c>
      <c r="R70" s="2" t="n">
        <f aca="false">SUM(L70:Q70)</f>
        <v>500</v>
      </c>
      <c r="S70" s="2" t="n">
        <f aca="false">Settings!$B$4*MAX(INDEX(Bases!$M$2:$M$53,B70),INDEX(Bases!$M$2:$M$53,C70))+Settings!$B$5*MIN(INDEX(Bases!$M$2:$M$53,B70),INDEX(Bases!$M$2:$M$53,C70))</f>
        <v>86.3333333333333</v>
      </c>
      <c r="T70" s="2" t="n">
        <f aca="false">Settings!$B$4*MAX(INDEX(Bases!$N$2:$N$53,B70),INDEX(Bases!$N$2:$N$53,C70))+Settings!$B$5*MIN(INDEX(Bases!$N$2:$N$53,B70),INDEX(Bases!$N$2:$N$53,C70))</f>
        <v>67.6666666666667</v>
      </c>
      <c r="U70" s="2" t="n">
        <f aca="false">Settings!$B$4*MAX(INDEX(Bases!$O$2:$O$53,B70),INDEX(Bases!$O$2:$O$53,C70))+Settings!$B$5*MIN(INDEX(Bases!$O$2:$O$53,B70),INDEX(Bases!$O$2:$O$53,C70))</f>
        <v>67</v>
      </c>
      <c r="V70" s="2" t="n">
        <f aca="false">Settings!$B$4*MAX(INDEX(Bases!$P$2:$P$53,B70),INDEX(Bases!$P$2:$P$53,C70))+Settings!$B$5*MIN(INDEX(Bases!$P$2:$P$53,B70),INDEX(Bases!$P$2:$P$53,C70))</f>
        <v>65.6666666666667</v>
      </c>
      <c r="W70" s="2" t="n">
        <f aca="false">Settings!$B$4*MAX(INDEX(Bases!$Q$2:$Q$53,B70),INDEX(Bases!$Q$2:$Q$53,C70))+Settings!$B$5*MIN(INDEX(Bases!$Q$2:$Q$53,B70),INDEX(Bases!$Q$2:$Q$53,C70))</f>
        <v>65</v>
      </c>
      <c r="X70" s="2" t="n">
        <f aca="false">Settings!$B$4*MAX(INDEX(Bases!$R$2:$R$53,B70),INDEX(Bases!$R$2:$R$53,C70))+Settings!$B$5*MIN(INDEX(Bases!$R$2:$R$53,B70),INDEX(Bases!$R$2:$R$53,C70))</f>
        <v>58.3333333333333</v>
      </c>
      <c r="Y70" s="2" t="n">
        <f aca="false">S70*Settings!$B$3/SUM(S70:X70)</f>
        <v>105.284552845528</v>
      </c>
      <c r="Z70" s="2" t="n">
        <f aca="false">T70*Settings!$B$3/SUM(S70:X70)</f>
        <v>82.520325203252</v>
      </c>
      <c r="AA70" s="2" t="n">
        <f aca="false">U70*Settings!$B$3/SUM(S70:X70)</f>
        <v>81.7073170731707</v>
      </c>
      <c r="AB70" s="2" t="n">
        <f aca="false">V70*Settings!$B$3/SUM(S70:X70)</f>
        <v>80.0813008130081</v>
      </c>
      <c r="AC70" s="2" t="n">
        <f aca="false">W70*Settings!$B$3/SUM(S70:X70)</f>
        <v>79.2682926829268</v>
      </c>
      <c r="AD70" s="2" t="n">
        <f aca="false">X70*Settings!$B$3/SUM(S70:X70)</f>
        <v>71.1382113821138</v>
      </c>
      <c r="AE70" s="2" t="n">
        <f aca="false">INT(Y70)</f>
        <v>105</v>
      </c>
      <c r="AF70" s="2" t="n">
        <f aca="false">INT(Z70)</f>
        <v>82</v>
      </c>
      <c r="AG70" s="2" t="n">
        <f aca="false">INT(AA70)</f>
        <v>81</v>
      </c>
      <c r="AH70" s="2" t="n">
        <f aca="false">INT(AB70)</f>
        <v>80</v>
      </c>
      <c r="AI70" s="2" t="n">
        <f aca="false">INT(AC70)</f>
        <v>79</v>
      </c>
      <c r="AJ70" s="2" t="n">
        <f aca="false">INT(AD70)</f>
        <v>71</v>
      </c>
      <c r="AK70" s="2" t="n">
        <f aca="false">Settings!$B$3-SUM(AE70:AJ70)</f>
        <v>2</v>
      </c>
      <c r="AL70" s="2" t="n">
        <f aca="false">ROUND(Y70-AE70,9)</f>
        <v>0.284552846</v>
      </c>
      <c r="AM70" s="2" t="n">
        <f aca="false">ROUND(Z70-AF70,9)</f>
        <v>0.520325203</v>
      </c>
      <c r="AN70" s="2" t="n">
        <f aca="false">ROUND(AA70-AG70,9)</f>
        <v>0.707317073</v>
      </c>
      <c r="AO70" s="2" t="n">
        <f aca="false">ROUND(AB70-AH70,9)</f>
        <v>0.081300813</v>
      </c>
      <c r="AP70" s="2" t="n">
        <f aca="false">ROUND(AC70-AI70,9)</f>
        <v>0.268292683</v>
      </c>
      <c r="AQ70" s="2" t="n">
        <f aca="false">ROUND(AD70-AJ70,9)</f>
        <v>0.138211382</v>
      </c>
    </row>
    <row r="71" customFormat="false" ht="15" hidden="false" customHeight="false" outlineLevel="0" collapsed="false">
      <c r="A71" s="2" t="n">
        <v>70</v>
      </c>
      <c r="B71" s="6" t="n">
        <v>2</v>
      </c>
      <c r="C71" s="6" t="n">
        <v>21</v>
      </c>
      <c r="D71" s="8" t="str">
        <f aca="false">INDEX(Bases!$B$2:$B$53,B71)</f>
        <v>Dunsparce</v>
      </c>
      <c r="E71" s="8" t="str">
        <f aca="false">INDEX(Bases!$B$2:$B$53,C71)</f>
        <v>Makuhita</v>
      </c>
      <c r="F71" s="2" t="str">
        <f aca="false">LEFT(D71,ROUNDUP(LEN(D71)/2,0))&amp;LOWER(MID(E71,ROUNDUP(LEN(E71)/2,0)+1,20))</f>
        <v>Dunsphita</v>
      </c>
      <c r="G71" s="8" t="str">
        <f aca="false">INDEX(Bases!$C$2:$C$53,B71)</f>
        <v>Normal</v>
      </c>
      <c r="H71" s="8" t="str">
        <f aca="false">IF(INDEX(Bases!$C$2:$C$53,C71)=G71,"",INDEX(Bases!$C$2:$C$53,C71))</f>
        <v>Fighting</v>
      </c>
      <c r="I71" s="8" t="str">
        <f aca="false">IF(INDEX(Bases!$E$2:$E$53,B71)="","",INDEX(Bases!$E$2:$E$53,B71))</f>
        <v/>
      </c>
      <c r="J71" s="8" t="str">
        <f aca="false">IF(INDEX(Bases!$E$2:$E$53,C71)="","",INDEX(Bases!$E$2:$E$53,C71))</f>
        <v/>
      </c>
      <c r="K71" s="5"/>
      <c r="L71" s="2" t="n">
        <f aca="false">AE71+IF(SUMPRODUCT(--($AL71:$AQ71&gt;AL71))&lt;$AK71,1,0)</f>
        <v>134</v>
      </c>
      <c r="M71" s="2" t="n">
        <f aca="false">AF71+IF(SUMPRODUCT(--($AL71:$AQ71&gt;AM71))+SUMPRODUCT(--($AL71:AL71=AM71))&lt;$AK71,1,0)</f>
        <v>107</v>
      </c>
      <c r="N71" s="2" t="n">
        <f aca="false">AG71+IF(SUMPRODUCT(--($AL71:$AQ71&gt;AN71))+SUMPRODUCT(--($AL71:AM71=AN71))&lt;$AK71,1,0)</f>
        <v>74</v>
      </c>
      <c r="O71" s="2" t="n">
        <f aca="false">AH71+IF(SUMPRODUCT(--($AL71:$AQ71&gt;AO71))+SUMPRODUCT(--($AL71:AN71=AO71))&lt;$AK71,1,0)</f>
        <v>64</v>
      </c>
      <c r="P71" s="2" t="n">
        <f aca="false">AI71+IF(SUMPRODUCT(--($AL71:$AQ71&gt;AP71))+SUMPRODUCT(--($AL71:AO71=AP71))&lt;$AK71,1,0)</f>
        <v>70</v>
      </c>
      <c r="Q71" s="2" t="n">
        <f aca="false">AJ71+IF(SUMPRODUCT(--($AL71:$AQ71&gt;AQ71))+SUMPRODUCT(--($AL71:AP71=AQ71))&lt;$AK71,1,0)</f>
        <v>51</v>
      </c>
      <c r="R71" s="2" t="n">
        <f aca="false">SUM(L71:Q71)</f>
        <v>500</v>
      </c>
      <c r="S71" s="2" t="n">
        <f aca="false">Settings!$B$4*MAX(INDEX(Bases!$M$2:$M$53,B71),INDEX(Bases!$M$2:$M$53,C71))+Settings!$B$5*MIN(INDEX(Bases!$M$2:$M$53,B71),INDEX(Bases!$M$2:$M$53,C71))</f>
        <v>112.666666666667</v>
      </c>
      <c r="T71" s="2" t="n">
        <f aca="false">Settings!$B$4*MAX(INDEX(Bases!$N$2:$N$53,B71),INDEX(Bases!$N$2:$N$53,C71))+Settings!$B$5*MIN(INDEX(Bases!$N$2:$N$53,B71),INDEX(Bases!$N$2:$N$53,C71))</f>
        <v>90</v>
      </c>
      <c r="U71" s="2" t="n">
        <f aca="false">Settings!$B$4*MAX(INDEX(Bases!$O$2:$O$53,B71),INDEX(Bases!$O$2:$O$53,C71))+Settings!$B$5*MIN(INDEX(Bases!$O$2:$O$53,B71),INDEX(Bases!$O$2:$O$53,C71))</f>
        <v>61.6666666666667</v>
      </c>
      <c r="V71" s="2" t="n">
        <f aca="false">Settings!$B$4*MAX(INDEX(Bases!$P$2:$P$53,B71),INDEX(Bases!$P$2:$P$53,C71))+Settings!$B$5*MIN(INDEX(Bases!$P$2:$P$53,B71),INDEX(Bases!$P$2:$P$53,C71))</f>
        <v>53.3333333333333</v>
      </c>
      <c r="W71" s="2" t="n">
        <f aca="false">Settings!$B$4*MAX(INDEX(Bases!$Q$2:$Q$53,B71),INDEX(Bases!$Q$2:$Q$53,C71))+Settings!$B$5*MIN(INDEX(Bases!$Q$2:$Q$53,B71),INDEX(Bases!$Q$2:$Q$53,C71))</f>
        <v>59</v>
      </c>
      <c r="X71" s="2" t="n">
        <f aca="false">Settings!$B$4*MAX(INDEX(Bases!$R$2:$R$53,B71),INDEX(Bases!$R$2:$R$53,C71))+Settings!$B$5*MIN(INDEX(Bases!$R$2:$R$53,B71),INDEX(Bases!$R$2:$R$53,C71))</f>
        <v>42.6666666666667</v>
      </c>
      <c r="Y71" s="2" t="n">
        <f aca="false">S71*Settings!$B$3/SUM(S71:X71)</f>
        <v>134.340222575517</v>
      </c>
      <c r="Z71" s="2" t="n">
        <f aca="false">T71*Settings!$B$3/SUM(S71:X71)</f>
        <v>107.31319554849</v>
      </c>
      <c r="AA71" s="2" t="n">
        <f aca="false">U71*Settings!$B$3/SUM(S71:X71)</f>
        <v>73.5294117647059</v>
      </c>
      <c r="AB71" s="2" t="n">
        <f aca="false">V71*Settings!$B$3/SUM(S71:X71)</f>
        <v>63.5930047694754</v>
      </c>
      <c r="AC71" s="2" t="n">
        <f aca="false">W71*Settings!$B$3/SUM(S71:X71)</f>
        <v>70.3497615262321</v>
      </c>
      <c r="AD71" s="2" t="n">
        <f aca="false">X71*Settings!$B$3/SUM(S71:X71)</f>
        <v>50.8744038155803</v>
      </c>
      <c r="AE71" s="2" t="n">
        <f aca="false">INT(Y71)</f>
        <v>134</v>
      </c>
      <c r="AF71" s="2" t="n">
        <f aca="false">INT(Z71)</f>
        <v>107</v>
      </c>
      <c r="AG71" s="2" t="n">
        <f aca="false">INT(AA71)</f>
        <v>73</v>
      </c>
      <c r="AH71" s="2" t="n">
        <f aca="false">INT(AB71)</f>
        <v>63</v>
      </c>
      <c r="AI71" s="2" t="n">
        <f aca="false">INT(AC71)</f>
        <v>70</v>
      </c>
      <c r="AJ71" s="2" t="n">
        <f aca="false">INT(AD71)</f>
        <v>50</v>
      </c>
      <c r="AK71" s="2" t="n">
        <f aca="false">Settings!$B$3-SUM(AE71:AJ71)</f>
        <v>3</v>
      </c>
      <c r="AL71" s="2" t="n">
        <f aca="false">ROUND(Y71-AE71,9)</f>
        <v>0.340222576</v>
      </c>
      <c r="AM71" s="2" t="n">
        <f aca="false">ROUND(Z71-AF71,9)</f>
        <v>0.313195548</v>
      </c>
      <c r="AN71" s="2" t="n">
        <f aca="false">ROUND(AA71-AG71,9)</f>
        <v>0.529411765</v>
      </c>
      <c r="AO71" s="2" t="n">
        <f aca="false">ROUND(AB71-AH71,9)</f>
        <v>0.593004769</v>
      </c>
      <c r="AP71" s="2" t="n">
        <f aca="false">ROUND(AC71-AI71,9)</f>
        <v>0.349761526</v>
      </c>
      <c r="AQ71" s="2" t="n">
        <f aca="false">ROUND(AD71-AJ71,9)</f>
        <v>0.874403816</v>
      </c>
    </row>
    <row r="72" customFormat="false" ht="15" hidden="false" customHeight="false" outlineLevel="0" collapsed="false">
      <c r="A72" s="2" t="n">
        <v>71</v>
      </c>
      <c r="B72" s="6" t="n">
        <v>2</v>
      </c>
      <c r="C72" s="6" t="n">
        <v>22</v>
      </c>
      <c r="D72" s="8" t="str">
        <f aca="false">INDEX(Bases!$B$2:$B$53,B72)</f>
        <v>Dunsparce</v>
      </c>
      <c r="E72" s="8" t="str">
        <f aca="false">INDEX(Bases!$B$2:$B$53,C72)</f>
        <v>Ekans</v>
      </c>
      <c r="F72" s="2" t="str">
        <f aca="false">LEFT(D72,ROUNDUP(LEN(D72)/2,0))&amp;LOWER(MID(E72,ROUNDUP(LEN(E72)/2,0)+1,20))</f>
        <v>Dunspns</v>
      </c>
      <c r="G72" s="8" t="str">
        <f aca="false">INDEX(Bases!$C$2:$C$53,B72)</f>
        <v>Normal</v>
      </c>
      <c r="H72" s="8" t="str">
        <f aca="false">IF(INDEX(Bases!$C$2:$C$53,C72)=G72,"",INDEX(Bases!$C$2:$C$53,C72))</f>
        <v>Poison</v>
      </c>
      <c r="I72" s="8" t="str">
        <f aca="false">IF(INDEX(Bases!$E$2:$E$53,B72)="","",INDEX(Bases!$E$2:$E$53,B72))</f>
        <v/>
      </c>
      <c r="J72" s="8" t="str">
        <f aca="false">IF(INDEX(Bases!$E$2:$E$53,C72)="","",INDEX(Bases!$E$2:$E$53,C72))</f>
        <v/>
      </c>
      <c r="K72" s="5"/>
      <c r="L72" s="2" t="n">
        <f aca="false">AE72+IF(SUMPRODUCT(--($AL72:$AQ72&gt;AL72))&lt;$AK72,1,0)</f>
        <v>96</v>
      </c>
      <c r="M72" s="2" t="n">
        <f aca="false">AF72+IF(SUMPRODUCT(--($AL72:$AQ72&gt;AM72))+SUMPRODUCT(--($AL72:AL72=AM72))&lt;$AK72,1,0)</f>
        <v>93</v>
      </c>
      <c r="N72" s="2" t="n">
        <f aca="false">AG72+IF(SUMPRODUCT(--($AL72:$AQ72&gt;AN72))+SUMPRODUCT(--($AL72:AM72=AN72))&lt;$AK72,1,0)</f>
        <v>77</v>
      </c>
      <c r="O72" s="2" t="n">
        <f aca="false">AH72+IF(SUMPRODUCT(--($AL72:$AQ72&gt;AO72))+SUMPRODUCT(--($AL72:AN72=AO72))&lt;$AK72,1,0)</f>
        <v>72</v>
      </c>
      <c r="P72" s="2" t="n">
        <f aca="false">AI72+IF(SUMPRODUCT(--($AL72:$AQ72&gt;AP72))+SUMPRODUCT(--($AL72:AO72=AP72))&lt;$AK72,1,0)</f>
        <v>85</v>
      </c>
      <c r="Q72" s="2" t="n">
        <f aca="false">AJ72+IF(SUMPRODUCT(--($AL72:$AQ72&gt;AQ72))+SUMPRODUCT(--($AL72:AP72=AQ72))&lt;$AK72,1,0)</f>
        <v>77</v>
      </c>
      <c r="R72" s="2" t="n">
        <f aca="false">SUM(L72:Q72)</f>
        <v>500</v>
      </c>
      <c r="S72" s="2" t="n">
        <f aca="false">Settings!$B$4*MAX(INDEX(Bases!$M$2:$M$53,B72),INDEX(Bases!$M$2:$M$53,C72))+Settings!$B$5*MIN(INDEX(Bases!$M$2:$M$53,B72),INDEX(Bases!$M$2:$M$53,C72))</f>
        <v>80.3333333333333</v>
      </c>
      <c r="T72" s="2" t="n">
        <f aca="false">Settings!$B$4*MAX(INDEX(Bases!$N$2:$N$53,B72),INDEX(Bases!$N$2:$N$53,C72))+Settings!$B$5*MIN(INDEX(Bases!$N$2:$N$53,B72),INDEX(Bases!$N$2:$N$53,C72))</f>
        <v>78</v>
      </c>
      <c r="U72" s="2" t="n">
        <f aca="false">Settings!$B$4*MAX(INDEX(Bases!$O$2:$O$53,B72),INDEX(Bases!$O$2:$O$53,C72))+Settings!$B$5*MIN(INDEX(Bases!$O$2:$O$53,B72),INDEX(Bases!$O$2:$O$53,C72))</f>
        <v>65</v>
      </c>
      <c r="V72" s="2" t="n">
        <f aca="false">Settings!$B$4*MAX(INDEX(Bases!$P$2:$P$53,B72),INDEX(Bases!$P$2:$P$53,C72))+Settings!$B$5*MIN(INDEX(Bases!$P$2:$P$53,B72),INDEX(Bases!$P$2:$P$53,C72))</f>
        <v>60.6666666666667</v>
      </c>
      <c r="W72" s="2" t="n">
        <f aca="false">Settings!$B$4*MAX(INDEX(Bases!$Q$2:$Q$53,B72),INDEX(Bases!$Q$2:$Q$53,C72))+Settings!$B$5*MIN(INDEX(Bases!$Q$2:$Q$53,B72),INDEX(Bases!$Q$2:$Q$53,C72))</f>
        <v>71</v>
      </c>
      <c r="X72" s="2" t="n">
        <f aca="false">Settings!$B$4*MAX(INDEX(Bases!$R$2:$R$53,B72),INDEX(Bases!$R$2:$R$53,C72))+Settings!$B$5*MIN(INDEX(Bases!$R$2:$R$53,B72),INDEX(Bases!$R$2:$R$53,C72))</f>
        <v>65</v>
      </c>
      <c r="Y72" s="2" t="n">
        <f aca="false">S72*Settings!$B$3/SUM(S72:X72)</f>
        <v>95.6349206349207</v>
      </c>
      <c r="Z72" s="2" t="n">
        <f aca="false">T72*Settings!$B$3/SUM(S72:X72)</f>
        <v>92.8571428571429</v>
      </c>
      <c r="AA72" s="2" t="n">
        <f aca="false">U72*Settings!$B$3/SUM(S72:X72)</f>
        <v>77.3809523809524</v>
      </c>
      <c r="AB72" s="2" t="n">
        <f aca="false">V72*Settings!$B$3/SUM(S72:X72)</f>
        <v>72.2222222222222</v>
      </c>
      <c r="AC72" s="2" t="n">
        <f aca="false">W72*Settings!$B$3/SUM(S72:X72)</f>
        <v>84.5238095238095</v>
      </c>
      <c r="AD72" s="2" t="n">
        <f aca="false">X72*Settings!$B$3/SUM(S72:X72)</f>
        <v>77.3809523809524</v>
      </c>
      <c r="AE72" s="2" t="n">
        <f aca="false">INT(Y72)</f>
        <v>95</v>
      </c>
      <c r="AF72" s="2" t="n">
        <f aca="false">INT(Z72)</f>
        <v>92</v>
      </c>
      <c r="AG72" s="2" t="n">
        <f aca="false">INT(AA72)</f>
        <v>77</v>
      </c>
      <c r="AH72" s="2" t="n">
        <f aca="false">INT(AB72)</f>
        <v>72</v>
      </c>
      <c r="AI72" s="2" t="n">
        <f aca="false">INT(AC72)</f>
        <v>84</v>
      </c>
      <c r="AJ72" s="2" t="n">
        <f aca="false">INT(AD72)</f>
        <v>77</v>
      </c>
      <c r="AK72" s="2" t="n">
        <f aca="false">Settings!$B$3-SUM(AE72:AJ72)</f>
        <v>3</v>
      </c>
      <c r="AL72" s="2" t="n">
        <f aca="false">ROUND(Y72-AE72,9)</f>
        <v>0.634920635</v>
      </c>
      <c r="AM72" s="2" t="n">
        <f aca="false">ROUND(Z72-AF72,9)</f>
        <v>0.857142857</v>
      </c>
      <c r="AN72" s="2" t="n">
        <f aca="false">ROUND(AA72-AG72,9)</f>
        <v>0.380952381</v>
      </c>
      <c r="AO72" s="2" t="n">
        <f aca="false">ROUND(AB72-AH72,9)</f>
        <v>0.222222222</v>
      </c>
      <c r="AP72" s="2" t="n">
        <f aca="false">ROUND(AC72-AI72,9)</f>
        <v>0.523809524</v>
      </c>
      <c r="AQ72" s="2" t="n">
        <f aca="false">ROUND(AD72-AJ72,9)</f>
        <v>0.380952381</v>
      </c>
    </row>
    <row r="73" customFormat="false" ht="15" hidden="false" customHeight="false" outlineLevel="0" collapsed="false">
      <c r="A73" s="2" t="n">
        <v>72</v>
      </c>
      <c r="B73" s="6" t="n">
        <v>2</v>
      </c>
      <c r="C73" s="6" t="n">
        <v>23</v>
      </c>
      <c r="D73" s="8" t="str">
        <f aca="false">INDEX(Bases!$B$2:$B$53,B73)</f>
        <v>Dunsparce</v>
      </c>
      <c r="E73" s="8" t="str">
        <f aca="false">INDEX(Bases!$B$2:$B$53,C73)</f>
        <v>Gulpin</v>
      </c>
      <c r="F73" s="2" t="str">
        <f aca="false">LEFT(D73,ROUNDUP(LEN(D73)/2,0))&amp;LOWER(MID(E73,ROUNDUP(LEN(E73)/2,0)+1,20))</f>
        <v>Dunsppin</v>
      </c>
      <c r="G73" s="8" t="str">
        <f aca="false">INDEX(Bases!$C$2:$C$53,B73)</f>
        <v>Normal</v>
      </c>
      <c r="H73" s="8" t="str">
        <f aca="false">IF(INDEX(Bases!$C$2:$C$53,C73)=G73,"",INDEX(Bases!$C$2:$C$53,C73))</f>
        <v>Poison</v>
      </c>
      <c r="I73" s="8" t="str">
        <f aca="false">IF(INDEX(Bases!$E$2:$E$53,B73)="","",INDEX(Bases!$E$2:$E$53,B73))</f>
        <v/>
      </c>
      <c r="J73" s="8" t="str">
        <f aca="false">IF(INDEX(Bases!$E$2:$E$53,C73)="","",INDEX(Bases!$E$2:$E$53,C73))</f>
        <v/>
      </c>
      <c r="K73" s="5"/>
      <c r="L73" s="2" t="n">
        <f aca="false">AE73+IF(SUMPRODUCT(--($AL73:$AQ73&gt;AL73))&lt;$AK73,1,0)</f>
        <v>117</v>
      </c>
      <c r="M73" s="2" t="n">
        <f aca="false">AF73+IF(SUMPRODUCT(--($AL73:$AQ73&gt;AM73))+SUMPRODUCT(--($AL73:AL73=AM73))&lt;$AK73,1,0)</f>
        <v>79</v>
      </c>
      <c r="N73" s="2" t="n">
        <f aca="false">AG73+IF(SUMPRODUCT(--($AL73:$AQ73&gt;AN73))+SUMPRODUCT(--($AL73:AM73=AN73))&lt;$AK73,1,0)</f>
        <v>85</v>
      </c>
      <c r="O73" s="2" t="n">
        <f aca="false">AH73+IF(SUMPRODUCT(--($AL73:$AQ73&gt;AO73))+SUMPRODUCT(--($AL73:AN73=AO73))&lt;$AK73,1,0)</f>
        <v>75</v>
      </c>
      <c r="P73" s="2" t="n">
        <f aca="false">AI73+IF(SUMPRODUCT(--($AL73:$AQ73&gt;AP73))+SUMPRODUCT(--($AL73:AO73=AP73))&lt;$AK73,1,0)</f>
        <v>83</v>
      </c>
      <c r="Q73" s="2" t="n">
        <f aca="false">AJ73+IF(SUMPRODUCT(--($AL73:$AQ73&gt;AQ73))+SUMPRODUCT(--($AL73:AP73=AQ73))&lt;$AK73,1,0)</f>
        <v>61</v>
      </c>
      <c r="R73" s="2" t="n">
        <f aca="false">SUM(L73:Q73)</f>
        <v>500</v>
      </c>
      <c r="S73" s="2" t="n">
        <f aca="false">Settings!$B$4*MAX(INDEX(Bases!$M$2:$M$53,B73),INDEX(Bases!$M$2:$M$53,C73))+Settings!$B$5*MIN(INDEX(Bases!$M$2:$M$53,B73),INDEX(Bases!$M$2:$M$53,C73))</f>
        <v>95</v>
      </c>
      <c r="T73" s="2" t="n">
        <f aca="false">Settings!$B$4*MAX(INDEX(Bases!$N$2:$N$53,B73),INDEX(Bases!$N$2:$N$53,C73))+Settings!$B$5*MIN(INDEX(Bases!$N$2:$N$53,B73),INDEX(Bases!$N$2:$N$53,C73))</f>
        <v>64.3333333333333</v>
      </c>
      <c r="U73" s="2" t="n">
        <f aca="false">Settings!$B$4*MAX(INDEX(Bases!$O$2:$O$53,B73),INDEX(Bases!$O$2:$O$53,C73))+Settings!$B$5*MIN(INDEX(Bases!$O$2:$O$53,B73),INDEX(Bases!$O$2:$O$53,C73))</f>
        <v>69</v>
      </c>
      <c r="V73" s="2" t="n">
        <f aca="false">Settings!$B$4*MAX(INDEX(Bases!$P$2:$P$53,B73),INDEX(Bases!$P$2:$P$53,C73))+Settings!$B$5*MIN(INDEX(Bases!$P$2:$P$53,B73),INDEX(Bases!$P$2:$P$53,C73))</f>
        <v>61</v>
      </c>
      <c r="W73" s="2" t="n">
        <f aca="false">Settings!$B$4*MAX(INDEX(Bases!$Q$2:$Q$53,B73),INDEX(Bases!$Q$2:$Q$53,C73))+Settings!$B$5*MIN(INDEX(Bases!$Q$2:$Q$53,B73),INDEX(Bases!$Q$2:$Q$53,C73))</f>
        <v>67.6666666666667</v>
      </c>
      <c r="X73" s="2" t="n">
        <f aca="false">Settings!$B$4*MAX(INDEX(Bases!$R$2:$R$53,B73),INDEX(Bases!$R$2:$R$53,C73))+Settings!$B$5*MIN(INDEX(Bases!$R$2:$R$53,B73),INDEX(Bases!$R$2:$R$53,C73))</f>
        <v>49.6666666666667</v>
      </c>
      <c r="Y73" s="2" t="n">
        <f aca="false">S73*Settings!$B$3/SUM(S73:X73)</f>
        <v>116.803278688525</v>
      </c>
      <c r="Z73" s="2" t="n">
        <f aca="false">T73*Settings!$B$3/SUM(S73:X73)</f>
        <v>79.0983606557377</v>
      </c>
      <c r="AA73" s="2" t="n">
        <f aca="false">U73*Settings!$B$3/SUM(S73:X73)</f>
        <v>84.8360655737705</v>
      </c>
      <c r="AB73" s="2" t="n">
        <f aca="false">V73*Settings!$B$3/SUM(S73:X73)</f>
        <v>75</v>
      </c>
      <c r="AC73" s="2" t="n">
        <f aca="false">W73*Settings!$B$3/SUM(S73:X73)</f>
        <v>83.1967213114754</v>
      </c>
      <c r="AD73" s="2" t="n">
        <f aca="false">X73*Settings!$B$3/SUM(S73:X73)</f>
        <v>61.0655737704918</v>
      </c>
      <c r="AE73" s="2" t="n">
        <f aca="false">INT(Y73)</f>
        <v>116</v>
      </c>
      <c r="AF73" s="2" t="n">
        <f aca="false">INT(Z73)</f>
        <v>79</v>
      </c>
      <c r="AG73" s="2" t="n">
        <f aca="false">INT(AA73)</f>
        <v>84</v>
      </c>
      <c r="AH73" s="2" t="n">
        <f aca="false">INT(AB73)</f>
        <v>75</v>
      </c>
      <c r="AI73" s="2" t="n">
        <f aca="false">INT(AC73)</f>
        <v>83</v>
      </c>
      <c r="AJ73" s="2" t="n">
        <f aca="false">INT(AD73)</f>
        <v>61</v>
      </c>
      <c r="AK73" s="2" t="n">
        <f aca="false">Settings!$B$3-SUM(AE73:AJ73)</f>
        <v>2</v>
      </c>
      <c r="AL73" s="2" t="n">
        <f aca="false">ROUND(Y73-AE73,9)</f>
        <v>0.803278689</v>
      </c>
      <c r="AM73" s="2" t="n">
        <f aca="false">ROUND(Z73-AF73,9)</f>
        <v>0.098360656</v>
      </c>
      <c r="AN73" s="2" t="n">
        <f aca="false">ROUND(AA73-AG73,9)</f>
        <v>0.836065574</v>
      </c>
      <c r="AO73" s="2" t="n">
        <f aca="false">ROUND(AB73-AH73,9)</f>
        <v>0</v>
      </c>
      <c r="AP73" s="2" t="n">
        <f aca="false">ROUND(AC73-AI73,9)</f>
        <v>0.196721311</v>
      </c>
      <c r="AQ73" s="2" t="n">
        <f aca="false">ROUND(AD73-AJ73,9)</f>
        <v>0.06557377</v>
      </c>
    </row>
    <row r="74" customFormat="false" ht="15" hidden="false" customHeight="false" outlineLevel="0" collapsed="false">
      <c r="A74" s="2" t="n">
        <v>73</v>
      </c>
      <c r="B74" s="6" t="n">
        <v>2</v>
      </c>
      <c r="C74" s="6" t="n">
        <v>24</v>
      </c>
      <c r="D74" s="8" t="str">
        <f aca="false">INDEX(Bases!$B$2:$B$53,B74)</f>
        <v>Dunsparce</v>
      </c>
      <c r="E74" s="8" t="str">
        <f aca="false">INDEX(Bases!$B$2:$B$53,C74)</f>
        <v>Koffing</v>
      </c>
      <c r="F74" s="2" t="str">
        <f aca="false">LEFT(D74,ROUNDUP(LEN(D74)/2,0))&amp;LOWER(MID(E74,ROUNDUP(LEN(E74)/2,0)+1,20))</f>
        <v>Dunsping</v>
      </c>
      <c r="G74" s="8" t="str">
        <f aca="false">INDEX(Bases!$C$2:$C$53,B74)</f>
        <v>Normal</v>
      </c>
      <c r="H74" s="8" t="str">
        <f aca="false">IF(INDEX(Bases!$C$2:$C$53,C74)=G74,"",INDEX(Bases!$C$2:$C$53,C74))</f>
        <v>Poison</v>
      </c>
      <c r="I74" s="8" t="str">
        <f aca="false">IF(INDEX(Bases!$E$2:$E$53,B74)="","",INDEX(Bases!$E$2:$E$53,B74))</f>
        <v/>
      </c>
      <c r="J74" s="8" t="str">
        <f aca="false">IF(INDEX(Bases!$E$2:$E$53,C74)="","",INDEX(Bases!$E$2:$E$53,C74))</f>
        <v/>
      </c>
      <c r="K74" s="5"/>
      <c r="L74" s="2" t="n">
        <f aca="false">AE74+IF(SUMPRODUCT(--($AL74:$AQ74&gt;AL74))&lt;$AK74,1,0)</f>
        <v>95</v>
      </c>
      <c r="M74" s="2" t="n">
        <f aca="false">AF74+IF(SUMPRODUCT(--($AL74:$AQ74&gt;AM74))+SUMPRODUCT(--($AL74:AL74=AM74))&lt;$AK74,1,0)</f>
        <v>87</v>
      </c>
      <c r="N74" s="2" t="n">
        <f aca="false">AG74+IF(SUMPRODUCT(--($AL74:$AQ74&gt;AN74))+SUMPRODUCT(--($AL74:AM74=AN74))&lt;$AK74,1,0)</f>
        <v>116</v>
      </c>
      <c r="O74" s="2" t="n">
        <f aca="false">AH74+IF(SUMPRODUCT(--($AL74:$AQ74&gt;AO74))+SUMPRODUCT(--($AL74:AN74=AO74))&lt;$AK74,1,0)</f>
        <v>81</v>
      </c>
      <c r="P74" s="2" t="n">
        <f aca="false">AI74+IF(SUMPRODUCT(--($AL74:$AQ74&gt;AP74))+SUMPRODUCT(--($AL74:AO74=AP74))&lt;$AK74,1,0)</f>
        <v>71</v>
      </c>
      <c r="Q74" s="2" t="n">
        <f aca="false">AJ74+IF(SUMPRODUCT(--($AL74:$AQ74&gt;AQ74))+SUMPRODUCT(--($AL74:AP74=AQ74))&lt;$AK74,1,0)</f>
        <v>50</v>
      </c>
      <c r="R74" s="2" t="n">
        <f aca="false">SUM(L74:Q74)</f>
        <v>500</v>
      </c>
      <c r="S74" s="2" t="n">
        <f aca="false">Settings!$B$4*MAX(INDEX(Bases!$M$2:$M$53,B74),INDEX(Bases!$M$2:$M$53,C74))+Settings!$B$5*MIN(INDEX(Bases!$M$2:$M$53,B74),INDEX(Bases!$M$2:$M$53,C74))</f>
        <v>79.6666666666667</v>
      </c>
      <c r="T74" s="2" t="n">
        <f aca="false">Settings!$B$4*MAX(INDEX(Bases!$N$2:$N$53,B74),INDEX(Bases!$N$2:$N$53,C74))+Settings!$B$5*MIN(INDEX(Bases!$N$2:$N$53,B74),INDEX(Bases!$N$2:$N$53,C74))</f>
        <v>73.3333333333333</v>
      </c>
      <c r="U74" s="2" t="n">
        <f aca="false">Settings!$B$4*MAX(INDEX(Bases!$O$2:$O$53,B74),INDEX(Bases!$O$2:$O$53,C74))+Settings!$B$5*MIN(INDEX(Bases!$O$2:$O$53,B74),INDEX(Bases!$O$2:$O$53,C74))</f>
        <v>97</v>
      </c>
      <c r="V74" s="2" t="n">
        <f aca="false">Settings!$B$4*MAX(INDEX(Bases!$P$2:$P$53,B74),INDEX(Bases!$P$2:$P$53,C74))+Settings!$B$5*MIN(INDEX(Bases!$P$2:$P$53,B74),INDEX(Bases!$P$2:$P$53,C74))</f>
        <v>68.3333333333333</v>
      </c>
      <c r="W74" s="2" t="n">
        <f aca="false">Settings!$B$4*MAX(INDEX(Bases!$Q$2:$Q$53,B74),INDEX(Bases!$Q$2:$Q$53,C74))+Settings!$B$5*MIN(INDEX(Bases!$Q$2:$Q$53,B74),INDEX(Bases!$Q$2:$Q$53,C74))</f>
        <v>59.6666666666667</v>
      </c>
      <c r="X74" s="2" t="n">
        <f aca="false">Settings!$B$4*MAX(INDEX(Bases!$R$2:$R$53,B74),INDEX(Bases!$R$2:$R$53,C74))+Settings!$B$5*MIN(INDEX(Bases!$R$2:$R$53,B74),INDEX(Bases!$R$2:$R$53,C74))</f>
        <v>42.3333333333333</v>
      </c>
      <c r="Y74" s="2" t="n">
        <f aca="false">S74*Settings!$B$3/SUM(S74:X74)</f>
        <v>94.7660586835845</v>
      </c>
      <c r="Z74" s="2" t="n">
        <f aca="false">T74*Settings!$B$3/SUM(S74:X74)</f>
        <v>87.2323552735924</v>
      </c>
      <c r="AA74" s="2" t="n">
        <f aca="false">U74*Settings!$B$3/SUM(S74:X74)</f>
        <v>115.384615384615</v>
      </c>
      <c r="AB74" s="2" t="n">
        <f aca="false">V74*Settings!$B$3/SUM(S74:X74)</f>
        <v>81.2846946867565</v>
      </c>
      <c r="AC74" s="2" t="n">
        <f aca="false">W74*Settings!$B$3/SUM(S74:X74)</f>
        <v>70.9754163362411</v>
      </c>
      <c r="AD74" s="2" t="n">
        <f aca="false">X74*Settings!$B$3/SUM(S74:X74)</f>
        <v>50.3568596352102</v>
      </c>
      <c r="AE74" s="2" t="n">
        <f aca="false">INT(Y74)</f>
        <v>94</v>
      </c>
      <c r="AF74" s="2" t="n">
        <f aca="false">INT(Z74)</f>
        <v>87</v>
      </c>
      <c r="AG74" s="2" t="n">
        <f aca="false">INT(AA74)</f>
        <v>115</v>
      </c>
      <c r="AH74" s="2" t="n">
        <f aca="false">INT(AB74)</f>
        <v>81</v>
      </c>
      <c r="AI74" s="2" t="n">
        <f aca="false">INT(AC74)</f>
        <v>70</v>
      </c>
      <c r="AJ74" s="2" t="n">
        <f aca="false">INT(AD74)</f>
        <v>50</v>
      </c>
      <c r="AK74" s="2" t="n">
        <f aca="false">Settings!$B$3-SUM(AE74:AJ74)</f>
        <v>3</v>
      </c>
      <c r="AL74" s="2" t="n">
        <f aca="false">ROUND(Y74-AE74,9)</f>
        <v>0.766058684</v>
      </c>
      <c r="AM74" s="2" t="n">
        <f aca="false">ROUND(Z74-AF74,9)</f>
        <v>0.232355274</v>
      </c>
      <c r="AN74" s="2" t="n">
        <f aca="false">ROUND(AA74-AG74,9)</f>
        <v>0.384615385</v>
      </c>
      <c r="AO74" s="2" t="n">
        <f aca="false">ROUND(AB74-AH74,9)</f>
        <v>0.284694687</v>
      </c>
      <c r="AP74" s="2" t="n">
        <f aca="false">ROUND(AC74-AI74,9)</f>
        <v>0.975416336</v>
      </c>
      <c r="AQ74" s="2" t="n">
        <f aca="false">ROUND(AD74-AJ74,9)</f>
        <v>0.356859635</v>
      </c>
    </row>
    <row r="75" customFormat="false" ht="15" hidden="false" customHeight="false" outlineLevel="0" collapsed="false">
      <c r="A75" s="2" t="n">
        <v>74</v>
      </c>
      <c r="B75" s="6" t="n">
        <v>2</v>
      </c>
      <c r="C75" s="6" t="n">
        <v>25</v>
      </c>
      <c r="D75" s="8" t="str">
        <f aca="false">INDEX(Bases!$B$2:$B$53,B75)</f>
        <v>Dunsparce</v>
      </c>
      <c r="E75" s="8" t="str">
        <f aca="false">INDEX(Bases!$B$2:$B$53,C75)</f>
        <v>Sandshrew</v>
      </c>
      <c r="F75" s="2" t="str">
        <f aca="false">LEFT(D75,ROUNDUP(LEN(D75)/2,0))&amp;LOWER(MID(E75,ROUNDUP(LEN(E75)/2,0)+1,20))</f>
        <v>Dunsphrew</v>
      </c>
      <c r="G75" s="8" t="str">
        <f aca="false">INDEX(Bases!$C$2:$C$53,B75)</f>
        <v>Normal</v>
      </c>
      <c r="H75" s="8" t="str">
        <f aca="false">IF(INDEX(Bases!$C$2:$C$53,C75)=G75,"",INDEX(Bases!$C$2:$C$53,C75))</f>
        <v>Ground</v>
      </c>
      <c r="I75" s="8" t="str">
        <f aca="false">IF(INDEX(Bases!$E$2:$E$53,B75)="","",INDEX(Bases!$E$2:$E$53,B75))</f>
        <v/>
      </c>
      <c r="J75" s="8" t="str">
        <f aca="false">IF(INDEX(Bases!$E$2:$E$53,C75)="","",INDEX(Bases!$E$2:$E$53,C75))</f>
        <v/>
      </c>
      <c r="K75" s="5"/>
      <c r="L75" s="2" t="n">
        <f aca="false">AE75+IF(SUMPRODUCT(--($AL75:$AQ75&gt;AL75))&lt;$AK75,1,0)</f>
        <v>101</v>
      </c>
      <c r="M75" s="2" t="n">
        <f aca="false">AF75+IF(SUMPRODUCT(--($AL75:$AQ75&gt;AM75))+SUMPRODUCT(--($AL75:AL75=AM75))&lt;$AK75,1,0)</f>
        <v>104</v>
      </c>
      <c r="N75" s="2" t="n">
        <f aca="false">AG75+IF(SUMPRODUCT(--($AL75:$AQ75&gt;AN75))+SUMPRODUCT(--($AL75:AM75=AN75))&lt;$AK75,1,0)</f>
        <v>114</v>
      </c>
      <c r="O75" s="2" t="n">
        <f aca="false">AH75+IF(SUMPRODUCT(--($AL75:$AQ75&gt;AO75))+SUMPRODUCT(--($AL75:AN75=AO75))&lt;$AK75,1,0)</f>
        <v>59</v>
      </c>
      <c r="P75" s="2" t="n">
        <f aca="false">AI75+IF(SUMPRODUCT(--($AL75:$AQ75&gt;AP75))+SUMPRODUCT(--($AL75:AO75=AP75))&lt;$AK75,1,0)</f>
        <v>64</v>
      </c>
      <c r="Q75" s="2" t="n">
        <f aca="false">AJ75+IF(SUMPRODUCT(--($AL75:$AQ75&gt;AQ75))+SUMPRODUCT(--($AL75:AP75=AQ75))&lt;$AK75,1,0)</f>
        <v>58</v>
      </c>
      <c r="R75" s="2" t="n">
        <f aca="false">SUM(L75:Q75)</f>
        <v>500</v>
      </c>
      <c r="S75" s="2" t="n">
        <f aca="false">Settings!$B$4*MAX(INDEX(Bases!$M$2:$M$53,B75),INDEX(Bases!$M$2:$M$53,C75))+Settings!$B$5*MIN(INDEX(Bases!$M$2:$M$53,B75),INDEX(Bases!$M$2:$M$53,C75))</f>
        <v>86.3333333333333</v>
      </c>
      <c r="T75" s="2" t="n">
        <f aca="false">Settings!$B$4*MAX(INDEX(Bases!$N$2:$N$53,B75),INDEX(Bases!$N$2:$N$53,C75))+Settings!$B$5*MIN(INDEX(Bases!$N$2:$N$53,B75),INDEX(Bases!$N$2:$N$53,C75))</f>
        <v>89.3333333333333</v>
      </c>
      <c r="U75" s="2" t="n">
        <f aca="false">Settings!$B$4*MAX(INDEX(Bases!$O$2:$O$53,B75),INDEX(Bases!$O$2:$O$53,C75))+Settings!$B$5*MIN(INDEX(Bases!$O$2:$O$53,B75),INDEX(Bases!$O$2:$O$53,C75))</f>
        <v>97.6666666666667</v>
      </c>
      <c r="V75" s="2" t="n">
        <f aca="false">Settings!$B$4*MAX(INDEX(Bases!$P$2:$P$53,B75),INDEX(Bases!$P$2:$P$53,C75))+Settings!$B$5*MIN(INDEX(Bases!$P$2:$P$53,B75),INDEX(Bases!$P$2:$P$53,C75))</f>
        <v>51</v>
      </c>
      <c r="W75" s="2" t="n">
        <f aca="false">Settings!$B$4*MAX(INDEX(Bases!$Q$2:$Q$53,B75),INDEX(Bases!$Q$2:$Q$53,C75))+Settings!$B$5*MIN(INDEX(Bases!$Q$2:$Q$53,B75),INDEX(Bases!$Q$2:$Q$53,C75))</f>
        <v>55.3333333333333</v>
      </c>
      <c r="X75" s="2" t="n">
        <f aca="false">Settings!$B$4*MAX(INDEX(Bases!$R$2:$R$53,B75),INDEX(Bases!$R$2:$R$53,C75))+Settings!$B$5*MIN(INDEX(Bases!$R$2:$R$53,B75),INDEX(Bases!$R$2:$R$53,C75))</f>
        <v>49.6666666666667</v>
      </c>
      <c r="Y75" s="2" t="n">
        <f aca="false">S75*Settings!$B$3/SUM(S75:X75)</f>
        <v>100.54347826087</v>
      </c>
      <c r="Z75" s="2" t="n">
        <f aca="false">T75*Settings!$B$3/SUM(S75:X75)</f>
        <v>104.037267080745</v>
      </c>
      <c r="AA75" s="2" t="n">
        <f aca="false">U75*Settings!$B$3/SUM(S75:X75)</f>
        <v>113.742236024845</v>
      </c>
      <c r="AB75" s="2" t="n">
        <f aca="false">V75*Settings!$B$3/SUM(S75:X75)</f>
        <v>59.3944099378882</v>
      </c>
      <c r="AC75" s="2" t="n">
        <f aca="false">W75*Settings!$B$3/SUM(S75:X75)</f>
        <v>64.4409937888199</v>
      </c>
      <c r="AD75" s="2" t="n">
        <f aca="false">X75*Settings!$B$3/SUM(S75:X75)</f>
        <v>57.8416149068323</v>
      </c>
      <c r="AE75" s="2" t="n">
        <f aca="false">INT(Y75)</f>
        <v>100</v>
      </c>
      <c r="AF75" s="2" t="n">
        <f aca="false">INT(Z75)</f>
        <v>104</v>
      </c>
      <c r="AG75" s="2" t="n">
        <f aca="false">INT(AA75)</f>
        <v>113</v>
      </c>
      <c r="AH75" s="2" t="n">
        <f aca="false">INT(AB75)</f>
        <v>59</v>
      </c>
      <c r="AI75" s="2" t="n">
        <f aca="false">INT(AC75)</f>
        <v>64</v>
      </c>
      <c r="AJ75" s="2" t="n">
        <f aca="false">INT(AD75)</f>
        <v>57</v>
      </c>
      <c r="AK75" s="2" t="n">
        <f aca="false">Settings!$B$3-SUM(AE75:AJ75)</f>
        <v>3</v>
      </c>
      <c r="AL75" s="2" t="n">
        <f aca="false">ROUND(Y75-AE75,9)</f>
        <v>0.543478261</v>
      </c>
      <c r="AM75" s="2" t="n">
        <f aca="false">ROUND(Z75-AF75,9)</f>
        <v>0.037267081</v>
      </c>
      <c r="AN75" s="2" t="n">
        <f aca="false">ROUND(AA75-AG75,9)</f>
        <v>0.742236025</v>
      </c>
      <c r="AO75" s="2" t="n">
        <f aca="false">ROUND(AB75-AH75,9)</f>
        <v>0.394409938</v>
      </c>
      <c r="AP75" s="2" t="n">
        <f aca="false">ROUND(AC75-AI75,9)</f>
        <v>0.440993789</v>
      </c>
      <c r="AQ75" s="2" t="n">
        <f aca="false">ROUND(AD75-AJ75,9)</f>
        <v>0.841614907</v>
      </c>
    </row>
    <row r="76" customFormat="false" ht="15" hidden="false" customHeight="false" outlineLevel="0" collapsed="false">
      <c r="A76" s="2" t="n">
        <v>75</v>
      </c>
      <c r="B76" s="6" t="n">
        <v>2</v>
      </c>
      <c r="C76" s="6" t="n">
        <v>26</v>
      </c>
      <c r="D76" s="8" t="str">
        <f aca="false">INDEX(Bases!$B$2:$B$53,B76)</f>
        <v>Dunsparce</v>
      </c>
      <c r="E76" s="8" t="str">
        <f aca="false">INDEX(Bases!$B$2:$B$53,C76)</f>
        <v>Phanpy</v>
      </c>
      <c r="F76" s="2" t="str">
        <f aca="false">LEFT(D76,ROUNDUP(LEN(D76)/2,0))&amp;LOWER(MID(E76,ROUNDUP(LEN(E76)/2,0)+1,20))</f>
        <v>Dunspnpy</v>
      </c>
      <c r="G76" s="8" t="str">
        <f aca="false">INDEX(Bases!$C$2:$C$53,B76)</f>
        <v>Normal</v>
      </c>
      <c r="H76" s="8" t="str">
        <f aca="false">IF(INDEX(Bases!$C$2:$C$53,C76)=G76,"",INDEX(Bases!$C$2:$C$53,C76))</f>
        <v>Ground</v>
      </c>
      <c r="I76" s="8" t="str">
        <f aca="false">IF(INDEX(Bases!$E$2:$E$53,B76)="","",INDEX(Bases!$E$2:$E$53,B76))</f>
        <v/>
      </c>
      <c r="J76" s="8" t="str">
        <f aca="false">IF(INDEX(Bases!$E$2:$E$53,C76)="","",INDEX(Bases!$E$2:$E$53,C76))</f>
        <v/>
      </c>
      <c r="K76" s="5"/>
      <c r="L76" s="2" t="n">
        <f aca="false">AE76+IF(SUMPRODUCT(--($AL76:$AQ76&gt;AL76))&lt;$AK76,1,0)</f>
        <v>128</v>
      </c>
      <c r="M76" s="2" t="n">
        <f aca="false">AF76+IF(SUMPRODUCT(--($AL76:$AQ76&gt;AM76))+SUMPRODUCT(--($AL76:AL76=AM76))&lt;$AK76,1,0)</f>
        <v>87</v>
      </c>
      <c r="N76" s="2" t="n">
        <f aca="false">AG76+IF(SUMPRODUCT(--($AL76:$AQ76&gt;AN76))+SUMPRODUCT(--($AL76:AM76=AN76))&lt;$AK76,1,0)</f>
        <v>87</v>
      </c>
      <c r="O76" s="2" t="n">
        <f aca="false">AH76+IF(SUMPRODUCT(--($AL76:$AQ76&gt;AO76))+SUMPRODUCT(--($AL76:AN76=AO76))&lt;$AK76,1,0)</f>
        <v>71</v>
      </c>
      <c r="P76" s="2" t="n">
        <f aca="false">AI76+IF(SUMPRODUCT(--($AL76:$AQ76&gt;AP76))+SUMPRODUCT(--($AL76:AO76=AP76))&lt;$AK76,1,0)</f>
        <v>71</v>
      </c>
      <c r="Q76" s="2" t="n">
        <f aca="false">AJ76+IF(SUMPRODUCT(--($AL76:$AQ76&gt;AQ76))+SUMPRODUCT(--($AL76:AP76=AQ76))&lt;$AK76,1,0)</f>
        <v>56</v>
      </c>
      <c r="R76" s="2" t="n">
        <f aca="false">SUM(L76:Q76)</f>
        <v>500</v>
      </c>
      <c r="S76" s="2" t="n">
        <f aca="false">Settings!$B$4*MAX(INDEX(Bases!$M$2:$M$53,B76),INDEX(Bases!$M$2:$M$53,C76))+Settings!$B$5*MIN(INDEX(Bases!$M$2:$M$53,B76),INDEX(Bases!$M$2:$M$53,C76))</f>
        <v>104.666666666667</v>
      </c>
      <c r="T76" s="2" t="n">
        <f aca="false">Settings!$B$4*MAX(INDEX(Bases!$N$2:$N$53,B76),INDEX(Bases!$N$2:$N$53,C76))+Settings!$B$5*MIN(INDEX(Bases!$N$2:$N$53,B76),INDEX(Bases!$N$2:$N$53,C76))</f>
        <v>71.3333333333333</v>
      </c>
      <c r="U76" s="2" t="n">
        <f aca="false">Settings!$B$4*MAX(INDEX(Bases!$O$2:$O$53,B76),INDEX(Bases!$O$2:$O$53,C76))+Settings!$B$5*MIN(INDEX(Bases!$O$2:$O$53,B76),INDEX(Bases!$O$2:$O$53,C76))</f>
        <v>71</v>
      </c>
      <c r="V76" s="2" t="n">
        <f aca="false">Settings!$B$4*MAX(INDEX(Bases!$P$2:$P$53,B76),INDEX(Bases!$P$2:$P$53,C76))+Settings!$B$5*MIN(INDEX(Bases!$P$2:$P$53,B76),INDEX(Bases!$P$2:$P$53,C76))</f>
        <v>58.3333333333333</v>
      </c>
      <c r="W76" s="2" t="n">
        <f aca="false">Settings!$B$4*MAX(INDEX(Bases!$Q$2:$Q$53,B76),INDEX(Bases!$Q$2:$Q$53,C76))+Settings!$B$5*MIN(INDEX(Bases!$Q$2:$Q$53,B76),INDEX(Bases!$Q$2:$Q$53,C76))</f>
        <v>58</v>
      </c>
      <c r="X76" s="2" t="n">
        <f aca="false">Settings!$B$4*MAX(INDEX(Bases!$R$2:$R$53,B76),INDEX(Bases!$R$2:$R$53,C76))+Settings!$B$5*MIN(INDEX(Bases!$R$2:$R$53,B76),INDEX(Bases!$R$2:$R$53,C76))</f>
        <v>46.3333333333333</v>
      </c>
      <c r="Y76" s="2" t="n">
        <f aca="false">S76*Settings!$B$3/SUM(S76:X76)</f>
        <v>127.746135069162</v>
      </c>
      <c r="Z76" s="2" t="n">
        <f aca="false">T76*Settings!$B$3/SUM(S76:X76)</f>
        <v>87.0626525630594</v>
      </c>
      <c r="AA76" s="2" t="n">
        <f aca="false">U76*Settings!$B$3/SUM(S76:X76)</f>
        <v>86.6558177379984</v>
      </c>
      <c r="AB76" s="2" t="n">
        <f aca="false">V76*Settings!$B$3/SUM(S76:X76)</f>
        <v>71.1960943856794</v>
      </c>
      <c r="AC76" s="2" t="n">
        <f aca="false">W76*Settings!$B$3/SUM(S76:X76)</f>
        <v>70.7892595606184</v>
      </c>
      <c r="AD76" s="2" t="n">
        <f aca="false">X76*Settings!$B$3/SUM(S76:X76)</f>
        <v>56.5500406834825</v>
      </c>
      <c r="AE76" s="2" t="n">
        <f aca="false">INT(Y76)</f>
        <v>127</v>
      </c>
      <c r="AF76" s="2" t="n">
        <f aca="false">INT(Z76)</f>
        <v>87</v>
      </c>
      <c r="AG76" s="2" t="n">
        <f aca="false">INT(AA76)</f>
        <v>86</v>
      </c>
      <c r="AH76" s="2" t="n">
        <f aca="false">INT(AB76)</f>
        <v>71</v>
      </c>
      <c r="AI76" s="2" t="n">
        <f aca="false">INT(AC76)</f>
        <v>70</v>
      </c>
      <c r="AJ76" s="2" t="n">
        <f aca="false">INT(AD76)</f>
        <v>56</v>
      </c>
      <c r="AK76" s="2" t="n">
        <f aca="false">Settings!$B$3-SUM(AE76:AJ76)</f>
        <v>3</v>
      </c>
      <c r="AL76" s="2" t="n">
        <f aca="false">ROUND(Y76-AE76,9)</f>
        <v>0.746135069</v>
      </c>
      <c r="AM76" s="2" t="n">
        <f aca="false">ROUND(Z76-AF76,9)</f>
        <v>0.062652563</v>
      </c>
      <c r="AN76" s="2" t="n">
        <f aca="false">ROUND(AA76-AG76,9)</f>
        <v>0.655817738</v>
      </c>
      <c r="AO76" s="2" t="n">
        <f aca="false">ROUND(AB76-AH76,9)</f>
        <v>0.196094386</v>
      </c>
      <c r="AP76" s="2" t="n">
        <f aca="false">ROUND(AC76-AI76,9)</f>
        <v>0.789259561</v>
      </c>
      <c r="AQ76" s="2" t="n">
        <f aca="false">ROUND(AD76-AJ76,9)</f>
        <v>0.550040683</v>
      </c>
    </row>
    <row r="77" customFormat="false" ht="15" hidden="false" customHeight="false" outlineLevel="0" collapsed="false">
      <c r="A77" s="2" t="n">
        <v>76</v>
      </c>
      <c r="B77" s="6" t="n">
        <v>2</v>
      </c>
      <c r="C77" s="6" t="n">
        <v>27</v>
      </c>
      <c r="D77" s="8" t="str">
        <f aca="false">INDEX(Bases!$B$2:$B$53,B77)</f>
        <v>Dunsparce</v>
      </c>
      <c r="E77" s="8" t="str">
        <f aca="false">INDEX(Bases!$B$2:$B$53,C77)</f>
        <v>Baltoy</v>
      </c>
      <c r="F77" s="2" t="str">
        <f aca="false">LEFT(D77,ROUNDUP(LEN(D77)/2,0))&amp;LOWER(MID(E77,ROUNDUP(LEN(E77)/2,0)+1,20))</f>
        <v>Dunsptoy</v>
      </c>
      <c r="G77" s="8" t="str">
        <f aca="false">INDEX(Bases!$C$2:$C$53,B77)</f>
        <v>Normal</v>
      </c>
      <c r="H77" s="8" t="str">
        <f aca="false">IF(INDEX(Bases!$C$2:$C$53,C77)=G77,"",INDEX(Bases!$C$2:$C$53,C77))</f>
        <v>Ground</v>
      </c>
      <c r="I77" s="8" t="str">
        <f aca="false">IF(INDEX(Bases!$E$2:$E$53,B77)="","",INDEX(Bases!$E$2:$E$53,B77))</f>
        <v/>
      </c>
      <c r="J77" s="8" t="str">
        <f aca="false">IF(INDEX(Bases!$E$2:$E$53,C77)="","",INDEX(Bases!$E$2:$E$53,C77))</f>
        <v/>
      </c>
      <c r="K77" s="5"/>
      <c r="L77" s="2" t="n">
        <f aca="false">AE77+IF(SUMPRODUCT(--($AL77:$AQ77&gt;AL77))&lt;$AK77,1,0)</f>
        <v>97</v>
      </c>
      <c r="M77" s="2" t="n">
        <f aca="false">AF77+IF(SUMPRODUCT(--($AL77:$AQ77&gt;AM77))+SUMPRODUCT(--($AL77:AL77=AM77))&lt;$AK77,1,0)</f>
        <v>75</v>
      </c>
      <c r="N77" s="2" t="n">
        <f aca="false">AG77+IF(SUMPRODUCT(--($AL77:$AQ77&gt;AN77))+SUMPRODUCT(--($AL77:AM77=AN77))&lt;$AK77,1,0)</f>
        <v>84</v>
      </c>
      <c r="O77" s="2" t="n">
        <f aca="false">AH77+IF(SUMPRODUCT(--($AL77:$AQ77&gt;AO77))+SUMPRODUCT(--($AL77:AN77=AO77))&lt;$AK77,1,0)</f>
        <v>71</v>
      </c>
      <c r="P77" s="2" t="n">
        <f aca="false">AI77+IF(SUMPRODUCT(--($AL77:$AQ77&gt;AP77))+SUMPRODUCT(--($AL77:AO77=AP77))&lt;$AK77,1,0)</f>
        <v>98</v>
      </c>
      <c r="Q77" s="2" t="n">
        <f aca="false">AJ77+IF(SUMPRODUCT(--($AL77:$AQ77&gt;AQ77))+SUMPRODUCT(--($AL77:AP77=AQ77))&lt;$AK77,1,0)</f>
        <v>75</v>
      </c>
      <c r="R77" s="2" t="n">
        <f aca="false">SUM(L77:Q77)</f>
        <v>500</v>
      </c>
      <c r="S77" s="2" t="n">
        <f aca="false">Settings!$B$4*MAX(INDEX(Bases!$M$2:$M$53,B77),INDEX(Bases!$M$2:$M$53,C77))+Settings!$B$5*MIN(INDEX(Bases!$M$2:$M$53,B77),INDEX(Bases!$M$2:$M$53,C77))</f>
        <v>82</v>
      </c>
      <c r="T77" s="2" t="n">
        <f aca="false">Settings!$B$4*MAX(INDEX(Bases!$N$2:$N$53,B77),INDEX(Bases!$N$2:$N$53,C77))+Settings!$B$5*MIN(INDEX(Bases!$N$2:$N$53,B77),INDEX(Bases!$N$2:$N$53,C77))</f>
        <v>63.3333333333333</v>
      </c>
      <c r="U77" s="2" t="n">
        <f aca="false">Settings!$B$4*MAX(INDEX(Bases!$O$2:$O$53,B77),INDEX(Bases!$O$2:$O$53,C77))+Settings!$B$5*MIN(INDEX(Bases!$O$2:$O$53,B77),INDEX(Bases!$O$2:$O$53,C77))</f>
        <v>71</v>
      </c>
      <c r="V77" s="2" t="n">
        <f aca="false">Settings!$B$4*MAX(INDEX(Bases!$P$2:$P$53,B77),INDEX(Bases!$P$2:$P$53,C77))+Settings!$B$5*MIN(INDEX(Bases!$P$2:$P$53,B77),INDEX(Bases!$P$2:$P$53,C77))</f>
        <v>59.6666666666667</v>
      </c>
      <c r="W77" s="2" t="n">
        <f aca="false">Settings!$B$4*MAX(INDEX(Bases!$Q$2:$Q$53,B77),INDEX(Bases!$Q$2:$Q$53,C77))+Settings!$B$5*MIN(INDEX(Bases!$Q$2:$Q$53,B77),INDEX(Bases!$Q$2:$Q$53,C77))</f>
        <v>83</v>
      </c>
      <c r="X77" s="2" t="n">
        <f aca="false">Settings!$B$4*MAX(INDEX(Bases!$R$2:$R$53,B77),INDEX(Bases!$R$2:$R$53,C77))+Settings!$B$5*MIN(INDEX(Bases!$R$2:$R$53,B77),INDEX(Bases!$R$2:$R$53,C77))</f>
        <v>63</v>
      </c>
      <c r="Y77" s="2" t="n">
        <f aca="false">S77*Settings!$B$3/SUM(S77:X77)</f>
        <v>97.1563981042654</v>
      </c>
      <c r="Z77" s="2" t="n">
        <f aca="false">T77*Settings!$B$3/SUM(S77:X77)</f>
        <v>75.0394944707741</v>
      </c>
      <c r="AA77" s="2" t="n">
        <f aca="false">U77*Settings!$B$3/SUM(S77:X77)</f>
        <v>84.1232227488152</v>
      </c>
      <c r="AB77" s="2" t="n">
        <f aca="false">V77*Settings!$B$3/SUM(S77:X77)</f>
        <v>70.695102685624</v>
      </c>
      <c r="AC77" s="2" t="n">
        <f aca="false">W77*Settings!$B$3/SUM(S77:X77)</f>
        <v>98.3412322274882</v>
      </c>
      <c r="AD77" s="2" t="n">
        <f aca="false">X77*Settings!$B$3/SUM(S77:X77)</f>
        <v>74.6445497630332</v>
      </c>
      <c r="AE77" s="2" t="n">
        <f aca="false">INT(Y77)</f>
        <v>97</v>
      </c>
      <c r="AF77" s="2" t="n">
        <f aca="false">INT(Z77)</f>
        <v>75</v>
      </c>
      <c r="AG77" s="2" t="n">
        <f aca="false">INT(AA77)</f>
        <v>84</v>
      </c>
      <c r="AH77" s="2" t="n">
        <f aca="false">INT(AB77)</f>
        <v>70</v>
      </c>
      <c r="AI77" s="2" t="n">
        <f aca="false">INT(AC77)</f>
        <v>98</v>
      </c>
      <c r="AJ77" s="2" t="n">
        <f aca="false">INT(AD77)</f>
        <v>74</v>
      </c>
      <c r="AK77" s="2" t="n">
        <f aca="false">Settings!$B$3-SUM(AE77:AJ77)</f>
        <v>2</v>
      </c>
      <c r="AL77" s="2" t="n">
        <f aca="false">ROUND(Y77-AE77,9)</f>
        <v>0.156398104</v>
      </c>
      <c r="AM77" s="2" t="n">
        <f aca="false">ROUND(Z77-AF77,9)</f>
        <v>0.039494471</v>
      </c>
      <c r="AN77" s="2" t="n">
        <f aca="false">ROUND(AA77-AG77,9)</f>
        <v>0.123222749</v>
      </c>
      <c r="AO77" s="2" t="n">
        <f aca="false">ROUND(AB77-AH77,9)</f>
        <v>0.695102686</v>
      </c>
      <c r="AP77" s="2" t="n">
        <f aca="false">ROUND(AC77-AI77,9)</f>
        <v>0.341232227</v>
      </c>
      <c r="AQ77" s="2" t="n">
        <f aca="false">ROUND(AD77-AJ77,9)</f>
        <v>0.644549763</v>
      </c>
    </row>
    <row r="78" customFormat="false" ht="15" hidden="false" customHeight="false" outlineLevel="0" collapsed="false">
      <c r="A78" s="2" t="n">
        <v>77</v>
      </c>
      <c r="B78" s="6" t="n">
        <v>2</v>
      </c>
      <c r="C78" s="6" t="n">
        <v>28</v>
      </c>
      <c r="D78" s="8" t="str">
        <f aca="false">INDEX(Bases!$B$2:$B$53,B78)</f>
        <v>Dunsparce</v>
      </c>
      <c r="E78" s="8" t="str">
        <f aca="false">INDEX(Bases!$B$2:$B$53,C78)</f>
        <v>Zubat</v>
      </c>
      <c r="F78" s="2" t="str">
        <f aca="false">LEFT(D78,ROUNDUP(LEN(D78)/2,0))&amp;LOWER(MID(E78,ROUNDUP(LEN(E78)/2,0)+1,20))</f>
        <v>Dunspat</v>
      </c>
      <c r="G78" s="8" t="str">
        <f aca="false">INDEX(Bases!$C$2:$C$53,B78)</f>
        <v>Normal</v>
      </c>
      <c r="H78" s="8" t="str">
        <f aca="false">IF(INDEX(Bases!$C$2:$C$53,C78)=G78,"",INDEX(Bases!$C$2:$C$53,C78))</f>
        <v>Flying</v>
      </c>
      <c r="I78" s="8" t="str">
        <f aca="false">IF(INDEX(Bases!$E$2:$E$53,B78)="","",INDEX(Bases!$E$2:$E$53,B78))</f>
        <v/>
      </c>
      <c r="J78" s="8" t="str">
        <f aca="false">IF(INDEX(Bases!$E$2:$E$53,C78)="","",INDEX(Bases!$E$2:$E$53,C78))</f>
        <v/>
      </c>
      <c r="K78" s="5"/>
      <c r="L78" s="2" t="n">
        <f aca="false">AE78+IF(SUMPRODUCT(--($AL78:$AQ78&gt;AL78))&lt;$AK78,1,0)</f>
        <v>102</v>
      </c>
      <c r="M78" s="2" t="n">
        <f aca="false">AF78+IF(SUMPRODUCT(--($AL78:$AQ78&gt;AM78))+SUMPRODUCT(--($AL78:AL78=AM78))&lt;$AK78,1,0)</f>
        <v>86</v>
      </c>
      <c r="N78" s="2" t="n">
        <f aca="false">AG78+IF(SUMPRODUCT(--($AL78:$AQ78&gt;AN78))+SUMPRODUCT(--($AL78:AM78=AN78))&lt;$AK78,1,0)</f>
        <v>76</v>
      </c>
      <c r="O78" s="2" t="n">
        <f aca="false">AH78+IF(SUMPRODUCT(--($AL78:$AQ78&gt;AO78))+SUMPRODUCT(--($AL78:AN78=AO78))&lt;$AK78,1,0)</f>
        <v>70</v>
      </c>
      <c r="P78" s="2" t="n">
        <f aca="false">AI78+IF(SUMPRODUCT(--($AL78:$AQ78&gt;AP78))+SUMPRODUCT(--($AL78:AO78=AP78))&lt;$AK78,1,0)</f>
        <v>77</v>
      </c>
      <c r="Q78" s="2" t="n">
        <f aca="false">AJ78+IF(SUMPRODUCT(--($AL78:$AQ78&gt;AQ78))+SUMPRODUCT(--($AL78:AP78=AQ78))&lt;$AK78,1,0)</f>
        <v>89</v>
      </c>
      <c r="R78" s="2" t="n">
        <f aca="false">SUM(L78:Q78)</f>
        <v>500</v>
      </c>
      <c r="S78" s="2" t="n">
        <f aca="false">Settings!$B$4*MAX(INDEX(Bases!$M$2:$M$53,B78),INDEX(Bases!$M$2:$M$53,C78))+Settings!$B$5*MIN(INDEX(Bases!$M$2:$M$53,B78),INDEX(Bases!$M$2:$M$53,C78))</f>
        <v>85.6666666666667</v>
      </c>
      <c r="T78" s="2" t="n">
        <f aca="false">Settings!$B$4*MAX(INDEX(Bases!$N$2:$N$53,B78),INDEX(Bases!$N$2:$N$53,C78))+Settings!$B$5*MIN(INDEX(Bases!$N$2:$N$53,B78),INDEX(Bases!$N$2:$N$53,C78))</f>
        <v>72</v>
      </c>
      <c r="U78" s="2" t="n">
        <f aca="false">Settings!$B$4*MAX(INDEX(Bases!$O$2:$O$53,B78),INDEX(Bases!$O$2:$O$53,C78))+Settings!$B$5*MIN(INDEX(Bases!$O$2:$O$53,B78),INDEX(Bases!$O$2:$O$53,C78))</f>
        <v>63.6666666666667</v>
      </c>
      <c r="V78" s="2" t="n">
        <f aca="false">Settings!$B$4*MAX(INDEX(Bases!$P$2:$P$53,B78),INDEX(Bases!$P$2:$P$53,C78))+Settings!$B$5*MIN(INDEX(Bases!$P$2:$P$53,B78),INDEX(Bases!$P$2:$P$53,C78))</f>
        <v>58.3333333333333</v>
      </c>
      <c r="W78" s="2" t="n">
        <f aca="false">Settings!$B$4*MAX(INDEX(Bases!$Q$2:$Q$53,B78),INDEX(Bases!$Q$2:$Q$53,C78))+Settings!$B$5*MIN(INDEX(Bases!$Q$2:$Q$53,B78),INDEX(Bases!$Q$2:$Q$53,C78))</f>
        <v>64.3333333333333</v>
      </c>
      <c r="X78" s="2" t="n">
        <f aca="false">Settings!$B$4*MAX(INDEX(Bases!$R$2:$R$53,B78),INDEX(Bases!$R$2:$R$53,C78))+Settings!$B$5*MIN(INDEX(Bases!$R$2:$R$53,B78),INDEX(Bases!$R$2:$R$53,C78))</f>
        <v>74.3333333333333</v>
      </c>
      <c r="Y78" s="2" t="n">
        <f aca="false">S78*Settings!$B$3/SUM(S78:X78)</f>
        <v>102.390438247012</v>
      </c>
      <c r="Z78" s="2" t="n">
        <f aca="false">T78*Settings!$B$3/SUM(S78:X78)</f>
        <v>86.0557768924303</v>
      </c>
      <c r="AA78" s="2" t="n">
        <f aca="false">U78*Settings!$B$3/SUM(S78:X78)</f>
        <v>76.0956175298805</v>
      </c>
      <c r="AB78" s="2" t="n">
        <f aca="false">V78*Settings!$B$3/SUM(S78:X78)</f>
        <v>69.7211155378486</v>
      </c>
      <c r="AC78" s="2" t="n">
        <f aca="false">W78*Settings!$B$3/SUM(S78:X78)</f>
        <v>76.8924302788845</v>
      </c>
      <c r="AD78" s="2" t="n">
        <f aca="false">X78*Settings!$B$3/SUM(S78:X78)</f>
        <v>88.8446215139442</v>
      </c>
      <c r="AE78" s="2" t="n">
        <f aca="false">INT(Y78)</f>
        <v>102</v>
      </c>
      <c r="AF78" s="2" t="n">
        <f aca="false">INT(Z78)</f>
        <v>86</v>
      </c>
      <c r="AG78" s="2" t="n">
        <f aca="false">INT(AA78)</f>
        <v>76</v>
      </c>
      <c r="AH78" s="2" t="n">
        <f aca="false">INT(AB78)</f>
        <v>69</v>
      </c>
      <c r="AI78" s="2" t="n">
        <f aca="false">INT(AC78)</f>
        <v>76</v>
      </c>
      <c r="AJ78" s="2" t="n">
        <f aca="false">INT(AD78)</f>
        <v>88</v>
      </c>
      <c r="AK78" s="2" t="n">
        <f aca="false">Settings!$B$3-SUM(AE78:AJ78)</f>
        <v>3</v>
      </c>
      <c r="AL78" s="2" t="n">
        <f aca="false">ROUND(Y78-AE78,9)</f>
        <v>0.390438247</v>
      </c>
      <c r="AM78" s="2" t="n">
        <f aca="false">ROUND(Z78-AF78,9)</f>
        <v>0.055776892</v>
      </c>
      <c r="AN78" s="2" t="n">
        <f aca="false">ROUND(AA78-AG78,9)</f>
        <v>0.09561753</v>
      </c>
      <c r="AO78" s="2" t="n">
        <f aca="false">ROUND(AB78-AH78,9)</f>
        <v>0.721115538</v>
      </c>
      <c r="AP78" s="2" t="n">
        <f aca="false">ROUND(AC78-AI78,9)</f>
        <v>0.892430279</v>
      </c>
      <c r="AQ78" s="2" t="n">
        <f aca="false">ROUND(AD78-AJ78,9)</f>
        <v>0.844621514</v>
      </c>
    </row>
    <row r="79" customFormat="false" ht="15" hidden="false" customHeight="false" outlineLevel="0" collapsed="false">
      <c r="A79" s="2" t="n">
        <v>78</v>
      </c>
      <c r="B79" s="6" t="n">
        <v>2</v>
      </c>
      <c r="C79" s="6" t="n">
        <v>29</v>
      </c>
      <c r="D79" s="8" t="str">
        <f aca="false">INDEX(Bases!$B$2:$B$53,B79)</f>
        <v>Dunsparce</v>
      </c>
      <c r="E79" s="8" t="str">
        <f aca="false">INDEX(Bases!$B$2:$B$53,C79)</f>
        <v>Murkrow</v>
      </c>
      <c r="F79" s="2" t="str">
        <f aca="false">LEFT(D79,ROUNDUP(LEN(D79)/2,0))&amp;LOWER(MID(E79,ROUNDUP(LEN(E79)/2,0)+1,20))</f>
        <v>Dunsprow</v>
      </c>
      <c r="G79" s="8" t="str">
        <f aca="false">INDEX(Bases!$C$2:$C$53,B79)</f>
        <v>Normal</v>
      </c>
      <c r="H79" s="8" t="str">
        <f aca="false">IF(INDEX(Bases!$C$2:$C$53,C79)=G79,"",INDEX(Bases!$C$2:$C$53,C79))</f>
        <v>Flying</v>
      </c>
      <c r="I79" s="8" t="str">
        <f aca="false">IF(INDEX(Bases!$E$2:$E$53,B79)="","",INDEX(Bases!$E$2:$E$53,B79))</f>
        <v/>
      </c>
      <c r="J79" s="8" t="str">
        <f aca="false">IF(INDEX(Bases!$E$2:$E$53,C79)="","",INDEX(Bases!$E$2:$E$53,C79))</f>
        <v/>
      </c>
      <c r="K79" s="5"/>
      <c r="L79" s="2" t="n">
        <f aca="false">AE79+IF(SUMPRODUCT(--($AL79:$AQ79&gt;AL79))&lt;$AK79,1,0)</f>
        <v>98</v>
      </c>
      <c r="M79" s="2" t="n">
        <f aca="false">AF79+IF(SUMPRODUCT(--($AL79:$AQ79&gt;AM79))+SUMPRODUCT(--($AL79:AL79=AM79))&lt;$AK79,1,0)</f>
        <v>92</v>
      </c>
      <c r="N79" s="2" t="n">
        <f aca="false">AG79+IF(SUMPRODUCT(--($AL79:$AQ79&gt;AN79))+SUMPRODUCT(--($AL79:AM79=AN79))&lt;$AK79,1,0)</f>
        <v>68</v>
      </c>
      <c r="O79" s="2" t="n">
        <f aca="false">AH79+IF(SUMPRODUCT(--($AL79:$AQ79&gt;AO79))+SUMPRODUCT(--($AL79:AN79=AO79))&lt;$AK79,1,0)</f>
        <v>90</v>
      </c>
      <c r="P79" s="2" t="n">
        <f aca="false">AI79+IF(SUMPRODUCT(--($AL79:$AQ79&gt;AP79))+SUMPRODUCT(--($AL79:AO79=AP79))&lt;$AK79,1,0)</f>
        <v>65</v>
      </c>
      <c r="Q79" s="2" t="n">
        <f aca="false">AJ79+IF(SUMPRODUCT(--($AL79:$AQ79&gt;AQ79))+SUMPRODUCT(--($AL79:AP79=AQ79))&lt;$AK79,1,0)</f>
        <v>87</v>
      </c>
      <c r="R79" s="2" t="n">
        <f aca="false">SUM(L79:Q79)</f>
        <v>500</v>
      </c>
      <c r="S79" s="2" t="n">
        <f aca="false">Settings!$B$4*MAX(INDEX(Bases!$M$2:$M$53,B79),INDEX(Bases!$M$2:$M$53,C79))+Settings!$B$5*MIN(INDEX(Bases!$M$2:$M$53,B79),INDEX(Bases!$M$2:$M$53,C79))</f>
        <v>83.6666666666667</v>
      </c>
      <c r="T79" s="2" t="n">
        <f aca="false">Settings!$B$4*MAX(INDEX(Bases!$N$2:$N$53,B79),INDEX(Bases!$N$2:$N$53,C79))+Settings!$B$5*MIN(INDEX(Bases!$N$2:$N$53,B79),INDEX(Bases!$N$2:$N$53,C79))</f>
        <v>78.6666666666667</v>
      </c>
      <c r="U79" s="2" t="n">
        <f aca="false">Settings!$B$4*MAX(INDEX(Bases!$O$2:$O$53,B79),INDEX(Bases!$O$2:$O$53,C79))+Settings!$B$5*MIN(INDEX(Bases!$O$2:$O$53,B79),INDEX(Bases!$O$2:$O$53,C79))</f>
        <v>58.6666666666667</v>
      </c>
      <c r="V79" s="2" t="n">
        <f aca="false">Settings!$B$4*MAX(INDEX(Bases!$P$2:$P$53,B79),INDEX(Bases!$P$2:$P$53,C79))+Settings!$B$5*MIN(INDEX(Bases!$P$2:$P$53,B79),INDEX(Bases!$P$2:$P$53,C79))</f>
        <v>77</v>
      </c>
      <c r="W79" s="2" t="n">
        <f aca="false">Settings!$B$4*MAX(INDEX(Bases!$Q$2:$Q$53,B79),INDEX(Bases!$Q$2:$Q$53,C79))+Settings!$B$5*MIN(INDEX(Bases!$Q$2:$Q$53,B79),INDEX(Bases!$Q$2:$Q$53,C79))</f>
        <v>55.6666666666667</v>
      </c>
      <c r="X79" s="2" t="n">
        <f aca="false">Settings!$B$4*MAX(INDEX(Bases!$R$2:$R$53,B79),INDEX(Bases!$R$2:$R$53,C79))+Settings!$B$5*MIN(INDEX(Bases!$R$2:$R$53,B79),INDEX(Bases!$R$2:$R$53,C79))</f>
        <v>74.3333333333333</v>
      </c>
      <c r="Y79" s="2" t="n">
        <f aca="false">S79*Settings!$B$3/SUM(S79:X79)</f>
        <v>97.7414330218069</v>
      </c>
      <c r="Z79" s="2" t="n">
        <f aca="false">T79*Settings!$B$3/SUM(S79:X79)</f>
        <v>91.9003115264798</v>
      </c>
      <c r="AA79" s="2" t="n">
        <f aca="false">U79*Settings!$B$3/SUM(S79:X79)</f>
        <v>68.5358255451713</v>
      </c>
      <c r="AB79" s="2" t="n">
        <f aca="false">V79*Settings!$B$3/SUM(S79:X79)</f>
        <v>89.9532710280374</v>
      </c>
      <c r="AC79" s="2" t="n">
        <f aca="false">W79*Settings!$B$3/SUM(S79:X79)</f>
        <v>65.0311526479751</v>
      </c>
      <c r="AD79" s="2" t="n">
        <f aca="false">X79*Settings!$B$3/SUM(S79:X79)</f>
        <v>86.8380062305296</v>
      </c>
      <c r="AE79" s="2" t="n">
        <f aca="false">INT(Y79)</f>
        <v>97</v>
      </c>
      <c r="AF79" s="2" t="n">
        <f aca="false">INT(Z79)</f>
        <v>91</v>
      </c>
      <c r="AG79" s="2" t="n">
        <f aca="false">INT(AA79)</f>
        <v>68</v>
      </c>
      <c r="AH79" s="2" t="n">
        <f aca="false">INT(AB79)</f>
        <v>89</v>
      </c>
      <c r="AI79" s="2" t="n">
        <f aca="false">INT(AC79)</f>
        <v>65</v>
      </c>
      <c r="AJ79" s="2" t="n">
        <f aca="false">INT(AD79)</f>
        <v>86</v>
      </c>
      <c r="AK79" s="2" t="n">
        <f aca="false">Settings!$B$3-SUM(AE79:AJ79)</f>
        <v>4</v>
      </c>
      <c r="AL79" s="2" t="n">
        <f aca="false">ROUND(Y79-AE79,9)</f>
        <v>0.741433022</v>
      </c>
      <c r="AM79" s="2" t="n">
        <f aca="false">ROUND(Z79-AF79,9)</f>
        <v>0.900311526</v>
      </c>
      <c r="AN79" s="2" t="n">
        <f aca="false">ROUND(AA79-AG79,9)</f>
        <v>0.535825545</v>
      </c>
      <c r="AO79" s="2" t="n">
        <f aca="false">ROUND(AB79-AH79,9)</f>
        <v>0.953271028</v>
      </c>
      <c r="AP79" s="2" t="n">
        <f aca="false">ROUND(AC79-AI79,9)</f>
        <v>0.031152648</v>
      </c>
      <c r="AQ79" s="2" t="n">
        <f aca="false">ROUND(AD79-AJ79,9)</f>
        <v>0.838006231</v>
      </c>
    </row>
    <row r="80" customFormat="false" ht="15" hidden="false" customHeight="false" outlineLevel="0" collapsed="false">
      <c r="A80" s="2" t="n">
        <v>79</v>
      </c>
      <c r="B80" s="6" t="n">
        <v>2</v>
      </c>
      <c r="C80" s="6" t="n">
        <v>30</v>
      </c>
      <c r="D80" s="8" t="str">
        <f aca="false">INDEX(Bases!$B$2:$B$53,B80)</f>
        <v>Dunsparce</v>
      </c>
      <c r="E80" s="8" t="str">
        <f aca="false">INDEX(Bases!$B$2:$B$53,C80)</f>
        <v>Swablu</v>
      </c>
      <c r="F80" s="2" t="str">
        <f aca="false">LEFT(D80,ROUNDUP(LEN(D80)/2,0))&amp;LOWER(MID(E80,ROUNDUP(LEN(E80)/2,0)+1,20))</f>
        <v>Dunspblu</v>
      </c>
      <c r="G80" s="8" t="str">
        <f aca="false">INDEX(Bases!$C$2:$C$53,B80)</f>
        <v>Normal</v>
      </c>
      <c r="H80" s="8" t="str">
        <f aca="false">IF(INDEX(Bases!$C$2:$C$53,C80)=G80,"",INDEX(Bases!$C$2:$C$53,C80))</f>
        <v>Flying</v>
      </c>
      <c r="I80" s="8" t="str">
        <f aca="false">IF(INDEX(Bases!$E$2:$E$53,B80)="","",INDEX(Bases!$E$2:$E$53,B80))</f>
        <v/>
      </c>
      <c r="J80" s="8" t="str">
        <f aca="false">IF(INDEX(Bases!$E$2:$E$53,C80)="","",INDEX(Bases!$E$2:$E$53,C80))</f>
        <v/>
      </c>
      <c r="K80" s="5"/>
      <c r="L80" s="2" t="n">
        <f aca="false">AE80+IF(SUMPRODUCT(--($AL80:$AQ80&gt;AL80))&lt;$AK80,1,0)</f>
        <v>99</v>
      </c>
      <c r="M80" s="2" t="n">
        <f aca="false">AF80+IF(SUMPRODUCT(--($AL80:$AQ80&gt;AM80))+SUMPRODUCT(--($AL80:AL80=AM80))&lt;$AK80,1,0)</f>
        <v>74</v>
      </c>
      <c r="N80" s="2" t="n">
        <f aca="false">AG80+IF(SUMPRODUCT(--($AL80:$AQ80&gt;AN80))+SUMPRODUCT(--($AL80:AM80=AN80))&lt;$AK80,1,0)</f>
        <v>87</v>
      </c>
      <c r="O80" s="2" t="n">
        <f aca="false">AH80+IF(SUMPRODUCT(--($AL80:$AQ80&gt;AO80))+SUMPRODUCT(--($AL80:AN80=AO80))&lt;$AK80,1,0)</f>
        <v>70</v>
      </c>
      <c r="P80" s="2" t="n">
        <f aca="false">AI80+IF(SUMPRODUCT(--($AL80:$AQ80&gt;AP80))+SUMPRODUCT(--($AL80:AO80=AP80))&lt;$AK80,1,0)</f>
        <v>102</v>
      </c>
      <c r="Q80" s="2" t="n">
        <f aca="false">AJ80+IF(SUMPRODUCT(--($AL80:$AQ80&gt;AQ80))+SUMPRODUCT(--($AL80:AP80=AQ80))&lt;$AK80,1,0)</f>
        <v>68</v>
      </c>
      <c r="R80" s="2" t="n">
        <f aca="false">SUM(L80:Q80)</f>
        <v>500</v>
      </c>
      <c r="S80" s="2" t="n">
        <f aca="false">Settings!$B$4*MAX(INDEX(Bases!$M$2:$M$53,B80),INDEX(Bases!$M$2:$M$53,C80))+Settings!$B$5*MIN(INDEX(Bases!$M$2:$M$53,B80),INDEX(Bases!$M$2:$M$53,C80))</f>
        <v>83.3333333333333</v>
      </c>
      <c r="T80" s="2" t="n">
        <f aca="false">Settings!$B$4*MAX(INDEX(Bases!$N$2:$N$53,B80),INDEX(Bases!$N$2:$N$53,C80))+Settings!$B$5*MIN(INDEX(Bases!$N$2:$N$53,B80),INDEX(Bases!$N$2:$N$53,C80))</f>
        <v>62.6666666666667</v>
      </c>
      <c r="U80" s="2" t="n">
        <f aca="false">Settings!$B$4*MAX(INDEX(Bases!$O$2:$O$53,B80),INDEX(Bases!$O$2:$O$53,C80))+Settings!$B$5*MIN(INDEX(Bases!$O$2:$O$53,B80),INDEX(Bases!$O$2:$O$53,C80))</f>
        <v>73.6666666666667</v>
      </c>
      <c r="V80" s="2" t="n">
        <f aca="false">Settings!$B$4*MAX(INDEX(Bases!$P$2:$P$53,B80),INDEX(Bases!$P$2:$P$53,C80))+Settings!$B$5*MIN(INDEX(Bases!$P$2:$P$53,B80),INDEX(Bases!$P$2:$P$53,C80))</f>
        <v>59.3333333333333</v>
      </c>
      <c r="W80" s="2" t="n">
        <f aca="false">Settings!$B$4*MAX(INDEX(Bases!$Q$2:$Q$53,B80),INDEX(Bases!$Q$2:$Q$53,C80))+Settings!$B$5*MIN(INDEX(Bases!$Q$2:$Q$53,B80),INDEX(Bases!$Q$2:$Q$53,C80))</f>
        <v>85.6666666666667</v>
      </c>
      <c r="X80" s="2" t="n">
        <f aca="false">Settings!$B$4*MAX(INDEX(Bases!$R$2:$R$53,B80),INDEX(Bases!$R$2:$R$53,C80))+Settings!$B$5*MIN(INDEX(Bases!$R$2:$R$53,B80),INDEX(Bases!$R$2:$R$53,C80))</f>
        <v>57</v>
      </c>
      <c r="Y80" s="2" t="n">
        <f aca="false">S80*Settings!$B$3/SUM(S80:X80)</f>
        <v>98.8142292490119</v>
      </c>
      <c r="Z80" s="2" t="n">
        <f aca="false">T80*Settings!$B$3/SUM(S80:X80)</f>
        <v>74.3083003952569</v>
      </c>
      <c r="AA80" s="2" t="n">
        <f aca="false">U80*Settings!$B$3/SUM(S80:X80)</f>
        <v>87.3517786561265</v>
      </c>
      <c r="AB80" s="2" t="n">
        <f aca="false">V80*Settings!$B$3/SUM(S80:X80)</f>
        <v>70.3557312252965</v>
      </c>
      <c r="AC80" s="2" t="n">
        <f aca="false">W80*Settings!$B$3/SUM(S80:X80)</f>
        <v>101.581027667984</v>
      </c>
      <c r="AD80" s="2" t="n">
        <f aca="false">X80*Settings!$B$3/SUM(S80:X80)</f>
        <v>67.5889328063241</v>
      </c>
      <c r="AE80" s="2" t="n">
        <f aca="false">INT(Y80)</f>
        <v>98</v>
      </c>
      <c r="AF80" s="2" t="n">
        <f aca="false">INT(Z80)</f>
        <v>74</v>
      </c>
      <c r="AG80" s="2" t="n">
        <f aca="false">INT(AA80)</f>
        <v>87</v>
      </c>
      <c r="AH80" s="2" t="n">
        <f aca="false">INT(AB80)</f>
        <v>70</v>
      </c>
      <c r="AI80" s="2" t="n">
        <f aca="false">INT(AC80)</f>
        <v>101</v>
      </c>
      <c r="AJ80" s="2" t="n">
        <f aca="false">INT(AD80)</f>
        <v>67</v>
      </c>
      <c r="AK80" s="2" t="n">
        <f aca="false">Settings!$B$3-SUM(AE80:AJ80)</f>
        <v>3</v>
      </c>
      <c r="AL80" s="2" t="n">
        <f aca="false">ROUND(Y80-AE80,9)</f>
        <v>0.814229249</v>
      </c>
      <c r="AM80" s="2" t="n">
        <f aca="false">ROUND(Z80-AF80,9)</f>
        <v>0.308300395</v>
      </c>
      <c r="AN80" s="2" t="n">
        <f aca="false">ROUND(AA80-AG80,9)</f>
        <v>0.351778656</v>
      </c>
      <c r="AO80" s="2" t="n">
        <f aca="false">ROUND(AB80-AH80,9)</f>
        <v>0.355731225</v>
      </c>
      <c r="AP80" s="2" t="n">
        <f aca="false">ROUND(AC80-AI80,9)</f>
        <v>0.581027668</v>
      </c>
      <c r="AQ80" s="2" t="n">
        <f aca="false">ROUND(AD80-AJ80,9)</f>
        <v>0.588932806</v>
      </c>
    </row>
    <row r="81" customFormat="false" ht="15" hidden="false" customHeight="false" outlineLevel="0" collapsed="false">
      <c r="A81" s="2" t="n">
        <v>80</v>
      </c>
      <c r="B81" s="6" t="n">
        <v>2</v>
      </c>
      <c r="C81" s="6" t="n">
        <v>31</v>
      </c>
      <c r="D81" s="8" t="str">
        <f aca="false">INDEX(Bases!$B$2:$B$53,B81)</f>
        <v>Dunsparce</v>
      </c>
      <c r="E81" s="8" t="str">
        <f aca="false">INDEX(Bases!$B$2:$B$53,C81)</f>
        <v>Mew</v>
      </c>
      <c r="F81" s="2" t="str">
        <f aca="false">LEFT(D81,ROUNDUP(LEN(D81)/2,0))&amp;LOWER(MID(E81,ROUNDUP(LEN(E81)/2,0)+1,20))</f>
        <v>Dunspw</v>
      </c>
      <c r="G81" s="8" t="str">
        <f aca="false">INDEX(Bases!$C$2:$C$53,B81)</f>
        <v>Normal</v>
      </c>
      <c r="H81" s="8" t="str">
        <f aca="false">IF(INDEX(Bases!$C$2:$C$53,C81)=G81,"",INDEX(Bases!$C$2:$C$53,C81))</f>
        <v>Psychic</v>
      </c>
      <c r="I81" s="8" t="str">
        <f aca="false">IF(INDEX(Bases!$E$2:$E$53,B81)="","",INDEX(Bases!$E$2:$E$53,B81))</f>
        <v/>
      </c>
      <c r="J81" s="8" t="str">
        <f aca="false">IF(INDEX(Bases!$E$2:$E$53,C81)="","",INDEX(Bases!$E$2:$E$53,C81))</f>
        <v/>
      </c>
      <c r="K81" s="5"/>
      <c r="L81" s="2" t="n">
        <f aca="false">AE81+IF(SUMPRODUCT(--($AL81:$AQ81&gt;AL81))&lt;$AK81,1,0)</f>
        <v>105</v>
      </c>
      <c r="M81" s="2" t="n">
        <f aca="false">AF81+IF(SUMPRODUCT(--($AL81:$AQ81&gt;AM81))+SUMPRODUCT(--($AL81:AL81=AM81))&lt;$AK81,1,0)</f>
        <v>83</v>
      </c>
      <c r="N81" s="2" t="n">
        <f aca="false">AG81+IF(SUMPRODUCT(--($AL81:$AQ81&gt;AN81))+SUMPRODUCT(--($AL81:AM81=AN81))&lt;$AK81,1,0)</f>
        <v>82</v>
      </c>
      <c r="O81" s="2" t="n">
        <f aca="false">AH81+IF(SUMPRODUCT(--($AL81:$AQ81&gt;AO81))+SUMPRODUCT(--($AL81:AN81=AO81))&lt;$AK81,1,0)</f>
        <v>80</v>
      </c>
      <c r="P81" s="2" t="n">
        <f aca="false">AI81+IF(SUMPRODUCT(--($AL81:$AQ81&gt;AP81))+SUMPRODUCT(--($AL81:AO81=AP81))&lt;$AK81,1,0)</f>
        <v>79</v>
      </c>
      <c r="Q81" s="2" t="n">
        <f aca="false">AJ81+IF(SUMPRODUCT(--($AL81:$AQ81&gt;AQ81))+SUMPRODUCT(--($AL81:AP81=AQ81))&lt;$AK81,1,0)</f>
        <v>71</v>
      </c>
      <c r="R81" s="2" t="n">
        <f aca="false">SUM(L81:Q81)</f>
        <v>500</v>
      </c>
      <c r="S81" s="2" t="n">
        <f aca="false">Settings!$B$4*MAX(INDEX(Bases!$M$2:$M$53,B81),INDEX(Bases!$M$2:$M$53,C81))+Settings!$B$5*MIN(INDEX(Bases!$M$2:$M$53,B81),INDEX(Bases!$M$2:$M$53,C81))</f>
        <v>86.3333333333333</v>
      </c>
      <c r="T81" s="2" t="n">
        <f aca="false">Settings!$B$4*MAX(INDEX(Bases!$N$2:$N$53,B81),INDEX(Bases!$N$2:$N$53,C81))+Settings!$B$5*MIN(INDEX(Bases!$N$2:$N$53,B81),INDEX(Bases!$N$2:$N$53,C81))</f>
        <v>67.6666666666667</v>
      </c>
      <c r="U81" s="2" t="n">
        <f aca="false">Settings!$B$4*MAX(INDEX(Bases!$O$2:$O$53,B81),INDEX(Bases!$O$2:$O$53,C81))+Settings!$B$5*MIN(INDEX(Bases!$O$2:$O$53,B81),INDEX(Bases!$O$2:$O$53,C81))</f>
        <v>67</v>
      </c>
      <c r="V81" s="2" t="n">
        <f aca="false">Settings!$B$4*MAX(INDEX(Bases!$P$2:$P$53,B81),INDEX(Bases!$P$2:$P$53,C81))+Settings!$B$5*MIN(INDEX(Bases!$P$2:$P$53,B81),INDEX(Bases!$P$2:$P$53,C81))</f>
        <v>65.6666666666667</v>
      </c>
      <c r="W81" s="2" t="n">
        <f aca="false">Settings!$B$4*MAX(INDEX(Bases!$Q$2:$Q$53,B81),INDEX(Bases!$Q$2:$Q$53,C81))+Settings!$B$5*MIN(INDEX(Bases!$Q$2:$Q$53,B81),INDEX(Bases!$Q$2:$Q$53,C81))</f>
        <v>65</v>
      </c>
      <c r="X81" s="2" t="n">
        <f aca="false">Settings!$B$4*MAX(INDEX(Bases!$R$2:$R$53,B81),INDEX(Bases!$R$2:$R$53,C81))+Settings!$B$5*MIN(INDEX(Bases!$R$2:$R$53,B81),INDEX(Bases!$R$2:$R$53,C81))</f>
        <v>58.3333333333333</v>
      </c>
      <c r="Y81" s="2" t="n">
        <f aca="false">S81*Settings!$B$3/SUM(S81:X81)</f>
        <v>105.284552845528</v>
      </c>
      <c r="Z81" s="2" t="n">
        <f aca="false">T81*Settings!$B$3/SUM(S81:X81)</f>
        <v>82.520325203252</v>
      </c>
      <c r="AA81" s="2" t="n">
        <f aca="false">U81*Settings!$B$3/SUM(S81:X81)</f>
        <v>81.7073170731707</v>
      </c>
      <c r="AB81" s="2" t="n">
        <f aca="false">V81*Settings!$B$3/SUM(S81:X81)</f>
        <v>80.0813008130081</v>
      </c>
      <c r="AC81" s="2" t="n">
        <f aca="false">W81*Settings!$B$3/SUM(S81:X81)</f>
        <v>79.2682926829268</v>
      </c>
      <c r="AD81" s="2" t="n">
        <f aca="false">X81*Settings!$B$3/SUM(S81:X81)</f>
        <v>71.1382113821138</v>
      </c>
      <c r="AE81" s="2" t="n">
        <f aca="false">INT(Y81)</f>
        <v>105</v>
      </c>
      <c r="AF81" s="2" t="n">
        <f aca="false">INT(Z81)</f>
        <v>82</v>
      </c>
      <c r="AG81" s="2" t="n">
        <f aca="false">INT(AA81)</f>
        <v>81</v>
      </c>
      <c r="AH81" s="2" t="n">
        <f aca="false">INT(AB81)</f>
        <v>80</v>
      </c>
      <c r="AI81" s="2" t="n">
        <f aca="false">INT(AC81)</f>
        <v>79</v>
      </c>
      <c r="AJ81" s="2" t="n">
        <f aca="false">INT(AD81)</f>
        <v>71</v>
      </c>
      <c r="AK81" s="2" t="n">
        <f aca="false">Settings!$B$3-SUM(AE81:AJ81)</f>
        <v>2</v>
      </c>
      <c r="AL81" s="2" t="n">
        <f aca="false">ROUND(Y81-AE81,9)</f>
        <v>0.284552846</v>
      </c>
      <c r="AM81" s="2" t="n">
        <f aca="false">ROUND(Z81-AF81,9)</f>
        <v>0.520325203</v>
      </c>
      <c r="AN81" s="2" t="n">
        <f aca="false">ROUND(AA81-AG81,9)</f>
        <v>0.707317073</v>
      </c>
      <c r="AO81" s="2" t="n">
        <f aca="false">ROUND(AB81-AH81,9)</f>
        <v>0.081300813</v>
      </c>
      <c r="AP81" s="2" t="n">
        <f aca="false">ROUND(AC81-AI81,9)</f>
        <v>0.268292683</v>
      </c>
      <c r="AQ81" s="2" t="n">
        <f aca="false">ROUND(AD81-AJ81,9)</f>
        <v>0.138211382</v>
      </c>
    </row>
    <row r="82" customFormat="false" ht="15" hidden="false" customHeight="false" outlineLevel="0" collapsed="false">
      <c r="A82" s="2" t="n">
        <v>81</v>
      </c>
      <c r="B82" s="6" t="n">
        <v>2</v>
      </c>
      <c r="C82" s="6" t="n">
        <v>32</v>
      </c>
      <c r="D82" s="8" t="str">
        <f aca="false">INDEX(Bases!$B$2:$B$53,B82)</f>
        <v>Dunsparce</v>
      </c>
      <c r="E82" s="8" t="str">
        <f aca="false">INDEX(Bases!$B$2:$B$53,C82)</f>
        <v>Spoink</v>
      </c>
      <c r="F82" s="2" t="str">
        <f aca="false">LEFT(D82,ROUNDUP(LEN(D82)/2,0))&amp;LOWER(MID(E82,ROUNDUP(LEN(E82)/2,0)+1,20))</f>
        <v>Dunspink</v>
      </c>
      <c r="G82" s="8" t="str">
        <f aca="false">INDEX(Bases!$C$2:$C$53,B82)</f>
        <v>Normal</v>
      </c>
      <c r="H82" s="8" t="str">
        <f aca="false">IF(INDEX(Bases!$C$2:$C$53,C82)=G82,"",INDEX(Bases!$C$2:$C$53,C82))</f>
        <v>Psychic</v>
      </c>
      <c r="I82" s="8" t="str">
        <f aca="false">IF(INDEX(Bases!$E$2:$E$53,B82)="","",INDEX(Bases!$E$2:$E$53,B82))</f>
        <v/>
      </c>
      <c r="J82" s="8" t="str">
        <f aca="false">IF(INDEX(Bases!$E$2:$E$53,C82)="","",INDEX(Bases!$E$2:$E$53,C82))</f>
        <v/>
      </c>
      <c r="K82" s="5"/>
      <c r="L82" s="2" t="n">
        <f aca="false">AE82+IF(SUMPRODUCT(--($AL82:$AQ82&gt;AL82))&lt;$AK82,1,0)</f>
        <v>103</v>
      </c>
      <c r="M82" s="2" t="n">
        <f aca="false">AF82+IF(SUMPRODUCT(--($AL82:$AQ82&gt;AM82))+SUMPRODUCT(--($AL82:AL82=AM82))&lt;$AK82,1,0)</f>
        <v>65</v>
      </c>
      <c r="N82" s="2" t="n">
        <f aca="false">AG82+IF(SUMPRODUCT(--($AL82:$AQ82&gt;AN82))+SUMPRODUCT(--($AL82:AM82=AN82))&lt;$AK82,1,0)</f>
        <v>68</v>
      </c>
      <c r="O82" s="2" t="n">
        <f aca="false">AH82+IF(SUMPRODUCT(--($AL82:$AQ82&gt;AO82))+SUMPRODUCT(--($AL82:AN82=AO82))&lt;$AK82,1,0)</f>
        <v>91</v>
      </c>
      <c r="P82" s="2" t="n">
        <f aca="false">AI82+IF(SUMPRODUCT(--($AL82:$AQ82&gt;AP82))+SUMPRODUCT(--($AL82:AO82=AP82))&lt;$AK82,1,0)</f>
        <v>100</v>
      </c>
      <c r="Q82" s="2" t="n">
        <f aca="false">AJ82+IF(SUMPRODUCT(--($AL82:$AQ82&gt;AQ82))+SUMPRODUCT(--($AL82:AP82=AQ82))&lt;$AK82,1,0)</f>
        <v>73</v>
      </c>
      <c r="R82" s="2" t="n">
        <f aca="false">SUM(L82:Q82)</f>
        <v>500</v>
      </c>
      <c r="S82" s="2" t="n">
        <f aca="false">Settings!$B$4*MAX(INDEX(Bases!$M$2:$M$53,B82),INDEX(Bases!$M$2:$M$53,C82))+Settings!$B$5*MIN(INDEX(Bases!$M$2:$M$53,B82),INDEX(Bases!$M$2:$M$53,C82))</f>
        <v>88.3333333333333</v>
      </c>
      <c r="T82" s="2" t="n">
        <f aca="false">Settings!$B$4*MAX(INDEX(Bases!$N$2:$N$53,B82),INDEX(Bases!$N$2:$N$53,C82))+Settings!$B$5*MIN(INDEX(Bases!$N$2:$N$53,B82),INDEX(Bases!$N$2:$N$53,C82))</f>
        <v>55.3333333333333</v>
      </c>
      <c r="U82" s="2" t="n">
        <f aca="false">Settings!$B$4*MAX(INDEX(Bases!$O$2:$O$53,B82),INDEX(Bases!$O$2:$O$53,C82))+Settings!$B$5*MIN(INDEX(Bases!$O$2:$O$53,B82),INDEX(Bases!$O$2:$O$53,C82))</f>
        <v>58.6666666666667</v>
      </c>
      <c r="V82" s="2" t="n">
        <f aca="false">Settings!$B$4*MAX(INDEX(Bases!$P$2:$P$53,B82),INDEX(Bases!$P$2:$P$53,C82))+Settings!$B$5*MIN(INDEX(Bases!$P$2:$P$53,B82),INDEX(Bases!$P$2:$P$53,C82))</f>
        <v>77.6666666666667</v>
      </c>
      <c r="W82" s="2" t="n">
        <f aca="false">Settings!$B$4*MAX(INDEX(Bases!$Q$2:$Q$53,B82),INDEX(Bases!$Q$2:$Q$53,C82))+Settings!$B$5*MIN(INDEX(Bases!$Q$2:$Q$53,B82),INDEX(Bases!$Q$2:$Q$53,C82))</f>
        <v>85.6666666666667</v>
      </c>
      <c r="X82" s="2" t="n">
        <f aca="false">Settings!$B$4*MAX(INDEX(Bases!$R$2:$R$53,B82),INDEX(Bases!$R$2:$R$53,C82))+Settings!$B$5*MIN(INDEX(Bases!$R$2:$R$53,B82),INDEX(Bases!$R$2:$R$53,C82))</f>
        <v>63</v>
      </c>
      <c r="Y82" s="2" t="n">
        <f aca="false">S82*Settings!$B$3/SUM(S82:X82)</f>
        <v>103.03265940902</v>
      </c>
      <c r="Z82" s="2" t="n">
        <f aca="false">T82*Settings!$B$3/SUM(S82:X82)</f>
        <v>64.5412130637636</v>
      </c>
      <c r="AA82" s="2" t="n">
        <f aca="false">U82*Settings!$B$3/SUM(S82:X82)</f>
        <v>68.4292379471229</v>
      </c>
      <c r="AB82" s="2" t="n">
        <f aca="false">V82*Settings!$B$3/SUM(S82:X82)</f>
        <v>90.5909797822706</v>
      </c>
      <c r="AC82" s="2" t="n">
        <f aca="false">W82*Settings!$B$3/SUM(S82:X82)</f>
        <v>99.9222395023328</v>
      </c>
      <c r="AD82" s="2" t="n">
        <f aca="false">X82*Settings!$B$3/SUM(S82:X82)</f>
        <v>73.4836702954899</v>
      </c>
      <c r="AE82" s="2" t="n">
        <f aca="false">INT(Y82)</f>
        <v>103</v>
      </c>
      <c r="AF82" s="2" t="n">
        <f aca="false">INT(Z82)</f>
        <v>64</v>
      </c>
      <c r="AG82" s="2" t="n">
        <f aca="false">INT(AA82)</f>
        <v>68</v>
      </c>
      <c r="AH82" s="2" t="n">
        <f aca="false">INT(AB82)</f>
        <v>90</v>
      </c>
      <c r="AI82" s="2" t="n">
        <f aca="false">INT(AC82)</f>
        <v>99</v>
      </c>
      <c r="AJ82" s="2" t="n">
        <f aca="false">INT(AD82)</f>
        <v>73</v>
      </c>
      <c r="AK82" s="2" t="n">
        <f aca="false">Settings!$B$3-SUM(AE82:AJ82)</f>
        <v>3</v>
      </c>
      <c r="AL82" s="2" t="n">
        <f aca="false">ROUND(Y82-AE82,9)</f>
        <v>0.032659409</v>
      </c>
      <c r="AM82" s="2" t="n">
        <f aca="false">ROUND(Z82-AF82,9)</f>
        <v>0.541213064</v>
      </c>
      <c r="AN82" s="2" t="n">
        <f aca="false">ROUND(AA82-AG82,9)</f>
        <v>0.429237947</v>
      </c>
      <c r="AO82" s="2" t="n">
        <f aca="false">ROUND(AB82-AH82,9)</f>
        <v>0.590979782</v>
      </c>
      <c r="AP82" s="2" t="n">
        <f aca="false">ROUND(AC82-AI82,9)</f>
        <v>0.922239502</v>
      </c>
      <c r="AQ82" s="2" t="n">
        <f aca="false">ROUND(AD82-AJ82,9)</f>
        <v>0.483670295</v>
      </c>
    </row>
    <row r="83" customFormat="false" ht="15" hidden="false" customHeight="false" outlineLevel="0" collapsed="false">
      <c r="A83" s="2" t="n">
        <v>82</v>
      </c>
      <c r="B83" s="6" t="n">
        <v>2</v>
      </c>
      <c r="C83" s="6" t="n">
        <v>33</v>
      </c>
      <c r="D83" s="8" t="str">
        <f aca="false">INDEX(Bases!$B$2:$B$53,B83)</f>
        <v>Dunsparce</v>
      </c>
      <c r="E83" s="8" t="str">
        <f aca="false">INDEX(Bases!$B$2:$B$53,C83)</f>
        <v>Jirachi</v>
      </c>
      <c r="F83" s="2" t="str">
        <f aca="false">LEFT(D83,ROUNDUP(LEN(D83)/2,0))&amp;LOWER(MID(E83,ROUNDUP(LEN(E83)/2,0)+1,20))</f>
        <v>Dunspchi</v>
      </c>
      <c r="G83" s="8" t="str">
        <f aca="false">INDEX(Bases!$C$2:$C$53,B83)</f>
        <v>Normal</v>
      </c>
      <c r="H83" s="8" t="str">
        <f aca="false">IF(INDEX(Bases!$C$2:$C$53,C83)=G83,"",INDEX(Bases!$C$2:$C$53,C83))</f>
        <v>Psychic</v>
      </c>
      <c r="I83" s="8" t="str">
        <f aca="false">IF(INDEX(Bases!$E$2:$E$53,B83)="","",INDEX(Bases!$E$2:$E$53,B83))</f>
        <v/>
      </c>
      <c r="J83" s="8" t="str">
        <f aca="false">IF(INDEX(Bases!$E$2:$E$53,C83)="","",INDEX(Bases!$E$2:$E$53,C83))</f>
        <v/>
      </c>
      <c r="K83" s="5"/>
      <c r="L83" s="2" t="n">
        <f aca="false">AE83+IF(SUMPRODUCT(--($AL83:$AQ83&gt;AL83))&lt;$AK83,1,0)</f>
        <v>105</v>
      </c>
      <c r="M83" s="2" t="n">
        <f aca="false">AF83+IF(SUMPRODUCT(--($AL83:$AQ83&gt;AM83))+SUMPRODUCT(--($AL83:AL83=AM83))&lt;$AK83,1,0)</f>
        <v>83</v>
      </c>
      <c r="N83" s="2" t="n">
        <f aca="false">AG83+IF(SUMPRODUCT(--($AL83:$AQ83&gt;AN83))+SUMPRODUCT(--($AL83:AM83=AN83))&lt;$AK83,1,0)</f>
        <v>82</v>
      </c>
      <c r="O83" s="2" t="n">
        <f aca="false">AH83+IF(SUMPRODUCT(--($AL83:$AQ83&gt;AO83))+SUMPRODUCT(--($AL83:AN83=AO83))&lt;$AK83,1,0)</f>
        <v>80</v>
      </c>
      <c r="P83" s="2" t="n">
        <f aca="false">AI83+IF(SUMPRODUCT(--($AL83:$AQ83&gt;AP83))+SUMPRODUCT(--($AL83:AO83=AP83))&lt;$AK83,1,0)</f>
        <v>79</v>
      </c>
      <c r="Q83" s="2" t="n">
        <f aca="false">AJ83+IF(SUMPRODUCT(--($AL83:$AQ83&gt;AQ83))+SUMPRODUCT(--($AL83:AP83=AQ83))&lt;$AK83,1,0)</f>
        <v>71</v>
      </c>
      <c r="R83" s="2" t="n">
        <f aca="false">SUM(L83:Q83)</f>
        <v>500</v>
      </c>
      <c r="S83" s="2" t="n">
        <f aca="false">Settings!$B$4*MAX(INDEX(Bases!$M$2:$M$53,B83),INDEX(Bases!$M$2:$M$53,C83))+Settings!$B$5*MIN(INDEX(Bases!$M$2:$M$53,B83),INDEX(Bases!$M$2:$M$53,C83))</f>
        <v>86.3333333333333</v>
      </c>
      <c r="T83" s="2" t="n">
        <f aca="false">Settings!$B$4*MAX(INDEX(Bases!$N$2:$N$53,B83),INDEX(Bases!$N$2:$N$53,C83))+Settings!$B$5*MIN(INDEX(Bases!$N$2:$N$53,B83),INDEX(Bases!$N$2:$N$53,C83))</f>
        <v>67.6666666666667</v>
      </c>
      <c r="U83" s="2" t="n">
        <f aca="false">Settings!$B$4*MAX(INDEX(Bases!$O$2:$O$53,B83),INDEX(Bases!$O$2:$O$53,C83))+Settings!$B$5*MIN(INDEX(Bases!$O$2:$O$53,B83),INDEX(Bases!$O$2:$O$53,C83))</f>
        <v>67</v>
      </c>
      <c r="V83" s="2" t="n">
        <f aca="false">Settings!$B$4*MAX(INDEX(Bases!$P$2:$P$53,B83),INDEX(Bases!$P$2:$P$53,C83))+Settings!$B$5*MIN(INDEX(Bases!$P$2:$P$53,B83),INDEX(Bases!$P$2:$P$53,C83))</f>
        <v>65.6666666666667</v>
      </c>
      <c r="W83" s="2" t="n">
        <f aca="false">Settings!$B$4*MAX(INDEX(Bases!$Q$2:$Q$53,B83),INDEX(Bases!$Q$2:$Q$53,C83))+Settings!$B$5*MIN(INDEX(Bases!$Q$2:$Q$53,B83),INDEX(Bases!$Q$2:$Q$53,C83))</f>
        <v>65</v>
      </c>
      <c r="X83" s="2" t="n">
        <f aca="false">Settings!$B$4*MAX(INDEX(Bases!$R$2:$R$53,B83),INDEX(Bases!$R$2:$R$53,C83))+Settings!$B$5*MIN(INDEX(Bases!$R$2:$R$53,B83),INDEX(Bases!$R$2:$R$53,C83))</f>
        <v>58.3333333333333</v>
      </c>
      <c r="Y83" s="2" t="n">
        <f aca="false">S83*Settings!$B$3/SUM(S83:X83)</f>
        <v>105.284552845528</v>
      </c>
      <c r="Z83" s="2" t="n">
        <f aca="false">T83*Settings!$B$3/SUM(S83:X83)</f>
        <v>82.520325203252</v>
      </c>
      <c r="AA83" s="2" t="n">
        <f aca="false">U83*Settings!$B$3/SUM(S83:X83)</f>
        <v>81.7073170731707</v>
      </c>
      <c r="AB83" s="2" t="n">
        <f aca="false">V83*Settings!$B$3/SUM(S83:X83)</f>
        <v>80.0813008130081</v>
      </c>
      <c r="AC83" s="2" t="n">
        <f aca="false">W83*Settings!$B$3/SUM(S83:X83)</f>
        <v>79.2682926829268</v>
      </c>
      <c r="AD83" s="2" t="n">
        <f aca="false">X83*Settings!$B$3/SUM(S83:X83)</f>
        <v>71.1382113821138</v>
      </c>
      <c r="AE83" s="2" t="n">
        <f aca="false">INT(Y83)</f>
        <v>105</v>
      </c>
      <c r="AF83" s="2" t="n">
        <f aca="false">INT(Z83)</f>
        <v>82</v>
      </c>
      <c r="AG83" s="2" t="n">
        <f aca="false">INT(AA83)</f>
        <v>81</v>
      </c>
      <c r="AH83" s="2" t="n">
        <f aca="false">INT(AB83)</f>
        <v>80</v>
      </c>
      <c r="AI83" s="2" t="n">
        <f aca="false">INT(AC83)</f>
        <v>79</v>
      </c>
      <c r="AJ83" s="2" t="n">
        <f aca="false">INT(AD83)</f>
        <v>71</v>
      </c>
      <c r="AK83" s="2" t="n">
        <f aca="false">Settings!$B$3-SUM(AE83:AJ83)</f>
        <v>2</v>
      </c>
      <c r="AL83" s="2" t="n">
        <f aca="false">ROUND(Y83-AE83,9)</f>
        <v>0.284552846</v>
      </c>
      <c r="AM83" s="2" t="n">
        <f aca="false">ROUND(Z83-AF83,9)</f>
        <v>0.520325203</v>
      </c>
      <c r="AN83" s="2" t="n">
        <f aca="false">ROUND(AA83-AG83,9)</f>
        <v>0.707317073</v>
      </c>
      <c r="AO83" s="2" t="n">
        <f aca="false">ROUND(AB83-AH83,9)</f>
        <v>0.081300813</v>
      </c>
      <c r="AP83" s="2" t="n">
        <f aca="false">ROUND(AC83-AI83,9)</f>
        <v>0.268292683</v>
      </c>
      <c r="AQ83" s="2" t="n">
        <f aca="false">ROUND(AD83-AJ83,9)</f>
        <v>0.138211382</v>
      </c>
    </row>
    <row r="84" customFormat="false" ht="15" hidden="false" customHeight="false" outlineLevel="0" collapsed="false">
      <c r="A84" s="2" t="n">
        <v>83</v>
      </c>
      <c r="B84" s="6" t="n">
        <v>2</v>
      </c>
      <c r="C84" s="6" t="n">
        <v>34</v>
      </c>
      <c r="D84" s="8" t="str">
        <f aca="false">INDEX(Bases!$B$2:$B$53,B84)</f>
        <v>Dunsparce</v>
      </c>
      <c r="E84" s="8" t="str">
        <f aca="false">INDEX(Bases!$B$2:$B$53,C84)</f>
        <v>Paras</v>
      </c>
      <c r="F84" s="2" t="str">
        <f aca="false">LEFT(D84,ROUNDUP(LEN(D84)/2,0))&amp;LOWER(MID(E84,ROUNDUP(LEN(E84)/2,0)+1,20))</f>
        <v>Dunspas</v>
      </c>
      <c r="G84" s="8" t="str">
        <f aca="false">INDEX(Bases!$C$2:$C$53,B84)</f>
        <v>Normal</v>
      </c>
      <c r="H84" s="8" t="str">
        <f aca="false">IF(INDEX(Bases!$C$2:$C$53,C84)=G84,"",INDEX(Bases!$C$2:$C$53,C84))</f>
        <v>Bug</v>
      </c>
      <c r="I84" s="8" t="str">
        <f aca="false">IF(INDEX(Bases!$E$2:$E$53,B84)="","",INDEX(Bases!$E$2:$E$53,B84))</f>
        <v/>
      </c>
      <c r="J84" s="8" t="str">
        <f aca="false">IF(INDEX(Bases!$E$2:$E$53,C84)="","",INDEX(Bases!$E$2:$E$53,C84))</f>
        <v/>
      </c>
      <c r="K84" s="5"/>
      <c r="L84" s="2" t="n">
        <f aca="false">AE84+IF(SUMPRODUCT(--($AL84:$AQ84&gt;AL84))&lt;$AK84,1,0)</f>
        <v>96</v>
      </c>
      <c r="M84" s="2" t="n">
        <f aca="false">AF84+IF(SUMPRODUCT(--($AL84:$AQ84&gt;AM84))+SUMPRODUCT(--($AL84:AL84=AM84))&lt;$AK84,1,0)</f>
        <v>106</v>
      </c>
      <c r="N84" s="2" t="n">
        <f aca="false">AG84+IF(SUMPRODUCT(--($AL84:$AQ84&gt;AN84))+SUMPRODUCT(--($AL84:AM84=AN84))&lt;$AK84,1,0)</f>
        <v>88</v>
      </c>
      <c r="O84" s="2" t="n">
        <f aca="false">AH84+IF(SUMPRODUCT(--($AL84:$AQ84&gt;AO84))+SUMPRODUCT(--($AL84:AN84=AO84))&lt;$AK84,1,0)</f>
        <v>75</v>
      </c>
      <c r="P84" s="2" t="n">
        <f aca="false">AI84+IF(SUMPRODUCT(--($AL84:$AQ84&gt;AP84))+SUMPRODUCT(--($AL84:AO84=AP84))&lt;$AK84,1,0)</f>
        <v>87</v>
      </c>
      <c r="Q84" s="2" t="n">
        <f aca="false">AJ84+IF(SUMPRODUCT(--($AL84:$AQ84&gt;AQ84))+SUMPRODUCT(--($AL84:AP84=AQ84))&lt;$AK84,1,0)</f>
        <v>48</v>
      </c>
      <c r="R84" s="2" t="n">
        <f aca="false">SUM(L84:Q84)</f>
        <v>500</v>
      </c>
      <c r="S84" s="2" t="n">
        <f aca="false">Settings!$B$4*MAX(INDEX(Bases!$M$2:$M$53,B84),INDEX(Bases!$M$2:$M$53,C84))+Settings!$B$5*MIN(INDEX(Bases!$M$2:$M$53,B84),INDEX(Bases!$M$2:$M$53,C84))</f>
        <v>80.3333333333333</v>
      </c>
      <c r="T84" s="2" t="n">
        <f aca="false">Settings!$B$4*MAX(INDEX(Bases!$N$2:$N$53,B84),INDEX(Bases!$N$2:$N$53,C84))+Settings!$B$5*MIN(INDEX(Bases!$N$2:$N$53,B84),INDEX(Bases!$N$2:$N$53,C84))</f>
        <v>88.6666666666667</v>
      </c>
      <c r="U84" s="2" t="n">
        <f aca="false">Settings!$B$4*MAX(INDEX(Bases!$O$2:$O$53,B84),INDEX(Bases!$O$2:$O$53,C84))+Settings!$B$5*MIN(INDEX(Bases!$O$2:$O$53,B84),INDEX(Bases!$O$2:$O$53,C84))</f>
        <v>73.6666666666667</v>
      </c>
      <c r="V84" s="2" t="n">
        <f aca="false">Settings!$B$4*MAX(INDEX(Bases!$P$2:$P$53,B84),INDEX(Bases!$P$2:$P$53,C84))+Settings!$B$5*MIN(INDEX(Bases!$P$2:$P$53,B84),INDEX(Bases!$P$2:$P$53,C84))</f>
        <v>63</v>
      </c>
      <c r="W84" s="2" t="n">
        <f aca="false">Settings!$B$4*MAX(INDEX(Bases!$Q$2:$Q$53,B84),INDEX(Bases!$Q$2:$Q$53,C84))+Settings!$B$5*MIN(INDEX(Bases!$Q$2:$Q$53,B84),INDEX(Bases!$Q$2:$Q$53,C84))</f>
        <v>72.3333333333333</v>
      </c>
      <c r="X84" s="2" t="n">
        <f aca="false">Settings!$B$4*MAX(INDEX(Bases!$R$2:$R$53,B84),INDEX(Bases!$R$2:$R$53,C84))+Settings!$B$5*MIN(INDEX(Bases!$R$2:$R$53,B84),INDEX(Bases!$R$2:$R$53,C84))</f>
        <v>40.3333333333333</v>
      </c>
      <c r="Y84" s="2" t="n">
        <f aca="false">S84*Settings!$B$3/SUM(S84:X84)</f>
        <v>96.0159362549801</v>
      </c>
      <c r="Z84" s="2" t="n">
        <f aca="false">T84*Settings!$B$3/SUM(S84:X84)</f>
        <v>105.97609561753</v>
      </c>
      <c r="AA84" s="2" t="n">
        <f aca="false">U84*Settings!$B$3/SUM(S84:X84)</f>
        <v>88.0478087649402</v>
      </c>
      <c r="AB84" s="2" t="n">
        <f aca="false">V84*Settings!$B$3/SUM(S84:X84)</f>
        <v>75.2988047808765</v>
      </c>
      <c r="AC84" s="2" t="n">
        <f aca="false">W84*Settings!$B$3/SUM(S84:X84)</f>
        <v>86.4541832669323</v>
      </c>
      <c r="AD84" s="2" t="n">
        <f aca="false">X84*Settings!$B$3/SUM(S84:X84)</f>
        <v>48.207171314741</v>
      </c>
      <c r="AE84" s="2" t="n">
        <f aca="false">INT(Y84)</f>
        <v>96</v>
      </c>
      <c r="AF84" s="2" t="n">
        <f aca="false">INT(Z84)</f>
        <v>105</v>
      </c>
      <c r="AG84" s="2" t="n">
        <f aca="false">INT(AA84)</f>
        <v>88</v>
      </c>
      <c r="AH84" s="2" t="n">
        <f aca="false">INT(AB84)</f>
        <v>75</v>
      </c>
      <c r="AI84" s="2" t="n">
        <f aca="false">INT(AC84)</f>
        <v>86</v>
      </c>
      <c r="AJ84" s="2" t="n">
        <f aca="false">INT(AD84)</f>
        <v>48</v>
      </c>
      <c r="AK84" s="2" t="n">
        <f aca="false">Settings!$B$3-SUM(AE84:AJ84)</f>
        <v>2</v>
      </c>
      <c r="AL84" s="2" t="n">
        <f aca="false">ROUND(Y84-AE84,9)</f>
        <v>0.015936255</v>
      </c>
      <c r="AM84" s="2" t="n">
        <f aca="false">ROUND(Z84-AF84,9)</f>
        <v>0.976095618</v>
      </c>
      <c r="AN84" s="2" t="n">
        <f aca="false">ROUND(AA84-AG84,9)</f>
        <v>0.047808765</v>
      </c>
      <c r="AO84" s="2" t="n">
        <f aca="false">ROUND(AB84-AH84,9)</f>
        <v>0.298804781</v>
      </c>
      <c r="AP84" s="2" t="n">
        <f aca="false">ROUND(AC84-AI84,9)</f>
        <v>0.454183267</v>
      </c>
      <c r="AQ84" s="2" t="n">
        <f aca="false">ROUND(AD84-AJ84,9)</f>
        <v>0.207171315</v>
      </c>
    </row>
    <row r="85" customFormat="false" ht="15" hidden="false" customHeight="false" outlineLevel="0" collapsed="false">
      <c r="A85" s="2" t="n">
        <v>84</v>
      </c>
      <c r="B85" s="6" t="n">
        <v>2</v>
      </c>
      <c r="C85" s="6" t="n">
        <v>35</v>
      </c>
      <c r="D85" s="8" t="str">
        <f aca="false">INDEX(Bases!$B$2:$B$53,B85)</f>
        <v>Dunsparce</v>
      </c>
      <c r="E85" s="8" t="str">
        <f aca="false">INDEX(Bases!$B$2:$B$53,C85)</f>
        <v>Pineco</v>
      </c>
      <c r="F85" s="2" t="str">
        <f aca="false">LEFT(D85,ROUNDUP(LEN(D85)/2,0))&amp;LOWER(MID(E85,ROUNDUP(LEN(E85)/2,0)+1,20))</f>
        <v>Dunspeco</v>
      </c>
      <c r="G85" s="8" t="str">
        <f aca="false">INDEX(Bases!$C$2:$C$53,B85)</f>
        <v>Normal</v>
      </c>
      <c r="H85" s="8" t="str">
        <f aca="false">IF(INDEX(Bases!$C$2:$C$53,C85)=G85,"",INDEX(Bases!$C$2:$C$53,C85))</f>
        <v>Bug</v>
      </c>
      <c r="I85" s="8" t="str">
        <f aca="false">IF(INDEX(Bases!$E$2:$E$53,B85)="","",INDEX(Bases!$E$2:$E$53,B85))</f>
        <v/>
      </c>
      <c r="J85" s="8" t="str">
        <f aca="false">IF(INDEX(Bases!$E$2:$E$53,C85)="","",INDEX(Bases!$E$2:$E$53,C85))</f>
        <v/>
      </c>
      <c r="K85" s="5"/>
      <c r="L85" s="2" t="n">
        <f aca="false">AE85+IF(SUMPRODUCT(--($AL85:$AQ85&gt;AL85))&lt;$AK85,1,0)</f>
        <v>102</v>
      </c>
      <c r="M85" s="2" t="n">
        <f aca="false">AF85+IF(SUMPRODUCT(--($AL85:$AQ85&gt;AM85))+SUMPRODUCT(--($AL85:AL85=AM85))&lt;$AK85,1,0)</f>
        <v>97</v>
      </c>
      <c r="N85" s="2" t="n">
        <f aca="false">AG85+IF(SUMPRODUCT(--($AL85:$AQ85&gt;AN85))+SUMPRODUCT(--($AL85:AM85=AN85))&lt;$AK85,1,0)</f>
        <v>123</v>
      </c>
      <c r="O85" s="2" t="n">
        <f aca="false">AH85+IF(SUMPRODUCT(--($AL85:$AQ85&gt;AO85))+SUMPRODUCT(--($AL85:AN85=AO85))&lt;$AK85,1,0)</f>
        <v>68</v>
      </c>
      <c r="P85" s="2" t="n">
        <f aca="false">AI85+IF(SUMPRODUCT(--($AL85:$AQ85&gt;AP85))+SUMPRODUCT(--($AL85:AO85=AP85))&lt;$AK85,1,0)</f>
        <v>68</v>
      </c>
      <c r="Q85" s="2" t="n">
        <f aca="false">AJ85+IF(SUMPRODUCT(--($AL85:$AQ85&gt;AQ85))+SUMPRODUCT(--($AL85:AP85=AQ85))&lt;$AK85,1,0)</f>
        <v>42</v>
      </c>
      <c r="R85" s="2" t="n">
        <f aca="false">SUM(L85:Q85)</f>
        <v>500</v>
      </c>
      <c r="S85" s="2" t="n">
        <f aca="false">Settings!$B$4*MAX(INDEX(Bases!$M$2:$M$53,B85),INDEX(Bases!$M$2:$M$53,C85))+Settings!$B$5*MIN(INDEX(Bases!$M$2:$M$53,B85),INDEX(Bases!$M$2:$M$53,C85))</f>
        <v>87</v>
      </c>
      <c r="T85" s="2" t="n">
        <f aca="false">Settings!$B$4*MAX(INDEX(Bases!$N$2:$N$53,B85),INDEX(Bases!$N$2:$N$53,C85))+Settings!$B$5*MIN(INDEX(Bases!$N$2:$N$53,B85),INDEX(Bases!$N$2:$N$53,C85))</f>
        <v>82.6666666666667</v>
      </c>
      <c r="U85" s="2" t="n">
        <f aca="false">Settings!$B$4*MAX(INDEX(Bases!$O$2:$O$53,B85),INDEX(Bases!$O$2:$O$53,C85))+Settings!$B$5*MIN(INDEX(Bases!$O$2:$O$53,B85),INDEX(Bases!$O$2:$O$53,C85))</f>
        <v>105</v>
      </c>
      <c r="V85" s="2" t="n">
        <f aca="false">Settings!$B$4*MAX(INDEX(Bases!$P$2:$P$53,B85),INDEX(Bases!$P$2:$P$53,C85))+Settings!$B$5*MIN(INDEX(Bases!$P$2:$P$53,B85),INDEX(Bases!$P$2:$P$53,C85))</f>
        <v>58</v>
      </c>
      <c r="W85" s="2" t="n">
        <f aca="false">Settings!$B$4*MAX(INDEX(Bases!$Q$2:$Q$53,B85),INDEX(Bases!$Q$2:$Q$53,C85))+Settings!$B$5*MIN(INDEX(Bases!$Q$2:$Q$53,B85),INDEX(Bases!$Q$2:$Q$53,C85))</f>
        <v>58</v>
      </c>
      <c r="X85" s="2" t="n">
        <f aca="false">Settings!$B$4*MAX(INDEX(Bases!$R$2:$R$53,B85),INDEX(Bases!$R$2:$R$53,C85))+Settings!$B$5*MIN(INDEX(Bases!$R$2:$R$53,B85),INDEX(Bases!$R$2:$R$53,C85))</f>
        <v>35.6666666666667</v>
      </c>
      <c r="Y85" s="2" t="n">
        <f aca="false">S85*Settings!$B$3/SUM(S85:X85)</f>
        <v>102.032838154808</v>
      </c>
      <c r="Z85" s="2" t="n">
        <f aca="false">T85*Settings!$B$3/SUM(S85:X85)</f>
        <v>96.9507427677873</v>
      </c>
      <c r="AA85" s="2" t="n">
        <f aca="false">U85*Settings!$B$3/SUM(S85:X85)</f>
        <v>123.143080531665</v>
      </c>
      <c r="AB85" s="2" t="n">
        <f aca="false">V85*Settings!$B$3/SUM(S85:X85)</f>
        <v>68.0218921032056</v>
      </c>
      <c r="AC85" s="2" t="n">
        <f aca="false">W85*Settings!$B$3/SUM(S85:X85)</f>
        <v>68.0218921032056</v>
      </c>
      <c r="AD85" s="2" t="n">
        <f aca="false">X85*Settings!$B$3/SUM(S85:X85)</f>
        <v>41.8295543393276</v>
      </c>
      <c r="AE85" s="2" t="n">
        <f aca="false">INT(Y85)</f>
        <v>102</v>
      </c>
      <c r="AF85" s="2" t="n">
        <f aca="false">INT(Z85)</f>
        <v>96</v>
      </c>
      <c r="AG85" s="2" t="n">
        <f aca="false">INT(AA85)</f>
        <v>123</v>
      </c>
      <c r="AH85" s="2" t="n">
        <f aca="false">INT(AB85)</f>
        <v>68</v>
      </c>
      <c r="AI85" s="2" t="n">
        <f aca="false">INT(AC85)</f>
        <v>68</v>
      </c>
      <c r="AJ85" s="2" t="n">
        <f aca="false">INT(AD85)</f>
        <v>41</v>
      </c>
      <c r="AK85" s="2" t="n">
        <f aca="false">Settings!$B$3-SUM(AE85:AJ85)</f>
        <v>2</v>
      </c>
      <c r="AL85" s="2" t="n">
        <f aca="false">ROUND(Y85-AE85,9)</f>
        <v>0.032838155</v>
      </c>
      <c r="AM85" s="2" t="n">
        <f aca="false">ROUND(Z85-AF85,9)</f>
        <v>0.950742768</v>
      </c>
      <c r="AN85" s="2" t="n">
        <f aca="false">ROUND(AA85-AG85,9)</f>
        <v>0.143080532</v>
      </c>
      <c r="AO85" s="2" t="n">
        <f aca="false">ROUND(AB85-AH85,9)</f>
        <v>0.021892103</v>
      </c>
      <c r="AP85" s="2" t="n">
        <f aca="false">ROUND(AC85-AI85,9)</f>
        <v>0.021892103</v>
      </c>
      <c r="AQ85" s="2" t="n">
        <f aca="false">ROUND(AD85-AJ85,9)</f>
        <v>0.829554339</v>
      </c>
    </row>
    <row r="86" customFormat="false" ht="15" hidden="false" customHeight="false" outlineLevel="0" collapsed="false">
      <c r="A86" s="2" t="n">
        <v>85</v>
      </c>
      <c r="B86" s="6" t="n">
        <v>2</v>
      </c>
      <c r="C86" s="6" t="n">
        <v>36</v>
      </c>
      <c r="D86" s="8" t="str">
        <f aca="false">INDEX(Bases!$B$2:$B$53,B86)</f>
        <v>Dunsparce</v>
      </c>
      <c r="E86" s="8" t="str">
        <f aca="false">INDEX(Bases!$B$2:$B$53,C86)</f>
        <v>Wurmple</v>
      </c>
      <c r="F86" s="2" t="str">
        <f aca="false">LEFT(D86,ROUNDUP(LEN(D86)/2,0))&amp;LOWER(MID(E86,ROUNDUP(LEN(E86)/2,0)+1,20))</f>
        <v>Dunspple</v>
      </c>
      <c r="G86" s="8" t="str">
        <f aca="false">INDEX(Bases!$C$2:$C$53,B86)</f>
        <v>Normal</v>
      </c>
      <c r="H86" s="8" t="str">
        <f aca="false">IF(INDEX(Bases!$C$2:$C$53,C86)=G86,"",INDEX(Bases!$C$2:$C$53,C86))</f>
        <v>Bug</v>
      </c>
      <c r="I86" s="8" t="str">
        <f aca="false">IF(INDEX(Bases!$E$2:$E$53,B86)="","",INDEX(Bases!$E$2:$E$53,B86))</f>
        <v/>
      </c>
      <c r="J86" s="8" t="str">
        <f aca="false">IF(INDEX(Bases!$E$2:$E$53,C86)="","",INDEX(Bases!$E$2:$E$53,C86))</f>
        <v/>
      </c>
      <c r="K86" s="5"/>
      <c r="L86" s="2" t="n">
        <f aca="false">AE86+IF(SUMPRODUCT(--($AL86:$AQ86&gt;AL86))&lt;$AK86,1,0)</f>
        <v>116</v>
      </c>
      <c r="M86" s="2" t="n">
        <f aca="false">AF86+IF(SUMPRODUCT(--($AL86:$AQ86&gt;AM86))+SUMPRODUCT(--($AL86:AL86=AM86))&lt;$AK86,1,0)</f>
        <v>102</v>
      </c>
      <c r="N86" s="2" t="n">
        <f aca="false">AG86+IF(SUMPRODUCT(--($AL86:$AQ86&gt;AN86))+SUMPRODUCT(--($AL86:AM86=AN86))&lt;$AK86,1,0)</f>
        <v>86</v>
      </c>
      <c r="O86" s="2" t="n">
        <f aca="false">AH86+IF(SUMPRODUCT(--($AL86:$AQ86&gt;AO86))+SUMPRODUCT(--($AL86:AN86=AO86))&lt;$AK86,1,0)</f>
        <v>68</v>
      </c>
      <c r="P86" s="2" t="n">
        <f aca="false">AI86+IF(SUMPRODUCT(--($AL86:$AQ86&gt;AP86))+SUMPRODUCT(--($AL86:AO86=AP86))&lt;$AK86,1,0)</f>
        <v>76</v>
      </c>
      <c r="Q86" s="2" t="n">
        <f aca="false">AJ86+IF(SUMPRODUCT(--($AL86:$AQ86&gt;AQ86))+SUMPRODUCT(--($AL86:AP86=AQ86))&lt;$AK86,1,0)</f>
        <v>52</v>
      </c>
      <c r="R86" s="2" t="n">
        <f aca="false">SUM(L86:Q86)</f>
        <v>500</v>
      </c>
      <c r="S86" s="2" t="n">
        <f aca="false">Settings!$B$4*MAX(INDEX(Bases!$M$2:$M$53,B86),INDEX(Bases!$M$2:$M$53,C86))+Settings!$B$5*MIN(INDEX(Bases!$M$2:$M$53,B86),INDEX(Bases!$M$2:$M$53,C86))</f>
        <v>94.6666666666667</v>
      </c>
      <c r="T86" s="2" t="n">
        <f aca="false">Settings!$B$4*MAX(INDEX(Bases!$N$2:$N$53,B86),INDEX(Bases!$N$2:$N$53,C86))+Settings!$B$5*MIN(INDEX(Bases!$N$2:$N$53,B86),INDEX(Bases!$N$2:$N$53,C86))</f>
        <v>84</v>
      </c>
      <c r="U86" s="2" t="n">
        <f aca="false">Settings!$B$4*MAX(INDEX(Bases!$O$2:$O$53,B86),INDEX(Bases!$O$2:$O$53,C86))+Settings!$B$5*MIN(INDEX(Bases!$O$2:$O$53,B86),INDEX(Bases!$O$2:$O$53,C86))</f>
        <v>70.3333333333333</v>
      </c>
      <c r="V86" s="2" t="n">
        <f aca="false">Settings!$B$4*MAX(INDEX(Bases!$P$2:$P$53,B86),INDEX(Bases!$P$2:$P$53,C86))+Settings!$B$5*MIN(INDEX(Bases!$P$2:$P$53,B86),INDEX(Bases!$P$2:$P$53,C86))</f>
        <v>55.6666666666667</v>
      </c>
      <c r="W86" s="2" t="n">
        <f aca="false">Settings!$B$4*MAX(INDEX(Bases!$Q$2:$Q$53,B86),INDEX(Bases!$Q$2:$Q$53,C86))+Settings!$B$5*MIN(INDEX(Bases!$Q$2:$Q$53,B86),INDEX(Bases!$Q$2:$Q$53,C86))</f>
        <v>62.6666666666667</v>
      </c>
      <c r="X86" s="2" t="n">
        <f aca="false">Settings!$B$4*MAX(INDEX(Bases!$R$2:$R$53,B86),INDEX(Bases!$R$2:$R$53,C86))+Settings!$B$5*MIN(INDEX(Bases!$R$2:$R$53,B86),INDEX(Bases!$R$2:$R$53,C86))</f>
        <v>42.3333333333333</v>
      </c>
      <c r="Y86" s="2" t="n">
        <f aca="false">S86*Settings!$B$3/SUM(S86:X86)</f>
        <v>115.541090317331</v>
      </c>
      <c r="Z86" s="2" t="n">
        <f aca="false">T86*Settings!$B$3/SUM(S86:X86)</f>
        <v>102.522375915378</v>
      </c>
      <c r="AA86" s="2" t="n">
        <f aca="false">U86*Settings!$B$3/SUM(S86:X86)</f>
        <v>85.8421480878763</v>
      </c>
      <c r="AB86" s="2" t="n">
        <f aca="false">V86*Settings!$B$3/SUM(S86:X86)</f>
        <v>67.9414157851912</v>
      </c>
      <c r="AC86" s="2" t="n">
        <f aca="false">W86*Settings!$B$3/SUM(S86:X86)</f>
        <v>76.4849471114728</v>
      </c>
      <c r="AD86" s="2" t="n">
        <f aca="false">X86*Settings!$B$3/SUM(S86:X86)</f>
        <v>51.6680227827502</v>
      </c>
      <c r="AE86" s="2" t="n">
        <f aca="false">INT(Y86)</f>
        <v>115</v>
      </c>
      <c r="AF86" s="2" t="n">
        <f aca="false">INT(Z86)</f>
        <v>102</v>
      </c>
      <c r="AG86" s="2" t="n">
        <f aca="false">INT(AA86)</f>
        <v>85</v>
      </c>
      <c r="AH86" s="2" t="n">
        <f aca="false">INT(AB86)</f>
        <v>67</v>
      </c>
      <c r="AI86" s="2" t="n">
        <f aca="false">INT(AC86)</f>
        <v>76</v>
      </c>
      <c r="AJ86" s="2" t="n">
        <f aca="false">INT(AD86)</f>
        <v>51</v>
      </c>
      <c r="AK86" s="2" t="n">
        <f aca="false">Settings!$B$3-SUM(AE86:AJ86)</f>
        <v>4</v>
      </c>
      <c r="AL86" s="2" t="n">
        <f aca="false">ROUND(Y86-AE86,9)</f>
        <v>0.541090317</v>
      </c>
      <c r="AM86" s="2" t="n">
        <f aca="false">ROUND(Z86-AF86,9)</f>
        <v>0.522375915</v>
      </c>
      <c r="AN86" s="2" t="n">
        <f aca="false">ROUND(AA86-AG86,9)</f>
        <v>0.842148088</v>
      </c>
      <c r="AO86" s="2" t="n">
        <f aca="false">ROUND(AB86-AH86,9)</f>
        <v>0.941415785</v>
      </c>
      <c r="AP86" s="2" t="n">
        <f aca="false">ROUND(AC86-AI86,9)</f>
        <v>0.484947111</v>
      </c>
      <c r="AQ86" s="2" t="n">
        <f aca="false">ROUND(AD86-AJ86,9)</f>
        <v>0.668022783</v>
      </c>
    </row>
    <row r="87" customFormat="false" ht="15" hidden="false" customHeight="false" outlineLevel="0" collapsed="false">
      <c r="A87" s="2" t="n">
        <v>86</v>
      </c>
      <c r="B87" s="6" t="n">
        <v>2</v>
      </c>
      <c r="C87" s="6" t="n">
        <v>37</v>
      </c>
      <c r="D87" s="8" t="str">
        <f aca="false">INDEX(Bases!$B$2:$B$53,B87)</f>
        <v>Dunsparce</v>
      </c>
      <c r="E87" s="8" t="str">
        <f aca="false">INDEX(Bases!$B$2:$B$53,C87)</f>
        <v>Shuckle</v>
      </c>
      <c r="F87" s="2" t="str">
        <f aca="false">LEFT(D87,ROUNDUP(LEN(D87)/2,0))&amp;LOWER(MID(E87,ROUNDUP(LEN(E87)/2,0)+1,20))</f>
        <v>Dunspkle</v>
      </c>
      <c r="G87" s="8" t="str">
        <f aca="false">INDEX(Bases!$C$2:$C$53,B87)</f>
        <v>Normal</v>
      </c>
      <c r="H87" s="8" t="str">
        <f aca="false">IF(INDEX(Bases!$C$2:$C$53,C87)=G87,"",INDEX(Bases!$C$2:$C$53,C87))</f>
        <v>Rock</v>
      </c>
      <c r="I87" s="8" t="str">
        <f aca="false">IF(INDEX(Bases!$E$2:$E$53,B87)="","",INDEX(Bases!$E$2:$E$53,B87))</f>
        <v/>
      </c>
      <c r="J87" s="8" t="str">
        <f aca="false">IF(INDEX(Bases!$E$2:$E$53,C87)="","",INDEX(Bases!$E$2:$E$53,C87))</f>
        <v/>
      </c>
      <c r="K87" s="5"/>
      <c r="L87" s="2" t="n">
        <f aca="false">AE87+IF(SUMPRODUCT(--($AL87:$AQ87&gt;AL87))&lt;$AK87,1,0)</f>
        <v>73</v>
      </c>
      <c r="M87" s="2" t="n">
        <f aca="false">AF87+IF(SUMPRODUCT(--($AL87:$AQ87&gt;AM87))+SUMPRODUCT(--($AL87:AL87=AM87))&lt;$AK87,1,0)</f>
        <v>50</v>
      </c>
      <c r="N87" s="2" t="n">
        <f aca="false">AG87+IF(SUMPRODUCT(--($AL87:$AQ87&gt;AN87))+SUMPRODUCT(--($AL87:AM87=AN87))&lt;$AK87,1,0)</f>
        <v>150</v>
      </c>
      <c r="O87" s="2" t="n">
        <f aca="false">AH87+IF(SUMPRODUCT(--($AL87:$AQ87&gt;AO87))+SUMPRODUCT(--($AL87:AN87=AO87))&lt;$AK87,1,0)</f>
        <v>47</v>
      </c>
      <c r="P87" s="2" t="n">
        <f aca="false">AI87+IF(SUMPRODUCT(--($AL87:$AQ87&gt;AP87))+SUMPRODUCT(--($AL87:AO87=AP87))&lt;$AK87,1,0)</f>
        <v>149</v>
      </c>
      <c r="Q87" s="2" t="n">
        <f aca="false">AJ87+IF(SUMPRODUCT(--($AL87:$AQ87&gt;AQ87))+SUMPRODUCT(--($AL87:AP87=AQ87))&lt;$AK87,1,0)</f>
        <v>31</v>
      </c>
      <c r="R87" s="2" t="n">
        <f aca="false">SUM(L87:Q87)</f>
        <v>500</v>
      </c>
      <c r="S87" s="2" t="n">
        <f aca="false">Settings!$B$4*MAX(INDEX(Bases!$M$2:$M$53,B87),INDEX(Bases!$M$2:$M$53,C87))+Settings!$B$5*MIN(INDEX(Bases!$M$2:$M$53,B87),INDEX(Bases!$M$2:$M$53,C87))</f>
        <v>69.3333333333333</v>
      </c>
      <c r="T87" s="2" t="n">
        <f aca="false">Settings!$B$4*MAX(INDEX(Bases!$N$2:$N$53,B87),INDEX(Bases!$N$2:$N$53,C87))+Settings!$B$5*MIN(INDEX(Bases!$N$2:$N$53,B87),INDEX(Bases!$N$2:$N$53,C87))</f>
        <v>48</v>
      </c>
      <c r="U87" s="2" t="n">
        <f aca="false">Settings!$B$4*MAX(INDEX(Bases!$O$2:$O$53,B87),INDEX(Bases!$O$2:$O$53,C87))+Settings!$B$5*MIN(INDEX(Bases!$O$2:$O$53,B87),INDEX(Bases!$O$2:$O$53,C87))</f>
        <v>143.666666666667</v>
      </c>
      <c r="V87" s="2" t="n">
        <f aca="false">Settings!$B$4*MAX(INDEX(Bases!$P$2:$P$53,B87),INDEX(Bases!$P$2:$P$53,C87))+Settings!$B$5*MIN(INDEX(Bases!$P$2:$P$53,B87),INDEX(Bases!$P$2:$P$53,C87))</f>
        <v>44.6666666666667</v>
      </c>
      <c r="W87" s="2" t="n">
        <f aca="false">Settings!$B$4*MAX(INDEX(Bases!$Q$2:$Q$53,B87),INDEX(Bases!$Q$2:$Q$53,C87))+Settings!$B$5*MIN(INDEX(Bases!$Q$2:$Q$53,B87),INDEX(Bases!$Q$2:$Q$53,C87))</f>
        <v>142.333333333333</v>
      </c>
      <c r="X87" s="2" t="n">
        <f aca="false">Settings!$B$4*MAX(INDEX(Bases!$R$2:$R$53,B87),INDEX(Bases!$R$2:$R$53,C87))+Settings!$B$5*MIN(INDEX(Bases!$R$2:$R$53,B87),INDEX(Bases!$R$2:$R$53,C87))</f>
        <v>30</v>
      </c>
      <c r="Y87" s="2" t="n">
        <f aca="false">S87*Settings!$B$3/SUM(S87:X87)</f>
        <v>72.5244072524407</v>
      </c>
      <c r="Z87" s="2" t="n">
        <f aca="false">T87*Settings!$B$3/SUM(S87:X87)</f>
        <v>50.2092050209205</v>
      </c>
      <c r="AA87" s="2" t="n">
        <f aca="false">U87*Settings!$B$3/SUM(S87:X87)</f>
        <v>150.278940027894</v>
      </c>
      <c r="AB87" s="2" t="n">
        <f aca="false">V87*Settings!$B$3/SUM(S87:X87)</f>
        <v>46.7224546722455</v>
      </c>
      <c r="AC87" s="2" t="n">
        <f aca="false">W87*Settings!$B$3/SUM(S87:X87)</f>
        <v>148.884239888424</v>
      </c>
      <c r="AD87" s="2" t="n">
        <f aca="false">X87*Settings!$B$3/SUM(S87:X87)</f>
        <v>31.3807531380753</v>
      </c>
      <c r="AE87" s="2" t="n">
        <f aca="false">INT(Y87)</f>
        <v>72</v>
      </c>
      <c r="AF87" s="2" t="n">
        <f aca="false">INT(Z87)</f>
        <v>50</v>
      </c>
      <c r="AG87" s="2" t="n">
        <f aca="false">INT(AA87)</f>
        <v>150</v>
      </c>
      <c r="AH87" s="2" t="n">
        <f aca="false">INT(AB87)</f>
        <v>46</v>
      </c>
      <c r="AI87" s="2" t="n">
        <f aca="false">INT(AC87)</f>
        <v>148</v>
      </c>
      <c r="AJ87" s="2" t="n">
        <f aca="false">INT(AD87)</f>
        <v>31</v>
      </c>
      <c r="AK87" s="2" t="n">
        <f aca="false">Settings!$B$3-SUM(AE87:AJ87)</f>
        <v>3</v>
      </c>
      <c r="AL87" s="2" t="n">
        <f aca="false">ROUND(Y87-AE87,9)</f>
        <v>0.524407252</v>
      </c>
      <c r="AM87" s="2" t="n">
        <f aca="false">ROUND(Z87-AF87,9)</f>
        <v>0.209205021</v>
      </c>
      <c r="AN87" s="2" t="n">
        <f aca="false">ROUND(AA87-AG87,9)</f>
        <v>0.278940028</v>
      </c>
      <c r="AO87" s="2" t="n">
        <f aca="false">ROUND(AB87-AH87,9)</f>
        <v>0.722454672</v>
      </c>
      <c r="AP87" s="2" t="n">
        <f aca="false">ROUND(AC87-AI87,9)</f>
        <v>0.884239888</v>
      </c>
      <c r="AQ87" s="2" t="n">
        <f aca="false">ROUND(AD87-AJ87,9)</f>
        <v>0.380753138</v>
      </c>
    </row>
    <row r="88" customFormat="false" ht="15" hidden="false" customHeight="false" outlineLevel="0" collapsed="false">
      <c r="A88" s="2" t="n">
        <v>87</v>
      </c>
      <c r="B88" s="6" t="n">
        <v>2</v>
      </c>
      <c r="C88" s="6" t="n">
        <v>38</v>
      </c>
      <c r="D88" s="8" t="str">
        <f aca="false">INDEX(Bases!$B$2:$B$53,B88)</f>
        <v>Dunsparce</v>
      </c>
      <c r="E88" s="8" t="str">
        <f aca="false">INDEX(Bases!$B$2:$B$53,C88)</f>
        <v>Larvitar</v>
      </c>
      <c r="F88" s="2" t="str">
        <f aca="false">LEFT(D88,ROUNDUP(LEN(D88)/2,0))&amp;LOWER(MID(E88,ROUNDUP(LEN(E88)/2,0)+1,20))</f>
        <v>Dunspitar</v>
      </c>
      <c r="G88" s="8" t="str">
        <f aca="false">INDEX(Bases!$C$2:$C$53,B88)</f>
        <v>Normal</v>
      </c>
      <c r="H88" s="8" t="str">
        <f aca="false">IF(INDEX(Bases!$C$2:$C$53,C88)=G88,"",INDEX(Bases!$C$2:$C$53,C88))</f>
        <v>Rock</v>
      </c>
      <c r="I88" s="8" t="str">
        <f aca="false">IF(INDEX(Bases!$E$2:$E$53,B88)="","",INDEX(Bases!$E$2:$E$53,B88))</f>
        <v/>
      </c>
      <c r="J88" s="8" t="str">
        <f aca="false">IF(INDEX(Bases!$E$2:$E$53,C88)="","",INDEX(Bases!$E$2:$E$53,C88))</f>
        <v/>
      </c>
      <c r="K88" s="5"/>
      <c r="L88" s="2" t="n">
        <f aca="false">AE88+IF(SUMPRODUCT(--($AL88:$AQ88&gt;AL88))&lt;$AK88,1,0)</f>
        <v>105</v>
      </c>
      <c r="M88" s="2" t="n">
        <f aca="false">AF88+IF(SUMPRODUCT(--($AL88:$AQ88&gt;AM88))+SUMPRODUCT(--($AL88:AL88=AM88))&lt;$AK88,1,0)</f>
        <v>97</v>
      </c>
      <c r="N88" s="2" t="n">
        <f aca="false">AG88+IF(SUMPRODUCT(--($AL88:$AQ88&gt;AN88))+SUMPRODUCT(--($AL88:AM88=AN88))&lt;$AK88,1,0)</f>
        <v>82</v>
      </c>
      <c r="O88" s="2" t="n">
        <f aca="false">AH88+IF(SUMPRODUCT(--($AL88:$AQ88&gt;AO88))+SUMPRODUCT(--($AL88:AN88=AO88))&lt;$AK88,1,0)</f>
        <v>75</v>
      </c>
      <c r="P88" s="2" t="n">
        <f aca="false">AI88+IF(SUMPRODUCT(--($AL88:$AQ88&gt;AP88))+SUMPRODUCT(--($AL88:AO88=AP88))&lt;$AK88,1,0)</f>
        <v>80</v>
      </c>
      <c r="Q88" s="2" t="n">
        <f aca="false">AJ88+IF(SUMPRODUCT(--($AL88:$AQ88&gt;AQ88))+SUMPRODUCT(--($AL88:AP88=AQ88))&lt;$AK88,1,0)</f>
        <v>61</v>
      </c>
      <c r="R88" s="2" t="n">
        <f aca="false">SUM(L88:Q88)</f>
        <v>500</v>
      </c>
      <c r="S88" s="2" t="n">
        <f aca="false">Settings!$B$4*MAX(INDEX(Bases!$M$2:$M$53,B88),INDEX(Bases!$M$2:$M$53,C88))+Settings!$B$5*MIN(INDEX(Bases!$M$2:$M$53,B88),INDEX(Bases!$M$2:$M$53,C88))</f>
        <v>86.3333333333333</v>
      </c>
      <c r="T88" s="2" t="n">
        <f aca="false">Settings!$B$4*MAX(INDEX(Bases!$N$2:$N$53,B88),INDEX(Bases!$N$2:$N$53,C88))+Settings!$B$5*MIN(INDEX(Bases!$N$2:$N$53,B88),INDEX(Bases!$N$2:$N$53,C88))</f>
        <v>79.3333333333333</v>
      </c>
      <c r="U88" s="2" t="n">
        <f aca="false">Settings!$B$4*MAX(INDEX(Bases!$O$2:$O$53,B88),INDEX(Bases!$O$2:$O$53,C88))+Settings!$B$5*MIN(INDEX(Bases!$O$2:$O$53,B88),INDEX(Bases!$O$2:$O$53,C88))</f>
        <v>67</v>
      </c>
      <c r="V88" s="2" t="n">
        <f aca="false">Settings!$B$4*MAX(INDEX(Bases!$P$2:$P$53,B88),INDEX(Bases!$P$2:$P$53,C88))+Settings!$B$5*MIN(INDEX(Bases!$P$2:$P$53,B88),INDEX(Bases!$P$2:$P$53,C88))</f>
        <v>62</v>
      </c>
      <c r="W88" s="2" t="n">
        <f aca="false">Settings!$B$4*MAX(INDEX(Bases!$Q$2:$Q$53,B88),INDEX(Bases!$Q$2:$Q$53,C88))+Settings!$B$5*MIN(INDEX(Bases!$Q$2:$Q$53,B88),INDEX(Bases!$Q$2:$Q$53,C88))</f>
        <v>65.6666666666667</v>
      </c>
      <c r="X88" s="2" t="n">
        <f aca="false">Settings!$B$4*MAX(INDEX(Bases!$R$2:$R$53,B88),INDEX(Bases!$R$2:$R$53,C88))+Settings!$B$5*MIN(INDEX(Bases!$R$2:$R$53,B88),INDEX(Bases!$R$2:$R$53,C88))</f>
        <v>50.3333333333333</v>
      </c>
      <c r="Y88" s="2" t="n">
        <f aca="false">S88*Settings!$B$3/SUM(S88:X88)</f>
        <v>105.113636363636</v>
      </c>
      <c r="Z88" s="2" t="n">
        <f aca="false">T88*Settings!$B$3/SUM(S88:X88)</f>
        <v>96.5909090909091</v>
      </c>
      <c r="AA88" s="2" t="n">
        <f aca="false">U88*Settings!$B$3/SUM(S88:X88)</f>
        <v>81.5746753246753</v>
      </c>
      <c r="AB88" s="2" t="n">
        <f aca="false">V88*Settings!$B$3/SUM(S88:X88)</f>
        <v>75.487012987013</v>
      </c>
      <c r="AC88" s="2" t="n">
        <f aca="false">W88*Settings!$B$3/SUM(S88:X88)</f>
        <v>79.9512987012987</v>
      </c>
      <c r="AD88" s="2" t="n">
        <f aca="false">X88*Settings!$B$3/SUM(S88:X88)</f>
        <v>61.2824675324675</v>
      </c>
      <c r="AE88" s="2" t="n">
        <f aca="false">INT(Y88)</f>
        <v>105</v>
      </c>
      <c r="AF88" s="2" t="n">
        <f aca="false">INT(Z88)</f>
        <v>96</v>
      </c>
      <c r="AG88" s="2" t="n">
        <f aca="false">INT(AA88)</f>
        <v>81</v>
      </c>
      <c r="AH88" s="2" t="n">
        <f aca="false">INT(AB88)</f>
        <v>75</v>
      </c>
      <c r="AI88" s="2" t="n">
        <f aca="false">INT(AC88)</f>
        <v>79</v>
      </c>
      <c r="AJ88" s="2" t="n">
        <f aca="false">INT(AD88)</f>
        <v>61</v>
      </c>
      <c r="AK88" s="2" t="n">
        <f aca="false">Settings!$B$3-SUM(AE88:AJ88)</f>
        <v>3</v>
      </c>
      <c r="AL88" s="2" t="n">
        <f aca="false">ROUND(Y88-AE88,9)</f>
        <v>0.113636364</v>
      </c>
      <c r="AM88" s="2" t="n">
        <f aca="false">ROUND(Z88-AF88,9)</f>
        <v>0.590909091</v>
      </c>
      <c r="AN88" s="2" t="n">
        <f aca="false">ROUND(AA88-AG88,9)</f>
        <v>0.574675325</v>
      </c>
      <c r="AO88" s="2" t="n">
        <f aca="false">ROUND(AB88-AH88,9)</f>
        <v>0.487012987</v>
      </c>
      <c r="AP88" s="2" t="n">
        <f aca="false">ROUND(AC88-AI88,9)</f>
        <v>0.951298701</v>
      </c>
      <c r="AQ88" s="2" t="n">
        <f aca="false">ROUND(AD88-AJ88,9)</f>
        <v>0.282467532</v>
      </c>
    </row>
    <row r="89" customFormat="false" ht="15" hidden="false" customHeight="false" outlineLevel="0" collapsed="false">
      <c r="A89" s="2" t="n">
        <v>88</v>
      </c>
      <c r="B89" s="6" t="n">
        <v>2</v>
      </c>
      <c r="C89" s="6" t="n">
        <v>39</v>
      </c>
      <c r="D89" s="8" t="str">
        <f aca="false">INDEX(Bases!$B$2:$B$53,B89)</f>
        <v>Dunsparce</v>
      </c>
      <c r="E89" s="8" t="str">
        <f aca="false">INDEX(Bases!$B$2:$B$53,C89)</f>
        <v>Nosepass</v>
      </c>
      <c r="F89" s="2" t="str">
        <f aca="false">LEFT(D89,ROUNDUP(LEN(D89)/2,0))&amp;LOWER(MID(E89,ROUNDUP(LEN(E89)/2,0)+1,20))</f>
        <v>Dunsppass</v>
      </c>
      <c r="G89" s="8" t="str">
        <f aca="false">INDEX(Bases!$C$2:$C$53,B89)</f>
        <v>Normal</v>
      </c>
      <c r="H89" s="8" t="str">
        <f aca="false">IF(INDEX(Bases!$C$2:$C$53,C89)=G89,"",INDEX(Bases!$C$2:$C$53,C89))</f>
        <v>Rock</v>
      </c>
      <c r="I89" s="8" t="str">
        <f aca="false">IF(INDEX(Bases!$E$2:$E$53,B89)="","",INDEX(Bases!$E$2:$E$53,B89))</f>
        <v/>
      </c>
      <c r="J89" s="8" t="str">
        <f aca="false">IF(INDEX(Bases!$E$2:$E$53,C89)="","",INDEX(Bases!$E$2:$E$53,C89))</f>
        <v/>
      </c>
      <c r="K89" s="5"/>
      <c r="L89" s="2" t="n">
        <f aca="false">AE89+IF(SUMPRODUCT(--($AL89:$AQ89&gt;AL89))&lt;$AK89,1,0)</f>
        <v>86</v>
      </c>
      <c r="M89" s="2" t="n">
        <f aca="false">AF89+IF(SUMPRODUCT(--($AL89:$AQ89&gt;AM89))+SUMPRODUCT(--($AL89:AL89=AM89))&lt;$AK89,1,0)</f>
        <v>70</v>
      </c>
      <c r="N89" s="2" t="n">
        <f aca="false">AG89+IF(SUMPRODUCT(--($AL89:$AQ89&gt;AN89))+SUMPRODUCT(--($AL89:AM89=AN89))&lt;$AK89,1,0)</f>
        <v>136</v>
      </c>
      <c r="O89" s="2" t="n">
        <f aca="false">AH89+IF(SUMPRODUCT(--($AL89:$AQ89&gt;AO89))+SUMPRODUCT(--($AL89:AN89=AO89))&lt;$AK89,1,0)</f>
        <v>66</v>
      </c>
      <c r="P89" s="2" t="n">
        <f aca="false">AI89+IF(SUMPRODUCT(--($AL89:$AQ89&gt;AP89))+SUMPRODUCT(--($AL89:AO89=AP89))&lt;$AK89,1,0)</f>
        <v>97</v>
      </c>
      <c r="Q89" s="2" t="n">
        <f aca="false">AJ89+IF(SUMPRODUCT(--($AL89:$AQ89&gt;AQ89))+SUMPRODUCT(--($AL89:AP89=AQ89))&lt;$AK89,1,0)</f>
        <v>45</v>
      </c>
      <c r="R89" s="2" t="n">
        <f aca="false">SUM(L89:Q89)</f>
        <v>500</v>
      </c>
      <c r="S89" s="2" t="n">
        <f aca="false">Settings!$B$4*MAX(INDEX(Bases!$M$2:$M$53,B89),INDEX(Bases!$M$2:$M$53,C89))+Settings!$B$5*MIN(INDEX(Bases!$M$2:$M$53,B89),INDEX(Bases!$M$2:$M$53,C89))</f>
        <v>74.6666666666667</v>
      </c>
      <c r="T89" s="2" t="n">
        <f aca="false">Settings!$B$4*MAX(INDEX(Bases!$N$2:$N$53,B89),INDEX(Bases!$N$2:$N$53,C89))+Settings!$B$5*MIN(INDEX(Bases!$N$2:$N$53,B89),INDEX(Bases!$N$2:$N$53,C89))</f>
        <v>61.3333333333333</v>
      </c>
      <c r="U89" s="2" t="n">
        <f aca="false">Settings!$B$4*MAX(INDEX(Bases!$O$2:$O$53,B89),INDEX(Bases!$O$2:$O$53,C89))+Settings!$B$5*MIN(INDEX(Bases!$O$2:$O$53,B89),INDEX(Bases!$O$2:$O$53,C89))</f>
        <v>118.333333333333</v>
      </c>
      <c r="V89" s="2" t="n">
        <f aca="false">Settings!$B$4*MAX(INDEX(Bases!$P$2:$P$53,B89),INDEX(Bases!$P$2:$P$53,C89))+Settings!$B$5*MIN(INDEX(Bases!$P$2:$P$53,B89),INDEX(Bases!$P$2:$P$53,C89))</f>
        <v>58</v>
      </c>
      <c r="W89" s="2" t="n">
        <f aca="false">Settings!$B$4*MAX(INDEX(Bases!$Q$2:$Q$53,B89),INDEX(Bases!$Q$2:$Q$53,C89))+Settings!$B$5*MIN(INDEX(Bases!$Q$2:$Q$53,B89),INDEX(Bases!$Q$2:$Q$53,C89))</f>
        <v>85</v>
      </c>
      <c r="X89" s="2" t="n">
        <f aca="false">Settings!$B$4*MAX(INDEX(Bases!$R$2:$R$53,B89),INDEX(Bases!$R$2:$R$53,C89))+Settings!$B$5*MIN(INDEX(Bases!$R$2:$R$53,B89),INDEX(Bases!$R$2:$R$53,C89))</f>
        <v>39.3333333333333</v>
      </c>
      <c r="Y89" s="2" t="n">
        <f aca="false">S89*Settings!$B$3/SUM(S89:X89)</f>
        <v>85.4961832061069</v>
      </c>
      <c r="Z89" s="2" t="n">
        <f aca="false">T89*Settings!$B$3/SUM(S89:X89)</f>
        <v>70.2290076335878</v>
      </c>
      <c r="AA89" s="2" t="n">
        <f aca="false">U89*Settings!$B$3/SUM(S89:X89)</f>
        <v>135.496183206107</v>
      </c>
      <c r="AB89" s="2" t="n">
        <f aca="false">V89*Settings!$B$3/SUM(S89:X89)</f>
        <v>66.412213740458</v>
      </c>
      <c r="AC89" s="2" t="n">
        <f aca="false">W89*Settings!$B$3/SUM(S89:X89)</f>
        <v>97.3282442748092</v>
      </c>
      <c r="AD89" s="2" t="n">
        <f aca="false">X89*Settings!$B$3/SUM(S89:X89)</f>
        <v>45.0381679389313</v>
      </c>
      <c r="AE89" s="2" t="n">
        <f aca="false">INT(Y89)</f>
        <v>85</v>
      </c>
      <c r="AF89" s="2" t="n">
        <f aca="false">INT(Z89)</f>
        <v>70</v>
      </c>
      <c r="AG89" s="2" t="n">
        <f aca="false">INT(AA89)</f>
        <v>135</v>
      </c>
      <c r="AH89" s="2" t="n">
        <f aca="false">INT(AB89)</f>
        <v>66</v>
      </c>
      <c r="AI89" s="2" t="n">
        <f aca="false">INT(AC89)</f>
        <v>97</v>
      </c>
      <c r="AJ89" s="2" t="n">
        <f aca="false">INT(AD89)</f>
        <v>45</v>
      </c>
      <c r="AK89" s="2" t="n">
        <f aca="false">Settings!$B$3-SUM(AE89:AJ89)</f>
        <v>2</v>
      </c>
      <c r="AL89" s="2" t="n">
        <f aca="false">ROUND(Y89-AE89,9)</f>
        <v>0.496183206</v>
      </c>
      <c r="AM89" s="2" t="n">
        <f aca="false">ROUND(Z89-AF89,9)</f>
        <v>0.229007634</v>
      </c>
      <c r="AN89" s="2" t="n">
        <f aca="false">ROUND(AA89-AG89,9)</f>
        <v>0.496183206</v>
      </c>
      <c r="AO89" s="2" t="n">
        <f aca="false">ROUND(AB89-AH89,9)</f>
        <v>0.41221374</v>
      </c>
      <c r="AP89" s="2" t="n">
        <f aca="false">ROUND(AC89-AI89,9)</f>
        <v>0.328244275</v>
      </c>
      <c r="AQ89" s="2" t="n">
        <f aca="false">ROUND(AD89-AJ89,9)</f>
        <v>0.038167939</v>
      </c>
    </row>
    <row r="90" customFormat="false" ht="15" hidden="false" customHeight="false" outlineLevel="0" collapsed="false">
      <c r="A90" s="2" t="n">
        <v>89</v>
      </c>
      <c r="B90" s="6" t="n">
        <v>2</v>
      </c>
      <c r="C90" s="6" t="n">
        <v>40</v>
      </c>
      <c r="D90" s="8" t="str">
        <f aca="false">INDEX(Bases!$B$2:$B$53,B90)</f>
        <v>Dunsparce</v>
      </c>
      <c r="E90" s="8" t="str">
        <f aca="false">INDEX(Bases!$B$2:$B$53,C90)</f>
        <v>Gastly</v>
      </c>
      <c r="F90" s="2" t="str">
        <f aca="false">LEFT(D90,ROUNDUP(LEN(D90)/2,0))&amp;LOWER(MID(E90,ROUNDUP(LEN(E90)/2,0)+1,20))</f>
        <v>Dunsptly</v>
      </c>
      <c r="G90" s="8" t="str">
        <f aca="false">INDEX(Bases!$C$2:$C$53,B90)</f>
        <v>Normal</v>
      </c>
      <c r="H90" s="8" t="str">
        <f aca="false">IF(INDEX(Bases!$C$2:$C$53,C90)=G90,"",INDEX(Bases!$C$2:$C$53,C90))</f>
        <v>Ghost</v>
      </c>
      <c r="I90" s="8" t="str">
        <f aca="false">IF(INDEX(Bases!$E$2:$E$53,B90)="","",INDEX(Bases!$E$2:$E$53,B90))</f>
        <v/>
      </c>
      <c r="J90" s="8" t="str">
        <f aca="false">IF(INDEX(Bases!$E$2:$E$53,C90)="","",INDEX(Bases!$E$2:$E$53,C90))</f>
        <v/>
      </c>
      <c r="K90" s="5"/>
      <c r="L90" s="2" t="n">
        <f aca="false">AE90+IF(SUMPRODUCT(--($AL90:$AQ90&gt;AL90))&lt;$AK90,1,0)</f>
        <v>87</v>
      </c>
      <c r="M90" s="2" t="n">
        <f aca="false">AF90+IF(SUMPRODUCT(--($AL90:$AQ90&gt;AM90))+SUMPRODUCT(--($AL90:AL90=AM90))&lt;$AK90,1,0)</f>
        <v>68</v>
      </c>
      <c r="N90" s="2" t="n">
        <f aca="false">AG90+IF(SUMPRODUCT(--($AL90:$AQ90&gt;AN90))+SUMPRODUCT(--($AL90:AM90=AN90))&lt;$AK90,1,0)</f>
        <v>65</v>
      </c>
      <c r="O90" s="2" t="n">
        <f aca="false">AH90+IF(SUMPRODUCT(--($AL90:$AQ90&gt;AO90))+SUMPRODUCT(--($AL90:AN90=AO90))&lt;$AK90,1,0)</f>
        <v>121</v>
      </c>
      <c r="P90" s="2" t="n">
        <f aca="false">AI90+IF(SUMPRODUCT(--($AL90:$AQ90&gt;AP90))+SUMPRODUCT(--($AL90:AO90=AP90))&lt;$AK90,1,0)</f>
        <v>65</v>
      </c>
      <c r="Q90" s="2" t="n">
        <f aca="false">AJ90+IF(SUMPRODUCT(--($AL90:$AQ90&gt;AQ90))+SUMPRODUCT(--($AL90:AP90=AQ90))&lt;$AK90,1,0)</f>
        <v>94</v>
      </c>
      <c r="R90" s="2" t="n">
        <f aca="false">SUM(L90:Q90)</f>
        <v>500</v>
      </c>
      <c r="S90" s="2" t="n">
        <f aca="false">Settings!$B$4*MAX(INDEX(Bases!$M$2:$M$53,B90),INDEX(Bases!$M$2:$M$53,C90))+Settings!$B$5*MIN(INDEX(Bases!$M$2:$M$53,B90),INDEX(Bases!$M$2:$M$53,C90))</f>
        <v>77</v>
      </c>
      <c r="T90" s="2" t="n">
        <f aca="false">Settings!$B$4*MAX(INDEX(Bases!$N$2:$N$53,B90),INDEX(Bases!$N$2:$N$53,C90))+Settings!$B$5*MIN(INDEX(Bases!$N$2:$N$53,B90),INDEX(Bases!$N$2:$N$53,C90))</f>
        <v>60.3333333333333</v>
      </c>
      <c r="U90" s="2" t="n">
        <f aca="false">Settings!$B$4*MAX(INDEX(Bases!$O$2:$O$53,B90),INDEX(Bases!$O$2:$O$53,C90))+Settings!$B$5*MIN(INDEX(Bases!$O$2:$O$53,B90),INDEX(Bases!$O$2:$O$53,C90))</f>
        <v>57.6666666666667</v>
      </c>
      <c r="V90" s="2" t="n">
        <f aca="false">Settings!$B$4*MAX(INDEX(Bases!$P$2:$P$53,B90),INDEX(Bases!$P$2:$P$53,C90))+Settings!$B$5*MIN(INDEX(Bases!$P$2:$P$53,B90),INDEX(Bases!$P$2:$P$53,C90))</f>
        <v>107</v>
      </c>
      <c r="W90" s="2" t="n">
        <f aca="false">Settings!$B$4*MAX(INDEX(Bases!$Q$2:$Q$53,B90),INDEX(Bases!$Q$2:$Q$53,C90))+Settings!$B$5*MIN(INDEX(Bases!$Q$2:$Q$53,B90),INDEX(Bases!$Q$2:$Q$53,C90))</f>
        <v>57</v>
      </c>
      <c r="X90" s="2" t="n">
        <f aca="false">Settings!$B$4*MAX(INDEX(Bases!$R$2:$R$53,B90),INDEX(Bases!$R$2:$R$53,C90))+Settings!$B$5*MIN(INDEX(Bases!$R$2:$R$53,B90),INDEX(Bases!$R$2:$R$53,C90))</f>
        <v>83</v>
      </c>
      <c r="Y90" s="2" t="n">
        <f aca="false">S90*Settings!$B$3/SUM(S90:X90)</f>
        <v>87.10407239819</v>
      </c>
      <c r="Z90" s="2" t="n">
        <f aca="false">T90*Settings!$B$3/SUM(S90:X90)</f>
        <v>68.2503770739065</v>
      </c>
      <c r="AA90" s="2" t="n">
        <f aca="false">U90*Settings!$B$3/SUM(S90:X90)</f>
        <v>65.2337858220211</v>
      </c>
      <c r="AB90" s="2" t="n">
        <f aca="false">V90*Settings!$B$3/SUM(S90:X90)</f>
        <v>121.0407239819</v>
      </c>
      <c r="AC90" s="2" t="n">
        <f aca="false">W90*Settings!$B$3/SUM(S90:X90)</f>
        <v>64.4796380090498</v>
      </c>
      <c r="AD90" s="2" t="n">
        <f aca="false">X90*Settings!$B$3/SUM(S90:X90)</f>
        <v>93.8914027149321</v>
      </c>
      <c r="AE90" s="2" t="n">
        <f aca="false">INT(Y90)</f>
        <v>87</v>
      </c>
      <c r="AF90" s="2" t="n">
        <f aca="false">INT(Z90)</f>
        <v>68</v>
      </c>
      <c r="AG90" s="2" t="n">
        <f aca="false">INT(AA90)</f>
        <v>65</v>
      </c>
      <c r="AH90" s="2" t="n">
        <f aca="false">INT(AB90)</f>
        <v>121</v>
      </c>
      <c r="AI90" s="2" t="n">
        <f aca="false">INT(AC90)</f>
        <v>64</v>
      </c>
      <c r="AJ90" s="2" t="n">
        <f aca="false">INT(AD90)</f>
        <v>93</v>
      </c>
      <c r="AK90" s="2" t="n">
        <f aca="false">Settings!$B$3-SUM(AE90:AJ90)</f>
        <v>2</v>
      </c>
      <c r="AL90" s="2" t="n">
        <f aca="false">ROUND(Y90-AE90,9)</f>
        <v>0.104072398</v>
      </c>
      <c r="AM90" s="2" t="n">
        <f aca="false">ROUND(Z90-AF90,9)</f>
        <v>0.250377074</v>
      </c>
      <c r="AN90" s="2" t="n">
        <f aca="false">ROUND(AA90-AG90,9)</f>
        <v>0.233785822</v>
      </c>
      <c r="AO90" s="2" t="n">
        <f aca="false">ROUND(AB90-AH90,9)</f>
        <v>0.040723982</v>
      </c>
      <c r="AP90" s="2" t="n">
        <f aca="false">ROUND(AC90-AI90,9)</f>
        <v>0.479638009</v>
      </c>
      <c r="AQ90" s="2" t="n">
        <f aca="false">ROUND(AD90-AJ90,9)</f>
        <v>0.891402715</v>
      </c>
    </row>
    <row r="91" customFormat="false" ht="15" hidden="false" customHeight="false" outlineLevel="0" collapsed="false">
      <c r="A91" s="2" t="n">
        <v>90</v>
      </c>
      <c r="B91" s="6" t="n">
        <v>2</v>
      </c>
      <c r="C91" s="6" t="n">
        <v>41</v>
      </c>
      <c r="D91" s="8" t="str">
        <f aca="false">INDEX(Bases!$B$2:$B$53,B91)</f>
        <v>Dunsparce</v>
      </c>
      <c r="E91" s="8" t="str">
        <f aca="false">INDEX(Bases!$B$2:$B$53,C91)</f>
        <v>Misdreavus</v>
      </c>
      <c r="F91" s="2" t="str">
        <f aca="false">LEFT(D91,ROUNDUP(LEN(D91)/2,0))&amp;LOWER(MID(E91,ROUNDUP(LEN(E91)/2,0)+1,20))</f>
        <v>Dunspeavus</v>
      </c>
      <c r="G91" s="8" t="str">
        <f aca="false">INDEX(Bases!$C$2:$C$53,B91)</f>
        <v>Normal</v>
      </c>
      <c r="H91" s="8" t="str">
        <f aca="false">IF(INDEX(Bases!$C$2:$C$53,C91)=G91,"",INDEX(Bases!$C$2:$C$53,C91))</f>
        <v>Ghost</v>
      </c>
      <c r="I91" s="8" t="str">
        <f aca="false">IF(INDEX(Bases!$E$2:$E$53,B91)="","",INDEX(Bases!$E$2:$E$53,B91))</f>
        <v/>
      </c>
      <c r="J91" s="8" t="str">
        <f aca="false">IF(INDEX(Bases!$E$2:$E$53,C91)="","",INDEX(Bases!$E$2:$E$53,C91))</f>
        <v/>
      </c>
      <c r="K91" s="5"/>
      <c r="L91" s="2" t="n">
        <f aca="false">AE91+IF(SUMPRODUCT(--($AL91:$AQ91&gt;AL91))&lt;$AK91,1,0)</f>
        <v>98</v>
      </c>
      <c r="M91" s="2" t="n">
        <f aca="false">AF91+IF(SUMPRODUCT(--($AL91:$AQ91&gt;AM91))+SUMPRODUCT(--($AL91:AL91=AM91))&lt;$AK91,1,0)</f>
        <v>75</v>
      </c>
      <c r="N91" s="2" t="n">
        <f aca="false">AG91+IF(SUMPRODUCT(--($AL91:$AQ91&gt;AN91))+SUMPRODUCT(--($AL91:AM91=AN91))&lt;$AK91,1,0)</f>
        <v>75</v>
      </c>
      <c r="O91" s="2" t="n">
        <f aca="false">AH91+IF(SUMPRODUCT(--($AL91:$AQ91&gt;AO91))+SUMPRODUCT(--($AL91:AN91=AO91))&lt;$AK91,1,0)</f>
        <v>87</v>
      </c>
      <c r="P91" s="2" t="n">
        <f aca="false">AI91+IF(SUMPRODUCT(--($AL91:$AQ91&gt;AP91))+SUMPRODUCT(--($AL91:AO91=AP91))&lt;$AK91,1,0)</f>
        <v>86</v>
      </c>
      <c r="Q91" s="2" t="n">
        <f aca="false">AJ91+IF(SUMPRODUCT(--($AL91:$AQ91&gt;AQ91))+SUMPRODUCT(--($AL91:AP91=AQ91))&lt;$AK91,1,0)</f>
        <v>79</v>
      </c>
      <c r="R91" s="2" t="n">
        <f aca="false">SUM(L91:Q91)</f>
        <v>500</v>
      </c>
      <c r="S91" s="2" t="n">
        <f aca="false">Settings!$B$4*MAX(INDEX(Bases!$M$2:$M$53,B91),INDEX(Bases!$M$2:$M$53,C91))+Settings!$B$5*MIN(INDEX(Bases!$M$2:$M$53,B91),INDEX(Bases!$M$2:$M$53,C91))</f>
        <v>82.6666666666667</v>
      </c>
      <c r="T91" s="2" t="n">
        <f aca="false">Settings!$B$4*MAX(INDEX(Bases!$N$2:$N$53,B91),INDEX(Bases!$N$2:$N$53,C91))+Settings!$B$5*MIN(INDEX(Bases!$N$2:$N$53,B91),INDEX(Bases!$N$2:$N$53,C91))</f>
        <v>63.6666666666667</v>
      </c>
      <c r="U91" s="2" t="n">
        <f aca="false">Settings!$B$4*MAX(INDEX(Bases!$O$2:$O$53,B91),INDEX(Bases!$O$2:$O$53,C91))+Settings!$B$5*MIN(INDEX(Bases!$O$2:$O$53,B91),INDEX(Bases!$O$2:$O$53,C91))</f>
        <v>63</v>
      </c>
      <c r="V91" s="2" t="n">
        <f aca="false">Settings!$B$4*MAX(INDEX(Bases!$P$2:$P$53,B91),INDEX(Bases!$P$2:$P$53,C91))+Settings!$B$5*MIN(INDEX(Bases!$P$2:$P$53,B91),INDEX(Bases!$P$2:$P$53,C91))</f>
        <v>73</v>
      </c>
      <c r="W91" s="2" t="n">
        <f aca="false">Settings!$B$4*MAX(INDEX(Bases!$Q$2:$Q$53,B91),INDEX(Bases!$Q$2:$Q$53,C91))+Settings!$B$5*MIN(INDEX(Bases!$Q$2:$Q$53,B91),INDEX(Bases!$Q$2:$Q$53,C91))</f>
        <v>73</v>
      </c>
      <c r="X91" s="2" t="n">
        <f aca="false">Settings!$B$4*MAX(INDEX(Bases!$R$2:$R$53,B91),INDEX(Bases!$R$2:$R$53,C91))+Settings!$B$5*MIN(INDEX(Bases!$R$2:$R$53,B91),INDEX(Bases!$R$2:$R$53,C91))</f>
        <v>66.3333333333333</v>
      </c>
      <c r="Y91" s="2" t="n">
        <f aca="false">S91*Settings!$B$3/SUM(S91:X91)</f>
        <v>98.0237154150198</v>
      </c>
      <c r="Z91" s="2" t="n">
        <f aca="false">T91*Settings!$B$3/SUM(S91:X91)</f>
        <v>75.4940711462451</v>
      </c>
      <c r="AA91" s="2" t="n">
        <f aca="false">U91*Settings!$B$3/SUM(S91:X91)</f>
        <v>74.703557312253</v>
      </c>
      <c r="AB91" s="2" t="n">
        <f aca="false">V91*Settings!$B$3/SUM(S91:X91)</f>
        <v>86.5612648221344</v>
      </c>
      <c r="AC91" s="2" t="n">
        <f aca="false">W91*Settings!$B$3/SUM(S91:X91)</f>
        <v>86.5612648221344</v>
      </c>
      <c r="AD91" s="2" t="n">
        <f aca="false">X91*Settings!$B$3/SUM(S91:X91)</f>
        <v>78.6561264822135</v>
      </c>
      <c r="AE91" s="2" t="n">
        <f aca="false">INT(Y91)</f>
        <v>98</v>
      </c>
      <c r="AF91" s="2" t="n">
        <f aca="false">INT(Z91)</f>
        <v>75</v>
      </c>
      <c r="AG91" s="2" t="n">
        <f aca="false">INT(AA91)</f>
        <v>74</v>
      </c>
      <c r="AH91" s="2" t="n">
        <f aca="false">INT(AB91)</f>
        <v>86</v>
      </c>
      <c r="AI91" s="2" t="n">
        <f aca="false">INT(AC91)</f>
        <v>86</v>
      </c>
      <c r="AJ91" s="2" t="n">
        <f aca="false">INT(AD91)</f>
        <v>78</v>
      </c>
      <c r="AK91" s="2" t="n">
        <f aca="false">Settings!$B$3-SUM(AE91:AJ91)</f>
        <v>3</v>
      </c>
      <c r="AL91" s="2" t="n">
        <f aca="false">ROUND(Y91-AE91,9)</f>
        <v>0.023715415</v>
      </c>
      <c r="AM91" s="2" t="n">
        <f aca="false">ROUND(Z91-AF91,9)</f>
        <v>0.494071146</v>
      </c>
      <c r="AN91" s="2" t="n">
        <f aca="false">ROUND(AA91-AG91,9)</f>
        <v>0.703557312</v>
      </c>
      <c r="AO91" s="2" t="n">
        <f aca="false">ROUND(AB91-AH91,9)</f>
        <v>0.561264822</v>
      </c>
      <c r="AP91" s="2" t="n">
        <f aca="false">ROUND(AC91-AI91,9)</f>
        <v>0.561264822</v>
      </c>
      <c r="AQ91" s="2" t="n">
        <f aca="false">ROUND(AD91-AJ91,9)</f>
        <v>0.656126482</v>
      </c>
    </row>
    <row r="92" customFormat="false" ht="15" hidden="false" customHeight="false" outlineLevel="0" collapsed="false">
      <c r="A92" s="2" t="n">
        <v>91</v>
      </c>
      <c r="B92" s="6" t="n">
        <v>2</v>
      </c>
      <c r="C92" s="6" t="n">
        <v>42</v>
      </c>
      <c r="D92" s="8" t="str">
        <f aca="false">INDEX(Bases!$B$2:$B$53,B92)</f>
        <v>Dunsparce</v>
      </c>
      <c r="E92" s="8" t="str">
        <f aca="false">INDEX(Bases!$B$2:$B$53,C92)</f>
        <v>Sableye</v>
      </c>
      <c r="F92" s="2" t="str">
        <f aca="false">LEFT(D92,ROUNDUP(LEN(D92)/2,0))&amp;LOWER(MID(E92,ROUNDUP(LEN(E92)/2,0)+1,20))</f>
        <v>Dunspeye</v>
      </c>
      <c r="G92" s="8" t="str">
        <f aca="false">INDEX(Bases!$C$2:$C$53,B92)</f>
        <v>Normal</v>
      </c>
      <c r="H92" s="8" t="str">
        <f aca="false">IF(INDEX(Bases!$C$2:$C$53,C92)=G92,"",INDEX(Bases!$C$2:$C$53,C92))</f>
        <v>Ghost</v>
      </c>
      <c r="I92" s="8" t="str">
        <f aca="false">IF(INDEX(Bases!$E$2:$E$53,B92)="","",INDEX(Bases!$E$2:$E$53,B92))</f>
        <v/>
      </c>
      <c r="J92" s="8" t="str">
        <f aca="false">IF(INDEX(Bases!$E$2:$E$53,C92)="","",INDEX(Bases!$E$2:$E$53,C92))</f>
        <v/>
      </c>
      <c r="K92" s="5"/>
      <c r="L92" s="2" t="n">
        <f aca="false">AE92+IF(SUMPRODUCT(--($AL92:$AQ92&gt;AL92))&lt;$AK92,1,0)</f>
        <v>99</v>
      </c>
      <c r="M92" s="2" t="n">
        <f aca="false">AF92+IF(SUMPRODUCT(--($AL92:$AQ92&gt;AM92))+SUMPRODUCT(--($AL92:AL92=AM92))&lt;$AK92,1,0)</f>
        <v>91</v>
      </c>
      <c r="N92" s="2" t="n">
        <f aca="false">AG92+IF(SUMPRODUCT(--($AL92:$AQ92&gt;AN92))+SUMPRODUCT(--($AL92:AM92=AN92))&lt;$AK92,1,0)</f>
        <v>90</v>
      </c>
      <c r="O92" s="2" t="n">
        <f aca="false">AH92+IF(SUMPRODUCT(--($AL92:$AQ92&gt;AO92))+SUMPRODUCT(--($AL92:AN92=AO92))&lt;$AK92,1,0)</f>
        <v>80</v>
      </c>
      <c r="P92" s="2" t="n">
        <f aca="false">AI92+IF(SUMPRODUCT(--($AL92:$AQ92&gt;AP92))+SUMPRODUCT(--($AL92:AO92=AP92))&lt;$AK92,1,0)</f>
        <v>80</v>
      </c>
      <c r="Q92" s="2" t="n">
        <f aca="false">AJ92+IF(SUMPRODUCT(--($AL92:$AQ92&gt;AQ92))+SUMPRODUCT(--($AL92:AP92=AQ92))&lt;$AK92,1,0)</f>
        <v>60</v>
      </c>
      <c r="R92" s="2" t="n">
        <f aca="false">SUM(L92:Q92)</f>
        <v>500</v>
      </c>
      <c r="S92" s="2" t="n">
        <f aca="false">Settings!$B$4*MAX(INDEX(Bases!$M$2:$M$53,B92),INDEX(Bases!$M$2:$M$53,C92))+Settings!$B$5*MIN(INDEX(Bases!$M$2:$M$53,B92),INDEX(Bases!$M$2:$M$53,C92))</f>
        <v>81.6666666666667</v>
      </c>
      <c r="T92" s="2" t="n">
        <f aca="false">Settings!$B$4*MAX(INDEX(Bases!$N$2:$N$53,B92),INDEX(Bases!$N$2:$N$53,C92))+Settings!$B$5*MIN(INDEX(Bases!$N$2:$N$53,B92),INDEX(Bases!$N$2:$N$53,C92))</f>
        <v>75.3333333333333</v>
      </c>
      <c r="U92" s="2" t="n">
        <f aca="false">Settings!$B$4*MAX(INDEX(Bases!$O$2:$O$53,B92),INDEX(Bases!$O$2:$O$53,C92))+Settings!$B$5*MIN(INDEX(Bases!$O$2:$O$53,B92),INDEX(Bases!$O$2:$O$53,C92))</f>
        <v>75</v>
      </c>
      <c r="V92" s="2" t="n">
        <f aca="false">Settings!$B$4*MAX(INDEX(Bases!$P$2:$P$53,B92),INDEX(Bases!$P$2:$P$53,C92))+Settings!$B$5*MIN(INDEX(Bases!$P$2:$P$53,B92),INDEX(Bases!$P$2:$P$53,C92))</f>
        <v>66.3333333333333</v>
      </c>
      <c r="W92" s="2" t="n">
        <f aca="false">Settings!$B$4*MAX(INDEX(Bases!$Q$2:$Q$53,B92),INDEX(Bases!$Q$2:$Q$53,C92))+Settings!$B$5*MIN(INDEX(Bases!$Q$2:$Q$53,B92),INDEX(Bases!$Q$2:$Q$53,C92))</f>
        <v>66.3333333333333</v>
      </c>
      <c r="X92" s="2" t="n">
        <f aca="false">Settings!$B$4*MAX(INDEX(Bases!$R$2:$R$53,B92),INDEX(Bases!$R$2:$R$53,C92))+Settings!$B$5*MIN(INDEX(Bases!$R$2:$R$53,B92),INDEX(Bases!$R$2:$R$53,C92))</f>
        <v>49.6666666666667</v>
      </c>
      <c r="Y92" s="2" t="n">
        <f aca="false">S92*Settings!$B$3/SUM(S92:X92)</f>
        <v>98.5518905872888</v>
      </c>
      <c r="Z92" s="2" t="n">
        <f aca="false">T92*Settings!$B$3/SUM(S92:X92)</f>
        <v>90.9090909090909</v>
      </c>
      <c r="AA92" s="2" t="n">
        <f aca="false">U92*Settings!$B$3/SUM(S92:X92)</f>
        <v>90.5068382944489</v>
      </c>
      <c r="AB92" s="2" t="n">
        <f aca="false">V92*Settings!$B$3/SUM(S92:X92)</f>
        <v>80.048270313757</v>
      </c>
      <c r="AC92" s="2" t="n">
        <f aca="false">W92*Settings!$B$3/SUM(S92:X92)</f>
        <v>80.048270313757</v>
      </c>
      <c r="AD92" s="2" t="n">
        <f aca="false">X92*Settings!$B$3/SUM(S92:X92)</f>
        <v>59.9356395816573</v>
      </c>
      <c r="AE92" s="2" t="n">
        <f aca="false">INT(Y92)</f>
        <v>98</v>
      </c>
      <c r="AF92" s="2" t="n">
        <f aca="false">INT(Z92)</f>
        <v>90</v>
      </c>
      <c r="AG92" s="2" t="n">
        <f aca="false">INT(AA92)</f>
        <v>90</v>
      </c>
      <c r="AH92" s="2" t="n">
        <f aca="false">INT(AB92)</f>
        <v>80</v>
      </c>
      <c r="AI92" s="2" t="n">
        <f aca="false">INT(AC92)</f>
        <v>80</v>
      </c>
      <c r="AJ92" s="2" t="n">
        <f aca="false">INT(AD92)</f>
        <v>59</v>
      </c>
      <c r="AK92" s="2" t="n">
        <f aca="false">Settings!$B$3-SUM(AE92:AJ92)</f>
        <v>3</v>
      </c>
      <c r="AL92" s="2" t="n">
        <f aca="false">ROUND(Y92-AE92,9)</f>
        <v>0.551890587</v>
      </c>
      <c r="AM92" s="2" t="n">
        <f aca="false">ROUND(Z92-AF92,9)</f>
        <v>0.909090909</v>
      </c>
      <c r="AN92" s="2" t="n">
        <f aca="false">ROUND(AA92-AG92,9)</f>
        <v>0.506838294</v>
      </c>
      <c r="AO92" s="2" t="n">
        <f aca="false">ROUND(AB92-AH92,9)</f>
        <v>0.048270314</v>
      </c>
      <c r="AP92" s="2" t="n">
        <f aca="false">ROUND(AC92-AI92,9)</f>
        <v>0.048270314</v>
      </c>
      <c r="AQ92" s="2" t="n">
        <f aca="false">ROUND(AD92-AJ92,9)</f>
        <v>0.935639582</v>
      </c>
    </row>
    <row r="93" customFormat="false" ht="15" hidden="false" customHeight="false" outlineLevel="0" collapsed="false">
      <c r="A93" s="2" t="n">
        <v>92</v>
      </c>
      <c r="B93" s="6" t="n">
        <v>2</v>
      </c>
      <c r="C93" s="6" t="n">
        <v>43</v>
      </c>
      <c r="D93" s="8" t="str">
        <f aca="false">INDEX(Bases!$B$2:$B$53,B93)</f>
        <v>Dunsparce</v>
      </c>
      <c r="E93" s="8" t="str">
        <f aca="false">INDEX(Bases!$B$2:$B$53,C93)</f>
        <v>Dratini</v>
      </c>
      <c r="F93" s="2" t="str">
        <f aca="false">LEFT(D93,ROUNDUP(LEN(D93)/2,0))&amp;LOWER(MID(E93,ROUNDUP(LEN(E93)/2,0)+1,20))</f>
        <v>Dunspini</v>
      </c>
      <c r="G93" s="8" t="str">
        <f aca="false">INDEX(Bases!$C$2:$C$53,B93)</f>
        <v>Normal</v>
      </c>
      <c r="H93" s="8" t="str">
        <f aca="false">IF(INDEX(Bases!$C$2:$C$53,C93)=G93,"",INDEX(Bases!$C$2:$C$53,C93))</f>
        <v>Dragon</v>
      </c>
      <c r="I93" s="8" t="str">
        <f aca="false">IF(INDEX(Bases!$E$2:$E$53,B93)="","",INDEX(Bases!$E$2:$E$53,B93))</f>
        <v/>
      </c>
      <c r="J93" s="8" t="str">
        <f aca="false">IF(INDEX(Bases!$E$2:$E$53,C93)="","",INDEX(Bases!$E$2:$E$53,C93))</f>
        <v/>
      </c>
      <c r="K93" s="5"/>
      <c r="L93" s="2" t="n">
        <f aca="false">AE93+IF(SUMPRODUCT(--($AL93:$AQ93&gt;AL93))&lt;$AK93,1,0)</f>
        <v>99</v>
      </c>
      <c r="M93" s="2" t="n">
        <f aca="false">AF93+IF(SUMPRODUCT(--($AL93:$AQ93&gt;AM93))+SUMPRODUCT(--($AL93:AL93=AM93))&lt;$AK93,1,0)</f>
        <v>95</v>
      </c>
      <c r="N93" s="2" t="n">
        <f aca="false">AG93+IF(SUMPRODUCT(--($AL93:$AQ93&gt;AN93))+SUMPRODUCT(--($AL93:AM93=AN93))&lt;$AK93,1,0)</f>
        <v>78</v>
      </c>
      <c r="O93" s="2" t="n">
        <f aca="false">AH93+IF(SUMPRODUCT(--($AL93:$AQ93&gt;AO93))+SUMPRODUCT(--($AL93:AN93=AO93))&lt;$AK93,1,0)</f>
        <v>79</v>
      </c>
      <c r="P93" s="2" t="n">
        <f aca="false">AI93+IF(SUMPRODUCT(--($AL93:$AQ93&gt;AP93))+SUMPRODUCT(--($AL93:AO93=AP93))&lt;$AK93,1,0)</f>
        <v>79</v>
      </c>
      <c r="Q93" s="2" t="n">
        <f aca="false">AJ93+IF(SUMPRODUCT(--($AL93:$AQ93&gt;AQ93))+SUMPRODUCT(--($AL93:AP93=AQ93))&lt;$AK93,1,0)</f>
        <v>70</v>
      </c>
      <c r="R93" s="2" t="n">
        <f aca="false">SUM(L93:Q93)</f>
        <v>500</v>
      </c>
      <c r="S93" s="2" t="n">
        <f aca="false">Settings!$B$4*MAX(INDEX(Bases!$M$2:$M$53,B93),INDEX(Bases!$M$2:$M$53,C93))+Settings!$B$5*MIN(INDEX(Bases!$M$2:$M$53,B93),INDEX(Bases!$M$2:$M$53,C93))</f>
        <v>82.3333333333333</v>
      </c>
      <c r="T93" s="2" t="n">
        <f aca="false">Settings!$B$4*MAX(INDEX(Bases!$N$2:$N$53,B93),INDEX(Bases!$N$2:$N$53,C93))+Settings!$B$5*MIN(INDEX(Bases!$N$2:$N$53,B93),INDEX(Bases!$N$2:$N$53,C93))</f>
        <v>79.3333333333333</v>
      </c>
      <c r="U93" s="2" t="n">
        <f aca="false">Settings!$B$4*MAX(INDEX(Bases!$O$2:$O$53,B93),INDEX(Bases!$O$2:$O$53,C93))+Settings!$B$5*MIN(INDEX(Bases!$O$2:$O$53,B93),INDEX(Bases!$O$2:$O$53,C93))</f>
        <v>64.6666666666667</v>
      </c>
      <c r="V93" s="2" t="n">
        <f aca="false">Settings!$B$4*MAX(INDEX(Bases!$P$2:$P$53,B93),INDEX(Bases!$P$2:$P$53,C93))+Settings!$B$5*MIN(INDEX(Bases!$P$2:$P$53,B93),INDEX(Bases!$P$2:$P$53,C93))</f>
        <v>65.6666666666667</v>
      </c>
      <c r="W93" s="2" t="n">
        <f aca="false">Settings!$B$4*MAX(INDEX(Bases!$Q$2:$Q$53,B93),INDEX(Bases!$Q$2:$Q$53,C93))+Settings!$B$5*MIN(INDEX(Bases!$Q$2:$Q$53,B93),INDEX(Bases!$Q$2:$Q$53,C93))</f>
        <v>65.6666666666667</v>
      </c>
      <c r="X93" s="2" t="n">
        <f aca="false">Settings!$B$4*MAX(INDEX(Bases!$R$2:$R$53,B93),INDEX(Bases!$R$2:$R$53,C93))+Settings!$B$5*MIN(INDEX(Bases!$R$2:$R$53,B93),INDEX(Bases!$R$2:$R$53,C93))</f>
        <v>58.3333333333333</v>
      </c>
      <c r="Y93" s="2" t="n">
        <f aca="false">S93*Settings!$B$3/SUM(S93:X93)</f>
        <v>98.9583333333333</v>
      </c>
      <c r="Z93" s="2" t="n">
        <f aca="false">T93*Settings!$B$3/SUM(S93:X93)</f>
        <v>95.3525641025641</v>
      </c>
      <c r="AA93" s="2" t="n">
        <f aca="false">U93*Settings!$B$3/SUM(S93:X93)</f>
        <v>77.724358974359</v>
      </c>
      <c r="AB93" s="2" t="n">
        <f aca="false">V93*Settings!$B$3/SUM(S93:X93)</f>
        <v>78.9262820512821</v>
      </c>
      <c r="AC93" s="2" t="n">
        <f aca="false">W93*Settings!$B$3/SUM(S93:X93)</f>
        <v>78.9262820512821</v>
      </c>
      <c r="AD93" s="2" t="n">
        <f aca="false">X93*Settings!$B$3/SUM(S93:X93)</f>
        <v>70.1121794871795</v>
      </c>
      <c r="AE93" s="2" t="n">
        <f aca="false">INT(Y93)</f>
        <v>98</v>
      </c>
      <c r="AF93" s="2" t="n">
        <f aca="false">INT(Z93)</f>
        <v>95</v>
      </c>
      <c r="AG93" s="2" t="n">
        <f aca="false">INT(AA93)</f>
        <v>77</v>
      </c>
      <c r="AH93" s="2" t="n">
        <f aca="false">INT(AB93)</f>
        <v>78</v>
      </c>
      <c r="AI93" s="2" t="n">
        <f aca="false">INT(AC93)</f>
        <v>78</v>
      </c>
      <c r="AJ93" s="2" t="n">
        <f aca="false">INT(AD93)</f>
        <v>70</v>
      </c>
      <c r="AK93" s="2" t="n">
        <f aca="false">Settings!$B$3-SUM(AE93:AJ93)</f>
        <v>4</v>
      </c>
      <c r="AL93" s="2" t="n">
        <f aca="false">ROUND(Y93-AE93,9)</f>
        <v>0.958333333</v>
      </c>
      <c r="AM93" s="2" t="n">
        <f aca="false">ROUND(Z93-AF93,9)</f>
        <v>0.352564103</v>
      </c>
      <c r="AN93" s="2" t="n">
        <f aca="false">ROUND(AA93-AG93,9)</f>
        <v>0.724358974</v>
      </c>
      <c r="AO93" s="2" t="n">
        <f aca="false">ROUND(AB93-AH93,9)</f>
        <v>0.926282051</v>
      </c>
      <c r="AP93" s="2" t="n">
        <f aca="false">ROUND(AC93-AI93,9)</f>
        <v>0.926282051</v>
      </c>
      <c r="AQ93" s="2" t="n">
        <f aca="false">ROUND(AD93-AJ93,9)</f>
        <v>0.112179487</v>
      </c>
    </row>
    <row r="94" customFormat="false" ht="15" hidden="false" customHeight="false" outlineLevel="0" collapsed="false">
      <c r="A94" s="2" t="n">
        <v>93</v>
      </c>
      <c r="B94" s="6" t="n">
        <v>2</v>
      </c>
      <c r="C94" s="6" t="n">
        <v>44</v>
      </c>
      <c r="D94" s="8" t="str">
        <f aca="false">INDEX(Bases!$B$2:$B$53,B94)</f>
        <v>Dunsparce</v>
      </c>
      <c r="E94" s="8" t="str">
        <f aca="false">INDEX(Bases!$B$2:$B$53,C94)</f>
        <v>Bagon</v>
      </c>
      <c r="F94" s="2" t="str">
        <f aca="false">LEFT(D94,ROUNDUP(LEN(D94)/2,0))&amp;LOWER(MID(E94,ROUNDUP(LEN(E94)/2,0)+1,20))</f>
        <v>Dunspon</v>
      </c>
      <c r="G94" s="8" t="str">
        <f aca="false">INDEX(Bases!$C$2:$C$53,B94)</f>
        <v>Normal</v>
      </c>
      <c r="H94" s="8" t="str">
        <f aca="false">IF(INDEX(Bases!$C$2:$C$53,C94)=G94,"",INDEX(Bases!$C$2:$C$53,C94))</f>
        <v>Dragon</v>
      </c>
      <c r="I94" s="8" t="str">
        <f aca="false">IF(INDEX(Bases!$E$2:$E$53,B94)="","",INDEX(Bases!$E$2:$E$53,B94))</f>
        <v/>
      </c>
      <c r="J94" s="8" t="str">
        <f aca="false">IF(INDEX(Bases!$E$2:$E$53,C94)="","",INDEX(Bases!$E$2:$E$53,C94))</f>
        <v/>
      </c>
      <c r="K94" s="5"/>
      <c r="L94" s="2" t="n">
        <f aca="false">AE94+IF(SUMPRODUCT(--($AL94:$AQ94&gt;AL94))&lt;$AK94,1,0)</f>
        <v>99</v>
      </c>
      <c r="M94" s="2" t="n">
        <f aca="false">AF94+IF(SUMPRODUCT(--($AL94:$AQ94&gt;AM94))+SUMPRODUCT(--($AL94:AL94=AM94))&lt;$AK94,1,0)</f>
        <v>106</v>
      </c>
      <c r="N94" s="2" t="n">
        <f aca="false">AG94+IF(SUMPRODUCT(--($AL94:$AQ94&gt;AN94))+SUMPRODUCT(--($AL94:AM94=AN94))&lt;$AK94,1,0)</f>
        <v>89</v>
      </c>
      <c r="O94" s="2" t="n">
        <f aca="false">AH94+IF(SUMPRODUCT(--($AL94:$AQ94&gt;AO94))+SUMPRODUCT(--($AL94:AN94=AO94))&lt;$AK94,1,0)</f>
        <v>71</v>
      </c>
      <c r="P94" s="2" t="n">
        <f aca="false">AI94+IF(SUMPRODUCT(--($AL94:$AQ94&gt;AP94))+SUMPRODUCT(--($AL94:AO94=AP94))&lt;$AK94,1,0)</f>
        <v>65</v>
      </c>
      <c r="Q94" s="2" t="n">
        <f aca="false">AJ94+IF(SUMPRODUCT(--($AL94:$AQ94&gt;AQ94))+SUMPRODUCT(--($AL94:AP94=AQ94))&lt;$AK94,1,0)</f>
        <v>70</v>
      </c>
      <c r="R94" s="2" t="n">
        <f aca="false">SUM(L94:Q94)</f>
        <v>500</v>
      </c>
      <c r="S94" s="2" t="n">
        <f aca="false">Settings!$B$4*MAX(INDEX(Bases!$M$2:$M$53,B94),INDEX(Bases!$M$2:$M$53,C94))+Settings!$B$5*MIN(INDEX(Bases!$M$2:$M$53,B94),INDEX(Bases!$M$2:$M$53,C94))</f>
        <v>84</v>
      </c>
      <c r="T94" s="2" t="n">
        <f aca="false">Settings!$B$4*MAX(INDEX(Bases!$N$2:$N$53,B94),INDEX(Bases!$N$2:$N$53,C94))+Settings!$B$5*MIN(INDEX(Bases!$N$2:$N$53,B94),INDEX(Bases!$N$2:$N$53,C94))</f>
        <v>89.3333333333333</v>
      </c>
      <c r="U94" s="2" t="n">
        <f aca="false">Settings!$B$4*MAX(INDEX(Bases!$O$2:$O$53,B94),INDEX(Bases!$O$2:$O$53,C94))+Settings!$B$5*MIN(INDEX(Bases!$O$2:$O$53,B94),INDEX(Bases!$O$2:$O$53,C94))</f>
        <v>75.6666666666667</v>
      </c>
      <c r="V94" s="2" t="n">
        <f aca="false">Settings!$B$4*MAX(INDEX(Bases!$P$2:$P$53,B94),INDEX(Bases!$P$2:$P$53,C94))+Settings!$B$5*MIN(INDEX(Bases!$P$2:$P$53,B94),INDEX(Bases!$P$2:$P$53,C94))</f>
        <v>59.6666666666667</v>
      </c>
      <c r="W94" s="2" t="n">
        <f aca="false">Settings!$B$4*MAX(INDEX(Bases!$Q$2:$Q$53,B94),INDEX(Bases!$Q$2:$Q$53,C94))+Settings!$B$5*MIN(INDEX(Bases!$Q$2:$Q$53,B94),INDEX(Bases!$Q$2:$Q$53,C94))</f>
        <v>55.3333333333333</v>
      </c>
      <c r="X94" s="2" t="n">
        <f aca="false">Settings!$B$4*MAX(INDEX(Bases!$R$2:$R$53,B94),INDEX(Bases!$R$2:$R$53,C94))+Settings!$B$5*MIN(INDEX(Bases!$R$2:$R$53,B94),INDEX(Bases!$R$2:$R$53,C94))</f>
        <v>59</v>
      </c>
      <c r="Y94" s="2" t="n">
        <f aca="false">S94*Settings!$B$3/SUM(S94:X94)</f>
        <v>99.290780141844</v>
      </c>
      <c r="Z94" s="2" t="n">
        <f aca="false">T94*Settings!$B$3/SUM(S94:X94)</f>
        <v>105.594956658786</v>
      </c>
      <c r="AA94" s="2" t="n">
        <f aca="false">U94*Settings!$B$3/SUM(S94:X94)</f>
        <v>89.4405043341213</v>
      </c>
      <c r="AB94" s="2" t="n">
        <f aca="false">V94*Settings!$B$3/SUM(S94:X94)</f>
        <v>70.5279747832939</v>
      </c>
      <c r="AC94" s="2" t="n">
        <f aca="false">W94*Settings!$B$3/SUM(S94:X94)</f>
        <v>65.4058313632782</v>
      </c>
      <c r="AD94" s="2" t="n">
        <f aca="false">X94*Settings!$B$3/SUM(S94:X94)</f>
        <v>69.7399527186761</v>
      </c>
      <c r="AE94" s="2" t="n">
        <f aca="false">INT(Y94)</f>
        <v>99</v>
      </c>
      <c r="AF94" s="2" t="n">
        <f aca="false">INT(Z94)</f>
        <v>105</v>
      </c>
      <c r="AG94" s="2" t="n">
        <f aca="false">INT(AA94)</f>
        <v>89</v>
      </c>
      <c r="AH94" s="2" t="n">
        <f aca="false">INT(AB94)</f>
        <v>70</v>
      </c>
      <c r="AI94" s="2" t="n">
        <f aca="false">INT(AC94)</f>
        <v>65</v>
      </c>
      <c r="AJ94" s="2" t="n">
        <f aca="false">INT(AD94)</f>
        <v>69</v>
      </c>
      <c r="AK94" s="2" t="n">
        <f aca="false">Settings!$B$3-SUM(AE94:AJ94)</f>
        <v>3</v>
      </c>
      <c r="AL94" s="2" t="n">
        <f aca="false">ROUND(Y94-AE94,9)</f>
        <v>0.290780142</v>
      </c>
      <c r="AM94" s="2" t="n">
        <f aca="false">ROUND(Z94-AF94,9)</f>
        <v>0.594956659</v>
      </c>
      <c r="AN94" s="2" t="n">
        <f aca="false">ROUND(AA94-AG94,9)</f>
        <v>0.440504334</v>
      </c>
      <c r="AO94" s="2" t="n">
        <f aca="false">ROUND(AB94-AH94,9)</f>
        <v>0.527974783</v>
      </c>
      <c r="AP94" s="2" t="n">
        <f aca="false">ROUND(AC94-AI94,9)</f>
        <v>0.405831363</v>
      </c>
      <c r="AQ94" s="2" t="n">
        <f aca="false">ROUND(AD94-AJ94,9)</f>
        <v>0.739952719</v>
      </c>
    </row>
    <row r="95" customFormat="false" ht="15" hidden="false" customHeight="false" outlineLevel="0" collapsed="false">
      <c r="A95" s="2" t="n">
        <v>94</v>
      </c>
      <c r="B95" s="6" t="n">
        <v>2</v>
      </c>
      <c r="C95" s="6" t="n">
        <v>45</v>
      </c>
      <c r="D95" s="8" t="str">
        <f aca="false">INDEX(Bases!$B$2:$B$53,B95)</f>
        <v>Dunsparce</v>
      </c>
      <c r="E95" s="8" t="str">
        <f aca="false">INDEX(Bases!$B$2:$B$53,C95)</f>
        <v>Sneasel</v>
      </c>
      <c r="F95" s="2" t="str">
        <f aca="false">LEFT(D95,ROUNDUP(LEN(D95)/2,0))&amp;LOWER(MID(E95,ROUNDUP(LEN(E95)/2,0)+1,20))</f>
        <v>Dunspsel</v>
      </c>
      <c r="G95" s="8" t="str">
        <f aca="false">INDEX(Bases!$C$2:$C$53,B95)</f>
        <v>Normal</v>
      </c>
      <c r="H95" s="8" t="str">
        <f aca="false">IF(INDEX(Bases!$C$2:$C$53,C95)=G95,"",INDEX(Bases!$C$2:$C$53,C95))</f>
        <v>Dark</v>
      </c>
      <c r="I95" s="8" t="str">
        <f aca="false">IF(INDEX(Bases!$E$2:$E$53,B95)="","",INDEX(Bases!$E$2:$E$53,B95))</f>
        <v/>
      </c>
      <c r="J95" s="8" t="str">
        <f aca="false">IF(INDEX(Bases!$E$2:$E$53,C95)="","",INDEX(Bases!$E$2:$E$53,C95))</f>
        <v/>
      </c>
      <c r="K95" s="5"/>
      <c r="L95" s="2" t="n">
        <f aca="false">AE95+IF(SUMPRODUCT(--($AL95:$AQ95&gt;AL95))&lt;$AK95,1,0)</f>
        <v>94</v>
      </c>
      <c r="M95" s="2" t="n">
        <f aca="false">AF95+IF(SUMPRODUCT(--($AL95:$AQ95&gt;AM95))+SUMPRODUCT(--($AL95:AL95=AM95))&lt;$AK95,1,0)</f>
        <v>94</v>
      </c>
      <c r="N95" s="2" t="n">
        <f aca="false">AG95+IF(SUMPRODUCT(--($AL95:$AQ95&gt;AN95))+SUMPRODUCT(--($AL95:AM95=AN95))&lt;$AK95,1,0)</f>
        <v>72</v>
      </c>
      <c r="O95" s="2" t="n">
        <f aca="false">AH95+IF(SUMPRODUCT(--($AL95:$AQ95&gt;AO95))+SUMPRODUCT(--($AL95:AN95=AO95))&lt;$AK95,1,0)</f>
        <v>62</v>
      </c>
      <c r="P95" s="2" t="n">
        <f aca="false">AI95+IF(SUMPRODUCT(--($AL95:$AQ95&gt;AP95))+SUMPRODUCT(--($AL95:AO95=AP95))&lt;$AK95,1,0)</f>
        <v>79</v>
      </c>
      <c r="Q95" s="2" t="n">
        <f aca="false">AJ95+IF(SUMPRODUCT(--($AL95:$AQ95&gt;AQ95))+SUMPRODUCT(--($AL95:AP95=AQ95))&lt;$AK95,1,0)</f>
        <v>99</v>
      </c>
      <c r="R95" s="2" t="n">
        <f aca="false">SUM(L95:Q95)</f>
        <v>500</v>
      </c>
      <c r="S95" s="2" t="n">
        <f aca="false">Settings!$B$4*MAX(INDEX(Bases!$M$2:$M$53,B95),INDEX(Bases!$M$2:$M$53,C95))+Settings!$B$5*MIN(INDEX(Bases!$M$2:$M$53,B95),INDEX(Bases!$M$2:$M$53,C95))</f>
        <v>81</v>
      </c>
      <c r="T95" s="2" t="n">
        <f aca="false">Settings!$B$4*MAX(INDEX(Bases!$N$2:$N$53,B95),INDEX(Bases!$N$2:$N$53,C95))+Settings!$B$5*MIN(INDEX(Bases!$N$2:$N$53,B95),INDEX(Bases!$N$2:$N$53,C95))</f>
        <v>81.3333333333333</v>
      </c>
      <c r="U95" s="2" t="n">
        <f aca="false">Settings!$B$4*MAX(INDEX(Bases!$O$2:$O$53,B95),INDEX(Bases!$O$2:$O$53,C95))+Settings!$B$5*MIN(INDEX(Bases!$O$2:$O$53,B95),INDEX(Bases!$O$2:$O$53,C95))</f>
        <v>61.6666666666667</v>
      </c>
      <c r="V95" s="2" t="n">
        <f aca="false">Settings!$B$4*MAX(INDEX(Bases!$P$2:$P$53,B95),INDEX(Bases!$P$2:$P$53,C95))+Settings!$B$5*MIN(INDEX(Bases!$P$2:$P$53,B95),INDEX(Bases!$P$2:$P$53,C95))</f>
        <v>53</v>
      </c>
      <c r="W95" s="2" t="n">
        <f aca="false">Settings!$B$4*MAX(INDEX(Bases!$Q$2:$Q$53,B95),INDEX(Bases!$Q$2:$Q$53,C95))+Settings!$B$5*MIN(INDEX(Bases!$Q$2:$Q$53,B95),INDEX(Bases!$Q$2:$Q$53,C95))</f>
        <v>67.6666666666667</v>
      </c>
      <c r="X95" s="2" t="n">
        <f aca="false">Settings!$B$4*MAX(INDEX(Bases!$R$2:$R$53,B95),INDEX(Bases!$R$2:$R$53,C95))+Settings!$B$5*MIN(INDEX(Bases!$R$2:$R$53,B95),INDEX(Bases!$R$2:$R$53,C95))</f>
        <v>85.6666666666667</v>
      </c>
      <c r="Y95" s="2" t="n">
        <f aca="false">S95*Settings!$B$3/SUM(S95:X95)</f>
        <v>94.1130906274206</v>
      </c>
      <c r="Z95" s="2" t="n">
        <f aca="false">T95*Settings!$B$3/SUM(S95:X95)</f>
        <v>94.5003872966692</v>
      </c>
      <c r="AA95" s="2" t="n">
        <f aca="false">U95*Settings!$B$3/SUM(S95:X95)</f>
        <v>71.6498838109992</v>
      </c>
      <c r="AB95" s="2" t="n">
        <f aca="false">V95*Settings!$B$3/SUM(S95:X95)</f>
        <v>61.5801704105345</v>
      </c>
      <c r="AC95" s="2" t="n">
        <f aca="false">W95*Settings!$B$3/SUM(S95:X95)</f>
        <v>78.6212238574748</v>
      </c>
      <c r="AD95" s="2" t="n">
        <f aca="false">X95*Settings!$B$3/SUM(S95:X95)</f>
        <v>99.5352439969016</v>
      </c>
      <c r="AE95" s="2" t="n">
        <f aca="false">INT(Y95)</f>
        <v>94</v>
      </c>
      <c r="AF95" s="2" t="n">
        <f aca="false">INT(Z95)</f>
        <v>94</v>
      </c>
      <c r="AG95" s="2" t="n">
        <f aca="false">INT(AA95)</f>
        <v>71</v>
      </c>
      <c r="AH95" s="2" t="n">
        <f aca="false">INT(AB95)</f>
        <v>61</v>
      </c>
      <c r="AI95" s="2" t="n">
        <f aca="false">INT(AC95)</f>
        <v>78</v>
      </c>
      <c r="AJ95" s="2" t="n">
        <f aca="false">INT(AD95)</f>
        <v>99</v>
      </c>
      <c r="AK95" s="2" t="n">
        <f aca="false">Settings!$B$3-SUM(AE95:AJ95)</f>
        <v>3</v>
      </c>
      <c r="AL95" s="2" t="n">
        <f aca="false">ROUND(Y95-AE95,9)</f>
        <v>0.113090627</v>
      </c>
      <c r="AM95" s="2" t="n">
        <f aca="false">ROUND(Z95-AF95,9)</f>
        <v>0.500387297</v>
      </c>
      <c r="AN95" s="2" t="n">
        <f aca="false">ROUND(AA95-AG95,9)</f>
        <v>0.649883811</v>
      </c>
      <c r="AO95" s="2" t="n">
        <f aca="false">ROUND(AB95-AH95,9)</f>
        <v>0.580170411</v>
      </c>
      <c r="AP95" s="2" t="n">
        <f aca="false">ROUND(AC95-AI95,9)</f>
        <v>0.621223857</v>
      </c>
      <c r="AQ95" s="2" t="n">
        <f aca="false">ROUND(AD95-AJ95,9)</f>
        <v>0.535243997</v>
      </c>
    </row>
    <row r="96" customFormat="false" ht="15" hidden="false" customHeight="false" outlineLevel="0" collapsed="false">
      <c r="A96" s="2" t="n">
        <v>95</v>
      </c>
      <c r="B96" s="6" t="n">
        <v>2</v>
      </c>
      <c r="C96" s="6" t="n">
        <v>46</v>
      </c>
      <c r="D96" s="8" t="str">
        <f aca="false">INDEX(Bases!$B$2:$B$53,B96)</f>
        <v>Dunsparce</v>
      </c>
      <c r="E96" s="8" t="str">
        <f aca="false">INDEX(Bases!$B$2:$B$53,C96)</f>
        <v>Houndour</v>
      </c>
      <c r="F96" s="2" t="str">
        <f aca="false">LEFT(D96,ROUNDUP(LEN(D96)/2,0))&amp;LOWER(MID(E96,ROUNDUP(LEN(E96)/2,0)+1,20))</f>
        <v>Dunspdour</v>
      </c>
      <c r="G96" s="8" t="str">
        <f aca="false">INDEX(Bases!$C$2:$C$53,B96)</f>
        <v>Normal</v>
      </c>
      <c r="H96" s="8" t="str">
        <f aca="false">IF(INDEX(Bases!$C$2:$C$53,C96)=G96,"",INDEX(Bases!$C$2:$C$53,C96))</f>
        <v>Dark</v>
      </c>
      <c r="I96" s="8" t="str">
        <f aca="false">IF(INDEX(Bases!$E$2:$E$53,B96)="","",INDEX(Bases!$E$2:$E$53,B96))</f>
        <v/>
      </c>
      <c r="J96" s="8" t="str">
        <f aca="false">IF(INDEX(Bases!$E$2:$E$53,C96)="","",INDEX(Bases!$E$2:$E$53,C96))</f>
        <v/>
      </c>
      <c r="K96" s="5"/>
      <c r="L96" s="2" t="n">
        <f aca="false">AE96+IF(SUMPRODUCT(--($AL96:$AQ96&gt;AL96))&lt;$AK96,1,0)</f>
        <v>96</v>
      </c>
      <c r="M96" s="2" t="n">
        <f aca="false">AF96+IF(SUMPRODUCT(--($AL96:$AQ96&gt;AM96))+SUMPRODUCT(--($AL96:AL96=AM96))&lt;$AK96,1,0)</f>
        <v>84</v>
      </c>
      <c r="N96" s="2" t="n">
        <f aca="false">AG96+IF(SUMPRODUCT(--($AL96:$AQ96&gt;AN96))+SUMPRODUCT(--($AL96:AM96=AN96))&lt;$AK96,1,0)</f>
        <v>67</v>
      </c>
      <c r="O96" s="2" t="n">
        <f aca="false">AH96+IF(SUMPRODUCT(--($AL96:$AQ96&gt;AO96))+SUMPRODUCT(--($AL96:AN96=AO96))&lt;$AK96,1,0)</f>
        <v>101</v>
      </c>
      <c r="P96" s="2" t="n">
        <f aca="false">AI96+IF(SUMPRODUCT(--($AL96:$AQ96&gt;AP96))+SUMPRODUCT(--($AL96:AO96=AP96))&lt;$AK96,1,0)</f>
        <v>73</v>
      </c>
      <c r="Q96" s="2" t="n">
        <f aca="false">AJ96+IF(SUMPRODUCT(--($AL96:$AQ96&gt;AQ96))+SUMPRODUCT(--($AL96:AP96=AQ96))&lt;$AK96,1,0)</f>
        <v>79</v>
      </c>
      <c r="R96" s="2" t="n">
        <f aca="false">SUM(L96:Q96)</f>
        <v>500</v>
      </c>
      <c r="S96" s="2" t="n">
        <f aca="false">Settings!$B$4*MAX(INDEX(Bases!$M$2:$M$53,B96),INDEX(Bases!$M$2:$M$53,C96))+Settings!$B$5*MIN(INDEX(Bases!$M$2:$M$53,B96),INDEX(Bases!$M$2:$M$53,C96))</f>
        <v>82</v>
      </c>
      <c r="T96" s="2" t="n">
        <f aca="false">Settings!$B$4*MAX(INDEX(Bases!$N$2:$N$53,B96),INDEX(Bases!$N$2:$N$53,C96))+Settings!$B$5*MIN(INDEX(Bases!$N$2:$N$53,B96),INDEX(Bases!$N$2:$N$53,C96))</f>
        <v>71.3333333333333</v>
      </c>
      <c r="U96" s="2" t="n">
        <f aca="false">Settings!$B$4*MAX(INDEX(Bases!$O$2:$O$53,B96),INDEX(Bases!$O$2:$O$53,C96))+Settings!$B$5*MIN(INDEX(Bases!$O$2:$O$53,B96),INDEX(Bases!$O$2:$O$53,C96))</f>
        <v>56.6666666666667</v>
      </c>
      <c r="V96" s="2" t="n">
        <f aca="false">Settings!$B$4*MAX(INDEX(Bases!$P$2:$P$53,B96),INDEX(Bases!$P$2:$P$53,C96))+Settings!$B$5*MIN(INDEX(Bases!$P$2:$P$53,B96),INDEX(Bases!$P$2:$P$53,C96))</f>
        <v>85.6666666666667</v>
      </c>
      <c r="W96" s="2" t="n">
        <f aca="false">Settings!$B$4*MAX(INDEX(Bases!$Q$2:$Q$53,B96),INDEX(Bases!$Q$2:$Q$53,C96))+Settings!$B$5*MIN(INDEX(Bases!$Q$2:$Q$53,B96),INDEX(Bases!$Q$2:$Q$53,C96))</f>
        <v>62.3333333333333</v>
      </c>
      <c r="X96" s="2" t="n">
        <f aca="false">Settings!$B$4*MAX(INDEX(Bases!$R$2:$R$53,B96),INDEX(Bases!$R$2:$R$53,C96))+Settings!$B$5*MIN(INDEX(Bases!$R$2:$R$53,B96),INDEX(Bases!$R$2:$R$53,C96))</f>
        <v>67</v>
      </c>
      <c r="Y96" s="2" t="n">
        <f aca="false">S96*Settings!$B$3/SUM(S96:X96)</f>
        <v>96.4705882352941</v>
      </c>
      <c r="Z96" s="2" t="n">
        <f aca="false">T96*Settings!$B$3/SUM(S96:X96)</f>
        <v>83.921568627451</v>
      </c>
      <c r="AA96" s="2" t="n">
        <f aca="false">U96*Settings!$B$3/SUM(S96:X96)</f>
        <v>66.6666666666667</v>
      </c>
      <c r="AB96" s="2" t="n">
        <f aca="false">V96*Settings!$B$3/SUM(S96:X96)</f>
        <v>100.78431372549</v>
      </c>
      <c r="AC96" s="2" t="n">
        <f aca="false">W96*Settings!$B$3/SUM(S96:X96)</f>
        <v>73.3333333333333</v>
      </c>
      <c r="AD96" s="2" t="n">
        <f aca="false">X96*Settings!$B$3/SUM(S96:X96)</f>
        <v>78.8235294117647</v>
      </c>
      <c r="AE96" s="2" t="n">
        <f aca="false">INT(Y96)</f>
        <v>96</v>
      </c>
      <c r="AF96" s="2" t="n">
        <f aca="false">INT(Z96)</f>
        <v>83</v>
      </c>
      <c r="AG96" s="2" t="n">
        <f aca="false">INT(AA96)</f>
        <v>66</v>
      </c>
      <c r="AH96" s="2" t="n">
        <f aca="false">INT(AB96)</f>
        <v>100</v>
      </c>
      <c r="AI96" s="2" t="n">
        <f aca="false">INT(AC96)</f>
        <v>73</v>
      </c>
      <c r="AJ96" s="2" t="n">
        <f aca="false">INT(AD96)</f>
        <v>78</v>
      </c>
      <c r="AK96" s="2" t="n">
        <f aca="false">Settings!$B$3-SUM(AE96:AJ96)</f>
        <v>4</v>
      </c>
      <c r="AL96" s="2" t="n">
        <f aca="false">ROUND(Y96-AE96,9)</f>
        <v>0.470588235</v>
      </c>
      <c r="AM96" s="2" t="n">
        <f aca="false">ROUND(Z96-AF96,9)</f>
        <v>0.921568627</v>
      </c>
      <c r="AN96" s="2" t="n">
        <f aca="false">ROUND(AA96-AG96,9)</f>
        <v>0.666666667</v>
      </c>
      <c r="AO96" s="2" t="n">
        <f aca="false">ROUND(AB96-AH96,9)</f>
        <v>0.784313725</v>
      </c>
      <c r="AP96" s="2" t="n">
        <f aca="false">ROUND(AC96-AI96,9)</f>
        <v>0.333333333</v>
      </c>
      <c r="AQ96" s="2" t="n">
        <f aca="false">ROUND(AD96-AJ96,9)</f>
        <v>0.823529412</v>
      </c>
    </row>
    <row r="97" customFormat="false" ht="15" hidden="false" customHeight="false" outlineLevel="0" collapsed="false">
      <c r="A97" s="2" t="n">
        <v>96</v>
      </c>
      <c r="B97" s="6" t="n">
        <v>2</v>
      </c>
      <c r="C97" s="6" t="n">
        <v>47</v>
      </c>
      <c r="D97" s="8" t="str">
        <f aca="false">INDEX(Bases!$B$2:$B$53,B97)</f>
        <v>Dunsparce</v>
      </c>
      <c r="E97" s="8" t="str">
        <f aca="false">INDEX(Bases!$B$2:$B$53,C97)</f>
        <v>Carvanha</v>
      </c>
      <c r="F97" s="2" t="str">
        <f aca="false">LEFT(D97,ROUNDUP(LEN(D97)/2,0))&amp;LOWER(MID(E97,ROUNDUP(LEN(E97)/2,0)+1,20))</f>
        <v>Dunspanha</v>
      </c>
      <c r="G97" s="8" t="str">
        <f aca="false">INDEX(Bases!$C$2:$C$53,B97)</f>
        <v>Normal</v>
      </c>
      <c r="H97" s="8" t="str">
        <f aca="false">IF(INDEX(Bases!$C$2:$C$53,C97)=G97,"",INDEX(Bases!$C$2:$C$53,C97))</f>
        <v>Dark</v>
      </c>
      <c r="I97" s="8" t="str">
        <f aca="false">IF(INDEX(Bases!$E$2:$E$53,B97)="","",INDEX(Bases!$E$2:$E$53,B97))</f>
        <v/>
      </c>
      <c r="J97" s="8" t="str">
        <f aca="false">IF(INDEX(Bases!$E$2:$E$53,C97)="","",INDEX(Bases!$E$2:$E$53,C97))</f>
        <v/>
      </c>
      <c r="K97" s="5"/>
      <c r="L97" s="2" t="n">
        <f aca="false">AE97+IF(SUMPRODUCT(--($AL97:$AQ97&gt;AL97))&lt;$AK97,1,0)</f>
        <v>95</v>
      </c>
      <c r="M97" s="2" t="n">
        <f aca="false">AF97+IF(SUMPRODUCT(--($AL97:$AQ97&gt;AM97))+SUMPRODUCT(--($AL97:AL97=AM97))&lt;$AK97,1,0)</f>
        <v>116</v>
      </c>
      <c r="N97" s="2" t="n">
        <f aca="false">AG97+IF(SUMPRODUCT(--($AL97:$AQ97&gt;AN97))+SUMPRODUCT(--($AL97:AM97=AN97))&lt;$AK97,1,0)</f>
        <v>61</v>
      </c>
      <c r="O97" s="2" t="n">
        <f aca="false">AH97+IF(SUMPRODUCT(--($AL97:$AQ97&gt;AO97))+SUMPRODUCT(--($AL97:AN97=AO97))&lt;$AK97,1,0)</f>
        <v>89</v>
      </c>
      <c r="P97" s="2" t="n">
        <f aca="false">AI97+IF(SUMPRODUCT(--($AL97:$AQ97&gt;AP97))+SUMPRODUCT(--($AL97:AO97=AP97))&lt;$AK97,1,0)</f>
        <v>58</v>
      </c>
      <c r="Q97" s="2" t="n">
        <f aca="false">AJ97+IF(SUMPRODUCT(--($AL97:$AQ97&gt;AQ97))+SUMPRODUCT(--($AL97:AP97=AQ97))&lt;$AK97,1,0)</f>
        <v>81</v>
      </c>
      <c r="R97" s="2" t="n">
        <f aca="false">SUM(L97:Q97)</f>
        <v>500</v>
      </c>
      <c r="S97" s="2" t="n">
        <f aca="false">Settings!$B$4*MAX(INDEX(Bases!$M$2:$M$53,B97),INDEX(Bases!$M$2:$M$53,C97))+Settings!$B$5*MIN(INDEX(Bases!$M$2:$M$53,B97),INDEX(Bases!$M$2:$M$53,C97))</f>
        <v>83.6666666666667</v>
      </c>
      <c r="T97" s="2" t="n">
        <f aca="false">Settings!$B$4*MAX(INDEX(Bases!$N$2:$N$53,B97),INDEX(Bases!$N$2:$N$53,C97))+Settings!$B$5*MIN(INDEX(Bases!$N$2:$N$53,B97),INDEX(Bases!$N$2:$N$53,C97))</f>
        <v>101.333333333333</v>
      </c>
      <c r="U97" s="2" t="n">
        <f aca="false">Settings!$B$4*MAX(INDEX(Bases!$O$2:$O$53,B97),INDEX(Bases!$O$2:$O$53,C97))+Settings!$B$5*MIN(INDEX(Bases!$O$2:$O$53,B97),INDEX(Bases!$O$2:$O$53,C97))</f>
        <v>53.3333333333333</v>
      </c>
      <c r="V97" s="2" t="n">
        <f aca="false">Settings!$B$4*MAX(INDEX(Bases!$P$2:$P$53,B97),INDEX(Bases!$P$2:$P$53,C97))+Settings!$B$5*MIN(INDEX(Bases!$P$2:$P$53,B97),INDEX(Bases!$P$2:$P$53,C97))</f>
        <v>78.3333333333333</v>
      </c>
      <c r="W97" s="2" t="n">
        <f aca="false">Settings!$B$4*MAX(INDEX(Bases!$Q$2:$Q$53,B97),INDEX(Bases!$Q$2:$Q$53,C97))+Settings!$B$5*MIN(INDEX(Bases!$Q$2:$Q$53,B97),INDEX(Bases!$Q$2:$Q$53,C97))</f>
        <v>50.6666666666667</v>
      </c>
      <c r="X97" s="2" t="n">
        <f aca="false">Settings!$B$4*MAX(INDEX(Bases!$R$2:$R$53,B97),INDEX(Bases!$R$2:$R$53,C97))+Settings!$B$5*MIN(INDEX(Bases!$R$2:$R$53,B97),INDEX(Bases!$R$2:$R$53,C97))</f>
        <v>71</v>
      </c>
      <c r="Y97" s="2" t="n">
        <f aca="false">S97*Settings!$B$3/SUM(S97:X97)</f>
        <v>95.4372623574145</v>
      </c>
      <c r="Z97" s="2" t="n">
        <f aca="false">T97*Settings!$B$3/SUM(S97:X97)</f>
        <v>115.589353612167</v>
      </c>
      <c r="AA97" s="2" t="n">
        <f aca="false">U97*Settings!$B$3/SUM(S97:X97)</f>
        <v>60.8365019011407</v>
      </c>
      <c r="AB97" s="2" t="n">
        <f aca="false">V97*Settings!$B$3/SUM(S97:X97)</f>
        <v>89.3536121673004</v>
      </c>
      <c r="AC97" s="2" t="n">
        <f aca="false">W97*Settings!$B$3/SUM(S97:X97)</f>
        <v>57.7946768060837</v>
      </c>
      <c r="AD97" s="2" t="n">
        <f aca="false">X97*Settings!$B$3/SUM(S97:X97)</f>
        <v>80.9885931558935</v>
      </c>
      <c r="AE97" s="2" t="n">
        <f aca="false">INT(Y97)</f>
        <v>95</v>
      </c>
      <c r="AF97" s="2" t="n">
        <f aca="false">INT(Z97)</f>
        <v>115</v>
      </c>
      <c r="AG97" s="2" t="n">
        <f aca="false">INT(AA97)</f>
        <v>60</v>
      </c>
      <c r="AH97" s="2" t="n">
        <f aca="false">INT(AB97)</f>
        <v>89</v>
      </c>
      <c r="AI97" s="2" t="n">
        <f aca="false">INT(AC97)</f>
        <v>57</v>
      </c>
      <c r="AJ97" s="2" t="n">
        <f aca="false">INT(AD97)</f>
        <v>80</v>
      </c>
      <c r="AK97" s="2" t="n">
        <f aca="false">Settings!$B$3-SUM(AE97:AJ97)</f>
        <v>4</v>
      </c>
      <c r="AL97" s="2" t="n">
        <f aca="false">ROUND(Y97-AE97,9)</f>
        <v>0.437262357</v>
      </c>
      <c r="AM97" s="2" t="n">
        <f aca="false">ROUND(Z97-AF97,9)</f>
        <v>0.589353612</v>
      </c>
      <c r="AN97" s="2" t="n">
        <f aca="false">ROUND(AA97-AG97,9)</f>
        <v>0.836501901</v>
      </c>
      <c r="AO97" s="2" t="n">
        <f aca="false">ROUND(AB97-AH97,9)</f>
        <v>0.353612167</v>
      </c>
      <c r="AP97" s="2" t="n">
        <f aca="false">ROUND(AC97-AI97,9)</f>
        <v>0.794676806</v>
      </c>
      <c r="AQ97" s="2" t="n">
        <f aca="false">ROUND(AD97-AJ97,9)</f>
        <v>0.988593156</v>
      </c>
    </row>
    <row r="98" customFormat="false" ht="15" hidden="false" customHeight="false" outlineLevel="0" collapsed="false">
      <c r="A98" s="2" t="n">
        <v>97</v>
      </c>
      <c r="B98" s="6" t="n">
        <v>2</v>
      </c>
      <c r="C98" s="6" t="n">
        <v>48</v>
      </c>
      <c r="D98" s="8" t="str">
        <f aca="false">INDEX(Bases!$B$2:$B$53,B98)</f>
        <v>Dunsparce</v>
      </c>
      <c r="E98" s="8" t="str">
        <f aca="false">INDEX(Bases!$B$2:$B$53,C98)</f>
        <v>Magnemite</v>
      </c>
      <c r="F98" s="2" t="str">
        <f aca="false">LEFT(D98,ROUNDUP(LEN(D98)/2,0))&amp;LOWER(MID(E98,ROUNDUP(LEN(E98)/2,0)+1,20))</f>
        <v>Dunspmite</v>
      </c>
      <c r="G98" s="8" t="str">
        <f aca="false">INDEX(Bases!$C$2:$C$53,B98)</f>
        <v>Normal</v>
      </c>
      <c r="H98" s="8" t="str">
        <f aca="false">IF(INDEX(Bases!$C$2:$C$53,C98)=G98,"",INDEX(Bases!$C$2:$C$53,C98))</f>
        <v>Steel</v>
      </c>
      <c r="I98" s="8" t="str">
        <f aca="false">IF(INDEX(Bases!$E$2:$E$53,B98)="","",INDEX(Bases!$E$2:$E$53,B98))</f>
        <v/>
      </c>
      <c r="J98" s="8" t="str">
        <f aca="false">IF(INDEX(Bases!$E$2:$E$53,C98)="","",INDEX(Bases!$E$2:$E$53,C98))</f>
        <v/>
      </c>
      <c r="K98" s="5"/>
      <c r="L98" s="2" t="n">
        <f aca="false">AE98+IF(SUMPRODUCT(--($AL98:$AQ98&gt;AL98))&lt;$AK98,1,0)</f>
        <v>87</v>
      </c>
      <c r="M98" s="2" t="n">
        <f aca="false">AF98+IF(SUMPRODUCT(--($AL98:$AQ98&gt;AM98))+SUMPRODUCT(--($AL98:AL98=AM98))&lt;$AK98,1,0)</f>
        <v>69</v>
      </c>
      <c r="N98" s="2" t="n">
        <f aca="false">AG98+IF(SUMPRODUCT(--($AL98:$AQ98&gt;AN98))+SUMPRODUCT(--($AL98:AM98=AN98))&lt;$AK98,1,0)</f>
        <v>93</v>
      </c>
      <c r="O98" s="2" t="n">
        <f aca="false">AH98+IF(SUMPRODUCT(--($AL98:$AQ98&gt;AO98))+SUMPRODUCT(--($AL98:AN98=AO98))&lt;$AK98,1,0)</f>
        <v>115</v>
      </c>
      <c r="P98" s="2" t="n">
        <f aca="false">AI98+IF(SUMPRODUCT(--($AL98:$AQ98&gt;AP98))+SUMPRODUCT(--($AL98:AO98=AP98))&lt;$AK98,1,0)</f>
        <v>77</v>
      </c>
      <c r="Q98" s="2" t="n">
        <f aca="false">AJ98+IF(SUMPRODUCT(--($AL98:$AQ98&gt;AQ98))+SUMPRODUCT(--($AL98:AP98=AQ98))&lt;$AK98,1,0)</f>
        <v>59</v>
      </c>
      <c r="R98" s="2" t="n">
        <f aca="false">SUM(L98:Q98)</f>
        <v>500</v>
      </c>
      <c r="S98" s="2" t="n">
        <f aca="false">Settings!$B$4*MAX(INDEX(Bases!$M$2:$M$53,B98),INDEX(Bases!$M$2:$M$53,C98))+Settings!$B$5*MIN(INDEX(Bases!$M$2:$M$53,B98),INDEX(Bases!$M$2:$M$53,C98))</f>
        <v>74.3333333333333</v>
      </c>
      <c r="T98" s="2" t="n">
        <f aca="false">Settings!$B$4*MAX(INDEX(Bases!$N$2:$N$53,B98),INDEX(Bases!$N$2:$N$53,C98))+Settings!$B$5*MIN(INDEX(Bases!$N$2:$N$53,B98),INDEX(Bases!$N$2:$N$53,C98))</f>
        <v>59.6666666666667</v>
      </c>
      <c r="U98" s="2" t="n">
        <f aca="false">Settings!$B$4*MAX(INDEX(Bases!$O$2:$O$53,B98),INDEX(Bases!$O$2:$O$53,C98))+Settings!$B$5*MIN(INDEX(Bases!$O$2:$O$53,B98),INDEX(Bases!$O$2:$O$53,C98))</f>
        <v>79.6666666666667</v>
      </c>
      <c r="V98" s="2" t="n">
        <f aca="false">Settings!$B$4*MAX(INDEX(Bases!$P$2:$P$53,B98),INDEX(Bases!$P$2:$P$53,C98))+Settings!$B$5*MIN(INDEX(Bases!$P$2:$P$53,B98),INDEX(Bases!$P$2:$P$53,C98))</f>
        <v>99</v>
      </c>
      <c r="W98" s="2" t="n">
        <f aca="false">Settings!$B$4*MAX(INDEX(Bases!$Q$2:$Q$53,B98),INDEX(Bases!$Q$2:$Q$53,C98))+Settings!$B$5*MIN(INDEX(Bases!$Q$2:$Q$53,B98),INDEX(Bases!$Q$2:$Q$53,C98))</f>
        <v>66.3333333333333</v>
      </c>
      <c r="X98" s="2" t="n">
        <f aca="false">Settings!$B$4*MAX(INDEX(Bases!$R$2:$R$53,B98),INDEX(Bases!$R$2:$R$53,C98))+Settings!$B$5*MIN(INDEX(Bases!$R$2:$R$53,B98),INDEX(Bases!$R$2:$R$53,C98))</f>
        <v>51</v>
      </c>
      <c r="Y98" s="2" t="n">
        <f aca="false">S98*Settings!$B$3/SUM(S98:X98)</f>
        <v>86.4341085271318</v>
      </c>
      <c r="Z98" s="2" t="n">
        <f aca="false">T98*Settings!$B$3/SUM(S98:X98)</f>
        <v>69.3798449612403</v>
      </c>
      <c r="AA98" s="2" t="n">
        <f aca="false">U98*Settings!$B$3/SUM(S98:X98)</f>
        <v>92.6356589147287</v>
      </c>
      <c r="AB98" s="2" t="n">
        <f aca="false">V98*Settings!$B$3/SUM(S98:X98)</f>
        <v>115.116279069767</v>
      </c>
      <c r="AC98" s="2" t="n">
        <f aca="false">W98*Settings!$B$3/SUM(S98:X98)</f>
        <v>77.1317829457364</v>
      </c>
      <c r="AD98" s="2" t="n">
        <f aca="false">X98*Settings!$B$3/SUM(S98:X98)</f>
        <v>59.3023255813954</v>
      </c>
      <c r="AE98" s="2" t="n">
        <f aca="false">INT(Y98)</f>
        <v>86</v>
      </c>
      <c r="AF98" s="2" t="n">
        <f aca="false">INT(Z98)</f>
        <v>69</v>
      </c>
      <c r="AG98" s="2" t="n">
        <f aca="false">INT(AA98)</f>
        <v>92</v>
      </c>
      <c r="AH98" s="2" t="n">
        <f aca="false">INT(AB98)</f>
        <v>115</v>
      </c>
      <c r="AI98" s="2" t="n">
        <f aca="false">INT(AC98)</f>
        <v>77</v>
      </c>
      <c r="AJ98" s="2" t="n">
        <f aca="false">INT(AD98)</f>
        <v>59</v>
      </c>
      <c r="AK98" s="2" t="n">
        <f aca="false">Settings!$B$3-SUM(AE98:AJ98)</f>
        <v>2</v>
      </c>
      <c r="AL98" s="2" t="n">
        <f aca="false">ROUND(Y98-AE98,9)</f>
        <v>0.434108527</v>
      </c>
      <c r="AM98" s="2" t="n">
        <f aca="false">ROUND(Z98-AF98,9)</f>
        <v>0.379844961</v>
      </c>
      <c r="AN98" s="2" t="n">
        <f aca="false">ROUND(AA98-AG98,9)</f>
        <v>0.635658915</v>
      </c>
      <c r="AO98" s="2" t="n">
        <f aca="false">ROUND(AB98-AH98,9)</f>
        <v>0.11627907</v>
      </c>
      <c r="AP98" s="2" t="n">
        <f aca="false">ROUND(AC98-AI98,9)</f>
        <v>0.131782946</v>
      </c>
      <c r="AQ98" s="2" t="n">
        <f aca="false">ROUND(AD98-AJ98,9)</f>
        <v>0.302325581</v>
      </c>
    </row>
    <row r="99" customFormat="false" ht="15" hidden="false" customHeight="false" outlineLevel="0" collapsed="false">
      <c r="A99" s="2" t="n">
        <v>98</v>
      </c>
      <c r="B99" s="6" t="n">
        <v>2</v>
      </c>
      <c r="C99" s="6" t="n">
        <v>49</v>
      </c>
      <c r="D99" s="8" t="str">
        <f aca="false">INDEX(Bases!$B$2:$B$53,B99)</f>
        <v>Dunsparce</v>
      </c>
      <c r="E99" s="8" t="str">
        <f aca="false">INDEX(Bases!$B$2:$B$53,C99)</f>
        <v>Aron</v>
      </c>
      <c r="F99" s="2" t="str">
        <f aca="false">LEFT(D99,ROUNDUP(LEN(D99)/2,0))&amp;LOWER(MID(E99,ROUNDUP(LEN(E99)/2,0)+1,20))</f>
        <v>Dunspon</v>
      </c>
      <c r="G99" s="8" t="str">
        <f aca="false">INDEX(Bases!$C$2:$C$53,B99)</f>
        <v>Normal</v>
      </c>
      <c r="H99" s="8" t="str">
        <f aca="false">IF(INDEX(Bases!$C$2:$C$53,C99)=G99,"",INDEX(Bases!$C$2:$C$53,C99))</f>
        <v>Steel</v>
      </c>
      <c r="I99" s="8" t="str">
        <f aca="false">IF(INDEX(Bases!$E$2:$E$53,B99)="","",INDEX(Bases!$E$2:$E$53,B99))</f>
        <v/>
      </c>
      <c r="J99" s="8" t="str">
        <f aca="false">IF(INDEX(Bases!$E$2:$E$53,C99)="","",INDEX(Bases!$E$2:$E$53,C99))</f>
        <v/>
      </c>
      <c r="K99" s="5"/>
      <c r="L99" s="2" t="n">
        <f aca="false">AE99+IF(SUMPRODUCT(--($AL99:$AQ99&gt;AL99))&lt;$AK99,1,0)</f>
        <v>99</v>
      </c>
      <c r="M99" s="2" t="n">
        <f aca="false">AF99+IF(SUMPRODUCT(--($AL99:$AQ99&gt;AM99))+SUMPRODUCT(--($AL99:AL99=AM99))&lt;$AK99,1,0)</f>
        <v>94</v>
      </c>
      <c r="N99" s="2" t="n">
        <f aca="false">AG99+IF(SUMPRODUCT(--($AL99:$AQ99&gt;AN99))+SUMPRODUCT(--($AL99:AM99=AN99))&lt;$AK99,1,0)</f>
        <v>122</v>
      </c>
      <c r="O99" s="2" t="n">
        <f aca="false">AH99+IF(SUMPRODUCT(--($AL99:$AQ99&gt;AO99))+SUMPRODUCT(--($AL99:AN99=AO99))&lt;$AK99,1,0)</f>
        <v>69</v>
      </c>
      <c r="P99" s="2" t="n">
        <f aca="false">AI99+IF(SUMPRODUCT(--($AL99:$AQ99&gt;AP99))+SUMPRODUCT(--($AL99:AO99=AP99))&lt;$AK99,1,0)</f>
        <v>68</v>
      </c>
      <c r="Q99" s="2" t="n">
        <f aca="false">AJ99+IF(SUMPRODUCT(--($AL99:$AQ99&gt;AQ99))+SUMPRODUCT(--($AL99:AP99=AQ99))&lt;$AK99,1,0)</f>
        <v>48</v>
      </c>
      <c r="R99" s="2" t="n">
        <f aca="false">SUM(L99:Q99)</f>
        <v>500</v>
      </c>
      <c r="S99" s="2" t="n">
        <f aca="false">Settings!$B$4*MAX(INDEX(Bases!$M$2:$M$53,B99),INDEX(Bases!$M$2:$M$53,C99))+Settings!$B$5*MIN(INDEX(Bases!$M$2:$M$53,B99),INDEX(Bases!$M$2:$M$53,C99))</f>
        <v>84.3333333333333</v>
      </c>
      <c r="T99" s="2" t="n">
        <f aca="false">Settings!$B$4*MAX(INDEX(Bases!$N$2:$N$53,B99),INDEX(Bases!$N$2:$N$53,C99))+Settings!$B$5*MIN(INDEX(Bases!$N$2:$N$53,B99),INDEX(Bases!$N$2:$N$53,C99))</f>
        <v>79.3333333333333</v>
      </c>
      <c r="U99" s="2" t="n">
        <f aca="false">Settings!$B$4*MAX(INDEX(Bases!$O$2:$O$53,B99),INDEX(Bases!$O$2:$O$53,C99))+Settings!$B$5*MIN(INDEX(Bases!$O$2:$O$53,B99),INDEX(Bases!$O$2:$O$53,C99))</f>
        <v>103</v>
      </c>
      <c r="V99" s="2" t="n">
        <f aca="false">Settings!$B$4*MAX(INDEX(Bases!$P$2:$P$53,B99),INDEX(Bases!$P$2:$P$53,C99))+Settings!$B$5*MIN(INDEX(Bases!$P$2:$P$53,B99),INDEX(Bases!$P$2:$P$53,C99))</f>
        <v>58.3333333333333</v>
      </c>
      <c r="W99" s="2" t="n">
        <f aca="false">Settings!$B$4*MAX(INDEX(Bases!$Q$2:$Q$53,B99),INDEX(Bases!$Q$2:$Q$53,C99))+Settings!$B$5*MIN(INDEX(Bases!$Q$2:$Q$53,B99),INDEX(Bases!$Q$2:$Q$53,C99))</f>
        <v>58</v>
      </c>
      <c r="X99" s="2" t="n">
        <f aca="false">Settings!$B$4*MAX(INDEX(Bases!$R$2:$R$53,B99),INDEX(Bases!$R$2:$R$53,C99))+Settings!$B$5*MIN(INDEX(Bases!$R$2:$R$53,B99),INDEX(Bases!$R$2:$R$53,C99))</f>
        <v>40.6666666666667</v>
      </c>
      <c r="Y99" s="2" t="n">
        <f aca="false">S99*Settings!$B$3/SUM(S99:X99)</f>
        <v>99.5279307631786</v>
      </c>
      <c r="Z99" s="2" t="n">
        <f aca="false">T99*Settings!$B$3/SUM(S99:X99)</f>
        <v>93.6270653029111</v>
      </c>
      <c r="AA99" s="2" t="n">
        <f aca="false">U99*Settings!$B$3/SUM(S99:X99)</f>
        <v>121.557828481511</v>
      </c>
      <c r="AB99" s="2" t="n">
        <f aca="false">V99*Settings!$B$3/SUM(S99:X99)</f>
        <v>68.8434303697876</v>
      </c>
      <c r="AC99" s="2" t="n">
        <f aca="false">W99*Settings!$B$3/SUM(S99:X99)</f>
        <v>68.4500393391031</v>
      </c>
      <c r="AD99" s="2" t="n">
        <f aca="false">X99*Settings!$B$3/SUM(S99:X99)</f>
        <v>47.993705743509</v>
      </c>
      <c r="AE99" s="2" t="n">
        <f aca="false">INT(Y99)</f>
        <v>99</v>
      </c>
      <c r="AF99" s="2" t="n">
        <f aca="false">INT(Z99)</f>
        <v>93</v>
      </c>
      <c r="AG99" s="2" t="n">
        <f aca="false">INT(AA99)</f>
        <v>121</v>
      </c>
      <c r="AH99" s="2" t="n">
        <f aca="false">INT(AB99)</f>
        <v>68</v>
      </c>
      <c r="AI99" s="2" t="n">
        <f aca="false">INT(AC99)</f>
        <v>68</v>
      </c>
      <c r="AJ99" s="2" t="n">
        <f aca="false">INT(AD99)</f>
        <v>47</v>
      </c>
      <c r="AK99" s="2" t="n">
        <f aca="false">Settings!$B$3-SUM(AE99:AJ99)</f>
        <v>4</v>
      </c>
      <c r="AL99" s="2" t="n">
        <f aca="false">ROUND(Y99-AE99,9)</f>
        <v>0.527930763</v>
      </c>
      <c r="AM99" s="2" t="n">
        <f aca="false">ROUND(Z99-AF99,9)</f>
        <v>0.627065303</v>
      </c>
      <c r="AN99" s="2" t="n">
        <f aca="false">ROUND(AA99-AG99,9)</f>
        <v>0.557828482</v>
      </c>
      <c r="AO99" s="2" t="n">
        <f aca="false">ROUND(AB99-AH99,9)</f>
        <v>0.84343037</v>
      </c>
      <c r="AP99" s="2" t="n">
        <f aca="false">ROUND(AC99-AI99,9)</f>
        <v>0.450039339</v>
      </c>
      <c r="AQ99" s="2" t="n">
        <f aca="false">ROUND(AD99-AJ99,9)</f>
        <v>0.993705744</v>
      </c>
    </row>
    <row r="100" customFormat="false" ht="15" hidden="false" customHeight="false" outlineLevel="0" collapsed="false">
      <c r="A100" s="2" t="n">
        <v>99</v>
      </c>
      <c r="B100" s="6" t="n">
        <v>2</v>
      </c>
      <c r="C100" s="6" t="n">
        <v>50</v>
      </c>
      <c r="D100" s="8" t="str">
        <f aca="false">INDEX(Bases!$B$2:$B$53,B100)</f>
        <v>Dunsparce</v>
      </c>
      <c r="E100" s="8" t="str">
        <f aca="false">INDEX(Bases!$B$2:$B$53,C100)</f>
        <v>Beldum</v>
      </c>
      <c r="F100" s="2" t="str">
        <f aca="false">LEFT(D100,ROUNDUP(LEN(D100)/2,0))&amp;LOWER(MID(E100,ROUNDUP(LEN(E100)/2,0)+1,20))</f>
        <v>Dunspdum</v>
      </c>
      <c r="G100" s="8" t="str">
        <f aca="false">INDEX(Bases!$C$2:$C$53,B100)</f>
        <v>Normal</v>
      </c>
      <c r="H100" s="8" t="str">
        <f aca="false">IF(INDEX(Bases!$C$2:$C$53,C100)=G100,"",INDEX(Bases!$C$2:$C$53,C100))</f>
        <v>Steel</v>
      </c>
      <c r="I100" s="8" t="str">
        <f aca="false">IF(INDEX(Bases!$E$2:$E$53,B100)="","",INDEX(Bases!$E$2:$E$53,B100))</f>
        <v/>
      </c>
      <c r="J100" s="8" t="str">
        <f aca="false">IF(INDEX(Bases!$E$2:$E$53,C100)="","",INDEX(Bases!$E$2:$E$53,C100))</f>
        <v/>
      </c>
      <c r="K100" s="5"/>
      <c r="L100" s="2" t="n">
        <f aca="false">AE100+IF(SUMPRODUCT(--($AL100:$AQ100&gt;AL100))&lt;$AK100,1,0)</f>
        <v>97</v>
      </c>
      <c r="M100" s="2" t="n">
        <f aca="false">AF100+IF(SUMPRODUCT(--($AL100:$AQ100&gt;AM100))+SUMPRODUCT(--($AL100:AL100=AM100))&lt;$AK100,1,0)</f>
        <v>85</v>
      </c>
      <c r="N100" s="2" t="n">
        <f aca="false">AG100+IF(SUMPRODUCT(--($AL100:$AQ100&gt;AN100))+SUMPRODUCT(--($AL100:AM100=AN100))&lt;$AK100,1,0)</f>
        <v>111</v>
      </c>
      <c r="O100" s="2" t="n">
        <f aca="false">AH100+IF(SUMPRODUCT(--($AL100:$AQ100&gt;AO100))+SUMPRODUCT(--($AL100:AN100=AO100))&lt;$AK100,1,0)</f>
        <v>69</v>
      </c>
      <c r="P100" s="2" t="n">
        <f aca="false">AI100+IF(SUMPRODUCT(--($AL100:$AQ100&gt;AP100))+SUMPRODUCT(--($AL100:AO100=AP100))&lt;$AK100,1,0)</f>
        <v>88</v>
      </c>
      <c r="Q100" s="2" t="n">
        <f aca="false">AJ100+IF(SUMPRODUCT(--($AL100:$AQ100&gt;AQ100))+SUMPRODUCT(--($AL100:AP100=AQ100))&lt;$AK100,1,0)</f>
        <v>50</v>
      </c>
      <c r="R100" s="2" t="n">
        <f aca="false">SUM(L100:Q100)</f>
        <v>500</v>
      </c>
      <c r="S100" s="2" t="n">
        <f aca="false">Settings!$B$4*MAX(INDEX(Bases!$M$2:$M$53,B100),INDEX(Bases!$M$2:$M$53,C100))+Settings!$B$5*MIN(INDEX(Bases!$M$2:$M$53,B100),INDEX(Bases!$M$2:$M$53,C100))</f>
        <v>81.6666666666667</v>
      </c>
      <c r="T100" s="2" t="n">
        <f aca="false">Settings!$B$4*MAX(INDEX(Bases!$N$2:$N$53,B100),INDEX(Bases!$N$2:$N$53,C100))+Settings!$B$5*MIN(INDEX(Bases!$N$2:$N$53,B100),INDEX(Bases!$N$2:$N$53,C100))</f>
        <v>71.3333333333333</v>
      </c>
      <c r="U100" s="2" t="n">
        <f aca="false">Settings!$B$4*MAX(INDEX(Bases!$O$2:$O$53,B100),INDEX(Bases!$O$2:$O$53,C100))+Settings!$B$5*MIN(INDEX(Bases!$O$2:$O$53,B100),INDEX(Bases!$O$2:$O$53,C100))</f>
        <v>93.6666666666667</v>
      </c>
      <c r="V100" s="2" t="n">
        <f aca="false">Settings!$B$4*MAX(INDEX(Bases!$P$2:$P$53,B100),INDEX(Bases!$P$2:$P$53,C100))+Settings!$B$5*MIN(INDEX(Bases!$P$2:$P$53,B100),INDEX(Bases!$P$2:$P$53,C100))</f>
        <v>57.6666666666667</v>
      </c>
      <c r="W100" s="2" t="n">
        <f aca="false">Settings!$B$4*MAX(INDEX(Bases!$Q$2:$Q$53,B100),INDEX(Bases!$Q$2:$Q$53,C100))+Settings!$B$5*MIN(INDEX(Bases!$Q$2:$Q$53,B100),INDEX(Bases!$Q$2:$Q$53,C100))</f>
        <v>74.3333333333333</v>
      </c>
      <c r="X100" s="2" t="n">
        <f aca="false">Settings!$B$4*MAX(INDEX(Bases!$R$2:$R$53,B100),INDEX(Bases!$R$2:$R$53,C100))+Settings!$B$5*MIN(INDEX(Bases!$R$2:$R$53,B100),INDEX(Bases!$R$2:$R$53,C100))</f>
        <v>42</v>
      </c>
      <c r="Y100" s="2" t="n">
        <f aca="false">S100*Settings!$B$3/SUM(S100:X100)</f>
        <v>97.068145800317</v>
      </c>
      <c r="Z100" s="2" t="n">
        <f aca="false">T100*Settings!$B$3/SUM(S100:X100)</f>
        <v>84.7860538827258</v>
      </c>
      <c r="AA100" s="2" t="n">
        <f aca="false">U100*Settings!$B$3/SUM(S100:X100)</f>
        <v>111.331220285262</v>
      </c>
      <c r="AB100" s="2" t="n">
        <f aca="false">V100*Settings!$B$3/SUM(S100:X100)</f>
        <v>68.5419968304279</v>
      </c>
      <c r="AC100" s="2" t="n">
        <f aca="false">W100*Settings!$B$3/SUM(S100:X100)</f>
        <v>88.351822503962</v>
      </c>
      <c r="AD100" s="2" t="n">
        <f aca="false">X100*Settings!$B$3/SUM(S100:X100)</f>
        <v>49.9207606973059</v>
      </c>
      <c r="AE100" s="2" t="n">
        <f aca="false">INT(Y100)</f>
        <v>97</v>
      </c>
      <c r="AF100" s="2" t="n">
        <f aca="false">INT(Z100)</f>
        <v>84</v>
      </c>
      <c r="AG100" s="2" t="n">
        <f aca="false">INT(AA100)</f>
        <v>111</v>
      </c>
      <c r="AH100" s="2" t="n">
        <f aca="false">INT(AB100)</f>
        <v>68</v>
      </c>
      <c r="AI100" s="2" t="n">
        <f aca="false">INT(AC100)</f>
        <v>88</v>
      </c>
      <c r="AJ100" s="2" t="n">
        <f aca="false">INT(AD100)</f>
        <v>49</v>
      </c>
      <c r="AK100" s="2" t="n">
        <f aca="false">Settings!$B$3-SUM(AE100:AJ100)</f>
        <v>3</v>
      </c>
      <c r="AL100" s="2" t="n">
        <f aca="false">ROUND(Y100-AE100,9)</f>
        <v>0.0681458</v>
      </c>
      <c r="AM100" s="2" t="n">
        <f aca="false">ROUND(Z100-AF100,9)</f>
        <v>0.786053883</v>
      </c>
      <c r="AN100" s="2" t="n">
        <f aca="false">ROUND(AA100-AG100,9)</f>
        <v>0.331220285</v>
      </c>
      <c r="AO100" s="2" t="n">
        <f aca="false">ROUND(AB100-AH100,9)</f>
        <v>0.54199683</v>
      </c>
      <c r="AP100" s="2" t="n">
        <f aca="false">ROUND(AC100-AI100,9)</f>
        <v>0.351822504</v>
      </c>
      <c r="AQ100" s="2" t="n">
        <f aca="false">ROUND(AD100-AJ100,9)</f>
        <v>0.920760697</v>
      </c>
    </row>
    <row r="101" customFormat="false" ht="15" hidden="false" customHeight="false" outlineLevel="0" collapsed="false">
      <c r="A101" s="2" t="n">
        <v>100</v>
      </c>
      <c r="B101" s="6" t="n">
        <v>2</v>
      </c>
      <c r="C101" s="6" t="n">
        <v>51</v>
      </c>
      <c r="D101" s="8" t="str">
        <f aca="false">INDEX(Bases!$B$2:$B$53,B101)</f>
        <v>Dunsparce</v>
      </c>
      <c r="E101" s="8" t="str">
        <f aca="false">INDEX(Bases!$B$2:$B$53,C101)</f>
        <v>Cleffa</v>
      </c>
      <c r="F101" s="2" t="str">
        <f aca="false">LEFT(D101,ROUNDUP(LEN(D101)/2,0))&amp;LOWER(MID(E101,ROUNDUP(LEN(E101)/2,0)+1,20))</f>
        <v>Dunspffa</v>
      </c>
      <c r="G101" s="8" t="str">
        <f aca="false">INDEX(Bases!$C$2:$C$53,B101)</f>
        <v>Normal</v>
      </c>
      <c r="H101" s="8" t="str">
        <f aca="false">IF(INDEX(Bases!$C$2:$C$53,C101)=G101,"",INDEX(Bases!$C$2:$C$53,C101))</f>
        <v>Fairy</v>
      </c>
      <c r="I101" s="8" t="str">
        <f aca="false">IF(INDEX(Bases!$E$2:$E$53,B101)="","",INDEX(Bases!$E$2:$E$53,B101))</f>
        <v/>
      </c>
      <c r="J101" s="8" t="str">
        <f aca="false">IF(INDEX(Bases!$E$2:$E$53,C101)="","",INDEX(Bases!$E$2:$E$53,C101))</f>
        <v/>
      </c>
      <c r="K101" s="5"/>
      <c r="L101" s="2" t="n">
        <f aca="false">AE101+IF(SUMPRODUCT(--($AL101:$AQ101&gt;AL101))&lt;$AK101,1,0)</f>
        <v>113</v>
      </c>
      <c r="M101" s="2" t="n">
        <f aca="false">AF101+IF(SUMPRODUCT(--($AL101:$AQ101&gt;AM101))+SUMPRODUCT(--($AL101:AL101=AM101))&lt;$AK101,1,0)</f>
        <v>72</v>
      </c>
      <c r="N101" s="2" t="n">
        <f aca="false">AG101+IF(SUMPRODUCT(--($AL101:$AQ101&gt;AN101))+SUMPRODUCT(--($AL101:AM101=AN101))&lt;$AK101,1,0)</f>
        <v>74</v>
      </c>
      <c r="O101" s="2" t="n">
        <f aca="false">AH101+IF(SUMPRODUCT(--($AL101:$AQ101&gt;AO101))+SUMPRODUCT(--($AL101:AN101=AO101))&lt;$AK101,1,0)</f>
        <v>91</v>
      </c>
      <c r="P101" s="2" t="n">
        <f aca="false">AI101+IF(SUMPRODUCT(--($AL101:$AQ101&gt;AP101))+SUMPRODUCT(--($AL101:AO101=AP101))&lt;$AK101,1,0)</f>
        <v>105</v>
      </c>
      <c r="Q101" s="2" t="n">
        <f aca="false">AJ101+IF(SUMPRODUCT(--($AL101:$AQ101&gt;AQ101))+SUMPRODUCT(--($AL101:AP101=AQ101))&lt;$AK101,1,0)</f>
        <v>45</v>
      </c>
      <c r="R101" s="2" t="n">
        <f aca="false">SUM(L101:Q101)</f>
        <v>500</v>
      </c>
      <c r="S101" s="2" t="n">
        <f aca="false">Settings!$B$4*MAX(INDEX(Bases!$M$2:$M$53,B101),INDEX(Bases!$M$2:$M$53,C101))+Settings!$B$5*MIN(INDEX(Bases!$M$2:$M$53,B101),INDEX(Bases!$M$2:$M$53,C101))</f>
        <v>94.6666666666667</v>
      </c>
      <c r="T101" s="2" t="n">
        <f aca="false">Settings!$B$4*MAX(INDEX(Bases!$N$2:$N$53,B101),INDEX(Bases!$N$2:$N$53,C101))+Settings!$B$5*MIN(INDEX(Bases!$N$2:$N$53,B101),INDEX(Bases!$N$2:$N$53,C101))</f>
        <v>60.6666666666667</v>
      </c>
      <c r="U101" s="2" t="n">
        <f aca="false">Settings!$B$4*MAX(INDEX(Bases!$O$2:$O$53,B101),INDEX(Bases!$O$2:$O$53,C101))+Settings!$B$5*MIN(INDEX(Bases!$O$2:$O$53,B101),INDEX(Bases!$O$2:$O$53,C101))</f>
        <v>61.6666666666667</v>
      </c>
      <c r="V101" s="2" t="n">
        <f aca="false">Settings!$B$4*MAX(INDEX(Bases!$P$2:$P$53,B101),INDEX(Bases!$P$2:$P$53,C101))+Settings!$B$5*MIN(INDEX(Bases!$P$2:$P$53,B101),INDEX(Bases!$P$2:$P$53,C101))</f>
        <v>76.3333333333333</v>
      </c>
      <c r="W101" s="2" t="n">
        <f aca="false">Settings!$B$4*MAX(INDEX(Bases!$Q$2:$Q$53,B101),INDEX(Bases!$Q$2:$Q$53,C101))+Settings!$B$5*MIN(INDEX(Bases!$Q$2:$Q$53,B101),INDEX(Bases!$Q$2:$Q$53,C101))</f>
        <v>88.3333333333333</v>
      </c>
      <c r="X101" s="2" t="n">
        <f aca="false">Settings!$B$4*MAX(INDEX(Bases!$R$2:$R$53,B101),INDEX(Bases!$R$2:$R$53,C101))+Settings!$B$5*MIN(INDEX(Bases!$R$2:$R$53,B101),INDEX(Bases!$R$2:$R$53,C101))</f>
        <v>37.6666666666667</v>
      </c>
      <c r="Y101" s="2" t="n">
        <f aca="false">S101*Settings!$B$3/SUM(S101:X101)</f>
        <v>112.877583465819</v>
      </c>
      <c r="Z101" s="2" t="n">
        <f aca="false">T101*Settings!$B$3/SUM(S101:X101)</f>
        <v>72.3370429252782</v>
      </c>
      <c r="AA101" s="2" t="n">
        <f aca="false">U101*Settings!$B$3/SUM(S101:X101)</f>
        <v>73.5294117647059</v>
      </c>
      <c r="AB101" s="2" t="n">
        <f aca="false">V101*Settings!$B$3/SUM(S101:X101)</f>
        <v>91.0174880763116</v>
      </c>
      <c r="AC101" s="2" t="n">
        <f aca="false">W101*Settings!$B$3/SUM(S101:X101)</f>
        <v>105.325914149444</v>
      </c>
      <c r="AD101" s="2" t="n">
        <f aca="false">X101*Settings!$B$3/SUM(S101:X101)</f>
        <v>44.912559618442</v>
      </c>
      <c r="AE101" s="2" t="n">
        <f aca="false">INT(Y101)</f>
        <v>112</v>
      </c>
      <c r="AF101" s="2" t="n">
        <f aca="false">INT(Z101)</f>
        <v>72</v>
      </c>
      <c r="AG101" s="2" t="n">
        <f aca="false">INT(AA101)</f>
        <v>73</v>
      </c>
      <c r="AH101" s="2" t="n">
        <f aca="false">INT(AB101)</f>
        <v>91</v>
      </c>
      <c r="AI101" s="2" t="n">
        <f aca="false">INT(AC101)</f>
        <v>105</v>
      </c>
      <c r="AJ101" s="2" t="n">
        <f aca="false">INT(AD101)</f>
        <v>44</v>
      </c>
      <c r="AK101" s="2" t="n">
        <f aca="false">Settings!$B$3-SUM(AE101:AJ101)</f>
        <v>3</v>
      </c>
      <c r="AL101" s="2" t="n">
        <f aca="false">ROUND(Y101-AE101,9)</f>
        <v>0.877583466</v>
      </c>
      <c r="AM101" s="2" t="n">
        <f aca="false">ROUND(Z101-AF101,9)</f>
        <v>0.337042925</v>
      </c>
      <c r="AN101" s="2" t="n">
        <f aca="false">ROUND(AA101-AG101,9)</f>
        <v>0.529411765</v>
      </c>
      <c r="AO101" s="2" t="n">
        <f aca="false">ROUND(AB101-AH101,9)</f>
        <v>0.017488076</v>
      </c>
      <c r="AP101" s="2" t="n">
        <f aca="false">ROUND(AC101-AI101,9)</f>
        <v>0.325914149</v>
      </c>
      <c r="AQ101" s="2" t="n">
        <f aca="false">ROUND(AD101-AJ101,9)</f>
        <v>0.912559618</v>
      </c>
    </row>
    <row r="102" customFormat="false" ht="15" hidden="false" customHeight="false" outlineLevel="0" collapsed="false">
      <c r="A102" s="2" t="n">
        <v>101</v>
      </c>
      <c r="B102" s="6" t="n">
        <v>2</v>
      </c>
      <c r="C102" s="6" t="n">
        <v>52</v>
      </c>
      <c r="D102" s="8" t="str">
        <f aca="false">INDEX(Bases!$B$2:$B$53,B102)</f>
        <v>Dunsparce</v>
      </c>
      <c r="E102" s="8" t="str">
        <f aca="false">INDEX(Bases!$B$2:$B$53,C102)</f>
        <v>Togepi</v>
      </c>
      <c r="F102" s="2" t="str">
        <f aca="false">LEFT(D102,ROUNDUP(LEN(D102)/2,0))&amp;LOWER(MID(E102,ROUNDUP(LEN(E102)/2,0)+1,20))</f>
        <v>Dunspepi</v>
      </c>
      <c r="G102" s="8" t="str">
        <f aca="false">INDEX(Bases!$C$2:$C$53,B102)</f>
        <v>Normal</v>
      </c>
      <c r="H102" s="8" t="str">
        <f aca="false">IF(INDEX(Bases!$C$2:$C$53,C102)=G102,"",INDEX(Bases!$C$2:$C$53,C102))</f>
        <v>Fairy</v>
      </c>
      <c r="I102" s="8" t="str">
        <f aca="false">IF(INDEX(Bases!$E$2:$E$53,B102)="","",INDEX(Bases!$E$2:$E$53,B102))</f>
        <v/>
      </c>
      <c r="J102" s="8" t="str">
        <f aca="false">IF(INDEX(Bases!$E$2:$E$53,C102)="","",INDEX(Bases!$E$2:$E$53,C102))</f>
        <v/>
      </c>
      <c r="K102" s="5"/>
      <c r="L102" s="2" t="n">
        <f aca="false">AE102+IF(SUMPRODUCT(--($AL102:$AQ102&gt;AL102))&lt;$AK102,1,0)</f>
        <v>97</v>
      </c>
      <c r="M102" s="2" t="n">
        <f aca="false">AF102+IF(SUMPRODUCT(--($AL102:$AQ102&gt;AM102))+SUMPRODUCT(--($AL102:AL102=AM102))&lt;$AK102,1,0)</f>
        <v>66</v>
      </c>
      <c r="N102" s="2" t="n">
        <f aca="false">AG102+IF(SUMPRODUCT(--($AL102:$AQ102&gt;AN102))+SUMPRODUCT(--($AL102:AM102=AN102))&lt;$AK102,1,0)</f>
        <v>109</v>
      </c>
      <c r="O102" s="2" t="n">
        <f aca="false">AH102+IF(SUMPRODUCT(--($AL102:$AQ102&gt;AO102))+SUMPRODUCT(--($AL102:AN102=AO102))&lt;$AK102,1,0)</f>
        <v>75</v>
      </c>
      <c r="P102" s="2" t="n">
        <f aca="false">AI102+IF(SUMPRODUCT(--($AL102:$AQ102&gt;AP102))+SUMPRODUCT(--($AL102:AO102=AP102))&lt;$AK102,1,0)</f>
        <v>107</v>
      </c>
      <c r="Q102" s="2" t="n">
        <f aca="false">AJ102+IF(SUMPRODUCT(--($AL102:$AQ102&gt;AQ102))+SUMPRODUCT(--($AL102:AP102=AQ102))&lt;$AK102,1,0)</f>
        <v>46</v>
      </c>
      <c r="R102" s="2" t="n">
        <f aca="false">SUM(L102:Q102)</f>
        <v>500</v>
      </c>
      <c r="S102" s="2" t="n">
        <f aca="false">Settings!$B$4*MAX(INDEX(Bases!$M$2:$M$53,B102),INDEX(Bases!$M$2:$M$53,C102))+Settings!$B$5*MIN(INDEX(Bases!$M$2:$M$53,B102),INDEX(Bases!$M$2:$M$53,C102))</f>
        <v>83</v>
      </c>
      <c r="T102" s="2" t="n">
        <f aca="false">Settings!$B$4*MAX(INDEX(Bases!$N$2:$N$53,B102),INDEX(Bases!$N$2:$N$53,C102))+Settings!$B$5*MIN(INDEX(Bases!$N$2:$N$53,B102),INDEX(Bases!$N$2:$N$53,C102))</f>
        <v>56.3333333333333</v>
      </c>
      <c r="U102" s="2" t="n">
        <f aca="false">Settings!$B$4*MAX(INDEX(Bases!$O$2:$O$53,B102),INDEX(Bases!$O$2:$O$53,C102))+Settings!$B$5*MIN(INDEX(Bases!$O$2:$O$53,B102),INDEX(Bases!$O$2:$O$53,C102))</f>
        <v>93</v>
      </c>
      <c r="V102" s="2" t="n">
        <f aca="false">Settings!$B$4*MAX(INDEX(Bases!$P$2:$P$53,B102),INDEX(Bases!$P$2:$P$53,C102))+Settings!$B$5*MIN(INDEX(Bases!$P$2:$P$53,B102),INDEX(Bases!$P$2:$P$53,C102))</f>
        <v>64.3333333333333</v>
      </c>
      <c r="W102" s="2" t="n">
        <f aca="false">Settings!$B$4*MAX(INDEX(Bases!$Q$2:$Q$53,B102),INDEX(Bases!$Q$2:$Q$53,C102))+Settings!$B$5*MIN(INDEX(Bases!$Q$2:$Q$53,B102),INDEX(Bases!$Q$2:$Q$53,C102))</f>
        <v>91.6666666666667</v>
      </c>
      <c r="X102" s="2" t="n">
        <f aca="false">Settings!$B$4*MAX(INDEX(Bases!$R$2:$R$53,B102),INDEX(Bases!$R$2:$R$53,C102))+Settings!$B$5*MIN(INDEX(Bases!$R$2:$R$53,B102),INDEX(Bases!$R$2:$R$53,C102))</f>
        <v>39.6666666666667</v>
      </c>
      <c r="Y102" s="2" t="n">
        <f aca="false">S102*Settings!$B$3/SUM(S102:X102)</f>
        <v>96.9626168224299</v>
      </c>
      <c r="Z102" s="2" t="n">
        <f aca="false">T102*Settings!$B$3/SUM(S102:X102)</f>
        <v>65.809968847352</v>
      </c>
      <c r="AA102" s="2" t="n">
        <f aca="false">U102*Settings!$B$3/SUM(S102:X102)</f>
        <v>108.644859813084</v>
      </c>
      <c r="AB102" s="2" t="n">
        <f aca="false">V102*Settings!$B$3/SUM(S102:X102)</f>
        <v>75.1557632398754</v>
      </c>
      <c r="AC102" s="2" t="n">
        <f aca="false">W102*Settings!$B$3/SUM(S102:X102)</f>
        <v>107.08722741433</v>
      </c>
      <c r="AD102" s="2" t="n">
        <f aca="false">X102*Settings!$B$3/SUM(S102:X102)</f>
        <v>46.3395638629283</v>
      </c>
      <c r="AE102" s="2" t="n">
        <f aca="false">INT(Y102)</f>
        <v>96</v>
      </c>
      <c r="AF102" s="2" t="n">
        <f aca="false">INT(Z102)</f>
        <v>65</v>
      </c>
      <c r="AG102" s="2" t="n">
        <f aca="false">INT(AA102)</f>
        <v>108</v>
      </c>
      <c r="AH102" s="2" t="n">
        <f aca="false">INT(AB102)</f>
        <v>75</v>
      </c>
      <c r="AI102" s="2" t="n">
        <f aca="false">INT(AC102)</f>
        <v>107</v>
      </c>
      <c r="AJ102" s="2" t="n">
        <f aca="false">INT(AD102)</f>
        <v>46</v>
      </c>
      <c r="AK102" s="2" t="n">
        <f aca="false">Settings!$B$3-SUM(AE102:AJ102)</f>
        <v>3</v>
      </c>
      <c r="AL102" s="2" t="n">
        <f aca="false">ROUND(Y102-AE102,9)</f>
        <v>0.962616822</v>
      </c>
      <c r="AM102" s="2" t="n">
        <f aca="false">ROUND(Z102-AF102,9)</f>
        <v>0.809968847</v>
      </c>
      <c r="AN102" s="2" t="n">
        <f aca="false">ROUND(AA102-AG102,9)</f>
        <v>0.644859813</v>
      </c>
      <c r="AO102" s="2" t="n">
        <f aca="false">ROUND(AB102-AH102,9)</f>
        <v>0.15576324</v>
      </c>
      <c r="AP102" s="2" t="n">
        <f aca="false">ROUND(AC102-AI102,9)</f>
        <v>0.087227414</v>
      </c>
      <c r="AQ102" s="2" t="n">
        <f aca="false">ROUND(AD102-AJ102,9)</f>
        <v>0.339563863</v>
      </c>
    </row>
    <row r="103" customFormat="false" ht="15" hidden="false" customHeight="false" outlineLevel="0" collapsed="false">
      <c r="A103" s="2" t="n">
        <v>102</v>
      </c>
      <c r="B103" s="6" t="n">
        <v>3</v>
      </c>
      <c r="C103" s="6" t="n">
        <v>4</v>
      </c>
      <c r="D103" s="8" t="str">
        <f aca="false">INDEX(Bases!$B$2:$B$53,B103)</f>
        <v>Teddiursa</v>
      </c>
      <c r="E103" s="8" t="str">
        <f aca="false">INDEX(Bases!$B$2:$B$53,C103)</f>
        <v>Growlithe</v>
      </c>
      <c r="F103" s="2" t="str">
        <f aca="false">LEFT(D103,ROUNDUP(LEN(D103)/2,0))&amp;LOWER(MID(E103,ROUNDUP(LEN(E103)/2,0)+1,20))</f>
        <v>Teddiithe</v>
      </c>
      <c r="G103" s="8" t="str">
        <f aca="false">INDEX(Bases!$C$2:$C$53,B103)</f>
        <v>Normal</v>
      </c>
      <c r="H103" s="8" t="str">
        <f aca="false">IF(INDEX(Bases!$C$2:$C$53,C103)=G103,"",INDEX(Bases!$C$2:$C$53,C103))</f>
        <v>Fire</v>
      </c>
      <c r="I103" s="8" t="str">
        <f aca="false">IF(INDEX(Bases!$E$2:$E$53,B103)="","",INDEX(Bases!$E$2:$E$53,B103))</f>
        <v/>
      </c>
      <c r="J103" s="8" t="str">
        <f aca="false">IF(INDEX(Bases!$E$2:$E$53,C103)="","",INDEX(Bases!$E$2:$E$53,C103))</f>
        <v/>
      </c>
      <c r="K103" s="5"/>
      <c r="L103" s="2" t="n">
        <f aca="false">AE103+IF(SUMPRODUCT(--($AL103:$AQ103&gt;AL103))&lt;$AK103,1,0)</f>
        <v>84</v>
      </c>
      <c r="M103" s="2" t="n">
        <f aca="false">AF103+IF(SUMPRODUCT(--($AL103:$AQ103&gt;AM103))+SUMPRODUCT(--($AL103:AL103=AM103))&lt;$AK103,1,0)</f>
        <v>111</v>
      </c>
      <c r="N103" s="2" t="n">
        <f aca="false">AG103+IF(SUMPRODUCT(--($AL103:$AQ103&gt;AN103))+SUMPRODUCT(--($AL103:AM103=AN103))&lt;$AK103,1,0)</f>
        <v>70</v>
      </c>
      <c r="O103" s="2" t="n">
        <f aca="false">AH103+IF(SUMPRODUCT(--($AL103:$AQ103&gt;AO103))+SUMPRODUCT(--($AL103:AN103=AO103))&lt;$AK103,1,0)</f>
        <v>89</v>
      </c>
      <c r="P103" s="2" t="n">
        <f aca="false">AI103+IF(SUMPRODUCT(--($AL103:$AQ103&gt;AP103))+SUMPRODUCT(--($AL103:AO103=AP103))&lt;$AK103,1,0)</f>
        <v>71</v>
      </c>
      <c r="Q103" s="2" t="n">
        <f aca="false">AJ103+IF(SUMPRODUCT(--($AL103:$AQ103&gt;AQ103))+SUMPRODUCT(--($AL103:AP103=AQ103))&lt;$AK103,1,0)</f>
        <v>75</v>
      </c>
      <c r="R103" s="2" t="n">
        <f aca="false">SUM(L103:Q103)</f>
        <v>500</v>
      </c>
      <c r="S103" s="2" t="n">
        <f aca="false">Settings!$B$4*MAX(INDEX(Bases!$M$2:$M$53,B103),INDEX(Bases!$M$2:$M$53,C103))+Settings!$B$5*MIN(INDEX(Bases!$M$2:$M$53,B103),INDEX(Bases!$M$2:$M$53,C103))</f>
        <v>69.6666666666667</v>
      </c>
      <c r="T103" s="2" t="n">
        <f aca="false">Settings!$B$4*MAX(INDEX(Bases!$N$2:$N$53,B103),INDEX(Bases!$N$2:$N$53,C103))+Settings!$B$5*MIN(INDEX(Bases!$N$2:$N$53,B103),INDEX(Bases!$N$2:$N$53,C103))</f>
        <v>91.3333333333333</v>
      </c>
      <c r="U103" s="2" t="n">
        <f aca="false">Settings!$B$4*MAX(INDEX(Bases!$O$2:$O$53,B103),INDEX(Bases!$O$2:$O$53,C103))+Settings!$B$5*MIN(INDEX(Bases!$O$2:$O$53,B103),INDEX(Bases!$O$2:$O$53,C103))</f>
        <v>57.6666666666667</v>
      </c>
      <c r="V103" s="2" t="n">
        <f aca="false">Settings!$B$4*MAX(INDEX(Bases!$P$2:$P$53,B103),INDEX(Bases!$P$2:$P$53,C103))+Settings!$B$5*MIN(INDEX(Bases!$P$2:$P$53,B103),INDEX(Bases!$P$2:$P$53,C103))</f>
        <v>73.6666666666667</v>
      </c>
      <c r="W103" s="2" t="n">
        <f aca="false">Settings!$B$4*MAX(INDEX(Bases!$Q$2:$Q$53,B103),INDEX(Bases!$Q$2:$Q$53,C103))+Settings!$B$5*MIN(INDEX(Bases!$Q$2:$Q$53,B103),INDEX(Bases!$Q$2:$Q$53,C103))</f>
        <v>59</v>
      </c>
      <c r="X103" s="2" t="n">
        <f aca="false">Settings!$B$4*MAX(INDEX(Bases!$R$2:$R$53,B103),INDEX(Bases!$R$2:$R$53,C103))+Settings!$B$5*MIN(INDEX(Bases!$R$2:$R$53,B103),INDEX(Bases!$R$2:$R$53,C103))</f>
        <v>62</v>
      </c>
      <c r="Y103" s="2" t="n">
        <f aca="false">S103*Settings!$B$3/SUM(S103:X103)</f>
        <v>84.2741935483871</v>
      </c>
      <c r="Z103" s="2" t="n">
        <f aca="false">T103*Settings!$B$3/SUM(S103:X103)</f>
        <v>110.483870967742</v>
      </c>
      <c r="AA103" s="2" t="n">
        <f aca="false">U103*Settings!$B$3/SUM(S103:X103)</f>
        <v>69.758064516129</v>
      </c>
      <c r="AB103" s="2" t="n">
        <f aca="false">V103*Settings!$B$3/SUM(S103:X103)</f>
        <v>89.1129032258065</v>
      </c>
      <c r="AC103" s="2" t="n">
        <f aca="false">W103*Settings!$B$3/SUM(S103:X103)</f>
        <v>71.3709677419355</v>
      </c>
      <c r="AD103" s="2" t="n">
        <f aca="false">X103*Settings!$B$3/SUM(S103:X103)</f>
        <v>75</v>
      </c>
      <c r="AE103" s="2" t="n">
        <f aca="false">INT(Y103)</f>
        <v>84</v>
      </c>
      <c r="AF103" s="2" t="n">
        <f aca="false">INT(Z103)</f>
        <v>110</v>
      </c>
      <c r="AG103" s="2" t="n">
        <f aca="false">INT(AA103)</f>
        <v>69</v>
      </c>
      <c r="AH103" s="2" t="n">
        <f aca="false">INT(AB103)</f>
        <v>89</v>
      </c>
      <c r="AI103" s="2" t="n">
        <f aca="false">INT(AC103)</f>
        <v>71</v>
      </c>
      <c r="AJ103" s="2" t="n">
        <f aca="false">INT(AD103)</f>
        <v>75</v>
      </c>
      <c r="AK103" s="2" t="n">
        <f aca="false">Settings!$B$3-SUM(AE103:AJ103)</f>
        <v>2</v>
      </c>
      <c r="AL103" s="2" t="n">
        <f aca="false">ROUND(Y103-AE103,9)</f>
        <v>0.274193548</v>
      </c>
      <c r="AM103" s="2" t="n">
        <f aca="false">ROUND(Z103-AF103,9)</f>
        <v>0.483870968</v>
      </c>
      <c r="AN103" s="2" t="n">
        <f aca="false">ROUND(AA103-AG103,9)</f>
        <v>0.758064516</v>
      </c>
      <c r="AO103" s="2" t="n">
        <f aca="false">ROUND(AB103-AH103,9)</f>
        <v>0.112903226</v>
      </c>
      <c r="AP103" s="2" t="n">
        <f aca="false">ROUND(AC103-AI103,9)</f>
        <v>0.370967742</v>
      </c>
      <c r="AQ103" s="2" t="n">
        <f aca="false">ROUND(AD103-AJ103,9)</f>
        <v>0</v>
      </c>
    </row>
    <row r="104" customFormat="false" ht="15" hidden="false" customHeight="false" outlineLevel="0" collapsed="false">
      <c r="A104" s="2" t="n">
        <v>103</v>
      </c>
      <c r="B104" s="6" t="n">
        <v>3</v>
      </c>
      <c r="C104" s="6" t="n">
        <v>5</v>
      </c>
      <c r="D104" s="8" t="str">
        <f aca="false">INDEX(Bases!$B$2:$B$53,B104)</f>
        <v>Teddiursa</v>
      </c>
      <c r="E104" s="8" t="str">
        <f aca="false">INDEX(Bases!$B$2:$B$53,C104)</f>
        <v>Cyndaquil</v>
      </c>
      <c r="F104" s="2" t="str">
        <f aca="false">LEFT(D104,ROUNDUP(LEN(D104)/2,0))&amp;LOWER(MID(E104,ROUNDUP(LEN(E104)/2,0)+1,20))</f>
        <v>Teddiquil</v>
      </c>
      <c r="G104" s="8" t="str">
        <f aca="false">INDEX(Bases!$C$2:$C$53,B104)</f>
        <v>Normal</v>
      </c>
      <c r="H104" s="8" t="str">
        <f aca="false">IF(INDEX(Bases!$C$2:$C$53,C104)=G104,"",INDEX(Bases!$C$2:$C$53,C104))</f>
        <v>Fire</v>
      </c>
      <c r="I104" s="8" t="str">
        <f aca="false">IF(INDEX(Bases!$E$2:$E$53,B104)="","",INDEX(Bases!$E$2:$E$53,B104))</f>
        <v/>
      </c>
      <c r="J104" s="8" t="str">
        <f aca="false">IF(INDEX(Bases!$E$2:$E$53,C104)="","",INDEX(Bases!$E$2:$E$53,C104))</f>
        <v/>
      </c>
      <c r="K104" s="5"/>
      <c r="L104" s="2" t="n">
        <f aca="false">AE104+IF(SUMPRODUCT(--($AL104:$AQ104&gt;AL104))&lt;$AK104,1,0)</f>
        <v>78</v>
      </c>
      <c r="M104" s="2" t="n">
        <f aca="false">AF104+IF(SUMPRODUCT(--($AL104:$AQ104&gt;AM104))+SUMPRODUCT(--($AL104:AL104=AM104))&lt;$AK104,1,0)</f>
        <v>104</v>
      </c>
      <c r="N104" s="2" t="n">
        <f aca="false">AG104+IF(SUMPRODUCT(--($AL104:$AQ104&gt;AN104))+SUMPRODUCT(--($AL104:AM104=AN104))&lt;$AK104,1,0)</f>
        <v>71</v>
      </c>
      <c r="O104" s="2" t="n">
        <f aca="false">AH104+IF(SUMPRODUCT(--($AL104:$AQ104&gt;AO104))+SUMPRODUCT(--($AL104:AN104=AO104))&lt;$AK104,1,0)</f>
        <v>86</v>
      </c>
      <c r="P104" s="2" t="n">
        <f aca="false">AI104+IF(SUMPRODUCT(--($AL104:$AQ104&gt;AP104))+SUMPRODUCT(--($AL104:AO104=AP104))&lt;$AK104,1,0)</f>
        <v>75</v>
      </c>
      <c r="Q104" s="2" t="n">
        <f aca="false">AJ104+IF(SUMPRODUCT(--($AL104:$AQ104&gt;AQ104))+SUMPRODUCT(--($AL104:AP104=AQ104))&lt;$AK104,1,0)</f>
        <v>86</v>
      </c>
      <c r="R104" s="2" t="n">
        <f aca="false">SUM(L104:Q104)</f>
        <v>500</v>
      </c>
      <c r="S104" s="2" t="n">
        <f aca="false">Settings!$B$4*MAX(INDEX(Bases!$M$2:$M$53,B104),INDEX(Bases!$M$2:$M$53,C104))+Settings!$B$5*MIN(INDEX(Bases!$M$2:$M$53,B104),INDEX(Bases!$M$2:$M$53,C104))</f>
        <v>65.3333333333333</v>
      </c>
      <c r="T104" s="2" t="n">
        <f aca="false">Settings!$B$4*MAX(INDEX(Bases!$N$2:$N$53,B104),INDEX(Bases!$N$2:$N$53,C104))+Settings!$B$5*MIN(INDEX(Bases!$N$2:$N$53,B104),INDEX(Bases!$N$2:$N$53,C104))</f>
        <v>87</v>
      </c>
      <c r="U104" s="2" t="n">
        <f aca="false">Settings!$B$4*MAX(INDEX(Bases!$O$2:$O$53,B104),INDEX(Bases!$O$2:$O$53,C104))+Settings!$B$5*MIN(INDEX(Bases!$O$2:$O$53,B104),INDEX(Bases!$O$2:$O$53,C104))</f>
        <v>59.3333333333333</v>
      </c>
      <c r="V104" s="2" t="n">
        <f aca="false">Settings!$B$4*MAX(INDEX(Bases!$P$2:$P$53,B104),INDEX(Bases!$P$2:$P$53,C104))+Settings!$B$5*MIN(INDEX(Bases!$P$2:$P$53,B104),INDEX(Bases!$P$2:$P$53,C104))</f>
        <v>72.3333333333333</v>
      </c>
      <c r="W104" s="2" t="n">
        <f aca="false">Settings!$B$4*MAX(INDEX(Bases!$Q$2:$Q$53,B104),INDEX(Bases!$Q$2:$Q$53,C104))+Settings!$B$5*MIN(INDEX(Bases!$Q$2:$Q$53,B104),INDEX(Bases!$Q$2:$Q$53,C104))</f>
        <v>63.3333333333333</v>
      </c>
      <c r="X104" s="2" t="n">
        <f aca="false">Settings!$B$4*MAX(INDEX(Bases!$R$2:$R$53,B104),INDEX(Bases!$R$2:$R$53,C104))+Settings!$B$5*MIN(INDEX(Bases!$R$2:$R$53,B104),INDEX(Bases!$R$2:$R$53,C104))</f>
        <v>72</v>
      </c>
      <c r="Y104" s="2" t="n">
        <f aca="false">S104*Settings!$B$3/SUM(S104:X104)</f>
        <v>77.9014308426073</v>
      </c>
      <c r="Z104" s="2" t="n">
        <f aca="false">T104*Settings!$B$3/SUM(S104:X104)</f>
        <v>103.736089030207</v>
      </c>
      <c r="AA104" s="2" t="n">
        <f aca="false">U104*Settings!$B$3/SUM(S104:X104)</f>
        <v>70.7472178060413</v>
      </c>
      <c r="AB104" s="2" t="n">
        <f aca="false">V104*Settings!$B$3/SUM(S104:X104)</f>
        <v>86.248012718601</v>
      </c>
      <c r="AC104" s="2" t="n">
        <f aca="false">W104*Settings!$B$3/SUM(S104:X104)</f>
        <v>75.516693163752</v>
      </c>
      <c r="AD104" s="2" t="n">
        <f aca="false">X104*Settings!$B$3/SUM(S104:X104)</f>
        <v>85.8505564387917</v>
      </c>
      <c r="AE104" s="2" t="n">
        <f aca="false">INT(Y104)</f>
        <v>77</v>
      </c>
      <c r="AF104" s="2" t="n">
        <f aca="false">INT(Z104)</f>
        <v>103</v>
      </c>
      <c r="AG104" s="2" t="n">
        <f aca="false">INT(AA104)</f>
        <v>70</v>
      </c>
      <c r="AH104" s="2" t="n">
        <f aca="false">INT(AB104)</f>
        <v>86</v>
      </c>
      <c r="AI104" s="2" t="n">
        <f aca="false">INT(AC104)</f>
        <v>75</v>
      </c>
      <c r="AJ104" s="2" t="n">
        <f aca="false">INT(AD104)</f>
        <v>85</v>
      </c>
      <c r="AK104" s="2" t="n">
        <f aca="false">Settings!$B$3-SUM(AE104:AJ104)</f>
        <v>4</v>
      </c>
      <c r="AL104" s="2" t="n">
        <f aca="false">ROUND(Y104-AE104,9)</f>
        <v>0.901430843</v>
      </c>
      <c r="AM104" s="2" t="n">
        <f aca="false">ROUND(Z104-AF104,9)</f>
        <v>0.73608903</v>
      </c>
      <c r="AN104" s="2" t="n">
        <f aca="false">ROUND(AA104-AG104,9)</f>
        <v>0.747217806</v>
      </c>
      <c r="AO104" s="2" t="n">
        <f aca="false">ROUND(AB104-AH104,9)</f>
        <v>0.248012719</v>
      </c>
      <c r="AP104" s="2" t="n">
        <f aca="false">ROUND(AC104-AI104,9)</f>
        <v>0.516693164</v>
      </c>
      <c r="AQ104" s="2" t="n">
        <f aca="false">ROUND(AD104-AJ104,9)</f>
        <v>0.850556439</v>
      </c>
    </row>
    <row r="105" customFormat="false" ht="15" hidden="false" customHeight="false" outlineLevel="0" collapsed="false">
      <c r="A105" s="2" t="n">
        <v>104</v>
      </c>
      <c r="B105" s="6" t="n">
        <v>3</v>
      </c>
      <c r="C105" s="6" t="n">
        <v>6</v>
      </c>
      <c r="D105" s="8" t="str">
        <f aca="false">INDEX(Bases!$B$2:$B$53,B105)</f>
        <v>Teddiursa</v>
      </c>
      <c r="E105" s="8" t="str">
        <f aca="false">INDEX(Bases!$B$2:$B$53,C105)</f>
        <v>Numel</v>
      </c>
      <c r="F105" s="2" t="str">
        <f aca="false">LEFT(D105,ROUNDUP(LEN(D105)/2,0))&amp;LOWER(MID(E105,ROUNDUP(LEN(E105)/2,0)+1,20))</f>
        <v>Teddiel</v>
      </c>
      <c r="G105" s="8" t="str">
        <f aca="false">INDEX(Bases!$C$2:$C$53,B105)</f>
        <v>Normal</v>
      </c>
      <c r="H105" s="8" t="str">
        <f aca="false">IF(INDEX(Bases!$C$2:$C$53,C105)=G105,"",INDEX(Bases!$C$2:$C$53,C105))</f>
        <v>Fire</v>
      </c>
      <c r="I105" s="8" t="str">
        <f aca="false">IF(INDEX(Bases!$E$2:$E$53,B105)="","",INDEX(Bases!$E$2:$E$53,B105))</f>
        <v/>
      </c>
      <c r="J105" s="8" t="str">
        <f aca="false">IF(INDEX(Bases!$E$2:$E$53,C105)="","",INDEX(Bases!$E$2:$E$53,C105))</f>
        <v/>
      </c>
      <c r="K105" s="5"/>
      <c r="L105" s="2" t="n">
        <f aca="false">AE105+IF(SUMPRODUCT(--($AL105:$AQ105&gt;AL105))&lt;$AK105,1,0)</f>
        <v>94</v>
      </c>
      <c r="M105" s="2" t="n">
        <f aca="false">AF105+IF(SUMPRODUCT(--($AL105:$AQ105&gt;AM105))+SUMPRODUCT(--($AL105:AL105=AM105))&lt;$AK105,1,0)</f>
        <v>111</v>
      </c>
      <c r="N105" s="2" t="n">
        <f aca="false">AG105+IF(SUMPRODUCT(--($AL105:$AQ105&gt;AN105))+SUMPRODUCT(--($AL105:AM105=AN105))&lt;$AK105,1,0)</f>
        <v>71</v>
      </c>
      <c r="O105" s="2" t="n">
        <f aca="false">AH105+IF(SUMPRODUCT(--($AL105:$AQ105&gt;AO105))+SUMPRODUCT(--($AL105:AN105=AO105))&lt;$AK105,1,0)</f>
        <v>94</v>
      </c>
      <c r="P105" s="2" t="n">
        <f aca="false">AI105+IF(SUMPRODUCT(--($AL105:$AQ105&gt;AP105))+SUMPRODUCT(--($AL105:AO105=AP105))&lt;$AK105,1,0)</f>
        <v>73</v>
      </c>
      <c r="Q105" s="2" t="n">
        <f aca="false">AJ105+IF(SUMPRODUCT(--($AL105:$AQ105&gt;AQ105))+SUMPRODUCT(--($AL105:AP105=AQ105))&lt;$AK105,1,0)</f>
        <v>57</v>
      </c>
      <c r="R105" s="2" t="n">
        <f aca="false">SUM(L105:Q105)</f>
        <v>500</v>
      </c>
      <c r="S105" s="2" t="n">
        <f aca="false">Settings!$B$4*MAX(INDEX(Bases!$M$2:$M$53,B105),INDEX(Bases!$M$2:$M$53,C105))+Settings!$B$5*MIN(INDEX(Bases!$M$2:$M$53,B105),INDEX(Bases!$M$2:$M$53,C105))</f>
        <v>77</v>
      </c>
      <c r="T105" s="2" t="n">
        <f aca="false">Settings!$B$4*MAX(INDEX(Bases!$N$2:$N$53,B105),INDEX(Bases!$N$2:$N$53,C105))+Settings!$B$5*MIN(INDEX(Bases!$N$2:$N$53,B105),INDEX(Bases!$N$2:$N$53,C105))</f>
        <v>91</v>
      </c>
      <c r="U105" s="2" t="n">
        <f aca="false">Settings!$B$4*MAX(INDEX(Bases!$O$2:$O$53,B105),INDEX(Bases!$O$2:$O$53,C105))+Settings!$B$5*MIN(INDEX(Bases!$O$2:$O$53,B105),INDEX(Bases!$O$2:$O$53,C105))</f>
        <v>58</v>
      </c>
      <c r="V105" s="2" t="n">
        <f aca="false">Settings!$B$4*MAX(INDEX(Bases!$P$2:$P$53,B105),INDEX(Bases!$P$2:$P$53,C105))+Settings!$B$5*MIN(INDEX(Bases!$P$2:$P$53,B105),INDEX(Bases!$P$2:$P$53,C105))</f>
        <v>77</v>
      </c>
      <c r="W105" s="2" t="n">
        <f aca="false">Settings!$B$4*MAX(INDEX(Bases!$Q$2:$Q$53,B105),INDEX(Bases!$Q$2:$Q$53,C105))+Settings!$B$5*MIN(INDEX(Bases!$Q$2:$Q$53,B105),INDEX(Bases!$Q$2:$Q$53,C105))</f>
        <v>59.6666666666667</v>
      </c>
      <c r="X105" s="2" t="n">
        <f aca="false">Settings!$B$4*MAX(INDEX(Bases!$R$2:$R$53,B105),INDEX(Bases!$R$2:$R$53,C105))+Settings!$B$5*MIN(INDEX(Bases!$R$2:$R$53,B105),INDEX(Bases!$R$2:$R$53,C105))</f>
        <v>47.3333333333333</v>
      </c>
      <c r="Y105" s="2" t="n">
        <f aca="false">S105*Settings!$B$3/SUM(S105:X105)</f>
        <v>93.9024390243903</v>
      </c>
      <c r="Z105" s="2" t="n">
        <f aca="false">T105*Settings!$B$3/SUM(S105:X105)</f>
        <v>110.975609756098</v>
      </c>
      <c r="AA105" s="2" t="n">
        <f aca="false">U105*Settings!$B$3/SUM(S105:X105)</f>
        <v>70.7317073170732</v>
      </c>
      <c r="AB105" s="2" t="n">
        <f aca="false">V105*Settings!$B$3/SUM(S105:X105)</f>
        <v>93.9024390243903</v>
      </c>
      <c r="AC105" s="2" t="n">
        <f aca="false">W105*Settings!$B$3/SUM(S105:X105)</f>
        <v>72.7642276422764</v>
      </c>
      <c r="AD105" s="2" t="n">
        <f aca="false">X105*Settings!$B$3/SUM(S105:X105)</f>
        <v>57.7235772357724</v>
      </c>
      <c r="AE105" s="2" t="n">
        <f aca="false">INT(Y105)</f>
        <v>93</v>
      </c>
      <c r="AF105" s="2" t="n">
        <f aca="false">INT(Z105)</f>
        <v>110</v>
      </c>
      <c r="AG105" s="2" t="n">
        <f aca="false">INT(AA105)</f>
        <v>70</v>
      </c>
      <c r="AH105" s="2" t="n">
        <f aca="false">INT(AB105)</f>
        <v>93</v>
      </c>
      <c r="AI105" s="2" t="n">
        <f aca="false">INT(AC105)</f>
        <v>72</v>
      </c>
      <c r="AJ105" s="2" t="n">
        <f aca="false">INT(AD105)</f>
        <v>57</v>
      </c>
      <c r="AK105" s="2" t="n">
        <f aca="false">Settings!$B$3-SUM(AE105:AJ105)</f>
        <v>5</v>
      </c>
      <c r="AL105" s="2" t="n">
        <f aca="false">ROUND(Y105-AE105,9)</f>
        <v>0.902439024</v>
      </c>
      <c r="AM105" s="2" t="n">
        <f aca="false">ROUND(Z105-AF105,9)</f>
        <v>0.975609756</v>
      </c>
      <c r="AN105" s="2" t="n">
        <f aca="false">ROUND(AA105-AG105,9)</f>
        <v>0.731707317</v>
      </c>
      <c r="AO105" s="2" t="n">
        <f aca="false">ROUND(AB105-AH105,9)</f>
        <v>0.902439024</v>
      </c>
      <c r="AP105" s="2" t="n">
        <f aca="false">ROUND(AC105-AI105,9)</f>
        <v>0.764227642</v>
      </c>
      <c r="AQ105" s="2" t="n">
        <f aca="false">ROUND(AD105-AJ105,9)</f>
        <v>0.723577236</v>
      </c>
    </row>
    <row r="106" customFormat="false" ht="15" hidden="false" customHeight="false" outlineLevel="0" collapsed="false">
      <c r="A106" s="2" t="n">
        <v>105</v>
      </c>
      <c r="B106" s="6" t="n">
        <v>3</v>
      </c>
      <c r="C106" s="6" t="n">
        <v>7</v>
      </c>
      <c r="D106" s="8" t="str">
        <f aca="false">INDEX(Bases!$B$2:$B$53,B106)</f>
        <v>Teddiursa</v>
      </c>
      <c r="E106" s="8" t="str">
        <f aca="false">INDEX(Bases!$B$2:$B$53,C106)</f>
        <v>Azurill</v>
      </c>
      <c r="F106" s="2" t="str">
        <f aca="false">LEFT(D106,ROUNDUP(LEN(D106)/2,0))&amp;LOWER(MID(E106,ROUNDUP(LEN(E106)/2,0)+1,20))</f>
        <v>Teddiill</v>
      </c>
      <c r="G106" s="8" t="str">
        <f aca="false">INDEX(Bases!$C$2:$C$53,B106)</f>
        <v>Normal</v>
      </c>
      <c r="H106" s="8" t="str">
        <f aca="false">IF(INDEX(Bases!$C$2:$C$53,C106)=G106,"",INDEX(Bases!$C$2:$C$53,C106))</f>
        <v>Water</v>
      </c>
      <c r="I106" s="8" t="str">
        <f aca="false">IF(INDEX(Bases!$E$2:$E$53,B106)="","",INDEX(Bases!$E$2:$E$53,B106))</f>
        <v/>
      </c>
      <c r="J106" s="8" t="str">
        <f aca="false">IF(INDEX(Bases!$E$2:$E$53,C106)="","",INDEX(Bases!$E$2:$E$53,C106))</f>
        <v/>
      </c>
      <c r="K106" s="5"/>
      <c r="L106" s="2" t="n">
        <f aca="false">AE106+IF(SUMPRODUCT(--($AL106:$AQ106&gt;AL106))&lt;$AK106,1,0)</f>
        <v>111</v>
      </c>
      <c r="M106" s="2" t="n">
        <f aca="false">AF106+IF(SUMPRODUCT(--($AL106:$AQ106&gt;AM106))+SUMPRODUCT(--($AL106:AL106=AM106))&lt;$AK106,1,0)</f>
        <v>92</v>
      </c>
      <c r="N106" s="2" t="n">
        <f aca="false">AG106+IF(SUMPRODUCT(--($AL106:$AQ106&gt;AN106))+SUMPRODUCT(--($AL106:AM106=AN106))&lt;$AK106,1,0)</f>
        <v>90</v>
      </c>
      <c r="O106" s="2" t="n">
        <f aca="false">AH106+IF(SUMPRODUCT(--($AL106:$AQ106&gt;AO106))+SUMPRODUCT(--($AL106:AN106=AO106))&lt;$AK106,1,0)</f>
        <v>64</v>
      </c>
      <c r="P106" s="2" t="n">
        <f aca="false">AI106+IF(SUMPRODUCT(--($AL106:$AQ106&gt;AP106))+SUMPRODUCT(--($AL106:AO106=AP106))&lt;$AK106,1,0)</f>
        <v>89</v>
      </c>
      <c r="Q106" s="2" t="n">
        <f aca="false">AJ106+IF(SUMPRODUCT(--($AL106:$AQ106&gt;AQ106))+SUMPRODUCT(--($AL106:AP106=AQ106))&lt;$AK106,1,0)</f>
        <v>54</v>
      </c>
      <c r="R106" s="2" t="n">
        <f aca="false">SUM(L106:Q106)</f>
        <v>500</v>
      </c>
      <c r="S106" s="2" t="n">
        <f aca="false">Settings!$B$4*MAX(INDEX(Bases!$M$2:$M$53,B106),INDEX(Bases!$M$2:$M$53,C106))+Settings!$B$5*MIN(INDEX(Bases!$M$2:$M$53,B106),INDEX(Bases!$M$2:$M$53,C106))</f>
        <v>95</v>
      </c>
      <c r="T106" s="2" t="n">
        <f aca="false">Settings!$B$4*MAX(INDEX(Bases!$N$2:$N$53,B106),INDEX(Bases!$N$2:$N$53,C106))+Settings!$B$5*MIN(INDEX(Bases!$N$2:$N$53,B106),INDEX(Bases!$N$2:$N$53,C106))</f>
        <v>78.6666666666667</v>
      </c>
      <c r="U106" s="2" t="n">
        <f aca="false">Settings!$B$4*MAX(INDEX(Bases!$O$2:$O$53,B106),INDEX(Bases!$O$2:$O$53,C106))+Settings!$B$5*MIN(INDEX(Bases!$O$2:$O$53,B106),INDEX(Bases!$O$2:$O$53,C106))</f>
        <v>76.3333333333333</v>
      </c>
      <c r="V106" s="2" t="n">
        <f aca="false">Settings!$B$4*MAX(INDEX(Bases!$P$2:$P$53,B106),INDEX(Bases!$P$2:$P$53,C106))+Settings!$B$5*MIN(INDEX(Bases!$P$2:$P$53,B106),INDEX(Bases!$P$2:$P$53,C106))</f>
        <v>54.6666666666667</v>
      </c>
      <c r="W106" s="2" t="n">
        <f aca="false">Settings!$B$4*MAX(INDEX(Bases!$Q$2:$Q$53,B106),INDEX(Bases!$Q$2:$Q$53,C106))+Settings!$B$5*MIN(INDEX(Bases!$Q$2:$Q$53,B106),INDEX(Bases!$Q$2:$Q$53,C106))</f>
        <v>76</v>
      </c>
      <c r="X106" s="2" t="n">
        <f aca="false">Settings!$B$4*MAX(INDEX(Bases!$R$2:$R$53,B106),INDEX(Bases!$R$2:$R$53,C106))+Settings!$B$5*MIN(INDEX(Bases!$R$2:$R$53,B106),INDEX(Bases!$R$2:$R$53,C106))</f>
        <v>46</v>
      </c>
      <c r="Y106" s="2" t="n">
        <f aca="false">S106*Settings!$B$3/SUM(S106:X106)</f>
        <v>111.328125</v>
      </c>
      <c r="Z106" s="2" t="n">
        <f aca="false">T106*Settings!$B$3/SUM(S106:X106)</f>
        <v>92.1875</v>
      </c>
      <c r="AA106" s="2" t="n">
        <f aca="false">U106*Settings!$B$3/SUM(S106:X106)</f>
        <v>89.453125</v>
      </c>
      <c r="AB106" s="2" t="n">
        <f aca="false">V106*Settings!$B$3/SUM(S106:X106)</f>
        <v>64.0625</v>
      </c>
      <c r="AC106" s="2" t="n">
        <f aca="false">W106*Settings!$B$3/SUM(S106:X106)</f>
        <v>89.0625</v>
      </c>
      <c r="AD106" s="2" t="n">
        <f aca="false">X106*Settings!$B$3/SUM(S106:X106)</f>
        <v>53.90625</v>
      </c>
      <c r="AE106" s="2" t="n">
        <f aca="false">INT(Y106)</f>
        <v>111</v>
      </c>
      <c r="AF106" s="2" t="n">
        <f aca="false">INT(Z106)</f>
        <v>92</v>
      </c>
      <c r="AG106" s="2" t="n">
        <f aca="false">INT(AA106)</f>
        <v>89</v>
      </c>
      <c r="AH106" s="2" t="n">
        <f aca="false">INT(AB106)</f>
        <v>64</v>
      </c>
      <c r="AI106" s="2" t="n">
        <f aca="false">INT(AC106)</f>
        <v>89</v>
      </c>
      <c r="AJ106" s="2" t="n">
        <f aca="false">INT(AD106)</f>
        <v>53</v>
      </c>
      <c r="AK106" s="2" t="n">
        <f aca="false">Settings!$B$3-SUM(AE106:AJ106)</f>
        <v>2</v>
      </c>
      <c r="AL106" s="2" t="n">
        <f aca="false">ROUND(Y106-AE106,9)</f>
        <v>0.328125</v>
      </c>
      <c r="AM106" s="2" t="n">
        <f aca="false">ROUND(Z106-AF106,9)</f>
        <v>0.1875</v>
      </c>
      <c r="AN106" s="2" t="n">
        <f aca="false">ROUND(AA106-AG106,9)</f>
        <v>0.453125</v>
      </c>
      <c r="AO106" s="2" t="n">
        <f aca="false">ROUND(AB106-AH106,9)</f>
        <v>0.0625</v>
      </c>
      <c r="AP106" s="2" t="n">
        <f aca="false">ROUND(AC106-AI106,9)</f>
        <v>0.0625</v>
      </c>
      <c r="AQ106" s="2" t="n">
        <f aca="false">ROUND(AD106-AJ106,9)</f>
        <v>0.90625</v>
      </c>
    </row>
    <row r="107" customFormat="false" ht="15" hidden="false" customHeight="false" outlineLevel="0" collapsed="false">
      <c r="A107" s="2" t="n">
        <v>106</v>
      </c>
      <c r="B107" s="6" t="n">
        <v>3</v>
      </c>
      <c r="C107" s="6" t="n">
        <v>8</v>
      </c>
      <c r="D107" s="8" t="str">
        <f aca="false">INDEX(Bases!$B$2:$B$53,B107)</f>
        <v>Teddiursa</v>
      </c>
      <c r="E107" s="8" t="str">
        <f aca="false">INDEX(Bases!$B$2:$B$53,C107)</f>
        <v>Corsola</v>
      </c>
      <c r="F107" s="2" t="str">
        <f aca="false">LEFT(D107,ROUNDUP(LEN(D107)/2,0))&amp;LOWER(MID(E107,ROUNDUP(LEN(E107)/2,0)+1,20))</f>
        <v>Teddiola</v>
      </c>
      <c r="G107" s="8" t="str">
        <f aca="false">INDEX(Bases!$C$2:$C$53,B107)</f>
        <v>Normal</v>
      </c>
      <c r="H107" s="8" t="str">
        <f aca="false">IF(INDEX(Bases!$C$2:$C$53,C107)=G107,"",INDEX(Bases!$C$2:$C$53,C107))</f>
        <v>Water</v>
      </c>
      <c r="I107" s="8" t="str">
        <f aca="false">IF(INDEX(Bases!$E$2:$E$53,B107)="","",INDEX(Bases!$E$2:$E$53,B107))</f>
        <v/>
      </c>
      <c r="J107" s="8" t="str">
        <f aca="false">IF(INDEX(Bases!$E$2:$E$53,C107)="","",INDEX(Bases!$E$2:$E$53,C107))</f>
        <v/>
      </c>
      <c r="K107" s="5"/>
      <c r="L107" s="2" t="n">
        <f aca="false">AE107+IF(SUMPRODUCT(--($AL107:$AQ107&gt;AL107))&lt;$AK107,1,0)</f>
        <v>83</v>
      </c>
      <c r="M107" s="2" t="n">
        <f aca="false">AF107+IF(SUMPRODUCT(--($AL107:$AQ107&gt;AM107))+SUMPRODUCT(--($AL107:AL107=AM107))&lt;$AK107,1,0)</f>
        <v>98</v>
      </c>
      <c r="N107" s="2" t="n">
        <f aca="false">AG107+IF(SUMPRODUCT(--($AL107:$AQ107&gt;AN107))+SUMPRODUCT(--($AL107:AM107=AN107))&lt;$AK107,1,0)</f>
        <v>97</v>
      </c>
      <c r="O107" s="2" t="n">
        <f aca="false">AH107+IF(SUMPRODUCT(--($AL107:$AQ107&gt;AO107))+SUMPRODUCT(--($AL107:AN107=AO107))&lt;$AK107,1,0)</f>
        <v>74</v>
      </c>
      <c r="P107" s="2" t="n">
        <f aca="false">AI107+IF(SUMPRODUCT(--($AL107:$AQ107&gt;AP107))+SUMPRODUCT(--($AL107:AO107=AP107))&lt;$AK107,1,0)</f>
        <v>97</v>
      </c>
      <c r="Q107" s="2" t="n">
        <f aca="false">AJ107+IF(SUMPRODUCT(--($AL107:$AQ107&gt;AQ107))+SUMPRODUCT(--($AL107:AP107=AQ107))&lt;$AK107,1,0)</f>
        <v>51</v>
      </c>
      <c r="R107" s="2" t="n">
        <f aca="false">SUM(L107:Q107)</f>
        <v>500</v>
      </c>
      <c r="S107" s="2" t="n">
        <f aca="false">Settings!$B$4*MAX(INDEX(Bases!$M$2:$M$53,B107),INDEX(Bases!$M$2:$M$53,C107))+Settings!$B$5*MIN(INDEX(Bases!$M$2:$M$53,B107),INDEX(Bases!$M$2:$M$53,C107))</f>
        <v>69.6666666666667</v>
      </c>
      <c r="T107" s="2" t="n">
        <f aca="false">Settings!$B$4*MAX(INDEX(Bases!$N$2:$N$53,B107),INDEX(Bases!$N$2:$N$53,C107))+Settings!$B$5*MIN(INDEX(Bases!$N$2:$N$53,B107),INDEX(Bases!$N$2:$N$53,C107))</f>
        <v>82.6666666666667</v>
      </c>
      <c r="U107" s="2" t="n">
        <f aca="false">Settings!$B$4*MAX(INDEX(Bases!$O$2:$O$53,B107),INDEX(Bases!$O$2:$O$53,C107))+Settings!$B$5*MIN(INDEX(Bases!$O$2:$O$53,B107),INDEX(Bases!$O$2:$O$53,C107))</f>
        <v>82.3333333333333</v>
      </c>
      <c r="V107" s="2" t="n">
        <f aca="false">Settings!$B$4*MAX(INDEX(Bases!$P$2:$P$53,B107),INDEX(Bases!$P$2:$P$53,C107))+Settings!$B$5*MIN(INDEX(Bases!$P$2:$P$53,B107),INDEX(Bases!$P$2:$P$53,C107))</f>
        <v>62.3333333333333</v>
      </c>
      <c r="W107" s="2" t="n">
        <f aca="false">Settings!$B$4*MAX(INDEX(Bases!$Q$2:$Q$53,B107),INDEX(Bases!$Q$2:$Q$53,C107))+Settings!$B$5*MIN(INDEX(Bases!$Q$2:$Q$53,B107),INDEX(Bases!$Q$2:$Q$53,C107))</f>
        <v>82</v>
      </c>
      <c r="X107" s="2" t="n">
        <f aca="false">Settings!$B$4*MAX(INDEX(Bases!$R$2:$R$53,B107),INDEX(Bases!$R$2:$R$53,C107))+Settings!$B$5*MIN(INDEX(Bases!$R$2:$R$53,B107),INDEX(Bases!$R$2:$R$53,C107))</f>
        <v>43.3333333333333</v>
      </c>
      <c r="Y107" s="2" t="n">
        <f aca="false">S107*Settings!$B$3/SUM(S107:X107)</f>
        <v>82.4782951854775</v>
      </c>
      <c r="Z107" s="2" t="n">
        <f aca="false">T107*Settings!$B$3/SUM(S107:X107)</f>
        <v>97.8689818468824</v>
      </c>
      <c r="AA107" s="2" t="n">
        <f aca="false">U107*Settings!$B$3/SUM(S107:X107)</f>
        <v>97.4743488555643</v>
      </c>
      <c r="AB107" s="2" t="n">
        <f aca="false">V107*Settings!$B$3/SUM(S107:X107)</f>
        <v>73.7963693764799</v>
      </c>
      <c r="AC107" s="2" t="n">
        <f aca="false">W107*Settings!$B$3/SUM(S107:X107)</f>
        <v>97.0797158642463</v>
      </c>
      <c r="AD107" s="2" t="n">
        <f aca="false">X107*Settings!$B$3/SUM(S107:X107)</f>
        <v>51.3022888713497</v>
      </c>
      <c r="AE107" s="2" t="n">
        <f aca="false">INT(Y107)</f>
        <v>82</v>
      </c>
      <c r="AF107" s="2" t="n">
        <f aca="false">INT(Z107)</f>
        <v>97</v>
      </c>
      <c r="AG107" s="2" t="n">
        <f aca="false">INT(AA107)</f>
        <v>97</v>
      </c>
      <c r="AH107" s="2" t="n">
        <f aca="false">INT(AB107)</f>
        <v>73</v>
      </c>
      <c r="AI107" s="2" t="n">
        <f aca="false">INT(AC107)</f>
        <v>97</v>
      </c>
      <c r="AJ107" s="2" t="n">
        <f aca="false">INT(AD107)</f>
        <v>51</v>
      </c>
      <c r="AK107" s="2" t="n">
        <f aca="false">Settings!$B$3-SUM(AE107:AJ107)</f>
        <v>3</v>
      </c>
      <c r="AL107" s="2" t="n">
        <f aca="false">ROUND(Y107-AE107,9)</f>
        <v>0.478295185</v>
      </c>
      <c r="AM107" s="2" t="n">
        <f aca="false">ROUND(Z107-AF107,9)</f>
        <v>0.868981847</v>
      </c>
      <c r="AN107" s="2" t="n">
        <f aca="false">ROUND(AA107-AG107,9)</f>
        <v>0.474348856</v>
      </c>
      <c r="AO107" s="2" t="n">
        <f aca="false">ROUND(AB107-AH107,9)</f>
        <v>0.796369376</v>
      </c>
      <c r="AP107" s="2" t="n">
        <f aca="false">ROUND(AC107-AI107,9)</f>
        <v>0.079715864</v>
      </c>
      <c r="AQ107" s="2" t="n">
        <f aca="false">ROUND(AD107-AJ107,9)</f>
        <v>0.302288871</v>
      </c>
    </row>
    <row r="108" customFormat="false" ht="15" hidden="false" customHeight="false" outlineLevel="0" collapsed="false">
      <c r="A108" s="2" t="n">
        <v>107</v>
      </c>
      <c r="B108" s="6" t="n">
        <v>3</v>
      </c>
      <c r="C108" s="6" t="n">
        <v>9</v>
      </c>
      <c r="D108" s="8" t="str">
        <f aca="false">INDEX(Bases!$B$2:$B$53,B108)</f>
        <v>Teddiursa</v>
      </c>
      <c r="E108" s="8" t="str">
        <f aca="false">INDEX(Bases!$B$2:$B$53,C108)</f>
        <v>Mudkip</v>
      </c>
      <c r="F108" s="2" t="str">
        <f aca="false">LEFT(D108,ROUNDUP(LEN(D108)/2,0))&amp;LOWER(MID(E108,ROUNDUP(LEN(E108)/2,0)+1,20))</f>
        <v>Teddikip</v>
      </c>
      <c r="G108" s="8" t="str">
        <f aca="false">INDEX(Bases!$C$2:$C$53,B108)</f>
        <v>Normal</v>
      </c>
      <c r="H108" s="8" t="str">
        <f aca="false">IF(INDEX(Bases!$C$2:$C$53,C108)=G108,"",INDEX(Bases!$C$2:$C$53,C108))</f>
        <v>Water</v>
      </c>
      <c r="I108" s="8" t="str">
        <f aca="false">IF(INDEX(Bases!$E$2:$E$53,B108)="","",INDEX(Bases!$E$2:$E$53,B108))</f>
        <v/>
      </c>
      <c r="J108" s="8" t="str">
        <f aca="false">IF(INDEX(Bases!$E$2:$E$53,C108)="","",INDEX(Bases!$E$2:$E$53,C108))</f>
        <v/>
      </c>
      <c r="K108" s="5"/>
      <c r="L108" s="2" t="n">
        <f aca="false">AE108+IF(SUMPRODUCT(--($AL108:$AQ108&gt;AL108))&lt;$AK108,1,0)</f>
        <v>87</v>
      </c>
      <c r="M108" s="2" t="n">
        <f aca="false">AF108+IF(SUMPRODUCT(--($AL108:$AQ108&gt;AM108))+SUMPRODUCT(--($AL108:AL108=AM108))&lt;$AK108,1,0)</f>
        <v>117</v>
      </c>
      <c r="N108" s="2" t="n">
        <f aca="false">AG108+IF(SUMPRODUCT(--($AL108:$AQ108&gt;AN108))+SUMPRODUCT(--($AL108:AM108=AN108))&lt;$AK108,1,0)</f>
        <v>79</v>
      </c>
      <c r="O108" s="2" t="n">
        <f aca="false">AH108+IF(SUMPRODUCT(--($AL108:$AQ108&gt;AO108))+SUMPRODUCT(--($AL108:AN108=AO108))&lt;$AK108,1,0)</f>
        <v>78</v>
      </c>
      <c r="P108" s="2" t="n">
        <f aca="false">AI108+IF(SUMPRODUCT(--($AL108:$AQ108&gt;AP108))+SUMPRODUCT(--($AL108:AO108=AP108))&lt;$AK108,1,0)</f>
        <v>77</v>
      </c>
      <c r="Q108" s="2" t="n">
        <f aca="false">AJ108+IF(SUMPRODUCT(--($AL108:$AQ108&gt;AQ108))+SUMPRODUCT(--($AL108:AP108=AQ108))&lt;$AK108,1,0)</f>
        <v>62</v>
      </c>
      <c r="R108" s="2" t="n">
        <f aca="false">SUM(L108:Q108)</f>
        <v>500</v>
      </c>
      <c r="S108" s="2" t="n">
        <f aca="false">Settings!$B$4*MAX(INDEX(Bases!$M$2:$M$53,B108),INDEX(Bases!$M$2:$M$53,C108))+Settings!$B$5*MIN(INDEX(Bases!$M$2:$M$53,B108),INDEX(Bases!$M$2:$M$53,C108))</f>
        <v>70.3333333333333</v>
      </c>
      <c r="T108" s="2" t="n">
        <f aca="false">Settings!$B$4*MAX(INDEX(Bases!$N$2:$N$53,B108),INDEX(Bases!$N$2:$N$53,C108))+Settings!$B$5*MIN(INDEX(Bases!$N$2:$N$53,B108),INDEX(Bases!$N$2:$N$53,C108))</f>
        <v>94.6666666666667</v>
      </c>
      <c r="U108" s="2" t="n">
        <f aca="false">Settings!$B$4*MAX(INDEX(Bases!$O$2:$O$53,B108),INDEX(Bases!$O$2:$O$53,C108))+Settings!$B$5*MIN(INDEX(Bases!$O$2:$O$53,B108),INDEX(Bases!$O$2:$O$53,C108))</f>
        <v>63.6666666666667</v>
      </c>
      <c r="V108" s="2" t="n">
        <f aca="false">Settings!$B$4*MAX(INDEX(Bases!$P$2:$P$53,B108),INDEX(Bases!$P$2:$P$53,C108))+Settings!$B$5*MIN(INDEX(Bases!$P$2:$P$53,B108),INDEX(Bases!$P$2:$P$53,C108))</f>
        <v>63</v>
      </c>
      <c r="W108" s="2" t="n">
        <f aca="false">Settings!$B$4*MAX(INDEX(Bases!$Q$2:$Q$53,B108),INDEX(Bases!$Q$2:$Q$53,C108))+Settings!$B$5*MIN(INDEX(Bases!$Q$2:$Q$53,B108),INDEX(Bases!$Q$2:$Q$53,C108))</f>
        <v>62.6666666666667</v>
      </c>
      <c r="X108" s="2" t="n">
        <f aca="false">Settings!$B$4*MAX(INDEX(Bases!$R$2:$R$53,B108),INDEX(Bases!$R$2:$R$53,C108))+Settings!$B$5*MIN(INDEX(Bases!$R$2:$R$53,B108),INDEX(Bases!$R$2:$R$53,C108))</f>
        <v>50.6666666666667</v>
      </c>
      <c r="Y108" s="2" t="n">
        <f aca="false">S108*Settings!$B$3/SUM(S108:X108)</f>
        <v>86.8312757201646</v>
      </c>
      <c r="Z108" s="2" t="n">
        <f aca="false">T108*Settings!$B$3/SUM(S108:X108)</f>
        <v>116.872427983539</v>
      </c>
      <c r="AA108" s="2" t="n">
        <f aca="false">U108*Settings!$B$3/SUM(S108:X108)</f>
        <v>78.6008230452675</v>
      </c>
      <c r="AB108" s="2" t="n">
        <f aca="false">V108*Settings!$B$3/SUM(S108:X108)</f>
        <v>77.7777777777778</v>
      </c>
      <c r="AC108" s="2" t="n">
        <f aca="false">W108*Settings!$B$3/SUM(S108:X108)</f>
        <v>77.3662551440329</v>
      </c>
      <c r="AD108" s="2" t="n">
        <f aca="false">X108*Settings!$B$3/SUM(S108:X108)</f>
        <v>62.5514403292181</v>
      </c>
      <c r="AE108" s="2" t="n">
        <f aca="false">INT(Y108)</f>
        <v>86</v>
      </c>
      <c r="AF108" s="2" t="n">
        <f aca="false">INT(Z108)</f>
        <v>116</v>
      </c>
      <c r="AG108" s="2" t="n">
        <f aca="false">INT(AA108)</f>
        <v>78</v>
      </c>
      <c r="AH108" s="2" t="n">
        <f aca="false">INT(AB108)</f>
        <v>77</v>
      </c>
      <c r="AI108" s="2" t="n">
        <f aca="false">INT(AC108)</f>
        <v>77</v>
      </c>
      <c r="AJ108" s="2" t="n">
        <f aca="false">INT(AD108)</f>
        <v>62</v>
      </c>
      <c r="AK108" s="2" t="n">
        <f aca="false">Settings!$B$3-SUM(AE108:AJ108)</f>
        <v>4</v>
      </c>
      <c r="AL108" s="2" t="n">
        <f aca="false">ROUND(Y108-AE108,9)</f>
        <v>0.83127572</v>
      </c>
      <c r="AM108" s="2" t="n">
        <f aca="false">ROUND(Z108-AF108,9)</f>
        <v>0.872427984</v>
      </c>
      <c r="AN108" s="2" t="n">
        <f aca="false">ROUND(AA108-AG108,9)</f>
        <v>0.600823045</v>
      </c>
      <c r="AO108" s="2" t="n">
        <f aca="false">ROUND(AB108-AH108,9)</f>
        <v>0.777777778</v>
      </c>
      <c r="AP108" s="2" t="n">
        <f aca="false">ROUND(AC108-AI108,9)</f>
        <v>0.366255144</v>
      </c>
      <c r="AQ108" s="2" t="n">
        <f aca="false">ROUND(AD108-AJ108,9)</f>
        <v>0.551440329</v>
      </c>
    </row>
    <row r="109" customFormat="false" ht="15" hidden="false" customHeight="false" outlineLevel="0" collapsed="false">
      <c r="A109" s="2" t="n">
        <v>108</v>
      </c>
      <c r="B109" s="6" t="n">
        <v>3</v>
      </c>
      <c r="C109" s="6" t="n">
        <v>10</v>
      </c>
      <c r="D109" s="8" t="str">
        <f aca="false">INDEX(Bases!$B$2:$B$53,B109)</f>
        <v>Teddiursa</v>
      </c>
      <c r="E109" s="8" t="str">
        <f aca="false">INDEX(Bases!$B$2:$B$53,C109)</f>
        <v>Pichu</v>
      </c>
      <c r="F109" s="2" t="str">
        <f aca="false">LEFT(D109,ROUNDUP(LEN(D109)/2,0))&amp;LOWER(MID(E109,ROUNDUP(LEN(E109)/2,0)+1,20))</f>
        <v>Teddihu</v>
      </c>
      <c r="G109" s="8" t="str">
        <f aca="false">INDEX(Bases!$C$2:$C$53,B109)</f>
        <v>Normal</v>
      </c>
      <c r="H109" s="8" t="str">
        <f aca="false">IF(INDEX(Bases!$C$2:$C$53,C109)=G109,"",INDEX(Bases!$C$2:$C$53,C109))</f>
        <v>Electric</v>
      </c>
      <c r="I109" s="8" t="str">
        <f aca="false">IF(INDEX(Bases!$E$2:$E$53,B109)="","",INDEX(Bases!$E$2:$E$53,B109))</f>
        <v/>
      </c>
      <c r="J109" s="8" t="str">
        <f aca="false">IF(INDEX(Bases!$E$2:$E$53,C109)="","",INDEX(Bases!$E$2:$E$53,C109))</f>
        <v/>
      </c>
      <c r="K109" s="5"/>
      <c r="L109" s="2" t="n">
        <f aca="false">AE109+IF(SUMPRODUCT(--($AL109:$AQ109&gt;AL109))&lt;$AK109,1,0)</f>
        <v>72</v>
      </c>
      <c r="M109" s="2" t="n">
        <f aca="false">AF109+IF(SUMPRODUCT(--($AL109:$AQ109&gt;AM109))+SUMPRODUCT(--($AL109:AL109=AM109))&lt;$AK109,1,0)</f>
        <v>106</v>
      </c>
      <c r="N109" s="2" t="n">
        <f aca="false">AG109+IF(SUMPRODUCT(--($AL109:$AQ109&gt;AN109))+SUMPRODUCT(--($AL109:AM109=AN109))&lt;$AK109,1,0)</f>
        <v>59</v>
      </c>
      <c r="O109" s="2" t="n">
        <f aca="false">AH109+IF(SUMPRODUCT(--($AL109:$AQ109&gt;AO109))+SUMPRODUCT(--($AL109:AN109=AO109))&lt;$AK109,1,0)</f>
        <v>77</v>
      </c>
      <c r="P109" s="2" t="n">
        <f aca="false">AI109+IF(SUMPRODUCT(--($AL109:$AQ109&gt;AP109))+SUMPRODUCT(--($AL109:AO109=AP109))&lt;$AK109,1,0)</f>
        <v>76</v>
      </c>
      <c r="Q109" s="2" t="n">
        <f aca="false">AJ109+IF(SUMPRODUCT(--($AL109:$AQ109&gt;AQ109))+SUMPRODUCT(--($AL109:AP109=AQ109))&lt;$AK109,1,0)</f>
        <v>110</v>
      </c>
      <c r="R109" s="2" t="n">
        <f aca="false">SUM(L109:Q109)</f>
        <v>500</v>
      </c>
      <c r="S109" s="2" t="n">
        <f aca="false">Settings!$B$4*MAX(INDEX(Bases!$M$2:$M$53,B109),INDEX(Bases!$M$2:$M$53,C109))+Settings!$B$5*MIN(INDEX(Bases!$M$2:$M$53,B109),INDEX(Bases!$M$2:$M$53,C109))</f>
        <v>61.6666666666667</v>
      </c>
      <c r="T109" s="2" t="n">
        <f aca="false">Settings!$B$4*MAX(INDEX(Bases!$N$2:$N$53,B109),INDEX(Bases!$N$2:$N$53,C109))+Settings!$B$5*MIN(INDEX(Bases!$N$2:$N$53,B109),INDEX(Bases!$N$2:$N$53,C109))</f>
        <v>90.6666666666667</v>
      </c>
      <c r="U109" s="2" t="n">
        <f aca="false">Settings!$B$4*MAX(INDEX(Bases!$O$2:$O$53,B109),INDEX(Bases!$O$2:$O$53,C109))+Settings!$B$5*MIN(INDEX(Bases!$O$2:$O$53,B109),INDEX(Bases!$O$2:$O$53,C109))</f>
        <v>50.3333333333333</v>
      </c>
      <c r="V109" s="2" t="n">
        <f aca="false">Settings!$B$4*MAX(INDEX(Bases!$P$2:$P$53,B109),INDEX(Bases!$P$2:$P$53,C109))+Settings!$B$5*MIN(INDEX(Bases!$P$2:$P$53,B109),INDEX(Bases!$P$2:$P$53,C109))</f>
        <v>66.3333333333333</v>
      </c>
      <c r="W109" s="2" t="n">
        <f aca="false">Settings!$B$4*MAX(INDEX(Bases!$Q$2:$Q$53,B109),INDEX(Bases!$Q$2:$Q$53,C109))+Settings!$B$5*MIN(INDEX(Bases!$Q$2:$Q$53,B109),INDEX(Bases!$Q$2:$Q$53,C109))</f>
        <v>65.3333333333333</v>
      </c>
      <c r="X109" s="2" t="n">
        <f aca="false">Settings!$B$4*MAX(INDEX(Bases!$R$2:$R$53,B109),INDEX(Bases!$R$2:$R$53,C109))+Settings!$B$5*MIN(INDEX(Bases!$R$2:$R$53,B109),INDEX(Bases!$R$2:$R$53,C109))</f>
        <v>94</v>
      </c>
      <c r="Y109" s="2" t="n">
        <f aca="false">S109*Settings!$B$3/SUM(S109:X109)</f>
        <v>71.9844357976654</v>
      </c>
      <c r="Z109" s="2" t="n">
        <f aca="false">T109*Settings!$B$3/SUM(S109:X109)</f>
        <v>105.836575875486</v>
      </c>
      <c r="AA109" s="2" t="n">
        <f aca="false">U109*Settings!$B$3/SUM(S109:X109)</f>
        <v>58.7548638132296</v>
      </c>
      <c r="AB109" s="2" t="n">
        <f aca="false">V109*Settings!$B$3/SUM(S109:X109)</f>
        <v>77.431906614786</v>
      </c>
      <c r="AC109" s="2" t="n">
        <f aca="false">W109*Settings!$B$3/SUM(S109:X109)</f>
        <v>76.2645914396887</v>
      </c>
      <c r="AD109" s="2" t="n">
        <f aca="false">X109*Settings!$B$3/SUM(S109:X109)</f>
        <v>109.727626459144</v>
      </c>
      <c r="AE109" s="2" t="n">
        <f aca="false">INT(Y109)</f>
        <v>71</v>
      </c>
      <c r="AF109" s="2" t="n">
        <f aca="false">INT(Z109)</f>
        <v>105</v>
      </c>
      <c r="AG109" s="2" t="n">
        <f aca="false">INT(AA109)</f>
        <v>58</v>
      </c>
      <c r="AH109" s="2" t="n">
        <f aca="false">INT(AB109)</f>
        <v>77</v>
      </c>
      <c r="AI109" s="2" t="n">
        <f aca="false">INT(AC109)</f>
        <v>76</v>
      </c>
      <c r="AJ109" s="2" t="n">
        <f aca="false">INT(AD109)</f>
        <v>109</v>
      </c>
      <c r="AK109" s="2" t="n">
        <f aca="false">Settings!$B$3-SUM(AE109:AJ109)</f>
        <v>4</v>
      </c>
      <c r="AL109" s="2" t="n">
        <f aca="false">ROUND(Y109-AE109,9)</f>
        <v>0.984435798</v>
      </c>
      <c r="AM109" s="2" t="n">
        <f aca="false">ROUND(Z109-AF109,9)</f>
        <v>0.836575875</v>
      </c>
      <c r="AN109" s="2" t="n">
        <f aca="false">ROUND(AA109-AG109,9)</f>
        <v>0.754863813</v>
      </c>
      <c r="AO109" s="2" t="n">
        <f aca="false">ROUND(AB109-AH109,9)</f>
        <v>0.431906615</v>
      </c>
      <c r="AP109" s="2" t="n">
        <f aca="false">ROUND(AC109-AI109,9)</f>
        <v>0.26459144</v>
      </c>
      <c r="AQ109" s="2" t="n">
        <f aca="false">ROUND(AD109-AJ109,9)</f>
        <v>0.727626459</v>
      </c>
    </row>
    <row r="110" customFormat="false" ht="15" hidden="false" customHeight="false" outlineLevel="0" collapsed="false">
      <c r="A110" s="2" t="n">
        <v>109</v>
      </c>
      <c r="B110" s="6" t="n">
        <v>3</v>
      </c>
      <c r="C110" s="6" t="n">
        <v>11</v>
      </c>
      <c r="D110" s="8" t="str">
        <f aca="false">INDEX(Bases!$B$2:$B$53,B110)</f>
        <v>Teddiursa</v>
      </c>
      <c r="E110" s="8" t="str">
        <f aca="false">INDEX(Bases!$B$2:$B$53,C110)</f>
        <v>Voltorb</v>
      </c>
      <c r="F110" s="2" t="str">
        <f aca="false">LEFT(D110,ROUNDUP(LEN(D110)/2,0))&amp;LOWER(MID(E110,ROUNDUP(LEN(E110)/2,0)+1,20))</f>
        <v>Teddiorb</v>
      </c>
      <c r="G110" s="8" t="str">
        <f aca="false">INDEX(Bases!$C$2:$C$53,B110)</f>
        <v>Normal</v>
      </c>
      <c r="H110" s="8" t="str">
        <f aca="false">IF(INDEX(Bases!$C$2:$C$53,C110)=G110,"",INDEX(Bases!$C$2:$C$53,C110))</f>
        <v>Electric</v>
      </c>
      <c r="I110" s="8" t="str">
        <f aca="false">IF(INDEX(Bases!$E$2:$E$53,B110)="","",INDEX(Bases!$E$2:$E$53,B110))</f>
        <v/>
      </c>
      <c r="J110" s="8" t="str">
        <f aca="false">IF(INDEX(Bases!$E$2:$E$53,C110)="","",INDEX(Bases!$E$2:$E$53,C110))</f>
        <v/>
      </c>
      <c r="K110" s="5"/>
      <c r="L110" s="2" t="n">
        <f aca="false">AE110+IF(SUMPRODUCT(--($AL110:$AQ110&gt;AL110))&lt;$AK110,1,0)</f>
        <v>76</v>
      </c>
      <c r="M110" s="2" t="n">
        <f aca="false">AF110+IF(SUMPRODUCT(--($AL110:$AQ110&gt;AM110))+SUMPRODUCT(--($AL110:AL110=AM110))&lt;$AK110,1,0)</f>
        <v>89</v>
      </c>
      <c r="N110" s="2" t="n">
        <f aca="false">AG110+IF(SUMPRODUCT(--($AL110:$AQ110&gt;AN110))+SUMPRODUCT(--($AL110:AM110=AN110))&lt;$AK110,1,0)</f>
        <v>71</v>
      </c>
      <c r="O110" s="2" t="n">
        <f aca="false">AH110+IF(SUMPRODUCT(--($AL110:$AQ110&gt;AO110))+SUMPRODUCT(--($AL110:AN110=AO110))&lt;$AK110,1,0)</f>
        <v>76</v>
      </c>
      <c r="P110" s="2" t="n">
        <f aca="false">AI110+IF(SUMPRODUCT(--($AL110:$AQ110&gt;AP110))+SUMPRODUCT(--($AL110:AO110=AP110))&lt;$AK110,1,0)</f>
        <v>75</v>
      </c>
      <c r="Q110" s="2" t="n">
        <f aca="false">AJ110+IF(SUMPRODUCT(--($AL110:$AQ110&gt;AQ110))+SUMPRODUCT(--($AL110:AP110=AQ110))&lt;$AK110,1,0)</f>
        <v>113</v>
      </c>
      <c r="R110" s="2" t="n">
        <f aca="false">SUM(L110:Q110)</f>
        <v>500</v>
      </c>
      <c r="S110" s="2" t="n">
        <f aca="false">Settings!$B$4*MAX(INDEX(Bases!$M$2:$M$53,B110),INDEX(Bases!$M$2:$M$53,C110))+Settings!$B$5*MIN(INDEX(Bases!$M$2:$M$53,B110),INDEX(Bases!$M$2:$M$53,C110))</f>
        <v>64.6666666666667</v>
      </c>
      <c r="T110" s="2" t="n">
        <f aca="false">Settings!$B$4*MAX(INDEX(Bases!$N$2:$N$53,B110),INDEX(Bases!$N$2:$N$53,C110))+Settings!$B$5*MIN(INDEX(Bases!$N$2:$N$53,B110),INDEX(Bases!$N$2:$N$53,C110))</f>
        <v>76.6666666666667</v>
      </c>
      <c r="U110" s="2" t="n">
        <f aca="false">Settings!$B$4*MAX(INDEX(Bases!$O$2:$O$53,B110),INDEX(Bases!$O$2:$O$53,C110))+Settings!$B$5*MIN(INDEX(Bases!$O$2:$O$53,B110),INDEX(Bases!$O$2:$O$53,C110))</f>
        <v>61</v>
      </c>
      <c r="V110" s="2" t="n">
        <f aca="false">Settings!$B$4*MAX(INDEX(Bases!$P$2:$P$53,B110),INDEX(Bases!$P$2:$P$53,C110))+Settings!$B$5*MIN(INDEX(Bases!$P$2:$P$53,B110),INDEX(Bases!$P$2:$P$53,C110))</f>
        <v>65</v>
      </c>
      <c r="W110" s="2" t="n">
        <f aca="false">Settings!$B$4*MAX(INDEX(Bases!$Q$2:$Q$53,B110),INDEX(Bases!$Q$2:$Q$53,C110))+Settings!$B$5*MIN(INDEX(Bases!$Q$2:$Q$53,B110),INDEX(Bases!$Q$2:$Q$53,C110))</f>
        <v>64.6666666666667</v>
      </c>
      <c r="X110" s="2" t="n">
        <f aca="false">Settings!$B$4*MAX(INDEX(Bases!$R$2:$R$53,B110),INDEX(Bases!$R$2:$R$53,C110))+Settings!$B$5*MIN(INDEX(Bases!$R$2:$R$53,B110),INDEX(Bases!$R$2:$R$53,C110))</f>
        <v>96.6666666666667</v>
      </c>
      <c r="Y110" s="2" t="n">
        <f aca="false">S110*Settings!$B$3/SUM(S110:X110)</f>
        <v>75.4276827371695</v>
      </c>
      <c r="Z110" s="2" t="n">
        <f aca="false">T110*Settings!$B$3/SUM(S110:X110)</f>
        <v>89.4245723172628</v>
      </c>
      <c r="AA110" s="2" t="n">
        <f aca="false">U110*Settings!$B$3/SUM(S110:X110)</f>
        <v>71.1508553654743</v>
      </c>
      <c r="AB110" s="2" t="n">
        <f aca="false">V110*Settings!$B$3/SUM(S110:X110)</f>
        <v>75.8164852255055</v>
      </c>
      <c r="AC110" s="2" t="n">
        <f aca="false">W110*Settings!$B$3/SUM(S110:X110)</f>
        <v>75.4276827371695</v>
      </c>
      <c r="AD110" s="2" t="n">
        <f aca="false">X110*Settings!$B$3/SUM(S110:X110)</f>
        <v>112.752721617418</v>
      </c>
      <c r="AE110" s="2" t="n">
        <f aca="false">INT(Y110)</f>
        <v>75</v>
      </c>
      <c r="AF110" s="2" t="n">
        <f aca="false">INT(Z110)</f>
        <v>89</v>
      </c>
      <c r="AG110" s="2" t="n">
        <f aca="false">INT(AA110)</f>
        <v>71</v>
      </c>
      <c r="AH110" s="2" t="n">
        <f aca="false">INT(AB110)</f>
        <v>75</v>
      </c>
      <c r="AI110" s="2" t="n">
        <f aca="false">INT(AC110)</f>
        <v>75</v>
      </c>
      <c r="AJ110" s="2" t="n">
        <f aca="false">INT(AD110)</f>
        <v>112</v>
      </c>
      <c r="AK110" s="2" t="n">
        <f aca="false">Settings!$B$3-SUM(AE110:AJ110)</f>
        <v>3</v>
      </c>
      <c r="AL110" s="2" t="n">
        <f aca="false">ROUND(Y110-AE110,9)</f>
        <v>0.427682737</v>
      </c>
      <c r="AM110" s="2" t="n">
        <f aca="false">ROUND(Z110-AF110,9)</f>
        <v>0.424572317</v>
      </c>
      <c r="AN110" s="2" t="n">
        <f aca="false">ROUND(AA110-AG110,9)</f>
        <v>0.150855365</v>
      </c>
      <c r="AO110" s="2" t="n">
        <f aca="false">ROUND(AB110-AH110,9)</f>
        <v>0.816485226</v>
      </c>
      <c r="AP110" s="2" t="n">
        <f aca="false">ROUND(AC110-AI110,9)</f>
        <v>0.427682737</v>
      </c>
      <c r="AQ110" s="2" t="n">
        <f aca="false">ROUND(AD110-AJ110,9)</f>
        <v>0.752721617</v>
      </c>
    </row>
    <row r="111" customFormat="false" ht="15" hidden="false" customHeight="false" outlineLevel="0" collapsed="false">
      <c r="A111" s="2" t="n">
        <v>110</v>
      </c>
      <c r="B111" s="6" t="n">
        <v>3</v>
      </c>
      <c r="C111" s="6" t="n">
        <v>12</v>
      </c>
      <c r="D111" s="8" t="str">
        <f aca="false">INDEX(Bases!$B$2:$B$53,B111)</f>
        <v>Teddiursa</v>
      </c>
      <c r="E111" s="8" t="str">
        <f aca="false">INDEX(Bases!$B$2:$B$53,C111)</f>
        <v>Mareep</v>
      </c>
      <c r="F111" s="2" t="str">
        <f aca="false">LEFT(D111,ROUNDUP(LEN(D111)/2,0))&amp;LOWER(MID(E111,ROUNDUP(LEN(E111)/2,0)+1,20))</f>
        <v>Teddieep</v>
      </c>
      <c r="G111" s="8" t="str">
        <f aca="false">INDEX(Bases!$C$2:$C$53,B111)</f>
        <v>Normal</v>
      </c>
      <c r="H111" s="8" t="str">
        <f aca="false">IF(INDEX(Bases!$C$2:$C$53,C111)=G111,"",INDEX(Bases!$C$2:$C$53,C111))</f>
        <v>Electric</v>
      </c>
      <c r="I111" s="8" t="str">
        <f aca="false">IF(INDEX(Bases!$E$2:$E$53,B111)="","",INDEX(Bases!$E$2:$E$53,B111))</f>
        <v/>
      </c>
      <c r="J111" s="8" t="str">
        <f aca="false">IF(INDEX(Bases!$E$2:$E$53,C111)="","",INDEX(Bases!$E$2:$E$53,C111))</f>
        <v/>
      </c>
      <c r="K111" s="5"/>
      <c r="L111" s="2" t="n">
        <f aca="false">AE111+IF(SUMPRODUCT(--($AL111:$AQ111&gt;AL111))&lt;$AK111,1,0)</f>
        <v>93</v>
      </c>
      <c r="M111" s="2" t="n">
        <f aca="false">AF111+IF(SUMPRODUCT(--($AL111:$AQ111&gt;AM111))+SUMPRODUCT(--($AL111:AL111=AM111))&lt;$AK111,1,0)</f>
        <v>101</v>
      </c>
      <c r="N111" s="2" t="n">
        <f aca="false">AG111+IF(SUMPRODUCT(--($AL111:$AQ111&gt;AN111))+SUMPRODUCT(--($AL111:AM111=AN111))&lt;$AK111,1,0)</f>
        <v>72</v>
      </c>
      <c r="O111" s="2" t="n">
        <f aca="false">AH111+IF(SUMPRODUCT(--($AL111:$AQ111&gt;AO111))+SUMPRODUCT(--($AL111:AN111=AO111))&lt;$AK111,1,0)</f>
        <v>99</v>
      </c>
      <c r="P111" s="2" t="n">
        <f aca="false">AI111+IF(SUMPRODUCT(--($AL111:$AQ111&gt;AP111))+SUMPRODUCT(--($AL111:AO111=AP111))&lt;$AK111,1,0)</f>
        <v>76</v>
      </c>
      <c r="Q111" s="2" t="n">
        <f aca="false">AJ111+IF(SUMPRODUCT(--($AL111:$AQ111&gt;AQ111))+SUMPRODUCT(--($AL111:AP111=AQ111))&lt;$AK111,1,0)</f>
        <v>59</v>
      </c>
      <c r="R111" s="2" t="n">
        <f aca="false">SUM(L111:Q111)</f>
        <v>500</v>
      </c>
      <c r="S111" s="2" t="n">
        <f aca="false">Settings!$B$4*MAX(INDEX(Bases!$M$2:$M$53,B111),INDEX(Bases!$M$2:$M$53,C111))+Settings!$B$5*MIN(INDEX(Bases!$M$2:$M$53,B111),INDEX(Bases!$M$2:$M$53,C111))</f>
        <v>77</v>
      </c>
      <c r="T111" s="2" t="n">
        <f aca="false">Settings!$B$4*MAX(INDEX(Bases!$N$2:$N$53,B111),INDEX(Bases!$N$2:$N$53,C111))+Settings!$B$5*MIN(INDEX(Bases!$N$2:$N$53,B111),INDEX(Bases!$N$2:$N$53,C111))</f>
        <v>83.6666666666667</v>
      </c>
      <c r="U111" s="2" t="n">
        <f aca="false">Settings!$B$4*MAX(INDEX(Bases!$O$2:$O$53,B111),INDEX(Bases!$O$2:$O$53,C111))+Settings!$B$5*MIN(INDEX(Bases!$O$2:$O$53,B111),INDEX(Bases!$O$2:$O$53,C111))</f>
        <v>59.6666666666667</v>
      </c>
      <c r="V111" s="2" t="n">
        <f aca="false">Settings!$B$4*MAX(INDEX(Bases!$P$2:$P$53,B111),INDEX(Bases!$P$2:$P$53,C111))+Settings!$B$5*MIN(INDEX(Bases!$P$2:$P$53,B111),INDEX(Bases!$P$2:$P$53,C111))</f>
        <v>82.3333333333333</v>
      </c>
      <c r="W111" s="2" t="n">
        <f aca="false">Settings!$B$4*MAX(INDEX(Bases!$Q$2:$Q$53,B111),INDEX(Bases!$Q$2:$Q$53,C111))+Settings!$B$5*MIN(INDEX(Bases!$Q$2:$Q$53,B111),INDEX(Bases!$Q$2:$Q$53,C111))</f>
        <v>62.6666666666667</v>
      </c>
      <c r="X111" s="2" t="n">
        <f aca="false">Settings!$B$4*MAX(INDEX(Bases!$R$2:$R$53,B111),INDEX(Bases!$R$2:$R$53,C111))+Settings!$B$5*MIN(INDEX(Bases!$R$2:$R$53,B111),INDEX(Bases!$R$2:$R$53,C111))</f>
        <v>49.3333333333333</v>
      </c>
      <c r="Y111" s="2" t="n">
        <f aca="false">S111*Settings!$B$3/SUM(S111:X111)</f>
        <v>92.8456591639871</v>
      </c>
      <c r="Z111" s="2" t="n">
        <f aca="false">T111*Settings!$B$3/SUM(S111:X111)</f>
        <v>100.88424437299</v>
      </c>
      <c r="AA111" s="2" t="n">
        <f aca="false">U111*Settings!$B$3/SUM(S111:X111)</f>
        <v>71.9453376205788</v>
      </c>
      <c r="AB111" s="2" t="n">
        <f aca="false">V111*Settings!$B$3/SUM(S111:X111)</f>
        <v>99.2765273311897</v>
      </c>
      <c r="AC111" s="2" t="n">
        <f aca="false">W111*Settings!$B$3/SUM(S111:X111)</f>
        <v>75.5627009646302</v>
      </c>
      <c r="AD111" s="2" t="n">
        <f aca="false">X111*Settings!$B$3/SUM(S111:X111)</f>
        <v>59.4855305466238</v>
      </c>
      <c r="AE111" s="2" t="n">
        <f aca="false">INT(Y111)</f>
        <v>92</v>
      </c>
      <c r="AF111" s="2" t="n">
        <f aca="false">INT(Z111)</f>
        <v>100</v>
      </c>
      <c r="AG111" s="2" t="n">
        <f aca="false">INT(AA111)</f>
        <v>71</v>
      </c>
      <c r="AH111" s="2" t="n">
        <f aca="false">INT(AB111)</f>
        <v>99</v>
      </c>
      <c r="AI111" s="2" t="n">
        <f aca="false">INT(AC111)</f>
        <v>75</v>
      </c>
      <c r="AJ111" s="2" t="n">
        <f aca="false">INT(AD111)</f>
        <v>59</v>
      </c>
      <c r="AK111" s="2" t="n">
        <f aca="false">Settings!$B$3-SUM(AE111:AJ111)</f>
        <v>4</v>
      </c>
      <c r="AL111" s="2" t="n">
        <f aca="false">ROUND(Y111-AE111,9)</f>
        <v>0.845659164</v>
      </c>
      <c r="AM111" s="2" t="n">
        <f aca="false">ROUND(Z111-AF111,9)</f>
        <v>0.884244373</v>
      </c>
      <c r="AN111" s="2" t="n">
        <f aca="false">ROUND(AA111-AG111,9)</f>
        <v>0.945337621</v>
      </c>
      <c r="AO111" s="2" t="n">
        <f aca="false">ROUND(AB111-AH111,9)</f>
        <v>0.276527331</v>
      </c>
      <c r="AP111" s="2" t="n">
        <f aca="false">ROUND(AC111-AI111,9)</f>
        <v>0.562700965</v>
      </c>
      <c r="AQ111" s="2" t="n">
        <f aca="false">ROUND(AD111-AJ111,9)</f>
        <v>0.485530547</v>
      </c>
    </row>
    <row r="112" customFormat="false" ht="15" hidden="false" customHeight="false" outlineLevel="0" collapsed="false">
      <c r="A112" s="2" t="n">
        <v>111</v>
      </c>
      <c r="B112" s="6" t="n">
        <v>3</v>
      </c>
      <c r="C112" s="6" t="n">
        <v>13</v>
      </c>
      <c r="D112" s="8" t="str">
        <f aca="false">INDEX(Bases!$B$2:$B$53,B112)</f>
        <v>Teddiursa</v>
      </c>
      <c r="E112" s="8" t="str">
        <f aca="false">INDEX(Bases!$B$2:$B$53,C112)</f>
        <v>Bulbasaur</v>
      </c>
      <c r="F112" s="2" t="str">
        <f aca="false">LEFT(D112,ROUNDUP(LEN(D112)/2,0))&amp;LOWER(MID(E112,ROUNDUP(LEN(E112)/2,0)+1,20))</f>
        <v>Teddisaur</v>
      </c>
      <c r="G112" s="8" t="str">
        <f aca="false">INDEX(Bases!$C$2:$C$53,B112)</f>
        <v>Normal</v>
      </c>
      <c r="H112" s="8" t="str">
        <f aca="false">IF(INDEX(Bases!$C$2:$C$53,C112)=G112,"",INDEX(Bases!$C$2:$C$53,C112))</f>
        <v>Grass</v>
      </c>
      <c r="I112" s="8" t="str">
        <f aca="false">IF(INDEX(Bases!$E$2:$E$53,B112)="","",INDEX(Bases!$E$2:$E$53,B112))</f>
        <v/>
      </c>
      <c r="J112" s="8" t="str">
        <f aca="false">IF(INDEX(Bases!$E$2:$E$53,C112)="","",INDEX(Bases!$E$2:$E$53,C112))</f>
        <v/>
      </c>
      <c r="K112" s="5"/>
      <c r="L112" s="2" t="n">
        <f aca="false">AE112+IF(SUMPRODUCT(--($AL112:$AQ112&gt;AL112))&lt;$AK112,1,0)</f>
        <v>81</v>
      </c>
      <c r="M112" s="2" t="n">
        <f aca="false">AF112+IF(SUMPRODUCT(--($AL112:$AQ112&gt;AM112))+SUMPRODUCT(--($AL112:AL112=AM112))&lt;$AK112,1,0)</f>
        <v>102</v>
      </c>
      <c r="N112" s="2" t="n">
        <f aca="false">AG112+IF(SUMPRODUCT(--($AL112:$AQ112&gt;AN112))+SUMPRODUCT(--($AL112:AM112=AN112))&lt;$AK112,1,0)</f>
        <v>74</v>
      </c>
      <c r="O112" s="2" t="n">
        <f aca="false">AH112+IF(SUMPRODUCT(--($AL112:$AQ112&gt;AO112))+SUMPRODUCT(--($AL112:AN112=AO112))&lt;$AK112,1,0)</f>
        <v>90</v>
      </c>
      <c r="P112" s="2" t="n">
        <f aca="false">AI112+IF(SUMPRODUCT(--($AL112:$AQ112&gt;AP112))+SUMPRODUCT(--($AL112:AO112=AP112))&lt;$AK112,1,0)</f>
        <v>89</v>
      </c>
      <c r="Q112" s="2" t="n">
        <f aca="false">AJ112+IF(SUMPRODUCT(--($AL112:$AQ112&gt;AQ112))+SUMPRODUCT(--($AL112:AP112=AQ112))&lt;$AK112,1,0)</f>
        <v>64</v>
      </c>
      <c r="R112" s="2" t="n">
        <f aca="false">SUM(L112:Q112)</f>
        <v>500</v>
      </c>
      <c r="S112" s="2" t="n">
        <f aca="false">Settings!$B$4*MAX(INDEX(Bases!$M$2:$M$53,B112),INDEX(Bases!$M$2:$M$53,C112))+Settings!$B$5*MIN(INDEX(Bases!$M$2:$M$53,B112),INDEX(Bases!$M$2:$M$53,C112))</f>
        <v>67.3333333333333</v>
      </c>
      <c r="T112" s="2" t="n">
        <f aca="false">Settings!$B$4*MAX(INDEX(Bases!$N$2:$N$53,B112),INDEX(Bases!$N$2:$N$53,C112))+Settings!$B$5*MIN(INDEX(Bases!$N$2:$N$53,B112),INDEX(Bases!$N$2:$N$53,C112))</f>
        <v>85.3333333333333</v>
      </c>
      <c r="U112" s="2" t="n">
        <f aca="false">Settings!$B$4*MAX(INDEX(Bases!$O$2:$O$53,B112),INDEX(Bases!$O$2:$O$53,C112))+Settings!$B$5*MIN(INDEX(Bases!$O$2:$O$53,B112),INDEX(Bases!$O$2:$O$53,C112))</f>
        <v>61.6666666666667</v>
      </c>
      <c r="V112" s="2" t="n">
        <f aca="false">Settings!$B$4*MAX(INDEX(Bases!$P$2:$P$53,B112),INDEX(Bases!$P$2:$P$53,C112))+Settings!$B$5*MIN(INDEX(Bases!$P$2:$P$53,B112),INDEX(Bases!$P$2:$P$53,C112))</f>
        <v>75</v>
      </c>
      <c r="W112" s="2" t="n">
        <f aca="false">Settings!$B$4*MAX(INDEX(Bases!$Q$2:$Q$53,B112),INDEX(Bases!$Q$2:$Q$53,C112))+Settings!$B$5*MIN(INDEX(Bases!$Q$2:$Q$53,B112),INDEX(Bases!$Q$2:$Q$53,C112))</f>
        <v>74.6666666666667</v>
      </c>
      <c r="X112" s="2" t="n">
        <f aca="false">Settings!$B$4*MAX(INDEX(Bases!$R$2:$R$53,B112),INDEX(Bases!$R$2:$R$53,C112))+Settings!$B$5*MIN(INDEX(Bases!$R$2:$R$53,B112),INDEX(Bases!$R$2:$R$53,C112))</f>
        <v>53.3333333333333</v>
      </c>
      <c r="Y112" s="2" t="n">
        <f aca="false">S112*Settings!$B$3/SUM(S112:X112)</f>
        <v>80.6709265175719</v>
      </c>
      <c r="Z112" s="2" t="n">
        <f aca="false">T112*Settings!$B$3/SUM(S112:X112)</f>
        <v>102.23642172524</v>
      </c>
      <c r="AA112" s="2" t="n">
        <f aca="false">U112*Settings!$B$3/SUM(S112:X112)</f>
        <v>73.8817891373802</v>
      </c>
      <c r="AB112" s="2" t="n">
        <f aca="false">V112*Settings!$B$3/SUM(S112:X112)</f>
        <v>89.8562300319489</v>
      </c>
      <c r="AC112" s="2" t="n">
        <f aca="false">W112*Settings!$B$3/SUM(S112:X112)</f>
        <v>89.4568690095847</v>
      </c>
      <c r="AD112" s="2" t="n">
        <f aca="false">X112*Settings!$B$3/SUM(S112:X112)</f>
        <v>63.8977635782748</v>
      </c>
      <c r="AE112" s="2" t="n">
        <f aca="false">INT(Y112)</f>
        <v>80</v>
      </c>
      <c r="AF112" s="2" t="n">
        <f aca="false">INT(Z112)</f>
        <v>102</v>
      </c>
      <c r="AG112" s="2" t="n">
        <f aca="false">INT(AA112)</f>
        <v>73</v>
      </c>
      <c r="AH112" s="2" t="n">
        <f aca="false">INT(AB112)</f>
        <v>89</v>
      </c>
      <c r="AI112" s="2" t="n">
        <f aca="false">INT(AC112)</f>
        <v>89</v>
      </c>
      <c r="AJ112" s="2" t="n">
        <f aca="false">INT(AD112)</f>
        <v>63</v>
      </c>
      <c r="AK112" s="2" t="n">
        <f aca="false">Settings!$B$3-SUM(AE112:AJ112)</f>
        <v>4</v>
      </c>
      <c r="AL112" s="2" t="n">
        <f aca="false">ROUND(Y112-AE112,9)</f>
        <v>0.670926518</v>
      </c>
      <c r="AM112" s="2" t="n">
        <f aca="false">ROUND(Z112-AF112,9)</f>
        <v>0.236421725</v>
      </c>
      <c r="AN112" s="2" t="n">
        <f aca="false">ROUND(AA112-AG112,9)</f>
        <v>0.881789137</v>
      </c>
      <c r="AO112" s="2" t="n">
        <f aca="false">ROUND(AB112-AH112,9)</f>
        <v>0.856230032</v>
      </c>
      <c r="AP112" s="2" t="n">
        <f aca="false">ROUND(AC112-AI112,9)</f>
        <v>0.45686901</v>
      </c>
      <c r="AQ112" s="2" t="n">
        <f aca="false">ROUND(AD112-AJ112,9)</f>
        <v>0.897763578</v>
      </c>
    </row>
    <row r="113" customFormat="false" ht="15" hidden="false" customHeight="false" outlineLevel="0" collapsed="false">
      <c r="A113" s="2" t="n">
        <v>112</v>
      </c>
      <c r="B113" s="6" t="n">
        <v>3</v>
      </c>
      <c r="C113" s="6" t="n">
        <v>14</v>
      </c>
      <c r="D113" s="8" t="str">
        <f aca="false">INDEX(Bases!$B$2:$B$53,B113)</f>
        <v>Teddiursa</v>
      </c>
      <c r="E113" s="8" t="str">
        <f aca="false">INDEX(Bases!$B$2:$B$53,C113)</f>
        <v>Celebi</v>
      </c>
      <c r="F113" s="2" t="str">
        <f aca="false">LEFT(D113,ROUNDUP(LEN(D113)/2,0))&amp;LOWER(MID(E113,ROUNDUP(LEN(E113)/2,0)+1,20))</f>
        <v>Teddiebi</v>
      </c>
      <c r="G113" s="8" t="str">
        <f aca="false">INDEX(Bases!$C$2:$C$53,B113)</f>
        <v>Normal</v>
      </c>
      <c r="H113" s="8" t="str">
        <f aca="false">IF(INDEX(Bases!$C$2:$C$53,C113)=G113,"",INDEX(Bases!$C$2:$C$53,C113))</f>
        <v>Grass</v>
      </c>
      <c r="I113" s="8" t="str">
        <f aca="false">IF(INDEX(Bases!$E$2:$E$53,B113)="","",INDEX(Bases!$E$2:$E$53,B113))</f>
        <v/>
      </c>
      <c r="J113" s="8" t="str">
        <f aca="false">IF(INDEX(Bases!$E$2:$E$53,C113)="","",INDEX(Bases!$E$2:$E$53,C113))</f>
        <v/>
      </c>
      <c r="K113" s="5"/>
      <c r="L113" s="2" t="n">
        <f aca="false">AE113+IF(SUMPRODUCT(--($AL113:$AQ113&gt;AL113))&lt;$AK113,1,0)</f>
        <v>86</v>
      </c>
      <c r="M113" s="2" t="n">
        <f aca="false">AF113+IF(SUMPRODUCT(--($AL113:$AQ113&gt;AM113))+SUMPRODUCT(--($AL113:AL113=AM113))&lt;$AK113,1,0)</f>
        <v>105</v>
      </c>
      <c r="N113" s="2" t="n">
        <f aca="false">AG113+IF(SUMPRODUCT(--($AL113:$AQ113&gt;AN113))+SUMPRODUCT(--($AL113:AM113=AN113))&lt;$AK113,1,0)</f>
        <v>79</v>
      </c>
      <c r="O113" s="2" t="n">
        <f aca="false">AH113+IF(SUMPRODUCT(--($AL113:$AQ113&gt;AO113))+SUMPRODUCT(--($AL113:AN113=AO113))&lt;$AK113,1,0)</f>
        <v>79</v>
      </c>
      <c r="P113" s="2" t="n">
        <f aca="false">AI113+IF(SUMPRODUCT(--($AL113:$AQ113&gt;AP113))+SUMPRODUCT(--($AL113:AO113=AP113))&lt;$AK113,1,0)</f>
        <v>78</v>
      </c>
      <c r="Q113" s="2" t="n">
        <f aca="false">AJ113+IF(SUMPRODUCT(--($AL113:$AQ113&gt;AQ113))+SUMPRODUCT(--($AL113:AP113=AQ113))&lt;$AK113,1,0)</f>
        <v>73</v>
      </c>
      <c r="R113" s="2" t="n">
        <f aca="false">SUM(L113:Q113)</f>
        <v>500</v>
      </c>
      <c r="S113" s="2" t="n">
        <f aca="false">Settings!$B$4*MAX(INDEX(Bases!$M$2:$M$53,B113),INDEX(Bases!$M$2:$M$53,C113))+Settings!$B$5*MIN(INDEX(Bases!$M$2:$M$53,B113),INDEX(Bases!$M$2:$M$53,C113))</f>
        <v>71</v>
      </c>
      <c r="T113" s="2" t="n">
        <f aca="false">Settings!$B$4*MAX(INDEX(Bases!$N$2:$N$53,B113),INDEX(Bases!$N$2:$N$53,C113))+Settings!$B$5*MIN(INDEX(Bases!$N$2:$N$53,B113),INDEX(Bases!$N$2:$N$53,C113))</f>
        <v>87</v>
      </c>
      <c r="U113" s="2" t="n">
        <f aca="false">Settings!$B$4*MAX(INDEX(Bases!$O$2:$O$53,B113),INDEX(Bases!$O$2:$O$53,C113))+Settings!$B$5*MIN(INDEX(Bases!$O$2:$O$53,B113),INDEX(Bases!$O$2:$O$53,C113))</f>
        <v>65</v>
      </c>
      <c r="V113" s="2" t="n">
        <f aca="false">Settings!$B$4*MAX(INDEX(Bases!$P$2:$P$53,B113),INDEX(Bases!$P$2:$P$53,C113))+Settings!$B$5*MIN(INDEX(Bases!$P$2:$P$53,B113),INDEX(Bases!$P$2:$P$53,C113))</f>
        <v>65</v>
      </c>
      <c r="W113" s="2" t="n">
        <f aca="false">Settings!$B$4*MAX(INDEX(Bases!$Q$2:$Q$53,B113),INDEX(Bases!$Q$2:$Q$53,C113))+Settings!$B$5*MIN(INDEX(Bases!$Q$2:$Q$53,B113),INDEX(Bases!$Q$2:$Q$53,C113))</f>
        <v>64</v>
      </c>
      <c r="X113" s="2" t="n">
        <f aca="false">Settings!$B$4*MAX(INDEX(Bases!$R$2:$R$53,B113),INDEX(Bases!$R$2:$R$53,C113))+Settings!$B$5*MIN(INDEX(Bases!$R$2:$R$53,B113),INDEX(Bases!$R$2:$R$53,C113))</f>
        <v>60</v>
      </c>
      <c r="Y113" s="2" t="n">
        <f aca="false">S113*Settings!$B$3/SUM(S113:X113)</f>
        <v>86.1650485436893</v>
      </c>
      <c r="Z113" s="2" t="n">
        <f aca="false">T113*Settings!$B$3/SUM(S113:X113)</f>
        <v>105.582524271845</v>
      </c>
      <c r="AA113" s="2" t="n">
        <f aca="false">U113*Settings!$B$3/SUM(S113:X113)</f>
        <v>78.8834951456311</v>
      </c>
      <c r="AB113" s="2" t="n">
        <f aca="false">V113*Settings!$B$3/SUM(S113:X113)</f>
        <v>78.8834951456311</v>
      </c>
      <c r="AC113" s="2" t="n">
        <f aca="false">W113*Settings!$B$3/SUM(S113:X113)</f>
        <v>77.6699029126214</v>
      </c>
      <c r="AD113" s="2" t="n">
        <f aca="false">X113*Settings!$B$3/SUM(S113:X113)</f>
        <v>72.8155339805825</v>
      </c>
      <c r="AE113" s="2" t="n">
        <f aca="false">INT(Y113)</f>
        <v>86</v>
      </c>
      <c r="AF113" s="2" t="n">
        <f aca="false">INT(Z113)</f>
        <v>105</v>
      </c>
      <c r="AG113" s="2" t="n">
        <f aca="false">INT(AA113)</f>
        <v>78</v>
      </c>
      <c r="AH113" s="2" t="n">
        <f aca="false">INT(AB113)</f>
        <v>78</v>
      </c>
      <c r="AI113" s="2" t="n">
        <f aca="false">INT(AC113)</f>
        <v>77</v>
      </c>
      <c r="AJ113" s="2" t="n">
        <f aca="false">INT(AD113)</f>
        <v>72</v>
      </c>
      <c r="AK113" s="2" t="n">
        <f aca="false">Settings!$B$3-SUM(AE113:AJ113)</f>
        <v>4</v>
      </c>
      <c r="AL113" s="2" t="n">
        <f aca="false">ROUND(Y113-AE113,9)</f>
        <v>0.165048544</v>
      </c>
      <c r="AM113" s="2" t="n">
        <f aca="false">ROUND(Z113-AF113,9)</f>
        <v>0.582524272</v>
      </c>
      <c r="AN113" s="2" t="n">
        <f aca="false">ROUND(AA113-AG113,9)</f>
        <v>0.883495146</v>
      </c>
      <c r="AO113" s="2" t="n">
        <f aca="false">ROUND(AB113-AH113,9)</f>
        <v>0.883495146</v>
      </c>
      <c r="AP113" s="2" t="n">
        <f aca="false">ROUND(AC113-AI113,9)</f>
        <v>0.669902913</v>
      </c>
      <c r="AQ113" s="2" t="n">
        <f aca="false">ROUND(AD113-AJ113,9)</f>
        <v>0.815533981</v>
      </c>
    </row>
    <row r="114" customFormat="false" ht="15" hidden="false" customHeight="false" outlineLevel="0" collapsed="false">
      <c r="A114" s="2" t="n">
        <v>113</v>
      </c>
      <c r="B114" s="6" t="n">
        <v>3</v>
      </c>
      <c r="C114" s="6" t="n">
        <v>15</v>
      </c>
      <c r="D114" s="8" t="str">
        <f aca="false">INDEX(Bases!$B$2:$B$53,B114)</f>
        <v>Teddiursa</v>
      </c>
      <c r="E114" s="8" t="str">
        <f aca="false">INDEX(Bases!$B$2:$B$53,C114)</f>
        <v>Shroomish</v>
      </c>
      <c r="F114" s="2" t="str">
        <f aca="false">LEFT(D114,ROUNDUP(LEN(D114)/2,0))&amp;LOWER(MID(E114,ROUNDUP(LEN(E114)/2,0)+1,20))</f>
        <v>Teddimish</v>
      </c>
      <c r="G114" s="8" t="str">
        <f aca="false">INDEX(Bases!$C$2:$C$53,B114)</f>
        <v>Normal</v>
      </c>
      <c r="H114" s="8" t="str">
        <f aca="false">IF(INDEX(Bases!$C$2:$C$53,C114)=G114,"",INDEX(Bases!$C$2:$C$53,C114))</f>
        <v>Grass</v>
      </c>
      <c r="I114" s="8" t="str">
        <f aca="false">IF(INDEX(Bases!$E$2:$E$53,B114)="","",INDEX(Bases!$E$2:$E$53,B114))</f>
        <v/>
      </c>
      <c r="J114" s="8" t="str">
        <f aca="false">IF(INDEX(Bases!$E$2:$E$53,C114)="","",INDEX(Bases!$E$2:$E$53,C114))</f>
        <v/>
      </c>
      <c r="K114" s="5"/>
      <c r="L114" s="2" t="n">
        <f aca="false">AE114+IF(SUMPRODUCT(--($AL114:$AQ114&gt;AL114))&lt;$AK114,1,0)</f>
        <v>95</v>
      </c>
      <c r="M114" s="2" t="n">
        <f aca="false">AF114+IF(SUMPRODUCT(--($AL114:$AQ114&gt;AM114))+SUMPRODUCT(--($AL114:AL114=AM114))&lt;$AK114,1,0)</f>
        <v>99</v>
      </c>
      <c r="N114" s="2" t="n">
        <f aca="false">AG114+IF(SUMPRODUCT(--($AL114:$AQ114&gt;AN114))+SUMPRODUCT(--($AL114:AM114=AN114))&lt;$AK114,1,0)</f>
        <v>89</v>
      </c>
      <c r="O114" s="2" t="n">
        <f aca="false">AH114+IF(SUMPRODUCT(--($AL114:$AQ114&gt;AO114))+SUMPRODUCT(--($AL114:AN114=AO114))&lt;$AK114,1,0)</f>
        <v>70</v>
      </c>
      <c r="P114" s="2" t="n">
        <f aca="false">AI114+IF(SUMPRODUCT(--($AL114:$AQ114&gt;AP114))+SUMPRODUCT(--($AL114:AO114=AP114))&lt;$AK114,1,0)</f>
        <v>89</v>
      </c>
      <c r="Q114" s="2" t="n">
        <f aca="false">AJ114+IF(SUMPRODUCT(--($AL114:$AQ114&gt;AQ114))+SUMPRODUCT(--($AL114:AP114=AQ114))&lt;$AK114,1,0)</f>
        <v>58</v>
      </c>
      <c r="R114" s="2" t="n">
        <f aca="false">SUM(L114:Q114)</f>
        <v>500</v>
      </c>
      <c r="S114" s="2" t="n">
        <f aca="false">Settings!$B$4*MAX(INDEX(Bases!$M$2:$M$53,B114),INDEX(Bases!$M$2:$M$53,C114))+Settings!$B$5*MIN(INDEX(Bases!$M$2:$M$53,B114),INDEX(Bases!$M$2:$M$53,C114))</f>
        <v>79</v>
      </c>
      <c r="T114" s="2" t="n">
        <f aca="false">Settings!$B$4*MAX(INDEX(Bases!$N$2:$N$53,B114),INDEX(Bases!$N$2:$N$53,C114))+Settings!$B$5*MIN(INDEX(Bases!$N$2:$N$53,B114),INDEX(Bases!$N$2:$N$53,C114))</f>
        <v>82.6666666666667</v>
      </c>
      <c r="U114" s="2" t="n">
        <f aca="false">Settings!$B$4*MAX(INDEX(Bases!$O$2:$O$53,B114),INDEX(Bases!$O$2:$O$53,C114))+Settings!$B$5*MIN(INDEX(Bases!$O$2:$O$53,B114),INDEX(Bases!$O$2:$O$53,C114))</f>
        <v>74.3333333333333</v>
      </c>
      <c r="V114" s="2" t="n">
        <f aca="false">Settings!$B$4*MAX(INDEX(Bases!$P$2:$P$53,B114),INDEX(Bases!$P$2:$P$53,C114))+Settings!$B$5*MIN(INDEX(Bases!$P$2:$P$53,B114),INDEX(Bases!$P$2:$P$53,C114))</f>
        <v>58.6666666666667</v>
      </c>
      <c r="W114" s="2" t="n">
        <f aca="false">Settings!$B$4*MAX(INDEX(Bases!$Q$2:$Q$53,B114),INDEX(Bases!$Q$2:$Q$53,C114))+Settings!$B$5*MIN(INDEX(Bases!$Q$2:$Q$53,B114),INDEX(Bases!$Q$2:$Q$53,C114))</f>
        <v>74</v>
      </c>
      <c r="X114" s="2" t="n">
        <f aca="false">Settings!$B$4*MAX(INDEX(Bases!$R$2:$R$53,B114),INDEX(Bases!$R$2:$R$53,C114))+Settings!$B$5*MIN(INDEX(Bases!$R$2:$R$53,B114),INDEX(Bases!$R$2:$R$53,C114))</f>
        <v>48</v>
      </c>
      <c r="Y114" s="2" t="n">
        <f aca="false">S114*Settings!$B$3/SUM(S114:X114)</f>
        <v>94.8</v>
      </c>
      <c r="Z114" s="2" t="n">
        <f aca="false">T114*Settings!$B$3/SUM(S114:X114)</f>
        <v>99.2</v>
      </c>
      <c r="AA114" s="2" t="n">
        <f aca="false">U114*Settings!$B$3/SUM(S114:X114)</f>
        <v>89.2</v>
      </c>
      <c r="AB114" s="2" t="n">
        <f aca="false">V114*Settings!$B$3/SUM(S114:X114)</f>
        <v>70.4</v>
      </c>
      <c r="AC114" s="2" t="n">
        <f aca="false">W114*Settings!$B$3/SUM(S114:X114)</f>
        <v>88.8</v>
      </c>
      <c r="AD114" s="2" t="n">
        <f aca="false">X114*Settings!$B$3/SUM(S114:X114)</f>
        <v>57.6</v>
      </c>
      <c r="AE114" s="2" t="n">
        <f aca="false">INT(Y114)</f>
        <v>94</v>
      </c>
      <c r="AF114" s="2" t="n">
        <f aca="false">INT(Z114)</f>
        <v>99</v>
      </c>
      <c r="AG114" s="2" t="n">
        <f aca="false">INT(AA114)</f>
        <v>89</v>
      </c>
      <c r="AH114" s="2" t="n">
        <f aca="false">INT(AB114)</f>
        <v>70</v>
      </c>
      <c r="AI114" s="2" t="n">
        <f aca="false">INT(AC114)</f>
        <v>88</v>
      </c>
      <c r="AJ114" s="2" t="n">
        <f aca="false">INT(AD114)</f>
        <v>57</v>
      </c>
      <c r="AK114" s="2" t="n">
        <f aca="false">Settings!$B$3-SUM(AE114:AJ114)</f>
        <v>3</v>
      </c>
      <c r="AL114" s="2" t="n">
        <f aca="false">ROUND(Y114-AE114,9)</f>
        <v>0.8</v>
      </c>
      <c r="AM114" s="2" t="n">
        <f aca="false">ROUND(Z114-AF114,9)</f>
        <v>0.2</v>
      </c>
      <c r="AN114" s="2" t="n">
        <f aca="false">ROUND(AA114-AG114,9)</f>
        <v>0.2</v>
      </c>
      <c r="AO114" s="2" t="n">
        <f aca="false">ROUND(AB114-AH114,9)</f>
        <v>0.4</v>
      </c>
      <c r="AP114" s="2" t="n">
        <f aca="false">ROUND(AC114-AI114,9)</f>
        <v>0.8</v>
      </c>
      <c r="AQ114" s="2" t="n">
        <f aca="false">ROUND(AD114-AJ114,9)</f>
        <v>0.6</v>
      </c>
    </row>
    <row r="115" customFormat="false" ht="15" hidden="false" customHeight="false" outlineLevel="0" collapsed="false">
      <c r="A115" s="2" t="n">
        <v>114</v>
      </c>
      <c r="B115" s="6" t="n">
        <v>3</v>
      </c>
      <c r="C115" s="6" t="n">
        <v>16</v>
      </c>
      <c r="D115" s="8" t="str">
        <f aca="false">INDEX(Bases!$B$2:$B$53,B115)</f>
        <v>Teddiursa</v>
      </c>
      <c r="E115" s="8" t="str">
        <f aca="false">INDEX(Bases!$B$2:$B$53,C115)</f>
        <v>Swinub</v>
      </c>
      <c r="F115" s="2" t="str">
        <f aca="false">LEFT(D115,ROUNDUP(LEN(D115)/2,0))&amp;LOWER(MID(E115,ROUNDUP(LEN(E115)/2,0)+1,20))</f>
        <v>Teddinub</v>
      </c>
      <c r="G115" s="8" t="str">
        <f aca="false">INDEX(Bases!$C$2:$C$53,B115)</f>
        <v>Normal</v>
      </c>
      <c r="H115" s="8" t="str">
        <f aca="false">IF(INDEX(Bases!$C$2:$C$53,C115)=G115,"",INDEX(Bases!$C$2:$C$53,C115))</f>
        <v>Ice</v>
      </c>
      <c r="I115" s="8" t="str">
        <f aca="false">IF(INDEX(Bases!$E$2:$E$53,B115)="","",INDEX(Bases!$E$2:$E$53,B115))</f>
        <v/>
      </c>
      <c r="J115" s="8" t="str">
        <f aca="false">IF(INDEX(Bases!$E$2:$E$53,C115)="","",INDEX(Bases!$E$2:$E$53,C115))</f>
        <v/>
      </c>
      <c r="K115" s="5"/>
      <c r="L115" s="2" t="n">
        <f aca="false">AE115+IF(SUMPRODUCT(--($AL115:$AQ115&gt;AL115))&lt;$AK115,1,0)</f>
        <v>94</v>
      </c>
      <c r="M115" s="2" t="n">
        <f aca="false">AF115+IF(SUMPRODUCT(--($AL115:$AQ115&gt;AM115))+SUMPRODUCT(--($AL115:AL115=AM115))&lt;$AK115,1,0)</f>
        <v>110</v>
      </c>
      <c r="N115" s="2" t="n">
        <f aca="false">AG115+IF(SUMPRODUCT(--($AL115:$AQ115&gt;AN115))+SUMPRODUCT(--($AL115:AM115=AN115))&lt;$AK115,1,0)</f>
        <v>76</v>
      </c>
      <c r="O115" s="2" t="n">
        <f aca="false">AH115+IF(SUMPRODUCT(--($AL115:$AQ115&gt;AO115))+SUMPRODUCT(--($AL115:AN115=AO115))&lt;$AK115,1,0)</f>
        <v>68</v>
      </c>
      <c r="P115" s="2" t="n">
        <f aca="false">AI115+IF(SUMPRODUCT(--($AL115:$AQ115&gt;AP115))+SUMPRODUCT(--($AL115:AO115=AP115))&lt;$AK115,1,0)</f>
        <v>68</v>
      </c>
      <c r="Q115" s="2" t="n">
        <f aca="false">AJ115+IF(SUMPRODUCT(--($AL115:$AQ115&gt;AQ115))+SUMPRODUCT(--($AL115:AP115=AQ115))&lt;$AK115,1,0)</f>
        <v>84</v>
      </c>
      <c r="R115" s="2" t="n">
        <f aca="false">SUM(L115:Q115)</f>
        <v>500</v>
      </c>
      <c r="S115" s="2" t="n">
        <f aca="false">Settings!$B$4*MAX(INDEX(Bases!$M$2:$M$53,B115),INDEX(Bases!$M$2:$M$53,C115))+Settings!$B$5*MIN(INDEX(Bases!$M$2:$M$53,B115),INDEX(Bases!$M$2:$M$53,C115))</f>
        <v>77.6666666666667</v>
      </c>
      <c r="T115" s="2" t="n">
        <f aca="false">Settings!$B$4*MAX(INDEX(Bases!$N$2:$N$53,B115),INDEX(Bases!$N$2:$N$53,C115))+Settings!$B$5*MIN(INDEX(Bases!$N$2:$N$53,B115),INDEX(Bases!$N$2:$N$53,C115))</f>
        <v>91.3333333333333</v>
      </c>
      <c r="U115" s="2" t="n">
        <f aca="false">Settings!$B$4*MAX(INDEX(Bases!$O$2:$O$53,B115),INDEX(Bases!$O$2:$O$53,C115))+Settings!$B$5*MIN(INDEX(Bases!$O$2:$O$53,B115),INDEX(Bases!$O$2:$O$53,C115))</f>
        <v>63</v>
      </c>
      <c r="V115" s="2" t="n">
        <f aca="false">Settings!$B$4*MAX(INDEX(Bases!$P$2:$P$53,B115),INDEX(Bases!$P$2:$P$53,C115))+Settings!$B$5*MIN(INDEX(Bases!$P$2:$P$53,B115),INDEX(Bases!$P$2:$P$53,C115))</f>
        <v>56.6666666666667</v>
      </c>
      <c r="W115" s="2" t="n">
        <f aca="false">Settings!$B$4*MAX(INDEX(Bases!$Q$2:$Q$53,B115),INDEX(Bases!$Q$2:$Q$53,C115))+Settings!$B$5*MIN(INDEX(Bases!$Q$2:$Q$53,B115),INDEX(Bases!$Q$2:$Q$53,C115))</f>
        <v>56</v>
      </c>
      <c r="X115" s="2" t="n">
        <f aca="false">Settings!$B$4*MAX(INDEX(Bases!$R$2:$R$53,B115),INDEX(Bases!$R$2:$R$53,C115))+Settings!$B$5*MIN(INDEX(Bases!$R$2:$R$53,B115),INDEX(Bases!$R$2:$R$53,C115))</f>
        <v>69.3333333333333</v>
      </c>
      <c r="Y115" s="2" t="n">
        <f aca="false">S115*Settings!$B$3/SUM(S115:X115)</f>
        <v>93.8003220611916</v>
      </c>
      <c r="Z115" s="2" t="n">
        <f aca="false">T115*Settings!$B$3/SUM(S115:X115)</f>
        <v>110.305958132045</v>
      </c>
      <c r="AA115" s="2" t="n">
        <f aca="false">U115*Settings!$B$3/SUM(S115:X115)</f>
        <v>76.0869565217391</v>
      </c>
      <c r="AB115" s="2" t="n">
        <f aca="false">V115*Settings!$B$3/SUM(S115:X115)</f>
        <v>68.4380032206119</v>
      </c>
      <c r="AC115" s="2" t="n">
        <f aca="false">W115*Settings!$B$3/SUM(S115:X115)</f>
        <v>67.6328502415459</v>
      </c>
      <c r="AD115" s="2" t="n">
        <f aca="false">X115*Settings!$B$3/SUM(S115:X115)</f>
        <v>83.7359098228664</v>
      </c>
      <c r="AE115" s="2" t="n">
        <f aca="false">INT(Y115)</f>
        <v>93</v>
      </c>
      <c r="AF115" s="2" t="n">
        <f aca="false">INT(Z115)</f>
        <v>110</v>
      </c>
      <c r="AG115" s="2" t="n">
        <f aca="false">INT(AA115)</f>
        <v>76</v>
      </c>
      <c r="AH115" s="2" t="n">
        <f aca="false">INT(AB115)</f>
        <v>68</v>
      </c>
      <c r="AI115" s="2" t="n">
        <f aca="false">INT(AC115)</f>
        <v>67</v>
      </c>
      <c r="AJ115" s="2" t="n">
        <f aca="false">INT(AD115)</f>
        <v>83</v>
      </c>
      <c r="AK115" s="2" t="n">
        <f aca="false">Settings!$B$3-SUM(AE115:AJ115)</f>
        <v>3</v>
      </c>
      <c r="AL115" s="2" t="n">
        <f aca="false">ROUND(Y115-AE115,9)</f>
        <v>0.800322061</v>
      </c>
      <c r="AM115" s="2" t="n">
        <f aca="false">ROUND(Z115-AF115,9)</f>
        <v>0.305958132</v>
      </c>
      <c r="AN115" s="2" t="n">
        <f aca="false">ROUND(AA115-AG115,9)</f>
        <v>0.086956522</v>
      </c>
      <c r="AO115" s="2" t="n">
        <f aca="false">ROUND(AB115-AH115,9)</f>
        <v>0.438003221</v>
      </c>
      <c r="AP115" s="2" t="n">
        <f aca="false">ROUND(AC115-AI115,9)</f>
        <v>0.632850242</v>
      </c>
      <c r="AQ115" s="2" t="n">
        <f aca="false">ROUND(AD115-AJ115,9)</f>
        <v>0.735909823</v>
      </c>
    </row>
    <row r="116" customFormat="false" ht="15" hidden="false" customHeight="false" outlineLevel="0" collapsed="false">
      <c r="A116" s="2" t="n">
        <v>115</v>
      </c>
      <c r="B116" s="6" t="n">
        <v>3</v>
      </c>
      <c r="C116" s="6" t="n">
        <v>17</v>
      </c>
      <c r="D116" s="8" t="str">
        <f aca="false">INDEX(Bases!$B$2:$B$53,B116)</f>
        <v>Teddiursa</v>
      </c>
      <c r="E116" s="8" t="str">
        <f aca="false">INDEX(Bases!$B$2:$B$53,C116)</f>
        <v>Snorunt</v>
      </c>
      <c r="F116" s="2" t="str">
        <f aca="false">LEFT(D116,ROUNDUP(LEN(D116)/2,0))&amp;LOWER(MID(E116,ROUNDUP(LEN(E116)/2,0)+1,20))</f>
        <v>Teddiunt</v>
      </c>
      <c r="G116" s="8" t="str">
        <f aca="false">INDEX(Bases!$C$2:$C$53,B116)</f>
        <v>Normal</v>
      </c>
      <c r="H116" s="8" t="str">
        <f aca="false">IF(INDEX(Bases!$C$2:$C$53,C116)=G116,"",INDEX(Bases!$C$2:$C$53,C116))</f>
        <v>Ice</v>
      </c>
      <c r="I116" s="8" t="str">
        <f aca="false">IF(INDEX(Bases!$E$2:$E$53,B116)="","",INDEX(Bases!$E$2:$E$53,B116))</f>
        <v/>
      </c>
      <c r="J116" s="8" t="str">
        <f aca="false">IF(INDEX(Bases!$E$2:$E$53,C116)="","",INDEX(Bases!$E$2:$E$53,C116))</f>
        <v/>
      </c>
      <c r="K116" s="5"/>
      <c r="L116" s="2" t="n">
        <f aca="false">AE116+IF(SUMPRODUCT(--($AL116:$AQ116&gt;AL116))&lt;$AK116,1,0)</f>
        <v>86</v>
      </c>
      <c r="M116" s="2" t="n">
        <f aca="false">AF116+IF(SUMPRODUCT(--($AL116:$AQ116&gt;AM116))+SUMPRODUCT(--($AL116:AL116=AM116))&lt;$AK116,1,0)</f>
        <v>105</v>
      </c>
      <c r="N116" s="2" t="n">
        <f aca="false">AG116+IF(SUMPRODUCT(--($AL116:$AQ116&gt;AN116))+SUMPRODUCT(--($AL116:AM116=AN116))&lt;$AK116,1,0)</f>
        <v>79</v>
      </c>
      <c r="O116" s="2" t="n">
        <f aca="false">AH116+IF(SUMPRODUCT(--($AL116:$AQ116&gt;AO116))+SUMPRODUCT(--($AL116:AN116=AO116))&lt;$AK116,1,0)</f>
        <v>79</v>
      </c>
      <c r="P116" s="2" t="n">
        <f aca="false">AI116+IF(SUMPRODUCT(--($AL116:$AQ116&gt;AP116))+SUMPRODUCT(--($AL116:AO116=AP116))&lt;$AK116,1,0)</f>
        <v>78</v>
      </c>
      <c r="Q116" s="2" t="n">
        <f aca="false">AJ116+IF(SUMPRODUCT(--($AL116:$AQ116&gt;AQ116))+SUMPRODUCT(--($AL116:AP116=AQ116))&lt;$AK116,1,0)</f>
        <v>73</v>
      </c>
      <c r="R116" s="2" t="n">
        <f aca="false">SUM(L116:Q116)</f>
        <v>500</v>
      </c>
      <c r="S116" s="2" t="n">
        <f aca="false">Settings!$B$4*MAX(INDEX(Bases!$M$2:$M$53,B116),INDEX(Bases!$M$2:$M$53,C116))+Settings!$B$5*MIN(INDEX(Bases!$M$2:$M$53,B116),INDEX(Bases!$M$2:$M$53,C116))</f>
        <v>71</v>
      </c>
      <c r="T116" s="2" t="n">
        <f aca="false">Settings!$B$4*MAX(INDEX(Bases!$N$2:$N$53,B116),INDEX(Bases!$N$2:$N$53,C116))+Settings!$B$5*MIN(INDEX(Bases!$N$2:$N$53,B116),INDEX(Bases!$N$2:$N$53,C116))</f>
        <v>87</v>
      </c>
      <c r="U116" s="2" t="n">
        <f aca="false">Settings!$B$4*MAX(INDEX(Bases!$O$2:$O$53,B116),INDEX(Bases!$O$2:$O$53,C116))+Settings!$B$5*MIN(INDEX(Bases!$O$2:$O$53,B116),INDEX(Bases!$O$2:$O$53,C116))</f>
        <v>65</v>
      </c>
      <c r="V116" s="2" t="n">
        <f aca="false">Settings!$B$4*MAX(INDEX(Bases!$P$2:$P$53,B116),INDEX(Bases!$P$2:$P$53,C116))+Settings!$B$5*MIN(INDEX(Bases!$P$2:$P$53,B116),INDEX(Bases!$P$2:$P$53,C116))</f>
        <v>65</v>
      </c>
      <c r="W116" s="2" t="n">
        <f aca="false">Settings!$B$4*MAX(INDEX(Bases!$Q$2:$Q$53,B116),INDEX(Bases!$Q$2:$Q$53,C116))+Settings!$B$5*MIN(INDEX(Bases!$Q$2:$Q$53,B116),INDEX(Bases!$Q$2:$Q$53,C116))</f>
        <v>64</v>
      </c>
      <c r="X116" s="2" t="n">
        <f aca="false">Settings!$B$4*MAX(INDEX(Bases!$R$2:$R$53,B116),INDEX(Bases!$R$2:$R$53,C116))+Settings!$B$5*MIN(INDEX(Bases!$R$2:$R$53,B116),INDEX(Bases!$R$2:$R$53,C116))</f>
        <v>60</v>
      </c>
      <c r="Y116" s="2" t="n">
        <f aca="false">S116*Settings!$B$3/SUM(S116:X116)</f>
        <v>86.1650485436893</v>
      </c>
      <c r="Z116" s="2" t="n">
        <f aca="false">T116*Settings!$B$3/SUM(S116:X116)</f>
        <v>105.582524271845</v>
      </c>
      <c r="AA116" s="2" t="n">
        <f aca="false">U116*Settings!$B$3/SUM(S116:X116)</f>
        <v>78.8834951456311</v>
      </c>
      <c r="AB116" s="2" t="n">
        <f aca="false">V116*Settings!$B$3/SUM(S116:X116)</f>
        <v>78.8834951456311</v>
      </c>
      <c r="AC116" s="2" t="n">
        <f aca="false">W116*Settings!$B$3/SUM(S116:X116)</f>
        <v>77.6699029126214</v>
      </c>
      <c r="AD116" s="2" t="n">
        <f aca="false">X116*Settings!$B$3/SUM(S116:X116)</f>
        <v>72.8155339805825</v>
      </c>
      <c r="AE116" s="2" t="n">
        <f aca="false">INT(Y116)</f>
        <v>86</v>
      </c>
      <c r="AF116" s="2" t="n">
        <f aca="false">INT(Z116)</f>
        <v>105</v>
      </c>
      <c r="AG116" s="2" t="n">
        <f aca="false">INT(AA116)</f>
        <v>78</v>
      </c>
      <c r="AH116" s="2" t="n">
        <f aca="false">INT(AB116)</f>
        <v>78</v>
      </c>
      <c r="AI116" s="2" t="n">
        <f aca="false">INT(AC116)</f>
        <v>77</v>
      </c>
      <c r="AJ116" s="2" t="n">
        <f aca="false">INT(AD116)</f>
        <v>72</v>
      </c>
      <c r="AK116" s="2" t="n">
        <f aca="false">Settings!$B$3-SUM(AE116:AJ116)</f>
        <v>4</v>
      </c>
      <c r="AL116" s="2" t="n">
        <f aca="false">ROUND(Y116-AE116,9)</f>
        <v>0.165048544</v>
      </c>
      <c r="AM116" s="2" t="n">
        <f aca="false">ROUND(Z116-AF116,9)</f>
        <v>0.582524272</v>
      </c>
      <c r="AN116" s="2" t="n">
        <f aca="false">ROUND(AA116-AG116,9)</f>
        <v>0.883495146</v>
      </c>
      <c r="AO116" s="2" t="n">
        <f aca="false">ROUND(AB116-AH116,9)</f>
        <v>0.883495146</v>
      </c>
      <c r="AP116" s="2" t="n">
        <f aca="false">ROUND(AC116-AI116,9)</f>
        <v>0.669902913</v>
      </c>
      <c r="AQ116" s="2" t="n">
        <f aca="false">ROUND(AD116-AJ116,9)</f>
        <v>0.815533981</v>
      </c>
    </row>
    <row r="117" customFormat="false" ht="15" hidden="false" customHeight="false" outlineLevel="0" collapsed="false">
      <c r="A117" s="2" t="n">
        <v>116</v>
      </c>
      <c r="B117" s="6" t="n">
        <v>3</v>
      </c>
      <c r="C117" s="6" t="n">
        <v>18</v>
      </c>
      <c r="D117" s="8" t="str">
        <f aca="false">INDEX(Bases!$B$2:$B$53,B117)</f>
        <v>Teddiursa</v>
      </c>
      <c r="E117" s="8" t="str">
        <f aca="false">INDEX(Bases!$B$2:$B$53,C117)</f>
        <v>Spheal</v>
      </c>
      <c r="F117" s="2" t="str">
        <f aca="false">LEFT(D117,ROUNDUP(LEN(D117)/2,0))&amp;LOWER(MID(E117,ROUNDUP(LEN(E117)/2,0)+1,20))</f>
        <v>Teddieal</v>
      </c>
      <c r="G117" s="8" t="str">
        <f aca="false">INDEX(Bases!$C$2:$C$53,B117)</f>
        <v>Normal</v>
      </c>
      <c r="H117" s="8" t="str">
        <f aca="false">IF(INDEX(Bases!$C$2:$C$53,C117)=G117,"",INDEX(Bases!$C$2:$C$53,C117))</f>
        <v>Ice</v>
      </c>
      <c r="I117" s="8" t="str">
        <f aca="false">IF(INDEX(Bases!$E$2:$E$53,B117)="","",INDEX(Bases!$E$2:$E$53,B117))</f>
        <v/>
      </c>
      <c r="J117" s="8" t="str">
        <f aca="false">IF(INDEX(Bases!$E$2:$E$53,C117)="","",INDEX(Bases!$E$2:$E$53,C117))</f>
        <v/>
      </c>
      <c r="K117" s="5"/>
      <c r="L117" s="2" t="n">
        <f aca="false">AE117+IF(SUMPRODUCT(--($AL117:$AQ117&gt;AL117))&lt;$AK117,1,0)</f>
        <v>106</v>
      </c>
      <c r="M117" s="2" t="n">
        <f aca="false">AF117+IF(SUMPRODUCT(--($AL117:$AQ117&gt;AM117))+SUMPRODUCT(--($AL117:AL117=AM117))&lt;$AK117,1,0)</f>
        <v>99</v>
      </c>
      <c r="N117" s="2" t="n">
        <f aca="false">AG117+IF(SUMPRODUCT(--($AL117:$AQ117&gt;AN117))+SUMPRODUCT(--($AL117:AM117=AN117))&lt;$AK117,1,0)</f>
        <v>79</v>
      </c>
      <c r="O117" s="2" t="n">
        <f aca="false">AH117+IF(SUMPRODUCT(--($AL117:$AQ117&gt;AO117))+SUMPRODUCT(--($AL117:AN117=AO117))&lt;$AK117,1,0)</f>
        <v>85</v>
      </c>
      <c r="P117" s="2" t="n">
        <f aca="false">AI117+IF(SUMPRODUCT(--($AL117:$AQ117&gt;AP117))+SUMPRODUCT(--($AL117:AO117=AP117))&lt;$AK117,1,0)</f>
        <v>79</v>
      </c>
      <c r="Q117" s="2" t="n">
        <f aca="false">AJ117+IF(SUMPRODUCT(--($AL117:$AQ117&gt;AQ117))+SUMPRODUCT(--($AL117:AP117=AQ117))&lt;$AK117,1,0)</f>
        <v>52</v>
      </c>
      <c r="R117" s="2" t="n">
        <f aca="false">SUM(L117:Q117)</f>
        <v>500</v>
      </c>
      <c r="S117" s="2" t="n">
        <f aca="false">Settings!$B$4*MAX(INDEX(Bases!$M$2:$M$53,B117),INDEX(Bases!$M$2:$M$53,C117))+Settings!$B$5*MIN(INDEX(Bases!$M$2:$M$53,B117),INDEX(Bases!$M$2:$M$53,C117))</f>
        <v>89</v>
      </c>
      <c r="T117" s="2" t="n">
        <f aca="false">Settings!$B$4*MAX(INDEX(Bases!$N$2:$N$53,B117),INDEX(Bases!$N$2:$N$53,C117))+Settings!$B$5*MIN(INDEX(Bases!$N$2:$N$53,B117),INDEX(Bases!$N$2:$N$53,C117))</f>
        <v>83</v>
      </c>
      <c r="U117" s="2" t="n">
        <f aca="false">Settings!$B$4*MAX(INDEX(Bases!$O$2:$O$53,B117),INDEX(Bases!$O$2:$O$53,C117))+Settings!$B$5*MIN(INDEX(Bases!$O$2:$O$53,B117),INDEX(Bases!$O$2:$O$53,C117))</f>
        <v>66.3333333333333</v>
      </c>
      <c r="V117" s="2" t="n">
        <f aca="false">Settings!$B$4*MAX(INDEX(Bases!$P$2:$P$53,B117),INDEX(Bases!$P$2:$P$53,C117))+Settings!$B$5*MIN(INDEX(Bases!$P$2:$P$53,B117),INDEX(Bases!$P$2:$P$53,C117))</f>
        <v>71</v>
      </c>
      <c r="W117" s="2" t="n">
        <f aca="false">Settings!$B$4*MAX(INDEX(Bases!$Q$2:$Q$53,B117),INDEX(Bases!$Q$2:$Q$53,C117))+Settings!$B$5*MIN(INDEX(Bases!$Q$2:$Q$53,B117),INDEX(Bases!$Q$2:$Q$53,C117))</f>
        <v>66</v>
      </c>
      <c r="X117" s="2" t="n">
        <f aca="false">Settings!$B$4*MAX(INDEX(Bases!$R$2:$R$53,B117),INDEX(Bases!$R$2:$R$53,C117))+Settings!$B$5*MIN(INDEX(Bases!$R$2:$R$53,B117),INDEX(Bases!$R$2:$R$53,C117))</f>
        <v>43.3333333333333</v>
      </c>
      <c r="Y117" s="2" t="n">
        <f aca="false">S117*Settings!$B$3/SUM(S117:X117)</f>
        <v>106.289808917197</v>
      </c>
      <c r="Z117" s="2" t="n">
        <f aca="false">T117*Settings!$B$3/SUM(S117:X117)</f>
        <v>99.1242038216561</v>
      </c>
      <c r="AA117" s="2" t="n">
        <f aca="false">U117*Settings!$B$3/SUM(S117:X117)</f>
        <v>79.2197452229299</v>
      </c>
      <c r="AB117" s="2" t="n">
        <f aca="false">V117*Settings!$B$3/SUM(S117:X117)</f>
        <v>84.7929936305733</v>
      </c>
      <c r="AC117" s="2" t="n">
        <f aca="false">W117*Settings!$B$3/SUM(S117:X117)</f>
        <v>78.8216560509554</v>
      </c>
      <c r="AD117" s="2" t="n">
        <f aca="false">X117*Settings!$B$3/SUM(S117:X117)</f>
        <v>51.7515923566879</v>
      </c>
      <c r="AE117" s="2" t="n">
        <f aca="false">INT(Y117)</f>
        <v>106</v>
      </c>
      <c r="AF117" s="2" t="n">
        <f aca="false">INT(Z117)</f>
        <v>99</v>
      </c>
      <c r="AG117" s="2" t="n">
        <f aca="false">INT(AA117)</f>
        <v>79</v>
      </c>
      <c r="AH117" s="2" t="n">
        <f aca="false">INT(AB117)</f>
        <v>84</v>
      </c>
      <c r="AI117" s="2" t="n">
        <f aca="false">INT(AC117)</f>
        <v>78</v>
      </c>
      <c r="AJ117" s="2" t="n">
        <f aca="false">INT(AD117)</f>
        <v>51</v>
      </c>
      <c r="AK117" s="2" t="n">
        <f aca="false">Settings!$B$3-SUM(AE117:AJ117)</f>
        <v>3</v>
      </c>
      <c r="AL117" s="2" t="n">
        <f aca="false">ROUND(Y117-AE117,9)</f>
        <v>0.289808917</v>
      </c>
      <c r="AM117" s="2" t="n">
        <f aca="false">ROUND(Z117-AF117,9)</f>
        <v>0.124203822</v>
      </c>
      <c r="AN117" s="2" t="n">
        <f aca="false">ROUND(AA117-AG117,9)</f>
        <v>0.219745223</v>
      </c>
      <c r="AO117" s="2" t="n">
        <f aca="false">ROUND(AB117-AH117,9)</f>
        <v>0.792993631</v>
      </c>
      <c r="AP117" s="2" t="n">
        <f aca="false">ROUND(AC117-AI117,9)</f>
        <v>0.821656051</v>
      </c>
      <c r="AQ117" s="2" t="n">
        <f aca="false">ROUND(AD117-AJ117,9)</f>
        <v>0.751592357</v>
      </c>
    </row>
    <row r="118" customFormat="false" ht="15" hidden="false" customHeight="false" outlineLevel="0" collapsed="false">
      <c r="A118" s="2" t="n">
        <v>117</v>
      </c>
      <c r="B118" s="6" t="n">
        <v>3</v>
      </c>
      <c r="C118" s="6" t="n">
        <v>19</v>
      </c>
      <c r="D118" s="8" t="str">
        <f aca="false">INDEX(Bases!$B$2:$B$53,B118)</f>
        <v>Teddiursa</v>
      </c>
      <c r="E118" s="8" t="str">
        <f aca="false">INDEX(Bases!$B$2:$B$53,C118)</f>
        <v>Mankey</v>
      </c>
      <c r="F118" s="2" t="str">
        <f aca="false">LEFT(D118,ROUNDUP(LEN(D118)/2,0))&amp;LOWER(MID(E118,ROUNDUP(LEN(E118)/2,0)+1,20))</f>
        <v>Teddikey</v>
      </c>
      <c r="G118" s="8" t="str">
        <f aca="false">INDEX(Bases!$C$2:$C$53,B118)</f>
        <v>Normal</v>
      </c>
      <c r="H118" s="8" t="str">
        <f aca="false">IF(INDEX(Bases!$C$2:$C$53,C118)=G118,"",INDEX(Bases!$C$2:$C$53,C118))</f>
        <v>Fighting</v>
      </c>
      <c r="I118" s="8" t="str">
        <f aca="false">IF(INDEX(Bases!$E$2:$E$53,B118)="","",INDEX(Bases!$E$2:$E$53,B118))</f>
        <v/>
      </c>
      <c r="J118" s="8" t="str">
        <f aca="false">IF(INDEX(Bases!$E$2:$E$53,C118)="","",INDEX(Bases!$E$2:$E$53,C118))</f>
        <v/>
      </c>
      <c r="K118" s="5"/>
      <c r="L118" s="2" t="n">
        <f aca="false">AE118+IF(SUMPRODUCT(--($AL118:$AQ118&gt;AL118))&lt;$AK118,1,0)</f>
        <v>79</v>
      </c>
      <c r="M118" s="2" t="n">
        <f aca="false">AF118+IF(SUMPRODUCT(--($AL118:$AQ118&gt;AM118))+SUMPRODUCT(--($AL118:AL118=AM118))&lt;$AK118,1,0)</f>
        <v>123</v>
      </c>
      <c r="N118" s="2" t="n">
        <f aca="false">AG118+IF(SUMPRODUCT(--($AL118:$AQ118&gt;AN118))+SUMPRODUCT(--($AL118:AM118=AN118))&lt;$AK118,1,0)</f>
        <v>67</v>
      </c>
      <c r="O118" s="2" t="n">
        <f aca="false">AH118+IF(SUMPRODUCT(--($AL118:$AQ118&gt;AO118))+SUMPRODUCT(--($AL118:AN118=AO118))&lt;$AK118,1,0)</f>
        <v>67</v>
      </c>
      <c r="P118" s="2" t="n">
        <f aca="false">AI118+IF(SUMPRODUCT(--($AL118:$AQ118&gt;AP118))+SUMPRODUCT(--($AL118:AO118=AP118))&lt;$AK118,1,0)</f>
        <v>71</v>
      </c>
      <c r="Q118" s="2" t="n">
        <f aca="false">AJ118+IF(SUMPRODUCT(--($AL118:$AQ118&gt;AQ118))+SUMPRODUCT(--($AL118:AP118=AQ118))&lt;$AK118,1,0)</f>
        <v>93</v>
      </c>
      <c r="R118" s="2" t="n">
        <f aca="false">SUM(L118:Q118)</f>
        <v>500</v>
      </c>
      <c r="S118" s="2" t="n">
        <f aca="false">Settings!$B$4*MAX(INDEX(Bases!$M$2:$M$53,B118),INDEX(Bases!$M$2:$M$53,C118))+Settings!$B$5*MIN(INDEX(Bases!$M$2:$M$53,B118),INDEX(Bases!$M$2:$M$53,C118))</f>
        <v>66</v>
      </c>
      <c r="T118" s="2" t="n">
        <f aca="false">Settings!$B$4*MAX(INDEX(Bases!$N$2:$N$53,B118),INDEX(Bases!$N$2:$N$53,C118))+Settings!$B$5*MIN(INDEX(Bases!$N$2:$N$53,B118),INDEX(Bases!$N$2:$N$53,C118))</f>
        <v>102.333333333333</v>
      </c>
      <c r="U118" s="2" t="n">
        <f aca="false">Settings!$B$4*MAX(INDEX(Bases!$O$2:$O$53,B118),INDEX(Bases!$O$2:$O$53,C118))+Settings!$B$5*MIN(INDEX(Bases!$O$2:$O$53,B118),INDEX(Bases!$O$2:$O$53,C118))</f>
        <v>56</v>
      </c>
      <c r="V118" s="2" t="n">
        <f aca="false">Settings!$B$4*MAX(INDEX(Bases!$P$2:$P$53,B118),INDEX(Bases!$P$2:$P$53,C118))+Settings!$B$5*MIN(INDEX(Bases!$P$2:$P$53,B118),INDEX(Bases!$P$2:$P$53,C118))</f>
        <v>56</v>
      </c>
      <c r="W118" s="2" t="n">
        <f aca="false">Settings!$B$4*MAX(INDEX(Bases!$Q$2:$Q$53,B118),INDEX(Bases!$Q$2:$Q$53,C118))+Settings!$B$5*MIN(INDEX(Bases!$Q$2:$Q$53,B118),INDEX(Bases!$Q$2:$Q$53,C118))</f>
        <v>59.6666666666667</v>
      </c>
      <c r="X118" s="2" t="n">
        <f aca="false">Settings!$B$4*MAX(INDEX(Bases!$R$2:$R$53,B118),INDEX(Bases!$R$2:$R$53,C118))+Settings!$B$5*MIN(INDEX(Bases!$R$2:$R$53,B118),INDEX(Bases!$R$2:$R$53,C118))</f>
        <v>77.3333333333333</v>
      </c>
      <c r="Y118" s="2" t="n">
        <f aca="false">S118*Settings!$B$3/SUM(S118:X118)</f>
        <v>79.073482428115</v>
      </c>
      <c r="Z118" s="2" t="n">
        <f aca="false">T118*Settings!$B$3/SUM(S118:X118)</f>
        <v>122.603833865815</v>
      </c>
      <c r="AA118" s="2" t="n">
        <f aca="false">U118*Settings!$B$3/SUM(S118:X118)</f>
        <v>67.0926517571885</v>
      </c>
      <c r="AB118" s="2" t="n">
        <f aca="false">V118*Settings!$B$3/SUM(S118:X118)</f>
        <v>67.0926517571885</v>
      </c>
      <c r="AC118" s="2" t="n">
        <f aca="false">W118*Settings!$B$3/SUM(S118:X118)</f>
        <v>71.4856230031949</v>
      </c>
      <c r="AD118" s="2" t="n">
        <f aca="false">X118*Settings!$B$3/SUM(S118:X118)</f>
        <v>92.6517571884984</v>
      </c>
      <c r="AE118" s="2" t="n">
        <f aca="false">INT(Y118)</f>
        <v>79</v>
      </c>
      <c r="AF118" s="2" t="n">
        <f aca="false">INT(Z118)</f>
        <v>122</v>
      </c>
      <c r="AG118" s="2" t="n">
        <f aca="false">INT(AA118)</f>
        <v>67</v>
      </c>
      <c r="AH118" s="2" t="n">
        <f aca="false">INT(AB118)</f>
        <v>67</v>
      </c>
      <c r="AI118" s="2" t="n">
        <f aca="false">INT(AC118)</f>
        <v>71</v>
      </c>
      <c r="AJ118" s="2" t="n">
        <f aca="false">INT(AD118)</f>
        <v>92</v>
      </c>
      <c r="AK118" s="2" t="n">
        <f aca="false">Settings!$B$3-SUM(AE118:AJ118)</f>
        <v>2</v>
      </c>
      <c r="AL118" s="2" t="n">
        <f aca="false">ROUND(Y118-AE118,9)</f>
        <v>0.073482428</v>
      </c>
      <c r="AM118" s="2" t="n">
        <f aca="false">ROUND(Z118-AF118,9)</f>
        <v>0.603833866</v>
      </c>
      <c r="AN118" s="2" t="n">
        <f aca="false">ROUND(AA118-AG118,9)</f>
        <v>0.092651757</v>
      </c>
      <c r="AO118" s="2" t="n">
        <f aca="false">ROUND(AB118-AH118,9)</f>
        <v>0.092651757</v>
      </c>
      <c r="AP118" s="2" t="n">
        <f aca="false">ROUND(AC118-AI118,9)</f>
        <v>0.485623003</v>
      </c>
      <c r="AQ118" s="2" t="n">
        <f aca="false">ROUND(AD118-AJ118,9)</f>
        <v>0.651757188</v>
      </c>
    </row>
    <row r="119" customFormat="false" ht="15" hidden="false" customHeight="false" outlineLevel="0" collapsed="false">
      <c r="A119" s="2" t="n">
        <v>118</v>
      </c>
      <c r="B119" s="6" t="n">
        <v>3</v>
      </c>
      <c r="C119" s="6" t="n">
        <v>20</v>
      </c>
      <c r="D119" s="8" t="str">
        <f aca="false">INDEX(Bases!$B$2:$B$53,B119)</f>
        <v>Teddiursa</v>
      </c>
      <c r="E119" s="8" t="str">
        <f aca="false">INDEX(Bases!$B$2:$B$53,C119)</f>
        <v>Tyrogue</v>
      </c>
      <c r="F119" s="2" t="str">
        <f aca="false">LEFT(D119,ROUNDUP(LEN(D119)/2,0))&amp;LOWER(MID(E119,ROUNDUP(LEN(E119)/2,0)+1,20))</f>
        <v>Teddigue</v>
      </c>
      <c r="G119" s="8" t="str">
        <f aca="false">INDEX(Bases!$C$2:$C$53,B119)</f>
        <v>Normal</v>
      </c>
      <c r="H119" s="8" t="str">
        <f aca="false">IF(INDEX(Bases!$C$2:$C$53,C119)=G119,"",INDEX(Bases!$C$2:$C$53,C119))</f>
        <v>Fighting</v>
      </c>
      <c r="I119" s="8" t="str">
        <f aca="false">IF(INDEX(Bases!$E$2:$E$53,B119)="","",INDEX(Bases!$E$2:$E$53,B119))</f>
        <v/>
      </c>
      <c r="J119" s="8" t="str">
        <f aca="false">IF(INDEX(Bases!$E$2:$E$53,C119)="","",INDEX(Bases!$E$2:$E$53,C119))</f>
        <v/>
      </c>
      <c r="K119" s="5"/>
      <c r="L119" s="2" t="n">
        <f aca="false">AE119+IF(SUMPRODUCT(--($AL119:$AQ119&gt;AL119))&lt;$AK119,1,0)</f>
        <v>86</v>
      </c>
      <c r="M119" s="2" t="n">
        <f aca="false">AF119+IF(SUMPRODUCT(--($AL119:$AQ119&gt;AM119))+SUMPRODUCT(--($AL119:AL119=AM119))&lt;$AK119,1,0)</f>
        <v>105</v>
      </c>
      <c r="N119" s="2" t="n">
        <f aca="false">AG119+IF(SUMPRODUCT(--($AL119:$AQ119&gt;AN119))+SUMPRODUCT(--($AL119:AM119=AN119))&lt;$AK119,1,0)</f>
        <v>79</v>
      </c>
      <c r="O119" s="2" t="n">
        <f aca="false">AH119+IF(SUMPRODUCT(--($AL119:$AQ119&gt;AO119))+SUMPRODUCT(--($AL119:AN119=AO119))&lt;$AK119,1,0)</f>
        <v>79</v>
      </c>
      <c r="P119" s="2" t="n">
        <f aca="false">AI119+IF(SUMPRODUCT(--($AL119:$AQ119&gt;AP119))+SUMPRODUCT(--($AL119:AO119=AP119))&lt;$AK119,1,0)</f>
        <v>78</v>
      </c>
      <c r="Q119" s="2" t="n">
        <f aca="false">AJ119+IF(SUMPRODUCT(--($AL119:$AQ119&gt;AQ119))+SUMPRODUCT(--($AL119:AP119=AQ119))&lt;$AK119,1,0)</f>
        <v>73</v>
      </c>
      <c r="R119" s="2" t="n">
        <f aca="false">SUM(L119:Q119)</f>
        <v>500</v>
      </c>
      <c r="S119" s="2" t="n">
        <f aca="false">Settings!$B$4*MAX(INDEX(Bases!$M$2:$M$53,B119),INDEX(Bases!$M$2:$M$53,C119))+Settings!$B$5*MIN(INDEX(Bases!$M$2:$M$53,B119),INDEX(Bases!$M$2:$M$53,C119))</f>
        <v>71</v>
      </c>
      <c r="T119" s="2" t="n">
        <f aca="false">Settings!$B$4*MAX(INDEX(Bases!$N$2:$N$53,B119),INDEX(Bases!$N$2:$N$53,C119))+Settings!$B$5*MIN(INDEX(Bases!$N$2:$N$53,B119),INDEX(Bases!$N$2:$N$53,C119))</f>
        <v>87</v>
      </c>
      <c r="U119" s="2" t="n">
        <f aca="false">Settings!$B$4*MAX(INDEX(Bases!$O$2:$O$53,B119),INDEX(Bases!$O$2:$O$53,C119))+Settings!$B$5*MIN(INDEX(Bases!$O$2:$O$53,B119),INDEX(Bases!$O$2:$O$53,C119))</f>
        <v>65</v>
      </c>
      <c r="V119" s="2" t="n">
        <f aca="false">Settings!$B$4*MAX(INDEX(Bases!$P$2:$P$53,B119),INDEX(Bases!$P$2:$P$53,C119))+Settings!$B$5*MIN(INDEX(Bases!$P$2:$P$53,B119),INDEX(Bases!$P$2:$P$53,C119))</f>
        <v>65</v>
      </c>
      <c r="W119" s="2" t="n">
        <f aca="false">Settings!$B$4*MAX(INDEX(Bases!$Q$2:$Q$53,B119),INDEX(Bases!$Q$2:$Q$53,C119))+Settings!$B$5*MIN(INDEX(Bases!$Q$2:$Q$53,B119),INDEX(Bases!$Q$2:$Q$53,C119))</f>
        <v>64</v>
      </c>
      <c r="X119" s="2" t="n">
        <f aca="false">Settings!$B$4*MAX(INDEX(Bases!$R$2:$R$53,B119),INDEX(Bases!$R$2:$R$53,C119))+Settings!$B$5*MIN(INDEX(Bases!$R$2:$R$53,B119),INDEX(Bases!$R$2:$R$53,C119))</f>
        <v>60</v>
      </c>
      <c r="Y119" s="2" t="n">
        <f aca="false">S119*Settings!$B$3/SUM(S119:X119)</f>
        <v>86.1650485436893</v>
      </c>
      <c r="Z119" s="2" t="n">
        <f aca="false">T119*Settings!$B$3/SUM(S119:X119)</f>
        <v>105.582524271845</v>
      </c>
      <c r="AA119" s="2" t="n">
        <f aca="false">U119*Settings!$B$3/SUM(S119:X119)</f>
        <v>78.8834951456311</v>
      </c>
      <c r="AB119" s="2" t="n">
        <f aca="false">V119*Settings!$B$3/SUM(S119:X119)</f>
        <v>78.8834951456311</v>
      </c>
      <c r="AC119" s="2" t="n">
        <f aca="false">W119*Settings!$B$3/SUM(S119:X119)</f>
        <v>77.6699029126214</v>
      </c>
      <c r="AD119" s="2" t="n">
        <f aca="false">X119*Settings!$B$3/SUM(S119:X119)</f>
        <v>72.8155339805825</v>
      </c>
      <c r="AE119" s="2" t="n">
        <f aca="false">INT(Y119)</f>
        <v>86</v>
      </c>
      <c r="AF119" s="2" t="n">
        <f aca="false">INT(Z119)</f>
        <v>105</v>
      </c>
      <c r="AG119" s="2" t="n">
        <f aca="false">INT(AA119)</f>
        <v>78</v>
      </c>
      <c r="AH119" s="2" t="n">
        <f aca="false">INT(AB119)</f>
        <v>78</v>
      </c>
      <c r="AI119" s="2" t="n">
        <f aca="false">INT(AC119)</f>
        <v>77</v>
      </c>
      <c r="AJ119" s="2" t="n">
        <f aca="false">INT(AD119)</f>
        <v>72</v>
      </c>
      <c r="AK119" s="2" t="n">
        <f aca="false">Settings!$B$3-SUM(AE119:AJ119)</f>
        <v>4</v>
      </c>
      <c r="AL119" s="2" t="n">
        <f aca="false">ROUND(Y119-AE119,9)</f>
        <v>0.165048544</v>
      </c>
      <c r="AM119" s="2" t="n">
        <f aca="false">ROUND(Z119-AF119,9)</f>
        <v>0.582524272</v>
      </c>
      <c r="AN119" s="2" t="n">
        <f aca="false">ROUND(AA119-AG119,9)</f>
        <v>0.883495146</v>
      </c>
      <c r="AO119" s="2" t="n">
        <f aca="false">ROUND(AB119-AH119,9)</f>
        <v>0.883495146</v>
      </c>
      <c r="AP119" s="2" t="n">
        <f aca="false">ROUND(AC119-AI119,9)</f>
        <v>0.669902913</v>
      </c>
      <c r="AQ119" s="2" t="n">
        <f aca="false">ROUND(AD119-AJ119,9)</f>
        <v>0.815533981</v>
      </c>
    </row>
    <row r="120" customFormat="false" ht="15" hidden="false" customHeight="false" outlineLevel="0" collapsed="false">
      <c r="A120" s="2" t="n">
        <v>119</v>
      </c>
      <c r="B120" s="6" t="n">
        <v>3</v>
      </c>
      <c r="C120" s="6" t="n">
        <v>21</v>
      </c>
      <c r="D120" s="8" t="str">
        <f aca="false">INDEX(Bases!$B$2:$B$53,B120)</f>
        <v>Teddiursa</v>
      </c>
      <c r="E120" s="8" t="str">
        <f aca="false">INDEX(Bases!$B$2:$B$53,C120)</f>
        <v>Makuhita</v>
      </c>
      <c r="F120" s="2" t="str">
        <f aca="false">LEFT(D120,ROUNDUP(LEN(D120)/2,0))&amp;LOWER(MID(E120,ROUNDUP(LEN(E120)/2,0)+1,20))</f>
        <v>Teddihita</v>
      </c>
      <c r="G120" s="8" t="str">
        <f aca="false">INDEX(Bases!$C$2:$C$53,B120)</f>
        <v>Normal</v>
      </c>
      <c r="H120" s="8" t="str">
        <f aca="false">IF(INDEX(Bases!$C$2:$C$53,C120)=G120,"",INDEX(Bases!$C$2:$C$53,C120))</f>
        <v>Fighting</v>
      </c>
      <c r="I120" s="8" t="str">
        <f aca="false">IF(INDEX(Bases!$E$2:$E$53,B120)="","",INDEX(Bases!$E$2:$E$53,B120))</f>
        <v/>
      </c>
      <c r="J120" s="8" t="str">
        <f aca="false">IF(INDEX(Bases!$E$2:$E$53,C120)="","",INDEX(Bases!$E$2:$E$53,C120))</f>
        <v/>
      </c>
      <c r="K120" s="5"/>
      <c r="L120" s="2" t="n">
        <f aca="false">AE120+IF(SUMPRODUCT(--($AL120:$AQ120&gt;AL120))&lt;$AK120,1,0)</f>
        <v>126</v>
      </c>
      <c r="M120" s="2" t="n">
        <f aca="false">AF120+IF(SUMPRODUCT(--($AL120:$AQ120&gt;AM120))+SUMPRODUCT(--($AL120:AL120=AM120))&lt;$AK120,1,0)</f>
        <v>120</v>
      </c>
      <c r="N120" s="2" t="n">
        <f aca="false">AG120+IF(SUMPRODUCT(--($AL120:$AQ120&gt;AN120))+SUMPRODUCT(--($AL120:AM120=AN120))&lt;$AK120,1,0)</f>
        <v>69</v>
      </c>
      <c r="O120" s="2" t="n">
        <f aca="false">AH120+IF(SUMPRODUCT(--($AL120:$AQ120&gt;AO120))+SUMPRODUCT(--($AL120:AN120=AO120))&lt;$AK120,1,0)</f>
        <v>62</v>
      </c>
      <c r="P120" s="2" t="n">
        <f aca="false">AI120+IF(SUMPRODUCT(--($AL120:$AQ120&gt;AP120))+SUMPRODUCT(--($AL120:AO120=AP120))&lt;$AK120,1,0)</f>
        <v>68</v>
      </c>
      <c r="Q120" s="2" t="n">
        <f aca="false">AJ120+IF(SUMPRODUCT(--($AL120:$AQ120&gt;AQ120))+SUMPRODUCT(--($AL120:AP120=AQ120))&lt;$AK120,1,0)</f>
        <v>55</v>
      </c>
      <c r="R120" s="2" t="n">
        <f aca="false">SUM(L120:Q120)</f>
        <v>500</v>
      </c>
      <c r="S120" s="2" t="n">
        <f aca="false">Settings!$B$4*MAX(INDEX(Bases!$M$2:$M$53,B120),INDEX(Bases!$M$2:$M$53,C120))+Settings!$B$5*MIN(INDEX(Bases!$M$2:$M$53,B120),INDEX(Bases!$M$2:$M$53,C120))</f>
        <v>105</v>
      </c>
      <c r="T120" s="2" t="n">
        <f aca="false">Settings!$B$4*MAX(INDEX(Bases!$N$2:$N$53,B120),INDEX(Bases!$N$2:$N$53,C120))+Settings!$B$5*MIN(INDEX(Bases!$N$2:$N$53,B120),INDEX(Bases!$N$2:$N$53,C120))</f>
        <v>99.6666666666667</v>
      </c>
      <c r="U120" s="2" t="n">
        <f aca="false">Settings!$B$4*MAX(INDEX(Bases!$O$2:$O$53,B120),INDEX(Bases!$O$2:$O$53,C120))+Settings!$B$5*MIN(INDEX(Bases!$O$2:$O$53,B120),INDEX(Bases!$O$2:$O$53,C120))</f>
        <v>57.6666666666667</v>
      </c>
      <c r="V120" s="2" t="n">
        <f aca="false">Settings!$B$4*MAX(INDEX(Bases!$P$2:$P$53,B120),INDEX(Bases!$P$2:$P$53,C120))+Settings!$B$5*MIN(INDEX(Bases!$P$2:$P$53,B120),INDEX(Bases!$P$2:$P$53,C120))</f>
        <v>52</v>
      </c>
      <c r="W120" s="2" t="n">
        <f aca="false">Settings!$B$4*MAX(INDEX(Bases!$Q$2:$Q$53,B120),INDEX(Bases!$Q$2:$Q$53,C120))+Settings!$B$5*MIN(INDEX(Bases!$Q$2:$Q$53,B120),INDEX(Bases!$Q$2:$Q$53,C120))</f>
        <v>57</v>
      </c>
      <c r="X120" s="2" t="n">
        <f aca="false">Settings!$B$4*MAX(INDEX(Bases!$R$2:$R$53,B120),INDEX(Bases!$R$2:$R$53,C120))+Settings!$B$5*MIN(INDEX(Bases!$R$2:$R$53,B120),INDEX(Bases!$R$2:$R$53,C120))</f>
        <v>46</v>
      </c>
      <c r="Y120" s="2" t="n">
        <f aca="false">S120*Settings!$B$3/SUM(S120:X120)</f>
        <v>125.798722044728</v>
      </c>
      <c r="Z120" s="2" t="n">
        <f aca="false">T120*Settings!$B$3/SUM(S120:X120)</f>
        <v>119.408945686901</v>
      </c>
      <c r="AA120" s="2" t="n">
        <f aca="false">U120*Settings!$B$3/SUM(S120:X120)</f>
        <v>69.0894568690096</v>
      </c>
      <c r="AB120" s="2" t="n">
        <f aca="false">V120*Settings!$B$3/SUM(S120:X120)</f>
        <v>62.3003194888179</v>
      </c>
      <c r="AC120" s="2" t="n">
        <f aca="false">W120*Settings!$B$3/SUM(S120:X120)</f>
        <v>68.2907348242812</v>
      </c>
      <c r="AD120" s="2" t="n">
        <f aca="false">X120*Settings!$B$3/SUM(S120:X120)</f>
        <v>55.111821086262</v>
      </c>
      <c r="AE120" s="2" t="n">
        <f aca="false">INT(Y120)</f>
        <v>125</v>
      </c>
      <c r="AF120" s="2" t="n">
        <f aca="false">INT(Z120)</f>
        <v>119</v>
      </c>
      <c r="AG120" s="2" t="n">
        <f aca="false">INT(AA120)</f>
        <v>69</v>
      </c>
      <c r="AH120" s="2" t="n">
        <f aca="false">INT(AB120)</f>
        <v>62</v>
      </c>
      <c r="AI120" s="2" t="n">
        <f aca="false">INT(AC120)</f>
        <v>68</v>
      </c>
      <c r="AJ120" s="2" t="n">
        <f aca="false">INT(AD120)</f>
        <v>55</v>
      </c>
      <c r="AK120" s="2" t="n">
        <f aca="false">Settings!$B$3-SUM(AE120:AJ120)</f>
        <v>2</v>
      </c>
      <c r="AL120" s="2" t="n">
        <f aca="false">ROUND(Y120-AE120,9)</f>
        <v>0.798722045</v>
      </c>
      <c r="AM120" s="2" t="n">
        <f aca="false">ROUND(Z120-AF120,9)</f>
        <v>0.408945687</v>
      </c>
      <c r="AN120" s="2" t="n">
        <f aca="false">ROUND(AA120-AG120,9)</f>
        <v>0.089456869</v>
      </c>
      <c r="AO120" s="2" t="n">
        <f aca="false">ROUND(AB120-AH120,9)</f>
        <v>0.300319489</v>
      </c>
      <c r="AP120" s="2" t="n">
        <f aca="false">ROUND(AC120-AI120,9)</f>
        <v>0.290734824</v>
      </c>
      <c r="AQ120" s="2" t="n">
        <f aca="false">ROUND(AD120-AJ120,9)</f>
        <v>0.111821086</v>
      </c>
    </row>
    <row r="121" customFormat="false" ht="15" hidden="false" customHeight="false" outlineLevel="0" collapsed="false">
      <c r="A121" s="2" t="n">
        <v>120</v>
      </c>
      <c r="B121" s="6" t="n">
        <v>3</v>
      </c>
      <c r="C121" s="6" t="n">
        <v>22</v>
      </c>
      <c r="D121" s="8" t="str">
        <f aca="false">INDEX(Bases!$B$2:$B$53,B121)</f>
        <v>Teddiursa</v>
      </c>
      <c r="E121" s="8" t="str">
        <f aca="false">INDEX(Bases!$B$2:$B$53,C121)</f>
        <v>Ekans</v>
      </c>
      <c r="F121" s="2" t="str">
        <f aca="false">LEFT(D121,ROUNDUP(LEN(D121)/2,0))&amp;LOWER(MID(E121,ROUNDUP(LEN(E121)/2,0)+1,20))</f>
        <v>Teddins</v>
      </c>
      <c r="G121" s="8" t="str">
        <f aca="false">INDEX(Bases!$C$2:$C$53,B121)</f>
        <v>Normal</v>
      </c>
      <c r="H121" s="8" t="str">
        <f aca="false">IF(INDEX(Bases!$C$2:$C$53,C121)=G121,"",INDEX(Bases!$C$2:$C$53,C121))</f>
        <v>Poison</v>
      </c>
      <c r="I121" s="8" t="str">
        <f aca="false">IF(INDEX(Bases!$E$2:$E$53,B121)="","",INDEX(Bases!$E$2:$E$53,B121))</f>
        <v/>
      </c>
      <c r="J121" s="8" t="str">
        <f aca="false">IF(INDEX(Bases!$E$2:$E$53,C121)="","",INDEX(Bases!$E$2:$E$53,C121))</f>
        <v/>
      </c>
      <c r="K121" s="5"/>
      <c r="L121" s="2" t="n">
        <f aca="false">AE121+IF(SUMPRODUCT(--($AL121:$AQ121&gt;AL121))&lt;$AK121,1,0)</f>
        <v>78</v>
      </c>
      <c r="M121" s="2" t="n">
        <f aca="false">AF121+IF(SUMPRODUCT(--($AL121:$AQ121&gt;AM121))+SUMPRODUCT(--($AL121:AL121=AM121))&lt;$AK121,1,0)</f>
        <v>111</v>
      </c>
      <c r="N121" s="2" t="n">
        <f aca="false">AG121+IF(SUMPRODUCT(--($AL121:$AQ121&gt;AN121))+SUMPRODUCT(--($AL121:AM121=AN121))&lt;$AK121,1,0)</f>
        <v>74</v>
      </c>
      <c r="O121" s="2" t="n">
        <f aca="false">AH121+IF(SUMPRODUCT(--($AL121:$AQ121&gt;AO121))+SUMPRODUCT(--($AL121:AN121=AO121))&lt;$AK121,1,0)</f>
        <v>72</v>
      </c>
      <c r="P121" s="2" t="n">
        <f aca="false">AI121+IF(SUMPRODUCT(--($AL121:$AQ121&gt;AP121))+SUMPRODUCT(--($AL121:AO121=AP121))&lt;$AK121,1,0)</f>
        <v>85</v>
      </c>
      <c r="Q121" s="2" t="n">
        <f aca="false">AJ121+IF(SUMPRODUCT(--($AL121:$AQ121&gt;AQ121))+SUMPRODUCT(--($AL121:AP121=AQ121))&lt;$AK121,1,0)</f>
        <v>80</v>
      </c>
      <c r="R121" s="2" t="n">
        <f aca="false">SUM(L121:Q121)</f>
        <v>500</v>
      </c>
      <c r="S121" s="2" t="n">
        <f aca="false">Settings!$B$4*MAX(INDEX(Bases!$M$2:$M$53,B121),INDEX(Bases!$M$2:$M$53,C121))+Settings!$B$5*MIN(INDEX(Bases!$M$2:$M$53,B121),INDEX(Bases!$M$2:$M$53,C121))</f>
        <v>65</v>
      </c>
      <c r="T121" s="2" t="n">
        <f aca="false">Settings!$B$4*MAX(INDEX(Bases!$N$2:$N$53,B121),INDEX(Bases!$N$2:$N$53,C121))+Settings!$B$5*MIN(INDEX(Bases!$N$2:$N$53,B121),INDEX(Bases!$N$2:$N$53,C121))</f>
        <v>92.3333333333333</v>
      </c>
      <c r="U121" s="2" t="n">
        <f aca="false">Settings!$B$4*MAX(INDEX(Bases!$O$2:$O$53,B121),INDEX(Bases!$O$2:$O$53,C121))+Settings!$B$5*MIN(INDEX(Bases!$O$2:$O$53,B121),INDEX(Bases!$O$2:$O$53,C121))</f>
        <v>61</v>
      </c>
      <c r="V121" s="2" t="n">
        <f aca="false">Settings!$B$4*MAX(INDEX(Bases!$P$2:$P$53,B121),INDEX(Bases!$P$2:$P$53,C121))+Settings!$B$5*MIN(INDEX(Bases!$P$2:$P$53,B121),INDEX(Bases!$P$2:$P$53,C121))</f>
        <v>59.3333333333333</v>
      </c>
      <c r="W121" s="2" t="n">
        <f aca="false">Settings!$B$4*MAX(INDEX(Bases!$Q$2:$Q$53,B121),INDEX(Bases!$Q$2:$Q$53,C121))+Settings!$B$5*MIN(INDEX(Bases!$Q$2:$Q$53,B121),INDEX(Bases!$Q$2:$Q$53,C121))</f>
        <v>70</v>
      </c>
      <c r="X121" s="2" t="n">
        <f aca="false">Settings!$B$4*MAX(INDEX(Bases!$R$2:$R$53,B121),INDEX(Bases!$R$2:$R$53,C121))+Settings!$B$5*MIN(INDEX(Bases!$R$2:$R$53,B121),INDEX(Bases!$R$2:$R$53,C121))</f>
        <v>66.6666666666667</v>
      </c>
      <c r="Y121" s="2" t="n">
        <f aca="false">S121*Settings!$B$3/SUM(S121:X121)</f>
        <v>78.4392598551891</v>
      </c>
      <c r="Z121" s="2" t="n">
        <f aca="false">T121*Settings!$B$3/SUM(S121:X121)</f>
        <v>111.423974255833</v>
      </c>
      <c r="AA121" s="2" t="n">
        <f aca="false">U121*Settings!$B$3/SUM(S121:X121)</f>
        <v>73.6122284794851</v>
      </c>
      <c r="AB121" s="2" t="n">
        <f aca="false">V121*Settings!$B$3/SUM(S121:X121)</f>
        <v>71.6009654062752</v>
      </c>
      <c r="AC121" s="2" t="n">
        <f aca="false">W121*Settings!$B$3/SUM(S121:X121)</f>
        <v>84.473049074819</v>
      </c>
      <c r="AD121" s="2" t="n">
        <f aca="false">X121*Settings!$B$3/SUM(S121:X121)</f>
        <v>80.450522928399</v>
      </c>
      <c r="AE121" s="2" t="n">
        <f aca="false">INT(Y121)</f>
        <v>78</v>
      </c>
      <c r="AF121" s="2" t="n">
        <f aca="false">INT(Z121)</f>
        <v>111</v>
      </c>
      <c r="AG121" s="2" t="n">
        <f aca="false">INT(AA121)</f>
        <v>73</v>
      </c>
      <c r="AH121" s="2" t="n">
        <f aca="false">INT(AB121)</f>
        <v>71</v>
      </c>
      <c r="AI121" s="2" t="n">
        <f aca="false">INT(AC121)</f>
        <v>84</v>
      </c>
      <c r="AJ121" s="2" t="n">
        <f aca="false">INT(AD121)</f>
        <v>80</v>
      </c>
      <c r="AK121" s="2" t="n">
        <f aca="false">Settings!$B$3-SUM(AE121:AJ121)</f>
        <v>3</v>
      </c>
      <c r="AL121" s="2" t="n">
        <f aca="false">ROUND(Y121-AE121,9)</f>
        <v>0.439259855</v>
      </c>
      <c r="AM121" s="2" t="n">
        <f aca="false">ROUND(Z121-AF121,9)</f>
        <v>0.423974256</v>
      </c>
      <c r="AN121" s="2" t="n">
        <f aca="false">ROUND(AA121-AG121,9)</f>
        <v>0.612228479</v>
      </c>
      <c r="AO121" s="2" t="n">
        <f aca="false">ROUND(AB121-AH121,9)</f>
        <v>0.600965406</v>
      </c>
      <c r="AP121" s="2" t="n">
        <f aca="false">ROUND(AC121-AI121,9)</f>
        <v>0.473049075</v>
      </c>
      <c r="AQ121" s="2" t="n">
        <f aca="false">ROUND(AD121-AJ121,9)</f>
        <v>0.450522928</v>
      </c>
    </row>
    <row r="122" customFormat="false" ht="15" hidden="false" customHeight="false" outlineLevel="0" collapsed="false">
      <c r="A122" s="2" t="n">
        <v>121</v>
      </c>
      <c r="B122" s="6" t="n">
        <v>3</v>
      </c>
      <c r="C122" s="6" t="n">
        <v>23</v>
      </c>
      <c r="D122" s="8" t="str">
        <f aca="false">INDEX(Bases!$B$2:$B$53,B122)</f>
        <v>Teddiursa</v>
      </c>
      <c r="E122" s="8" t="str">
        <f aca="false">INDEX(Bases!$B$2:$B$53,C122)</f>
        <v>Gulpin</v>
      </c>
      <c r="F122" s="2" t="str">
        <f aca="false">LEFT(D122,ROUNDUP(LEN(D122)/2,0))&amp;LOWER(MID(E122,ROUNDUP(LEN(E122)/2,0)+1,20))</f>
        <v>Teddipin</v>
      </c>
      <c r="G122" s="8" t="str">
        <f aca="false">INDEX(Bases!$C$2:$C$53,B122)</f>
        <v>Normal</v>
      </c>
      <c r="H122" s="8" t="str">
        <f aca="false">IF(INDEX(Bases!$C$2:$C$53,C122)=G122,"",INDEX(Bases!$C$2:$C$53,C122))</f>
        <v>Poison</v>
      </c>
      <c r="I122" s="8" t="str">
        <f aca="false">IF(INDEX(Bases!$E$2:$E$53,B122)="","",INDEX(Bases!$E$2:$E$53,B122))</f>
        <v/>
      </c>
      <c r="J122" s="8" t="str">
        <f aca="false">IF(INDEX(Bases!$E$2:$E$53,C122)="","",INDEX(Bases!$E$2:$E$53,C122))</f>
        <v/>
      </c>
      <c r="K122" s="5"/>
      <c r="L122" s="2" t="n">
        <f aca="false">AE122+IF(SUMPRODUCT(--($AL122:$AQ122&gt;AL122))&lt;$AK122,1,0)</f>
        <v>104</v>
      </c>
      <c r="M122" s="2" t="n">
        <f aca="false">AF122+IF(SUMPRODUCT(--($AL122:$AQ122&gt;AM122))+SUMPRODUCT(--($AL122:AL122=AM122))&lt;$AK122,1,0)</f>
        <v>101</v>
      </c>
      <c r="N122" s="2" t="n">
        <f aca="false">AG122+IF(SUMPRODUCT(--($AL122:$AQ122&gt;AN122))+SUMPRODUCT(--($AL122:AM122=AN122))&lt;$AK122,1,0)</f>
        <v>81</v>
      </c>
      <c r="O122" s="2" t="n">
        <f aca="false">AH122+IF(SUMPRODUCT(--($AL122:$AQ122&gt;AO122))+SUMPRODUCT(--($AL122:AN122=AO122))&lt;$AK122,1,0)</f>
        <v>72</v>
      </c>
      <c r="P122" s="2" t="n">
        <f aca="false">AI122+IF(SUMPRODUCT(--($AL122:$AQ122&gt;AP122))+SUMPRODUCT(--($AL122:AO122=AP122))&lt;$AK122,1,0)</f>
        <v>80</v>
      </c>
      <c r="Q122" s="2" t="n">
        <f aca="false">AJ122+IF(SUMPRODUCT(--($AL122:$AQ122&gt;AQ122))+SUMPRODUCT(--($AL122:AP122=AQ122))&lt;$AK122,1,0)</f>
        <v>62</v>
      </c>
      <c r="R122" s="2" t="n">
        <f aca="false">SUM(L122:Q122)</f>
        <v>500</v>
      </c>
      <c r="S122" s="2" t="n">
        <f aca="false">Settings!$B$4*MAX(INDEX(Bases!$M$2:$M$53,B122),INDEX(Bases!$M$2:$M$53,C122))+Settings!$B$5*MIN(INDEX(Bases!$M$2:$M$53,B122),INDEX(Bases!$M$2:$M$53,C122))</f>
        <v>86.3333333333333</v>
      </c>
      <c r="T122" s="2" t="n">
        <f aca="false">Settings!$B$4*MAX(INDEX(Bases!$N$2:$N$53,B122),INDEX(Bases!$N$2:$N$53,C122))+Settings!$B$5*MIN(INDEX(Bases!$N$2:$N$53,B122),INDEX(Bases!$N$2:$N$53,C122))</f>
        <v>83.6666666666667</v>
      </c>
      <c r="U122" s="2" t="n">
        <f aca="false">Settings!$B$4*MAX(INDEX(Bases!$O$2:$O$53,B122),INDEX(Bases!$O$2:$O$53,C122))+Settings!$B$5*MIN(INDEX(Bases!$O$2:$O$53,B122),INDEX(Bases!$O$2:$O$53,C122))</f>
        <v>67</v>
      </c>
      <c r="V122" s="2" t="n">
        <f aca="false">Settings!$B$4*MAX(INDEX(Bases!$P$2:$P$53,B122),INDEX(Bases!$P$2:$P$53,C122))+Settings!$B$5*MIN(INDEX(Bases!$P$2:$P$53,B122),INDEX(Bases!$P$2:$P$53,C122))</f>
        <v>59.6666666666667</v>
      </c>
      <c r="W122" s="2" t="n">
        <f aca="false">Settings!$B$4*MAX(INDEX(Bases!$Q$2:$Q$53,B122),INDEX(Bases!$Q$2:$Q$53,C122))+Settings!$B$5*MIN(INDEX(Bases!$Q$2:$Q$53,B122),INDEX(Bases!$Q$2:$Q$53,C122))</f>
        <v>66.6666666666667</v>
      </c>
      <c r="X122" s="2" t="n">
        <f aca="false">Settings!$B$4*MAX(INDEX(Bases!$R$2:$R$53,B122),INDEX(Bases!$R$2:$R$53,C122))+Settings!$B$5*MIN(INDEX(Bases!$R$2:$R$53,B122),INDEX(Bases!$R$2:$R$53,C122))</f>
        <v>51.3333333333333</v>
      </c>
      <c r="Y122" s="2" t="n">
        <f aca="false">S122*Settings!$B$3/SUM(S122:X122)</f>
        <v>104.099678456592</v>
      </c>
      <c r="Z122" s="2" t="n">
        <f aca="false">T122*Settings!$B$3/SUM(S122:X122)</f>
        <v>100.88424437299</v>
      </c>
      <c r="AA122" s="2" t="n">
        <f aca="false">U122*Settings!$B$3/SUM(S122:X122)</f>
        <v>80.7877813504823</v>
      </c>
      <c r="AB122" s="2" t="n">
        <f aca="false">V122*Settings!$B$3/SUM(S122:X122)</f>
        <v>71.9453376205788</v>
      </c>
      <c r="AC122" s="2" t="n">
        <f aca="false">W122*Settings!$B$3/SUM(S122:X122)</f>
        <v>80.3858520900322</v>
      </c>
      <c r="AD122" s="2" t="n">
        <f aca="false">X122*Settings!$B$3/SUM(S122:X122)</f>
        <v>61.8971061093248</v>
      </c>
      <c r="AE122" s="2" t="n">
        <f aca="false">INT(Y122)</f>
        <v>104</v>
      </c>
      <c r="AF122" s="2" t="n">
        <f aca="false">INT(Z122)</f>
        <v>100</v>
      </c>
      <c r="AG122" s="2" t="n">
        <f aca="false">INT(AA122)</f>
        <v>80</v>
      </c>
      <c r="AH122" s="2" t="n">
        <f aca="false">INT(AB122)</f>
        <v>71</v>
      </c>
      <c r="AI122" s="2" t="n">
        <f aca="false">INT(AC122)</f>
        <v>80</v>
      </c>
      <c r="AJ122" s="2" t="n">
        <f aca="false">INT(AD122)</f>
        <v>61</v>
      </c>
      <c r="AK122" s="2" t="n">
        <f aca="false">Settings!$B$3-SUM(AE122:AJ122)</f>
        <v>4</v>
      </c>
      <c r="AL122" s="2" t="n">
        <f aca="false">ROUND(Y122-AE122,9)</f>
        <v>0.099678457</v>
      </c>
      <c r="AM122" s="2" t="n">
        <f aca="false">ROUND(Z122-AF122,9)</f>
        <v>0.884244373</v>
      </c>
      <c r="AN122" s="2" t="n">
        <f aca="false">ROUND(AA122-AG122,9)</f>
        <v>0.78778135</v>
      </c>
      <c r="AO122" s="2" t="n">
        <f aca="false">ROUND(AB122-AH122,9)</f>
        <v>0.945337621</v>
      </c>
      <c r="AP122" s="2" t="n">
        <f aca="false">ROUND(AC122-AI122,9)</f>
        <v>0.38585209</v>
      </c>
      <c r="AQ122" s="2" t="n">
        <f aca="false">ROUND(AD122-AJ122,9)</f>
        <v>0.897106109</v>
      </c>
    </row>
    <row r="123" customFormat="false" ht="15" hidden="false" customHeight="false" outlineLevel="0" collapsed="false">
      <c r="A123" s="2" t="n">
        <v>122</v>
      </c>
      <c r="B123" s="6" t="n">
        <v>3</v>
      </c>
      <c r="C123" s="6" t="n">
        <v>24</v>
      </c>
      <c r="D123" s="8" t="str">
        <f aca="false">INDEX(Bases!$B$2:$B$53,B123)</f>
        <v>Teddiursa</v>
      </c>
      <c r="E123" s="8" t="str">
        <f aca="false">INDEX(Bases!$B$2:$B$53,C123)</f>
        <v>Koffing</v>
      </c>
      <c r="F123" s="2" t="str">
        <f aca="false">LEFT(D123,ROUNDUP(LEN(D123)/2,0))&amp;LOWER(MID(E123,ROUNDUP(LEN(E123)/2,0)+1,20))</f>
        <v>Teddiing</v>
      </c>
      <c r="G123" s="8" t="str">
        <f aca="false">INDEX(Bases!$C$2:$C$53,B123)</f>
        <v>Normal</v>
      </c>
      <c r="H123" s="8" t="str">
        <f aca="false">IF(INDEX(Bases!$C$2:$C$53,C123)=G123,"",INDEX(Bases!$C$2:$C$53,C123))</f>
        <v>Poison</v>
      </c>
      <c r="I123" s="8" t="str">
        <f aca="false">IF(INDEX(Bases!$E$2:$E$53,B123)="","",INDEX(Bases!$E$2:$E$53,B123))</f>
        <v/>
      </c>
      <c r="J123" s="8" t="str">
        <f aca="false">IF(INDEX(Bases!$E$2:$E$53,C123)="","",INDEX(Bases!$E$2:$E$53,C123))</f>
        <v/>
      </c>
      <c r="K123" s="5"/>
      <c r="L123" s="2" t="n">
        <f aca="false">AE123+IF(SUMPRODUCT(--($AL123:$AQ123&gt;AL123))&lt;$AK123,1,0)</f>
        <v>77</v>
      </c>
      <c r="M123" s="2" t="n">
        <f aca="false">AF123+IF(SUMPRODUCT(--($AL123:$AQ123&gt;AM123))+SUMPRODUCT(--($AL123:AL123=AM123))&lt;$AK123,1,0)</f>
        <v>107</v>
      </c>
      <c r="N123" s="2" t="n">
        <f aca="false">AG123+IF(SUMPRODUCT(--($AL123:$AQ123&gt;AN123))+SUMPRODUCT(--($AL123:AM123=AN123))&lt;$AK123,1,0)</f>
        <v>113</v>
      </c>
      <c r="O123" s="2" t="n">
        <f aca="false">AH123+IF(SUMPRODUCT(--($AL123:$AQ123&gt;AO123))+SUMPRODUCT(--($AL123:AN123=AO123))&lt;$AK123,1,0)</f>
        <v>80</v>
      </c>
      <c r="P123" s="2" t="n">
        <f aca="false">AI123+IF(SUMPRODUCT(--($AL123:$AQ123&gt;AP123))+SUMPRODUCT(--($AL123:AO123=AP123))&lt;$AK123,1,0)</f>
        <v>69</v>
      </c>
      <c r="Q123" s="2" t="n">
        <f aca="false">AJ123+IF(SUMPRODUCT(--($AL123:$AQ123&gt;AQ123))+SUMPRODUCT(--($AL123:AP123=AQ123))&lt;$AK123,1,0)</f>
        <v>54</v>
      </c>
      <c r="R123" s="2" t="n">
        <f aca="false">SUM(L123:Q123)</f>
        <v>500</v>
      </c>
      <c r="S123" s="2" t="n">
        <f aca="false">Settings!$B$4*MAX(INDEX(Bases!$M$2:$M$53,B123),INDEX(Bases!$M$2:$M$53,C123))+Settings!$B$5*MIN(INDEX(Bases!$M$2:$M$53,B123),INDEX(Bases!$M$2:$M$53,C123))</f>
        <v>64.3333333333333</v>
      </c>
      <c r="T123" s="2" t="n">
        <f aca="false">Settings!$B$4*MAX(INDEX(Bases!$N$2:$N$53,B123),INDEX(Bases!$N$2:$N$53,C123))+Settings!$B$5*MIN(INDEX(Bases!$N$2:$N$53,B123),INDEX(Bases!$N$2:$N$53,C123))</f>
        <v>90</v>
      </c>
      <c r="U123" s="2" t="n">
        <f aca="false">Settings!$B$4*MAX(INDEX(Bases!$O$2:$O$53,B123),INDEX(Bases!$O$2:$O$53,C123))+Settings!$B$5*MIN(INDEX(Bases!$O$2:$O$53,B123),INDEX(Bases!$O$2:$O$53,C123))</f>
        <v>95</v>
      </c>
      <c r="V123" s="2" t="n">
        <f aca="false">Settings!$B$4*MAX(INDEX(Bases!$P$2:$P$53,B123),INDEX(Bases!$P$2:$P$53,C123))+Settings!$B$5*MIN(INDEX(Bases!$P$2:$P$53,B123),INDEX(Bases!$P$2:$P$53,C123))</f>
        <v>67.6666666666667</v>
      </c>
      <c r="W123" s="2" t="n">
        <f aca="false">Settings!$B$4*MAX(INDEX(Bases!$Q$2:$Q$53,B123),INDEX(Bases!$Q$2:$Q$53,C123))+Settings!$B$5*MIN(INDEX(Bases!$Q$2:$Q$53,B123),INDEX(Bases!$Q$2:$Q$53,C123))</f>
        <v>57.6666666666667</v>
      </c>
      <c r="X123" s="2" t="n">
        <f aca="false">Settings!$B$4*MAX(INDEX(Bases!$R$2:$R$53,B123),INDEX(Bases!$R$2:$R$53,C123))+Settings!$B$5*MIN(INDEX(Bases!$R$2:$R$53,B123),INDEX(Bases!$R$2:$R$53,C123))</f>
        <v>45.6666666666667</v>
      </c>
      <c r="Y123" s="2" t="n">
        <f aca="false">S123*Settings!$B$3/SUM(S123:X123)</f>
        <v>76.5265662172879</v>
      </c>
      <c r="Z123" s="2" t="n">
        <f aca="false">T123*Settings!$B$3/SUM(S123:X123)</f>
        <v>107.057890563045</v>
      </c>
      <c r="AA123" s="2" t="n">
        <f aca="false">U123*Settings!$B$3/SUM(S123:X123)</f>
        <v>113.005551149881</v>
      </c>
      <c r="AB123" s="2" t="n">
        <f aca="false">V123*Settings!$B$3/SUM(S123:X123)</f>
        <v>80.4916732751784</v>
      </c>
      <c r="AC123" s="2" t="n">
        <f aca="false">W123*Settings!$B$3/SUM(S123:X123)</f>
        <v>68.5963521015068</v>
      </c>
      <c r="AD123" s="2" t="n">
        <f aca="false">X123*Settings!$B$3/SUM(S123:X123)</f>
        <v>54.3219666931007</v>
      </c>
      <c r="AE123" s="2" t="n">
        <f aca="false">INT(Y123)</f>
        <v>76</v>
      </c>
      <c r="AF123" s="2" t="n">
        <f aca="false">INT(Z123)</f>
        <v>107</v>
      </c>
      <c r="AG123" s="2" t="n">
        <f aca="false">INT(AA123)</f>
        <v>113</v>
      </c>
      <c r="AH123" s="2" t="n">
        <f aca="false">INT(AB123)</f>
        <v>80</v>
      </c>
      <c r="AI123" s="2" t="n">
        <f aca="false">INT(AC123)</f>
        <v>68</v>
      </c>
      <c r="AJ123" s="2" t="n">
        <f aca="false">INT(AD123)</f>
        <v>54</v>
      </c>
      <c r="AK123" s="2" t="n">
        <f aca="false">Settings!$B$3-SUM(AE123:AJ123)</f>
        <v>2</v>
      </c>
      <c r="AL123" s="2" t="n">
        <f aca="false">ROUND(Y123-AE123,9)</f>
        <v>0.526566217</v>
      </c>
      <c r="AM123" s="2" t="n">
        <f aca="false">ROUND(Z123-AF123,9)</f>
        <v>0.057890563</v>
      </c>
      <c r="AN123" s="2" t="n">
        <f aca="false">ROUND(AA123-AG123,9)</f>
        <v>0.00555115</v>
      </c>
      <c r="AO123" s="2" t="n">
        <f aca="false">ROUND(AB123-AH123,9)</f>
        <v>0.491673275</v>
      </c>
      <c r="AP123" s="2" t="n">
        <f aca="false">ROUND(AC123-AI123,9)</f>
        <v>0.596352102</v>
      </c>
      <c r="AQ123" s="2" t="n">
        <f aca="false">ROUND(AD123-AJ123,9)</f>
        <v>0.321966693</v>
      </c>
    </row>
    <row r="124" customFormat="false" ht="15" hidden="false" customHeight="false" outlineLevel="0" collapsed="false">
      <c r="A124" s="2" t="n">
        <v>123</v>
      </c>
      <c r="B124" s="6" t="n">
        <v>3</v>
      </c>
      <c r="C124" s="6" t="n">
        <v>25</v>
      </c>
      <c r="D124" s="8" t="str">
        <f aca="false">INDEX(Bases!$B$2:$B$53,B124)</f>
        <v>Teddiursa</v>
      </c>
      <c r="E124" s="8" t="str">
        <f aca="false">INDEX(Bases!$B$2:$B$53,C124)</f>
        <v>Sandshrew</v>
      </c>
      <c r="F124" s="2" t="str">
        <f aca="false">LEFT(D124,ROUNDUP(LEN(D124)/2,0))&amp;LOWER(MID(E124,ROUNDUP(LEN(E124)/2,0)+1,20))</f>
        <v>Teddihrew</v>
      </c>
      <c r="G124" s="8" t="str">
        <f aca="false">INDEX(Bases!$C$2:$C$53,B124)</f>
        <v>Normal</v>
      </c>
      <c r="H124" s="8" t="str">
        <f aca="false">IF(INDEX(Bases!$C$2:$C$53,C124)=G124,"",INDEX(Bases!$C$2:$C$53,C124))</f>
        <v>Ground</v>
      </c>
      <c r="I124" s="8" t="str">
        <f aca="false">IF(INDEX(Bases!$E$2:$E$53,B124)="","",INDEX(Bases!$E$2:$E$53,B124))</f>
        <v/>
      </c>
      <c r="J124" s="8" t="str">
        <f aca="false">IF(INDEX(Bases!$E$2:$E$53,C124)="","",INDEX(Bases!$E$2:$E$53,C124))</f>
        <v/>
      </c>
      <c r="K124" s="5"/>
      <c r="L124" s="2" t="n">
        <f aca="false">AE124+IF(SUMPRODUCT(--($AL124:$AQ124&gt;AL124))&lt;$AK124,1,0)</f>
        <v>85</v>
      </c>
      <c r="M124" s="2" t="n">
        <f aca="false">AF124+IF(SUMPRODUCT(--($AL124:$AQ124&gt;AM124))+SUMPRODUCT(--($AL124:AL124=AM124))&lt;$AK124,1,0)</f>
        <v>118</v>
      </c>
      <c r="N124" s="2" t="n">
        <f aca="false">AG124+IF(SUMPRODUCT(--($AL124:$AQ124&gt;AN124))+SUMPRODUCT(--($AL124:AM124=AN124))&lt;$AK124,1,0)</f>
        <v>114</v>
      </c>
      <c r="O124" s="2" t="n">
        <f aca="false">AH124+IF(SUMPRODUCT(--($AL124:$AQ124&gt;AO124))+SUMPRODUCT(--($AL124:AN124=AO124))&lt;$AK124,1,0)</f>
        <v>59</v>
      </c>
      <c r="P124" s="2" t="n">
        <f aca="false">AI124+IF(SUMPRODUCT(--($AL124:$AQ124&gt;AP124))+SUMPRODUCT(--($AL124:AO124=AP124))&lt;$AK124,1,0)</f>
        <v>63</v>
      </c>
      <c r="Q124" s="2" t="n">
        <f aca="false">AJ124+IF(SUMPRODUCT(--($AL124:$AQ124&gt;AQ124))+SUMPRODUCT(--($AL124:AP124=AQ124))&lt;$AK124,1,0)</f>
        <v>61</v>
      </c>
      <c r="R124" s="2" t="n">
        <f aca="false">SUM(L124:Q124)</f>
        <v>500</v>
      </c>
      <c r="S124" s="2" t="n">
        <f aca="false">Settings!$B$4*MAX(INDEX(Bases!$M$2:$M$53,B124),INDEX(Bases!$M$2:$M$53,C124))+Settings!$B$5*MIN(INDEX(Bases!$M$2:$M$53,B124),INDEX(Bases!$M$2:$M$53,C124))</f>
        <v>71</v>
      </c>
      <c r="T124" s="2" t="n">
        <f aca="false">Settings!$B$4*MAX(INDEX(Bases!$N$2:$N$53,B124),INDEX(Bases!$N$2:$N$53,C124))+Settings!$B$5*MIN(INDEX(Bases!$N$2:$N$53,B124),INDEX(Bases!$N$2:$N$53,C124))</f>
        <v>99</v>
      </c>
      <c r="U124" s="2" t="n">
        <f aca="false">Settings!$B$4*MAX(INDEX(Bases!$O$2:$O$53,B124),INDEX(Bases!$O$2:$O$53,C124))+Settings!$B$5*MIN(INDEX(Bases!$O$2:$O$53,B124),INDEX(Bases!$O$2:$O$53,C124))</f>
        <v>95.6666666666667</v>
      </c>
      <c r="V124" s="2" t="n">
        <f aca="false">Settings!$B$4*MAX(INDEX(Bases!$P$2:$P$53,B124),INDEX(Bases!$P$2:$P$53,C124))+Settings!$B$5*MIN(INDEX(Bases!$P$2:$P$53,B124),INDEX(Bases!$P$2:$P$53,C124))</f>
        <v>49.6666666666667</v>
      </c>
      <c r="W124" s="2" t="n">
        <f aca="false">Settings!$B$4*MAX(INDEX(Bases!$Q$2:$Q$53,B124),INDEX(Bases!$Q$2:$Q$53,C124))+Settings!$B$5*MIN(INDEX(Bases!$Q$2:$Q$53,B124),INDEX(Bases!$Q$2:$Q$53,C124))</f>
        <v>53.3333333333333</v>
      </c>
      <c r="X124" s="2" t="n">
        <f aca="false">Settings!$B$4*MAX(INDEX(Bases!$R$2:$R$53,B124),INDEX(Bases!$R$2:$R$53,C124))+Settings!$B$5*MIN(INDEX(Bases!$R$2:$R$53,B124),INDEX(Bases!$R$2:$R$53,C124))</f>
        <v>51.3333333333333</v>
      </c>
      <c r="Y124" s="2" t="n">
        <f aca="false">S124*Settings!$B$3/SUM(S124:X124)</f>
        <v>84.5238095238095</v>
      </c>
      <c r="Z124" s="2" t="n">
        <f aca="false">T124*Settings!$B$3/SUM(S124:X124)</f>
        <v>117.857142857143</v>
      </c>
      <c r="AA124" s="2" t="n">
        <f aca="false">U124*Settings!$B$3/SUM(S124:X124)</f>
        <v>113.888888888889</v>
      </c>
      <c r="AB124" s="2" t="n">
        <f aca="false">V124*Settings!$B$3/SUM(S124:X124)</f>
        <v>59.1269841269841</v>
      </c>
      <c r="AC124" s="2" t="n">
        <f aca="false">W124*Settings!$B$3/SUM(S124:X124)</f>
        <v>63.4920634920635</v>
      </c>
      <c r="AD124" s="2" t="n">
        <f aca="false">X124*Settings!$B$3/SUM(S124:X124)</f>
        <v>61.1111111111111</v>
      </c>
      <c r="AE124" s="2" t="n">
        <f aca="false">INT(Y124)</f>
        <v>84</v>
      </c>
      <c r="AF124" s="2" t="n">
        <f aca="false">INT(Z124)</f>
        <v>117</v>
      </c>
      <c r="AG124" s="2" t="n">
        <f aca="false">INT(AA124)</f>
        <v>113</v>
      </c>
      <c r="AH124" s="2" t="n">
        <f aca="false">INT(AB124)</f>
        <v>59</v>
      </c>
      <c r="AI124" s="2" t="n">
        <f aca="false">INT(AC124)</f>
        <v>63</v>
      </c>
      <c r="AJ124" s="2" t="n">
        <f aca="false">INT(AD124)</f>
        <v>61</v>
      </c>
      <c r="AK124" s="2" t="n">
        <f aca="false">Settings!$B$3-SUM(AE124:AJ124)</f>
        <v>3</v>
      </c>
      <c r="AL124" s="2" t="n">
        <f aca="false">ROUND(Y124-AE124,9)</f>
        <v>0.523809524</v>
      </c>
      <c r="AM124" s="2" t="n">
        <f aca="false">ROUND(Z124-AF124,9)</f>
        <v>0.857142857</v>
      </c>
      <c r="AN124" s="2" t="n">
        <f aca="false">ROUND(AA124-AG124,9)</f>
        <v>0.888888889</v>
      </c>
      <c r="AO124" s="2" t="n">
        <f aca="false">ROUND(AB124-AH124,9)</f>
        <v>0.126984127</v>
      </c>
      <c r="AP124" s="2" t="n">
        <f aca="false">ROUND(AC124-AI124,9)</f>
        <v>0.492063492</v>
      </c>
      <c r="AQ124" s="2" t="n">
        <f aca="false">ROUND(AD124-AJ124,9)</f>
        <v>0.111111111</v>
      </c>
    </row>
    <row r="125" customFormat="false" ht="15" hidden="false" customHeight="false" outlineLevel="0" collapsed="false">
      <c r="A125" s="2" t="n">
        <v>124</v>
      </c>
      <c r="B125" s="6" t="n">
        <v>3</v>
      </c>
      <c r="C125" s="6" t="n">
        <v>26</v>
      </c>
      <c r="D125" s="8" t="str">
        <f aca="false">INDEX(Bases!$B$2:$B$53,B125)</f>
        <v>Teddiursa</v>
      </c>
      <c r="E125" s="8" t="str">
        <f aca="false">INDEX(Bases!$B$2:$B$53,C125)</f>
        <v>Phanpy</v>
      </c>
      <c r="F125" s="2" t="str">
        <f aca="false">LEFT(D125,ROUNDUP(LEN(D125)/2,0))&amp;LOWER(MID(E125,ROUNDUP(LEN(E125)/2,0)+1,20))</f>
        <v>Teddinpy</v>
      </c>
      <c r="G125" s="8" t="str">
        <f aca="false">INDEX(Bases!$C$2:$C$53,B125)</f>
        <v>Normal</v>
      </c>
      <c r="H125" s="8" t="str">
        <f aca="false">IF(INDEX(Bases!$C$2:$C$53,C125)=G125,"",INDEX(Bases!$C$2:$C$53,C125))</f>
        <v>Ground</v>
      </c>
      <c r="I125" s="8" t="str">
        <f aca="false">IF(INDEX(Bases!$E$2:$E$53,B125)="","",INDEX(Bases!$E$2:$E$53,B125))</f>
        <v/>
      </c>
      <c r="J125" s="8" t="str">
        <f aca="false">IF(INDEX(Bases!$E$2:$E$53,C125)="","",INDEX(Bases!$E$2:$E$53,C125))</f>
        <v/>
      </c>
      <c r="K125" s="5"/>
      <c r="L125" s="2" t="n">
        <f aca="false">AE125+IF(SUMPRODUCT(--($AL125:$AQ125&gt;AL125))&lt;$AK125,1,0)</f>
        <v>117</v>
      </c>
      <c r="M125" s="2" t="n">
        <f aca="false">AF125+IF(SUMPRODUCT(--($AL125:$AQ125&gt;AM125))+SUMPRODUCT(--($AL125:AL125=AM125))&lt;$AK125,1,0)</f>
        <v>107</v>
      </c>
      <c r="N125" s="2" t="n">
        <f aca="false">AG125+IF(SUMPRODUCT(--($AL125:$AQ125&gt;AN125))+SUMPRODUCT(--($AL125:AM125=AN125))&lt;$AK125,1,0)</f>
        <v>83</v>
      </c>
      <c r="O125" s="2" t="n">
        <f aca="false">AH125+IF(SUMPRODUCT(--($AL125:$AQ125&gt;AO125))+SUMPRODUCT(--($AL125:AN125=AO125))&lt;$AK125,1,0)</f>
        <v>68</v>
      </c>
      <c r="P125" s="2" t="n">
        <f aca="false">AI125+IF(SUMPRODUCT(--($AL125:$AQ125&gt;AP125))+SUMPRODUCT(--($AL125:AO125=AP125))&lt;$AK125,1,0)</f>
        <v>67</v>
      </c>
      <c r="Q125" s="2" t="n">
        <f aca="false">AJ125+IF(SUMPRODUCT(--($AL125:$AQ125&gt;AQ125))+SUMPRODUCT(--($AL125:AP125=AQ125))&lt;$AK125,1,0)</f>
        <v>58</v>
      </c>
      <c r="R125" s="2" t="n">
        <f aca="false">SUM(L125:Q125)</f>
        <v>500</v>
      </c>
      <c r="S125" s="2" t="n">
        <f aca="false">Settings!$B$4*MAX(INDEX(Bases!$M$2:$M$53,B125),INDEX(Bases!$M$2:$M$53,C125))+Settings!$B$5*MIN(INDEX(Bases!$M$2:$M$53,B125),INDEX(Bases!$M$2:$M$53,C125))</f>
        <v>97</v>
      </c>
      <c r="T125" s="2" t="n">
        <f aca="false">Settings!$B$4*MAX(INDEX(Bases!$N$2:$N$53,B125),INDEX(Bases!$N$2:$N$53,C125))+Settings!$B$5*MIN(INDEX(Bases!$N$2:$N$53,B125),INDEX(Bases!$N$2:$N$53,C125))</f>
        <v>89</v>
      </c>
      <c r="U125" s="2" t="n">
        <f aca="false">Settings!$B$4*MAX(INDEX(Bases!$O$2:$O$53,B125),INDEX(Bases!$O$2:$O$53,C125))+Settings!$B$5*MIN(INDEX(Bases!$O$2:$O$53,B125),INDEX(Bases!$O$2:$O$53,C125))</f>
        <v>69</v>
      </c>
      <c r="V125" s="2" t="n">
        <f aca="false">Settings!$B$4*MAX(INDEX(Bases!$P$2:$P$53,B125),INDEX(Bases!$P$2:$P$53,C125))+Settings!$B$5*MIN(INDEX(Bases!$P$2:$P$53,B125),INDEX(Bases!$P$2:$P$53,C125))</f>
        <v>57</v>
      </c>
      <c r="W125" s="2" t="n">
        <f aca="false">Settings!$B$4*MAX(INDEX(Bases!$Q$2:$Q$53,B125),INDEX(Bases!$Q$2:$Q$53,C125))+Settings!$B$5*MIN(INDEX(Bases!$Q$2:$Q$53,B125),INDEX(Bases!$Q$2:$Q$53,C125))</f>
        <v>56</v>
      </c>
      <c r="X125" s="2" t="n">
        <f aca="false">Settings!$B$4*MAX(INDEX(Bases!$R$2:$R$53,B125),INDEX(Bases!$R$2:$R$53,C125))+Settings!$B$5*MIN(INDEX(Bases!$R$2:$R$53,B125),INDEX(Bases!$R$2:$R$53,C125))</f>
        <v>48</v>
      </c>
      <c r="Y125" s="2" t="n">
        <f aca="false">S125*Settings!$B$3/SUM(S125:X125)</f>
        <v>116.586538461538</v>
      </c>
      <c r="Z125" s="2" t="n">
        <f aca="false">T125*Settings!$B$3/SUM(S125:X125)</f>
        <v>106.971153846154</v>
      </c>
      <c r="AA125" s="2" t="n">
        <f aca="false">U125*Settings!$B$3/SUM(S125:X125)</f>
        <v>82.9326923076923</v>
      </c>
      <c r="AB125" s="2" t="n">
        <f aca="false">V125*Settings!$B$3/SUM(S125:X125)</f>
        <v>68.5096153846154</v>
      </c>
      <c r="AC125" s="2" t="n">
        <f aca="false">W125*Settings!$B$3/SUM(S125:X125)</f>
        <v>67.3076923076923</v>
      </c>
      <c r="AD125" s="2" t="n">
        <f aca="false">X125*Settings!$B$3/SUM(S125:X125)</f>
        <v>57.6923076923077</v>
      </c>
      <c r="AE125" s="2" t="n">
        <f aca="false">INT(Y125)</f>
        <v>116</v>
      </c>
      <c r="AF125" s="2" t="n">
        <f aca="false">INT(Z125)</f>
        <v>106</v>
      </c>
      <c r="AG125" s="2" t="n">
        <f aca="false">INT(AA125)</f>
        <v>82</v>
      </c>
      <c r="AH125" s="2" t="n">
        <f aca="false">INT(AB125)</f>
        <v>68</v>
      </c>
      <c r="AI125" s="2" t="n">
        <f aca="false">INT(AC125)</f>
        <v>67</v>
      </c>
      <c r="AJ125" s="2" t="n">
        <f aca="false">INT(AD125)</f>
        <v>57</v>
      </c>
      <c r="AK125" s="2" t="n">
        <f aca="false">Settings!$B$3-SUM(AE125:AJ125)</f>
        <v>4</v>
      </c>
      <c r="AL125" s="2" t="n">
        <f aca="false">ROUND(Y125-AE125,9)</f>
        <v>0.586538462</v>
      </c>
      <c r="AM125" s="2" t="n">
        <f aca="false">ROUND(Z125-AF125,9)</f>
        <v>0.971153846</v>
      </c>
      <c r="AN125" s="2" t="n">
        <f aca="false">ROUND(AA125-AG125,9)</f>
        <v>0.932692308</v>
      </c>
      <c r="AO125" s="2" t="n">
        <f aca="false">ROUND(AB125-AH125,9)</f>
        <v>0.509615385</v>
      </c>
      <c r="AP125" s="2" t="n">
        <f aca="false">ROUND(AC125-AI125,9)</f>
        <v>0.307692308</v>
      </c>
      <c r="AQ125" s="2" t="n">
        <f aca="false">ROUND(AD125-AJ125,9)</f>
        <v>0.692307692</v>
      </c>
    </row>
    <row r="126" customFormat="false" ht="15" hidden="false" customHeight="false" outlineLevel="0" collapsed="false">
      <c r="A126" s="2" t="n">
        <v>125</v>
      </c>
      <c r="B126" s="6" t="n">
        <v>3</v>
      </c>
      <c r="C126" s="6" t="n">
        <v>27</v>
      </c>
      <c r="D126" s="8" t="str">
        <f aca="false">INDEX(Bases!$B$2:$B$53,B126)</f>
        <v>Teddiursa</v>
      </c>
      <c r="E126" s="8" t="str">
        <f aca="false">INDEX(Bases!$B$2:$B$53,C126)</f>
        <v>Baltoy</v>
      </c>
      <c r="F126" s="2" t="str">
        <f aca="false">LEFT(D126,ROUNDUP(LEN(D126)/2,0))&amp;LOWER(MID(E126,ROUNDUP(LEN(E126)/2,0)+1,20))</f>
        <v>Tedditoy</v>
      </c>
      <c r="G126" s="8" t="str">
        <f aca="false">INDEX(Bases!$C$2:$C$53,B126)</f>
        <v>Normal</v>
      </c>
      <c r="H126" s="8" t="str">
        <f aca="false">IF(INDEX(Bases!$C$2:$C$53,C126)=G126,"",INDEX(Bases!$C$2:$C$53,C126))</f>
        <v>Ground</v>
      </c>
      <c r="I126" s="8" t="str">
        <f aca="false">IF(INDEX(Bases!$E$2:$E$53,B126)="","",INDEX(Bases!$E$2:$E$53,B126))</f>
        <v/>
      </c>
      <c r="J126" s="8" t="str">
        <f aca="false">IF(INDEX(Bases!$E$2:$E$53,C126)="","",INDEX(Bases!$E$2:$E$53,C126))</f>
        <v/>
      </c>
      <c r="K126" s="5"/>
      <c r="L126" s="2" t="n">
        <f aca="false">AE126+IF(SUMPRODUCT(--($AL126:$AQ126&gt;AL126))&lt;$AK126,1,0)</f>
        <v>79</v>
      </c>
      <c r="M126" s="2" t="n">
        <f aca="false">AF126+IF(SUMPRODUCT(--($AL126:$AQ126&gt;AM126))+SUMPRODUCT(--($AL126:AL126=AM126))&lt;$AK126,1,0)</f>
        <v>98</v>
      </c>
      <c r="N126" s="2" t="n">
        <f aca="false">AG126+IF(SUMPRODUCT(--($AL126:$AQ126&gt;AN126))+SUMPRODUCT(--($AL126:AM126=AN126))&lt;$AK126,1,0)</f>
        <v>81</v>
      </c>
      <c r="O126" s="2" t="n">
        <f aca="false">AH126+IF(SUMPRODUCT(--($AL126:$AQ126&gt;AO126))+SUMPRODUCT(--($AL126:AN126=AO126))&lt;$AK126,1,0)</f>
        <v>69</v>
      </c>
      <c r="P126" s="2" t="n">
        <f aca="false">AI126+IF(SUMPRODUCT(--($AL126:$AQ126&gt;AP126))+SUMPRODUCT(--($AL126:AO126=AP126))&lt;$AK126,1,0)</f>
        <v>97</v>
      </c>
      <c r="Q126" s="2" t="n">
        <f aca="false">AJ126+IF(SUMPRODUCT(--($AL126:$AQ126&gt;AQ126))+SUMPRODUCT(--($AL126:AP126=AQ126))&lt;$AK126,1,0)</f>
        <v>76</v>
      </c>
      <c r="R126" s="2" t="n">
        <f aca="false">SUM(L126:Q126)</f>
        <v>500</v>
      </c>
      <c r="S126" s="2" t="n">
        <f aca="false">Settings!$B$4*MAX(INDEX(Bases!$M$2:$M$53,B126),INDEX(Bases!$M$2:$M$53,C126))+Settings!$B$5*MIN(INDEX(Bases!$M$2:$M$53,B126),INDEX(Bases!$M$2:$M$53,C126))</f>
        <v>66.6666666666667</v>
      </c>
      <c r="T126" s="2" t="n">
        <f aca="false">Settings!$B$4*MAX(INDEX(Bases!$N$2:$N$53,B126),INDEX(Bases!$N$2:$N$53,C126))+Settings!$B$5*MIN(INDEX(Bases!$N$2:$N$53,B126),INDEX(Bases!$N$2:$N$53,C126))</f>
        <v>82.6666666666667</v>
      </c>
      <c r="U126" s="2" t="n">
        <f aca="false">Settings!$B$4*MAX(INDEX(Bases!$O$2:$O$53,B126),INDEX(Bases!$O$2:$O$53,C126))+Settings!$B$5*MIN(INDEX(Bases!$O$2:$O$53,B126),INDEX(Bases!$O$2:$O$53,C126))</f>
        <v>69</v>
      </c>
      <c r="V126" s="2" t="n">
        <f aca="false">Settings!$B$4*MAX(INDEX(Bases!$P$2:$P$53,B126),INDEX(Bases!$P$2:$P$53,C126))+Settings!$B$5*MIN(INDEX(Bases!$P$2:$P$53,B126),INDEX(Bases!$P$2:$P$53,C126))</f>
        <v>58.3333333333333</v>
      </c>
      <c r="W126" s="2" t="n">
        <f aca="false">Settings!$B$4*MAX(INDEX(Bases!$Q$2:$Q$53,B126),INDEX(Bases!$Q$2:$Q$53,C126))+Settings!$B$5*MIN(INDEX(Bases!$Q$2:$Q$53,B126),INDEX(Bases!$Q$2:$Q$53,C126))</f>
        <v>82</v>
      </c>
      <c r="X126" s="2" t="n">
        <f aca="false">Settings!$B$4*MAX(INDEX(Bases!$R$2:$R$53,B126),INDEX(Bases!$R$2:$R$53,C126))+Settings!$B$5*MIN(INDEX(Bases!$R$2:$R$53,B126),INDEX(Bases!$R$2:$R$53,C126))</f>
        <v>64.6666666666667</v>
      </c>
      <c r="Y126" s="2" t="n">
        <f aca="false">S126*Settings!$B$3/SUM(S126:X126)</f>
        <v>78.740157480315</v>
      </c>
      <c r="Z126" s="2" t="n">
        <f aca="false">T126*Settings!$B$3/SUM(S126:X126)</f>
        <v>97.6377952755906</v>
      </c>
      <c r="AA126" s="2" t="n">
        <f aca="false">U126*Settings!$B$3/SUM(S126:X126)</f>
        <v>81.496062992126</v>
      </c>
      <c r="AB126" s="2" t="n">
        <f aca="false">V126*Settings!$B$3/SUM(S126:X126)</f>
        <v>68.8976377952756</v>
      </c>
      <c r="AC126" s="2" t="n">
        <f aca="false">W126*Settings!$B$3/SUM(S126:X126)</f>
        <v>96.8503937007874</v>
      </c>
      <c r="AD126" s="2" t="n">
        <f aca="false">X126*Settings!$B$3/SUM(S126:X126)</f>
        <v>76.3779527559055</v>
      </c>
      <c r="AE126" s="2" t="n">
        <f aca="false">INT(Y126)</f>
        <v>78</v>
      </c>
      <c r="AF126" s="2" t="n">
        <f aca="false">INT(Z126)</f>
        <v>97</v>
      </c>
      <c r="AG126" s="2" t="n">
        <f aca="false">INT(AA126)</f>
        <v>81</v>
      </c>
      <c r="AH126" s="2" t="n">
        <f aca="false">INT(AB126)</f>
        <v>68</v>
      </c>
      <c r="AI126" s="2" t="n">
        <f aca="false">INT(AC126)</f>
        <v>96</v>
      </c>
      <c r="AJ126" s="2" t="n">
        <f aca="false">INT(AD126)</f>
        <v>76</v>
      </c>
      <c r="AK126" s="2" t="n">
        <f aca="false">Settings!$B$3-SUM(AE126:AJ126)</f>
        <v>4</v>
      </c>
      <c r="AL126" s="2" t="n">
        <f aca="false">ROUND(Y126-AE126,9)</f>
        <v>0.74015748</v>
      </c>
      <c r="AM126" s="2" t="n">
        <f aca="false">ROUND(Z126-AF126,9)</f>
        <v>0.637795276</v>
      </c>
      <c r="AN126" s="2" t="n">
        <f aca="false">ROUND(AA126-AG126,9)</f>
        <v>0.496062992</v>
      </c>
      <c r="AO126" s="2" t="n">
        <f aca="false">ROUND(AB126-AH126,9)</f>
        <v>0.897637795</v>
      </c>
      <c r="AP126" s="2" t="n">
        <f aca="false">ROUND(AC126-AI126,9)</f>
        <v>0.850393701</v>
      </c>
      <c r="AQ126" s="2" t="n">
        <f aca="false">ROUND(AD126-AJ126,9)</f>
        <v>0.377952756</v>
      </c>
    </row>
    <row r="127" customFormat="false" ht="15" hidden="false" customHeight="false" outlineLevel="0" collapsed="false">
      <c r="A127" s="2" t="n">
        <v>126</v>
      </c>
      <c r="B127" s="6" t="n">
        <v>3</v>
      </c>
      <c r="C127" s="6" t="n">
        <v>28</v>
      </c>
      <c r="D127" s="8" t="str">
        <f aca="false">INDEX(Bases!$B$2:$B$53,B127)</f>
        <v>Teddiursa</v>
      </c>
      <c r="E127" s="8" t="str">
        <f aca="false">INDEX(Bases!$B$2:$B$53,C127)</f>
        <v>Zubat</v>
      </c>
      <c r="F127" s="2" t="str">
        <f aca="false">LEFT(D127,ROUNDUP(LEN(D127)/2,0))&amp;LOWER(MID(E127,ROUNDUP(LEN(E127)/2,0)+1,20))</f>
        <v>Teddiat</v>
      </c>
      <c r="G127" s="8" t="str">
        <f aca="false">INDEX(Bases!$C$2:$C$53,B127)</f>
        <v>Normal</v>
      </c>
      <c r="H127" s="8" t="str">
        <f aca="false">IF(INDEX(Bases!$C$2:$C$53,C127)=G127,"",INDEX(Bases!$C$2:$C$53,C127))</f>
        <v>Flying</v>
      </c>
      <c r="I127" s="8" t="str">
        <f aca="false">IF(INDEX(Bases!$E$2:$E$53,B127)="","",INDEX(Bases!$E$2:$E$53,B127))</f>
        <v/>
      </c>
      <c r="J127" s="8" t="str">
        <f aca="false">IF(INDEX(Bases!$E$2:$E$53,C127)="","",INDEX(Bases!$E$2:$E$53,C127))</f>
        <v/>
      </c>
      <c r="K127" s="5"/>
      <c r="L127" s="2" t="n">
        <f aca="false">AE127+IF(SUMPRODUCT(--($AL127:$AQ127&gt;AL127))&lt;$AK127,1,0)</f>
        <v>85</v>
      </c>
      <c r="M127" s="2" t="n">
        <f aca="false">AF127+IF(SUMPRODUCT(--($AL127:$AQ127&gt;AM127))+SUMPRODUCT(--($AL127:AL127=AM127))&lt;$AK127,1,0)</f>
        <v>107</v>
      </c>
      <c r="N127" s="2" t="n">
        <f aca="false">AG127+IF(SUMPRODUCT(--($AL127:$AQ127&gt;AN127))+SUMPRODUCT(--($AL127:AM127=AN127))&lt;$AK127,1,0)</f>
        <v>72</v>
      </c>
      <c r="O127" s="2" t="n">
        <f aca="false">AH127+IF(SUMPRODUCT(--($AL127:$AQ127&gt;AO127))+SUMPRODUCT(--($AL127:AN127=AO127))&lt;$AK127,1,0)</f>
        <v>69</v>
      </c>
      <c r="P127" s="2" t="n">
        <f aca="false">AI127+IF(SUMPRODUCT(--($AL127:$AQ127&gt;AP127))+SUMPRODUCT(--($AL127:AO127=AP127))&lt;$AK127,1,0)</f>
        <v>76</v>
      </c>
      <c r="Q127" s="2" t="n">
        <f aca="false">AJ127+IF(SUMPRODUCT(--($AL127:$AQ127&gt;AQ127))+SUMPRODUCT(--($AL127:AP127=AQ127))&lt;$AK127,1,0)</f>
        <v>91</v>
      </c>
      <c r="R127" s="2" t="n">
        <f aca="false">SUM(L127:Q127)</f>
        <v>500</v>
      </c>
      <c r="S127" s="2" t="n">
        <f aca="false">Settings!$B$4*MAX(INDEX(Bases!$M$2:$M$53,B127),INDEX(Bases!$M$2:$M$53,C127))+Settings!$B$5*MIN(INDEX(Bases!$M$2:$M$53,B127),INDEX(Bases!$M$2:$M$53,C127))</f>
        <v>70.3333333333333</v>
      </c>
      <c r="T127" s="2" t="n">
        <f aca="false">Settings!$B$4*MAX(INDEX(Bases!$N$2:$N$53,B127),INDEX(Bases!$N$2:$N$53,C127))+Settings!$B$5*MIN(INDEX(Bases!$N$2:$N$53,B127),INDEX(Bases!$N$2:$N$53,C127))</f>
        <v>89.3333333333333</v>
      </c>
      <c r="U127" s="2" t="n">
        <f aca="false">Settings!$B$4*MAX(INDEX(Bases!$O$2:$O$53,B127),INDEX(Bases!$O$2:$O$53,C127))+Settings!$B$5*MIN(INDEX(Bases!$O$2:$O$53,B127),INDEX(Bases!$O$2:$O$53,C127))</f>
        <v>59.6666666666667</v>
      </c>
      <c r="V127" s="2" t="n">
        <f aca="false">Settings!$B$4*MAX(INDEX(Bases!$P$2:$P$53,B127),INDEX(Bases!$P$2:$P$53,C127))+Settings!$B$5*MIN(INDEX(Bases!$P$2:$P$53,B127),INDEX(Bases!$P$2:$P$53,C127))</f>
        <v>57</v>
      </c>
      <c r="W127" s="2" t="n">
        <f aca="false">Settings!$B$4*MAX(INDEX(Bases!$Q$2:$Q$53,B127),INDEX(Bases!$Q$2:$Q$53,C127))+Settings!$B$5*MIN(INDEX(Bases!$Q$2:$Q$53,B127),INDEX(Bases!$Q$2:$Q$53,C127))</f>
        <v>63.3333333333333</v>
      </c>
      <c r="X127" s="2" t="n">
        <f aca="false">Settings!$B$4*MAX(INDEX(Bases!$R$2:$R$53,B127),INDEX(Bases!$R$2:$R$53,C127))+Settings!$B$5*MIN(INDEX(Bases!$R$2:$R$53,B127),INDEX(Bases!$R$2:$R$53,C127))</f>
        <v>76</v>
      </c>
      <c r="Y127" s="2" t="n">
        <f aca="false">S127*Settings!$B$3/SUM(S127:X127)</f>
        <v>84.6030473135525</v>
      </c>
      <c r="Z127" s="2" t="n">
        <f aca="false">T127*Settings!$B$3/SUM(S127:X127)</f>
        <v>107.457898957498</v>
      </c>
      <c r="AA127" s="2" t="n">
        <f aca="false">U127*Settings!$B$3/SUM(S127:X127)</f>
        <v>71.7722534081796</v>
      </c>
      <c r="AB127" s="2" t="n">
        <f aca="false">V127*Settings!$B$3/SUM(S127:X127)</f>
        <v>68.5645549318364</v>
      </c>
      <c r="AC127" s="2" t="n">
        <f aca="false">W127*Settings!$B$3/SUM(S127:X127)</f>
        <v>76.1828388131516</v>
      </c>
      <c r="AD127" s="2" t="n">
        <f aca="false">X127*Settings!$B$3/SUM(S127:X127)</f>
        <v>91.4194065757819</v>
      </c>
      <c r="AE127" s="2" t="n">
        <f aca="false">INT(Y127)</f>
        <v>84</v>
      </c>
      <c r="AF127" s="2" t="n">
        <f aca="false">INT(Z127)</f>
        <v>107</v>
      </c>
      <c r="AG127" s="2" t="n">
        <f aca="false">INT(AA127)</f>
        <v>71</v>
      </c>
      <c r="AH127" s="2" t="n">
        <f aca="false">INT(AB127)</f>
        <v>68</v>
      </c>
      <c r="AI127" s="2" t="n">
        <f aca="false">INT(AC127)</f>
        <v>76</v>
      </c>
      <c r="AJ127" s="2" t="n">
        <f aca="false">INT(AD127)</f>
        <v>91</v>
      </c>
      <c r="AK127" s="2" t="n">
        <f aca="false">Settings!$B$3-SUM(AE127:AJ127)</f>
        <v>3</v>
      </c>
      <c r="AL127" s="2" t="n">
        <f aca="false">ROUND(Y127-AE127,9)</f>
        <v>0.603047314</v>
      </c>
      <c r="AM127" s="2" t="n">
        <f aca="false">ROUND(Z127-AF127,9)</f>
        <v>0.457898957</v>
      </c>
      <c r="AN127" s="2" t="n">
        <f aca="false">ROUND(AA127-AG127,9)</f>
        <v>0.772253408</v>
      </c>
      <c r="AO127" s="2" t="n">
        <f aca="false">ROUND(AB127-AH127,9)</f>
        <v>0.564554932</v>
      </c>
      <c r="AP127" s="2" t="n">
        <f aca="false">ROUND(AC127-AI127,9)</f>
        <v>0.182838813</v>
      </c>
      <c r="AQ127" s="2" t="n">
        <f aca="false">ROUND(AD127-AJ127,9)</f>
        <v>0.419406576</v>
      </c>
    </row>
    <row r="128" customFormat="false" ht="15" hidden="false" customHeight="false" outlineLevel="0" collapsed="false">
      <c r="A128" s="2" t="n">
        <v>127</v>
      </c>
      <c r="B128" s="6" t="n">
        <v>3</v>
      </c>
      <c r="C128" s="6" t="n">
        <v>29</v>
      </c>
      <c r="D128" s="8" t="str">
        <f aca="false">INDEX(Bases!$B$2:$B$53,B128)</f>
        <v>Teddiursa</v>
      </c>
      <c r="E128" s="8" t="str">
        <f aca="false">INDEX(Bases!$B$2:$B$53,C128)</f>
        <v>Murkrow</v>
      </c>
      <c r="F128" s="2" t="str">
        <f aca="false">LEFT(D128,ROUNDUP(LEN(D128)/2,0))&amp;LOWER(MID(E128,ROUNDUP(LEN(E128)/2,0)+1,20))</f>
        <v>Teddirow</v>
      </c>
      <c r="G128" s="8" t="str">
        <f aca="false">INDEX(Bases!$C$2:$C$53,B128)</f>
        <v>Normal</v>
      </c>
      <c r="H128" s="8" t="str">
        <f aca="false">IF(INDEX(Bases!$C$2:$C$53,C128)=G128,"",INDEX(Bases!$C$2:$C$53,C128))</f>
        <v>Flying</v>
      </c>
      <c r="I128" s="8" t="str">
        <f aca="false">IF(INDEX(Bases!$E$2:$E$53,B128)="","",INDEX(Bases!$E$2:$E$53,B128))</f>
        <v/>
      </c>
      <c r="J128" s="8" t="str">
        <f aca="false">IF(INDEX(Bases!$E$2:$E$53,C128)="","",INDEX(Bases!$E$2:$E$53,C128))</f>
        <v/>
      </c>
      <c r="K128" s="5"/>
      <c r="L128" s="2" t="n">
        <f aca="false">AE128+IF(SUMPRODUCT(--($AL128:$AQ128&gt;AL128))&lt;$AK128,1,0)</f>
        <v>81</v>
      </c>
      <c r="M128" s="2" t="n">
        <f aca="false">AF128+IF(SUMPRODUCT(--($AL128:$AQ128&gt;AM128))+SUMPRODUCT(--($AL128:AL128=AM128))&lt;$AK128,1,0)</f>
        <v>110</v>
      </c>
      <c r="N128" s="2" t="n">
        <f aca="false">AG128+IF(SUMPRODUCT(--($AL128:$AQ128&gt;AN128))+SUMPRODUCT(--($AL128:AM128=AN128))&lt;$AK128,1,0)</f>
        <v>65</v>
      </c>
      <c r="O128" s="2" t="n">
        <f aca="false">AH128+IF(SUMPRODUCT(--($AL128:$AQ128&gt;AO128))+SUMPRODUCT(--($AL128:AN128=AO128))&lt;$AK128,1,0)</f>
        <v>90</v>
      </c>
      <c r="P128" s="2" t="n">
        <f aca="false">AI128+IF(SUMPRODUCT(--($AL128:$AQ128&gt;AP128))+SUMPRODUCT(--($AL128:AO128=AP128))&lt;$AK128,1,0)</f>
        <v>64</v>
      </c>
      <c r="Q128" s="2" t="n">
        <f aca="false">AJ128+IF(SUMPRODUCT(--($AL128:$AQ128&gt;AQ128))+SUMPRODUCT(--($AL128:AP128=AQ128))&lt;$AK128,1,0)</f>
        <v>90</v>
      </c>
      <c r="R128" s="2" t="n">
        <f aca="false">SUM(L128:Q128)</f>
        <v>500</v>
      </c>
      <c r="S128" s="2" t="n">
        <f aca="false">Settings!$B$4*MAX(INDEX(Bases!$M$2:$M$53,B128),INDEX(Bases!$M$2:$M$53,C128))+Settings!$B$5*MIN(INDEX(Bases!$M$2:$M$53,B128),INDEX(Bases!$M$2:$M$53,C128))</f>
        <v>68.3333333333333</v>
      </c>
      <c r="T128" s="2" t="n">
        <f aca="false">Settings!$B$4*MAX(INDEX(Bases!$N$2:$N$53,B128),INDEX(Bases!$N$2:$N$53,C128))+Settings!$B$5*MIN(INDEX(Bases!$N$2:$N$53,B128),INDEX(Bases!$N$2:$N$53,C128))</f>
        <v>92.6666666666667</v>
      </c>
      <c r="U128" s="2" t="n">
        <f aca="false">Settings!$B$4*MAX(INDEX(Bases!$O$2:$O$53,B128),INDEX(Bases!$O$2:$O$53,C128))+Settings!$B$5*MIN(INDEX(Bases!$O$2:$O$53,B128),INDEX(Bases!$O$2:$O$53,C128))</f>
        <v>54.6666666666667</v>
      </c>
      <c r="V128" s="2" t="n">
        <f aca="false">Settings!$B$4*MAX(INDEX(Bases!$P$2:$P$53,B128),INDEX(Bases!$P$2:$P$53,C128))+Settings!$B$5*MIN(INDEX(Bases!$P$2:$P$53,B128),INDEX(Bases!$P$2:$P$53,C128))</f>
        <v>76.3333333333333</v>
      </c>
      <c r="W128" s="2" t="n">
        <f aca="false">Settings!$B$4*MAX(INDEX(Bases!$Q$2:$Q$53,B128),INDEX(Bases!$Q$2:$Q$53,C128))+Settings!$B$5*MIN(INDEX(Bases!$Q$2:$Q$53,B128),INDEX(Bases!$Q$2:$Q$53,C128))</f>
        <v>53.6666666666667</v>
      </c>
      <c r="X128" s="2" t="n">
        <f aca="false">Settings!$B$4*MAX(INDEX(Bases!$R$2:$R$53,B128),INDEX(Bases!$R$2:$R$53,C128))+Settings!$B$5*MIN(INDEX(Bases!$R$2:$R$53,B128),INDEX(Bases!$R$2:$R$53,C128))</f>
        <v>76</v>
      </c>
      <c r="Y128" s="2" t="n">
        <f aca="false">S128*Settings!$B$3/SUM(S128:X128)</f>
        <v>81.0276679841897</v>
      </c>
      <c r="Z128" s="2" t="n">
        <f aca="false">T128*Settings!$B$3/SUM(S128:X128)</f>
        <v>109.881422924901</v>
      </c>
      <c r="AA128" s="2" t="n">
        <f aca="false">U128*Settings!$B$3/SUM(S128:X128)</f>
        <v>64.8221343873518</v>
      </c>
      <c r="AB128" s="2" t="n">
        <f aca="false">V128*Settings!$B$3/SUM(S128:X128)</f>
        <v>90.5138339920949</v>
      </c>
      <c r="AC128" s="2" t="n">
        <f aca="false">W128*Settings!$B$3/SUM(S128:X128)</f>
        <v>63.6363636363636</v>
      </c>
      <c r="AD128" s="2" t="n">
        <f aca="false">X128*Settings!$B$3/SUM(S128:X128)</f>
        <v>90.1185770750988</v>
      </c>
      <c r="AE128" s="2" t="n">
        <f aca="false">INT(Y128)</f>
        <v>81</v>
      </c>
      <c r="AF128" s="2" t="n">
        <f aca="false">INT(Z128)</f>
        <v>109</v>
      </c>
      <c r="AG128" s="2" t="n">
        <f aca="false">INT(AA128)</f>
        <v>64</v>
      </c>
      <c r="AH128" s="2" t="n">
        <f aca="false">INT(AB128)</f>
        <v>90</v>
      </c>
      <c r="AI128" s="2" t="n">
        <f aca="false">INT(AC128)</f>
        <v>63</v>
      </c>
      <c r="AJ128" s="2" t="n">
        <f aca="false">INT(AD128)</f>
        <v>90</v>
      </c>
      <c r="AK128" s="2" t="n">
        <f aca="false">Settings!$B$3-SUM(AE128:AJ128)</f>
        <v>3</v>
      </c>
      <c r="AL128" s="2" t="n">
        <f aca="false">ROUND(Y128-AE128,9)</f>
        <v>0.027667984</v>
      </c>
      <c r="AM128" s="2" t="n">
        <f aca="false">ROUND(Z128-AF128,9)</f>
        <v>0.881422925</v>
      </c>
      <c r="AN128" s="2" t="n">
        <f aca="false">ROUND(AA128-AG128,9)</f>
        <v>0.822134387</v>
      </c>
      <c r="AO128" s="2" t="n">
        <f aca="false">ROUND(AB128-AH128,9)</f>
        <v>0.513833992</v>
      </c>
      <c r="AP128" s="2" t="n">
        <f aca="false">ROUND(AC128-AI128,9)</f>
        <v>0.636363636</v>
      </c>
      <c r="AQ128" s="2" t="n">
        <f aca="false">ROUND(AD128-AJ128,9)</f>
        <v>0.118577075</v>
      </c>
    </row>
    <row r="129" customFormat="false" ht="15" hidden="false" customHeight="false" outlineLevel="0" collapsed="false">
      <c r="A129" s="2" t="n">
        <v>128</v>
      </c>
      <c r="B129" s="6" t="n">
        <v>3</v>
      </c>
      <c r="C129" s="6" t="n">
        <v>30</v>
      </c>
      <c r="D129" s="8" t="str">
        <f aca="false">INDEX(Bases!$B$2:$B$53,B129)</f>
        <v>Teddiursa</v>
      </c>
      <c r="E129" s="8" t="str">
        <f aca="false">INDEX(Bases!$B$2:$B$53,C129)</f>
        <v>Swablu</v>
      </c>
      <c r="F129" s="2" t="str">
        <f aca="false">LEFT(D129,ROUNDUP(LEN(D129)/2,0))&amp;LOWER(MID(E129,ROUNDUP(LEN(E129)/2,0)+1,20))</f>
        <v>Teddiblu</v>
      </c>
      <c r="G129" s="8" t="str">
        <f aca="false">INDEX(Bases!$C$2:$C$53,B129)</f>
        <v>Normal</v>
      </c>
      <c r="H129" s="8" t="str">
        <f aca="false">IF(INDEX(Bases!$C$2:$C$53,C129)=G129,"",INDEX(Bases!$C$2:$C$53,C129))</f>
        <v>Flying</v>
      </c>
      <c r="I129" s="8" t="str">
        <f aca="false">IF(INDEX(Bases!$E$2:$E$53,B129)="","",INDEX(Bases!$E$2:$E$53,B129))</f>
        <v/>
      </c>
      <c r="J129" s="8" t="str">
        <f aca="false">IF(INDEX(Bases!$E$2:$E$53,C129)="","",INDEX(Bases!$E$2:$E$53,C129))</f>
        <v/>
      </c>
      <c r="K129" s="5"/>
      <c r="L129" s="2" t="n">
        <f aca="false">AE129+IF(SUMPRODUCT(--($AL129:$AQ129&gt;AL129))&lt;$AK129,1,0)</f>
        <v>80</v>
      </c>
      <c r="M129" s="2" t="n">
        <f aca="false">AF129+IF(SUMPRODUCT(--($AL129:$AQ129&gt;AM129))+SUMPRODUCT(--($AL129:AL129=AM129))&lt;$AK129,1,0)</f>
        <v>97</v>
      </c>
      <c r="N129" s="2" t="n">
        <f aca="false">AG129+IF(SUMPRODUCT(--($AL129:$AQ129&gt;AN129))+SUMPRODUCT(--($AL129:AM129=AN129))&lt;$AK129,1,0)</f>
        <v>85</v>
      </c>
      <c r="O129" s="2" t="n">
        <f aca="false">AH129+IF(SUMPRODUCT(--($AL129:$AQ129&gt;AO129))+SUMPRODUCT(--($AL129:AN129=AO129))&lt;$AK129,1,0)</f>
        <v>69</v>
      </c>
      <c r="P129" s="2" t="n">
        <f aca="false">AI129+IF(SUMPRODUCT(--($AL129:$AQ129&gt;AP129))+SUMPRODUCT(--($AL129:AO129=AP129))&lt;$AK129,1,0)</f>
        <v>100</v>
      </c>
      <c r="Q129" s="2" t="n">
        <f aca="false">AJ129+IF(SUMPRODUCT(--($AL129:$AQ129&gt;AQ129))+SUMPRODUCT(--($AL129:AP129=AQ129))&lt;$AK129,1,0)</f>
        <v>69</v>
      </c>
      <c r="R129" s="2" t="n">
        <f aca="false">SUM(L129:Q129)</f>
        <v>500</v>
      </c>
      <c r="S129" s="2" t="n">
        <f aca="false">Settings!$B$4*MAX(INDEX(Bases!$M$2:$M$53,B129),INDEX(Bases!$M$2:$M$53,C129))+Settings!$B$5*MIN(INDEX(Bases!$M$2:$M$53,B129),INDEX(Bases!$M$2:$M$53,C129))</f>
        <v>68</v>
      </c>
      <c r="T129" s="2" t="n">
        <f aca="false">Settings!$B$4*MAX(INDEX(Bases!$N$2:$N$53,B129),INDEX(Bases!$N$2:$N$53,C129))+Settings!$B$5*MIN(INDEX(Bases!$N$2:$N$53,B129),INDEX(Bases!$N$2:$N$53,C129))</f>
        <v>82</v>
      </c>
      <c r="U129" s="2" t="n">
        <f aca="false">Settings!$B$4*MAX(INDEX(Bases!$O$2:$O$53,B129),INDEX(Bases!$O$2:$O$53,C129))+Settings!$B$5*MIN(INDEX(Bases!$O$2:$O$53,B129),INDEX(Bases!$O$2:$O$53,C129))</f>
        <v>71.6666666666667</v>
      </c>
      <c r="V129" s="2" t="n">
        <f aca="false">Settings!$B$4*MAX(INDEX(Bases!$P$2:$P$53,B129),INDEX(Bases!$P$2:$P$53,C129))+Settings!$B$5*MIN(INDEX(Bases!$P$2:$P$53,B129),INDEX(Bases!$P$2:$P$53,C129))</f>
        <v>58</v>
      </c>
      <c r="W129" s="2" t="n">
        <f aca="false">Settings!$B$4*MAX(INDEX(Bases!$Q$2:$Q$53,B129),INDEX(Bases!$Q$2:$Q$53,C129))+Settings!$B$5*MIN(INDEX(Bases!$Q$2:$Q$53,B129),INDEX(Bases!$Q$2:$Q$53,C129))</f>
        <v>84.6666666666667</v>
      </c>
      <c r="X129" s="2" t="n">
        <f aca="false">Settings!$B$4*MAX(INDEX(Bases!$R$2:$R$53,B129),INDEX(Bases!$R$2:$R$53,C129))+Settings!$B$5*MIN(INDEX(Bases!$R$2:$R$53,B129),INDEX(Bases!$R$2:$R$53,C129))</f>
        <v>58.6666666666667</v>
      </c>
      <c r="Y129" s="2" t="n">
        <f aca="false">S129*Settings!$B$3/SUM(S129:X129)</f>
        <v>80.3782505910166</v>
      </c>
      <c r="Z129" s="2" t="n">
        <f aca="false">T129*Settings!$B$3/SUM(S129:X129)</f>
        <v>96.9267139479906</v>
      </c>
      <c r="AA129" s="2" t="n">
        <f aca="false">U129*Settings!$B$3/SUM(S129:X129)</f>
        <v>84.7123719464145</v>
      </c>
      <c r="AB129" s="2" t="n">
        <f aca="false">V129*Settings!$B$3/SUM(S129:X129)</f>
        <v>68.5579196217494</v>
      </c>
      <c r="AC129" s="2" t="n">
        <f aca="false">W129*Settings!$B$3/SUM(S129:X129)</f>
        <v>100.078802206462</v>
      </c>
      <c r="AD129" s="2" t="n">
        <f aca="false">X129*Settings!$B$3/SUM(S129:X129)</f>
        <v>69.3459416863672</v>
      </c>
      <c r="AE129" s="2" t="n">
        <f aca="false">INT(Y129)</f>
        <v>80</v>
      </c>
      <c r="AF129" s="2" t="n">
        <f aca="false">INT(Z129)</f>
        <v>96</v>
      </c>
      <c r="AG129" s="2" t="n">
        <f aca="false">INT(AA129)</f>
        <v>84</v>
      </c>
      <c r="AH129" s="2" t="n">
        <f aca="false">INT(AB129)</f>
        <v>68</v>
      </c>
      <c r="AI129" s="2" t="n">
        <f aca="false">INT(AC129)</f>
        <v>100</v>
      </c>
      <c r="AJ129" s="2" t="n">
        <f aca="false">INT(AD129)</f>
        <v>69</v>
      </c>
      <c r="AK129" s="2" t="n">
        <f aca="false">Settings!$B$3-SUM(AE129:AJ129)</f>
        <v>3</v>
      </c>
      <c r="AL129" s="2" t="n">
        <f aca="false">ROUND(Y129-AE129,9)</f>
        <v>0.378250591</v>
      </c>
      <c r="AM129" s="2" t="n">
        <f aca="false">ROUND(Z129-AF129,9)</f>
        <v>0.926713948</v>
      </c>
      <c r="AN129" s="2" t="n">
        <f aca="false">ROUND(AA129-AG129,9)</f>
        <v>0.712371946</v>
      </c>
      <c r="AO129" s="2" t="n">
        <f aca="false">ROUND(AB129-AH129,9)</f>
        <v>0.557919622</v>
      </c>
      <c r="AP129" s="2" t="n">
        <f aca="false">ROUND(AC129-AI129,9)</f>
        <v>0.078802206</v>
      </c>
      <c r="AQ129" s="2" t="n">
        <f aca="false">ROUND(AD129-AJ129,9)</f>
        <v>0.345941686</v>
      </c>
    </row>
    <row r="130" customFormat="false" ht="15" hidden="false" customHeight="false" outlineLevel="0" collapsed="false">
      <c r="A130" s="2" t="n">
        <v>129</v>
      </c>
      <c r="B130" s="6" t="n">
        <v>3</v>
      </c>
      <c r="C130" s="6" t="n">
        <v>31</v>
      </c>
      <c r="D130" s="8" t="str">
        <f aca="false">INDEX(Bases!$B$2:$B$53,B130)</f>
        <v>Teddiursa</v>
      </c>
      <c r="E130" s="8" t="str">
        <f aca="false">INDEX(Bases!$B$2:$B$53,C130)</f>
        <v>Mew</v>
      </c>
      <c r="F130" s="2" t="str">
        <f aca="false">LEFT(D130,ROUNDUP(LEN(D130)/2,0))&amp;LOWER(MID(E130,ROUNDUP(LEN(E130)/2,0)+1,20))</f>
        <v>Teddiw</v>
      </c>
      <c r="G130" s="8" t="str">
        <f aca="false">INDEX(Bases!$C$2:$C$53,B130)</f>
        <v>Normal</v>
      </c>
      <c r="H130" s="8" t="str">
        <f aca="false">IF(INDEX(Bases!$C$2:$C$53,C130)=G130,"",INDEX(Bases!$C$2:$C$53,C130))</f>
        <v>Psychic</v>
      </c>
      <c r="I130" s="8" t="str">
        <f aca="false">IF(INDEX(Bases!$E$2:$E$53,B130)="","",INDEX(Bases!$E$2:$E$53,B130))</f>
        <v/>
      </c>
      <c r="J130" s="8" t="str">
        <f aca="false">IF(INDEX(Bases!$E$2:$E$53,C130)="","",INDEX(Bases!$E$2:$E$53,C130))</f>
        <v/>
      </c>
      <c r="K130" s="5"/>
      <c r="L130" s="2" t="n">
        <f aca="false">AE130+IF(SUMPRODUCT(--($AL130:$AQ130&gt;AL130))&lt;$AK130,1,0)</f>
        <v>86</v>
      </c>
      <c r="M130" s="2" t="n">
        <f aca="false">AF130+IF(SUMPRODUCT(--($AL130:$AQ130&gt;AM130))+SUMPRODUCT(--($AL130:AL130=AM130))&lt;$AK130,1,0)</f>
        <v>105</v>
      </c>
      <c r="N130" s="2" t="n">
        <f aca="false">AG130+IF(SUMPRODUCT(--($AL130:$AQ130&gt;AN130))+SUMPRODUCT(--($AL130:AM130=AN130))&lt;$AK130,1,0)</f>
        <v>79</v>
      </c>
      <c r="O130" s="2" t="n">
        <f aca="false">AH130+IF(SUMPRODUCT(--($AL130:$AQ130&gt;AO130))+SUMPRODUCT(--($AL130:AN130=AO130))&lt;$AK130,1,0)</f>
        <v>79</v>
      </c>
      <c r="P130" s="2" t="n">
        <f aca="false">AI130+IF(SUMPRODUCT(--($AL130:$AQ130&gt;AP130))+SUMPRODUCT(--($AL130:AO130=AP130))&lt;$AK130,1,0)</f>
        <v>78</v>
      </c>
      <c r="Q130" s="2" t="n">
        <f aca="false">AJ130+IF(SUMPRODUCT(--($AL130:$AQ130&gt;AQ130))+SUMPRODUCT(--($AL130:AP130=AQ130))&lt;$AK130,1,0)</f>
        <v>73</v>
      </c>
      <c r="R130" s="2" t="n">
        <f aca="false">SUM(L130:Q130)</f>
        <v>500</v>
      </c>
      <c r="S130" s="2" t="n">
        <f aca="false">Settings!$B$4*MAX(INDEX(Bases!$M$2:$M$53,B130),INDEX(Bases!$M$2:$M$53,C130))+Settings!$B$5*MIN(INDEX(Bases!$M$2:$M$53,B130),INDEX(Bases!$M$2:$M$53,C130))</f>
        <v>71</v>
      </c>
      <c r="T130" s="2" t="n">
        <f aca="false">Settings!$B$4*MAX(INDEX(Bases!$N$2:$N$53,B130),INDEX(Bases!$N$2:$N$53,C130))+Settings!$B$5*MIN(INDEX(Bases!$N$2:$N$53,B130),INDEX(Bases!$N$2:$N$53,C130))</f>
        <v>87</v>
      </c>
      <c r="U130" s="2" t="n">
        <f aca="false">Settings!$B$4*MAX(INDEX(Bases!$O$2:$O$53,B130),INDEX(Bases!$O$2:$O$53,C130))+Settings!$B$5*MIN(INDEX(Bases!$O$2:$O$53,B130),INDEX(Bases!$O$2:$O$53,C130))</f>
        <v>65</v>
      </c>
      <c r="V130" s="2" t="n">
        <f aca="false">Settings!$B$4*MAX(INDEX(Bases!$P$2:$P$53,B130),INDEX(Bases!$P$2:$P$53,C130))+Settings!$B$5*MIN(INDEX(Bases!$P$2:$P$53,B130),INDEX(Bases!$P$2:$P$53,C130))</f>
        <v>65</v>
      </c>
      <c r="W130" s="2" t="n">
        <f aca="false">Settings!$B$4*MAX(INDEX(Bases!$Q$2:$Q$53,B130),INDEX(Bases!$Q$2:$Q$53,C130))+Settings!$B$5*MIN(INDEX(Bases!$Q$2:$Q$53,B130),INDEX(Bases!$Q$2:$Q$53,C130))</f>
        <v>64</v>
      </c>
      <c r="X130" s="2" t="n">
        <f aca="false">Settings!$B$4*MAX(INDEX(Bases!$R$2:$R$53,B130),INDEX(Bases!$R$2:$R$53,C130))+Settings!$B$5*MIN(INDEX(Bases!$R$2:$R$53,B130),INDEX(Bases!$R$2:$R$53,C130))</f>
        <v>60</v>
      </c>
      <c r="Y130" s="2" t="n">
        <f aca="false">S130*Settings!$B$3/SUM(S130:X130)</f>
        <v>86.1650485436893</v>
      </c>
      <c r="Z130" s="2" t="n">
        <f aca="false">T130*Settings!$B$3/SUM(S130:X130)</f>
        <v>105.582524271845</v>
      </c>
      <c r="AA130" s="2" t="n">
        <f aca="false">U130*Settings!$B$3/SUM(S130:X130)</f>
        <v>78.8834951456311</v>
      </c>
      <c r="AB130" s="2" t="n">
        <f aca="false">V130*Settings!$B$3/SUM(S130:X130)</f>
        <v>78.8834951456311</v>
      </c>
      <c r="AC130" s="2" t="n">
        <f aca="false">W130*Settings!$B$3/SUM(S130:X130)</f>
        <v>77.6699029126214</v>
      </c>
      <c r="AD130" s="2" t="n">
        <f aca="false">X130*Settings!$B$3/SUM(S130:X130)</f>
        <v>72.8155339805825</v>
      </c>
      <c r="AE130" s="2" t="n">
        <f aca="false">INT(Y130)</f>
        <v>86</v>
      </c>
      <c r="AF130" s="2" t="n">
        <f aca="false">INT(Z130)</f>
        <v>105</v>
      </c>
      <c r="AG130" s="2" t="n">
        <f aca="false">INT(AA130)</f>
        <v>78</v>
      </c>
      <c r="AH130" s="2" t="n">
        <f aca="false">INT(AB130)</f>
        <v>78</v>
      </c>
      <c r="AI130" s="2" t="n">
        <f aca="false">INT(AC130)</f>
        <v>77</v>
      </c>
      <c r="AJ130" s="2" t="n">
        <f aca="false">INT(AD130)</f>
        <v>72</v>
      </c>
      <c r="AK130" s="2" t="n">
        <f aca="false">Settings!$B$3-SUM(AE130:AJ130)</f>
        <v>4</v>
      </c>
      <c r="AL130" s="2" t="n">
        <f aca="false">ROUND(Y130-AE130,9)</f>
        <v>0.165048544</v>
      </c>
      <c r="AM130" s="2" t="n">
        <f aca="false">ROUND(Z130-AF130,9)</f>
        <v>0.582524272</v>
      </c>
      <c r="AN130" s="2" t="n">
        <f aca="false">ROUND(AA130-AG130,9)</f>
        <v>0.883495146</v>
      </c>
      <c r="AO130" s="2" t="n">
        <f aca="false">ROUND(AB130-AH130,9)</f>
        <v>0.883495146</v>
      </c>
      <c r="AP130" s="2" t="n">
        <f aca="false">ROUND(AC130-AI130,9)</f>
        <v>0.669902913</v>
      </c>
      <c r="AQ130" s="2" t="n">
        <f aca="false">ROUND(AD130-AJ130,9)</f>
        <v>0.815533981</v>
      </c>
    </row>
    <row r="131" customFormat="false" ht="15" hidden="false" customHeight="false" outlineLevel="0" collapsed="false">
      <c r="A131" s="2" t="n">
        <v>130</v>
      </c>
      <c r="B131" s="6" t="n">
        <v>3</v>
      </c>
      <c r="C131" s="6" t="n">
        <v>32</v>
      </c>
      <c r="D131" s="8" t="str">
        <f aca="false">INDEX(Bases!$B$2:$B$53,B131)</f>
        <v>Teddiursa</v>
      </c>
      <c r="E131" s="8" t="str">
        <f aca="false">INDEX(Bases!$B$2:$B$53,C131)</f>
        <v>Spoink</v>
      </c>
      <c r="F131" s="2" t="str">
        <f aca="false">LEFT(D131,ROUNDUP(LEN(D131)/2,0))&amp;LOWER(MID(E131,ROUNDUP(LEN(E131)/2,0)+1,20))</f>
        <v>Teddiink</v>
      </c>
      <c r="G131" s="8" t="str">
        <f aca="false">INDEX(Bases!$C$2:$C$53,B131)</f>
        <v>Normal</v>
      </c>
      <c r="H131" s="8" t="str">
        <f aca="false">IF(INDEX(Bases!$C$2:$C$53,C131)=G131,"",INDEX(Bases!$C$2:$C$53,C131))</f>
        <v>Psychic</v>
      </c>
      <c r="I131" s="8" t="str">
        <f aca="false">IF(INDEX(Bases!$E$2:$E$53,B131)="","",INDEX(Bases!$E$2:$E$53,B131))</f>
        <v/>
      </c>
      <c r="J131" s="8" t="str">
        <f aca="false">IF(INDEX(Bases!$E$2:$E$53,C131)="","",INDEX(Bases!$E$2:$E$53,C131))</f>
        <v/>
      </c>
      <c r="K131" s="5"/>
      <c r="L131" s="2" t="n">
        <f aca="false">AE131+IF(SUMPRODUCT(--($AL131:$AQ131&gt;AL131))&lt;$AK131,1,0)</f>
        <v>85</v>
      </c>
      <c r="M131" s="2" t="n">
        <f aca="false">AF131+IF(SUMPRODUCT(--($AL131:$AQ131&gt;AM131))+SUMPRODUCT(--($AL131:AL131=AM131))&lt;$AK131,1,0)</f>
        <v>87</v>
      </c>
      <c r="N131" s="2" t="n">
        <f aca="false">AG131+IF(SUMPRODUCT(--($AL131:$AQ131&gt;AN131))+SUMPRODUCT(--($AL131:AM131=AN131))&lt;$AK131,1,0)</f>
        <v>64</v>
      </c>
      <c r="O131" s="2" t="n">
        <f aca="false">AH131+IF(SUMPRODUCT(--($AL131:$AQ131&gt;AO131))+SUMPRODUCT(--($AL131:AN131=AO131))&lt;$AK131,1,0)</f>
        <v>90</v>
      </c>
      <c r="P131" s="2" t="n">
        <f aca="false">AI131+IF(SUMPRODUCT(--($AL131:$AQ131&gt;AP131))+SUMPRODUCT(--($AL131:AO131=AP131))&lt;$AK131,1,0)</f>
        <v>99</v>
      </c>
      <c r="Q131" s="2" t="n">
        <f aca="false">AJ131+IF(SUMPRODUCT(--($AL131:$AQ131&gt;AQ131))+SUMPRODUCT(--($AL131:AP131=AQ131))&lt;$AK131,1,0)</f>
        <v>75</v>
      </c>
      <c r="R131" s="2" t="n">
        <f aca="false">SUM(L131:Q131)</f>
        <v>500</v>
      </c>
      <c r="S131" s="2" t="n">
        <f aca="false">Settings!$B$4*MAX(INDEX(Bases!$M$2:$M$53,B131),INDEX(Bases!$M$2:$M$53,C131))+Settings!$B$5*MIN(INDEX(Bases!$M$2:$M$53,B131),INDEX(Bases!$M$2:$M$53,C131))</f>
        <v>73</v>
      </c>
      <c r="T131" s="2" t="n">
        <f aca="false">Settings!$B$4*MAX(INDEX(Bases!$N$2:$N$53,B131),INDEX(Bases!$N$2:$N$53,C131))+Settings!$B$5*MIN(INDEX(Bases!$N$2:$N$53,B131),INDEX(Bases!$N$2:$N$53,C131))</f>
        <v>74.6666666666667</v>
      </c>
      <c r="U131" s="2" t="n">
        <f aca="false">Settings!$B$4*MAX(INDEX(Bases!$O$2:$O$53,B131),INDEX(Bases!$O$2:$O$53,C131))+Settings!$B$5*MIN(INDEX(Bases!$O$2:$O$53,B131),INDEX(Bases!$O$2:$O$53,C131))</f>
        <v>54.6666666666667</v>
      </c>
      <c r="V131" s="2" t="n">
        <f aca="false">Settings!$B$4*MAX(INDEX(Bases!$P$2:$P$53,B131),INDEX(Bases!$P$2:$P$53,C131))+Settings!$B$5*MIN(INDEX(Bases!$P$2:$P$53,B131),INDEX(Bases!$P$2:$P$53,C131))</f>
        <v>77</v>
      </c>
      <c r="W131" s="2" t="n">
        <f aca="false">Settings!$B$4*MAX(INDEX(Bases!$Q$2:$Q$53,B131),INDEX(Bases!$Q$2:$Q$53,C131))+Settings!$B$5*MIN(INDEX(Bases!$Q$2:$Q$53,B131),INDEX(Bases!$Q$2:$Q$53,C131))</f>
        <v>84.6666666666667</v>
      </c>
      <c r="X131" s="2" t="n">
        <f aca="false">Settings!$B$4*MAX(INDEX(Bases!$R$2:$R$53,B131),INDEX(Bases!$R$2:$R$53,C131))+Settings!$B$5*MIN(INDEX(Bases!$R$2:$R$53,B131),INDEX(Bases!$R$2:$R$53,C131))</f>
        <v>64.6666666666667</v>
      </c>
      <c r="Y131" s="2" t="n">
        <f aca="false">S131*Settings!$B$3/SUM(S131:X131)</f>
        <v>85.1477449455677</v>
      </c>
      <c r="Z131" s="2" t="n">
        <f aca="false">T131*Settings!$B$3/SUM(S131:X131)</f>
        <v>87.0917573872473</v>
      </c>
      <c r="AA131" s="2" t="n">
        <f aca="false">U131*Settings!$B$3/SUM(S131:X131)</f>
        <v>63.7636080870918</v>
      </c>
      <c r="AB131" s="2" t="n">
        <f aca="false">V131*Settings!$B$3/SUM(S131:X131)</f>
        <v>89.8133748055988</v>
      </c>
      <c r="AC131" s="2" t="n">
        <f aca="false">W131*Settings!$B$3/SUM(S131:X131)</f>
        <v>98.755832037325</v>
      </c>
      <c r="AD131" s="2" t="n">
        <f aca="false">X131*Settings!$B$3/SUM(S131:X131)</f>
        <v>75.4276827371695</v>
      </c>
      <c r="AE131" s="2" t="n">
        <f aca="false">INT(Y131)</f>
        <v>85</v>
      </c>
      <c r="AF131" s="2" t="n">
        <f aca="false">INT(Z131)</f>
        <v>87</v>
      </c>
      <c r="AG131" s="2" t="n">
        <f aca="false">INT(AA131)</f>
        <v>63</v>
      </c>
      <c r="AH131" s="2" t="n">
        <f aca="false">INT(AB131)</f>
        <v>89</v>
      </c>
      <c r="AI131" s="2" t="n">
        <f aca="false">INT(AC131)</f>
        <v>98</v>
      </c>
      <c r="AJ131" s="2" t="n">
        <f aca="false">INT(AD131)</f>
        <v>75</v>
      </c>
      <c r="AK131" s="2" t="n">
        <f aca="false">Settings!$B$3-SUM(AE131:AJ131)</f>
        <v>3</v>
      </c>
      <c r="AL131" s="2" t="n">
        <f aca="false">ROUND(Y131-AE131,9)</f>
        <v>0.147744946</v>
      </c>
      <c r="AM131" s="2" t="n">
        <f aca="false">ROUND(Z131-AF131,9)</f>
        <v>0.091757387</v>
      </c>
      <c r="AN131" s="2" t="n">
        <f aca="false">ROUND(AA131-AG131,9)</f>
        <v>0.763608087</v>
      </c>
      <c r="AO131" s="2" t="n">
        <f aca="false">ROUND(AB131-AH131,9)</f>
        <v>0.813374806</v>
      </c>
      <c r="AP131" s="2" t="n">
        <f aca="false">ROUND(AC131-AI131,9)</f>
        <v>0.755832037</v>
      </c>
      <c r="AQ131" s="2" t="n">
        <f aca="false">ROUND(AD131-AJ131,9)</f>
        <v>0.427682737</v>
      </c>
    </row>
    <row r="132" customFormat="false" ht="15" hidden="false" customHeight="false" outlineLevel="0" collapsed="false">
      <c r="A132" s="2" t="n">
        <v>131</v>
      </c>
      <c r="B132" s="6" t="n">
        <v>3</v>
      </c>
      <c r="C132" s="6" t="n">
        <v>33</v>
      </c>
      <c r="D132" s="8" t="str">
        <f aca="false">INDEX(Bases!$B$2:$B$53,B132)</f>
        <v>Teddiursa</v>
      </c>
      <c r="E132" s="8" t="str">
        <f aca="false">INDEX(Bases!$B$2:$B$53,C132)</f>
        <v>Jirachi</v>
      </c>
      <c r="F132" s="2" t="str">
        <f aca="false">LEFT(D132,ROUNDUP(LEN(D132)/2,0))&amp;LOWER(MID(E132,ROUNDUP(LEN(E132)/2,0)+1,20))</f>
        <v>Teddichi</v>
      </c>
      <c r="G132" s="8" t="str">
        <f aca="false">INDEX(Bases!$C$2:$C$53,B132)</f>
        <v>Normal</v>
      </c>
      <c r="H132" s="8" t="str">
        <f aca="false">IF(INDEX(Bases!$C$2:$C$53,C132)=G132,"",INDEX(Bases!$C$2:$C$53,C132))</f>
        <v>Psychic</v>
      </c>
      <c r="I132" s="8" t="str">
        <f aca="false">IF(INDEX(Bases!$E$2:$E$53,B132)="","",INDEX(Bases!$E$2:$E$53,B132))</f>
        <v/>
      </c>
      <c r="J132" s="8" t="str">
        <f aca="false">IF(INDEX(Bases!$E$2:$E$53,C132)="","",INDEX(Bases!$E$2:$E$53,C132))</f>
        <v/>
      </c>
      <c r="K132" s="5"/>
      <c r="L132" s="2" t="n">
        <f aca="false">AE132+IF(SUMPRODUCT(--($AL132:$AQ132&gt;AL132))&lt;$AK132,1,0)</f>
        <v>86</v>
      </c>
      <c r="M132" s="2" t="n">
        <f aca="false">AF132+IF(SUMPRODUCT(--($AL132:$AQ132&gt;AM132))+SUMPRODUCT(--($AL132:AL132=AM132))&lt;$AK132,1,0)</f>
        <v>105</v>
      </c>
      <c r="N132" s="2" t="n">
        <f aca="false">AG132+IF(SUMPRODUCT(--($AL132:$AQ132&gt;AN132))+SUMPRODUCT(--($AL132:AM132=AN132))&lt;$AK132,1,0)</f>
        <v>79</v>
      </c>
      <c r="O132" s="2" t="n">
        <f aca="false">AH132+IF(SUMPRODUCT(--($AL132:$AQ132&gt;AO132))+SUMPRODUCT(--($AL132:AN132=AO132))&lt;$AK132,1,0)</f>
        <v>79</v>
      </c>
      <c r="P132" s="2" t="n">
        <f aca="false">AI132+IF(SUMPRODUCT(--($AL132:$AQ132&gt;AP132))+SUMPRODUCT(--($AL132:AO132=AP132))&lt;$AK132,1,0)</f>
        <v>78</v>
      </c>
      <c r="Q132" s="2" t="n">
        <f aca="false">AJ132+IF(SUMPRODUCT(--($AL132:$AQ132&gt;AQ132))+SUMPRODUCT(--($AL132:AP132=AQ132))&lt;$AK132,1,0)</f>
        <v>73</v>
      </c>
      <c r="R132" s="2" t="n">
        <f aca="false">SUM(L132:Q132)</f>
        <v>500</v>
      </c>
      <c r="S132" s="2" t="n">
        <f aca="false">Settings!$B$4*MAX(INDEX(Bases!$M$2:$M$53,B132),INDEX(Bases!$M$2:$M$53,C132))+Settings!$B$5*MIN(INDEX(Bases!$M$2:$M$53,B132),INDEX(Bases!$M$2:$M$53,C132))</f>
        <v>71</v>
      </c>
      <c r="T132" s="2" t="n">
        <f aca="false">Settings!$B$4*MAX(INDEX(Bases!$N$2:$N$53,B132),INDEX(Bases!$N$2:$N$53,C132))+Settings!$B$5*MIN(INDEX(Bases!$N$2:$N$53,B132),INDEX(Bases!$N$2:$N$53,C132))</f>
        <v>87</v>
      </c>
      <c r="U132" s="2" t="n">
        <f aca="false">Settings!$B$4*MAX(INDEX(Bases!$O$2:$O$53,B132),INDEX(Bases!$O$2:$O$53,C132))+Settings!$B$5*MIN(INDEX(Bases!$O$2:$O$53,B132),INDEX(Bases!$O$2:$O$53,C132))</f>
        <v>65</v>
      </c>
      <c r="V132" s="2" t="n">
        <f aca="false">Settings!$B$4*MAX(INDEX(Bases!$P$2:$P$53,B132),INDEX(Bases!$P$2:$P$53,C132))+Settings!$B$5*MIN(INDEX(Bases!$P$2:$P$53,B132),INDEX(Bases!$P$2:$P$53,C132))</f>
        <v>65</v>
      </c>
      <c r="W132" s="2" t="n">
        <f aca="false">Settings!$B$4*MAX(INDEX(Bases!$Q$2:$Q$53,B132),INDEX(Bases!$Q$2:$Q$53,C132))+Settings!$B$5*MIN(INDEX(Bases!$Q$2:$Q$53,B132),INDEX(Bases!$Q$2:$Q$53,C132))</f>
        <v>64</v>
      </c>
      <c r="X132" s="2" t="n">
        <f aca="false">Settings!$B$4*MAX(INDEX(Bases!$R$2:$R$53,B132),INDEX(Bases!$R$2:$R$53,C132))+Settings!$B$5*MIN(INDEX(Bases!$R$2:$R$53,B132),INDEX(Bases!$R$2:$R$53,C132))</f>
        <v>60</v>
      </c>
      <c r="Y132" s="2" t="n">
        <f aca="false">S132*Settings!$B$3/SUM(S132:X132)</f>
        <v>86.1650485436893</v>
      </c>
      <c r="Z132" s="2" t="n">
        <f aca="false">T132*Settings!$B$3/SUM(S132:X132)</f>
        <v>105.582524271845</v>
      </c>
      <c r="AA132" s="2" t="n">
        <f aca="false">U132*Settings!$B$3/SUM(S132:X132)</f>
        <v>78.8834951456311</v>
      </c>
      <c r="AB132" s="2" t="n">
        <f aca="false">V132*Settings!$B$3/SUM(S132:X132)</f>
        <v>78.8834951456311</v>
      </c>
      <c r="AC132" s="2" t="n">
        <f aca="false">W132*Settings!$B$3/SUM(S132:X132)</f>
        <v>77.6699029126214</v>
      </c>
      <c r="AD132" s="2" t="n">
        <f aca="false">X132*Settings!$B$3/SUM(S132:X132)</f>
        <v>72.8155339805825</v>
      </c>
      <c r="AE132" s="2" t="n">
        <f aca="false">INT(Y132)</f>
        <v>86</v>
      </c>
      <c r="AF132" s="2" t="n">
        <f aca="false">INT(Z132)</f>
        <v>105</v>
      </c>
      <c r="AG132" s="2" t="n">
        <f aca="false">INT(AA132)</f>
        <v>78</v>
      </c>
      <c r="AH132" s="2" t="n">
        <f aca="false">INT(AB132)</f>
        <v>78</v>
      </c>
      <c r="AI132" s="2" t="n">
        <f aca="false">INT(AC132)</f>
        <v>77</v>
      </c>
      <c r="AJ132" s="2" t="n">
        <f aca="false">INT(AD132)</f>
        <v>72</v>
      </c>
      <c r="AK132" s="2" t="n">
        <f aca="false">Settings!$B$3-SUM(AE132:AJ132)</f>
        <v>4</v>
      </c>
      <c r="AL132" s="2" t="n">
        <f aca="false">ROUND(Y132-AE132,9)</f>
        <v>0.165048544</v>
      </c>
      <c r="AM132" s="2" t="n">
        <f aca="false">ROUND(Z132-AF132,9)</f>
        <v>0.582524272</v>
      </c>
      <c r="AN132" s="2" t="n">
        <f aca="false">ROUND(AA132-AG132,9)</f>
        <v>0.883495146</v>
      </c>
      <c r="AO132" s="2" t="n">
        <f aca="false">ROUND(AB132-AH132,9)</f>
        <v>0.883495146</v>
      </c>
      <c r="AP132" s="2" t="n">
        <f aca="false">ROUND(AC132-AI132,9)</f>
        <v>0.669902913</v>
      </c>
      <c r="AQ132" s="2" t="n">
        <f aca="false">ROUND(AD132-AJ132,9)</f>
        <v>0.815533981</v>
      </c>
    </row>
    <row r="133" customFormat="false" ht="15" hidden="false" customHeight="false" outlineLevel="0" collapsed="false">
      <c r="A133" s="2" t="n">
        <v>132</v>
      </c>
      <c r="B133" s="6" t="n">
        <v>3</v>
      </c>
      <c r="C133" s="6" t="n">
        <v>34</v>
      </c>
      <c r="D133" s="8" t="str">
        <f aca="false">INDEX(Bases!$B$2:$B$53,B133)</f>
        <v>Teddiursa</v>
      </c>
      <c r="E133" s="8" t="str">
        <f aca="false">INDEX(Bases!$B$2:$B$53,C133)</f>
        <v>Paras</v>
      </c>
      <c r="F133" s="2" t="str">
        <f aca="false">LEFT(D133,ROUNDUP(LEN(D133)/2,0))&amp;LOWER(MID(E133,ROUNDUP(LEN(E133)/2,0)+1,20))</f>
        <v>Teddias</v>
      </c>
      <c r="G133" s="8" t="str">
        <f aca="false">INDEX(Bases!$C$2:$C$53,B133)</f>
        <v>Normal</v>
      </c>
      <c r="H133" s="8" t="str">
        <f aca="false">IF(INDEX(Bases!$C$2:$C$53,C133)=G133,"",INDEX(Bases!$C$2:$C$53,C133))</f>
        <v>Bug</v>
      </c>
      <c r="I133" s="8" t="str">
        <f aca="false">IF(INDEX(Bases!$E$2:$E$53,B133)="","",INDEX(Bases!$E$2:$E$53,B133))</f>
        <v/>
      </c>
      <c r="J133" s="8" t="str">
        <f aca="false">IF(INDEX(Bases!$E$2:$E$53,C133)="","",INDEX(Bases!$E$2:$E$53,C133))</f>
        <v/>
      </c>
      <c r="K133" s="5"/>
      <c r="L133" s="2" t="n">
        <f aca="false">AE133+IF(SUMPRODUCT(--($AL133:$AQ133&gt;AL133))&lt;$AK133,1,0)</f>
        <v>79</v>
      </c>
      <c r="M133" s="2" t="n">
        <f aca="false">AF133+IF(SUMPRODUCT(--($AL133:$AQ133&gt;AM133))+SUMPRODUCT(--($AL133:AL133=AM133))&lt;$AK133,1,0)</f>
        <v>119</v>
      </c>
      <c r="N133" s="2" t="n">
        <f aca="false">AG133+IF(SUMPRODUCT(--($AL133:$AQ133&gt;AN133))+SUMPRODUCT(--($AL133:AM133=AN133))&lt;$AK133,1,0)</f>
        <v>87</v>
      </c>
      <c r="O133" s="2" t="n">
        <f aca="false">AH133+IF(SUMPRODUCT(--($AL133:$AQ133&gt;AO133))+SUMPRODUCT(--($AL133:AN133=AO133))&lt;$AK133,1,0)</f>
        <v>76</v>
      </c>
      <c r="P133" s="2" t="n">
        <f aca="false">AI133+IF(SUMPRODUCT(--($AL133:$AQ133&gt;AP133))+SUMPRODUCT(--($AL133:AO133=AP133))&lt;$AK133,1,0)</f>
        <v>86</v>
      </c>
      <c r="Q133" s="2" t="n">
        <f aca="false">AJ133+IF(SUMPRODUCT(--($AL133:$AQ133&gt;AQ133))+SUMPRODUCT(--($AL133:AP133=AQ133))&lt;$AK133,1,0)</f>
        <v>53</v>
      </c>
      <c r="R133" s="2" t="n">
        <f aca="false">SUM(L133:Q133)</f>
        <v>500</v>
      </c>
      <c r="S133" s="2" t="n">
        <f aca="false">Settings!$B$4*MAX(INDEX(Bases!$M$2:$M$53,B133),INDEX(Bases!$M$2:$M$53,C133))+Settings!$B$5*MIN(INDEX(Bases!$M$2:$M$53,B133),INDEX(Bases!$M$2:$M$53,C133))</f>
        <v>65</v>
      </c>
      <c r="T133" s="2" t="n">
        <f aca="false">Settings!$B$4*MAX(INDEX(Bases!$N$2:$N$53,B133),INDEX(Bases!$N$2:$N$53,C133))+Settings!$B$5*MIN(INDEX(Bases!$N$2:$N$53,B133),INDEX(Bases!$N$2:$N$53,C133))</f>
        <v>98.3333333333333</v>
      </c>
      <c r="U133" s="2" t="n">
        <f aca="false">Settings!$B$4*MAX(INDEX(Bases!$O$2:$O$53,B133),INDEX(Bases!$O$2:$O$53,C133))+Settings!$B$5*MIN(INDEX(Bases!$O$2:$O$53,B133),INDEX(Bases!$O$2:$O$53,C133))</f>
        <v>71.6666666666667</v>
      </c>
      <c r="V133" s="2" t="n">
        <f aca="false">Settings!$B$4*MAX(INDEX(Bases!$P$2:$P$53,B133),INDEX(Bases!$P$2:$P$53,C133))+Settings!$B$5*MIN(INDEX(Bases!$P$2:$P$53,B133),INDEX(Bases!$P$2:$P$53,C133))</f>
        <v>62.3333333333333</v>
      </c>
      <c r="W133" s="2" t="n">
        <f aca="false">Settings!$B$4*MAX(INDEX(Bases!$Q$2:$Q$53,B133),INDEX(Bases!$Q$2:$Q$53,C133))+Settings!$B$5*MIN(INDEX(Bases!$Q$2:$Q$53,B133),INDEX(Bases!$Q$2:$Q$53,C133))</f>
        <v>71.3333333333333</v>
      </c>
      <c r="X133" s="2" t="n">
        <f aca="false">Settings!$B$4*MAX(INDEX(Bases!$R$2:$R$53,B133),INDEX(Bases!$R$2:$R$53,C133))+Settings!$B$5*MIN(INDEX(Bases!$R$2:$R$53,B133),INDEX(Bases!$R$2:$R$53,C133))</f>
        <v>43.6666666666667</v>
      </c>
      <c r="Y133" s="2" t="n">
        <f aca="false">S133*Settings!$B$3/SUM(S133:X133)</f>
        <v>78.8197251414713</v>
      </c>
      <c r="Z133" s="2" t="n">
        <f aca="false">T133*Settings!$B$3/SUM(S133:X133)</f>
        <v>119.240097008892</v>
      </c>
      <c r="AA133" s="2" t="n">
        <f aca="false">U133*Settings!$B$3/SUM(S133:X133)</f>
        <v>86.9037995149555</v>
      </c>
      <c r="AB133" s="2" t="n">
        <f aca="false">V133*Settings!$B$3/SUM(S133:X133)</f>
        <v>75.5860953920776</v>
      </c>
      <c r="AC133" s="2" t="n">
        <f aca="false">W133*Settings!$B$3/SUM(S133:X133)</f>
        <v>86.4995957962813</v>
      </c>
      <c r="AD133" s="2" t="n">
        <f aca="false">X133*Settings!$B$3/SUM(S133:X133)</f>
        <v>52.9506871463218</v>
      </c>
      <c r="AE133" s="2" t="n">
        <f aca="false">INT(Y133)</f>
        <v>78</v>
      </c>
      <c r="AF133" s="2" t="n">
        <f aca="false">INT(Z133)</f>
        <v>119</v>
      </c>
      <c r="AG133" s="2" t="n">
        <f aca="false">INT(AA133)</f>
        <v>86</v>
      </c>
      <c r="AH133" s="2" t="n">
        <f aca="false">INT(AB133)</f>
        <v>75</v>
      </c>
      <c r="AI133" s="2" t="n">
        <f aca="false">INT(AC133)</f>
        <v>86</v>
      </c>
      <c r="AJ133" s="2" t="n">
        <f aca="false">INT(AD133)</f>
        <v>52</v>
      </c>
      <c r="AK133" s="2" t="n">
        <f aca="false">Settings!$B$3-SUM(AE133:AJ133)</f>
        <v>4</v>
      </c>
      <c r="AL133" s="2" t="n">
        <f aca="false">ROUND(Y133-AE133,9)</f>
        <v>0.819725141</v>
      </c>
      <c r="AM133" s="2" t="n">
        <f aca="false">ROUND(Z133-AF133,9)</f>
        <v>0.240097009</v>
      </c>
      <c r="AN133" s="2" t="n">
        <f aca="false">ROUND(AA133-AG133,9)</f>
        <v>0.903799515</v>
      </c>
      <c r="AO133" s="2" t="n">
        <f aca="false">ROUND(AB133-AH133,9)</f>
        <v>0.586095392</v>
      </c>
      <c r="AP133" s="2" t="n">
        <f aca="false">ROUND(AC133-AI133,9)</f>
        <v>0.499595796</v>
      </c>
      <c r="AQ133" s="2" t="n">
        <f aca="false">ROUND(AD133-AJ133,9)</f>
        <v>0.950687146</v>
      </c>
    </row>
    <row r="134" customFormat="false" ht="15" hidden="false" customHeight="false" outlineLevel="0" collapsed="false">
      <c r="A134" s="2" t="n">
        <v>133</v>
      </c>
      <c r="B134" s="6" t="n">
        <v>3</v>
      </c>
      <c r="C134" s="6" t="n">
        <v>35</v>
      </c>
      <c r="D134" s="8" t="str">
        <f aca="false">INDEX(Bases!$B$2:$B$53,B134)</f>
        <v>Teddiursa</v>
      </c>
      <c r="E134" s="8" t="str">
        <f aca="false">INDEX(Bases!$B$2:$B$53,C134)</f>
        <v>Pineco</v>
      </c>
      <c r="F134" s="2" t="str">
        <f aca="false">LEFT(D134,ROUNDUP(LEN(D134)/2,0))&amp;LOWER(MID(E134,ROUNDUP(LEN(E134)/2,0)+1,20))</f>
        <v>Teddieco</v>
      </c>
      <c r="G134" s="8" t="str">
        <f aca="false">INDEX(Bases!$C$2:$C$53,B134)</f>
        <v>Normal</v>
      </c>
      <c r="H134" s="8" t="str">
        <f aca="false">IF(INDEX(Bases!$C$2:$C$53,C134)=G134,"",INDEX(Bases!$C$2:$C$53,C134))</f>
        <v>Bug</v>
      </c>
      <c r="I134" s="8" t="str">
        <f aca="false">IF(INDEX(Bases!$E$2:$E$53,B134)="","",INDEX(Bases!$E$2:$E$53,B134))</f>
        <v/>
      </c>
      <c r="J134" s="8" t="str">
        <f aca="false">IF(INDEX(Bases!$E$2:$E$53,C134)="","",INDEX(Bases!$E$2:$E$53,C134))</f>
        <v/>
      </c>
      <c r="K134" s="5"/>
      <c r="L134" s="2" t="n">
        <f aca="false">AE134+IF(SUMPRODUCT(--($AL134:$AQ134&gt;AL134))&lt;$AK134,1,0)</f>
        <v>85</v>
      </c>
      <c r="M134" s="2" t="n">
        <f aca="false">AF134+IF(SUMPRODUCT(--($AL134:$AQ134&gt;AM134))+SUMPRODUCT(--($AL134:AL134=AM134))&lt;$AK134,1,0)</f>
        <v>113</v>
      </c>
      <c r="N134" s="2" t="n">
        <f aca="false">AG134+IF(SUMPRODUCT(--($AL134:$AQ134&gt;AN134))+SUMPRODUCT(--($AL134:AM134=AN134))&lt;$AK134,1,0)</f>
        <v>122</v>
      </c>
      <c r="O134" s="2" t="n">
        <f aca="false">AH134+IF(SUMPRODUCT(--($AL134:$AQ134&gt;AO134))+SUMPRODUCT(--($AL134:AN134=AO134))&lt;$AK134,1,0)</f>
        <v>67</v>
      </c>
      <c r="P134" s="2" t="n">
        <f aca="false">AI134+IF(SUMPRODUCT(--($AL134:$AQ134&gt;AP134))+SUMPRODUCT(--($AL134:AO134=AP134))&lt;$AK134,1,0)</f>
        <v>67</v>
      </c>
      <c r="Q134" s="2" t="n">
        <f aca="false">AJ134+IF(SUMPRODUCT(--($AL134:$AQ134&gt;AQ134))+SUMPRODUCT(--($AL134:AP134=AQ134))&lt;$AK134,1,0)</f>
        <v>46</v>
      </c>
      <c r="R134" s="2" t="n">
        <f aca="false">SUM(L134:Q134)</f>
        <v>500</v>
      </c>
      <c r="S134" s="2" t="n">
        <f aca="false">Settings!$B$4*MAX(INDEX(Bases!$M$2:$M$53,B134),INDEX(Bases!$M$2:$M$53,C134))+Settings!$B$5*MIN(INDEX(Bases!$M$2:$M$53,B134),INDEX(Bases!$M$2:$M$53,C134))</f>
        <v>71.6666666666667</v>
      </c>
      <c r="T134" s="2" t="n">
        <f aca="false">Settings!$B$4*MAX(INDEX(Bases!$N$2:$N$53,B134),INDEX(Bases!$N$2:$N$53,C134))+Settings!$B$5*MIN(INDEX(Bases!$N$2:$N$53,B134),INDEX(Bases!$N$2:$N$53,C134))</f>
        <v>94.6666666666667</v>
      </c>
      <c r="U134" s="2" t="n">
        <f aca="false">Settings!$B$4*MAX(INDEX(Bases!$O$2:$O$53,B134),INDEX(Bases!$O$2:$O$53,C134))+Settings!$B$5*MIN(INDEX(Bases!$O$2:$O$53,B134),INDEX(Bases!$O$2:$O$53,C134))</f>
        <v>103</v>
      </c>
      <c r="V134" s="2" t="n">
        <f aca="false">Settings!$B$4*MAX(INDEX(Bases!$P$2:$P$53,B134),INDEX(Bases!$P$2:$P$53,C134))+Settings!$B$5*MIN(INDEX(Bases!$P$2:$P$53,B134),INDEX(Bases!$P$2:$P$53,C134))</f>
        <v>56.6666666666667</v>
      </c>
      <c r="W134" s="2" t="n">
        <f aca="false">Settings!$B$4*MAX(INDEX(Bases!$Q$2:$Q$53,B134),INDEX(Bases!$Q$2:$Q$53,C134))+Settings!$B$5*MIN(INDEX(Bases!$Q$2:$Q$53,B134),INDEX(Bases!$Q$2:$Q$53,C134))</f>
        <v>56</v>
      </c>
      <c r="X134" s="2" t="n">
        <f aca="false">Settings!$B$4*MAX(INDEX(Bases!$R$2:$R$53,B134),INDEX(Bases!$R$2:$R$53,C134))+Settings!$B$5*MIN(INDEX(Bases!$R$2:$R$53,B134),INDEX(Bases!$R$2:$R$53,C134))</f>
        <v>39</v>
      </c>
      <c r="Y134" s="2" t="n">
        <f aca="false">S134*Settings!$B$3/SUM(S134:X134)</f>
        <v>85.1148060174188</v>
      </c>
      <c r="Z134" s="2" t="n">
        <f aca="false">T134*Settings!$B$3/SUM(S134:X134)</f>
        <v>112.43072050673</v>
      </c>
      <c r="AA134" s="2" t="n">
        <f aca="false">U134*Settings!$B$3/SUM(S134:X134)</f>
        <v>122.327790973872</v>
      </c>
      <c r="AB134" s="2" t="n">
        <f aca="false">V134*Settings!$B$3/SUM(S134:X134)</f>
        <v>67.3000791765637</v>
      </c>
      <c r="AC134" s="2" t="n">
        <f aca="false">W134*Settings!$B$3/SUM(S134:X134)</f>
        <v>66.5083135391924</v>
      </c>
      <c r="AD134" s="2" t="n">
        <f aca="false">X134*Settings!$B$3/SUM(S134:X134)</f>
        <v>46.3182897862233</v>
      </c>
      <c r="AE134" s="2" t="n">
        <f aca="false">INT(Y134)</f>
        <v>85</v>
      </c>
      <c r="AF134" s="2" t="n">
        <f aca="false">INT(Z134)</f>
        <v>112</v>
      </c>
      <c r="AG134" s="2" t="n">
        <f aca="false">INT(AA134)</f>
        <v>122</v>
      </c>
      <c r="AH134" s="2" t="n">
        <f aca="false">INT(AB134)</f>
        <v>67</v>
      </c>
      <c r="AI134" s="2" t="n">
        <f aca="false">INT(AC134)</f>
        <v>66</v>
      </c>
      <c r="AJ134" s="2" t="n">
        <f aca="false">INT(AD134)</f>
        <v>46</v>
      </c>
      <c r="AK134" s="2" t="n">
        <f aca="false">Settings!$B$3-SUM(AE134:AJ134)</f>
        <v>2</v>
      </c>
      <c r="AL134" s="2" t="n">
        <f aca="false">ROUND(Y134-AE134,9)</f>
        <v>0.114806017</v>
      </c>
      <c r="AM134" s="2" t="n">
        <f aca="false">ROUND(Z134-AF134,9)</f>
        <v>0.430720507</v>
      </c>
      <c r="AN134" s="2" t="n">
        <f aca="false">ROUND(AA134-AG134,9)</f>
        <v>0.327790974</v>
      </c>
      <c r="AO134" s="2" t="n">
        <f aca="false">ROUND(AB134-AH134,9)</f>
        <v>0.300079177</v>
      </c>
      <c r="AP134" s="2" t="n">
        <f aca="false">ROUND(AC134-AI134,9)</f>
        <v>0.508313539</v>
      </c>
      <c r="AQ134" s="2" t="n">
        <f aca="false">ROUND(AD134-AJ134,9)</f>
        <v>0.318289786</v>
      </c>
    </row>
    <row r="135" customFormat="false" ht="15" hidden="false" customHeight="false" outlineLevel="0" collapsed="false">
      <c r="A135" s="2" t="n">
        <v>134</v>
      </c>
      <c r="B135" s="6" t="n">
        <v>3</v>
      </c>
      <c r="C135" s="6" t="n">
        <v>36</v>
      </c>
      <c r="D135" s="8" t="str">
        <f aca="false">INDEX(Bases!$B$2:$B$53,B135)</f>
        <v>Teddiursa</v>
      </c>
      <c r="E135" s="8" t="str">
        <f aca="false">INDEX(Bases!$B$2:$B$53,C135)</f>
        <v>Wurmple</v>
      </c>
      <c r="F135" s="2" t="str">
        <f aca="false">LEFT(D135,ROUNDUP(LEN(D135)/2,0))&amp;LOWER(MID(E135,ROUNDUP(LEN(E135)/2,0)+1,20))</f>
        <v>Teddiple</v>
      </c>
      <c r="G135" s="8" t="str">
        <f aca="false">INDEX(Bases!$C$2:$C$53,B135)</f>
        <v>Normal</v>
      </c>
      <c r="H135" s="8" t="str">
        <f aca="false">IF(INDEX(Bases!$C$2:$C$53,C135)=G135,"",INDEX(Bases!$C$2:$C$53,C135))</f>
        <v>Bug</v>
      </c>
      <c r="I135" s="8" t="str">
        <f aca="false">IF(INDEX(Bases!$E$2:$E$53,B135)="","",INDEX(Bases!$E$2:$E$53,B135))</f>
        <v/>
      </c>
      <c r="J135" s="8" t="str">
        <f aca="false">IF(INDEX(Bases!$E$2:$E$53,C135)="","",INDEX(Bases!$E$2:$E$53,C135))</f>
        <v/>
      </c>
      <c r="K135" s="5"/>
      <c r="L135" s="2" t="n">
        <f aca="false">AE135+IF(SUMPRODUCT(--($AL135:$AQ135&gt;AL135))&lt;$AK135,1,0)</f>
        <v>104</v>
      </c>
      <c r="M135" s="2" t="n">
        <f aca="false">AF135+IF(SUMPRODUCT(--($AL135:$AQ135&gt;AM135))+SUMPRODUCT(--($AL135:AL135=AM135))&lt;$AK135,1,0)</f>
        <v>116</v>
      </c>
      <c r="N135" s="2" t="n">
        <f aca="false">AG135+IF(SUMPRODUCT(--($AL135:$AQ135&gt;AN135))+SUMPRODUCT(--($AL135:AM135=AN135))&lt;$AK135,1,0)</f>
        <v>83</v>
      </c>
      <c r="O135" s="2" t="n">
        <f aca="false">AH135+IF(SUMPRODUCT(--($AL135:$AQ135&gt;AO135))+SUMPRODUCT(--($AL135:AN135=AO135))&lt;$AK135,1,0)</f>
        <v>66</v>
      </c>
      <c r="P135" s="2" t="n">
        <f aca="false">AI135+IF(SUMPRODUCT(--($AL135:$AQ135&gt;AP135))+SUMPRODUCT(--($AL135:AO135=AP135))&lt;$AK135,1,0)</f>
        <v>75</v>
      </c>
      <c r="Q135" s="2" t="n">
        <f aca="false">AJ135+IF(SUMPRODUCT(--($AL135:$AQ135&gt;AQ135))+SUMPRODUCT(--($AL135:AP135=AQ135))&lt;$AK135,1,0)</f>
        <v>56</v>
      </c>
      <c r="R135" s="2" t="n">
        <f aca="false">SUM(L135:Q135)</f>
        <v>500</v>
      </c>
      <c r="S135" s="2" t="n">
        <f aca="false">Settings!$B$4*MAX(INDEX(Bases!$M$2:$M$53,B135),INDEX(Bases!$M$2:$M$53,C135))+Settings!$B$5*MIN(INDEX(Bases!$M$2:$M$53,B135),INDEX(Bases!$M$2:$M$53,C135))</f>
        <v>85.6666666666667</v>
      </c>
      <c r="T135" s="2" t="n">
        <f aca="false">Settings!$B$4*MAX(INDEX(Bases!$N$2:$N$53,B135),INDEX(Bases!$N$2:$N$53,C135))+Settings!$B$5*MIN(INDEX(Bases!$N$2:$N$53,B135),INDEX(Bases!$N$2:$N$53,C135))</f>
        <v>95.3333333333333</v>
      </c>
      <c r="U135" s="2" t="n">
        <f aca="false">Settings!$B$4*MAX(INDEX(Bases!$O$2:$O$53,B135),INDEX(Bases!$O$2:$O$53,C135))+Settings!$B$5*MIN(INDEX(Bases!$O$2:$O$53,B135),INDEX(Bases!$O$2:$O$53,C135))</f>
        <v>68.3333333333333</v>
      </c>
      <c r="V135" s="2" t="n">
        <f aca="false">Settings!$B$4*MAX(INDEX(Bases!$P$2:$P$53,B135),INDEX(Bases!$P$2:$P$53,C135))+Settings!$B$5*MIN(INDEX(Bases!$P$2:$P$53,B135),INDEX(Bases!$P$2:$P$53,C135))</f>
        <v>54.3333333333333</v>
      </c>
      <c r="W135" s="2" t="n">
        <f aca="false">Settings!$B$4*MAX(INDEX(Bases!$Q$2:$Q$53,B135),INDEX(Bases!$Q$2:$Q$53,C135))+Settings!$B$5*MIN(INDEX(Bases!$Q$2:$Q$53,B135),INDEX(Bases!$Q$2:$Q$53,C135))</f>
        <v>61.3333333333333</v>
      </c>
      <c r="X135" s="2" t="n">
        <f aca="false">Settings!$B$4*MAX(INDEX(Bases!$R$2:$R$53,B135),INDEX(Bases!$R$2:$R$53,C135))+Settings!$B$5*MIN(INDEX(Bases!$R$2:$R$53,B135),INDEX(Bases!$R$2:$R$53,C135))</f>
        <v>45.6666666666667</v>
      </c>
      <c r="Y135" s="2" t="n">
        <f aca="false">S135*Settings!$B$3/SUM(S135:X135)</f>
        <v>104.301948051948</v>
      </c>
      <c r="Z135" s="2" t="n">
        <f aca="false">T135*Settings!$B$3/SUM(S135:X135)</f>
        <v>116.071428571429</v>
      </c>
      <c r="AA135" s="2" t="n">
        <f aca="false">U135*Settings!$B$3/SUM(S135:X135)</f>
        <v>83.198051948052</v>
      </c>
      <c r="AB135" s="2" t="n">
        <f aca="false">V135*Settings!$B$3/SUM(S135:X135)</f>
        <v>66.1525974025974</v>
      </c>
      <c r="AC135" s="2" t="n">
        <f aca="false">W135*Settings!$B$3/SUM(S135:X135)</f>
        <v>74.6753246753247</v>
      </c>
      <c r="AD135" s="2" t="n">
        <f aca="false">X135*Settings!$B$3/SUM(S135:X135)</f>
        <v>55.6006493506494</v>
      </c>
      <c r="AE135" s="2" t="n">
        <f aca="false">INT(Y135)</f>
        <v>104</v>
      </c>
      <c r="AF135" s="2" t="n">
        <f aca="false">INT(Z135)</f>
        <v>116</v>
      </c>
      <c r="AG135" s="2" t="n">
        <f aca="false">INT(AA135)</f>
        <v>83</v>
      </c>
      <c r="AH135" s="2" t="n">
        <f aca="false">INT(AB135)</f>
        <v>66</v>
      </c>
      <c r="AI135" s="2" t="n">
        <f aca="false">INT(AC135)</f>
        <v>74</v>
      </c>
      <c r="AJ135" s="2" t="n">
        <f aca="false">INT(AD135)</f>
        <v>55</v>
      </c>
      <c r="AK135" s="2" t="n">
        <f aca="false">Settings!$B$3-SUM(AE135:AJ135)</f>
        <v>2</v>
      </c>
      <c r="AL135" s="2" t="n">
        <f aca="false">ROUND(Y135-AE135,9)</f>
        <v>0.301948052</v>
      </c>
      <c r="AM135" s="2" t="n">
        <f aca="false">ROUND(Z135-AF135,9)</f>
        <v>0.071428571</v>
      </c>
      <c r="AN135" s="2" t="n">
        <f aca="false">ROUND(AA135-AG135,9)</f>
        <v>0.198051948</v>
      </c>
      <c r="AO135" s="2" t="n">
        <f aca="false">ROUND(AB135-AH135,9)</f>
        <v>0.152597403</v>
      </c>
      <c r="AP135" s="2" t="n">
        <f aca="false">ROUND(AC135-AI135,9)</f>
        <v>0.675324675</v>
      </c>
      <c r="AQ135" s="2" t="n">
        <f aca="false">ROUND(AD135-AJ135,9)</f>
        <v>0.600649351</v>
      </c>
    </row>
    <row r="136" customFormat="false" ht="15" hidden="false" customHeight="false" outlineLevel="0" collapsed="false">
      <c r="A136" s="2" t="n">
        <v>135</v>
      </c>
      <c r="B136" s="6" t="n">
        <v>3</v>
      </c>
      <c r="C136" s="6" t="n">
        <v>37</v>
      </c>
      <c r="D136" s="8" t="str">
        <f aca="false">INDEX(Bases!$B$2:$B$53,B136)</f>
        <v>Teddiursa</v>
      </c>
      <c r="E136" s="8" t="str">
        <f aca="false">INDEX(Bases!$B$2:$B$53,C136)</f>
        <v>Shuckle</v>
      </c>
      <c r="F136" s="2" t="str">
        <f aca="false">LEFT(D136,ROUNDUP(LEN(D136)/2,0))&amp;LOWER(MID(E136,ROUNDUP(LEN(E136)/2,0)+1,20))</f>
        <v>Teddikle</v>
      </c>
      <c r="G136" s="8" t="str">
        <f aca="false">INDEX(Bases!$C$2:$C$53,B136)</f>
        <v>Normal</v>
      </c>
      <c r="H136" s="8" t="str">
        <f aca="false">IF(INDEX(Bases!$C$2:$C$53,C136)=G136,"",INDEX(Bases!$C$2:$C$53,C136))</f>
        <v>Rock</v>
      </c>
      <c r="I136" s="8" t="str">
        <f aca="false">IF(INDEX(Bases!$E$2:$E$53,B136)="","",INDEX(Bases!$E$2:$E$53,B136))</f>
        <v/>
      </c>
      <c r="J136" s="8" t="str">
        <f aca="false">IF(INDEX(Bases!$E$2:$E$53,C136)="","",INDEX(Bases!$E$2:$E$53,C136))</f>
        <v/>
      </c>
      <c r="K136" s="5"/>
      <c r="L136" s="2" t="n">
        <f aca="false">AE136+IF(SUMPRODUCT(--($AL136:$AQ136&gt;AL136))&lt;$AK136,1,0)</f>
        <v>56</v>
      </c>
      <c r="M136" s="2" t="n">
        <f aca="false">AF136+IF(SUMPRODUCT(--($AL136:$AQ136&gt;AM136))+SUMPRODUCT(--($AL136:AL136=AM136))&lt;$AK136,1,0)</f>
        <v>70</v>
      </c>
      <c r="N136" s="2" t="n">
        <f aca="false">AG136+IF(SUMPRODUCT(--($AL136:$AQ136&gt;AN136))+SUMPRODUCT(--($AL136:AM136=AN136))&lt;$AK136,1,0)</f>
        <v>147</v>
      </c>
      <c r="O136" s="2" t="n">
        <f aca="false">AH136+IF(SUMPRODUCT(--($AL136:$AQ136&gt;AO136))+SUMPRODUCT(--($AL136:AN136=AO136))&lt;$AK136,1,0)</f>
        <v>45</v>
      </c>
      <c r="P136" s="2" t="n">
        <f aca="false">AI136+IF(SUMPRODUCT(--($AL136:$AQ136&gt;AP136))+SUMPRODUCT(--($AL136:AO136=AP136))&lt;$AK136,1,0)</f>
        <v>147</v>
      </c>
      <c r="Q136" s="2" t="n">
        <f aca="false">AJ136+IF(SUMPRODUCT(--($AL136:$AQ136&gt;AQ136))+SUMPRODUCT(--($AL136:AP136=AQ136))&lt;$AK136,1,0)</f>
        <v>35</v>
      </c>
      <c r="R136" s="2" t="n">
        <f aca="false">SUM(L136:Q136)</f>
        <v>500</v>
      </c>
      <c r="S136" s="2" t="n">
        <f aca="false">Settings!$B$4*MAX(INDEX(Bases!$M$2:$M$53,B136),INDEX(Bases!$M$2:$M$53,C136))+Settings!$B$5*MIN(INDEX(Bases!$M$2:$M$53,B136),INDEX(Bases!$M$2:$M$53,C136))</f>
        <v>54</v>
      </c>
      <c r="T136" s="2" t="n">
        <f aca="false">Settings!$B$4*MAX(INDEX(Bases!$N$2:$N$53,B136),INDEX(Bases!$N$2:$N$53,C136))+Settings!$B$5*MIN(INDEX(Bases!$N$2:$N$53,B136),INDEX(Bases!$N$2:$N$53,C136))</f>
        <v>67.3333333333333</v>
      </c>
      <c r="U136" s="2" t="n">
        <f aca="false">Settings!$B$4*MAX(INDEX(Bases!$O$2:$O$53,B136),INDEX(Bases!$O$2:$O$53,C136))+Settings!$B$5*MIN(INDEX(Bases!$O$2:$O$53,B136),INDEX(Bases!$O$2:$O$53,C136))</f>
        <v>141.666666666667</v>
      </c>
      <c r="V136" s="2" t="n">
        <f aca="false">Settings!$B$4*MAX(INDEX(Bases!$P$2:$P$53,B136),INDEX(Bases!$P$2:$P$53,C136))+Settings!$B$5*MIN(INDEX(Bases!$P$2:$P$53,B136),INDEX(Bases!$P$2:$P$53,C136))</f>
        <v>43.3333333333333</v>
      </c>
      <c r="W136" s="2" t="n">
        <f aca="false">Settings!$B$4*MAX(INDEX(Bases!$Q$2:$Q$53,B136),INDEX(Bases!$Q$2:$Q$53,C136))+Settings!$B$5*MIN(INDEX(Bases!$Q$2:$Q$53,B136),INDEX(Bases!$Q$2:$Q$53,C136))</f>
        <v>141.333333333333</v>
      </c>
      <c r="X136" s="2" t="n">
        <f aca="false">Settings!$B$4*MAX(INDEX(Bases!$R$2:$R$53,B136),INDEX(Bases!$R$2:$R$53,C136))+Settings!$B$5*MIN(INDEX(Bases!$R$2:$R$53,B136),INDEX(Bases!$R$2:$R$53,C136))</f>
        <v>33.3333333333333</v>
      </c>
      <c r="Y136" s="2" t="n">
        <f aca="false">S136*Settings!$B$3/SUM(S136:X136)</f>
        <v>56.1330561330561</v>
      </c>
      <c r="Z136" s="2" t="n">
        <f aca="false">T136*Settings!$B$3/SUM(S136:X136)</f>
        <v>69.99306999307</v>
      </c>
      <c r="AA136" s="2" t="n">
        <f aca="false">U136*Settings!$B$3/SUM(S136:X136)</f>
        <v>147.262647262647</v>
      </c>
      <c r="AB136" s="2" t="n">
        <f aca="false">V136*Settings!$B$3/SUM(S136:X136)</f>
        <v>45.045045045045</v>
      </c>
      <c r="AC136" s="2" t="n">
        <f aca="false">W136*Settings!$B$3/SUM(S136:X136)</f>
        <v>146.916146916147</v>
      </c>
      <c r="AD136" s="2" t="n">
        <f aca="false">X136*Settings!$B$3/SUM(S136:X136)</f>
        <v>34.6500346500347</v>
      </c>
      <c r="AE136" s="2" t="n">
        <f aca="false">INT(Y136)</f>
        <v>56</v>
      </c>
      <c r="AF136" s="2" t="n">
        <f aca="false">INT(Z136)</f>
        <v>69</v>
      </c>
      <c r="AG136" s="2" t="n">
        <f aca="false">INT(AA136)</f>
        <v>147</v>
      </c>
      <c r="AH136" s="2" t="n">
        <f aca="false">INT(AB136)</f>
        <v>45</v>
      </c>
      <c r="AI136" s="2" t="n">
        <f aca="false">INT(AC136)</f>
        <v>146</v>
      </c>
      <c r="AJ136" s="2" t="n">
        <f aca="false">INT(AD136)</f>
        <v>34</v>
      </c>
      <c r="AK136" s="2" t="n">
        <f aca="false">Settings!$B$3-SUM(AE136:AJ136)</f>
        <v>3</v>
      </c>
      <c r="AL136" s="2" t="n">
        <f aca="false">ROUND(Y136-AE136,9)</f>
        <v>0.133056133</v>
      </c>
      <c r="AM136" s="2" t="n">
        <f aca="false">ROUND(Z136-AF136,9)</f>
        <v>0.993069993</v>
      </c>
      <c r="AN136" s="2" t="n">
        <f aca="false">ROUND(AA136-AG136,9)</f>
        <v>0.262647263</v>
      </c>
      <c r="AO136" s="2" t="n">
        <f aca="false">ROUND(AB136-AH136,9)</f>
        <v>0.045045045</v>
      </c>
      <c r="AP136" s="2" t="n">
        <f aca="false">ROUND(AC136-AI136,9)</f>
        <v>0.916146916</v>
      </c>
      <c r="AQ136" s="2" t="n">
        <f aca="false">ROUND(AD136-AJ136,9)</f>
        <v>0.65003465</v>
      </c>
    </row>
    <row r="137" customFormat="false" ht="15" hidden="false" customHeight="false" outlineLevel="0" collapsed="false">
      <c r="A137" s="2" t="n">
        <v>136</v>
      </c>
      <c r="B137" s="6" t="n">
        <v>3</v>
      </c>
      <c r="C137" s="6" t="n">
        <v>38</v>
      </c>
      <c r="D137" s="8" t="str">
        <f aca="false">INDEX(Bases!$B$2:$B$53,B137)</f>
        <v>Teddiursa</v>
      </c>
      <c r="E137" s="8" t="str">
        <f aca="false">INDEX(Bases!$B$2:$B$53,C137)</f>
        <v>Larvitar</v>
      </c>
      <c r="F137" s="2" t="str">
        <f aca="false">LEFT(D137,ROUNDUP(LEN(D137)/2,0))&amp;LOWER(MID(E137,ROUNDUP(LEN(E137)/2,0)+1,20))</f>
        <v>Teddiitar</v>
      </c>
      <c r="G137" s="8" t="str">
        <f aca="false">INDEX(Bases!$C$2:$C$53,B137)</f>
        <v>Normal</v>
      </c>
      <c r="H137" s="8" t="str">
        <f aca="false">IF(INDEX(Bases!$C$2:$C$53,C137)=G137,"",INDEX(Bases!$C$2:$C$53,C137))</f>
        <v>Rock</v>
      </c>
      <c r="I137" s="8" t="str">
        <f aca="false">IF(INDEX(Bases!$E$2:$E$53,B137)="","",INDEX(Bases!$E$2:$E$53,B137))</f>
        <v/>
      </c>
      <c r="J137" s="8" t="str">
        <f aca="false">IF(INDEX(Bases!$E$2:$E$53,C137)="","",INDEX(Bases!$E$2:$E$53,C137))</f>
        <v/>
      </c>
      <c r="K137" s="5"/>
      <c r="L137" s="2" t="n">
        <f aca="false">AE137+IF(SUMPRODUCT(--($AL137:$AQ137&gt;AL137))&lt;$AK137,1,0)</f>
        <v>87</v>
      </c>
      <c r="M137" s="2" t="n">
        <f aca="false">AF137+IF(SUMPRODUCT(--($AL137:$AQ137&gt;AM137))+SUMPRODUCT(--($AL137:AL137=AM137))&lt;$AK137,1,0)</f>
        <v>114</v>
      </c>
      <c r="N137" s="2" t="n">
        <f aca="false">AG137+IF(SUMPRODUCT(--($AL137:$AQ137&gt;AN137))+SUMPRODUCT(--($AL137:AM137=AN137))&lt;$AK137,1,0)</f>
        <v>80</v>
      </c>
      <c r="O137" s="2" t="n">
        <f aca="false">AH137+IF(SUMPRODUCT(--($AL137:$AQ137&gt;AO137))+SUMPRODUCT(--($AL137:AN137=AO137))&lt;$AK137,1,0)</f>
        <v>75</v>
      </c>
      <c r="P137" s="2" t="n">
        <f aca="false">AI137+IF(SUMPRODUCT(--($AL137:$AQ137&gt;AP137))+SUMPRODUCT(--($AL137:AO137=AP137))&lt;$AK137,1,0)</f>
        <v>80</v>
      </c>
      <c r="Q137" s="2" t="n">
        <f aca="false">AJ137+IF(SUMPRODUCT(--($AL137:$AQ137&gt;AQ137))+SUMPRODUCT(--($AL137:AP137=AQ137))&lt;$AK137,1,0)</f>
        <v>64</v>
      </c>
      <c r="R137" s="2" t="n">
        <f aca="false">SUM(L137:Q137)</f>
        <v>500</v>
      </c>
      <c r="S137" s="2" t="n">
        <f aca="false">Settings!$B$4*MAX(INDEX(Bases!$M$2:$M$53,B137),INDEX(Bases!$M$2:$M$53,C137))+Settings!$B$5*MIN(INDEX(Bases!$M$2:$M$53,B137),INDEX(Bases!$M$2:$M$53,C137))</f>
        <v>71</v>
      </c>
      <c r="T137" s="2" t="n">
        <f aca="false">Settings!$B$4*MAX(INDEX(Bases!$N$2:$N$53,B137),INDEX(Bases!$N$2:$N$53,C137))+Settings!$B$5*MIN(INDEX(Bases!$N$2:$N$53,B137),INDEX(Bases!$N$2:$N$53,C137))</f>
        <v>93</v>
      </c>
      <c r="U137" s="2" t="n">
        <f aca="false">Settings!$B$4*MAX(INDEX(Bases!$O$2:$O$53,B137),INDEX(Bases!$O$2:$O$53,C137))+Settings!$B$5*MIN(INDEX(Bases!$O$2:$O$53,B137),INDEX(Bases!$O$2:$O$53,C137))</f>
        <v>65</v>
      </c>
      <c r="V137" s="2" t="n">
        <f aca="false">Settings!$B$4*MAX(INDEX(Bases!$P$2:$P$53,B137),INDEX(Bases!$P$2:$P$53,C137))+Settings!$B$5*MIN(INDEX(Bases!$P$2:$P$53,B137),INDEX(Bases!$P$2:$P$53,C137))</f>
        <v>60.6666666666667</v>
      </c>
      <c r="W137" s="2" t="n">
        <f aca="false">Settings!$B$4*MAX(INDEX(Bases!$Q$2:$Q$53,B137),INDEX(Bases!$Q$2:$Q$53,C137))+Settings!$B$5*MIN(INDEX(Bases!$Q$2:$Q$53,B137),INDEX(Bases!$Q$2:$Q$53,C137))</f>
        <v>64.6666666666667</v>
      </c>
      <c r="X137" s="2" t="n">
        <f aca="false">Settings!$B$4*MAX(INDEX(Bases!$R$2:$R$53,B137),INDEX(Bases!$R$2:$R$53,C137))+Settings!$B$5*MIN(INDEX(Bases!$R$2:$R$53,B137),INDEX(Bases!$R$2:$R$53,C137))</f>
        <v>52</v>
      </c>
      <c r="Y137" s="2" t="n">
        <f aca="false">S137*Settings!$B$3/SUM(S137:X137)</f>
        <v>87.3666940114848</v>
      </c>
      <c r="Z137" s="2" t="n">
        <f aca="false">T137*Settings!$B$3/SUM(S137:X137)</f>
        <v>114.438063986874</v>
      </c>
      <c r="AA137" s="2" t="n">
        <f aca="false">U137*Settings!$B$3/SUM(S137:X137)</f>
        <v>79.9835931091058</v>
      </c>
      <c r="AB137" s="2" t="n">
        <f aca="false">V137*Settings!$B$3/SUM(S137:X137)</f>
        <v>74.6513535684988</v>
      </c>
      <c r="AC137" s="2" t="n">
        <f aca="false">W137*Settings!$B$3/SUM(S137:X137)</f>
        <v>79.5734208367514</v>
      </c>
      <c r="AD137" s="2" t="n">
        <f aca="false">X137*Settings!$B$3/SUM(S137:X137)</f>
        <v>63.9868744872847</v>
      </c>
      <c r="AE137" s="2" t="n">
        <f aca="false">INT(Y137)</f>
        <v>87</v>
      </c>
      <c r="AF137" s="2" t="n">
        <f aca="false">INT(Z137)</f>
        <v>114</v>
      </c>
      <c r="AG137" s="2" t="n">
        <f aca="false">INT(AA137)</f>
        <v>79</v>
      </c>
      <c r="AH137" s="2" t="n">
        <f aca="false">INT(AB137)</f>
        <v>74</v>
      </c>
      <c r="AI137" s="2" t="n">
        <f aca="false">INT(AC137)</f>
        <v>79</v>
      </c>
      <c r="AJ137" s="2" t="n">
        <f aca="false">INT(AD137)</f>
        <v>63</v>
      </c>
      <c r="AK137" s="2" t="n">
        <f aca="false">Settings!$B$3-SUM(AE137:AJ137)</f>
        <v>4</v>
      </c>
      <c r="AL137" s="2" t="n">
        <f aca="false">ROUND(Y137-AE137,9)</f>
        <v>0.366694011</v>
      </c>
      <c r="AM137" s="2" t="n">
        <f aca="false">ROUND(Z137-AF137,9)</f>
        <v>0.438063987</v>
      </c>
      <c r="AN137" s="2" t="n">
        <f aca="false">ROUND(AA137-AG137,9)</f>
        <v>0.983593109</v>
      </c>
      <c r="AO137" s="2" t="n">
        <f aca="false">ROUND(AB137-AH137,9)</f>
        <v>0.651353568</v>
      </c>
      <c r="AP137" s="2" t="n">
        <f aca="false">ROUND(AC137-AI137,9)</f>
        <v>0.573420837</v>
      </c>
      <c r="AQ137" s="2" t="n">
        <f aca="false">ROUND(AD137-AJ137,9)</f>
        <v>0.986874487</v>
      </c>
    </row>
    <row r="138" customFormat="false" ht="15" hidden="false" customHeight="false" outlineLevel="0" collapsed="false">
      <c r="A138" s="2" t="n">
        <v>137</v>
      </c>
      <c r="B138" s="6" t="n">
        <v>3</v>
      </c>
      <c r="C138" s="6" t="n">
        <v>39</v>
      </c>
      <c r="D138" s="8" t="str">
        <f aca="false">INDEX(Bases!$B$2:$B$53,B138)</f>
        <v>Teddiursa</v>
      </c>
      <c r="E138" s="8" t="str">
        <f aca="false">INDEX(Bases!$B$2:$B$53,C138)</f>
        <v>Nosepass</v>
      </c>
      <c r="F138" s="2" t="str">
        <f aca="false">LEFT(D138,ROUNDUP(LEN(D138)/2,0))&amp;LOWER(MID(E138,ROUNDUP(LEN(E138)/2,0)+1,20))</f>
        <v>Teddipass</v>
      </c>
      <c r="G138" s="8" t="str">
        <f aca="false">INDEX(Bases!$C$2:$C$53,B138)</f>
        <v>Normal</v>
      </c>
      <c r="H138" s="8" t="str">
        <f aca="false">IF(INDEX(Bases!$C$2:$C$53,C138)=G138,"",INDEX(Bases!$C$2:$C$53,C138))</f>
        <v>Rock</v>
      </c>
      <c r="I138" s="8" t="str">
        <f aca="false">IF(INDEX(Bases!$E$2:$E$53,B138)="","",INDEX(Bases!$E$2:$E$53,B138))</f>
        <v/>
      </c>
      <c r="J138" s="8" t="str">
        <f aca="false">IF(INDEX(Bases!$E$2:$E$53,C138)="","",INDEX(Bases!$E$2:$E$53,C138))</f>
        <v/>
      </c>
      <c r="K138" s="5"/>
      <c r="L138" s="2" t="n">
        <f aca="false">AE138+IF(SUMPRODUCT(--($AL138:$AQ138&gt;AL138))&lt;$AK138,1,0)</f>
        <v>67</v>
      </c>
      <c r="M138" s="2" t="n">
        <f aca="false">AF138+IF(SUMPRODUCT(--($AL138:$AQ138&gt;AM138))+SUMPRODUCT(--($AL138:AL138=AM138))&lt;$AK138,1,0)</f>
        <v>92</v>
      </c>
      <c r="N138" s="2" t="n">
        <f aca="false">AG138+IF(SUMPRODUCT(--($AL138:$AQ138&gt;AN138))+SUMPRODUCT(--($AL138:AM138=AN138))&lt;$AK138,1,0)</f>
        <v>132</v>
      </c>
      <c r="O138" s="2" t="n">
        <f aca="false">AH138+IF(SUMPRODUCT(--($AL138:$AQ138&gt;AO138))+SUMPRODUCT(--($AL138:AN138=AO138))&lt;$AK138,1,0)</f>
        <v>64</v>
      </c>
      <c r="P138" s="2" t="n">
        <f aca="false">AI138+IF(SUMPRODUCT(--($AL138:$AQ138&gt;AP138))+SUMPRODUCT(--($AL138:AO138=AP138))&lt;$AK138,1,0)</f>
        <v>96</v>
      </c>
      <c r="Q138" s="2" t="n">
        <f aca="false">AJ138+IF(SUMPRODUCT(--($AL138:$AQ138&gt;AQ138))+SUMPRODUCT(--($AL138:AP138=AQ138))&lt;$AK138,1,0)</f>
        <v>49</v>
      </c>
      <c r="R138" s="2" t="n">
        <f aca="false">SUM(L138:Q138)</f>
        <v>500</v>
      </c>
      <c r="S138" s="2" t="n">
        <f aca="false">Settings!$B$4*MAX(INDEX(Bases!$M$2:$M$53,B138),INDEX(Bases!$M$2:$M$53,C138))+Settings!$B$5*MIN(INDEX(Bases!$M$2:$M$53,B138),INDEX(Bases!$M$2:$M$53,C138))</f>
        <v>59.3333333333333</v>
      </c>
      <c r="T138" s="2" t="n">
        <f aca="false">Settings!$B$4*MAX(INDEX(Bases!$N$2:$N$53,B138),INDEX(Bases!$N$2:$N$53,C138))+Settings!$B$5*MIN(INDEX(Bases!$N$2:$N$53,B138),INDEX(Bases!$N$2:$N$53,C138))</f>
        <v>80.6666666666667</v>
      </c>
      <c r="U138" s="2" t="n">
        <f aca="false">Settings!$B$4*MAX(INDEX(Bases!$O$2:$O$53,B138),INDEX(Bases!$O$2:$O$53,C138))+Settings!$B$5*MIN(INDEX(Bases!$O$2:$O$53,B138),INDEX(Bases!$O$2:$O$53,C138))</f>
        <v>116.333333333333</v>
      </c>
      <c r="V138" s="2" t="n">
        <f aca="false">Settings!$B$4*MAX(INDEX(Bases!$P$2:$P$53,B138),INDEX(Bases!$P$2:$P$53,C138))+Settings!$B$5*MIN(INDEX(Bases!$P$2:$P$53,B138),INDEX(Bases!$P$2:$P$53,C138))</f>
        <v>56.6666666666667</v>
      </c>
      <c r="W138" s="2" t="n">
        <f aca="false">Settings!$B$4*MAX(INDEX(Bases!$Q$2:$Q$53,B138),INDEX(Bases!$Q$2:$Q$53,C138))+Settings!$B$5*MIN(INDEX(Bases!$Q$2:$Q$53,B138),INDEX(Bases!$Q$2:$Q$53,C138))</f>
        <v>84</v>
      </c>
      <c r="X138" s="2" t="n">
        <f aca="false">Settings!$B$4*MAX(INDEX(Bases!$R$2:$R$53,B138),INDEX(Bases!$R$2:$R$53,C138))+Settings!$B$5*MIN(INDEX(Bases!$R$2:$R$53,B138),INDEX(Bases!$R$2:$R$53,C138))</f>
        <v>42.6666666666667</v>
      </c>
      <c r="Y138" s="2" t="n">
        <f aca="false">S138*Settings!$B$3/SUM(S138:X138)</f>
        <v>67.475360121304</v>
      </c>
      <c r="Z138" s="2" t="n">
        <f aca="false">T138*Settings!$B$3/SUM(S138:X138)</f>
        <v>91.7361637604246</v>
      </c>
      <c r="AA138" s="2" t="n">
        <f aca="false">U138*Settings!$B$3/SUM(S138:X138)</f>
        <v>132.297194844579</v>
      </c>
      <c r="AB138" s="2" t="n">
        <f aca="false">V138*Settings!$B$3/SUM(S138:X138)</f>
        <v>64.442759666414</v>
      </c>
      <c r="AC138" s="2" t="n">
        <f aca="false">W138*Settings!$B$3/SUM(S138:X138)</f>
        <v>95.5269143290371</v>
      </c>
      <c r="AD138" s="2" t="n">
        <f aca="false">X138*Settings!$B$3/SUM(S138:X138)</f>
        <v>48.5216072782411</v>
      </c>
      <c r="AE138" s="2" t="n">
        <f aca="false">INT(Y138)</f>
        <v>67</v>
      </c>
      <c r="AF138" s="2" t="n">
        <f aca="false">INT(Z138)</f>
        <v>91</v>
      </c>
      <c r="AG138" s="2" t="n">
        <f aca="false">INT(AA138)</f>
        <v>132</v>
      </c>
      <c r="AH138" s="2" t="n">
        <f aca="false">INT(AB138)</f>
        <v>64</v>
      </c>
      <c r="AI138" s="2" t="n">
        <f aca="false">INT(AC138)</f>
        <v>95</v>
      </c>
      <c r="AJ138" s="2" t="n">
        <f aca="false">INT(AD138)</f>
        <v>48</v>
      </c>
      <c r="AK138" s="2" t="n">
        <f aca="false">Settings!$B$3-SUM(AE138:AJ138)</f>
        <v>3</v>
      </c>
      <c r="AL138" s="2" t="n">
        <f aca="false">ROUND(Y138-AE138,9)</f>
        <v>0.475360121</v>
      </c>
      <c r="AM138" s="2" t="n">
        <f aca="false">ROUND(Z138-AF138,9)</f>
        <v>0.73616376</v>
      </c>
      <c r="AN138" s="2" t="n">
        <f aca="false">ROUND(AA138-AG138,9)</f>
        <v>0.297194845</v>
      </c>
      <c r="AO138" s="2" t="n">
        <f aca="false">ROUND(AB138-AH138,9)</f>
        <v>0.442759666</v>
      </c>
      <c r="AP138" s="2" t="n">
        <f aca="false">ROUND(AC138-AI138,9)</f>
        <v>0.526914329</v>
      </c>
      <c r="AQ138" s="2" t="n">
        <f aca="false">ROUND(AD138-AJ138,9)</f>
        <v>0.521607278</v>
      </c>
    </row>
    <row r="139" customFormat="false" ht="15" hidden="false" customHeight="false" outlineLevel="0" collapsed="false">
      <c r="A139" s="2" t="n">
        <v>138</v>
      </c>
      <c r="B139" s="6" t="n">
        <v>3</v>
      </c>
      <c r="C139" s="6" t="n">
        <v>40</v>
      </c>
      <c r="D139" s="8" t="str">
        <f aca="false">INDEX(Bases!$B$2:$B$53,B139)</f>
        <v>Teddiursa</v>
      </c>
      <c r="E139" s="8" t="str">
        <f aca="false">INDEX(Bases!$B$2:$B$53,C139)</f>
        <v>Gastly</v>
      </c>
      <c r="F139" s="2" t="str">
        <f aca="false">LEFT(D139,ROUNDUP(LEN(D139)/2,0))&amp;LOWER(MID(E139,ROUNDUP(LEN(E139)/2,0)+1,20))</f>
        <v>Tedditly</v>
      </c>
      <c r="G139" s="8" t="str">
        <f aca="false">INDEX(Bases!$C$2:$C$53,B139)</f>
        <v>Normal</v>
      </c>
      <c r="H139" s="8" t="str">
        <f aca="false">IF(INDEX(Bases!$C$2:$C$53,C139)=G139,"",INDEX(Bases!$C$2:$C$53,C139))</f>
        <v>Ghost</v>
      </c>
      <c r="I139" s="8" t="str">
        <f aca="false">IF(INDEX(Bases!$E$2:$E$53,B139)="","",INDEX(Bases!$E$2:$E$53,B139))</f>
        <v/>
      </c>
      <c r="J139" s="8" t="str">
        <f aca="false">IF(INDEX(Bases!$E$2:$E$53,C139)="","",INDEX(Bases!$E$2:$E$53,C139))</f>
        <v/>
      </c>
      <c r="K139" s="5"/>
      <c r="L139" s="2" t="n">
        <f aca="false">AE139+IF(SUMPRODUCT(--($AL139:$AQ139&gt;AL139))&lt;$AK139,1,0)</f>
        <v>70</v>
      </c>
      <c r="M139" s="2" t="n">
        <f aca="false">AF139+IF(SUMPRODUCT(--($AL139:$AQ139&gt;AM139))+SUMPRODUCT(--($AL139:AL139=AM139))&lt;$AK139,1,0)</f>
        <v>90</v>
      </c>
      <c r="N139" s="2" t="n">
        <f aca="false">AG139+IF(SUMPRODUCT(--($AL139:$AQ139&gt;AN139))+SUMPRODUCT(--($AL139:AM139=AN139))&lt;$AK139,1,0)</f>
        <v>61</v>
      </c>
      <c r="O139" s="2" t="n">
        <f aca="false">AH139+IF(SUMPRODUCT(--($AL139:$AQ139&gt;AO139))+SUMPRODUCT(--($AL139:AN139=AO139))&lt;$AK139,1,0)</f>
        <v>121</v>
      </c>
      <c r="P139" s="2" t="n">
        <f aca="false">AI139+IF(SUMPRODUCT(--($AL139:$AQ139&gt;AP139))+SUMPRODUCT(--($AL139:AO139=AP139))&lt;$AK139,1,0)</f>
        <v>62</v>
      </c>
      <c r="Q139" s="2" t="n">
        <f aca="false">AJ139+IF(SUMPRODUCT(--($AL139:$AQ139&gt;AQ139))+SUMPRODUCT(--($AL139:AP139=AQ139))&lt;$AK139,1,0)</f>
        <v>96</v>
      </c>
      <c r="R139" s="2" t="n">
        <f aca="false">SUM(L139:Q139)</f>
        <v>500</v>
      </c>
      <c r="S139" s="2" t="n">
        <f aca="false">Settings!$B$4*MAX(INDEX(Bases!$M$2:$M$53,B139),INDEX(Bases!$M$2:$M$53,C139))+Settings!$B$5*MIN(INDEX(Bases!$M$2:$M$53,B139),INDEX(Bases!$M$2:$M$53,C139))</f>
        <v>61.6666666666667</v>
      </c>
      <c r="T139" s="2" t="n">
        <f aca="false">Settings!$B$4*MAX(INDEX(Bases!$N$2:$N$53,B139),INDEX(Bases!$N$2:$N$53,C139))+Settings!$B$5*MIN(INDEX(Bases!$N$2:$N$53,B139),INDEX(Bases!$N$2:$N$53,C139))</f>
        <v>79.6666666666667</v>
      </c>
      <c r="U139" s="2" t="n">
        <f aca="false">Settings!$B$4*MAX(INDEX(Bases!$O$2:$O$53,B139),INDEX(Bases!$O$2:$O$53,C139))+Settings!$B$5*MIN(INDEX(Bases!$O$2:$O$53,B139),INDEX(Bases!$O$2:$O$53,C139))</f>
        <v>53.6666666666667</v>
      </c>
      <c r="V139" s="2" t="n">
        <f aca="false">Settings!$B$4*MAX(INDEX(Bases!$P$2:$P$53,B139),INDEX(Bases!$P$2:$P$53,C139))+Settings!$B$5*MIN(INDEX(Bases!$P$2:$P$53,B139),INDEX(Bases!$P$2:$P$53,C139))</f>
        <v>106.333333333333</v>
      </c>
      <c r="W139" s="2" t="n">
        <f aca="false">Settings!$B$4*MAX(INDEX(Bases!$Q$2:$Q$53,B139),INDEX(Bases!$Q$2:$Q$53,C139))+Settings!$B$5*MIN(INDEX(Bases!$Q$2:$Q$53,B139),INDEX(Bases!$Q$2:$Q$53,C139))</f>
        <v>55</v>
      </c>
      <c r="X139" s="2" t="n">
        <f aca="false">Settings!$B$4*MAX(INDEX(Bases!$R$2:$R$53,B139),INDEX(Bases!$R$2:$R$53,C139))+Settings!$B$5*MIN(INDEX(Bases!$R$2:$R$53,B139),INDEX(Bases!$R$2:$R$53,C139))</f>
        <v>84.6666666666667</v>
      </c>
      <c r="Y139" s="2" t="n">
        <f aca="false">S139*Settings!$B$3/SUM(S139:X139)</f>
        <v>69.9168556311414</v>
      </c>
      <c r="Z139" s="2" t="n">
        <f aca="false">T139*Settings!$B$3/SUM(S139:X139)</f>
        <v>90.3250188964475</v>
      </c>
      <c r="AA139" s="2" t="n">
        <f aca="false">U139*Settings!$B$3/SUM(S139:X139)</f>
        <v>60.8465608465608</v>
      </c>
      <c r="AB139" s="2" t="n">
        <f aca="false">V139*Settings!$B$3/SUM(S139:X139)</f>
        <v>120.559334845049</v>
      </c>
      <c r="AC139" s="2" t="n">
        <f aca="false">W139*Settings!$B$3/SUM(S139:X139)</f>
        <v>62.3582766439909</v>
      </c>
      <c r="AD139" s="2" t="n">
        <f aca="false">X139*Settings!$B$3/SUM(S139:X139)</f>
        <v>95.9939531368103</v>
      </c>
      <c r="AE139" s="2" t="n">
        <f aca="false">INT(Y139)</f>
        <v>69</v>
      </c>
      <c r="AF139" s="2" t="n">
        <f aca="false">INT(Z139)</f>
        <v>90</v>
      </c>
      <c r="AG139" s="2" t="n">
        <f aca="false">INT(AA139)</f>
        <v>60</v>
      </c>
      <c r="AH139" s="2" t="n">
        <f aca="false">INT(AB139)</f>
        <v>120</v>
      </c>
      <c r="AI139" s="2" t="n">
        <f aca="false">INT(AC139)</f>
        <v>62</v>
      </c>
      <c r="AJ139" s="2" t="n">
        <f aca="false">INT(AD139)</f>
        <v>95</v>
      </c>
      <c r="AK139" s="2" t="n">
        <f aca="false">Settings!$B$3-SUM(AE139:AJ139)</f>
        <v>4</v>
      </c>
      <c r="AL139" s="2" t="n">
        <f aca="false">ROUND(Y139-AE139,9)</f>
        <v>0.916855631</v>
      </c>
      <c r="AM139" s="2" t="n">
        <f aca="false">ROUND(Z139-AF139,9)</f>
        <v>0.325018896</v>
      </c>
      <c r="AN139" s="2" t="n">
        <f aca="false">ROUND(AA139-AG139,9)</f>
        <v>0.846560847</v>
      </c>
      <c r="AO139" s="2" t="n">
        <f aca="false">ROUND(AB139-AH139,9)</f>
        <v>0.559334845</v>
      </c>
      <c r="AP139" s="2" t="n">
        <f aca="false">ROUND(AC139-AI139,9)</f>
        <v>0.358276644</v>
      </c>
      <c r="AQ139" s="2" t="n">
        <f aca="false">ROUND(AD139-AJ139,9)</f>
        <v>0.993953137</v>
      </c>
    </row>
    <row r="140" customFormat="false" ht="15" hidden="false" customHeight="false" outlineLevel="0" collapsed="false">
      <c r="A140" s="2" t="n">
        <v>139</v>
      </c>
      <c r="B140" s="6" t="n">
        <v>3</v>
      </c>
      <c r="C140" s="6" t="n">
        <v>41</v>
      </c>
      <c r="D140" s="8" t="str">
        <f aca="false">INDEX(Bases!$B$2:$B$53,B140)</f>
        <v>Teddiursa</v>
      </c>
      <c r="E140" s="8" t="str">
        <f aca="false">INDEX(Bases!$B$2:$B$53,C140)</f>
        <v>Misdreavus</v>
      </c>
      <c r="F140" s="2" t="str">
        <f aca="false">LEFT(D140,ROUNDUP(LEN(D140)/2,0))&amp;LOWER(MID(E140,ROUNDUP(LEN(E140)/2,0)+1,20))</f>
        <v>Teddieavus</v>
      </c>
      <c r="G140" s="8" t="str">
        <f aca="false">INDEX(Bases!$C$2:$C$53,B140)</f>
        <v>Normal</v>
      </c>
      <c r="H140" s="8" t="str">
        <f aca="false">IF(INDEX(Bases!$C$2:$C$53,C140)=G140,"",INDEX(Bases!$C$2:$C$53,C140))</f>
        <v>Ghost</v>
      </c>
      <c r="I140" s="8" t="str">
        <f aca="false">IF(INDEX(Bases!$E$2:$E$53,B140)="","",INDEX(Bases!$E$2:$E$53,B140))</f>
        <v/>
      </c>
      <c r="J140" s="8" t="str">
        <f aca="false">IF(INDEX(Bases!$E$2:$E$53,C140)="","",INDEX(Bases!$E$2:$E$53,C140))</f>
        <v/>
      </c>
      <c r="K140" s="5"/>
      <c r="L140" s="2" t="n">
        <f aca="false">AE140+IF(SUMPRODUCT(--($AL140:$AQ140&gt;AL140))&lt;$AK140,1,0)</f>
        <v>80</v>
      </c>
      <c r="M140" s="2" t="n">
        <f aca="false">AF140+IF(SUMPRODUCT(--($AL140:$AQ140&gt;AM140))+SUMPRODUCT(--($AL140:AL140=AM140))&lt;$AK140,1,0)</f>
        <v>98</v>
      </c>
      <c r="N140" s="2" t="n">
        <f aca="false">AG140+IF(SUMPRODUCT(--($AL140:$AQ140&gt;AN140))+SUMPRODUCT(--($AL140:AM140=AN140))&lt;$AK140,1,0)</f>
        <v>70</v>
      </c>
      <c r="O140" s="2" t="n">
        <f aca="false">AH140+IF(SUMPRODUCT(--($AL140:$AQ140&gt;AO140))+SUMPRODUCT(--($AL140:AN140=AO140))&lt;$AK140,1,0)</f>
        <v>86</v>
      </c>
      <c r="P140" s="2" t="n">
        <f aca="false">AI140+IF(SUMPRODUCT(--($AL140:$AQ140&gt;AP140))+SUMPRODUCT(--($AL140:AO140=AP140))&lt;$AK140,1,0)</f>
        <v>85</v>
      </c>
      <c r="Q140" s="2" t="n">
        <f aca="false">AJ140+IF(SUMPRODUCT(--($AL140:$AQ140&gt;AQ140))+SUMPRODUCT(--($AL140:AP140=AQ140))&lt;$AK140,1,0)</f>
        <v>81</v>
      </c>
      <c r="R140" s="2" t="n">
        <f aca="false">SUM(L140:Q140)</f>
        <v>500</v>
      </c>
      <c r="S140" s="2" t="n">
        <f aca="false">Settings!$B$4*MAX(INDEX(Bases!$M$2:$M$53,B140),INDEX(Bases!$M$2:$M$53,C140))+Settings!$B$5*MIN(INDEX(Bases!$M$2:$M$53,B140),INDEX(Bases!$M$2:$M$53,C140))</f>
        <v>67.3333333333333</v>
      </c>
      <c r="T140" s="2" t="n">
        <f aca="false">Settings!$B$4*MAX(INDEX(Bases!$N$2:$N$53,B140),INDEX(Bases!$N$2:$N$53,C140))+Settings!$B$5*MIN(INDEX(Bases!$N$2:$N$53,B140),INDEX(Bases!$N$2:$N$53,C140))</f>
        <v>83</v>
      </c>
      <c r="U140" s="2" t="n">
        <f aca="false">Settings!$B$4*MAX(INDEX(Bases!$O$2:$O$53,B140),INDEX(Bases!$O$2:$O$53,C140))+Settings!$B$5*MIN(INDEX(Bases!$O$2:$O$53,B140),INDEX(Bases!$O$2:$O$53,C140))</f>
        <v>59</v>
      </c>
      <c r="V140" s="2" t="n">
        <f aca="false">Settings!$B$4*MAX(INDEX(Bases!$P$2:$P$53,B140),INDEX(Bases!$P$2:$P$53,C140))+Settings!$B$5*MIN(INDEX(Bases!$P$2:$P$53,B140),INDEX(Bases!$P$2:$P$53,C140))</f>
        <v>72.3333333333333</v>
      </c>
      <c r="W140" s="2" t="n">
        <f aca="false">Settings!$B$4*MAX(INDEX(Bases!$Q$2:$Q$53,B140),INDEX(Bases!$Q$2:$Q$53,C140))+Settings!$B$5*MIN(INDEX(Bases!$Q$2:$Q$53,B140),INDEX(Bases!$Q$2:$Q$53,C140))</f>
        <v>72</v>
      </c>
      <c r="X140" s="2" t="n">
        <f aca="false">Settings!$B$4*MAX(INDEX(Bases!$R$2:$R$53,B140),INDEX(Bases!$R$2:$R$53,C140))+Settings!$B$5*MIN(INDEX(Bases!$R$2:$R$53,B140),INDEX(Bases!$R$2:$R$53,C140))</f>
        <v>68</v>
      </c>
      <c r="Y140" s="2" t="n">
        <f aca="false">S140*Settings!$B$3/SUM(S140:X140)</f>
        <v>79.8418972332016</v>
      </c>
      <c r="Z140" s="2" t="n">
        <f aca="false">T140*Settings!$B$3/SUM(S140:X140)</f>
        <v>98.4189723320158</v>
      </c>
      <c r="AA140" s="2" t="n">
        <f aca="false">U140*Settings!$B$3/SUM(S140:X140)</f>
        <v>69.9604743083004</v>
      </c>
      <c r="AB140" s="2" t="n">
        <f aca="false">V140*Settings!$B$3/SUM(S140:X140)</f>
        <v>85.7707509881423</v>
      </c>
      <c r="AC140" s="2" t="n">
        <f aca="false">W140*Settings!$B$3/SUM(S140:X140)</f>
        <v>85.3754940711462</v>
      </c>
      <c r="AD140" s="2" t="n">
        <f aca="false">X140*Settings!$B$3/SUM(S140:X140)</f>
        <v>80.6324110671937</v>
      </c>
      <c r="AE140" s="2" t="n">
        <f aca="false">INT(Y140)</f>
        <v>79</v>
      </c>
      <c r="AF140" s="2" t="n">
        <f aca="false">INT(Z140)</f>
        <v>98</v>
      </c>
      <c r="AG140" s="2" t="n">
        <f aca="false">INT(AA140)</f>
        <v>69</v>
      </c>
      <c r="AH140" s="2" t="n">
        <f aca="false">INT(AB140)</f>
        <v>85</v>
      </c>
      <c r="AI140" s="2" t="n">
        <f aca="false">INT(AC140)</f>
        <v>85</v>
      </c>
      <c r="AJ140" s="2" t="n">
        <f aca="false">INT(AD140)</f>
        <v>80</v>
      </c>
      <c r="AK140" s="2" t="n">
        <f aca="false">Settings!$B$3-SUM(AE140:AJ140)</f>
        <v>4</v>
      </c>
      <c r="AL140" s="2" t="n">
        <f aca="false">ROUND(Y140-AE140,9)</f>
        <v>0.841897233</v>
      </c>
      <c r="AM140" s="2" t="n">
        <f aca="false">ROUND(Z140-AF140,9)</f>
        <v>0.418972332</v>
      </c>
      <c r="AN140" s="2" t="n">
        <f aca="false">ROUND(AA140-AG140,9)</f>
        <v>0.960474308</v>
      </c>
      <c r="AO140" s="2" t="n">
        <f aca="false">ROUND(AB140-AH140,9)</f>
        <v>0.770750988</v>
      </c>
      <c r="AP140" s="2" t="n">
        <f aca="false">ROUND(AC140-AI140,9)</f>
        <v>0.375494071</v>
      </c>
      <c r="AQ140" s="2" t="n">
        <f aca="false">ROUND(AD140-AJ140,9)</f>
        <v>0.632411067</v>
      </c>
    </row>
    <row r="141" customFormat="false" ht="15" hidden="false" customHeight="false" outlineLevel="0" collapsed="false">
      <c r="A141" s="2" t="n">
        <v>140</v>
      </c>
      <c r="B141" s="6" t="n">
        <v>3</v>
      </c>
      <c r="C141" s="6" t="n">
        <v>42</v>
      </c>
      <c r="D141" s="8" t="str">
        <f aca="false">INDEX(Bases!$B$2:$B$53,B141)</f>
        <v>Teddiursa</v>
      </c>
      <c r="E141" s="8" t="str">
        <f aca="false">INDEX(Bases!$B$2:$B$53,C141)</f>
        <v>Sableye</v>
      </c>
      <c r="F141" s="2" t="str">
        <f aca="false">LEFT(D141,ROUNDUP(LEN(D141)/2,0))&amp;LOWER(MID(E141,ROUNDUP(LEN(E141)/2,0)+1,20))</f>
        <v>Teddieye</v>
      </c>
      <c r="G141" s="8" t="str">
        <f aca="false">INDEX(Bases!$C$2:$C$53,B141)</f>
        <v>Normal</v>
      </c>
      <c r="H141" s="8" t="str">
        <f aca="false">IF(INDEX(Bases!$C$2:$C$53,C141)=G141,"",INDEX(Bases!$C$2:$C$53,C141))</f>
        <v>Ghost</v>
      </c>
      <c r="I141" s="8" t="str">
        <f aca="false">IF(INDEX(Bases!$E$2:$E$53,B141)="","",INDEX(Bases!$E$2:$E$53,B141))</f>
        <v/>
      </c>
      <c r="J141" s="8" t="str">
        <f aca="false">IF(INDEX(Bases!$E$2:$E$53,C141)="","",INDEX(Bases!$E$2:$E$53,C141))</f>
        <v/>
      </c>
      <c r="K141" s="5"/>
      <c r="L141" s="2" t="n">
        <f aca="false">AE141+IF(SUMPRODUCT(--($AL141:$AQ141&gt;AL141))&lt;$AK141,1,0)</f>
        <v>80</v>
      </c>
      <c r="M141" s="2" t="n">
        <f aca="false">AF141+IF(SUMPRODUCT(--($AL141:$AQ141&gt;AM141))+SUMPRODUCT(--($AL141:AL141=AM141))&lt;$AK141,1,0)</f>
        <v>110</v>
      </c>
      <c r="N141" s="2" t="n">
        <f aca="false">AG141+IF(SUMPRODUCT(--($AL141:$AQ141&gt;AN141))+SUMPRODUCT(--($AL141:AM141=AN141))&lt;$AK141,1,0)</f>
        <v>89</v>
      </c>
      <c r="O141" s="2" t="n">
        <f aca="false">AH141+IF(SUMPRODUCT(--($AL141:$AQ141&gt;AO141))+SUMPRODUCT(--($AL141:AN141=AO141))&lt;$AK141,1,0)</f>
        <v>80</v>
      </c>
      <c r="P141" s="2" t="n">
        <f aca="false">AI141+IF(SUMPRODUCT(--($AL141:$AQ141&gt;AP141))+SUMPRODUCT(--($AL141:AO141=AP141))&lt;$AK141,1,0)</f>
        <v>79</v>
      </c>
      <c r="Q141" s="2" t="n">
        <f aca="false">AJ141+IF(SUMPRODUCT(--($AL141:$AQ141&gt;AQ141))+SUMPRODUCT(--($AL141:AP141=AQ141))&lt;$AK141,1,0)</f>
        <v>62</v>
      </c>
      <c r="R141" s="2" t="n">
        <f aca="false">SUM(L141:Q141)</f>
        <v>500</v>
      </c>
      <c r="S141" s="2" t="n">
        <f aca="false">Settings!$B$4*MAX(INDEX(Bases!$M$2:$M$53,B141),INDEX(Bases!$M$2:$M$53,C141))+Settings!$B$5*MIN(INDEX(Bases!$M$2:$M$53,B141),INDEX(Bases!$M$2:$M$53,C141))</f>
        <v>66.3333333333333</v>
      </c>
      <c r="T141" s="2" t="n">
        <f aca="false">Settings!$B$4*MAX(INDEX(Bases!$N$2:$N$53,B141),INDEX(Bases!$N$2:$N$53,C141))+Settings!$B$5*MIN(INDEX(Bases!$N$2:$N$53,B141),INDEX(Bases!$N$2:$N$53,C141))</f>
        <v>91</v>
      </c>
      <c r="U141" s="2" t="n">
        <f aca="false">Settings!$B$4*MAX(INDEX(Bases!$O$2:$O$53,B141),INDEX(Bases!$O$2:$O$53,C141))+Settings!$B$5*MIN(INDEX(Bases!$O$2:$O$53,B141),INDEX(Bases!$O$2:$O$53,C141))</f>
        <v>73</v>
      </c>
      <c r="V141" s="2" t="n">
        <f aca="false">Settings!$B$4*MAX(INDEX(Bases!$P$2:$P$53,B141),INDEX(Bases!$P$2:$P$53,C141))+Settings!$B$5*MIN(INDEX(Bases!$P$2:$P$53,B141),INDEX(Bases!$P$2:$P$53,C141))</f>
        <v>65.6666666666667</v>
      </c>
      <c r="W141" s="2" t="n">
        <f aca="false">Settings!$B$4*MAX(INDEX(Bases!$Q$2:$Q$53,B141),INDEX(Bases!$Q$2:$Q$53,C141))+Settings!$B$5*MIN(INDEX(Bases!$Q$2:$Q$53,B141),INDEX(Bases!$Q$2:$Q$53,C141))</f>
        <v>65.3333333333333</v>
      </c>
      <c r="X141" s="2" t="n">
        <f aca="false">Settings!$B$4*MAX(INDEX(Bases!$R$2:$R$53,B141),INDEX(Bases!$R$2:$R$53,C141))+Settings!$B$5*MIN(INDEX(Bases!$R$2:$R$53,B141),INDEX(Bases!$R$2:$R$53,C141))</f>
        <v>51.3333333333333</v>
      </c>
      <c r="Y141" s="2" t="n">
        <f aca="false">S141*Settings!$B$3/SUM(S141:X141)</f>
        <v>80.3715670436187</v>
      </c>
      <c r="Z141" s="2" t="n">
        <f aca="false">T141*Settings!$B$3/SUM(S141:X141)</f>
        <v>110.258481421648</v>
      </c>
      <c r="AA141" s="2" t="n">
        <f aca="false">U141*Settings!$B$3/SUM(S141:X141)</f>
        <v>88.4491114701131</v>
      </c>
      <c r="AB141" s="2" t="n">
        <f aca="false">V141*Settings!$B$3/SUM(S141:X141)</f>
        <v>79.5638126009693</v>
      </c>
      <c r="AC141" s="2" t="n">
        <f aca="false">W141*Settings!$B$3/SUM(S141:X141)</f>
        <v>79.1599353796446</v>
      </c>
      <c r="AD141" s="2" t="n">
        <f aca="false">X141*Settings!$B$3/SUM(S141:X141)</f>
        <v>62.1970920840065</v>
      </c>
      <c r="AE141" s="2" t="n">
        <f aca="false">INT(Y141)</f>
        <v>80</v>
      </c>
      <c r="AF141" s="2" t="n">
        <f aca="false">INT(Z141)</f>
        <v>110</v>
      </c>
      <c r="AG141" s="2" t="n">
        <f aca="false">INT(AA141)</f>
        <v>88</v>
      </c>
      <c r="AH141" s="2" t="n">
        <f aca="false">INT(AB141)</f>
        <v>79</v>
      </c>
      <c r="AI141" s="2" t="n">
        <f aca="false">INT(AC141)</f>
        <v>79</v>
      </c>
      <c r="AJ141" s="2" t="n">
        <f aca="false">INT(AD141)</f>
        <v>62</v>
      </c>
      <c r="AK141" s="2" t="n">
        <f aca="false">Settings!$B$3-SUM(AE141:AJ141)</f>
        <v>2</v>
      </c>
      <c r="AL141" s="2" t="n">
        <f aca="false">ROUND(Y141-AE141,9)</f>
        <v>0.371567044</v>
      </c>
      <c r="AM141" s="2" t="n">
        <f aca="false">ROUND(Z141-AF141,9)</f>
        <v>0.258481422</v>
      </c>
      <c r="AN141" s="2" t="n">
        <f aca="false">ROUND(AA141-AG141,9)</f>
        <v>0.44911147</v>
      </c>
      <c r="AO141" s="2" t="n">
        <f aca="false">ROUND(AB141-AH141,9)</f>
        <v>0.563812601</v>
      </c>
      <c r="AP141" s="2" t="n">
        <f aca="false">ROUND(AC141-AI141,9)</f>
        <v>0.15993538</v>
      </c>
      <c r="AQ141" s="2" t="n">
        <f aca="false">ROUND(AD141-AJ141,9)</f>
        <v>0.197092084</v>
      </c>
    </row>
    <row r="142" customFormat="false" ht="15" hidden="false" customHeight="false" outlineLevel="0" collapsed="false">
      <c r="A142" s="2" t="n">
        <v>141</v>
      </c>
      <c r="B142" s="6" t="n">
        <v>3</v>
      </c>
      <c r="C142" s="6" t="n">
        <v>43</v>
      </c>
      <c r="D142" s="8" t="str">
        <f aca="false">INDEX(Bases!$B$2:$B$53,B142)</f>
        <v>Teddiursa</v>
      </c>
      <c r="E142" s="8" t="str">
        <f aca="false">INDEX(Bases!$B$2:$B$53,C142)</f>
        <v>Dratini</v>
      </c>
      <c r="F142" s="2" t="str">
        <f aca="false">LEFT(D142,ROUNDUP(LEN(D142)/2,0))&amp;LOWER(MID(E142,ROUNDUP(LEN(E142)/2,0)+1,20))</f>
        <v>Teddiini</v>
      </c>
      <c r="G142" s="8" t="str">
        <f aca="false">INDEX(Bases!$C$2:$C$53,B142)</f>
        <v>Normal</v>
      </c>
      <c r="H142" s="8" t="str">
        <f aca="false">IF(INDEX(Bases!$C$2:$C$53,C142)=G142,"",INDEX(Bases!$C$2:$C$53,C142))</f>
        <v>Dragon</v>
      </c>
      <c r="I142" s="8" t="str">
        <f aca="false">IF(INDEX(Bases!$E$2:$E$53,B142)="","",INDEX(Bases!$E$2:$E$53,B142))</f>
        <v/>
      </c>
      <c r="J142" s="8" t="str">
        <f aca="false">IF(INDEX(Bases!$E$2:$E$53,C142)="","",INDEX(Bases!$E$2:$E$53,C142))</f>
        <v/>
      </c>
      <c r="K142" s="5"/>
      <c r="L142" s="2" t="n">
        <f aca="false">AE142+IF(SUMPRODUCT(--($AL142:$AQ142&gt;AL142))&lt;$AK142,1,0)</f>
        <v>82</v>
      </c>
      <c r="M142" s="2" t="n">
        <f aca="false">AF142+IF(SUMPRODUCT(--($AL142:$AQ142&gt;AM142))+SUMPRODUCT(--($AL142:AL142=AM142))&lt;$AK142,1,0)</f>
        <v>113</v>
      </c>
      <c r="N142" s="2" t="n">
        <f aca="false">AG142+IF(SUMPRODUCT(--($AL142:$AQ142&gt;AN142))+SUMPRODUCT(--($AL142:AM142=AN142))&lt;$AK142,1,0)</f>
        <v>74</v>
      </c>
      <c r="O142" s="2" t="n">
        <f aca="false">AH142+IF(SUMPRODUCT(--($AL142:$AQ142&gt;AO142))+SUMPRODUCT(--($AL142:AN142=AO142))&lt;$AK142,1,0)</f>
        <v>79</v>
      </c>
      <c r="P142" s="2" t="n">
        <f aca="false">AI142+IF(SUMPRODUCT(--($AL142:$AQ142&gt;AP142))+SUMPRODUCT(--($AL142:AO142=AP142))&lt;$AK142,1,0)</f>
        <v>79</v>
      </c>
      <c r="Q142" s="2" t="n">
        <f aca="false">AJ142+IF(SUMPRODUCT(--($AL142:$AQ142&gt;AQ142))+SUMPRODUCT(--($AL142:AP142=AQ142))&lt;$AK142,1,0)</f>
        <v>73</v>
      </c>
      <c r="R142" s="2" t="n">
        <f aca="false">SUM(L142:Q142)</f>
        <v>500</v>
      </c>
      <c r="S142" s="2" t="n">
        <f aca="false">Settings!$B$4*MAX(INDEX(Bases!$M$2:$M$53,B142),INDEX(Bases!$M$2:$M$53,C142))+Settings!$B$5*MIN(INDEX(Bases!$M$2:$M$53,B142),INDEX(Bases!$M$2:$M$53,C142))</f>
        <v>67</v>
      </c>
      <c r="T142" s="2" t="n">
        <f aca="false">Settings!$B$4*MAX(INDEX(Bases!$N$2:$N$53,B142),INDEX(Bases!$N$2:$N$53,C142))+Settings!$B$5*MIN(INDEX(Bases!$N$2:$N$53,B142),INDEX(Bases!$N$2:$N$53,C142))</f>
        <v>93</v>
      </c>
      <c r="U142" s="2" t="n">
        <f aca="false">Settings!$B$4*MAX(INDEX(Bases!$O$2:$O$53,B142),INDEX(Bases!$O$2:$O$53,C142))+Settings!$B$5*MIN(INDEX(Bases!$O$2:$O$53,B142),INDEX(Bases!$O$2:$O$53,C142))</f>
        <v>60.6666666666667</v>
      </c>
      <c r="V142" s="2" t="n">
        <f aca="false">Settings!$B$4*MAX(INDEX(Bases!$P$2:$P$53,B142),INDEX(Bases!$P$2:$P$53,C142))+Settings!$B$5*MIN(INDEX(Bases!$P$2:$P$53,B142),INDEX(Bases!$P$2:$P$53,C142))</f>
        <v>65</v>
      </c>
      <c r="W142" s="2" t="n">
        <f aca="false">Settings!$B$4*MAX(INDEX(Bases!$Q$2:$Q$53,B142),INDEX(Bases!$Q$2:$Q$53,C142))+Settings!$B$5*MIN(INDEX(Bases!$Q$2:$Q$53,B142),INDEX(Bases!$Q$2:$Q$53,C142))</f>
        <v>64.6666666666667</v>
      </c>
      <c r="X142" s="2" t="n">
        <f aca="false">Settings!$B$4*MAX(INDEX(Bases!$R$2:$R$53,B142),INDEX(Bases!$R$2:$R$53,C142))+Settings!$B$5*MIN(INDEX(Bases!$R$2:$R$53,B142),INDEX(Bases!$R$2:$R$53,C142))</f>
        <v>60</v>
      </c>
      <c r="Y142" s="2" t="n">
        <f aca="false">S142*Settings!$B$3/SUM(S142:X142)</f>
        <v>81.6409423233144</v>
      </c>
      <c r="Z142" s="2" t="n">
        <f aca="false">T142*Settings!$B$3/SUM(S142:X142)</f>
        <v>113.322502030869</v>
      </c>
      <c r="AA142" s="2" t="n">
        <f aca="false">U142*Settings!$B$3/SUM(S142:X142)</f>
        <v>73.9236393176279</v>
      </c>
      <c r="AB142" s="2" t="n">
        <f aca="false">V142*Settings!$B$3/SUM(S142:X142)</f>
        <v>79.2038992688871</v>
      </c>
      <c r="AC142" s="2" t="n">
        <f aca="false">W142*Settings!$B$3/SUM(S142:X142)</f>
        <v>78.7977254264825</v>
      </c>
      <c r="AD142" s="2" t="n">
        <f aca="false">X142*Settings!$B$3/SUM(S142:X142)</f>
        <v>73.1112916328188</v>
      </c>
      <c r="AE142" s="2" t="n">
        <f aca="false">INT(Y142)</f>
        <v>81</v>
      </c>
      <c r="AF142" s="2" t="n">
        <f aca="false">INT(Z142)</f>
        <v>113</v>
      </c>
      <c r="AG142" s="2" t="n">
        <f aca="false">INT(AA142)</f>
        <v>73</v>
      </c>
      <c r="AH142" s="2" t="n">
        <f aca="false">INT(AB142)</f>
        <v>79</v>
      </c>
      <c r="AI142" s="2" t="n">
        <f aca="false">INT(AC142)</f>
        <v>78</v>
      </c>
      <c r="AJ142" s="2" t="n">
        <f aca="false">INT(AD142)</f>
        <v>73</v>
      </c>
      <c r="AK142" s="2" t="n">
        <f aca="false">Settings!$B$3-SUM(AE142:AJ142)</f>
        <v>3</v>
      </c>
      <c r="AL142" s="2" t="n">
        <f aca="false">ROUND(Y142-AE142,9)</f>
        <v>0.640942323</v>
      </c>
      <c r="AM142" s="2" t="n">
        <f aca="false">ROUND(Z142-AF142,9)</f>
        <v>0.322502031</v>
      </c>
      <c r="AN142" s="2" t="n">
        <f aca="false">ROUND(AA142-AG142,9)</f>
        <v>0.923639318</v>
      </c>
      <c r="AO142" s="2" t="n">
        <f aca="false">ROUND(AB142-AH142,9)</f>
        <v>0.203899269</v>
      </c>
      <c r="AP142" s="2" t="n">
        <f aca="false">ROUND(AC142-AI142,9)</f>
        <v>0.797725426</v>
      </c>
      <c r="AQ142" s="2" t="n">
        <f aca="false">ROUND(AD142-AJ142,9)</f>
        <v>0.111291633</v>
      </c>
    </row>
    <row r="143" customFormat="false" ht="15" hidden="false" customHeight="false" outlineLevel="0" collapsed="false">
      <c r="A143" s="2" t="n">
        <v>142</v>
      </c>
      <c r="B143" s="6" t="n">
        <v>3</v>
      </c>
      <c r="C143" s="6" t="n">
        <v>44</v>
      </c>
      <c r="D143" s="8" t="str">
        <f aca="false">INDEX(Bases!$B$2:$B$53,B143)</f>
        <v>Teddiursa</v>
      </c>
      <c r="E143" s="8" t="str">
        <f aca="false">INDEX(Bases!$B$2:$B$53,C143)</f>
        <v>Bagon</v>
      </c>
      <c r="F143" s="2" t="str">
        <f aca="false">LEFT(D143,ROUNDUP(LEN(D143)/2,0))&amp;LOWER(MID(E143,ROUNDUP(LEN(E143)/2,0)+1,20))</f>
        <v>Teddion</v>
      </c>
      <c r="G143" s="8" t="str">
        <f aca="false">INDEX(Bases!$C$2:$C$53,B143)</f>
        <v>Normal</v>
      </c>
      <c r="H143" s="8" t="str">
        <f aca="false">IF(INDEX(Bases!$C$2:$C$53,C143)=G143,"",INDEX(Bases!$C$2:$C$53,C143))</f>
        <v>Dragon</v>
      </c>
      <c r="I143" s="8" t="str">
        <f aca="false">IF(INDEX(Bases!$E$2:$E$53,B143)="","",INDEX(Bases!$E$2:$E$53,B143))</f>
        <v/>
      </c>
      <c r="J143" s="8" t="str">
        <f aca="false">IF(INDEX(Bases!$E$2:$E$53,C143)="","",INDEX(Bases!$E$2:$E$53,C143))</f>
        <v/>
      </c>
      <c r="K143" s="5"/>
      <c r="L143" s="2" t="n">
        <f aca="false">AE143+IF(SUMPRODUCT(--($AL143:$AQ143&gt;AL143))&lt;$AK143,1,0)</f>
        <v>83</v>
      </c>
      <c r="M143" s="2" t="n">
        <f aca="false">AF143+IF(SUMPRODUCT(--($AL143:$AQ143&gt;AM143))+SUMPRODUCT(--($AL143:AL143=AM143))&lt;$AK143,1,0)</f>
        <v>120</v>
      </c>
      <c r="N143" s="2" t="n">
        <f aca="false">AG143+IF(SUMPRODUCT(--($AL143:$AQ143&gt;AN143))+SUMPRODUCT(--($AL143:AM143=AN143))&lt;$AK143,1,0)</f>
        <v>89</v>
      </c>
      <c r="O143" s="2" t="n">
        <f aca="false">AH143+IF(SUMPRODUCT(--($AL143:$AQ143&gt;AO143))+SUMPRODUCT(--($AL143:AN143=AO143))&lt;$AK143,1,0)</f>
        <v>71</v>
      </c>
      <c r="P143" s="2" t="n">
        <f aca="false">AI143+IF(SUMPRODUCT(--($AL143:$AQ143&gt;AP143))+SUMPRODUCT(--($AL143:AO143=AP143))&lt;$AK143,1,0)</f>
        <v>64</v>
      </c>
      <c r="Q143" s="2" t="n">
        <f aca="false">AJ143+IF(SUMPRODUCT(--($AL143:$AQ143&gt;AQ143))+SUMPRODUCT(--($AL143:AP143=AQ143))&lt;$AK143,1,0)</f>
        <v>73</v>
      </c>
      <c r="R143" s="2" t="n">
        <f aca="false">SUM(L143:Q143)</f>
        <v>500</v>
      </c>
      <c r="S143" s="2" t="n">
        <f aca="false">Settings!$B$4*MAX(INDEX(Bases!$M$2:$M$53,B143),INDEX(Bases!$M$2:$M$53,C143))+Settings!$B$5*MIN(INDEX(Bases!$M$2:$M$53,B143),INDEX(Bases!$M$2:$M$53,C143))</f>
        <v>68.6666666666667</v>
      </c>
      <c r="T143" s="2" t="n">
        <f aca="false">Settings!$B$4*MAX(INDEX(Bases!$N$2:$N$53,B143),INDEX(Bases!$N$2:$N$53,C143))+Settings!$B$5*MIN(INDEX(Bases!$N$2:$N$53,B143),INDEX(Bases!$N$2:$N$53,C143))</f>
        <v>99</v>
      </c>
      <c r="U143" s="2" t="n">
        <f aca="false">Settings!$B$4*MAX(INDEX(Bases!$O$2:$O$53,B143),INDEX(Bases!$O$2:$O$53,C143))+Settings!$B$5*MIN(INDEX(Bases!$O$2:$O$53,B143),INDEX(Bases!$O$2:$O$53,C143))</f>
        <v>73.6666666666667</v>
      </c>
      <c r="V143" s="2" t="n">
        <f aca="false">Settings!$B$4*MAX(INDEX(Bases!$P$2:$P$53,B143),INDEX(Bases!$P$2:$P$53,C143))+Settings!$B$5*MIN(INDEX(Bases!$P$2:$P$53,B143),INDEX(Bases!$P$2:$P$53,C143))</f>
        <v>58.3333333333333</v>
      </c>
      <c r="W143" s="2" t="n">
        <f aca="false">Settings!$B$4*MAX(INDEX(Bases!$Q$2:$Q$53,B143),INDEX(Bases!$Q$2:$Q$53,C143))+Settings!$B$5*MIN(INDEX(Bases!$Q$2:$Q$53,B143),INDEX(Bases!$Q$2:$Q$53,C143))</f>
        <v>53.3333333333333</v>
      </c>
      <c r="X143" s="2" t="n">
        <f aca="false">Settings!$B$4*MAX(INDEX(Bases!$R$2:$R$53,B143),INDEX(Bases!$R$2:$R$53,C143))+Settings!$B$5*MIN(INDEX(Bases!$R$2:$R$53,B143),INDEX(Bases!$R$2:$R$53,C143))</f>
        <v>60.6666666666667</v>
      </c>
      <c r="Y143" s="2" t="n">
        <f aca="false">S143*Settings!$B$3/SUM(S143:X143)</f>
        <v>82.9975825946817</v>
      </c>
      <c r="Z143" s="2" t="n">
        <f aca="false">T143*Settings!$B$3/SUM(S143:X143)</f>
        <v>119.661563255439</v>
      </c>
      <c r="AA143" s="2" t="n">
        <f aca="false">U143*Settings!$B$3/SUM(S143:X143)</f>
        <v>89.0410958904109</v>
      </c>
      <c r="AB143" s="2" t="n">
        <f aca="false">V143*Settings!$B$3/SUM(S143:X143)</f>
        <v>70.5076551168413</v>
      </c>
      <c r="AC143" s="2" t="n">
        <f aca="false">W143*Settings!$B$3/SUM(S143:X143)</f>
        <v>64.464141821112</v>
      </c>
      <c r="AD143" s="2" t="n">
        <f aca="false">X143*Settings!$B$3/SUM(S143:X143)</f>
        <v>73.3279613215149</v>
      </c>
      <c r="AE143" s="2" t="n">
        <f aca="false">INT(Y143)</f>
        <v>82</v>
      </c>
      <c r="AF143" s="2" t="n">
        <f aca="false">INT(Z143)</f>
        <v>119</v>
      </c>
      <c r="AG143" s="2" t="n">
        <f aca="false">INT(AA143)</f>
        <v>89</v>
      </c>
      <c r="AH143" s="2" t="n">
        <f aca="false">INT(AB143)</f>
        <v>70</v>
      </c>
      <c r="AI143" s="2" t="n">
        <f aca="false">INT(AC143)</f>
        <v>64</v>
      </c>
      <c r="AJ143" s="2" t="n">
        <f aca="false">INT(AD143)</f>
        <v>73</v>
      </c>
      <c r="AK143" s="2" t="n">
        <f aca="false">Settings!$B$3-SUM(AE143:AJ143)</f>
        <v>3</v>
      </c>
      <c r="AL143" s="2" t="n">
        <f aca="false">ROUND(Y143-AE143,9)</f>
        <v>0.997582595</v>
      </c>
      <c r="AM143" s="2" t="n">
        <f aca="false">ROUND(Z143-AF143,9)</f>
        <v>0.661563255</v>
      </c>
      <c r="AN143" s="2" t="n">
        <f aca="false">ROUND(AA143-AG143,9)</f>
        <v>0.04109589</v>
      </c>
      <c r="AO143" s="2" t="n">
        <f aca="false">ROUND(AB143-AH143,9)</f>
        <v>0.507655117</v>
      </c>
      <c r="AP143" s="2" t="n">
        <f aca="false">ROUND(AC143-AI143,9)</f>
        <v>0.464141821</v>
      </c>
      <c r="AQ143" s="2" t="n">
        <f aca="false">ROUND(AD143-AJ143,9)</f>
        <v>0.327961322</v>
      </c>
    </row>
    <row r="144" customFormat="false" ht="15" hidden="false" customHeight="false" outlineLevel="0" collapsed="false">
      <c r="A144" s="2" t="n">
        <v>143</v>
      </c>
      <c r="B144" s="6" t="n">
        <v>3</v>
      </c>
      <c r="C144" s="6" t="n">
        <v>45</v>
      </c>
      <c r="D144" s="8" t="str">
        <f aca="false">INDEX(Bases!$B$2:$B$53,B144)</f>
        <v>Teddiursa</v>
      </c>
      <c r="E144" s="8" t="str">
        <f aca="false">INDEX(Bases!$B$2:$B$53,C144)</f>
        <v>Sneasel</v>
      </c>
      <c r="F144" s="2" t="str">
        <f aca="false">LEFT(D144,ROUNDUP(LEN(D144)/2,0))&amp;LOWER(MID(E144,ROUNDUP(LEN(E144)/2,0)+1,20))</f>
        <v>Teddisel</v>
      </c>
      <c r="G144" s="8" t="str">
        <f aca="false">INDEX(Bases!$C$2:$C$53,B144)</f>
        <v>Normal</v>
      </c>
      <c r="H144" s="8" t="str">
        <f aca="false">IF(INDEX(Bases!$C$2:$C$53,C144)=G144,"",INDEX(Bases!$C$2:$C$53,C144))</f>
        <v>Dark</v>
      </c>
      <c r="I144" s="8" t="str">
        <f aca="false">IF(INDEX(Bases!$E$2:$E$53,B144)="","",INDEX(Bases!$E$2:$E$53,B144))</f>
        <v/>
      </c>
      <c r="J144" s="8" t="str">
        <f aca="false">IF(INDEX(Bases!$E$2:$E$53,C144)="","",INDEX(Bases!$E$2:$E$53,C144))</f>
        <v/>
      </c>
      <c r="K144" s="5"/>
      <c r="L144" s="2" t="n">
        <f aca="false">AE144+IF(SUMPRODUCT(--($AL144:$AQ144&gt;AL144))&lt;$AK144,1,0)</f>
        <v>78</v>
      </c>
      <c r="M144" s="2" t="n">
        <f aca="false">AF144+IF(SUMPRODUCT(--($AL144:$AQ144&gt;AM144))+SUMPRODUCT(--($AL144:AL144=AM144))&lt;$AK144,1,0)</f>
        <v>111</v>
      </c>
      <c r="N144" s="2" t="n">
        <f aca="false">AG144+IF(SUMPRODUCT(--($AL144:$AQ144&gt;AN144))+SUMPRODUCT(--($AL144:AM144=AN144))&lt;$AK144,1,0)</f>
        <v>68</v>
      </c>
      <c r="O144" s="2" t="n">
        <f aca="false">AH144+IF(SUMPRODUCT(--($AL144:$AQ144&gt;AO144))+SUMPRODUCT(--($AL144:AN144=AO144))&lt;$AK144,1,0)</f>
        <v>61</v>
      </c>
      <c r="P144" s="2" t="n">
        <f aca="false">AI144+IF(SUMPRODUCT(--($AL144:$AQ144&gt;AP144))+SUMPRODUCT(--($AL144:AO144=AP144))&lt;$AK144,1,0)</f>
        <v>79</v>
      </c>
      <c r="Q144" s="2" t="n">
        <f aca="false">AJ144+IF(SUMPRODUCT(--($AL144:$AQ144&gt;AQ144))+SUMPRODUCT(--($AL144:AP144=AQ144))&lt;$AK144,1,0)</f>
        <v>103</v>
      </c>
      <c r="R144" s="2" t="n">
        <f aca="false">SUM(L144:Q144)</f>
        <v>500</v>
      </c>
      <c r="S144" s="2" t="n">
        <f aca="false">Settings!$B$4*MAX(INDEX(Bases!$M$2:$M$53,B144),INDEX(Bases!$M$2:$M$53,C144))+Settings!$B$5*MIN(INDEX(Bases!$M$2:$M$53,B144),INDEX(Bases!$M$2:$M$53,C144))</f>
        <v>65.6666666666667</v>
      </c>
      <c r="T144" s="2" t="n">
        <f aca="false">Settings!$B$4*MAX(INDEX(Bases!$N$2:$N$53,B144),INDEX(Bases!$N$2:$N$53,C144))+Settings!$B$5*MIN(INDEX(Bases!$N$2:$N$53,B144),INDEX(Bases!$N$2:$N$53,C144))</f>
        <v>94</v>
      </c>
      <c r="U144" s="2" t="n">
        <f aca="false">Settings!$B$4*MAX(INDEX(Bases!$O$2:$O$53,B144),INDEX(Bases!$O$2:$O$53,C144))+Settings!$B$5*MIN(INDEX(Bases!$O$2:$O$53,B144),INDEX(Bases!$O$2:$O$53,C144))</f>
        <v>57.6666666666667</v>
      </c>
      <c r="V144" s="2" t="n">
        <f aca="false">Settings!$B$4*MAX(INDEX(Bases!$P$2:$P$53,B144),INDEX(Bases!$P$2:$P$53,C144))+Settings!$B$5*MIN(INDEX(Bases!$P$2:$P$53,B144),INDEX(Bases!$P$2:$P$53,C144))</f>
        <v>51.6666666666667</v>
      </c>
      <c r="W144" s="2" t="n">
        <f aca="false">Settings!$B$4*MAX(INDEX(Bases!$Q$2:$Q$53,B144),INDEX(Bases!$Q$2:$Q$53,C144))+Settings!$B$5*MIN(INDEX(Bases!$Q$2:$Q$53,B144),INDEX(Bases!$Q$2:$Q$53,C144))</f>
        <v>66.6666666666667</v>
      </c>
      <c r="X144" s="2" t="n">
        <f aca="false">Settings!$B$4*MAX(INDEX(Bases!$R$2:$R$53,B144),INDEX(Bases!$R$2:$R$53,C144))+Settings!$B$5*MIN(INDEX(Bases!$R$2:$R$53,B144),INDEX(Bases!$R$2:$R$53,C144))</f>
        <v>87.3333333333333</v>
      </c>
      <c r="Y144" s="2" t="n">
        <f aca="false">S144*Settings!$B$3/SUM(S144:X144)</f>
        <v>77.6201733648542</v>
      </c>
      <c r="Z144" s="2" t="n">
        <f aca="false">T144*Settings!$B$3/SUM(S144:X144)</f>
        <v>111.111111111111</v>
      </c>
      <c r="AA144" s="2" t="n">
        <f aca="false">U144*Settings!$B$3/SUM(S144:X144)</f>
        <v>68.1639085894405</v>
      </c>
      <c r="AB144" s="2" t="n">
        <f aca="false">V144*Settings!$B$3/SUM(S144:X144)</f>
        <v>61.0717100078802</v>
      </c>
      <c r="AC144" s="2" t="n">
        <f aca="false">W144*Settings!$B$3/SUM(S144:X144)</f>
        <v>78.8022064617809</v>
      </c>
      <c r="AD144" s="2" t="n">
        <f aca="false">X144*Settings!$B$3/SUM(S144:X144)</f>
        <v>103.230890464933</v>
      </c>
      <c r="AE144" s="2" t="n">
        <f aca="false">INT(Y144)</f>
        <v>77</v>
      </c>
      <c r="AF144" s="2" t="n">
        <f aca="false">INT(Z144)</f>
        <v>111</v>
      </c>
      <c r="AG144" s="2" t="n">
        <f aca="false">INT(AA144)</f>
        <v>68</v>
      </c>
      <c r="AH144" s="2" t="n">
        <f aca="false">INT(AB144)</f>
        <v>61</v>
      </c>
      <c r="AI144" s="2" t="n">
        <f aca="false">INT(AC144)</f>
        <v>78</v>
      </c>
      <c r="AJ144" s="2" t="n">
        <f aca="false">INT(AD144)</f>
        <v>103</v>
      </c>
      <c r="AK144" s="2" t="n">
        <f aca="false">Settings!$B$3-SUM(AE144:AJ144)</f>
        <v>2</v>
      </c>
      <c r="AL144" s="2" t="n">
        <f aca="false">ROUND(Y144-AE144,9)</f>
        <v>0.620173365</v>
      </c>
      <c r="AM144" s="2" t="n">
        <f aca="false">ROUND(Z144-AF144,9)</f>
        <v>0.111111111</v>
      </c>
      <c r="AN144" s="2" t="n">
        <f aca="false">ROUND(AA144-AG144,9)</f>
        <v>0.163908589</v>
      </c>
      <c r="AO144" s="2" t="n">
        <f aca="false">ROUND(AB144-AH144,9)</f>
        <v>0.071710008</v>
      </c>
      <c r="AP144" s="2" t="n">
        <f aca="false">ROUND(AC144-AI144,9)</f>
        <v>0.802206462</v>
      </c>
      <c r="AQ144" s="2" t="n">
        <f aca="false">ROUND(AD144-AJ144,9)</f>
        <v>0.230890465</v>
      </c>
    </row>
    <row r="145" customFormat="false" ht="15" hidden="false" customHeight="false" outlineLevel="0" collapsed="false">
      <c r="A145" s="2" t="n">
        <v>144</v>
      </c>
      <c r="B145" s="6" t="n">
        <v>3</v>
      </c>
      <c r="C145" s="6" t="n">
        <v>46</v>
      </c>
      <c r="D145" s="8" t="str">
        <f aca="false">INDEX(Bases!$B$2:$B$53,B145)</f>
        <v>Teddiursa</v>
      </c>
      <c r="E145" s="8" t="str">
        <f aca="false">INDEX(Bases!$B$2:$B$53,C145)</f>
        <v>Houndour</v>
      </c>
      <c r="F145" s="2" t="str">
        <f aca="false">LEFT(D145,ROUNDUP(LEN(D145)/2,0))&amp;LOWER(MID(E145,ROUNDUP(LEN(E145)/2,0)+1,20))</f>
        <v>Teddidour</v>
      </c>
      <c r="G145" s="8" t="str">
        <f aca="false">INDEX(Bases!$C$2:$C$53,B145)</f>
        <v>Normal</v>
      </c>
      <c r="H145" s="8" t="str">
        <f aca="false">IF(INDEX(Bases!$C$2:$C$53,C145)=G145,"",INDEX(Bases!$C$2:$C$53,C145))</f>
        <v>Dark</v>
      </c>
      <c r="I145" s="8" t="str">
        <f aca="false">IF(INDEX(Bases!$E$2:$E$53,B145)="","",INDEX(Bases!$E$2:$E$53,B145))</f>
        <v/>
      </c>
      <c r="J145" s="8" t="str">
        <f aca="false">IF(INDEX(Bases!$E$2:$E$53,C145)="","",INDEX(Bases!$E$2:$E$53,C145))</f>
        <v/>
      </c>
      <c r="K145" s="5"/>
      <c r="L145" s="2" t="n">
        <f aca="false">AE145+IF(SUMPRODUCT(--($AL145:$AQ145&gt;AL145))&lt;$AK145,1,0)</f>
        <v>79</v>
      </c>
      <c r="M145" s="2" t="n">
        <f aca="false">AF145+IF(SUMPRODUCT(--($AL145:$AQ145&gt;AM145))+SUMPRODUCT(--($AL145:AL145=AM145))&lt;$AK145,1,0)</f>
        <v>105</v>
      </c>
      <c r="N145" s="2" t="n">
        <f aca="false">AG145+IF(SUMPRODUCT(--($AL145:$AQ145&gt;AN145))+SUMPRODUCT(--($AL145:AM145=AN145))&lt;$AK145,1,0)</f>
        <v>62</v>
      </c>
      <c r="O145" s="2" t="n">
        <f aca="false">AH145+IF(SUMPRODUCT(--($AL145:$AQ145&gt;AO145))+SUMPRODUCT(--($AL145:AN145=AO145))&lt;$AK145,1,0)</f>
        <v>101</v>
      </c>
      <c r="P145" s="2" t="n">
        <f aca="false">AI145+IF(SUMPRODUCT(--($AL145:$AQ145&gt;AP145))+SUMPRODUCT(--($AL145:AO145=AP145))&lt;$AK145,1,0)</f>
        <v>72</v>
      </c>
      <c r="Q145" s="2" t="n">
        <f aca="false">AJ145+IF(SUMPRODUCT(--($AL145:$AQ145&gt;AQ145))+SUMPRODUCT(--($AL145:AP145=AQ145))&lt;$AK145,1,0)</f>
        <v>81</v>
      </c>
      <c r="R145" s="2" t="n">
        <f aca="false">SUM(L145:Q145)</f>
        <v>500</v>
      </c>
      <c r="S145" s="2" t="n">
        <f aca="false">Settings!$B$4*MAX(INDEX(Bases!$M$2:$M$53,B145),INDEX(Bases!$M$2:$M$53,C145))+Settings!$B$5*MIN(INDEX(Bases!$M$2:$M$53,B145),INDEX(Bases!$M$2:$M$53,C145))</f>
        <v>66.6666666666667</v>
      </c>
      <c r="T145" s="2" t="n">
        <f aca="false">Settings!$B$4*MAX(INDEX(Bases!$N$2:$N$53,B145),INDEX(Bases!$N$2:$N$53,C145))+Settings!$B$5*MIN(INDEX(Bases!$N$2:$N$53,B145),INDEX(Bases!$N$2:$N$53,C145))</f>
        <v>89</v>
      </c>
      <c r="U145" s="2" t="n">
        <f aca="false">Settings!$B$4*MAX(INDEX(Bases!$O$2:$O$53,B145),INDEX(Bases!$O$2:$O$53,C145))+Settings!$B$5*MIN(INDEX(Bases!$O$2:$O$53,B145),INDEX(Bases!$O$2:$O$53,C145))</f>
        <v>52.6666666666667</v>
      </c>
      <c r="V145" s="2" t="n">
        <f aca="false">Settings!$B$4*MAX(INDEX(Bases!$P$2:$P$53,B145),INDEX(Bases!$P$2:$P$53,C145))+Settings!$B$5*MIN(INDEX(Bases!$P$2:$P$53,B145),INDEX(Bases!$P$2:$P$53,C145))</f>
        <v>85</v>
      </c>
      <c r="W145" s="2" t="n">
        <f aca="false">Settings!$B$4*MAX(INDEX(Bases!$Q$2:$Q$53,B145),INDEX(Bases!$Q$2:$Q$53,C145))+Settings!$B$5*MIN(INDEX(Bases!$Q$2:$Q$53,B145),INDEX(Bases!$Q$2:$Q$53,C145))</f>
        <v>60.6666666666667</v>
      </c>
      <c r="X145" s="2" t="n">
        <f aca="false">Settings!$B$4*MAX(INDEX(Bases!$R$2:$R$53,B145),INDEX(Bases!$R$2:$R$53,C145))+Settings!$B$5*MIN(INDEX(Bases!$R$2:$R$53,B145),INDEX(Bases!$R$2:$R$53,C145))</f>
        <v>68.6666666666667</v>
      </c>
      <c r="Y145" s="2" t="n">
        <f aca="false">S145*Settings!$B$3/SUM(S145:X145)</f>
        <v>78.8643533123029</v>
      </c>
      <c r="Z145" s="2" t="n">
        <f aca="false">T145*Settings!$B$3/SUM(S145:X145)</f>
        <v>105.283911671924</v>
      </c>
      <c r="AA145" s="2" t="n">
        <f aca="false">U145*Settings!$B$3/SUM(S145:X145)</f>
        <v>62.3028391167193</v>
      </c>
      <c r="AB145" s="2" t="n">
        <f aca="false">V145*Settings!$B$3/SUM(S145:X145)</f>
        <v>100.552050473186</v>
      </c>
      <c r="AC145" s="2" t="n">
        <f aca="false">W145*Settings!$B$3/SUM(S145:X145)</f>
        <v>71.7665615141956</v>
      </c>
      <c r="AD145" s="2" t="n">
        <f aca="false">X145*Settings!$B$3/SUM(S145:X145)</f>
        <v>81.2302839116719</v>
      </c>
      <c r="AE145" s="2" t="n">
        <f aca="false">INT(Y145)</f>
        <v>78</v>
      </c>
      <c r="AF145" s="2" t="n">
        <f aca="false">INT(Z145)</f>
        <v>105</v>
      </c>
      <c r="AG145" s="2" t="n">
        <f aca="false">INT(AA145)</f>
        <v>62</v>
      </c>
      <c r="AH145" s="2" t="n">
        <f aca="false">INT(AB145)</f>
        <v>100</v>
      </c>
      <c r="AI145" s="2" t="n">
        <f aca="false">INT(AC145)</f>
        <v>71</v>
      </c>
      <c r="AJ145" s="2" t="n">
        <f aca="false">INT(AD145)</f>
        <v>81</v>
      </c>
      <c r="AK145" s="2" t="n">
        <f aca="false">Settings!$B$3-SUM(AE145:AJ145)</f>
        <v>3</v>
      </c>
      <c r="AL145" s="2" t="n">
        <f aca="false">ROUND(Y145-AE145,9)</f>
        <v>0.864353312</v>
      </c>
      <c r="AM145" s="2" t="n">
        <f aca="false">ROUND(Z145-AF145,9)</f>
        <v>0.283911672</v>
      </c>
      <c r="AN145" s="2" t="n">
        <f aca="false">ROUND(AA145-AG145,9)</f>
        <v>0.302839117</v>
      </c>
      <c r="AO145" s="2" t="n">
        <f aca="false">ROUND(AB145-AH145,9)</f>
        <v>0.552050473</v>
      </c>
      <c r="AP145" s="2" t="n">
        <f aca="false">ROUND(AC145-AI145,9)</f>
        <v>0.766561514</v>
      </c>
      <c r="AQ145" s="2" t="n">
        <f aca="false">ROUND(AD145-AJ145,9)</f>
        <v>0.230283912</v>
      </c>
    </row>
    <row r="146" customFormat="false" ht="15" hidden="false" customHeight="false" outlineLevel="0" collapsed="false">
      <c r="A146" s="2" t="n">
        <v>145</v>
      </c>
      <c r="B146" s="6" t="n">
        <v>3</v>
      </c>
      <c r="C146" s="6" t="n">
        <v>47</v>
      </c>
      <c r="D146" s="8" t="str">
        <f aca="false">INDEX(Bases!$B$2:$B$53,B146)</f>
        <v>Teddiursa</v>
      </c>
      <c r="E146" s="8" t="str">
        <f aca="false">INDEX(Bases!$B$2:$B$53,C146)</f>
        <v>Carvanha</v>
      </c>
      <c r="F146" s="2" t="str">
        <f aca="false">LEFT(D146,ROUNDUP(LEN(D146)/2,0))&amp;LOWER(MID(E146,ROUNDUP(LEN(E146)/2,0)+1,20))</f>
        <v>Teddianha</v>
      </c>
      <c r="G146" s="8" t="str">
        <f aca="false">INDEX(Bases!$C$2:$C$53,B146)</f>
        <v>Normal</v>
      </c>
      <c r="H146" s="8" t="str">
        <f aca="false">IF(INDEX(Bases!$C$2:$C$53,C146)=G146,"",INDEX(Bases!$C$2:$C$53,C146))</f>
        <v>Dark</v>
      </c>
      <c r="I146" s="8" t="str">
        <f aca="false">IF(INDEX(Bases!$E$2:$E$53,B146)="","",INDEX(Bases!$E$2:$E$53,B146))</f>
        <v/>
      </c>
      <c r="J146" s="8" t="str">
        <f aca="false">IF(INDEX(Bases!$E$2:$E$53,C146)="","",INDEX(Bases!$E$2:$E$53,C146))</f>
        <v/>
      </c>
      <c r="K146" s="5"/>
      <c r="L146" s="2" t="n">
        <f aca="false">AE146+IF(SUMPRODUCT(--($AL146:$AQ146&gt;AL146))&lt;$AK146,1,0)</f>
        <v>80</v>
      </c>
      <c r="M146" s="2" t="n">
        <f aca="false">AF146+IF(SUMPRODUCT(--($AL146:$AQ146&gt;AM146))+SUMPRODUCT(--($AL146:AL146=AM146))&lt;$AK146,1,0)</f>
        <v>130</v>
      </c>
      <c r="N146" s="2" t="n">
        <f aca="false">AG146+IF(SUMPRODUCT(--($AL146:$AQ146&gt;AN146))+SUMPRODUCT(--($AL146:AM146=AN146))&lt;$AK146,1,0)</f>
        <v>57</v>
      </c>
      <c r="O146" s="2" t="n">
        <f aca="false">AH146+IF(SUMPRODUCT(--($AL146:$AQ146&gt;AO146))+SUMPRODUCT(--($AL146:AN146=AO146))&lt;$AK146,1,0)</f>
        <v>91</v>
      </c>
      <c r="P146" s="2" t="n">
        <f aca="false">AI146+IF(SUMPRODUCT(--($AL146:$AQ146&gt;AP146))+SUMPRODUCT(--($AL146:AO146=AP146))&lt;$AK146,1,0)</f>
        <v>57</v>
      </c>
      <c r="Q146" s="2" t="n">
        <f aca="false">AJ146+IF(SUMPRODUCT(--($AL146:$AQ146&gt;AQ146))+SUMPRODUCT(--($AL146:AP146=AQ146))&lt;$AK146,1,0)</f>
        <v>85</v>
      </c>
      <c r="R146" s="2" t="n">
        <f aca="false">SUM(L146:Q146)</f>
        <v>500</v>
      </c>
      <c r="S146" s="2" t="n">
        <f aca="false">Settings!$B$4*MAX(INDEX(Bases!$M$2:$M$53,B146),INDEX(Bases!$M$2:$M$53,C146))+Settings!$B$5*MIN(INDEX(Bases!$M$2:$M$53,B146),INDEX(Bases!$M$2:$M$53,C146))</f>
        <v>68.3333333333333</v>
      </c>
      <c r="T146" s="2" t="n">
        <f aca="false">Settings!$B$4*MAX(INDEX(Bases!$N$2:$N$53,B146),INDEX(Bases!$N$2:$N$53,C146))+Settings!$B$5*MIN(INDEX(Bases!$N$2:$N$53,B146),INDEX(Bases!$N$2:$N$53,C146))</f>
        <v>111</v>
      </c>
      <c r="U146" s="2" t="n">
        <f aca="false">Settings!$B$4*MAX(INDEX(Bases!$O$2:$O$53,B146),INDEX(Bases!$O$2:$O$53,C146))+Settings!$B$5*MIN(INDEX(Bases!$O$2:$O$53,B146),INDEX(Bases!$O$2:$O$53,C146))</f>
        <v>49.3333333333333</v>
      </c>
      <c r="V146" s="2" t="n">
        <f aca="false">Settings!$B$4*MAX(INDEX(Bases!$P$2:$P$53,B146),INDEX(Bases!$P$2:$P$53,C146))+Settings!$B$5*MIN(INDEX(Bases!$P$2:$P$53,B146),INDEX(Bases!$P$2:$P$53,C146))</f>
        <v>77.6666666666667</v>
      </c>
      <c r="W146" s="2" t="n">
        <f aca="false">Settings!$B$4*MAX(INDEX(Bases!$Q$2:$Q$53,B146),INDEX(Bases!$Q$2:$Q$53,C146))+Settings!$B$5*MIN(INDEX(Bases!$Q$2:$Q$53,B146),INDEX(Bases!$Q$2:$Q$53,C146))</f>
        <v>48.6666666666667</v>
      </c>
      <c r="X146" s="2" t="n">
        <f aca="false">Settings!$B$4*MAX(INDEX(Bases!$R$2:$R$53,B146),INDEX(Bases!$R$2:$R$53,C146))+Settings!$B$5*MIN(INDEX(Bases!$R$2:$R$53,B146),INDEX(Bases!$R$2:$R$53,C146))</f>
        <v>72.6666666666667</v>
      </c>
      <c r="Y146" s="2" t="n">
        <f aca="false">S146*Settings!$B$3/SUM(S146:X146)</f>
        <v>79.8908807482463</v>
      </c>
      <c r="Z146" s="2" t="n">
        <f aca="false">T146*Settings!$B$3/SUM(S146:X146)</f>
        <v>129.773967264225</v>
      </c>
      <c r="AA146" s="2" t="n">
        <f aca="false">U146*Settings!$B$3/SUM(S146:X146)</f>
        <v>57.6773187840998</v>
      </c>
      <c r="AB146" s="2" t="n">
        <f aca="false">V146*Settings!$B$3/SUM(S146:X146)</f>
        <v>90.8028059236165</v>
      </c>
      <c r="AC146" s="2" t="n">
        <f aca="false">W146*Settings!$B$3/SUM(S146:X146)</f>
        <v>56.8978955572876</v>
      </c>
      <c r="AD146" s="2" t="n">
        <f aca="false">X146*Settings!$B$3/SUM(S146:X146)</f>
        <v>84.9571317225253</v>
      </c>
      <c r="AE146" s="2" t="n">
        <f aca="false">INT(Y146)</f>
        <v>79</v>
      </c>
      <c r="AF146" s="2" t="n">
        <f aca="false">INT(Z146)</f>
        <v>129</v>
      </c>
      <c r="AG146" s="2" t="n">
        <f aca="false">INT(AA146)</f>
        <v>57</v>
      </c>
      <c r="AH146" s="2" t="n">
        <f aca="false">INT(AB146)</f>
        <v>90</v>
      </c>
      <c r="AI146" s="2" t="n">
        <f aca="false">INT(AC146)</f>
        <v>56</v>
      </c>
      <c r="AJ146" s="2" t="n">
        <f aca="false">INT(AD146)</f>
        <v>84</v>
      </c>
      <c r="AK146" s="2" t="n">
        <f aca="false">Settings!$B$3-SUM(AE146:AJ146)</f>
        <v>5</v>
      </c>
      <c r="AL146" s="2" t="n">
        <f aca="false">ROUND(Y146-AE146,9)</f>
        <v>0.890880748</v>
      </c>
      <c r="AM146" s="2" t="n">
        <f aca="false">ROUND(Z146-AF146,9)</f>
        <v>0.773967264</v>
      </c>
      <c r="AN146" s="2" t="n">
        <f aca="false">ROUND(AA146-AG146,9)</f>
        <v>0.677318784</v>
      </c>
      <c r="AO146" s="2" t="n">
        <f aca="false">ROUND(AB146-AH146,9)</f>
        <v>0.802805924</v>
      </c>
      <c r="AP146" s="2" t="n">
        <f aca="false">ROUND(AC146-AI146,9)</f>
        <v>0.897895557</v>
      </c>
      <c r="AQ146" s="2" t="n">
        <f aca="false">ROUND(AD146-AJ146,9)</f>
        <v>0.957131723</v>
      </c>
    </row>
    <row r="147" customFormat="false" ht="15" hidden="false" customHeight="false" outlineLevel="0" collapsed="false">
      <c r="A147" s="2" t="n">
        <v>146</v>
      </c>
      <c r="B147" s="6" t="n">
        <v>3</v>
      </c>
      <c r="C147" s="6" t="n">
        <v>48</v>
      </c>
      <c r="D147" s="8" t="str">
        <f aca="false">INDEX(Bases!$B$2:$B$53,B147)</f>
        <v>Teddiursa</v>
      </c>
      <c r="E147" s="8" t="str">
        <f aca="false">INDEX(Bases!$B$2:$B$53,C147)</f>
        <v>Magnemite</v>
      </c>
      <c r="F147" s="2" t="str">
        <f aca="false">LEFT(D147,ROUNDUP(LEN(D147)/2,0))&amp;LOWER(MID(E147,ROUNDUP(LEN(E147)/2,0)+1,20))</f>
        <v>Teddimite</v>
      </c>
      <c r="G147" s="8" t="str">
        <f aca="false">INDEX(Bases!$C$2:$C$53,B147)</f>
        <v>Normal</v>
      </c>
      <c r="H147" s="8" t="str">
        <f aca="false">IF(INDEX(Bases!$C$2:$C$53,C147)=G147,"",INDEX(Bases!$C$2:$C$53,C147))</f>
        <v>Steel</v>
      </c>
      <c r="I147" s="8" t="str">
        <f aca="false">IF(INDEX(Bases!$E$2:$E$53,B147)="","",INDEX(Bases!$E$2:$E$53,B147))</f>
        <v/>
      </c>
      <c r="J147" s="8" t="str">
        <f aca="false">IF(INDEX(Bases!$E$2:$E$53,C147)="","",INDEX(Bases!$E$2:$E$53,C147))</f>
        <v/>
      </c>
      <c r="K147" s="5"/>
      <c r="L147" s="2" t="n">
        <f aca="false">AE147+IF(SUMPRODUCT(--($AL147:$AQ147&gt;AL147))&lt;$AK147,1,0)</f>
        <v>68</v>
      </c>
      <c r="M147" s="2" t="n">
        <f aca="false">AF147+IF(SUMPRODUCT(--($AL147:$AQ147&gt;AM147))+SUMPRODUCT(--($AL147:AL147=AM147))&lt;$AK147,1,0)</f>
        <v>91</v>
      </c>
      <c r="N147" s="2" t="n">
        <f aca="false">AG147+IF(SUMPRODUCT(--($AL147:$AQ147&gt;AN147))+SUMPRODUCT(--($AL147:AM147=AN147))&lt;$AK147,1,0)</f>
        <v>90</v>
      </c>
      <c r="O147" s="2" t="n">
        <f aca="false">AH147+IF(SUMPRODUCT(--($AL147:$AQ147&gt;AO147))+SUMPRODUCT(--($AL147:AN147=AO147))&lt;$AK147,1,0)</f>
        <v>114</v>
      </c>
      <c r="P147" s="2" t="n">
        <f aca="false">AI147+IF(SUMPRODUCT(--($AL147:$AQ147&gt;AP147))+SUMPRODUCT(--($AL147:AO147=AP147))&lt;$AK147,1,0)</f>
        <v>76</v>
      </c>
      <c r="Q147" s="2" t="n">
        <f aca="false">AJ147+IF(SUMPRODUCT(--($AL147:$AQ147&gt;AQ147))+SUMPRODUCT(--($AL147:AP147=AQ147))&lt;$AK147,1,0)</f>
        <v>61</v>
      </c>
      <c r="R147" s="2" t="n">
        <f aca="false">SUM(L147:Q147)</f>
        <v>500</v>
      </c>
      <c r="S147" s="2" t="n">
        <f aca="false">Settings!$B$4*MAX(INDEX(Bases!$M$2:$M$53,B147),INDEX(Bases!$M$2:$M$53,C147))+Settings!$B$5*MIN(INDEX(Bases!$M$2:$M$53,B147),INDEX(Bases!$M$2:$M$53,C147))</f>
        <v>59</v>
      </c>
      <c r="T147" s="2" t="n">
        <f aca="false">Settings!$B$4*MAX(INDEX(Bases!$N$2:$N$53,B147),INDEX(Bases!$N$2:$N$53,C147))+Settings!$B$5*MIN(INDEX(Bases!$N$2:$N$53,B147),INDEX(Bases!$N$2:$N$53,C147))</f>
        <v>79</v>
      </c>
      <c r="U147" s="2" t="n">
        <f aca="false">Settings!$B$4*MAX(INDEX(Bases!$O$2:$O$53,B147),INDEX(Bases!$O$2:$O$53,C147))+Settings!$B$5*MIN(INDEX(Bases!$O$2:$O$53,B147),INDEX(Bases!$O$2:$O$53,C147))</f>
        <v>77.6666666666667</v>
      </c>
      <c r="V147" s="2" t="n">
        <f aca="false">Settings!$B$4*MAX(INDEX(Bases!$P$2:$P$53,B147),INDEX(Bases!$P$2:$P$53,C147))+Settings!$B$5*MIN(INDEX(Bases!$P$2:$P$53,B147),INDEX(Bases!$P$2:$P$53,C147))</f>
        <v>98.3333333333333</v>
      </c>
      <c r="W147" s="2" t="n">
        <f aca="false">Settings!$B$4*MAX(INDEX(Bases!$Q$2:$Q$53,B147),INDEX(Bases!$Q$2:$Q$53,C147))+Settings!$B$5*MIN(INDEX(Bases!$Q$2:$Q$53,B147),INDEX(Bases!$Q$2:$Q$53,C147))</f>
        <v>65.3333333333333</v>
      </c>
      <c r="X147" s="2" t="n">
        <f aca="false">Settings!$B$4*MAX(INDEX(Bases!$R$2:$R$53,B147),INDEX(Bases!$R$2:$R$53,C147))+Settings!$B$5*MIN(INDEX(Bases!$R$2:$R$53,B147),INDEX(Bases!$R$2:$R$53,C147))</f>
        <v>52.6666666666667</v>
      </c>
      <c r="Y147" s="2" t="n">
        <f aca="false">S147*Settings!$B$3/SUM(S147:X147)</f>
        <v>68.287037037037</v>
      </c>
      <c r="Z147" s="2" t="n">
        <f aca="false">T147*Settings!$B$3/SUM(S147:X147)</f>
        <v>91.4351851851852</v>
      </c>
      <c r="AA147" s="2" t="n">
        <f aca="false">U147*Settings!$B$3/SUM(S147:X147)</f>
        <v>89.891975308642</v>
      </c>
      <c r="AB147" s="2" t="n">
        <f aca="false">V147*Settings!$B$3/SUM(S147:X147)</f>
        <v>113.811728395062</v>
      </c>
      <c r="AC147" s="2" t="n">
        <f aca="false">W147*Settings!$B$3/SUM(S147:X147)</f>
        <v>75.6172839506173</v>
      </c>
      <c r="AD147" s="2" t="n">
        <f aca="false">X147*Settings!$B$3/SUM(S147:X147)</f>
        <v>60.9567901234568</v>
      </c>
      <c r="AE147" s="2" t="n">
        <f aca="false">INT(Y147)</f>
        <v>68</v>
      </c>
      <c r="AF147" s="2" t="n">
        <f aca="false">INT(Z147)</f>
        <v>91</v>
      </c>
      <c r="AG147" s="2" t="n">
        <f aca="false">INT(AA147)</f>
        <v>89</v>
      </c>
      <c r="AH147" s="2" t="n">
        <f aca="false">INT(AB147)</f>
        <v>113</v>
      </c>
      <c r="AI147" s="2" t="n">
        <f aca="false">INT(AC147)</f>
        <v>75</v>
      </c>
      <c r="AJ147" s="2" t="n">
        <f aca="false">INT(AD147)</f>
        <v>60</v>
      </c>
      <c r="AK147" s="2" t="n">
        <f aca="false">Settings!$B$3-SUM(AE147:AJ147)</f>
        <v>4</v>
      </c>
      <c r="AL147" s="2" t="n">
        <f aca="false">ROUND(Y147-AE147,9)</f>
        <v>0.287037037</v>
      </c>
      <c r="AM147" s="2" t="n">
        <f aca="false">ROUND(Z147-AF147,9)</f>
        <v>0.435185185</v>
      </c>
      <c r="AN147" s="2" t="n">
        <f aca="false">ROUND(AA147-AG147,9)</f>
        <v>0.891975309</v>
      </c>
      <c r="AO147" s="2" t="n">
        <f aca="false">ROUND(AB147-AH147,9)</f>
        <v>0.811728395</v>
      </c>
      <c r="AP147" s="2" t="n">
        <f aca="false">ROUND(AC147-AI147,9)</f>
        <v>0.617283951</v>
      </c>
      <c r="AQ147" s="2" t="n">
        <f aca="false">ROUND(AD147-AJ147,9)</f>
        <v>0.956790123</v>
      </c>
    </row>
    <row r="148" customFormat="false" ht="15" hidden="false" customHeight="false" outlineLevel="0" collapsed="false">
      <c r="A148" s="2" t="n">
        <v>147</v>
      </c>
      <c r="B148" s="6" t="n">
        <v>3</v>
      </c>
      <c r="C148" s="6" t="n">
        <v>49</v>
      </c>
      <c r="D148" s="8" t="str">
        <f aca="false">INDEX(Bases!$B$2:$B$53,B148)</f>
        <v>Teddiursa</v>
      </c>
      <c r="E148" s="8" t="str">
        <f aca="false">INDEX(Bases!$B$2:$B$53,C148)</f>
        <v>Aron</v>
      </c>
      <c r="F148" s="2" t="str">
        <f aca="false">LEFT(D148,ROUNDUP(LEN(D148)/2,0))&amp;LOWER(MID(E148,ROUNDUP(LEN(E148)/2,0)+1,20))</f>
        <v>Teddion</v>
      </c>
      <c r="G148" s="8" t="str">
        <f aca="false">INDEX(Bases!$C$2:$C$53,B148)</f>
        <v>Normal</v>
      </c>
      <c r="H148" s="8" t="str">
        <f aca="false">IF(INDEX(Bases!$C$2:$C$53,C148)=G148,"",INDEX(Bases!$C$2:$C$53,C148))</f>
        <v>Steel</v>
      </c>
      <c r="I148" s="8" t="str">
        <f aca="false">IF(INDEX(Bases!$E$2:$E$53,B148)="","",INDEX(Bases!$E$2:$E$53,B148))</f>
        <v/>
      </c>
      <c r="J148" s="8" t="str">
        <f aca="false">IF(INDEX(Bases!$E$2:$E$53,C148)="","",INDEX(Bases!$E$2:$E$53,C148))</f>
        <v/>
      </c>
      <c r="K148" s="5"/>
      <c r="L148" s="2" t="n">
        <f aca="false">AE148+IF(SUMPRODUCT(--($AL148:$AQ148&gt;AL148))&lt;$AK148,1,0)</f>
        <v>82</v>
      </c>
      <c r="M148" s="2" t="n">
        <f aca="false">AF148+IF(SUMPRODUCT(--($AL148:$AQ148&gt;AM148))+SUMPRODUCT(--($AL148:AL148=AM148))&lt;$AK148,1,0)</f>
        <v>111</v>
      </c>
      <c r="N148" s="2" t="n">
        <f aca="false">AG148+IF(SUMPRODUCT(--($AL148:$AQ148&gt;AN148))+SUMPRODUCT(--($AL148:AM148=AN148))&lt;$AK148,1,0)</f>
        <v>120</v>
      </c>
      <c r="O148" s="2" t="n">
        <f aca="false">AH148+IF(SUMPRODUCT(--($AL148:$AQ148&gt;AO148))+SUMPRODUCT(--($AL148:AN148=AO148))&lt;$AK148,1,0)</f>
        <v>68</v>
      </c>
      <c r="P148" s="2" t="n">
        <f aca="false">AI148+IF(SUMPRODUCT(--($AL148:$AQ148&gt;AP148))+SUMPRODUCT(--($AL148:AO148=AP148))&lt;$AK148,1,0)</f>
        <v>67</v>
      </c>
      <c r="Q148" s="2" t="n">
        <f aca="false">AJ148+IF(SUMPRODUCT(--($AL148:$AQ148&gt;AQ148))+SUMPRODUCT(--($AL148:AP148=AQ148))&lt;$AK148,1,0)</f>
        <v>52</v>
      </c>
      <c r="R148" s="2" t="n">
        <f aca="false">SUM(L148:Q148)</f>
        <v>500</v>
      </c>
      <c r="S148" s="2" t="n">
        <f aca="false">Settings!$B$4*MAX(INDEX(Bases!$M$2:$M$53,B148),INDEX(Bases!$M$2:$M$53,C148))+Settings!$B$5*MIN(INDEX(Bases!$M$2:$M$53,B148),INDEX(Bases!$M$2:$M$53,C148))</f>
        <v>69</v>
      </c>
      <c r="T148" s="2" t="n">
        <f aca="false">Settings!$B$4*MAX(INDEX(Bases!$N$2:$N$53,B148),INDEX(Bases!$N$2:$N$53,C148))+Settings!$B$5*MIN(INDEX(Bases!$N$2:$N$53,B148),INDEX(Bases!$N$2:$N$53,C148))</f>
        <v>93</v>
      </c>
      <c r="U148" s="2" t="n">
        <f aca="false">Settings!$B$4*MAX(INDEX(Bases!$O$2:$O$53,B148),INDEX(Bases!$O$2:$O$53,C148))+Settings!$B$5*MIN(INDEX(Bases!$O$2:$O$53,B148),INDEX(Bases!$O$2:$O$53,C148))</f>
        <v>101</v>
      </c>
      <c r="V148" s="2" t="n">
        <f aca="false">Settings!$B$4*MAX(INDEX(Bases!$P$2:$P$53,B148),INDEX(Bases!$P$2:$P$53,C148))+Settings!$B$5*MIN(INDEX(Bases!$P$2:$P$53,B148),INDEX(Bases!$P$2:$P$53,C148))</f>
        <v>57</v>
      </c>
      <c r="W148" s="2" t="n">
        <f aca="false">Settings!$B$4*MAX(INDEX(Bases!$Q$2:$Q$53,B148),INDEX(Bases!$Q$2:$Q$53,C148))+Settings!$B$5*MIN(INDEX(Bases!$Q$2:$Q$53,B148),INDEX(Bases!$Q$2:$Q$53,C148))</f>
        <v>56</v>
      </c>
      <c r="X148" s="2" t="n">
        <f aca="false">Settings!$B$4*MAX(INDEX(Bases!$R$2:$R$53,B148),INDEX(Bases!$R$2:$R$53,C148))+Settings!$B$5*MIN(INDEX(Bases!$R$2:$R$53,B148),INDEX(Bases!$R$2:$R$53,C148))</f>
        <v>44</v>
      </c>
      <c r="Y148" s="2" t="n">
        <f aca="false">S148*Settings!$B$3/SUM(S148:X148)</f>
        <v>82.1428571428571</v>
      </c>
      <c r="Z148" s="2" t="n">
        <f aca="false">T148*Settings!$B$3/SUM(S148:X148)</f>
        <v>110.714285714286</v>
      </c>
      <c r="AA148" s="2" t="n">
        <f aca="false">U148*Settings!$B$3/SUM(S148:X148)</f>
        <v>120.238095238095</v>
      </c>
      <c r="AB148" s="2" t="n">
        <f aca="false">V148*Settings!$B$3/SUM(S148:X148)</f>
        <v>67.8571428571429</v>
      </c>
      <c r="AC148" s="2" t="n">
        <f aca="false">W148*Settings!$B$3/SUM(S148:X148)</f>
        <v>66.6666666666667</v>
      </c>
      <c r="AD148" s="2" t="n">
        <f aca="false">X148*Settings!$B$3/SUM(S148:X148)</f>
        <v>52.3809523809524</v>
      </c>
      <c r="AE148" s="2" t="n">
        <f aca="false">INT(Y148)</f>
        <v>82</v>
      </c>
      <c r="AF148" s="2" t="n">
        <f aca="false">INT(Z148)</f>
        <v>110</v>
      </c>
      <c r="AG148" s="2" t="n">
        <f aca="false">INT(AA148)</f>
        <v>120</v>
      </c>
      <c r="AH148" s="2" t="n">
        <f aca="false">INT(AB148)</f>
        <v>67</v>
      </c>
      <c r="AI148" s="2" t="n">
        <f aca="false">INT(AC148)</f>
        <v>66</v>
      </c>
      <c r="AJ148" s="2" t="n">
        <f aca="false">INT(AD148)</f>
        <v>52</v>
      </c>
      <c r="AK148" s="2" t="n">
        <f aca="false">Settings!$B$3-SUM(AE148:AJ148)</f>
        <v>3</v>
      </c>
      <c r="AL148" s="2" t="n">
        <f aca="false">ROUND(Y148-AE148,9)</f>
        <v>0.142857143</v>
      </c>
      <c r="AM148" s="2" t="n">
        <f aca="false">ROUND(Z148-AF148,9)</f>
        <v>0.714285714</v>
      </c>
      <c r="AN148" s="2" t="n">
        <f aca="false">ROUND(AA148-AG148,9)</f>
        <v>0.238095238</v>
      </c>
      <c r="AO148" s="2" t="n">
        <f aca="false">ROUND(AB148-AH148,9)</f>
        <v>0.857142857</v>
      </c>
      <c r="AP148" s="2" t="n">
        <f aca="false">ROUND(AC148-AI148,9)</f>
        <v>0.666666667</v>
      </c>
      <c r="AQ148" s="2" t="n">
        <f aca="false">ROUND(AD148-AJ148,9)</f>
        <v>0.380952381</v>
      </c>
    </row>
    <row r="149" customFormat="false" ht="15" hidden="false" customHeight="false" outlineLevel="0" collapsed="false">
      <c r="A149" s="2" t="n">
        <v>148</v>
      </c>
      <c r="B149" s="6" t="n">
        <v>3</v>
      </c>
      <c r="C149" s="6" t="n">
        <v>50</v>
      </c>
      <c r="D149" s="8" t="str">
        <f aca="false">INDEX(Bases!$B$2:$B$53,B149)</f>
        <v>Teddiursa</v>
      </c>
      <c r="E149" s="8" t="str">
        <f aca="false">INDEX(Bases!$B$2:$B$53,C149)</f>
        <v>Beldum</v>
      </c>
      <c r="F149" s="2" t="str">
        <f aca="false">LEFT(D149,ROUNDUP(LEN(D149)/2,0))&amp;LOWER(MID(E149,ROUNDUP(LEN(E149)/2,0)+1,20))</f>
        <v>Teddidum</v>
      </c>
      <c r="G149" s="8" t="str">
        <f aca="false">INDEX(Bases!$C$2:$C$53,B149)</f>
        <v>Normal</v>
      </c>
      <c r="H149" s="8" t="str">
        <f aca="false">IF(INDEX(Bases!$C$2:$C$53,C149)=G149,"",INDEX(Bases!$C$2:$C$53,C149))</f>
        <v>Steel</v>
      </c>
      <c r="I149" s="8" t="str">
        <f aca="false">IF(INDEX(Bases!$E$2:$E$53,B149)="","",INDEX(Bases!$E$2:$E$53,B149))</f>
        <v/>
      </c>
      <c r="J149" s="8" t="str">
        <f aca="false">IF(INDEX(Bases!$E$2:$E$53,C149)="","",INDEX(Bases!$E$2:$E$53,C149))</f>
        <v/>
      </c>
      <c r="K149" s="5"/>
      <c r="L149" s="2" t="n">
        <f aca="false">AE149+IF(SUMPRODUCT(--($AL149:$AQ149&gt;AL149))&lt;$AK149,1,0)</f>
        <v>78</v>
      </c>
      <c r="M149" s="2" t="n">
        <f aca="false">AF149+IF(SUMPRODUCT(--($AL149:$AQ149&gt;AM149))+SUMPRODUCT(--($AL149:AL149=AM149))&lt;$AK149,1,0)</f>
        <v>105</v>
      </c>
      <c r="N149" s="2" t="n">
        <f aca="false">AG149+IF(SUMPRODUCT(--($AL149:$AQ149&gt;AN149))+SUMPRODUCT(--($AL149:AM149=AN149))&lt;$AK149,1,0)</f>
        <v>109</v>
      </c>
      <c r="O149" s="2" t="n">
        <f aca="false">AH149+IF(SUMPRODUCT(--($AL149:$AQ149&gt;AO149))+SUMPRODUCT(--($AL149:AN149=AO149))&lt;$AK149,1,0)</f>
        <v>67</v>
      </c>
      <c r="P149" s="2" t="n">
        <f aca="false">AI149+IF(SUMPRODUCT(--($AL149:$AQ149&gt;AP149))+SUMPRODUCT(--($AL149:AO149=AP149))&lt;$AK149,1,0)</f>
        <v>87</v>
      </c>
      <c r="Q149" s="2" t="n">
        <f aca="false">AJ149+IF(SUMPRODUCT(--($AL149:$AQ149&gt;AQ149))+SUMPRODUCT(--($AL149:AP149=AQ149))&lt;$AK149,1,0)</f>
        <v>54</v>
      </c>
      <c r="R149" s="2" t="n">
        <f aca="false">SUM(L149:Q149)</f>
        <v>500</v>
      </c>
      <c r="S149" s="2" t="n">
        <f aca="false">Settings!$B$4*MAX(INDEX(Bases!$M$2:$M$53,B149),INDEX(Bases!$M$2:$M$53,C149))+Settings!$B$5*MIN(INDEX(Bases!$M$2:$M$53,B149),INDEX(Bases!$M$2:$M$53,C149))</f>
        <v>66.3333333333333</v>
      </c>
      <c r="T149" s="2" t="n">
        <f aca="false">Settings!$B$4*MAX(INDEX(Bases!$N$2:$N$53,B149),INDEX(Bases!$N$2:$N$53,C149))+Settings!$B$5*MIN(INDEX(Bases!$N$2:$N$53,B149),INDEX(Bases!$N$2:$N$53,C149))</f>
        <v>89</v>
      </c>
      <c r="U149" s="2" t="n">
        <f aca="false">Settings!$B$4*MAX(INDEX(Bases!$O$2:$O$53,B149),INDEX(Bases!$O$2:$O$53,C149))+Settings!$B$5*MIN(INDEX(Bases!$O$2:$O$53,B149),INDEX(Bases!$O$2:$O$53,C149))</f>
        <v>91.6666666666667</v>
      </c>
      <c r="V149" s="2" t="n">
        <f aca="false">Settings!$B$4*MAX(INDEX(Bases!$P$2:$P$53,B149),INDEX(Bases!$P$2:$P$53,C149))+Settings!$B$5*MIN(INDEX(Bases!$P$2:$P$53,B149),INDEX(Bases!$P$2:$P$53,C149))</f>
        <v>56.3333333333333</v>
      </c>
      <c r="W149" s="2" t="n">
        <f aca="false">Settings!$B$4*MAX(INDEX(Bases!$Q$2:$Q$53,B149),INDEX(Bases!$Q$2:$Q$53,C149))+Settings!$B$5*MIN(INDEX(Bases!$Q$2:$Q$53,B149),INDEX(Bases!$Q$2:$Q$53,C149))</f>
        <v>73.3333333333333</v>
      </c>
      <c r="X149" s="2" t="n">
        <f aca="false">Settings!$B$4*MAX(INDEX(Bases!$R$2:$R$53,B149),INDEX(Bases!$R$2:$R$53,C149))+Settings!$B$5*MIN(INDEX(Bases!$R$2:$R$53,B149),INDEX(Bases!$R$2:$R$53,C149))</f>
        <v>45.3333333333333</v>
      </c>
      <c r="Y149" s="2" t="n">
        <f aca="false">S149*Settings!$B$3/SUM(S149:X149)</f>
        <v>78.5939968404423</v>
      </c>
      <c r="Z149" s="2" t="n">
        <f aca="false">T149*Settings!$B$3/SUM(S149:X149)</f>
        <v>105.450236966825</v>
      </c>
      <c r="AA149" s="2" t="n">
        <f aca="false">U149*Settings!$B$3/SUM(S149:X149)</f>
        <v>108.609794628752</v>
      </c>
      <c r="AB149" s="2" t="n">
        <f aca="false">V149*Settings!$B$3/SUM(S149:X149)</f>
        <v>66.7456556082149</v>
      </c>
      <c r="AC149" s="2" t="n">
        <f aca="false">W149*Settings!$B$3/SUM(S149:X149)</f>
        <v>86.8878357030016</v>
      </c>
      <c r="AD149" s="2" t="n">
        <f aca="false">X149*Settings!$B$3/SUM(S149:X149)</f>
        <v>53.7124802527646</v>
      </c>
      <c r="AE149" s="2" t="n">
        <f aca="false">INT(Y149)</f>
        <v>78</v>
      </c>
      <c r="AF149" s="2" t="n">
        <f aca="false">INT(Z149)</f>
        <v>105</v>
      </c>
      <c r="AG149" s="2" t="n">
        <f aca="false">INT(AA149)</f>
        <v>108</v>
      </c>
      <c r="AH149" s="2" t="n">
        <f aca="false">INT(AB149)</f>
        <v>66</v>
      </c>
      <c r="AI149" s="2" t="n">
        <f aca="false">INT(AC149)</f>
        <v>86</v>
      </c>
      <c r="AJ149" s="2" t="n">
        <f aca="false">INT(AD149)</f>
        <v>53</v>
      </c>
      <c r="AK149" s="2" t="n">
        <f aca="false">Settings!$B$3-SUM(AE149:AJ149)</f>
        <v>4</v>
      </c>
      <c r="AL149" s="2" t="n">
        <f aca="false">ROUND(Y149-AE149,9)</f>
        <v>0.59399684</v>
      </c>
      <c r="AM149" s="2" t="n">
        <f aca="false">ROUND(Z149-AF149,9)</f>
        <v>0.450236967</v>
      </c>
      <c r="AN149" s="2" t="n">
        <f aca="false">ROUND(AA149-AG149,9)</f>
        <v>0.609794629</v>
      </c>
      <c r="AO149" s="2" t="n">
        <f aca="false">ROUND(AB149-AH149,9)</f>
        <v>0.745655608</v>
      </c>
      <c r="AP149" s="2" t="n">
        <f aca="false">ROUND(AC149-AI149,9)</f>
        <v>0.887835703</v>
      </c>
      <c r="AQ149" s="2" t="n">
        <f aca="false">ROUND(AD149-AJ149,9)</f>
        <v>0.712480253</v>
      </c>
    </row>
    <row r="150" customFormat="false" ht="15" hidden="false" customHeight="false" outlineLevel="0" collapsed="false">
      <c r="A150" s="2" t="n">
        <v>149</v>
      </c>
      <c r="B150" s="6" t="n">
        <v>3</v>
      </c>
      <c r="C150" s="6" t="n">
        <v>51</v>
      </c>
      <c r="D150" s="8" t="str">
        <f aca="false">INDEX(Bases!$B$2:$B$53,B150)</f>
        <v>Teddiursa</v>
      </c>
      <c r="E150" s="8" t="str">
        <f aca="false">INDEX(Bases!$B$2:$B$53,C150)</f>
        <v>Cleffa</v>
      </c>
      <c r="F150" s="2" t="str">
        <f aca="false">LEFT(D150,ROUNDUP(LEN(D150)/2,0))&amp;LOWER(MID(E150,ROUNDUP(LEN(E150)/2,0)+1,20))</f>
        <v>Teddiffa</v>
      </c>
      <c r="G150" s="8" t="str">
        <f aca="false">INDEX(Bases!$C$2:$C$53,B150)</f>
        <v>Normal</v>
      </c>
      <c r="H150" s="8" t="str">
        <f aca="false">IF(INDEX(Bases!$C$2:$C$53,C150)=G150,"",INDEX(Bases!$C$2:$C$53,C150))</f>
        <v>Fairy</v>
      </c>
      <c r="I150" s="8" t="str">
        <f aca="false">IF(INDEX(Bases!$E$2:$E$53,B150)="","",INDEX(Bases!$E$2:$E$53,B150))</f>
        <v/>
      </c>
      <c r="J150" s="8" t="str">
        <f aca="false">IF(INDEX(Bases!$E$2:$E$53,C150)="","",INDEX(Bases!$E$2:$E$53,C150))</f>
        <v/>
      </c>
      <c r="K150" s="5"/>
      <c r="L150" s="2" t="n">
        <f aca="false">AE150+IF(SUMPRODUCT(--($AL150:$AQ150&gt;AL150))&lt;$AK150,1,0)</f>
        <v>100</v>
      </c>
      <c r="M150" s="2" t="n">
        <f aca="false">AF150+IF(SUMPRODUCT(--($AL150:$AQ150&gt;AM150))+SUMPRODUCT(--($AL150:AL150=AM150))&lt;$AK150,1,0)</f>
        <v>94</v>
      </c>
      <c r="N150" s="2" t="n">
        <f aca="false">AG150+IF(SUMPRODUCT(--($AL150:$AQ150&gt;AN150))+SUMPRODUCT(--($AL150:AM150=AN150))&lt;$AK150,1,0)</f>
        <v>67</v>
      </c>
      <c r="O150" s="2" t="n">
        <f aca="false">AH150+IF(SUMPRODUCT(--($AL150:$AQ150&gt;AO150))+SUMPRODUCT(--($AL150:AN150=AO150))&lt;$AK150,1,0)</f>
        <v>89</v>
      </c>
      <c r="P150" s="2" t="n">
        <f aca="false">AI150+IF(SUMPRODUCT(--($AL150:$AQ150&gt;AP150))+SUMPRODUCT(--($AL150:AO150=AP150))&lt;$AK150,1,0)</f>
        <v>102</v>
      </c>
      <c r="Q150" s="2" t="n">
        <f aca="false">AJ150+IF(SUMPRODUCT(--($AL150:$AQ150&gt;AQ150))+SUMPRODUCT(--($AL150:AP150=AQ150))&lt;$AK150,1,0)</f>
        <v>48</v>
      </c>
      <c r="R150" s="2" t="n">
        <f aca="false">SUM(L150:Q150)</f>
        <v>500</v>
      </c>
      <c r="S150" s="2" t="n">
        <f aca="false">Settings!$B$4*MAX(INDEX(Bases!$M$2:$M$53,B150),INDEX(Bases!$M$2:$M$53,C150))+Settings!$B$5*MIN(INDEX(Bases!$M$2:$M$53,B150),INDEX(Bases!$M$2:$M$53,C150))</f>
        <v>85.6666666666667</v>
      </c>
      <c r="T150" s="2" t="n">
        <f aca="false">Settings!$B$4*MAX(INDEX(Bases!$N$2:$N$53,B150),INDEX(Bases!$N$2:$N$53,C150))+Settings!$B$5*MIN(INDEX(Bases!$N$2:$N$53,B150),INDEX(Bases!$N$2:$N$53,C150))</f>
        <v>80</v>
      </c>
      <c r="U150" s="2" t="n">
        <f aca="false">Settings!$B$4*MAX(INDEX(Bases!$O$2:$O$53,B150),INDEX(Bases!$O$2:$O$53,C150))+Settings!$B$5*MIN(INDEX(Bases!$O$2:$O$53,B150),INDEX(Bases!$O$2:$O$53,C150))</f>
        <v>57.6666666666667</v>
      </c>
      <c r="V150" s="2" t="n">
        <f aca="false">Settings!$B$4*MAX(INDEX(Bases!$P$2:$P$53,B150),INDEX(Bases!$P$2:$P$53,C150))+Settings!$B$5*MIN(INDEX(Bases!$P$2:$P$53,B150),INDEX(Bases!$P$2:$P$53,C150))</f>
        <v>75.6666666666667</v>
      </c>
      <c r="W150" s="2" t="n">
        <f aca="false">Settings!$B$4*MAX(INDEX(Bases!$Q$2:$Q$53,B150),INDEX(Bases!$Q$2:$Q$53,C150))+Settings!$B$5*MIN(INDEX(Bases!$Q$2:$Q$53,B150),INDEX(Bases!$Q$2:$Q$53,C150))</f>
        <v>87.3333333333333</v>
      </c>
      <c r="X150" s="2" t="n">
        <f aca="false">Settings!$B$4*MAX(INDEX(Bases!$R$2:$R$53,B150),INDEX(Bases!$R$2:$R$53,C150))+Settings!$B$5*MIN(INDEX(Bases!$R$2:$R$53,B150),INDEX(Bases!$R$2:$R$53,C150))</f>
        <v>41</v>
      </c>
      <c r="Y150" s="2" t="n">
        <f aca="false">S150*Settings!$B$3/SUM(S150:X150)</f>
        <v>100.234009360374</v>
      </c>
      <c r="Z150" s="2" t="n">
        <f aca="false">T150*Settings!$B$3/SUM(S150:X150)</f>
        <v>93.603744149766</v>
      </c>
      <c r="AA150" s="2" t="n">
        <f aca="false">U150*Settings!$B$3/SUM(S150:X150)</f>
        <v>67.4726989079563</v>
      </c>
      <c r="AB150" s="2" t="n">
        <f aca="false">V150*Settings!$B$3/SUM(S150:X150)</f>
        <v>88.5335413416537</v>
      </c>
      <c r="AC150" s="2" t="n">
        <f aca="false">W150*Settings!$B$3/SUM(S150:X150)</f>
        <v>102.184087363495</v>
      </c>
      <c r="AD150" s="2" t="n">
        <f aca="false">X150*Settings!$B$3/SUM(S150:X150)</f>
        <v>47.9719188767551</v>
      </c>
      <c r="AE150" s="2" t="n">
        <f aca="false">INT(Y150)</f>
        <v>100</v>
      </c>
      <c r="AF150" s="2" t="n">
        <f aca="false">INT(Z150)</f>
        <v>93</v>
      </c>
      <c r="AG150" s="2" t="n">
        <f aca="false">INT(AA150)</f>
        <v>67</v>
      </c>
      <c r="AH150" s="2" t="n">
        <f aca="false">INT(AB150)</f>
        <v>88</v>
      </c>
      <c r="AI150" s="2" t="n">
        <f aca="false">INT(AC150)</f>
        <v>102</v>
      </c>
      <c r="AJ150" s="2" t="n">
        <f aca="false">INT(AD150)</f>
        <v>47</v>
      </c>
      <c r="AK150" s="2" t="n">
        <f aca="false">Settings!$B$3-SUM(AE150:AJ150)</f>
        <v>3</v>
      </c>
      <c r="AL150" s="2" t="n">
        <f aca="false">ROUND(Y150-AE150,9)</f>
        <v>0.23400936</v>
      </c>
      <c r="AM150" s="2" t="n">
        <f aca="false">ROUND(Z150-AF150,9)</f>
        <v>0.60374415</v>
      </c>
      <c r="AN150" s="2" t="n">
        <f aca="false">ROUND(AA150-AG150,9)</f>
        <v>0.472698908</v>
      </c>
      <c r="AO150" s="2" t="n">
        <f aca="false">ROUND(AB150-AH150,9)</f>
        <v>0.533541342</v>
      </c>
      <c r="AP150" s="2" t="n">
        <f aca="false">ROUND(AC150-AI150,9)</f>
        <v>0.184087363</v>
      </c>
      <c r="AQ150" s="2" t="n">
        <f aca="false">ROUND(AD150-AJ150,9)</f>
        <v>0.971918877</v>
      </c>
    </row>
    <row r="151" customFormat="false" ht="15" hidden="false" customHeight="false" outlineLevel="0" collapsed="false">
      <c r="A151" s="2" t="n">
        <v>150</v>
      </c>
      <c r="B151" s="6" t="n">
        <v>3</v>
      </c>
      <c r="C151" s="6" t="n">
        <v>52</v>
      </c>
      <c r="D151" s="8" t="str">
        <f aca="false">INDEX(Bases!$B$2:$B$53,B151)</f>
        <v>Teddiursa</v>
      </c>
      <c r="E151" s="8" t="str">
        <f aca="false">INDEX(Bases!$B$2:$B$53,C151)</f>
        <v>Togepi</v>
      </c>
      <c r="F151" s="2" t="str">
        <f aca="false">LEFT(D151,ROUNDUP(LEN(D151)/2,0))&amp;LOWER(MID(E151,ROUNDUP(LEN(E151)/2,0)+1,20))</f>
        <v>Teddiepi</v>
      </c>
      <c r="G151" s="8" t="str">
        <f aca="false">INDEX(Bases!$C$2:$C$53,B151)</f>
        <v>Normal</v>
      </c>
      <c r="H151" s="8" t="str">
        <f aca="false">IF(INDEX(Bases!$C$2:$C$53,C151)=G151,"",INDEX(Bases!$C$2:$C$53,C151))</f>
        <v>Fairy</v>
      </c>
      <c r="I151" s="8" t="str">
        <f aca="false">IF(INDEX(Bases!$E$2:$E$53,B151)="","",INDEX(Bases!$E$2:$E$53,B151))</f>
        <v/>
      </c>
      <c r="J151" s="8" t="str">
        <f aca="false">IF(INDEX(Bases!$E$2:$E$53,C151)="","",INDEX(Bases!$E$2:$E$53,C151))</f>
        <v/>
      </c>
      <c r="K151" s="5"/>
      <c r="L151" s="2" t="n">
        <f aca="false">AE151+IF(SUMPRODUCT(--($AL151:$AQ151&gt;AL151))&lt;$AK151,1,0)</f>
        <v>78</v>
      </c>
      <c r="M151" s="2" t="n">
        <f aca="false">AF151+IF(SUMPRODUCT(--($AL151:$AQ151&gt;AM151))+SUMPRODUCT(--($AL151:AL151=AM151))&lt;$AK151,1,0)</f>
        <v>88</v>
      </c>
      <c r="N151" s="2" t="n">
        <f aca="false">AG151+IF(SUMPRODUCT(--($AL151:$AQ151&gt;AN151))+SUMPRODUCT(--($AL151:AM151=AN151))&lt;$AK151,1,0)</f>
        <v>105</v>
      </c>
      <c r="O151" s="2" t="n">
        <f aca="false">AH151+IF(SUMPRODUCT(--($AL151:$AQ151&gt;AO151))+SUMPRODUCT(--($AL151:AN151=AO151))&lt;$AK151,1,0)</f>
        <v>74</v>
      </c>
      <c r="P151" s="2" t="n">
        <f aca="false">AI151+IF(SUMPRODUCT(--($AL151:$AQ151&gt;AP151))+SUMPRODUCT(--($AL151:AO151=AP151))&lt;$AK151,1,0)</f>
        <v>105</v>
      </c>
      <c r="Q151" s="2" t="n">
        <f aca="false">AJ151+IF(SUMPRODUCT(--($AL151:$AQ151&gt;AQ151))+SUMPRODUCT(--($AL151:AP151=AQ151))&lt;$AK151,1,0)</f>
        <v>50</v>
      </c>
      <c r="R151" s="2" t="n">
        <f aca="false">SUM(L151:Q151)</f>
        <v>500</v>
      </c>
      <c r="S151" s="2" t="n">
        <f aca="false">Settings!$B$4*MAX(INDEX(Bases!$M$2:$M$53,B151),INDEX(Bases!$M$2:$M$53,C151))+Settings!$B$5*MIN(INDEX(Bases!$M$2:$M$53,B151),INDEX(Bases!$M$2:$M$53,C151))</f>
        <v>67.6666666666667</v>
      </c>
      <c r="T151" s="2" t="n">
        <f aca="false">Settings!$B$4*MAX(INDEX(Bases!$N$2:$N$53,B151),INDEX(Bases!$N$2:$N$53,C151))+Settings!$B$5*MIN(INDEX(Bases!$N$2:$N$53,B151),INDEX(Bases!$N$2:$N$53,C151))</f>
        <v>75.6666666666667</v>
      </c>
      <c r="U151" s="2" t="n">
        <f aca="false">Settings!$B$4*MAX(INDEX(Bases!$O$2:$O$53,B151),INDEX(Bases!$O$2:$O$53,C151))+Settings!$B$5*MIN(INDEX(Bases!$O$2:$O$53,B151),INDEX(Bases!$O$2:$O$53,C151))</f>
        <v>91</v>
      </c>
      <c r="V151" s="2" t="n">
        <f aca="false">Settings!$B$4*MAX(INDEX(Bases!$P$2:$P$53,B151),INDEX(Bases!$P$2:$P$53,C151))+Settings!$B$5*MIN(INDEX(Bases!$P$2:$P$53,B151),INDEX(Bases!$P$2:$P$53,C151))</f>
        <v>63.6666666666667</v>
      </c>
      <c r="W151" s="2" t="n">
        <f aca="false">Settings!$B$4*MAX(INDEX(Bases!$Q$2:$Q$53,B151),INDEX(Bases!$Q$2:$Q$53,C151))+Settings!$B$5*MIN(INDEX(Bases!$Q$2:$Q$53,B151),INDEX(Bases!$Q$2:$Q$53,C151))</f>
        <v>90.6666666666667</v>
      </c>
      <c r="X151" s="2" t="n">
        <f aca="false">Settings!$B$4*MAX(INDEX(Bases!$R$2:$R$53,B151),INDEX(Bases!$R$2:$R$53,C151))+Settings!$B$5*MIN(INDEX(Bases!$R$2:$R$53,B151),INDEX(Bases!$R$2:$R$53,C151))</f>
        <v>43</v>
      </c>
      <c r="Y151" s="2" t="n">
        <f aca="false">S151*Settings!$B$3/SUM(S151:X151)</f>
        <v>78.3783783783784</v>
      </c>
      <c r="Z151" s="2" t="n">
        <f aca="false">T151*Settings!$B$3/SUM(S151:X151)</f>
        <v>87.6447876447876</v>
      </c>
      <c r="AA151" s="2" t="n">
        <f aca="false">U151*Settings!$B$3/SUM(S151:X151)</f>
        <v>105.405405405405</v>
      </c>
      <c r="AB151" s="2" t="n">
        <f aca="false">V151*Settings!$B$3/SUM(S151:X151)</f>
        <v>73.7451737451737</v>
      </c>
      <c r="AC151" s="2" t="n">
        <f aca="false">W151*Settings!$B$3/SUM(S151:X151)</f>
        <v>105.019305019305</v>
      </c>
      <c r="AD151" s="2" t="n">
        <f aca="false">X151*Settings!$B$3/SUM(S151:X151)</f>
        <v>49.8069498069498</v>
      </c>
      <c r="AE151" s="2" t="n">
        <f aca="false">INT(Y151)</f>
        <v>78</v>
      </c>
      <c r="AF151" s="2" t="n">
        <f aca="false">INT(Z151)</f>
        <v>87</v>
      </c>
      <c r="AG151" s="2" t="n">
        <f aca="false">INT(AA151)</f>
        <v>105</v>
      </c>
      <c r="AH151" s="2" t="n">
        <f aca="false">INT(AB151)</f>
        <v>73</v>
      </c>
      <c r="AI151" s="2" t="n">
        <f aca="false">INT(AC151)</f>
        <v>105</v>
      </c>
      <c r="AJ151" s="2" t="n">
        <f aca="false">INT(AD151)</f>
        <v>49</v>
      </c>
      <c r="AK151" s="2" t="n">
        <f aca="false">Settings!$B$3-SUM(AE151:AJ151)</f>
        <v>3</v>
      </c>
      <c r="AL151" s="2" t="n">
        <f aca="false">ROUND(Y151-AE151,9)</f>
        <v>0.378378378</v>
      </c>
      <c r="AM151" s="2" t="n">
        <f aca="false">ROUND(Z151-AF151,9)</f>
        <v>0.644787645</v>
      </c>
      <c r="AN151" s="2" t="n">
        <f aca="false">ROUND(AA151-AG151,9)</f>
        <v>0.405405405</v>
      </c>
      <c r="AO151" s="2" t="n">
        <f aca="false">ROUND(AB151-AH151,9)</f>
        <v>0.745173745</v>
      </c>
      <c r="AP151" s="2" t="n">
        <f aca="false">ROUND(AC151-AI151,9)</f>
        <v>0.019305019</v>
      </c>
      <c r="AQ151" s="2" t="n">
        <f aca="false">ROUND(AD151-AJ151,9)</f>
        <v>0.806949807</v>
      </c>
    </row>
    <row r="152" customFormat="false" ht="15" hidden="false" customHeight="false" outlineLevel="0" collapsed="false">
      <c r="A152" s="2" t="n">
        <v>151</v>
      </c>
      <c r="B152" s="6" t="n">
        <v>4</v>
      </c>
      <c r="C152" s="6" t="n">
        <v>5</v>
      </c>
      <c r="D152" s="8" t="str">
        <f aca="false">INDEX(Bases!$B$2:$B$53,B152)</f>
        <v>Growlithe</v>
      </c>
      <c r="E152" s="8" t="str">
        <f aca="false">INDEX(Bases!$B$2:$B$53,C152)</f>
        <v>Cyndaquil</v>
      </c>
      <c r="F152" s="2" t="str">
        <f aca="false">LEFT(D152,ROUNDUP(LEN(D152)/2,0))&amp;LOWER(MID(E152,ROUNDUP(LEN(E152)/2,0)+1,20))</f>
        <v>Growlquil</v>
      </c>
      <c r="G152" s="8" t="str">
        <f aca="false">INDEX(Bases!$C$2:$C$53,B152)</f>
        <v>Fire</v>
      </c>
      <c r="H152" s="8" t="str">
        <f aca="false">IF(INDEX(Bases!$C$2:$C$53,C152)=G152,"",INDEX(Bases!$C$2:$C$53,C152))</f>
        <v/>
      </c>
      <c r="I152" s="8" t="str">
        <f aca="false">IF(INDEX(Bases!$E$2:$E$53,B152)="","",INDEX(Bases!$E$2:$E$53,B152))</f>
        <v/>
      </c>
      <c r="J152" s="8" t="str">
        <f aca="false">IF(INDEX(Bases!$E$2:$E$53,C152)="","",INDEX(Bases!$E$2:$E$53,C152))</f>
        <v/>
      </c>
      <c r="K152" s="5"/>
      <c r="L152" s="2" t="n">
        <f aca="false">AE152+IF(SUMPRODUCT(--($AL152:$AQ152&gt;AL152))&lt;$AK152,1,0)</f>
        <v>72</v>
      </c>
      <c r="M152" s="2" t="n">
        <f aca="false">AF152+IF(SUMPRODUCT(--($AL152:$AQ152&gt;AM152))+SUMPRODUCT(--($AL152:AL152=AM152))&lt;$AK152,1,0)</f>
        <v>92</v>
      </c>
      <c r="N152" s="2" t="n">
        <f aca="false">AG152+IF(SUMPRODUCT(--($AL152:$AQ152&gt;AN152))+SUMPRODUCT(--($AL152:AM152=AN152))&lt;$AK152,1,0)</f>
        <v>66</v>
      </c>
      <c r="O152" s="2" t="n">
        <f aca="false">AH152+IF(SUMPRODUCT(--($AL152:$AQ152&gt;AO152))+SUMPRODUCT(--($AL152:AN152=AO152))&lt;$AK152,1,0)</f>
        <v>97</v>
      </c>
      <c r="P152" s="2" t="n">
        <f aca="false">AI152+IF(SUMPRODUCT(--($AL152:$AQ152&gt;AP152))+SUMPRODUCT(--($AL152:AO152=AP152))&lt;$AK152,1,0)</f>
        <v>76</v>
      </c>
      <c r="Q152" s="2" t="n">
        <f aca="false">AJ152+IF(SUMPRODUCT(--($AL152:$AQ152&gt;AQ152))+SUMPRODUCT(--($AL152:AP152=AQ152))&lt;$AK152,1,0)</f>
        <v>97</v>
      </c>
      <c r="R152" s="2" t="n">
        <f aca="false">SUM(L152:Q152)</f>
        <v>500</v>
      </c>
      <c r="S152" s="2" t="n">
        <f aca="false">Settings!$B$4*MAX(INDEX(Bases!$M$2:$M$53,B152),INDEX(Bases!$M$2:$M$53,C152))+Settings!$B$5*MIN(INDEX(Bases!$M$2:$M$53,B152),INDEX(Bases!$M$2:$M$53,C152))</f>
        <v>58.6666666666667</v>
      </c>
      <c r="T152" s="2" t="n">
        <f aca="false">Settings!$B$4*MAX(INDEX(Bases!$N$2:$N$53,B152),INDEX(Bases!$N$2:$N$53,C152))+Settings!$B$5*MIN(INDEX(Bases!$N$2:$N$53,B152),INDEX(Bases!$N$2:$N$53,C152))</f>
        <v>75.6666666666667</v>
      </c>
      <c r="U152" s="2" t="n">
        <f aca="false">Settings!$B$4*MAX(INDEX(Bases!$O$2:$O$53,B152),INDEX(Bases!$O$2:$O$53,C152))+Settings!$B$5*MIN(INDEX(Bases!$O$2:$O$53,B152),INDEX(Bases!$O$2:$O$53,C152))</f>
        <v>54.3333333333333</v>
      </c>
      <c r="V152" s="2" t="n">
        <f aca="false">Settings!$B$4*MAX(INDEX(Bases!$P$2:$P$53,B152),INDEX(Bases!$P$2:$P$53,C152))+Settings!$B$5*MIN(INDEX(Bases!$P$2:$P$53,B152),INDEX(Bases!$P$2:$P$53,C152))</f>
        <v>79.3333333333333</v>
      </c>
      <c r="W152" s="2" t="n">
        <f aca="false">Settings!$B$4*MAX(INDEX(Bases!$Q$2:$Q$53,B152),INDEX(Bases!$Q$2:$Q$53,C152))+Settings!$B$5*MIN(INDEX(Bases!$Q$2:$Q$53,B152),INDEX(Bases!$Q$2:$Q$53,C152))</f>
        <v>62.3333333333333</v>
      </c>
      <c r="X152" s="2" t="n">
        <f aca="false">Settings!$B$4*MAX(INDEX(Bases!$R$2:$R$53,B152),INDEX(Bases!$R$2:$R$53,C152))+Settings!$B$5*MIN(INDEX(Bases!$R$2:$R$53,B152),INDEX(Bases!$R$2:$R$53,C152))</f>
        <v>79</v>
      </c>
      <c r="Y152" s="2" t="n">
        <f aca="false">S152*Settings!$B$3/SUM(S152:X152)</f>
        <v>71.6612377850163</v>
      </c>
      <c r="Z152" s="2" t="n">
        <f aca="false">T152*Settings!$B$3/SUM(S152:X152)</f>
        <v>92.4267100977199</v>
      </c>
      <c r="AA152" s="2" t="n">
        <f aca="false">U152*Settings!$B$3/SUM(S152:X152)</f>
        <v>66.3680781758958</v>
      </c>
      <c r="AB152" s="2" t="n">
        <f aca="false">V152*Settings!$B$3/SUM(S152:X152)</f>
        <v>96.9055374592834</v>
      </c>
      <c r="AC152" s="2" t="n">
        <f aca="false">W152*Settings!$B$3/SUM(S152:X152)</f>
        <v>76.1400651465798</v>
      </c>
      <c r="AD152" s="2" t="n">
        <f aca="false">X152*Settings!$B$3/SUM(S152:X152)</f>
        <v>96.4983713355049</v>
      </c>
      <c r="AE152" s="2" t="n">
        <f aca="false">INT(Y152)</f>
        <v>71</v>
      </c>
      <c r="AF152" s="2" t="n">
        <f aca="false">INT(Z152)</f>
        <v>92</v>
      </c>
      <c r="AG152" s="2" t="n">
        <f aca="false">INT(AA152)</f>
        <v>66</v>
      </c>
      <c r="AH152" s="2" t="n">
        <f aca="false">INT(AB152)</f>
        <v>96</v>
      </c>
      <c r="AI152" s="2" t="n">
        <f aca="false">INT(AC152)</f>
        <v>76</v>
      </c>
      <c r="AJ152" s="2" t="n">
        <f aca="false">INT(AD152)</f>
        <v>96</v>
      </c>
      <c r="AK152" s="2" t="n">
        <f aca="false">Settings!$B$3-SUM(AE152:AJ152)</f>
        <v>3</v>
      </c>
      <c r="AL152" s="2" t="n">
        <f aca="false">ROUND(Y152-AE152,9)</f>
        <v>0.661237785</v>
      </c>
      <c r="AM152" s="2" t="n">
        <f aca="false">ROUND(Z152-AF152,9)</f>
        <v>0.426710098</v>
      </c>
      <c r="AN152" s="2" t="n">
        <f aca="false">ROUND(AA152-AG152,9)</f>
        <v>0.368078176</v>
      </c>
      <c r="AO152" s="2" t="n">
        <f aca="false">ROUND(AB152-AH152,9)</f>
        <v>0.905537459</v>
      </c>
      <c r="AP152" s="2" t="n">
        <f aca="false">ROUND(AC152-AI152,9)</f>
        <v>0.140065147</v>
      </c>
      <c r="AQ152" s="2" t="n">
        <f aca="false">ROUND(AD152-AJ152,9)</f>
        <v>0.498371336</v>
      </c>
    </row>
    <row r="153" customFormat="false" ht="15" hidden="false" customHeight="false" outlineLevel="0" collapsed="false">
      <c r="A153" s="2" t="n">
        <v>152</v>
      </c>
      <c r="B153" s="6" t="n">
        <v>4</v>
      </c>
      <c r="C153" s="6" t="n">
        <v>6</v>
      </c>
      <c r="D153" s="8" t="str">
        <f aca="false">INDEX(Bases!$B$2:$B$53,B153)</f>
        <v>Growlithe</v>
      </c>
      <c r="E153" s="8" t="str">
        <f aca="false">INDEX(Bases!$B$2:$B$53,C153)</f>
        <v>Numel</v>
      </c>
      <c r="F153" s="2" t="str">
        <f aca="false">LEFT(D153,ROUNDUP(LEN(D153)/2,0))&amp;LOWER(MID(E153,ROUNDUP(LEN(E153)/2,0)+1,20))</f>
        <v>Growlel</v>
      </c>
      <c r="G153" s="8" t="str">
        <f aca="false">INDEX(Bases!$C$2:$C$53,B153)</f>
        <v>Fire</v>
      </c>
      <c r="H153" s="8" t="str">
        <f aca="false">IF(INDEX(Bases!$C$2:$C$53,C153)=G153,"",INDEX(Bases!$C$2:$C$53,C153))</f>
        <v/>
      </c>
      <c r="I153" s="8" t="str">
        <f aca="false">IF(INDEX(Bases!$E$2:$E$53,B153)="","",INDEX(Bases!$E$2:$E$53,B153))</f>
        <v/>
      </c>
      <c r="J153" s="8" t="str">
        <f aca="false">IF(INDEX(Bases!$E$2:$E$53,C153)="","",INDEX(Bases!$E$2:$E$53,C153))</f>
        <v/>
      </c>
      <c r="K153" s="5"/>
      <c r="L153" s="2" t="n">
        <f aca="false">AE153+IF(SUMPRODUCT(--($AL153:$AQ153&gt;AL153))&lt;$AK153,1,0)</f>
        <v>90</v>
      </c>
      <c r="M153" s="2" t="n">
        <f aca="false">AF153+IF(SUMPRODUCT(--($AL153:$AQ153&gt;AM153))+SUMPRODUCT(--($AL153:AL153=AM153))&lt;$AK153,1,0)</f>
        <v>98</v>
      </c>
      <c r="N153" s="2" t="n">
        <f aca="false">AG153+IF(SUMPRODUCT(--($AL153:$AQ153&gt;AN153))+SUMPRODUCT(--($AL153:AM153=AN153))&lt;$AK153,1,0)</f>
        <v>63</v>
      </c>
      <c r="O153" s="2" t="n">
        <f aca="false">AH153+IF(SUMPRODUCT(--($AL153:$AQ153&gt;AO153))+SUMPRODUCT(--($AL153:AN153=AO153))&lt;$AK153,1,0)</f>
        <v>102</v>
      </c>
      <c r="P153" s="2" t="n">
        <f aca="false">AI153+IF(SUMPRODUCT(--($AL153:$AQ153&gt;AP153))+SUMPRODUCT(--($AL153:AO153=AP153))&lt;$AK153,1,0)</f>
        <v>72</v>
      </c>
      <c r="Q153" s="2" t="n">
        <f aca="false">AJ153+IF(SUMPRODUCT(--($AL153:$AQ153&gt;AQ153))+SUMPRODUCT(--($AL153:AP153=AQ153))&lt;$AK153,1,0)</f>
        <v>75</v>
      </c>
      <c r="R153" s="2" t="n">
        <f aca="false">SUM(L153:Q153)</f>
        <v>500</v>
      </c>
      <c r="S153" s="2" t="n">
        <f aca="false">Settings!$B$4*MAX(INDEX(Bases!$M$2:$M$53,B153),INDEX(Bases!$M$2:$M$53,C153))+Settings!$B$5*MIN(INDEX(Bases!$M$2:$M$53,B153),INDEX(Bases!$M$2:$M$53,C153))</f>
        <v>73.6666666666667</v>
      </c>
      <c r="T153" s="2" t="n">
        <f aca="false">Settings!$B$4*MAX(INDEX(Bases!$N$2:$N$53,B153),INDEX(Bases!$N$2:$N$53,C153))+Settings!$B$5*MIN(INDEX(Bases!$N$2:$N$53,B153),INDEX(Bases!$N$2:$N$53,C153))</f>
        <v>79.6666666666667</v>
      </c>
      <c r="U153" s="2" t="n">
        <f aca="false">Settings!$B$4*MAX(INDEX(Bases!$O$2:$O$53,B153),INDEX(Bases!$O$2:$O$53,C153))+Settings!$B$5*MIN(INDEX(Bases!$O$2:$O$53,B153),INDEX(Bases!$O$2:$O$53,C153))</f>
        <v>51.6666666666667</v>
      </c>
      <c r="V153" s="2" t="n">
        <f aca="false">Settings!$B$4*MAX(INDEX(Bases!$P$2:$P$53,B153),INDEX(Bases!$P$2:$P$53,C153))+Settings!$B$5*MIN(INDEX(Bases!$P$2:$P$53,B153),INDEX(Bases!$P$2:$P$53,C153))</f>
        <v>83.3333333333333</v>
      </c>
      <c r="W153" s="2" t="n">
        <f aca="false">Settings!$B$4*MAX(INDEX(Bases!$Q$2:$Q$53,B153),INDEX(Bases!$Q$2:$Q$53,C153))+Settings!$B$5*MIN(INDEX(Bases!$Q$2:$Q$53,B153),INDEX(Bases!$Q$2:$Q$53,C153))</f>
        <v>58.3333333333333</v>
      </c>
      <c r="X153" s="2" t="n">
        <f aca="false">Settings!$B$4*MAX(INDEX(Bases!$R$2:$R$53,B153),INDEX(Bases!$R$2:$R$53,C153))+Settings!$B$5*MIN(INDEX(Bases!$R$2:$R$53,B153),INDEX(Bases!$R$2:$R$53,C153))</f>
        <v>61.3333333333333</v>
      </c>
      <c r="Y153" s="2" t="n">
        <f aca="false">S153*Settings!$B$3/SUM(S153:X153)</f>
        <v>90.2777777777778</v>
      </c>
      <c r="Z153" s="2" t="n">
        <f aca="false">T153*Settings!$B$3/SUM(S153:X153)</f>
        <v>97.6307189542484</v>
      </c>
      <c r="AA153" s="2" t="n">
        <f aca="false">U153*Settings!$B$3/SUM(S153:X153)</f>
        <v>63.3169934640523</v>
      </c>
      <c r="AB153" s="2" t="n">
        <f aca="false">V153*Settings!$B$3/SUM(S153:X153)</f>
        <v>102.124183006536</v>
      </c>
      <c r="AC153" s="2" t="n">
        <f aca="false">W153*Settings!$B$3/SUM(S153:X153)</f>
        <v>71.4869281045752</v>
      </c>
      <c r="AD153" s="2" t="n">
        <f aca="false">X153*Settings!$B$3/SUM(S153:X153)</f>
        <v>75.1633986928105</v>
      </c>
      <c r="AE153" s="2" t="n">
        <f aca="false">INT(Y153)</f>
        <v>90</v>
      </c>
      <c r="AF153" s="2" t="n">
        <f aca="false">INT(Z153)</f>
        <v>97</v>
      </c>
      <c r="AG153" s="2" t="n">
        <f aca="false">INT(AA153)</f>
        <v>63</v>
      </c>
      <c r="AH153" s="2" t="n">
        <f aca="false">INT(AB153)</f>
        <v>102</v>
      </c>
      <c r="AI153" s="2" t="n">
        <f aca="false">INT(AC153)</f>
        <v>71</v>
      </c>
      <c r="AJ153" s="2" t="n">
        <f aca="false">INT(AD153)</f>
        <v>75</v>
      </c>
      <c r="AK153" s="2" t="n">
        <f aca="false">Settings!$B$3-SUM(AE153:AJ153)</f>
        <v>2</v>
      </c>
      <c r="AL153" s="2" t="n">
        <f aca="false">ROUND(Y153-AE153,9)</f>
        <v>0.277777778</v>
      </c>
      <c r="AM153" s="2" t="n">
        <f aca="false">ROUND(Z153-AF153,9)</f>
        <v>0.630718954</v>
      </c>
      <c r="AN153" s="2" t="n">
        <f aca="false">ROUND(AA153-AG153,9)</f>
        <v>0.316993464</v>
      </c>
      <c r="AO153" s="2" t="n">
        <f aca="false">ROUND(AB153-AH153,9)</f>
        <v>0.124183007</v>
      </c>
      <c r="AP153" s="2" t="n">
        <f aca="false">ROUND(AC153-AI153,9)</f>
        <v>0.486928105</v>
      </c>
      <c r="AQ153" s="2" t="n">
        <f aca="false">ROUND(AD153-AJ153,9)</f>
        <v>0.163398693</v>
      </c>
    </row>
    <row r="154" customFormat="false" ht="15" hidden="false" customHeight="false" outlineLevel="0" collapsed="false">
      <c r="A154" s="2" t="n">
        <v>153</v>
      </c>
      <c r="B154" s="6" t="n">
        <v>4</v>
      </c>
      <c r="C154" s="6" t="n">
        <v>7</v>
      </c>
      <c r="D154" s="8" t="str">
        <f aca="false">INDEX(Bases!$B$2:$B$53,B154)</f>
        <v>Growlithe</v>
      </c>
      <c r="E154" s="8" t="str">
        <f aca="false">INDEX(Bases!$B$2:$B$53,C154)</f>
        <v>Azurill</v>
      </c>
      <c r="F154" s="2" t="str">
        <f aca="false">LEFT(D154,ROUNDUP(LEN(D154)/2,0))&amp;LOWER(MID(E154,ROUNDUP(LEN(E154)/2,0)+1,20))</f>
        <v>Growlill</v>
      </c>
      <c r="G154" s="8" t="str">
        <f aca="false">INDEX(Bases!$C$2:$C$53,B154)</f>
        <v>Fire</v>
      </c>
      <c r="H154" s="8" t="str">
        <f aca="false">IF(INDEX(Bases!$C$2:$C$53,C154)=G154,"",INDEX(Bases!$C$2:$C$53,C154))</f>
        <v>Water</v>
      </c>
      <c r="I154" s="8" t="str">
        <f aca="false">IF(INDEX(Bases!$E$2:$E$53,B154)="","",INDEX(Bases!$E$2:$E$53,B154))</f>
        <v/>
      </c>
      <c r="J154" s="8" t="str">
        <f aca="false">IF(INDEX(Bases!$E$2:$E$53,C154)="","",INDEX(Bases!$E$2:$E$53,C154))</f>
        <v/>
      </c>
      <c r="K154" s="5"/>
      <c r="L154" s="2" t="n">
        <f aca="false">AE154+IF(SUMPRODUCT(--($AL154:$AQ154&gt;AL154))&lt;$AK154,1,0)</f>
        <v>106</v>
      </c>
      <c r="M154" s="2" t="n">
        <f aca="false">AF154+IF(SUMPRODUCT(--($AL154:$AQ154&gt;AM154))+SUMPRODUCT(--($AL154:AL154=AM154))&lt;$AK154,1,0)</f>
        <v>78</v>
      </c>
      <c r="N154" s="2" t="n">
        <f aca="false">AG154+IF(SUMPRODUCT(--($AL154:$AQ154&gt;AN154))+SUMPRODUCT(--($AL154:AM154=AN154))&lt;$AK154,1,0)</f>
        <v>84</v>
      </c>
      <c r="O154" s="2" t="n">
        <f aca="false">AH154+IF(SUMPRODUCT(--($AL154:$AQ154&gt;AO154))+SUMPRODUCT(--($AL154:AN154=AO154))&lt;$AK154,1,0)</f>
        <v>77</v>
      </c>
      <c r="P154" s="2" t="n">
        <f aca="false">AI154+IF(SUMPRODUCT(--($AL154:$AQ154&gt;AP154))+SUMPRODUCT(--($AL154:AO154=AP154))&lt;$AK154,1,0)</f>
        <v>86</v>
      </c>
      <c r="Q154" s="2" t="n">
        <f aca="false">AJ154+IF(SUMPRODUCT(--($AL154:$AQ154&gt;AQ154))+SUMPRODUCT(--($AL154:AP154=AQ154))&lt;$AK154,1,0)</f>
        <v>69</v>
      </c>
      <c r="R154" s="2" t="n">
        <f aca="false">SUM(L154:Q154)</f>
        <v>500</v>
      </c>
      <c r="S154" s="2" t="n">
        <f aca="false">Settings!$B$4*MAX(INDEX(Bases!$M$2:$M$53,B154),INDEX(Bases!$M$2:$M$53,C154))+Settings!$B$5*MIN(INDEX(Bases!$M$2:$M$53,B154),INDEX(Bases!$M$2:$M$53,C154))</f>
        <v>91.6666666666667</v>
      </c>
      <c r="T154" s="2" t="n">
        <f aca="false">Settings!$B$4*MAX(INDEX(Bases!$N$2:$N$53,B154),INDEX(Bases!$N$2:$N$53,C154))+Settings!$B$5*MIN(INDEX(Bases!$N$2:$N$53,B154),INDEX(Bases!$N$2:$N$53,C154))</f>
        <v>67.3333333333333</v>
      </c>
      <c r="U154" s="2" t="n">
        <f aca="false">Settings!$B$4*MAX(INDEX(Bases!$O$2:$O$53,B154),INDEX(Bases!$O$2:$O$53,C154))+Settings!$B$5*MIN(INDEX(Bases!$O$2:$O$53,B154),INDEX(Bases!$O$2:$O$53,C154))</f>
        <v>73</v>
      </c>
      <c r="V154" s="2" t="n">
        <f aca="false">Settings!$B$4*MAX(INDEX(Bases!$P$2:$P$53,B154),INDEX(Bases!$P$2:$P$53,C154))+Settings!$B$5*MIN(INDEX(Bases!$P$2:$P$53,B154),INDEX(Bases!$P$2:$P$53,C154))</f>
        <v>67.3333333333333</v>
      </c>
      <c r="W154" s="2" t="n">
        <f aca="false">Settings!$B$4*MAX(INDEX(Bases!$Q$2:$Q$53,B154),INDEX(Bases!$Q$2:$Q$53,C154))+Settings!$B$5*MIN(INDEX(Bases!$Q$2:$Q$53,B154),INDEX(Bases!$Q$2:$Q$53,C154))</f>
        <v>75</v>
      </c>
      <c r="X154" s="2" t="n">
        <f aca="false">Settings!$B$4*MAX(INDEX(Bases!$R$2:$R$53,B154),INDEX(Bases!$R$2:$R$53,C154))+Settings!$B$5*MIN(INDEX(Bases!$R$2:$R$53,B154),INDEX(Bases!$R$2:$R$53,C154))</f>
        <v>60</v>
      </c>
      <c r="Y154" s="2" t="n">
        <f aca="false">S154*Settings!$B$3/SUM(S154:X154)</f>
        <v>105.52570990023</v>
      </c>
      <c r="Z154" s="2" t="n">
        <f aca="false">T154*Settings!$B$3/SUM(S154:X154)</f>
        <v>77.5134305448964</v>
      </c>
      <c r="AA154" s="2" t="n">
        <f aca="false">U154*Settings!$B$3/SUM(S154:X154)</f>
        <v>84.0368380660015</v>
      </c>
      <c r="AB154" s="2" t="n">
        <f aca="false">V154*Settings!$B$3/SUM(S154:X154)</f>
        <v>77.5134305448964</v>
      </c>
      <c r="AC154" s="2" t="n">
        <f aca="false">W154*Settings!$B$3/SUM(S154:X154)</f>
        <v>86.3392171910975</v>
      </c>
      <c r="AD154" s="2" t="n">
        <f aca="false">X154*Settings!$B$3/SUM(S154:X154)</f>
        <v>69.071373752878</v>
      </c>
      <c r="AE154" s="2" t="n">
        <f aca="false">INT(Y154)</f>
        <v>105</v>
      </c>
      <c r="AF154" s="2" t="n">
        <f aca="false">INT(Z154)</f>
        <v>77</v>
      </c>
      <c r="AG154" s="2" t="n">
        <f aca="false">INT(AA154)</f>
        <v>84</v>
      </c>
      <c r="AH154" s="2" t="n">
        <f aca="false">INT(AB154)</f>
        <v>77</v>
      </c>
      <c r="AI154" s="2" t="n">
        <f aca="false">INT(AC154)</f>
        <v>86</v>
      </c>
      <c r="AJ154" s="2" t="n">
        <f aca="false">INT(AD154)</f>
        <v>69</v>
      </c>
      <c r="AK154" s="2" t="n">
        <f aca="false">Settings!$B$3-SUM(AE154:AJ154)</f>
        <v>2</v>
      </c>
      <c r="AL154" s="2" t="n">
        <f aca="false">ROUND(Y154-AE154,9)</f>
        <v>0.5257099</v>
      </c>
      <c r="AM154" s="2" t="n">
        <f aca="false">ROUND(Z154-AF154,9)</f>
        <v>0.513430545</v>
      </c>
      <c r="AN154" s="2" t="n">
        <f aca="false">ROUND(AA154-AG154,9)</f>
        <v>0.036838066</v>
      </c>
      <c r="AO154" s="2" t="n">
        <f aca="false">ROUND(AB154-AH154,9)</f>
        <v>0.513430545</v>
      </c>
      <c r="AP154" s="2" t="n">
        <f aca="false">ROUND(AC154-AI154,9)</f>
        <v>0.339217191</v>
      </c>
      <c r="AQ154" s="2" t="n">
        <f aca="false">ROUND(AD154-AJ154,9)</f>
        <v>0.071373753</v>
      </c>
    </row>
    <row r="155" customFormat="false" ht="15" hidden="false" customHeight="false" outlineLevel="0" collapsed="false">
      <c r="A155" s="2" t="n">
        <v>154</v>
      </c>
      <c r="B155" s="6" t="n">
        <v>4</v>
      </c>
      <c r="C155" s="6" t="n">
        <v>8</v>
      </c>
      <c r="D155" s="8" t="str">
        <f aca="false">INDEX(Bases!$B$2:$B$53,B155)</f>
        <v>Growlithe</v>
      </c>
      <c r="E155" s="8" t="str">
        <f aca="false">INDEX(Bases!$B$2:$B$53,C155)</f>
        <v>Corsola</v>
      </c>
      <c r="F155" s="2" t="str">
        <f aca="false">LEFT(D155,ROUNDUP(LEN(D155)/2,0))&amp;LOWER(MID(E155,ROUNDUP(LEN(E155)/2,0)+1,20))</f>
        <v>Growlola</v>
      </c>
      <c r="G155" s="8" t="str">
        <f aca="false">INDEX(Bases!$C$2:$C$53,B155)</f>
        <v>Fire</v>
      </c>
      <c r="H155" s="8" t="str">
        <f aca="false">IF(INDEX(Bases!$C$2:$C$53,C155)=G155,"",INDEX(Bases!$C$2:$C$53,C155))</f>
        <v>Water</v>
      </c>
      <c r="I155" s="8" t="str">
        <f aca="false">IF(INDEX(Bases!$E$2:$E$53,B155)="","",INDEX(Bases!$E$2:$E$53,B155))</f>
        <v/>
      </c>
      <c r="J155" s="8" t="str">
        <f aca="false">IF(INDEX(Bases!$E$2:$E$53,C155)="","",INDEX(Bases!$E$2:$E$53,C155))</f>
        <v/>
      </c>
      <c r="K155" s="5"/>
      <c r="L155" s="2" t="n">
        <f aca="false">AE155+IF(SUMPRODUCT(--($AL155:$AQ155&gt;AL155))&lt;$AK155,1,0)</f>
        <v>74</v>
      </c>
      <c r="M155" s="2" t="n">
        <f aca="false">AF155+IF(SUMPRODUCT(--($AL155:$AQ155&gt;AM155))+SUMPRODUCT(--($AL155:AL155=AM155))&lt;$AK155,1,0)</f>
        <v>84</v>
      </c>
      <c r="N155" s="2" t="n">
        <f aca="false">AG155+IF(SUMPRODUCT(--($AL155:$AQ155&gt;AN155))+SUMPRODUCT(--($AL155:AM155=AN155))&lt;$AK155,1,0)</f>
        <v>93</v>
      </c>
      <c r="O155" s="2" t="n">
        <f aca="false">AH155+IF(SUMPRODUCT(--($AL155:$AQ155&gt;AO155))+SUMPRODUCT(--($AL155:AN155=AO155))&lt;$AK155,1,0)</f>
        <v>87</v>
      </c>
      <c r="P155" s="2" t="n">
        <f aca="false">AI155+IF(SUMPRODUCT(--($AL155:$AQ155&gt;AP155))+SUMPRODUCT(--($AL155:AO155=AP155))&lt;$AK155,1,0)</f>
        <v>95</v>
      </c>
      <c r="Q155" s="2" t="n">
        <f aca="false">AJ155+IF(SUMPRODUCT(--($AL155:$AQ155&gt;AQ155))+SUMPRODUCT(--($AL155:AP155=AQ155))&lt;$AK155,1,0)</f>
        <v>67</v>
      </c>
      <c r="R155" s="2" t="n">
        <f aca="false">SUM(L155:Q155)</f>
        <v>500</v>
      </c>
      <c r="S155" s="2" t="n">
        <f aca="false">Settings!$B$4*MAX(INDEX(Bases!$M$2:$M$53,B155),INDEX(Bases!$M$2:$M$53,C155))+Settings!$B$5*MIN(INDEX(Bases!$M$2:$M$53,B155),INDEX(Bases!$M$2:$M$53,C155))</f>
        <v>63</v>
      </c>
      <c r="T155" s="2" t="n">
        <f aca="false">Settings!$B$4*MAX(INDEX(Bases!$N$2:$N$53,B155),INDEX(Bases!$N$2:$N$53,C155))+Settings!$B$5*MIN(INDEX(Bases!$N$2:$N$53,B155),INDEX(Bases!$N$2:$N$53,C155))</f>
        <v>71.3333333333333</v>
      </c>
      <c r="U155" s="2" t="n">
        <f aca="false">Settings!$B$4*MAX(INDEX(Bases!$O$2:$O$53,B155),INDEX(Bases!$O$2:$O$53,C155))+Settings!$B$5*MIN(INDEX(Bases!$O$2:$O$53,B155),INDEX(Bases!$O$2:$O$53,C155))</f>
        <v>79</v>
      </c>
      <c r="V155" s="2" t="n">
        <f aca="false">Settings!$B$4*MAX(INDEX(Bases!$P$2:$P$53,B155),INDEX(Bases!$P$2:$P$53,C155))+Settings!$B$5*MIN(INDEX(Bases!$P$2:$P$53,B155),INDEX(Bases!$P$2:$P$53,C155))</f>
        <v>74.3333333333333</v>
      </c>
      <c r="W155" s="2" t="n">
        <f aca="false">Settings!$B$4*MAX(INDEX(Bases!$Q$2:$Q$53,B155),INDEX(Bases!$Q$2:$Q$53,C155))+Settings!$B$5*MIN(INDEX(Bases!$Q$2:$Q$53,B155),INDEX(Bases!$Q$2:$Q$53,C155))</f>
        <v>81</v>
      </c>
      <c r="X155" s="2" t="n">
        <f aca="false">Settings!$B$4*MAX(INDEX(Bases!$R$2:$R$53,B155),INDEX(Bases!$R$2:$R$53,C155))+Settings!$B$5*MIN(INDEX(Bases!$R$2:$R$53,B155),INDEX(Bases!$R$2:$R$53,C155))</f>
        <v>57.3333333333333</v>
      </c>
      <c r="Y155" s="2" t="n">
        <f aca="false">S155*Settings!$B$3/SUM(S155:X155)</f>
        <v>73.943661971831</v>
      </c>
      <c r="Z155" s="2" t="n">
        <f aca="false">T155*Settings!$B$3/SUM(S155:X155)</f>
        <v>83.7245696400626</v>
      </c>
      <c r="AA155" s="2" t="n">
        <f aca="false">U155*Settings!$B$3/SUM(S155:X155)</f>
        <v>92.7230046948357</v>
      </c>
      <c r="AB155" s="2" t="n">
        <f aca="false">V155*Settings!$B$3/SUM(S155:X155)</f>
        <v>87.245696400626</v>
      </c>
      <c r="AC155" s="2" t="n">
        <f aca="false">W155*Settings!$B$3/SUM(S155:X155)</f>
        <v>95.0704225352113</v>
      </c>
      <c r="AD155" s="2" t="n">
        <f aca="false">X155*Settings!$B$3/SUM(S155:X155)</f>
        <v>67.2926447574335</v>
      </c>
      <c r="AE155" s="2" t="n">
        <f aca="false">INT(Y155)</f>
        <v>73</v>
      </c>
      <c r="AF155" s="2" t="n">
        <f aca="false">INT(Z155)</f>
        <v>83</v>
      </c>
      <c r="AG155" s="2" t="n">
        <f aca="false">INT(AA155)</f>
        <v>92</v>
      </c>
      <c r="AH155" s="2" t="n">
        <f aca="false">INT(AB155)</f>
        <v>87</v>
      </c>
      <c r="AI155" s="2" t="n">
        <f aca="false">INT(AC155)</f>
        <v>95</v>
      </c>
      <c r="AJ155" s="2" t="n">
        <f aca="false">INT(AD155)</f>
        <v>67</v>
      </c>
      <c r="AK155" s="2" t="n">
        <f aca="false">Settings!$B$3-SUM(AE155:AJ155)</f>
        <v>3</v>
      </c>
      <c r="AL155" s="2" t="n">
        <f aca="false">ROUND(Y155-AE155,9)</f>
        <v>0.943661972</v>
      </c>
      <c r="AM155" s="2" t="n">
        <f aca="false">ROUND(Z155-AF155,9)</f>
        <v>0.72456964</v>
      </c>
      <c r="AN155" s="2" t="n">
        <f aca="false">ROUND(AA155-AG155,9)</f>
        <v>0.723004695</v>
      </c>
      <c r="AO155" s="2" t="n">
        <f aca="false">ROUND(AB155-AH155,9)</f>
        <v>0.245696401</v>
      </c>
      <c r="AP155" s="2" t="n">
        <f aca="false">ROUND(AC155-AI155,9)</f>
        <v>0.070422535</v>
      </c>
      <c r="AQ155" s="2" t="n">
        <f aca="false">ROUND(AD155-AJ155,9)</f>
        <v>0.292644757</v>
      </c>
    </row>
    <row r="156" customFormat="false" ht="15" hidden="false" customHeight="false" outlineLevel="0" collapsed="false">
      <c r="A156" s="2" t="n">
        <v>155</v>
      </c>
      <c r="B156" s="6" t="n">
        <v>4</v>
      </c>
      <c r="C156" s="6" t="n">
        <v>9</v>
      </c>
      <c r="D156" s="8" t="str">
        <f aca="false">INDEX(Bases!$B$2:$B$53,B156)</f>
        <v>Growlithe</v>
      </c>
      <c r="E156" s="8" t="str">
        <f aca="false">INDEX(Bases!$B$2:$B$53,C156)</f>
        <v>Mudkip</v>
      </c>
      <c r="F156" s="2" t="str">
        <f aca="false">LEFT(D156,ROUNDUP(LEN(D156)/2,0))&amp;LOWER(MID(E156,ROUNDUP(LEN(E156)/2,0)+1,20))</f>
        <v>Growlkip</v>
      </c>
      <c r="G156" s="8" t="str">
        <f aca="false">INDEX(Bases!$C$2:$C$53,B156)</f>
        <v>Fire</v>
      </c>
      <c r="H156" s="8" t="str">
        <f aca="false">IF(INDEX(Bases!$C$2:$C$53,C156)=G156,"",INDEX(Bases!$C$2:$C$53,C156))</f>
        <v>Water</v>
      </c>
      <c r="I156" s="8" t="str">
        <f aca="false">IF(INDEX(Bases!$E$2:$E$53,B156)="","",INDEX(Bases!$E$2:$E$53,B156))</f>
        <v/>
      </c>
      <c r="J156" s="8" t="str">
        <f aca="false">IF(INDEX(Bases!$E$2:$E$53,C156)="","",INDEX(Bases!$E$2:$E$53,C156))</f>
        <v/>
      </c>
      <c r="K156" s="5"/>
      <c r="L156" s="2" t="n">
        <f aca="false">AE156+IF(SUMPRODUCT(--($AL156:$AQ156&gt;AL156))&lt;$AK156,1,0)</f>
        <v>78</v>
      </c>
      <c r="M156" s="2" t="n">
        <f aca="false">AF156+IF(SUMPRODUCT(--($AL156:$AQ156&gt;AM156))+SUMPRODUCT(--($AL156:AL156=AM156))&lt;$AK156,1,0)</f>
        <v>106</v>
      </c>
      <c r="N156" s="2" t="n">
        <f aca="false">AG156+IF(SUMPRODUCT(--($AL156:$AQ156&gt;AN156))+SUMPRODUCT(--($AL156:AM156=AN156))&lt;$AK156,1,0)</f>
        <v>73</v>
      </c>
      <c r="O156" s="2" t="n">
        <f aca="false">AH156+IF(SUMPRODUCT(--($AL156:$AQ156&gt;AO156))+SUMPRODUCT(--($AL156:AN156=AO156))&lt;$AK156,1,0)</f>
        <v>91</v>
      </c>
      <c r="P156" s="2" t="n">
        <f aca="false">AI156+IF(SUMPRODUCT(--($AL156:$AQ156&gt;AP156))+SUMPRODUCT(--($AL156:AO156=AP156))&lt;$AK156,1,0)</f>
        <v>75</v>
      </c>
      <c r="Q156" s="2" t="n">
        <f aca="false">AJ156+IF(SUMPRODUCT(--($AL156:$AQ156&gt;AQ156))+SUMPRODUCT(--($AL156:AP156=AQ156))&lt;$AK156,1,0)</f>
        <v>77</v>
      </c>
      <c r="R156" s="2" t="n">
        <f aca="false">SUM(L156:Q156)</f>
        <v>500</v>
      </c>
      <c r="S156" s="2" t="n">
        <f aca="false">Settings!$B$4*MAX(INDEX(Bases!$M$2:$M$53,B156),INDEX(Bases!$M$2:$M$53,C156))+Settings!$B$5*MIN(INDEX(Bases!$M$2:$M$53,B156),INDEX(Bases!$M$2:$M$53,C156))</f>
        <v>64.3333333333333</v>
      </c>
      <c r="T156" s="2" t="n">
        <f aca="false">Settings!$B$4*MAX(INDEX(Bases!$N$2:$N$53,B156),INDEX(Bases!$N$2:$N$53,C156))+Settings!$B$5*MIN(INDEX(Bases!$N$2:$N$53,B156),INDEX(Bases!$N$2:$N$53,C156))</f>
        <v>86.6666666666667</v>
      </c>
      <c r="U156" s="2" t="n">
        <f aca="false">Settings!$B$4*MAX(INDEX(Bases!$O$2:$O$53,B156),INDEX(Bases!$O$2:$O$53,C156))+Settings!$B$5*MIN(INDEX(Bases!$O$2:$O$53,B156),INDEX(Bases!$O$2:$O$53,C156))</f>
        <v>60.3333333333333</v>
      </c>
      <c r="V156" s="2" t="n">
        <f aca="false">Settings!$B$4*MAX(INDEX(Bases!$P$2:$P$53,B156),INDEX(Bases!$P$2:$P$53,C156))+Settings!$B$5*MIN(INDEX(Bases!$P$2:$P$53,B156),INDEX(Bases!$P$2:$P$53,C156))</f>
        <v>74.6666666666667</v>
      </c>
      <c r="W156" s="2" t="n">
        <f aca="false">Settings!$B$4*MAX(INDEX(Bases!$Q$2:$Q$53,B156),INDEX(Bases!$Q$2:$Q$53,C156))+Settings!$B$5*MIN(INDEX(Bases!$Q$2:$Q$53,B156),INDEX(Bases!$Q$2:$Q$53,C156))</f>
        <v>61.6666666666667</v>
      </c>
      <c r="X156" s="2" t="n">
        <f aca="false">Settings!$B$4*MAX(INDEX(Bases!$R$2:$R$53,B156),INDEX(Bases!$R$2:$R$53,C156))+Settings!$B$5*MIN(INDEX(Bases!$R$2:$R$53,B156),INDEX(Bases!$R$2:$R$53,C156))</f>
        <v>63.3333333333333</v>
      </c>
      <c r="Y156" s="2" t="n">
        <f aca="false">S156*Settings!$B$3/SUM(S156:X156)</f>
        <v>78.264395782644</v>
      </c>
      <c r="Z156" s="2" t="n">
        <f aca="false">T156*Settings!$B$3/SUM(S156:X156)</f>
        <v>105.433901054339</v>
      </c>
      <c r="AA156" s="2" t="n">
        <f aca="false">U156*Settings!$B$3/SUM(S156:X156)</f>
        <v>73.3982157339822</v>
      </c>
      <c r="AB156" s="2" t="n">
        <f aca="false">V156*Settings!$B$3/SUM(S156:X156)</f>
        <v>90.8353609083536</v>
      </c>
      <c r="AC156" s="2" t="n">
        <f aca="false">W156*Settings!$B$3/SUM(S156:X156)</f>
        <v>75.0202757502028</v>
      </c>
      <c r="AD156" s="2" t="n">
        <f aca="false">X156*Settings!$B$3/SUM(S156:X156)</f>
        <v>77.0478507704785</v>
      </c>
      <c r="AE156" s="2" t="n">
        <f aca="false">INT(Y156)</f>
        <v>78</v>
      </c>
      <c r="AF156" s="2" t="n">
        <f aca="false">INT(Z156)</f>
        <v>105</v>
      </c>
      <c r="AG156" s="2" t="n">
        <f aca="false">INT(AA156)</f>
        <v>73</v>
      </c>
      <c r="AH156" s="2" t="n">
        <f aca="false">INT(AB156)</f>
        <v>90</v>
      </c>
      <c r="AI156" s="2" t="n">
        <f aca="false">INT(AC156)</f>
        <v>75</v>
      </c>
      <c r="AJ156" s="2" t="n">
        <f aca="false">INT(AD156)</f>
        <v>77</v>
      </c>
      <c r="AK156" s="2" t="n">
        <f aca="false">Settings!$B$3-SUM(AE156:AJ156)</f>
        <v>2</v>
      </c>
      <c r="AL156" s="2" t="n">
        <f aca="false">ROUND(Y156-AE156,9)</f>
        <v>0.264395783</v>
      </c>
      <c r="AM156" s="2" t="n">
        <f aca="false">ROUND(Z156-AF156,9)</f>
        <v>0.433901054</v>
      </c>
      <c r="AN156" s="2" t="n">
        <f aca="false">ROUND(AA156-AG156,9)</f>
        <v>0.398215734</v>
      </c>
      <c r="AO156" s="2" t="n">
        <f aca="false">ROUND(AB156-AH156,9)</f>
        <v>0.835360908</v>
      </c>
      <c r="AP156" s="2" t="n">
        <f aca="false">ROUND(AC156-AI156,9)</f>
        <v>0.02027575</v>
      </c>
      <c r="AQ156" s="2" t="n">
        <f aca="false">ROUND(AD156-AJ156,9)</f>
        <v>0.04785077</v>
      </c>
    </row>
    <row r="157" customFormat="false" ht="15" hidden="false" customHeight="false" outlineLevel="0" collapsed="false">
      <c r="A157" s="2" t="n">
        <v>156</v>
      </c>
      <c r="B157" s="6" t="n">
        <v>4</v>
      </c>
      <c r="C157" s="6" t="n">
        <v>10</v>
      </c>
      <c r="D157" s="8" t="str">
        <f aca="false">INDEX(Bases!$B$2:$B$53,B157)</f>
        <v>Growlithe</v>
      </c>
      <c r="E157" s="8" t="str">
        <f aca="false">INDEX(Bases!$B$2:$B$53,C157)</f>
        <v>Pichu</v>
      </c>
      <c r="F157" s="2" t="str">
        <f aca="false">LEFT(D157,ROUNDUP(LEN(D157)/2,0))&amp;LOWER(MID(E157,ROUNDUP(LEN(E157)/2,0)+1,20))</f>
        <v>Growlhu</v>
      </c>
      <c r="G157" s="8" t="str">
        <f aca="false">INDEX(Bases!$C$2:$C$53,B157)</f>
        <v>Fire</v>
      </c>
      <c r="H157" s="8" t="str">
        <f aca="false">IF(INDEX(Bases!$C$2:$C$53,C157)=G157,"",INDEX(Bases!$C$2:$C$53,C157))</f>
        <v>Electric</v>
      </c>
      <c r="I157" s="8" t="str">
        <f aca="false">IF(INDEX(Bases!$E$2:$E$53,B157)="","",INDEX(Bases!$E$2:$E$53,B157))</f>
        <v/>
      </c>
      <c r="J157" s="8" t="str">
        <f aca="false">IF(INDEX(Bases!$E$2:$E$53,C157)="","",INDEX(Bases!$E$2:$E$53,C157))</f>
        <v/>
      </c>
      <c r="K157" s="5"/>
      <c r="L157" s="2" t="n">
        <f aca="false">AE157+IF(SUMPRODUCT(--($AL157:$AQ157&gt;AL157))&lt;$AK157,1,0)</f>
        <v>66</v>
      </c>
      <c r="M157" s="2" t="n">
        <f aca="false">AF157+IF(SUMPRODUCT(--($AL157:$AQ157&gt;AM157))+SUMPRODUCT(--($AL157:AL157=AM157))&lt;$AK157,1,0)</f>
        <v>94</v>
      </c>
      <c r="N157" s="2" t="n">
        <f aca="false">AG157+IF(SUMPRODUCT(--($AL157:$AQ157&gt;AN157))+SUMPRODUCT(--($AL157:AM157=AN157))&lt;$AK157,1,0)</f>
        <v>52</v>
      </c>
      <c r="O157" s="2" t="n">
        <f aca="false">AH157+IF(SUMPRODUCT(--($AL157:$AQ157&gt;AO157))+SUMPRODUCT(--($AL157:AN157=AO157))&lt;$AK157,1,0)</f>
        <v>91</v>
      </c>
      <c r="P157" s="2" t="n">
        <f aca="false">AI157+IF(SUMPRODUCT(--($AL157:$AQ157&gt;AP157))+SUMPRODUCT(--($AL157:AO157=AP157))&lt;$AK157,1,0)</f>
        <v>77</v>
      </c>
      <c r="Q157" s="2" t="n">
        <f aca="false">AJ157+IF(SUMPRODUCT(--($AL157:$AQ157&gt;AQ157))+SUMPRODUCT(--($AL157:AP157=AQ157))&lt;$AK157,1,0)</f>
        <v>120</v>
      </c>
      <c r="R157" s="2" t="n">
        <f aca="false">SUM(L157:Q157)</f>
        <v>500</v>
      </c>
      <c r="S157" s="2" t="n">
        <f aca="false">Settings!$B$4*MAX(INDEX(Bases!$M$2:$M$53,B157),INDEX(Bases!$M$2:$M$53,C157))+Settings!$B$5*MIN(INDEX(Bases!$M$2:$M$53,B157),INDEX(Bases!$M$2:$M$53,C157))</f>
        <v>55</v>
      </c>
      <c r="T157" s="2" t="n">
        <f aca="false">Settings!$B$4*MAX(INDEX(Bases!$N$2:$N$53,B157),INDEX(Bases!$N$2:$N$53,C157))+Settings!$B$5*MIN(INDEX(Bases!$N$2:$N$53,B157),INDEX(Bases!$N$2:$N$53,C157))</f>
        <v>79.3333333333333</v>
      </c>
      <c r="U157" s="2" t="n">
        <f aca="false">Settings!$B$4*MAX(INDEX(Bases!$O$2:$O$53,B157),INDEX(Bases!$O$2:$O$53,C157))+Settings!$B$5*MIN(INDEX(Bases!$O$2:$O$53,B157),INDEX(Bases!$O$2:$O$53,C157))</f>
        <v>43.6666666666667</v>
      </c>
      <c r="V157" s="2" t="n">
        <f aca="false">Settings!$B$4*MAX(INDEX(Bases!$P$2:$P$53,B157),INDEX(Bases!$P$2:$P$53,C157))+Settings!$B$5*MIN(INDEX(Bases!$P$2:$P$53,B157),INDEX(Bases!$P$2:$P$53,C157))</f>
        <v>76.3333333333333</v>
      </c>
      <c r="W157" s="2" t="n">
        <f aca="false">Settings!$B$4*MAX(INDEX(Bases!$Q$2:$Q$53,B157),INDEX(Bases!$Q$2:$Q$53,C157))+Settings!$B$5*MIN(INDEX(Bases!$Q$2:$Q$53,B157),INDEX(Bases!$Q$2:$Q$53,C157))</f>
        <v>64.3333333333333</v>
      </c>
      <c r="X157" s="2" t="n">
        <f aca="false">Settings!$B$4*MAX(INDEX(Bases!$R$2:$R$53,B157),INDEX(Bases!$R$2:$R$53,C157))+Settings!$B$5*MIN(INDEX(Bases!$R$2:$R$53,B157),INDEX(Bases!$R$2:$R$53,C157))</f>
        <v>101</v>
      </c>
      <c r="Y157" s="2" t="n">
        <f aca="false">S157*Settings!$B$3/SUM(S157:X157)</f>
        <v>65.5281969817315</v>
      </c>
      <c r="Z157" s="2" t="n">
        <f aca="false">T157*Settings!$B$3/SUM(S157:X157)</f>
        <v>94.5194598888006</v>
      </c>
      <c r="AA157" s="2" t="n">
        <f aca="false">U157*Settings!$B$3/SUM(S157:X157)</f>
        <v>52.0254169976172</v>
      </c>
      <c r="AB157" s="2" t="n">
        <f aca="false">V157*Settings!$B$3/SUM(S157:X157)</f>
        <v>90.945194598888</v>
      </c>
      <c r="AC157" s="2" t="n">
        <f aca="false">W157*Settings!$B$3/SUM(S157:X157)</f>
        <v>76.6481334392375</v>
      </c>
      <c r="AD157" s="2" t="n">
        <f aca="false">X157*Settings!$B$3/SUM(S157:X157)</f>
        <v>120.333598093725</v>
      </c>
      <c r="AE157" s="2" t="n">
        <f aca="false">INT(Y157)</f>
        <v>65</v>
      </c>
      <c r="AF157" s="2" t="n">
        <f aca="false">INT(Z157)</f>
        <v>94</v>
      </c>
      <c r="AG157" s="2" t="n">
        <f aca="false">INT(AA157)</f>
        <v>52</v>
      </c>
      <c r="AH157" s="2" t="n">
        <f aca="false">INT(AB157)</f>
        <v>90</v>
      </c>
      <c r="AI157" s="2" t="n">
        <f aca="false">INT(AC157)</f>
        <v>76</v>
      </c>
      <c r="AJ157" s="2" t="n">
        <f aca="false">INT(AD157)</f>
        <v>120</v>
      </c>
      <c r="AK157" s="2" t="n">
        <f aca="false">Settings!$B$3-SUM(AE157:AJ157)</f>
        <v>3</v>
      </c>
      <c r="AL157" s="2" t="n">
        <f aca="false">ROUND(Y157-AE157,9)</f>
        <v>0.528196982</v>
      </c>
      <c r="AM157" s="2" t="n">
        <f aca="false">ROUND(Z157-AF157,9)</f>
        <v>0.519459889</v>
      </c>
      <c r="AN157" s="2" t="n">
        <f aca="false">ROUND(AA157-AG157,9)</f>
        <v>0.025416998</v>
      </c>
      <c r="AO157" s="2" t="n">
        <f aca="false">ROUND(AB157-AH157,9)</f>
        <v>0.945194599</v>
      </c>
      <c r="AP157" s="2" t="n">
        <f aca="false">ROUND(AC157-AI157,9)</f>
        <v>0.648133439</v>
      </c>
      <c r="AQ157" s="2" t="n">
        <f aca="false">ROUND(AD157-AJ157,9)</f>
        <v>0.333598094</v>
      </c>
    </row>
    <row r="158" customFormat="false" ht="15" hidden="false" customHeight="false" outlineLevel="0" collapsed="false">
      <c r="A158" s="2" t="n">
        <v>157</v>
      </c>
      <c r="B158" s="6" t="n">
        <v>4</v>
      </c>
      <c r="C158" s="6" t="n">
        <v>11</v>
      </c>
      <c r="D158" s="8" t="str">
        <f aca="false">INDEX(Bases!$B$2:$B$53,B158)</f>
        <v>Growlithe</v>
      </c>
      <c r="E158" s="8" t="str">
        <f aca="false">INDEX(Bases!$B$2:$B$53,C158)</f>
        <v>Voltorb</v>
      </c>
      <c r="F158" s="2" t="str">
        <f aca="false">LEFT(D158,ROUNDUP(LEN(D158)/2,0))&amp;LOWER(MID(E158,ROUNDUP(LEN(E158)/2,0)+1,20))</f>
        <v>Growlorb</v>
      </c>
      <c r="G158" s="8" t="str">
        <f aca="false">INDEX(Bases!$C$2:$C$53,B158)</f>
        <v>Fire</v>
      </c>
      <c r="H158" s="8" t="str">
        <f aca="false">IF(INDEX(Bases!$C$2:$C$53,C158)=G158,"",INDEX(Bases!$C$2:$C$53,C158))</f>
        <v>Electric</v>
      </c>
      <c r="I158" s="8" t="str">
        <f aca="false">IF(INDEX(Bases!$E$2:$E$53,B158)="","",INDEX(Bases!$E$2:$E$53,B158))</f>
        <v/>
      </c>
      <c r="J158" s="8" t="str">
        <f aca="false">IF(INDEX(Bases!$E$2:$E$53,C158)="","",INDEX(Bases!$E$2:$E$53,C158))</f>
        <v/>
      </c>
      <c r="K158" s="5"/>
      <c r="L158" s="2" t="n">
        <f aca="false">AE158+IF(SUMPRODUCT(--($AL158:$AQ158&gt;AL158))&lt;$AK158,1,0)</f>
        <v>69</v>
      </c>
      <c r="M158" s="2" t="n">
        <f aca="false">AF158+IF(SUMPRODUCT(--($AL158:$AQ158&gt;AM158))+SUMPRODUCT(--($AL158:AL158=AM158))&lt;$AK158,1,0)</f>
        <v>77</v>
      </c>
      <c r="N158" s="2" t="n">
        <f aca="false">AG158+IF(SUMPRODUCT(--($AL158:$AQ158&gt;AN158))+SUMPRODUCT(--($AL158:AM158=AN158))&lt;$AK158,1,0)</f>
        <v>68</v>
      </c>
      <c r="O158" s="2" t="n">
        <f aca="false">AH158+IF(SUMPRODUCT(--($AL158:$AQ158&gt;AO158))+SUMPRODUCT(--($AL158:AN158=AO158))&lt;$AK158,1,0)</f>
        <v>89</v>
      </c>
      <c r="P158" s="2" t="n">
        <f aca="false">AI158+IF(SUMPRODUCT(--($AL158:$AQ158&gt;AP158))+SUMPRODUCT(--($AL158:AO158=AP158))&lt;$AK158,1,0)</f>
        <v>75</v>
      </c>
      <c r="Q158" s="2" t="n">
        <f aca="false">AJ158+IF(SUMPRODUCT(--($AL158:$AQ158&gt;AQ158))+SUMPRODUCT(--($AL158:AP158=AQ158))&lt;$AK158,1,0)</f>
        <v>122</v>
      </c>
      <c r="R158" s="2" t="n">
        <f aca="false">SUM(L158:Q158)</f>
        <v>500</v>
      </c>
      <c r="S158" s="2" t="n">
        <f aca="false">Settings!$B$4*MAX(INDEX(Bases!$M$2:$M$53,B158),INDEX(Bases!$M$2:$M$53,C158))+Settings!$B$5*MIN(INDEX(Bases!$M$2:$M$53,B158),INDEX(Bases!$M$2:$M$53,C158))</f>
        <v>58</v>
      </c>
      <c r="T158" s="2" t="n">
        <f aca="false">Settings!$B$4*MAX(INDEX(Bases!$N$2:$N$53,B158),INDEX(Bases!$N$2:$N$53,C158))+Settings!$B$5*MIN(INDEX(Bases!$N$2:$N$53,B158),INDEX(Bases!$N$2:$N$53,C158))</f>
        <v>65.3333333333333</v>
      </c>
      <c r="U158" s="2" t="n">
        <f aca="false">Settings!$B$4*MAX(INDEX(Bases!$O$2:$O$53,B158),INDEX(Bases!$O$2:$O$53,C158))+Settings!$B$5*MIN(INDEX(Bases!$O$2:$O$53,B158),INDEX(Bases!$O$2:$O$53,C158))</f>
        <v>57.6666666666667</v>
      </c>
      <c r="V158" s="2" t="n">
        <f aca="false">Settings!$B$4*MAX(INDEX(Bases!$P$2:$P$53,B158),INDEX(Bases!$P$2:$P$53,C158))+Settings!$B$5*MIN(INDEX(Bases!$P$2:$P$53,B158),INDEX(Bases!$P$2:$P$53,C158))</f>
        <v>75.6666666666667</v>
      </c>
      <c r="W158" s="2" t="n">
        <f aca="false">Settings!$B$4*MAX(INDEX(Bases!$Q$2:$Q$53,B158),INDEX(Bases!$Q$2:$Q$53,C158))+Settings!$B$5*MIN(INDEX(Bases!$Q$2:$Q$53,B158),INDEX(Bases!$Q$2:$Q$53,C158))</f>
        <v>63.6666666666667</v>
      </c>
      <c r="X158" s="2" t="n">
        <f aca="false">Settings!$B$4*MAX(INDEX(Bases!$R$2:$R$53,B158),INDEX(Bases!$R$2:$R$53,C158))+Settings!$B$5*MIN(INDEX(Bases!$R$2:$R$53,B158),INDEX(Bases!$R$2:$R$53,C158))</f>
        <v>103.666666666667</v>
      </c>
      <c r="Y158" s="2" t="n">
        <f aca="false">S158*Settings!$B$3/SUM(S158:X158)</f>
        <v>68.3962264150943</v>
      </c>
      <c r="Z158" s="2" t="n">
        <f aca="false">T158*Settings!$B$3/SUM(S158:X158)</f>
        <v>77.0440251572327</v>
      </c>
      <c r="AA158" s="2" t="n">
        <f aca="false">U158*Settings!$B$3/SUM(S158:X158)</f>
        <v>68.0031446540881</v>
      </c>
      <c r="AB158" s="2" t="n">
        <f aca="false">V158*Settings!$B$3/SUM(S158:X158)</f>
        <v>89.2295597484277</v>
      </c>
      <c r="AC158" s="2" t="n">
        <f aca="false">W158*Settings!$B$3/SUM(S158:X158)</f>
        <v>75.0786163522013</v>
      </c>
      <c r="AD158" s="2" t="n">
        <f aca="false">X158*Settings!$B$3/SUM(S158:X158)</f>
        <v>122.248427672956</v>
      </c>
      <c r="AE158" s="2" t="n">
        <f aca="false">INT(Y158)</f>
        <v>68</v>
      </c>
      <c r="AF158" s="2" t="n">
        <f aca="false">INT(Z158)</f>
        <v>77</v>
      </c>
      <c r="AG158" s="2" t="n">
        <f aca="false">INT(AA158)</f>
        <v>68</v>
      </c>
      <c r="AH158" s="2" t="n">
        <f aca="false">INT(AB158)</f>
        <v>89</v>
      </c>
      <c r="AI158" s="2" t="n">
        <f aca="false">INT(AC158)</f>
        <v>75</v>
      </c>
      <c r="AJ158" s="2" t="n">
        <f aca="false">INT(AD158)</f>
        <v>122</v>
      </c>
      <c r="AK158" s="2" t="n">
        <f aca="false">Settings!$B$3-SUM(AE158:AJ158)</f>
        <v>1</v>
      </c>
      <c r="AL158" s="2" t="n">
        <f aca="false">ROUND(Y158-AE158,9)</f>
        <v>0.396226415</v>
      </c>
      <c r="AM158" s="2" t="n">
        <f aca="false">ROUND(Z158-AF158,9)</f>
        <v>0.044025157</v>
      </c>
      <c r="AN158" s="2" t="n">
        <f aca="false">ROUND(AA158-AG158,9)</f>
        <v>0.003144654</v>
      </c>
      <c r="AO158" s="2" t="n">
        <f aca="false">ROUND(AB158-AH158,9)</f>
        <v>0.229559748</v>
      </c>
      <c r="AP158" s="2" t="n">
        <f aca="false">ROUND(AC158-AI158,9)</f>
        <v>0.078616352</v>
      </c>
      <c r="AQ158" s="2" t="n">
        <f aca="false">ROUND(AD158-AJ158,9)</f>
        <v>0.248427673</v>
      </c>
    </row>
    <row r="159" customFormat="false" ht="15" hidden="false" customHeight="false" outlineLevel="0" collapsed="false">
      <c r="A159" s="2" t="n">
        <v>158</v>
      </c>
      <c r="B159" s="6" t="n">
        <v>4</v>
      </c>
      <c r="C159" s="6" t="n">
        <v>12</v>
      </c>
      <c r="D159" s="8" t="str">
        <f aca="false">INDEX(Bases!$B$2:$B$53,B159)</f>
        <v>Growlithe</v>
      </c>
      <c r="E159" s="8" t="str">
        <f aca="false">INDEX(Bases!$B$2:$B$53,C159)</f>
        <v>Mareep</v>
      </c>
      <c r="F159" s="2" t="str">
        <f aca="false">LEFT(D159,ROUNDUP(LEN(D159)/2,0))&amp;LOWER(MID(E159,ROUNDUP(LEN(E159)/2,0)+1,20))</f>
        <v>Growleep</v>
      </c>
      <c r="G159" s="8" t="str">
        <f aca="false">INDEX(Bases!$C$2:$C$53,B159)</f>
        <v>Fire</v>
      </c>
      <c r="H159" s="8" t="str">
        <f aca="false">IF(INDEX(Bases!$C$2:$C$53,C159)=G159,"",INDEX(Bases!$C$2:$C$53,C159))</f>
        <v>Electric</v>
      </c>
      <c r="I159" s="8" t="str">
        <f aca="false">IF(INDEX(Bases!$E$2:$E$53,B159)="","",INDEX(Bases!$E$2:$E$53,B159))</f>
        <v/>
      </c>
      <c r="J159" s="8" t="str">
        <f aca="false">IF(INDEX(Bases!$E$2:$E$53,C159)="","",INDEX(Bases!$E$2:$E$53,C159))</f>
        <v/>
      </c>
      <c r="K159" s="5"/>
      <c r="L159" s="2" t="n">
        <f aca="false">AE159+IF(SUMPRODUCT(--($AL159:$AQ159&gt;AL159))&lt;$AK159,1,0)</f>
        <v>89</v>
      </c>
      <c r="M159" s="2" t="n">
        <f aca="false">AF159+IF(SUMPRODUCT(--($AL159:$AQ159&gt;AM159))+SUMPRODUCT(--($AL159:AL159=AM159))&lt;$AK159,1,0)</f>
        <v>87</v>
      </c>
      <c r="N159" s="2" t="n">
        <f aca="false">AG159+IF(SUMPRODUCT(--($AL159:$AQ159&gt;AN159))+SUMPRODUCT(--($AL159:AM159=AN159))&lt;$AK159,1,0)</f>
        <v>66</v>
      </c>
      <c r="O159" s="2" t="n">
        <f aca="false">AH159+IF(SUMPRODUCT(--($AL159:$AQ159&gt;AO159))+SUMPRODUCT(--($AL159:AN159=AO159))&lt;$AK159,1,0)</f>
        <v>107</v>
      </c>
      <c r="P159" s="2" t="n">
        <f aca="false">AI159+IF(SUMPRODUCT(--($AL159:$AQ159&gt;AP159))+SUMPRODUCT(--($AL159:AO159=AP159))&lt;$AK159,1,0)</f>
        <v>75</v>
      </c>
      <c r="Q159" s="2" t="n">
        <f aca="false">AJ159+IF(SUMPRODUCT(--($AL159:$AQ159&gt;AQ159))+SUMPRODUCT(--($AL159:AP159=AQ159))&lt;$AK159,1,0)</f>
        <v>76</v>
      </c>
      <c r="R159" s="2" t="n">
        <f aca="false">SUM(L159:Q159)</f>
        <v>500</v>
      </c>
      <c r="S159" s="2" t="n">
        <f aca="false">Settings!$B$4*MAX(INDEX(Bases!$M$2:$M$53,B159),INDEX(Bases!$M$2:$M$53,C159))+Settings!$B$5*MIN(INDEX(Bases!$M$2:$M$53,B159),INDEX(Bases!$M$2:$M$53,C159))</f>
        <v>73.6666666666667</v>
      </c>
      <c r="T159" s="2" t="n">
        <f aca="false">Settings!$B$4*MAX(INDEX(Bases!$N$2:$N$53,B159),INDEX(Bases!$N$2:$N$53,C159))+Settings!$B$5*MIN(INDEX(Bases!$N$2:$N$53,B159),INDEX(Bases!$N$2:$N$53,C159))</f>
        <v>72.3333333333333</v>
      </c>
      <c r="U159" s="2" t="n">
        <f aca="false">Settings!$B$4*MAX(INDEX(Bases!$O$2:$O$53,B159),INDEX(Bases!$O$2:$O$53,C159))+Settings!$B$5*MIN(INDEX(Bases!$O$2:$O$53,B159),INDEX(Bases!$O$2:$O$53,C159))</f>
        <v>55</v>
      </c>
      <c r="V159" s="2" t="n">
        <f aca="false">Settings!$B$4*MAX(INDEX(Bases!$P$2:$P$53,B159),INDEX(Bases!$P$2:$P$53,C159))+Settings!$B$5*MIN(INDEX(Bases!$P$2:$P$53,B159),INDEX(Bases!$P$2:$P$53,C159))</f>
        <v>88.6666666666667</v>
      </c>
      <c r="W159" s="2" t="n">
        <f aca="false">Settings!$B$4*MAX(INDEX(Bases!$Q$2:$Q$53,B159),INDEX(Bases!$Q$2:$Q$53,C159))+Settings!$B$5*MIN(INDEX(Bases!$Q$2:$Q$53,B159),INDEX(Bases!$Q$2:$Q$53,C159))</f>
        <v>61.6666666666667</v>
      </c>
      <c r="X159" s="2" t="n">
        <f aca="false">Settings!$B$4*MAX(INDEX(Bases!$R$2:$R$53,B159),INDEX(Bases!$R$2:$R$53,C159))+Settings!$B$5*MIN(INDEX(Bases!$R$2:$R$53,B159),INDEX(Bases!$R$2:$R$53,C159))</f>
        <v>62.6666666666667</v>
      </c>
      <c r="Y159" s="2" t="n">
        <f aca="false">S159*Settings!$B$3/SUM(S159:X159)</f>
        <v>88.9694041867955</v>
      </c>
      <c r="Z159" s="2" t="n">
        <f aca="false">T159*Settings!$B$3/SUM(S159:X159)</f>
        <v>87.3590982286634</v>
      </c>
      <c r="AA159" s="2" t="n">
        <f aca="false">U159*Settings!$B$3/SUM(S159:X159)</f>
        <v>66.4251207729469</v>
      </c>
      <c r="AB159" s="2" t="n">
        <f aca="false">V159*Settings!$B$3/SUM(S159:X159)</f>
        <v>107.085346215781</v>
      </c>
      <c r="AC159" s="2" t="n">
        <f aca="false">W159*Settings!$B$3/SUM(S159:X159)</f>
        <v>74.4766505636071</v>
      </c>
      <c r="AD159" s="2" t="n">
        <f aca="false">X159*Settings!$B$3/SUM(S159:X159)</f>
        <v>75.6843800322061</v>
      </c>
      <c r="AE159" s="2" t="n">
        <f aca="false">INT(Y159)</f>
        <v>88</v>
      </c>
      <c r="AF159" s="2" t="n">
        <f aca="false">INT(Z159)</f>
        <v>87</v>
      </c>
      <c r="AG159" s="2" t="n">
        <f aca="false">INT(AA159)</f>
        <v>66</v>
      </c>
      <c r="AH159" s="2" t="n">
        <f aca="false">INT(AB159)</f>
        <v>107</v>
      </c>
      <c r="AI159" s="2" t="n">
        <f aca="false">INT(AC159)</f>
        <v>74</v>
      </c>
      <c r="AJ159" s="2" t="n">
        <f aca="false">INT(AD159)</f>
        <v>75</v>
      </c>
      <c r="AK159" s="2" t="n">
        <f aca="false">Settings!$B$3-SUM(AE159:AJ159)</f>
        <v>3</v>
      </c>
      <c r="AL159" s="2" t="n">
        <f aca="false">ROUND(Y159-AE159,9)</f>
        <v>0.969404187</v>
      </c>
      <c r="AM159" s="2" t="n">
        <f aca="false">ROUND(Z159-AF159,9)</f>
        <v>0.359098229</v>
      </c>
      <c r="AN159" s="2" t="n">
        <f aca="false">ROUND(AA159-AG159,9)</f>
        <v>0.425120773</v>
      </c>
      <c r="AO159" s="2" t="n">
        <f aca="false">ROUND(AB159-AH159,9)</f>
        <v>0.085346216</v>
      </c>
      <c r="AP159" s="2" t="n">
        <f aca="false">ROUND(AC159-AI159,9)</f>
        <v>0.476650564</v>
      </c>
      <c r="AQ159" s="2" t="n">
        <f aca="false">ROUND(AD159-AJ159,9)</f>
        <v>0.684380032</v>
      </c>
    </row>
    <row r="160" customFormat="false" ht="15" hidden="false" customHeight="false" outlineLevel="0" collapsed="false">
      <c r="A160" s="2" t="n">
        <v>159</v>
      </c>
      <c r="B160" s="6" t="n">
        <v>4</v>
      </c>
      <c r="C160" s="6" t="n">
        <v>13</v>
      </c>
      <c r="D160" s="8" t="str">
        <f aca="false">INDEX(Bases!$B$2:$B$53,B160)</f>
        <v>Growlithe</v>
      </c>
      <c r="E160" s="8" t="str">
        <f aca="false">INDEX(Bases!$B$2:$B$53,C160)</f>
        <v>Bulbasaur</v>
      </c>
      <c r="F160" s="2" t="str">
        <f aca="false">LEFT(D160,ROUNDUP(LEN(D160)/2,0))&amp;LOWER(MID(E160,ROUNDUP(LEN(E160)/2,0)+1,20))</f>
        <v>Growlsaur</v>
      </c>
      <c r="G160" s="8" t="str">
        <f aca="false">INDEX(Bases!$C$2:$C$53,B160)</f>
        <v>Fire</v>
      </c>
      <c r="H160" s="8" t="str">
        <f aca="false">IF(INDEX(Bases!$C$2:$C$53,C160)=G160,"",INDEX(Bases!$C$2:$C$53,C160))</f>
        <v>Grass</v>
      </c>
      <c r="I160" s="8" t="str">
        <f aca="false">IF(INDEX(Bases!$E$2:$E$53,B160)="","",INDEX(Bases!$E$2:$E$53,B160))</f>
        <v/>
      </c>
      <c r="J160" s="8" t="str">
        <f aca="false">IF(INDEX(Bases!$E$2:$E$53,C160)="","",INDEX(Bases!$E$2:$E$53,C160))</f>
        <v/>
      </c>
      <c r="K160" s="5"/>
      <c r="L160" s="2" t="n">
        <f aca="false">AE160+IF(SUMPRODUCT(--($AL160:$AQ160&gt;AL160))&lt;$AK160,1,0)</f>
        <v>73</v>
      </c>
      <c r="M160" s="2" t="n">
        <f aca="false">AF160+IF(SUMPRODUCT(--($AL160:$AQ160&gt;AM160))+SUMPRODUCT(--($AL160:AL160=AM160))&lt;$AK160,1,0)</f>
        <v>90</v>
      </c>
      <c r="N160" s="2" t="n">
        <f aca="false">AG160+IF(SUMPRODUCT(--($AL160:$AQ160&gt;AN160))+SUMPRODUCT(--($AL160:AM160=AN160))&lt;$AK160,1,0)</f>
        <v>71</v>
      </c>
      <c r="O160" s="2" t="n">
        <f aca="false">AH160+IF(SUMPRODUCT(--($AL160:$AQ160&gt;AO160))+SUMPRODUCT(--($AL160:AN160=AO160))&lt;$AK160,1,0)</f>
        <v>99</v>
      </c>
      <c r="P160" s="2" t="n">
        <f aca="false">AI160+IF(SUMPRODUCT(--($AL160:$AQ160&gt;AP160))+SUMPRODUCT(--($AL160:AO160=AP160))&lt;$AK160,1,0)</f>
        <v>89</v>
      </c>
      <c r="Q160" s="2" t="n">
        <f aca="false">AJ160+IF(SUMPRODUCT(--($AL160:$AQ160&gt;AQ160))+SUMPRODUCT(--($AL160:AP160=AQ160))&lt;$AK160,1,0)</f>
        <v>78</v>
      </c>
      <c r="R160" s="2" t="n">
        <f aca="false">SUM(L160:Q160)</f>
        <v>500</v>
      </c>
      <c r="S160" s="2" t="n">
        <f aca="false">Settings!$B$4*MAX(INDEX(Bases!$M$2:$M$53,B160),INDEX(Bases!$M$2:$M$53,C160))+Settings!$B$5*MIN(INDEX(Bases!$M$2:$M$53,B160),INDEX(Bases!$M$2:$M$53,C160))</f>
        <v>60.6666666666667</v>
      </c>
      <c r="T160" s="2" t="n">
        <f aca="false">Settings!$B$4*MAX(INDEX(Bases!$N$2:$N$53,B160),INDEX(Bases!$N$2:$N$53,C160))+Settings!$B$5*MIN(INDEX(Bases!$N$2:$N$53,B160),INDEX(Bases!$N$2:$N$53,C160))</f>
        <v>74</v>
      </c>
      <c r="U160" s="2" t="n">
        <f aca="false">Settings!$B$4*MAX(INDEX(Bases!$O$2:$O$53,B160),INDEX(Bases!$O$2:$O$53,C160))+Settings!$B$5*MIN(INDEX(Bases!$O$2:$O$53,B160),INDEX(Bases!$O$2:$O$53,C160))</f>
        <v>58.3333333333333</v>
      </c>
      <c r="V160" s="2" t="n">
        <f aca="false">Settings!$B$4*MAX(INDEX(Bases!$P$2:$P$53,B160),INDEX(Bases!$P$2:$P$53,C160))+Settings!$B$5*MIN(INDEX(Bases!$P$2:$P$53,B160),INDEX(Bases!$P$2:$P$53,C160))</f>
        <v>81.3333333333333</v>
      </c>
      <c r="W160" s="2" t="n">
        <f aca="false">Settings!$B$4*MAX(INDEX(Bases!$Q$2:$Q$53,B160),INDEX(Bases!$Q$2:$Q$53,C160))+Settings!$B$5*MIN(INDEX(Bases!$Q$2:$Q$53,B160),INDEX(Bases!$Q$2:$Q$53,C160))</f>
        <v>73.6666666666667</v>
      </c>
      <c r="X160" s="2" t="n">
        <f aca="false">Settings!$B$4*MAX(INDEX(Bases!$R$2:$R$53,B160),INDEX(Bases!$R$2:$R$53,C160))+Settings!$B$5*MIN(INDEX(Bases!$R$2:$R$53,B160),INDEX(Bases!$R$2:$R$53,C160))</f>
        <v>64.6666666666667</v>
      </c>
      <c r="Y160" s="2" t="n">
        <f aca="false">S160*Settings!$B$3/SUM(S160:X160)</f>
        <v>73.5056542810985</v>
      </c>
      <c r="Z160" s="2" t="n">
        <f aca="false">T160*Settings!$B$3/SUM(S160:X160)</f>
        <v>89.6607431340872</v>
      </c>
      <c r="AA160" s="2" t="n">
        <f aca="false">U160*Settings!$B$3/SUM(S160:X160)</f>
        <v>70.6785137318255</v>
      </c>
      <c r="AB160" s="2" t="n">
        <f aca="false">V160*Settings!$B$3/SUM(S160:X160)</f>
        <v>98.546042003231</v>
      </c>
      <c r="AC160" s="2" t="n">
        <f aca="false">W160*Settings!$B$3/SUM(S160:X160)</f>
        <v>89.2568659127625</v>
      </c>
      <c r="AD160" s="2" t="n">
        <f aca="false">X160*Settings!$B$3/SUM(S160:X160)</f>
        <v>78.3521809369952</v>
      </c>
      <c r="AE160" s="2" t="n">
        <f aca="false">INT(Y160)</f>
        <v>73</v>
      </c>
      <c r="AF160" s="2" t="n">
        <f aca="false">INT(Z160)</f>
        <v>89</v>
      </c>
      <c r="AG160" s="2" t="n">
        <f aca="false">INT(AA160)</f>
        <v>70</v>
      </c>
      <c r="AH160" s="2" t="n">
        <f aca="false">INT(AB160)</f>
        <v>98</v>
      </c>
      <c r="AI160" s="2" t="n">
        <f aca="false">INT(AC160)</f>
        <v>89</v>
      </c>
      <c r="AJ160" s="2" t="n">
        <f aca="false">INT(AD160)</f>
        <v>78</v>
      </c>
      <c r="AK160" s="2" t="n">
        <f aca="false">Settings!$B$3-SUM(AE160:AJ160)</f>
        <v>3</v>
      </c>
      <c r="AL160" s="2" t="n">
        <f aca="false">ROUND(Y160-AE160,9)</f>
        <v>0.505654281</v>
      </c>
      <c r="AM160" s="2" t="n">
        <f aca="false">ROUND(Z160-AF160,9)</f>
        <v>0.660743134</v>
      </c>
      <c r="AN160" s="2" t="n">
        <f aca="false">ROUND(AA160-AG160,9)</f>
        <v>0.678513732</v>
      </c>
      <c r="AO160" s="2" t="n">
        <f aca="false">ROUND(AB160-AH160,9)</f>
        <v>0.546042003</v>
      </c>
      <c r="AP160" s="2" t="n">
        <f aca="false">ROUND(AC160-AI160,9)</f>
        <v>0.256865913</v>
      </c>
      <c r="AQ160" s="2" t="n">
        <f aca="false">ROUND(AD160-AJ160,9)</f>
        <v>0.352180937</v>
      </c>
    </row>
    <row r="161" customFormat="false" ht="15" hidden="false" customHeight="false" outlineLevel="0" collapsed="false">
      <c r="A161" s="2" t="n">
        <v>160</v>
      </c>
      <c r="B161" s="6" t="n">
        <v>4</v>
      </c>
      <c r="C161" s="6" t="n">
        <v>14</v>
      </c>
      <c r="D161" s="8" t="str">
        <f aca="false">INDEX(Bases!$B$2:$B$53,B161)</f>
        <v>Growlithe</v>
      </c>
      <c r="E161" s="8" t="str">
        <f aca="false">INDEX(Bases!$B$2:$B$53,C161)</f>
        <v>Celebi</v>
      </c>
      <c r="F161" s="2" t="str">
        <f aca="false">LEFT(D161,ROUNDUP(LEN(D161)/2,0))&amp;LOWER(MID(E161,ROUNDUP(LEN(E161)/2,0)+1,20))</f>
        <v>Growlebi</v>
      </c>
      <c r="G161" s="8" t="str">
        <f aca="false">INDEX(Bases!$C$2:$C$53,B161)</f>
        <v>Fire</v>
      </c>
      <c r="H161" s="8" t="str">
        <f aca="false">IF(INDEX(Bases!$C$2:$C$53,C161)=G161,"",INDEX(Bases!$C$2:$C$53,C161))</f>
        <v>Grass</v>
      </c>
      <c r="I161" s="8" t="str">
        <f aca="false">IF(INDEX(Bases!$E$2:$E$53,B161)="","",INDEX(Bases!$E$2:$E$53,B161))</f>
        <v/>
      </c>
      <c r="J161" s="8" t="str">
        <f aca="false">IF(INDEX(Bases!$E$2:$E$53,C161)="","",INDEX(Bases!$E$2:$E$53,C161))</f>
        <v/>
      </c>
      <c r="K161" s="5"/>
      <c r="L161" s="2" t="n">
        <f aca="false">AE161+IF(SUMPRODUCT(--($AL161:$AQ161&gt;AL161))&lt;$AK161,1,0)</f>
        <v>80</v>
      </c>
      <c r="M161" s="2" t="n">
        <f aca="false">AF161+IF(SUMPRODUCT(--($AL161:$AQ161&gt;AM161))+SUMPRODUCT(--($AL161:AL161=AM161))&lt;$AK161,1,0)</f>
        <v>93</v>
      </c>
      <c r="N161" s="2" t="n">
        <f aca="false">AG161+IF(SUMPRODUCT(--($AL161:$AQ161&gt;AN161))+SUMPRODUCT(--($AL161:AM161=AN161))&lt;$AK161,1,0)</f>
        <v>75</v>
      </c>
      <c r="O161" s="2" t="n">
        <f aca="false">AH161+IF(SUMPRODUCT(--($AL161:$AQ161&gt;AO161))+SUMPRODUCT(--($AL161:AN161=AO161))&lt;$AK161,1,0)</f>
        <v>92</v>
      </c>
      <c r="P161" s="2" t="n">
        <f aca="false">AI161+IF(SUMPRODUCT(--($AL161:$AQ161&gt;AP161))+SUMPRODUCT(--($AL161:AO161=AP161))&lt;$AK161,1,0)</f>
        <v>77</v>
      </c>
      <c r="Q161" s="2" t="n">
        <f aca="false">AJ161+IF(SUMPRODUCT(--($AL161:$AQ161&gt;AQ161))+SUMPRODUCT(--($AL161:AP161=AQ161))&lt;$AK161,1,0)</f>
        <v>83</v>
      </c>
      <c r="R161" s="2" t="n">
        <f aca="false">SUM(L161:Q161)</f>
        <v>500</v>
      </c>
      <c r="S161" s="2" t="n">
        <f aca="false">Settings!$B$4*MAX(INDEX(Bases!$M$2:$M$53,B161),INDEX(Bases!$M$2:$M$53,C161))+Settings!$B$5*MIN(INDEX(Bases!$M$2:$M$53,B161),INDEX(Bases!$M$2:$M$53,C161))</f>
        <v>65.6666666666667</v>
      </c>
      <c r="T161" s="2" t="n">
        <f aca="false">Settings!$B$4*MAX(INDEX(Bases!$N$2:$N$53,B161),INDEX(Bases!$N$2:$N$53,C161))+Settings!$B$5*MIN(INDEX(Bases!$N$2:$N$53,B161),INDEX(Bases!$N$2:$N$53,C161))</f>
        <v>75.6666666666667</v>
      </c>
      <c r="U161" s="2" t="n">
        <f aca="false">Settings!$B$4*MAX(INDEX(Bases!$O$2:$O$53,B161),INDEX(Bases!$O$2:$O$53,C161))+Settings!$B$5*MIN(INDEX(Bases!$O$2:$O$53,B161),INDEX(Bases!$O$2:$O$53,C161))</f>
        <v>61.6666666666667</v>
      </c>
      <c r="V161" s="2" t="n">
        <f aca="false">Settings!$B$4*MAX(INDEX(Bases!$P$2:$P$53,B161),INDEX(Bases!$P$2:$P$53,C161))+Settings!$B$5*MIN(INDEX(Bases!$P$2:$P$53,B161),INDEX(Bases!$P$2:$P$53,C161))</f>
        <v>75.6666666666667</v>
      </c>
      <c r="W161" s="2" t="n">
        <f aca="false">Settings!$B$4*MAX(INDEX(Bases!$Q$2:$Q$53,B161),INDEX(Bases!$Q$2:$Q$53,C161))+Settings!$B$5*MIN(INDEX(Bases!$Q$2:$Q$53,B161),INDEX(Bases!$Q$2:$Q$53,C161))</f>
        <v>63</v>
      </c>
      <c r="X161" s="2" t="n">
        <f aca="false">Settings!$B$4*MAX(INDEX(Bases!$R$2:$R$53,B161),INDEX(Bases!$R$2:$R$53,C161))+Settings!$B$5*MIN(INDEX(Bases!$R$2:$R$53,B161),INDEX(Bases!$R$2:$R$53,C161))</f>
        <v>68</v>
      </c>
      <c r="Y161" s="2" t="n">
        <f aca="false">S161*Settings!$B$3/SUM(S161:X161)</f>
        <v>80.146460537022</v>
      </c>
      <c r="Z161" s="2" t="n">
        <f aca="false">T161*Settings!$B$3/SUM(S161:X161)</f>
        <v>92.3515052888527</v>
      </c>
      <c r="AA161" s="2" t="n">
        <f aca="false">U161*Settings!$B$3/SUM(S161:X161)</f>
        <v>75.2644426362897</v>
      </c>
      <c r="AB161" s="2" t="n">
        <f aca="false">V161*Settings!$B$3/SUM(S161:X161)</f>
        <v>92.3515052888527</v>
      </c>
      <c r="AC161" s="2" t="n">
        <f aca="false">W161*Settings!$B$3/SUM(S161:X161)</f>
        <v>76.8917819365338</v>
      </c>
      <c r="AD161" s="2" t="n">
        <f aca="false">X161*Settings!$B$3/SUM(S161:X161)</f>
        <v>82.9943043124492</v>
      </c>
      <c r="AE161" s="2" t="n">
        <f aca="false">INT(Y161)</f>
        <v>80</v>
      </c>
      <c r="AF161" s="2" t="n">
        <f aca="false">INT(Z161)</f>
        <v>92</v>
      </c>
      <c r="AG161" s="2" t="n">
        <f aca="false">INT(AA161)</f>
        <v>75</v>
      </c>
      <c r="AH161" s="2" t="n">
        <f aca="false">INT(AB161)</f>
        <v>92</v>
      </c>
      <c r="AI161" s="2" t="n">
        <f aca="false">INT(AC161)</f>
        <v>76</v>
      </c>
      <c r="AJ161" s="2" t="n">
        <f aca="false">INT(AD161)</f>
        <v>82</v>
      </c>
      <c r="AK161" s="2" t="n">
        <f aca="false">Settings!$B$3-SUM(AE161:AJ161)</f>
        <v>3</v>
      </c>
      <c r="AL161" s="2" t="n">
        <f aca="false">ROUND(Y161-AE161,9)</f>
        <v>0.146460537</v>
      </c>
      <c r="AM161" s="2" t="n">
        <f aca="false">ROUND(Z161-AF161,9)</f>
        <v>0.351505289</v>
      </c>
      <c r="AN161" s="2" t="n">
        <f aca="false">ROUND(AA161-AG161,9)</f>
        <v>0.264442636</v>
      </c>
      <c r="AO161" s="2" t="n">
        <f aca="false">ROUND(AB161-AH161,9)</f>
        <v>0.351505289</v>
      </c>
      <c r="AP161" s="2" t="n">
        <f aca="false">ROUND(AC161-AI161,9)</f>
        <v>0.891781937</v>
      </c>
      <c r="AQ161" s="2" t="n">
        <f aca="false">ROUND(AD161-AJ161,9)</f>
        <v>0.994304312</v>
      </c>
    </row>
    <row r="162" customFormat="false" ht="15" hidden="false" customHeight="false" outlineLevel="0" collapsed="false">
      <c r="A162" s="2" t="n">
        <v>161</v>
      </c>
      <c r="B162" s="6" t="n">
        <v>4</v>
      </c>
      <c r="C162" s="6" t="n">
        <v>15</v>
      </c>
      <c r="D162" s="8" t="str">
        <f aca="false">INDEX(Bases!$B$2:$B$53,B162)</f>
        <v>Growlithe</v>
      </c>
      <c r="E162" s="8" t="str">
        <f aca="false">INDEX(Bases!$B$2:$B$53,C162)</f>
        <v>Shroomish</v>
      </c>
      <c r="F162" s="2" t="str">
        <f aca="false">LEFT(D162,ROUNDUP(LEN(D162)/2,0))&amp;LOWER(MID(E162,ROUNDUP(LEN(E162)/2,0)+1,20))</f>
        <v>Growlmish</v>
      </c>
      <c r="G162" s="8" t="str">
        <f aca="false">INDEX(Bases!$C$2:$C$53,B162)</f>
        <v>Fire</v>
      </c>
      <c r="H162" s="8" t="str">
        <f aca="false">IF(INDEX(Bases!$C$2:$C$53,C162)=G162,"",INDEX(Bases!$C$2:$C$53,C162))</f>
        <v>Grass</v>
      </c>
      <c r="I162" s="8" t="str">
        <f aca="false">IF(INDEX(Bases!$E$2:$E$53,B162)="","",INDEX(Bases!$E$2:$E$53,B162))</f>
        <v/>
      </c>
      <c r="J162" s="8" t="str">
        <f aca="false">IF(INDEX(Bases!$E$2:$E$53,C162)="","",INDEX(Bases!$E$2:$E$53,C162))</f>
        <v/>
      </c>
      <c r="K162" s="5"/>
      <c r="L162" s="2" t="n">
        <f aca="false">AE162+IF(SUMPRODUCT(--($AL162:$AQ162&gt;AL162))&lt;$AK162,1,0)</f>
        <v>89</v>
      </c>
      <c r="M162" s="2" t="n">
        <f aca="false">AF162+IF(SUMPRODUCT(--($AL162:$AQ162&gt;AM162))+SUMPRODUCT(--($AL162:AL162=AM162))&lt;$AK162,1,0)</f>
        <v>84</v>
      </c>
      <c r="N162" s="2" t="n">
        <f aca="false">AG162+IF(SUMPRODUCT(--($AL162:$AQ162&gt;AN162))+SUMPRODUCT(--($AL162:AM162=AN162))&lt;$AK162,1,0)</f>
        <v>84</v>
      </c>
      <c r="O162" s="2" t="n">
        <f aca="false">AH162+IF(SUMPRODUCT(--($AL162:$AQ162&gt;AO162))+SUMPRODUCT(--($AL162:AN162=AO162))&lt;$AK162,1,0)</f>
        <v>84</v>
      </c>
      <c r="P162" s="2" t="n">
        <f aca="false">AI162+IF(SUMPRODUCT(--($AL162:$AQ162&gt;AP162))+SUMPRODUCT(--($AL162:AO162=AP162))&lt;$AK162,1,0)</f>
        <v>86</v>
      </c>
      <c r="Q162" s="2" t="n">
        <f aca="false">AJ162+IF(SUMPRODUCT(--($AL162:$AQ162&gt;AQ162))+SUMPRODUCT(--($AL162:AP162=AQ162))&lt;$AK162,1,0)</f>
        <v>73</v>
      </c>
      <c r="R162" s="2" t="n">
        <f aca="false">SUM(L162:Q162)</f>
        <v>500</v>
      </c>
      <c r="S162" s="2" t="n">
        <f aca="false">Settings!$B$4*MAX(INDEX(Bases!$M$2:$M$53,B162),INDEX(Bases!$M$2:$M$53,C162))+Settings!$B$5*MIN(INDEX(Bases!$M$2:$M$53,B162),INDEX(Bases!$M$2:$M$53,C162))</f>
        <v>75.6666666666667</v>
      </c>
      <c r="T162" s="2" t="n">
        <f aca="false">Settings!$B$4*MAX(INDEX(Bases!$N$2:$N$53,B162),INDEX(Bases!$N$2:$N$53,C162))+Settings!$B$5*MIN(INDEX(Bases!$N$2:$N$53,B162),INDEX(Bases!$N$2:$N$53,C162))</f>
        <v>71.3333333333333</v>
      </c>
      <c r="U162" s="2" t="n">
        <f aca="false">Settings!$B$4*MAX(INDEX(Bases!$O$2:$O$53,B162),INDEX(Bases!$O$2:$O$53,C162))+Settings!$B$5*MIN(INDEX(Bases!$O$2:$O$53,B162),INDEX(Bases!$O$2:$O$53,C162))</f>
        <v>71</v>
      </c>
      <c r="V162" s="2" t="n">
        <f aca="false">Settings!$B$4*MAX(INDEX(Bases!$P$2:$P$53,B162),INDEX(Bases!$P$2:$P$53,C162))+Settings!$B$5*MIN(INDEX(Bases!$P$2:$P$53,B162),INDEX(Bases!$P$2:$P$53,C162))</f>
        <v>71.3333333333333</v>
      </c>
      <c r="W162" s="2" t="n">
        <f aca="false">Settings!$B$4*MAX(INDEX(Bases!$Q$2:$Q$53,B162),INDEX(Bases!$Q$2:$Q$53,C162))+Settings!$B$5*MIN(INDEX(Bases!$Q$2:$Q$53,B162),INDEX(Bases!$Q$2:$Q$53,C162))</f>
        <v>73</v>
      </c>
      <c r="X162" s="2" t="n">
        <f aca="false">Settings!$B$4*MAX(INDEX(Bases!$R$2:$R$53,B162),INDEX(Bases!$R$2:$R$53,C162))+Settings!$B$5*MIN(INDEX(Bases!$R$2:$R$53,B162),INDEX(Bases!$R$2:$R$53,C162))</f>
        <v>62</v>
      </c>
      <c r="Y162" s="2" t="n">
        <f aca="false">S162*Settings!$B$3/SUM(S162:X162)</f>
        <v>89.159465828751</v>
      </c>
      <c r="Z162" s="2" t="n">
        <f aca="false">T162*Settings!$B$3/SUM(S162:X162)</f>
        <v>84.0534171249018</v>
      </c>
      <c r="AA162" s="2" t="n">
        <f aca="false">U162*Settings!$B$3/SUM(S162:X162)</f>
        <v>83.6606441476827</v>
      </c>
      <c r="AB162" s="2" t="n">
        <f aca="false">V162*Settings!$B$3/SUM(S162:X162)</f>
        <v>84.0534171249018</v>
      </c>
      <c r="AC162" s="2" t="n">
        <f aca="false">W162*Settings!$B$3/SUM(S162:X162)</f>
        <v>86.0172820109977</v>
      </c>
      <c r="AD162" s="2" t="n">
        <f aca="false">X162*Settings!$B$3/SUM(S162:X162)</f>
        <v>73.0557737627651</v>
      </c>
      <c r="AE162" s="2" t="n">
        <f aca="false">INT(Y162)</f>
        <v>89</v>
      </c>
      <c r="AF162" s="2" t="n">
        <f aca="false">INT(Z162)</f>
        <v>84</v>
      </c>
      <c r="AG162" s="2" t="n">
        <f aca="false">INT(AA162)</f>
        <v>83</v>
      </c>
      <c r="AH162" s="2" t="n">
        <f aca="false">INT(AB162)</f>
        <v>84</v>
      </c>
      <c r="AI162" s="2" t="n">
        <f aca="false">INT(AC162)</f>
        <v>86</v>
      </c>
      <c r="AJ162" s="2" t="n">
        <f aca="false">INT(AD162)</f>
        <v>73</v>
      </c>
      <c r="AK162" s="2" t="n">
        <f aca="false">Settings!$B$3-SUM(AE162:AJ162)</f>
        <v>1</v>
      </c>
      <c r="AL162" s="2" t="n">
        <f aca="false">ROUND(Y162-AE162,9)</f>
        <v>0.159465829</v>
      </c>
      <c r="AM162" s="2" t="n">
        <f aca="false">ROUND(Z162-AF162,9)</f>
        <v>0.053417125</v>
      </c>
      <c r="AN162" s="2" t="n">
        <f aca="false">ROUND(AA162-AG162,9)</f>
        <v>0.660644148</v>
      </c>
      <c r="AO162" s="2" t="n">
        <f aca="false">ROUND(AB162-AH162,9)</f>
        <v>0.053417125</v>
      </c>
      <c r="AP162" s="2" t="n">
        <f aca="false">ROUND(AC162-AI162,9)</f>
        <v>0.017282011</v>
      </c>
      <c r="AQ162" s="2" t="n">
        <f aca="false">ROUND(AD162-AJ162,9)</f>
        <v>0.055773763</v>
      </c>
    </row>
    <row r="163" customFormat="false" ht="15" hidden="false" customHeight="false" outlineLevel="0" collapsed="false">
      <c r="A163" s="2" t="n">
        <v>162</v>
      </c>
      <c r="B163" s="6" t="n">
        <v>4</v>
      </c>
      <c r="C163" s="6" t="n">
        <v>16</v>
      </c>
      <c r="D163" s="8" t="str">
        <f aca="false">INDEX(Bases!$B$2:$B$53,B163)</f>
        <v>Growlithe</v>
      </c>
      <c r="E163" s="8" t="str">
        <f aca="false">INDEX(Bases!$B$2:$B$53,C163)</f>
        <v>Swinub</v>
      </c>
      <c r="F163" s="2" t="str">
        <f aca="false">LEFT(D163,ROUNDUP(LEN(D163)/2,0))&amp;LOWER(MID(E163,ROUNDUP(LEN(E163)/2,0)+1,20))</f>
        <v>Growlnub</v>
      </c>
      <c r="G163" s="8" t="str">
        <f aca="false">INDEX(Bases!$C$2:$C$53,B163)</f>
        <v>Fire</v>
      </c>
      <c r="H163" s="8" t="str">
        <f aca="false">IF(INDEX(Bases!$C$2:$C$53,C163)=G163,"",INDEX(Bases!$C$2:$C$53,C163))</f>
        <v>Ice</v>
      </c>
      <c r="I163" s="8" t="str">
        <f aca="false">IF(INDEX(Bases!$E$2:$E$53,B163)="","",INDEX(Bases!$E$2:$E$53,B163))</f>
        <v/>
      </c>
      <c r="J163" s="8" t="str">
        <f aca="false">IF(INDEX(Bases!$E$2:$E$53,C163)="","",INDEX(Bases!$E$2:$E$53,C163))</f>
        <v/>
      </c>
      <c r="K163" s="5"/>
      <c r="L163" s="2" t="n">
        <f aca="false">AE163+IF(SUMPRODUCT(--($AL163:$AQ163&gt;AL163))&lt;$AK163,1,0)</f>
        <v>90</v>
      </c>
      <c r="M163" s="2" t="n">
        <f aca="false">AF163+IF(SUMPRODUCT(--($AL163:$AQ163&gt;AM163))+SUMPRODUCT(--($AL163:AL163=AM163))&lt;$AK163,1,0)</f>
        <v>97</v>
      </c>
      <c r="N163" s="2" t="n">
        <f aca="false">AG163+IF(SUMPRODUCT(--($AL163:$AQ163&gt;AN163))+SUMPRODUCT(--($AL163:AM163=AN163))&lt;$AK163,1,0)</f>
        <v>72</v>
      </c>
      <c r="O163" s="2" t="n">
        <f aca="false">AH163+IF(SUMPRODUCT(--($AL163:$AQ163&gt;AO163))+SUMPRODUCT(--($AL163:AN163=AO163))&lt;$AK163,1,0)</f>
        <v>84</v>
      </c>
      <c r="P163" s="2" t="n">
        <f aca="false">AI163+IF(SUMPRODUCT(--($AL163:$AQ163&gt;AP163))+SUMPRODUCT(--($AL163:AO163=AP163))&lt;$AK163,1,0)</f>
        <v>65</v>
      </c>
      <c r="Q163" s="2" t="n">
        <f aca="false">AJ163+IF(SUMPRODUCT(--($AL163:$AQ163&gt;AQ163))+SUMPRODUCT(--($AL163:AP163=AQ163))&lt;$AK163,1,0)</f>
        <v>92</v>
      </c>
      <c r="R163" s="2" t="n">
        <f aca="false">SUM(L163:Q163)</f>
        <v>500</v>
      </c>
      <c r="S163" s="2" t="n">
        <f aca="false">Settings!$B$4*MAX(INDEX(Bases!$M$2:$M$53,B163),INDEX(Bases!$M$2:$M$53,C163))+Settings!$B$5*MIN(INDEX(Bases!$M$2:$M$53,B163),INDEX(Bases!$M$2:$M$53,C163))</f>
        <v>74.3333333333333</v>
      </c>
      <c r="T163" s="2" t="n">
        <f aca="false">Settings!$B$4*MAX(INDEX(Bases!$N$2:$N$53,B163),INDEX(Bases!$N$2:$N$53,C163))+Settings!$B$5*MIN(INDEX(Bases!$N$2:$N$53,B163),INDEX(Bases!$N$2:$N$53,C163))</f>
        <v>80</v>
      </c>
      <c r="U163" s="2" t="n">
        <f aca="false">Settings!$B$4*MAX(INDEX(Bases!$O$2:$O$53,B163),INDEX(Bases!$O$2:$O$53,C163))+Settings!$B$5*MIN(INDEX(Bases!$O$2:$O$53,B163),INDEX(Bases!$O$2:$O$53,C163))</f>
        <v>59.6666666666667</v>
      </c>
      <c r="V163" s="2" t="n">
        <f aca="false">Settings!$B$4*MAX(INDEX(Bases!$P$2:$P$53,B163),INDEX(Bases!$P$2:$P$53,C163))+Settings!$B$5*MIN(INDEX(Bases!$P$2:$P$53,B163),INDEX(Bases!$P$2:$P$53,C163))</f>
        <v>69.3333333333333</v>
      </c>
      <c r="W163" s="2" t="n">
        <f aca="false">Settings!$B$4*MAX(INDEX(Bases!$Q$2:$Q$53,B163),INDEX(Bases!$Q$2:$Q$53,C163))+Settings!$B$5*MIN(INDEX(Bases!$Q$2:$Q$53,B163),INDEX(Bases!$Q$2:$Q$53,C163))</f>
        <v>54</v>
      </c>
      <c r="X163" s="2" t="n">
        <f aca="false">Settings!$B$4*MAX(INDEX(Bases!$R$2:$R$53,B163),INDEX(Bases!$R$2:$R$53,C163))+Settings!$B$5*MIN(INDEX(Bases!$R$2:$R$53,B163),INDEX(Bases!$R$2:$R$53,C163))</f>
        <v>76.3333333333333</v>
      </c>
      <c r="Y163" s="2" t="n">
        <f aca="false">S163*Settings!$B$3/SUM(S163:X163)</f>
        <v>89.8468976631749</v>
      </c>
      <c r="Z163" s="2" t="n">
        <f aca="false">T163*Settings!$B$3/SUM(S163:X163)</f>
        <v>96.696212731668</v>
      </c>
      <c r="AA163" s="2" t="n">
        <f aca="false">U163*Settings!$B$3/SUM(S163:X163)</f>
        <v>72.1192586623691</v>
      </c>
      <c r="AB163" s="2" t="n">
        <f aca="false">V163*Settings!$B$3/SUM(S163:X163)</f>
        <v>83.8033843674456</v>
      </c>
      <c r="AC163" s="2" t="n">
        <f aca="false">W163*Settings!$B$3/SUM(S163:X163)</f>
        <v>65.2699435938759</v>
      </c>
      <c r="AD163" s="2" t="n">
        <f aca="false">X163*Settings!$B$3/SUM(S163:X163)</f>
        <v>92.2643029814666</v>
      </c>
      <c r="AE163" s="2" t="n">
        <f aca="false">INT(Y163)</f>
        <v>89</v>
      </c>
      <c r="AF163" s="2" t="n">
        <f aca="false">INT(Z163)</f>
        <v>96</v>
      </c>
      <c r="AG163" s="2" t="n">
        <f aca="false">INT(AA163)</f>
        <v>72</v>
      </c>
      <c r="AH163" s="2" t="n">
        <f aca="false">INT(AB163)</f>
        <v>83</v>
      </c>
      <c r="AI163" s="2" t="n">
        <f aca="false">INT(AC163)</f>
        <v>65</v>
      </c>
      <c r="AJ163" s="2" t="n">
        <f aca="false">INT(AD163)</f>
        <v>92</v>
      </c>
      <c r="AK163" s="2" t="n">
        <f aca="false">Settings!$B$3-SUM(AE163:AJ163)</f>
        <v>3</v>
      </c>
      <c r="AL163" s="2" t="n">
        <f aca="false">ROUND(Y163-AE163,9)</f>
        <v>0.846897663</v>
      </c>
      <c r="AM163" s="2" t="n">
        <f aca="false">ROUND(Z163-AF163,9)</f>
        <v>0.696212732</v>
      </c>
      <c r="AN163" s="2" t="n">
        <f aca="false">ROUND(AA163-AG163,9)</f>
        <v>0.119258662</v>
      </c>
      <c r="AO163" s="2" t="n">
        <f aca="false">ROUND(AB163-AH163,9)</f>
        <v>0.803384367</v>
      </c>
      <c r="AP163" s="2" t="n">
        <f aca="false">ROUND(AC163-AI163,9)</f>
        <v>0.269943594</v>
      </c>
      <c r="AQ163" s="2" t="n">
        <f aca="false">ROUND(AD163-AJ163,9)</f>
        <v>0.264302981</v>
      </c>
    </row>
    <row r="164" customFormat="false" ht="15" hidden="false" customHeight="false" outlineLevel="0" collapsed="false">
      <c r="A164" s="2" t="n">
        <v>163</v>
      </c>
      <c r="B164" s="6" t="n">
        <v>4</v>
      </c>
      <c r="C164" s="6" t="n">
        <v>17</v>
      </c>
      <c r="D164" s="8" t="str">
        <f aca="false">INDEX(Bases!$B$2:$B$53,B164)</f>
        <v>Growlithe</v>
      </c>
      <c r="E164" s="8" t="str">
        <f aca="false">INDEX(Bases!$B$2:$B$53,C164)</f>
        <v>Snorunt</v>
      </c>
      <c r="F164" s="2" t="str">
        <f aca="false">LEFT(D164,ROUNDUP(LEN(D164)/2,0))&amp;LOWER(MID(E164,ROUNDUP(LEN(E164)/2,0)+1,20))</f>
        <v>Growlunt</v>
      </c>
      <c r="G164" s="8" t="str">
        <f aca="false">INDEX(Bases!$C$2:$C$53,B164)</f>
        <v>Fire</v>
      </c>
      <c r="H164" s="8" t="str">
        <f aca="false">IF(INDEX(Bases!$C$2:$C$53,C164)=G164,"",INDEX(Bases!$C$2:$C$53,C164))</f>
        <v>Ice</v>
      </c>
      <c r="I164" s="8" t="str">
        <f aca="false">IF(INDEX(Bases!$E$2:$E$53,B164)="","",INDEX(Bases!$E$2:$E$53,B164))</f>
        <v/>
      </c>
      <c r="J164" s="8" t="str">
        <f aca="false">IF(INDEX(Bases!$E$2:$E$53,C164)="","",INDEX(Bases!$E$2:$E$53,C164))</f>
        <v/>
      </c>
      <c r="K164" s="5"/>
      <c r="L164" s="2" t="n">
        <f aca="false">AE164+IF(SUMPRODUCT(--($AL164:$AQ164&gt;AL164))&lt;$AK164,1,0)</f>
        <v>80</v>
      </c>
      <c r="M164" s="2" t="n">
        <f aca="false">AF164+IF(SUMPRODUCT(--($AL164:$AQ164&gt;AM164))+SUMPRODUCT(--($AL164:AL164=AM164))&lt;$AK164,1,0)</f>
        <v>93</v>
      </c>
      <c r="N164" s="2" t="n">
        <f aca="false">AG164+IF(SUMPRODUCT(--($AL164:$AQ164&gt;AN164))+SUMPRODUCT(--($AL164:AM164=AN164))&lt;$AK164,1,0)</f>
        <v>75</v>
      </c>
      <c r="O164" s="2" t="n">
        <f aca="false">AH164+IF(SUMPRODUCT(--($AL164:$AQ164&gt;AO164))+SUMPRODUCT(--($AL164:AN164=AO164))&lt;$AK164,1,0)</f>
        <v>92</v>
      </c>
      <c r="P164" s="2" t="n">
        <f aca="false">AI164+IF(SUMPRODUCT(--($AL164:$AQ164&gt;AP164))+SUMPRODUCT(--($AL164:AO164=AP164))&lt;$AK164,1,0)</f>
        <v>77</v>
      </c>
      <c r="Q164" s="2" t="n">
        <f aca="false">AJ164+IF(SUMPRODUCT(--($AL164:$AQ164&gt;AQ164))+SUMPRODUCT(--($AL164:AP164=AQ164))&lt;$AK164,1,0)</f>
        <v>83</v>
      </c>
      <c r="R164" s="2" t="n">
        <f aca="false">SUM(L164:Q164)</f>
        <v>500</v>
      </c>
      <c r="S164" s="2" t="n">
        <f aca="false">Settings!$B$4*MAX(INDEX(Bases!$M$2:$M$53,B164),INDEX(Bases!$M$2:$M$53,C164))+Settings!$B$5*MIN(INDEX(Bases!$M$2:$M$53,B164),INDEX(Bases!$M$2:$M$53,C164))</f>
        <v>65.6666666666667</v>
      </c>
      <c r="T164" s="2" t="n">
        <f aca="false">Settings!$B$4*MAX(INDEX(Bases!$N$2:$N$53,B164),INDEX(Bases!$N$2:$N$53,C164))+Settings!$B$5*MIN(INDEX(Bases!$N$2:$N$53,B164),INDEX(Bases!$N$2:$N$53,C164))</f>
        <v>75.6666666666667</v>
      </c>
      <c r="U164" s="2" t="n">
        <f aca="false">Settings!$B$4*MAX(INDEX(Bases!$O$2:$O$53,B164),INDEX(Bases!$O$2:$O$53,C164))+Settings!$B$5*MIN(INDEX(Bases!$O$2:$O$53,B164),INDEX(Bases!$O$2:$O$53,C164))</f>
        <v>61.6666666666667</v>
      </c>
      <c r="V164" s="2" t="n">
        <f aca="false">Settings!$B$4*MAX(INDEX(Bases!$P$2:$P$53,B164),INDEX(Bases!$P$2:$P$53,C164))+Settings!$B$5*MIN(INDEX(Bases!$P$2:$P$53,B164),INDEX(Bases!$P$2:$P$53,C164))</f>
        <v>75.6666666666667</v>
      </c>
      <c r="W164" s="2" t="n">
        <f aca="false">Settings!$B$4*MAX(INDEX(Bases!$Q$2:$Q$53,B164),INDEX(Bases!$Q$2:$Q$53,C164))+Settings!$B$5*MIN(INDEX(Bases!$Q$2:$Q$53,B164),INDEX(Bases!$Q$2:$Q$53,C164))</f>
        <v>63</v>
      </c>
      <c r="X164" s="2" t="n">
        <f aca="false">Settings!$B$4*MAX(INDEX(Bases!$R$2:$R$53,B164),INDEX(Bases!$R$2:$R$53,C164))+Settings!$B$5*MIN(INDEX(Bases!$R$2:$R$53,B164),INDEX(Bases!$R$2:$R$53,C164))</f>
        <v>68</v>
      </c>
      <c r="Y164" s="2" t="n">
        <f aca="false">S164*Settings!$B$3/SUM(S164:X164)</f>
        <v>80.146460537022</v>
      </c>
      <c r="Z164" s="2" t="n">
        <f aca="false">T164*Settings!$B$3/SUM(S164:X164)</f>
        <v>92.3515052888527</v>
      </c>
      <c r="AA164" s="2" t="n">
        <f aca="false">U164*Settings!$B$3/SUM(S164:X164)</f>
        <v>75.2644426362897</v>
      </c>
      <c r="AB164" s="2" t="n">
        <f aca="false">V164*Settings!$B$3/SUM(S164:X164)</f>
        <v>92.3515052888527</v>
      </c>
      <c r="AC164" s="2" t="n">
        <f aca="false">W164*Settings!$B$3/SUM(S164:X164)</f>
        <v>76.8917819365338</v>
      </c>
      <c r="AD164" s="2" t="n">
        <f aca="false">X164*Settings!$B$3/SUM(S164:X164)</f>
        <v>82.9943043124492</v>
      </c>
      <c r="AE164" s="2" t="n">
        <f aca="false">INT(Y164)</f>
        <v>80</v>
      </c>
      <c r="AF164" s="2" t="n">
        <f aca="false">INT(Z164)</f>
        <v>92</v>
      </c>
      <c r="AG164" s="2" t="n">
        <f aca="false">INT(AA164)</f>
        <v>75</v>
      </c>
      <c r="AH164" s="2" t="n">
        <f aca="false">INT(AB164)</f>
        <v>92</v>
      </c>
      <c r="AI164" s="2" t="n">
        <f aca="false">INT(AC164)</f>
        <v>76</v>
      </c>
      <c r="AJ164" s="2" t="n">
        <f aca="false">INT(AD164)</f>
        <v>82</v>
      </c>
      <c r="AK164" s="2" t="n">
        <f aca="false">Settings!$B$3-SUM(AE164:AJ164)</f>
        <v>3</v>
      </c>
      <c r="AL164" s="2" t="n">
        <f aca="false">ROUND(Y164-AE164,9)</f>
        <v>0.146460537</v>
      </c>
      <c r="AM164" s="2" t="n">
        <f aca="false">ROUND(Z164-AF164,9)</f>
        <v>0.351505289</v>
      </c>
      <c r="AN164" s="2" t="n">
        <f aca="false">ROUND(AA164-AG164,9)</f>
        <v>0.264442636</v>
      </c>
      <c r="AO164" s="2" t="n">
        <f aca="false">ROUND(AB164-AH164,9)</f>
        <v>0.351505289</v>
      </c>
      <c r="AP164" s="2" t="n">
        <f aca="false">ROUND(AC164-AI164,9)</f>
        <v>0.891781937</v>
      </c>
      <c r="AQ164" s="2" t="n">
        <f aca="false">ROUND(AD164-AJ164,9)</f>
        <v>0.994304312</v>
      </c>
    </row>
    <row r="165" customFormat="false" ht="15" hidden="false" customHeight="false" outlineLevel="0" collapsed="false">
      <c r="A165" s="2" t="n">
        <v>164</v>
      </c>
      <c r="B165" s="6" t="n">
        <v>4</v>
      </c>
      <c r="C165" s="6" t="n">
        <v>18</v>
      </c>
      <c r="D165" s="8" t="str">
        <f aca="false">INDEX(Bases!$B$2:$B$53,B165)</f>
        <v>Growlithe</v>
      </c>
      <c r="E165" s="8" t="str">
        <f aca="false">INDEX(Bases!$B$2:$B$53,C165)</f>
        <v>Spheal</v>
      </c>
      <c r="F165" s="2" t="str">
        <f aca="false">LEFT(D165,ROUNDUP(LEN(D165)/2,0))&amp;LOWER(MID(E165,ROUNDUP(LEN(E165)/2,0)+1,20))</f>
        <v>Growleal</v>
      </c>
      <c r="G165" s="8" t="str">
        <f aca="false">INDEX(Bases!$C$2:$C$53,B165)</f>
        <v>Fire</v>
      </c>
      <c r="H165" s="8" t="str">
        <f aca="false">IF(INDEX(Bases!$C$2:$C$53,C165)=G165,"",INDEX(Bases!$C$2:$C$53,C165))</f>
        <v>Ice</v>
      </c>
      <c r="I165" s="8" t="str">
        <f aca="false">IF(INDEX(Bases!$E$2:$E$53,B165)="","",INDEX(Bases!$E$2:$E$53,B165))</f>
        <v/>
      </c>
      <c r="J165" s="8" t="str">
        <f aca="false">IF(INDEX(Bases!$E$2:$E$53,C165)="","",INDEX(Bases!$E$2:$E$53,C165))</f>
        <v/>
      </c>
      <c r="K165" s="5"/>
      <c r="L165" s="2" t="n">
        <f aca="false">AE165+IF(SUMPRODUCT(--($AL165:$AQ165&gt;AL165))&lt;$AK165,1,0)</f>
        <v>102</v>
      </c>
      <c r="M165" s="2" t="n">
        <f aca="false">AF165+IF(SUMPRODUCT(--($AL165:$AQ165&gt;AM165))+SUMPRODUCT(--($AL165:AL165=AM165))&lt;$AK165,1,0)</f>
        <v>85</v>
      </c>
      <c r="N165" s="2" t="n">
        <f aca="false">AG165+IF(SUMPRODUCT(--($AL165:$AQ165&gt;AN165))+SUMPRODUCT(--($AL165:AM165=AN165))&lt;$AK165,1,0)</f>
        <v>75</v>
      </c>
      <c r="O165" s="2" t="n">
        <f aca="false">AH165+IF(SUMPRODUCT(--($AL165:$AQ165&gt;AO165))+SUMPRODUCT(--($AL165:AN165=AO165))&lt;$AK165,1,0)</f>
        <v>93</v>
      </c>
      <c r="P165" s="2" t="n">
        <f aca="false">AI165+IF(SUMPRODUCT(--($AL165:$AQ165&gt;AP165))+SUMPRODUCT(--($AL165:AO165=AP165))&lt;$AK165,1,0)</f>
        <v>77</v>
      </c>
      <c r="Q165" s="2" t="n">
        <f aca="false">AJ165+IF(SUMPRODUCT(--($AL165:$AQ165&gt;AQ165))+SUMPRODUCT(--($AL165:AP165=AQ165))&lt;$AK165,1,0)</f>
        <v>68</v>
      </c>
      <c r="R165" s="2" t="n">
        <f aca="false">SUM(L165:Q165)</f>
        <v>500</v>
      </c>
      <c r="S165" s="2" t="n">
        <f aca="false">Settings!$B$4*MAX(INDEX(Bases!$M$2:$M$53,B165),INDEX(Bases!$M$2:$M$53,C165))+Settings!$B$5*MIN(INDEX(Bases!$M$2:$M$53,B165),INDEX(Bases!$M$2:$M$53,C165))</f>
        <v>85.6666666666667</v>
      </c>
      <c r="T165" s="2" t="n">
        <f aca="false">Settings!$B$4*MAX(INDEX(Bases!$N$2:$N$53,B165),INDEX(Bases!$N$2:$N$53,C165))+Settings!$B$5*MIN(INDEX(Bases!$N$2:$N$53,B165),INDEX(Bases!$N$2:$N$53,C165))</f>
        <v>71.6666666666667</v>
      </c>
      <c r="U165" s="2" t="n">
        <f aca="false">Settings!$B$4*MAX(INDEX(Bases!$O$2:$O$53,B165),INDEX(Bases!$O$2:$O$53,C165))+Settings!$B$5*MIN(INDEX(Bases!$O$2:$O$53,B165),INDEX(Bases!$O$2:$O$53,C165))</f>
        <v>63</v>
      </c>
      <c r="V165" s="2" t="n">
        <f aca="false">Settings!$B$4*MAX(INDEX(Bases!$P$2:$P$53,B165),INDEX(Bases!$P$2:$P$53,C165))+Settings!$B$5*MIN(INDEX(Bases!$P$2:$P$53,B165),INDEX(Bases!$P$2:$P$53,C165))</f>
        <v>78.6666666666667</v>
      </c>
      <c r="W165" s="2" t="n">
        <f aca="false">Settings!$B$4*MAX(INDEX(Bases!$Q$2:$Q$53,B165),INDEX(Bases!$Q$2:$Q$53,C165))+Settings!$B$5*MIN(INDEX(Bases!$Q$2:$Q$53,B165),INDEX(Bases!$Q$2:$Q$53,C165))</f>
        <v>65</v>
      </c>
      <c r="X165" s="2" t="n">
        <f aca="false">Settings!$B$4*MAX(INDEX(Bases!$R$2:$R$53,B165),INDEX(Bases!$R$2:$R$53,C165))+Settings!$B$5*MIN(INDEX(Bases!$R$2:$R$53,B165),INDEX(Bases!$R$2:$R$53,C165))</f>
        <v>57.3333333333333</v>
      </c>
      <c r="Y165" s="2" t="n">
        <f aca="false">S165*Settings!$B$3/SUM(S165:X165)</f>
        <v>101.661392405063</v>
      </c>
      <c r="Z165" s="2" t="n">
        <f aca="false">T165*Settings!$B$3/SUM(S165:X165)</f>
        <v>85.0474683544304</v>
      </c>
      <c r="AA165" s="2" t="n">
        <f aca="false">U165*Settings!$B$3/SUM(S165:X165)</f>
        <v>74.7626582278481</v>
      </c>
      <c r="AB165" s="2" t="n">
        <f aca="false">V165*Settings!$B$3/SUM(S165:X165)</f>
        <v>93.3544303797468</v>
      </c>
      <c r="AC165" s="2" t="n">
        <f aca="false">W165*Settings!$B$3/SUM(S165:X165)</f>
        <v>77.1360759493671</v>
      </c>
      <c r="AD165" s="2" t="n">
        <f aca="false">X165*Settings!$B$3/SUM(S165:X165)</f>
        <v>68.0379746835443</v>
      </c>
      <c r="AE165" s="2" t="n">
        <f aca="false">INT(Y165)</f>
        <v>101</v>
      </c>
      <c r="AF165" s="2" t="n">
        <f aca="false">INT(Z165)</f>
        <v>85</v>
      </c>
      <c r="AG165" s="2" t="n">
        <f aca="false">INT(AA165)</f>
        <v>74</v>
      </c>
      <c r="AH165" s="2" t="n">
        <f aca="false">INT(AB165)</f>
        <v>93</v>
      </c>
      <c r="AI165" s="2" t="n">
        <f aca="false">INT(AC165)</f>
        <v>77</v>
      </c>
      <c r="AJ165" s="2" t="n">
        <f aca="false">INT(AD165)</f>
        <v>68</v>
      </c>
      <c r="AK165" s="2" t="n">
        <f aca="false">Settings!$B$3-SUM(AE165:AJ165)</f>
        <v>2</v>
      </c>
      <c r="AL165" s="2" t="n">
        <f aca="false">ROUND(Y165-AE165,9)</f>
        <v>0.661392405</v>
      </c>
      <c r="AM165" s="2" t="n">
        <f aca="false">ROUND(Z165-AF165,9)</f>
        <v>0.047468354</v>
      </c>
      <c r="AN165" s="2" t="n">
        <f aca="false">ROUND(AA165-AG165,9)</f>
        <v>0.762658228</v>
      </c>
      <c r="AO165" s="2" t="n">
        <f aca="false">ROUND(AB165-AH165,9)</f>
        <v>0.35443038</v>
      </c>
      <c r="AP165" s="2" t="n">
        <f aca="false">ROUND(AC165-AI165,9)</f>
        <v>0.136075949</v>
      </c>
      <c r="AQ165" s="2" t="n">
        <f aca="false">ROUND(AD165-AJ165,9)</f>
        <v>0.037974684</v>
      </c>
    </row>
    <row r="166" customFormat="false" ht="15" hidden="false" customHeight="false" outlineLevel="0" collapsed="false">
      <c r="A166" s="2" t="n">
        <v>165</v>
      </c>
      <c r="B166" s="6" t="n">
        <v>4</v>
      </c>
      <c r="C166" s="6" t="n">
        <v>19</v>
      </c>
      <c r="D166" s="8" t="str">
        <f aca="false">INDEX(Bases!$B$2:$B$53,B166)</f>
        <v>Growlithe</v>
      </c>
      <c r="E166" s="8" t="str">
        <f aca="false">INDEX(Bases!$B$2:$B$53,C166)</f>
        <v>Mankey</v>
      </c>
      <c r="F166" s="2" t="str">
        <f aca="false">LEFT(D166,ROUNDUP(LEN(D166)/2,0))&amp;LOWER(MID(E166,ROUNDUP(LEN(E166)/2,0)+1,20))</f>
        <v>Growlkey</v>
      </c>
      <c r="G166" s="8" t="str">
        <f aca="false">INDEX(Bases!$C$2:$C$53,B166)</f>
        <v>Fire</v>
      </c>
      <c r="H166" s="8" t="str">
        <f aca="false">IF(INDEX(Bases!$C$2:$C$53,C166)=G166,"",INDEX(Bases!$C$2:$C$53,C166))</f>
        <v>Fighting</v>
      </c>
      <c r="I166" s="8" t="str">
        <f aca="false">IF(INDEX(Bases!$E$2:$E$53,B166)="","",INDEX(Bases!$E$2:$E$53,B166))</f>
        <v/>
      </c>
      <c r="J166" s="8" t="str">
        <f aca="false">IF(INDEX(Bases!$E$2:$E$53,C166)="","",INDEX(Bases!$E$2:$E$53,C166))</f>
        <v/>
      </c>
      <c r="K166" s="5"/>
      <c r="L166" s="2" t="n">
        <f aca="false">AE166+IF(SUMPRODUCT(--($AL166:$AQ166&gt;AL166))&lt;$AK166,1,0)</f>
        <v>71</v>
      </c>
      <c r="M166" s="2" t="n">
        <f aca="false">AF166+IF(SUMPRODUCT(--($AL166:$AQ166&gt;AM166))+SUMPRODUCT(--($AL166:AL166=AM166))&lt;$AK166,1,0)</f>
        <v>116</v>
      </c>
      <c r="N166" s="2" t="n">
        <f aca="false">AG166+IF(SUMPRODUCT(--($AL166:$AQ166&gt;AN166))+SUMPRODUCT(--($AL166:AM166=AN166))&lt;$AK166,1,0)</f>
        <v>59</v>
      </c>
      <c r="O166" s="2" t="n">
        <f aca="false">AH166+IF(SUMPRODUCT(--($AL166:$AQ166&gt;AO166))+SUMPRODUCT(--($AL166:AN166=AO166))&lt;$AK166,1,0)</f>
        <v>83</v>
      </c>
      <c r="P166" s="2" t="n">
        <f aca="false">AI166+IF(SUMPRODUCT(--($AL166:$AQ166&gt;AP166))+SUMPRODUCT(--($AL166:AO166=AP166))&lt;$AK166,1,0)</f>
        <v>70</v>
      </c>
      <c r="Q166" s="2" t="n">
        <f aca="false">AJ166+IF(SUMPRODUCT(--($AL166:$AQ166&gt;AQ166))+SUMPRODUCT(--($AL166:AP166=AQ166))&lt;$AK166,1,0)</f>
        <v>101</v>
      </c>
      <c r="R166" s="2" t="n">
        <f aca="false">SUM(L166:Q166)</f>
        <v>500</v>
      </c>
      <c r="S166" s="2" t="n">
        <f aca="false">Settings!$B$4*MAX(INDEX(Bases!$M$2:$M$53,B166),INDEX(Bases!$M$2:$M$53,C166))+Settings!$B$5*MIN(INDEX(Bases!$M$2:$M$53,B166),INDEX(Bases!$M$2:$M$53,C166))</f>
        <v>59.3333333333333</v>
      </c>
      <c r="T166" s="2" t="n">
        <f aca="false">Settings!$B$4*MAX(INDEX(Bases!$N$2:$N$53,B166),INDEX(Bases!$N$2:$N$53,C166))+Settings!$B$5*MIN(INDEX(Bases!$N$2:$N$53,B166),INDEX(Bases!$N$2:$N$53,C166))</f>
        <v>96.6666666666667</v>
      </c>
      <c r="U166" s="2" t="n">
        <f aca="false">Settings!$B$4*MAX(INDEX(Bases!$O$2:$O$53,B166),INDEX(Bases!$O$2:$O$53,C166))+Settings!$B$5*MIN(INDEX(Bases!$O$2:$O$53,B166),INDEX(Bases!$O$2:$O$53,C166))</f>
        <v>49.3333333333333</v>
      </c>
      <c r="V166" s="2" t="n">
        <f aca="false">Settings!$B$4*MAX(INDEX(Bases!$P$2:$P$53,B166),INDEX(Bases!$P$2:$P$53,C166))+Settings!$B$5*MIN(INDEX(Bases!$P$2:$P$53,B166),INDEX(Bases!$P$2:$P$53,C166))</f>
        <v>68.6666666666667</v>
      </c>
      <c r="W166" s="2" t="n">
        <f aca="false">Settings!$B$4*MAX(INDEX(Bases!$Q$2:$Q$53,B166),INDEX(Bases!$Q$2:$Q$53,C166))+Settings!$B$5*MIN(INDEX(Bases!$Q$2:$Q$53,B166),INDEX(Bases!$Q$2:$Q$53,C166))</f>
        <v>58.3333333333333</v>
      </c>
      <c r="X166" s="2" t="n">
        <f aca="false">Settings!$B$4*MAX(INDEX(Bases!$R$2:$R$53,B166),INDEX(Bases!$R$2:$R$53,C166))+Settings!$B$5*MIN(INDEX(Bases!$R$2:$R$53,B166),INDEX(Bases!$R$2:$R$53,C166))</f>
        <v>84.3333333333333</v>
      </c>
      <c r="Y166" s="2" t="n">
        <f aca="false">S166*Settings!$B$3/SUM(S166:X166)</f>
        <v>71.2</v>
      </c>
      <c r="Z166" s="2" t="n">
        <f aca="false">T166*Settings!$B$3/SUM(S166:X166)</f>
        <v>116</v>
      </c>
      <c r="AA166" s="2" t="n">
        <f aca="false">U166*Settings!$B$3/SUM(S166:X166)</f>
        <v>59.2</v>
      </c>
      <c r="AB166" s="2" t="n">
        <f aca="false">V166*Settings!$B$3/SUM(S166:X166)</f>
        <v>82.4</v>
      </c>
      <c r="AC166" s="2" t="n">
        <f aca="false">W166*Settings!$B$3/SUM(S166:X166)</f>
        <v>70</v>
      </c>
      <c r="AD166" s="2" t="n">
        <f aca="false">X166*Settings!$B$3/SUM(S166:X166)</f>
        <v>101.2</v>
      </c>
      <c r="AE166" s="2" t="n">
        <f aca="false">INT(Y166)</f>
        <v>71</v>
      </c>
      <c r="AF166" s="2" t="n">
        <f aca="false">INT(Z166)</f>
        <v>116</v>
      </c>
      <c r="AG166" s="2" t="n">
        <f aca="false">INT(AA166)</f>
        <v>59</v>
      </c>
      <c r="AH166" s="2" t="n">
        <f aca="false">INT(AB166)</f>
        <v>82</v>
      </c>
      <c r="AI166" s="2" t="n">
        <f aca="false">INT(AC166)</f>
        <v>70</v>
      </c>
      <c r="AJ166" s="2" t="n">
        <f aca="false">INT(AD166)</f>
        <v>101</v>
      </c>
      <c r="AK166" s="2" t="n">
        <f aca="false">Settings!$B$3-SUM(AE166:AJ166)</f>
        <v>1</v>
      </c>
      <c r="AL166" s="2" t="n">
        <f aca="false">ROUND(Y166-AE166,9)</f>
        <v>0.2</v>
      </c>
      <c r="AM166" s="2" t="n">
        <f aca="false">ROUND(Z166-AF166,9)</f>
        <v>0</v>
      </c>
      <c r="AN166" s="2" t="n">
        <f aca="false">ROUND(AA166-AG166,9)</f>
        <v>0.2</v>
      </c>
      <c r="AO166" s="2" t="n">
        <f aca="false">ROUND(AB166-AH166,9)</f>
        <v>0.4</v>
      </c>
      <c r="AP166" s="2" t="n">
        <f aca="false">ROUND(AC166-AI166,9)</f>
        <v>0</v>
      </c>
      <c r="AQ166" s="2" t="n">
        <f aca="false">ROUND(AD166-AJ166,9)</f>
        <v>0.2</v>
      </c>
    </row>
    <row r="167" customFormat="false" ht="15" hidden="false" customHeight="false" outlineLevel="0" collapsed="false">
      <c r="A167" s="2" t="n">
        <v>166</v>
      </c>
      <c r="B167" s="6" t="n">
        <v>4</v>
      </c>
      <c r="C167" s="6" t="n">
        <v>20</v>
      </c>
      <c r="D167" s="8" t="str">
        <f aca="false">INDEX(Bases!$B$2:$B$53,B167)</f>
        <v>Growlithe</v>
      </c>
      <c r="E167" s="8" t="str">
        <f aca="false">INDEX(Bases!$B$2:$B$53,C167)</f>
        <v>Tyrogue</v>
      </c>
      <c r="F167" s="2" t="str">
        <f aca="false">LEFT(D167,ROUNDUP(LEN(D167)/2,0))&amp;LOWER(MID(E167,ROUNDUP(LEN(E167)/2,0)+1,20))</f>
        <v>Growlgue</v>
      </c>
      <c r="G167" s="8" t="str">
        <f aca="false">INDEX(Bases!$C$2:$C$53,B167)</f>
        <v>Fire</v>
      </c>
      <c r="H167" s="8" t="str">
        <f aca="false">IF(INDEX(Bases!$C$2:$C$53,C167)=G167,"",INDEX(Bases!$C$2:$C$53,C167))</f>
        <v>Fighting</v>
      </c>
      <c r="I167" s="8" t="str">
        <f aca="false">IF(INDEX(Bases!$E$2:$E$53,B167)="","",INDEX(Bases!$E$2:$E$53,B167))</f>
        <v/>
      </c>
      <c r="J167" s="8" t="str">
        <f aca="false">IF(INDEX(Bases!$E$2:$E$53,C167)="","",INDEX(Bases!$E$2:$E$53,C167))</f>
        <v/>
      </c>
      <c r="K167" s="5"/>
      <c r="L167" s="2" t="n">
        <f aca="false">AE167+IF(SUMPRODUCT(--($AL167:$AQ167&gt;AL167))&lt;$AK167,1,0)</f>
        <v>80</v>
      </c>
      <c r="M167" s="2" t="n">
        <f aca="false">AF167+IF(SUMPRODUCT(--($AL167:$AQ167&gt;AM167))+SUMPRODUCT(--($AL167:AL167=AM167))&lt;$AK167,1,0)</f>
        <v>93</v>
      </c>
      <c r="N167" s="2" t="n">
        <f aca="false">AG167+IF(SUMPRODUCT(--($AL167:$AQ167&gt;AN167))+SUMPRODUCT(--($AL167:AM167=AN167))&lt;$AK167,1,0)</f>
        <v>75</v>
      </c>
      <c r="O167" s="2" t="n">
        <f aca="false">AH167+IF(SUMPRODUCT(--($AL167:$AQ167&gt;AO167))+SUMPRODUCT(--($AL167:AN167=AO167))&lt;$AK167,1,0)</f>
        <v>92</v>
      </c>
      <c r="P167" s="2" t="n">
        <f aca="false">AI167+IF(SUMPRODUCT(--($AL167:$AQ167&gt;AP167))+SUMPRODUCT(--($AL167:AO167=AP167))&lt;$AK167,1,0)</f>
        <v>77</v>
      </c>
      <c r="Q167" s="2" t="n">
        <f aca="false">AJ167+IF(SUMPRODUCT(--($AL167:$AQ167&gt;AQ167))+SUMPRODUCT(--($AL167:AP167=AQ167))&lt;$AK167,1,0)</f>
        <v>83</v>
      </c>
      <c r="R167" s="2" t="n">
        <f aca="false">SUM(L167:Q167)</f>
        <v>500</v>
      </c>
      <c r="S167" s="2" t="n">
        <f aca="false">Settings!$B$4*MAX(INDEX(Bases!$M$2:$M$53,B167),INDEX(Bases!$M$2:$M$53,C167))+Settings!$B$5*MIN(INDEX(Bases!$M$2:$M$53,B167),INDEX(Bases!$M$2:$M$53,C167))</f>
        <v>65.6666666666667</v>
      </c>
      <c r="T167" s="2" t="n">
        <f aca="false">Settings!$B$4*MAX(INDEX(Bases!$N$2:$N$53,B167),INDEX(Bases!$N$2:$N$53,C167))+Settings!$B$5*MIN(INDEX(Bases!$N$2:$N$53,B167),INDEX(Bases!$N$2:$N$53,C167))</f>
        <v>75.6666666666667</v>
      </c>
      <c r="U167" s="2" t="n">
        <f aca="false">Settings!$B$4*MAX(INDEX(Bases!$O$2:$O$53,B167),INDEX(Bases!$O$2:$O$53,C167))+Settings!$B$5*MIN(INDEX(Bases!$O$2:$O$53,B167),INDEX(Bases!$O$2:$O$53,C167))</f>
        <v>61.6666666666667</v>
      </c>
      <c r="V167" s="2" t="n">
        <f aca="false">Settings!$B$4*MAX(INDEX(Bases!$P$2:$P$53,B167),INDEX(Bases!$P$2:$P$53,C167))+Settings!$B$5*MIN(INDEX(Bases!$P$2:$P$53,B167),INDEX(Bases!$P$2:$P$53,C167))</f>
        <v>75.6666666666667</v>
      </c>
      <c r="W167" s="2" t="n">
        <f aca="false">Settings!$B$4*MAX(INDEX(Bases!$Q$2:$Q$53,B167),INDEX(Bases!$Q$2:$Q$53,C167))+Settings!$B$5*MIN(INDEX(Bases!$Q$2:$Q$53,B167),INDEX(Bases!$Q$2:$Q$53,C167))</f>
        <v>63</v>
      </c>
      <c r="X167" s="2" t="n">
        <f aca="false">Settings!$B$4*MAX(INDEX(Bases!$R$2:$R$53,B167),INDEX(Bases!$R$2:$R$53,C167))+Settings!$B$5*MIN(INDEX(Bases!$R$2:$R$53,B167),INDEX(Bases!$R$2:$R$53,C167))</f>
        <v>68</v>
      </c>
      <c r="Y167" s="2" t="n">
        <f aca="false">S167*Settings!$B$3/SUM(S167:X167)</f>
        <v>80.146460537022</v>
      </c>
      <c r="Z167" s="2" t="n">
        <f aca="false">T167*Settings!$B$3/SUM(S167:X167)</f>
        <v>92.3515052888527</v>
      </c>
      <c r="AA167" s="2" t="n">
        <f aca="false">U167*Settings!$B$3/SUM(S167:X167)</f>
        <v>75.2644426362897</v>
      </c>
      <c r="AB167" s="2" t="n">
        <f aca="false">V167*Settings!$B$3/SUM(S167:X167)</f>
        <v>92.3515052888527</v>
      </c>
      <c r="AC167" s="2" t="n">
        <f aca="false">W167*Settings!$B$3/SUM(S167:X167)</f>
        <v>76.8917819365338</v>
      </c>
      <c r="AD167" s="2" t="n">
        <f aca="false">X167*Settings!$B$3/SUM(S167:X167)</f>
        <v>82.9943043124492</v>
      </c>
      <c r="AE167" s="2" t="n">
        <f aca="false">INT(Y167)</f>
        <v>80</v>
      </c>
      <c r="AF167" s="2" t="n">
        <f aca="false">INT(Z167)</f>
        <v>92</v>
      </c>
      <c r="AG167" s="2" t="n">
        <f aca="false">INT(AA167)</f>
        <v>75</v>
      </c>
      <c r="AH167" s="2" t="n">
        <f aca="false">INT(AB167)</f>
        <v>92</v>
      </c>
      <c r="AI167" s="2" t="n">
        <f aca="false">INT(AC167)</f>
        <v>76</v>
      </c>
      <c r="AJ167" s="2" t="n">
        <f aca="false">INT(AD167)</f>
        <v>82</v>
      </c>
      <c r="AK167" s="2" t="n">
        <f aca="false">Settings!$B$3-SUM(AE167:AJ167)</f>
        <v>3</v>
      </c>
      <c r="AL167" s="2" t="n">
        <f aca="false">ROUND(Y167-AE167,9)</f>
        <v>0.146460537</v>
      </c>
      <c r="AM167" s="2" t="n">
        <f aca="false">ROUND(Z167-AF167,9)</f>
        <v>0.351505289</v>
      </c>
      <c r="AN167" s="2" t="n">
        <f aca="false">ROUND(AA167-AG167,9)</f>
        <v>0.264442636</v>
      </c>
      <c r="AO167" s="2" t="n">
        <f aca="false">ROUND(AB167-AH167,9)</f>
        <v>0.351505289</v>
      </c>
      <c r="AP167" s="2" t="n">
        <f aca="false">ROUND(AC167-AI167,9)</f>
        <v>0.891781937</v>
      </c>
      <c r="AQ167" s="2" t="n">
        <f aca="false">ROUND(AD167-AJ167,9)</f>
        <v>0.994304312</v>
      </c>
    </row>
    <row r="168" customFormat="false" ht="15" hidden="false" customHeight="false" outlineLevel="0" collapsed="false">
      <c r="A168" s="2" t="n">
        <v>167</v>
      </c>
      <c r="B168" s="6" t="n">
        <v>4</v>
      </c>
      <c r="C168" s="6" t="n">
        <v>21</v>
      </c>
      <c r="D168" s="8" t="str">
        <f aca="false">INDEX(Bases!$B$2:$B$53,B168)</f>
        <v>Growlithe</v>
      </c>
      <c r="E168" s="8" t="str">
        <f aca="false">INDEX(Bases!$B$2:$B$53,C168)</f>
        <v>Makuhita</v>
      </c>
      <c r="F168" s="2" t="str">
        <f aca="false">LEFT(D168,ROUNDUP(LEN(D168)/2,0))&amp;LOWER(MID(E168,ROUNDUP(LEN(E168)/2,0)+1,20))</f>
        <v>Growlhita</v>
      </c>
      <c r="G168" s="8" t="str">
        <f aca="false">INDEX(Bases!$C$2:$C$53,B168)</f>
        <v>Fire</v>
      </c>
      <c r="H168" s="8" t="str">
        <f aca="false">IF(INDEX(Bases!$C$2:$C$53,C168)=G168,"",INDEX(Bases!$C$2:$C$53,C168))</f>
        <v>Fighting</v>
      </c>
      <c r="I168" s="8" t="str">
        <f aca="false">IF(INDEX(Bases!$E$2:$E$53,B168)="","",INDEX(Bases!$E$2:$E$53,B168))</f>
        <v/>
      </c>
      <c r="J168" s="8" t="str">
        <f aca="false">IF(INDEX(Bases!$E$2:$E$53,C168)="","",INDEX(Bases!$E$2:$E$53,C168))</f>
        <v/>
      </c>
      <c r="K168" s="5"/>
      <c r="L168" s="2" t="n">
        <f aca="false">AE168+IF(SUMPRODUCT(--($AL168:$AQ168&gt;AL168))&lt;$AK168,1,0)</f>
        <v>119</v>
      </c>
      <c r="M168" s="2" t="n">
        <f aca="false">AF168+IF(SUMPRODUCT(--($AL168:$AQ168&gt;AM168))+SUMPRODUCT(--($AL168:AL168=AM168))&lt;$AK168,1,0)</f>
        <v>110</v>
      </c>
      <c r="N168" s="2" t="n">
        <f aca="false">AG168+IF(SUMPRODUCT(--($AL168:$AQ168&gt;AN168))+SUMPRODUCT(--($AL168:AM168=AN168))&lt;$AK168,1,0)</f>
        <v>60</v>
      </c>
      <c r="O168" s="2" t="n">
        <f aca="false">AH168+IF(SUMPRODUCT(--($AL168:$AQ168&gt;AO168))+SUMPRODUCT(--($AL168:AN168=AO168))&lt;$AK168,1,0)</f>
        <v>76</v>
      </c>
      <c r="P168" s="2" t="n">
        <f aca="false">AI168+IF(SUMPRODUCT(--($AL168:$AQ168&gt;AP168))+SUMPRODUCT(--($AL168:AO168=AP168))&lt;$AK168,1,0)</f>
        <v>65</v>
      </c>
      <c r="Q168" s="2" t="n">
        <f aca="false">AJ168+IF(SUMPRODUCT(--($AL168:$AQ168&gt;AQ168))+SUMPRODUCT(--($AL168:AP168=AQ168))&lt;$AK168,1,0)</f>
        <v>70</v>
      </c>
      <c r="R168" s="2" t="n">
        <f aca="false">SUM(L168:Q168)</f>
        <v>500</v>
      </c>
      <c r="S168" s="2" t="n">
        <f aca="false">Settings!$B$4*MAX(INDEX(Bases!$M$2:$M$53,B168),INDEX(Bases!$M$2:$M$53,C168))+Settings!$B$5*MIN(INDEX(Bases!$M$2:$M$53,B168),INDEX(Bases!$M$2:$M$53,C168))</f>
        <v>101.666666666667</v>
      </c>
      <c r="T168" s="2" t="n">
        <f aca="false">Settings!$B$4*MAX(INDEX(Bases!$N$2:$N$53,B168),INDEX(Bases!$N$2:$N$53,C168))+Settings!$B$5*MIN(INDEX(Bases!$N$2:$N$53,B168),INDEX(Bases!$N$2:$N$53,C168))</f>
        <v>94</v>
      </c>
      <c r="U168" s="2" t="n">
        <f aca="false">Settings!$B$4*MAX(INDEX(Bases!$O$2:$O$53,B168),INDEX(Bases!$O$2:$O$53,C168))+Settings!$B$5*MIN(INDEX(Bases!$O$2:$O$53,B168),INDEX(Bases!$O$2:$O$53,C168))</f>
        <v>51</v>
      </c>
      <c r="V168" s="2" t="n">
        <f aca="false">Settings!$B$4*MAX(INDEX(Bases!$P$2:$P$53,B168),INDEX(Bases!$P$2:$P$53,C168))+Settings!$B$5*MIN(INDEX(Bases!$P$2:$P$53,B168),INDEX(Bases!$P$2:$P$53,C168))</f>
        <v>64.6666666666667</v>
      </c>
      <c r="W168" s="2" t="n">
        <f aca="false">Settings!$B$4*MAX(INDEX(Bases!$Q$2:$Q$53,B168),INDEX(Bases!$Q$2:$Q$53,C168))+Settings!$B$5*MIN(INDEX(Bases!$Q$2:$Q$53,B168),INDEX(Bases!$Q$2:$Q$53,C168))</f>
        <v>55</v>
      </c>
      <c r="X168" s="2" t="n">
        <f aca="false">Settings!$B$4*MAX(INDEX(Bases!$R$2:$R$53,B168),INDEX(Bases!$R$2:$R$53,C168))+Settings!$B$5*MIN(INDEX(Bases!$R$2:$R$53,B168),INDEX(Bases!$R$2:$R$53,C168))</f>
        <v>60</v>
      </c>
      <c r="Y168" s="2" t="n">
        <f aca="false">S168*Settings!$B$3/SUM(S168:X168)</f>
        <v>119.233776387803</v>
      </c>
      <c r="Z168" s="2" t="n">
        <f aca="false">T168*Settings!$B$3/SUM(S168:X168)</f>
        <v>110.242376856919</v>
      </c>
      <c r="AA168" s="2" t="n">
        <f aca="false">U168*Settings!$B$3/SUM(S168:X168)</f>
        <v>59.8123534010946</v>
      </c>
      <c r="AB168" s="2" t="n">
        <f aca="false">V168*Settings!$B$3/SUM(S168:X168)</f>
        <v>75.8405003909304</v>
      </c>
      <c r="AC168" s="2" t="n">
        <f aca="false">W168*Settings!$B$3/SUM(S168:X168)</f>
        <v>64.5035183737295</v>
      </c>
      <c r="AD168" s="2" t="n">
        <f aca="false">X168*Settings!$B$3/SUM(S168:X168)</f>
        <v>70.3674745895231</v>
      </c>
      <c r="AE168" s="2" t="n">
        <f aca="false">INT(Y168)</f>
        <v>119</v>
      </c>
      <c r="AF168" s="2" t="n">
        <f aca="false">INT(Z168)</f>
        <v>110</v>
      </c>
      <c r="AG168" s="2" t="n">
        <f aca="false">INT(AA168)</f>
        <v>59</v>
      </c>
      <c r="AH168" s="2" t="n">
        <f aca="false">INT(AB168)</f>
        <v>75</v>
      </c>
      <c r="AI168" s="2" t="n">
        <f aca="false">INT(AC168)</f>
        <v>64</v>
      </c>
      <c r="AJ168" s="2" t="n">
        <f aca="false">INT(AD168)</f>
        <v>70</v>
      </c>
      <c r="AK168" s="2" t="n">
        <f aca="false">Settings!$B$3-SUM(AE168:AJ168)</f>
        <v>3</v>
      </c>
      <c r="AL168" s="2" t="n">
        <f aca="false">ROUND(Y168-AE168,9)</f>
        <v>0.233776388</v>
      </c>
      <c r="AM168" s="2" t="n">
        <f aca="false">ROUND(Z168-AF168,9)</f>
        <v>0.242376857</v>
      </c>
      <c r="AN168" s="2" t="n">
        <f aca="false">ROUND(AA168-AG168,9)</f>
        <v>0.812353401</v>
      </c>
      <c r="AO168" s="2" t="n">
        <f aca="false">ROUND(AB168-AH168,9)</f>
        <v>0.840500391</v>
      </c>
      <c r="AP168" s="2" t="n">
        <f aca="false">ROUND(AC168-AI168,9)</f>
        <v>0.503518374</v>
      </c>
      <c r="AQ168" s="2" t="n">
        <f aca="false">ROUND(AD168-AJ168,9)</f>
        <v>0.36747459</v>
      </c>
    </row>
    <row r="169" customFormat="false" ht="15" hidden="false" customHeight="false" outlineLevel="0" collapsed="false">
      <c r="A169" s="2" t="n">
        <v>168</v>
      </c>
      <c r="B169" s="6" t="n">
        <v>4</v>
      </c>
      <c r="C169" s="6" t="n">
        <v>22</v>
      </c>
      <c r="D169" s="8" t="str">
        <f aca="false">INDEX(Bases!$B$2:$B$53,B169)</f>
        <v>Growlithe</v>
      </c>
      <c r="E169" s="8" t="str">
        <f aca="false">INDEX(Bases!$B$2:$B$53,C169)</f>
        <v>Ekans</v>
      </c>
      <c r="F169" s="2" t="str">
        <f aca="false">LEFT(D169,ROUNDUP(LEN(D169)/2,0))&amp;LOWER(MID(E169,ROUNDUP(LEN(E169)/2,0)+1,20))</f>
        <v>Growlns</v>
      </c>
      <c r="G169" s="8" t="str">
        <f aca="false">INDEX(Bases!$C$2:$C$53,B169)</f>
        <v>Fire</v>
      </c>
      <c r="H169" s="8" t="str">
        <f aca="false">IF(INDEX(Bases!$C$2:$C$53,C169)=G169,"",INDEX(Bases!$C$2:$C$53,C169))</f>
        <v>Poison</v>
      </c>
      <c r="I169" s="8" t="str">
        <f aca="false">IF(INDEX(Bases!$E$2:$E$53,B169)="","",INDEX(Bases!$E$2:$E$53,B169))</f>
        <v/>
      </c>
      <c r="J169" s="8" t="str">
        <f aca="false">IF(INDEX(Bases!$E$2:$E$53,C169)="","",INDEX(Bases!$E$2:$E$53,C169))</f>
        <v/>
      </c>
      <c r="K169" s="5"/>
      <c r="L169" s="2" t="n">
        <f aca="false">AE169+IF(SUMPRODUCT(--($AL169:$AQ169&gt;AL169))&lt;$AK169,1,0)</f>
        <v>71</v>
      </c>
      <c r="M169" s="2" t="n">
        <f aca="false">AF169+IF(SUMPRODUCT(--($AL169:$AQ169&gt;AM169))+SUMPRODUCT(--($AL169:AL169=AM169))&lt;$AK169,1,0)</f>
        <v>99</v>
      </c>
      <c r="N169" s="2" t="n">
        <f aca="false">AG169+IF(SUMPRODUCT(--($AL169:$AQ169&gt;AN169))+SUMPRODUCT(--($AL169:AM169=AN169))&lt;$AK169,1,0)</f>
        <v>70</v>
      </c>
      <c r="O169" s="2" t="n">
        <f aca="false">AH169+IF(SUMPRODUCT(--($AL169:$AQ169&gt;AO169))+SUMPRODUCT(--($AL169:AN169=AO169))&lt;$AK169,1,0)</f>
        <v>87</v>
      </c>
      <c r="P169" s="2" t="n">
        <f aca="false">AI169+IF(SUMPRODUCT(--($AL169:$AQ169&gt;AP169))+SUMPRODUCT(--($AL169:AO169=AP169))&lt;$AK169,1,0)</f>
        <v>84</v>
      </c>
      <c r="Q169" s="2" t="n">
        <f aca="false">AJ169+IF(SUMPRODUCT(--($AL169:$AQ169&gt;AQ169))+SUMPRODUCT(--($AL169:AP169=AQ169))&lt;$AK169,1,0)</f>
        <v>89</v>
      </c>
      <c r="R169" s="2" t="n">
        <f aca="false">SUM(L169:Q169)</f>
        <v>500</v>
      </c>
      <c r="S169" s="2" t="n">
        <f aca="false">Settings!$B$4*MAX(INDEX(Bases!$M$2:$M$53,B169),INDEX(Bases!$M$2:$M$53,C169))+Settings!$B$5*MIN(INDEX(Bases!$M$2:$M$53,B169),INDEX(Bases!$M$2:$M$53,C169))</f>
        <v>58.3333333333333</v>
      </c>
      <c r="T169" s="2" t="n">
        <f aca="false">Settings!$B$4*MAX(INDEX(Bases!$N$2:$N$53,B169),INDEX(Bases!$N$2:$N$53,C169))+Settings!$B$5*MIN(INDEX(Bases!$N$2:$N$53,B169),INDEX(Bases!$N$2:$N$53,C169))</f>
        <v>82</v>
      </c>
      <c r="U169" s="2" t="n">
        <f aca="false">Settings!$B$4*MAX(INDEX(Bases!$O$2:$O$53,B169),INDEX(Bases!$O$2:$O$53,C169))+Settings!$B$5*MIN(INDEX(Bases!$O$2:$O$53,B169),INDEX(Bases!$O$2:$O$53,C169))</f>
        <v>57.6666666666667</v>
      </c>
      <c r="V169" s="2" t="n">
        <f aca="false">Settings!$B$4*MAX(INDEX(Bases!$P$2:$P$53,B169),INDEX(Bases!$P$2:$P$53,C169))+Settings!$B$5*MIN(INDEX(Bases!$P$2:$P$53,B169),INDEX(Bases!$P$2:$P$53,C169))</f>
        <v>72</v>
      </c>
      <c r="W169" s="2" t="n">
        <f aca="false">Settings!$B$4*MAX(INDEX(Bases!$Q$2:$Q$53,B169),INDEX(Bases!$Q$2:$Q$53,C169))+Settings!$B$5*MIN(INDEX(Bases!$Q$2:$Q$53,B169),INDEX(Bases!$Q$2:$Q$53,C169))</f>
        <v>69</v>
      </c>
      <c r="X169" s="2" t="n">
        <f aca="false">Settings!$B$4*MAX(INDEX(Bases!$R$2:$R$53,B169),INDEX(Bases!$R$2:$R$53,C169))+Settings!$B$5*MIN(INDEX(Bases!$R$2:$R$53,B169),INDEX(Bases!$R$2:$R$53,C169))</f>
        <v>73.6666666666667</v>
      </c>
      <c r="Y169" s="2" t="n">
        <f aca="false">S169*Settings!$B$3/SUM(S169:X169)</f>
        <v>70.6785137318255</v>
      </c>
      <c r="Z169" s="2" t="n">
        <f aca="false">T169*Settings!$B$3/SUM(S169:X169)</f>
        <v>99.3537964458805</v>
      </c>
      <c r="AA169" s="2" t="n">
        <f aca="false">U169*Settings!$B$3/SUM(S169:X169)</f>
        <v>69.8707592891761</v>
      </c>
      <c r="AB169" s="2" t="n">
        <f aca="false">V169*Settings!$B$3/SUM(S169:X169)</f>
        <v>87.2374798061389</v>
      </c>
      <c r="AC169" s="2" t="n">
        <f aca="false">W169*Settings!$B$3/SUM(S169:X169)</f>
        <v>83.6025848142165</v>
      </c>
      <c r="AD169" s="2" t="n">
        <f aca="false">X169*Settings!$B$3/SUM(S169:X169)</f>
        <v>89.2568659127625</v>
      </c>
      <c r="AE169" s="2" t="n">
        <f aca="false">INT(Y169)</f>
        <v>70</v>
      </c>
      <c r="AF169" s="2" t="n">
        <f aca="false">INT(Z169)</f>
        <v>99</v>
      </c>
      <c r="AG169" s="2" t="n">
        <f aca="false">INT(AA169)</f>
        <v>69</v>
      </c>
      <c r="AH169" s="2" t="n">
        <f aca="false">INT(AB169)</f>
        <v>87</v>
      </c>
      <c r="AI169" s="2" t="n">
        <f aca="false">INT(AC169)</f>
        <v>83</v>
      </c>
      <c r="AJ169" s="2" t="n">
        <f aca="false">INT(AD169)</f>
        <v>89</v>
      </c>
      <c r="AK169" s="2" t="n">
        <f aca="false">Settings!$B$3-SUM(AE169:AJ169)</f>
        <v>3</v>
      </c>
      <c r="AL169" s="2" t="n">
        <f aca="false">ROUND(Y169-AE169,9)</f>
        <v>0.678513732</v>
      </c>
      <c r="AM169" s="2" t="n">
        <f aca="false">ROUND(Z169-AF169,9)</f>
        <v>0.353796446</v>
      </c>
      <c r="AN169" s="2" t="n">
        <f aca="false">ROUND(AA169-AG169,9)</f>
        <v>0.870759289</v>
      </c>
      <c r="AO169" s="2" t="n">
        <f aca="false">ROUND(AB169-AH169,9)</f>
        <v>0.237479806</v>
      </c>
      <c r="AP169" s="2" t="n">
        <f aca="false">ROUND(AC169-AI169,9)</f>
        <v>0.602584814</v>
      </c>
      <c r="AQ169" s="2" t="n">
        <f aca="false">ROUND(AD169-AJ169,9)</f>
        <v>0.256865913</v>
      </c>
    </row>
    <row r="170" customFormat="false" ht="15" hidden="false" customHeight="false" outlineLevel="0" collapsed="false">
      <c r="A170" s="2" t="n">
        <v>169</v>
      </c>
      <c r="B170" s="6" t="n">
        <v>4</v>
      </c>
      <c r="C170" s="6" t="n">
        <v>23</v>
      </c>
      <c r="D170" s="8" t="str">
        <f aca="false">INDEX(Bases!$B$2:$B$53,B170)</f>
        <v>Growlithe</v>
      </c>
      <c r="E170" s="8" t="str">
        <f aca="false">INDEX(Bases!$B$2:$B$53,C170)</f>
        <v>Gulpin</v>
      </c>
      <c r="F170" s="2" t="str">
        <f aca="false">LEFT(D170,ROUNDUP(LEN(D170)/2,0))&amp;LOWER(MID(E170,ROUNDUP(LEN(E170)/2,0)+1,20))</f>
        <v>Growlpin</v>
      </c>
      <c r="G170" s="8" t="str">
        <f aca="false">INDEX(Bases!$C$2:$C$53,B170)</f>
        <v>Fire</v>
      </c>
      <c r="H170" s="8" t="str">
        <f aca="false">IF(INDEX(Bases!$C$2:$C$53,C170)=G170,"",INDEX(Bases!$C$2:$C$53,C170))</f>
        <v>Poison</v>
      </c>
      <c r="I170" s="8" t="str">
        <f aca="false">IF(INDEX(Bases!$E$2:$E$53,B170)="","",INDEX(Bases!$E$2:$E$53,B170))</f>
        <v/>
      </c>
      <c r="J170" s="8" t="str">
        <f aca="false">IF(INDEX(Bases!$E$2:$E$53,C170)="","",INDEX(Bases!$E$2:$E$53,C170))</f>
        <v/>
      </c>
      <c r="K170" s="5"/>
      <c r="L170" s="2" t="n">
        <f aca="false">AE170+IF(SUMPRODUCT(--($AL170:$AQ170&gt;AL170))&lt;$AK170,1,0)</f>
        <v>98</v>
      </c>
      <c r="M170" s="2" t="n">
        <f aca="false">AF170+IF(SUMPRODUCT(--($AL170:$AQ170&gt;AM170))+SUMPRODUCT(--($AL170:AL170=AM170))&lt;$AK170,1,0)</f>
        <v>86</v>
      </c>
      <c r="N170" s="2" t="n">
        <f aca="false">AG170+IF(SUMPRODUCT(--($AL170:$AQ170&gt;AN170))+SUMPRODUCT(--($AL170:AM170=AN170))&lt;$AK170,1,0)</f>
        <v>76</v>
      </c>
      <c r="O170" s="2" t="n">
        <f aca="false">AH170+IF(SUMPRODUCT(--($AL170:$AQ170&gt;AO170))+SUMPRODUCT(--($AL170:AN170=AO170))&lt;$AK170,1,0)</f>
        <v>86</v>
      </c>
      <c r="P170" s="2" t="n">
        <f aca="false">AI170+IF(SUMPRODUCT(--($AL170:$AQ170&gt;AP170))+SUMPRODUCT(--($AL170:AO170=AP170))&lt;$AK170,1,0)</f>
        <v>78</v>
      </c>
      <c r="Q170" s="2" t="n">
        <f aca="false">AJ170+IF(SUMPRODUCT(--($AL170:$AQ170&gt;AQ170))+SUMPRODUCT(--($AL170:AP170=AQ170))&lt;$AK170,1,0)</f>
        <v>76</v>
      </c>
      <c r="R170" s="2" t="n">
        <f aca="false">SUM(L170:Q170)</f>
        <v>500</v>
      </c>
      <c r="S170" s="2" t="n">
        <f aca="false">Settings!$B$4*MAX(INDEX(Bases!$M$2:$M$53,B170),INDEX(Bases!$M$2:$M$53,C170))+Settings!$B$5*MIN(INDEX(Bases!$M$2:$M$53,B170),INDEX(Bases!$M$2:$M$53,C170))</f>
        <v>83</v>
      </c>
      <c r="T170" s="2" t="n">
        <f aca="false">Settings!$B$4*MAX(INDEX(Bases!$N$2:$N$53,B170),INDEX(Bases!$N$2:$N$53,C170))+Settings!$B$5*MIN(INDEX(Bases!$N$2:$N$53,B170),INDEX(Bases!$N$2:$N$53,C170))</f>
        <v>72.3333333333333</v>
      </c>
      <c r="U170" s="2" t="n">
        <f aca="false">Settings!$B$4*MAX(INDEX(Bases!$O$2:$O$53,B170),INDEX(Bases!$O$2:$O$53,C170))+Settings!$B$5*MIN(INDEX(Bases!$O$2:$O$53,B170),INDEX(Bases!$O$2:$O$53,C170))</f>
        <v>63.6666666666667</v>
      </c>
      <c r="V170" s="2" t="n">
        <f aca="false">Settings!$B$4*MAX(INDEX(Bases!$P$2:$P$53,B170),INDEX(Bases!$P$2:$P$53,C170))+Settings!$B$5*MIN(INDEX(Bases!$P$2:$P$53,B170),INDEX(Bases!$P$2:$P$53,C170))</f>
        <v>72.3333333333333</v>
      </c>
      <c r="W170" s="2" t="n">
        <f aca="false">Settings!$B$4*MAX(INDEX(Bases!$Q$2:$Q$53,B170),INDEX(Bases!$Q$2:$Q$53,C170))+Settings!$B$5*MIN(INDEX(Bases!$Q$2:$Q$53,B170),INDEX(Bases!$Q$2:$Q$53,C170))</f>
        <v>65.6666666666667</v>
      </c>
      <c r="X170" s="2" t="n">
        <f aca="false">Settings!$B$4*MAX(INDEX(Bases!$R$2:$R$53,B170),INDEX(Bases!$R$2:$R$53,C170))+Settings!$B$5*MIN(INDEX(Bases!$R$2:$R$53,B170),INDEX(Bases!$R$2:$R$53,C170))</f>
        <v>63.6666666666667</v>
      </c>
      <c r="Y170" s="2" t="n">
        <f aca="false">S170*Settings!$B$3/SUM(S170:X170)</f>
        <v>98.6529318541997</v>
      </c>
      <c r="Z170" s="2" t="n">
        <f aca="false">T170*Settings!$B$3/SUM(S170:X170)</f>
        <v>85.9746434231379</v>
      </c>
      <c r="AA170" s="2" t="n">
        <f aca="false">U170*Settings!$B$3/SUM(S170:X170)</f>
        <v>75.6735340729002</v>
      </c>
      <c r="AB170" s="2" t="n">
        <f aca="false">V170*Settings!$B$3/SUM(S170:X170)</f>
        <v>85.9746434231379</v>
      </c>
      <c r="AC170" s="2" t="n">
        <f aca="false">W170*Settings!$B$3/SUM(S170:X170)</f>
        <v>78.0507131537243</v>
      </c>
      <c r="AD170" s="2" t="n">
        <f aca="false">X170*Settings!$B$3/SUM(S170:X170)</f>
        <v>75.6735340729002</v>
      </c>
      <c r="AE170" s="2" t="n">
        <f aca="false">INT(Y170)</f>
        <v>98</v>
      </c>
      <c r="AF170" s="2" t="n">
        <f aca="false">INT(Z170)</f>
        <v>85</v>
      </c>
      <c r="AG170" s="2" t="n">
        <f aca="false">INT(AA170)</f>
        <v>75</v>
      </c>
      <c r="AH170" s="2" t="n">
        <f aca="false">INT(AB170)</f>
        <v>85</v>
      </c>
      <c r="AI170" s="2" t="n">
        <f aca="false">INT(AC170)</f>
        <v>78</v>
      </c>
      <c r="AJ170" s="2" t="n">
        <f aca="false">INT(AD170)</f>
        <v>75</v>
      </c>
      <c r="AK170" s="2" t="n">
        <f aca="false">Settings!$B$3-SUM(AE170:AJ170)</f>
        <v>4</v>
      </c>
      <c r="AL170" s="2" t="n">
        <f aca="false">ROUND(Y170-AE170,9)</f>
        <v>0.652931854</v>
      </c>
      <c r="AM170" s="2" t="n">
        <f aca="false">ROUND(Z170-AF170,9)</f>
        <v>0.974643423</v>
      </c>
      <c r="AN170" s="2" t="n">
        <f aca="false">ROUND(AA170-AG170,9)</f>
        <v>0.673534073</v>
      </c>
      <c r="AO170" s="2" t="n">
        <f aca="false">ROUND(AB170-AH170,9)</f>
        <v>0.974643423</v>
      </c>
      <c r="AP170" s="2" t="n">
        <f aca="false">ROUND(AC170-AI170,9)</f>
        <v>0.050713154</v>
      </c>
      <c r="AQ170" s="2" t="n">
        <f aca="false">ROUND(AD170-AJ170,9)</f>
        <v>0.673534073</v>
      </c>
    </row>
    <row r="171" customFormat="false" ht="15" hidden="false" customHeight="false" outlineLevel="0" collapsed="false">
      <c r="A171" s="2" t="n">
        <v>170</v>
      </c>
      <c r="B171" s="6" t="n">
        <v>4</v>
      </c>
      <c r="C171" s="6" t="n">
        <v>24</v>
      </c>
      <c r="D171" s="8" t="str">
        <f aca="false">INDEX(Bases!$B$2:$B$53,B171)</f>
        <v>Growlithe</v>
      </c>
      <c r="E171" s="8" t="str">
        <f aca="false">INDEX(Bases!$B$2:$B$53,C171)</f>
        <v>Koffing</v>
      </c>
      <c r="F171" s="2" t="str">
        <f aca="false">LEFT(D171,ROUNDUP(LEN(D171)/2,0))&amp;LOWER(MID(E171,ROUNDUP(LEN(E171)/2,0)+1,20))</f>
        <v>Growling</v>
      </c>
      <c r="G171" s="8" t="str">
        <f aca="false">INDEX(Bases!$C$2:$C$53,B171)</f>
        <v>Fire</v>
      </c>
      <c r="H171" s="8" t="str">
        <f aca="false">IF(INDEX(Bases!$C$2:$C$53,C171)=G171,"",INDEX(Bases!$C$2:$C$53,C171))</f>
        <v>Poison</v>
      </c>
      <c r="I171" s="8" t="str">
        <f aca="false">IF(INDEX(Bases!$E$2:$E$53,B171)="","",INDEX(Bases!$E$2:$E$53,B171))</f>
        <v/>
      </c>
      <c r="J171" s="8" t="str">
        <f aca="false">IF(INDEX(Bases!$E$2:$E$53,C171)="","",INDEX(Bases!$E$2:$E$53,C171))</f>
        <v/>
      </c>
      <c r="K171" s="5"/>
      <c r="L171" s="2" t="n">
        <f aca="false">AE171+IF(SUMPRODUCT(--($AL171:$AQ171&gt;AL171))&lt;$AK171,1,0)</f>
        <v>69</v>
      </c>
      <c r="M171" s="2" t="n">
        <f aca="false">AF171+IF(SUMPRODUCT(--($AL171:$AQ171&gt;AM171))+SUMPRODUCT(--($AL171:AL171=AM171))&lt;$AK171,1,0)</f>
        <v>93</v>
      </c>
      <c r="N171" s="2" t="n">
        <f aca="false">AG171+IF(SUMPRODUCT(--($AL171:$AQ171&gt;AN171))+SUMPRODUCT(--($AL171:AM171=AN171))&lt;$AK171,1,0)</f>
        <v>109</v>
      </c>
      <c r="O171" s="2" t="n">
        <f aca="false">AH171+IF(SUMPRODUCT(--($AL171:$AQ171&gt;AO171))+SUMPRODUCT(--($AL171:AN171=AO171))&lt;$AK171,1,0)</f>
        <v>92</v>
      </c>
      <c r="P171" s="2" t="n">
        <f aca="false">AI171+IF(SUMPRODUCT(--($AL171:$AQ171&gt;AP171))+SUMPRODUCT(--($AL171:AO171=AP171))&lt;$AK171,1,0)</f>
        <v>66</v>
      </c>
      <c r="Q171" s="2" t="n">
        <f aca="false">AJ171+IF(SUMPRODUCT(--($AL171:$AQ171&gt;AQ171))+SUMPRODUCT(--($AL171:AP171=AQ171))&lt;$AK171,1,0)</f>
        <v>71</v>
      </c>
      <c r="R171" s="2" t="n">
        <f aca="false">SUM(L171:Q171)</f>
        <v>500</v>
      </c>
      <c r="S171" s="2" t="n">
        <f aca="false">Settings!$B$4*MAX(INDEX(Bases!$M$2:$M$53,B171),INDEX(Bases!$M$2:$M$53,C171))+Settings!$B$5*MIN(INDEX(Bases!$M$2:$M$53,B171),INDEX(Bases!$M$2:$M$53,C171))</f>
        <v>57.6666666666667</v>
      </c>
      <c r="T171" s="2" t="n">
        <f aca="false">Settings!$B$4*MAX(INDEX(Bases!$N$2:$N$53,B171),INDEX(Bases!$N$2:$N$53,C171))+Settings!$B$5*MIN(INDEX(Bases!$N$2:$N$53,B171),INDEX(Bases!$N$2:$N$53,C171))</f>
        <v>78.6666666666667</v>
      </c>
      <c r="U171" s="2" t="n">
        <f aca="false">Settings!$B$4*MAX(INDEX(Bases!$O$2:$O$53,B171),INDEX(Bases!$O$2:$O$53,C171))+Settings!$B$5*MIN(INDEX(Bases!$O$2:$O$53,B171),INDEX(Bases!$O$2:$O$53,C171))</f>
        <v>91.6666666666667</v>
      </c>
      <c r="V171" s="2" t="n">
        <f aca="false">Settings!$B$4*MAX(INDEX(Bases!$P$2:$P$53,B171),INDEX(Bases!$P$2:$P$53,C171))+Settings!$B$5*MIN(INDEX(Bases!$P$2:$P$53,B171),INDEX(Bases!$P$2:$P$53,C171))</f>
        <v>77</v>
      </c>
      <c r="W171" s="2" t="n">
        <f aca="false">Settings!$B$4*MAX(INDEX(Bases!$Q$2:$Q$53,B171),INDEX(Bases!$Q$2:$Q$53,C171))+Settings!$B$5*MIN(INDEX(Bases!$Q$2:$Q$53,B171),INDEX(Bases!$Q$2:$Q$53,C171))</f>
        <v>55.6666666666667</v>
      </c>
      <c r="X171" s="2" t="n">
        <f aca="false">Settings!$B$4*MAX(INDEX(Bases!$R$2:$R$53,B171),INDEX(Bases!$R$2:$R$53,C171))+Settings!$B$5*MIN(INDEX(Bases!$R$2:$R$53,B171),INDEX(Bases!$R$2:$R$53,C171))</f>
        <v>59.6666666666667</v>
      </c>
      <c r="Y171" s="2" t="n">
        <f aca="false">S171*Settings!$B$3/SUM(S171:X171)</f>
        <v>68.5963521015068</v>
      </c>
      <c r="Z171" s="2" t="n">
        <f aca="false">T171*Settings!$B$3/SUM(S171:X171)</f>
        <v>93.5765265662173</v>
      </c>
      <c r="AA171" s="2" t="n">
        <f aca="false">U171*Settings!$B$3/SUM(S171:X171)</f>
        <v>109.04044409199</v>
      </c>
      <c r="AB171" s="2" t="n">
        <f aca="false">V171*Settings!$B$3/SUM(S171:X171)</f>
        <v>91.593973037272</v>
      </c>
      <c r="AC171" s="2" t="n">
        <f aca="false">W171*Settings!$B$3/SUM(S171:X171)</f>
        <v>66.2172878667724</v>
      </c>
      <c r="AD171" s="2" t="n">
        <f aca="false">X171*Settings!$B$3/SUM(S171:X171)</f>
        <v>70.9754163362411</v>
      </c>
      <c r="AE171" s="2" t="n">
        <f aca="false">INT(Y171)</f>
        <v>68</v>
      </c>
      <c r="AF171" s="2" t="n">
        <f aca="false">INT(Z171)</f>
        <v>93</v>
      </c>
      <c r="AG171" s="2" t="n">
        <f aca="false">INT(AA171)</f>
        <v>109</v>
      </c>
      <c r="AH171" s="2" t="n">
        <f aca="false">INT(AB171)</f>
        <v>91</v>
      </c>
      <c r="AI171" s="2" t="n">
        <f aca="false">INT(AC171)</f>
        <v>66</v>
      </c>
      <c r="AJ171" s="2" t="n">
        <f aca="false">INT(AD171)</f>
        <v>70</v>
      </c>
      <c r="AK171" s="2" t="n">
        <f aca="false">Settings!$B$3-SUM(AE171:AJ171)</f>
        <v>3</v>
      </c>
      <c r="AL171" s="2" t="n">
        <f aca="false">ROUND(Y171-AE171,9)</f>
        <v>0.596352102</v>
      </c>
      <c r="AM171" s="2" t="n">
        <f aca="false">ROUND(Z171-AF171,9)</f>
        <v>0.576526566</v>
      </c>
      <c r="AN171" s="2" t="n">
        <f aca="false">ROUND(AA171-AG171,9)</f>
        <v>0.040444092</v>
      </c>
      <c r="AO171" s="2" t="n">
        <f aca="false">ROUND(AB171-AH171,9)</f>
        <v>0.593973037</v>
      </c>
      <c r="AP171" s="2" t="n">
        <f aca="false">ROUND(AC171-AI171,9)</f>
        <v>0.217287867</v>
      </c>
      <c r="AQ171" s="2" t="n">
        <f aca="false">ROUND(AD171-AJ171,9)</f>
        <v>0.975416336</v>
      </c>
    </row>
    <row r="172" customFormat="false" ht="15" hidden="false" customHeight="false" outlineLevel="0" collapsed="false">
      <c r="A172" s="2" t="n">
        <v>171</v>
      </c>
      <c r="B172" s="6" t="n">
        <v>4</v>
      </c>
      <c r="C172" s="6" t="n">
        <v>25</v>
      </c>
      <c r="D172" s="8" t="str">
        <f aca="false">INDEX(Bases!$B$2:$B$53,B172)</f>
        <v>Growlithe</v>
      </c>
      <c r="E172" s="8" t="str">
        <f aca="false">INDEX(Bases!$B$2:$B$53,C172)</f>
        <v>Sandshrew</v>
      </c>
      <c r="F172" s="2" t="str">
        <f aca="false">LEFT(D172,ROUNDUP(LEN(D172)/2,0))&amp;LOWER(MID(E172,ROUNDUP(LEN(E172)/2,0)+1,20))</f>
        <v>Growlhrew</v>
      </c>
      <c r="G172" s="8" t="str">
        <f aca="false">INDEX(Bases!$C$2:$C$53,B172)</f>
        <v>Fire</v>
      </c>
      <c r="H172" s="8" t="str">
        <f aca="false">IF(INDEX(Bases!$C$2:$C$53,C172)=G172,"",INDEX(Bases!$C$2:$C$53,C172))</f>
        <v>Ground</v>
      </c>
      <c r="I172" s="8" t="str">
        <f aca="false">IF(INDEX(Bases!$E$2:$E$53,B172)="","",INDEX(Bases!$E$2:$E$53,B172))</f>
        <v/>
      </c>
      <c r="J172" s="8" t="str">
        <f aca="false">IF(INDEX(Bases!$E$2:$E$53,C172)="","",INDEX(Bases!$E$2:$E$53,C172))</f>
        <v/>
      </c>
      <c r="K172" s="5"/>
      <c r="L172" s="2" t="n">
        <f aca="false">AE172+IF(SUMPRODUCT(--($AL172:$AQ172&gt;AL172))&lt;$AK172,1,0)</f>
        <v>76</v>
      </c>
      <c r="M172" s="2" t="n">
        <f aca="false">AF172+IF(SUMPRODUCT(--($AL172:$AQ172&gt;AM172))+SUMPRODUCT(--($AL172:AL172=AM172))&lt;$AK172,1,0)</f>
        <v>109</v>
      </c>
      <c r="N172" s="2" t="n">
        <f aca="false">AG172+IF(SUMPRODUCT(--($AL172:$AQ172&gt;AN172))+SUMPRODUCT(--($AL172:AM172=AN172))&lt;$AK172,1,0)</f>
        <v>108</v>
      </c>
      <c r="O172" s="2" t="n">
        <f aca="false">AH172+IF(SUMPRODUCT(--($AL172:$AQ172&gt;AO172))+SUMPRODUCT(--($AL172:AN172=AO172))&lt;$AK172,1,0)</f>
        <v>73</v>
      </c>
      <c r="P172" s="2" t="n">
        <f aca="false">AI172+IF(SUMPRODUCT(--($AL172:$AQ172&gt;AP172))+SUMPRODUCT(--($AL172:AO172=AP172))&lt;$AK172,1,0)</f>
        <v>60</v>
      </c>
      <c r="Q172" s="2" t="n">
        <f aca="false">AJ172+IF(SUMPRODUCT(--($AL172:$AQ172&gt;AQ172))+SUMPRODUCT(--($AL172:AP172=AQ172))&lt;$AK172,1,0)</f>
        <v>74</v>
      </c>
      <c r="R172" s="2" t="n">
        <f aca="false">SUM(L172:Q172)</f>
        <v>500</v>
      </c>
      <c r="S172" s="2" t="n">
        <f aca="false">Settings!$B$4*MAX(INDEX(Bases!$M$2:$M$53,B172),INDEX(Bases!$M$2:$M$53,C172))+Settings!$B$5*MIN(INDEX(Bases!$M$2:$M$53,B172),INDEX(Bases!$M$2:$M$53,C172))</f>
        <v>65.6666666666667</v>
      </c>
      <c r="T172" s="2" t="n">
        <f aca="false">Settings!$B$4*MAX(INDEX(Bases!$N$2:$N$53,B172),INDEX(Bases!$N$2:$N$53,C172))+Settings!$B$5*MIN(INDEX(Bases!$N$2:$N$53,B172),INDEX(Bases!$N$2:$N$53,C172))</f>
        <v>93.3333333333333</v>
      </c>
      <c r="U172" s="2" t="n">
        <f aca="false">Settings!$B$4*MAX(INDEX(Bases!$O$2:$O$53,B172),INDEX(Bases!$O$2:$O$53,C172))+Settings!$B$5*MIN(INDEX(Bases!$O$2:$O$53,B172),INDEX(Bases!$O$2:$O$53,C172))</f>
        <v>92.3333333333333</v>
      </c>
      <c r="V172" s="2" t="n">
        <f aca="false">Settings!$B$4*MAX(INDEX(Bases!$P$2:$P$53,B172),INDEX(Bases!$P$2:$P$53,C172))+Settings!$B$5*MIN(INDEX(Bases!$P$2:$P$53,B172),INDEX(Bases!$P$2:$P$53,C172))</f>
        <v>62.3333333333333</v>
      </c>
      <c r="W172" s="2" t="n">
        <f aca="false">Settings!$B$4*MAX(INDEX(Bases!$Q$2:$Q$53,B172),INDEX(Bases!$Q$2:$Q$53,C172))+Settings!$B$5*MIN(INDEX(Bases!$Q$2:$Q$53,B172),INDEX(Bases!$Q$2:$Q$53,C172))</f>
        <v>51.3333333333333</v>
      </c>
      <c r="X172" s="2" t="n">
        <f aca="false">Settings!$B$4*MAX(INDEX(Bases!$R$2:$R$53,B172),INDEX(Bases!$R$2:$R$53,C172))+Settings!$B$5*MIN(INDEX(Bases!$R$2:$R$53,B172),INDEX(Bases!$R$2:$R$53,C172))</f>
        <v>63.6666666666667</v>
      </c>
      <c r="Y172" s="2" t="n">
        <f aca="false">S172*Settings!$B$3/SUM(S172:X172)</f>
        <v>76.5940902021773</v>
      </c>
      <c r="Z172" s="2" t="n">
        <f aca="false">T172*Settings!$B$3/SUM(S172:X172)</f>
        <v>108.864696734059</v>
      </c>
      <c r="AA172" s="2" t="n">
        <f aca="false">U172*Settings!$B$3/SUM(S172:X172)</f>
        <v>107.698289269051</v>
      </c>
      <c r="AB172" s="2" t="n">
        <f aca="false">V172*Settings!$B$3/SUM(S172:X172)</f>
        <v>72.706065318818</v>
      </c>
      <c r="AC172" s="2" t="n">
        <f aca="false">W172*Settings!$B$3/SUM(S172:X172)</f>
        <v>59.8755832037325</v>
      </c>
      <c r="AD172" s="2" t="n">
        <f aca="false">X172*Settings!$B$3/SUM(S172:X172)</f>
        <v>74.2612752721617</v>
      </c>
      <c r="AE172" s="2" t="n">
        <f aca="false">INT(Y172)</f>
        <v>76</v>
      </c>
      <c r="AF172" s="2" t="n">
        <f aca="false">INT(Z172)</f>
        <v>108</v>
      </c>
      <c r="AG172" s="2" t="n">
        <f aca="false">INT(AA172)</f>
        <v>107</v>
      </c>
      <c r="AH172" s="2" t="n">
        <f aca="false">INT(AB172)</f>
        <v>72</v>
      </c>
      <c r="AI172" s="2" t="n">
        <f aca="false">INT(AC172)</f>
        <v>59</v>
      </c>
      <c r="AJ172" s="2" t="n">
        <f aca="false">INT(AD172)</f>
        <v>74</v>
      </c>
      <c r="AK172" s="2" t="n">
        <f aca="false">Settings!$B$3-SUM(AE172:AJ172)</f>
        <v>4</v>
      </c>
      <c r="AL172" s="2" t="n">
        <f aca="false">ROUND(Y172-AE172,9)</f>
        <v>0.594090202</v>
      </c>
      <c r="AM172" s="2" t="n">
        <f aca="false">ROUND(Z172-AF172,9)</f>
        <v>0.864696734</v>
      </c>
      <c r="AN172" s="2" t="n">
        <f aca="false">ROUND(AA172-AG172,9)</f>
        <v>0.698289269</v>
      </c>
      <c r="AO172" s="2" t="n">
        <f aca="false">ROUND(AB172-AH172,9)</f>
        <v>0.706065319</v>
      </c>
      <c r="AP172" s="2" t="n">
        <f aca="false">ROUND(AC172-AI172,9)</f>
        <v>0.875583204</v>
      </c>
      <c r="AQ172" s="2" t="n">
        <f aca="false">ROUND(AD172-AJ172,9)</f>
        <v>0.261275272</v>
      </c>
    </row>
    <row r="173" customFormat="false" ht="15" hidden="false" customHeight="false" outlineLevel="0" collapsed="false">
      <c r="A173" s="2" t="n">
        <v>172</v>
      </c>
      <c r="B173" s="6" t="n">
        <v>4</v>
      </c>
      <c r="C173" s="6" t="n">
        <v>26</v>
      </c>
      <c r="D173" s="8" t="str">
        <f aca="false">INDEX(Bases!$B$2:$B$53,B173)</f>
        <v>Growlithe</v>
      </c>
      <c r="E173" s="8" t="str">
        <f aca="false">INDEX(Bases!$B$2:$B$53,C173)</f>
        <v>Phanpy</v>
      </c>
      <c r="F173" s="2" t="str">
        <f aca="false">LEFT(D173,ROUNDUP(LEN(D173)/2,0))&amp;LOWER(MID(E173,ROUNDUP(LEN(E173)/2,0)+1,20))</f>
        <v>Growlnpy</v>
      </c>
      <c r="G173" s="8" t="str">
        <f aca="false">INDEX(Bases!$C$2:$C$53,B173)</f>
        <v>Fire</v>
      </c>
      <c r="H173" s="8" t="str">
        <f aca="false">IF(INDEX(Bases!$C$2:$C$53,C173)=G173,"",INDEX(Bases!$C$2:$C$53,C173))</f>
        <v>Ground</v>
      </c>
      <c r="I173" s="8" t="str">
        <f aca="false">IF(INDEX(Bases!$E$2:$E$53,B173)="","",INDEX(Bases!$E$2:$E$53,B173))</f>
        <v/>
      </c>
      <c r="J173" s="8" t="str">
        <f aca="false">IF(INDEX(Bases!$E$2:$E$53,C173)="","",INDEX(Bases!$E$2:$E$53,C173))</f>
        <v/>
      </c>
      <c r="K173" s="5"/>
      <c r="L173" s="2" t="n">
        <f aca="false">AE173+IF(SUMPRODUCT(--($AL173:$AQ173&gt;AL173))&lt;$AK173,1,0)</f>
        <v>111</v>
      </c>
      <c r="M173" s="2" t="n">
        <f aca="false">AF173+IF(SUMPRODUCT(--($AL173:$AQ173&gt;AM173))+SUMPRODUCT(--($AL173:AL173=AM173))&lt;$AK173,1,0)</f>
        <v>92</v>
      </c>
      <c r="N173" s="2" t="n">
        <f aca="false">AG173+IF(SUMPRODUCT(--($AL173:$AQ173&gt;AN173))+SUMPRODUCT(--($AL173:AM173=AN173))&lt;$AK173,1,0)</f>
        <v>78</v>
      </c>
      <c r="O173" s="2" t="n">
        <f aca="false">AH173+IF(SUMPRODUCT(--($AL173:$AQ173&gt;AO173))+SUMPRODUCT(--($AL173:AN173=AO173))&lt;$AK173,1,0)</f>
        <v>82</v>
      </c>
      <c r="P173" s="2" t="n">
        <f aca="false">AI173+IF(SUMPRODUCT(--($AL173:$AQ173&gt;AP173))+SUMPRODUCT(--($AL173:AO173=AP173))&lt;$AK173,1,0)</f>
        <v>64</v>
      </c>
      <c r="Q173" s="2" t="n">
        <f aca="false">AJ173+IF(SUMPRODUCT(--($AL173:$AQ173&gt;AQ173))+SUMPRODUCT(--($AL173:AP173=AQ173))&lt;$AK173,1,0)</f>
        <v>73</v>
      </c>
      <c r="R173" s="2" t="n">
        <f aca="false">SUM(L173:Q173)</f>
        <v>500</v>
      </c>
      <c r="S173" s="2" t="n">
        <f aca="false">Settings!$B$4*MAX(INDEX(Bases!$M$2:$M$53,B173),INDEX(Bases!$M$2:$M$53,C173))+Settings!$B$5*MIN(INDEX(Bases!$M$2:$M$53,B173),INDEX(Bases!$M$2:$M$53,C173))</f>
        <v>93.6666666666667</v>
      </c>
      <c r="T173" s="2" t="n">
        <f aca="false">Settings!$B$4*MAX(INDEX(Bases!$N$2:$N$53,B173),INDEX(Bases!$N$2:$N$53,C173))+Settings!$B$5*MIN(INDEX(Bases!$N$2:$N$53,B173),INDEX(Bases!$N$2:$N$53,C173))</f>
        <v>77.6666666666667</v>
      </c>
      <c r="U173" s="2" t="n">
        <f aca="false">Settings!$B$4*MAX(INDEX(Bases!$O$2:$O$53,B173),INDEX(Bases!$O$2:$O$53,C173))+Settings!$B$5*MIN(INDEX(Bases!$O$2:$O$53,B173),INDEX(Bases!$O$2:$O$53,C173))</f>
        <v>65.6666666666667</v>
      </c>
      <c r="V173" s="2" t="n">
        <f aca="false">Settings!$B$4*MAX(INDEX(Bases!$P$2:$P$53,B173),INDEX(Bases!$P$2:$P$53,C173))+Settings!$B$5*MIN(INDEX(Bases!$P$2:$P$53,B173),INDEX(Bases!$P$2:$P$53,C173))</f>
        <v>69.6666666666667</v>
      </c>
      <c r="W173" s="2" t="n">
        <f aca="false">Settings!$B$4*MAX(INDEX(Bases!$Q$2:$Q$53,B173),INDEX(Bases!$Q$2:$Q$53,C173))+Settings!$B$5*MIN(INDEX(Bases!$Q$2:$Q$53,B173),INDEX(Bases!$Q$2:$Q$53,C173))</f>
        <v>54</v>
      </c>
      <c r="X173" s="2" t="n">
        <f aca="false">Settings!$B$4*MAX(INDEX(Bases!$R$2:$R$53,B173),INDEX(Bases!$R$2:$R$53,C173))+Settings!$B$5*MIN(INDEX(Bases!$R$2:$R$53,B173),INDEX(Bases!$R$2:$R$53,C173))</f>
        <v>62</v>
      </c>
      <c r="Y173" s="2" t="n">
        <f aca="false">S173*Settings!$B$3/SUM(S173:X173)</f>
        <v>110.804416403785</v>
      </c>
      <c r="Z173" s="2" t="n">
        <f aca="false">T173*Settings!$B$3/SUM(S173:X173)</f>
        <v>91.8769716088328</v>
      </c>
      <c r="AA173" s="2" t="n">
        <f aca="false">U173*Settings!$B$3/SUM(S173:X173)</f>
        <v>77.6813880126183</v>
      </c>
      <c r="AB173" s="2" t="n">
        <f aca="false">V173*Settings!$B$3/SUM(S173:X173)</f>
        <v>82.4132492113565</v>
      </c>
      <c r="AC173" s="2" t="n">
        <f aca="false">W173*Settings!$B$3/SUM(S173:X173)</f>
        <v>63.8801261829653</v>
      </c>
      <c r="AD173" s="2" t="n">
        <f aca="false">X173*Settings!$B$3/SUM(S173:X173)</f>
        <v>73.3438485804416</v>
      </c>
      <c r="AE173" s="2" t="n">
        <f aca="false">INT(Y173)</f>
        <v>110</v>
      </c>
      <c r="AF173" s="2" t="n">
        <f aca="false">INT(Z173)</f>
        <v>91</v>
      </c>
      <c r="AG173" s="2" t="n">
        <f aca="false">INT(AA173)</f>
        <v>77</v>
      </c>
      <c r="AH173" s="2" t="n">
        <f aca="false">INT(AB173)</f>
        <v>82</v>
      </c>
      <c r="AI173" s="2" t="n">
        <f aca="false">INT(AC173)</f>
        <v>63</v>
      </c>
      <c r="AJ173" s="2" t="n">
        <f aca="false">INT(AD173)</f>
        <v>73</v>
      </c>
      <c r="AK173" s="2" t="n">
        <f aca="false">Settings!$B$3-SUM(AE173:AJ173)</f>
        <v>4</v>
      </c>
      <c r="AL173" s="2" t="n">
        <f aca="false">ROUND(Y173-AE173,9)</f>
        <v>0.804416404</v>
      </c>
      <c r="AM173" s="2" t="n">
        <f aca="false">ROUND(Z173-AF173,9)</f>
        <v>0.876971609</v>
      </c>
      <c r="AN173" s="2" t="n">
        <f aca="false">ROUND(AA173-AG173,9)</f>
        <v>0.681388013</v>
      </c>
      <c r="AO173" s="2" t="n">
        <f aca="false">ROUND(AB173-AH173,9)</f>
        <v>0.413249211</v>
      </c>
      <c r="AP173" s="2" t="n">
        <f aca="false">ROUND(AC173-AI173,9)</f>
        <v>0.880126183</v>
      </c>
      <c r="AQ173" s="2" t="n">
        <f aca="false">ROUND(AD173-AJ173,9)</f>
        <v>0.34384858</v>
      </c>
    </row>
    <row r="174" customFormat="false" ht="15" hidden="false" customHeight="false" outlineLevel="0" collapsed="false">
      <c r="A174" s="2" t="n">
        <v>173</v>
      </c>
      <c r="B174" s="6" t="n">
        <v>4</v>
      </c>
      <c r="C174" s="6" t="n">
        <v>27</v>
      </c>
      <c r="D174" s="8" t="str">
        <f aca="false">INDEX(Bases!$B$2:$B$53,B174)</f>
        <v>Growlithe</v>
      </c>
      <c r="E174" s="8" t="str">
        <f aca="false">INDEX(Bases!$B$2:$B$53,C174)</f>
        <v>Baltoy</v>
      </c>
      <c r="F174" s="2" t="str">
        <f aca="false">LEFT(D174,ROUNDUP(LEN(D174)/2,0))&amp;LOWER(MID(E174,ROUNDUP(LEN(E174)/2,0)+1,20))</f>
        <v>Growltoy</v>
      </c>
      <c r="G174" s="8" t="str">
        <f aca="false">INDEX(Bases!$C$2:$C$53,B174)</f>
        <v>Fire</v>
      </c>
      <c r="H174" s="8" t="str">
        <f aca="false">IF(INDEX(Bases!$C$2:$C$53,C174)=G174,"",INDEX(Bases!$C$2:$C$53,C174))</f>
        <v>Ground</v>
      </c>
      <c r="I174" s="8" t="str">
        <f aca="false">IF(INDEX(Bases!$E$2:$E$53,B174)="","",INDEX(Bases!$E$2:$E$53,B174))</f>
        <v/>
      </c>
      <c r="J174" s="8" t="str">
        <f aca="false">IF(INDEX(Bases!$E$2:$E$53,C174)="","",INDEX(Bases!$E$2:$E$53,C174))</f>
        <v/>
      </c>
      <c r="K174" s="5"/>
      <c r="L174" s="2" t="n">
        <f aca="false">AE174+IF(SUMPRODUCT(--($AL174:$AQ174&gt;AL174))&lt;$AK174,1,0)</f>
        <v>71</v>
      </c>
      <c r="M174" s="2" t="n">
        <f aca="false">AF174+IF(SUMPRODUCT(--($AL174:$AQ174&gt;AM174))+SUMPRODUCT(--($AL174:AL174=AM174))&lt;$AK174,1,0)</f>
        <v>85</v>
      </c>
      <c r="N174" s="2" t="n">
        <f aca="false">AG174+IF(SUMPRODUCT(--($AL174:$AQ174&gt;AN174))+SUMPRODUCT(--($AL174:AM174=AN174))&lt;$AK174,1,0)</f>
        <v>78</v>
      </c>
      <c r="O174" s="2" t="n">
        <f aca="false">AH174+IF(SUMPRODUCT(--($AL174:$AQ174&gt;AO174))+SUMPRODUCT(--($AL174:AN174=AO174))&lt;$AK174,1,0)</f>
        <v>85</v>
      </c>
      <c r="P174" s="2" t="n">
        <f aca="false">AI174+IF(SUMPRODUCT(--($AL174:$AQ174&gt;AP174))+SUMPRODUCT(--($AL174:AO174=AP174))&lt;$AK174,1,0)</f>
        <v>96</v>
      </c>
      <c r="Q174" s="2" t="n">
        <f aca="false">AJ174+IF(SUMPRODUCT(--($AL174:$AQ174&gt;AQ174))+SUMPRODUCT(--($AL174:AP174=AQ174))&lt;$AK174,1,0)</f>
        <v>85</v>
      </c>
      <c r="R174" s="2" t="n">
        <f aca="false">SUM(L174:Q174)</f>
        <v>500</v>
      </c>
      <c r="S174" s="2" t="n">
        <f aca="false">Settings!$B$4*MAX(INDEX(Bases!$M$2:$M$53,B174),INDEX(Bases!$M$2:$M$53,C174))+Settings!$B$5*MIN(INDEX(Bases!$M$2:$M$53,B174),INDEX(Bases!$M$2:$M$53,C174))</f>
        <v>60</v>
      </c>
      <c r="T174" s="2" t="n">
        <f aca="false">Settings!$B$4*MAX(INDEX(Bases!$N$2:$N$53,B174),INDEX(Bases!$N$2:$N$53,C174))+Settings!$B$5*MIN(INDEX(Bases!$N$2:$N$53,B174),INDEX(Bases!$N$2:$N$53,C174))</f>
        <v>71.3333333333333</v>
      </c>
      <c r="U174" s="2" t="n">
        <f aca="false">Settings!$B$4*MAX(INDEX(Bases!$O$2:$O$53,B174),INDEX(Bases!$O$2:$O$53,C174))+Settings!$B$5*MIN(INDEX(Bases!$O$2:$O$53,B174),INDEX(Bases!$O$2:$O$53,C174))</f>
        <v>65.6666666666667</v>
      </c>
      <c r="V174" s="2" t="n">
        <f aca="false">Settings!$B$4*MAX(INDEX(Bases!$P$2:$P$53,B174),INDEX(Bases!$P$2:$P$53,C174))+Settings!$B$5*MIN(INDEX(Bases!$P$2:$P$53,B174),INDEX(Bases!$P$2:$P$53,C174))</f>
        <v>71</v>
      </c>
      <c r="W174" s="2" t="n">
        <f aca="false">Settings!$B$4*MAX(INDEX(Bases!$Q$2:$Q$53,B174),INDEX(Bases!$Q$2:$Q$53,C174))+Settings!$B$5*MIN(INDEX(Bases!$Q$2:$Q$53,B174),INDEX(Bases!$Q$2:$Q$53,C174))</f>
        <v>81</v>
      </c>
      <c r="X174" s="2" t="n">
        <f aca="false">Settings!$B$4*MAX(INDEX(Bases!$R$2:$R$53,B174),INDEX(Bases!$R$2:$R$53,C174))+Settings!$B$5*MIN(INDEX(Bases!$R$2:$R$53,B174),INDEX(Bases!$R$2:$R$53,C174))</f>
        <v>71.6666666666667</v>
      </c>
      <c r="Y174" s="2" t="n">
        <f aca="false">S174*Settings!$B$3/SUM(S174:X174)</f>
        <v>71.3153724247227</v>
      </c>
      <c r="Z174" s="2" t="n">
        <f aca="false">T174*Settings!$B$3/SUM(S174:X174)</f>
        <v>84.7860538827258</v>
      </c>
      <c r="AA174" s="2" t="n">
        <f aca="false">U174*Settings!$B$3/SUM(S174:X174)</f>
        <v>78.0507131537243</v>
      </c>
      <c r="AB174" s="2" t="n">
        <f aca="false">V174*Settings!$B$3/SUM(S174:X174)</f>
        <v>84.3898573692552</v>
      </c>
      <c r="AC174" s="2" t="n">
        <f aca="false">W174*Settings!$B$3/SUM(S174:X174)</f>
        <v>96.2757527733756</v>
      </c>
      <c r="AD174" s="2" t="n">
        <f aca="false">X174*Settings!$B$3/SUM(S174:X174)</f>
        <v>85.1822503961965</v>
      </c>
      <c r="AE174" s="2" t="n">
        <f aca="false">INT(Y174)</f>
        <v>71</v>
      </c>
      <c r="AF174" s="2" t="n">
        <f aca="false">INT(Z174)</f>
        <v>84</v>
      </c>
      <c r="AG174" s="2" t="n">
        <f aca="false">INT(AA174)</f>
        <v>78</v>
      </c>
      <c r="AH174" s="2" t="n">
        <f aca="false">INT(AB174)</f>
        <v>84</v>
      </c>
      <c r="AI174" s="2" t="n">
        <f aca="false">INT(AC174)</f>
        <v>96</v>
      </c>
      <c r="AJ174" s="2" t="n">
        <f aca="false">INT(AD174)</f>
        <v>85</v>
      </c>
      <c r="AK174" s="2" t="n">
        <f aca="false">Settings!$B$3-SUM(AE174:AJ174)</f>
        <v>2</v>
      </c>
      <c r="AL174" s="2" t="n">
        <f aca="false">ROUND(Y174-AE174,9)</f>
        <v>0.315372425</v>
      </c>
      <c r="AM174" s="2" t="n">
        <f aca="false">ROUND(Z174-AF174,9)</f>
        <v>0.786053883</v>
      </c>
      <c r="AN174" s="2" t="n">
        <f aca="false">ROUND(AA174-AG174,9)</f>
        <v>0.050713154</v>
      </c>
      <c r="AO174" s="2" t="n">
        <f aca="false">ROUND(AB174-AH174,9)</f>
        <v>0.389857369</v>
      </c>
      <c r="AP174" s="2" t="n">
        <f aca="false">ROUND(AC174-AI174,9)</f>
        <v>0.275752773</v>
      </c>
      <c r="AQ174" s="2" t="n">
        <f aca="false">ROUND(AD174-AJ174,9)</f>
        <v>0.182250396</v>
      </c>
    </row>
    <row r="175" customFormat="false" ht="15" hidden="false" customHeight="false" outlineLevel="0" collapsed="false">
      <c r="A175" s="2" t="n">
        <v>174</v>
      </c>
      <c r="B175" s="6" t="n">
        <v>4</v>
      </c>
      <c r="C175" s="6" t="n">
        <v>28</v>
      </c>
      <c r="D175" s="8" t="str">
        <f aca="false">INDEX(Bases!$B$2:$B$53,B175)</f>
        <v>Growlithe</v>
      </c>
      <c r="E175" s="8" t="str">
        <f aca="false">INDEX(Bases!$B$2:$B$53,C175)</f>
        <v>Zubat</v>
      </c>
      <c r="F175" s="2" t="str">
        <f aca="false">LEFT(D175,ROUNDUP(LEN(D175)/2,0))&amp;LOWER(MID(E175,ROUNDUP(LEN(E175)/2,0)+1,20))</f>
        <v>Growlat</v>
      </c>
      <c r="G175" s="8" t="str">
        <f aca="false">INDEX(Bases!$C$2:$C$53,B175)</f>
        <v>Fire</v>
      </c>
      <c r="H175" s="8" t="str">
        <f aca="false">IF(INDEX(Bases!$C$2:$C$53,C175)=G175,"",INDEX(Bases!$C$2:$C$53,C175))</f>
        <v>Flying</v>
      </c>
      <c r="I175" s="8" t="str">
        <f aca="false">IF(INDEX(Bases!$E$2:$E$53,B175)="","",INDEX(Bases!$E$2:$E$53,B175))</f>
        <v/>
      </c>
      <c r="J175" s="8" t="str">
        <f aca="false">IF(INDEX(Bases!$E$2:$E$53,C175)="","",INDEX(Bases!$E$2:$E$53,C175))</f>
        <v/>
      </c>
      <c r="K175" s="5"/>
      <c r="L175" s="2" t="n">
        <f aca="false">AE175+IF(SUMPRODUCT(--($AL175:$AQ175&gt;AL175))&lt;$AK175,1,0)</f>
        <v>78</v>
      </c>
      <c r="M175" s="2" t="n">
        <f aca="false">AF175+IF(SUMPRODUCT(--($AL175:$AQ175&gt;AM175))+SUMPRODUCT(--($AL175:AL175=AM175))&lt;$AK175,1,0)</f>
        <v>94</v>
      </c>
      <c r="N175" s="2" t="n">
        <f aca="false">AG175+IF(SUMPRODUCT(--($AL175:$AQ175&gt;AN175))+SUMPRODUCT(--($AL175:AM175=AN175))&lt;$AK175,1,0)</f>
        <v>67</v>
      </c>
      <c r="O175" s="2" t="n">
        <f aca="false">AH175+IF(SUMPRODUCT(--($AL175:$AQ175&gt;AO175))+SUMPRODUCT(--($AL175:AN175=AO175))&lt;$AK175,1,0)</f>
        <v>84</v>
      </c>
      <c r="P175" s="2" t="n">
        <f aca="false">AI175+IF(SUMPRODUCT(--($AL175:$AQ175&gt;AP175))+SUMPRODUCT(--($AL175:AO175=AP175))&lt;$AK175,1,0)</f>
        <v>76</v>
      </c>
      <c r="Q175" s="2" t="n">
        <f aca="false">AJ175+IF(SUMPRODUCT(--($AL175:$AQ175&gt;AQ175))+SUMPRODUCT(--($AL175:AP175=AQ175))&lt;$AK175,1,0)</f>
        <v>101</v>
      </c>
      <c r="R175" s="2" t="n">
        <f aca="false">SUM(L175:Q175)</f>
        <v>500</v>
      </c>
      <c r="S175" s="2" t="n">
        <f aca="false">Settings!$B$4*MAX(INDEX(Bases!$M$2:$M$53,B175),INDEX(Bases!$M$2:$M$53,C175))+Settings!$B$5*MIN(INDEX(Bases!$M$2:$M$53,B175),INDEX(Bases!$M$2:$M$53,C175))</f>
        <v>64.3333333333333</v>
      </c>
      <c r="T175" s="2" t="n">
        <f aca="false">Settings!$B$4*MAX(INDEX(Bases!$N$2:$N$53,B175),INDEX(Bases!$N$2:$N$53,C175))+Settings!$B$5*MIN(INDEX(Bases!$N$2:$N$53,B175),INDEX(Bases!$N$2:$N$53,C175))</f>
        <v>78</v>
      </c>
      <c r="U175" s="2" t="n">
        <f aca="false">Settings!$B$4*MAX(INDEX(Bases!$O$2:$O$53,B175),INDEX(Bases!$O$2:$O$53,C175))+Settings!$B$5*MIN(INDEX(Bases!$O$2:$O$53,B175),INDEX(Bases!$O$2:$O$53,C175))</f>
        <v>55</v>
      </c>
      <c r="V175" s="2" t="n">
        <f aca="false">Settings!$B$4*MAX(INDEX(Bases!$P$2:$P$53,B175),INDEX(Bases!$P$2:$P$53,C175))+Settings!$B$5*MIN(INDEX(Bases!$P$2:$P$53,B175),INDEX(Bases!$P$2:$P$53,C175))</f>
        <v>69.6666666666667</v>
      </c>
      <c r="W175" s="2" t="n">
        <f aca="false">Settings!$B$4*MAX(INDEX(Bases!$Q$2:$Q$53,B175),INDEX(Bases!$Q$2:$Q$53,C175))+Settings!$B$5*MIN(INDEX(Bases!$Q$2:$Q$53,B175),INDEX(Bases!$Q$2:$Q$53,C175))</f>
        <v>62.3333333333333</v>
      </c>
      <c r="X175" s="2" t="n">
        <f aca="false">Settings!$B$4*MAX(INDEX(Bases!$R$2:$R$53,B175),INDEX(Bases!$R$2:$R$53,C175))+Settings!$B$5*MIN(INDEX(Bases!$R$2:$R$53,B175),INDEX(Bases!$R$2:$R$53,C175))</f>
        <v>83</v>
      </c>
      <c r="Y175" s="2" t="n">
        <f aca="false">S175*Settings!$B$3/SUM(S175:X175)</f>
        <v>78.0113177041229</v>
      </c>
      <c r="Z175" s="2" t="n">
        <f aca="false">T175*Settings!$B$3/SUM(S175:X175)</f>
        <v>94.5836701697656</v>
      </c>
      <c r="AA175" s="2" t="n">
        <f aca="false">U175*Settings!$B$3/SUM(S175:X175)</f>
        <v>66.693613581245</v>
      </c>
      <c r="AB175" s="2" t="n">
        <f aca="false">V175*Settings!$B$3/SUM(S175:X175)</f>
        <v>84.4785772029103</v>
      </c>
      <c r="AC175" s="2" t="n">
        <f aca="false">W175*Settings!$B$3/SUM(S175:X175)</f>
        <v>75.5860953920776</v>
      </c>
      <c r="AD175" s="2" t="n">
        <f aca="false">X175*Settings!$B$3/SUM(S175:X175)</f>
        <v>100.646725949879</v>
      </c>
      <c r="AE175" s="2" t="n">
        <f aca="false">INT(Y175)</f>
        <v>78</v>
      </c>
      <c r="AF175" s="2" t="n">
        <f aca="false">INT(Z175)</f>
        <v>94</v>
      </c>
      <c r="AG175" s="2" t="n">
        <f aca="false">INT(AA175)</f>
        <v>66</v>
      </c>
      <c r="AH175" s="2" t="n">
        <f aca="false">INT(AB175)</f>
        <v>84</v>
      </c>
      <c r="AI175" s="2" t="n">
        <f aca="false">INT(AC175)</f>
        <v>75</v>
      </c>
      <c r="AJ175" s="2" t="n">
        <f aca="false">INT(AD175)</f>
        <v>100</v>
      </c>
      <c r="AK175" s="2" t="n">
        <f aca="false">Settings!$B$3-SUM(AE175:AJ175)</f>
        <v>3</v>
      </c>
      <c r="AL175" s="2" t="n">
        <f aca="false">ROUND(Y175-AE175,9)</f>
        <v>0.011317704</v>
      </c>
      <c r="AM175" s="2" t="n">
        <f aca="false">ROUND(Z175-AF175,9)</f>
        <v>0.58367017</v>
      </c>
      <c r="AN175" s="2" t="n">
        <f aca="false">ROUND(AA175-AG175,9)</f>
        <v>0.693613581</v>
      </c>
      <c r="AO175" s="2" t="n">
        <f aca="false">ROUND(AB175-AH175,9)</f>
        <v>0.478577203</v>
      </c>
      <c r="AP175" s="2" t="n">
        <f aca="false">ROUND(AC175-AI175,9)</f>
        <v>0.586095392</v>
      </c>
      <c r="AQ175" s="2" t="n">
        <f aca="false">ROUND(AD175-AJ175,9)</f>
        <v>0.64672595</v>
      </c>
    </row>
    <row r="176" customFormat="false" ht="15" hidden="false" customHeight="false" outlineLevel="0" collapsed="false">
      <c r="A176" s="2" t="n">
        <v>175</v>
      </c>
      <c r="B176" s="6" t="n">
        <v>4</v>
      </c>
      <c r="C176" s="6" t="n">
        <v>29</v>
      </c>
      <c r="D176" s="8" t="str">
        <f aca="false">INDEX(Bases!$B$2:$B$53,B176)</f>
        <v>Growlithe</v>
      </c>
      <c r="E176" s="8" t="str">
        <f aca="false">INDEX(Bases!$B$2:$B$53,C176)</f>
        <v>Murkrow</v>
      </c>
      <c r="F176" s="2" t="str">
        <f aca="false">LEFT(D176,ROUNDUP(LEN(D176)/2,0))&amp;LOWER(MID(E176,ROUNDUP(LEN(E176)/2,0)+1,20))</f>
        <v>Growlrow</v>
      </c>
      <c r="G176" s="8" t="str">
        <f aca="false">INDEX(Bases!$C$2:$C$53,B176)</f>
        <v>Fire</v>
      </c>
      <c r="H176" s="8" t="str">
        <f aca="false">IF(INDEX(Bases!$C$2:$C$53,C176)=G176,"",INDEX(Bases!$C$2:$C$53,C176))</f>
        <v>Flying</v>
      </c>
      <c r="I176" s="8" t="str">
        <f aca="false">IF(INDEX(Bases!$E$2:$E$53,B176)="","",INDEX(Bases!$E$2:$E$53,B176))</f>
        <v/>
      </c>
      <c r="J176" s="8" t="str">
        <f aca="false">IF(INDEX(Bases!$E$2:$E$53,C176)="","",INDEX(Bases!$E$2:$E$53,C176))</f>
        <v/>
      </c>
      <c r="K176" s="5"/>
      <c r="L176" s="2" t="n">
        <f aca="false">AE176+IF(SUMPRODUCT(--($AL176:$AQ176&gt;AL176))&lt;$AK176,1,0)</f>
        <v>75</v>
      </c>
      <c r="M176" s="2" t="n">
        <f aca="false">AF176+IF(SUMPRODUCT(--($AL176:$AQ176&gt;AM176))+SUMPRODUCT(--($AL176:AL176=AM176))&lt;$AK176,1,0)</f>
        <v>101</v>
      </c>
      <c r="N176" s="2" t="n">
        <f aca="false">AG176+IF(SUMPRODUCT(--($AL176:$AQ176&gt;AN176))+SUMPRODUCT(--($AL176:AM176=AN176))&lt;$AK176,1,0)</f>
        <v>59</v>
      </c>
      <c r="O176" s="2" t="n">
        <f aca="false">AH176+IF(SUMPRODUCT(--($AL176:$AQ176&gt;AO176))+SUMPRODUCT(--($AL176:AN176=AO176))&lt;$AK176,1,0)</f>
        <v>101</v>
      </c>
      <c r="P176" s="2" t="n">
        <f aca="false">AI176+IF(SUMPRODUCT(--($AL176:$AQ176&gt;AP176))+SUMPRODUCT(--($AL176:AO176=AP176))&lt;$AK176,1,0)</f>
        <v>63</v>
      </c>
      <c r="Q176" s="2" t="n">
        <f aca="false">AJ176+IF(SUMPRODUCT(--($AL176:$AQ176&gt;AQ176))+SUMPRODUCT(--($AL176:AP176=AQ176))&lt;$AK176,1,0)</f>
        <v>101</v>
      </c>
      <c r="R176" s="2" t="n">
        <f aca="false">SUM(L176:Q176)</f>
        <v>500</v>
      </c>
      <c r="S176" s="2" t="n">
        <f aca="false">Settings!$B$4*MAX(INDEX(Bases!$M$2:$M$53,B176),INDEX(Bases!$M$2:$M$53,C176))+Settings!$B$5*MIN(INDEX(Bases!$M$2:$M$53,B176),INDEX(Bases!$M$2:$M$53,C176))</f>
        <v>61.6666666666667</v>
      </c>
      <c r="T176" s="2" t="n">
        <f aca="false">Settings!$B$4*MAX(INDEX(Bases!$N$2:$N$53,B176),INDEX(Bases!$N$2:$N$53,C176))+Settings!$B$5*MIN(INDEX(Bases!$N$2:$N$53,B176),INDEX(Bases!$N$2:$N$53,C176))</f>
        <v>82.6666666666667</v>
      </c>
      <c r="U176" s="2" t="n">
        <f aca="false">Settings!$B$4*MAX(INDEX(Bases!$O$2:$O$53,B176),INDEX(Bases!$O$2:$O$53,C176))+Settings!$B$5*MIN(INDEX(Bases!$O$2:$O$53,B176),INDEX(Bases!$O$2:$O$53,C176))</f>
        <v>48</v>
      </c>
      <c r="V176" s="2" t="n">
        <f aca="false">Settings!$B$4*MAX(INDEX(Bases!$P$2:$P$53,B176),INDEX(Bases!$P$2:$P$53,C176))+Settings!$B$5*MIN(INDEX(Bases!$P$2:$P$53,B176),INDEX(Bases!$P$2:$P$53,C176))</f>
        <v>82.6666666666667</v>
      </c>
      <c r="W176" s="2" t="n">
        <f aca="false">Settings!$B$4*MAX(INDEX(Bases!$Q$2:$Q$53,B176),INDEX(Bases!$Q$2:$Q$53,C176))+Settings!$B$5*MIN(INDEX(Bases!$Q$2:$Q$53,B176),INDEX(Bases!$Q$2:$Q$53,C176))</f>
        <v>51.6666666666667</v>
      </c>
      <c r="X176" s="2" t="n">
        <f aca="false">Settings!$B$4*MAX(INDEX(Bases!$R$2:$R$53,B176),INDEX(Bases!$R$2:$R$53,C176))+Settings!$B$5*MIN(INDEX(Bases!$R$2:$R$53,B176),INDEX(Bases!$R$2:$R$53,C176))</f>
        <v>83</v>
      </c>
      <c r="Y176" s="2" t="n">
        <f aca="false">S176*Settings!$B$3/SUM(S176:X176)</f>
        <v>75.2644426362897</v>
      </c>
      <c r="Z176" s="2" t="n">
        <f aca="false">T176*Settings!$B$3/SUM(S176:X176)</f>
        <v>100.895036615134</v>
      </c>
      <c r="AA176" s="2" t="n">
        <f aca="false">U176*Settings!$B$3/SUM(S176:X176)</f>
        <v>58.5842148087876</v>
      </c>
      <c r="AB176" s="2" t="n">
        <f aca="false">V176*Settings!$B$3/SUM(S176:X176)</f>
        <v>100.895036615134</v>
      </c>
      <c r="AC176" s="2" t="n">
        <f aca="false">W176*Settings!$B$3/SUM(S176:X176)</f>
        <v>63.0593978844589</v>
      </c>
      <c r="AD176" s="2" t="n">
        <f aca="false">X176*Settings!$B$3/SUM(S176:X176)</f>
        <v>101.301871440195</v>
      </c>
      <c r="AE176" s="2" t="n">
        <f aca="false">INT(Y176)</f>
        <v>75</v>
      </c>
      <c r="AF176" s="2" t="n">
        <f aca="false">INT(Z176)</f>
        <v>100</v>
      </c>
      <c r="AG176" s="2" t="n">
        <f aca="false">INT(AA176)</f>
        <v>58</v>
      </c>
      <c r="AH176" s="2" t="n">
        <f aca="false">INT(AB176)</f>
        <v>100</v>
      </c>
      <c r="AI176" s="2" t="n">
        <f aca="false">INT(AC176)</f>
        <v>63</v>
      </c>
      <c r="AJ176" s="2" t="n">
        <f aca="false">INT(AD176)</f>
        <v>101</v>
      </c>
      <c r="AK176" s="2" t="n">
        <f aca="false">Settings!$B$3-SUM(AE176:AJ176)</f>
        <v>3</v>
      </c>
      <c r="AL176" s="2" t="n">
        <f aca="false">ROUND(Y176-AE176,9)</f>
        <v>0.264442636</v>
      </c>
      <c r="AM176" s="2" t="n">
        <f aca="false">ROUND(Z176-AF176,9)</f>
        <v>0.895036615</v>
      </c>
      <c r="AN176" s="2" t="n">
        <f aca="false">ROUND(AA176-AG176,9)</f>
        <v>0.584214809</v>
      </c>
      <c r="AO176" s="2" t="n">
        <f aca="false">ROUND(AB176-AH176,9)</f>
        <v>0.895036615</v>
      </c>
      <c r="AP176" s="2" t="n">
        <f aca="false">ROUND(AC176-AI176,9)</f>
        <v>0.059397884</v>
      </c>
      <c r="AQ176" s="2" t="n">
        <f aca="false">ROUND(AD176-AJ176,9)</f>
        <v>0.30187144</v>
      </c>
    </row>
    <row r="177" customFormat="false" ht="15" hidden="false" customHeight="false" outlineLevel="0" collapsed="false">
      <c r="A177" s="2" t="n">
        <v>176</v>
      </c>
      <c r="B177" s="6" t="n">
        <v>4</v>
      </c>
      <c r="C177" s="6" t="n">
        <v>30</v>
      </c>
      <c r="D177" s="8" t="str">
        <f aca="false">INDEX(Bases!$B$2:$B$53,B177)</f>
        <v>Growlithe</v>
      </c>
      <c r="E177" s="8" t="str">
        <f aca="false">INDEX(Bases!$B$2:$B$53,C177)</f>
        <v>Swablu</v>
      </c>
      <c r="F177" s="2" t="str">
        <f aca="false">LEFT(D177,ROUNDUP(LEN(D177)/2,0))&amp;LOWER(MID(E177,ROUNDUP(LEN(E177)/2,0)+1,20))</f>
        <v>Growlblu</v>
      </c>
      <c r="G177" s="8" t="str">
        <f aca="false">INDEX(Bases!$C$2:$C$53,B177)</f>
        <v>Fire</v>
      </c>
      <c r="H177" s="8" t="str">
        <f aca="false">IF(INDEX(Bases!$C$2:$C$53,C177)=G177,"",INDEX(Bases!$C$2:$C$53,C177))</f>
        <v>Flying</v>
      </c>
      <c r="I177" s="8" t="str">
        <f aca="false">IF(INDEX(Bases!$E$2:$E$53,B177)="","",INDEX(Bases!$E$2:$E$53,B177))</f>
        <v/>
      </c>
      <c r="J177" s="8" t="str">
        <f aca="false">IF(INDEX(Bases!$E$2:$E$53,C177)="","",INDEX(Bases!$E$2:$E$53,C177))</f>
        <v/>
      </c>
      <c r="K177" s="5"/>
      <c r="L177" s="2" t="n">
        <f aca="false">AE177+IF(SUMPRODUCT(--($AL177:$AQ177&gt;AL177))&lt;$AK177,1,0)</f>
        <v>72</v>
      </c>
      <c r="M177" s="2" t="n">
        <f aca="false">AF177+IF(SUMPRODUCT(--($AL177:$AQ177&gt;AM177))+SUMPRODUCT(--($AL177:AL177=AM177))&lt;$AK177,1,0)</f>
        <v>84</v>
      </c>
      <c r="N177" s="2" t="n">
        <f aca="false">AG177+IF(SUMPRODUCT(--($AL177:$AQ177&gt;AN177))+SUMPRODUCT(--($AL177:AM177=AN177))&lt;$AK177,1,0)</f>
        <v>81</v>
      </c>
      <c r="O177" s="2" t="n">
        <f aca="false">AH177+IF(SUMPRODUCT(--($AL177:$AQ177&gt;AO177))+SUMPRODUCT(--($AL177:AN177=AO177))&lt;$AK177,1,0)</f>
        <v>84</v>
      </c>
      <c r="P177" s="2" t="n">
        <f aca="false">AI177+IF(SUMPRODUCT(--($AL177:$AQ177&gt;AP177))+SUMPRODUCT(--($AL177:AO177=AP177))&lt;$AK177,1,0)</f>
        <v>99</v>
      </c>
      <c r="Q177" s="2" t="n">
        <f aca="false">AJ177+IF(SUMPRODUCT(--($AL177:$AQ177&gt;AQ177))+SUMPRODUCT(--($AL177:AP177=AQ177))&lt;$AK177,1,0)</f>
        <v>80</v>
      </c>
      <c r="R177" s="2" t="n">
        <f aca="false">SUM(L177:Q177)</f>
        <v>500</v>
      </c>
      <c r="S177" s="2" t="n">
        <f aca="false">Settings!$B$4*MAX(INDEX(Bases!$M$2:$M$53,B177),INDEX(Bases!$M$2:$M$53,C177))+Settings!$B$5*MIN(INDEX(Bases!$M$2:$M$53,B177),INDEX(Bases!$M$2:$M$53,C177))</f>
        <v>61.3333333333333</v>
      </c>
      <c r="T177" s="2" t="n">
        <f aca="false">Settings!$B$4*MAX(INDEX(Bases!$N$2:$N$53,B177),INDEX(Bases!$N$2:$N$53,C177))+Settings!$B$5*MIN(INDEX(Bases!$N$2:$N$53,B177),INDEX(Bases!$N$2:$N$53,C177))</f>
        <v>70.6666666666667</v>
      </c>
      <c r="U177" s="2" t="n">
        <f aca="false">Settings!$B$4*MAX(INDEX(Bases!$O$2:$O$53,B177),INDEX(Bases!$O$2:$O$53,C177))+Settings!$B$5*MIN(INDEX(Bases!$O$2:$O$53,B177),INDEX(Bases!$O$2:$O$53,C177))</f>
        <v>68.3333333333333</v>
      </c>
      <c r="V177" s="2" t="n">
        <f aca="false">Settings!$B$4*MAX(INDEX(Bases!$P$2:$P$53,B177),INDEX(Bases!$P$2:$P$53,C177))+Settings!$B$5*MIN(INDEX(Bases!$P$2:$P$53,B177),INDEX(Bases!$P$2:$P$53,C177))</f>
        <v>70.6666666666667</v>
      </c>
      <c r="W177" s="2" t="n">
        <f aca="false">Settings!$B$4*MAX(INDEX(Bases!$Q$2:$Q$53,B177),INDEX(Bases!$Q$2:$Q$53,C177))+Settings!$B$5*MIN(INDEX(Bases!$Q$2:$Q$53,B177),INDEX(Bases!$Q$2:$Q$53,C177))</f>
        <v>83.6666666666667</v>
      </c>
      <c r="X177" s="2" t="n">
        <f aca="false">Settings!$B$4*MAX(INDEX(Bases!$R$2:$R$53,B177),INDEX(Bases!$R$2:$R$53,C177))+Settings!$B$5*MIN(INDEX(Bases!$R$2:$R$53,B177),INDEX(Bases!$R$2:$R$53,C177))</f>
        <v>67.3333333333333</v>
      </c>
      <c r="Y177" s="2" t="n">
        <f aca="false">S177*Settings!$B$3/SUM(S177:X177)</f>
        <v>72.6698262243286</v>
      </c>
      <c r="Z177" s="2" t="n">
        <f aca="false">T177*Settings!$B$3/SUM(S177:X177)</f>
        <v>83.7282780410742</v>
      </c>
      <c r="AA177" s="2" t="n">
        <f aca="false">U177*Settings!$B$3/SUM(S177:X177)</f>
        <v>80.9636650868878</v>
      </c>
      <c r="AB177" s="2" t="n">
        <f aca="false">V177*Settings!$B$3/SUM(S177:X177)</f>
        <v>83.7282780410742</v>
      </c>
      <c r="AC177" s="2" t="n">
        <f aca="false">W177*Settings!$B$3/SUM(S177:X177)</f>
        <v>99.13112164297</v>
      </c>
      <c r="AD177" s="2" t="n">
        <f aca="false">X177*Settings!$B$3/SUM(S177:X177)</f>
        <v>79.7788309636651</v>
      </c>
      <c r="AE177" s="2" t="n">
        <f aca="false">INT(Y177)</f>
        <v>72</v>
      </c>
      <c r="AF177" s="2" t="n">
        <f aca="false">INT(Z177)</f>
        <v>83</v>
      </c>
      <c r="AG177" s="2" t="n">
        <f aca="false">INT(AA177)</f>
        <v>80</v>
      </c>
      <c r="AH177" s="2" t="n">
        <f aca="false">INT(AB177)</f>
        <v>83</v>
      </c>
      <c r="AI177" s="2" t="n">
        <f aca="false">INT(AC177)</f>
        <v>99</v>
      </c>
      <c r="AJ177" s="2" t="n">
        <f aca="false">INT(AD177)</f>
        <v>79</v>
      </c>
      <c r="AK177" s="2" t="n">
        <f aca="false">Settings!$B$3-SUM(AE177:AJ177)</f>
        <v>4</v>
      </c>
      <c r="AL177" s="2" t="n">
        <f aca="false">ROUND(Y177-AE177,9)</f>
        <v>0.669826224</v>
      </c>
      <c r="AM177" s="2" t="n">
        <f aca="false">ROUND(Z177-AF177,9)</f>
        <v>0.728278041</v>
      </c>
      <c r="AN177" s="2" t="n">
        <f aca="false">ROUND(AA177-AG177,9)</f>
        <v>0.963665087</v>
      </c>
      <c r="AO177" s="2" t="n">
        <f aca="false">ROUND(AB177-AH177,9)</f>
        <v>0.728278041</v>
      </c>
      <c r="AP177" s="2" t="n">
        <f aca="false">ROUND(AC177-AI177,9)</f>
        <v>0.131121643</v>
      </c>
      <c r="AQ177" s="2" t="n">
        <f aca="false">ROUND(AD177-AJ177,9)</f>
        <v>0.778830964</v>
      </c>
    </row>
    <row r="178" customFormat="false" ht="15" hidden="false" customHeight="false" outlineLevel="0" collapsed="false">
      <c r="A178" s="2" t="n">
        <v>177</v>
      </c>
      <c r="B178" s="6" t="n">
        <v>4</v>
      </c>
      <c r="C178" s="6" t="n">
        <v>31</v>
      </c>
      <c r="D178" s="8" t="str">
        <f aca="false">INDEX(Bases!$B$2:$B$53,B178)</f>
        <v>Growlithe</v>
      </c>
      <c r="E178" s="8" t="str">
        <f aca="false">INDEX(Bases!$B$2:$B$53,C178)</f>
        <v>Mew</v>
      </c>
      <c r="F178" s="2" t="str">
        <f aca="false">LEFT(D178,ROUNDUP(LEN(D178)/2,0))&amp;LOWER(MID(E178,ROUNDUP(LEN(E178)/2,0)+1,20))</f>
        <v>Growlw</v>
      </c>
      <c r="G178" s="8" t="str">
        <f aca="false">INDEX(Bases!$C$2:$C$53,B178)</f>
        <v>Fire</v>
      </c>
      <c r="H178" s="8" t="str">
        <f aca="false">IF(INDEX(Bases!$C$2:$C$53,C178)=G178,"",INDEX(Bases!$C$2:$C$53,C178))</f>
        <v>Psychic</v>
      </c>
      <c r="I178" s="8" t="str">
        <f aca="false">IF(INDEX(Bases!$E$2:$E$53,B178)="","",INDEX(Bases!$E$2:$E$53,B178))</f>
        <v/>
      </c>
      <c r="J178" s="8" t="str">
        <f aca="false">IF(INDEX(Bases!$E$2:$E$53,C178)="","",INDEX(Bases!$E$2:$E$53,C178))</f>
        <v/>
      </c>
      <c r="K178" s="5"/>
      <c r="L178" s="2" t="n">
        <f aca="false">AE178+IF(SUMPRODUCT(--($AL178:$AQ178&gt;AL178))&lt;$AK178,1,0)</f>
        <v>80</v>
      </c>
      <c r="M178" s="2" t="n">
        <f aca="false">AF178+IF(SUMPRODUCT(--($AL178:$AQ178&gt;AM178))+SUMPRODUCT(--($AL178:AL178=AM178))&lt;$AK178,1,0)</f>
        <v>93</v>
      </c>
      <c r="N178" s="2" t="n">
        <f aca="false">AG178+IF(SUMPRODUCT(--($AL178:$AQ178&gt;AN178))+SUMPRODUCT(--($AL178:AM178=AN178))&lt;$AK178,1,0)</f>
        <v>75</v>
      </c>
      <c r="O178" s="2" t="n">
        <f aca="false">AH178+IF(SUMPRODUCT(--($AL178:$AQ178&gt;AO178))+SUMPRODUCT(--($AL178:AN178=AO178))&lt;$AK178,1,0)</f>
        <v>92</v>
      </c>
      <c r="P178" s="2" t="n">
        <f aca="false">AI178+IF(SUMPRODUCT(--($AL178:$AQ178&gt;AP178))+SUMPRODUCT(--($AL178:AO178=AP178))&lt;$AK178,1,0)</f>
        <v>77</v>
      </c>
      <c r="Q178" s="2" t="n">
        <f aca="false">AJ178+IF(SUMPRODUCT(--($AL178:$AQ178&gt;AQ178))+SUMPRODUCT(--($AL178:AP178=AQ178))&lt;$AK178,1,0)</f>
        <v>83</v>
      </c>
      <c r="R178" s="2" t="n">
        <f aca="false">SUM(L178:Q178)</f>
        <v>500</v>
      </c>
      <c r="S178" s="2" t="n">
        <f aca="false">Settings!$B$4*MAX(INDEX(Bases!$M$2:$M$53,B178),INDEX(Bases!$M$2:$M$53,C178))+Settings!$B$5*MIN(INDEX(Bases!$M$2:$M$53,B178),INDEX(Bases!$M$2:$M$53,C178))</f>
        <v>65.6666666666667</v>
      </c>
      <c r="T178" s="2" t="n">
        <f aca="false">Settings!$B$4*MAX(INDEX(Bases!$N$2:$N$53,B178),INDEX(Bases!$N$2:$N$53,C178))+Settings!$B$5*MIN(INDEX(Bases!$N$2:$N$53,B178),INDEX(Bases!$N$2:$N$53,C178))</f>
        <v>75.6666666666667</v>
      </c>
      <c r="U178" s="2" t="n">
        <f aca="false">Settings!$B$4*MAX(INDEX(Bases!$O$2:$O$53,B178),INDEX(Bases!$O$2:$O$53,C178))+Settings!$B$5*MIN(INDEX(Bases!$O$2:$O$53,B178),INDEX(Bases!$O$2:$O$53,C178))</f>
        <v>61.6666666666667</v>
      </c>
      <c r="V178" s="2" t="n">
        <f aca="false">Settings!$B$4*MAX(INDEX(Bases!$P$2:$P$53,B178),INDEX(Bases!$P$2:$P$53,C178))+Settings!$B$5*MIN(INDEX(Bases!$P$2:$P$53,B178),INDEX(Bases!$P$2:$P$53,C178))</f>
        <v>75.6666666666667</v>
      </c>
      <c r="W178" s="2" t="n">
        <f aca="false">Settings!$B$4*MAX(INDEX(Bases!$Q$2:$Q$53,B178),INDEX(Bases!$Q$2:$Q$53,C178))+Settings!$B$5*MIN(INDEX(Bases!$Q$2:$Q$53,B178),INDEX(Bases!$Q$2:$Q$53,C178))</f>
        <v>63</v>
      </c>
      <c r="X178" s="2" t="n">
        <f aca="false">Settings!$B$4*MAX(INDEX(Bases!$R$2:$R$53,B178),INDEX(Bases!$R$2:$R$53,C178))+Settings!$B$5*MIN(INDEX(Bases!$R$2:$R$53,B178),INDEX(Bases!$R$2:$R$53,C178))</f>
        <v>68</v>
      </c>
      <c r="Y178" s="2" t="n">
        <f aca="false">S178*Settings!$B$3/SUM(S178:X178)</f>
        <v>80.146460537022</v>
      </c>
      <c r="Z178" s="2" t="n">
        <f aca="false">T178*Settings!$B$3/SUM(S178:X178)</f>
        <v>92.3515052888527</v>
      </c>
      <c r="AA178" s="2" t="n">
        <f aca="false">U178*Settings!$B$3/SUM(S178:X178)</f>
        <v>75.2644426362897</v>
      </c>
      <c r="AB178" s="2" t="n">
        <f aca="false">V178*Settings!$B$3/SUM(S178:X178)</f>
        <v>92.3515052888527</v>
      </c>
      <c r="AC178" s="2" t="n">
        <f aca="false">W178*Settings!$B$3/SUM(S178:X178)</f>
        <v>76.8917819365338</v>
      </c>
      <c r="AD178" s="2" t="n">
        <f aca="false">X178*Settings!$B$3/SUM(S178:X178)</f>
        <v>82.9943043124492</v>
      </c>
      <c r="AE178" s="2" t="n">
        <f aca="false">INT(Y178)</f>
        <v>80</v>
      </c>
      <c r="AF178" s="2" t="n">
        <f aca="false">INT(Z178)</f>
        <v>92</v>
      </c>
      <c r="AG178" s="2" t="n">
        <f aca="false">INT(AA178)</f>
        <v>75</v>
      </c>
      <c r="AH178" s="2" t="n">
        <f aca="false">INT(AB178)</f>
        <v>92</v>
      </c>
      <c r="AI178" s="2" t="n">
        <f aca="false">INT(AC178)</f>
        <v>76</v>
      </c>
      <c r="AJ178" s="2" t="n">
        <f aca="false">INT(AD178)</f>
        <v>82</v>
      </c>
      <c r="AK178" s="2" t="n">
        <f aca="false">Settings!$B$3-SUM(AE178:AJ178)</f>
        <v>3</v>
      </c>
      <c r="AL178" s="2" t="n">
        <f aca="false">ROUND(Y178-AE178,9)</f>
        <v>0.146460537</v>
      </c>
      <c r="AM178" s="2" t="n">
        <f aca="false">ROUND(Z178-AF178,9)</f>
        <v>0.351505289</v>
      </c>
      <c r="AN178" s="2" t="n">
        <f aca="false">ROUND(AA178-AG178,9)</f>
        <v>0.264442636</v>
      </c>
      <c r="AO178" s="2" t="n">
        <f aca="false">ROUND(AB178-AH178,9)</f>
        <v>0.351505289</v>
      </c>
      <c r="AP178" s="2" t="n">
        <f aca="false">ROUND(AC178-AI178,9)</f>
        <v>0.891781937</v>
      </c>
      <c r="AQ178" s="2" t="n">
        <f aca="false">ROUND(AD178-AJ178,9)</f>
        <v>0.994304312</v>
      </c>
    </row>
    <row r="179" customFormat="false" ht="15" hidden="false" customHeight="false" outlineLevel="0" collapsed="false">
      <c r="A179" s="2" t="n">
        <v>178</v>
      </c>
      <c r="B179" s="6" t="n">
        <v>4</v>
      </c>
      <c r="C179" s="6" t="n">
        <v>32</v>
      </c>
      <c r="D179" s="8" t="str">
        <f aca="false">INDEX(Bases!$B$2:$B$53,B179)</f>
        <v>Growlithe</v>
      </c>
      <c r="E179" s="8" t="str">
        <f aca="false">INDEX(Bases!$B$2:$B$53,C179)</f>
        <v>Spoink</v>
      </c>
      <c r="F179" s="2" t="str">
        <f aca="false">LEFT(D179,ROUNDUP(LEN(D179)/2,0))&amp;LOWER(MID(E179,ROUNDUP(LEN(E179)/2,0)+1,20))</f>
        <v>Growlink</v>
      </c>
      <c r="G179" s="8" t="str">
        <f aca="false">INDEX(Bases!$C$2:$C$53,B179)</f>
        <v>Fire</v>
      </c>
      <c r="H179" s="8" t="str">
        <f aca="false">IF(INDEX(Bases!$C$2:$C$53,C179)=G179,"",INDEX(Bases!$C$2:$C$53,C179))</f>
        <v>Psychic</v>
      </c>
      <c r="I179" s="8" t="str">
        <f aca="false">IF(INDEX(Bases!$E$2:$E$53,B179)="","",INDEX(Bases!$E$2:$E$53,B179))</f>
        <v/>
      </c>
      <c r="J179" s="8" t="str">
        <f aca="false">IF(INDEX(Bases!$E$2:$E$53,C179)="","",INDEX(Bases!$E$2:$E$53,C179))</f>
        <v/>
      </c>
      <c r="K179" s="5"/>
      <c r="L179" s="2" t="n">
        <f aca="false">AE179+IF(SUMPRODUCT(--($AL179:$AQ179&gt;AL179))&lt;$AK179,1,0)</f>
        <v>83</v>
      </c>
      <c r="M179" s="2" t="n">
        <f aca="false">AF179+IF(SUMPRODUCT(--($AL179:$AQ179&gt;AM179))+SUMPRODUCT(--($AL179:AL179=AM179))&lt;$AK179,1,0)</f>
        <v>76</v>
      </c>
      <c r="N179" s="2" t="n">
        <f aca="false">AG179+IF(SUMPRODUCT(--($AL179:$AQ179&gt;AN179))+SUMPRODUCT(--($AL179:AM179=AN179))&lt;$AK179,1,0)</f>
        <v>57</v>
      </c>
      <c r="O179" s="2" t="n">
        <f aca="false">AH179+IF(SUMPRODUCT(--($AL179:$AQ179&gt;AO179))+SUMPRODUCT(--($AL179:AN179=AO179))&lt;$AK179,1,0)</f>
        <v>99</v>
      </c>
      <c r="P179" s="2" t="n">
        <f aca="false">AI179+IF(SUMPRODUCT(--($AL179:$AQ179&gt;AP179))+SUMPRODUCT(--($AL179:AO179=AP179))&lt;$AK179,1,0)</f>
        <v>100</v>
      </c>
      <c r="Q179" s="2" t="n">
        <f aca="false">AJ179+IF(SUMPRODUCT(--($AL179:$AQ179&gt;AQ179))+SUMPRODUCT(--($AL179:AP179=AQ179))&lt;$AK179,1,0)</f>
        <v>85</v>
      </c>
      <c r="R179" s="2" t="n">
        <f aca="false">SUM(L179:Q179)</f>
        <v>500</v>
      </c>
      <c r="S179" s="2" t="n">
        <f aca="false">Settings!$B$4*MAX(INDEX(Bases!$M$2:$M$53,B179),INDEX(Bases!$M$2:$M$53,C179))+Settings!$B$5*MIN(INDEX(Bases!$M$2:$M$53,B179),INDEX(Bases!$M$2:$M$53,C179))</f>
        <v>69.6666666666667</v>
      </c>
      <c r="T179" s="2" t="n">
        <f aca="false">Settings!$B$4*MAX(INDEX(Bases!$N$2:$N$53,B179),INDEX(Bases!$N$2:$N$53,C179))+Settings!$B$5*MIN(INDEX(Bases!$N$2:$N$53,B179),INDEX(Bases!$N$2:$N$53,C179))</f>
        <v>63.3333333333333</v>
      </c>
      <c r="U179" s="2" t="n">
        <f aca="false">Settings!$B$4*MAX(INDEX(Bases!$O$2:$O$53,B179),INDEX(Bases!$O$2:$O$53,C179))+Settings!$B$5*MIN(INDEX(Bases!$O$2:$O$53,B179),INDEX(Bases!$O$2:$O$53,C179))</f>
        <v>48</v>
      </c>
      <c r="V179" s="2" t="n">
        <f aca="false">Settings!$B$4*MAX(INDEX(Bases!$P$2:$P$53,B179),INDEX(Bases!$P$2:$P$53,C179))+Settings!$B$5*MIN(INDEX(Bases!$P$2:$P$53,B179),INDEX(Bases!$P$2:$P$53,C179))</f>
        <v>83.3333333333333</v>
      </c>
      <c r="W179" s="2" t="n">
        <f aca="false">Settings!$B$4*MAX(INDEX(Bases!$Q$2:$Q$53,B179),INDEX(Bases!$Q$2:$Q$53,C179))+Settings!$B$5*MIN(INDEX(Bases!$Q$2:$Q$53,B179),INDEX(Bases!$Q$2:$Q$53,C179))</f>
        <v>83.6666666666667</v>
      </c>
      <c r="X179" s="2" t="n">
        <f aca="false">Settings!$B$4*MAX(INDEX(Bases!$R$2:$R$53,B179),INDEX(Bases!$R$2:$R$53,C179))+Settings!$B$5*MIN(INDEX(Bases!$R$2:$R$53,B179),INDEX(Bases!$R$2:$R$53,C179))</f>
        <v>71.6666666666667</v>
      </c>
      <c r="Y179" s="2" t="n">
        <f aca="false">S179*Settings!$B$3/SUM(S179:X179)</f>
        <v>83.0023828435266</v>
      </c>
      <c r="Z179" s="2" t="n">
        <f aca="false">T179*Settings!$B$3/SUM(S179:X179)</f>
        <v>75.4567116759333</v>
      </c>
      <c r="AA179" s="2" t="n">
        <f aca="false">U179*Settings!$B$3/SUM(S179:X179)</f>
        <v>57.1882446386021</v>
      </c>
      <c r="AB179" s="2" t="n">
        <f aca="false">V179*Settings!$B$3/SUM(S179:X179)</f>
        <v>99.2851469420175</v>
      </c>
      <c r="AC179" s="2" t="n">
        <f aca="false">W179*Settings!$B$3/SUM(S179:X179)</f>
        <v>99.6822875297855</v>
      </c>
      <c r="AD179" s="2" t="n">
        <f aca="false">X179*Settings!$B$3/SUM(S179:X179)</f>
        <v>85.385226370135</v>
      </c>
      <c r="AE179" s="2" t="n">
        <f aca="false">INT(Y179)</f>
        <v>83</v>
      </c>
      <c r="AF179" s="2" t="n">
        <f aca="false">INT(Z179)</f>
        <v>75</v>
      </c>
      <c r="AG179" s="2" t="n">
        <f aca="false">INT(AA179)</f>
        <v>57</v>
      </c>
      <c r="AH179" s="2" t="n">
        <f aca="false">INT(AB179)</f>
        <v>99</v>
      </c>
      <c r="AI179" s="2" t="n">
        <f aca="false">INT(AC179)</f>
        <v>99</v>
      </c>
      <c r="AJ179" s="2" t="n">
        <f aca="false">INT(AD179)</f>
        <v>85</v>
      </c>
      <c r="AK179" s="2" t="n">
        <f aca="false">Settings!$B$3-SUM(AE179:AJ179)</f>
        <v>2</v>
      </c>
      <c r="AL179" s="2" t="n">
        <f aca="false">ROUND(Y179-AE179,9)</f>
        <v>0.002382844</v>
      </c>
      <c r="AM179" s="2" t="n">
        <f aca="false">ROUND(Z179-AF179,9)</f>
        <v>0.456711676</v>
      </c>
      <c r="AN179" s="2" t="n">
        <f aca="false">ROUND(AA179-AG179,9)</f>
        <v>0.188244639</v>
      </c>
      <c r="AO179" s="2" t="n">
        <f aca="false">ROUND(AB179-AH179,9)</f>
        <v>0.285146942</v>
      </c>
      <c r="AP179" s="2" t="n">
        <f aca="false">ROUND(AC179-AI179,9)</f>
        <v>0.68228753</v>
      </c>
      <c r="AQ179" s="2" t="n">
        <f aca="false">ROUND(AD179-AJ179,9)</f>
        <v>0.38522637</v>
      </c>
    </row>
    <row r="180" customFormat="false" ht="15" hidden="false" customHeight="false" outlineLevel="0" collapsed="false">
      <c r="A180" s="2" t="n">
        <v>179</v>
      </c>
      <c r="B180" s="6" t="n">
        <v>4</v>
      </c>
      <c r="C180" s="6" t="n">
        <v>33</v>
      </c>
      <c r="D180" s="8" t="str">
        <f aca="false">INDEX(Bases!$B$2:$B$53,B180)</f>
        <v>Growlithe</v>
      </c>
      <c r="E180" s="8" t="str">
        <f aca="false">INDEX(Bases!$B$2:$B$53,C180)</f>
        <v>Jirachi</v>
      </c>
      <c r="F180" s="2" t="str">
        <f aca="false">LEFT(D180,ROUNDUP(LEN(D180)/2,0))&amp;LOWER(MID(E180,ROUNDUP(LEN(E180)/2,0)+1,20))</f>
        <v>Growlchi</v>
      </c>
      <c r="G180" s="8" t="str">
        <f aca="false">INDEX(Bases!$C$2:$C$53,B180)</f>
        <v>Fire</v>
      </c>
      <c r="H180" s="8" t="str">
        <f aca="false">IF(INDEX(Bases!$C$2:$C$53,C180)=G180,"",INDEX(Bases!$C$2:$C$53,C180))</f>
        <v>Psychic</v>
      </c>
      <c r="I180" s="8" t="str">
        <f aca="false">IF(INDEX(Bases!$E$2:$E$53,B180)="","",INDEX(Bases!$E$2:$E$53,B180))</f>
        <v/>
      </c>
      <c r="J180" s="8" t="str">
        <f aca="false">IF(INDEX(Bases!$E$2:$E$53,C180)="","",INDEX(Bases!$E$2:$E$53,C180))</f>
        <v/>
      </c>
      <c r="K180" s="5"/>
      <c r="L180" s="2" t="n">
        <f aca="false">AE180+IF(SUMPRODUCT(--($AL180:$AQ180&gt;AL180))&lt;$AK180,1,0)</f>
        <v>80</v>
      </c>
      <c r="M180" s="2" t="n">
        <f aca="false">AF180+IF(SUMPRODUCT(--($AL180:$AQ180&gt;AM180))+SUMPRODUCT(--($AL180:AL180=AM180))&lt;$AK180,1,0)</f>
        <v>93</v>
      </c>
      <c r="N180" s="2" t="n">
        <f aca="false">AG180+IF(SUMPRODUCT(--($AL180:$AQ180&gt;AN180))+SUMPRODUCT(--($AL180:AM180=AN180))&lt;$AK180,1,0)</f>
        <v>75</v>
      </c>
      <c r="O180" s="2" t="n">
        <f aca="false">AH180+IF(SUMPRODUCT(--($AL180:$AQ180&gt;AO180))+SUMPRODUCT(--($AL180:AN180=AO180))&lt;$AK180,1,0)</f>
        <v>92</v>
      </c>
      <c r="P180" s="2" t="n">
        <f aca="false">AI180+IF(SUMPRODUCT(--($AL180:$AQ180&gt;AP180))+SUMPRODUCT(--($AL180:AO180=AP180))&lt;$AK180,1,0)</f>
        <v>77</v>
      </c>
      <c r="Q180" s="2" t="n">
        <f aca="false">AJ180+IF(SUMPRODUCT(--($AL180:$AQ180&gt;AQ180))+SUMPRODUCT(--($AL180:AP180=AQ180))&lt;$AK180,1,0)</f>
        <v>83</v>
      </c>
      <c r="R180" s="2" t="n">
        <f aca="false">SUM(L180:Q180)</f>
        <v>500</v>
      </c>
      <c r="S180" s="2" t="n">
        <f aca="false">Settings!$B$4*MAX(INDEX(Bases!$M$2:$M$53,B180),INDEX(Bases!$M$2:$M$53,C180))+Settings!$B$5*MIN(INDEX(Bases!$M$2:$M$53,B180),INDEX(Bases!$M$2:$M$53,C180))</f>
        <v>65.6666666666667</v>
      </c>
      <c r="T180" s="2" t="n">
        <f aca="false">Settings!$B$4*MAX(INDEX(Bases!$N$2:$N$53,B180),INDEX(Bases!$N$2:$N$53,C180))+Settings!$B$5*MIN(INDEX(Bases!$N$2:$N$53,B180),INDEX(Bases!$N$2:$N$53,C180))</f>
        <v>75.6666666666667</v>
      </c>
      <c r="U180" s="2" t="n">
        <f aca="false">Settings!$B$4*MAX(INDEX(Bases!$O$2:$O$53,B180),INDEX(Bases!$O$2:$O$53,C180))+Settings!$B$5*MIN(INDEX(Bases!$O$2:$O$53,B180),INDEX(Bases!$O$2:$O$53,C180))</f>
        <v>61.6666666666667</v>
      </c>
      <c r="V180" s="2" t="n">
        <f aca="false">Settings!$B$4*MAX(INDEX(Bases!$P$2:$P$53,B180),INDEX(Bases!$P$2:$P$53,C180))+Settings!$B$5*MIN(INDEX(Bases!$P$2:$P$53,B180),INDEX(Bases!$P$2:$P$53,C180))</f>
        <v>75.6666666666667</v>
      </c>
      <c r="W180" s="2" t="n">
        <f aca="false">Settings!$B$4*MAX(INDEX(Bases!$Q$2:$Q$53,B180),INDEX(Bases!$Q$2:$Q$53,C180))+Settings!$B$5*MIN(INDEX(Bases!$Q$2:$Q$53,B180),INDEX(Bases!$Q$2:$Q$53,C180))</f>
        <v>63</v>
      </c>
      <c r="X180" s="2" t="n">
        <f aca="false">Settings!$B$4*MAX(INDEX(Bases!$R$2:$R$53,B180),INDEX(Bases!$R$2:$R$53,C180))+Settings!$B$5*MIN(INDEX(Bases!$R$2:$R$53,B180),INDEX(Bases!$R$2:$R$53,C180))</f>
        <v>68</v>
      </c>
      <c r="Y180" s="2" t="n">
        <f aca="false">S180*Settings!$B$3/SUM(S180:X180)</f>
        <v>80.146460537022</v>
      </c>
      <c r="Z180" s="2" t="n">
        <f aca="false">T180*Settings!$B$3/SUM(S180:X180)</f>
        <v>92.3515052888527</v>
      </c>
      <c r="AA180" s="2" t="n">
        <f aca="false">U180*Settings!$B$3/SUM(S180:X180)</f>
        <v>75.2644426362897</v>
      </c>
      <c r="AB180" s="2" t="n">
        <f aca="false">V180*Settings!$B$3/SUM(S180:X180)</f>
        <v>92.3515052888527</v>
      </c>
      <c r="AC180" s="2" t="n">
        <f aca="false">W180*Settings!$B$3/SUM(S180:X180)</f>
        <v>76.8917819365338</v>
      </c>
      <c r="AD180" s="2" t="n">
        <f aca="false">X180*Settings!$B$3/SUM(S180:X180)</f>
        <v>82.9943043124492</v>
      </c>
      <c r="AE180" s="2" t="n">
        <f aca="false">INT(Y180)</f>
        <v>80</v>
      </c>
      <c r="AF180" s="2" t="n">
        <f aca="false">INT(Z180)</f>
        <v>92</v>
      </c>
      <c r="AG180" s="2" t="n">
        <f aca="false">INT(AA180)</f>
        <v>75</v>
      </c>
      <c r="AH180" s="2" t="n">
        <f aca="false">INT(AB180)</f>
        <v>92</v>
      </c>
      <c r="AI180" s="2" t="n">
        <f aca="false">INT(AC180)</f>
        <v>76</v>
      </c>
      <c r="AJ180" s="2" t="n">
        <f aca="false">INT(AD180)</f>
        <v>82</v>
      </c>
      <c r="AK180" s="2" t="n">
        <f aca="false">Settings!$B$3-SUM(AE180:AJ180)</f>
        <v>3</v>
      </c>
      <c r="AL180" s="2" t="n">
        <f aca="false">ROUND(Y180-AE180,9)</f>
        <v>0.146460537</v>
      </c>
      <c r="AM180" s="2" t="n">
        <f aca="false">ROUND(Z180-AF180,9)</f>
        <v>0.351505289</v>
      </c>
      <c r="AN180" s="2" t="n">
        <f aca="false">ROUND(AA180-AG180,9)</f>
        <v>0.264442636</v>
      </c>
      <c r="AO180" s="2" t="n">
        <f aca="false">ROUND(AB180-AH180,9)</f>
        <v>0.351505289</v>
      </c>
      <c r="AP180" s="2" t="n">
        <f aca="false">ROUND(AC180-AI180,9)</f>
        <v>0.891781937</v>
      </c>
      <c r="AQ180" s="2" t="n">
        <f aca="false">ROUND(AD180-AJ180,9)</f>
        <v>0.994304312</v>
      </c>
    </row>
    <row r="181" customFormat="false" ht="15" hidden="false" customHeight="false" outlineLevel="0" collapsed="false">
      <c r="A181" s="2" t="n">
        <v>180</v>
      </c>
      <c r="B181" s="6" t="n">
        <v>4</v>
      </c>
      <c r="C181" s="6" t="n">
        <v>34</v>
      </c>
      <c r="D181" s="8" t="str">
        <f aca="false">INDEX(Bases!$B$2:$B$53,B181)</f>
        <v>Growlithe</v>
      </c>
      <c r="E181" s="8" t="str">
        <f aca="false">INDEX(Bases!$B$2:$B$53,C181)</f>
        <v>Paras</v>
      </c>
      <c r="F181" s="2" t="str">
        <f aca="false">LEFT(D181,ROUNDUP(LEN(D181)/2,0))&amp;LOWER(MID(E181,ROUNDUP(LEN(E181)/2,0)+1,20))</f>
        <v>Growlas</v>
      </c>
      <c r="G181" s="8" t="str">
        <f aca="false">INDEX(Bases!$C$2:$C$53,B181)</f>
        <v>Fire</v>
      </c>
      <c r="H181" s="8" t="str">
        <f aca="false">IF(INDEX(Bases!$C$2:$C$53,C181)=G181,"",INDEX(Bases!$C$2:$C$53,C181))</f>
        <v>Bug</v>
      </c>
      <c r="I181" s="8" t="str">
        <f aca="false">IF(INDEX(Bases!$E$2:$E$53,B181)="","",INDEX(Bases!$E$2:$E$53,B181))</f>
        <v/>
      </c>
      <c r="J181" s="8" t="str">
        <f aca="false">IF(INDEX(Bases!$E$2:$E$53,C181)="","",INDEX(Bases!$E$2:$E$53,C181))</f>
        <v/>
      </c>
      <c r="K181" s="5"/>
      <c r="L181" s="2" t="n">
        <f aca="false">AE181+IF(SUMPRODUCT(--($AL181:$AQ181&gt;AL181))&lt;$AK181,1,0)</f>
        <v>69</v>
      </c>
      <c r="M181" s="2" t="n">
        <f aca="false">AF181+IF(SUMPRODUCT(--($AL181:$AQ181&gt;AM181))+SUMPRODUCT(--($AL181:AL181=AM181))&lt;$AK181,1,0)</f>
        <v>110</v>
      </c>
      <c r="N181" s="2" t="n">
        <f aca="false">AG181+IF(SUMPRODUCT(--($AL181:$AQ181&gt;AN181))+SUMPRODUCT(--($AL181:AM181=AN181))&lt;$AK181,1,0)</f>
        <v>81</v>
      </c>
      <c r="O181" s="2" t="n">
        <f aca="false">AH181+IF(SUMPRODUCT(--($AL181:$AQ181&gt;AO181))+SUMPRODUCT(--($AL181:AN181=AO181))&lt;$AK181,1,0)</f>
        <v>88</v>
      </c>
      <c r="P181" s="2" t="n">
        <f aca="false">AI181+IF(SUMPRODUCT(--($AL181:$AQ181&gt;AP181))+SUMPRODUCT(--($AL181:AO181=AP181))&lt;$AK181,1,0)</f>
        <v>84</v>
      </c>
      <c r="Q181" s="2" t="n">
        <f aca="false">AJ181+IF(SUMPRODUCT(--($AL181:$AQ181&gt;AQ181))+SUMPRODUCT(--($AL181:AP181=AQ181))&lt;$AK181,1,0)</f>
        <v>68</v>
      </c>
      <c r="R181" s="2" t="n">
        <f aca="false">SUM(L181:Q181)</f>
        <v>500</v>
      </c>
      <c r="S181" s="2" t="n">
        <f aca="false">Settings!$B$4*MAX(INDEX(Bases!$M$2:$M$53,B181),INDEX(Bases!$M$2:$M$53,C181))+Settings!$B$5*MIN(INDEX(Bases!$M$2:$M$53,B181),INDEX(Bases!$M$2:$M$53,C181))</f>
        <v>58.3333333333333</v>
      </c>
      <c r="T181" s="2" t="n">
        <f aca="false">Settings!$B$4*MAX(INDEX(Bases!$N$2:$N$53,B181),INDEX(Bases!$N$2:$N$53,C181))+Settings!$B$5*MIN(INDEX(Bases!$N$2:$N$53,B181),INDEX(Bases!$N$2:$N$53,C181))</f>
        <v>92.6666666666667</v>
      </c>
      <c r="U181" s="2" t="n">
        <f aca="false">Settings!$B$4*MAX(INDEX(Bases!$O$2:$O$53,B181),INDEX(Bases!$O$2:$O$53,C181))+Settings!$B$5*MIN(INDEX(Bases!$O$2:$O$53,B181),INDEX(Bases!$O$2:$O$53,C181))</f>
        <v>68.3333333333333</v>
      </c>
      <c r="V181" s="2" t="n">
        <f aca="false">Settings!$B$4*MAX(INDEX(Bases!$P$2:$P$53,B181),INDEX(Bases!$P$2:$P$53,C181))+Settings!$B$5*MIN(INDEX(Bases!$P$2:$P$53,B181),INDEX(Bases!$P$2:$P$53,C181))</f>
        <v>74.3333333333333</v>
      </c>
      <c r="W181" s="2" t="n">
        <f aca="false">Settings!$B$4*MAX(INDEX(Bases!$Q$2:$Q$53,B181),INDEX(Bases!$Q$2:$Q$53,C181))+Settings!$B$5*MIN(INDEX(Bases!$Q$2:$Q$53,B181),INDEX(Bases!$Q$2:$Q$53,C181))</f>
        <v>70.3333333333333</v>
      </c>
      <c r="X181" s="2" t="n">
        <f aca="false">Settings!$B$4*MAX(INDEX(Bases!$R$2:$R$53,B181),INDEX(Bases!$R$2:$R$53,C181))+Settings!$B$5*MIN(INDEX(Bases!$R$2:$R$53,B181),INDEX(Bases!$R$2:$R$53,C181))</f>
        <v>57.6666666666667</v>
      </c>
      <c r="Y181" s="2" t="n">
        <f aca="false">S181*Settings!$B$3/SUM(S181:X181)</f>
        <v>69.1699604743083</v>
      </c>
      <c r="Z181" s="2" t="n">
        <f aca="false">T181*Settings!$B$3/SUM(S181:X181)</f>
        <v>109.881422924901</v>
      </c>
      <c r="AA181" s="2" t="n">
        <f aca="false">U181*Settings!$B$3/SUM(S181:X181)</f>
        <v>81.0276679841897</v>
      </c>
      <c r="AB181" s="2" t="n">
        <f aca="false">V181*Settings!$B$3/SUM(S181:X181)</f>
        <v>88.1422924901186</v>
      </c>
      <c r="AC181" s="2" t="n">
        <f aca="false">W181*Settings!$B$3/SUM(S181:X181)</f>
        <v>83.399209486166</v>
      </c>
      <c r="AD181" s="2" t="n">
        <f aca="false">X181*Settings!$B$3/SUM(S181:X181)</f>
        <v>68.3794466403162</v>
      </c>
      <c r="AE181" s="2" t="n">
        <f aca="false">INT(Y181)</f>
        <v>69</v>
      </c>
      <c r="AF181" s="2" t="n">
        <f aca="false">INT(Z181)</f>
        <v>109</v>
      </c>
      <c r="AG181" s="2" t="n">
        <f aca="false">INT(AA181)</f>
        <v>81</v>
      </c>
      <c r="AH181" s="2" t="n">
        <f aca="false">INT(AB181)</f>
        <v>88</v>
      </c>
      <c r="AI181" s="2" t="n">
        <f aca="false">INT(AC181)</f>
        <v>83</v>
      </c>
      <c r="AJ181" s="2" t="n">
        <f aca="false">INT(AD181)</f>
        <v>68</v>
      </c>
      <c r="AK181" s="2" t="n">
        <f aca="false">Settings!$B$3-SUM(AE181:AJ181)</f>
        <v>2</v>
      </c>
      <c r="AL181" s="2" t="n">
        <f aca="false">ROUND(Y181-AE181,9)</f>
        <v>0.169960474</v>
      </c>
      <c r="AM181" s="2" t="n">
        <f aca="false">ROUND(Z181-AF181,9)</f>
        <v>0.881422925</v>
      </c>
      <c r="AN181" s="2" t="n">
        <f aca="false">ROUND(AA181-AG181,9)</f>
        <v>0.027667984</v>
      </c>
      <c r="AO181" s="2" t="n">
        <f aca="false">ROUND(AB181-AH181,9)</f>
        <v>0.14229249</v>
      </c>
      <c r="AP181" s="2" t="n">
        <f aca="false">ROUND(AC181-AI181,9)</f>
        <v>0.399209486</v>
      </c>
      <c r="AQ181" s="2" t="n">
        <f aca="false">ROUND(AD181-AJ181,9)</f>
        <v>0.37944664</v>
      </c>
    </row>
    <row r="182" customFormat="false" ht="15" hidden="false" customHeight="false" outlineLevel="0" collapsed="false">
      <c r="A182" s="2" t="n">
        <v>181</v>
      </c>
      <c r="B182" s="6" t="n">
        <v>4</v>
      </c>
      <c r="C182" s="6" t="n">
        <v>35</v>
      </c>
      <c r="D182" s="8" t="str">
        <f aca="false">INDEX(Bases!$B$2:$B$53,B182)</f>
        <v>Growlithe</v>
      </c>
      <c r="E182" s="8" t="str">
        <f aca="false">INDEX(Bases!$B$2:$B$53,C182)</f>
        <v>Pineco</v>
      </c>
      <c r="F182" s="2" t="str">
        <f aca="false">LEFT(D182,ROUNDUP(LEN(D182)/2,0))&amp;LOWER(MID(E182,ROUNDUP(LEN(E182)/2,0)+1,20))</f>
        <v>Growleco</v>
      </c>
      <c r="G182" s="8" t="str">
        <f aca="false">INDEX(Bases!$C$2:$C$53,B182)</f>
        <v>Fire</v>
      </c>
      <c r="H182" s="8" t="str">
        <f aca="false">IF(INDEX(Bases!$C$2:$C$53,C182)=G182,"",INDEX(Bases!$C$2:$C$53,C182))</f>
        <v>Bug</v>
      </c>
      <c r="I182" s="8" t="str">
        <f aca="false">IF(INDEX(Bases!$E$2:$E$53,B182)="","",INDEX(Bases!$E$2:$E$53,B182))</f>
        <v/>
      </c>
      <c r="J182" s="8" t="str">
        <f aca="false">IF(INDEX(Bases!$E$2:$E$53,C182)="","",INDEX(Bases!$E$2:$E$53,C182))</f>
        <v/>
      </c>
      <c r="K182" s="5"/>
      <c r="L182" s="2" t="n">
        <f aca="false">AE182+IF(SUMPRODUCT(--($AL182:$AQ182&gt;AL182))&lt;$AK182,1,0)</f>
        <v>78</v>
      </c>
      <c r="M182" s="2" t="n">
        <f aca="false">AF182+IF(SUMPRODUCT(--($AL182:$AQ182&gt;AM182))+SUMPRODUCT(--($AL182:AL182=AM182))&lt;$AK182,1,0)</f>
        <v>101</v>
      </c>
      <c r="N182" s="2" t="n">
        <f aca="false">AG182+IF(SUMPRODUCT(--($AL182:$AQ182&gt;AN182))+SUMPRODUCT(--($AL182:AM182=AN182))&lt;$AK182,1,0)</f>
        <v>116</v>
      </c>
      <c r="O182" s="2" t="n">
        <f aca="false">AH182+IF(SUMPRODUCT(--($AL182:$AQ182&gt;AO182))+SUMPRODUCT(--($AL182:AN182=AO182))&lt;$AK182,1,0)</f>
        <v>81</v>
      </c>
      <c r="P182" s="2" t="n">
        <f aca="false">AI182+IF(SUMPRODUCT(--($AL182:$AQ182&gt;AP182))+SUMPRODUCT(--($AL182:AO182=AP182))&lt;$AK182,1,0)</f>
        <v>63</v>
      </c>
      <c r="Q182" s="2" t="n">
        <f aca="false">AJ182+IF(SUMPRODUCT(--($AL182:$AQ182&gt;AQ182))+SUMPRODUCT(--($AL182:AP182=AQ182))&lt;$AK182,1,0)</f>
        <v>61</v>
      </c>
      <c r="R182" s="2" t="n">
        <f aca="false">SUM(L182:Q182)</f>
        <v>500</v>
      </c>
      <c r="S182" s="2" t="n">
        <f aca="false">Settings!$B$4*MAX(INDEX(Bases!$M$2:$M$53,B182),INDEX(Bases!$M$2:$M$53,C182))+Settings!$B$5*MIN(INDEX(Bases!$M$2:$M$53,B182),INDEX(Bases!$M$2:$M$53,C182))</f>
        <v>67</v>
      </c>
      <c r="T182" s="2" t="n">
        <f aca="false">Settings!$B$4*MAX(INDEX(Bases!$N$2:$N$53,B182),INDEX(Bases!$N$2:$N$53,C182))+Settings!$B$5*MIN(INDEX(Bases!$N$2:$N$53,B182),INDEX(Bases!$N$2:$N$53,C182))</f>
        <v>86.6666666666667</v>
      </c>
      <c r="U182" s="2" t="n">
        <f aca="false">Settings!$B$4*MAX(INDEX(Bases!$O$2:$O$53,B182),INDEX(Bases!$O$2:$O$53,C182))+Settings!$B$5*MIN(INDEX(Bases!$O$2:$O$53,B182),INDEX(Bases!$O$2:$O$53,C182))</f>
        <v>99.6666666666667</v>
      </c>
      <c r="V182" s="2" t="n">
        <f aca="false">Settings!$B$4*MAX(INDEX(Bases!$P$2:$P$53,B182),INDEX(Bases!$P$2:$P$53,C182))+Settings!$B$5*MIN(INDEX(Bases!$P$2:$P$53,B182),INDEX(Bases!$P$2:$P$53,C182))</f>
        <v>69.3333333333333</v>
      </c>
      <c r="W182" s="2" t="n">
        <f aca="false">Settings!$B$4*MAX(INDEX(Bases!$Q$2:$Q$53,B182),INDEX(Bases!$Q$2:$Q$53,C182))+Settings!$B$5*MIN(INDEX(Bases!$Q$2:$Q$53,B182),INDEX(Bases!$Q$2:$Q$53,C182))</f>
        <v>54</v>
      </c>
      <c r="X182" s="2" t="n">
        <f aca="false">Settings!$B$4*MAX(INDEX(Bases!$R$2:$R$53,B182),INDEX(Bases!$R$2:$R$53,C182))+Settings!$B$5*MIN(INDEX(Bases!$R$2:$R$53,B182),INDEX(Bases!$R$2:$R$53,C182))</f>
        <v>53</v>
      </c>
      <c r="Y182" s="2" t="n">
        <f aca="false">S182*Settings!$B$3/SUM(S182:X182)</f>
        <v>77.9674166020171</v>
      </c>
      <c r="Z182" s="2" t="n">
        <f aca="false">T182*Settings!$B$3/SUM(S182:X182)</f>
        <v>100.853374709077</v>
      </c>
      <c r="AA182" s="2" t="n">
        <f aca="false">U182*Settings!$B$3/SUM(S182:X182)</f>
        <v>115.981380915438</v>
      </c>
      <c r="AB182" s="2" t="n">
        <f aca="false">V182*Settings!$B$3/SUM(S182:X182)</f>
        <v>80.6826997672614</v>
      </c>
      <c r="AC182" s="2" t="n">
        <f aca="false">W182*Settings!$B$3/SUM(S182:X182)</f>
        <v>62.8394103956556</v>
      </c>
      <c r="AD182" s="2" t="n">
        <f aca="false">X182*Settings!$B$3/SUM(S182:X182)</f>
        <v>61.6757176105508</v>
      </c>
      <c r="AE182" s="2" t="n">
        <f aca="false">INT(Y182)</f>
        <v>77</v>
      </c>
      <c r="AF182" s="2" t="n">
        <f aca="false">INT(Z182)</f>
        <v>100</v>
      </c>
      <c r="AG182" s="2" t="n">
        <f aca="false">INT(AA182)</f>
        <v>115</v>
      </c>
      <c r="AH182" s="2" t="n">
        <f aca="false">INT(AB182)</f>
        <v>80</v>
      </c>
      <c r="AI182" s="2" t="n">
        <f aca="false">INT(AC182)</f>
        <v>62</v>
      </c>
      <c r="AJ182" s="2" t="n">
        <f aca="false">INT(AD182)</f>
        <v>61</v>
      </c>
      <c r="AK182" s="2" t="n">
        <f aca="false">Settings!$B$3-SUM(AE182:AJ182)</f>
        <v>5</v>
      </c>
      <c r="AL182" s="2" t="n">
        <f aca="false">ROUND(Y182-AE182,9)</f>
        <v>0.967416602</v>
      </c>
      <c r="AM182" s="2" t="n">
        <f aca="false">ROUND(Z182-AF182,9)</f>
        <v>0.853374709</v>
      </c>
      <c r="AN182" s="2" t="n">
        <f aca="false">ROUND(AA182-AG182,9)</f>
        <v>0.981380915</v>
      </c>
      <c r="AO182" s="2" t="n">
        <f aca="false">ROUND(AB182-AH182,9)</f>
        <v>0.682699767</v>
      </c>
      <c r="AP182" s="2" t="n">
        <f aca="false">ROUND(AC182-AI182,9)</f>
        <v>0.839410396</v>
      </c>
      <c r="AQ182" s="2" t="n">
        <f aca="false">ROUND(AD182-AJ182,9)</f>
        <v>0.675717611</v>
      </c>
    </row>
    <row r="183" customFormat="false" ht="15" hidden="false" customHeight="false" outlineLevel="0" collapsed="false">
      <c r="A183" s="2" t="n">
        <v>182</v>
      </c>
      <c r="B183" s="6" t="n">
        <v>4</v>
      </c>
      <c r="C183" s="6" t="n">
        <v>36</v>
      </c>
      <c r="D183" s="8" t="str">
        <f aca="false">INDEX(Bases!$B$2:$B$53,B183)</f>
        <v>Growlithe</v>
      </c>
      <c r="E183" s="8" t="str">
        <f aca="false">INDEX(Bases!$B$2:$B$53,C183)</f>
        <v>Wurmple</v>
      </c>
      <c r="F183" s="2" t="str">
        <f aca="false">LEFT(D183,ROUNDUP(LEN(D183)/2,0))&amp;LOWER(MID(E183,ROUNDUP(LEN(E183)/2,0)+1,20))</f>
        <v>Growlple</v>
      </c>
      <c r="G183" s="8" t="str">
        <f aca="false">INDEX(Bases!$C$2:$C$53,B183)</f>
        <v>Fire</v>
      </c>
      <c r="H183" s="8" t="str">
        <f aca="false">IF(INDEX(Bases!$C$2:$C$53,C183)=G183,"",INDEX(Bases!$C$2:$C$53,C183))</f>
        <v>Bug</v>
      </c>
      <c r="I183" s="8" t="str">
        <f aca="false">IF(INDEX(Bases!$E$2:$E$53,B183)="","",INDEX(Bases!$E$2:$E$53,B183))</f>
        <v/>
      </c>
      <c r="J183" s="8" t="str">
        <f aca="false">IF(INDEX(Bases!$E$2:$E$53,C183)="","",INDEX(Bases!$E$2:$E$53,C183))</f>
        <v/>
      </c>
      <c r="K183" s="5"/>
      <c r="L183" s="2" t="n">
        <f aca="false">AE183+IF(SUMPRODUCT(--($AL183:$AQ183&gt;AL183))&lt;$AK183,1,0)</f>
        <v>98</v>
      </c>
      <c r="M183" s="2" t="n">
        <f aca="false">AF183+IF(SUMPRODUCT(--($AL183:$AQ183&gt;AM183))+SUMPRODUCT(--($AL183:AL183=AM183))&lt;$AK183,1,0)</f>
        <v>104</v>
      </c>
      <c r="N183" s="2" t="n">
        <f aca="false">AG183+IF(SUMPRODUCT(--($AL183:$AQ183&gt;AN183))+SUMPRODUCT(--($AL183:AM183=AN183))&lt;$AK183,1,0)</f>
        <v>77</v>
      </c>
      <c r="O183" s="2" t="n">
        <f aca="false">AH183+IF(SUMPRODUCT(--($AL183:$AQ183&gt;AO183))+SUMPRODUCT(--($AL183:AN183=AO183))&lt;$AK183,1,0)</f>
        <v>79</v>
      </c>
      <c r="P183" s="2" t="n">
        <f aca="false">AI183+IF(SUMPRODUCT(--($AL183:$AQ183&gt;AP183))+SUMPRODUCT(--($AL183:AO183=AP183))&lt;$AK183,1,0)</f>
        <v>71</v>
      </c>
      <c r="Q183" s="2" t="n">
        <f aca="false">AJ183+IF(SUMPRODUCT(--($AL183:$AQ183&gt;AQ183))+SUMPRODUCT(--($AL183:AP183=AQ183))&lt;$AK183,1,0)</f>
        <v>71</v>
      </c>
      <c r="R183" s="2" t="n">
        <f aca="false">SUM(L183:Q183)</f>
        <v>500</v>
      </c>
      <c r="S183" s="2" t="n">
        <f aca="false">Settings!$B$4*MAX(INDEX(Bases!$M$2:$M$53,B183),INDEX(Bases!$M$2:$M$53,C183))+Settings!$B$5*MIN(INDEX(Bases!$M$2:$M$53,B183),INDEX(Bases!$M$2:$M$53,C183))</f>
        <v>82.3333333333333</v>
      </c>
      <c r="T183" s="2" t="n">
        <f aca="false">Settings!$B$4*MAX(INDEX(Bases!$N$2:$N$53,B183),INDEX(Bases!$N$2:$N$53,C183))+Settings!$B$5*MIN(INDEX(Bases!$N$2:$N$53,B183),INDEX(Bases!$N$2:$N$53,C183))</f>
        <v>88</v>
      </c>
      <c r="U183" s="2" t="n">
        <f aca="false">Settings!$B$4*MAX(INDEX(Bases!$O$2:$O$53,B183),INDEX(Bases!$O$2:$O$53,C183))+Settings!$B$5*MIN(INDEX(Bases!$O$2:$O$53,B183),INDEX(Bases!$O$2:$O$53,C183))</f>
        <v>65</v>
      </c>
      <c r="V183" s="2" t="n">
        <f aca="false">Settings!$B$4*MAX(INDEX(Bases!$P$2:$P$53,B183),INDEX(Bases!$P$2:$P$53,C183))+Settings!$B$5*MIN(INDEX(Bases!$P$2:$P$53,B183),INDEX(Bases!$P$2:$P$53,C183))</f>
        <v>67</v>
      </c>
      <c r="W183" s="2" t="n">
        <f aca="false">Settings!$B$4*MAX(INDEX(Bases!$Q$2:$Q$53,B183),INDEX(Bases!$Q$2:$Q$53,C183))+Settings!$B$5*MIN(INDEX(Bases!$Q$2:$Q$53,B183),INDEX(Bases!$Q$2:$Q$53,C183))</f>
        <v>60.3333333333333</v>
      </c>
      <c r="X183" s="2" t="n">
        <f aca="false">Settings!$B$4*MAX(INDEX(Bases!$R$2:$R$53,B183),INDEX(Bases!$R$2:$R$53,C183))+Settings!$B$5*MIN(INDEX(Bases!$R$2:$R$53,B183),INDEX(Bases!$R$2:$R$53,C183))</f>
        <v>59.6666666666667</v>
      </c>
      <c r="Y183" s="2" t="n">
        <f aca="false">S183*Settings!$B$3/SUM(S183:X183)</f>
        <v>97.4743488555643</v>
      </c>
      <c r="Z183" s="2" t="n">
        <f aca="false">T183*Settings!$B$3/SUM(S183:X183)</f>
        <v>104.183109707972</v>
      </c>
      <c r="AA183" s="2" t="n">
        <f aca="false">U183*Settings!$B$3/SUM(S183:X183)</f>
        <v>76.9534333070245</v>
      </c>
      <c r="AB183" s="2" t="n">
        <f aca="false">V183*Settings!$B$3/SUM(S183:X183)</f>
        <v>79.3212312549329</v>
      </c>
      <c r="AC183" s="2" t="n">
        <f aca="false">W183*Settings!$B$3/SUM(S183:X183)</f>
        <v>71.4285714285714</v>
      </c>
      <c r="AD183" s="2" t="n">
        <f aca="false">X183*Settings!$B$3/SUM(S183:X183)</f>
        <v>70.6393054459353</v>
      </c>
      <c r="AE183" s="2" t="n">
        <f aca="false">INT(Y183)</f>
        <v>97</v>
      </c>
      <c r="AF183" s="2" t="n">
        <f aca="false">INT(Z183)</f>
        <v>104</v>
      </c>
      <c r="AG183" s="2" t="n">
        <f aca="false">INT(AA183)</f>
        <v>76</v>
      </c>
      <c r="AH183" s="2" t="n">
        <f aca="false">INT(AB183)</f>
        <v>79</v>
      </c>
      <c r="AI183" s="2" t="n">
        <f aca="false">INT(AC183)</f>
        <v>71</v>
      </c>
      <c r="AJ183" s="2" t="n">
        <f aca="false">INT(AD183)</f>
        <v>70</v>
      </c>
      <c r="AK183" s="2" t="n">
        <f aca="false">Settings!$B$3-SUM(AE183:AJ183)</f>
        <v>3</v>
      </c>
      <c r="AL183" s="2" t="n">
        <f aca="false">ROUND(Y183-AE183,9)</f>
        <v>0.474348856</v>
      </c>
      <c r="AM183" s="2" t="n">
        <f aca="false">ROUND(Z183-AF183,9)</f>
        <v>0.183109708</v>
      </c>
      <c r="AN183" s="2" t="n">
        <f aca="false">ROUND(AA183-AG183,9)</f>
        <v>0.953433307</v>
      </c>
      <c r="AO183" s="2" t="n">
        <f aca="false">ROUND(AB183-AH183,9)</f>
        <v>0.321231255</v>
      </c>
      <c r="AP183" s="2" t="n">
        <f aca="false">ROUND(AC183-AI183,9)</f>
        <v>0.428571429</v>
      </c>
      <c r="AQ183" s="2" t="n">
        <f aca="false">ROUND(AD183-AJ183,9)</f>
        <v>0.639305446</v>
      </c>
    </row>
    <row r="184" customFormat="false" ht="15" hidden="false" customHeight="false" outlineLevel="0" collapsed="false">
      <c r="A184" s="2" t="n">
        <v>183</v>
      </c>
      <c r="B184" s="6" t="n">
        <v>4</v>
      </c>
      <c r="C184" s="6" t="n">
        <v>37</v>
      </c>
      <c r="D184" s="8" t="str">
        <f aca="false">INDEX(Bases!$B$2:$B$53,B184)</f>
        <v>Growlithe</v>
      </c>
      <c r="E184" s="8" t="str">
        <f aca="false">INDEX(Bases!$B$2:$B$53,C184)</f>
        <v>Shuckle</v>
      </c>
      <c r="F184" s="2" t="str">
        <f aca="false">LEFT(D184,ROUNDUP(LEN(D184)/2,0))&amp;LOWER(MID(E184,ROUNDUP(LEN(E184)/2,0)+1,20))</f>
        <v>Growlkle</v>
      </c>
      <c r="G184" s="8" t="str">
        <f aca="false">INDEX(Bases!$C$2:$C$53,B184)</f>
        <v>Fire</v>
      </c>
      <c r="H184" s="8" t="str">
        <f aca="false">IF(INDEX(Bases!$C$2:$C$53,C184)=G184,"",INDEX(Bases!$C$2:$C$53,C184))</f>
        <v>Rock</v>
      </c>
      <c r="I184" s="8" t="str">
        <f aca="false">IF(INDEX(Bases!$E$2:$E$53,B184)="","",INDEX(Bases!$E$2:$E$53,B184))</f>
        <v/>
      </c>
      <c r="J184" s="8" t="str">
        <f aca="false">IF(INDEX(Bases!$E$2:$E$53,C184)="","",INDEX(Bases!$E$2:$E$53,C184))</f>
        <v/>
      </c>
      <c r="K184" s="5"/>
      <c r="L184" s="2" t="n">
        <f aca="false">AE184+IF(SUMPRODUCT(--($AL184:$AQ184&gt;AL184))&lt;$AK184,1,0)</f>
        <v>49</v>
      </c>
      <c r="M184" s="2" t="n">
        <f aca="false">AF184+IF(SUMPRODUCT(--($AL184:$AQ184&gt;AM184))+SUMPRODUCT(--($AL184:AL184=AM184))&lt;$AK184,1,0)</f>
        <v>58</v>
      </c>
      <c r="N184" s="2" t="n">
        <f aca="false">AG184+IF(SUMPRODUCT(--($AL184:$AQ184&gt;AN184))+SUMPRODUCT(--($AL184:AM184=AN184))&lt;$AK184,1,0)</f>
        <v>142</v>
      </c>
      <c r="O184" s="2" t="n">
        <f aca="false">AH184+IF(SUMPRODUCT(--($AL184:$AQ184&gt;AO184))+SUMPRODUCT(--($AL184:AN184=AO184))&lt;$AK184,1,0)</f>
        <v>58</v>
      </c>
      <c r="P184" s="2" t="n">
        <f aca="false">AI184+IF(SUMPRODUCT(--($AL184:$AQ184&gt;AP184))+SUMPRODUCT(--($AL184:AO184=AP184))&lt;$AK184,1,0)</f>
        <v>144</v>
      </c>
      <c r="Q184" s="2" t="n">
        <f aca="false">AJ184+IF(SUMPRODUCT(--($AL184:$AQ184&gt;AQ184))+SUMPRODUCT(--($AL184:AP184=AQ184))&lt;$AK184,1,0)</f>
        <v>49</v>
      </c>
      <c r="R184" s="2" t="n">
        <f aca="false">SUM(L184:Q184)</f>
        <v>500</v>
      </c>
      <c r="S184" s="2" t="n">
        <f aca="false">Settings!$B$4*MAX(INDEX(Bases!$M$2:$M$53,B184),INDEX(Bases!$M$2:$M$53,C184))+Settings!$B$5*MIN(INDEX(Bases!$M$2:$M$53,B184),INDEX(Bases!$M$2:$M$53,C184))</f>
        <v>47.3333333333333</v>
      </c>
      <c r="T184" s="2" t="n">
        <f aca="false">Settings!$B$4*MAX(INDEX(Bases!$N$2:$N$53,B184),INDEX(Bases!$N$2:$N$53,C184))+Settings!$B$5*MIN(INDEX(Bases!$N$2:$N$53,B184),INDEX(Bases!$N$2:$N$53,C184))</f>
        <v>56</v>
      </c>
      <c r="U184" s="2" t="n">
        <f aca="false">Settings!$B$4*MAX(INDEX(Bases!$O$2:$O$53,B184),INDEX(Bases!$O$2:$O$53,C184))+Settings!$B$5*MIN(INDEX(Bases!$O$2:$O$53,B184),INDEX(Bases!$O$2:$O$53,C184))</f>
        <v>138.333333333333</v>
      </c>
      <c r="V184" s="2" t="n">
        <f aca="false">Settings!$B$4*MAX(INDEX(Bases!$P$2:$P$53,B184),INDEX(Bases!$P$2:$P$53,C184))+Settings!$B$5*MIN(INDEX(Bases!$P$2:$P$53,B184),INDEX(Bases!$P$2:$P$53,C184))</f>
        <v>56</v>
      </c>
      <c r="W184" s="2" t="n">
        <f aca="false">Settings!$B$4*MAX(INDEX(Bases!$Q$2:$Q$53,B184),INDEX(Bases!$Q$2:$Q$53,C184))+Settings!$B$5*MIN(INDEX(Bases!$Q$2:$Q$53,B184),INDEX(Bases!$Q$2:$Q$53,C184))</f>
        <v>140.333333333333</v>
      </c>
      <c r="X184" s="2" t="n">
        <f aca="false">Settings!$B$4*MAX(INDEX(Bases!$R$2:$R$53,B184),INDEX(Bases!$R$2:$R$53,C184))+Settings!$B$5*MIN(INDEX(Bases!$R$2:$R$53,B184),INDEX(Bases!$R$2:$R$53,C184))</f>
        <v>47.3333333333333</v>
      </c>
      <c r="Y184" s="2" t="n">
        <f aca="false">S184*Settings!$B$3/SUM(S184:X184)</f>
        <v>48.7637362637363</v>
      </c>
      <c r="Z184" s="2" t="n">
        <f aca="false">T184*Settings!$B$3/SUM(S184:X184)</f>
        <v>57.6923076923077</v>
      </c>
      <c r="AA184" s="2" t="n">
        <f aca="false">U184*Settings!$B$3/SUM(S184:X184)</f>
        <v>142.513736263736</v>
      </c>
      <c r="AB184" s="2" t="n">
        <f aca="false">V184*Settings!$B$3/SUM(S184:X184)</f>
        <v>57.6923076923077</v>
      </c>
      <c r="AC184" s="2" t="n">
        <f aca="false">W184*Settings!$B$3/SUM(S184:X184)</f>
        <v>144.574175824176</v>
      </c>
      <c r="AD184" s="2" t="n">
        <f aca="false">X184*Settings!$B$3/SUM(S184:X184)</f>
        <v>48.7637362637363</v>
      </c>
      <c r="AE184" s="2" t="n">
        <f aca="false">INT(Y184)</f>
        <v>48</v>
      </c>
      <c r="AF184" s="2" t="n">
        <f aca="false">INT(Z184)</f>
        <v>57</v>
      </c>
      <c r="AG184" s="2" t="n">
        <f aca="false">INT(AA184)</f>
        <v>142</v>
      </c>
      <c r="AH184" s="2" t="n">
        <f aca="false">INT(AB184)</f>
        <v>57</v>
      </c>
      <c r="AI184" s="2" t="n">
        <f aca="false">INT(AC184)</f>
        <v>144</v>
      </c>
      <c r="AJ184" s="2" t="n">
        <f aca="false">INT(AD184)</f>
        <v>48</v>
      </c>
      <c r="AK184" s="2" t="n">
        <f aca="false">Settings!$B$3-SUM(AE184:AJ184)</f>
        <v>4</v>
      </c>
      <c r="AL184" s="2" t="n">
        <f aca="false">ROUND(Y184-AE184,9)</f>
        <v>0.763736264</v>
      </c>
      <c r="AM184" s="2" t="n">
        <f aca="false">ROUND(Z184-AF184,9)</f>
        <v>0.692307692</v>
      </c>
      <c r="AN184" s="2" t="n">
        <f aca="false">ROUND(AA184-AG184,9)</f>
        <v>0.513736264</v>
      </c>
      <c r="AO184" s="2" t="n">
        <f aca="false">ROUND(AB184-AH184,9)</f>
        <v>0.692307692</v>
      </c>
      <c r="AP184" s="2" t="n">
        <f aca="false">ROUND(AC184-AI184,9)</f>
        <v>0.574175824</v>
      </c>
      <c r="AQ184" s="2" t="n">
        <f aca="false">ROUND(AD184-AJ184,9)</f>
        <v>0.763736264</v>
      </c>
    </row>
    <row r="185" customFormat="false" ht="15" hidden="false" customHeight="false" outlineLevel="0" collapsed="false">
      <c r="A185" s="2" t="n">
        <v>184</v>
      </c>
      <c r="B185" s="6" t="n">
        <v>4</v>
      </c>
      <c r="C185" s="6" t="n">
        <v>38</v>
      </c>
      <c r="D185" s="8" t="str">
        <f aca="false">INDEX(Bases!$B$2:$B$53,B185)</f>
        <v>Growlithe</v>
      </c>
      <c r="E185" s="8" t="str">
        <f aca="false">INDEX(Bases!$B$2:$B$53,C185)</f>
        <v>Larvitar</v>
      </c>
      <c r="F185" s="2" t="str">
        <f aca="false">LEFT(D185,ROUNDUP(LEN(D185)/2,0))&amp;LOWER(MID(E185,ROUNDUP(LEN(E185)/2,0)+1,20))</f>
        <v>Growlitar</v>
      </c>
      <c r="G185" s="8" t="str">
        <f aca="false">INDEX(Bases!$C$2:$C$53,B185)</f>
        <v>Fire</v>
      </c>
      <c r="H185" s="8" t="str">
        <f aca="false">IF(INDEX(Bases!$C$2:$C$53,C185)=G185,"",INDEX(Bases!$C$2:$C$53,C185))</f>
        <v>Rock</v>
      </c>
      <c r="I185" s="8" t="str">
        <f aca="false">IF(INDEX(Bases!$E$2:$E$53,B185)="","",INDEX(Bases!$E$2:$E$53,B185))</f>
        <v/>
      </c>
      <c r="J185" s="8" t="str">
        <f aca="false">IF(INDEX(Bases!$E$2:$E$53,C185)="","",INDEX(Bases!$E$2:$E$53,C185))</f>
        <v/>
      </c>
      <c r="K185" s="5"/>
      <c r="L185" s="2" t="n">
        <f aca="false">AE185+IF(SUMPRODUCT(--($AL185:$AQ185&gt;AL185))&lt;$AK185,1,0)</f>
        <v>80</v>
      </c>
      <c r="M185" s="2" t="n">
        <f aca="false">AF185+IF(SUMPRODUCT(--($AL185:$AQ185&gt;AM185))+SUMPRODUCT(--($AL185:AL185=AM185))&lt;$AK185,1,0)</f>
        <v>101</v>
      </c>
      <c r="N185" s="2" t="n">
        <f aca="false">AG185+IF(SUMPRODUCT(--($AL185:$AQ185&gt;AN185))+SUMPRODUCT(--($AL185:AM185=AN185))&lt;$AK185,1,0)</f>
        <v>75</v>
      </c>
      <c r="O185" s="2" t="n">
        <f aca="false">AH185+IF(SUMPRODUCT(--($AL185:$AQ185&gt;AO185))+SUMPRODUCT(--($AL185:AN185=AO185))&lt;$AK185,1,0)</f>
        <v>89</v>
      </c>
      <c r="P185" s="2" t="n">
        <f aca="false">AI185+IF(SUMPRODUCT(--($AL185:$AQ185&gt;AP185))+SUMPRODUCT(--($AL185:AO185=AP185))&lt;$AK185,1,0)</f>
        <v>77</v>
      </c>
      <c r="Q185" s="2" t="n">
        <f aca="false">AJ185+IF(SUMPRODUCT(--($AL185:$AQ185&gt;AQ185))+SUMPRODUCT(--($AL185:AP185=AQ185))&lt;$AK185,1,0)</f>
        <v>78</v>
      </c>
      <c r="R185" s="2" t="n">
        <f aca="false">SUM(L185:Q185)</f>
        <v>500</v>
      </c>
      <c r="S185" s="2" t="n">
        <f aca="false">Settings!$B$4*MAX(INDEX(Bases!$M$2:$M$53,B185),INDEX(Bases!$M$2:$M$53,C185))+Settings!$B$5*MIN(INDEX(Bases!$M$2:$M$53,B185),INDEX(Bases!$M$2:$M$53,C185))</f>
        <v>65.6666666666667</v>
      </c>
      <c r="T185" s="2" t="n">
        <f aca="false">Settings!$B$4*MAX(INDEX(Bases!$N$2:$N$53,B185),INDEX(Bases!$N$2:$N$53,C185))+Settings!$B$5*MIN(INDEX(Bases!$N$2:$N$53,B185),INDEX(Bases!$N$2:$N$53,C185))</f>
        <v>83.3333333333333</v>
      </c>
      <c r="U185" s="2" t="n">
        <f aca="false">Settings!$B$4*MAX(INDEX(Bases!$O$2:$O$53,B185),INDEX(Bases!$O$2:$O$53,C185))+Settings!$B$5*MIN(INDEX(Bases!$O$2:$O$53,B185),INDEX(Bases!$O$2:$O$53,C185))</f>
        <v>61.6666666666667</v>
      </c>
      <c r="V185" s="2" t="n">
        <f aca="false">Settings!$B$4*MAX(INDEX(Bases!$P$2:$P$53,B185),INDEX(Bases!$P$2:$P$53,C185))+Settings!$B$5*MIN(INDEX(Bases!$P$2:$P$53,B185),INDEX(Bases!$P$2:$P$53,C185))</f>
        <v>73.3333333333333</v>
      </c>
      <c r="W185" s="2" t="n">
        <f aca="false">Settings!$B$4*MAX(INDEX(Bases!$Q$2:$Q$53,B185),INDEX(Bases!$Q$2:$Q$53,C185))+Settings!$B$5*MIN(INDEX(Bases!$Q$2:$Q$53,B185),INDEX(Bases!$Q$2:$Q$53,C185))</f>
        <v>63.6666666666667</v>
      </c>
      <c r="X185" s="2" t="n">
        <f aca="false">Settings!$B$4*MAX(INDEX(Bases!$R$2:$R$53,B185),INDEX(Bases!$R$2:$R$53,C185))+Settings!$B$5*MIN(INDEX(Bases!$R$2:$R$53,B185),INDEX(Bases!$R$2:$R$53,C185))</f>
        <v>64</v>
      </c>
      <c r="Y185" s="2" t="n">
        <f aca="false">S185*Settings!$B$3/SUM(S185:X185)</f>
        <v>79.7570850202429</v>
      </c>
      <c r="Z185" s="2" t="n">
        <f aca="false">T185*Settings!$B$3/SUM(S185:X185)</f>
        <v>101.214574898785</v>
      </c>
      <c r="AA185" s="2" t="n">
        <f aca="false">U185*Settings!$B$3/SUM(S185:X185)</f>
        <v>74.8987854251012</v>
      </c>
      <c r="AB185" s="2" t="n">
        <f aca="false">V185*Settings!$B$3/SUM(S185:X185)</f>
        <v>89.0688259109312</v>
      </c>
      <c r="AC185" s="2" t="n">
        <f aca="false">W185*Settings!$B$3/SUM(S185:X185)</f>
        <v>77.3279352226721</v>
      </c>
      <c r="AD185" s="2" t="n">
        <f aca="false">X185*Settings!$B$3/SUM(S185:X185)</f>
        <v>77.7327935222672</v>
      </c>
      <c r="AE185" s="2" t="n">
        <f aca="false">INT(Y185)</f>
        <v>79</v>
      </c>
      <c r="AF185" s="2" t="n">
        <f aca="false">INT(Z185)</f>
        <v>101</v>
      </c>
      <c r="AG185" s="2" t="n">
        <f aca="false">INT(AA185)</f>
        <v>74</v>
      </c>
      <c r="AH185" s="2" t="n">
        <f aca="false">INT(AB185)</f>
        <v>89</v>
      </c>
      <c r="AI185" s="2" t="n">
        <f aca="false">INT(AC185)</f>
        <v>77</v>
      </c>
      <c r="AJ185" s="2" t="n">
        <f aca="false">INT(AD185)</f>
        <v>77</v>
      </c>
      <c r="AK185" s="2" t="n">
        <f aca="false">Settings!$B$3-SUM(AE185:AJ185)</f>
        <v>3</v>
      </c>
      <c r="AL185" s="2" t="n">
        <f aca="false">ROUND(Y185-AE185,9)</f>
        <v>0.75708502</v>
      </c>
      <c r="AM185" s="2" t="n">
        <f aca="false">ROUND(Z185-AF185,9)</f>
        <v>0.214574899</v>
      </c>
      <c r="AN185" s="2" t="n">
        <f aca="false">ROUND(AA185-AG185,9)</f>
        <v>0.898785425</v>
      </c>
      <c r="AO185" s="2" t="n">
        <f aca="false">ROUND(AB185-AH185,9)</f>
        <v>0.068825911</v>
      </c>
      <c r="AP185" s="2" t="n">
        <f aca="false">ROUND(AC185-AI185,9)</f>
        <v>0.327935223</v>
      </c>
      <c r="AQ185" s="2" t="n">
        <f aca="false">ROUND(AD185-AJ185,9)</f>
        <v>0.732793522</v>
      </c>
    </row>
    <row r="186" customFormat="false" ht="15" hidden="false" customHeight="false" outlineLevel="0" collapsed="false">
      <c r="A186" s="2" t="n">
        <v>185</v>
      </c>
      <c r="B186" s="6" t="n">
        <v>4</v>
      </c>
      <c r="C186" s="6" t="n">
        <v>39</v>
      </c>
      <c r="D186" s="8" t="str">
        <f aca="false">INDEX(Bases!$B$2:$B$53,B186)</f>
        <v>Growlithe</v>
      </c>
      <c r="E186" s="8" t="str">
        <f aca="false">INDEX(Bases!$B$2:$B$53,C186)</f>
        <v>Nosepass</v>
      </c>
      <c r="F186" s="2" t="str">
        <f aca="false">LEFT(D186,ROUNDUP(LEN(D186)/2,0))&amp;LOWER(MID(E186,ROUNDUP(LEN(E186)/2,0)+1,20))</f>
        <v>Growlpass</v>
      </c>
      <c r="G186" s="8" t="str">
        <f aca="false">INDEX(Bases!$C$2:$C$53,B186)</f>
        <v>Fire</v>
      </c>
      <c r="H186" s="8" t="str">
        <f aca="false">IF(INDEX(Bases!$C$2:$C$53,C186)=G186,"",INDEX(Bases!$C$2:$C$53,C186))</f>
        <v>Rock</v>
      </c>
      <c r="I186" s="8" t="str">
        <f aca="false">IF(INDEX(Bases!$E$2:$E$53,B186)="","",INDEX(Bases!$E$2:$E$53,B186))</f>
        <v/>
      </c>
      <c r="J186" s="8" t="str">
        <f aca="false">IF(INDEX(Bases!$E$2:$E$53,C186)="","",INDEX(Bases!$E$2:$E$53,C186))</f>
        <v/>
      </c>
      <c r="K186" s="5"/>
      <c r="L186" s="2" t="n">
        <f aca="false">AE186+IF(SUMPRODUCT(--($AL186:$AQ186&gt;AL186))&lt;$AK186,1,0)</f>
        <v>59</v>
      </c>
      <c r="M186" s="2" t="n">
        <f aca="false">AF186+IF(SUMPRODUCT(--($AL186:$AQ186&gt;AM186))+SUMPRODUCT(--($AL186:AL186=AM186))&lt;$AK186,1,0)</f>
        <v>78</v>
      </c>
      <c r="N186" s="2" t="n">
        <f aca="false">AG186+IF(SUMPRODUCT(--($AL186:$AQ186&gt;AN186))+SUMPRODUCT(--($AL186:AM186=AN186))&lt;$AK186,1,0)</f>
        <v>127</v>
      </c>
      <c r="O186" s="2" t="n">
        <f aca="false">AH186+IF(SUMPRODUCT(--($AL186:$AQ186&gt;AO186))+SUMPRODUCT(--($AL186:AN186=AO186))&lt;$AK186,1,0)</f>
        <v>78</v>
      </c>
      <c r="P186" s="2" t="n">
        <f aca="false">AI186+IF(SUMPRODUCT(--($AL186:$AQ186&gt;AP186))+SUMPRODUCT(--($AL186:AO186=AP186))&lt;$AK186,1,0)</f>
        <v>94</v>
      </c>
      <c r="Q186" s="2" t="n">
        <f aca="false">AJ186+IF(SUMPRODUCT(--($AL186:$AQ186&gt;AQ186))+SUMPRODUCT(--($AL186:AP186=AQ186))&lt;$AK186,1,0)</f>
        <v>64</v>
      </c>
      <c r="R186" s="2" t="n">
        <f aca="false">SUM(L186:Q186)</f>
        <v>500</v>
      </c>
      <c r="S186" s="2" t="n">
        <f aca="false">Settings!$B$4*MAX(INDEX(Bases!$M$2:$M$53,B186),INDEX(Bases!$M$2:$M$53,C186))+Settings!$B$5*MIN(INDEX(Bases!$M$2:$M$53,B186),INDEX(Bases!$M$2:$M$53,C186))</f>
        <v>52.6666666666667</v>
      </c>
      <c r="T186" s="2" t="n">
        <f aca="false">Settings!$B$4*MAX(INDEX(Bases!$N$2:$N$53,B186),INDEX(Bases!$N$2:$N$53,C186))+Settings!$B$5*MIN(INDEX(Bases!$N$2:$N$53,B186),INDEX(Bases!$N$2:$N$53,C186))</f>
        <v>69.3333333333333</v>
      </c>
      <c r="U186" s="2" t="n">
        <f aca="false">Settings!$B$4*MAX(INDEX(Bases!$O$2:$O$53,B186),INDEX(Bases!$O$2:$O$53,C186))+Settings!$B$5*MIN(INDEX(Bases!$O$2:$O$53,B186),INDEX(Bases!$O$2:$O$53,C186))</f>
        <v>113</v>
      </c>
      <c r="V186" s="2" t="n">
        <f aca="false">Settings!$B$4*MAX(INDEX(Bases!$P$2:$P$53,B186),INDEX(Bases!$P$2:$P$53,C186))+Settings!$B$5*MIN(INDEX(Bases!$P$2:$P$53,B186),INDEX(Bases!$P$2:$P$53,C186))</f>
        <v>69.3333333333333</v>
      </c>
      <c r="W186" s="2" t="n">
        <f aca="false">Settings!$B$4*MAX(INDEX(Bases!$Q$2:$Q$53,B186),INDEX(Bases!$Q$2:$Q$53,C186))+Settings!$B$5*MIN(INDEX(Bases!$Q$2:$Q$53,B186),INDEX(Bases!$Q$2:$Q$53,C186))</f>
        <v>83</v>
      </c>
      <c r="X186" s="2" t="n">
        <f aca="false">Settings!$B$4*MAX(INDEX(Bases!$R$2:$R$53,B186),INDEX(Bases!$R$2:$R$53,C186))+Settings!$B$5*MIN(INDEX(Bases!$R$2:$R$53,B186),INDEX(Bases!$R$2:$R$53,C186))</f>
        <v>56.6666666666667</v>
      </c>
      <c r="Y186" s="2" t="n">
        <f aca="false">S186*Settings!$B$3/SUM(S186:X186)</f>
        <v>59.3093093093093</v>
      </c>
      <c r="Z186" s="2" t="n">
        <f aca="false">T186*Settings!$B$3/SUM(S186:X186)</f>
        <v>78.0780780780781</v>
      </c>
      <c r="AA186" s="2" t="n">
        <f aca="false">U186*Settings!$B$3/SUM(S186:X186)</f>
        <v>127.252252252252</v>
      </c>
      <c r="AB186" s="2" t="n">
        <f aca="false">V186*Settings!$B$3/SUM(S186:X186)</f>
        <v>78.0780780780781</v>
      </c>
      <c r="AC186" s="2" t="n">
        <f aca="false">W186*Settings!$B$3/SUM(S186:X186)</f>
        <v>93.4684684684685</v>
      </c>
      <c r="AD186" s="2" t="n">
        <f aca="false">X186*Settings!$B$3/SUM(S186:X186)</f>
        <v>63.8138138138138</v>
      </c>
      <c r="AE186" s="2" t="n">
        <f aca="false">INT(Y186)</f>
        <v>59</v>
      </c>
      <c r="AF186" s="2" t="n">
        <f aca="false">INT(Z186)</f>
        <v>78</v>
      </c>
      <c r="AG186" s="2" t="n">
        <f aca="false">INT(AA186)</f>
        <v>127</v>
      </c>
      <c r="AH186" s="2" t="n">
        <f aca="false">INT(AB186)</f>
        <v>78</v>
      </c>
      <c r="AI186" s="2" t="n">
        <f aca="false">INT(AC186)</f>
        <v>93</v>
      </c>
      <c r="AJ186" s="2" t="n">
        <f aca="false">INT(AD186)</f>
        <v>63</v>
      </c>
      <c r="AK186" s="2" t="n">
        <f aca="false">Settings!$B$3-SUM(AE186:AJ186)</f>
        <v>2</v>
      </c>
      <c r="AL186" s="2" t="n">
        <f aca="false">ROUND(Y186-AE186,9)</f>
        <v>0.309309309</v>
      </c>
      <c r="AM186" s="2" t="n">
        <f aca="false">ROUND(Z186-AF186,9)</f>
        <v>0.078078078</v>
      </c>
      <c r="AN186" s="2" t="n">
        <f aca="false">ROUND(AA186-AG186,9)</f>
        <v>0.252252252</v>
      </c>
      <c r="AO186" s="2" t="n">
        <f aca="false">ROUND(AB186-AH186,9)</f>
        <v>0.078078078</v>
      </c>
      <c r="AP186" s="2" t="n">
        <f aca="false">ROUND(AC186-AI186,9)</f>
        <v>0.468468468</v>
      </c>
      <c r="AQ186" s="2" t="n">
        <f aca="false">ROUND(AD186-AJ186,9)</f>
        <v>0.813813814</v>
      </c>
    </row>
    <row r="187" customFormat="false" ht="15" hidden="false" customHeight="false" outlineLevel="0" collapsed="false">
      <c r="A187" s="2" t="n">
        <v>186</v>
      </c>
      <c r="B187" s="6" t="n">
        <v>4</v>
      </c>
      <c r="C187" s="6" t="n">
        <v>40</v>
      </c>
      <c r="D187" s="8" t="str">
        <f aca="false">INDEX(Bases!$B$2:$B$53,B187)</f>
        <v>Growlithe</v>
      </c>
      <c r="E187" s="8" t="str">
        <f aca="false">INDEX(Bases!$B$2:$B$53,C187)</f>
        <v>Gastly</v>
      </c>
      <c r="F187" s="2" t="str">
        <f aca="false">LEFT(D187,ROUNDUP(LEN(D187)/2,0))&amp;LOWER(MID(E187,ROUNDUP(LEN(E187)/2,0)+1,20))</f>
        <v>Growltly</v>
      </c>
      <c r="G187" s="8" t="str">
        <f aca="false">INDEX(Bases!$C$2:$C$53,B187)</f>
        <v>Fire</v>
      </c>
      <c r="H187" s="8" t="str">
        <f aca="false">IF(INDEX(Bases!$C$2:$C$53,C187)=G187,"",INDEX(Bases!$C$2:$C$53,C187))</f>
        <v>Ghost</v>
      </c>
      <c r="I187" s="8" t="str">
        <f aca="false">IF(INDEX(Bases!$E$2:$E$53,B187)="","",INDEX(Bases!$E$2:$E$53,B187))</f>
        <v/>
      </c>
      <c r="J187" s="8" t="str">
        <f aca="false">IF(INDEX(Bases!$E$2:$E$53,C187)="","",INDEX(Bases!$E$2:$E$53,C187))</f>
        <v/>
      </c>
      <c r="K187" s="5"/>
      <c r="L187" s="2" t="n">
        <f aca="false">AE187+IF(SUMPRODUCT(--($AL187:$AQ187&gt;AL187))&lt;$AK187,1,0)</f>
        <v>64</v>
      </c>
      <c r="M187" s="2" t="n">
        <f aca="false">AF187+IF(SUMPRODUCT(--($AL187:$AQ187&gt;AM187))+SUMPRODUCT(--($AL187:AL187=AM187))&lt;$AK187,1,0)</f>
        <v>80</v>
      </c>
      <c r="N187" s="2" t="n">
        <f aca="false">AG187+IF(SUMPRODUCT(--($AL187:$AQ187&gt;AN187))+SUMPRODUCT(--($AL187:AM187=AN187))&lt;$AK187,1,0)</f>
        <v>55</v>
      </c>
      <c r="O187" s="2" t="n">
        <f aca="false">AH187+IF(SUMPRODUCT(--($AL187:$AQ187&gt;AO187))+SUMPRODUCT(--($AL187:AN187=AO187))&lt;$AK187,1,0)</f>
        <v>132</v>
      </c>
      <c r="P187" s="2" t="n">
        <f aca="false">AI187+IF(SUMPRODUCT(--($AL187:$AQ187&gt;AP187))+SUMPRODUCT(--($AL187:AO187=AP187))&lt;$AK187,1,0)</f>
        <v>62</v>
      </c>
      <c r="Q187" s="2" t="n">
        <f aca="false">AJ187+IF(SUMPRODUCT(--($AL187:$AQ187&gt;AQ187))+SUMPRODUCT(--($AL187:AP187=AQ187))&lt;$AK187,1,0)</f>
        <v>107</v>
      </c>
      <c r="R187" s="2" t="n">
        <f aca="false">SUM(L187:Q187)</f>
        <v>500</v>
      </c>
      <c r="S187" s="2" t="n">
        <f aca="false">Settings!$B$4*MAX(INDEX(Bases!$M$2:$M$53,B187),INDEX(Bases!$M$2:$M$53,C187))+Settings!$B$5*MIN(INDEX(Bases!$M$2:$M$53,B187),INDEX(Bases!$M$2:$M$53,C187))</f>
        <v>55</v>
      </c>
      <c r="T187" s="2" t="n">
        <f aca="false">Settings!$B$4*MAX(INDEX(Bases!$N$2:$N$53,B187),INDEX(Bases!$N$2:$N$53,C187))+Settings!$B$5*MIN(INDEX(Bases!$N$2:$N$53,B187),INDEX(Bases!$N$2:$N$53,C187))</f>
        <v>68.3333333333333</v>
      </c>
      <c r="U187" s="2" t="n">
        <f aca="false">Settings!$B$4*MAX(INDEX(Bases!$O$2:$O$53,B187),INDEX(Bases!$O$2:$O$53,C187))+Settings!$B$5*MIN(INDEX(Bases!$O$2:$O$53,B187),INDEX(Bases!$O$2:$O$53,C187))</f>
        <v>47</v>
      </c>
      <c r="V187" s="2" t="n">
        <f aca="false">Settings!$B$4*MAX(INDEX(Bases!$P$2:$P$53,B187),INDEX(Bases!$P$2:$P$53,C187))+Settings!$B$5*MIN(INDEX(Bases!$P$2:$P$53,B187),INDEX(Bases!$P$2:$P$53,C187))</f>
        <v>112.666666666667</v>
      </c>
      <c r="W187" s="2" t="n">
        <f aca="false">Settings!$B$4*MAX(INDEX(Bases!$Q$2:$Q$53,B187),INDEX(Bases!$Q$2:$Q$53,C187))+Settings!$B$5*MIN(INDEX(Bases!$Q$2:$Q$53,B187),INDEX(Bases!$Q$2:$Q$53,C187))</f>
        <v>53</v>
      </c>
      <c r="X187" s="2" t="n">
        <f aca="false">Settings!$B$4*MAX(INDEX(Bases!$R$2:$R$53,B187),INDEX(Bases!$R$2:$R$53,C187))+Settings!$B$5*MIN(INDEX(Bases!$R$2:$R$53,B187),INDEX(Bases!$R$2:$R$53,C187))</f>
        <v>91.6666666666667</v>
      </c>
      <c r="Y187" s="2" t="n">
        <f aca="false">S187*Settings!$B$3/SUM(S187:X187)</f>
        <v>64.3024162120031</v>
      </c>
      <c r="Z187" s="2" t="n">
        <f aca="false">T187*Settings!$B$3/SUM(S187:X187)</f>
        <v>79.8908807482463</v>
      </c>
      <c r="AA187" s="2" t="n">
        <f aca="false">U187*Settings!$B$3/SUM(S187:X187)</f>
        <v>54.9493374902572</v>
      </c>
      <c r="AB187" s="2" t="n">
        <f aca="false">V187*Settings!$B$3/SUM(S187:X187)</f>
        <v>131.722525331255</v>
      </c>
      <c r="AC187" s="2" t="n">
        <f aca="false">W187*Settings!$B$3/SUM(S187:X187)</f>
        <v>61.9641465315667</v>
      </c>
      <c r="AD187" s="2" t="n">
        <f aca="false">X187*Settings!$B$3/SUM(S187:X187)</f>
        <v>107.170693686672</v>
      </c>
      <c r="AE187" s="2" t="n">
        <f aca="false">INT(Y187)</f>
        <v>64</v>
      </c>
      <c r="AF187" s="2" t="n">
        <f aca="false">INT(Z187)</f>
        <v>79</v>
      </c>
      <c r="AG187" s="2" t="n">
        <f aca="false">INT(AA187)</f>
        <v>54</v>
      </c>
      <c r="AH187" s="2" t="n">
        <f aca="false">INT(AB187)</f>
        <v>131</v>
      </c>
      <c r="AI187" s="2" t="n">
        <f aca="false">INT(AC187)</f>
        <v>61</v>
      </c>
      <c r="AJ187" s="2" t="n">
        <f aca="false">INT(AD187)</f>
        <v>107</v>
      </c>
      <c r="AK187" s="2" t="n">
        <f aca="false">Settings!$B$3-SUM(AE187:AJ187)</f>
        <v>4</v>
      </c>
      <c r="AL187" s="2" t="n">
        <f aca="false">ROUND(Y187-AE187,9)</f>
        <v>0.302416212</v>
      </c>
      <c r="AM187" s="2" t="n">
        <f aca="false">ROUND(Z187-AF187,9)</f>
        <v>0.890880748</v>
      </c>
      <c r="AN187" s="2" t="n">
        <f aca="false">ROUND(AA187-AG187,9)</f>
        <v>0.94933749</v>
      </c>
      <c r="AO187" s="2" t="n">
        <f aca="false">ROUND(AB187-AH187,9)</f>
        <v>0.722525331</v>
      </c>
      <c r="AP187" s="2" t="n">
        <f aca="false">ROUND(AC187-AI187,9)</f>
        <v>0.964146532</v>
      </c>
      <c r="AQ187" s="2" t="n">
        <f aca="false">ROUND(AD187-AJ187,9)</f>
        <v>0.170693687</v>
      </c>
    </row>
    <row r="188" customFormat="false" ht="15" hidden="false" customHeight="false" outlineLevel="0" collapsed="false">
      <c r="A188" s="2" t="n">
        <v>187</v>
      </c>
      <c r="B188" s="6" t="n">
        <v>4</v>
      </c>
      <c r="C188" s="6" t="n">
        <v>41</v>
      </c>
      <c r="D188" s="8" t="str">
        <f aca="false">INDEX(Bases!$B$2:$B$53,B188)</f>
        <v>Growlithe</v>
      </c>
      <c r="E188" s="8" t="str">
        <f aca="false">INDEX(Bases!$B$2:$B$53,C188)</f>
        <v>Misdreavus</v>
      </c>
      <c r="F188" s="2" t="str">
        <f aca="false">LEFT(D188,ROUNDUP(LEN(D188)/2,0))&amp;LOWER(MID(E188,ROUNDUP(LEN(E188)/2,0)+1,20))</f>
        <v>Growleavus</v>
      </c>
      <c r="G188" s="8" t="str">
        <f aca="false">INDEX(Bases!$C$2:$C$53,B188)</f>
        <v>Fire</v>
      </c>
      <c r="H188" s="8" t="str">
        <f aca="false">IF(INDEX(Bases!$C$2:$C$53,C188)=G188,"",INDEX(Bases!$C$2:$C$53,C188))</f>
        <v>Ghost</v>
      </c>
      <c r="I188" s="8" t="str">
        <f aca="false">IF(INDEX(Bases!$E$2:$E$53,B188)="","",INDEX(Bases!$E$2:$E$53,B188))</f>
        <v/>
      </c>
      <c r="J188" s="8" t="str">
        <f aca="false">IF(INDEX(Bases!$E$2:$E$53,C188)="","",INDEX(Bases!$E$2:$E$53,C188))</f>
        <v/>
      </c>
      <c r="K188" s="5"/>
      <c r="L188" s="2" t="n">
        <f aca="false">AE188+IF(SUMPRODUCT(--($AL188:$AQ188&gt;AL188))&lt;$AK188,1,0)</f>
        <v>74</v>
      </c>
      <c r="M188" s="2" t="n">
        <f aca="false">AF188+IF(SUMPRODUCT(--($AL188:$AQ188&gt;AM188))+SUMPRODUCT(--($AL188:AL188=AM188))&lt;$AK188,1,0)</f>
        <v>87</v>
      </c>
      <c r="N188" s="2" t="n">
        <f aca="false">AG188+IF(SUMPRODUCT(--($AL188:$AQ188&gt;AN188))+SUMPRODUCT(--($AL188:AM188=AN188))&lt;$AK188,1,0)</f>
        <v>65</v>
      </c>
      <c r="O188" s="2" t="n">
        <f aca="false">AH188+IF(SUMPRODUCT(--($AL188:$AQ188&gt;AO188))+SUMPRODUCT(--($AL188:AN188=AO188))&lt;$AK188,1,0)</f>
        <v>97</v>
      </c>
      <c r="P188" s="2" t="n">
        <f aca="false">AI188+IF(SUMPRODUCT(--($AL188:$AQ188&gt;AP188))+SUMPRODUCT(--($AL188:AO188=AP188))&lt;$AK188,1,0)</f>
        <v>86</v>
      </c>
      <c r="Q188" s="2" t="n">
        <f aca="false">AJ188+IF(SUMPRODUCT(--($AL188:$AQ188&gt;AQ188))+SUMPRODUCT(--($AL188:AP188=AQ188))&lt;$AK188,1,0)</f>
        <v>91</v>
      </c>
      <c r="R188" s="2" t="n">
        <f aca="false">SUM(L188:Q188)</f>
        <v>500</v>
      </c>
      <c r="S188" s="2" t="n">
        <f aca="false">Settings!$B$4*MAX(INDEX(Bases!$M$2:$M$53,B188),INDEX(Bases!$M$2:$M$53,C188))+Settings!$B$5*MIN(INDEX(Bases!$M$2:$M$53,B188),INDEX(Bases!$M$2:$M$53,C188))</f>
        <v>60.6666666666667</v>
      </c>
      <c r="T188" s="2" t="n">
        <f aca="false">Settings!$B$4*MAX(INDEX(Bases!$N$2:$N$53,B188),INDEX(Bases!$N$2:$N$53,C188))+Settings!$B$5*MIN(INDEX(Bases!$N$2:$N$53,B188),INDEX(Bases!$N$2:$N$53,C188))</f>
        <v>71.6666666666667</v>
      </c>
      <c r="U188" s="2" t="n">
        <f aca="false">Settings!$B$4*MAX(INDEX(Bases!$O$2:$O$53,B188),INDEX(Bases!$O$2:$O$53,C188))+Settings!$B$5*MIN(INDEX(Bases!$O$2:$O$53,B188),INDEX(Bases!$O$2:$O$53,C188))</f>
        <v>53.6666666666667</v>
      </c>
      <c r="V188" s="2" t="n">
        <f aca="false">Settings!$B$4*MAX(INDEX(Bases!$P$2:$P$53,B188),INDEX(Bases!$P$2:$P$53,C188))+Settings!$B$5*MIN(INDEX(Bases!$P$2:$P$53,B188),INDEX(Bases!$P$2:$P$53,C188))</f>
        <v>79.3333333333333</v>
      </c>
      <c r="W188" s="2" t="n">
        <f aca="false">Settings!$B$4*MAX(INDEX(Bases!$Q$2:$Q$53,B188),INDEX(Bases!$Q$2:$Q$53,C188))+Settings!$B$5*MIN(INDEX(Bases!$Q$2:$Q$53,B188),INDEX(Bases!$Q$2:$Q$53,C188))</f>
        <v>71</v>
      </c>
      <c r="X188" s="2" t="n">
        <f aca="false">Settings!$B$4*MAX(INDEX(Bases!$R$2:$R$53,B188),INDEX(Bases!$R$2:$R$53,C188))+Settings!$B$5*MIN(INDEX(Bases!$R$2:$R$53,B188),INDEX(Bases!$R$2:$R$53,C188))</f>
        <v>75</v>
      </c>
      <c r="Y188" s="2" t="n">
        <f aca="false">S188*Settings!$B$3/SUM(S188:X188)</f>
        <v>73.7439222042139</v>
      </c>
      <c r="Z188" s="2" t="n">
        <f aca="false">T188*Settings!$B$3/SUM(S188:X188)</f>
        <v>87.1150729335494</v>
      </c>
      <c r="AA188" s="2" t="n">
        <f aca="false">U188*Settings!$B$3/SUM(S188:X188)</f>
        <v>65.2350081037277</v>
      </c>
      <c r="AB188" s="2" t="n">
        <f aca="false">V188*Settings!$B$3/SUM(S188:X188)</f>
        <v>96.4343598055105</v>
      </c>
      <c r="AC188" s="2" t="n">
        <f aca="false">W188*Settings!$B$3/SUM(S188:X188)</f>
        <v>86.3047001620746</v>
      </c>
      <c r="AD188" s="2" t="n">
        <f aca="false">X188*Settings!$B$3/SUM(S188:X188)</f>
        <v>91.1669367909238</v>
      </c>
      <c r="AE188" s="2" t="n">
        <f aca="false">INT(Y188)</f>
        <v>73</v>
      </c>
      <c r="AF188" s="2" t="n">
        <f aca="false">INT(Z188)</f>
        <v>87</v>
      </c>
      <c r="AG188" s="2" t="n">
        <f aca="false">INT(AA188)</f>
        <v>65</v>
      </c>
      <c r="AH188" s="2" t="n">
        <f aca="false">INT(AB188)</f>
        <v>96</v>
      </c>
      <c r="AI188" s="2" t="n">
        <f aca="false">INT(AC188)</f>
        <v>86</v>
      </c>
      <c r="AJ188" s="2" t="n">
        <f aca="false">INT(AD188)</f>
        <v>91</v>
      </c>
      <c r="AK188" s="2" t="n">
        <f aca="false">Settings!$B$3-SUM(AE188:AJ188)</f>
        <v>2</v>
      </c>
      <c r="AL188" s="2" t="n">
        <f aca="false">ROUND(Y188-AE188,9)</f>
        <v>0.743922204</v>
      </c>
      <c r="AM188" s="2" t="n">
        <f aca="false">ROUND(Z188-AF188,9)</f>
        <v>0.115072934</v>
      </c>
      <c r="AN188" s="2" t="n">
        <f aca="false">ROUND(AA188-AG188,9)</f>
        <v>0.235008104</v>
      </c>
      <c r="AO188" s="2" t="n">
        <f aca="false">ROUND(AB188-AH188,9)</f>
        <v>0.434359806</v>
      </c>
      <c r="AP188" s="2" t="n">
        <f aca="false">ROUND(AC188-AI188,9)</f>
        <v>0.304700162</v>
      </c>
      <c r="AQ188" s="2" t="n">
        <f aca="false">ROUND(AD188-AJ188,9)</f>
        <v>0.166936791</v>
      </c>
    </row>
    <row r="189" customFormat="false" ht="15" hidden="false" customHeight="false" outlineLevel="0" collapsed="false">
      <c r="A189" s="2" t="n">
        <v>188</v>
      </c>
      <c r="B189" s="6" t="n">
        <v>4</v>
      </c>
      <c r="C189" s="6" t="n">
        <v>42</v>
      </c>
      <c r="D189" s="8" t="str">
        <f aca="false">INDEX(Bases!$B$2:$B$53,B189)</f>
        <v>Growlithe</v>
      </c>
      <c r="E189" s="8" t="str">
        <f aca="false">INDEX(Bases!$B$2:$B$53,C189)</f>
        <v>Sableye</v>
      </c>
      <c r="F189" s="2" t="str">
        <f aca="false">LEFT(D189,ROUNDUP(LEN(D189)/2,0))&amp;LOWER(MID(E189,ROUNDUP(LEN(E189)/2,0)+1,20))</f>
        <v>Growleye</v>
      </c>
      <c r="G189" s="8" t="str">
        <f aca="false">INDEX(Bases!$C$2:$C$53,B189)</f>
        <v>Fire</v>
      </c>
      <c r="H189" s="8" t="str">
        <f aca="false">IF(INDEX(Bases!$C$2:$C$53,C189)=G189,"",INDEX(Bases!$C$2:$C$53,C189))</f>
        <v>Ghost</v>
      </c>
      <c r="I189" s="8" t="str">
        <f aca="false">IF(INDEX(Bases!$E$2:$E$53,B189)="","",INDEX(Bases!$E$2:$E$53,B189))</f>
        <v/>
      </c>
      <c r="J189" s="8" t="str">
        <f aca="false">IF(INDEX(Bases!$E$2:$E$53,C189)="","",INDEX(Bases!$E$2:$E$53,C189))</f>
        <v/>
      </c>
      <c r="K189" s="5"/>
      <c r="L189" s="2" t="n">
        <f aca="false">AE189+IF(SUMPRODUCT(--($AL189:$AQ189&gt;AL189))&lt;$AK189,1,0)</f>
        <v>72</v>
      </c>
      <c r="M189" s="2" t="n">
        <f aca="false">AF189+IF(SUMPRODUCT(--($AL189:$AQ189&gt;AM189))+SUMPRODUCT(--($AL189:AL189=AM189))&lt;$AK189,1,0)</f>
        <v>97</v>
      </c>
      <c r="N189" s="2" t="n">
        <f aca="false">AG189+IF(SUMPRODUCT(--($AL189:$AQ189&gt;AN189))+SUMPRODUCT(--($AL189:AM189=AN189))&lt;$AK189,1,0)</f>
        <v>84</v>
      </c>
      <c r="O189" s="2" t="n">
        <f aca="false">AH189+IF(SUMPRODUCT(--($AL189:$AQ189&gt;AO189))+SUMPRODUCT(--($AL189:AN189=AO189))&lt;$AK189,1,0)</f>
        <v>92</v>
      </c>
      <c r="P189" s="2" t="n">
        <f aca="false">AI189+IF(SUMPRODUCT(--($AL189:$AQ189&gt;AP189))+SUMPRODUCT(--($AL189:AO189=AP189))&lt;$AK189,1,0)</f>
        <v>78</v>
      </c>
      <c r="Q189" s="2" t="n">
        <f aca="false">AJ189+IF(SUMPRODUCT(--($AL189:$AQ189&gt;AQ189))+SUMPRODUCT(--($AL189:AP189=AQ189))&lt;$AK189,1,0)</f>
        <v>77</v>
      </c>
      <c r="R189" s="2" t="n">
        <f aca="false">SUM(L189:Q189)</f>
        <v>500</v>
      </c>
      <c r="S189" s="2" t="n">
        <f aca="false">Settings!$B$4*MAX(INDEX(Bases!$M$2:$M$53,B189),INDEX(Bases!$M$2:$M$53,C189))+Settings!$B$5*MIN(INDEX(Bases!$M$2:$M$53,B189),INDEX(Bases!$M$2:$M$53,C189))</f>
        <v>59.6666666666667</v>
      </c>
      <c r="T189" s="2" t="n">
        <f aca="false">Settings!$B$4*MAX(INDEX(Bases!$N$2:$N$53,B189),INDEX(Bases!$N$2:$N$53,C189))+Settings!$B$5*MIN(INDEX(Bases!$N$2:$N$53,B189),INDEX(Bases!$N$2:$N$53,C189))</f>
        <v>79.6666666666667</v>
      </c>
      <c r="U189" s="2" t="n">
        <f aca="false">Settings!$B$4*MAX(INDEX(Bases!$O$2:$O$53,B189),INDEX(Bases!$O$2:$O$53,C189))+Settings!$B$5*MIN(INDEX(Bases!$O$2:$O$53,B189),INDEX(Bases!$O$2:$O$53,C189))</f>
        <v>69.6666666666667</v>
      </c>
      <c r="V189" s="2" t="n">
        <f aca="false">Settings!$B$4*MAX(INDEX(Bases!$P$2:$P$53,B189),INDEX(Bases!$P$2:$P$53,C189))+Settings!$B$5*MIN(INDEX(Bases!$P$2:$P$53,B189),INDEX(Bases!$P$2:$P$53,C189))</f>
        <v>76</v>
      </c>
      <c r="W189" s="2" t="n">
        <f aca="false">Settings!$B$4*MAX(INDEX(Bases!$Q$2:$Q$53,B189),INDEX(Bases!$Q$2:$Q$53,C189))+Settings!$B$5*MIN(INDEX(Bases!$Q$2:$Q$53,B189),INDEX(Bases!$Q$2:$Q$53,C189))</f>
        <v>64.3333333333333</v>
      </c>
      <c r="X189" s="2" t="n">
        <f aca="false">Settings!$B$4*MAX(INDEX(Bases!$R$2:$R$53,B189),INDEX(Bases!$R$2:$R$53,C189))+Settings!$B$5*MIN(INDEX(Bases!$R$2:$R$53,B189),INDEX(Bases!$R$2:$R$53,C189))</f>
        <v>63.6666666666667</v>
      </c>
      <c r="Y189" s="2" t="n">
        <f aca="false">S189*Settings!$B$3/SUM(S189:X189)</f>
        <v>72.2356739305892</v>
      </c>
      <c r="Z189" s="2" t="n">
        <f aca="false">T189*Settings!$B$3/SUM(S189:X189)</f>
        <v>96.4487489911219</v>
      </c>
      <c r="AA189" s="2" t="n">
        <f aca="false">U189*Settings!$B$3/SUM(S189:X189)</f>
        <v>84.3422114608555</v>
      </c>
      <c r="AB189" s="2" t="n">
        <f aca="false">V189*Settings!$B$3/SUM(S189:X189)</f>
        <v>92.0096852300242</v>
      </c>
      <c r="AC189" s="2" t="n">
        <f aca="false">W189*Settings!$B$3/SUM(S189:X189)</f>
        <v>77.8853914447135</v>
      </c>
      <c r="AD189" s="2" t="n">
        <f aca="false">X189*Settings!$B$3/SUM(S189:X189)</f>
        <v>77.0782889426957</v>
      </c>
      <c r="AE189" s="2" t="n">
        <f aca="false">INT(Y189)</f>
        <v>72</v>
      </c>
      <c r="AF189" s="2" t="n">
        <f aca="false">INT(Z189)</f>
        <v>96</v>
      </c>
      <c r="AG189" s="2" t="n">
        <f aca="false">INT(AA189)</f>
        <v>84</v>
      </c>
      <c r="AH189" s="2" t="n">
        <f aca="false">INT(AB189)</f>
        <v>92</v>
      </c>
      <c r="AI189" s="2" t="n">
        <f aca="false">INT(AC189)</f>
        <v>77</v>
      </c>
      <c r="AJ189" s="2" t="n">
        <f aca="false">INT(AD189)</f>
        <v>77</v>
      </c>
      <c r="AK189" s="2" t="n">
        <f aca="false">Settings!$B$3-SUM(AE189:AJ189)</f>
        <v>2</v>
      </c>
      <c r="AL189" s="2" t="n">
        <f aca="false">ROUND(Y189-AE189,9)</f>
        <v>0.235673931</v>
      </c>
      <c r="AM189" s="2" t="n">
        <f aca="false">ROUND(Z189-AF189,9)</f>
        <v>0.448748991</v>
      </c>
      <c r="AN189" s="2" t="n">
        <f aca="false">ROUND(AA189-AG189,9)</f>
        <v>0.342211461</v>
      </c>
      <c r="AO189" s="2" t="n">
        <f aca="false">ROUND(AB189-AH189,9)</f>
        <v>0.00968523</v>
      </c>
      <c r="AP189" s="2" t="n">
        <f aca="false">ROUND(AC189-AI189,9)</f>
        <v>0.885391445</v>
      </c>
      <c r="AQ189" s="2" t="n">
        <f aca="false">ROUND(AD189-AJ189,9)</f>
        <v>0.078288943</v>
      </c>
    </row>
    <row r="190" customFormat="false" ht="15" hidden="false" customHeight="false" outlineLevel="0" collapsed="false">
      <c r="A190" s="2" t="n">
        <v>189</v>
      </c>
      <c r="B190" s="6" t="n">
        <v>4</v>
      </c>
      <c r="C190" s="6" t="n">
        <v>43</v>
      </c>
      <c r="D190" s="8" t="str">
        <f aca="false">INDEX(Bases!$B$2:$B$53,B190)</f>
        <v>Growlithe</v>
      </c>
      <c r="E190" s="8" t="str">
        <f aca="false">INDEX(Bases!$B$2:$B$53,C190)</f>
        <v>Dratini</v>
      </c>
      <c r="F190" s="2" t="str">
        <f aca="false">LEFT(D190,ROUNDUP(LEN(D190)/2,0))&amp;LOWER(MID(E190,ROUNDUP(LEN(E190)/2,0)+1,20))</f>
        <v>Growlini</v>
      </c>
      <c r="G190" s="8" t="str">
        <f aca="false">INDEX(Bases!$C$2:$C$53,B190)</f>
        <v>Fire</v>
      </c>
      <c r="H190" s="8" t="str">
        <f aca="false">IF(INDEX(Bases!$C$2:$C$53,C190)=G190,"",INDEX(Bases!$C$2:$C$53,C190))</f>
        <v>Dragon</v>
      </c>
      <c r="I190" s="8" t="str">
        <f aca="false">IF(INDEX(Bases!$E$2:$E$53,B190)="","",INDEX(Bases!$E$2:$E$53,B190))</f>
        <v/>
      </c>
      <c r="J190" s="8" t="str">
        <f aca="false">IF(INDEX(Bases!$E$2:$E$53,C190)="","",INDEX(Bases!$E$2:$E$53,C190))</f>
        <v/>
      </c>
      <c r="K190" s="5"/>
      <c r="L190" s="2" t="n">
        <f aca="false">AE190+IF(SUMPRODUCT(--($AL190:$AQ190&gt;AL190))&lt;$AK190,1,0)</f>
        <v>74</v>
      </c>
      <c r="M190" s="2" t="n">
        <f aca="false">AF190+IF(SUMPRODUCT(--($AL190:$AQ190&gt;AM190))+SUMPRODUCT(--($AL190:AL190=AM190))&lt;$AK190,1,0)</f>
        <v>102</v>
      </c>
      <c r="N190" s="2" t="n">
        <f aca="false">AG190+IF(SUMPRODUCT(--($AL190:$AQ190&gt;AN190))+SUMPRODUCT(--($AL190:AM190=AN190))&lt;$AK190,1,0)</f>
        <v>70</v>
      </c>
      <c r="O190" s="2" t="n">
        <f aca="false">AH190+IF(SUMPRODUCT(--($AL190:$AQ190&gt;AO190))+SUMPRODUCT(--($AL190:AN190=AO190))&lt;$AK190,1,0)</f>
        <v>93</v>
      </c>
      <c r="P190" s="2" t="n">
        <f aca="false">AI190+IF(SUMPRODUCT(--($AL190:$AQ190&gt;AP190))+SUMPRODUCT(--($AL190:AO190=AP190))&lt;$AK190,1,0)</f>
        <v>78</v>
      </c>
      <c r="Q190" s="2" t="n">
        <f aca="false">AJ190+IF(SUMPRODUCT(--($AL190:$AQ190&gt;AQ190))+SUMPRODUCT(--($AL190:AP190=AQ190))&lt;$AK190,1,0)</f>
        <v>83</v>
      </c>
      <c r="R190" s="2" t="n">
        <f aca="false">SUM(L190:Q190)</f>
        <v>500</v>
      </c>
      <c r="S190" s="2" t="n">
        <f aca="false">Settings!$B$4*MAX(INDEX(Bases!$M$2:$M$53,B190),INDEX(Bases!$M$2:$M$53,C190))+Settings!$B$5*MIN(INDEX(Bases!$M$2:$M$53,B190),INDEX(Bases!$M$2:$M$53,C190))</f>
        <v>60.3333333333333</v>
      </c>
      <c r="T190" s="2" t="n">
        <f aca="false">Settings!$B$4*MAX(INDEX(Bases!$N$2:$N$53,B190),INDEX(Bases!$N$2:$N$53,C190))+Settings!$B$5*MIN(INDEX(Bases!$N$2:$N$53,B190),INDEX(Bases!$N$2:$N$53,C190))</f>
        <v>83.3333333333333</v>
      </c>
      <c r="U190" s="2" t="n">
        <f aca="false">Settings!$B$4*MAX(INDEX(Bases!$O$2:$O$53,B190),INDEX(Bases!$O$2:$O$53,C190))+Settings!$B$5*MIN(INDEX(Bases!$O$2:$O$53,B190),INDEX(Bases!$O$2:$O$53,C190))</f>
        <v>57</v>
      </c>
      <c r="V190" s="2" t="n">
        <f aca="false">Settings!$B$4*MAX(INDEX(Bases!$P$2:$P$53,B190),INDEX(Bases!$P$2:$P$53,C190))+Settings!$B$5*MIN(INDEX(Bases!$P$2:$P$53,B190),INDEX(Bases!$P$2:$P$53,C190))</f>
        <v>75.6666666666667</v>
      </c>
      <c r="W190" s="2" t="n">
        <f aca="false">Settings!$B$4*MAX(INDEX(Bases!$Q$2:$Q$53,B190),INDEX(Bases!$Q$2:$Q$53,C190))+Settings!$B$5*MIN(INDEX(Bases!$Q$2:$Q$53,B190),INDEX(Bases!$Q$2:$Q$53,C190))</f>
        <v>63.6666666666667</v>
      </c>
      <c r="X190" s="2" t="n">
        <f aca="false">Settings!$B$4*MAX(INDEX(Bases!$R$2:$R$53,B190),INDEX(Bases!$R$2:$R$53,C190))+Settings!$B$5*MIN(INDEX(Bases!$R$2:$R$53,B190),INDEX(Bases!$R$2:$R$53,C190))</f>
        <v>68</v>
      </c>
      <c r="Y190" s="2" t="n">
        <f aca="false">S190*Settings!$B$3/SUM(S190:X190)</f>
        <v>73.937908496732</v>
      </c>
      <c r="Z190" s="2" t="n">
        <f aca="false">T190*Settings!$B$3/SUM(S190:X190)</f>
        <v>102.124183006536</v>
      </c>
      <c r="AA190" s="2" t="n">
        <f aca="false">U190*Settings!$B$3/SUM(S190:X190)</f>
        <v>69.8529411764706</v>
      </c>
      <c r="AB190" s="2" t="n">
        <f aca="false">V190*Settings!$B$3/SUM(S190:X190)</f>
        <v>92.7287581699346</v>
      </c>
      <c r="AC190" s="2" t="n">
        <f aca="false">W190*Settings!$B$3/SUM(S190:X190)</f>
        <v>78.0228758169935</v>
      </c>
      <c r="AD190" s="2" t="n">
        <f aca="false">X190*Settings!$B$3/SUM(S190:X190)</f>
        <v>83.3333333333333</v>
      </c>
      <c r="AE190" s="2" t="n">
        <f aca="false">INT(Y190)</f>
        <v>73</v>
      </c>
      <c r="AF190" s="2" t="n">
        <f aca="false">INT(Z190)</f>
        <v>102</v>
      </c>
      <c r="AG190" s="2" t="n">
        <f aca="false">INT(AA190)</f>
        <v>69</v>
      </c>
      <c r="AH190" s="2" t="n">
        <f aca="false">INT(AB190)</f>
        <v>92</v>
      </c>
      <c r="AI190" s="2" t="n">
        <f aca="false">INT(AC190)</f>
        <v>78</v>
      </c>
      <c r="AJ190" s="2" t="n">
        <f aca="false">INT(AD190)</f>
        <v>83</v>
      </c>
      <c r="AK190" s="2" t="n">
        <f aca="false">Settings!$B$3-SUM(AE190:AJ190)</f>
        <v>3</v>
      </c>
      <c r="AL190" s="2" t="n">
        <f aca="false">ROUND(Y190-AE190,9)</f>
        <v>0.937908497</v>
      </c>
      <c r="AM190" s="2" t="n">
        <f aca="false">ROUND(Z190-AF190,9)</f>
        <v>0.124183007</v>
      </c>
      <c r="AN190" s="2" t="n">
        <f aca="false">ROUND(AA190-AG190,9)</f>
        <v>0.852941176</v>
      </c>
      <c r="AO190" s="2" t="n">
        <f aca="false">ROUND(AB190-AH190,9)</f>
        <v>0.72875817</v>
      </c>
      <c r="AP190" s="2" t="n">
        <f aca="false">ROUND(AC190-AI190,9)</f>
        <v>0.022875817</v>
      </c>
      <c r="AQ190" s="2" t="n">
        <f aca="false">ROUND(AD190-AJ190,9)</f>
        <v>0.333333333</v>
      </c>
    </row>
    <row r="191" customFormat="false" ht="15" hidden="false" customHeight="false" outlineLevel="0" collapsed="false">
      <c r="A191" s="2" t="n">
        <v>190</v>
      </c>
      <c r="B191" s="6" t="n">
        <v>4</v>
      </c>
      <c r="C191" s="6" t="n">
        <v>44</v>
      </c>
      <c r="D191" s="8" t="str">
        <f aca="false">INDEX(Bases!$B$2:$B$53,B191)</f>
        <v>Growlithe</v>
      </c>
      <c r="E191" s="8" t="str">
        <f aca="false">INDEX(Bases!$B$2:$B$53,C191)</f>
        <v>Bagon</v>
      </c>
      <c r="F191" s="2" t="str">
        <f aca="false">LEFT(D191,ROUNDUP(LEN(D191)/2,0))&amp;LOWER(MID(E191,ROUNDUP(LEN(E191)/2,0)+1,20))</f>
        <v>Growlon</v>
      </c>
      <c r="G191" s="8" t="str">
        <f aca="false">INDEX(Bases!$C$2:$C$53,B191)</f>
        <v>Fire</v>
      </c>
      <c r="H191" s="8" t="str">
        <f aca="false">IF(INDEX(Bases!$C$2:$C$53,C191)=G191,"",INDEX(Bases!$C$2:$C$53,C191))</f>
        <v>Dragon</v>
      </c>
      <c r="I191" s="8" t="str">
        <f aca="false">IF(INDEX(Bases!$E$2:$E$53,B191)="","",INDEX(Bases!$E$2:$E$53,B191))</f>
        <v/>
      </c>
      <c r="J191" s="8" t="str">
        <f aca="false">IF(INDEX(Bases!$E$2:$E$53,C191)="","",INDEX(Bases!$E$2:$E$53,C191))</f>
        <v/>
      </c>
      <c r="K191" s="5"/>
      <c r="L191" s="2" t="n">
        <f aca="false">AE191+IF(SUMPRODUCT(--($AL191:$AQ191&gt;AL191))&lt;$AK191,1,0)</f>
        <v>74</v>
      </c>
      <c r="M191" s="2" t="n">
        <f aca="false">AF191+IF(SUMPRODUCT(--($AL191:$AQ191&gt;AM191))+SUMPRODUCT(--($AL191:AL191=AM191))&lt;$AK191,1,0)</f>
        <v>112</v>
      </c>
      <c r="N191" s="2" t="n">
        <f aca="false">AG191+IF(SUMPRODUCT(--($AL191:$AQ191&gt;AN191))+SUMPRODUCT(--($AL191:AM191=AN191))&lt;$AK191,1,0)</f>
        <v>85</v>
      </c>
      <c r="O191" s="2" t="n">
        <f aca="false">AH191+IF(SUMPRODUCT(--($AL191:$AQ191&gt;AO191))+SUMPRODUCT(--($AL191:AN191=AO191))&lt;$AK191,1,0)</f>
        <v>85</v>
      </c>
      <c r="P191" s="2" t="n">
        <f aca="false">AI191+IF(SUMPRODUCT(--($AL191:$AQ191&gt;AP191))+SUMPRODUCT(--($AL191:AO191=AP191))&lt;$AK191,1,0)</f>
        <v>62</v>
      </c>
      <c r="Q191" s="2" t="n">
        <f aca="false">AJ191+IF(SUMPRODUCT(--($AL191:$AQ191&gt;AQ191))+SUMPRODUCT(--($AL191:AP191=AQ191))&lt;$AK191,1,0)</f>
        <v>82</v>
      </c>
      <c r="R191" s="2" t="n">
        <f aca="false">SUM(L191:Q191)</f>
        <v>500</v>
      </c>
      <c r="S191" s="2" t="n">
        <f aca="false">Settings!$B$4*MAX(INDEX(Bases!$M$2:$M$53,B191),INDEX(Bases!$M$2:$M$53,C191))+Settings!$B$5*MIN(INDEX(Bases!$M$2:$M$53,B191),INDEX(Bases!$M$2:$M$53,C191))</f>
        <v>62</v>
      </c>
      <c r="T191" s="2" t="n">
        <f aca="false">Settings!$B$4*MAX(INDEX(Bases!$N$2:$N$53,B191),INDEX(Bases!$N$2:$N$53,C191))+Settings!$B$5*MIN(INDEX(Bases!$N$2:$N$53,B191),INDEX(Bases!$N$2:$N$53,C191))</f>
        <v>93.3333333333333</v>
      </c>
      <c r="U191" s="2" t="n">
        <f aca="false">Settings!$B$4*MAX(INDEX(Bases!$O$2:$O$53,B191),INDEX(Bases!$O$2:$O$53,C191))+Settings!$B$5*MIN(INDEX(Bases!$O$2:$O$53,B191),INDEX(Bases!$O$2:$O$53,C191))</f>
        <v>70.3333333333333</v>
      </c>
      <c r="V191" s="2" t="n">
        <f aca="false">Settings!$B$4*MAX(INDEX(Bases!$P$2:$P$53,B191),INDEX(Bases!$P$2:$P$53,C191))+Settings!$B$5*MIN(INDEX(Bases!$P$2:$P$53,B191),INDEX(Bases!$P$2:$P$53,C191))</f>
        <v>71</v>
      </c>
      <c r="W191" s="2" t="n">
        <f aca="false">Settings!$B$4*MAX(INDEX(Bases!$Q$2:$Q$53,B191),INDEX(Bases!$Q$2:$Q$53,C191))+Settings!$B$5*MIN(INDEX(Bases!$Q$2:$Q$53,B191),INDEX(Bases!$Q$2:$Q$53,C191))</f>
        <v>51.3333333333333</v>
      </c>
      <c r="X191" s="2" t="n">
        <f aca="false">Settings!$B$4*MAX(INDEX(Bases!$R$2:$R$53,B191),INDEX(Bases!$R$2:$R$53,C191))+Settings!$B$5*MIN(INDEX(Bases!$R$2:$R$53,B191),INDEX(Bases!$R$2:$R$53,C191))</f>
        <v>68.3333333333333</v>
      </c>
      <c r="Y191" s="2" t="n">
        <f aca="false">S191*Settings!$B$3/SUM(S191:X191)</f>
        <v>74.4595676541233</v>
      </c>
      <c r="Z191" s="2" t="n">
        <f aca="false">T191*Settings!$B$3/SUM(S191:X191)</f>
        <v>112.08967173739</v>
      </c>
      <c r="AA191" s="2" t="n">
        <f aca="false">U191*Settings!$B$3/SUM(S191:X191)</f>
        <v>84.4675740592474</v>
      </c>
      <c r="AB191" s="2" t="n">
        <f aca="false">V191*Settings!$B$3/SUM(S191:X191)</f>
        <v>85.2682145716573</v>
      </c>
      <c r="AC191" s="2" t="n">
        <f aca="false">W191*Settings!$B$3/SUM(S191:X191)</f>
        <v>61.6493194555645</v>
      </c>
      <c r="AD191" s="2" t="n">
        <f aca="false">X191*Settings!$B$3/SUM(S191:X191)</f>
        <v>82.0656525220176</v>
      </c>
      <c r="AE191" s="2" t="n">
        <f aca="false">INT(Y191)</f>
        <v>74</v>
      </c>
      <c r="AF191" s="2" t="n">
        <f aca="false">INT(Z191)</f>
        <v>112</v>
      </c>
      <c r="AG191" s="2" t="n">
        <f aca="false">INT(AA191)</f>
        <v>84</v>
      </c>
      <c r="AH191" s="2" t="n">
        <f aca="false">INT(AB191)</f>
        <v>85</v>
      </c>
      <c r="AI191" s="2" t="n">
        <f aca="false">INT(AC191)</f>
        <v>61</v>
      </c>
      <c r="AJ191" s="2" t="n">
        <f aca="false">INT(AD191)</f>
        <v>82</v>
      </c>
      <c r="AK191" s="2" t="n">
        <f aca="false">Settings!$B$3-SUM(AE191:AJ191)</f>
        <v>2</v>
      </c>
      <c r="AL191" s="2" t="n">
        <f aca="false">ROUND(Y191-AE191,9)</f>
        <v>0.459567654</v>
      </c>
      <c r="AM191" s="2" t="n">
        <f aca="false">ROUND(Z191-AF191,9)</f>
        <v>0.089671737</v>
      </c>
      <c r="AN191" s="2" t="n">
        <f aca="false">ROUND(AA191-AG191,9)</f>
        <v>0.467574059</v>
      </c>
      <c r="AO191" s="2" t="n">
        <f aca="false">ROUND(AB191-AH191,9)</f>
        <v>0.268214572</v>
      </c>
      <c r="AP191" s="2" t="n">
        <f aca="false">ROUND(AC191-AI191,9)</f>
        <v>0.649319456</v>
      </c>
      <c r="AQ191" s="2" t="n">
        <f aca="false">ROUND(AD191-AJ191,9)</f>
        <v>0.065652522</v>
      </c>
    </row>
    <row r="192" customFormat="false" ht="15" hidden="false" customHeight="false" outlineLevel="0" collapsed="false">
      <c r="A192" s="2" t="n">
        <v>191</v>
      </c>
      <c r="B192" s="6" t="n">
        <v>4</v>
      </c>
      <c r="C192" s="6" t="n">
        <v>45</v>
      </c>
      <c r="D192" s="8" t="str">
        <f aca="false">INDEX(Bases!$B$2:$B$53,B192)</f>
        <v>Growlithe</v>
      </c>
      <c r="E192" s="8" t="str">
        <f aca="false">INDEX(Bases!$B$2:$B$53,C192)</f>
        <v>Sneasel</v>
      </c>
      <c r="F192" s="2" t="str">
        <f aca="false">LEFT(D192,ROUNDUP(LEN(D192)/2,0))&amp;LOWER(MID(E192,ROUNDUP(LEN(E192)/2,0)+1,20))</f>
        <v>Growlsel</v>
      </c>
      <c r="G192" s="8" t="str">
        <f aca="false">INDEX(Bases!$C$2:$C$53,B192)</f>
        <v>Fire</v>
      </c>
      <c r="H192" s="8" t="str">
        <f aca="false">IF(INDEX(Bases!$C$2:$C$53,C192)=G192,"",INDEX(Bases!$C$2:$C$53,C192))</f>
        <v>Dark</v>
      </c>
      <c r="I192" s="8" t="str">
        <f aca="false">IF(INDEX(Bases!$E$2:$E$53,B192)="","",INDEX(Bases!$E$2:$E$53,B192))</f>
        <v/>
      </c>
      <c r="J192" s="8" t="str">
        <f aca="false">IF(INDEX(Bases!$E$2:$E$53,C192)="","",INDEX(Bases!$E$2:$E$53,C192))</f>
        <v/>
      </c>
      <c r="K192" s="5"/>
      <c r="L192" s="2" t="n">
        <f aca="false">AE192+IF(SUMPRODUCT(--($AL192:$AQ192&gt;AL192))&lt;$AK192,1,0)</f>
        <v>70</v>
      </c>
      <c r="M192" s="2" t="n">
        <f aca="false">AF192+IF(SUMPRODUCT(--($AL192:$AQ192&gt;AM192))+SUMPRODUCT(--($AL192:AL192=AM192))&lt;$AK192,1,0)</f>
        <v>102</v>
      </c>
      <c r="N192" s="2" t="n">
        <f aca="false">AG192+IF(SUMPRODUCT(--($AL192:$AQ192&gt;AN192))+SUMPRODUCT(--($AL192:AM192=AN192))&lt;$AK192,1,0)</f>
        <v>61</v>
      </c>
      <c r="O192" s="2" t="n">
        <f aca="false">AH192+IF(SUMPRODUCT(--($AL192:$AQ192&gt;AO192))+SUMPRODUCT(--($AL192:AN192=AO192))&lt;$AK192,1,0)</f>
        <v>77</v>
      </c>
      <c r="P192" s="2" t="n">
        <f aca="false">AI192+IF(SUMPRODUCT(--($AL192:$AQ192&gt;AP192))+SUMPRODUCT(--($AL192:AO192=AP192))&lt;$AK192,1,0)</f>
        <v>78</v>
      </c>
      <c r="Q192" s="2" t="n">
        <f aca="false">AJ192+IF(SUMPRODUCT(--($AL192:$AQ192&gt;AQ192))+SUMPRODUCT(--($AL192:AP192=AQ192))&lt;$AK192,1,0)</f>
        <v>112</v>
      </c>
      <c r="R192" s="2" t="n">
        <f aca="false">SUM(L192:Q192)</f>
        <v>500</v>
      </c>
      <c r="S192" s="2" t="n">
        <f aca="false">Settings!$B$4*MAX(INDEX(Bases!$M$2:$M$53,B192),INDEX(Bases!$M$2:$M$53,C192))+Settings!$B$5*MIN(INDEX(Bases!$M$2:$M$53,B192),INDEX(Bases!$M$2:$M$53,C192))</f>
        <v>59</v>
      </c>
      <c r="T192" s="2" t="n">
        <f aca="false">Settings!$B$4*MAX(INDEX(Bases!$N$2:$N$53,B192),INDEX(Bases!$N$2:$N$53,C192))+Settings!$B$5*MIN(INDEX(Bases!$N$2:$N$53,B192),INDEX(Bases!$N$2:$N$53,C192))</f>
        <v>85.3333333333333</v>
      </c>
      <c r="U192" s="2" t="n">
        <f aca="false">Settings!$B$4*MAX(INDEX(Bases!$O$2:$O$53,B192),INDEX(Bases!$O$2:$O$53,C192))+Settings!$B$5*MIN(INDEX(Bases!$O$2:$O$53,B192),INDEX(Bases!$O$2:$O$53,C192))</f>
        <v>51</v>
      </c>
      <c r="V192" s="2" t="n">
        <f aca="false">Settings!$B$4*MAX(INDEX(Bases!$P$2:$P$53,B192),INDEX(Bases!$P$2:$P$53,C192))+Settings!$B$5*MIN(INDEX(Bases!$P$2:$P$53,B192),INDEX(Bases!$P$2:$P$53,C192))</f>
        <v>64.3333333333333</v>
      </c>
      <c r="W192" s="2" t="n">
        <f aca="false">Settings!$B$4*MAX(INDEX(Bases!$Q$2:$Q$53,B192),INDEX(Bases!$Q$2:$Q$53,C192))+Settings!$B$5*MIN(INDEX(Bases!$Q$2:$Q$53,B192),INDEX(Bases!$Q$2:$Q$53,C192))</f>
        <v>65.6666666666667</v>
      </c>
      <c r="X192" s="2" t="n">
        <f aca="false">Settings!$B$4*MAX(INDEX(Bases!$R$2:$R$53,B192),INDEX(Bases!$R$2:$R$53,C192))+Settings!$B$5*MIN(INDEX(Bases!$R$2:$R$53,B192),INDEX(Bases!$R$2:$R$53,C192))</f>
        <v>94.3333333333333</v>
      </c>
      <c r="Y192" s="2" t="n">
        <f aca="false">S192*Settings!$B$3/SUM(S192:X192)</f>
        <v>70.2938840349484</v>
      </c>
      <c r="Z192" s="2" t="n">
        <f aca="false">T192*Settings!$B$3/SUM(S192:X192)</f>
        <v>101.667990468626</v>
      </c>
      <c r="AA192" s="2" t="n">
        <f aca="false">U192*Settings!$B$3/SUM(S192:X192)</f>
        <v>60.7625099285147</v>
      </c>
      <c r="AB192" s="2" t="n">
        <f aca="false">V192*Settings!$B$3/SUM(S192:X192)</f>
        <v>76.6481334392375</v>
      </c>
      <c r="AC192" s="2" t="n">
        <f aca="false">W192*Settings!$B$3/SUM(S192:X192)</f>
        <v>78.2366957903098</v>
      </c>
      <c r="AD192" s="2" t="n">
        <f aca="false">X192*Settings!$B$3/SUM(S192:X192)</f>
        <v>112.390786338364</v>
      </c>
      <c r="AE192" s="2" t="n">
        <f aca="false">INT(Y192)</f>
        <v>70</v>
      </c>
      <c r="AF192" s="2" t="n">
        <f aca="false">INT(Z192)</f>
        <v>101</v>
      </c>
      <c r="AG192" s="2" t="n">
        <f aca="false">INT(AA192)</f>
        <v>60</v>
      </c>
      <c r="AH192" s="2" t="n">
        <f aca="false">INT(AB192)</f>
        <v>76</v>
      </c>
      <c r="AI192" s="2" t="n">
        <f aca="false">INT(AC192)</f>
        <v>78</v>
      </c>
      <c r="AJ192" s="2" t="n">
        <f aca="false">INT(AD192)</f>
        <v>112</v>
      </c>
      <c r="AK192" s="2" t="n">
        <f aca="false">Settings!$B$3-SUM(AE192:AJ192)</f>
        <v>3</v>
      </c>
      <c r="AL192" s="2" t="n">
        <f aca="false">ROUND(Y192-AE192,9)</f>
        <v>0.293884035</v>
      </c>
      <c r="AM192" s="2" t="n">
        <f aca="false">ROUND(Z192-AF192,9)</f>
        <v>0.667990469</v>
      </c>
      <c r="AN192" s="2" t="n">
        <f aca="false">ROUND(AA192-AG192,9)</f>
        <v>0.762509929</v>
      </c>
      <c r="AO192" s="2" t="n">
        <f aca="false">ROUND(AB192-AH192,9)</f>
        <v>0.648133439</v>
      </c>
      <c r="AP192" s="2" t="n">
        <f aca="false">ROUND(AC192-AI192,9)</f>
        <v>0.23669579</v>
      </c>
      <c r="AQ192" s="2" t="n">
        <f aca="false">ROUND(AD192-AJ192,9)</f>
        <v>0.390786338</v>
      </c>
    </row>
    <row r="193" customFormat="false" ht="15" hidden="false" customHeight="false" outlineLevel="0" collapsed="false">
      <c r="A193" s="2" t="n">
        <v>192</v>
      </c>
      <c r="B193" s="6" t="n">
        <v>4</v>
      </c>
      <c r="C193" s="6" t="n">
        <v>46</v>
      </c>
      <c r="D193" s="8" t="str">
        <f aca="false">INDEX(Bases!$B$2:$B$53,B193)</f>
        <v>Growlithe</v>
      </c>
      <c r="E193" s="8" t="str">
        <f aca="false">INDEX(Bases!$B$2:$B$53,C193)</f>
        <v>Houndour</v>
      </c>
      <c r="F193" s="2" t="str">
        <f aca="false">LEFT(D193,ROUNDUP(LEN(D193)/2,0))&amp;LOWER(MID(E193,ROUNDUP(LEN(E193)/2,0)+1,20))</f>
        <v>Growldour</v>
      </c>
      <c r="G193" s="8" t="str">
        <f aca="false">INDEX(Bases!$C$2:$C$53,B193)</f>
        <v>Fire</v>
      </c>
      <c r="H193" s="8" t="str">
        <f aca="false">IF(INDEX(Bases!$C$2:$C$53,C193)=G193,"",INDEX(Bases!$C$2:$C$53,C193))</f>
        <v>Dark</v>
      </c>
      <c r="I193" s="8" t="str">
        <f aca="false">IF(INDEX(Bases!$E$2:$E$53,B193)="","",INDEX(Bases!$E$2:$E$53,B193))</f>
        <v/>
      </c>
      <c r="J193" s="8" t="str">
        <f aca="false">IF(INDEX(Bases!$E$2:$E$53,C193)="","",INDEX(Bases!$E$2:$E$53,C193))</f>
        <v/>
      </c>
      <c r="K193" s="5"/>
      <c r="L193" s="2" t="n">
        <f aca="false">AE193+IF(SUMPRODUCT(--($AL193:$AQ193&gt;AL193))&lt;$AK193,1,0)</f>
        <v>73</v>
      </c>
      <c r="M193" s="2" t="n">
        <f aca="false">AF193+IF(SUMPRODUCT(--($AL193:$AQ193&gt;AM193))+SUMPRODUCT(--($AL193:AL193=AM193))&lt;$AK193,1,0)</f>
        <v>95</v>
      </c>
      <c r="N193" s="2" t="n">
        <f aca="false">AG193+IF(SUMPRODUCT(--($AL193:$AQ193&gt;AN193))+SUMPRODUCT(--($AL193:AM193=AN193))&lt;$AK193,1,0)</f>
        <v>56</v>
      </c>
      <c r="O193" s="2" t="n">
        <f aca="false">AH193+IF(SUMPRODUCT(--($AL193:$AQ193&gt;AO193))+SUMPRODUCT(--($AL193:AN193=AO193))&lt;$AK193,1,0)</f>
        <v>111</v>
      </c>
      <c r="P193" s="2" t="n">
        <f aca="false">AI193+IF(SUMPRODUCT(--($AL193:$AQ193&gt;AP193))+SUMPRODUCT(--($AL193:AO193=AP193))&lt;$AK193,1,0)</f>
        <v>73</v>
      </c>
      <c r="Q193" s="2" t="n">
        <f aca="false">AJ193+IF(SUMPRODUCT(--($AL193:$AQ193&gt;AQ193))+SUMPRODUCT(--($AL193:AP193=AQ193))&lt;$AK193,1,0)</f>
        <v>92</v>
      </c>
      <c r="R193" s="2" t="n">
        <f aca="false">SUM(L193:Q193)</f>
        <v>500</v>
      </c>
      <c r="S193" s="2" t="n">
        <f aca="false">Settings!$B$4*MAX(INDEX(Bases!$M$2:$M$53,B193),INDEX(Bases!$M$2:$M$53,C193))+Settings!$B$5*MIN(INDEX(Bases!$M$2:$M$53,B193),INDEX(Bases!$M$2:$M$53,C193))</f>
        <v>60</v>
      </c>
      <c r="T193" s="2" t="n">
        <f aca="false">Settings!$B$4*MAX(INDEX(Bases!$N$2:$N$53,B193),INDEX(Bases!$N$2:$N$53,C193))+Settings!$B$5*MIN(INDEX(Bases!$N$2:$N$53,B193),INDEX(Bases!$N$2:$N$53,C193))</f>
        <v>77.6666666666667</v>
      </c>
      <c r="U193" s="2" t="n">
        <f aca="false">Settings!$B$4*MAX(INDEX(Bases!$O$2:$O$53,B193),INDEX(Bases!$O$2:$O$53,C193))+Settings!$B$5*MIN(INDEX(Bases!$O$2:$O$53,B193),INDEX(Bases!$O$2:$O$53,C193))</f>
        <v>46</v>
      </c>
      <c r="V193" s="2" t="n">
        <f aca="false">Settings!$B$4*MAX(INDEX(Bases!$P$2:$P$53,B193),INDEX(Bases!$P$2:$P$53,C193))+Settings!$B$5*MIN(INDEX(Bases!$P$2:$P$53,B193),INDEX(Bases!$P$2:$P$53,C193))</f>
        <v>91.3333333333333</v>
      </c>
      <c r="W193" s="2" t="n">
        <f aca="false">Settings!$B$4*MAX(INDEX(Bases!$Q$2:$Q$53,B193),INDEX(Bases!$Q$2:$Q$53,C193))+Settings!$B$5*MIN(INDEX(Bases!$Q$2:$Q$53,B193),INDEX(Bases!$Q$2:$Q$53,C193))</f>
        <v>59.6666666666667</v>
      </c>
      <c r="X193" s="2" t="n">
        <f aca="false">Settings!$B$4*MAX(INDEX(Bases!$R$2:$R$53,B193),INDEX(Bases!$R$2:$R$53,C193))+Settings!$B$5*MIN(INDEX(Bases!$R$2:$R$53,B193),INDEX(Bases!$R$2:$R$53,C193))</f>
        <v>75.6666666666667</v>
      </c>
      <c r="Y193" s="2" t="n">
        <f aca="false">S193*Settings!$B$3/SUM(S193:X193)</f>
        <v>73.1112916328189</v>
      </c>
      <c r="Z193" s="2" t="n">
        <f aca="false">T193*Settings!$B$3/SUM(S193:X193)</f>
        <v>94.63850528026</v>
      </c>
      <c r="AA193" s="2" t="n">
        <f aca="false">U193*Settings!$B$3/SUM(S193:X193)</f>
        <v>56.0519902518278</v>
      </c>
      <c r="AB193" s="2" t="n">
        <f aca="false">V193*Settings!$B$3/SUM(S193:X193)</f>
        <v>111.291632818846</v>
      </c>
      <c r="AC193" s="2" t="n">
        <f aca="false">W193*Settings!$B$3/SUM(S193:X193)</f>
        <v>72.7051177904143</v>
      </c>
      <c r="AD193" s="2" t="n">
        <f aca="false">X193*Settings!$B$3/SUM(S193:X193)</f>
        <v>92.2014622258327</v>
      </c>
      <c r="AE193" s="2" t="n">
        <f aca="false">INT(Y193)</f>
        <v>73</v>
      </c>
      <c r="AF193" s="2" t="n">
        <f aca="false">INT(Z193)</f>
        <v>94</v>
      </c>
      <c r="AG193" s="2" t="n">
        <f aca="false">INT(AA193)</f>
        <v>56</v>
      </c>
      <c r="AH193" s="2" t="n">
        <f aca="false">INT(AB193)</f>
        <v>111</v>
      </c>
      <c r="AI193" s="2" t="n">
        <f aca="false">INT(AC193)</f>
        <v>72</v>
      </c>
      <c r="AJ193" s="2" t="n">
        <f aca="false">INT(AD193)</f>
        <v>92</v>
      </c>
      <c r="AK193" s="2" t="n">
        <f aca="false">Settings!$B$3-SUM(AE193:AJ193)</f>
        <v>2</v>
      </c>
      <c r="AL193" s="2" t="n">
        <f aca="false">ROUND(Y193-AE193,9)</f>
        <v>0.111291633</v>
      </c>
      <c r="AM193" s="2" t="n">
        <f aca="false">ROUND(Z193-AF193,9)</f>
        <v>0.63850528</v>
      </c>
      <c r="AN193" s="2" t="n">
        <f aca="false">ROUND(AA193-AG193,9)</f>
        <v>0.051990252</v>
      </c>
      <c r="AO193" s="2" t="n">
        <f aca="false">ROUND(AB193-AH193,9)</f>
        <v>0.291632819</v>
      </c>
      <c r="AP193" s="2" t="n">
        <f aca="false">ROUND(AC193-AI193,9)</f>
        <v>0.70511779</v>
      </c>
      <c r="AQ193" s="2" t="n">
        <f aca="false">ROUND(AD193-AJ193,9)</f>
        <v>0.201462226</v>
      </c>
    </row>
    <row r="194" customFormat="false" ht="15" hidden="false" customHeight="false" outlineLevel="0" collapsed="false">
      <c r="A194" s="2" t="n">
        <v>193</v>
      </c>
      <c r="B194" s="6" t="n">
        <v>4</v>
      </c>
      <c r="C194" s="6" t="n">
        <v>47</v>
      </c>
      <c r="D194" s="8" t="str">
        <f aca="false">INDEX(Bases!$B$2:$B$53,B194)</f>
        <v>Growlithe</v>
      </c>
      <c r="E194" s="8" t="str">
        <f aca="false">INDEX(Bases!$B$2:$B$53,C194)</f>
        <v>Carvanha</v>
      </c>
      <c r="F194" s="2" t="str">
        <f aca="false">LEFT(D194,ROUNDUP(LEN(D194)/2,0))&amp;LOWER(MID(E194,ROUNDUP(LEN(E194)/2,0)+1,20))</f>
        <v>Growlanha</v>
      </c>
      <c r="G194" s="8" t="str">
        <f aca="false">INDEX(Bases!$C$2:$C$53,B194)</f>
        <v>Fire</v>
      </c>
      <c r="H194" s="8" t="str">
        <f aca="false">IF(INDEX(Bases!$C$2:$C$53,C194)=G194,"",INDEX(Bases!$C$2:$C$53,C194))</f>
        <v>Dark</v>
      </c>
      <c r="I194" s="8" t="str">
        <f aca="false">IF(INDEX(Bases!$E$2:$E$53,B194)="","",INDEX(Bases!$E$2:$E$53,B194))</f>
        <v/>
      </c>
      <c r="J194" s="8" t="str">
        <f aca="false">IF(INDEX(Bases!$E$2:$E$53,C194)="","",INDEX(Bases!$E$2:$E$53,C194))</f>
        <v/>
      </c>
      <c r="K194" s="5"/>
      <c r="L194" s="2" t="n">
        <f aca="false">AE194+IF(SUMPRODUCT(--($AL194:$AQ194&gt;AL194))&lt;$AK194,1,0)</f>
        <v>73</v>
      </c>
      <c r="M194" s="2" t="n">
        <f aca="false">AF194+IF(SUMPRODUCT(--($AL194:$AQ194&gt;AM194))+SUMPRODUCT(--($AL194:AL194=AM194))&lt;$AK194,1,0)</f>
        <v>125</v>
      </c>
      <c r="N194" s="2" t="n">
        <f aca="false">AG194+IF(SUMPRODUCT(--($AL194:$AQ194&gt;AN194))+SUMPRODUCT(--($AL194:AM194=AN194))&lt;$AK194,1,0)</f>
        <v>51</v>
      </c>
      <c r="O194" s="2" t="n">
        <f aca="false">AH194+IF(SUMPRODUCT(--($AL194:$AQ194&gt;AO194))+SUMPRODUCT(--($AL194:AN194=AO194))&lt;$AK194,1,0)</f>
        <v>100</v>
      </c>
      <c r="P194" s="2" t="n">
        <f aca="false">AI194+IF(SUMPRODUCT(--($AL194:$AQ194&gt;AP194))+SUMPRODUCT(--($AL194:AO194=AP194))&lt;$AK194,1,0)</f>
        <v>56</v>
      </c>
      <c r="Q194" s="2" t="n">
        <f aca="false">AJ194+IF(SUMPRODUCT(--($AL194:$AQ194&gt;AQ194))+SUMPRODUCT(--($AL194:AP194=AQ194))&lt;$AK194,1,0)</f>
        <v>95</v>
      </c>
      <c r="R194" s="2" t="n">
        <f aca="false">SUM(L194:Q194)</f>
        <v>500</v>
      </c>
      <c r="S194" s="2" t="n">
        <f aca="false">Settings!$B$4*MAX(INDEX(Bases!$M$2:$M$53,B194),INDEX(Bases!$M$2:$M$53,C194))+Settings!$B$5*MIN(INDEX(Bases!$M$2:$M$53,B194),INDEX(Bases!$M$2:$M$53,C194))</f>
        <v>61.6666666666667</v>
      </c>
      <c r="T194" s="2" t="n">
        <f aca="false">Settings!$B$4*MAX(INDEX(Bases!$N$2:$N$53,B194),INDEX(Bases!$N$2:$N$53,C194))+Settings!$B$5*MIN(INDEX(Bases!$N$2:$N$53,B194),INDEX(Bases!$N$2:$N$53,C194))</f>
        <v>105.333333333333</v>
      </c>
      <c r="U194" s="2" t="n">
        <f aca="false">Settings!$B$4*MAX(INDEX(Bases!$O$2:$O$53,B194),INDEX(Bases!$O$2:$O$53,C194))+Settings!$B$5*MIN(INDEX(Bases!$O$2:$O$53,B194),INDEX(Bases!$O$2:$O$53,C194))</f>
        <v>42.6666666666667</v>
      </c>
      <c r="V194" s="2" t="n">
        <f aca="false">Settings!$B$4*MAX(INDEX(Bases!$P$2:$P$53,B194),INDEX(Bases!$P$2:$P$53,C194))+Settings!$B$5*MIN(INDEX(Bases!$P$2:$P$53,B194),INDEX(Bases!$P$2:$P$53,C194))</f>
        <v>84</v>
      </c>
      <c r="W194" s="2" t="n">
        <f aca="false">Settings!$B$4*MAX(INDEX(Bases!$Q$2:$Q$53,B194),INDEX(Bases!$Q$2:$Q$53,C194))+Settings!$B$5*MIN(INDEX(Bases!$Q$2:$Q$53,B194),INDEX(Bases!$Q$2:$Q$53,C194))</f>
        <v>46.6666666666667</v>
      </c>
      <c r="X194" s="2" t="n">
        <f aca="false">Settings!$B$4*MAX(INDEX(Bases!$R$2:$R$53,B194),INDEX(Bases!$R$2:$R$53,C194))+Settings!$B$5*MIN(INDEX(Bases!$R$2:$R$53,B194),INDEX(Bases!$R$2:$R$53,C194))</f>
        <v>79.6666666666667</v>
      </c>
      <c r="Y194" s="2" t="n">
        <f aca="false">S194*Settings!$B$3/SUM(S194:X194)</f>
        <v>73.4126984126984</v>
      </c>
      <c r="Z194" s="2" t="n">
        <f aca="false">T194*Settings!$B$3/SUM(S194:X194)</f>
        <v>125.396825396825</v>
      </c>
      <c r="AA194" s="2" t="n">
        <f aca="false">U194*Settings!$B$3/SUM(S194:X194)</f>
        <v>50.7936507936508</v>
      </c>
      <c r="AB194" s="2" t="n">
        <f aca="false">V194*Settings!$B$3/SUM(S194:X194)</f>
        <v>100</v>
      </c>
      <c r="AC194" s="2" t="n">
        <f aca="false">W194*Settings!$B$3/SUM(S194:X194)</f>
        <v>55.5555555555556</v>
      </c>
      <c r="AD194" s="2" t="n">
        <f aca="false">X194*Settings!$B$3/SUM(S194:X194)</f>
        <v>94.8412698412698</v>
      </c>
      <c r="AE194" s="2" t="n">
        <f aca="false">INT(Y194)</f>
        <v>73</v>
      </c>
      <c r="AF194" s="2" t="n">
        <f aca="false">INT(Z194)</f>
        <v>125</v>
      </c>
      <c r="AG194" s="2" t="n">
        <f aca="false">INT(AA194)</f>
        <v>50</v>
      </c>
      <c r="AH194" s="2" t="n">
        <f aca="false">INT(AB194)</f>
        <v>100</v>
      </c>
      <c r="AI194" s="2" t="n">
        <f aca="false">INT(AC194)</f>
        <v>55</v>
      </c>
      <c r="AJ194" s="2" t="n">
        <f aca="false">INT(AD194)</f>
        <v>94</v>
      </c>
      <c r="AK194" s="2" t="n">
        <f aca="false">Settings!$B$3-SUM(AE194:AJ194)</f>
        <v>3</v>
      </c>
      <c r="AL194" s="2" t="n">
        <f aca="false">ROUND(Y194-AE194,9)</f>
        <v>0.412698413</v>
      </c>
      <c r="AM194" s="2" t="n">
        <f aca="false">ROUND(Z194-AF194,9)</f>
        <v>0.396825397</v>
      </c>
      <c r="AN194" s="2" t="n">
        <f aca="false">ROUND(AA194-AG194,9)</f>
        <v>0.793650794</v>
      </c>
      <c r="AO194" s="2" t="n">
        <f aca="false">ROUND(AB194-AH194,9)</f>
        <v>0</v>
      </c>
      <c r="AP194" s="2" t="n">
        <f aca="false">ROUND(AC194-AI194,9)</f>
        <v>0.555555556</v>
      </c>
      <c r="AQ194" s="2" t="n">
        <f aca="false">ROUND(AD194-AJ194,9)</f>
        <v>0.841269841</v>
      </c>
    </row>
    <row r="195" customFormat="false" ht="15" hidden="false" customHeight="false" outlineLevel="0" collapsed="false">
      <c r="A195" s="2" t="n">
        <v>194</v>
      </c>
      <c r="B195" s="6" t="n">
        <v>4</v>
      </c>
      <c r="C195" s="6" t="n">
        <v>48</v>
      </c>
      <c r="D195" s="8" t="str">
        <f aca="false">INDEX(Bases!$B$2:$B$53,B195)</f>
        <v>Growlithe</v>
      </c>
      <c r="E195" s="8" t="str">
        <f aca="false">INDEX(Bases!$B$2:$B$53,C195)</f>
        <v>Magnemite</v>
      </c>
      <c r="F195" s="2" t="str">
        <f aca="false">LEFT(D195,ROUNDUP(LEN(D195)/2,0))&amp;LOWER(MID(E195,ROUNDUP(LEN(E195)/2,0)+1,20))</f>
        <v>Growlmite</v>
      </c>
      <c r="G195" s="8" t="str">
        <f aca="false">INDEX(Bases!$C$2:$C$53,B195)</f>
        <v>Fire</v>
      </c>
      <c r="H195" s="8" t="str">
        <f aca="false">IF(INDEX(Bases!$C$2:$C$53,C195)=G195,"",INDEX(Bases!$C$2:$C$53,C195))</f>
        <v>Steel</v>
      </c>
      <c r="I195" s="8" t="str">
        <f aca="false">IF(INDEX(Bases!$E$2:$E$53,B195)="","",INDEX(Bases!$E$2:$E$53,B195))</f>
        <v/>
      </c>
      <c r="J195" s="8" t="str">
        <f aca="false">IF(INDEX(Bases!$E$2:$E$53,C195)="","",INDEX(Bases!$E$2:$E$53,C195))</f>
        <v/>
      </c>
      <c r="K195" s="5"/>
      <c r="L195" s="2" t="n">
        <f aca="false">AE195+IF(SUMPRODUCT(--($AL195:$AQ195&gt;AL195))&lt;$AK195,1,0)</f>
        <v>61</v>
      </c>
      <c r="M195" s="2" t="n">
        <f aca="false">AF195+IF(SUMPRODUCT(--($AL195:$AQ195&gt;AM195))+SUMPRODUCT(--($AL195:AL195=AM195))&lt;$AK195,1,0)</f>
        <v>79</v>
      </c>
      <c r="N195" s="2" t="n">
        <f aca="false">AG195+IF(SUMPRODUCT(--($AL195:$AQ195&gt;AN195))+SUMPRODUCT(--($AL195:AM195=AN195))&lt;$AK195,1,0)</f>
        <v>87</v>
      </c>
      <c r="O195" s="2" t="n">
        <f aca="false">AH195+IF(SUMPRODUCT(--($AL195:$AQ195&gt;AO195))+SUMPRODUCT(--($AL195:AN195=AO195))&lt;$AK195,1,0)</f>
        <v>123</v>
      </c>
      <c r="P195" s="2" t="n">
        <f aca="false">AI195+IF(SUMPRODUCT(--($AL195:$AQ195&gt;AP195))+SUMPRODUCT(--($AL195:AO195=AP195))&lt;$AK195,1,0)</f>
        <v>75</v>
      </c>
      <c r="Q195" s="2" t="n">
        <f aca="false">AJ195+IF(SUMPRODUCT(--($AL195:$AQ195&gt;AQ195))+SUMPRODUCT(--($AL195:AP195=AQ195))&lt;$AK195,1,0)</f>
        <v>75</v>
      </c>
      <c r="R195" s="2" t="n">
        <f aca="false">SUM(L195:Q195)</f>
        <v>500</v>
      </c>
      <c r="S195" s="2" t="n">
        <f aca="false">Settings!$B$4*MAX(INDEX(Bases!$M$2:$M$53,B195),INDEX(Bases!$M$2:$M$53,C195))+Settings!$B$5*MIN(INDEX(Bases!$M$2:$M$53,B195),INDEX(Bases!$M$2:$M$53,C195))</f>
        <v>52.3333333333333</v>
      </c>
      <c r="T195" s="2" t="n">
        <f aca="false">Settings!$B$4*MAX(INDEX(Bases!$N$2:$N$53,B195),INDEX(Bases!$N$2:$N$53,C195))+Settings!$B$5*MIN(INDEX(Bases!$N$2:$N$53,B195),INDEX(Bases!$N$2:$N$53,C195))</f>
        <v>67.6666666666667</v>
      </c>
      <c r="U195" s="2" t="n">
        <f aca="false">Settings!$B$4*MAX(INDEX(Bases!$O$2:$O$53,B195),INDEX(Bases!$O$2:$O$53,C195))+Settings!$B$5*MIN(INDEX(Bases!$O$2:$O$53,B195),INDEX(Bases!$O$2:$O$53,C195))</f>
        <v>74.3333333333333</v>
      </c>
      <c r="V195" s="2" t="n">
        <f aca="false">Settings!$B$4*MAX(INDEX(Bases!$P$2:$P$53,B195),INDEX(Bases!$P$2:$P$53,C195))+Settings!$B$5*MIN(INDEX(Bases!$P$2:$P$53,B195),INDEX(Bases!$P$2:$P$53,C195))</f>
        <v>104.666666666667</v>
      </c>
      <c r="W195" s="2" t="n">
        <f aca="false">Settings!$B$4*MAX(INDEX(Bases!$Q$2:$Q$53,B195),INDEX(Bases!$Q$2:$Q$53,C195))+Settings!$B$5*MIN(INDEX(Bases!$Q$2:$Q$53,B195),INDEX(Bases!$Q$2:$Q$53,C195))</f>
        <v>64.3333333333333</v>
      </c>
      <c r="X195" s="2" t="n">
        <f aca="false">Settings!$B$4*MAX(INDEX(Bases!$R$2:$R$53,B195),INDEX(Bases!$R$2:$R$53,C195))+Settings!$B$5*MIN(INDEX(Bases!$R$2:$R$53,B195),INDEX(Bases!$R$2:$R$53,C195))</f>
        <v>64.3333333333333</v>
      </c>
      <c r="Y195" s="2" t="n">
        <f aca="false">S195*Settings!$B$3/SUM(S195:X195)</f>
        <v>61.1847233047545</v>
      </c>
      <c r="Z195" s="2" t="n">
        <f aca="false">T195*Settings!$B$3/SUM(S195:X195)</f>
        <v>79.1114575214341</v>
      </c>
      <c r="AA195" s="2" t="n">
        <f aca="false">U195*Settings!$B$3/SUM(S195:X195)</f>
        <v>86.9056897895557</v>
      </c>
      <c r="AB195" s="2" t="n">
        <f aca="false">V195*Settings!$B$3/SUM(S195:X195)</f>
        <v>122.369446609509</v>
      </c>
      <c r="AC195" s="2" t="n">
        <f aca="false">W195*Settings!$B$3/SUM(S195:X195)</f>
        <v>75.2143413873733</v>
      </c>
      <c r="AD195" s="2" t="n">
        <f aca="false">X195*Settings!$B$3/SUM(S195:X195)</f>
        <v>75.2143413873734</v>
      </c>
      <c r="AE195" s="2" t="n">
        <f aca="false">INT(Y195)</f>
        <v>61</v>
      </c>
      <c r="AF195" s="2" t="n">
        <f aca="false">INT(Z195)</f>
        <v>79</v>
      </c>
      <c r="AG195" s="2" t="n">
        <f aca="false">INT(AA195)</f>
        <v>86</v>
      </c>
      <c r="AH195" s="2" t="n">
        <f aca="false">INT(AB195)</f>
        <v>122</v>
      </c>
      <c r="AI195" s="2" t="n">
        <f aca="false">INT(AC195)</f>
        <v>75</v>
      </c>
      <c r="AJ195" s="2" t="n">
        <f aca="false">INT(AD195)</f>
        <v>75</v>
      </c>
      <c r="AK195" s="2" t="n">
        <f aca="false">Settings!$B$3-SUM(AE195:AJ195)</f>
        <v>2</v>
      </c>
      <c r="AL195" s="2" t="n">
        <f aca="false">ROUND(Y195-AE195,9)</f>
        <v>0.184723305</v>
      </c>
      <c r="AM195" s="2" t="n">
        <f aca="false">ROUND(Z195-AF195,9)</f>
        <v>0.111457521</v>
      </c>
      <c r="AN195" s="2" t="n">
        <f aca="false">ROUND(AA195-AG195,9)</f>
        <v>0.90568979</v>
      </c>
      <c r="AO195" s="2" t="n">
        <f aca="false">ROUND(AB195-AH195,9)</f>
        <v>0.36944661</v>
      </c>
      <c r="AP195" s="2" t="n">
        <f aca="false">ROUND(AC195-AI195,9)</f>
        <v>0.214341387</v>
      </c>
      <c r="AQ195" s="2" t="n">
        <f aca="false">ROUND(AD195-AJ195,9)</f>
        <v>0.214341387</v>
      </c>
    </row>
    <row r="196" customFormat="false" ht="15" hidden="false" customHeight="false" outlineLevel="0" collapsed="false">
      <c r="A196" s="2" t="n">
        <v>195</v>
      </c>
      <c r="B196" s="6" t="n">
        <v>4</v>
      </c>
      <c r="C196" s="6" t="n">
        <v>49</v>
      </c>
      <c r="D196" s="8" t="str">
        <f aca="false">INDEX(Bases!$B$2:$B$53,B196)</f>
        <v>Growlithe</v>
      </c>
      <c r="E196" s="8" t="str">
        <f aca="false">INDEX(Bases!$B$2:$B$53,C196)</f>
        <v>Aron</v>
      </c>
      <c r="F196" s="2" t="str">
        <f aca="false">LEFT(D196,ROUNDUP(LEN(D196)/2,0))&amp;LOWER(MID(E196,ROUNDUP(LEN(E196)/2,0)+1,20))</f>
        <v>Growlon</v>
      </c>
      <c r="G196" s="8" t="str">
        <f aca="false">INDEX(Bases!$C$2:$C$53,B196)</f>
        <v>Fire</v>
      </c>
      <c r="H196" s="8" t="str">
        <f aca="false">IF(INDEX(Bases!$C$2:$C$53,C196)=G196,"",INDEX(Bases!$C$2:$C$53,C196))</f>
        <v>Steel</v>
      </c>
      <c r="I196" s="8" t="str">
        <f aca="false">IF(INDEX(Bases!$E$2:$E$53,B196)="","",INDEX(Bases!$E$2:$E$53,B196))</f>
        <v/>
      </c>
      <c r="J196" s="8" t="str">
        <f aca="false">IF(INDEX(Bases!$E$2:$E$53,C196)="","",INDEX(Bases!$E$2:$E$53,C196))</f>
        <v/>
      </c>
      <c r="K196" s="5"/>
      <c r="L196" s="2" t="n">
        <f aca="false">AE196+IF(SUMPRODUCT(--($AL196:$AQ196&gt;AL196))&lt;$AK196,1,0)</f>
        <v>73</v>
      </c>
      <c r="M196" s="2" t="n">
        <f aca="false">AF196+IF(SUMPRODUCT(--($AL196:$AQ196&gt;AM196))+SUMPRODUCT(--($AL196:AL196=AM196))&lt;$AK196,1,0)</f>
        <v>98</v>
      </c>
      <c r="N196" s="2" t="n">
        <f aca="false">AG196+IF(SUMPRODUCT(--($AL196:$AQ196&gt;AN196))+SUMPRODUCT(--($AL196:AM196=AN196))&lt;$AK196,1,0)</f>
        <v>115</v>
      </c>
      <c r="O196" s="2" t="n">
        <f aca="false">AH196+IF(SUMPRODUCT(--($AL196:$AQ196&gt;AO196))+SUMPRODUCT(--($AL196:AN196=AO196))&lt;$AK196,1,0)</f>
        <v>82</v>
      </c>
      <c r="P196" s="2" t="n">
        <f aca="false">AI196+IF(SUMPRODUCT(--($AL196:$AQ196&gt;AP196))+SUMPRODUCT(--($AL196:AO196=AP196))&lt;$AK196,1,0)</f>
        <v>64</v>
      </c>
      <c r="Q196" s="2" t="n">
        <f aca="false">AJ196+IF(SUMPRODUCT(--($AL196:$AQ196&gt;AQ196))+SUMPRODUCT(--($AL196:AP196=AQ196))&lt;$AK196,1,0)</f>
        <v>68</v>
      </c>
      <c r="R196" s="2" t="n">
        <f aca="false">SUM(L196:Q196)</f>
        <v>500</v>
      </c>
      <c r="S196" s="2" t="n">
        <f aca="false">Settings!$B$4*MAX(INDEX(Bases!$M$2:$M$53,B196),INDEX(Bases!$M$2:$M$53,C196))+Settings!$B$5*MIN(INDEX(Bases!$M$2:$M$53,B196),INDEX(Bases!$M$2:$M$53,C196))</f>
        <v>62.3333333333333</v>
      </c>
      <c r="T196" s="2" t="n">
        <f aca="false">Settings!$B$4*MAX(INDEX(Bases!$N$2:$N$53,B196),INDEX(Bases!$N$2:$N$53,C196))+Settings!$B$5*MIN(INDEX(Bases!$N$2:$N$53,B196),INDEX(Bases!$N$2:$N$53,C196))</f>
        <v>83.3333333333333</v>
      </c>
      <c r="U196" s="2" t="n">
        <f aca="false">Settings!$B$4*MAX(INDEX(Bases!$O$2:$O$53,B196),INDEX(Bases!$O$2:$O$53,C196))+Settings!$B$5*MIN(INDEX(Bases!$O$2:$O$53,B196),INDEX(Bases!$O$2:$O$53,C196))</f>
        <v>97.6666666666667</v>
      </c>
      <c r="V196" s="2" t="n">
        <f aca="false">Settings!$B$4*MAX(INDEX(Bases!$P$2:$P$53,B196),INDEX(Bases!$P$2:$P$53,C196))+Settings!$B$5*MIN(INDEX(Bases!$P$2:$P$53,B196),INDEX(Bases!$P$2:$P$53,C196))</f>
        <v>69.6666666666667</v>
      </c>
      <c r="W196" s="2" t="n">
        <f aca="false">Settings!$B$4*MAX(INDEX(Bases!$Q$2:$Q$53,B196),INDEX(Bases!$Q$2:$Q$53,C196))+Settings!$B$5*MIN(INDEX(Bases!$Q$2:$Q$53,B196),INDEX(Bases!$Q$2:$Q$53,C196))</f>
        <v>54</v>
      </c>
      <c r="X196" s="2" t="n">
        <f aca="false">Settings!$B$4*MAX(INDEX(Bases!$R$2:$R$53,B196),INDEX(Bases!$R$2:$R$53,C196))+Settings!$B$5*MIN(INDEX(Bases!$R$2:$R$53,B196),INDEX(Bases!$R$2:$R$53,C196))</f>
        <v>58</v>
      </c>
      <c r="Y196" s="2" t="n">
        <f aca="false">S196*Settings!$B$3/SUM(S196:X196)</f>
        <v>73.3333333333333</v>
      </c>
      <c r="Z196" s="2" t="n">
        <f aca="false">T196*Settings!$B$3/SUM(S196:X196)</f>
        <v>98.0392156862745</v>
      </c>
      <c r="AA196" s="2" t="n">
        <f aca="false">U196*Settings!$B$3/SUM(S196:X196)</f>
        <v>114.901960784314</v>
      </c>
      <c r="AB196" s="2" t="n">
        <f aca="false">V196*Settings!$B$3/SUM(S196:X196)</f>
        <v>81.9607843137255</v>
      </c>
      <c r="AC196" s="2" t="n">
        <f aca="false">W196*Settings!$B$3/SUM(S196:X196)</f>
        <v>63.5294117647059</v>
      </c>
      <c r="AD196" s="2" t="n">
        <f aca="false">X196*Settings!$B$3/SUM(S196:X196)</f>
        <v>68.2352941176471</v>
      </c>
      <c r="AE196" s="2" t="n">
        <f aca="false">INT(Y196)</f>
        <v>73</v>
      </c>
      <c r="AF196" s="2" t="n">
        <f aca="false">INT(Z196)</f>
        <v>98</v>
      </c>
      <c r="AG196" s="2" t="n">
        <f aca="false">INT(AA196)</f>
        <v>114</v>
      </c>
      <c r="AH196" s="2" t="n">
        <f aca="false">INT(AB196)</f>
        <v>81</v>
      </c>
      <c r="AI196" s="2" t="n">
        <f aca="false">INT(AC196)</f>
        <v>63</v>
      </c>
      <c r="AJ196" s="2" t="n">
        <f aca="false">INT(AD196)</f>
        <v>68</v>
      </c>
      <c r="AK196" s="2" t="n">
        <f aca="false">Settings!$B$3-SUM(AE196:AJ196)</f>
        <v>3</v>
      </c>
      <c r="AL196" s="2" t="n">
        <f aca="false">ROUND(Y196-AE196,9)</f>
        <v>0.333333333</v>
      </c>
      <c r="AM196" s="2" t="n">
        <f aca="false">ROUND(Z196-AF196,9)</f>
        <v>0.039215686</v>
      </c>
      <c r="AN196" s="2" t="n">
        <f aca="false">ROUND(AA196-AG196,9)</f>
        <v>0.901960784</v>
      </c>
      <c r="AO196" s="2" t="n">
        <f aca="false">ROUND(AB196-AH196,9)</f>
        <v>0.960784314</v>
      </c>
      <c r="AP196" s="2" t="n">
        <f aca="false">ROUND(AC196-AI196,9)</f>
        <v>0.529411765</v>
      </c>
      <c r="AQ196" s="2" t="n">
        <f aca="false">ROUND(AD196-AJ196,9)</f>
        <v>0.235294118</v>
      </c>
    </row>
    <row r="197" customFormat="false" ht="15" hidden="false" customHeight="false" outlineLevel="0" collapsed="false">
      <c r="A197" s="2" t="n">
        <v>196</v>
      </c>
      <c r="B197" s="6" t="n">
        <v>4</v>
      </c>
      <c r="C197" s="6" t="n">
        <v>50</v>
      </c>
      <c r="D197" s="8" t="str">
        <f aca="false">INDEX(Bases!$B$2:$B$53,B197)</f>
        <v>Growlithe</v>
      </c>
      <c r="E197" s="8" t="str">
        <f aca="false">INDEX(Bases!$B$2:$B$53,C197)</f>
        <v>Beldum</v>
      </c>
      <c r="F197" s="2" t="str">
        <f aca="false">LEFT(D197,ROUNDUP(LEN(D197)/2,0))&amp;LOWER(MID(E197,ROUNDUP(LEN(E197)/2,0)+1,20))</f>
        <v>Growldum</v>
      </c>
      <c r="G197" s="8" t="str">
        <f aca="false">INDEX(Bases!$C$2:$C$53,B197)</f>
        <v>Fire</v>
      </c>
      <c r="H197" s="8" t="str">
        <f aca="false">IF(INDEX(Bases!$C$2:$C$53,C197)=G197,"",INDEX(Bases!$C$2:$C$53,C197))</f>
        <v>Steel</v>
      </c>
      <c r="I197" s="8" t="str">
        <f aca="false">IF(INDEX(Bases!$E$2:$E$53,B197)="","",INDEX(Bases!$E$2:$E$53,B197))</f>
        <v/>
      </c>
      <c r="J197" s="8" t="str">
        <f aca="false">IF(INDEX(Bases!$E$2:$E$53,C197)="","",INDEX(Bases!$E$2:$E$53,C197))</f>
        <v/>
      </c>
      <c r="K197" s="5"/>
      <c r="L197" s="2" t="n">
        <f aca="false">AE197+IF(SUMPRODUCT(--($AL197:$AQ197&gt;AL197))&lt;$AK197,1,0)</f>
        <v>70</v>
      </c>
      <c r="M197" s="2" t="n">
        <f aca="false">AF197+IF(SUMPRODUCT(--($AL197:$AQ197&gt;AM197))+SUMPRODUCT(--($AL197:AL197=AM197))&lt;$AK197,1,0)</f>
        <v>91</v>
      </c>
      <c r="N197" s="2" t="n">
        <f aca="false">AG197+IF(SUMPRODUCT(--($AL197:$AQ197&gt;AN197))+SUMPRODUCT(--($AL197:AM197=AN197))&lt;$AK197,1,0)</f>
        <v>104</v>
      </c>
      <c r="O197" s="2" t="n">
        <f aca="false">AH197+IF(SUMPRODUCT(--($AL197:$AQ197&gt;AO197))+SUMPRODUCT(--($AL197:AN197=AO197))&lt;$AK197,1,0)</f>
        <v>81</v>
      </c>
      <c r="P197" s="2" t="n">
        <f aca="false">AI197+IF(SUMPRODUCT(--($AL197:$AQ197&gt;AP197))+SUMPRODUCT(--($AL197:AO197=AP197))&lt;$AK197,1,0)</f>
        <v>85</v>
      </c>
      <c r="Q197" s="2" t="n">
        <f aca="false">AJ197+IF(SUMPRODUCT(--($AL197:$AQ197&gt;AQ197))+SUMPRODUCT(--($AL197:AP197=AQ197))&lt;$AK197,1,0)</f>
        <v>69</v>
      </c>
      <c r="R197" s="2" t="n">
        <f aca="false">SUM(L197:Q197)</f>
        <v>500</v>
      </c>
      <c r="S197" s="2" t="n">
        <f aca="false">Settings!$B$4*MAX(INDEX(Bases!$M$2:$M$53,B197),INDEX(Bases!$M$2:$M$53,C197))+Settings!$B$5*MIN(INDEX(Bases!$M$2:$M$53,B197),INDEX(Bases!$M$2:$M$53,C197))</f>
        <v>59.6666666666667</v>
      </c>
      <c r="T197" s="2" t="n">
        <f aca="false">Settings!$B$4*MAX(INDEX(Bases!$N$2:$N$53,B197),INDEX(Bases!$N$2:$N$53,C197))+Settings!$B$5*MIN(INDEX(Bases!$N$2:$N$53,B197),INDEX(Bases!$N$2:$N$53,C197))</f>
        <v>77.6666666666667</v>
      </c>
      <c r="U197" s="2" t="n">
        <f aca="false">Settings!$B$4*MAX(INDEX(Bases!$O$2:$O$53,B197),INDEX(Bases!$O$2:$O$53,C197))+Settings!$B$5*MIN(INDEX(Bases!$O$2:$O$53,B197),INDEX(Bases!$O$2:$O$53,C197))</f>
        <v>88.3333333333333</v>
      </c>
      <c r="V197" s="2" t="n">
        <f aca="false">Settings!$B$4*MAX(INDEX(Bases!$P$2:$P$53,B197),INDEX(Bases!$P$2:$P$53,C197))+Settings!$B$5*MIN(INDEX(Bases!$P$2:$P$53,B197),INDEX(Bases!$P$2:$P$53,C197))</f>
        <v>69</v>
      </c>
      <c r="W197" s="2" t="n">
        <f aca="false">Settings!$B$4*MAX(INDEX(Bases!$Q$2:$Q$53,B197),INDEX(Bases!$Q$2:$Q$53,C197))+Settings!$B$5*MIN(INDEX(Bases!$Q$2:$Q$53,B197),INDEX(Bases!$Q$2:$Q$53,C197))</f>
        <v>72.3333333333333</v>
      </c>
      <c r="X197" s="2" t="n">
        <f aca="false">Settings!$B$4*MAX(INDEX(Bases!$R$2:$R$53,B197),INDEX(Bases!$R$2:$R$53,C197))+Settings!$B$5*MIN(INDEX(Bases!$R$2:$R$53,B197),INDEX(Bases!$R$2:$R$53,C197))</f>
        <v>59.3333333333333</v>
      </c>
      <c r="Y197" s="2" t="n">
        <f aca="false">S197*Settings!$B$3/SUM(S197:X197)</f>
        <v>69.9765441751368</v>
      </c>
      <c r="Z197" s="2" t="n">
        <f aca="false">T197*Settings!$B$3/SUM(S197:X197)</f>
        <v>91.0867865519937</v>
      </c>
      <c r="AA197" s="2" t="n">
        <f aca="false">U197*Settings!$B$3/SUM(S197:X197)</f>
        <v>103.596559812353</v>
      </c>
      <c r="AB197" s="2" t="n">
        <f aca="false">V197*Settings!$B$3/SUM(S197:X197)</f>
        <v>80.9225957779515</v>
      </c>
      <c r="AC197" s="2" t="n">
        <f aca="false">W197*Settings!$B$3/SUM(S197:X197)</f>
        <v>84.8318999218139</v>
      </c>
      <c r="AD197" s="2" t="n">
        <f aca="false">X197*Settings!$B$3/SUM(S197:X197)</f>
        <v>69.5856137607506</v>
      </c>
      <c r="AE197" s="2" t="n">
        <f aca="false">INT(Y197)</f>
        <v>69</v>
      </c>
      <c r="AF197" s="2" t="n">
        <f aca="false">INT(Z197)</f>
        <v>91</v>
      </c>
      <c r="AG197" s="2" t="n">
        <f aca="false">INT(AA197)</f>
        <v>103</v>
      </c>
      <c r="AH197" s="2" t="n">
        <f aca="false">INT(AB197)</f>
        <v>80</v>
      </c>
      <c r="AI197" s="2" t="n">
        <f aca="false">INT(AC197)</f>
        <v>84</v>
      </c>
      <c r="AJ197" s="2" t="n">
        <f aca="false">INT(AD197)</f>
        <v>69</v>
      </c>
      <c r="AK197" s="2" t="n">
        <f aca="false">Settings!$B$3-SUM(AE197:AJ197)</f>
        <v>4</v>
      </c>
      <c r="AL197" s="2" t="n">
        <f aca="false">ROUND(Y197-AE197,9)</f>
        <v>0.976544175</v>
      </c>
      <c r="AM197" s="2" t="n">
        <f aca="false">ROUND(Z197-AF197,9)</f>
        <v>0.086786552</v>
      </c>
      <c r="AN197" s="2" t="n">
        <f aca="false">ROUND(AA197-AG197,9)</f>
        <v>0.596559812</v>
      </c>
      <c r="AO197" s="2" t="n">
        <f aca="false">ROUND(AB197-AH197,9)</f>
        <v>0.922595778</v>
      </c>
      <c r="AP197" s="2" t="n">
        <f aca="false">ROUND(AC197-AI197,9)</f>
        <v>0.831899922</v>
      </c>
      <c r="AQ197" s="2" t="n">
        <f aca="false">ROUND(AD197-AJ197,9)</f>
        <v>0.585613761</v>
      </c>
    </row>
    <row r="198" customFormat="false" ht="15" hidden="false" customHeight="false" outlineLevel="0" collapsed="false">
      <c r="A198" s="2" t="n">
        <v>197</v>
      </c>
      <c r="B198" s="6" t="n">
        <v>4</v>
      </c>
      <c r="C198" s="6" t="n">
        <v>51</v>
      </c>
      <c r="D198" s="8" t="str">
        <f aca="false">INDEX(Bases!$B$2:$B$53,B198)</f>
        <v>Growlithe</v>
      </c>
      <c r="E198" s="8" t="str">
        <f aca="false">INDEX(Bases!$B$2:$B$53,C198)</f>
        <v>Cleffa</v>
      </c>
      <c r="F198" s="2" t="str">
        <f aca="false">LEFT(D198,ROUNDUP(LEN(D198)/2,0))&amp;LOWER(MID(E198,ROUNDUP(LEN(E198)/2,0)+1,20))</f>
        <v>Growlffa</v>
      </c>
      <c r="G198" s="8" t="str">
        <f aca="false">INDEX(Bases!$C$2:$C$53,B198)</f>
        <v>Fire</v>
      </c>
      <c r="H198" s="8" t="str">
        <f aca="false">IF(INDEX(Bases!$C$2:$C$53,C198)=G198,"",INDEX(Bases!$C$2:$C$53,C198))</f>
        <v>Fairy</v>
      </c>
      <c r="I198" s="8" t="str">
        <f aca="false">IF(INDEX(Bases!$E$2:$E$53,B198)="","",INDEX(Bases!$E$2:$E$53,B198))</f>
        <v/>
      </c>
      <c r="J198" s="8" t="str">
        <f aca="false">IF(INDEX(Bases!$E$2:$E$53,C198)="","",INDEX(Bases!$E$2:$E$53,C198))</f>
        <v/>
      </c>
      <c r="K198" s="5"/>
      <c r="L198" s="2" t="n">
        <f aca="false">AE198+IF(SUMPRODUCT(--($AL198:$AQ198&gt;AL198))&lt;$AK198,1,0)</f>
        <v>97</v>
      </c>
      <c r="M198" s="2" t="n">
        <f aca="false">AF198+IF(SUMPRODUCT(--($AL198:$AQ198&gt;AM198))+SUMPRODUCT(--($AL198:AL198=AM198))&lt;$AK198,1,0)</f>
        <v>81</v>
      </c>
      <c r="N198" s="2" t="n">
        <f aca="false">AG198+IF(SUMPRODUCT(--($AL198:$AQ198&gt;AN198))+SUMPRODUCT(--($AL198:AM198=AN198))&lt;$AK198,1,0)</f>
        <v>60</v>
      </c>
      <c r="O198" s="2" t="n">
        <f aca="false">AH198+IF(SUMPRODUCT(--($AL198:$AQ198&gt;AO198))+SUMPRODUCT(--($AL198:AN198=AO198))&lt;$AK198,1,0)</f>
        <v>96</v>
      </c>
      <c r="P198" s="2" t="n">
        <f aca="false">AI198+IF(SUMPRODUCT(--($AL198:$AQ198&gt;AP198))+SUMPRODUCT(--($AL198:AO198=AP198))&lt;$AK198,1,0)</f>
        <v>101</v>
      </c>
      <c r="Q198" s="2" t="n">
        <f aca="false">AJ198+IF(SUMPRODUCT(--($AL198:$AQ198&gt;AQ198))+SUMPRODUCT(--($AL198:AP198=AQ198))&lt;$AK198,1,0)</f>
        <v>65</v>
      </c>
      <c r="R198" s="2" t="n">
        <f aca="false">SUM(L198:Q198)</f>
        <v>500</v>
      </c>
      <c r="S198" s="2" t="n">
        <f aca="false">Settings!$B$4*MAX(INDEX(Bases!$M$2:$M$53,B198),INDEX(Bases!$M$2:$M$53,C198))+Settings!$B$5*MIN(INDEX(Bases!$M$2:$M$53,B198),INDEX(Bases!$M$2:$M$53,C198))</f>
        <v>82.3333333333333</v>
      </c>
      <c r="T198" s="2" t="n">
        <f aca="false">Settings!$B$4*MAX(INDEX(Bases!$N$2:$N$53,B198),INDEX(Bases!$N$2:$N$53,C198))+Settings!$B$5*MIN(INDEX(Bases!$N$2:$N$53,B198),INDEX(Bases!$N$2:$N$53,C198))</f>
        <v>68.6666666666667</v>
      </c>
      <c r="U198" s="2" t="n">
        <f aca="false">Settings!$B$4*MAX(INDEX(Bases!$O$2:$O$53,B198),INDEX(Bases!$O$2:$O$53,C198))+Settings!$B$5*MIN(INDEX(Bases!$O$2:$O$53,B198),INDEX(Bases!$O$2:$O$53,C198))</f>
        <v>51</v>
      </c>
      <c r="V198" s="2" t="n">
        <f aca="false">Settings!$B$4*MAX(INDEX(Bases!$P$2:$P$53,B198),INDEX(Bases!$P$2:$P$53,C198))+Settings!$B$5*MIN(INDEX(Bases!$P$2:$P$53,B198),INDEX(Bases!$P$2:$P$53,C198))</f>
        <v>82</v>
      </c>
      <c r="W198" s="2" t="n">
        <f aca="false">Settings!$B$4*MAX(INDEX(Bases!$Q$2:$Q$53,B198),INDEX(Bases!$Q$2:$Q$53,C198))+Settings!$B$5*MIN(INDEX(Bases!$Q$2:$Q$53,B198),INDEX(Bases!$Q$2:$Q$53,C198))</f>
        <v>86.3333333333333</v>
      </c>
      <c r="X198" s="2" t="n">
        <f aca="false">Settings!$B$4*MAX(INDEX(Bases!$R$2:$R$53,B198),INDEX(Bases!$R$2:$R$53,C198))+Settings!$B$5*MIN(INDEX(Bases!$R$2:$R$53,B198),INDEX(Bases!$R$2:$R$53,C198))</f>
        <v>55</v>
      </c>
      <c r="Y198" s="2" t="n">
        <f aca="false">S198*Settings!$B$3/SUM(S198:X198)</f>
        <v>96.7868338557994</v>
      </c>
      <c r="Z198" s="2" t="n">
        <f aca="false">T198*Settings!$B$3/SUM(S198:X198)</f>
        <v>80.7210031347962</v>
      </c>
      <c r="AA198" s="2" t="n">
        <f aca="false">U198*Settings!$B$3/SUM(S198:X198)</f>
        <v>59.9529780564263</v>
      </c>
      <c r="AB198" s="2" t="n">
        <f aca="false">V198*Settings!$B$3/SUM(S198:X198)</f>
        <v>96.3949843260188</v>
      </c>
      <c r="AC198" s="2" t="n">
        <f aca="false">W198*Settings!$B$3/SUM(S198:X198)</f>
        <v>101.489028213166</v>
      </c>
      <c r="AD198" s="2" t="n">
        <f aca="false">X198*Settings!$B$3/SUM(S198:X198)</f>
        <v>64.6551724137931</v>
      </c>
      <c r="AE198" s="2" t="n">
        <f aca="false">INT(Y198)</f>
        <v>96</v>
      </c>
      <c r="AF198" s="2" t="n">
        <f aca="false">INT(Z198)</f>
        <v>80</v>
      </c>
      <c r="AG198" s="2" t="n">
        <f aca="false">INT(AA198)</f>
        <v>59</v>
      </c>
      <c r="AH198" s="2" t="n">
        <f aca="false">INT(AB198)</f>
        <v>96</v>
      </c>
      <c r="AI198" s="2" t="n">
        <f aca="false">INT(AC198)</f>
        <v>101</v>
      </c>
      <c r="AJ198" s="2" t="n">
        <f aca="false">INT(AD198)</f>
        <v>64</v>
      </c>
      <c r="AK198" s="2" t="n">
        <f aca="false">Settings!$B$3-SUM(AE198:AJ198)</f>
        <v>4</v>
      </c>
      <c r="AL198" s="2" t="n">
        <f aca="false">ROUND(Y198-AE198,9)</f>
        <v>0.786833856</v>
      </c>
      <c r="AM198" s="2" t="n">
        <f aca="false">ROUND(Z198-AF198,9)</f>
        <v>0.721003135</v>
      </c>
      <c r="AN198" s="2" t="n">
        <f aca="false">ROUND(AA198-AG198,9)</f>
        <v>0.952978056</v>
      </c>
      <c r="AO198" s="2" t="n">
        <f aca="false">ROUND(AB198-AH198,9)</f>
        <v>0.394984326</v>
      </c>
      <c r="AP198" s="2" t="n">
        <f aca="false">ROUND(AC198-AI198,9)</f>
        <v>0.489028213</v>
      </c>
      <c r="AQ198" s="2" t="n">
        <f aca="false">ROUND(AD198-AJ198,9)</f>
        <v>0.655172414</v>
      </c>
    </row>
    <row r="199" customFormat="false" ht="15" hidden="false" customHeight="false" outlineLevel="0" collapsed="false">
      <c r="A199" s="2" t="n">
        <v>198</v>
      </c>
      <c r="B199" s="6" t="n">
        <v>4</v>
      </c>
      <c r="C199" s="6" t="n">
        <v>52</v>
      </c>
      <c r="D199" s="8" t="str">
        <f aca="false">INDEX(Bases!$B$2:$B$53,B199)</f>
        <v>Growlithe</v>
      </c>
      <c r="E199" s="8" t="str">
        <f aca="false">INDEX(Bases!$B$2:$B$53,C199)</f>
        <v>Togepi</v>
      </c>
      <c r="F199" s="2" t="str">
        <f aca="false">LEFT(D199,ROUNDUP(LEN(D199)/2,0))&amp;LOWER(MID(E199,ROUNDUP(LEN(E199)/2,0)+1,20))</f>
        <v>Growlepi</v>
      </c>
      <c r="G199" s="8" t="str">
        <f aca="false">INDEX(Bases!$C$2:$C$53,B199)</f>
        <v>Fire</v>
      </c>
      <c r="H199" s="8" t="str">
        <f aca="false">IF(INDEX(Bases!$C$2:$C$53,C199)=G199,"",INDEX(Bases!$C$2:$C$53,C199))</f>
        <v>Fairy</v>
      </c>
      <c r="I199" s="8" t="str">
        <f aca="false">IF(INDEX(Bases!$E$2:$E$53,B199)="","",INDEX(Bases!$E$2:$E$53,B199))</f>
        <v/>
      </c>
      <c r="J199" s="8" t="str">
        <f aca="false">IF(INDEX(Bases!$E$2:$E$53,C199)="","",INDEX(Bases!$E$2:$E$53,C199))</f>
        <v/>
      </c>
      <c r="K199" s="5"/>
      <c r="L199" s="2" t="n">
        <f aca="false">AE199+IF(SUMPRODUCT(--($AL199:$AQ199&gt;AL199))&lt;$AK199,1,0)</f>
        <v>70</v>
      </c>
      <c r="M199" s="2" t="n">
        <f aca="false">AF199+IF(SUMPRODUCT(--($AL199:$AQ199&gt;AM199))+SUMPRODUCT(--($AL199:AL199=AM199))&lt;$AK199,1,0)</f>
        <v>74</v>
      </c>
      <c r="N199" s="2" t="n">
        <f aca="false">AG199+IF(SUMPRODUCT(--($AL199:$AQ199&gt;AN199))+SUMPRODUCT(--($AL199:AM199=AN199))&lt;$AK199,1,0)</f>
        <v>101</v>
      </c>
      <c r="O199" s="2" t="n">
        <f aca="false">AH199+IF(SUMPRODUCT(--($AL199:$AQ199&gt;AO199))+SUMPRODUCT(--($AL199:AN199=AO199))&lt;$AK199,1,0)</f>
        <v>86</v>
      </c>
      <c r="P199" s="2" t="n">
        <f aca="false">AI199+IF(SUMPRODUCT(--($AL199:$AQ199&gt;AP199))+SUMPRODUCT(--($AL199:AO199=AP199))&lt;$AK199,1,0)</f>
        <v>103</v>
      </c>
      <c r="Q199" s="2" t="n">
        <f aca="false">AJ199+IF(SUMPRODUCT(--($AL199:$AQ199&gt;AQ199))+SUMPRODUCT(--($AL199:AP199=AQ199))&lt;$AK199,1,0)</f>
        <v>66</v>
      </c>
      <c r="R199" s="2" t="n">
        <f aca="false">SUM(L199:Q199)</f>
        <v>500</v>
      </c>
      <c r="S199" s="2" t="n">
        <f aca="false">Settings!$B$4*MAX(INDEX(Bases!$M$2:$M$53,B199),INDEX(Bases!$M$2:$M$53,C199))+Settings!$B$5*MIN(INDEX(Bases!$M$2:$M$53,B199),INDEX(Bases!$M$2:$M$53,C199))</f>
        <v>61</v>
      </c>
      <c r="T199" s="2" t="n">
        <f aca="false">Settings!$B$4*MAX(INDEX(Bases!$N$2:$N$53,B199),INDEX(Bases!$N$2:$N$53,C199))+Settings!$B$5*MIN(INDEX(Bases!$N$2:$N$53,B199),INDEX(Bases!$N$2:$N$53,C199))</f>
        <v>64.3333333333333</v>
      </c>
      <c r="U199" s="2" t="n">
        <f aca="false">Settings!$B$4*MAX(INDEX(Bases!$O$2:$O$53,B199),INDEX(Bases!$O$2:$O$53,C199))+Settings!$B$5*MIN(INDEX(Bases!$O$2:$O$53,B199),INDEX(Bases!$O$2:$O$53,C199))</f>
        <v>87.6666666666667</v>
      </c>
      <c r="V199" s="2" t="n">
        <f aca="false">Settings!$B$4*MAX(INDEX(Bases!$P$2:$P$53,B199),INDEX(Bases!$P$2:$P$53,C199))+Settings!$B$5*MIN(INDEX(Bases!$P$2:$P$53,B199),INDEX(Bases!$P$2:$P$53,C199))</f>
        <v>75</v>
      </c>
      <c r="W199" s="2" t="n">
        <f aca="false">Settings!$B$4*MAX(INDEX(Bases!$Q$2:$Q$53,B199),INDEX(Bases!$Q$2:$Q$53,C199))+Settings!$B$5*MIN(INDEX(Bases!$Q$2:$Q$53,B199),INDEX(Bases!$Q$2:$Q$53,C199))</f>
        <v>89.6666666666667</v>
      </c>
      <c r="X199" s="2" t="n">
        <f aca="false">Settings!$B$4*MAX(INDEX(Bases!$R$2:$R$53,B199),INDEX(Bases!$R$2:$R$53,C199))+Settings!$B$5*MIN(INDEX(Bases!$R$2:$R$53,B199),INDEX(Bases!$R$2:$R$53,C199))</f>
        <v>57</v>
      </c>
      <c r="Y199" s="2" t="n">
        <f aca="false">S199*Settings!$B$3/SUM(S199:X199)</f>
        <v>70.1687116564417</v>
      </c>
      <c r="Z199" s="2" t="n">
        <f aca="false">T199*Settings!$B$3/SUM(S199:X199)</f>
        <v>74.0030674846626</v>
      </c>
      <c r="AA199" s="2" t="n">
        <f aca="false">U199*Settings!$B$3/SUM(S199:X199)</f>
        <v>100.843558282209</v>
      </c>
      <c r="AB199" s="2" t="n">
        <f aca="false">V199*Settings!$B$3/SUM(S199:X199)</f>
        <v>86.2730061349693</v>
      </c>
      <c r="AC199" s="2" t="n">
        <f aca="false">W199*Settings!$B$3/SUM(S199:X199)</f>
        <v>103.144171779141</v>
      </c>
      <c r="AD199" s="2" t="n">
        <f aca="false">X199*Settings!$B$3/SUM(S199:X199)</f>
        <v>65.5674846625767</v>
      </c>
      <c r="AE199" s="2" t="n">
        <f aca="false">INT(Y199)</f>
        <v>70</v>
      </c>
      <c r="AF199" s="2" t="n">
        <f aca="false">INT(Z199)</f>
        <v>74</v>
      </c>
      <c r="AG199" s="2" t="n">
        <f aca="false">INT(AA199)</f>
        <v>100</v>
      </c>
      <c r="AH199" s="2" t="n">
        <f aca="false">INT(AB199)</f>
        <v>86</v>
      </c>
      <c r="AI199" s="2" t="n">
        <f aca="false">INT(AC199)</f>
        <v>103</v>
      </c>
      <c r="AJ199" s="2" t="n">
        <f aca="false">INT(AD199)</f>
        <v>65</v>
      </c>
      <c r="AK199" s="2" t="n">
        <f aca="false">Settings!$B$3-SUM(AE199:AJ199)</f>
        <v>2</v>
      </c>
      <c r="AL199" s="2" t="n">
        <f aca="false">ROUND(Y199-AE199,9)</f>
        <v>0.168711656</v>
      </c>
      <c r="AM199" s="2" t="n">
        <f aca="false">ROUND(Z199-AF199,9)</f>
        <v>0.003067485</v>
      </c>
      <c r="AN199" s="2" t="n">
        <f aca="false">ROUND(AA199-AG199,9)</f>
        <v>0.843558282</v>
      </c>
      <c r="AO199" s="2" t="n">
        <f aca="false">ROUND(AB199-AH199,9)</f>
        <v>0.273006135</v>
      </c>
      <c r="AP199" s="2" t="n">
        <f aca="false">ROUND(AC199-AI199,9)</f>
        <v>0.144171779</v>
      </c>
      <c r="AQ199" s="2" t="n">
        <f aca="false">ROUND(AD199-AJ199,9)</f>
        <v>0.567484663</v>
      </c>
    </row>
    <row r="200" customFormat="false" ht="15" hidden="false" customHeight="false" outlineLevel="0" collapsed="false">
      <c r="A200" s="2" t="n">
        <v>199</v>
      </c>
      <c r="B200" s="6" t="n">
        <v>5</v>
      </c>
      <c r="C200" s="6" t="n">
        <v>6</v>
      </c>
      <c r="D200" s="8" t="str">
        <f aca="false">INDEX(Bases!$B$2:$B$53,B200)</f>
        <v>Cyndaquil</v>
      </c>
      <c r="E200" s="8" t="str">
        <f aca="false">INDEX(Bases!$B$2:$B$53,C200)</f>
        <v>Numel</v>
      </c>
      <c r="F200" s="2" t="str">
        <f aca="false">LEFT(D200,ROUNDUP(LEN(D200)/2,0))&amp;LOWER(MID(E200,ROUNDUP(LEN(E200)/2,0)+1,20))</f>
        <v>Cyndael</v>
      </c>
      <c r="G200" s="8" t="str">
        <f aca="false">INDEX(Bases!$C$2:$C$53,B200)</f>
        <v>Fire</v>
      </c>
      <c r="H200" s="8" t="str">
        <f aca="false">IF(INDEX(Bases!$C$2:$C$53,C200)=G200,"",INDEX(Bases!$C$2:$C$53,C200))</f>
        <v/>
      </c>
      <c r="I200" s="8" t="str">
        <f aca="false">IF(INDEX(Bases!$E$2:$E$53,B200)="","",INDEX(Bases!$E$2:$E$53,B200))</f>
        <v/>
      </c>
      <c r="J200" s="8" t="str">
        <f aca="false">IF(INDEX(Bases!$E$2:$E$53,C200)="","",INDEX(Bases!$E$2:$E$53,C200))</f>
        <v/>
      </c>
      <c r="K200" s="5"/>
      <c r="L200" s="2" t="n">
        <f aca="false">AE200+IF(SUMPRODUCT(--($AL200:$AQ200&gt;AL200))&lt;$AK200,1,0)</f>
        <v>83</v>
      </c>
      <c r="M200" s="2" t="n">
        <f aca="false">AF200+IF(SUMPRODUCT(--($AL200:$AQ200&gt;AM200))+SUMPRODUCT(--($AL200:AL200=AM200))&lt;$AK200,1,0)</f>
        <v>90</v>
      </c>
      <c r="N200" s="2" t="n">
        <f aca="false">AG200+IF(SUMPRODUCT(--($AL200:$AQ200&gt;AN200))+SUMPRODUCT(--($AL200:AM200=AN200))&lt;$AK200,1,0)</f>
        <v>66</v>
      </c>
      <c r="O200" s="2" t="n">
        <f aca="false">AH200+IF(SUMPRODUCT(--($AL200:$AQ200&gt;AO200))+SUMPRODUCT(--($AL200:AN200=AO200))&lt;$AK200,1,0)</f>
        <v>99</v>
      </c>
      <c r="P200" s="2" t="n">
        <f aca="false">AI200+IF(SUMPRODUCT(--($AL200:$AQ200&gt;AP200))+SUMPRODUCT(--($AL200:AO200=AP200))&lt;$AK200,1,0)</f>
        <v>76</v>
      </c>
      <c r="Q200" s="2" t="n">
        <f aca="false">AJ200+IF(SUMPRODUCT(--($AL200:$AQ200&gt;AQ200))+SUMPRODUCT(--($AL200:AP200=AQ200))&lt;$AK200,1,0)</f>
        <v>86</v>
      </c>
      <c r="R200" s="2" t="n">
        <f aca="false">SUM(L200:Q200)</f>
        <v>500</v>
      </c>
      <c r="S200" s="2" t="n">
        <f aca="false">Settings!$B$4*MAX(INDEX(Bases!$M$2:$M$53,B200),INDEX(Bases!$M$2:$M$53,C200))+Settings!$B$5*MIN(INDEX(Bases!$M$2:$M$53,B200),INDEX(Bases!$M$2:$M$53,C200))</f>
        <v>69.3333333333333</v>
      </c>
      <c r="T200" s="2" t="n">
        <f aca="false">Settings!$B$4*MAX(INDEX(Bases!$N$2:$N$53,B200),INDEX(Bases!$N$2:$N$53,C200))+Settings!$B$5*MIN(INDEX(Bases!$N$2:$N$53,B200),INDEX(Bases!$N$2:$N$53,C200))</f>
        <v>75</v>
      </c>
      <c r="U200" s="2" t="n">
        <f aca="false">Settings!$B$4*MAX(INDEX(Bases!$O$2:$O$53,B200),INDEX(Bases!$O$2:$O$53,C200))+Settings!$B$5*MIN(INDEX(Bases!$O$2:$O$53,B200),INDEX(Bases!$O$2:$O$53,C200))</f>
        <v>54.6666666666667</v>
      </c>
      <c r="V200" s="2" t="n">
        <f aca="false">Settings!$B$4*MAX(INDEX(Bases!$P$2:$P$53,B200),INDEX(Bases!$P$2:$P$53,C200))+Settings!$B$5*MIN(INDEX(Bases!$P$2:$P$53,B200),INDEX(Bases!$P$2:$P$53,C200))</f>
        <v>82.6666666666667</v>
      </c>
      <c r="W200" s="2" t="n">
        <f aca="false">Settings!$B$4*MAX(INDEX(Bases!$Q$2:$Q$53,B200),INDEX(Bases!$Q$2:$Q$53,C200))+Settings!$B$5*MIN(INDEX(Bases!$Q$2:$Q$53,B200),INDEX(Bases!$Q$2:$Q$53,C200))</f>
        <v>63</v>
      </c>
      <c r="X200" s="2" t="n">
        <f aca="false">Settings!$B$4*MAX(INDEX(Bases!$R$2:$R$53,B200),INDEX(Bases!$R$2:$R$53,C200))+Settings!$B$5*MIN(INDEX(Bases!$R$2:$R$53,B200),INDEX(Bases!$R$2:$R$53,C200))</f>
        <v>71.3333333333333</v>
      </c>
      <c r="Y200" s="2" t="n">
        <f aca="false">S200*Settings!$B$3/SUM(S200:X200)</f>
        <v>83.3333333333333</v>
      </c>
      <c r="Z200" s="2" t="n">
        <f aca="false">T200*Settings!$B$3/SUM(S200:X200)</f>
        <v>90.1442307692308</v>
      </c>
      <c r="AA200" s="2" t="n">
        <f aca="false">U200*Settings!$B$3/SUM(S200:X200)</f>
        <v>65.7051282051282</v>
      </c>
      <c r="AB200" s="2" t="n">
        <f aca="false">V200*Settings!$B$3/SUM(S200:X200)</f>
        <v>99.3589743589744</v>
      </c>
      <c r="AC200" s="2" t="n">
        <f aca="false">W200*Settings!$B$3/SUM(S200:X200)</f>
        <v>75.7211538461538</v>
      </c>
      <c r="AD200" s="2" t="n">
        <f aca="false">X200*Settings!$B$3/SUM(S200:X200)</f>
        <v>85.7371794871795</v>
      </c>
      <c r="AE200" s="2" t="n">
        <f aca="false">INT(Y200)</f>
        <v>83</v>
      </c>
      <c r="AF200" s="2" t="n">
        <f aca="false">INT(Z200)</f>
        <v>90</v>
      </c>
      <c r="AG200" s="2" t="n">
        <f aca="false">INT(AA200)</f>
        <v>65</v>
      </c>
      <c r="AH200" s="2" t="n">
        <f aca="false">INT(AB200)</f>
        <v>99</v>
      </c>
      <c r="AI200" s="2" t="n">
        <f aca="false">INT(AC200)</f>
        <v>75</v>
      </c>
      <c r="AJ200" s="2" t="n">
        <f aca="false">INT(AD200)</f>
        <v>85</v>
      </c>
      <c r="AK200" s="2" t="n">
        <f aca="false">Settings!$B$3-SUM(AE200:AJ200)</f>
        <v>3</v>
      </c>
      <c r="AL200" s="2" t="n">
        <f aca="false">ROUND(Y200-AE200,9)</f>
        <v>0.333333333</v>
      </c>
      <c r="AM200" s="2" t="n">
        <f aca="false">ROUND(Z200-AF200,9)</f>
        <v>0.144230769</v>
      </c>
      <c r="AN200" s="2" t="n">
        <f aca="false">ROUND(AA200-AG200,9)</f>
        <v>0.705128205</v>
      </c>
      <c r="AO200" s="2" t="n">
        <f aca="false">ROUND(AB200-AH200,9)</f>
        <v>0.358974359</v>
      </c>
      <c r="AP200" s="2" t="n">
        <f aca="false">ROUND(AC200-AI200,9)</f>
        <v>0.721153846</v>
      </c>
      <c r="AQ200" s="2" t="n">
        <f aca="false">ROUND(AD200-AJ200,9)</f>
        <v>0.737179487</v>
      </c>
    </row>
    <row r="201" customFormat="false" ht="15" hidden="false" customHeight="false" outlineLevel="0" collapsed="false">
      <c r="A201" s="2" t="n">
        <v>200</v>
      </c>
      <c r="B201" s="6" t="n">
        <v>5</v>
      </c>
      <c r="C201" s="6" t="n">
        <v>7</v>
      </c>
      <c r="D201" s="8" t="str">
        <f aca="false">INDEX(Bases!$B$2:$B$53,B201)</f>
        <v>Cyndaquil</v>
      </c>
      <c r="E201" s="8" t="str">
        <f aca="false">INDEX(Bases!$B$2:$B$53,C201)</f>
        <v>Azurill</v>
      </c>
      <c r="F201" s="2" t="str">
        <f aca="false">LEFT(D201,ROUNDUP(LEN(D201)/2,0))&amp;LOWER(MID(E201,ROUNDUP(LEN(E201)/2,0)+1,20))</f>
        <v>Cyndaill</v>
      </c>
      <c r="G201" s="8" t="str">
        <f aca="false">INDEX(Bases!$C$2:$C$53,B201)</f>
        <v>Fire</v>
      </c>
      <c r="H201" s="8" t="str">
        <f aca="false">IF(INDEX(Bases!$C$2:$C$53,C201)=G201,"",INDEX(Bases!$C$2:$C$53,C201))</f>
        <v>Water</v>
      </c>
      <c r="I201" s="8" t="str">
        <f aca="false">IF(INDEX(Bases!$E$2:$E$53,B201)="","",INDEX(Bases!$E$2:$E$53,B201))</f>
        <v/>
      </c>
      <c r="J201" s="8" t="str">
        <f aca="false">IF(INDEX(Bases!$E$2:$E$53,C201)="","",INDEX(Bases!$E$2:$E$53,C201))</f>
        <v/>
      </c>
      <c r="K201" s="5"/>
      <c r="L201" s="2" t="n">
        <f aca="false">AE201+IF(SUMPRODUCT(--($AL201:$AQ201&gt;AL201))&lt;$AK201,1,0)</f>
        <v>101</v>
      </c>
      <c r="M201" s="2" t="n">
        <f aca="false">AF201+IF(SUMPRODUCT(--($AL201:$AQ201&gt;AM201))+SUMPRODUCT(--($AL201:AL201=AM201))&lt;$AK201,1,0)</f>
        <v>67</v>
      </c>
      <c r="N201" s="2" t="n">
        <f aca="false">AG201+IF(SUMPRODUCT(--($AL201:$AQ201&gt;AN201))+SUMPRODUCT(--($AL201:AM201=AN201))&lt;$AK201,1,0)</f>
        <v>86</v>
      </c>
      <c r="O201" s="2" t="n">
        <f aca="false">AH201+IF(SUMPRODUCT(--($AL201:$AQ201&gt;AO201))+SUMPRODUCT(--($AL201:AN201=AO201))&lt;$AK201,1,0)</f>
        <v>76</v>
      </c>
      <c r="P201" s="2" t="n">
        <f aca="false">AI201+IF(SUMPRODUCT(--($AL201:$AQ201&gt;AP201))+SUMPRODUCT(--($AL201:AO201=AP201))&lt;$AK201,1,0)</f>
        <v>89</v>
      </c>
      <c r="Q201" s="2" t="n">
        <f aca="false">AJ201+IF(SUMPRODUCT(--($AL201:$AQ201&gt;AQ201))+SUMPRODUCT(--($AL201:AP201=AQ201))&lt;$AK201,1,0)</f>
        <v>81</v>
      </c>
      <c r="R201" s="2" t="n">
        <f aca="false">SUM(L201:Q201)</f>
        <v>500</v>
      </c>
      <c r="S201" s="2" t="n">
        <f aca="false">Settings!$B$4*MAX(INDEX(Bases!$M$2:$M$53,B201),INDEX(Bases!$M$2:$M$53,C201))+Settings!$B$5*MIN(INDEX(Bases!$M$2:$M$53,B201),INDEX(Bases!$M$2:$M$53,C201))</f>
        <v>87.3333333333333</v>
      </c>
      <c r="T201" s="2" t="n">
        <f aca="false">Settings!$B$4*MAX(INDEX(Bases!$N$2:$N$53,B201),INDEX(Bases!$N$2:$N$53,C201))+Settings!$B$5*MIN(INDEX(Bases!$N$2:$N$53,B201),INDEX(Bases!$N$2:$N$53,C201))</f>
        <v>58.6666666666667</v>
      </c>
      <c r="U201" s="2" t="n">
        <f aca="false">Settings!$B$4*MAX(INDEX(Bases!$O$2:$O$53,B201),INDEX(Bases!$O$2:$O$53,C201))+Settings!$B$5*MIN(INDEX(Bases!$O$2:$O$53,B201),INDEX(Bases!$O$2:$O$53,C201))</f>
        <v>74.6666666666667</v>
      </c>
      <c r="V201" s="2" t="n">
        <f aca="false">Settings!$B$4*MAX(INDEX(Bases!$P$2:$P$53,B201),INDEX(Bases!$P$2:$P$53,C201))+Settings!$B$5*MIN(INDEX(Bases!$P$2:$P$53,B201),INDEX(Bases!$P$2:$P$53,C201))</f>
        <v>66</v>
      </c>
      <c r="W201" s="2" t="n">
        <f aca="false">Settings!$B$4*MAX(INDEX(Bases!$Q$2:$Q$53,B201),INDEX(Bases!$Q$2:$Q$53,C201))+Settings!$B$5*MIN(INDEX(Bases!$Q$2:$Q$53,B201),INDEX(Bases!$Q$2:$Q$53,C201))</f>
        <v>77.6666666666667</v>
      </c>
      <c r="X201" s="2" t="n">
        <f aca="false">Settings!$B$4*MAX(INDEX(Bases!$R$2:$R$53,B201),INDEX(Bases!$R$2:$R$53,C201))+Settings!$B$5*MIN(INDEX(Bases!$R$2:$R$53,B201),INDEX(Bases!$R$2:$R$53,C201))</f>
        <v>70</v>
      </c>
      <c r="Y201" s="2" t="n">
        <f aca="false">S201*Settings!$B$3/SUM(S201:X201)</f>
        <v>100.537221795856</v>
      </c>
      <c r="Z201" s="2" t="n">
        <f aca="false">T201*Settings!$B$3/SUM(S201:X201)</f>
        <v>67.5364543361474</v>
      </c>
      <c r="AA201" s="2" t="n">
        <f aca="false">U201*Settings!$B$3/SUM(S201:X201)</f>
        <v>85.9554873369148</v>
      </c>
      <c r="AB201" s="2" t="n">
        <f aca="false">V201*Settings!$B$3/SUM(S201:X201)</f>
        <v>75.9785111281658</v>
      </c>
      <c r="AC201" s="2" t="n">
        <f aca="false">W201*Settings!$B$3/SUM(S201:X201)</f>
        <v>89.4090560245587</v>
      </c>
      <c r="AD201" s="2" t="n">
        <f aca="false">X201*Settings!$B$3/SUM(S201:X201)</f>
        <v>80.5832693783576</v>
      </c>
      <c r="AE201" s="2" t="n">
        <f aca="false">INT(Y201)</f>
        <v>100</v>
      </c>
      <c r="AF201" s="2" t="n">
        <f aca="false">INT(Z201)</f>
        <v>67</v>
      </c>
      <c r="AG201" s="2" t="n">
        <f aca="false">INT(AA201)</f>
        <v>85</v>
      </c>
      <c r="AH201" s="2" t="n">
        <f aca="false">INT(AB201)</f>
        <v>75</v>
      </c>
      <c r="AI201" s="2" t="n">
        <f aca="false">INT(AC201)</f>
        <v>89</v>
      </c>
      <c r="AJ201" s="2" t="n">
        <f aca="false">INT(AD201)</f>
        <v>80</v>
      </c>
      <c r="AK201" s="2" t="n">
        <f aca="false">Settings!$B$3-SUM(AE201:AJ201)</f>
        <v>4</v>
      </c>
      <c r="AL201" s="2" t="n">
        <f aca="false">ROUND(Y201-AE201,9)</f>
        <v>0.537221796</v>
      </c>
      <c r="AM201" s="2" t="n">
        <f aca="false">ROUND(Z201-AF201,9)</f>
        <v>0.536454336</v>
      </c>
      <c r="AN201" s="2" t="n">
        <f aca="false">ROUND(AA201-AG201,9)</f>
        <v>0.955487337</v>
      </c>
      <c r="AO201" s="2" t="n">
        <f aca="false">ROUND(AB201-AH201,9)</f>
        <v>0.978511128</v>
      </c>
      <c r="AP201" s="2" t="n">
        <f aca="false">ROUND(AC201-AI201,9)</f>
        <v>0.409056025</v>
      </c>
      <c r="AQ201" s="2" t="n">
        <f aca="false">ROUND(AD201-AJ201,9)</f>
        <v>0.583269378</v>
      </c>
    </row>
    <row r="202" customFormat="false" ht="15" hidden="false" customHeight="false" outlineLevel="0" collapsed="false">
      <c r="A202" s="2" t="n">
        <v>201</v>
      </c>
      <c r="B202" s="6" t="n">
        <v>5</v>
      </c>
      <c r="C202" s="6" t="n">
        <v>8</v>
      </c>
      <c r="D202" s="8" t="str">
        <f aca="false">INDEX(Bases!$B$2:$B$53,B202)</f>
        <v>Cyndaquil</v>
      </c>
      <c r="E202" s="8" t="str">
        <f aca="false">INDEX(Bases!$B$2:$B$53,C202)</f>
        <v>Corsola</v>
      </c>
      <c r="F202" s="2" t="str">
        <f aca="false">LEFT(D202,ROUNDUP(LEN(D202)/2,0))&amp;LOWER(MID(E202,ROUNDUP(LEN(E202)/2,0)+1,20))</f>
        <v>Cyndaola</v>
      </c>
      <c r="G202" s="8" t="str">
        <f aca="false">INDEX(Bases!$C$2:$C$53,B202)</f>
        <v>Fire</v>
      </c>
      <c r="H202" s="8" t="str">
        <f aca="false">IF(INDEX(Bases!$C$2:$C$53,C202)=G202,"",INDEX(Bases!$C$2:$C$53,C202))</f>
        <v>Water</v>
      </c>
      <c r="I202" s="8" t="str">
        <f aca="false">IF(INDEX(Bases!$E$2:$E$53,B202)="","",INDEX(Bases!$E$2:$E$53,B202))</f>
        <v/>
      </c>
      <c r="J202" s="8" t="str">
        <f aca="false">IF(INDEX(Bases!$E$2:$E$53,C202)="","",INDEX(Bases!$E$2:$E$53,C202))</f>
        <v/>
      </c>
      <c r="K202" s="5"/>
      <c r="L202" s="2" t="n">
        <f aca="false">AE202+IF(SUMPRODUCT(--($AL202:$AQ202&gt;AL202))&lt;$AK202,1,0)</f>
        <v>69</v>
      </c>
      <c r="M202" s="2" t="n">
        <f aca="false">AF202+IF(SUMPRODUCT(--($AL202:$AQ202&gt;AM202))+SUMPRODUCT(--($AL202:AL202=AM202))&lt;$AK202,1,0)</f>
        <v>73</v>
      </c>
      <c r="N202" s="2" t="n">
        <f aca="false">AG202+IF(SUMPRODUCT(--($AL202:$AQ202&gt;AN202))+SUMPRODUCT(--($AL202:AM202=AN202))&lt;$AK202,1,0)</f>
        <v>95</v>
      </c>
      <c r="O202" s="2" t="n">
        <f aca="false">AH202+IF(SUMPRODUCT(--($AL202:$AQ202&gt;AO202))+SUMPRODUCT(--($AL202:AN202=AO202))&lt;$AK202,1,0)</f>
        <v>86</v>
      </c>
      <c r="P202" s="2" t="n">
        <f aca="false">AI202+IF(SUMPRODUCT(--($AL202:$AQ202&gt;AP202))+SUMPRODUCT(--($AL202:AO202=AP202))&lt;$AK202,1,0)</f>
        <v>98</v>
      </c>
      <c r="Q202" s="2" t="n">
        <f aca="false">AJ202+IF(SUMPRODUCT(--($AL202:$AQ202&gt;AQ202))+SUMPRODUCT(--($AL202:AP202=AQ202))&lt;$AK202,1,0)</f>
        <v>79</v>
      </c>
      <c r="R202" s="2" t="n">
        <f aca="false">SUM(L202:Q202)</f>
        <v>500</v>
      </c>
      <c r="S202" s="2" t="n">
        <f aca="false">Settings!$B$4*MAX(INDEX(Bases!$M$2:$M$53,B202),INDEX(Bases!$M$2:$M$53,C202))+Settings!$B$5*MIN(INDEX(Bases!$M$2:$M$53,B202),INDEX(Bases!$M$2:$M$53,C202))</f>
        <v>58.6666666666667</v>
      </c>
      <c r="T202" s="2" t="n">
        <f aca="false">Settings!$B$4*MAX(INDEX(Bases!$N$2:$N$53,B202),INDEX(Bases!$N$2:$N$53,C202))+Settings!$B$5*MIN(INDEX(Bases!$N$2:$N$53,B202),INDEX(Bases!$N$2:$N$53,C202))</f>
        <v>62.6666666666667</v>
      </c>
      <c r="U202" s="2" t="n">
        <f aca="false">Settings!$B$4*MAX(INDEX(Bases!$O$2:$O$53,B202),INDEX(Bases!$O$2:$O$53,C202))+Settings!$B$5*MIN(INDEX(Bases!$O$2:$O$53,B202),INDEX(Bases!$O$2:$O$53,C202))</f>
        <v>80.6666666666667</v>
      </c>
      <c r="V202" s="2" t="n">
        <f aca="false">Settings!$B$4*MAX(INDEX(Bases!$P$2:$P$53,B202),INDEX(Bases!$P$2:$P$53,C202))+Settings!$B$5*MIN(INDEX(Bases!$P$2:$P$53,B202),INDEX(Bases!$P$2:$P$53,C202))</f>
        <v>73</v>
      </c>
      <c r="W202" s="2" t="n">
        <f aca="false">Settings!$B$4*MAX(INDEX(Bases!$Q$2:$Q$53,B202),INDEX(Bases!$Q$2:$Q$53,C202))+Settings!$B$5*MIN(INDEX(Bases!$Q$2:$Q$53,B202),INDEX(Bases!$Q$2:$Q$53,C202))</f>
        <v>83.6666666666667</v>
      </c>
      <c r="X202" s="2" t="n">
        <f aca="false">Settings!$B$4*MAX(INDEX(Bases!$R$2:$R$53,B202),INDEX(Bases!$R$2:$R$53,C202))+Settings!$B$5*MIN(INDEX(Bases!$R$2:$R$53,B202),INDEX(Bases!$R$2:$R$53,C202))</f>
        <v>67.3333333333333</v>
      </c>
      <c r="Y202" s="2" t="n">
        <f aca="false">S202*Settings!$B$3/SUM(S202:X202)</f>
        <v>68.8575899843506</v>
      </c>
      <c r="Z202" s="2" t="n">
        <f aca="false">T202*Settings!$B$3/SUM(S202:X202)</f>
        <v>73.5524256651017</v>
      </c>
      <c r="AA202" s="2" t="n">
        <f aca="false">U202*Settings!$B$3/SUM(S202:X202)</f>
        <v>94.679186228482</v>
      </c>
      <c r="AB202" s="2" t="n">
        <f aca="false">V202*Settings!$B$3/SUM(S202:X202)</f>
        <v>85.6807511737089</v>
      </c>
      <c r="AC202" s="2" t="n">
        <f aca="false">W202*Settings!$B$3/SUM(S202:X202)</f>
        <v>98.2003129890454</v>
      </c>
      <c r="AD202" s="2" t="n">
        <f aca="false">X202*Settings!$B$3/SUM(S202:X202)</f>
        <v>79.0297339593114</v>
      </c>
      <c r="AE202" s="2" t="n">
        <f aca="false">INT(Y202)</f>
        <v>68</v>
      </c>
      <c r="AF202" s="2" t="n">
        <f aca="false">INT(Z202)</f>
        <v>73</v>
      </c>
      <c r="AG202" s="2" t="n">
        <f aca="false">INT(AA202)</f>
        <v>94</v>
      </c>
      <c r="AH202" s="2" t="n">
        <f aca="false">INT(AB202)</f>
        <v>85</v>
      </c>
      <c r="AI202" s="2" t="n">
        <f aca="false">INT(AC202)</f>
        <v>98</v>
      </c>
      <c r="AJ202" s="2" t="n">
        <f aca="false">INT(AD202)</f>
        <v>79</v>
      </c>
      <c r="AK202" s="2" t="n">
        <f aca="false">Settings!$B$3-SUM(AE202:AJ202)</f>
        <v>3</v>
      </c>
      <c r="AL202" s="2" t="n">
        <f aca="false">ROUND(Y202-AE202,9)</f>
        <v>0.857589984</v>
      </c>
      <c r="AM202" s="2" t="n">
        <f aca="false">ROUND(Z202-AF202,9)</f>
        <v>0.552425665</v>
      </c>
      <c r="AN202" s="2" t="n">
        <f aca="false">ROUND(AA202-AG202,9)</f>
        <v>0.679186228</v>
      </c>
      <c r="AO202" s="2" t="n">
        <f aca="false">ROUND(AB202-AH202,9)</f>
        <v>0.680751174</v>
      </c>
      <c r="AP202" s="2" t="n">
        <f aca="false">ROUND(AC202-AI202,9)</f>
        <v>0.200312989</v>
      </c>
      <c r="AQ202" s="2" t="n">
        <f aca="false">ROUND(AD202-AJ202,9)</f>
        <v>0.029733959</v>
      </c>
    </row>
    <row r="203" customFormat="false" ht="15" hidden="false" customHeight="false" outlineLevel="0" collapsed="false">
      <c r="A203" s="2" t="n">
        <v>202</v>
      </c>
      <c r="B203" s="6" t="n">
        <v>5</v>
      </c>
      <c r="C203" s="6" t="n">
        <v>9</v>
      </c>
      <c r="D203" s="8" t="str">
        <f aca="false">INDEX(Bases!$B$2:$B$53,B203)</f>
        <v>Cyndaquil</v>
      </c>
      <c r="E203" s="8" t="str">
        <f aca="false">INDEX(Bases!$B$2:$B$53,C203)</f>
        <v>Mudkip</v>
      </c>
      <c r="F203" s="2" t="str">
        <f aca="false">LEFT(D203,ROUNDUP(LEN(D203)/2,0))&amp;LOWER(MID(E203,ROUNDUP(LEN(E203)/2,0)+1,20))</f>
        <v>Cyndakip</v>
      </c>
      <c r="G203" s="8" t="str">
        <f aca="false">INDEX(Bases!$C$2:$C$53,B203)</f>
        <v>Fire</v>
      </c>
      <c r="H203" s="8" t="str">
        <f aca="false">IF(INDEX(Bases!$C$2:$C$53,C203)=G203,"",INDEX(Bases!$C$2:$C$53,C203))</f>
        <v>Water</v>
      </c>
      <c r="I203" s="8" t="str">
        <f aca="false">IF(INDEX(Bases!$E$2:$E$53,B203)="","",INDEX(Bases!$E$2:$E$53,B203))</f>
        <v/>
      </c>
      <c r="J203" s="8" t="str">
        <f aca="false">IF(INDEX(Bases!$E$2:$E$53,C203)="","",INDEX(Bases!$E$2:$E$53,C203))</f>
        <v/>
      </c>
      <c r="K203" s="5"/>
      <c r="L203" s="2" t="n">
        <f aca="false">AE203+IF(SUMPRODUCT(--($AL203:$AQ203&gt;AL203))&lt;$AK203,1,0)</f>
        <v>72</v>
      </c>
      <c r="M203" s="2" t="n">
        <f aca="false">AF203+IF(SUMPRODUCT(--($AL203:$AQ203&gt;AM203))+SUMPRODUCT(--($AL203:AL203=AM203))&lt;$AK203,1,0)</f>
        <v>99</v>
      </c>
      <c r="N203" s="2" t="n">
        <f aca="false">AG203+IF(SUMPRODUCT(--($AL203:$AQ203&gt;AN203))+SUMPRODUCT(--($AL203:AM203=AN203))&lt;$AK203,1,0)</f>
        <v>75</v>
      </c>
      <c r="O203" s="2" t="n">
        <f aca="false">AH203+IF(SUMPRODUCT(--($AL203:$AQ203&gt;AO203))+SUMPRODUCT(--($AL203:AN203=AO203))&lt;$AK203,1,0)</f>
        <v>88</v>
      </c>
      <c r="P203" s="2" t="n">
        <f aca="false">AI203+IF(SUMPRODUCT(--($AL203:$AQ203&gt;AP203))+SUMPRODUCT(--($AL203:AO203=AP203))&lt;$AK203,1,0)</f>
        <v>78</v>
      </c>
      <c r="Q203" s="2" t="n">
        <f aca="false">AJ203+IF(SUMPRODUCT(--($AL203:$AQ203&gt;AQ203))+SUMPRODUCT(--($AL203:AP203=AQ203))&lt;$AK203,1,0)</f>
        <v>88</v>
      </c>
      <c r="R203" s="2" t="n">
        <f aca="false">SUM(L203:Q203)</f>
        <v>500</v>
      </c>
      <c r="S203" s="2" t="n">
        <f aca="false">Settings!$B$4*MAX(INDEX(Bases!$M$2:$M$53,B203),INDEX(Bases!$M$2:$M$53,C203))+Settings!$B$5*MIN(INDEX(Bases!$M$2:$M$53,B203),INDEX(Bases!$M$2:$M$53,C203))</f>
        <v>60</v>
      </c>
      <c r="T203" s="2" t="n">
        <f aca="false">Settings!$B$4*MAX(INDEX(Bases!$N$2:$N$53,B203),INDEX(Bases!$N$2:$N$53,C203))+Settings!$B$5*MIN(INDEX(Bases!$N$2:$N$53,B203),INDEX(Bases!$N$2:$N$53,C203))</f>
        <v>82.3333333333333</v>
      </c>
      <c r="U203" s="2" t="n">
        <f aca="false">Settings!$B$4*MAX(INDEX(Bases!$O$2:$O$53,B203),INDEX(Bases!$O$2:$O$53,C203))+Settings!$B$5*MIN(INDEX(Bases!$O$2:$O$53,B203),INDEX(Bases!$O$2:$O$53,C203))</f>
        <v>62</v>
      </c>
      <c r="V203" s="2" t="n">
        <f aca="false">Settings!$B$4*MAX(INDEX(Bases!$P$2:$P$53,B203),INDEX(Bases!$P$2:$P$53,C203))+Settings!$B$5*MIN(INDEX(Bases!$P$2:$P$53,B203),INDEX(Bases!$P$2:$P$53,C203))</f>
        <v>73.3333333333333</v>
      </c>
      <c r="W203" s="2" t="n">
        <f aca="false">Settings!$B$4*MAX(INDEX(Bases!$Q$2:$Q$53,B203),INDEX(Bases!$Q$2:$Q$53,C203))+Settings!$B$5*MIN(INDEX(Bases!$Q$2:$Q$53,B203),INDEX(Bases!$Q$2:$Q$53,C203))</f>
        <v>64.6666666666667</v>
      </c>
      <c r="X203" s="2" t="n">
        <f aca="false">Settings!$B$4*MAX(INDEX(Bases!$R$2:$R$53,B203),INDEX(Bases!$R$2:$R$53,C203))+Settings!$B$5*MIN(INDEX(Bases!$R$2:$R$53,B203),INDEX(Bases!$R$2:$R$53,C203))</f>
        <v>73.3333333333333</v>
      </c>
      <c r="Y203" s="2" t="n">
        <f aca="false">S203*Settings!$B$3/SUM(S203:X203)</f>
        <v>72.1732157177225</v>
      </c>
      <c r="Z203" s="2" t="n">
        <f aca="false">T203*Settings!$B$3/SUM(S203:X203)</f>
        <v>99.037690457097</v>
      </c>
      <c r="AA203" s="2" t="n">
        <f aca="false">U203*Settings!$B$3/SUM(S203:X203)</f>
        <v>74.5789895749799</v>
      </c>
      <c r="AB203" s="2" t="n">
        <f aca="false">V203*Settings!$B$3/SUM(S203:X203)</f>
        <v>88.2117080994387</v>
      </c>
      <c r="AC203" s="2" t="n">
        <f aca="false">W203*Settings!$B$3/SUM(S203:X203)</f>
        <v>77.7866880513232</v>
      </c>
      <c r="AD203" s="2" t="n">
        <f aca="false">X203*Settings!$B$3/SUM(S203:X203)</f>
        <v>88.2117080994387</v>
      </c>
      <c r="AE203" s="2" t="n">
        <f aca="false">INT(Y203)</f>
        <v>72</v>
      </c>
      <c r="AF203" s="2" t="n">
        <f aca="false">INT(Z203)</f>
        <v>99</v>
      </c>
      <c r="AG203" s="2" t="n">
        <f aca="false">INT(AA203)</f>
        <v>74</v>
      </c>
      <c r="AH203" s="2" t="n">
        <f aca="false">INT(AB203)</f>
        <v>88</v>
      </c>
      <c r="AI203" s="2" t="n">
        <f aca="false">INT(AC203)</f>
        <v>77</v>
      </c>
      <c r="AJ203" s="2" t="n">
        <f aca="false">INT(AD203)</f>
        <v>88</v>
      </c>
      <c r="AK203" s="2" t="n">
        <f aca="false">Settings!$B$3-SUM(AE203:AJ203)</f>
        <v>2</v>
      </c>
      <c r="AL203" s="2" t="n">
        <f aca="false">ROUND(Y203-AE203,9)</f>
        <v>0.173215718</v>
      </c>
      <c r="AM203" s="2" t="n">
        <f aca="false">ROUND(Z203-AF203,9)</f>
        <v>0.037690457</v>
      </c>
      <c r="AN203" s="2" t="n">
        <f aca="false">ROUND(AA203-AG203,9)</f>
        <v>0.578989575</v>
      </c>
      <c r="AO203" s="2" t="n">
        <f aca="false">ROUND(AB203-AH203,9)</f>
        <v>0.211708099</v>
      </c>
      <c r="AP203" s="2" t="n">
        <f aca="false">ROUND(AC203-AI203,9)</f>
        <v>0.786688051</v>
      </c>
      <c r="AQ203" s="2" t="n">
        <f aca="false">ROUND(AD203-AJ203,9)</f>
        <v>0.211708099</v>
      </c>
    </row>
    <row r="204" customFormat="false" ht="15" hidden="false" customHeight="false" outlineLevel="0" collapsed="false">
      <c r="A204" s="2" t="n">
        <v>203</v>
      </c>
      <c r="B204" s="6" t="n">
        <v>5</v>
      </c>
      <c r="C204" s="6" t="n">
        <v>10</v>
      </c>
      <c r="D204" s="8" t="str">
        <f aca="false">INDEX(Bases!$B$2:$B$53,B204)</f>
        <v>Cyndaquil</v>
      </c>
      <c r="E204" s="8" t="str">
        <f aca="false">INDEX(Bases!$B$2:$B$53,C204)</f>
        <v>Pichu</v>
      </c>
      <c r="F204" s="2" t="str">
        <f aca="false">LEFT(D204,ROUNDUP(LEN(D204)/2,0))&amp;LOWER(MID(E204,ROUNDUP(LEN(E204)/2,0)+1,20))</f>
        <v>Cyndahu</v>
      </c>
      <c r="G204" s="8" t="str">
        <f aca="false">INDEX(Bases!$C$2:$C$53,B204)</f>
        <v>Fire</v>
      </c>
      <c r="H204" s="8" t="str">
        <f aca="false">IF(INDEX(Bases!$C$2:$C$53,C204)=G204,"",INDEX(Bases!$C$2:$C$53,C204))</f>
        <v>Electric</v>
      </c>
      <c r="I204" s="8" t="str">
        <f aca="false">IF(INDEX(Bases!$E$2:$E$53,B204)="","",INDEX(Bases!$E$2:$E$53,B204))</f>
        <v/>
      </c>
      <c r="J204" s="8" t="str">
        <f aca="false">IF(INDEX(Bases!$E$2:$E$53,C204)="","",INDEX(Bases!$E$2:$E$53,C204))</f>
        <v/>
      </c>
      <c r="K204" s="5"/>
      <c r="L204" s="2" t="n">
        <f aca="false">AE204+IF(SUMPRODUCT(--($AL204:$AQ204&gt;AL204))&lt;$AK204,1,0)</f>
        <v>56</v>
      </c>
      <c r="M204" s="2" t="n">
        <f aca="false">AF204+IF(SUMPRODUCT(--($AL204:$AQ204&gt;AM204))+SUMPRODUCT(--($AL204:AL204=AM204))&lt;$AK204,1,0)</f>
        <v>89</v>
      </c>
      <c r="N204" s="2" t="n">
        <f aca="false">AG204+IF(SUMPRODUCT(--($AL204:$AQ204&gt;AN204))+SUMPRODUCT(--($AL204:AM204=AN204))&lt;$AK204,1,0)</f>
        <v>57</v>
      </c>
      <c r="O204" s="2" t="n">
        <f aca="false">AH204+IF(SUMPRODUCT(--($AL204:$AQ204&gt;AO204))+SUMPRODUCT(--($AL204:AN204=AO204))&lt;$AK204,1,0)</f>
        <v>90</v>
      </c>
      <c r="P204" s="2" t="n">
        <f aca="false">AI204+IF(SUMPRODUCT(--($AL204:$AQ204&gt;AP204))+SUMPRODUCT(--($AL204:AO204=AP204))&lt;$AK204,1,0)</f>
        <v>81</v>
      </c>
      <c r="Q204" s="2" t="n">
        <f aca="false">AJ204+IF(SUMPRODUCT(--($AL204:$AQ204&gt;AQ204))+SUMPRODUCT(--($AL204:AP204=AQ204))&lt;$AK204,1,0)</f>
        <v>127</v>
      </c>
      <c r="R204" s="2" t="n">
        <f aca="false">SUM(L204:Q204)</f>
        <v>500</v>
      </c>
      <c r="S204" s="2" t="n">
        <f aca="false">Settings!$B$4*MAX(INDEX(Bases!$M$2:$M$53,B204),INDEX(Bases!$M$2:$M$53,C204))+Settings!$B$5*MIN(INDEX(Bases!$M$2:$M$53,B204),INDEX(Bases!$M$2:$M$53,C204))</f>
        <v>46.3333333333333</v>
      </c>
      <c r="T204" s="2" t="n">
        <f aca="false">Settings!$B$4*MAX(INDEX(Bases!$N$2:$N$53,B204),INDEX(Bases!$N$2:$N$53,C204))+Settings!$B$5*MIN(INDEX(Bases!$N$2:$N$53,B204),INDEX(Bases!$N$2:$N$53,C204))</f>
        <v>74.3333333333333</v>
      </c>
      <c r="U204" s="2" t="n">
        <f aca="false">Settings!$B$4*MAX(INDEX(Bases!$O$2:$O$53,B204),INDEX(Bases!$O$2:$O$53,C204))+Settings!$B$5*MIN(INDEX(Bases!$O$2:$O$53,B204),INDEX(Bases!$O$2:$O$53,C204))</f>
        <v>47</v>
      </c>
      <c r="V204" s="2" t="n">
        <f aca="false">Settings!$B$4*MAX(INDEX(Bases!$P$2:$P$53,B204),INDEX(Bases!$P$2:$P$53,C204))+Settings!$B$5*MIN(INDEX(Bases!$P$2:$P$53,B204),INDEX(Bases!$P$2:$P$53,C204))</f>
        <v>75</v>
      </c>
      <c r="W204" s="2" t="n">
        <f aca="false">Settings!$B$4*MAX(INDEX(Bases!$Q$2:$Q$53,B204),INDEX(Bases!$Q$2:$Q$53,C204))+Settings!$B$5*MIN(INDEX(Bases!$Q$2:$Q$53,B204),INDEX(Bases!$Q$2:$Q$53,C204))</f>
        <v>67</v>
      </c>
      <c r="X204" s="2" t="n">
        <f aca="false">Settings!$B$4*MAX(INDEX(Bases!$R$2:$R$53,B204),INDEX(Bases!$R$2:$R$53,C204))+Settings!$B$5*MIN(INDEX(Bases!$R$2:$R$53,B204),INDEX(Bases!$R$2:$R$53,C204))</f>
        <v>106</v>
      </c>
      <c r="Y204" s="2" t="n">
        <f aca="false">S204*Settings!$B$3/SUM(S204:X204)</f>
        <v>55.7337610264635</v>
      </c>
      <c r="Z204" s="2" t="n">
        <f aca="false">T204*Settings!$B$3/SUM(S204:X204)</f>
        <v>89.4145950280674</v>
      </c>
      <c r="AA204" s="2" t="n">
        <f aca="false">U204*Settings!$B$3/SUM(S204:X204)</f>
        <v>56.5356856455493</v>
      </c>
      <c r="AB204" s="2" t="n">
        <f aca="false">V204*Settings!$B$3/SUM(S204:X204)</f>
        <v>90.2165196471532</v>
      </c>
      <c r="AC204" s="2" t="n">
        <f aca="false">W204*Settings!$B$3/SUM(S204:X204)</f>
        <v>80.5934242181235</v>
      </c>
      <c r="AD204" s="2" t="n">
        <f aca="false">X204*Settings!$B$3/SUM(S204:X204)</f>
        <v>127.506014434643</v>
      </c>
      <c r="AE204" s="2" t="n">
        <f aca="false">INT(Y204)</f>
        <v>55</v>
      </c>
      <c r="AF204" s="2" t="n">
        <f aca="false">INT(Z204)</f>
        <v>89</v>
      </c>
      <c r="AG204" s="2" t="n">
        <f aca="false">INT(AA204)</f>
        <v>56</v>
      </c>
      <c r="AH204" s="2" t="n">
        <f aca="false">INT(AB204)</f>
        <v>90</v>
      </c>
      <c r="AI204" s="2" t="n">
        <f aca="false">INT(AC204)</f>
        <v>80</v>
      </c>
      <c r="AJ204" s="2" t="n">
        <f aca="false">INT(AD204)</f>
        <v>127</v>
      </c>
      <c r="AK204" s="2" t="n">
        <f aca="false">Settings!$B$3-SUM(AE204:AJ204)</f>
        <v>3</v>
      </c>
      <c r="AL204" s="2" t="n">
        <f aca="false">ROUND(Y204-AE204,9)</f>
        <v>0.733761026</v>
      </c>
      <c r="AM204" s="2" t="n">
        <f aca="false">ROUND(Z204-AF204,9)</f>
        <v>0.414595028</v>
      </c>
      <c r="AN204" s="2" t="n">
        <f aca="false">ROUND(AA204-AG204,9)</f>
        <v>0.535685646</v>
      </c>
      <c r="AO204" s="2" t="n">
        <f aca="false">ROUND(AB204-AH204,9)</f>
        <v>0.216519647</v>
      </c>
      <c r="AP204" s="2" t="n">
        <f aca="false">ROUND(AC204-AI204,9)</f>
        <v>0.593424218</v>
      </c>
      <c r="AQ204" s="2" t="n">
        <f aca="false">ROUND(AD204-AJ204,9)</f>
        <v>0.506014435</v>
      </c>
    </row>
    <row r="205" customFormat="false" ht="15" hidden="false" customHeight="false" outlineLevel="0" collapsed="false">
      <c r="A205" s="2" t="n">
        <v>204</v>
      </c>
      <c r="B205" s="6" t="n">
        <v>5</v>
      </c>
      <c r="C205" s="6" t="n">
        <v>11</v>
      </c>
      <c r="D205" s="8" t="str">
        <f aca="false">INDEX(Bases!$B$2:$B$53,B205)</f>
        <v>Cyndaquil</v>
      </c>
      <c r="E205" s="8" t="str">
        <f aca="false">INDEX(Bases!$B$2:$B$53,C205)</f>
        <v>Voltorb</v>
      </c>
      <c r="F205" s="2" t="str">
        <f aca="false">LEFT(D205,ROUNDUP(LEN(D205)/2,0))&amp;LOWER(MID(E205,ROUNDUP(LEN(E205)/2,0)+1,20))</f>
        <v>Cyndaorb</v>
      </c>
      <c r="G205" s="8" t="str">
        <f aca="false">INDEX(Bases!$C$2:$C$53,B205)</f>
        <v>Fire</v>
      </c>
      <c r="H205" s="8" t="str">
        <f aca="false">IF(INDEX(Bases!$C$2:$C$53,C205)=G205,"",INDEX(Bases!$C$2:$C$53,C205))</f>
        <v>Electric</v>
      </c>
      <c r="I205" s="8" t="str">
        <f aca="false">IF(INDEX(Bases!$E$2:$E$53,B205)="","",INDEX(Bases!$E$2:$E$53,B205))</f>
        <v/>
      </c>
      <c r="J205" s="8" t="str">
        <f aca="false">IF(INDEX(Bases!$E$2:$E$53,C205)="","",INDEX(Bases!$E$2:$E$53,C205))</f>
        <v/>
      </c>
      <c r="K205" s="5"/>
      <c r="L205" s="2" t="n">
        <f aca="false">AE205+IF(SUMPRODUCT(--($AL205:$AQ205&gt;AL205))&lt;$AK205,1,0)</f>
        <v>59</v>
      </c>
      <c r="M205" s="2" t="n">
        <f aca="false">AF205+IF(SUMPRODUCT(--($AL205:$AQ205&gt;AM205))+SUMPRODUCT(--($AL205:AL205=AM205))&lt;$AK205,1,0)</f>
        <v>68</v>
      </c>
      <c r="N205" s="2" t="n">
        <f aca="false">AG205+IF(SUMPRODUCT(--($AL205:$AQ205&gt;AN205))+SUMPRODUCT(--($AL205:AM205=AN205))&lt;$AK205,1,0)</f>
        <v>72</v>
      </c>
      <c r="O205" s="2" t="n">
        <f aca="false">AH205+IF(SUMPRODUCT(--($AL205:$AQ205&gt;AO205))+SUMPRODUCT(--($AL205:AN205=AO205))&lt;$AK205,1,0)</f>
        <v>90</v>
      </c>
      <c r="P205" s="2" t="n">
        <f aca="false">AI205+IF(SUMPRODUCT(--($AL205:$AQ205&gt;AP205))+SUMPRODUCT(--($AL205:AO205=AP205))&lt;$AK205,1,0)</f>
        <v>80</v>
      </c>
      <c r="Q205" s="2" t="n">
        <f aca="false">AJ205+IF(SUMPRODUCT(--($AL205:$AQ205&gt;AQ205))+SUMPRODUCT(--($AL205:AP205=AQ205))&lt;$AK205,1,0)</f>
        <v>131</v>
      </c>
      <c r="R205" s="2" t="n">
        <f aca="false">SUM(L205:Q205)</f>
        <v>500</v>
      </c>
      <c r="S205" s="2" t="n">
        <f aca="false">Settings!$B$4*MAX(INDEX(Bases!$M$2:$M$53,B205),INDEX(Bases!$M$2:$M$53,C205))+Settings!$B$5*MIN(INDEX(Bases!$M$2:$M$53,B205),INDEX(Bases!$M$2:$M$53,C205))</f>
        <v>49.3333333333333</v>
      </c>
      <c r="T205" s="2" t="n">
        <f aca="false">Settings!$B$4*MAX(INDEX(Bases!$N$2:$N$53,B205),INDEX(Bases!$N$2:$N$53,C205))+Settings!$B$5*MIN(INDEX(Bases!$N$2:$N$53,B205),INDEX(Bases!$N$2:$N$53,C205))</f>
        <v>56.6666666666667</v>
      </c>
      <c r="U205" s="2" t="n">
        <f aca="false">Settings!$B$4*MAX(INDEX(Bases!$O$2:$O$53,B205),INDEX(Bases!$O$2:$O$53,C205))+Settings!$B$5*MIN(INDEX(Bases!$O$2:$O$53,B205),INDEX(Bases!$O$2:$O$53,C205))</f>
        <v>59.3333333333333</v>
      </c>
      <c r="V205" s="2" t="n">
        <f aca="false">Settings!$B$4*MAX(INDEX(Bases!$P$2:$P$53,B205),INDEX(Bases!$P$2:$P$53,C205))+Settings!$B$5*MIN(INDEX(Bases!$P$2:$P$53,B205),INDEX(Bases!$P$2:$P$53,C205))</f>
        <v>74.3333333333333</v>
      </c>
      <c r="W205" s="2" t="n">
        <f aca="false">Settings!$B$4*MAX(INDEX(Bases!$Q$2:$Q$53,B205),INDEX(Bases!$Q$2:$Q$53,C205))+Settings!$B$5*MIN(INDEX(Bases!$Q$2:$Q$53,B205),INDEX(Bases!$Q$2:$Q$53,C205))</f>
        <v>66.3333333333333</v>
      </c>
      <c r="X205" s="2" t="n">
        <f aca="false">Settings!$B$4*MAX(INDEX(Bases!$R$2:$R$53,B205),INDEX(Bases!$R$2:$R$53,C205))+Settings!$B$5*MIN(INDEX(Bases!$R$2:$R$53,B205),INDEX(Bases!$R$2:$R$53,C205))</f>
        <v>108.666666666667</v>
      </c>
      <c r="Y205" s="2" t="n">
        <f aca="false">S205*Settings!$B$3/SUM(S205:X205)</f>
        <v>59.4855305466238</v>
      </c>
      <c r="Z205" s="2" t="n">
        <f aca="false">T205*Settings!$B$3/SUM(S205:X205)</f>
        <v>68.3279742765273</v>
      </c>
      <c r="AA205" s="2" t="n">
        <f aca="false">U205*Settings!$B$3/SUM(S205:X205)</f>
        <v>71.5434083601286</v>
      </c>
      <c r="AB205" s="2" t="n">
        <f aca="false">V205*Settings!$B$3/SUM(S205:X205)</f>
        <v>89.6302250803859</v>
      </c>
      <c r="AC205" s="2" t="n">
        <f aca="false">W205*Settings!$B$3/SUM(S205:X205)</f>
        <v>79.983922829582</v>
      </c>
      <c r="AD205" s="2" t="n">
        <f aca="false">X205*Settings!$B$3/SUM(S205:X205)</f>
        <v>131.028938906752</v>
      </c>
      <c r="AE205" s="2" t="n">
        <f aca="false">INT(Y205)</f>
        <v>59</v>
      </c>
      <c r="AF205" s="2" t="n">
        <f aca="false">INT(Z205)</f>
        <v>68</v>
      </c>
      <c r="AG205" s="2" t="n">
        <f aca="false">INT(AA205)</f>
        <v>71</v>
      </c>
      <c r="AH205" s="2" t="n">
        <f aca="false">INT(AB205)</f>
        <v>89</v>
      </c>
      <c r="AI205" s="2" t="n">
        <f aca="false">INT(AC205)</f>
        <v>79</v>
      </c>
      <c r="AJ205" s="2" t="n">
        <f aca="false">INT(AD205)</f>
        <v>131</v>
      </c>
      <c r="AK205" s="2" t="n">
        <f aca="false">Settings!$B$3-SUM(AE205:AJ205)</f>
        <v>3</v>
      </c>
      <c r="AL205" s="2" t="n">
        <f aca="false">ROUND(Y205-AE205,9)</f>
        <v>0.485530547</v>
      </c>
      <c r="AM205" s="2" t="n">
        <f aca="false">ROUND(Z205-AF205,9)</f>
        <v>0.327974277</v>
      </c>
      <c r="AN205" s="2" t="n">
        <f aca="false">ROUND(AA205-AG205,9)</f>
        <v>0.54340836</v>
      </c>
      <c r="AO205" s="2" t="n">
        <f aca="false">ROUND(AB205-AH205,9)</f>
        <v>0.63022508</v>
      </c>
      <c r="AP205" s="2" t="n">
        <f aca="false">ROUND(AC205-AI205,9)</f>
        <v>0.98392283</v>
      </c>
      <c r="AQ205" s="2" t="n">
        <f aca="false">ROUND(AD205-AJ205,9)</f>
        <v>0.028938907</v>
      </c>
    </row>
    <row r="206" customFormat="false" ht="15" hidden="false" customHeight="false" outlineLevel="0" collapsed="false">
      <c r="A206" s="2" t="n">
        <v>205</v>
      </c>
      <c r="B206" s="6" t="n">
        <v>5</v>
      </c>
      <c r="C206" s="6" t="n">
        <v>12</v>
      </c>
      <c r="D206" s="8" t="str">
        <f aca="false">INDEX(Bases!$B$2:$B$53,B206)</f>
        <v>Cyndaquil</v>
      </c>
      <c r="E206" s="8" t="str">
        <f aca="false">INDEX(Bases!$B$2:$B$53,C206)</f>
        <v>Mareep</v>
      </c>
      <c r="F206" s="2" t="str">
        <f aca="false">LEFT(D206,ROUNDUP(LEN(D206)/2,0))&amp;LOWER(MID(E206,ROUNDUP(LEN(E206)/2,0)+1,20))</f>
        <v>Cyndaeep</v>
      </c>
      <c r="G206" s="8" t="str">
        <f aca="false">INDEX(Bases!$C$2:$C$53,B206)</f>
        <v>Fire</v>
      </c>
      <c r="H206" s="8" t="str">
        <f aca="false">IF(INDEX(Bases!$C$2:$C$53,C206)=G206,"",INDEX(Bases!$C$2:$C$53,C206))</f>
        <v>Electric</v>
      </c>
      <c r="I206" s="8" t="str">
        <f aca="false">IF(INDEX(Bases!$E$2:$E$53,B206)="","",INDEX(Bases!$E$2:$E$53,B206))</f>
        <v/>
      </c>
      <c r="J206" s="8" t="str">
        <f aca="false">IF(INDEX(Bases!$E$2:$E$53,C206)="","",INDEX(Bases!$E$2:$E$53,C206))</f>
        <v/>
      </c>
      <c r="K206" s="5"/>
      <c r="L206" s="2" t="n">
        <f aca="false">AE206+IF(SUMPRODUCT(--($AL206:$AQ206&gt;AL206))&lt;$AK206,1,0)</f>
        <v>83</v>
      </c>
      <c r="M206" s="2" t="n">
        <f aca="false">AF206+IF(SUMPRODUCT(--($AL206:$AQ206&gt;AM206))+SUMPRODUCT(--($AL206:AL206=AM206))&lt;$AK206,1,0)</f>
        <v>77</v>
      </c>
      <c r="N206" s="2" t="n">
        <f aca="false">AG206+IF(SUMPRODUCT(--($AL206:$AQ206&gt;AN206))+SUMPRODUCT(--($AL206:AM206=AN206))&lt;$AK206,1,0)</f>
        <v>68</v>
      </c>
      <c r="O206" s="2" t="n">
        <f aca="false">AH206+IF(SUMPRODUCT(--($AL206:$AQ206&gt;AO206))+SUMPRODUCT(--($AL206:AN206=AO206))&lt;$AK206,1,0)</f>
        <v>106</v>
      </c>
      <c r="P206" s="2" t="n">
        <f aca="false">AI206+IF(SUMPRODUCT(--($AL206:$AQ206&gt;AP206))+SUMPRODUCT(--($AL206:AO206=AP206))&lt;$AK206,1,0)</f>
        <v>78</v>
      </c>
      <c r="Q206" s="2" t="n">
        <f aca="false">AJ206+IF(SUMPRODUCT(--($AL206:$AQ206&gt;AQ206))+SUMPRODUCT(--($AL206:AP206=AQ206))&lt;$AK206,1,0)</f>
        <v>88</v>
      </c>
      <c r="R206" s="2" t="n">
        <f aca="false">SUM(L206:Q206)</f>
        <v>500</v>
      </c>
      <c r="S206" s="2" t="n">
        <f aca="false">Settings!$B$4*MAX(INDEX(Bases!$M$2:$M$53,B206),INDEX(Bases!$M$2:$M$53,C206))+Settings!$B$5*MIN(INDEX(Bases!$M$2:$M$53,B206),INDEX(Bases!$M$2:$M$53,C206))</f>
        <v>69.3333333333333</v>
      </c>
      <c r="T206" s="2" t="n">
        <f aca="false">Settings!$B$4*MAX(INDEX(Bases!$N$2:$N$53,B206),INDEX(Bases!$N$2:$N$53,C206))+Settings!$B$5*MIN(INDEX(Bases!$N$2:$N$53,B206),INDEX(Bases!$N$2:$N$53,C206))</f>
        <v>63.6666666666667</v>
      </c>
      <c r="U206" s="2" t="n">
        <f aca="false">Settings!$B$4*MAX(INDEX(Bases!$O$2:$O$53,B206),INDEX(Bases!$O$2:$O$53,C206))+Settings!$B$5*MIN(INDEX(Bases!$O$2:$O$53,B206),INDEX(Bases!$O$2:$O$53,C206))</f>
        <v>56.6666666666667</v>
      </c>
      <c r="V206" s="2" t="n">
        <f aca="false">Settings!$B$4*MAX(INDEX(Bases!$P$2:$P$53,B206),INDEX(Bases!$P$2:$P$53,C206))+Settings!$B$5*MIN(INDEX(Bases!$P$2:$P$53,B206),INDEX(Bases!$P$2:$P$53,C206))</f>
        <v>88</v>
      </c>
      <c r="W206" s="2" t="n">
        <f aca="false">Settings!$B$4*MAX(INDEX(Bases!$Q$2:$Q$53,B206),INDEX(Bases!$Q$2:$Q$53,C206))+Settings!$B$5*MIN(INDEX(Bases!$Q$2:$Q$53,B206),INDEX(Bases!$Q$2:$Q$53,C206))</f>
        <v>64.6666666666667</v>
      </c>
      <c r="X206" s="2" t="n">
        <f aca="false">Settings!$B$4*MAX(INDEX(Bases!$R$2:$R$53,B206),INDEX(Bases!$R$2:$R$53,C206))+Settings!$B$5*MIN(INDEX(Bases!$R$2:$R$53,B206),INDEX(Bases!$R$2:$R$53,C206))</f>
        <v>72.6666666666667</v>
      </c>
      <c r="Y206" s="2" t="n">
        <f aca="false">S206*Settings!$B$3/SUM(S206:X206)</f>
        <v>83.5341365461847</v>
      </c>
      <c r="Z206" s="2" t="n">
        <f aca="false">T206*Settings!$B$3/SUM(S206:X206)</f>
        <v>76.706827309237</v>
      </c>
      <c r="AA206" s="2" t="n">
        <f aca="false">U206*Settings!$B$3/SUM(S206:X206)</f>
        <v>68.2730923694779</v>
      </c>
      <c r="AB206" s="2" t="n">
        <f aca="false">V206*Settings!$B$3/SUM(S206:X206)</f>
        <v>106.024096385542</v>
      </c>
      <c r="AC206" s="2" t="n">
        <f aca="false">W206*Settings!$B$3/SUM(S206:X206)</f>
        <v>77.9116465863454</v>
      </c>
      <c r="AD206" s="2" t="n">
        <f aca="false">X206*Settings!$B$3/SUM(S206:X206)</f>
        <v>87.5502008032129</v>
      </c>
      <c r="AE206" s="2" t="n">
        <f aca="false">INT(Y206)</f>
        <v>83</v>
      </c>
      <c r="AF206" s="2" t="n">
        <f aca="false">INT(Z206)</f>
        <v>76</v>
      </c>
      <c r="AG206" s="2" t="n">
        <f aca="false">INT(AA206)</f>
        <v>68</v>
      </c>
      <c r="AH206" s="2" t="n">
        <f aca="false">INT(AB206)</f>
        <v>106</v>
      </c>
      <c r="AI206" s="2" t="n">
        <f aca="false">INT(AC206)</f>
        <v>77</v>
      </c>
      <c r="AJ206" s="2" t="n">
        <f aca="false">INT(AD206)</f>
        <v>87</v>
      </c>
      <c r="AK206" s="2" t="n">
        <f aca="false">Settings!$B$3-SUM(AE206:AJ206)</f>
        <v>3</v>
      </c>
      <c r="AL206" s="2" t="n">
        <f aca="false">ROUND(Y206-AE206,9)</f>
        <v>0.534136546</v>
      </c>
      <c r="AM206" s="2" t="n">
        <f aca="false">ROUND(Z206-AF206,9)</f>
        <v>0.706827309</v>
      </c>
      <c r="AN206" s="2" t="n">
        <f aca="false">ROUND(AA206-AG206,9)</f>
        <v>0.273092369</v>
      </c>
      <c r="AO206" s="2" t="n">
        <f aca="false">ROUND(AB206-AH206,9)</f>
        <v>0.024096386</v>
      </c>
      <c r="AP206" s="2" t="n">
        <f aca="false">ROUND(AC206-AI206,9)</f>
        <v>0.911646586</v>
      </c>
      <c r="AQ206" s="2" t="n">
        <f aca="false">ROUND(AD206-AJ206,9)</f>
        <v>0.550200803</v>
      </c>
    </row>
    <row r="207" customFormat="false" ht="15" hidden="false" customHeight="false" outlineLevel="0" collapsed="false">
      <c r="A207" s="2" t="n">
        <v>206</v>
      </c>
      <c r="B207" s="6" t="n">
        <v>5</v>
      </c>
      <c r="C207" s="6" t="n">
        <v>13</v>
      </c>
      <c r="D207" s="8" t="str">
        <f aca="false">INDEX(Bases!$B$2:$B$53,B207)</f>
        <v>Cyndaquil</v>
      </c>
      <c r="E207" s="8" t="str">
        <f aca="false">INDEX(Bases!$B$2:$B$53,C207)</f>
        <v>Bulbasaur</v>
      </c>
      <c r="F207" s="2" t="str">
        <f aca="false">LEFT(D207,ROUNDUP(LEN(D207)/2,0))&amp;LOWER(MID(E207,ROUNDUP(LEN(E207)/2,0)+1,20))</f>
        <v>Cyndasaur</v>
      </c>
      <c r="G207" s="8" t="str">
        <f aca="false">INDEX(Bases!$C$2:$C$53,B207)</f>
        <v>Fire</v>
      </c>
      <c r="H207" s="8" t="str">
        <f aca="false">IF(INDEX(Bases!$C$2:$C$53,C207)=G207,"",INDEX(Bases!$C$2:$C$53,C207))</f>
        <v>Grass</v>
      </c>
      <c r="I207" s="8" t="str">
        <f aca="false">IF(INDEX(Bases!$E$2:$E$53,B207)="","",INDEX(Bases!$E$2:$E$53,B207))</f>
        <v/>
      </c>
      <c r="J207" s="8" t="str">
        <f aca="false">IF(INDEX(Bases!$E$2:$E$53,C207)="","",INDEX(Bases!$E$2:$E$53,C207))</f>
        <v/>
      </c>
      <c r="K207" s="5"/>
      <c r="L207" s="2" t="n">
        <f aca="false">AE207+IF(SUMPRODUCT(--($AL207:$AQ207&gt;AL207))&lt;$AK207,1,0)</f>
        <v>66</v>
      </c>
      <c r="M207" s="2" t="n">
        <f aca="false">AF207+IF(SUMPRODUCT(--($AL207:$AQ207&gt;AM207))+SUMPRODUCT(--($AL207:AL207=AM207))&lt;$AK207,1,0)</f>
        <v>79</v>
      </c>
      <c r="N207" s="2" t="n">
        <f aca="false">AG207+IF(SUMPRODUCT(--($AL207:$AQ207&gt;AN207))+SUMPRODUCT(--($AL207:AM207=AN207))&lt;$AK207,1,0)</f>
        <v>73</v>
      </c>
      <c r="O207" s="2" t="n">
        <f aca="false">AH207+IF(SUMPRODUCT(--($AL207:$AQ207&gt;AO207))+SUMPRODUCT(--($AL207:AN207=AO207))&lt;$AK207,1,0)</f>
        <v>98</v>
      </c>
      <c r="P207" s="2" t="n">
        <f aca="false">AI207+IF(SUMPRODUCT(--($AL207:$AQ207&gt;AP207))+SUMPRODUCT(--($AL207:AO207=AP207))&lt;$AK207,1,0)</f>
        <v>93</v>
      </c>
      <c r="Q207" s="2" t="n">
        <f aca="false">AJ207+IF(SUMPRODUCT(--($AL207:$AQ207&gt;AQ207))+SUMPRODUCT(--($AL207:AP207=AQ207))&lt;$AK207,1,0)</f>
        <v>91</v>
      </c>
      <c r="R207" s="2" t="n">
        <f aca="false">SUM(L207:Q207)</f>
        <v>500</v>
      </c>
      <c r="S207" s="2" t="n">
        <f aca="false">Settings!$B$4*MAX(INDEX(Bases!$M$2:$M$53,B207),INDEX(Bases!$M$2:$M$53,C207))+Settings!$B$5*MIN(INDEX(Bases!$M$2:$M$53,B207),INDEX(Bases!$M$2:$M$53,C207))</f>
        <v>54</v>
      </c>
      <c r="T207" s="2" t="n">
        <f aca="false">Settings!$B$4*MAX(INDEX(Bases!$N$2:$N$53,B207),INDEX(Bases!$N$2:$N$53,C207))+Settings!$B$5*MIN(INDEX(Bases!$N$2:$N$53,B207),INDEX(Bases!$N$2:$N$53,C207))</f>
        <v>65.3333333333333</v>
      </c>
      <c r="U207" s="2" t="n">
        <f aca="false">Settings!$B$4*MAX(INDEX(Bases!$O$2:$O$53,B207),INDEX(Bases!$O$2:$O$53,C207))+Settings!$B$5*MIN(INDEX(Bases!$O$2:$O$53,B207),INDEX(Bases!$O$2:$O$53,C207))</f>
        <v>60</v>
      </c>
      <c r="V207" s="2" t="n">
        <f aca="false">Settings!$B$4*MAX(INDEX(Bases!$P$2:$P$53,B207),INDEX(Bases!$P$2:$P$53,C207))+Settings!$B$5*MIN(INDEX(Bases!$P$2:$P$53,B207),INDEX(Bases!$P$2:$P$53,C207))</f>
        <v>80.6666666666667</v>
      </c>
      <c r="W207" s="2" t="n">
        <f aca="false">Settings!$B$4*MAX(INDEX(Bases!$Q$2:$Q$53,B207),INDEX(Bases!$Q$2:$Q$53,C207))+Settings!$B$5*MIN(INDEX(Bases!$Q$2:$Q$53,B207),INDEX(Bases!$Q$2:$Q$53,C207))</f>
        <v>76.3333333333333</v>
      </c>
      <c r="X207" s="2" t="n">
        <f aca="false">Settings!$B$4*MAX(INDEX(Bases!$R$2:$R$53,B207),INDEX(Bases!$R$2:$R$53,C207))+Settings!$B$5*MIN(INDEX(Bases!$R$2:$R$53,B207),INDEX(Bases!$R$2:$R$53,C207))</f>
        <v>74.6666666666667</v>
      </c>
      <c r="Y207" s="2" t="n">
        <f aca="false">S207*Settings!$B$3/SUM(S207:X207)</f>
        <v>65.6934306569343</v>
      </c>
      <c r="Z207" s="2" t="n">
        <f aca="false">T207*Settings!$B$3/SUM(S207:X207)</f>
        <v>79.4809407948094</v>
      </c>
      <c r="AA207" s="2" t="n">
        <f aca="false">U207*Settings!$B$3/SUM(S207:X207)</f>
        <v>72.992700729927</v>
      </c>
      <c r="AB207" s="2" t="n">
        <f aca="false">V207*Settings!$B$3/SUM(S207:X207)</f>
        <v>98.1346309813463</v>
      </c>
      <c r="AC207" s="2" t="n">
        <f aca="false">W207*Settings!$B$3/SUM(S207:X207)</f>
        <v>92.8629359286294</v>
      </c>
      <c r="AD207" s="2" t="n">
        <f aca="false">X207*Settings!$B$3/SUM(S207:X207)</f>
        <v>90.8353609083536</v>
      </c>
      <c r="AE207" s="2" t="n">
        <f aca="false">INT(Y207)</f>
        <v>65</v>
      </c>
      <c r="AF207" s="2" t="n">
        <f aca="false">INT(Z207)</f>
        <v>79</v>
      </c>
      <c r="AG207" s="2" t="n">
        <f aca="false">INT(AA207)</f>
        <v>72</v>
      </c>
      <c r="AH207" s="2" t="n">
        <f aca="false">INT(AB207)</f>
        <v>98</v>
      </c>
      <c r="AI207" s="2" t="n">
        <f aca="false">INT(AC207)</f>
        <v>92</v>
      </c>
      <c r="AJ207" s="2" t="n">
        <f aca="false">INT(AD207)</f>
        <v>90</v>
      </c>
      <c r="AK207" s="2" t="n">
        <f aca="false">Settings!$B$3-SUM(AE207:AJ207)</f>
        <v>4</v>
      </c>
      <c r="AL207" s="2" t="n">
        <f aca="false">ROUND(Y207-AE207,9)</f>
        <v>0.693430657</v>
      </c>
      <c r="AM207" s="2" t="n">
        <f aca="false">ROUND(Z207-AF207,9)</f>
        <v>0.480940795</v>
      </c>
      <c r="AN207" s="2" t="n">
        <f aca="false">ROUND(AA207-AG207,9)</f>
        <v>0.99270073</v>
      </c>
      <c r="AO207" s="2" t="n">
        <f aca="false">ROUND(AB207-AH207,9)</f>
        <v>0.134630981</v>
      </c>
      <c r="AP207" s="2" t="n">
        <f aca="false">ROUND(AC207-AI207,9)</f>
        <v>0.862935929</v>
      </c>
      <c r="AQ207" s="2" t="n">
        <f aca="false">ROUND(AD207-AJ207,9)</f>
        <v>0.835360908</v>
      </c>
    </row>
    <row r="208" customFormat="false" ht="15" hidden="false" customHeight="false" outlineLevel="0" collapsed="false">
      <c r="A208" s="2" t="n">
        <v>207</v>
      </c>
      <c r="B208" s="6" t="n">
        <v>5</v>
      </c>
      <c r="C208" s="6" t="n">
        <v>14</v>
      </c>
      <c r="D208" s="8" t="str">
        <f aca="false">INDEX(Bases!$B$2:$B$53,B208)</f>
        <v>Cyndaquil</v>
      </c>
      <c r="E208" s="8" t="str">
        <f aca="false">INDEX(Bases!$B$2:$B$53,C208)</f>
        <v>Celebi</v>
      </c>
      <c r="F208" s="2" t="str">
        <f aca="false">LEFT(D208,ROUNDUP(LEN(D208)/2,0))&amp;LOWER(MID(E208,ROUNDUP(LEN(E208)/2,0)+1,20))</f>
        <v>Cyndaebi</v>
      </c>
      <c r="G208" s="8" t="str">
        <f aca="false">INDEX(Bases!$C$2:$C$53,B208)</f>
        <v>Fire</v>
      </c>
      <c r="H208" s="8" t="str">
        <f aca="false">IF(INDEX(Bases!$C$2:$C$53,C208)=G208,"",INDEX(Bases!$C$2:$C$53,C208))</f>
        <v>Grass</v>
      </c>
      <c r="I208" s="8" t="str">
        <f aca="false">IF(INDEX(Bases!$E$2:$E$53,B208)="","",INDEX(Bases!$E$2:$E$53,B208))</f>
        <v/>
      </c>
      <c r="J208" s="8" t="str">
        <f aca="false">IF(INDEX(Bases!$E$2:$E$53,C208)="","",INDEX(Bases!$E$2:$E$53,C208))</f>
        <v/>
      </c>
      <c r="K208" s="5"/>
      <c r="L208" s="2" t="n">
        <f aca="false">AE208+IF(SUMPRODUCT(--($AL208:$AQ208&gt;AL208))&lt;$AK208,1,0)</f>
        <v>75</v>
      </c>
      <c r="M208" s="2" t="n">
        <f aca="false">AF208+IF(SUMPRODUCT(--($AL208:$AQ208&gt;AM208))+SUMPRODUCT(--($AL208:AL208=AM208))&lt;$AK208,1,0)</f>
        <v>82</v>
      </c>
      <c r="N208" s="2" t="n">
        <f aca="false">AG208+IF(SUMPRODUCT(--($AL208:$AQ208&gt;AN208))+SUMPRODUCT(--($AL208:AM208=AN208))&lt;$AK208,1,0)</f>
        <v>77</v>
      </c>
      <c r="O208" s="2" t="n">
        <f aca="false">AH208+IF(SUMPRODUCT(--($AL208:$AQ208&gt;AO208))+SUMPRODUCT(--($AL208:AN208=AO208))&lt;$AK208,1,0)</f>
        <v>91</v>
      </c>
      <c r="P208" s="2" t="n">
        <f aca="false">AI208+IF(SUMPRODUCT(--($AL208:$AQ208&gt;AP208))+SUMPRODUCT(--($AL208:AO208=AP208))&lt;$AK208,1,0)</f>
        <v>80</v>
      </c>
      <c r="Q208" s="2" t="n">
        <f aca="false">AJ208+IF(SUMPRODUCT(--($AL208:$AQ208&gt;AQ208))+SUMPRODUCT(--($AL208:AP208=AQ208))&lt;$AK208,1,0)</f>
        <v>95</v>
      </c>
      <c r="R208" s="2" t="n">
        <f aca="false">SUM(L208:Q208)</f>
        <v>500</v>
      </c>
      <c r="S208" s="2" t="n">
        <f aca="false">Settings!$B$4*MAX(INDEX(Bases!$M$2:$M$53,B208),INDEX(Bases!$M$2:$M$53,C208))+Settings!$B$5*MIN(INDEX(Bases!$M$2:$M$53,B208),INDEX(Bases!$M$2:$M$53,C208))</f>
        <v>61.3333333333333</v>
      </c>
      <c r="T208" s="2" t="n">
        <f aca="false">Settings!$B$4*MAX(INDEX(Bases!$N$2:$N$53,B208),INDEX(Bases!$N$2:$N$53,C208))+Settings!$B$5*MIN(INDEX(Bases!$N$2:$N$53,B208),INDEX(Bases!$N$2:$N$53,C208))</f>
        <v>67</v>
      </c>
      <c r="U208" s="2" t="n">
        <f aca="false">Settings!$B$4*MAX(INDEX(Bases!$O$2:$O$53,B208),INDEX(Bases!$O$2:$O$53,C208))+Settings!$B$5*MIN(INDEX(Bases!$O$2:$O$53,B208),INDEX(Bases!$O$2:$O$53,C208))</f>
        <v>63.3333333333333</v>
      </c>
      <c r="V208" s="2" t="n">
        <f aca="false">Settings!$B$4*MAX(INDEX(Bases!$P$2:$P$53,B208),INDEX(Bases!$P$2:$P$53,C208))+Settings!$B$5*MIN(INDEX(Bases!$P$2:$P$53,B208),INDEX(Bases!$P$2:$P$53,C208))</f>
        <v>74.3333333333333</v>
      </c>
      <c r="W208" s="2" t="n">
        <f aca="false">Settings!$B$4*MAX(INDEX(Bases!$Q$2:$Q$53,B208),INDEX(Bases!$Q$2:$Q$53,C208))+Settings!$B$5*MIN(INDEX(Bases!$Q$2:$Q$53,B208),INDEX(Bases!$Q$2:$Q$53,C208))</f>
        <v>65.6666666666667</v>
      </c>
      <c r="X208" s="2" t="n">
        <f aca="false">Settings!$B$4*MAX(INDEX(Bases!$R$2:$R$53,B208),INDEX(Bases!$R$2:$R$53,C208))+Settings!$B$5*MIN(INDEX(Bases!$R$2:$R$53,B208),INDEX(Bases!$R$2:$R$53,C208))</f>
        <v>78</v>
      </c>
      <c r="Y208" s="2" t="n">
        <f aca="false">S208*Settings!$B$3/SUM(S208:X208)</f>
        <v>74.8576078112286</v>
      </c>
      <c r="Z208" s="2" t="n">
        <f aca="false">T208*Settings!$B$3/SUM(S208:X208)</f>
        <v>81.7737998372661</v>
      </c>
      <c r="AA208" s="2" t="n">
        <f aca="false">U208*Settings!$B$3/SUM(S208:X208)</f>
        <v>77.2986167615948</v>
      </c>
      <c r="AB208" s="2" t="n">
        <f aca="false">V208*Settings!$B$3/SUM(S208:X208)</f>
        <v>90.7241659886086</v>
      </c>
      <c r="AC208" s="2" t="n">
        <f aca="false">W208*Settings!$B$3/SUM(S208:X208)</f>
        <v>80.146460537022</v>
      </c>
      <c r="AD208" s="2" t="n">
        <f aca="false">X208*Settings!$B$3/SUM(S208:X208)</f>
        <v>95.1993490642799</v>
      </c>
      <c r="AE208" s="2" t="n">
        <f aca="false">INT(Y208)</f>
        <v>74</v>
      </c>
      <c r="AF208" s="2" t="n">
        <f aca="false">INT(Z208)</f>
        <v>81</v>
      </c>
      <c r="AG208" s="2" t="n">
        <f aca="false">INT(AA208)</f>
        <v>77</v>
      </c>
      <c r="AH208" s="2" t="n">
        <f aca="false">INT(AB208)</f>
        <v>90</v>
      </c>
      <c r="AI208" s="2" t="n">
        <f aca="false">INT(AC208)</f>
        <v>80</v>
      </c>
      <c r="AJ208" s="2" t="n">
        <f aca="false">INT(AD208)</f>
        <v>95</v>
      </c>
      <c r="AK208" s="2" t="n">
        <f aca="false">Settings!$B$3-SUM(AE208:AJ208)</f>
        <v>3</v>
      </c>
      <c r="AL208" s="2" t="n">
        <f aca="false">ROUND(Y208-AE208,9)</f>
        <v>0.857607811</v>
      </c>
      <c r="AM208" s="2" t="n">
        <f aca="false">ROUND(Z208-AF208,9)</f>
        <v>0.773799837</v>
      </c>
      <c r="AN208" s="2" t="n">
        <f aca="false">ROUND(AA208-AG208,9)</f>
        <v>0.298616762</v>
      </c>
      <c r="AO208" s="2" t="n">
        <f aca="false">ROUND(AB208-AH208,9)</f>
        <v>0.724165989</v>
      </c>
      <c r="AP208" s="2" t="n">
        <f aca="false">ROUND(AC208-AI208,9)</f>
        <v>0.146460537</v>
      </c>
      <c r="AQ208" s="2" t="n">
        <f aca="false">ROUND(AD208-AJ208,9)</f>
        <v>0.199349064</v>
      </c>
    </row>
    <row r="209" customFormat="false" ht="15" hidden="false" customHeight="false" outlineLevel="0" collapsed="false">
      <c r="A209" s="2" t="n">
        <v>208</v>
      </c>
      <c r="B209" s="6" t="n">
        <v>5</v>
      </c>
      <c r="C209" s="6" t="n">
        <v>15</v>
      </c>
      <c r="D209" s="8" t="str">
        <f aca="false">INDEX(Bases!$B$2:$B$53,B209)</f>
        <v>Cyndaquil</v>
      </c>
      <c r="E209" s="8" t="str">
        <f aca="false">INDEX(Bases!$B$2:$B$53,C209)</f>
        <v>Shroomish</v>
      </c>
      <c r="F209" s="2" t="str">
        <f aca="false">LEFT(D209,ROUNDUP(LEN(D209)/2,0))&amp;LOWER(MID(E209,ROUNDUP(LEN(E209)/2,0)+1,20))</f>
        <v>Cyndamish</v>
      </c>
      <c r="G209" s="8" t="str">
        <f aca="false">INDEX(Bases!$C$2:$C$53,B209)</f>
        <v>Fire</v>
      </c>
      <c r="H209" s="8" t="str">
        <f aca="false">IF(INDEX(Bases!$C$2:$C$53,C209)=G209,"",INDEX(Bases!$C$2:$C$53,C209))</f>
        <v>Grass</v>
      </c>
      <c r="I209" s="8" t="str">
        <f aca="false">IF(INDEX(Bases!$E$2:$E$53,B209)="","",INDEX(Bases!$E$2:$E$53,B209))</f>
        <v/>
      </c>
      <c r="J209" s="8" t="str">
        <f aca="false">IF(INDEX(Bases!$E$2:$E$53,C209)="","",INDEX(Bases!$E$2:$E$53,C209))</f>
        <v/>
      </c>
      <c r="K209" s="5"/>
      <c r="L209" s="2" t="n">
        <f aca="false">AE209+IF(SUMPRODUCT(--($AL209:$AQ209&gt;AL209))&lt;$AK209,1,0)</f>
        <v>84</v>
      </c>
      <c r="M209" s="2" t="n">
        <f aca="false">AF209+IF(SUMPRODUCT(--($AL209:$AQ209&gt;AM209))+SUMPRODUCT(--($AL209:AL209=AM209))&lt;$AK209,1,0)</f>
        <v>74</v>
      </c>
      <c r="N209" s="2" t="n">
        <f aca="false">AG209+IF(SUMPRODUCT(--($AL209:$AQ209&gt;AN209))+SUMPRODUCT(--($AL209:AM209=AN209))&lt;$AK209,1,0)</f>
        <v>86</v>
      </c>
      <c r="O209" s="2" t="n">
        <f aca="false">AH209+IF(SUMPRODUCT(--($AL209:$AQ209&gt;AO209))+SUMPRODUCT(--($AL209:AN209=AO209))&lt;$AK209,1,0)</f>
        <v>82</v>
      </c>
      <c r="P209" s="2" t="n">
        <f aca="false">AI209+IF(SUMPRODUCT(--($AL209:$AQ209&gt;AP209))+SUMPRODUCT(--($AL209:AO209=AP209))&lt;$AK209,1,0)</f>
        <v>89</v>
      </c>
      <c r="Q209" s="2" t="n">
        <f aca="false">AJ209+IF(SUMPRODUCT(--($AL209:$AQ209&gt;AQ209))+SUMPRODUCT(--($AL209:AP209=AQ209))&lt;$AK209,1,0)</f>
        <v>85</v>
      </c>
      <c r="R209" s="2" t="n">
        <f aca="false">SUM(L209:Q209)</f>
        <v>500</v>
      </c>
      <c r="S209" s="2" t="n">
        <f aca="false">Settings!$B$4*MAX(INDEX(Bases!$M$2:$M$53,B209),INDEX(Bases!$M$2:$M$53,C209))+Settings!$B$5*MIN(INDEX(Bases!$M$2:$M$53,B209),INDEX(Bases!$M$2:$M$53,C209))</f>
        <v>71.3333333333333</v>
      </c>
      <c r="T209" s="2" t="n">
        <f aca="false">Settings!$B$4*MAX(INDEX(Bases!$N$2:$N$53,B209),INDEX(Bases!$N$2:$N$53,C209))+Settings!$B$5*MIN(INDEX(Bases!$N$2:$N$53,B209),INDEX(Bases!$N$2:$N$53,C209))</f>
        <v>62.6666666666667</v>
      </c>
      <c r="U209" s="2" t="n">
        <f aca="false">Settings!$B$4*MAX(INDEX(Bases!$O$2:$O$53,B209),INDEX(Bases!$O$2:$O$53,C209))+Settings!$B$5*MIN(INDEX(Bases!$O$2:$O$53,B209),INDEX(Bases!$O$2:$O$53,C209))</f>
        <v>72.6666666666667</v>
      </c>
      <c r="V209" s="2" t="n">
        <f aca="false">Settings!$B$4*MAX(INDEX(Bases!$P$2:$P$53,B209),INDEX(Bases!$P$2:$P$53,C209))+Settings!$B$5*MIN(INDEX(Bases!$P$2:$P$53,B209),INDEX(Bases!$P$2:$P$53,C209))</f>
        <v>70</v>
      </c>
      <c r="W209" s="2" t="n">
        <f aca="false">Settings!$B$4*MAX(INDEX(Bases!$Q$2:$Q$53,B209),INDEX(Bases!$Q$2:$Q$53,C209))+Settings!$B$5*MIN(INDEX(Bases!$Q$2:$Q$53,B209),INDEX(Bases!$Q$2:$Q$53,C209))</f>
        <v>75.6666666666667</v>
      </c>
      <c r="X209" s="2" t="n">
        <f aca="false">Settings!$B$4*MAX(INDEX(Bases!$R$2:$R$53,B209),INDEX(Bases!$R$2:$R$53,C209))+Settings!$B$5*MIN(INDEX(Bases!$R$2:$R$53,B209),INDEX(Bases!$R$2:$R$53,C209))</f>
        <v>72</v>
      </c>
      <c r="Y209" s="2" t="n">
        <f aca="false">S209*Settings!$B$3/SUM(S209:X209)</f>
        <v>84.0534171249018</v>
      </c>
      <c r="Z209" s="2" t="n">
        <f aca="false">T209*Settings!$B$3/SUM(S209:X209)</f>
        <v>73.8413197172035</v>
      </c>
      <c r="AA209" s="2" t="n">
        <f aca="false">U209*Settings!$B$3/SUM(S209:X209)</f>
        <v>85.6245090337785</v>
      </c>
      <c r="AB209" s="2" t="n">
        <f aca="false">V209*Settings!$B$3/SUM(S209:X209)</f>
        <v>82.4823252160251</v>
      </c>
      <c r="AC209" s="2" t="n">
        <f aca="false">W209*Settings!$B$3/SUM(S209:X209)</f>
        <v>89.159465828751</v>
      </c>
      <c r="AD209" s="2" t="n">
        <f aca="false">X209*Settings!$B$3/SUM(S209:X209)</f>
        <v>84.8389630793401</v>
      </c>
      <c r="AE209" s="2" t="n">
        <f aca="false">INT(Y209)</f>
        <v>84</v>
      </c>
      <c r="AF209" s="2" t="n">
        <f aca="false">INT(Z209)</f>
        <v>73</v>
      </c>
      <c r="AG209" s="2" t="n">
        <f aca="false">INT(AA209)</f>
        <v>85</v>
      </c>
      <c r="AH209" s="2" t="n">
        <f aca="false">INT(AB209)</f>
        <v>82</v>
      </c>
      <c r="AI209" s="2" t="n">
        <f aca="false">INT(AC209)</f>
        <v>89</v>
      </c>
      <c r="AJ209" s="2" t="n">
        <f aca="false">INT(AD209)</f>
        <v>84</v>
      </c>
      <c r="AK209" s="2" t="n">
        <f aca="false">Settings!$B$3-SUM(AE209:AJ209)</f>
        <v>3</v>
      </c>
      <c r="AL209" s="2" t="n">
        <f aca="false">ROUND(Y209-AE209,9)</f>
        <v>0.053417125</v>
      </c>
      <c r="AM209" s="2" t="n">
        <f aca="false">ROUND(Z209-AF209,9)</f>
        <v>0.841319717</v>
      </c>
      <c r="AN209" s="2" t="n">
        <f aca="false">ROUND(AA209-AG209,9)</f>
        <v>0.624509034</v>
      </c>
      <c r="AO209" s="2" t="n">
        <f aca="false">ROUND(AB209-AH209,9)</f>
        <v>0.482325216</v>
      </c>
      <c r="AP209" s="2" t="n">
        <f aca="false">ROUND(AC209-AI209,9)</f>
        <v>0.159465829</v>
      </c>
      <c r="AQ209" s="2" t="n">
        <f aca="false">ROUND(AD209-AJ209,9)</f>
        <v>0.838963079</v>
      </c>
    </row>
    <row r="210" customFormat="false" ht="15" hidden="false" customHeight="false" outlineLevel="0" collapsed="false">
      <c r="A210" s="2" t="n">
        <v>209</v>
      </c>
      <c r="B210" s="6" t="n">
        <v>5</v>
      </c>
      <c r="C210" s="6" t="n">
        <v>16</v>
      </c>
      <c r="D210" s="8" t="str">
        <f aca="false">INDEX(Bases!$B$2:$B$53,B210)</f>
        <v>Cyndaquil</v>
      </c>
      <c r="E210" s="8" t="str">
        <f aca="false">INDEX(Bases!$B$2:$B$53,C210)</f>
        <v>Swinub</v>
      </c>
      <c r="F210" s="2" t="str">
        <f aca="false">LEFT(D210,ROUNDUP(LEN(D210)/2,0))&amp;LOWER(MID(E210,ROUNDUP(LEN(E210)/2,0)+1,20))</f>
        <v>Cyndanub</v>
      </c>
      <c r="G210" s="8" t="str">
        <f aca="false">INDEX(Bases!$C$2:$C$53,B210)</f>
        <v>Fire</v>
      </c>
      <c r="H210" s="8" t="str">
        <f aca="false">IF(INDEX(Bases!$C$2:$C$53,C210)=G210,"",INDEX(Bases!$C$2:$C$53,C210))</f>
        <v>Ice</v>
      </c>
      <c r="I210" s="8" t="str">
        <f aca="false">IF(INDEX(Bases!$E$2:$E$53,B210)="","",INDEX(Bases!$E$2:$E$53,B210))</f>
        <v/>
      </c>
      <c r="J210" s="8" t="str">
        <f aca="false">IF(INDEX(Bases!$E$2:$E$53,C210)="","",INDEX(Bases!$E$2:$E$53,C210))</f>
        <v/>
      </c>
      <c r="K210" s="5"/>
      <c r="L210" s="2" t="n">
        <f aca="false">AE210+IF(SUMPRODUCT(--($AL210:$AQ210&gt;AL210))&lt;$AK210,1,0)</f>
        <v>84</v>
      </c>
      <c r="M210" s="2" t="n">
        <f aca="false">AF210+IF(SUMPRODUCT(--($AL210:$AQ210&gt;AM210))+SUMPRODUCT(--($AL210:AL210=AM210))&lt;$AK210,1,0)</f>
        <v>91</v>
      </c>
      <c r="N210" s="2" t="n">
        <f aca="false">AG210+IF(SUMPRODUCT(--($AL210:$AQ210&gt;AN210))+SUMPRODUCT(--($AL210:AM210=AN210))&lt;$AK210,1,0)</f>
        <v>74</v>
      </c>
      <c r="O210" s="2" t="n">
        <f aca="false">AH210+IF(SUMPRODUCT(--($AL210:$AQ210&gt;AO210))+SUMPRODUCT(--($AL210:AN210=AO210))&lt;$AK210,1,0)</f>
        <v>81</v>
      </c>
      <c r="P210" s="2" t="n">
        <f aca="false">AI210+IF(SUMPRODUCT(--($AL210:$AQ210&gt;AP210))+SUMPRODUCT(--($AL210:AO210=AP210))&lt;$AK210,1,0)</f>
        <v>71</v>
      </c>
      <c r="Q210" s="2" t="n">
        <f aca="false">AJ210+IF(SUMPRODUCT(--($AL210:$AQ210&gt;AQ210))+SUMPRODUCT(--($AL210:AP210=AQ210))&lt;$AK210,1,0)</f>
        <v>99</v>
      </c>
      <c r="R210" s="2" t="n">
        <f aca="false">SUM(L210:Q210)</f>
        <v>500</v>
      </c>
      <c r="S210" s="2" t="n">
        <f aca="false">Settings!$B$4*MAX(INDEX(Bases!$M$2:$M$53,B210),INDEX(Bases!$M$2:$M$53,C210))+Settings!$B$5*MIN(INDEX(Bases!$M$2:$M$53,B210),INDEX(Bases!$M$2:$M$53,C210))</f>
        <v>70</v>
      </c>
      <c r="T210" s="2" t="n">
        <f aca="false">Settings!$B$4*MAX(INDEX(Bases!$N$2:$N$53,B210),INDEX(Bases!$N$2:$N$53,C210))+Settings!$B$5*MIN(INDEX(Bases!$N$2:$N$53,B210),INDEX(Bases!$N$2:$N$53,C210))</f>
        <v>75.6666666666667</v>
      </c>
      <c r="U210" s="2" t="n">
        <f aca="false">Settings!$B$4*MAX(INDEX(Bases!$O$2:$O$53,B210),INDEX(Bases!$O$2:$O$53,C210))+Settings!$B$5*MIN(INDEX(Bases!$O$2:$O$53,B210),INDEX(Bases!$O$2:$O$53,C210))</f>
        <v>61.3333333333333</v>
      </c>
      <c r="V210" s="2" t="n">
        <f aca="false">Settings!$B$4*MAX(INDEX(Bases!$P$2:$P$53,B210),INDEX(Bases!$P$2:$P$53,C210))+Settings!$B$5*MIN(INDEX(Bases!$P$2:$P$53,B210),INDEX(Bases!$P$2:$P$53,C210))</f>
        <v>68</v>
      </c>
      <c r="W210" s="2" t="n">
        <f aca="false">Settings!$B$4*MAX(INDEX(Bases!$Q$2:$Q$53,B210),INDEX(Bases!$Q$2:$Q$53,C210))+Settings!$B$5*MIN(INDEX(Bases!$Q$2:$Q$53,B210),INDEX(Bases!$Q$2:$Q$53,C210))</f>
        <v>59.3333333333333</v>
      </c>
      <c r="X210" s="2" t="n">
        <f aca="false">Settings!$B$4*MAX(INDEX(Bases!$R$2:$R$53,B210),INDEX(Bases!$R$2:$R$53,C210))+Settings!$B$5*MIN(INDEX(Bases!$R$2:$R$53,B210),INDEX(Bases!$R$2:$R$53,C210))</f>
        <v>82.6666666666667</v>
      </c>
      <c r="Y210" s="2" t="n">
        <f aca="false">S210*Settings!$B$3/SUM(S210:X210)</f>
        <v>83.9328537170264</v>
      </c>
      <c r="Z210" s="2" t="n">
        <f aca="false">T210*Settings!$B$3/SUM(S210:X210)</f>
        <v>90.7274180655476</v>
      </c>
      <c r="AA210" s="2" t="n">
        <f aca="false">U210*Settings!$B$3/SUM(S210:X210)</f>
        <v>73.5411670663469</v>
      </c>
      <c r="AB210" s="2" t="n">
        <f aca="false">V210*Settings!$B$3/SUM(S210:X210)</f>
        <v>81.5347721822542</v>
      </c>
      <c r="AC210" s="2" t="n">
        <f aca="false">W210*Settings!$B$3/SUM(S210:X210)</f>
        <v>71.1430855315747</v>
      </c>
      <c r="AD210" s="2" t="n">
        <f aca="false">X210*Settings!$B$3/SUM(S210:X210)</f>
        <v>99.1207034372502</v>
      </c>
      <c r="AE210" s="2" t="n">
        <f aca="false">INT(Y210)</f>
        <v>83</v>
      </c>
      <c r="AF210" s="2" t="n">
        <f aca="false">INT(Z210)</f>
        <v>90</v>
      </c>
      <c r="AG210" s="2" t="n">
        <f aca="false">INT(AA210)</f>
        <v>73</v>
      </c>
      <c r="AH210" s="2" t="n">
        <f aca="false">INT(AB210)</f>
        <v>81</v>
      </c>
      <c r="AI210" s="2" t="n">
        <f aca="false">INT(AC210)</f>
        <v>71</v>
      </c>
      <c r="AJ210" s="2" t="n">
        <f aca="false">INT(AD210)</f>
        <v>99</v>
      </c>
      <c r="AK210" s="2" t="n">
        <f aca="false">Settings!$B$3-SUM(AE210:AJ210)</f>
        <v>3</v>
      </c>
      <c r="AL210" s="2" t="n">
        <f aca="false">ROUND(Y210-AE210,9)</f>
        <v>0.932853717</v>
      </c>
      <c r="AM210" s="2" t="n">
        <f aca="false">ROUND(Z210-AF210,9)</f>
        <v>0.727418066</v>
      </c>
      <c r="AN210" s="2" t="n">
        <f aca="false">ROUND(AA210-AG210,9)</f>
        <v>0.541167066</v>
      </c>
      <c r="AO210" s="2" t="n">
        <f aca="false">ROUND(AB210-AH210,9)</f>
        <v>0.534772182</v>
      </c>
      <c r="AP210" s="2" t="n">
        <f aca="false">ROUND(AC210-AI210,9)</f>
        <v>0.143085532</v>
      </c>
      <c r="AQ210" s="2" t="n">
        <f aca="false">ROUND(AD210-AJ210,9)</f>
        <v>0.120703437</v>
      </c>
    </row>
    <row r="211" customFormat="false" ht="15" hidden="false" customHeight="false" outlineLevel="0" collapsed="false">
      <c r="A211" s="2" t="n">
        <v>210</v>
      </c>
      <c r="B211" s="6" t="n">
        <v>5</v>
      </c>
      <c r="C211" s="6" t="n">
        <v>17</v>
      </c>
      <c r="D211" s="8" t="str">
        <f aca="false">INDEX(Bases!$B$2:$B$53,B211)</f>
        <v>Cyndaquil</v>
      </c>
      <c r="E211" s="8" t="str">
        <f aca="false">INDEX(Bases!$B$2:$B$53,C211)</f>
        <v>Snorunt</v>
      </c>
      <c r="F211" s="2" t="str">
        <f aca="false">LEFT(D211,ROUNDUP(LEN(D211)/2,0))&amp;LOWER(MID(E211,ROUNDUP(LEN(E211)/2,0)+1,20))</f>
        <v>Cyndaunt</v>
      </c>
      <c r="G211" s="8" t="str">
        <f aca="false">INDEX(Bases!$C$2:$C$53,B211)</f>
        <v>Fire</v>
      </c>
      <c r="H211" s="8" t="str">
        <f aca="false">IF(INDEX(Bases!$C$2:$C$53,C211)=G211,"",INDEX(Bases!$C$2:$C$53,C211))</f>
        <v>Ice</v>
      </c>
      <c r="I211" s="8" t="str">
        <f aca="false">IF(INDEX(Bases!$E$2:$E$53,B211)="","",INDEX(Bases!$E$2:$E$53,B211))</f>
        <v/>
      </c>
      <c r="J211" s="8" t="str">
        <f aca="false">IF(INDEX(Bases!$E$2:$E$53,C211)="","",INDEX(Bases!$E$2:$E$53,C211))</f>
        <v/>
      </c>
      <c r="K211" s="5"/>
      <c r="L211" s="2" t="n">
        <f aca="false">AE211+IF(SUMPRODUCT(--($AL211:$AQ211&gt;AL211))&lt;$AK211,1,0)</f>
        <v>75</v>
      </c>
      <c r="M211" s="2" t="n">
        <f aca="false">AF211+IF(SUMPRODUCT(--($AL211:$AQ211&gt;AM211))+SUMPRODUCT(--($AL211:AL211=AM211))&lt;$AK211,1,0)</f>
        <v>82</v>
      </c>
      <c r="N211" s="2" t="n">
        <f aca="false">AG211+IF(SUMPRODUCT(--($AL211:$AQ211&gt;AN211))+SUMPRODUCT(--($AL211:AM211=AN211))&lt;$AK211,1,0)</f>
        <v>77</v>
      </c>
      <c r="O211" s="2" t="n">
        <f aca="false">AH211+IF(SUMPRODUCT(--($AL211:$AQ211&gt;AO211))+SUMPRODUCT(--($AL211:AN211=AO211))&lt;$AK211,1,0)</f>
        <v>91</v>
      </c>
      <c r="P211" s="2" t="n">
        <f aca="false">AI211+IF(SUMPRODUCT(--($AL211:$AQ211&gt;AP211))+SUMPRODUCT(--($AL211:AO211=AP211))&lt;$AK211,1,0)</f>
        <v>80</v>
      </c>
      <c r="Q211" s="2" t="n">
        <f aca="false">AJ211+IF(SUMPRODUCT(--($AL211:$AQ211&gt;AQ211))+SUMPRODUCT(--($AL211:AP211=AQ211))&lt;$AK211,1,0)</f>
        <v>95</v>
      </c>
      <c r="R211" s="2" t="n">
        <f aca="false">SUM(L211:Q211)</f>
        <v>500</v>
      </c>
      <c r="S211" s="2" t="n">
        <f aca="false">Settings!$B$4*MAX(INDEX(Bases!$M$2:$M$53,B211),INDEX(Bases!$M$2:$M$53,C211))+Settings!$B$5*MIN(INDEX(Bases!$M$2:$M$53,B211),INDEX(Bases!$M$2:$M$53,C211))</f>
        <v>61.3333333333333</v>
      </c>
      <c r="T211" s="2" t="n">
        <f aca="false">Settings!$B$4*MAX(INDEX(Bases!$N$2:$N$53,B211),INDEX(Bases!$N$2:$N$53,C211))+Settings!$B$5*MIN(INDEX(Bases!$N$2:$N$53,B211),INDEX(Bases!$N$2:$N$53,C211))</f>
        <v>67</v>
      </c>
      <c r="U211" s="2" t="n">
        <f aca="false">Settings!$B$4*MAX(INDEX(Bases!$O$2:$O$53,B211),INDEX(Bases!$O$2:$O$53,C211))+Settings!$B$5*MIN(INDEX(Bases!$O$2:$O$53,B211),INDEX(Bases!$O$2:$O$53,C211))</f>
        <v>63.3333333333333</v>
      </c>
      <c r="V211" s="2" t="n">
        <f aca="false">Settings!$B$4*MAX(INDEX(Bases!$P$2:$P$53,B211),INDEX(Bases!$P$2:$P$53,C211))+Settings!$B$5*MIN(INDEX(Bases!$P$2:$P$53,B211),INDEX(Bases!$P$2:$P$53,C211))</f>
        <v>74.3333333333333</v>
      </c>
      <c r="W211" s="2" t="n">
        <f aca="false">Settings!$B$4*MAX(INDEX(Bases!$Q$2:$Q$53,B211),INDEX(Bases!$Q$2:$Q$53,C211))+Settings!$B$5*MIN(INDEX(Bases!$Q$2:$Q$53,B211),INDEX(Bases!$Q$2:$Q$53,C211))</f>
        <v>65.6666666666667</v>
      </c>
      <c r="X211" s="2" t="n">
        <f aca="false">Settings!$B$4*MAX(INDEX(Bases!$R$2:$R$53,B211),INDEX(Bases!$R$2:$R$53,C211))+Settings!$B$5*MIN(INDEX(Bases!$R$2:$R$53,B211),INDEX(Bases!$R$2:$R$53,C211))</f>
        <v>78</v>
      </c>
      <c r="Y211" s="2" t="n">
        <f aca="false">S211*Settings!$B$3/SUM(S211:X211)</f>
        <v>74.8576078112286</v>
      </c>
      <c r="Z211" s="2" t="n">
        <f aca="false">T211*Settings!$B$3/SUM(S211:X211)</f>
        <v>81.7737998372661</v>
      </c>
      <c r="AA211" s="2" t="n">
        <f aca="false">U211*Settings!$B$3/SUM(S211:X211)</f>
        <v>77.2986167615948</v>
      </c>
      <c r="AB211" s="2" t="n">
        <f aca="false">V211*Settings!$B$3/SUM(S211:X211)</f>
        <v>90.7241659886086</v>
      </c>
      <c r="AC211" s="2" t="n">
        <f aca="false">W211*Settings!$B$3/SUM(S211:X211)</f>
        <v>80.146460537022</v>
      </c>
      <c r="AD211" s="2" t="n">
        <f aca="false">X211*Settings!$B$3/SUM(S211:X211)</f>
        <v>95.1993490642799</v>
      </c>
      <c r="AE211" s="2" t="n">
        <f aca="false">INT(Y211)</f>
        <v>74</v>
      </c>
      <c r="AF211" s="2" t="n">
        <f aca="false">INT(Z211)</f>
        <v>81</v>
      </c>
      <c r="AG211" s="2" t="n">
        <f aca="false">INT(AA211)</f>
        <v>77</v>
      </c>
      <c r="AH211" s="2" t="n">
        <f aca="false">INT(AB211)</f>
        <v>90</v>
      </c>
      <c r="AI211" s="2" t="n">
        <f aca="false">INT(AC211)</f>
        <v>80</v>
      </c>
      <c r="AJ211" s="2" t="n">
        <f aca="false">INT(AD211)</f>
        <v>95</v>
      </c>
      <c r="AK211" s="2" t="n">
        <f aca="false">Settings!$B$3-SUM(AE211:AJ211)</f>
        <v>3</v>
      </c>
      <c r="AL211" s="2" t="n">
        <f aca="false">ROUND(Y211-AE211,9)</f>
        <v>0.857607811</v>
      </c>
      <c r="AM211" s="2" t="n">
        <f aca="false">ROUND(Z211-AF211,9)</f>
        <v>0.773799837</v>
      </c>
      <c r="AN211" s="2" t="n">
        <f aca="false">ROUND(AA211-AG211,9)</f>
        <v>0.298616762</v>
      </c>
      <c r="AO211" s="2" t="n">
        <f aca="false">ROUND(AB211-AH211,9)</f>
        <v>0.724165989</v>
      </c>
      <c r="AP211" s="2" t="n">
        <f aca="false">ROUND(AC211-AI211,9)</f>
        <v>0.146460537</v>
      </c>
      <c r="AQ211" s="2" t="n">
        <f aca="false">ROUND(AD211-AJ211,9)</f>
        <v>0.199349064</v>
      </c>
    </row>
    <row r="212" customFormat="false" ht="15" hidden="false" customHeight="false" outlineLevel="0" collapsed="false">
      <c r="A212" s="2" t="n">
        <v>211</v>
      </c>
      <c r="B212" s="6" t="n">
        <v>5</v>
      </c>
      <c r="C212" s="6" t="n">
        <v>18</v>
      </c>
      <c r="D212" s="8" t="str">
        <f aca="false">INDEX(Bases!$B$2:$B$53,B212)</f>
        <v>Cyndaquil</v>
      </c>
      <c r="E212" s="8" t="str">
        <f aca="false">INDEX(Bases!$B$2:$B$53,C212)</f>
        <v>Spheal</v>
      </c>
      <c r="F212" s="2" t="str">
        <f aca="false">LEFT(D212,ROUNDUP(LEN(D212)/2,0))&amp;LOWER(MID(E212,ROUNDUP(LEN(E212)/2,0)+1,20))</f>
        <v>Cyndaeal</v>
      </c>
      <c r="G212" s="8" t="str">
        <f aca="false">INDEX(Bases!$C$2:$C$53,B212)</f>
        <v>Fire</v>
      </c>
      <c r="H212" s="8" t="str">
        <f aca="false">IF(INDEX(Bases!$C$2:$C$53,C212)=G212,"",INDEX(Bases!$C$2:$C$53,C212))</f>
        <v>Ice</v>
      </c>
      <c r="I212" s="8" t="str">
        <f aca="false">IF(INDEX(Bases!$E$2:$E$53,B212)="","",INDEX(Bases!$E$2:$E$53,B212))</f>
        <v/>
      </c>
      <c r="J212" s="8" t="str">
        <f aca="false">IF(INDEX(Bases!$E$2:$E$53,C212)="","",INDEX(Bases!$E$2:$E$53,C212))</f>
        <v/>
      </c>
      <c r="K212" s="5"/>
      <c r="L212" s="2" t="n">
        <f aca="false">AE212+IF(SUMPRODUCT(--($AL212:$AQ212&gt;AL212))&lt;$AK212,1,0)</f>
        <v>96</v>
      </c>
      <c r="M212" s="2" t="n">
        <f aca="false">AF212+IF(SUMPRODUCT(--($AL212:$AQ212&gt;AM212))+SUMPRODUCT(--($AL212:AL212=AM212))&lt;$AK212,1,0)</f>
        <v>75</v>
      </c>
      <c r="N212" s="2" t="n">
        <f aca="false">AG212+IF(SUMPRODUCT(--($AL212:$AQ212&gt;AN212))+SUMPRODUCT(--($AL212:AM212=AN212))&lt;$AK212,1,0)</f>
        <v>77</v>
      </c>
      <c r="O212" s="2" t="n">
        <f aca="false">AH212+IF(SUMPRODUCT(--($AL212:$AQ212&gt;AO212))+SUMPRODUCT(--($AL212:AN212=AO212))&lt;$AK212,1,0)</f>
        <v>92</v>
      </c>
      <c r="P212" s="2" t="n">
        <f aca="false">AI212+IF(SUMPRODUCT(--($AL212:$AQ212&gt;AP212))+SUMPRODUCT(--($AL212:AO212=AP212))&lt;$AK212,1,0)</f>
        <v>80</v>
      </c>
      <c r="Q212" s="2" t="n">
        <f aca="false">AJ212+IF(SUMPRODUCT(--($AL212:$AQ212&gt;AQ212))+SUMPRODUCT(--($AL212:AP212=AQ212))&lt;$AK212,1,0)</f>
        <v>80</v>
      </c>
      <c r="R212" s="2" t="n">
        <f aca="false">SUM(L212:Q212)</f>
        <v>500</v>
      </c>
      <c r="S212" s="2" t="n">
        <f aca="false">Settings!$B$4*MAX(INDEX(Bases!$M$2:$M$53,B212),INDEX(Bases!$M$2:$M$53,C212))+Settings!$B$5*MIN(INDEX(Bases!$M$2:$M$53,B212),INDEX(Bases!$M$2:$M$53,C212))</f>
        <v>81.3333333333333</v>
      </c>
      <c r="T212" s="2" t="n">
        <f aca="false">Settings!$B$4*MAX(INDEX(Bases!$N$2:$N$53,B212),INDEX(Bases!$N$2:$N$53,C212))+Settings!$B$5*MIN(INDEX(Bases!$N$2:$N$53,B212),INDEX(Bases!$N$2:$N$53,C212))</f>
        <v>63</v>
      </c>
      <c r="U212" s="2" t="n">
        <f aca="false">Settings!$B$4*MAX(INDEX(Bases!$O$2:$O$53,B212),INDEX(Bases!$O$2:$O$53,C212))+Settings!$B$5*MIN(INDEX(Bases!$O$2:$O$53,B212),INDEX(Bases!$O$2:$O$53,C212))</f>
        <v>64.6666666666667</v>
      </c>
      <c r="V212" s="2" t="n">
        <f aca="false">Settings!$B$4*MAX(INDEX(Bases!$P$2:$P$53,B212),INDEX(Bases!$P$2:$P$53,C212))+Settings!$B$5*MIN(INDEX(Bases!$P$2:$P$53,B212),INDEX(Bases!$P$2:$P$53,C212))</f>
        <v>77.3333333333333</v>
      </c>
      <c r="W212" s="2" t="n">
        <f aca="false">Settings!$B$4*MAX(INDEX(Bases!$Q$2:$Q$53,B212),INDEX(Bases!$Q$2:$Q$53,C212))+Settings!$B$5*MIN(INDEX(Bases!$Q$2:$Q$53,B212),INDEX(Bases!$Q$2:$Q$53,C212))</f>
        <v>67.6666666666667</v>
      </c>
      <c r="X212" s="2" t="n">
        <f aca="false">Settings!$B$4*MAX(INDEX(Bases!$R$2:$R$53,B212),INDEX(Bases!$R$2:$R$53,C212))+Settings!$B$5*MIN(INDEX(Bases!$R$2:$R$53,B212),INDEX(Bases!$R$2:$R$53,C212))</f>
        <v>67.3333333333333</v>
      </c>
      <c r="Y212" s="2" t="n">
        <f aca="false">S212*Settings!$B$3/SUM(S212:X212)</f>
        <v>96.5189873417722</v>
      </c>
      <c r="Z212" s="2" t="n">
        <f aca="false">T212*Settings!$B$3/SUM(S212:X212)</f>
        <v>74.7626582278481</v>
      </c>
      <c r="AA212" s="2" t="n">
        <f aca="false">U212*Settings!$B$3/SUM(S212:X212)</f>
        <v>76.7405063291139</v>
      </c>
      <c r="AB212" s="2" t="n">
        <f aca="false">V212*Settings!$B$3/SUM(S212:X212)</f>
        <v>91.7721518987342</v>
      </c>
      <c r="AC212" s="2" t="n">
        <f aca="false">W212*Settings!$B$3/SUM(S212:X212)</f>
        <v>80.3006329113924</v>
      </c>
      <c r="AD212" s="2" t="n">
        <f aca="false">X212*Settings!$B$3/SUM(S212:X212)</f>
        <v>79.9050632911392</v>
      </c>
      <c r="AE212" s="2" t="n">
        <f aca="false">INT(Y212)</f>
        <v>96</v>
      </c>
      <c r="AF212" s="2" t="n">
        <f aca="false">INT(Z212)</f>
        <v>74</v>
      </c>
      <c r="AG212" s="2" t="n">
        <f aca="false">INT(AA212)</f>
        <v>76</v>
      </c>
      <c r="AH212" s="2" t="n">
        <f aca="false">INT(AB212)</f>
        <v>91</v>
      </c>
      <c r="AI212" s="2" t="n">
        <f aca="false">INT(AC212)</f>
        <v>80</v>
      </c>
      <c r="AJ212" s="2" t="n">
        <f aca="false">INT(AD212)</f>
        <v>79</v>
      </c>
      <c r="AK212" s="2" t="n">
        <f aca="false">Settings!$B$3-SUM(AE212:AJ212)</f>
        <v>4</v>
      </c>
      <c r="AL212" s="2" t="n">
        <f aca="false">ROUND(Y212-AE212,9)</f>
        <v>0.518987342</v>
      </c>
      <c r="AM212" s="2" t="n">
        <f aca="false">ROUND(Z212-AF212,9)</f>
        <v>0.762658228</v>
      </c>
      <c r="AN212" s="2" t="n">
        <f aca="false">ROUND(AA212-AG212,9)</f>
        <v>0.740506329</v>
      </c>
      <c r="AO212" s="2" t="n">
        <f aca="false">ROUND(AB212-AH212,9)</f>
        <v>0.772151899</v>
      </c>
      <c r="AP212" s="2" t="n">
        <f aca="false">ROUND(AC212-AI212,9)</f>
        <v>0.300632911</v>
      </c>
      <c r="AQ212" s="2" t="n">
        <f aca="false">ROUND(AD212-AJ212,9)</f>
        <v>0.905063291</v>
      </c>
    </row>
    <row r="213" customFormat="false" ht="15" hidden="false" customHeight="false" outlineLevel="0" collapsed="false">
      <c r="A213" s="2" t="n">
        <v>212</v>
      </c>
      <c r="B213" s="6" t="n">
        <v>5</v>
      </c>
      <c r="C213" s="6" t="n">
        <v>19</v>
      </c>
      <c r="D213" s="8" t="str">
        <f aca="false">INDEX(Bases!$B$2:$B$53,B213)</f>
        <v>Cyndaquil</v>
      </c>
      <c r="E213" s="8" t="str">
        <f aca="false">INDEX(Bases!$B$2:$B$53,C213)</f>
        <v>Mankey</v>
      </c>
      <c r="F213" s="2" t="str">
        <f aca="false">LEFT(D213,ROUNDUP(LEN(D213)/2,0))&amp;LOWER(MID(E213,ROUNDUP(LEN(E213)/2,0)+1,20))</f>
        <v>Cyndakey</v>
      </c>
      <c r="G213" s="8" t="str">
        <f aca="false">INDEX(Bases!$C$2:$C$53,B213)</f>
        <v>Fire</v>
      </c>
      <c r="H213" s="8" t="str">
        <f aca="false">IF(INDEX(Bases!$C$2:$C$53,C213)=G213,"",INDEX(Bases!$C$2:$C$53,C213))</f>
        <v>Fighting</v>
      </c>
      <c r="I213" s="8" t="str">
        <f aca="false">IF(INDEX(Bases!$E$2:$E$53,B213)="","",INDEX(Bases!$E$2:$E$53,B213))</f>
        <v/>
      </c>
      <c r="J213" s="8" t="str">
        <f aca="false">IF(INDEX(Bases!$E$2:$E$53,C213)="","",INDEX(Bases!$E$2:$E$53,C213))</f>
        <v/>
      </c>
      <c r="K213" s="5"/>
      <c r="L213" s="2" t="n">
        <f aca="false">AE213+IF(SUMPRODUCT(--($AL213:$AQ213&gt;AL213))&lt;$AK213,1,0)</f>
        <v>62</v>
      </c>
      <c r="M213" s="2" t="n">
        <f aca="false">AF213+IF(SUMPRODUCT(--($AL213:$AQ213&gt;AM213))+SUMPRODUCT(--($AL213:AL213=AM213))&lt;$AK213,1,0)</f>
        <v>111</v>
      </c>
      <c r="N213" s="2" t="n">
        <f aca="false">AG213+IF(SUMPRODUCT(--($AL213:$AQ213&gt;AN213))+SUMPRODUCT(--($AL213:AM213=AN213))&lt;$AK213,1,0)</f>
        <v>63</v>
      </c>
      <c r="O213" s="2" t="n">
        <f aca="false">AH213+IF(SUMPRODUCT(--($AL213:$AQ213&gt;AO213))+SUMPRODUCT(--($AL213:AN213=AO213))&lt;$AK213,1,0)</f>
        <v>81</v>
      </c>
      <c r="P213" s="2" t="n">
        <f aca="false">AI213+IF(SUMPRODUCT(--($AL213:$AQ213&gt;AP213))+SUMPRODUCT(--($AL213:AO213=AP213))&lt;$AK213,1,0)</f>
        <v>76</v>
      </c>
      <c r="Q213" s="2" t="n">
        <f aca="false">AJ213+IF(SUMPRODUCT(--($AL213:$AQ213&gt;AQ213))+SUMPRODUCT(--($AL213:AP213=AQ213))&lt;$AK213,1,0)</f>
        <v>107</v>
      </c>
      <c r="R213" s="2" t="n">
        <f aca="false">SUM(L213:Q213)</f>
        <v>500</v>
      </c>
      <c r="S213" s="2" t="n">
        <f aca="false">Settings!$B$4*MAX(INDEX(Bases!$M$2:$M$53,B213),INDEX(Bases!$M$2:$M$53,C213))+Settings!$B$5*MIN(INDEX(Bases!$M$2:$M$53,B213),INDEX(Bases!$M$2:$M$53,C213))</f>
        <v>51.3333333333333</v>
      </c>
      <c r="T213" s="2" t="n">
        <f aca="false">Settings!$B$4*MAX(INDEX(Bases!$N$2:$N$53,B213),INDEX(Bases!$N$2:$N$53,C213))+Settings!$B$5*MIN(INDEX(Bases!$N$2:$N$53,B213),INDEX(Bases!$N$2:$N$53,C213))</f>
        <v>92.3333333333333</v>
      </c>
      <c r="U213" s="2" t="n">
        <f aca="false">Settings!$B$4*MAX(INDEX(Bases!$O$2:$O$53,B213),INDEX(Bases!$O$2:$O$53,C213))+Settings!$B$5*MIN(INDEX(Bases!$O$2:$O$53,B213),INDEX(Bases!$O$2:$O$53,C213))</f>
        <v>52.6666666666667</v>
      </c>
      <c r="V213" s="2" t="n">
        <f aca="false">Settings!$B$4*MAX(INDEX(Bases!$P$2:$P$53,B213),INDEX(Bases!$P$2:$P$53,C213))+Settings!$B$5*MIN(INDEX(Bases!$P$2:$P$53,B213),INDEX(Bases!$P$2:$P$53,C213))</f>
        <v>67.3333333333333</v>
      </c>
      <c r="W213" s="2" t="n">
        <f aca="false">Settings!$B$4*MAX(INDEX(Bases!$Q$2:$Q$53,B213),INDEX(Bases!$Q$2:$Q$53,C213))+Settings!$B$5*MIN(INDEX(Bases!$Q$2:$Q$53,B213),INDEX(Bases!$Q$2:$Q$53,C213))</f>
        <v>63</v>
      </c>
      <c r="X213" s="2" t="n">
        <f aca="false">Settings!$B$4*MAX(INDEX(Bases!$R$2:$R$53,B213),INDEX(Bases!$R$2:$R$53,C213))+Settings!$B$5*MIN(INDEX(Bases!$R$2:$R$53,B213),INDEX(Bases!$R$2:$R$53,C213))</f>
        <v>89.3333333333333</v>
      </c>
      <c r="Y213" s="2" t="n">
        <f aca="false">S213*Settings!$B$3/SUM(S213:X213)</f>
        <v>61.6987179487179</v>
      </c>
      <c r="Z213" s="2" t="n">
        <f aca="false">T213*Settings!$B$3/SUM(S213:X213)</f>
        <v>110.977564102564</v>
      </c>
      <c r="AA213" s="2" t="n">
        <f aca="false">U213*Settings!$B$3/SUM(S213:X213)</f>
        <v>63.3012820512821</v>
      </c>
      <c r="AB213" s="2" t="n">
        <f aca="false">V213*Settings!$B$3/SUM(S213:X213)</f>
        <v>80.9294871794872</v>
      </c>
      <c r="AC213" s="2" t="n">
        <f aca="false">W213*Settings!$B$3/SUM(S213:X213)</f>
        <v>75.7211538461538</v>
      </c>
      <c r="AD213" s="2" t="n">
        <f aca="false">X213*Settings!$B$3/SUM(S213:X213)</f>
        <v>107.371794871795</v>
      </c>
      <c r="AE213" s="2" t="n">
        <f aca="false">INT(Y213)</f>
        <v>61</v>
      </c>
      <c r="AF213" s="2" t="n">
        <f aca="false">INT(Z213)</f>
        <v>110</v>
      </c>
      <c r="AG213" s="2" t="n">
        <f aca="false">INT(AA213)</f>
        <v>63</v>
      </c>
      <c r="AH213" s="2" t="n">
        <f aca="false">INT(AB213)</f>
        <v>80</v>
      </c>
      <c r="AI213" s="2" t="n">
        <f aca="false">INT(AC213)</f>
        <v>75</v>
      </c>
      <c r="AJ213" s="2" t="n">
        <f aca="false">INT(AD213)</f>
        <v>107</v>
      </c>
      <c r="AK213" s="2" t="n">
        <f aca="false">Settings!$B$3-SUM(AE213:AJ213)</f>
        <v>4</v>
      </c>
      <c r="AL213" s="2" t="n">
        <f aca="false">ROUND(Y213-AE213,9)</f>
        <v>0.698717949</v>
      </c>
      <c r="AM213" s="2" t="n">
        <f aca="false">ROUND(Z213-AF213,9)</f>
        <v>0.977564103</v>
      </c>
      <c r="AN213" s="2" t="n">
        <f aca="false">ROUND(AA213-AG213,9)</f>
        <v>0.301282051</v>
      </c>
      <c r="AO213" s="2" t="n">
        <f aca="false">ROUND(AB213-AH213,9)</f>
        <v>0.929487179</v>
      </c>
      <c r="AP213" s="2" t="n">
        <f aca="false">ROUND(AC213-AI213,9)</f>
        <v>0.721153846</v>
      </c>
      <c r="AQ213" s="2" t="n">
        <f aca="false">ROUND(AD213-AJ213,9)</f>
        <v>0.371794872</v>
      </c>
    </row>
    <row r="214" customFormat="false" ht="15" hidden="false" customHeight="false" outlineLevel="0" collapsed="false">
      <c r="A214" s="2" t="n">
        <v>213</v>
      </c>
      <c r="B214" s="6" t="n">
        <v>5</v>
      </c>
      <c r="C214" s="6" t="n">
        <v>20</v>
      </c>
      <c r="D214" s="8" t="str">
        <f aca="false">INDEX(Bases!$B$2:$B$53,B214)</f>
        <v>Cyndaquil</v>
      </c>
      <c r="E214" s="8" t="str">
        <f aca="false">INDEX(Bases!$B$2:$B$53,C214)</f>
        <v>Tyrogue</v>
      </c>
      <c r="F214" s="2" t="str">
        <f aca="false">LEFT(D214,ROUNDUP(LEN(D214)/2,0))&amp;LOWER(MID(E214,ROUNDUP(LEN(E214)/2,0)+1,20))</f>
        <v>Cyndague</v>
      </c>
      <c r="G214" s="8" t="str">
        <f aca="false">INDEX(Bases!$C$2:$C$53,B214)</f>
        <v>Fire</v>
      </c>
      <c r="H214" s="8" t="str">
        <f aca="false">IF(INDEX(Bases!$C$2:$C$53,C214)=G214,"",INDEX(Bases!$C$2:$C$53,C214))</f>
        <v>Fighting</v>
      </c>
      <c r="I214" s="8" t="str">
        <f aca="false">IF(INDEX(Bases!$E$2:$E$53,B214)="","",INDEX(Bases!$E$2:$E$53,B214))</f>
        <v/>
      </c>
      <c r="J214" s="8" t="str">
        <f aca="false">IF(INDEX(Bases!$E$2:$E$53,C214)="","",INDEX(Bases!$E$2:$E$53,C214))</f>
        <v/>
      </c>
      <c r="K214" s="5"/>
      <c r="L214" s="2" t="n">
        <f aca="false">AE214+IF(SUMPRODUCT(--($AL214:$AQ214&gt;AL214))&lt;$AK214,1,0)</f>
        <v>75</v>
      </c>
      <c r="M214" s="2" t="n">
        <f aca="false">AF214+IF(SUMPRODUCT(--($AL214:$AQ214&gt;AM214))+SUMPRODUCT(--($AL214:AL214=AM214))&lt;$AK214,1,0)</f>
        <v>82</v>
      </c>
      <c r="N214" s="2" t="n">
        <f aca="false">AG214+IF(SUMPRODUCT(--($AL214:$AQ214&gt;AN214))+SUMPRODUCT(--($AL214:AM214=AN214))&lt;$AK214,1,0)</f>
        <v>77</v>
      </c>
      <c r="O214" s="2" t="n">
        <f aca="false">AH214+IF(SUMPRODUCT(--($AL214:$AQ214&gt;AO214))+SUMPRODUCT(--($AL214:AN214=AO214))&lt;$AK214,1,0)</f>
        <v>91</v>
      </c>
      <c r="P214" s="2" t="n">
        <f aca="false">AI214+IF(SUMPRODUCT(--($AL214:$AQ214&gt;AP214))+SUMPRODUCT(--($AL214:AO214=AP214))&lt;$AK214,1,0)</f>
        <v>80</v>
      </c>
      <c r="Q214" s="2" t="n">
        <f aca="false">AJ214+IF(SUMPRODUCT(--($AL214:$AQ214&gt;AQ214))+SUMPRODUCT(--($AL214:AP214=AQ214))&lt;$AK214,1,0)</f>
        <v>95</v>
      </c>
      <c r="R214" s="2" t="n">
        <f aca="false">SUM(L214:Q214)</f>
        <v>500</v>
      </c>
      <c r="S214" s="2" t="n">
        <f aca="false">Settings!$B$4*MAX(INDEX(Bases!$M$2:$M$53,B214),INDEX(Bases!$M$2:$M$53,C214))+Settings!$B$5*MIN(INDEX(Bases!$M$2:$M$53,B214),INDEX(Bases!$M$2:$M$53,C214))</f>
        <v>61.3333333333333</v>
      </c>
      <c r="T214" s="2" t="n">
        <f aca="false">Settings!$B$4*MAX(INDEX(Bases!$N$2:$N$53,B214),INDEX(Bases!$N$2:$N$53,C214))+Settings!$B$5*MIN(INDEX(Bases!$N$2:$N$53,B214),INDEX(Bases!$N$2:$N$53,C214))</f>
        <v>67</v>
      </c>
      <c r="U214" s="2" t="n">
        <f aca="false">Settings!$B$4*MAX(INDEX(Bases!$O$2:$O$53,B214),INDEX(Bases!$O$2:$O$53,C214))+Settings!$B$5*MIN(INDEX(Bases!$O$2:$O$53,B214),INDEX(Bases!$O$2:$O$53,C214))</f>
        <v>63.3333333333333</v>
      </c>
      <c r="V214" s="2" t="n">
        <f aca="false">Settings!$B$4*MAX(INDEX(Bases!$P$2:$P$53,B214),INDEX(Bases!$P$2:$P$53,C214))+Settings!$B$5*MIN(INDEX(Bases!$P$2:$P$53,B214),INDEX(Bases!$P$2:$P$53,C214))</f>
        <v>74.3333333333333</v>
      </c>
      <c r="W214" s="2" t="n">
        <f aca="false">Settings!$B$4*MAX(INDEX(Bases!$Q$2:$Q$53,B214),INDEX(Bases!$Q$2:$Q$53,C214))+Settings!$B$5*MIN(INDEX(Bases!$Q$2:$Q$53,B214),INDEX(Bases!$Q$2:$Q$53,C214))</f>
        <v>65.6666666666667</v>
      </c>
      <c r="X214" s="2" t="n">
        <f aca="false">Settings!$B$4*MAX(INDEX(Bases!$R$2:$R$53,B214),INDEX(Bases!$R$2:$R$53,C214))+Settings!$B$5*MIN(INDEX(Bases!$R$2:$R$53,B214),INDEX(Bases!$R$2:$R$53,C214))</f>
        <v>78</v>
      </c>
      <c r="Y214" s="2" t="n">
        <f aca="false">S214*Settings!$B$3/SUM(S214:X214)</f>
        <v>74.8576078112286</v>
      </c>
      <c r="Z214" s="2" t="n">
        <f aca="false">T214*Settings!$B$3/SUM(S214:X214)</f>
        <v>81.7737998372661</v>
      </c>
      <c r="AA214" s="2" t="n">
        <f aca="false">U214*Settings!$B$3/SUM(S214:X214)</f>
        <v>77.2986167615948</v>
      </c>
      <c r="AB214" s="2" t="n">
        <f aca="false">V214*Settings!$B$3/SUM(S214:X214)</f>
        <v>90.7241659886086</v>
      </c>
      <c r="AC214" s="2" t="n">
        <f aca="false">W214*Settings!$B$3/SUM(S214:X214)</f>
        <v>80.146460537022</v>
      </c>
      <c r="AD214" s="2" t="n">
        <f aca="false">X214*Settings!$B$3/SUM(S214:X214)</f>
        <v>95.1993490642799</v>
      </c>
      <c r="AE214" s="2" t="n">
        <f aca="false">INT(Y214)</f>
        <v>74</v>
      </c>
      <c r="AF214" s="2" t="n">
        <f aca="false">INT(Z214)</f>
        <v>81</v>
      </c>
      <c r="AG214" s="2" t="n">
        <f aca="false">INT(AA214)</f>
        <v>77</v>
      </c>
      <c r="AH214" s="2" t="n">
        <f aca="false">INT(AB214)</f>
        <v>90</v>
      </c>
      <c r="AI214" s="2" t="n">
        <f aca="false">INT(AC214)</f>
        <v>80</v>
      </c>
      <c r="AJ214" s="2" t="n">
        <f aca="false">INT(AD214)</f>
        <v>95</v>
      </c>
      <c r="AK214" s="2" t="n">
        <f aca="false">Settings!$B$3-SUM(AE214:AJ214)</f>
        <v>3</v>
      </c>
      <c r="AL214" s="2" t="n">
        <f aca="false">ROUND(Y214-AE214,9)</f>
        <v>0.857607811</v>
      </c>
      <c r="AM214" s="2" t="n">
        <f aca="false">ROUND(Z214-AF214,9)</f>
        <v>0.773799837</v>
      </c>
      <c r="AN214" s="2" t="n">
        <f aca="false">ROUND(AA214-AG214,9)</f>
        <v>0.298616762</v>
      </c>
      <c r="AO214" s="2" t="n">
        <f aca="false">ROUND(AB214-AH214,9)</f>
        <v>0.724165989</v>
      </c>
      <c r="AP214" s="2" t="n">
        <f aca="false">ROUND(AC214-AI214,9)</f>
        <v>0.146460537</v>
      </c>
      <c r="AQ214" s="2" t="n">
        <f aca="false">ROUND(AD214-AJ214,9)</f>
        <v>0.199349064</v>
      </c>
    </row>
    <row r="215" customFormat="false" ht="15" hidden="false" customHeight="false" outlineLevel="0" collapsed="false">
      <c r="A215" s="2" t="n">
        <v>214</v>
      </c>
      <c r="B215" s="6" t="n">
        <v>5</v>
      </c>
      <c r="C215" s="6" t="n">
        <v>21</v>
      </c>
      <c r="D215" s="8" t="str">
        <f aca="false">INDEX(Bases!$B$2:$B$53,B215)</f>
        <v>Cyndaquil</v>
      </c>
      <c r="E215" s="8" t="str">
        <f aca="false">INDEX(Bases!$B$2:$B$53,C215)</f>
        <v>Makuhita</v>
      </c>
      <c r="F215" s="2" t="str">
        <f aca="false">LEFT(D215,ROUNDUP(LEN(D215)/2,0))&amp;LOWER(MID(E215,ROUNDUP(LEN(E215)/2,0)+1,20))</f>
        <v>Cyndahita</v>
      </c>
      <c r="G215" s="8" t="str">
        <f aca="false">INDEX(Bases!$C$2:$C$53,B215)</f>
        <v>Fire</v>
      </c>
      <c r="H215" s="8" t="str">
        <f aca="false">IF(INDEX(Bases!$C$2:$C$53,C215)=G215,"",INDEX(Bases!$C$2:$C$53,C215))</f>
        <v>Fighting</v>
      </c>
      <c r="I215" s="8" t="str">
        <f aca="false">IF(INDEX(Bases!$E$2:$E$53,B215)="","",INDEX(Bases!$E$2:$E$53,B215))</f>
        <v/>
      </c>
      <c r="J215" s="8" t="str">
        <f aca="false">IF(INDEX(Bases!$E$2:$E$53,C215)="","",INDEX(Bases!$E$2:$E$53,C215))</f>
        <v/>
      </c>
      <c r="K215" s="5"/>
      <c r="L215" s="2" t="n">
        <f aca="false">AE215+IF(SUMPRODUCT(--($AL215:$AQ215&gt;AL215))&lt;$AK215,1,0)</f>
        <v>112</v>
      </c>
      <c r="M215" s="2" t="n">
        <f aca="false">AF215+IF(SUMPRODUCT(--($AL215:$AQ215&gt;AM215))+SUMPRODUCT(--($AL215:AL215=AM215))&lt;$AK215,1,0)</f>
        <v>103</v>
      </c>
      <c r="N215" s="2" t="n">
        <f aca="false">AG215+IF(SUMPRODUCT(--($AL215:$AQ215&gt;AN215))+SUMPRODUCT(--($AL215:AM215=AN215))&lt;$AK215,1,0)</f>
        <v>62</v>
      </c>
      <c r="O215" s="2" t="n">
        <f aca="false">AH215+IF(SUMPRODUCT(--($AL215:$AQ215&gt;AO215))+SUMPRODUCT(--($AL215:AN215=AO215))&lt;$AK215,1,0)</f>
        <v>73</v>
      </c>
      <c r="P215" s="2" t="n">
        <f aca="false">AI215+IF(SUMPRODUCT(--($AL215:$AQ215&gt;AP215))+SUMPRODUCT(--($AL215:AO215=AP215))&lt;$AK215,1,0)</f>
        <v>69</v>
      </c>
      <c r="Q215" s="2" t="n">
        <f aca="false">AJ215+IF(SUMPRODUCT(--($AL215:$AQ215&gt;AQ215))+SUMPRODUCT(--($AL215:AP215=AQ215))&lt;$AK215,1,0)</f>
        <v>81</v>
      </c>
      <c r="R215" s="2" t="n">
        <f aca="false">SUM(L215:Q215)</f>
        <v>500</v>
      </c>
      <c r="S215" s="2" t="n">
        <f aca="false">Settings!$B$4*MAX(INDEX(Bases!$M$2:$M$53,B215),INDEX(Bases!$M$2:$M$53,C215))+Settings!$B$5*MIN(INDEX(Bases!$M$2:$M$53,B215),INDEX(Bases!$M$2:$M$53,C215))</f>
        <v>97.3333333333333</v>
      </c>
      <c r="T215" s="2" t="n">
        <f aca="false">Settings!$B$4*MAX(INDEX(Bases!$N$2:$N$53,B215),INDEX(Bases!$N$2:$N$53,C215))+Settings!$B$5*MIN(INDEX(Bases!$N$2:$N$53,B215),INDEX(Bases!$N$2:$N$53,C215))</f>
        <v>89.6666666666667</v>
      </c>
      <c r="U215" s="2" t="n">
        <f aca="false">Settings!$B$4*MAX(INDEX(Bases!$O$2:$O$53,B215),INDEX(Bases!$O$2:$O$53,C215))+Settings!$B$5*MIN(INDEX(Bases!$O$2:$O$53,B215),INDEX(Bases!$O$2:$O$53,C215))</f>
        <v>54.3333333333333</v>
      </c>
      <c r="V215" s="2" t="n">
        <f aca="false">Settings!$B$4*MAX(INDEX(Bases!$P$2:$P$53,B215),INDEX(Bases!$P$2:$P$53,C215))+Settings!$B$5*MIN(INDEX(Bases!$P$2:$P$53,B215),INDEX(Bases!$P$2:$P$53,C215))</f>
        <v>63.3333333333333</v>
      </c>
      <c r="W215" s="2" t="n">
        <f aca="false">Settings!$B$4*MAX(INDEX(Bases!$Q$2:$Q$53,B215),INDEX(Bases!$Q$2:$Q$53,C215))+Settings!$B$5*MIN(INDEX(Bases!$Q$2:$Q$53,B215),INDEX(Bases!$Q$2:$Q$53,C215))</f>
        <v>60.3333333333333</v>
      </c>
      <c r="X215" s="2" t="n">
        <f aca="false">Settings!$B$4*MAX(INDEX(Bases!$R$2:$R$53,B215),INDEX(Bases!$R$2:$R$53,C215))+Settings!$B$5*MIN(INDEX(Bases!$R$2:$R$53,B215),INDEX(Bases!$R$2:$R$53,C215))</f>
        <v>70</v>
      </c>
      <c r="Y215" s="2" t="n">
        <f aca="false">S215*Settings!$B$3/SUM(S215:X215)</f>
        <v>111.877394636015</v>
      </c>
      <c r="Z215" s="2" t="n">
        <f aca="false">T215*Settings!$B$3/SUM(S215:X215)</f>
        <v>103.065134099617</v>
      </c>
      <c r="AA215" s="2" t="n">
        <f aca="false">U215*Settings!$B$3/SUM(S215:X215)</f>
        <v>62.4521072796935</v>
      </c>
      <c r="AB215" s="2" t="n">
        <f aca="false">V215*Settings!$B$3/SUM(S215:X215)</f>
        <v>72.7969348659004</v>
      </c>
      <c r="AC215" s="2" t="n">
        <f aca="false">W215*Settings!$B$3/SUM(S215:X215)</f>
        <v>69.3486590038314</v>
      </c>
      <c r="AD215" s="2" t="n">
        <f aca="false">X215*Settings!$B$3/SUM(S215:X215)</f>
        <v>80.4597701149425</v>
      </c>
      <c r="AE215" s="2" t="n">
        <f aca="false">INT(Y215)</f>
        <v>111</v>
      </c>
      <c r="AF215" s="2" t="n">
        <f aca="false">INT(Z215)</f>
        <v>103</v>
      </c>
      <c r="AG215" s="2" t="n">
        <f aca="false">INT(AA215)</f>
        <v>62</v>
      </c>
      <c r="AH215" s="2" t="n">
        <f aca="false">INT(AB215)</f>
        <v>72</v>
      </c>
      <c r="AI215" s="2" t="n">
        <f aca="false">INT(AC215)</f>
        <v>69</v>
      </c>
      <c r="AJ215" s="2" t="n">
        <f aca="false">INT(AD215)</f>
        <v>80</v>
      </c>
      <c r="AK215" s="2" t="n">
        <f aca="false">Settings!$B$3-SUM(AE215:AJ215)</f>
        <v>3</v>
      </c>
      <c r="AL215" s="2" t="n">
        <f aca="false">ROUND(Y215-AE215,9)</f>
        <v>0.877394636</v>
      </c>
      <c r="AM215" s="2" t="n">
        <f aca="false">ROUND(Z215-AF215,9)</f>
        <v>0.0651341</v>
      </c>
      <c r="AN215" s="2" t="n">
        <f aca="false">ROUND(AA215-AG215,9)</f>
        <v>0.45210728</v>
      </c>
      <c r="AO215" s="2" t="n">
        <f aca="false">ROUND(AB215-AH215,9)</f>
        <v>0.796934866</v>
      </c>
      <c r="AP215" s="2" t="n">
        <f aca="false">ROUND(AC215-AI215,9)</f>
        <v>0.348659004</v>
      </c>
      <c r="AQ215" s="2" t="n">
        <f aca="false">ROUND(AD215-AJ215,9)</f>
        <v>0.459770115</v>
      </c>
    </row>
    <row r="216" customFormat="false" ht="15" hidden="false" customHeight="false" outlineLevel="0" collapsed="false">
      <c r="A216" s="2" t="n">
        <v>215</v>
      </c>
      <c r="B216" s="6" t="n">
        <v>5</v>
      </c>
      <c r="C216" s="6" t="n">
        <v>22</v>
      </c>
      <c r="D216" s="8" t="str">
        <f aca="false">INDEX(Bases!$B$2:$B$53,B216)</f>
        <v>Cyndaquil</v>
      </c>
      <c r="E216" s="8" t="str">
        <f aca="false">INDEX(Bases!$B$2:$B$53,C216)</f>
        <v>Ekans</v>
      </c>
      <c r="F216" s="2" t="str">
        <f aca="false">LEFT(D216,ROUNDUP(LEN(D216)/2,0))&amp;LOWER(MID(E216,ROUNDUP(LEN(E216)/2,0)+1,20))</f>
        <v>Cyndans</v>
      </c>
      <c r="G216" s="8" t="str">
        <f aca="false">INDEX(Bases!$C$2:$C$53,B216)</f>
        <v>Fire</v>
      </c>
      <c r="H216" s="8" t="str">
        <f aca="false">IF(INDEX(Bases!$C$2:$C$53,C216)=G216,"",INDEX(Bases!$C$2:$C$53,C216))</f>
        <v>Poison</v>
      </c>
      <c r="I216" s="8" t="str">
        <f aca="false">IF(INDEX(Bases!$E$2:$E$53,B216)="","",INDEX(Bases!$E$2:$E$53,B216))</f>
        <v/>
      </c>
      <c r="J216" s="8" t="str">
        <f aca="false">IF(INDEX(Bases!$E$2:$E$53,C216)="","",INDEX(Bases!$E$2:$E$53,C216))</f>
        <v/>
      </c>
      <c r="K216" s="5"/>
      <c r="L216" s="2" t="n">
        <f aca="false">AE216+IF(SUMPRODUCT(--($AL216:$AQ216&gt;AL216))&lt;$AK216,1,0)</f>
        <v>61</v>
      </c>
      <c r="M216" s="2" t="n">
        <f aca="false">AF216+IF(SUMPRODUCT(--($AL216:$AQ216&gt;AM216))+SUMPRODUCT(--($AL216:AL216=AM216))&lt;$AK216,1,0)</f>
        <v>95</v>
      </c>
      <c r="N216" s="2" t="n">
        <f aca="false">AG216+IF(SUMPRODUCT(--($AL216:$AQ216&gt;AN216))+SUMPRODUCT(--($AL216:AM216=AN216))&lt;$AK216,1,0)</f>
        <v>72</v>
      </c>
      <c r="O216" s="2" t="n">
        <f aca="false">AH216+IF(SUMPRODUCT(--($AL216:$AQ216&gt;AO216))+SUMPRODUCT(--($AL216:AN216=AO216))&lt;$AK216,1,0)</f>
        <v>86</v>
      </c>
      <c r="P216" s="2" t="n">
        <f aca="false">AI216+IF(SUMPRODUCT(--($AL216:$AQ216&gt;AP216))+SUMPRODUCT(--($AL216:AO216=AP216))&lt;$AK216,1,0)</f>
        <v>87</v>
      </c>
      <c r="Q216" s="2" t="n">
        <f aca="false">AJ216+IF(SUMPRODUCT(--($AL216:$AQ216&gt;AQ216))+SUMPRODUCT(--($AL216:AP216=AQ216))&lt;$AK216,1,0)</f>
        <v>99</v>
      </c>
      <c r="R216" s="2" t="n">
        <f aca="false">SUM(L216:Q216)</f>
        <v>500</v>
      </c>
      <c r="S216" s="2" t="n">
        <f aca="false">Settings!$B$4*MAX(INDEX(Bases!$M$2:$M$53,B216),INDEX(Bases!$M$2:$M$53,C216))+Settings!$B$5*MIN(INDEX(Bases!$M$2:$M$53,B216),INDEX(Bases!$M$2:$M$53,C216))</f>
        <v>49.6666666666667</v>
      </c>
      <c r="T216" s="2" t="n">
        <f aca="false">Settings!$B$4*MAX(INDEX(Bases!$N$2:$N$53,B216),INDEX(Bases!$N$2:$N$53,C216))+Settings!$B$5*MIN(INDEX(Bases!$N$2:$N$53,B216),INDEX(Bases!$N$2:$N$53,C216))</f>
        <v>77.6666666666667</v>
      </c>
      <c r="U216" s="2" t="n">
        <f aca="false">Settings!$B$4*MAX(INDEX(Bases!$O$2:$O$53,B216),INDEX(Bases!$O$2:$O$53,C216))+Settings!$B$5*MIN(INDEX(Bases!$O$2:$O$53,B216),INDEX(Bases!$O$2:$O$53,C216))</f>
        <v>59.3333333333333</v>
      </c>
      <c r="V216" s="2" t="n">
        <f aca="false">Settings!$B$4*MAX(INDEX(Bases!$P$2:$P$53,B216),INDEX(Bases!$P$2:$P$53,C216))+Settings!$B$5*MIN(INDEX(Bases!$P$2:$P$53,B216),INDEX(Bases!$P$2:$P$53,C216))</f>
        <v>70.6666666666667</v>
      </c>
      <c r="W216" s="2" t="n">
        <f aca="false">Settings!$B$4*MAX(INDEX(Bases!$Q$2:$Q$53,B216),INDEX(Bases!$Q$2:$Q$53,C216))+Settings!$B$5*MIN(INDEX(Bases!$Q$2:$Q$53,B216),INDEX(Bases!$Q$2:$Q$53,C216))</f>
        <v>71.6666666666667</v>
      </c>
      <c r="X216" s="2" t="n">
        <f aca="false">Settings!$B$4*MAX(INDEX(Bases!$R$2:$R$53,B216),INDEX(Bases!$R$2:$R$53,C216))+Settings!$B$5*MIN(INDEX(Bases!$R$2:$R$53,B216),INDEX(Bases!$R$2:$R$53,C216))</f>
        <v>81.3333333333333</v>
      </c>
      <c r="Y216" s="2" t="n">
        <f aca="false">S216*Settings!$B$3/SUM(S216:X216)</f>
        <v>60.5199025182778</v>
      </c>
      <c r="Z216" s="2" t="n">
        <f aca="false">T216*Settings!$B$3/SUM(S216:X216)</f>
        <v>94.6385052802599</v>
      </c>
      <c r="AA216" s="2" t="n">
        <f aca="false">U216*Settings!$B$3/SUM(S216:X216)</f>
        <v>72.2989439480097</v>
      </c>
      <c r="AB216" s="2" t="n">
        <f aca="false">V216*Settings!$B$3/SUM(S216:X216)</f>
        <v>86.1088545897644</v>
      </c>
      <c r="AC216" s="2" t="n">
        <f aca="false">W216*Settings!$B$3/SUM(S216:X216)</f>
        <v>87.3273761169781</v>
      </c>
      <c r="AD216" s="2" t="n">
        <f aca="false">X216*Settings!$B$3/SUM(S216:X216)</f>
        <v>99.10641754671</v>
      </c>
      <c r="AE216" s="2" t="n">
        <f aca="false">INT(Y216)</f>
        <v>60</v>
      </c>
      <c r="AF216" s="2" t="n">
        <f aca="false">INT(Z216)</f>
        <v>94</v>
      </c>
      <c r="AG216" s="2" t="n">
        <f aca="false">INT(AA216)</f>
        <v>72</v>
      </c>
      <c r="AH216" s="2" t="n">
        <f aca="false">INT(AB216)</f>
        <v>86</v>
      </c>
      <c r="AI216" s="2" t="n">
        <f aca="false">INT(AC216)</f>
        <v>87</v>
      </c>
      <c r="AJ216" s="2" t="n">
        <f aca="false">INT(AD216)</f>
        <v>99</v>
      </c>
      <c r="AK216" s="2" t="n">
        <f aca="false">Settings!$B$3-SUM(AE216:AJ216)</f>
        <v>2</v>
      </c>
      <c r="AL216" s="2" t="n">
        <f aca="false">ROUND(Y216-AE216,9)</f>
        <v>0.519902518</v>
      </c>
      <c r="AM216" s="2" t="n">
        <f aca="false">ROUND(Z216-AF216,9)</f>
        <v>0.63850528</v>
      </c>
      <c r="AN216" s="2" t="n">
        <f aca="false">ROUND(AA216-AG216,9)</f>
        <v>0.298943948</v>
      </c>
      <c r="AO216" s="2" t="n">
        <f aca="false">ROUND(AB216-AH216,9)</f>
        <v>0.10885459</v>
      </c>
      <c r="AP216" s="2" t="n">
        <f aca="false">ROUND(AC216-AI216,9)</f>
        <v>0.327376117</v>
      </c>
      <c r="AQ216" s="2" t="n">
        <f aca="false">ROUND(AD216-AJ216,9)</f>
        <v>0.106417547</v>
      </c>
    </row>
    <row r="217" customFormat="false" ht="15" hidden="false" customHeight="false" outlineLevel="0" collapsed="false">
      <c r="A217" s="2" t="n">
        <v>216</v>
      </c>
      <c r="B217" s="6" t="n">
        <v>5</v>
      </c>
      <c r="C217" s="6" t="n">
        <v>23</v>
      </c>
      <c r="D217" s="8" t="str">
        <f aca="false">INDEX(Bases!$B$2:$B$53,B217)</f>
        <v>Cyndaquil</v>
      </c>
      <c r="E217" s="8" t="str">
        <f aca="false">INDEX(Bases!$B$2:$B$53,C217)</f>
        <v>Gulpin</v>
      </c>
      <c r="F217" s="2" t="str">
        <f aca="false">LEFT(D217,ROUNDUP(LEN(D217)/2,0))&amp;LOWER(MID(E217,ROUNDUP(LEN(E217)/2,0)+1,20))</f>
        <v>Cyndapin</v>
      </c>
      <c r="G217" s="8" t="str">
        <f aca="false">INDEX(Bases!$C$2:$C$53,B217)</f>
        <v>Fire</v>
      </c>
      <c r="H217" s="8" t="str">
        <f aca="false">IF(INDEX(Bases!$C$2:$C$53,C217)=G217,"",INDEX(Bases!$C$2:$C$53,C217))</f>
        <v>Poison</v>
      </c>
      <c r="I217" s="8" t="str">
        <f aca="false">IF(INDEX(Bases!$E$2:$E$53,B217)="","",INDEX(Bases!$E$2:$E$53,B217))</f>
        <v/>
      </c>
      <c r="J217" s="8" t="str">
        <f aca="false">IF(INDEX(Bases!$E$2:$E$53,C217)="","",INDEX(Bases!$E$2:$E$53,C217))</f>
        <v/>
      </c>
      <c r="K217" s="5"/>
      <c r="L217" s="2" t="n">
        <f aca="false">AE217+IF(SUMPRODUCT(--($AL217:$AQ217&gt;AL217))&lt;$AK217,1,0)</f>
        <v>93</v>
      </c>
      <c r="M217" s="2" t="n">
        <f aca="false">AF217+IF(SUMPRODUCT(--($AL217:$AQ217&gt;AM217))+SUMPRODUCT(--($AL217:AL217=AM217))&lt;$AK217,1,0)</f>
        <v>76</v>
      </c>
      <c r="N217" s="2" t="n">
        <f aca="false">AG217+IF(SUMPRODUCT(--($AL217:$AQ217&gt;AN217))+SUMPRODUCT(--($AL217:AM217=AN217))&lt;$AK217,1,0)</f>
        <v>78</v>
      </c>
      <c r="O217" s="2" t="n">
        <f aca="false">AH217+IF(SUMPRODUCT(--($AL217:$AQ217&gt;AO217))+SUMPRODUCT(--($AL217:AN217=AO217))&lt;$AK217,1,0)</f>
        <v>84</v>
      </c>
      <c r="P217" s="2" t="n">
        <f aca="false">AI217+IF(SUMPRODUCT(--($AL217:$AQ217&gt;AP217))+SUMPRODUCT(--($AL217:AO217=AP217))&lt;$AK217,1,0)</f>
        <v>81</v>
      </c>
      <c r="Q217" s="2" t="n">
        <f aca="false">AJ217+IF(SUMPRODUCT(--($AL217:$AQ217&gt;AQ217))+SUMPRODUCT(--($AL217:AP217=AQ217))&lt;$AK217,1,0)</f>
        <v>88</v>
      </c>
      <c r="R217" s="2" t="n">
        <f aca="false">SUM(L217:Q217)</f>
        <v>500</v>
      </c>
      <c r="S217" s="2" t="n">
        <f aca="false">Settings!$B$4*MAX(INDEX(Bases!$M$2:$M$53,B217),INDEX(Bases!$M$2:$M$53,C217))+Settings!$B$5*MIN(INDEX(Bases!$M$2:$M$53,B217),INDEX(Bases!$M$2:$M$53,C217))</f>
        <v>78.6666666666667</v>
      </c>
      <c r="T217" s="2" t="n">
        <f aca="false">Settings!$B$4*MAX(INDEX(Bases!$N$2:$N$53,B217),INDEX(Bases!$N$2:$N$53,C217))+Settings!$B$5*MIN(INDEX(Bases!$N$2:$N$53,B217),INDEX(Bases!$N$2:$N$53,C217))</f>
        <v>63.6666666666667</v>
      </c>
      <c r="U217" s="2" t="n">
        <f aca="false">Settings!$B$4*MAX(INDEX(Bases!$O$2:$O$53,B217),INDEX(Bases!$O$2:$O$53,C217))+Settings!$B$5*MIN(INDEX(Bases!$O$2:$O$53,B217),INDEX(Bases!$O$2:$O$53,C217))</f>
        <v>65.3333333333333</v>
      </c>
      <c r="V217" s="2" t="n">
        <f aca="false">Settings!$B$4*MAX(INDEX(Bases!$P$2:$P$53,B217),INDEX(Bases!$P$2:$P$53,C217))+Settings!$B$5*MIN(INDEX(Bases!$P$2:$P$53,B217),INDEX(Bases!$P$2:$P$53,C217))</f>
        <v>71</v>
      </c>
      <c r="W217" s="2" t="n">
        <f aca="false">Settings!$B$4*MAX(INDEX(Bases!$Q$2:$Q$53,B217),INDEX(Bases!$Q$2:$Q$53,C217))+Settings!$B$5*MIN(INDEX(Bases!$Q$2:$Q$53,B217),INDEX(Bases!$Q$2:$Q$53,C217))</f>
        <v>68.3333333333333</v>
      </c>
      <c r="X217" s="2" t="n">
        <f aca="false">Settings!$B$4*MAX(INDEX(Bases!$R$2:$R$53,B217),INDEX(Bases!$R$2:$R$53,C217))+Settings!$B$5*MIN(INDEX(Bases!$R$2:$R$53,B217),INDEX(Bases!$R$2:$R$53,C217))</f>
        <v>73.6666666666667</v>
      </c>
      <c r="Y217" s="2" t="n">
        <f aca="false">S217*Settings!$B$3/SUM(S217:X217)</f>
        <v>93.5023771790808</v>
      </c>
      <c r="Z217" s="2" t="n">
        <f aca="false">T217*Settings!$B$3/SUM(S217:X217)</f>
        <v>75.6735340729002</v>
      </c>
      <c r="AA217" s="2" t="n">
        <f aca="false">U217*Settings!$B$3/SUM(S217:X217)</f>
        <v>77.6545166402536</v>
      </c>
      <c r="AB217" s="2" t="n">
        <f aca="false">V217*Settings!$B$3/SUM(S217:X217)</f>
        <v>84.3898573692552</v>
      </c>
      <c r="AC217" s="2" t="n">
        <f aca="false">W217*Settings!$B$3/SUM(S217:X217)</f>
        <v>81.2202852614897</v>
      </c>
      <c r="AD217" s="2" t="n">
        <f aca="false">X217*Settings!$B$3/SUM(S217:X217)</f>
        <v>87.5594294770206</v>
      </c>
      <c r="AE217" s="2" t="n">
        <f aca="false">INT(Y217)</f>
        <v>93</v>
      </c>
      <c r="AF217" s="2" t="n">
        <f aca="false">INT(Z217)</f>
        <v>75</v>
      </c>
      <c r="AG217" s="2" t="n">
        <f aca="false">INT(AA217)</f>
        <v>77</v>
      </c>
      <c r="AH217" s="2" t="n">
        <f aca="false">INT(AB217)</f>
        <v>84</v>
      </c>
      <c r="AI217" s="2" t="n">
        <f aca="false">INT(AC217)</f>
        <v>81</v>
      </c>
      <c r="AJ217" s="2" t="n">
        <f aca="false">INT(AD217)</f>
        <v>87</v>
      </c>
      <c r="AK217" s="2" t="n">
        <f aca="false">Settings!$B$3-SUM(AE217:AJ217)</f>
        <v>3</v>
      </c>
      <c r="AL217" s="2" t="n">
        <f aca="false">ROUND(Y217-AE217,9)</f>
        <v>0.502377179</v>
      </c>
      <c r="AM217" s="2" t="n">
        <f aca="false">ROUND(Z217-AF217,9)</f>
        <v>0.673534073</v>
      </c>
      <c r="AN217" s="2" t="n">
        <f aca="false">ROUND(AA217-AG217,9)</f>
        <v>0.65451664</v>
      </c>
      <c r="AO217" s="2" t="n">
        <f aca="false">ROUND(AB217-AH217,9)</f>
        <v>0.389857369</v>
      </c>
      <c r="AP217" s="2" t="n">
        <f aca="false">ROUND(AC217-AI217,9)</f>
        <v>0.220285261</v>
      </c>
      <c r="AQ217" s="2" t="n">
        <f aca="false">ROUND(AD217-AJ217,9)</f>
        <v>0.559429477</v>
      </c>
    </row>
    <row r="218" customFormat="false" ht="15" hidden="false" customHeight="false" outlineLevel="0" collapsed="false">
      <c r="A218" s="2" t="n">
        <v>217</v>
      </c>
      <c r="B218" s="6" t="n">
        <v>5</v>
      </c>
      <c r="C218" s="6" t="n">
        <v>24</v>
      </c>
      <c r="D218" s="8" t="str">
        <f aca="false">INDEX(Bases!$B$2:$B$53,B218)</f>
        <v>Cyndaquil</v>
      </c>
      <c r="E218" s="8" t="str">
        <f aca="false">INDEX(Bases!$B$2:$B$53,C218)</f>
        <v>Koffing</v>
      </c>
      <c r="F218" s="2" t="str">
        <f aca="false">LEFT(D218,ROUNDUP(LEN(D218)/2,0))&amp;LOWER(MID(E218,ROUNDUP(LEN(E218)/2,0)+1,20))</f>
        <v>Cyndaing</v>
      </c>
      <c r="G218" s="8" t="str">
        <f aca="false">INDEX(Bases!$C$2:$C$53,B218)</f>
        <v>Fire</v>
      </c>
      <c r="H218" s="8" t="str">
        <f aca="false">IF(INDEX(Bases!$C$2:$C$53,C218)=G218,"",INDEX(Bases!$C$2:$C$53,C218))</f>
        <v>Poison</v>
      </c>
      <c r="I218" s="8" t="str">
        <f aca="false">IF(INDEX(Bases!$E$2:$E$53,B218)="","",INDEX(Bases!$E$2:$E$53,B218))</f>
        <v/>
      </c>
      <c r="J218" s="8" t="str">
        <f aca="false">IF(INDEX(Bases!$E$2:$E$53,C218)="","",INDEX(Bases!$E$2:$E$53,C218))</f>
        <v/>
      </c>
      <c r="K218" s="5"/>
      <c r="L218" s="2" t="n">
        <f aca="false">AE218+IF(SUMPRODUCT(--($AL218:$AQ218&gt;AL218))&lt;$AK218,1,0)</f>
        <v>58</v>
      </c>
      <c r="M218" s="2" t="n">
        <f aca="false">AF218+IF(SUMPRODUCT(--($AL218:$AQ218&gt;AM218))+SUMPRODUCT(--($AL218:AL218=AM218))&lt;$AK218,1,0)</f>
        <v>86</v>
      </c>
      <c r="N218" s="2" t="n">
        <f aca="false">AG218+IF(SUMPRODUCT(--($AL218:$AQ218&gt;AN218))+SUMPRODUCT(--($AL218:AM218=AN218))&lt;$AK218,1,0)</f>
        <v>111</v>
      </c>
      <c r="O218" s="2" t="n">
        <f aca="false">AH218+IF(SUMPRODUCT(--($AL218:$AQ218&gt;AO218))+SUMPRODUCT(--($AL218:AN218=AO218))&lt;$AK218,1,0)</f>
        <v>90</v>
      </c>
      <c r="P218" s="2" t="n">
        <f aca="false">AI218+IF(SUMPRODUCT(--($AL218:$AQ218&gt;AP218))+SUMPRODUCT(--($AL218:AO218=AP218))&lt;$AK218,1,0)</f>
        <v>72</v>
      </c>
      <c r="Q218" s="2" t="n">
        <f aca="false">AJ218+IF(SUMPRODUCT(--($AL218:$AQ218&gt;AQ218))+SUMPRODUCT(--($AL218:AP218=AQ218))&lt;$AK218,1,0)</f>
        <v>83</v>
      </c>
      <c r="R218" s="2" t="n">
        <f aca="false">SUM(L218:Q218)</f>
        <v>500</v>
      </c>
      <c r="S218" s="2" t="n">
        <f aca="false">Settings!$B$4*MAX(INDEX(Bases!$M$2:$M$53,B218),INDEX(Bases!$M$2:$M$53,C218))+Settings!$B$5*MIN(INDEX(Bases!$M$2:$M$53,B218),INDEX(Bases!$M$2:$M$53,C218))</f>
        <v>49</v>
      </c>
      <c r="T218" s="2" t="n">
        <f aca="false">Settings!$B$4*MAX(INDEX(Bases!$N$2:$N$53,B218),INDEX(Bases!$N$2:$N$53,C218))+Settings!$B$5*MIN(INDEX(Bases!$N$2:$N$53,B218),INDEX(Bases!$N$2:$N$53,C218))</f>
        <v>73</v>
      </c>
      <c r="U218" s="2" t="n">
        <f aca="false">Settings!$B$4*MAX(INDEX(Bases!$O$2:$O$53,B218),INDEX(Bases!$O$2:$O$53,C218))+Settings!$B$5*MIN(INDEX(Bases!$O$2:$O$53,B218),INDEX(Bases!$O$2:$O$53,C218))</f>
        <v>93.3333333333333</v>
      </c>
      <c r="V218" s="2" t="n">
        <f aca="false">Settings!$B$4*MAX(INDEX(Bases!$P$2:$P$53,B218),INDEX(Bases!$P$2:$P$53,C218))+Settings!$B$5*MIN(INDEX(Bases!$P$2:$P$53,B218),INDEX(Bases!$P$2:$P$53,C218))</f>
        <v>75.6666666666667</v>
      </c>
      <c r="W218" s="2" t="n">
        <f aca="false">Settings!$B$4*MAX(INDEX(Bases!$Q$2:$Q$53,B218),INDEX(Bases!$Q$2:$Q$53,C218))+Settings!$B$5*MIN(INDEX(Bases!$Q$2:$Q$53,B218),INDEX(Bases!$Q$2:$Q$53,C218))</f>
        <v>61</v>
      </c>
      <c r="X218" s="2" t="n">
        <f aca="false">Settings!$B$4*MAX(INDEX(Bases!$R$2:$R$53,B218),INDEX(Bases!$R$2:$R$53,C218))+Settings!$B$5*MIN(INDEX(Bases!$R$2:$R$53,B218),INDEX(Bases!$R$2:$R$53,C218))</f>
        <v>69.6666666666667</v>
      </c>
      <c r="Y218" s="2" t="n">
        <f aca="false">S218*Settings!$B$3/SUM(S218:X218)</f>
        <v>58.102766798419</v>
      </c>
      <c r="Z218" s="2" t="n">
        <f aca="false">T218*Settings!$B$3/SUM(S218:X218)</f>
        <v>86.5612648221344</v>
      </c>
      <c r="AA218" s="2" t="n">
        <f aca="false">U218*Settings!$B$3/SUM(S218:X218)</f>
        <v>110.671936758893</v>
      </c>
      <c r="AB218" s="2" t="n">
        <f aca="false">V218*Settings!$B$3/SUM(S218:X218)</f>
        <v>89.7233201581028</v>
      </c>
      <c r="AC218" s="2" t="n">
        <f aca="false">W218*Settings!$B$3/SUM(S218:X218)</f>
        <v>72.3320158102767</v>
      </c>
      <c r="AD218" s="2" t="n">
        <f aca="false">X218*Settings!$B$3/SUM(S218:X218)</f>
        <v>82.6086956521739</v>
      </c>
      <c r="AE218" s="2" t="n">
        <f aca="false">INT(Y218)</f>
        <v>58</v>
      </c>
      <c r="AF218" s="2" t="n">
        <f aca="false">INT(Z218)</f>
        <v>86</v>
      </c>
      <c r="AG218" s="2" t="n">
        <f aca="false">INT(AA218)</f>
        <v>110</v>
      </c>
      <c r="AH218" s="2" t="n">
        <f aca="false">INT(AB218)</f>
        <v>89</v>
      </c>
      <c r="AI218" s="2" t="n">
        <f aca="false">INT(AC218)</f>
        <v>72</v>
      </c>
      <c r="AJ218" s="2" t="n">
        <f aca="false">INT(AD218)</f>
        <v>82</v>
      </c>
      <c r="AK218" s="2" t="n">
        <f aca="false">Settings!$B$3-SUM(AE218:AJ218)</f>
        <v>3</v>
      </c>
      <c r="AL218" s="2" t="n">
        <f aca="false">ROUND(Y218-AE218,9)</f>
        <v>0.102766798</v>
      </c>
      <c r="AM218" s="2" t="n">
        <f aca="false">ROUND(Z218-AF218,9)</f>
        <v>0.561264822</v>
      </c>
      <c r="AN218" s="2" t="n">
        <f aca="false">ROUND(AA218-AG218,9)</f>
        <v>0.671936759</v>
      </c>
      <c r="AO218" s="2" t="n">
        <f aca="false">ROUND(AB218-AH218,9)</f>
        <v>0.723320158</v>
      </c>
      <c r="AP218" s="2" t="n">
        <f aca="false">ROUND(AC218-AI218,9)</f>
        <v>0.33201581</v>
      </c>
      <c r="AQ218" s="2" t="n">
        <f aca="false">ROUND(AD218-AJ218,9)</f>
        <v>0.608695652</v>
      </c>
    </row>
    <row r="219" customFormat="false" ht="15" hidden="false" customHeight="false" outlineLevel="0" collapsed="false">
      <c r="A219" s="2" t="n">
        <v>218</v>
      </c>
      <c r="B219" s="6" t="n">
        <v>5</v>
      </c>
      <c r="C219" s="6" t="n">
        <v>25</v>
      </c>
      <c r="D219" s="8" t="str">
        <f aca="false">INDEX(Bases!$B$2:$B$53,B219)</f>
        <v>Cyndaquil</v>
      </c>
      <c r="E219" s="8" t="str">
        <f aca="false">INDEX(Bases!$B$2:$B$53,C219)</f>
        <v>Sandshrew</v>
      </c>
      <c r="F219" s="2" t="str">
        <f aca="false">LEFT(D219,ROUNDUP(LEN(D219)/2,0))&amp;LOWER(MID(E219,ROUNDUP(LEN(E219)/2,0)+1,20))</f>
        <v>Cyndahrew</v>
      </c>
      <c r="G219" s="8" t="str">
        <f aca="false">INDEX(Bases!$C$2:$C$53,B219)</f>
        <v>Fire</v>
      </c>
      <c r="H219" s="8" t="str">
        <f aca="false">IF(INDEX(Bases!$C$2:$C$53,C219)=G219,"",INDEX(Bases!$C$2:$C$53,C219))</f>
        <v>Ground</v>
      </c>
      <c r="I219" s="8" t="str">
        <f aca="false">IF(INDEX(Bases!$E$2:$E$53,B219)="","",INDEX(Bases!$E$2:$E$53,B219))</f>
        <v/>
      </c>
      <c r="J219" s="8" t="str">
        <f aca="false">IF(INDEX(Bases!$E$2:$E$53,C219)="","",INDEX(Bases!$E$2:$E$53,C219))</f>
        <v/>
      </c>
      <c r="K219" s="5"/>
      <c r="L219" s="2" t="n">
        <f aca="false">AE219+IF(SUMPRODUCT(--($AL219:$AQ219&gt;AL219))&lt;$AK219,1,0)</f>
        <v>70</v>
      </c>
      <c r="M219" s="2" t="n">
        <f aca="false">AF219+IF(SUMPRODUCT(--($AL219:$AQ219&gt;AM219))+SUMPRODUCT(--($AL219:AL219=AM219))&lt;$AK219,1,0)</f>
        <v>102</v>
      </c>
      <c r="N219" s="2" t="n">
        <f aca="false">AG219+IF(SUMPRODUCT(--($AL219:$AQ219&gt;AN219))+SUMPRODUCT(--($AL219:AM219=AN219))&lt;$AK219,1,0)</f>
        <v>108</v>
      </c>
      <c r="O219" s="2" t="n">
        <f aca="false">AH219+IF(SUMPRODUCT(--($AL219:$AQ219&gt;AO219))+SUMPRODUCT(--($AL219:AN219=AO219))&lt;$AK219,1,0)</f>
        <v>70</v>
      </c>
      <c r="P219" s="2" t="n">
        <f aca="false">AI219+IF(SUMPRODUCT(--($AL219:$AQ219&gt;AP219))+SUMPRODUCT(--($AL219:AO219=AP219))&lt;$AK219,1,0)</f>
        <v>65</v>
      </c>
      <c r="Q219" s="2" t="n">
        <f aca="false">AJ219+IF(SUMPRODUCT(--($AL219:$AQ219&gt;AQ219))+SUMPRODUCT(--($AL219:AP219=AQ219))&lt;$AK219,1,0)</f>
        <v>85</v>
      </c>
      <c r="R219" s="2" t="n">
        <f aca="false">SUM(L219:Q219)</f>
        <v>500</v>
      </c>
      <c r="S219" s="2" t="n">
        <f aca="false">Settings!$B$4*MAX(INDEX(Bases!$M$2:$M$53,B219),INDEX(Bases!$M$2:$M$53,C219))+Settings!$B$5*MIN(INDEX(Bases!$M$2:$M$53,B219),INDEX(Bases!$M$2:$M$53,C219))</f>
        <v>61.3333333333333</v>
      </c>
      <c r="T219" s="2" t="n">
        <f aca="false">Settings!$B$4*MAX(INDEX(Bases!$N$2:$N$53,B219),INDEX(Bases!$N$2:$N$53,C219))+Settings!$B$5*MIN(INDEX(Bases!$N$2:$N$53,B219),INDEX(Bases!$N$2:$N$53,C219))</f>
        <v>89</v>
      </c>
      <c r="U219" s="2" t="n">
        <f aca="false">Settings!$B$4*MAX(INDEX(Bases!$O$2:$O$53,B219),INDEX(Bases!$O$2:$O$53,C219))+Settings!$B$5*MIN(INDEX(Bases!$O$2:$O$53,B219),INDEX(Bases!$O$2:$O$53,C219))</f>
        <v>94</v>
      </c>
      <c r="V219" s="2" t="n">
        <f aca="false">Settings!$B$4*MAX(INDEX(Bases!$P$2:$P$53,B219),INDEX(Bases!$P$2:$P$53,C219))+Settings!$B$5*MIN(INDEX(Bases!$P$2:$P$53,B219),INDEX(Bases!$P$2:$P$53,C219))</f>
        <v>61</v>
      </c>
      <c r="W219" s="2" t="n">
        <f aca="false">Settings!$B$4*MAX(INDEX(Bases!$Q$2:$Q$53,B219),INDEX(Bases!$Q$2:$Q$53,C219))+Settings!$B$5*MIN(INDEX(Bases!$Q$2:$Q$53,B219),INDEX(Bases!$Q$2:$Q$53,C219))</f>
        <v>56.6666666666667</v>
      </c>
      <c r="X219" s="2" t="n">
        <f aca="false">Settings!$B$4*MAX(INDEX(Bases!$R$2:$R$53,B219),INDEX(Bases!$R$2:$R$53,C219))+Settings!$B$5*MIN(INDEX(Bases!$R$2:$R$53,B219),INDEX(Bases!$R$2:$R$53,C219))</f>
        <v>73.6666666666667</v>
      </c>
      <c r="Y219" s="2" t="n">
        <f aca="false">S219*Settings!$B$3/SUM(S219:X219)</f>
        <v>70.3902065799541</v>
      </c>
      <c r="Z219" s="2" t="n">
        <f aca="false">T219*Settings!$B$3/SUM(S219:X219)</f>
        <v>102.142310635042</v>
      </c>
      <c r="AA219" s="2" t="n">
        <f aca="false">U219*Settings!$B$3/SUM(S219:X219)</f>
        <v>107.880642693191</v>
      </c>
      <c r="AB219" s="2" t="n">
        <f aca="false">V219*Settings!$B$3/SUM(S219:X219)</f>
        <v>70.0076511094109</v>
      </c>
      <c r="AC219" s="2" t="n">
        <f aca="false">W219*Settings!$B$3/SUM(S219:X219)</f>
        <v>65.0344299923489</v>
      </c>
      <c r="AD219" s="2" t="n">
        <f aca="false">X219*Settings!$B$3/SUM(S219:X219)</f>
        <v>84.5447589900536</v>
      </c>
      <c r="AE219" s="2" t="n">
        <f aca="false">INT(Y219)</f>
        <v>70</v>
      </c>
      <c r="AF219" s="2" t="n">
        <f aca="false">INT(Z219)</f>
        <v>102</v>
      </c>
      <c r="AG219" s="2" t="n">
        <f aca="false">INT(AA219)</f>
        <v>107</v>
      </c>
      <c r="AH219" s="2" t="n">
        <f aca="false">INT(AB219)</f>
        <v>70</v>
      </c>
      <c r="AI219" s="2" t="n">
        <f aca="false">INT(AC219)</f>
        <v>65</v>
      </c>
      <c r="AJ219" s="2" t="n">
        <f aca="false">INT(AD219)</f>
        <v>84</v>
      </c>
      <c r="AK219" s="2" t="n">
        <f aca="false">Settings!$B$3-SUM(AE219:AJ219)</f>
        <v>2</v>
      </c>
      <c r="AL219" s="2" t="n">
        <f aca="false">ROUND(Y219-AE219,9)</f>
        <v>0.39020658</v>
      </c>
      <c r="AM219" s="2" t="n">
        <f aca="false">ROUND(Z219-AF219,9)</f>
        <v>0.142310635</v>
      </c>
      <c r="AN219" s="2" t="n">
        <f aca="false">ROUND(AA219-AG219,9)</f>
        <v>0.880642693</v>
      </c>
      <c r="AO219" s="2" t="n">
        <f aca="false">ROUND(AB219-AH219,9)</f>
        <v>0.007651109</v>
      </c>
      <c r="AP219" s="2" t="n">
        <f aca="false">ROUND(AC219-AI219,9)</f>
        <v>0.034429992</v>
      </c>
      <c r="AQ219" s="2" t="n">
        <f aca="false">ROUND(AD219-AJ219,9)</f>
        <v>0.54475899</v>
      </c>
    </row>
    <row r="220" customFormat="false" ht="15" hidden="false" customHeight="false" outlineLevel="0" collapsed="false">
      <c r="A220" s="2" t="n">
        <v>219</v>
      </c>
      <c r="B220" s="6" t="n">
        <v>5</v>
      </c>
      <c r="C220" s="6" t="n">
        <v>26</v>
      </c>
      <c r="D220" s="8" t="str">
        <f aca="false">INDEX(Bases!$B$2:$B$53,B220)</f>
        <v>Cyndaquil</v>
      </c>
      <c r="E220" s="8" t="str">
        <f aca="false">INDEX(Bases!$B$2:$B$53,C220)</f>
        <v>Phanpy</v>
      </c>
      <c r="F220" s="2" t="str">
        <f aca="false">LEFT(D220,ROUNDUP(LEN(D220)/2,0))&amp;LOWER(MID(E220,ROUNDUP(LEN(E220)/2,0)+1,20))</f>
        <v>Cyndanpy</v>
      </c>
      <c r="G220" s="8" t="str">
        <f aca="false">INDEX(Bases!$C$2:$C$53,B220)</f>
        <v>Fire</v>
      </c>
      <c r="H220" s="8" t="str">
        <f aca="false">IF(INDEX(Bases!$C$2:$C$53,C220)=G220,"",INDEX(Bases!$C$2:$C$53,C220))</f>
        <v>Ground</v>
      </c>
      <c r="I220" s="8" t="str">
        <f aca="false">IF(INDEX(Bases!$E$2:$E$53,B220)="","",INDEX(Bases!$E$2:$E$53,B220))</f>
        <v/>
      </c>
      <c r="J220" s="8" t="str">
        <f aca="false">IF(INDEX(Bases!$E$2:$E$53,C220)="","",INDEX(Bases!$E$2:$E$53,C220))</f>
        <v/>
      </c>
      <c r="K220" s="5"/>
      <c r="L220" s="2" t="n">
        <f aca="false">AE220+IF(SUMPRODUCT(--($AL220:$AQ220&gt;AL220))&lt;$AK220,1,0)</f>
        <v>105</v>
      </c>
      <c r="M220" s="2" t="n">
        <f aca="false">AF220+IF(SUMPRODUCT(--($AL220:$AQ220&gt;AM220))+SUMPRODUCT(--($AL220:AL220=AM220))&lt;$AK220,1,0)</f>
        <v>83</v>
      </c>
      <c r="N220" s="2" t="n">
        <f aca="false">AG220+IF(SUMPRODUCT(--($AL220:$AQ220&gt;AN220))+SUMPRODUCT(--($AL220:AM220=AN220))&lt;$AK220,1,0)</f>
        <v>79</v>
      </c>
      <c r="O220" s="2" t="n">
        <f aca="false">AH220+IF(SUMPRODUCT(--($AL220:$AQ220&gt;AO220))+SUMPRODUCT(--($AL220:AN220=AO220))&lt;$AK220,1,0)</f>
        <v>80</v>
      </c>
      <c r="P220" s="2" t="n">
        <f aca="false">AI220+IF(SUMPRODUCT(--($AL220:$AQ220&gt;AP220))+SUMPRODUCT(--($AL220:AO220=AP220))&lt;$AK220,1,0)</f>
        <v>69</v>
      </c>
      <c r="Q220" s="2" t="n">
        <f aca="false">AJ220+IF(SUMPRODUCT(--($AL220:$AQ220&gt;AQ220))+SUMPRODUCT(--($AL220:AP220=AQ220))&lt;$AK220,1,0)</f>
        <v>84</v>
      </c>
      <c r="R220" s="2" t="n">
        <f aca="false">SUM(L220:Q220)</f>
        <v>500</v>
      </c>
      <c r="S220" s="2" t="n">
        <f aca="false">Settings!$B$4*MAX(INDEX(Bases!$M$2:$M$53,B220),INDEX(Bases!$M$2:$M$53,C220))+Settings!$B$5*MIN(INDEX(Bases!$M$2:$M$53,B220),INDEX(Bases!$M$2:$M$53,C220))</f>
        <v>89.3333333333333</v>
      </c>
      <c r="T220" s="2" t="n">
        <f aca="false">Settings!$B$4*MAX(INDEX(Bases!$N$2:$N$53,B220),INDEX(Bases!$N$2:$N$53,C220))+Settings!$B$5*MIN(INDEX(Bases!$N$2:$N$53,B220),INDEX(Bases!$N$2:$N$53,C220))</f>
        <v>71</v>
      </c>
      <c r="U220" s="2" t="n">
        <f aca="false">Settings!$B$4*MAX(INDEX(Bases!$O$2:$O$53,B220),INDEX(Bases!$O$2:$O$53,C220))+Settings!$B$5*MIN(INDEX(Bases!$O$2:$O$53,B220),INDEX(Bases!$O$2:$O$53,C220))</f>
        <v>67.3333333333333</v>
      </c>
      <c r="V220" s="2" t="n">
        <f aca="false">Settings!$B$4*MAX(INDEX(Bases!$P$2:$P$53,B220),INDEX(Bases!$P$2:$P$53,C220))+Settings!$B$5*MIN(INDEX(Bases!$P$2:$P$53,B220),INDEX(Bases!$P$2:$P$53,C220))</f>
        <v>68.3333333333333</v>
      </c>
      <c r="W220" s="2" t="n">
        <f aca="false">Settings!$B$4*MAX(INDEX(Bases!$Q$2:$Q$53,B220),INDEX(Bases!$Q$2:$Q$53,C220))+Settings!$B$5*MIN(INDEX(Bases!$Q$2:$Q$53,B220),INDEX(Bases!$Q$2:$Q$53,C220))</f>
        <v>59.3333333333333</v>
      </c>
      <c r="X220" s="2" t="n">
        <f aca="false">Settings!$B$4*MAX(INDEX(Bases!$R$2:$R$53,B220),INDEX(Bases!$R$2:$R$53,C220))+Settings!$B$5*MIN(INDEX(Bases!$R$2:$R$53,B220),INDEX(Bases!$R$2:$R$53,C220))</f>
        <v>72</v>
      </c>
      <c r="Y220" s="2" t="n">
        <f aca="false">S220*Settings!$B$3/SUM(S220:X220)</f>
        <v>104.524180967239</v>
      </c>
      <c r="Z220" s="2" t="n">
        <f aca="false">T220*Settings!$B$3/SUM(S220:X220)</f>
        <v>83.0733229329173</v>
      </c>
      <c r="AA220" s="2" t="n">
        <f aca="false">U220*Settings!$B$3/SUM(S220:X220)</f>
        <v>78.783151326053</v>
      </c>
      <c r="AB220" s="2" t="n">
        <f aca="false">V220*Settings!$B$3/SUM(S220:X220)</f>
        <v>79.9531981279251</v>
      </c>
      <c r="AC220" s="2" t="n">
        <f aca="false">W220*Settings!$B$3/SUM(S220:X220)</f>
        <v>69.4227769110764</v>
      </c>
      <c r="AD220" s="2" t="n">
        <f aca="false">X220*Settings!$B$3/SUM(S220:X220)</f>
        <v>84.2433697347894</v>
      </c>
      <c r="AE220" s="2" t="n">
        <f aca="false">INT(Y220)</f>
        <v>104</v>
      </c>
      <c r="AF220" s="2" t="n">
        <f aca="false">INT(Z220)</f>
        <v>83</v>
      </c>
      <c r="AG220" s="2" t="n">
        <f aca="false">INT(AA220)</f>
        <v>78</v>
      </c>
      <c r="AH220" s="2" t="n">
        <f aca="false">INT(AB220)</f>
        <v>79</v>
      </c>
      <c r="AI220" s="2" t="n">
        <f aca="false">INT(AC220)</f>
        <v>69</v>
      </c>
      <c r="AJ220" s="2" t="n">
        <f aca="false">INT(AD220)</f>
        <v>84</v>
      </c>
      <c r="AK220" s="2" t="n">
        <f aca="false">Settings!$B$3-SUM(AE220:AJ220)</f>
        <v>3</v>
      </c>
      <c r="AL220" s="2" t="n">
        <f aca="false">ROUND(Y220-AE220,9)</f>
        <v>0.524180967</v>
      </c>
      <c r="AM220" s="2" t="n">
        <f aca="false">ROUND(Z220-AF220,9)</f>
        <v>0.073322933</v>
      </c>
      <c r="AN220" s="2" t="n">
        <f aca="false">ROUND(AA220-AG220,9)</f>
        <v>0.783151326</v>
      </c>
      <c r="AO220" s="2" t="n">
        <f aca="false">ROUND(AB220-AH220,9)</f>
        <v>0.953198128</v>
      </c>
      <c r="AP220" s="2" t="n">
        <f aca="false">ROUND(AC220-AI220,9)</f>
        <v>0.422776911</v>
      </c>
      <c r="AQ220" s="2" t="n">
        <f aca="false">ROUND(AD220-AJ220,9)</f>
        <v>0.243369735</v>
      </c>
    </row>
    <row r="221" customFormat="false" ht="15" hidden="false" customHeight="false" outlineLevel="0" collapsed="false">
      <c r="A221" s="2" t="n">
        <v>220</v>
      </c>
      <c r="B221" s="6" t="n">
        <v>5</v>
      </c>
      <c r="C221" s="6" t="n">
        <v>27</v>
      </c>
      <c r="D221" s="8" t="str">
        <f aca="false">INDEX(Bases!$B$2:$B$53,B221)</f>
        <v>Cyndaquil</v>
      </c>
      <c r="E221" s="8" t="str">
        <f aca="false">INDEX(Bases!$B$2:$B$53,C221)</f>
        <v>Baltoy</v>
      </c>
      <c r="F221" s="2" t="str">
        <f aca="false">LEFT(D221,ROUNDUP(LEN(D221)/2,0))&amp;LOWER(MID(E221,ROUNDUP(LEN(E221)/2,0)+1,20))</f>
        <v>Cyndatoy</v>
      </c>
      <c r="G221" s="8" t="str">
        <f aca="false">INDEX(Bases!$C$2:$C$53,B221)</f>
        <v>Fire</v>
      </c>
      <c r="H221" s="8" t="str">
        <f aca="false">IF(INDEX(Bases!$C$2:$C$53,C221)=G221,"",INDEX(Bases!$C$2:$C$53,C221))</f>
        <v>Ground</v>
      </c>
      <c r="I221" s="8" t="str">
        <f aca="false">IF(INDEX(Bases!$E$2:$E$53,B221)="","",INDEX(Bases!$E$2:$E$53,B221))</f>
        <v/>
      </c>
      <c r="J221" s="8" t="str">
        <f aca="false">IF(INDEX(Bases!$E$2:$E$53,C221)="","",INDEX(Bases!$E$2:$E$53,C221))</f>
        <v/>
      </c>
      <c r="K221" s="5"/>
      <c r="L221" s="2" t="n">
        <f aca="false">AE221+IF(SUMPRODUCT(--($AL221:$AQ221&gt;AL221))&lt;$AK221,1,0)</f>
        <v>63</v>
      </c>
      <c r="M221" s="2" t="n">
        <f aca="false">AF221+IF(SUMPRODUCT(--($AL221:$AQ221&gt;AM221))+SUMPRODUCT(--($AL221:AL221=AM221))&lt;$AK221,1,0)</f>
        <v>75</v>
      </c>
      <c r="N221" s="2" t="n">
        <f aca="false">AG221+IF(SUMPRODUCT(--($AL221:$AQ221&gt;AN221))+SUMPRODUCT(--($AL221:AM221=AN221))&lt;$AK221,1,0)</f>
        <v>81</v>
      </c>
      <c r="O221" s="2" t="n">
        <f aca="false">AH221+IF(SUMPRODUCT(--($AL221:$AQ221&gt;AO221))+SUMPRODUCT(--($AL221:AN221=AO221))&lt;$AK221,1,0)</f>
        <v>84</v>
      </c>
      <c r="P221" s="2" t="n">
        <f aca="false">AI221+IF(SUMPRODUCT(--($AL221:$AQ221&gt;AP221))+SUMPRODUCT(--($AL221:AO221=AP221))&lt;$AK221,1,0)</f>
        <v>101</v>
      </c>
      <c r="Q221" s="2" t="n">
        <f aca="false">AJ221+IF(SUMPRODUCT(--($AL221:$AQ221&gt;AQ221))+SUMPRODUCT(--($AL221:AP221=AQ221))&lt;$AK221,1,0)</f>
        <v>96</v>
      </c>
      <c r="R221" s="2" t="n">
        <f aca="false">SUM(L221:Q221)</f>
        <v>500</v>
      </c>
      <c r="S221" s="2" t="n">
        <f aca="false">Settings!$B$4*MAX(INDEX(Bases!$M$2:$M$53,B221),INDEX(Bases!$M$2:$M$53,C221))+Settings!$B$5*MIN(INDEX(Bases!$M$2:$M$53,B221),INDEX(Bases!$M$2:$M$53,C221))</f>
        <v>52.6666666666667</v>
      </c>
      <c r="T221" s="2" t="n">
        <f aca="false">Settings!$B$4*MAX(INDEX(Bases!$N$2:$N$53,B221),INDEX(Bases!$N$2:$N$53,C221))+Settings!$B$5*MIN(INDEX(Bases!$N$2:$N$53,B221),INDEX(Bases!$N$2:$N$53,C221))</f>
        <v>62.6666666666667</v>
      </c>
      <c r="U221" s="2" t="n">
        <f aca="false">Settings!$B$4*MAX(INDEX(Bases!$O$2:$O$53,B221),INDEX(Bases!$O$2:$O$53,C221))+Settings!$B$5*MIN(INDEX(Bases!$O$2:$O$53,B221),INDEX(Bases!$O$2:$O$53,C221))</f>
        <v>67.3333333333333</v>
      </c>
      <c r="V221" s="2" t="n">
        <f aca="false">Settings!$B$4*MAX(INDEX(Bases!$P$2:$P$53,B221),INDEX(Bases!$P$2:$P$53,C221))+Settings!$B$5*MIN(INDEX(Bases!$P$2:$P$53,B221),INDEX(Bases!$P$2:$P$53,C221))</f>
        <v>69.6666666666667</v>
      </c>
      <c r="W221" s="2" t="n">
        <f aca="false">Settings!$B$4*MAX(INDEX(Bases!$Q$2:$Q$53,B221),INDEX(Bases!$Q$2:$Q$53,C221))+Settings!$B$5*MIN(INDEX(Bases!$Q$2:$Q$53,B221),INDEX(Bases!$Q$2:$Q$53,C221))</f>
        <v>83.6666666666667</v>
      </c>
      <c r="X221" s="2" t="n">
        <f aca="false">Settings!$B$4*MAX(INDEX(Bases!$R$2:$R$53,B221),INDEX(Bases!$R$2:$R$53,C221))+Settings!$B$5*MIN(INDEX(Bases!$R$2:$R$53,B221),INDEX(Bases!$R$2:$R$53,C221))</f>
        <v>80.3333333333333</v>
      </c>
      <c r="Y221" s="2" t="n">
        <f aca="false">S221*Settings!$B$3/SUM(S221:X221)</f>
        <v>63.2506004803843</v>
      </c>
      <c r="Z221" s="2" t="n">
        <f aca="false">T221*Settings!$B$3/SUM(S221:X221)</f>
        <v>75.2602081665332</v>
      </c>
      <c r="AA221" s="2" t="n">
        <f aca="false">U221*Settings!$B$3/SUM(S221:X221)</f>
        <v>80.8646917534027</v>
      </c>
      <c r="AB221" s="2" t="n">
        <f aca="false">V221*Settings!$B$3/SUM(S221:X221)</f>
        <v>83.6669335468375</v>
      </c>
      <c r="AC221" s="2" t="n">
        <f aca="false">W221*Settings!$B$3/SUM(S221:X221)</f>
        <v>100.480384307446</v>
      </c>
      <c r="AD221" s="2" t="n">
        <f aca="false">X221*Settings!$B$3/SUM(S221:X221)</f>
        <v>96.4771817453963</v>
      </c>
      <c r="AE221" s="2" t="n">
        <f aca="false">INT(Y221)</f>
        <v>63</v>
      </c>
      <c r="AF221" s="2" t="n">
        <f aca="false">INT(Z221)</f>
        <v>75</v>
      </c>
      <c r="AG221" s="2" t="n">
        <f aca="false">INT(AA221)</f>
        <v>80</v>
      </c>
      <c r="AH221" s="2" t="n">
        <f aca="false">INT(AB221)</f>
        <v>83</v>
      </c>
      <c r="AI221" s="2" t="n">
        <f aca="false">INT(AC221)</f>
        <v>100</v>
      </c>
      <c r="AJ221" s="2" t="n">
        <f aca="false">INT(AD221)</f>
        <v>96</v>
      </c>
      <c r="AK221" s="2" t="n">
        <f aca="false">Settings!$B$3-SUM(AE221:AJ221)</f>
        <v>3</v>
      </c>
      <c r="AL221" s="2" t="n">
        <f aca="false">ROUND(Y221-AE221,9)</f>
        <v>0.25060048</v>
      </c>
      <c r="AM221" s="2" t="n">
        <f aca="false">ROUND(Z221-AF221,9)</f>
        <v>0.260208167</v>
      </c>
      <c r="AN221" s="2" t="n">
        <f aca="false">ROUND(AA221-AG221,9)</f>
        <v>0.864691753</v>
      </c>
      <c r="AO221" s="2" t="n">
        <f aca="false">ROUND(AB221-AH221,9)</f>
        <v>0.666933547</v>
      </c>
      <c r="AP221" s="2" t="n">
        <f aca="false">ROUND(AC221-AI221,9)</f>
        <v>0.480384307</v>
      </c>
      <c r="AQ221" s="2" t="n">
        <f aca="false">ROUND(AD221-AJ221,9)</f>
        <v>0.477181745</v>
      </c>
    </row>
    <row r="222" customFormat="false" ht="15" hidden="false" customHeight="false" outlineLevel="0" collapsed="false">
      <c r="A222" s="2" t="n">
        <v>221</v>
      </c>
      <c r="B222" s="6" t="n">
        <v>5</v>
      </c>
      <c r="C222" s="6" t="n">
        <v>28</v>
      </c>
      <c r="D222" s="8" t="str">
        <f aca="false">INDEX(Bases!$B$2:$B$53,B222)</f>
        <v>Cyndaquil</v>
      </c>
      <c r="E222" s="8" t="str">
        <f aca="false">INDEX(Bases!$B$2:$B$53,C222)</f>
        <v>Zubat</v>
      </c>
      <c r="F222" s="2" t="str">
        <f aca="false">LEFT(D222,ROUNDUP(LEN(D222)/2,0))&amp;LOWER(MID(E222,ROUNDUP(LEN(E222)/2,0)+1,20))</f>
        <v>Cyndaat</v>
      </c>
      <c r="G222" s="8" t="str">
        <f aca="false">INDEX(Bases!$C$2:$C$53,B222)</f>
        <v>Fire</v>
      </c>
      <c r="H222" s="8" t="str">
        <f aca="false">IF(INDEX(Bases!$C$2:$C$53,C222)=G222,"",INDEX(Bases!$C$2:$C$53,C222))</f>
        <v>Flying</v>
      </c>
      <c r="I222" s="8" t="str">
        <f aca="false">IF(INDEX(Bases!$E$2:$E$53,B222)="","",INDEX(Bases!$E$2:$E$53,B222))</f>
        <v/>
      </c>
      <c r="J222" s="8" t="str">
        <f aca="false">IF(INDEX(Bases!$E$2:$E$53,C222)="","",INDEX(Bases!$E$2:$E$53,C222))</f>
        <v/>
      </c>
      <c r="K222" s="5"/>
      <c r="L222" s="2" t="n">
        <f aca="false">AE222+IF(SUMPRODUCT(--($AL222:$AQ222&gt;AL222))&lt;$AK222,1,0)</f>
        <v>73</v>
      </c>
      <c r="M222" s="2" t="n">
        <f aca="false">AF222+IF(SUMPRODUCT(--($AL222:$AQ222&gt;AM222))+SUMPRODUCT(--($AL222:AL222=AM222))&lt;$AK222,1,0)</f>
        <v>88</v>
      </c>
      <c r="N222" s="2" t="n">
        <f aca="false">AG222+IF(SUMPRODUCT(--($AL222:$AQ222&gt;AN222))+SUMPRODUCT(--($AL222:AM222=AN222))&lt;$AK222,1,0)</f>
        <v>69</v>
      </c>
      <c r="O222" s="2" t="n">
        <f aca="false">AH222+IF(SUMPRODUCT(--($AL222:$AQ222&gt;AO222))+SUMPRODUCT(--($AL222:AN222=AO222))&lt;$AK222,1,0)</f>
        <v>83</v>
      </c>
      <c r="P222" s="2" t="n">
        <f aca="false">AI222+IF(SUMPRODUCT(--($AL222:$AQ222&gt;AP222))+SUMPRODUCT(--($AL222:AO222=AP222))&lt;$AK222,1,0)</f>
        <v>79</v>
      </c>
      <c r="Q222" s="2" t="n">
        <f aca="false">AJ222+IF(SUMPRODUCT(--($AL222:$AQ222&gt;AQ222))+SUMPRODUCT(--($AL222:AP222=AQ222))&lt;$AK222,1,0)</f>
        <v>108</v>
      </c>
      <c r="R222" s="2" t="n">
        <f aca="false">SUM(L222:Q222)</f>
        <v>500</v>
      </c>
      <c r="S222" s="2" t="n">
        <f aca="false">Settings!$B$4*MAX(INDEX(Bases!$M$2:$M$53,B222),INDEX(Bases!$M$2:$M$53,C222))+Settings!$B$5*MIN(INDEX(Bases!$M$2:$M$53,B222),INDEX(Bases!$M$2:$M$53,C222))</f>
        <v>60</v>
      </c>
      <c r="T222" s="2" t="n">
        <f aca="false">Settings!$B$4*MAX(INDEX(Bases!$N$2:$N$53,B222),INDEX(Bases!$N$2:$N$53,C222))+Settings!$B$5*MIN(INDEX(Bases!$N$2:$N$53,B222),INDEX(Bases!$N$2:$N$53,C222))</f>
        <v>71.6666666666667</v>
      </c>
      <c r="U222" s="2" t="n">
        <f aca="false">Settings!$B$4*MAX(INDEX(Bases!$O$2:$O$53,B222),INDEX(Bases!$O$2:$O$53,C222))+Settings!$B$5*MIN(INDEX(Bases!$O$2:$O$53,B222),INDEX(Bases!$O$2:$O$53,C222))</f>
        <v>56.6666666666667</v>
      </c>
      <c r="V222" s="2" t="n">
        <f aca="false">Settings!$B$4*MAX(INDEX(Bases!$P$2:$P$53,B222),INDEX(Bases!$P$2:$P$53,C222))+Settings!$B$5*MIN(INDEX(Bases!$P$2:$P$53,B222),INDEX(Bases!$P$2:$P$53,C222))</f>
        <v>68.3333333333333</v>
      </c>
      <c r="W222" s="2" t="n">
        <f aca="false">Settings!$B$4*MAX(INDEX(Bases!$Q$2:$Q$53,B222),INDEX(Bases!$Q$2:$Q$53,C222))+Settings!$B$5*MIN(INDEX(Bases!$Q$2:$Q$53,B222),INDEX(Bases!$Q$2:$Q$53,C222))</f>
        <v>65</v>
      </c>
      <c r="X222" s="2" t="n">
        <f aca="false">Settings!$B$4*MAX(INDEX(Bases!$R$2:$R$53,B222),INDEX(Bases!$R$2:$R$53,C222))+Settings!$B$5*MIN(INDEX(Bases!$R$2:$R$53,B222),INDEX(Bases!$R$2:$R$53,C222))</f>
        <v>88</v>
      </c>
      <c r="Y222" s="2" t="n">
        <f aca="false">S222*Settings!$B$3/SUM(S222:X222)</f>
        <v>73.2302685109845</v>
      </c>
      <c r="Z222" s="2" t="n">
        <f aca="false">T222*Settings!$B$3/SUM(S222:X222)</f>
        <v>87.4694873881204</v>
      </c>
      <c r="AA222" s="2" t="n">
        <f aca="false">U222*Settings!$B$3/SUM(S222:X222)</f>
        <v>69.1619202603743</v>
      </c>
      <c r="AB222" s="2" t="n">
        <f aca="false">V222*Settings!$B$3/SUM(S222:X222)</f>
        <v>83.4011391375102</v>
      </c>
      <c r="AC222" s="2" t="n">
        <f aca="false">W222*Settings!$B$3/SUM(S222:X222)</f>
        <v>79.3327908868999</v>
      </c>
      <c r="AD222" s="2" t="n">
        <f aca="false">X222*Settings!$B$3/SUM(S222:X222)</f>
        <v>107.404393816111</v>
      </c>
      <c r="AE222" s="2" t="n">
        <f aca="false">INT(Y222)</f>
        <v>73</v>
      </c>
      <c r="AF222" s="2" t="n">
        <f aca="false">INT(Z222)</f>
        <v>87</v>
      </c>
      <c r="AG222" s="2" t="n">
        <f aca="false">INT(AA222)</f>
        <v>69</v>
      </c>
      <c r="AH222" s="2" t="n">
        <f aca="false">INT(AB222)</f>
        <v>83</v>
      </c>
      <c r="AI222" s="2" t="n">
        <f aca="false">INT(AC222)</f>
        <v>79</v>
      </c>
      <c r="AJ222" s="2" t="n">
        <f aca="false">INT(AD222)</f>
        <v>107</v>
      </c>
      <c r="AK222" s="2" t="n">
        <f aca="false">Settings!$B$3-SUM(AE222:AJ222)</f>
        <v>2</v>
      </c>
      <c r="AL222" s="2" t="n">
        <f aca="false">ROUND(Y222-AE222,9)</f>
        <v>0.230268511</v>
      </c>
      <c r="AM222" s="2" t="n">
        <f aca="false">ROUND(Z222-AF222,9)</f>
        <v>0.469487388</v>
      </c>
      <c r="AN222" s="2" t="n">
        <f aca="false">ROUND(AA222-AG222,9)</f>
        <v>0.16192026</v>
      </c>
      <c r="AO222" s="2" t="n">
        <f aca="false">ROUND(AB222-AH222,9)</f>
        <v>0.401139138</v>
      </c>
      <c r="AP222" s="2" t="n">
        <f aca="false">ROUND(AC222-AI222,9)</f>
        <v>0.332790887</v>
      </c>
      <c r="AQ222" s="2" t="n">
        <f aca="false">ROUND(AD222-AJ222,9)</f>
        <v>0.404393816</v>
      </c>
    </row>
    <row r="223" customFormat="false" ht="15" hidden="false" customHeight="false" outlineLevel="0" collapsed="false">
      <c r="A223" s="2" t="n">
        <v>222</v>
      </c>
      <c r="B223" s="6" t="n">
        <v>5</v>
      </c>
      <c r="C223" s="6" t="n">
        <v>29</v>
      </c>
      <c r="D223" s="8" t="str">
        <f aca="false">INDEX(Bases!$B$2:$B$53,B223)</f>
        <v>Cyndaquil</v>
      </c>
      <c r="E223" s="8" t="str">
        <f aca="false">INDEX(Bases!$B$2:$B$53,C223)</f>
        <v>Murkrow</v>
      </c>
      <c r="F223" s="2" t="str">
        <f aca="false">LEFT(D223,ROUNDUP(LEN(D223)/2,0))&amp;LOWER(MID(E223,ROUNDUP(LEN(E223)/2,0)+1,20))</f>
        <v>Cyndarow</v>
      </c>
      <c r="G223" s="8" t="str">
        <f aca="false">INDEX(Bases!$C$2:$C$53,B223)</f>
        <v>Fire</v>
      </c>
      <c r="H223" s="8" t="str">
        <f aca="false">IF(INDEX(Bases!$C$2:$C$53,C223)=G223,"",INDEX(Bases!$C$2:$C$53,C223))</f>
        <v>Flying</v>
      </c>
      <c r="I223" s="8" t="str">
        <f aca="false">IF(INDEX(Bases!$E$2:$E$53,B223)="","",INDEX(Bases!$E$2:$E$53,B223))</f>
        <v/>
      </c>
      <c r="J223" s="8" t="str">
        <f aca="false">IF(INDEX(Bases!$E$2:$E$53,C223)="","",INDEX(Bases!$E$2:$E$53,C223))</f>
        <v/>
      </c>
      <c r="K223" s="5"/>
      <c r="L223" s="2" t="n">
        <f aca="false">AE223+IF(SUMPRODUCT(--($AL223:$AQ223&gt;AL223))&lt;$AK223,1,0)</f>
        <v>68</v>
      </c>
      <c r="M223" s="2" t="n">
        <f aca="false">AF223+IF(SUMPRODUCT(--($AL223:$AQ223&gt;AM223))+SUMPRODUCT(--($AL223:AL223=AM223))&lt;$AK223,1,0)</f>
        <v>95</v>
      </c>
      <c r="N223" s="2" t="n">
        <f aca="false">AG223+IF(SUMPRODUCT(--($AL223:$AQ223&gt;AN223))+SUMPRODUCT(--($AL223:AM223=AN223))&lt;$AK223,1,0)</f>
        <v>62</v>
      </c>
      <c r="O223" s="2" t="n">
        <f aca="false">AH223+IF(SUMPRODUCT(--($AL223:$AQ223&gt;AO223))+SUMPRODUCT(--($AL223:AN223=AO223))&lt;$AK223,1,0)</f>
        <v>99</v>
      </c>
      <c r="P223" s="2" t="n">
        <f aca="false">AI223+IF(SUMPRODUCT(--($AL223:$AQ223&gt;AP223))+SUMPRODUCT(--($AL223:AO223=AP223))&lt;$AK223,1,0)</f>
        <v>69</v>
      </c>
      <c r="Q223" s="2" t="n">
        <f aca="false">AJ223+IF(SUMPRODUCT(--($AL223:$AQ223&gt;AQ223))+SUMPRODUCT(--($AL223:AP223=AQ223))&lt;$AK223,1,0)</f>
        <v>107</v>
      </c>
      <c r="R223" s="2" t="n">
        <f aca="false">SUM(L223:Q223)</f>
        <v>500</v>
      </c>
      <c r="S223" s="2" t="n">
        <f aca="false">Settings!$B$4*MAX(INDEX(Bases!$M$2:$M$53,B223),INDEX(Bases!$M$2:$M$53,C223))+Settings!$B$5*MIN(INDEX(Bases!$M$2:$M$53,B223),INDEX(Bases!$M$2:$M$53,C223))</f>
        <v>56</v>
      </c>
      <c r="T223" s="2" t="n">
        <f aca="false">Settings!$B$4*MAX(INDEX(Bases!$N$2:$N$53,B223),INDEX(Bases!$N$2:$N$53,C223))+Settings!$B$5*MIN(INDEX(Bases!$N$2:$N$53,B223),INDEX(Bases!$N$2:$N$53,C223))</f>
        <v>78.3333333333333</v>
      </c>
      <c r="U223" s="2" t="n">
        <f aca="false">Settings!$B$4*MAX(INDEX(Bases!$O$2:$O$53,B223),INDEX(Bases!$O$2:$O$53,C223))+Settings!$B$5*MIN(INDEX(Bases!$O$2:$O$53,B223),INDEX(Bases!$O$2:$O$53,C223))</f>
        <v>51.3333333333333</v>
      </c>
      <c r="V223" s="2" t="n">
        <f aca="false">Settings!$B$4*MAX(INDEX(Bases!$P$2:$P$53,B223),INDEX(Bases!$P$2:$P$53,C223))+Settings!$B$5*MIN(INDEX(Bases!$P$2:$P$53,B223),INDEX(Bases!$P$2:$P$53,C223))</f>
        <v>82</v>
      </c>
      <c r="W223" s="2" t="n">
        <f aca="false">Settings!$B$4*MAX(INDEX(Bases!$Q$2:$Q$53,B223),INDEX(Bases!$Q$2:$Q$53,C223))+Settings!$B$5*MIN(INDEX(Bases!$Q$2:$Q$53,B223),INDEX(Bases!$Q$2:$Q$53,C223))</f>
        <v>57</v>
      </c>
      <c r="X223" s="2" t="n">
        <f aca="false">Settings!$B$4*MAX(INDEX(Bases!$R$2:$R$53,B223),INDEX(Bases!$R$2:$R$53,C223))+Settings!$B$5*MIN(INDEX(Bases!$R$2:$R$53,B223),INDEX(Bases!$R$2:$R$53,C223))</f>
        <v>88</v>
      </c>
      <c r="Y223" s="2" t="n">
        <f aca="false">S223*Settings!$B$3/SUM(S223:X223)</f>
        <v>67.8513731825525</v>
      </c>
      <c r="Z223" s="2" t="n">
        <f aca="false">T223*Settings!$B$3/SUM(S223:X223)</f>
        <v>94.9111470113086</v>
      </c>
      <c r="AA223" s="2" t="n">
        <f aca="false">U223*Settings!$B$3/SUM(S223:X223)</f>
        <v>62.1970920840065</v>
      </c>
      <c r="AB223" s="2" t="n">
        <f aca="false">V223*Settings!$B$3/SUM(S223:X223)</f>
        <v>99.3537964458805</v>
      </c>
      <c r="AC223" s="2" t="n">
        <f aca="false">W223*Settings!$B$3/SUM(S223:X223)</f>
        <v>69.0630048465267</v>
      </c>
      <c r="AD223" s="2" t="n">
        <f aca="false">X223*Settings!$B$3/SUM(S223:X223)</f>
        <v>106.623586429725</v>
      </c>
      <c r="AE223" s="2" t="n">
        <f aca="false">INT(Y223)</f>
        <v>67</v>
      </c>
      <c r="AF223" s="2" t="n">
        <f aca="false">INT(Z223)</f>
        <v>94</v>
      </c>
      <c r="AG223" s="2" t="n">
        <f aca="false">INT(AA223)</f>
        <v>62</v>
      </c>
      <c r="AH223" s="2" t="n">
        <f aca="false">INT(AB223)</f>
        <v>99</v>
      </c>
      <c r="AI223" s="2" t="n">
        <f aca="false">INT(AC223)</f>
        <v>69</v>
      </c>
      <c r="AJ223" s="2" t="n">
        <f aca="false">INT(AD223)</f>
        <v>106</v>
      </c>
      <c r="AK223" s="2" t="n">
        <f aca="false">Settings!$B$3-SUM(AE223:AJ223)</f>
        <v>3</v>
      </c>
      <c r="AL223" s="2" t="n">
        <f aca="false">ROUND(Y223-AE223,9)</f>
        <v>0.851373183</v>
      </c>
      <c r="AM223" s="2" t="n">
        <f aca="false">ROUND(Z223-AF223,9)</f>
        <v>0.911147011</v>
      </c>
      <c r="AN223" s="2" t="n">
        <f aca="false">ROUND(AA223-AG223,9)</f>
        <v>0.197092084</v>
      </c>
      <c r="AO223" s="2" t="n">
        <f aca="false">ROUND(AB223-AH223,9)</f>
        <v>0.353796446</v>
      </c>
      <c r="AP223" s="2" t="n">
        <f aca="false">ROUND(AC223-AI223,9)</f>
        <v>0.063004847</v>
      </c>
      <c r="AQ223" s="2" t="n">
        <f aca="false">ROUND(AD223-AJ223,9)</f>
        <v>0.62358643</v>
      </c>
    </row>
    <row r="224" customFormat="false" ht="15" hidden="false" customHeight="false" outlineLevel="0" collapsed="false">
      <c r="A224" s="2" t="n">
        <v>223</v>
      </c>
      <c r="B224" s="6" t="n">
        <v>5</v>
      </c>
      <c r="C224" s="6" t="n">
        <v>30</v>
      </c>
      <c r="D224" s="8" t="str">
        <f aca="false">INDEX(Bases!$B$2:$B$53,B224)</f>
        <v>Cyndaquil</v>
      </c>
      <c r="E224" s="8" t="str">
        <f aca="false">INDEX(Bases!$B$2:$B$53,C224)</f>
        <v>Swablu</v>
      </c>
      <c r="F224" s="2" t="str">
        <f aca="false">LEFT(D224,ROUNDUP(LEN(D224)/2,0))&amp;LOWER(MID(E224,ROUNDUP(LEN(E224)/2,0)+1,20))</f>
        <v>Cyndablu</v>
      </c>
      <c r="G224" s="8" t="str">
        <f aca="false">INDEX(Bases!$C$2:$C$53,B224)</f>
        <v>Fire</v>
      </c>
      <c r="H224" s="8" t="str">
        <f aca="false">IF(INDEX(Bases!$C$2:$C$53,C224)=G224,"",INDEX(Bases!$C$2:$C$53,C224))</f>
        <v>Flying</v>
      </c>
      <c r="I224" s="8" t="str">
        <f aca="false">IF(INDEX(Bases!$E$2:$E$53,B224)="","",INDEX(Bases!$E$2:$E$53,B224))</f>
        <v/>
      </c>
      <c r="J224" s="8" t="str">
        <f aca="false">IF(INDEX(Bases!$E$2:$E$53,C224)="","",INDEX(Bases!$E$2:$E$53,C224))</f>
        <v/>
      </c>
      <c r="K224" s="5"/>
      <c r="L224" s="2" t="n">
        <f aca="false">AE224+IF(SUMPRODUCT(--($AL224:$AQ224&gt;AL224))&lt;$AK224,1,0)</f>
        <v>66</v>
      </c>
      <c r="M224" s="2" t="n">
        <f aca="false">AF224+IF(SUMPRODUCT(--($AL224:$AQ224&gt;AM224))+SUMPRODUCT(--($AL224:AL224=AM224))&lt;$AK224,1,0)</f>
        <v>74</v>
      </c>
      <c r="N224" s="2" t="n">
        <f aca="false">AG224+IF(SUMPRODUCT(--($AL224:$AQ224&gt;AN224))+SUMPRODUCT(--($AL224:AM224=AN224))&lt;$AK224,1,0)</f>
        <v>83</v>
      </c>
      <c r="O224" s="2" t="n">
        <f aca="false">AH224+IF(SUMPRODUCT(--($AL224:$AQ224&gt;AO224))+SUMPRODUCT(--($AL224:AN224=AO224))&lt;$AK224,1,0)</f>
        <v>82</v>
      </c>
      <c r="P224" s="2" t="n">
        <f aca="false">AI224+IF(SUMPRODUCT(--($AL224:$AQ224&gt;AP224))+SUMPRODUCT(--($AL224:AO224=AP224))&lt;$AK224,1,0)</f>
        <v>103</v>
      </c>
      <c r="Q224" s="2" t="n">
        <f aca="false">AJ224+IF(SUMPRODUCT(--($AL224:$AQ224&gt;AQ224))+SUMPRODUCT(--($AL224:AP224=AQ224))&lt;$AK224,1,0)</f>
        <v>92</v>
      </c>
      <c r="R224" s="2" t="n">
        <f aca="false">SUM(L224:Q224)</f>
        <v>500</v>
      </c>
      <c r="S224" s="2" t="n">
        <f aca="false">Settings!$B$4*MAX(INDEX(Bases!$M$2:$M$53,B224),INDEX(Bases!$M$2:$M$53,C224))+Settings!$B$5*MIN(INDEX(Bases!$M$2:$M$53,B224),INDEX(Bases!$M$2:$M$53,C224))</f>
        <v>55.3333333333333</v>
      </c>
      <c r="T224" s="2" t="n">
        <f aca="false">Settings!$B$4*MAX(INDEX(Bases!$N$2:$N$53,B224),INDEX(Bases!$N$2:$N$53,C224))+Settings!$B$5*MIN(INDEX(Bases!$N$2:$N$53,B224),INDEX(Bases!$N$2:$N$53,C224))</f>
        <v>62</v>
      </c>
      <c r="U224" s="2" t="n">
        <f aca="false">Settings!$B$4*MAX(INDEX(Bases!$O$2:$O$53,B224),INDEX(Bases!$O$2:$O$53,C224))+Settings!$B$5*MIN(INDEX(Bases!$O$2:$O$53,B224),INDEX(Bases!$O$2:$O$53,C224))</f>
        <v>70</v>
      </c>
      <c r="V224" s="2" t="n">
        <f aca="false">Settings!$B$4*MAX(INDEX(Bases!$P$2:$P$53,B224),INDEX(Bases!$P$2:$P$53,C224))+Settings!$B$5*MIN(INDEX(Bases!$P$2:$P$53,B224),INDEX(Bases!$P$2:$P$53,C224))</f>
        <v>69.3333333333333</v>
      </c>
      <c r="W224" s="2" t="n">
        <f aca="false">Settings!$B$4*MAX(INDEX(Bases!$Q$2:$Q$53,B224),INDEX(Bases!$Q$2:$Q$53,C224))+Settings!$B$5*MIN(INDEX(Bases!$Q$2:$Q$53,B224),INDEX(Bases!$Q$2:$Q$53,C224))</f>
        <v>86.3333333333333</v>
      </c>
      <c r="X224" s="2" t="n">
        <f aca="false">Settings!$B$4*MAX(INDEX(Bases!$R$2:$R$53,B224),INDEX(Bases!$R$2:$R$53,C224))+Settings!$B$5*MIN(INDEX(Bases!$R$2:$R$53,B224),INDEX(Bases!$R$2:$R$53,C224))</f>
        <v>77.3333333333333</v>
      </c>
      <c r="Y224" s="2" t="n">
        <f aca="false">S224*Settings!$B$3/SUM(S224:X224)</f>
        <v>65.8207771609833</v>
      </c>
      <c r="Z224" s="2" t="n">
        <f aca="false">T224*Settings!$B$3/SUM(S224:X224)</f>
        <v>73.7509912767645</v>
      </c>
      <c r="AA224" s="2" t="n">
        <f aca="false">U224*Settings!$B$3/SUM(S224:X224)</f>
        <v>83.2672482157018</v>
      </c>
      <c r="AB224" s="2" t="n">
        <f aca="false">V224*Settings!$B$3/SUM(S224:X224)</f>
        <v>82.4742268041237</v>
      </c>
      <c r="AC224" s="2" t="n">
        <f aca="false">W224*Settings!$B$3/SUM(S224:X224)</f>
        <v>102.696272799366</v>
      </c>
      <c r="AD224" s="2" t="n">
        <f aca="false">X224*Settings!$B$3/SUM(S224:X224)</f>
        <v>91.9904837430611</v>
      </c>
      <c r="AE224" s="2" t="n">
        <f aca="false">INT(Y224)</f>
        <v>65</v>
      </c>
      <c r="AF224" s="2" t="n">
        <f aca="false">INT(Z224)</f>
        <v>73</v>
      </c>
      <c r="AG224" s="2" t="n">
        <f aca="false">INT(AA224)</f>
        <v>83</v>
      </c>
      <c r="AH224" s="2" t="n">
        <f aca="false">INT(AB224)</f>
        <v>82</v>
      </c>
      <c r="AI224" s="2" t="n">
        <f aca="false">INT(AC224)</f>
        <v>102</v>
      </c>
      <c r="AJ224" s="2" t="n">
        <f aca="false">INT(AD224)</f>
        <v>91</v>
      </c>
      <c r="AK224" s="2" t="n">
        <f aca="false">Settings!$B$3-SUM(AE224:AJ224)</f>
        <v>4</v>
      </c>
      <c r="AL224" s="2" t="n">
        <f aca="false">ROUND(Y224-AE224,9)</f>
        <v>0.820777161</v>
      </c>
      <c r="AM224" s="2" t="n">
        <f aca="false">ROUND(Z224-AF224,9)</f>
        <v>0.750991277</v>
      </c>
      <c r="AN224" s="2" t="n">
        <f aca="false">ROUND(AA224-AG224,9)</f>
        <v>0.267248216</v>
      </c>
      <c r="AO224" s="2" t="n">
        <f aca="false">ROUND(AB224-AH224,9)</f>
        <v>0.474226804</v>
      </c>
      <c r="AP224" s="2" t="n">
        <f aca="false">ROUND(AC224-AI224,9)</f>
        <v>0.696272799</v>
      </c>
      <c r="AQ224" s="2" t="n">
        <f aca="false">ROUND(AD224-AJ224,9)</f>
        <v>0.990483743</v>
      </c>
    </row>
    <row r="225" customFormat="false" ht="15" hidden="false" customHeight="false" outlineLevel="0" collapsed="false">
      <c r="A225" s="2" t="n">
        <v>224</v>
      </c>
      <c r="B225" s="6" t="n">
        <v>5</v>
      </c>
      <c r="C225" s="6" t="n">
        <v>31</v>
      </c>
      <c r="D225" s="8" t="str">
        <f aca="false">INDEX(Bases!$B$2:$B$53,B225)</f>
        <v>Cyndaquil</v>
      </c>
      <c r="E225" s="8" t="str">
        <f aca="false">INDEX(Bases!$B$2:$B$53,C225)</f>
        <v>Mew</v>
      </c>
      <c r="F225" s="2" t="str">
        <f aca="false">LEFT(D225,ROUNDUP(LEN(D225)/2,0))&amp;LOWER(MID(E225,ROUNDUP(LEN(E225)/2,0)+1,20))</f>
        <v>Cyndaw</v>
      </c>
      <c r="G225" s="8" t="str">
        <f aca="false">INDEX(Bases!$C$2:$C$53,B225)</f>
        <v>Fire</v>
      </c>
      <c r="H225" s="8" t="str">
        <f aca="false">IF(INDEX(Bases!$C$2:$C$53,C225)=G225,"",INDEX(Bases!$C$2:$C$53,C225))</f>
        <v>Psychic</v>
      </c>
      <c r="I225" s="8" t="str">
        <f aca="false">IF(INDEX(Bases!$E$2:$E$53,B225)="","",INDEX(Bases!$E$2:$E$53,B225))</f>
        <v/>
      </c>
      <c r="J225" s="8" t="str">
        <f aca="false">IF(INDEX(Bases!$E$2:$E$53,C225)="","",INDEX(Bases!$E$2:$E$53,C225))</f>
        <v/>
      </c>
      <c r="K225" s="5"/>
      <c r="L225" s="2" t="n">
        <f aca="false">AE225+IF(SUMPRODUCT(--($AL225:$AQ225&gt;AL225))&lt;$AK225,1,0)</f>
        <v>75</v>
      </c>
      <c r="M225" s="2" t="n">
        <f aca="false">AF225+IF(SUMPRODUCT(--($AL225:$AQ225&gt;AM225))+SUMPRODUCT(--($AL225:AL225=AM225))&lt;$AK225,1,0)</f>
        <v>82</v>
      </c>
      <c r="N225" s="2" t="n">
        <f aca="false">AG225+IF(SUMPRODUCT(--($AL225:$AQ225&gt;AN225))+SUMPRODUCT(--($AL225:AM225=AN225))&lt;$AK225,1,0)</f>
        <v>77</v>
      </c>
      <c r="O225" s="2" t="n">
        <f aca="false">AH225+IF(SUMPRODUCT(--($AL225:$AQ225&gt;AO225))+SUMPRODUCT(--($AL225:AN225=AO225))&lt;$AK225,1,0)</f>
        <v>91</v>
      </c>
      <c r="P225" s="2" t="n">
        <f aca="false">AI225+IF(SUMPRODUCT(--($AL225:$AQ225&gt;AP225))+SUMPRODUCT(--($AL225:AO225=AP225))&lt;$AK225,1,0)</f>
        <v>80</v>
      </c>
      <c r="Q225" s="2" t="n">
        <f aca="false">AJ225+IF(SUMPRODUCT(--($AL225:$AQ225&gt;AQ225))+SUMPRODUCT(--($AL225:AP225=AQ225))&lt;$AK225,1,0)</f>
        <v>95</v>
      </c>
      <c r="R225" s="2" t="n">
        <f aca="false">SUM(L225:Q225)</f>
        <v>500</v>
      </c>
      <c r="S225" s="2" t="n">
        <f aca="false">Settings!$B$4*MAX(INDEX(Bases!$M$2:$M$53,B225),INDEX(Bases!$M$2:$M$53,C225))+Settings!$B$5*MIN(INDEX(Bases!$M$2:$M$53,B225),INDEX(Bases!$M$2:$M$53,C225))</f>
        <v>61.3333333333333</v>
      </c>
      <c r="T225" s="2" t="n">
        <f aca="false">Settings!$B$4*MAX(INDEX(Bases!$N$2:$N$53,B225),INDEX(Bases!$N$2:$N$53,C225))+Settings!$B$5*MIN(INDEX(Bases!$N$2:$N$53,B225),INDEX(Bases!$N$2:$N$53,C225))</f>
        <v>67</v>
      </c>
      <c r="U225" s="2" t="n">
        <f aca="false">Settings!$B$4*MAX(INDEX(Bases!$O$2:$O$53,B225),INDEX(Bases!$O$2:$O$53,C225))+Settings!$B$5*MIN(INDEX(Bases!$O$2:$O$53,B225),INDEX(Bases!$O$2:$O$53,C225))</f>
        <v>63.3333333333333</v>
      </c>
      <c r="V225" s="2" t="n">
        <f aca="false">Settings!$B$4*MAX(INDEX(Bases!$P$2:$P$53,B225),INDEX(Bases!$P$2:$P$53,C225))+Settings!$B$5*MIN(INDEX(Bases!$P$2:$P$53,B225),INDEX(Bases!$P$2:$P$53,C225))</f>
        <v>74.3333333333333</v>
      </c>
      <c r="W225" s="2" t="n">
        <f aca="false">Settings!$B$4*MAX(INDEX(Bases!$Q$2:$Q$53,B225),INDEX(Bases!$Q$2:$Q$53,C225))+Settings!$B$5*MIN(INDEX(Bases!$Q$2:$Q$53,B225),INDEX(Bases!$Q$2:$Q$53,C225))</f>
        <v>65.6666666666667</v>
      </c>
      <c r="X225" s="2" t="n">
        <f aca="false">Settings!$B$4*MAX(INDEX(Bases!$R$2:$R$53,B225),INDEX(Bases!$R$2:$R$53,C225))+Settings!$B$5*MIN(INDEX(Bases!$R$2:$R$53,B225),INDEX(Bases!$R$2:$R$53,C225))</f>
        <v>78</v>
      </c>
      <c r="Y225" s="2" t="n">
        <f aca="false">S225*Settings!$B$3/SUM(S225:X225)</f>
        <v>74.8576078112286</v>
      </c>
      <c r="Z225" s="2" t="n">
        <f aca="false">T225*Settings!$B$3/SUM(S225:X225)</f>
        <v>81.7737998372661</v>
      </c>
      <c r="AA225" s="2" t="n">
        <f aca="false">U225*Settings!$B$3/SUM(S225:X225)</f>
        <v>77.2986167615948</v>
      </c>
      <c r="AB225" s="2" t="n">
        <f aca="false">V225*Settings!$B$3/SUM(S225:X225)</f>
        <v>90.7241659886086</v>
      </c>
      <c r="AC225" s="2" t="n">
        <f aca="false">W225*Settings!$B$3/SUM(S225:X225)</f>
        <v>80.146460537022</v>
      </c>
      <c r="AD225" s="2" t="n">
        <f aca="false">X225*Settings!$B$3/SUM(S225:X225)</f>
        <v>95.1993490642799</v>
      </c>
      <c r="AE225" s="2" t="n">
        <f aca="false">INT(Y225)</f>
        <v>74</v>
      </c>
      <c r="AF225" s="2" t="n">
        <f aca="false">INT(Z225)</f>
        <v>81</v>
      </c>
      <c r="AG225" s="2" t="n">
        <f aca="false">INT(AA225)</f>
        <v>77</v>
      </c>
      <c r="AH225" s="2" t="n">
        <f aca="false">INT(AB225)</f>
        <v>90</v>
      </c>
      <c r="AI225" s="2" t="n">
        <f aca="false">INT(AC225)</f>
        <v>80</v>
      </c>
      <c r="AJ225" s="2" t="n">
        <f aca="false">INT(AD225)</f>
        <v>95</v>
      </c>
      <c r="AK225" s="2" t="n">
        <f aca="false">Settings!$B$3-SUM(AE225:AJ225)</f>
        <v>3</v>
      </c>
      <c r="AL225" s="2" t="n">
        <f aca="false">ROUND(Y225-AE225,9)</f>
        <v>0.857607811</v>
      </c>
      <c r="AM225" s="2" t="n">
        <f aca="false">ROUND(Z225-AF225,9)</f>
        <v>0.773799837</v>
      </c>
      <c r="AN225" s="2" t="n">
        <f aca="false">ROUND(AA225-AG225,9)</f>
        <v>0.298616762</v>
      </c>
      <c r="AO225" s="2" t="n">
        <f aca="false">ROUND(AB225-AH225,9)</f>
        <v>0.724165989</v>
      </c>
      <c r="AP225" s="2" t="n">
        <f aca="false">ROUND(AC225-AI225,9)</f>
        <v>0.146460537</v>
      </c>
      <c r="AQ225" s="2" t="n">
        <f aca="false">ROUND(AD225-AJ225,9)</f>
        <v>0.199349064</v>
      </c>
    </row>
    <row r="226" customFormat="false" ht="15" hidden="false" customHeight="false" outlineLevel="0" collapsed="false">
      <c r="A226" s="2" t="n">
        <v>225</v>
      </c>
      <c r="B226" s="6" t="n">
        <v>5</v>
      </c>
      <c r="C226" s="6" t="n">
        <v>32</v>
      </c>
      <c r="D226" s="8" t="str">
        <f aca="false">INDEX(Bases!$B$2:$B$53,B226)</f>
        <v>Cyndaquil</v>
      </c>
      <c r="E226" s="8" t="str">
        <f aca="false">INDEX(Bases!$B$2:$B$53,C226)</f>
        <v>Spoink</v>
      </c>
      <c r="F226" s="2" t="str">
        <f aca="false">LEFT(D226,ROUNDUP(LEN(D226)/2,0))&amp;LOWER(MID(E226,ROUNDUP(LEN(E226)/2,0)+1,20))</f>
        <v>Cyndaink</v>
      </c>
      <c r="G226" s="8" t="str">
        <f aca="false">INDEX(Bases!$C$2:$C$53,B226)</f>
        <v>Fire</v>
      </c>
      <c r="H226" s="8" t="str">
        <f aca="false">IF(INDEX(Bases!$C$2:$C$53,C226)=G226,"",INDEX(Bases!$C$2:$C$53,C226))</f>
        <v>Psychic</v>
      </c>
      <c r="I226" s="8" t="str">
        <f aca="false">IF(INDEX(Bases!$E$2:$E$53,B226)="","",INDEX(Bases!$E$2:$E$53,B226))</f>
        <v/>
      </c>
      <c r="J226" s="8" t="str">
        <f aca="false">IF(INDEX(Bases!$E$2:$E$53,C226)="","",INDEX(Bases!$E$2:$E$53,C226))</f>
        <v/>
      </c>
      <c r="K226" s="5"/>
      <c r="L226" s="2" t="n">
        <f aca="false">AE226+IF(SUMPRODUCT(--($AL226:$AQ226&gt;AL226))&lt;$AK226,1,0)</f>
        <v>78</v>
      </c>
      <c r="M226" s="2" t="n">
        <f aca="false">AF226+IF(SUMPRODUCT(--($AL226:$AQ226&gt;AM226))+SUMPRODUCT(--($AL226:AL226=AM226))&lt;$AK226,1,0)</f>
        <v>65</v>
      </c>
      <c r="N226" s="2" t="n">
        <f aca="false">AG226+IF(SUMPRODUCT(--($AL226:$AQ226&gt;AN226))+SUMPRODUCT(--($AL226:AM226=AN226))&lt;$AK226,1,0)</f>
        <v>61</v>
      </c>
      <c r="O226" s="2" t="n">
        <f aca="false">AH226+IF(SUMPRODUCT(--($AL226:$AQ226&gt;AO226))+SUMPRODUCT(--($AL226:AN226=AO226))&lt;$AK226,1,0)</f>
        <v>98</v>
      </c>
      <c r="P226" s="2" t="n">
        <f aca="false">AI226+IF(SUMPRODUCT(--($AL226:$AQ226&gt;AP226))+SUMPRODUCT(--($AL226:AO226=AP226))&lt;$AK226,1,0)</f>
        <v>103</v>
      </c>
      <c r="Q226" s="2" t="n">
        <f aca="false">AJ226+IF(SUMPRODUCT(--($AL226:$AQ226&gt;AQ226))+SUMPRODUCT(--($AL226:AP226=AQ226))&lt;$AK226,1,0)</f>
        <v>95</v>
      </c>
      <c r="R226" s="2" t="n">
        <f aca="false">SUM(L226:Q226)</f>
        <v>500</v>
      </c>
      <c r="S226" s="2" t="n">
        <f aca="false">Settings!$B$4*MAX(INDEX(Bases!$M$2:$M$53,B226),INDEX(Bases!$M$2:$M$53,C226))+Settings!$B$5*MIN(INDEX(Bases!$M$2:$M$53,B226),INDEX(Bases!$M$2:$M$53,C226))</f>
        <v>65.3333333333333</v>
      </c>
      <c r="T226" s="2" t="n">
        <f aca="false">Settings!$B$4*MAX(INDEX(Bases!$N$2:$N$53,B226),INDEX(Bases!$N$2:$N$53,C226))+Settings!$B$5*MIN(INDEX(Bases!$N$2:$N$53,B226),INDEX(Bases!$N$2:$N$53,C226))</f>
        <v>54.6666666666667</v>
      </c>
      <c r="U226" s="2" t="n">
        <f aca="false">Settings!$B$4*MAX(INDEX(Bases!$O$2:$O$53,B226),INDEX(Bases!$O$2:$O$53,C226))+Settings!$B$5*MIN(INDEX(Bases!$O$2:$O$53,B226),INDEX(Bases!$O$2:$O$53,C226))</f>
        <v>51.3333333333333</v>
      </c>
      <c r="V226" s="2" t="n">
        <f aca="false">Settings!$B$4*MAX(INDEX(Bases!$P$2:$P$53,B226),INDEX(Bases!$P$2:$P$53,C226))+Settings!$B$5*MIN(INDEX(Bases!$P$2:$P$53,B226),INDEX(Bases!$P$2:$P$53,C226))</f>
        <v>82.6666666666667</v>
      </c>
      <c r="W226" s="2" t="n">
        <f aca="false">Settings!$B$4*MAX(INDEX(Bases!$Q$2:$Q$53,B226),INDEX(Bases!$Q$2:$Q$53,C226))+Settings!$B$5*MIN(INDEX(Bases!$Q$2:$Q$53,B226),INDEX(Bases!$Q$2:$Q$53,C226))</f>
        <v>86.3333333333333</v>
      </c>
      <c r="X226" s="2" t="n">
        <f aca="false">Settings!$B$4*MAX(INDEX(Bases!$R$2:$R$53,B226),INDEX(Bases!$R$2:$R$53,C226))+Settings!$B$5*MIN(INDEX(Bases!$R$2:$R$53,B226),INDEX(Bases!$R$2:$R$53,C226))</f>
        <v>80.3333333333333</v>
      </c>
      <c r="Y226" s="2" t="n">
        <f aca="false">S226*Settings!$B$3/SUM(S226:X226)</f>
        <v>77.6545166402536</v>
      </c>
      <c r="Z226" s="2" t="n">
        <f aca="false">T226*Settings!$B$3/SUM(S226:X226)</f>
        <v>64.9762282091918</v>
      </c>
      <c r="AA226" s="2" t="n">
        <f aca="false">U226*Settings!$B$3/SUM(S226:X226)</f>
        <v>61.0142630744849</v>
      </c>
      <c r="AB226" s="2" t="n">
        <f aca="false">V226*Settings!$B$3/SUM(S226:X226)</f>
        <v>98.256735340729</v>
      </c>
      <c r="AC226" s="2" t="n">
        <f aca="false">W226*Settings!$B$3/SUM(S226:X226)</f>
        <v>102.614896988907</v>
      </c>
      <c r="AD226" s="2" t="n">
        <f aca="false">X226*Settings!$B$3/SUM(S226:X226)</f>
        <v>95.4833597464343</v>
      </c>
      <c r="AE226" s="2" t="n">
        <f aca="false">INT(Y226)</f>
        <v>77</v>
      </c>
      <c r="AF226" s="2" t="n">
        <f aca="false">INT(Z226)</f>
        <v>64</v>
      </c>
      <c r="AG226" s="2" t="n">
        <f aca="false">INT(AA226)</f>
        <v>61</v>
      </c>
      <c r="AH226" s="2" t="n">
        <f aca="false">INT(AB226)</f>
        <v>98</v>
      </c>
      <c r="AI226" s="2" t="n">
        <f aca="false">INT(AC226)</f>
        <v>102</v>
      </c>
      <c r="AJ226" s="2" t="n">
        <f aca="false">INT(AD226)</f>
        <v>95</v>
      </c>
      <c r="AK226" s="2" t="n">
        <f aca="false">Settings!$B$3-SUM(AE226:AJ226)</f>
        <v>3</v>
      </c>
      <c r="AL226" s="2" t="n">
        <f aca="false">ROUND(Y226-AE226,9)</f>
        <v>0.65451664</v>
      </c>
      <c r="AM226" s="2" t="n">
        <f aca="false">ROUND(Z226-AF226,9)</f>
        <v>0.976228209</v>
      </c>
      <c r="AN226" s="2" t="n">
        <f aca="false">ROUND(AA226-AG226,9)</f>
        <v>0.014263074</v>
      </c>
      <c r="AO226" s="2" t="n">
        <f aca="false">ROUND(AB226-AH226,9)</f>
        <v>0.256735341</v>
      </c>
      <c r="AP226" s="2" t="n">
        <f aca="false">ROUND(AC226-AI226,9)</f>
        <v>0.614896989</v>
      </c>
      <c r="AQ226" s="2" t="n">
        <f aca="false">ROUND(AD226-AJ226,9)</f>
        <v>0.483359746</v>
      </c>
    </row>
    <row r="227" customFormat="false" ht="15" hidden="false" customHeight="false" outlineLevel="0" collapsed="false">
      <c r="A227" s="2" t="n">
        <v>226</v>
      </c>
      <c r="B227" s="6" t="n">
        <v>5</v>
      </c>
      <c r="C227" s="6" t="n">
        <v>33</v>
      </c>
      <c r="D227" s="8" t="str">
        <f aca="false">INDEX(Bases!$B$2:$B$53,B227)</f>
        <v>Cyndaquil</v>
      </c>
      <c r="E227" s="8" t="str">
        <f aca="false">INDEX(Bases!$B$2:$B$53,C227)</f>
        <v>Jirachi</v>
      </c>
      <c r="F227" s="2" t="str">
        <f aca="false">LEFT(D227,ROUNDUP(LEN(D227)/2,0))&amp;LOWER(MID(E227,ROUNDUP(LEN(E227)/2,0)+1,20))</f>
        <v>Cyndachi</v>
      </c>
      <c r="G227" s="8" t="str">
        <f aca="false">INDEX(Bases!$C$2:$C$53,B227)</f>
        <v>Fire</v>
      </c>
      <c r="H227" s="8" t="str">
        <f aca="false">IF(INDEX(Bases!$C$2:$C$53,C227)=G227,"",INDEX(Bases!$C$2:$C$53,C227))</f>
        <v>Psychic</v>
      </c>
      <c r="I227" s="8" t="str">
        <f aca="false">IF(INDEX(Bases!$E$2:$E$53,B227)="","",INDEX(Bases!$E$2:$E$53,B227))</f>
        <v/>
      </c>
      <c r="J227" s="8" t="str">
        <f aca="false">IF(INDEX(Bases!$E$2:$E$53,C227)="","",INDEX(Bases!$E$2:$E$53,C227))</f>
        <v/>
      </c>
      <c r="K227" s="5"/>
      <c r="L227" s="2" t="n">
        <f aca="false">AE227+IF(SUMPRODUCT(--($AL227:$AQ227&gt;AL227))&lt;$AK227,1,0)</f>
        <v>75</v>
      </c>
      <c r="M227" s="2" t="n">
        <f aca="false">AF227+IF(SUMPRODUCT(--($AL227:$AQ227&gt;AM227))+SUMPRODUCT(--($AL227:AL227=AM227))&lt;$AK227,1,0)</f>
        <v>82</v>
      </c>
      <c r="N227" s="2" t="n">
        <f aca="false">AG227+IF(SUMPRODUCT(--($AL227:$AQ227&gt;AN227))+SUMPRODUCT(--($AL227:AM227=AN227))&lt;$AK227,1,0)</f>
        <v>77</v>
      </c>
      <c r="O227" s="2" t="n">
        <f aca="false">AH227+IF(SUMPRODUCT(--($AL227:$AQ227&gt;AO227))+SUMPRODUCT(--($AL227:AN227=AO227))&lt;$AK227,1,0)</f>
        <v>91</v>
      </c>
      <c r="P227" s="2" t="n">
        <f aca="false">AI227+IF(SUMPRODUCT(--($AL227:$AQ227&gt;AP227))+SUMPRODUCT(--($AL227:AO227=AP227))&lt;$AK227,1,0)</f>
        <v>80</v>
      </c>
      <c r="Q227" s="2" t="n">
        <f aca="false">AJ227+IF(SUMPRODUCT(--($AL227:$AQ227&gt;AQ227))+SUMPRODUCT(--($AL227:AP227=AQ227))&lt;$AK227,1,0)</f>
        <v>95</v>
      </c>
      <c r="R227" s="2" t="n">
        <f aca="false">SUM(L227:Q227)</f>
        <v>500</v>
      </c>
      <c r="S227" s="2" t="n">
        <f aca="false">Settings!$B$4*MAX(INDEX(Bases!$M$2:$M$53,B227),INDEX(Bases!$M$2:$M$53,C227))+Settings!$B$5*MIN(INDEX(Bases!$M$2:$M$53,B227),INDEX(Bases!$M$2:$M$53,C227))</f>
        <v>61.3333333333333</v>
      </c>
      <c r="T227" s="2" t="n">
        <f aca="false">Settings!$B$4*MAX(INDEX(Bases!$N$2:$N$53,B227),INDEX(Bases!$N$2:$N$53,C227))+Settings!$B$5*MIN(INDEX(Bases!$N$2:$N$53,B227),INDEX(Bases!$N$2:$N$53,C227))</f>
        <v>67</v>
      </c>
      <c r="U227" s="2" t="n">
        <f aca="false">Settings!$B$4*MAX(INDEX(Bases!$O$2:$O$53,B227),INDEX(Bases!$O$2:$O$53,C227))+Settings!$B$5*MIN(INDEX(Bases!$O$2:$O$53,B227),INDEX(Bases!$O$2:$O$53,C227))</f>
        <v>63.3333333333333</v>
      </c>
      <c r="V227" s="2" t="n">
        <f aca="false">Settings!$B$4*MAX(INDEX(Bases!$P$2:$P$53,B227),INDEX(Bases!$P$2:$P$53,C227))+Settings!$B$5*MIN(INDEX(Bases!$P$2:$P$53,B227),INDEX(Bases!$P$2:$P$53,C227))</f>
        <v>74.3333333333333</v>
      </c>
      <c r="W227" s="2" t="n">
        <f aca="false">Settings!$B$4*MAX(INDEX(Bases!$Q$2:$Q$53,B227),INDEX(Bases!$Q$2:$Q$53,C227))+Settings!$B$5*MIN(INDEX(Bases!$Q$2:$Q$53,B227),INDEX(Bases!$Q$2:$Q$53,C227))</f>
        <v>65.6666666666667</v>
      </c>
      <c r="X227" s="2" t="n">
        <f aca="false">Settings!$B$4*MAX(INDEX(Bases!$R$2:$R$53,B227),INDEX(Bases!$R$2:$R$53,C227))+Settings!$B$5*MIN(INDEX(Bases!$R$2:$R$53,B227),INDEX(Bases!$R$2:$R$53,C227))</f>
        <v>78</v>
      </c>
      <c r="Y227" s="2" t="n">
        <f aca="false">S227*Settings!$B$3/SUM(S227:X227)</f>
        <v>74.8576078112286</v>
      </c>
      <c r="Z227" s="2" t="n">
        <f aca="false">T227*Settings!$B$3/SUM(S227:X227)</f>
        <v>81.7737998372661</v>
      </c>
      <c r="AA227" s="2" t="n">
        <f aca="false">U227*Settings!$B$3/SUM(S227:X227)</f>
        <v>77.2986167615948</v>
      </c>
      <c r="AB227" s="2" t="n">
        <f aca="false">V227*Settings!$B$3/SUM(S227:X227)</f>
        <v>90.7241659886086</v>
      </c>
      <c r="AC227" s="2" t="n">
        <f aca="false">W227*Settings!$B$3/SUM(S227:X227)</f>
        <v>80.146460537022</v>
      </c>
      <c r="AD227" s="2" t="n">
        <f aca="false">X227*Settings!$B$3/SUM(S227:X227)</f>
        <v>95.1993490642799</v>
      </c>
      <c r="AE227" s="2" t="n">
        <f aca="false">INT(Y227)</f>
        <v>74</v>
      </c>
      <c r="AF227" s="2" t="n">
        <f aca="false">INT(Z227)</f>
        <v>81</v>
      </c>
      <c r="AG227" s="2" t="n">
        <f aca="false">INT(AA227)</f>
        <v>77</v>
      </c>
      <c r="AH227" s="2" t="n">
        <f aca="false">INT(AB227)</f>
        <v>90</v>
      </c>
      <c r="AI227" s="2" t="n">
        <f aca="false">INT(AC227)</f>
        <v>80</v>
      </c>
      <c r="AJ227" s="2" t="n">
        <f aca="false">INT(AD227)</f>
        <v>95</v>
      </c>
      <c r="AK227" s="2" t="n">
        <f aca="false">Settings!$B$3-SUM(AE227:AJ227)</f>
        <v>3</v>
      </c>
      <c r="AL227" s="2" t="n">
        <f aca="false">ROUND(Y227-AE227,9)</f>
        <v>0.857607811</v>
      </c>
      <c r="AM227" s="2" t="n">
        <f aca="false">ROUND(Z227-AF227,9)</f>
        <v>0.773799837</v>
      </c>
      <c r="AN227" s="2" t="n">
        <f aca="false">ROUND(AA227-AG227,9)</f>
        <v>0.298616762</v>
      </c>
      <c r="AO227" s="2" t="n">
        <f aca="false">ROUND(AB227-AH227,9)</f>
        <v>0.724165989</v>
      </c>
      <c r="AP227" s="2" t="n">
        <f aca="false">ROUND(AC227-AI227,9)</f>
        <v>0.146460537</v>
      </c>
      <c r="AQ227" s="2" t="n">
        <f aca="false">ROUND(AD227-AJ227,9)</f>
        <v>0.199349064</v>
      </c>
    </row>
    <row r="228" customFormat="false" ht="15" hidden="false" customHeight="false" outlineLevel="0" collapsed="false">
      <c r="A228" s="2" t="n">
        <v>227</v>
      </c>
      <c r="B228" s="6" t="n">
        <v>5</v>
      </c>
      <c r="C228" s="6" t="n">
        <v>34</v>
      </c>
      <c r="D228" s="8" t="str">
        <f aca="false">INDEX(Bases!$B$2:$B$53,B228)</f>
        <v>Cyndaquil</v>
      </c>
      <c r="E228" s="8" t="str">
        <f aca="false">INDEX(Bases!$B$2:$B$53,C228)</f>
        <v>Paras</v>
      </c>
      <c r="F228" s="2" t="str">
        <f aca="false">LEFT(D228,ROUNDUP(LEN(D228)/2,0))&amp;LOWER(MID(E228,ROUNDUP(LEN(E228)/2,0)+1,20))</f>
        <v>Cyndaas</v>
      </c>
      <c r="G228" s="8" t="str">
        <f aca="false">INDEX(Bases!$C$2:$C$53,B228)</f>
        <v>Fire</v>
      </c>
      <c r="H228" s="8" t="str">
        <f aca="false">IF(INDEX(Bases!$C$2:$C$53,C228)=G228,"",INDEX(Bases!$C$2:$C$53,C228))</f>
        <v>Bug</v>
      </c>
      <c r="I228" s="8" t="str">
        <f aca="false">IF(INDEX(Bases!$E$2:$E$53,B228)="","",INDEX(Bases!$E$2:$E$53,B228))</f>
        <v/>
      </c>
      <c r="J228" s="8" t="str">
        <f aca="false">IF(INDEX(Bases!$E$2:$E$53,C228)="","",INDEX(Bases!$E$2:$E$53,C228))</f>
        <v/>
      </c>
      <c r="K228" s="5"/>
      <c r="L228" s="2" t="n">
        <f aca="false">AE228+IF(SUMPRODUCT(--($AL228:$AQ228&gt;AL228))&lt;$AK228,1,0)</f>
        <v>59</v>
      </c>
      <c r="M228" s="2" t="n">
        <f aca="false">AF228+IF(SUMPRODUCT(--($AL228:$AQ228&gt;AM228))+SUMPRODUCT(--($AL228:AL228=AM228))&lt;$AK228,1,0)</f>
        <v>105</v>
      </c>
      <c r="N228" s="2" t="n">
        <f aca="false">AG228+IF(SUMPRODUCT(--($AL228:$AQ228&gt;AN228))+SUMPRODUCT(--($AL228:AM228=AN228))&lt;$AK228,1,0)</f>
        <v>83</v>
      </c>
      <c r="O228" s="2" t="n">
        <f aca="false">AH228+IF(SUMPRODUCT(--($AL228:$AQ228&gt;AO228))+SUMPRODUCT(--($AL228:AN228=AO228))&lt;$AK228,1,0)</f>
        <v>87</v>
      </c>
      <c r="P228" s="2" t="n">
        <f aca="false">AI228+IF(SUMPRODUCT(--($AL228:$AQ228&gt;AP228))+SUMPRODUCT(--($AL228:AO228=AP228))&lt;$AK228,1,0)</f>
        <v>86</v>
      </c>
      <c r="Q228" s="2" t="n">
        <f aca="false">AJ228+IF(SUMPRODUCT(--($AL228:$AQ228&gt;AQ228))+SUMPRODUCT(--($AL228:AP228=AQ228))&lt;$AK228,1,0)</f>
        <v>80</v>
      </c>
      <c r="R228" s="2" t="n">
        <f aca="false">SUM(L228:Q228)</f>
        <v>500</v>
      </c>
      <c r="S228" s="2" t="n">
        <f aca="false">Settings!$B$4*MAX(INDEX(Bases!$M$2:$M$53,B228),INDEX(Bases!$M$2:$M$53,C228))+Settings!$B$5*MIN(INDEX(Bases!$M$2:$M$53,B228),INDEX(Bases!$M$2:$M$53,C228))</f>
        <v>49.6666666666667</v>
      </c>
      <c r="T228" s="2" t="n">
        <f aca="false">Settings!$B$4*MAX(INDEX(Bases!$N$2:$N$53,B228),INDEX(Bases!$N$2:$N$53,C228))+Settings!$B$5*MIN(INDEX(Bases!$N$2:$N$53,B228),INDEX(Bases!$N$2:$N$53,C228))</f>
        <v>88.3333333333333</v>
      </c>
      <c r="U228" s="2" t="n">
        <f aca="false">Settings!$B$4*MAX(INDEX(Bases!$O$2:$O$53,B228),INDEX(Bases!$O$2:$O$53,C228))+Settings!$B$5*MIN(INDEX(Bases!$O$2:$O$53,B228),INDEX(Bases!$O$2:$O$53,C228))</f>
        <v>70</v>
      </c>
      <c r="V228" s="2" t="n">
        <f aca="false">Settings!$B$4*MAX(INDEX(Bases!$P$2:$P$53,B228),INDEX(Bases!$P$2:$P$53,C228))+Settings!$B$5*MIN(INDEX(Bases!$P$2:$P$53,B228),INDEX(Bases!$P$2:$P$53,C228))</f>
        <v>73</v>
      </c>
      <c r="W228" s="2" t="n">
        <f aca="false">Settings!$B$4*MAX(INDEX(Bases!$Q$2:$Q$53,B228),INDEX(Bases!$Q$2:$Q$53,C228))+Settings!$B$5*MIN(INDEX(Bases!$Q$2:$Q$53,B228),INDEX(Bases!$Q$2:$Q$53,C228))</f>
        <v>73</v>
      </c>
      <c r="X228" s="2" t="n">
        <f aca="false">Settings!$B$4*MAX(INDEX(Bases!$R$2:$R$53,B228),INDEX(Bases!$R$2:$R$53,C228))+Settings!$B$5*MIN(INDEX(Bases!$R$2:$R$53,B228),INDEX(Bases!$R$2:$R$53,C228))</f>
        <v>67.6666666666667</v>
      </c>
      <c r="Y228" s="2" t="n">
        <f aca="false">S228*Settings!$B$3/SUM(S228:X228)</f>
        <v>58.8932806324111</v>
      </c>
      <c r="Z228" s="2" t="n">
        <f aca="false">T228*Settings!$B$3/SUM(S228:X228)</f>
        <v>104.743083003953</v>
      </c>
      <c r="AA228" s="2" t="n">
        <f aca="false">U228*Settings!$B$3/SUM(S228:X228)</f>
        <v>83.00395256917</v>
      </c>
      <c r="AB228" s="2" t="n">
        <f aca="false">V228*Settings!$B$3/SUM(S228:X228)</f>
        <v>86.5612648221344</v>
      </c>
      <c r="AC228" s="2" t="n">
        <f aca="false">W228*Settings!$B$3/SUM(S228:X228)</f>
        <v>86.5612648221344</v>
      </c>
      <c r="AD228" s="2" t="n">
        <f aca="false">X228*Settings!$B$3/SUM(S228:X228)</f>
        <v>80.2371541501976</v>
      </c>
      <c r="AE228" s="2" t="n">
        <f aca="false">INT(Y228)</f>
        <v>58</v>
      </c>
      <c r="AF228" s="2" t="n">
        <f aca="false">INT(Z228)</f>
        <v>104</v>
      </c>
      <c r="AG228" s="2" t="n">
        <f aca="false">INT(AA228)</f>
        <v>83</v>
      </c>
      <c r="AH228" s="2" t="n">
        <f aca="false">INT(AB228)</f>
        <v>86</v>
      </c>
      <c r="AI228" s="2" t="n">
        <f aca="false">INT(AC228)</f>
        <v>86</v>
      </c>
      <c r="AJ228" s="2" t="n">
        <f aca="false">INT(AD228)</f>
        <v>80</v>
      </c>
      <c r="AK228" s="2" t="n">
        <f aca="false">Settings!$B$3-SUM(AE228:AJ228)</f>
        <v>3</v>
      </c>
      <c r="AL228" s="2" t="n">
        <f aca="false">ROUND(Y228-AE228,9)</f>
        <v>0.893280632</v>
      </c>
      <c r="AM228" s="2" t="n">
        <f aca="false">ROUND(Z228-AF228,9)</f>
        <v>0.743083004</v>
      </c>
      <c r="AN228" s="2" t="n">
        <f aca="false">ROUND(AA228-AG228,9)</f>
        <v>0.003952569</v>
      </c>
      <c r="AO228" s="2" t="n">
        <f aca="false">ROUND(AB228-AH228,9)</f>
        <v>0.561264822</v>
      </c>
      <c r="AP228" s="2" t="n">
        <f aca="false">ROUND(AC228-AI228,9)</f>
        <v>0.561264822</v>
      </c>
      <c r="AQ228" s="2" t="n">
        <f aca="false">ROUND(AD228-AJ228,9)</f>
        <v>0.23715415</v>
      </c>
    </row>
    <row r="229" customFormat="false" ht="15" hidden="false" customHeight="false" outlineLevel="0" collapsed="false">
      <c r="A229" s="2" t="n">
        <v>228</v>
      </c>
      <c r="B229" s="6" t="n">
        <v>5</v>
      </c>
      <c r="C229" s="6" t="n">
        <v>35</v>
      </c>
      <c r="D229" s="8" t="str">
        <f aca="false">INDEX(Bases!$B$2:$B$53,B229)</f>
        <v>Cyndaquil</v>
      </c>
      <c r="E229" s="8" t="str">
        <f aca="false">INDEX(Bases!$B$2:$B$53,C229)</f>
        <v>Pineco</v>
      </c>
      <c r="F229" s="2" t="str">
        <f aca="false">LEFT(D229,ROUNDUP(LEN(D229)/2,0))&amp;LOWER(MID(E229,ROUNDUP(LEN(E229)/2,0)+1,20))</f>
        <v>Cyndaeco</v>
      </c>
      <c r="G229" s="8" t="str">
        <f aca="false">INDEX(Bases!$C$2:$C$53,B229)</f>
        <v>Fire</v>
      </c>
      <c r="H229" s="8" t="str">
        <f aca="false">IF(INDEX(Bases!$C$2:$C$53,C229)=G229,"",INDEX(Bases!$C$2:$C$53,C229))</f>
        <v>Bug</v>
      </c>
      <c r="I229" s="8" t="str">
        <f aca="false">IF(INDEX(Bases!$E$2:$E$53,B229)="","",INDEX(Bases!$E$2:$E$53,B229))</f>
        <v/>
      </c>
      <c r="J229" s="8" t="str">
        <f aca="false">IF(INDEX(Bases!$E$2:$E$53,C229)="","",INDEX(Bases!$E$2:$E$53,C229))</f>
        <v/>
      </c>
      <c r="K229" s="5"/>
      <c r="L229" s="2" t="n">
        <f aca="false">AE229+IF(SUMPRODUCT(--($AL229:$AQ229&gt;AL229))&lt;$AK229,1,0)</f>
        <v>72</v>
      </c>
      <c r="M229" s="2" t="n">
        <f aca="false">AF229+IF(SUMPRODUCT(--($AL229:$AQ229&gt;AM229))+SUMPRODUCT(--($AL229:AL229=AM229))&lt;$AK229,1,0)</f>
        <v>94</v>
      </c>
      <c r="N229" s="2" t="n">
        <f aca="false">AG229+IF(SUMPRODUCT(--($AL229:$AQ229&gt;AN229))+SUMPRODUCT(--($AL229:AM229=AN229))&lt;$AK229,1,0)</f>
        <v>116</v>
      </c>
      <c r="O229" s="2" t="n">
        <f aca="false">AH229+IF(SUMPRODUCT(--($AL229:$AQ229&gt;AO229))+SUMPRODUCT(--($AL229:AN229=AO229))&lt;$AK229,1,0)</f>
        <v>78</v>
      </c>
      <c r="P229" s="2" t="n">
        <f aca="false">AI229+IF(SUMPRODUCT(--($AL229:$AQ229&gt;AP229))+SUMPRODUCT(--($AL229:AO229=AP229))&lt;$AK229,1,0)</f>
        <v>68</v>
      </c>
      <c r="Q229" s="2" t="n">
        <f aca="false">AJ229+IF(SUMPRODUCT(--($AL229:$AQ229&gt;AQ229))+SUMPRODUCT(--($AL229:AP229=AQ229))&lt;$AK229,1,0)</f>
        <v>72</v>
      </c>
      <c r="R229" s="2" t="n">
        <f aca="false">SUM(L229:Q229)</f>
        <v>500</v>
      </c>
      <c r="S229" s="2" t="n">
        <f aca="false">Settings!$B$4*MAX(INDEX(Bases!$M$2:$M$53,B229),INDEX(Bases!$M$2:$M$53,C229))+Settings!$B$5*MIN(INDEX(Bases!$M$2:$M$53,B229),INDEX(Bases!$M$2:$M$53,C229))</f>
        <v>62.6666666666667</v>
      </c>
      <c r="T229" s="2" t="n">
        <f aca="false">Settings!$B$4*MAX(INDEX(Bases!$N$2:$N$53,B229),INDEX(Bases!$N$2:$N$53,C229))+Settings!$B$5*MIN(INDEX(Bases!$N$2:$N$53,B229),INDEX(Bases!$N$2:$N$53,C229))</f>
        <v>82.3333333333333</v>
      </c>
      <c r="U229" s="2" t="n">
        <f aca="false">Settings!$B$4*MAX(INDEX(Bases!$O$2:$O$53,B229),INDEX(Bases!$O$2:$O$53,C229))+Settings!$B$5*MIN(INDEX(Bases!$O$2:$O$53,B229),INDEX(Bases!$O$2:$O$53,C229))</f>
        <v>101.333333333333</v>
      </c>
      <c r="V229" s="2" t="n">
        <f aca="false">Settings!$B$4*MAX(INDEX(Bases!$P$2:$P$53,B229),INDEX(Bases!$P$2:$P$53,C229))+Settings!$B$5*MIN(INDEX(Bases!$P$2:$P$53,B229),INDEX(Bases!$P$2:$P$53,C229))</f>
        <v>68</v>
      </c>
      <c r="W229" s="2" t="n">
        <f aca="false">Settings!$B$4*MAX(INDEX(Bases!$Q$2:$Q$53,B229),INDEX(Bases!$Q$2:$Q$53,C229))+Settings!$B$5*MIN(INDEX(Bases!$Q$2:$Q$53,B229),INDEX(Bases!$Q$2:$Q$53,C229))</f>
        <v>59.3333333333333</v>
      </c>
      <c r="X229" s="2" t="n">
        <f aca="false">Settings!$B$4*MAX(INDEX(Bases!$R$2:$R$53,B229),INDEX(Bases!$R$2:$R$53,C229))+Settings!$B$5*MIN(INDEX(Bases!$R$2:$R$53,B229),INDEX(Bases!$R$2:$R$53,C229))</f>
        <v>63</v>
      </c>
      <c r="Y229" s="2" t="n">
        <f aca="false">S229*Settings!$B$3/SUM(S229:X229)</f>
        <v>71.7557251908397</v>
      </c>
      <c r="Z229" s="2" t="n">
        <f aca="false">T229*Settings!$B$3/SUM(S229:X229)</f>
        <v>94.2748091603054</v>
      </c>
      <c r="AA229" s="2" t="n">
        <f aca="false">U229*Settings!$B$3/SUM(S229:X229)</f>
        <v>116.030534351145</v>
      </c>
      <c r="AB229" s="2" t="n">
        <f aca="false">V229*Settings!$B$3/SUM(S229:X229)</f>
        <v>77.8625954198473</v>
      </c>
      <c r="AC229" s="2" t="n">
        <f aca="false">W229*Settings!$B$3/SUM(S229:X229)</f>
        <v>67.9389312977099</v>
      </c>
      <c r="AD229" s="2" t="n">
        <f aca="false">X229*Settings!$B$3/SUM(S229:X229)</f>
        <v>72.1374045801527</v>
      </c>
      <c r="AE229" s="2" t="n">
        <f aca="false">INT(Y229)</f>
        <v>71</v>
      </c>
      <c r="AF229" s="2" t="n">
        <f aca="false">INT(Z229)</f>
        <v>94</v>
      </c>
      <c r="AG229" s="2" t="n">
        <f aca="false">INT(AA229)</f>
        <v>116</v>
      </c>
      <c r="AH229" s="2" t="n">
        <f aca="false">INT(AB229)</f>
        <v>77</v>
      </c>
      <c r="AI229" s="2" t="n">
        <f aca="false">INT(AC229)</f>
        <v>67</v>
      </c>
      <c r="AJ229" s="2" t="n">
        <f aca="false">INT(AD229)</f>
        <v>72</v>
      </c>
      <c r="AK229" s="2" t="n">
        <f aca="false">Settings!$B$3-SUM(AE229:AJ229)</f>
        <v>3</v>
      </c>
      <c r="AL229" s="2" t="n">
        <f aca="false">ROUND(Y229-AE229,9)</f>
        <v>0.755725191</v>
      </c>
      <c r="AM229" s="2" t="n">
        <f aca="false">ROUND(Z229-AF229,9)</f>
        <v>0.27480916</v>
      </c>
      <c r="AN229" s="2" t="n">
        <f aca="false">ROUND(AA229-AG229,9)</f>
        <v>0.030534351</v>
      </c>
      <c r="AO229" s="2" t="n">
        <f aca="false">ROUND(AB229-AH229,9)</f>
        <v>0.86259542</v>
      </c>
      <c r="AP229" s="2" t="n">
        <f aca="false">ROUND(AC229-AI229,9)</f>
        <v>0.938931298</v>
      </c>
      <c r="AQ229" s="2" t="n">
        <f aca="false">ROUND(AD229-AJ229,9)</f>
        <v>0.13740458</v>
      </c>
    </row>
    <row r="230" customFormat="false" ht="15" hidden="false" customHeight="false" outlineLevel="0" collapsed="false">
      <c r="A230" s="2" t="n">
        <v>229</v>
      </c>
      <c r="B230" s="6" t="n">
        <v>5</v>
      </c>
      <c r="C230" s="6" t="n">
        <v>36</v>
      </c>
      <c r="D230" s="8" t="str">
        <f aca="false">INDEX(Bases!$B$2:$B$53,B230)</f>
        <v>Cyndaquil</v>
      </c>
      <c r="E230" s="8" t="str">
        <f aca="false">INDEX(Bases!$B$2:$B$53,C230)</f>
        <v>Wurmple</v>
      </c>
      <c r="F230" s="2" t="str">
        <f aca="false">LEFT(D230,ROUNDUP(LEN(D230)/2,0))&amp;LOWER(MID(E230,ROUNDUP(LEN(E230)/2,0)+1,20))</f>
        <v>Cyndaple</v>
      </c>
      <c r="G230" s="8" t="str">
        <f aca="false">INDEX(Bases!$C$2:$C$53,B230)</f>
        <v>Fire</v>
      </c>
      <c r="H230" s="8" t="str">
        <f aca="false">IF(INDEX(Bases!$C$2:$C$53,C230)=G230,"",INDEX(Bases!$C$2:$C$53,C230))</f>
        <v>Bug</v>
      </c>
      <c r="I230" s="8" t="str">
        <f aca="false">IF(INDEX(Bases!$E$2:$E$53,B230)="","",INDEX(Bases!$E$2:$E$53,B230))</f>
        <v/>
      </c>
      <c r="J230" s="8" t="str">
        <f aca="false">IF(INDEX(Bases!$E$2:$E$53,C230)="","",INDEX(Bases!$E$2:$E$53,C230))</f>
        <v/>
      </c>
      <c r="K230" s="5"/>
      <c r="L230" s="2" t="n">
        <f aca="false">AE230+IF(SUMPRODUCT(--($AL230:$AQ230&gt;AL230))&lt;$AK230,1,0)</f>
        <v>91</v>
      </c>
      <c r="M230" s="2" t="n">
        <f aca="false">AF230+IF(SUMPRODUCT(--($AL230:$AQ230&gt;AM230))+SUMPRODUCT(--($AL230:AL230=AM230))&lt;$AK230,1,0)</f>
        <v>98</v>
      </c>
      <c r="N230" s="2" t="n">
        <f aca="false">AG230+IF(SUMPRODUCT(--($AL230:$AQ230&gt;AN230))+SUMPRODUCT(--($AL230:AM230=AN230))&lt;$AK230,1,0)</f>
        <v>78</v>
      </c>
      <c r="O230" s="2" t="n">
        <f aca="false">AH230+IF(SUMPRODUCT(--($AL230:$AQ230&gt;AO230))+SUMPRODUCT(--($AL230:AN230=AO230))&lt;$AK230,1,0)</f>
        <v>77</v>
      </c>
      <c r="P230" s="2" t="n">
        <f aca="false">AI230+IF(SUMPRODUCT(--($AL230:$AQ230&gt;AP230))+SUMPRODUCT(--($AL230:AO230=AP230))&lt;$AK230,1,0)</f>
        <v>75</v>
      </c>
      <c r="Q230" s="2" t="n">
        <f aca="false">AJ230+IF(SUMPRODUCT(--($AL230:$AQ230&gt;AQ230))+SUMPRODUCT(--($AL230:AP230=AQ230))&lt;$AK230,1,0)</f>
        <v>81</v>
      </c>
      <c r="R230" s="2" t="n">
        <f aca="false">SUM(L230:Q230)</f>
        <v>500</v>
      </c>
      <c r="S230" s="2" t="n">
        <f aca="false">Settings!$B$4*MAX(INDEX(Bases!$M$2:$M$53,B230),INDEX(Bases!$M$2:$M$53,C230))+Settings!$B$5*MIN(INDEX(Bases!$M$2:$M$53,B230),INDEX(Bases!$M$2:$M$53,C230))</f>
        <v>78</v>
      </c>
      <c r="T230" s="2" t="n">
        <f aca="false">Settings!$B$4*MAX(INDEX(Bases!$N$2:$N$53,B230),INDEX(Bases!$N$2:$N$53,C230))+Settings!$B$5*MIN(INDEX(Bases!$N$2:$N$53,B230),INDEX(Bases!$N$2:$N$53,C230))</f>
        <v>83.6666666666667</v>
      </c>
      <c r="U230" s="2" t="n">
        <f aca="false">Settings!$B$4*MAX(INDEX(Bases!$O$2:$O$53,B230),INDEX(Bases!$O$2:$O$53,C230))+Settings!$B$5*MIN(INDEX(Bases!$O$2:$O$53,B230),INDEX(Bases!$O$2:$O$53,C230))</f>
        <v>66.6666666666667</v>
      </c>
      <c r="V230" s="2" t="n">
        <f aca="false">Settings!$B$4*MAX(INDEX(Bases!$P$2:$P$53,B230),INDEX(Bases!$P$2:$P$53,C230))+Settings!$B$5*MIN(INDEX(Bases!$P$2:$P$53,B230),INDEX(Bases!$P$2:$P$53,C230))</f>
        <v>65.6666666666667</v>
      </c>
      <c r="W230" s="2" t="n">
        <f aca="false">Settings!$B$4*MAX(INDEX(Bases!$Q$2:$Q$53,B230),INDEX(Bases!$Q$2:$Q$53,C230))+Settings!$B$5*MIN(INDEX(Bases!$Q$2:$Q$53,B230),INDEX(Bases!$Q$2:$Q$53,C230))</f>
        <v>64</v>
      </c>
      <c r="X230" s="2" t="n">
        <f aca="false">Settings!$B$4*MAX(INDEX(Bases!$R$2:$R$53,B230),INDEX(Bases!$R$2:$R$53,C230))+Settings!$B$5*MIN(INDEX(Bases!$R$2:$R$53,B230),INDEX(Bases!$R$2:$R$53,C230))</f>
        <v>69.6666666666667</v>
      </c>
      <c r="Y230" s="2" t="n">
        <f aca="false">S230*Settings!$B$3/SUM(S230:X230)</f>
        <v>91.1925175370226</v>
      </c>
      <c r="Z230" s="2" t="n">
        <f aca="false">T230*Settings!$B$3/SUM(S230:X230)</f>
        <v>97.8176149649259</v>
      </c>
      <c r="AA230" s="2" t="n">
        <f aca="false">U230*Settings!$B$3/SUM(S230:X230)</f>
        <v>77.9423226812159</v>
      </c>
      <c r="AB230" s="2" t="n">
        <f aca="false">V230*Settings!$B$3/SUM(S230:X230)</f>
        <v>76.7731878409977</v>
      </c>
      <c r="AC230" s="2" t="n">
        <f aca="false">W230*Settings!$B$3/SUM(S230:X230)</f>
        <v>74.8246297739673</v>
      </c>
      <c r="AD230" s="2" t="n">
        <f aca="false">X230*Settings!$B$3/SUM(S230:X230)</f>
        <v>81.4497272018706</v>
      </c>
      <c r="AE230" s="2" t="n">
        <f aca="false">INT(Y230)</f>
        <v>91</v>
      </c>
      <c r="AF230" s="2" t="n">
        <f aca="false">INT(Z230)</f>
        <v>97</v>
      </c>
      <c r="AG230" s="2" t="n">
        <f aca="false">INT(AA230)</f>
        <v>77</v>
      </c>
      <c r="AH230" s="2" t="n">
        <f aca="false">INT(AB230)</f>
        <v>76</v>
      </c>
      <c r="AI230" s="2" t="n">
        <f aca="false">INT(AC230)</f>
        <v>74</v>
      </c>
      <c r="AJ230" s="2" t="n">
        <f aca="false">INT(AD230)</f>
        <v>81</v>
      </c>
      <c r="AK230" s="2" t="n">
        <f aca="false">Settings!$B$3-SUM(AE230:AJ230)</f>
        <v>4</v>
      </c>
      <c r="AL230" s="2" t="n">
        <f aca="false">ROUND(Y230-AE230,9)</f>
        <v>0.192517537</v>
      </c>
      <c r="AM230" s="2" t="n">
        <f aca="false">ROUND(Z230-AF230,9)</f>
        <v>0.817614965</v>
      </c>
      <c r="AN230" s="2" t="n">
        <f aca="false">ROUND(AA230-AG230,9)</f>
        <v>0.942322681</v>
      </c>
      <c r="AO230" s="2" t="n">
        <f aca="false">ROUND(AB230-AH230,9)</f>
        <v>0.773187841</v>
      </c>
      <c r="AP230" s="2" t="n">
        <f aca="false">ROUND(AC230-AI230,9)</f>
        <v>0.824629774</v>
      </c>
      <c r="AQ230" s="2" t="n">
        <f aca="false">ROUND(AD230-AJ230,9)</f>
        <v>0.449727202</v>
      </c>
    </row>
    <row r="231" customFormat="false" ht="15" hidden="false" customHeight="false" outlineLevel="0" collapsed="false">
      <c r="A231" s="2" t="n">
        <v>230</v>
      </c>
      <c r="B231" s="6" t="n">
        <v>5</v>
      </c>
      <c r="C231" s="6" t="n">
        <v>37</v>
      </c>
      <c r="D231" s="8" t="str">
        <f aca="false">INDEX(Bases!$B$2:$B$53,B231)</f>
        <v>Cyndaquil</v>
      </c>
      <c r="E231" s="8" t="str">
        <f aca="false">INDEX(Bases!$B$2:$B$53,C231)</f>
        <v>Shuckle</v>
      </c>
      <c r="F231" s="2" t="str">
        <f aca="false">LEFT(D231,ROUNDUP(LEN(D231)/2,0))&amp;LOWER(MID(E231,ROUNDUP(LEN(E231)/2,0)+1,20))</f>
        <v>Cyndakle</v>
      </c>
      <c r="G231" s="8" t="str">
        <f aca="false">INDEX(Bases!$C$2:$C$53,B231)</f>
        <v>Fire</v>
      </c>
      <c r="H231" s="8" t="str">
        <f aca="false">IF(INDEX(Bases!$C$2:$C$53,C231)=G231,"",INDEX(Bases!$C$2:$C$53,C231))</f>
        <v>Rock</v>
      </c>
      <c r="I231" s="8" t="str">
        <f aca="false">IF(INDEX(Bases!$E$2:$E$53,B231)="","",INDEX(Bases!$E$2:$E$53,B231))</f>
        <v/>
      </c>
      <c r="J231" s="8" t="str">
        <f aca="false">IF(INDEX(Bases!$E$2:$E$53,C231)="","",INDEX(Bases!$E$2:$E$53,C231))</f>
        <v/>
      </c>
      <c r="K231" s="5"/>
      <c r="L231" s="2" t="n">
        <f aca="false">AE231+IF(SUMPRODUCT(--($AL231:$AQ231&gt;AL231))&lt;$AK231,1,0)</f>
        <v>40</v>
      </c>
      <c r="M231" s="2" t="n">
        <f aca="false">AF231+IF(SUMPRODUCT(--($AL231:$AQ231&gt;AM231))+SUMPRODUCT(--($AL231:AL231=AM231))&lt;$AK231,1,0)</f>
        <v>49</v>
      </c>
      <c r="N231" s="2" t="n">
        <f aca="false">AG231+IF(SUMPRODUCT(--($AL231:$AQ231&gt;AN231))+SUMPRODUCT(--($AL231:AM231=AN231))&lt;$AK231,1,0)</f>
        <v>145</v>
      </c>
      <c r="O231" s="2" t="n">
        <f aca="false">AH231+IF(SUMPRODUCT(--($AL231:$AQ231&gt;AO231))+SUMPRODUCT(--($AL231:AN231=AO231))&lt;$AK231,1,0)</f>
        <v>57</v>
      </c>
      <c r="P231" s="2" t="n">
        <f aca="false">AI231+IF(SUMPRODUCT(--($AL231:$AQ231&gt;AP231))+SUMPRODUCT(--($AL231:AO231=AP231))&lt;$AK231,1,0)</f>
        <v>149</v>
      </c>
      <c r="Q231" s="2" t="n">
        <f aca="false">AJ231+IF(SUMPRODUCT(--($AL231:$AQ231&gt;AQ231))+SUMPRODUCT(--($AL231:AP231=AQ231))&lt;$AK231,1,0)</f>
        <v>60</v>
      </c>
      <c r="R231" s="2" t="n">
        <f aca="false">SUM(L231:Q231)</f>
        <v>500</v>
      </c>
      <c r="S231" s="2" t="n">
        <f aca="false">Settings!$B$4*MAX(INDEX(Bases!$M$2:$M$53,B231),INDEX(Bases!$M$2:$M$53,C231))+Settings!$B$5*MIN(INDEX(Bases!$M$2:$M$53,B231),INDEX(Bases!$M$2:$M$53,C231))</f>
        <v>38.6666666666667</v>
      </c>
      <c r="T231" s="2" t="n">
        <f aca="false">Settings!$B$4*MAX(INDEX(Bases!$N$2:$N$53,B231),INDEX(Bases!$N$2:$N$53,C231))+Settings!$B$5*MIN(INDEX(Bases!$N$2:$N$53,B231),INDEX(Bases!$N$2:$N$53,C231))</f>
        <v>47.3333333333333</v>
      </c>
      <c r="U231" s="2" t="n">
        <f aca="false">Settings!$B$4*MAX(INDEX(Bases!$O$2:$O$53,B231),INDEX(Bases!$O$2:$O$53,C231))+Settings!$B$5*MIN(INDEX(Bases!$O$2:$O$53,B231),INDEX(Bases!$O$2:$O$53,C231))</f>
        <v>140</v>
      </c>
      <c r="V231" s="2" t="n">
        <f aca="false">Settings!$B$4*MAX(INDEX(Bases!$P$2:$P$53,B231),INDEX(Bases!$P$2:$P$53,C231))+Settings!$B$5*MIN(INDEX(Bases!$P$2:$P$53,B231),INDEX(Bases!$P$2:$P$53,C231))</f>
        <v>54.6666666666667</v>
      </c>
      <c r="W231" s="2" t="n">
        <f aca="false">Settings!$B$4*MAX(INDEX(Bases!$Q$2:$Q$53,B231),INDEX(Bases!$Q$2:$Q$53,C231))+Settings!$B$5*MIN(INDEX(Bases!$Q$2:$Q$53,B231),INDEX(Bases!$Q$2:$Q$53,C231))</f>
        <v>143</v>
      </c>
      <c r="X231" s="2" t="n">
        <f aca="false">Settings!$B$4*MAX(INDEX(Bases!$R$2:$R$53,B231),INDEX(Bases!$R$2:$R$53,C231))+Settings!$B$5*MIN(INDEX(Bases!$R$2:$R$53,B231),INDEX(Bases!$R$2:$R$53,C231))</f>
        <v>57.3333333333333</v>
      </c>
      <c r="Y231" s="2" t="n">
        <f aca="false">S231*Settings!$B$3/SUM(S231:X231)</f>
        <v>40.1940401940402</v>
      </c>
      <c r="Z231" s="2" t="n">
        <f aca="false">T231*Settings!$B$3/SUM(S231:X231)</f>
        <v>49.2030492030492</v>
      </c>
      <c r="AA231" s="2" t="n">
        <f aca="false">U231*Settings!$B$3/SUM(S231:X231)</f>
        <v>145.530145530146</v>
      </c>
      <c r="AB231" s="2" t="n">
        <f aca="false">V231*Settings!$B$3/SUM(S231:X231)</f>
        <v>56.8260568260568</v>
      </c>
      <c r="AC231" s="2" t="n">
        <f aca="false">W231*Settings!$B$3/SUM(S231:X231)</f>
        <v>148.648648648649</v>
      </c>
      <c r="AD231" s="2" t="n">
        <f aca="false">X231*Settings!$B$3/SUM(S231:X231)</f>
        <v>59.5980595980596</v>
      </c>
      <c r="AE231" s="2" t="n">
        <f aca="false">INT(Y231)</f>
        <v>40</v>
      </c>
      <c r="AF231" s="2" t="n">
        <f aca="false">INT(Z231)</f>
        <v>49</v>
      </c>
      <c r="AG231" s="2" t="n">
        <f aca="false">INT(AA231)</f>
        <v>145</v>
      </c>
      <c r="AH231" s="2" t="n">
        <f aca="false">INT(AB231)</f>
        <v>56</v>
      </c>
      <c r="AI231" s="2" t="n">
        <f aca="false">INT(AC231)</f>
        <v>148</v>
      </c>
      <c r="AJ231" s="2" t="n">
        <f aca="false">INT(AD231)</f>
        <v>59</v>
      </c>
      <c r="AK231" s="2" t="n">
        <f aca="false">Settings!$B$3-SUM(AE231:AJ231)</f>
        <v>3</v>
      </c>
      <c r="AL231" s="2" t="n">
        <f aca="false">ROUND(Y231-AE231,9)</f>
        <v>0.194040194</v>
      </c>
      <c r="AM231" s="2" t="n">
        <f aca="false">ROUND(Z231-AF231,9)</f>
        <v>0.203049203</v>
      </c>
      <c r="AN231" s="2" t="n">
        <f aca="false">ROUND(AA231-AG231,9)</f>
        <v>0.53014553</v>
      </c>
      <c r="AO231" s="2" t="n">
        <f aca="false">ROUND(AB231-AH231,9)</f>
        <v>0.826056826</v>
      </c>
      <c r="AP231" s="2" t="n">
        <f aca="false">ROUND(AC231-AI231,9)</f>
        <v>0.648648649</v>
      </c>
      <c r="AQ231" s="2" t="n">
        <f aca="false">ROUND(AD231-AJ231,9)</f>
        <v>0.598059598</v>
      </c>
    </row>
    <row r="232" customFormat="false" ht="15" hidden="false" customHeight="false" outlineLevel="0" collapsed="false">
      <c r="A232" s="2" t="n">
        <v>231</v>
      </c>
      <c r="B232" s="6" t="n">
        <v>5</v>
      </c>
      <c r="C232" s="6" t="n">
        <v>38</v>
      </c>
      <c r="D232" s="8" t="str">
        <f aca="false">INDEX(Bases!$B$2:$B$53,B232)</f>
        <v>Cyndaquil</v>
      </c>
      <c r="E232" s="8" t="str">
        <f aca="false">INDEX(Bases!$B$2:$B$53,C232)</f>
        <v>Larvitar</v>
      </c>
      <c r="F232" s="2" t="str">
        <f aca="false">LEFT(D232,ROUNDUP(LEN(D232)/2,0))&amp;LOWER(MID(E232,ROUNDUP(LEN(E232)/2,0)+1,20))</f>
        <v>Cyndaitar</v>
      </c>
      <c r="G232" s="8" t="str">
        <f aca="false">INDEX(Bases!$C$2:$C$53,B232)</f>
        <v>Fire</v>
      </c>
      <c r="H232" s="8" t="str">
        <f aca="false">IF(INDEX(Bases!$C$2:$C$53,C232)=G232,"",INDEX(Bases!$C$2:$C$53,C232))</f>
        <v>Rock</v>
      </c>
      <c r="I232" s="8" t="str">
        <f aca="false">IF(INDEX(Bases!$E$2:$E$53,B232)="","",INDEX(Bases!$E$2:$E$53,B232))</f>
        <v/>
      </c>
      <c r="J232" s="8" t="str">
        <f aca="false">IF(INDEX(Bases!$E$2:$E$53,C232)="","",INDEX(Bases!$E$2:$E$53,C232))</f>
        <v/>
      </c>
      <c r="K232" s="5"/>
      <c r="L232" s="2" t="n">
        <f aca="false">AE232+IF(SUMPRODUCT(--($AL232:$AQ232&gt;AL232))&lt;$AK232,1,0)</f>
        <v>74</v>
      </c>
      <c r="M232" s="2" t="n">
        <f aca="false">AF232+IF(SUMPRODUCT(--($AL232:$AQ232&gt;AM232))+SUMPRODUCT(--($AL232:AL232=AM232))&lt;$AK232,1,0)</f>
        <v>95</v>
      </c>
      <c r="N232" s="2" t="n">
        <f aca="false">AG232+IF(SUMPRODUCT(--($AL232:$AQ232&gt;AN232))+SUMPRODUCT(--($AL232:AM232=AN232))&lt;$AK232,1,0)</f>
        <v>76</v>
      </c>
      <c r="O232" s="2" t="n">
        <f aca="false">AH232+IF(SUMPRODUCT(--($AL232:$AQ232&gt;AO232))+SUMPRODUCT(--($AL232:AN232=AO232))&lt;$AK232,1,0)</f>
        <v>86</v>
      </c>
      <c r="P232" s="2" t="n">
        <f aca="false">AI232+IF(SUMPRODUCT(--($AL232:$AQ232&gt;AP232))+SUMPRODUCT(--($AL232:AO232=AP232))&lt;$AK232,1,0)</f>
        <v>80</v>
      </c>
      <c r="Q232" s="2" t="n">
        <f aca="false">AJ232+IF(SUMPRODUCT(--($AL232:$AQ232&gt;AQ232))+SUMPRODUCT(--($AL232:AP232=AQ232))&lt;$AK232,1,0)</f>
        <v>89</v>
      </c>
      <c r="R232" s="2" t="n">
        <f aca="false">SUM(L232:Q232)</f>
        <v>500</v>
      </c>
      <c r="S232" s="2" t="n">
        <f aca="false">Settings!$B$4*MAX(INDEX(Bases!$M$2:$M$53,B232),INDEX(Bases!$M$2:$M$53,C232))+Settings!$B$5*MIN(INDEX(Bases!$M$2:$M$53,B232),INDEX(Bases!$M$2:$M$53,C232))</f>
        <v>61.3333333333333</v>
      </c>
      <c r="T232" s="2" t="n">
        <f aca="false">Settings!$B$4*MAX(INDEX(Bases!$N$2:$N$53,B232),INDEX(Bases!$N$2:$N$53,C232))+Settings!$B$5*MIN(INDEX(Bases!$N$2:$N$53,B232),INDEX(Bases!$N$2:$N$53,C232))</f>
        <v>79</v>
      </c>
      <c r="U232" s="2" t="n">
        <f aca="false">Settings!$B$4*MAX(INDEX(Bases!$O$2:$O$53,B232),INDEX(Bases!$O$2:$O$53,C232))+Settings!$B$5*MIN(INDEX(Bases!$O$2:$O$53,B232),INDEX(Bases!$O$2:$O$53,C232))</f>
        <v>63.3333333333333</v>
      </c>
      <c r="V232" s="2" t="n">
        <f aca="false">Settings!$B$4*MAX(INDEX(Bases!$P$2:$P$53,B232),INDEX(Bases!$P$2:$P$53,C232))+Settings!$B$5*MIN(INDEX(Bases!$P$2:$P$53,B232),INDEX(Bases!$P$2:$P$53,C232))</f>
        <v>72</v>
      </c>
      <c r="W232" s="2" t="n">
        <f aca="false">Settings!$B$4*MAX(INDEX(Bases!$Q$2:$Q$53,B232),INDEX(Bases!$Q$2:$Q$53,C232))+Settings!$B$5*MIN(INDEX(Bases!$Q$2:$Q$53,B232),INDEX(Bases!$Q$2:$Q$53,C232))</f>
        <v>66.3333333333333</v>
      </c>
      <c r="X232" s="2" t="n">
        <f aca="false">Settings!$B$4*MAX(INDEX(Bases!$R$2:$R$53,B232),INDEX(Bases!$R$2:$R$53,C232))+Settings!$B$5*MIN(INDEX(Bases!$R$2:$R$53,B232),INDEX(Bases!$R$2:$R$53,C232))</f>
        <v>74</v>
      </c>
      <c r="Y232" s="2" t="n">
        <f aca="false">S232*Settings!$B$3/SUM(S232:X232)</f>
        <v>73.7179487179487</v>
      </c>
      <c r="Z232" s="2" t="n">
        <f aca="false">T232*Settings!$B$3/SUM(S232:X232)</f>
        <v>94.9519230769231</v>
      </c>
      <c r="AA232" s="2" t="n">
        <f aca="false">U232*Settings!$B$3/SUM(S232:X232)</f>
        <v>76.1217948717949</v>
      </c>
      <c r="AB232" s="2" t="n">
        <f aca="false">V232*Settings!$B$3/SUM(S232:X232)</f>
        <v>86.5384615384615</v>
      </c>
      <c r="AC232" s="2" t="n">
        <f aca="false">W232*Settings!$B$3/SUM(S232:X232)</f>
        <v>79.7275641025641</v>
      </c>
      <c r="AD232" s="2" t="n">
        <f aca="false">X232*Settings!$B$3/SUM(S232:X232)</f>
        <v>88.9423076923077</v>
      </c>
      <c r="AE232" s="2" t="n">
        <f aca="false">INT(Y232)</f>
        <v>73</v>
      </c>
      <c r="AF232" s="2" t="n">
        <f aca="false">INT(Z232)</f>
        <v>94</v>
      </c>
      <c r="AG232" s="2" t="n">
        <f aca="false">INT(AA232)</f>
        <v>76</v>
      </c>
      <c r="AH232" s="2" t="n">
        <f aca="false">INT(AB232)</f>
        <v>86</v>
      </c>
      <c r="AI232" s="2" t="n">
        <f aca="false">INT(AC232)</f>
        <v>79</v>
      </c>
      <c r="AJ232" s="2" t="n">
        <f aca="false">INT(AD232)</f>
        <v>88</v>
      </c>
      <c r="AK232" s="2" t="n">
        <f aca="false">Settings!$B$3-SUM(AE232:AJ232)</f>
        <v>4</v>
      </c>
      <c r="AL232" s="2" t="n">
        <f aca="false">ROUND(Y232-AE232,9)</f>
        <v>0.717948718</v>
      </c>
      <c r="AM232" s="2" t="n">
        <f aca="false">ROUND(Z232-AF232,9)</f>
        <v>0.951923077</v>
      </c>
      <c r="AN232" s="2" t="n">
        <f aca="false">ROUND(AA232-AG232,9)</f>
        <v>0.121794872</v>
      </c>
      <c r="AO232" s="2" t="n">
        <f aca="false">ROUND(AB232-AH232,9)</f>
        <v>0.538461538</v>
      </c>
      <c r="AP232" s="2" t="n">
        <f aca="false">ROUND(AC232-AI232,9)</f>
        <v>0.727564103</v>
      </c>
      <c r="AQ232" s="2" t="n">
        <f aca="false">ROUND(AD232-AJ232,9)</f>
        <v>0.942307692</v>
      </c>
    </row>
    <row r="233" customFormat="false" ht="15" hidden="false" customHeight="false" outlineLevel="0" collapsed="false">
      <c r="A233" s="2" t="n">
        <v>232</v>
      </c>
      <c r="B233" s="6" t="n">
        <v>5</v>
      </c>
      <c r="C233" s="6" t="n">
        <v>39</v>
      </c>
      <c r="D233" s="8" t="str">
        <f aca="false">INDEX(Bases!$B$2:$B$53,B233)</f>
        <v>Cyndaquil</v>
      </c>
      <c r="E233" s="8" t="str">
        <f aca="false">INDEX(Bases!$B$2:$B$53,C233)</f>
        <v>Nosepass</v>
      </c>
      <c r="F233" s="2" t="str">
        <f aca="false">LEFT(D233,ROUNDUP(LEN(D233)/2,0))&amp;LOWER(MID(E233,ROUNDUP(LEN(E233)/2,0)+1,20))</f>
        <v>Cyndapass</v>
      </c>
      <c r="G233" s="8" t="str">
        <f aca="false">INDEX(Bases!$C$2:$C$53,B233)</f>
        <v>Fire</v>
      </c>
      <c r="H233" s="8" t="str">
        <f aca="false">IF(INDEX(Bases!$C$2:$C$53,C233)=G233,"",INDEX(Bases!$C$2:$C$53,C233))</f>
        <v>Rock</v>
      </c>
      <c r="I233" s="8" t="str">
        <f aca="false">IF(INDEX(Bases!$E$2:$E$53,B233)="","",INDEX(Bases!$E$2:$E$53,B233))</f>
        <v/>
      </c>
      <c r="J233" s="8" t="str">
        <f aca="false">IF(INDEX(Bases!$E$2:$E$53,C233)="","",INDEX(Bases!$E$2:$E$53,C233))</f>
        <v/>
      </c>
      <c r="K233" s="5"/>
      <c r="L233" s="2" t="n">
        <f aca="false">AE233+IF(SUMPRODUCT(--($AL233:$AQ233&gt;AL233))&lt;$AK233,1,0)</f>
        <v>50</v>
      </c>
      <c r="M233" s="2" t="n">
        <f aca="false">AF233+IF(SUMPRODUCT(--($AL233:$AQ233&gt;AM233))+SUMPRODUCT(--($AL233:AL233=AM233))&lt;$AK233,1,0)</f>
        <v>69</v>
      </c>
      <c r="N233" s="2" t="n">
        <f aca="false">AG233+IF(SUMPRODUCT(--($AL233:$AQ233&gt;AN233))+SUMPRODUCT(--($AL233:AM233=AN233))&lt;$AK233,1,0)</f>
        <v>130</v>
      </c>
      <c r="O233" s="2" t="n">
        <f aca="false">AH233+IF(SUMPRODUCT(--($AL233:$AQ233&gt;AO233))+SUMPRODUCT(--($AL233:AN233=AO233))&lt;$AK233,1,0)</f>
        <v>77</v>
      </c>
      <c r="P233" s="2" t="n">
        <f aca="false">AI233+IF(SUMPRODUCT(--($AL233:$AQ233&gt;AP233))+SUMPRODUCT(--($AL233:AO233=AP233))&lt;$AK233,1,0)</f>
        <v>98</v>
      </c>
      <c r="Q233" s="2" t="n">
        <f aca="false">AJ233+IF(SUMPRODUCT(--($AL233:$AQ233&gt;AQ233))+SUMPRODUCT(--($AL233:AP233=AQ233))&lt;$AK233,1,0)</f>
        <v>76</v>
      </c>
      <c r="R233" s="2" t="n">
        <f aca="false">SUM(L233:Q233)</f>
        <v>500</v>
      </c>
      <c r="S233" s="2" t="n">
        <f aca="false">Settings!$B$4*MAX(INDEX(Bases!$M$2:$M$53,B233),INDEX(Bases!$M$2:$M$53,C233))+Settings!$B$5*MIN(INDEX(Bases!$M$2:$M$53,B233),INDEX(Bases!$M$2:$M$53,C233))</f>
        <v>44</v>
      </c>
      <c r="T233" s="2" t="n">
        <f aca="false">Settings!$B$4*MAX(INDEX(Bases!$N$2:$N$53,B233),INDEX(Bases!$N$2:$N$53,C233))+Settings!$B$5*MIN(INDEX(Bases!$N$2:$N$53,B233),INDEX(Bases!$N$2:$N$53,C233))</f>
        <v>60.6666666666667</v>
      </c>
      <c r="U233" s="2" t="n">
        <f aca="false">Settings!$B$4*MAX(INDEX(Bases!$O$2:$O$53,B233),INDEX(Bases!$O$2:$O$53,C233))+Settings!$B$5*MIN(INDEX(Bases!$O$2:$O$53,B233),INDEX(Bases!$O$2:$O$53,C233))</f>
        <v>114.666666666667</v>
      </c>
      <c r="V233" s="2" t="n">
        <f aca="false">Settings!$B$4*MAX(INDEX(Bases!$P$2:$P$53,B233),INDEX(Bases!$P$2:$P$53,C233))+Settings!$B$5*MIN(INDEX(Bases!$P$2:$P$53,B233),INDEX(Bases!$P$2:$P$53,C233))</f>
        <v>68</v>
      </c>
      <c r="W233" s="2" t="n">
        <f aca="false">Settings!$B$4*MAX(INDEX(Bases!$Q$2:$Q$53,B233),INDEX(Bases!$Q$2:$Q$53,C233))+Settings!$B$5*MIN(INDEX(Bases!$Q$2:$Q$53,B233),INDEX(Bases!$Q$2:$Q$53,C233))</f>
        <v>85.6666666666667</v>
      </c>
      <c r="X233" s="2" t="n">
        <f aca="false">Settings!$B$4*MAX(INDEX(Bases!$R$2:$R$53,B233),INDEX(Bases!$R$2:$R$53,C233))+Settings!$B$5*MIN(INDEX(Bases!$R$2:$R$53,B233),INDEX(Bases!$R$2:$R$53,C233))</f>
        <v>66.6666666666667</v>
      </c>
      <c r="Y233" s="2" t="n">
        <f aca="false">S233*Settings!$B$3/SUM(S233:X233)</f>
        <v>50.0379075056861</v>
      </c>
      <c r="Z233" s="2" t="n">
        <f aca="false">T233*Settings!$B$3/SUM(S233:X233)</f>
        <v>68.9916603487491</v>
      </c>
      <c r="AA233" s="2" t="n">
        <f aca="false">U233*Settings!$B$3/SUM(S233:X233)</f>
        <v>130.401819560273</v>
      </c>
      <c r="AB233" s="2" t="n">
        <f aca="false">V233*Settings!$B$3/SUM(S233:X233)</f>
        <v>77.3313115996967</v>
      </c>
      <c r="AC233" s="2" t="n">
        <f aca="false">W233*Settings!$B$3/SUM(S233:X233)</f>
        <v>97.4222896133434</v>
      </c>
      <c r="AD233" s="2" t="n">
        <f aca="false">X233*Settings!$B$3/SUM(S233:X233)</f>
        <v>75.8150113722517</v>
      </c>
      <c r="AE233" s="2" t="n">
        <f aca="false">INT(Y233)</f>
        <v>50</v>
      </c>
      <c r="AF233" s="2" t="n">
        <f aca="false">INT(Z233)</f>
        <v>68</v>
      </c>
      <c r="AG233" s="2" t="n">
        <f aca="false">INT(AA233)</f>
        <v>130</v>
      </c>
      <c r="AH233" s="2" t="n">
        <f aca="false">INT(AB233)</f>
        <v>77</v>
      </c>
      <c r="AI233" s="2" t="n">
        <f aca="false">INT(AC233)</f>
        <v>97</v>
      </c>
      <c r="AJ233" s="2" t="n">
        <f aca="false">INT(AD233)</f>
        <v>75</v>
      </c>
      <c r="AK233" s="2" t="n">
        <f aca="false">Settings!$B$3-SUM(AE233:AJ233)</f>
        <v>3</v>
      </c>
      <c r="AL233" s="2" t="n">
        <f aca="false">ROUND(Y233-AE233,9)</f>
        <v>0.037907506</v>
      </c>
      <c r="AM233" s="2" t="n">
        <f aca="false">ROUND(Z233-AF233,9)</f>
        <v>0.991660349</v>
      </c>
      <c r="AN233" s="2" t="n">
        <f aca="false">ROUND(AA233-AG233,9)</f>
        <v>0.40181956</v>
      </c>
      <c r="AO233" s="2" t="n">
        <f aca="false">ROUND(AB233-AH233,9)</f>
        <v>0.3313116</v>
      </c>
      <c r="AP233" s="2" t="n">
        <f aca="false">ROUND(AC233-AI233,9)</f>
        <v>0.422289613</v>
      </c>
      <c r="AQ233" s="2" t="n">
        <f aca="false">ROUND(AD233-AJ233,9)</f>
        <v>0.815011372</v>
      </c>
    </row>
    <row r="234" customFormat="false" ht="15" hidden="false" customHeight="false" outlineLevel="0" collapsed="false">
      <c r="A234" s="2" t="n">
        <v>233</v>
      </c>
      <c r="B234" s="6" t="n">
        <v>5</v>
      </c>
      <c r="C234" s="6" t="n">
        <v>40</v>
      </c>
      <c r="D234" s="8" t="str">
        <f aca="false">INDEX(Bases!$B$2:$B$53,B234)</f>
        <v>Cyndaquil</v>
      </c>
      <c r="E234" s="8" t="str">
        <f aca="false">INDEX(Bases!$B$2:$B$53,C234)</f>
        <v>Gastly</v>
      </c>
      <c r="F234" s="2" t="str">
        <f aca="false">LEFT(D234,ROUNDUP(LEN(D234)/2,0))&amp;LOWER(MID(E234,ROUNDUP(LEN(E234)/2,0)+1,20))</f>
        <v>Cyndatly</v>
      </c>
      <c r="G234" s="8" t="str">
        <f aca="false">INDEX(Bases!$C$2:$C$53,B234)</f>
        <v>Fire</v>
      </c>
      <c r="H234" s="8" t="str">
        <f aca="false">IF(INDEX(Bases!$C$2:$C$53,C234)=G234,"",INDEX(Bases!$C$2:$C$53,C234))</f>
        <v>Ghost</v>
      </c>
      <c r="I234" s="8" t="str">
        <f aca="false">IF(INDEX(Bases!$E$2:$E$53,B234)="","",INDEX(Bases!$E$2:$E$53,B234))</f>
        <v/>
      </c>
      <c r="J234" s="8" t="str">
        <f aca="false">IF(INDEX(Bases!$E$2:$E$53,C234)="","",INDEX(Bases!$E$2:$E$53,C234))</f>
        <v/>
      </c>
      <c r="K234" s="5"/>
      <c r="L234" s="2" t="n">
        <f aca="false">AE234+IF(SUMPRODUCT(--($AL234:$AQ234&gt;AL234))&lt;$AK234,1,0)</f>
        <v>55</v>
      </c>
      <c r="M234" s="2" t="n">
        <f aca="false">AF234+IF(SUMPRODUCT(--($AL234:$AQ234&gt;AM234))+SUMPRODUCT(--($AL234:AL234=AM234))&lt;$AK234,1,0)</f>
        <v>71</v>
      </c>
      <c r="N234" s="2" t="n">
        <f aca="false">AG234+IF(SUMPRODUCT(--($AL234:$AQ234&gt;AN234))+SUMPRODUCT(--($AL234:AM234=AN234))&lt;$AK234,1,0)</f>
        <v>59</v>
      </c>
      <c r="O234" s="2" t="n">
        <f aca="false">AH234+IF(SUMPRODUCT(--($AL234:$AQ234&gt;AO234))+SUMPRODUCT(--($AL234:AN234=AO234))&lt;$AK234,1,0)</f>
        <v>132</v>
      </c>
      <c r="P234" s="2" t="n">
        <f aca="false">AI234+IF(SUMPRODUCT(--($AL234:$AQ234&gt;AP234))+SUMPRODUCT(--($AL234:AO234=AP234))&lt;$AK234,1,0)</f>
        <v>69</v>
      </c>
      <c r="Q234" s="2" t="n">
        <f aca="false">AJ234+IF(SUMPRODUCT(--($AL234:$AQ234&gt;AQ234))+SUMPRODUCT(--($AL234:AP234=AQ234))&lt;$AK234,1,0)</f>
        <v>114</v>
      </c>
      <c r="R234" s="2" t="n">
        <f aca="false">SUM(L234:Q234)</f>
        <v>500</v>
      </c>
      <c r="S234" s="2" t="n">
        <f aca="false">Settings!$B$4*MAX(INDEX(Bases!$M$2:$M$53,B234),INDEX(Bases!$M$2:$M$53,C234))+Settings!$B$5*MIN(INDEX(Bases!$M$2:$M$53,B234),INDEX(Bases!$M$2:$M$53,C234))</f>
        <v>46.3333333333333</v>
      </c>
      <c r="T234" s="2" t="n">
        <f aca="false">Settings!$B$4*MAX(INDEX(Bases!$N$2:$N$53,B234),INDEX(Bases!$N$2:$N$53,C234))+Settings!$B$5*MIN(INDEX(Bases!$N$2:$N$53,B234),INDEX(Bases!$N$2:$N$53,C234))</f>
        <v>59.6666666666667</v>
      </c>
      <c r="U234" s="2" t="n">
        <f aca="false">Settings!$B$4*MAX(INDEX(Bases!$O$2:$O$53,B234),INDEX(Bases!$O$2:$O$53,C234))+Settings!$B$5*MIN(INDEX(Bases!$O$2:$O$53,B234),INDEX(Bases!$O$2:$O$53,C234))</f>
        <v>50.3333333333333</v>
      </c>
      <c r="V234" s="2" t="n">
        <f aca="false">Settings!$B$4*MAX(INDEX(Bases!$P$2:$P$53,B234),INDEX(Bases!$P$2:$P$53,C234))+Settings!$B$5*MIN(INDEX(Bases!$P$2:$P$53,B234),INDEX(Bases!$P$2:$P$53,C234))</f>
        <v>112</v>
      </c>
      <c r="W234" s="2" t="n">
        <f aca="false">Settings!$B$4*MAX(INDEX(Bases!$Q$2:$Q$53,B234),INDEX(Bases!$Q$2:$Q$53,C234))+Settings!$B$5*MIN(INDEX(Bases!$Q$2:$Q$53,B234),INDEX(Bases!$Q$2:$Q$53,C234))</f>
        <v>58.3333333333333</v>
      </c>
      <c r="X234" s="2" t="n">
        <f aca="false">Settings!$B$4*MAX(INDEX(Bases!$R$2:$R$53,B234),INDEX(Bases!$R$2:$R$53,C234))+Settings!$B$5*MIN(INDEX(Bases!$R$2:$R$53,B234),INDEX(Bases!$R$2:$R$53,C234))</f>
        <v>96.6666666666667</v>
      </c>
      <c r="Y234" s="2" t="n">
        <f aca="false">S234*Settings!$B$3/SUM(S234:X234)</f>
        <v>54.7244094488189</v>
      </c>
      <c r="Z234" s="2" t="n">
        <f aca="false">T234*Settings!$B$3/SUM(S234:X234)</f>
        <v>70.4724409448819</v>
      </c>
      <c r="AA234" s="2" t="n">
        <f aca="false">U234*Settings!$B$3/SUM(S234:X234)</f>
        <v>59.4488188976378</v>
      </c>
      <c r="AB234" s="2" t="n">
        <f aca="false">V234*Settings!$B$3/SUM(S234:X234)</f>
        <v>132.283464566929</v>
      </c>
      <c r="AC234" s="2" t="n">
        <f aca="false">W234*Settings!$B$3/SUM(S234:X234)</f>
        <v>68.8976377952756</v>
      </c>
      <c r="AD234" s="2" t="n">
        <f aca="false">X234*Settings!$B$3/SUM(S234:X234)</f>
        <v>114.173228346457</v>
      </c>
      <c r="AE234" s="2" t="n">
        <f aca="false">INT(Y234)</f>
        <v>54</v>
      </c>
      <c r="AF234" s="2" t="n">
        <f aca="false">INT(Z234)</f>
        <v>70</v>
      </c>
      <c r="AG234" s="2" t="n">
        <f aca="false">INT(AA234)</f>
        <v>59</v>
      </c>
      <c r="AH234" s="2" t="n">
        <f aca="false">INT(AB234)</f>
        <v>132</v>
      </c>
      <c r="AI234" s="2" t="n">
        <f aca="false">INT(AC234)</f>
        <v>68</v>
      </c>
      <c r="AJ234" s="2" t="n">
        <f aca="false">INT(AD234)</f>
        <v>114</v>
      </c>
      <c r="AK234" s="2" t="n">
        <f aca="false">Settings!$B$3-SUM(AE234:AJ234)</f>
        <v>3</v>
      </c>
      <c r="AL234" s="2" t="n">
        <f aca="false">ROUND(Y234-AE234,9)</f>
        <v>0.724409449</v>
      </c>
      <c r="AM234" s="2" t="n">
        <f aca="false">ROUND(Z234-AF234,9)</f>
        <v>0.472440945</v>
      </c>
      <c r="AN234" s="2" t="n">
        <f aca="false">ROUND(AA234-AG234,9)</f>
        <v>0.448818898</v>
      </c>
      <c r="AO234" s="2" t="n">
        <f aca="false">ROUND(AB234-AH234,9)</f>
        <v>0.283464567</v>
      </c>
      <c r="AP234" s="2" t="n">
        <f aca="false">ROUND(AC234-AI234,9)</f>
        <v>0.897637795</v>
      </c>
      <c r="AQ234" s="2" t="n">
        <f aca="false">ROUND(AD234-AJ234,9)</f>
        <v>0.173228346</v>
      </c>
    </row>
    <row r="235" customFormat="false" ht="15" hidden="false" customHeight="false" outlineLevel="0" collapsed="false">
      <c r="A235" s="2" t="n">
        <v>234</v>
      </c>
      <c r="B235" s="6" t="n">
        <v>5</v>
      </c>
      <c r="C235" s="6" t="n">
        <v>41</v>
      </c>
      <c r="D235" s="8" t="str">
        <f aca="false">INDEX(Bases!$B$2:$B$53,B235)</f>
        <v>Cyndaquil</v>
      </c>
      <c r="E235" s="8" t="str">
        <f aca="false">INDEX(Bases!$B$2:$B$53,C235)</f>
        <v>Misdreavus</v>
      </c>
      <c r="F235" s="2" t="str">
        <f aca="false">LEFT(D235,ROUNDUP(LEN(D235)/2,0))&amp;LOWER(MID(E235,ROUNDUP(LEN(E235)/2,0)+1,20))</f>
        <v>Cyndaeavus</v>
      </c>
      <c r="G235" s="8" t="str">
        <f aca="false">INDEX(Bases!$C$2:$C$53,B235)</f>
        <v>Fire</v>
      </c>
      <c r="H235" s="8" t="str">
        <f aca="false">IF(INDEX(Bases!$C$2:$C$53,C235)=G235,"",INDEX(Bases!$C$2:$C$53,C235))</f>
        <v>Ghost</v>
      </c>
      <c r="I235" s="8" t="str">
        <f aca="false">IF(INDEX(Bases!$E$2:$E$53,B235)="","",INDEX(Bases!$E$2:$E$53,B235))</f>
        <v/>
      </c>
      <c r="J235" s="8" t="str">
        <f aca="false">IF(INDEX(Bases!$E$2:$E$53,C235)="","",INDEX(Bases!$E$2:$E$53,C235))</f>
        <v/>
      </c>
      <c r="K235" s="5"/>
      <c r="L235" s="2" t="n">
        <f aca="false">AE235+IF(SUMPRODUCT(--($AL235:$AQ235&gt;AL235))&lt;$AK235,1,0)</f>
        <v>66</v>
      </c>
      <c r="M235" s="2" t="n">
        <f aca="false">AF235+IF(SUMPRODUCT(--($AL235:$AQ235&gt;AM235))+SUMPRODUCT(--($AL235:AL235=AM235))&lt;$AK235,1,0)</f>
        <v>78</v>
      </c>
      <c r="N235" s="2" t="n">
        <f aca="false">AG235+IF(SUMPRODUCT(--($AL235:$AQ235&gt;AN235))+SUMPRODUCT(--($AL235:AM235=AN235))&lt;$AK235,1,0)</f>
        <v>68</v>
      </c>
      <c r="O235" s="2" t="n">
        <f aca="false">AH235+IF(SUMPRODUCT(--($AL235:$AQ235&gt;AO235))+SUMPRODUCT(--($AL235:AN235=AO235))&lt;$AK235,1,0)</f>
        <v>96</v>
      </c>
      <c r="P235" s="2" t="n">
        <f aca="false">AI235+IF(SUMPRODUCT(--($AL235:$AQ235&gt;AP235))+SUMPRODUCT(--($AL235:AO235=AP235))&lt;$AK235,1,0)</f>
        <v>91</v>
      </c>
      <c r="Q235" s="2" t="n">
        <f aca="false">AJ235+IF(SUMPRODUCT(--($AL235:$AQ235&gt;AQ235))+SUMPRODUCT(--($AL235:AP235=AQ235))&lt;$AK235,1,0)</f>
        <v>101</v>
      </c>
      <c r="R235" s="2" t="n">
        <f aca="false">SUM(L235:Q235)</f>
        <v>500</v>
      </c>
      <c r="S235" s="2" t="n">
        <f aca="false">Settings!$B$4*MAX(INDEX(Bases!$M$2:$M$53,B235),INDEX(Bases!$M$2:$M$53,C235))+Settings!$B$5*MIN(INDEX(Bases!$M$2:$M$53,B235),INDEX(Bases!$M$2:$M$53,C235))</f>
        <v>54</v>
      </c>
      <c r="T235" s="2" t="n">
        <f aca="false">Settings!$B$4*MAX(INDEX(Bases!$N$2:$N$53,B235),INDEX(Bases!$N$2:$N$53,C235))+Settings!$B$5*MIN(INDEX(Bases!$N$2:$N$53,B235),INDEX(Bases!$N$2:$N$53,C235))</f>
        <v>63</v>
      </c>
      <c r="U235" s="2" t="n">
        <f aca="false">Settings!$B$4*MAX(INDEX(Bases!$O$2:$O$53,B235),INDEX(Bases!$O$2:$O$53,C235))+Settings!$B$5*MIN(INDEX(Bases!$O$2:$O$53,B235),INDEX(Bases!$O$2:$O$53,C235))</f>
        <v>55.6666666666667</v>
      </c>
      <c r="V235" s="2" t="n">
        <f aca="false">Settings!$B$4*MAX(INDEX(Bases!$P$2:$P$53,B235),INDEX(Bases!$P$2:$P$53,C235))+Settings!$B$5*MIN(INDEX(Bases!$P$2:$P$53,B235),INDEX(Bases!$P$2:$P$53,C235))</f>
        <v>78</v>
      </c>
      <c r="W235" s="2" t="n">
        <f aca="false">Settings!$B$4*MAX(INDEX(Bases!$Q$2:$Q$53,B235),INDEX(Bases!$Q$2:$Q$53,C235))+Settings!$B$5*MIN(INDEX(Bases!$Q$2:$Q$53,B235),INDEX(Bases!$Q$2:$Q$53,C235))</f>
        <v>73.6666666666667</v>
      </c>
      <c r="X235" s="2" t="n">
        <f aca="false">Settings!$B$4*MAX(INDEX(Bases!$R$2:$R$53,B235),INDEX(Bases!$R$2:$R$53,C235))+Settings!$B$5*MIN(INDEX(Bases!$R$2:$R$53,B235),INDEX(Bases!$R$2:$R$53,C235))</f>
        <v>82</v>
      </c>
      <c r="Y235" s="2" t="n">
        <f aca="false">S235*Settings!$B$3/SUM(S235:X235)</f>
        <v>66.447908121411</v>
      </c>
      <c r="Z235" s="2" t="n">
        <f aca="false">T235*Settings!$B$3/SUM(S235:X235)</f>
        <v>77.5225594749795</v>
      </c>
      <c r="AA235" s="2" t="n">
        <f aca="false">U235*Settings!$B$3/SUM(S235:X235)</f>
        <v>68.4987694831829</v>
      </c>
      <c r="AB235" s="2" t="n">
        <f aca="false">V235*Settings!$B$3/SUM(S235:X235)</f>
        <v>95.980311730927</v>
      </c>
      <c r="AC235" s="2" t="n">
        <f aca="false">W235*Settings!$B$3/SUM(S235:X235)</f>
        <v>90.64807219032</v>
      </c>
      <c r="AD235" s="2" t="n">
        <f aca="false">X235*Settings!$B$3/SUM(S235:X235)</f>
        <v>100.90237899918</v>
      </c>
      <c r="AE235" s="2" t="n">
        <f aca="false">INT(Y235)</f>
        <v>66</v>
      </c>
      <c r="AF235" s="2" t="n">
        <f aca="false">INT(Z235)</f>
        <v>77</v>
      </c>
      <c r="AG235" s="2" t="n">
        <f aca="false">INT(AA235)</f>
        <v>68</v>
      </c>
      <c r="AH235" s="2" t="n">
        <f aca="false">INT(AB235)</f>
        <v>95</v>
      </c>
      <c r="AI235" s="2" t="n">
        <f aca="false">INT(AC235)</f>
        <v>90</v>
      </c>
      <c r="AJ235" s="2" t="n">
        <f aca="false">INT(AD235)</f>
        <v>100</v>
      </c>
      <c r="AK235" s="2" t="n">
        <f aca="false">Settings!$B$3-SUM(AE235:AJ235)</f>
        <v>4</v>
      </c>
      <c r="AL235" s="2" t="n">
        <f aca="false">ROUND(Y235-AE235,9)</f>
        <v>0.447908121</v>
      </c>
      <c r="AM235" s="2" t="n">
        <f aca="false">ROUND(Z235-AF235,9)</f>
        <v>0.522559475</v>
      </c>
      <c r="AN235" s="2" t="n">
        <f aca="false">ROUND(AA235-AG235,9)</f>
        <v>0.498769483</v>
      </c>
      <c r="AO235" s="2" t="n">
        <f aca="false">ROUND(AB235-AH235,9)</f>
        <v>0.980311731</v>
      </c>
      <c r="AP235" s="2" t="n">
        <f aca="false">ROUND(AC235-AI235,9)</f>
        <v>0.64807219</v>
      </c>
      <c r="AQ235" s="2" t="n">
        <f aca="false">ROUND(AD235-AJ235,9)</f>
        <v>0.902378999</v>
      </c>
    </row>
    <row r="236" customFormat="false" ht="15" hidden="false" customHeight="false" outlineLevel="0" collapsed="false">
      <c r="A236" s="2" t="n">
        <v>235</v>
      </c>
      <c r="B236" s="6" t="n">
        <v>5</v>
      </c>
      <c r="C236" s="6" t="n">
        <v>42</v>
      </c>
      <c r="D236" s="8" t="str">
        <f aca="false">INDEX(Bases!$B$2:$B$53,B236)</f>
        <v>Cyndaquil</v>
      </c>
      <c r="E236" s="8" t="str">
        <f aca="false">INDEX(Bases!$B$2:$B$53,C236)</f>
        <v>Sableye</v>
      </c>
      <c r="F236" s="2" t="str">
        <f aca="false">LEFT(D236,ROUNDUP(LEN(D236)/2,0))&amp;LOWER(MID(E236,ROUNDUP(LEN(E236)/2,0)+1,20))</f>
        <v>Cyndaeye</v>
      </c>
      <c r="G236" s="8" t="str">
        <f aca="false">INDEX(Bases!$C$2:$C$53,B236)</f>
        <v>Fire</v>
      </c>
      <c r="H236" s="8" t="str">
        <f aca="false">IF(INDEX(Bases!$C$2:$C$53,C236)=G236,"",INDEX(Bases!$C$2:$C$53,C236))</f>
        <v>Ghost</v>
      </c>
      <c r="I236" s="8" t="str">
        <f aca="false">IF(INDEX(Bases!$E$2:$E$53,B236)="","",INDEX(Bases!$E$2:$E$53,B236))</f>
        <v/>
      </c>
      <c r="J236" s="8" t="str">
        <f aca="false">IF(INDEX(Bases!$E$2:$E$53,C236)="","",INDEX(Bases!$E$2:$E$53,C236))</f>
        <v/>
      </c>
      <c r="K236" s="5"/>
      <c r="L236" s="2" t="n">
        <f aca="false">AE236+IF(SUMPRODUCT(--($AL236:$AQ236&gt;AL236))&lt;$AK236,1,0)</f>
        <v>63</v>
      </c>
      <c r="M236" s="2" t="n">
        <f aca="false">AF236+IF(SUMPRODUCT(--($AL236:$AQ236&gt;AM236))+SUMPRODUCT(--($AL236:AL236=AM236))&lt;$AK236,1,0)</f>
        <v>91</v>
      </c>
      <c r="N236" s="2" t="n">
        <f aca="false">AG236+IF(SUMPRODUCT(--($AL236:$AQ236&gt;AN236))+SUMPRODUCT(--($AL236:AM236=AN236))&lt;$AK236,1,0)</f>
        <v>86</v>
      </c>
      <c r="O236" s="2" t="n">
        <f aca="false">AH236+IF(SUMPRODUCT(--($AL236:$AQ236&gt;AO236))+SUMPRODUCT(--($AL236:AN236=AO236))&lt;$AK236,1,0)</f>
        <v>90</v>
      </c>
      <c r="P236" s="2" t="n">
        <f aca="false">AI236+IF(SUMPRODUCT(--($AL236:$AQ236&gt;AP236))+SUMPRODUCT(--($AL236:AO236=AP236))&lt;$AK236,1,0)</f>
        <v>81</v>
      </c>
      <c r="Q236" s="2" t="n">
        <f aca="false">AJ236+IF(SUMPRODUCT(--($AL236:$AQ236&gt;AQ236))+SUMPRODUCT(--($AL236:AP236=AQ236))&lt;$AK236,1,0)</f>
        <v>89</v>
      </c>
      <c r="R236" s="2" t="n">
        <f aca="false">SUM(L236:Q236)</f>
        <v>500</v>
      </c>
      <c r="S236" s="2" t="n">
        <f aca="false">Settings!$B$4*MAX(INDEX(Bases!$M$2:$M$53,B236),INDEX(Bases!$M$2:$M$53,C236))+Settings!$B$5*MIN(INDEX(Bases!$M$2:$M$53,B236),INDEX(Bases!$M$2:$M$53,C236))</f>
        <v>52</v>
      </c>
      <c r="T236" s="2" t="n">
        <f aca="false">Settings!$B$4*MAX(INDEX(Bases!$N$2:$N$53,B236),INDEX(Bases!$N$2:$N$53,C236))+Settings!$B$5*MIN(INDEX(Bases!$N$2:$N$53,B236),INDEX(Bases!$N$2:$N$53,C236))</f>
        <v>75</v>
      </c>
      <c r="U236" s="2" t="n">
        <f aca="false">Settings!$B$4*MAX(INDEX(Bases!$O$2:$O$53,B236),INDEX(Bases!$O$2:$O$53,C236))+Settings!$B$5*MIN(INDEX(Bases!$O$2:$O$53,B236),INDEX(Bases!$O$2:$O$53,C236))</f>
        <v>71.3333333333333</v>
      </c>
      <c r="V236" s="2" t="n">
        <f aca="false">Settings!$B$4*MAX(INDEX(Bases!$P$2:$P$53,B236),INDEX(Bases!$P$2:$P$53,C236))+Settings!$B$5*MIN(INDEX(Bases!$P$2:$P$53,B236),INDEX(Bases!$P$2:$P$53,C236))</f>
        <v>74.6666666666667</v>
      </c>
      <c r="W236" s="2" t="n">
        <f aca="false">Settings!$B$4*MAX(INDEX(Bases!$Q$2:$Q$53,B236),INDEX(Bases!$Q$2:$Q$53,C236))+Settings!$B$5*MIN(INDEX(Bases!$Q$2:$Q$53,B236),INDEX(Bases!$Q$2:$Q$53,C236))</f>
        <v>67</v>
      </c>
      <c r="X236" s="2" t="n">
        <f aca="false">Settings!$B$4*MAX(INDEX(Bases!$R$2:$R$53,B236),INDEX(Bases!$R$2:$R$53,C236))+Settings!$B$5*MIN(INDEX(Bases!$R$2:$R$53,B236),INDEX(Bases!$R$2:$R$53,C236))</f>
        <v>73.6666666666667</v>
      </c>
      <c r="Y236" s="2" t="n">
        <f aca="false">S236*Settings!$B$3/SUM(S236:X236)</f>
        <v>62.8525382755842</v>
      </c>
      <c r="Z236" s="2" t="n">
        <f aca="false">T236*Settings!$B$3/SUM(S236:X236)</f>
        <v>90.6526994359388</v>
      </c>
      <c r="AA236" s="2" t="n">
        <f aca="false">U236*Settings!$B$3/SUM(S236:X236)</f>
        <v>86.2207896857373</v>
      </c>
      <c r="AB236" s="2" t="n">
        <f aca="false">V236*Settings!$B$3/SUM(S236:X236)</f>
        <v>90.2497985495568</v>
      </c>
      <c r="AC236" s="2" t="n">
        <f aca="false">W236*Settings!$B$3/SUM(S236:X236)</f>
        <v>80.983078162772</v>
      </c>
      <c r="AD236" s="2" t="n">
        <f aca="false">X236*Settings!$B$3/SUM(S236:X236)</f>
        <v>89.041095890411</v>
      </c>
      <c r="AE236" s="2" t="n">
        <f aca="false">INT(Y236)</f>
        <v>62</v>
      </c>
      <c r="AF236" s="2" t="n">
        <f aca="false">INT(Z236)</f>
        <v>90</v>
      </c>
      <c r="AG236" s="2" t="n">
        <f aca="false">INT(AA236)</f>
        <v>86</v>
      </c>
      <c r="AH236" s="2" t="n">
        <f aca="false">INT(AB236)</f>
        <v>90</v>
      </c>
      <c r="AI236" s="2" t="n">
        <f aca="false">INT(AC236)</f>
        <v>80</v>
      </c>
      <c r="AJ236" s="2" t="n">
        <f aca="false">INT(AD236)</f>
        <v>89</v>
      </c>
      <c r="AK236" s="2" t="n">
        <f aca="false">Settings!$B$3-SUM(AE236:AJ236)</f>
        <v>3</v>
      </c>
      <c r="AL236" s="2" t="n">
        <f aca="false">ROUND(Y236-AE236,9)</f>
        <v>0.852538276</v>
      </c>
      <c r="AM236" s="2" t="n">
        <f aca="false">ROUND(Z236-AF236,9)</f>
        <v>0.652699436</v>
      </c>
      <c r="AN236" s="2" t="n">
        <f aca="false">ROUND(AA236-AG236,9)</f>
        <v>0.220789686</v>
      </c>
      <c r="AO236" s="2" t="n">
        <f aca="false">ROUND(AB236-AH236,9)</f>
        <v>0.24979855</v>
      </c>
      <c r="AP236" s="2" t="n">
        <f aca="false">ROUND(AC236-AI236,9)</f>
        <v>0.983078163</v>
      </c>
      <c r="AQ236" s="2" t="n">
        <f aca="false">ROUND(AD236-AJ236,9)</f>
        <v>0.04109589</v>
      </c>
    </row>
    <row r="237" customFormat="false" ht="15" hidden="false" customHeight="false" outlineLevel="0" collapsed="false">
      <c r="A237" s="2" t="n">
        <v>236</v>
      </c>
      <c r="B237" s="6" t="n">
        <v>5</v>
      </c>
      <c r="C237" s="6" t="n">
        <v>43</v>
      </c>
      <c r="D237" s="8" t="str">
        <f aca="false">INDEX(Bases!$B$2:$B$53,B237)</f>
        <v>Cyndaquil</v>
      </c>
      <c r="E237" s="8" t="str">
        <f aca="false">INDEX(Bases!$B$2:$B$53,C237)</f>
        <v>Dratini</v>
      </c>
      <c r="F237" s="2" t="str">
        <f aca="false">LEFT(D237,ROUNDUP(LEN(D237)/2,0))&amp;LOWER(MID(E237,ROUNDUP(LEN(E237)/2,0)+1,20))</f>
        <v>Cyndaini</v>
      </c>
      <c r="G237" s="8" t="str">
        <f aca="false">INDEX(Bases!$C$2:$C$53,B237)</f>
        <v>Fire</v>
      </c>
      <c r="H237" s="8" t="str">
        <f aca="false">IF(INDEX(Bases!$C$2:$C$53,C237)=G237,"",INDEX(Bases!$C$2:$C$53,C237))</f>
        <v>Dragon</v>
      </c>
      <c r="I237" s="8" t="str">
        <f aca="false">IF(INDEX(Bases!$E$2:$E$53,B237)="","",INDEX(Bases!$E$2:$E$53,B237))</f>
        <v/>
      </c>
      <c r="J237" s="8" t="str">
        <f aca="false">IF(INDEX(Bases!$E$2:$E$53,C237)="","",INDEX(Bases!$E$2:$E$53,C237))</f>
        <v/>
      </c>
      <c r="K237" s="5"/>
      <c r="L237" s="2" t="n">
        <f aca="false">AE237+IF(SUMPRODUCT(--($AL237:$AQ237&gt;AL237))&lt;$AK237,1,0)</f>
        <v>65</v>
      </c>
      <c r="M237" s="2" t="n">
        <f aca="false">AF237+IF(SUMPRODUCT(--($AL237:$AQ237&gt;AM237))+SUMPRODUCT(--($AL237:AL237=AM237))&lt;$AK237,1,0)</f>
        <v>96</v>
      </c>
      <c r="N237" s="2" t="n">
        <f aca="false">AG237+IF(SUMPRODUCT(--($AL237:$AQ237&gt;AN237))+SUMPRODUCT(--($AL237:AM237=AN237))&lt;$AK237,1,0)</f>
        <v>72</v>
      </c>
      <c r="O237" s="2" t="n">
        <f aca="false">AH237+IF(SUMPRODUCT(--($AL237:$AQ237&gt;AO237))+SUMPRODUCT(--($AL237:AN237=AO237))&lt;$AK237,1,0)</f>
        <v>91</v>
      </c>
      <c r="P237" s="2" t="n">
        <f aca="false">AI237+IF(SUMPRODUCT(--($AL237:$AQ237&gt;AP237))+SUMPRODUCT(--($AL237:AO237=AP237))&lt;$AK237,1,0)</f>
        <v>81</v>
      </c>
      <c r="Q237" s="2" t="n">
        <f aca="false">AJ237+IF(SUMPRODUCT(--($AL237:$AQ237&gt;AQ237))+SUMPRODUCT(--($AL237:AP237=AQ237))&lt;$AK237,1,0)</f>
        <v>95</v>
      </c>
      <c r="R237" s="2" t="n">
        <f aca="false">SUM(L237:Q237)</f>
        <v>500</v>
      </c>
      <c r="S237" s="2" t="n">
        <f aca="false">Settings!$B$4*MAX(INDEX(Bases!$M$2:$M$53,B237),INDEX(Bases!$M$2:$M$53,C237))+Settings!$B$5*MIN(INDEX(Bases!$M$2:$M$53,B237),INDEX(Bases!$M$2:$M$53,C237))</f>
        <v>53.3333333333333</v>
      </c>
      <c r="T237" s="2" t="n">
        <f aca="false">Settings!$B$4*MAX(INDEX(Bases!$N$2:$N$53,B237),INDEX(Bases!$N$2:$N$53,C237))+Settings!$B$5*MIN(INDEX(Bases!$N$2:$N$53,B237),INDEX(Bases!$N$2:$N$53,C237))</f>
        <v>79</v>
      </c>
      <c r="U237" s="2" t="n">
        <f aca="false">Settings!$B$4*MAX(INDEX(Bases!$O$2:$O$53,B237),INDEX(Bases!$O$2:$O$53,C237))+Settings!$B$5*MIN(INDEX(Bases!$O$2:$O$53,B237),INDEX(Bases!$O$2:$O$53,C237))</f>
        <v>58.6666666666667</v>
      </c>
      <c r="V237" s="2" t="n">
        <f aca="false">Settings!$B$4*MAX(INDEX(Bases!$P$2:$P$53,B237),INDEX(Bases!$P$2:$P$53,C237))+Settings!$B$5*MIN(INDEX(Bases!$P$2:$P$53,B237),INDEX(Bases!$P$2:$P$53,C237))</f>
        <v>74.3333333333333</v>
      </c>
      <c r="W237" s="2" t="n">
        <f aca="false">Settings!$B$4*MAX(INDEX(Bases!$Q$2:$Q$53,B237),INDEX(Bases!$Q$2:$Q$53,C237))+Settings!$B$5*MIN(INDEX(Bases!$Q$2:$Q$53,B237),INDEX(Bases!$Q$2:$Q$53,C237))</f>
        <v>66.3333333333333</v>
      </c>
      <c r="X237" s="2" t="n">
        <f aca="false">Settings!$B$4*MAX(INDEX(Bases!$R$2:$R$53,B237),INDEX(Bases!$R$2:$R$53,C237))+Settings!$B$5*MIN(INDEX(Bases!$R$2:$R$53,B237),INDEX(Bases!$R$2:$R$53,C237))</f>
        <v>78</v>
      </c>
      <c r="Y237" s="2" t="n">
        <f aca="false">S237*Settings!$B$3/SUM(S237:X237)</f>
        <v>65.093572009764</v>
      </c>
      <c r="Z237" s="2" t="n">
        <f aca="false">T237*Settings!$B$3/SUM(S237:X237)</f>
        <v>96.419853539463</v>
      </c>
      <c r="AA237" s="2" t="n">
        <f aca="false">U237*Settings!$B$3/SUM(S237:X237)</f>
        <v>71.6029292107404</v>
      </c>
      <c r="AB237" s="2" t="n">
        <f aca="false">V237*Settings!$B$3/SUM(S237:X237)</f>
        <v>90.7241659886086</v>
      </c>
      <c r="AC237" s="2" t="n">
        <f aca="false">W237*Settings!$B$3/SUM(S237:X237)</f>
        <v>80.960130187144</v>
      </c>
      <c r="AD237" s="2" t="n">
        <f aca="false">X237*Settings!$B$3/SUM(S237:X237)</f>
        <v>95.1993490642799</v>
      </c>
      <c r="AE237" s="2" t="n">
        <f aca="false">INT(Y237)</f>
        <v>65</v>
      </c>
      <c r="AF237" s="2" t="n">
        <f aca="false">INT(Z237)</f>
        <v>96</v>
      </c>
      <c r="AG237" s="2" t="n">
        <f aca="false">INT(AA237)</f>
        <v>71</v>
      </c>
      <c r="AH237" s="2" t="n">
        <f aca="false">INT(AB237)</f>
        <v>90</v>
      </c>
      <c r="AI237" s="2" t="n">
        <f aca="false">INT(AC237)</f>
        <v>80</v>
      </c>
      <c r="AJ237" s="2" t="n">
        <f aca="false">INT(AD237)</f>
        <v>95</v>
      </c>
      <c r="AK237" s="2" t="n">
        <f aca="false">Settings!$B$3-SUM(AE237:AJ237)</f>
        <v>3</v>
      </c>
      <c r="AL237" s="2" t="n">
        <f aca="false">ROUND(Y237-AE237,9)</f>
        <v>0.09357201</v>
      </c>
      <c r="AM237" s="2" t="n">
        <f aca="false">ROUND(Z237-AF237,9)</f>
        <v>0.419853539</v>
      </c>
      <c r="AN237" s="2" t="n">
        <f aca="false">ROUND(AA237-AG237,9)</f>
        <v>0.602929211</v>
      </c>
      <c r="AO237" s="2" t="n">
        <f aca="false">ROUND(AB237-AH237,9)</f>
        <v>0.724165989</v>
      </c>
      <c r="AP237" s="2" t="n">
        <f aca="false">ROUND(AC237-AI237,9)</f>
        <v>0.960130187</v>
      </c>
      <c r="AQ237" s="2" t="n">
        <f aca="false">ROUND(AD237-AJ237,9)</f>
        <v>0.199349064</v>
      </c>
    </row>
    <row r="238" customFormat="false" ht="15" hidden="false" customHeight="false" outlineLevel="0" collapsed="false">
      <c r="A238" s="2" t="n">
        <v>237</v>
      </c>
      <c r="B238" s="6" t="n">
        <v>5</v>
      </c>
      <c r="C238" s="6" t="n">
        <v>44</v>
      </c>
      <c r="D238" s="8" t="str">
        <f aca="false">INDEX(Bases!$B$2:$B$53,B238)</f>
        <v>Cyndaquil</v>
      </c>
      <c r="E238" s="8" t="str">
        <f aca="false">INDEX(Bases!$B$2:$B$53,C238)</f>
        <v>Bagon</v>
      </c>
      <c r="F238" s="2" t="str">
        <f aca="false">LEFT(D238,ROUNDUP(LEN(D238)/2,0))&amp;LOWER(MID(E238,ROUNDUP(LEN(E238)/2,0)+1,20))</f>
        <v>Cyndaon</v>
      </c>
      <c r="G238" s="8" t="str">
        <f aca="false">INDEX(Bases!$C$2:$C$53,B238)</f>
        <v>Fire</v>
      </c>
      <c r="H238" s="8" t="str">
        <f aca="false">IF(INDEX(Bases!$C$2:$C$53,C238)=G238,"",INDEX(Bases!$C$2:$C$53,C238))</f>
        <v>Dragon</v>
      </c>
      <c r="I238" s="8" t="str">
        <f aca="false">IF(INDEX(Bases!$E$2:$E$53,B238)="","",INDEX(Bases!$E$2:$E$53,B238))</f>
        <v/>
      </c>
      <c r="J238" s="8" t="str">
        <f aca="false">IF(INDEX(Bases!$E$2:$E$53,C238)="","",INDEX(Bases!$E$2:$E$53,C238))</f>
        <v/>
      </c>
      <c r="K238" s="5"/>
      <c r="L238" s="2" t="n">
        <f aca="false">AE238+IF(SUMPRODUCT(--($AL238:$AQ238&gt;AL238))&lt;$AK238,1,0)</f>
        <v>67</v>
      </c>
      <c r="M238" s="2" t="n">
        <f aca="false">AF238+IF(SUMPRODUCT(--($AL238:$AQ238&gt;AM238))+SUMPRODUCT(--($AL238:AL238=AM238))&lt;$AK238,1,0)</f>
        <v>105</v>
      </c>
      <c r="N238" s="2" t="n">
        <f aca="false">AG238+IF(SUMPRODUCT(--($AL238:$AQ238&gt;AN238))+SUMPRODUCT(--($AL238:AM238=AN238))&lt;$AK238,1,0)</f>
        <v>85</v>
      </c>
      <c r="O238" s="2" t="n">
        <f aca="false">AH238+IF(SUMPRODUCT(--($AL238:$AQ238&gt;AO238))+SUMPRODUCT(--($AL238:AN238=AO238))&lt;$AK238,1,0)</f>
        <v>83</v>
      </c>
      <c r="P238" s="2" t="n">
        <f aca="false">AI238+IF(SUMPRODUCT(--($AL238:$AQ238&gt;AP238))+SUMPRODUCT(--($AL238:AO238=AP238))&lt;$AK238,1,0)</f>
        <v>67</v>
      </c>
      <c r="Q238" s="2" t="n">
        <f aca="false">AJ238+IF(SUMPRODUCT(--($AL238:$AQ238&gt;AQ238))+SUMPRODUCT(--($AL238:AP238=AQ238))&lt;$AK238,1,0)</f>
        <v>93</v>
      </c>
      <c r="R238" s="2" t="n">
        <f aca="false">SUM(L238:Q238)</f>
        <v>500</v>
      </c>
      <c r="S238" s="2" t="n">
        <f aca="false">Settings!$B$4*MAX(INDEX(Bases!$M$2:$M$53,B238),INDEX(Bases!$M$2:$M$53,C238))+Settings!$B$5*MIN(INDEX(Bases!$M$2:$M$53,B238),INDEX(Bases!$M$2:$M$53,C238))</f>
        <v>56.6666666666667</v>
      </c>
      <c r="T238" s="2" t="n">
        <f aca="false">Settings!$B$4*MAX(INDEX(Bases!$N$2:$N$53,B238),INDEX(Bases!$N$2:$N$53,C238))+Settings!$B$5*MIN(INDEX(Bases!$N$2:$N$53,B238),INDEX(Bases!$N$2:$N$53,C238))</f>
        <v>89</v>
      </c>
      <c r="U238" s="2" t="n">
        <f aca="false">Settings!$B$4*MAX(INDEX(Bases!$O$2:$O$53,B238),INDEX(Bases!$O$2:$O$53,C238))+Settings!$B$5*MIN(INDEX(Bases!$O$2:$O$53,B238),INDEX(Bases!$O$2:$O$53,C238))</f>
        <v>72</v>
      </c>
      <c r="V238" s="2" t="n">
        <f aca="false">Settings!$B$4*MAX(INDEX(Bases!$P$2:$P$53,B238),INDEX(Bases!$P$2:$P$53,C238))+Settings!$B$5*MIN(INDEX(Bases!$P$2:$P$53,B238),INDEX(Bases!$P$2:$P$53,C238))</f>
        <v>69.6666666666667</v>
      </c>
      <c r="W238" s="2" t="n">
        <f aca="false">Settings!$B$4*MAX(INDEX(Bases!$Q$2:$Q$53,B238),INDEX(Bases!$Q$2:$Q$53,C238))+Settings!$B$5*MIN(INDEX(Bases!$Q$2:$Q$53,B238),INDEX(Bases!$Q$2:$Q$53,C238))</f>
        <v>56.6666666666667</v>
      </c>
      <c r="X238" s="2" t="n">
        <f aca="false">Settings!$B$4*MAX(INDEX(Bases!$R$2:$R$53,B238),INDEX(Bases!$R$2:$R$53,C238))+Settings!$B$5*MIN(INDEX(Bases!$R$2:$R$53,B238),INDEX(Bases!$R$2:$R$53,C238))</f>
        <v>78.3333333333333</v>
      </c>
      <c r="Y238" s="2" t="n">
        <f aca="false">S238*Settings!$B$3/SUM(S238:X238)</f>
        <v>67.0876085240726</v>
      </c>
      <c r="Z238" s="2" t="n">
        <f aca="false">T238*Settings!$B$3/SUM(S238:X238)</f>
        <v>105.367008681926</v>
      </c>
      <c r="AA238" s="2" t="n">
        <f aca="false">U238*Settings!$B$3/SUM(S238:X238)</f>
        <v>85.240726124704</v>
      </c>
      <c r="AB238" s="2" t="n">
        <f aca="false">V238*Settings!$B$3/SUM(S238:X238)</f>
        <v>82.4782951854775</v>
      </c>
      <c r="AC238" s="2" t="n">
        <f aca="false">W238*Settings!$B$3/SUM(S238:X238)</f>
        <v>67.0876085240726</v>
      </c>
      <c r="AD238" s="2" t="n">
        <f aca="false">X238*Settings!$B$3/SUM(S238:X238)</f>
        <v>92.7387529597474</v>
      </c>
      <c r="AE238" s="2" t="n">
        <f aca="false">INT(Y238)</f>
        <v>67</v>
      </c>
      <c r="AF238" s="2" t="n">
        <f aca="false">INT(Z238)</f>
        <v>105</v>
      </c>
      <c r="AG238" s="2" t="n">
        <f aca="false">INT(AA238)</f>
        <v>85</v>
      </c>
      <c r="AH238" s="2" t="n">
        <f aca="false">INT(AB238)</f>
        <v>82</v>
      </c>
      <c r="AI238" s="2" t="n">
        <f aca="false">INT(AC238)</f>
        <v>67</v>
      </c>
      <c r="AJ238" s="2" t="n">
        <f aca="false">INT(AD238)</f>
        <v>92</v>
      </c>
      <c r="AK238" s="2" t="n">
        <f aca="false">Settings!$B$3-SUM(AE238:AJ238)</f>
        <v>2</v>
      </c>
      <c r="AL238" s="2" t="n">
        <f aca="false">ROUND(Y238-AE238,9)</f>
        <v>0.087608524</v>
      </c>
      <c r="AM238" s="2" t="n">
        <f aca="false">ROUND(Z238-AF238,9)</f>
        <v>0.367008682</v>
      </c>
      <c r="AN238" s="2" t="n">
        <f aca="false">ROUND(AA238-AG238,9)</f>
        <v>0.240726125</v>
      </c>
      <c r="AO238" s="2" t="n">
        <f aca="false">ROUND(AB238-AH238,9)</f>
        <v>0.478295185</v>
      </c>
      <c r="AP238" s="2" t="n">
        <f aca="false">ROUND(AC238-AI238,9)</f>
        <v>0.087608524</v>
      </c>
      <c r="AQ238" s="2" t="n">
        <f aca="false">ROUND(AD238-AJ238,9)</f>
        <v>0.73875296</v>
      </c>
    </row>
    <row r="239" customFormat="false" ht="15" hidden="false" customHeight="false" outlineLevel="0" collapsed="false">
      <c r="A239" s="2" t="n">
        <v>238</v>
      </c>
      <c r="B239" s="6" t="n">
        <v>5</v>
      </c>
      <c r="C239" s="6" t="n">
        <v>45</v>
      </c>
      <c r="D239" s="8" t="str">
        <f aca="false">INDEX(Bases!$B$2:$B$53,B239)</f>
        <v>Cyndaquil</v>
      </c>
      <c r="E239" s="8" t="str">
        <f aca="false">INDEX(Bases!$B$2:$B$53,C239)</f>
        <v>Sneasel</v>
      </c>
      <c r="F239" s="2" t="str">
        <f aca="false">LEFT(D239,ROUNDUP(LEN(D239)/2,0))&amp;LOWER(MID(E239,ROUNDUP(LEN(E239)/2,0)+1,20))</f>
        <v>Cyndasel</v>
      </c>
      <c r="G239" s="8" t="str">
        <f aca="false">INDEX(Bases!$C$2:$C$53,B239)</f>
        <v>Fire</v>
      </c>
      <c r="H239" s="8" t="str">
        <f aca="false">IF(INDEX(Bases!$C$2:$C$53,C239)=G239,"",INDEX(Bases!$C$2:$C$53,C239))</f>
        <v>Dark</v>
      </c>
      <c r="I239" s="8" t="str">
        <f aca="false">IF(INDEX(Bases!$E$2:$E$53,B239)="","",INDEX(Bases!$E$2:$E$53,B239))</f>
        <v/>
      </c>
      <c r="J239" s="8" t="str">
        <f aca="false">IF(INDEX(Bases!$E$2:$E$53,C239)="","",INDEX(Bases!$E$2:$E$53,C239))</f>
        <v/>
      </c>
      <c r="K239" s="5"/>
      <c r="L239" s="2" t="n">
        <f aca="false">AE239+IF(SUMPRODUCT(--($AL239:$AQ239&gt;AL239))&lt;$AK239,1,0)</f>
        <v>61</v>
      </c>
      <c r="M239" s="2" t="n">
        <f aca="false">AF239+IF(SUMPRODUCT(--($AL239:$AQ239&gt;AM239))+SUMPRODUCT(--($AL239:AL239=AM239))&lt;$AK239,1,0)</f>
        <v>97</v>
      </c>
      <c r="N239" s="2" t="n">
        <f aca="false">AG239+IF(SUMPRODUCT(--($AL239:$AQ239&gt;AN239))+SUMPRODUCT(--($AL239:AM239=AN239))&lt;$AK239,1,0)</f>
        <v>65</v>
      </c>
      <c r="O239" s="2" t="n">
        <f aca="false">AH239+IF(SUMPRODUCT(--($AL239:$AQ239&gt;AO239))+SUMPRODUCT(--($AL239:AN239=AO239))&lt;$AK239,1,0)</f>
        <v>76</v>
      </c>
      <c r="P239" s="2" t="n">
        <f aca="false">AI239+IF(SUMPRODUCT(--($AL239:$AQ239&gt;AP239))+SUMPRODUCT(--($AL239:AO239=AP239))&lt;$AK239,1,0)</f>
        <v>82</v>
      </c>
      <c r="Q239" s="2" t="n">
        <f aca="false">AJ239+IF(SUMPRODUCT(--($AL239:$AQ239&gt;AQ239))+SUMPRODUCT(--($AL239:AP239=AQ239))&lt;$AK239,1,0)</f>
        <v>119</v>
      </c>
      <c r="R239" s="2" t="n">
        <f aca="false">SUM(L239:Q239)</f>
        <v>500</v>
      </c>
      <c r="S239" s="2" t="n">
        <f aca="false">Settings!$B$4*MAX(INDEX(Bases!$M$2:$M$53,B239),INDEX(Bases!$M$2:$M$53,C239))+Settings!$B$5*MIN(INDEX(Bases!$M$2:$M$53,B239),INDEX(Bases!$M$2:$M$53,C239))</f>
        <v>50.6666666666667</v>
      </c>
      <c r="T239" s="2" t="n">
        <f aca="false">Settings!$B$4*MAX(INDEX(Bases!$N$2:$N$53,B239),INDEX(Bases!$N$2:$N$53,C239))+Settings!$B$5*MIN(INDEX(Bases!$N$2:$N$53,B239),INDEX(Bases!$N$2:$N$53,C239))</f>
        <v>81</v>
      </c>
      <c r="U239" s="2" t="n">
        <f aca="false">Settings!$B$4*MAX(INDEX(Bases!$O$2:$O$53,B239),INDEX(Bases!$O$2:$O$53,C239))+Settings!$B$5*MIN(INDEX(Bases!$O$2:$O$53,B239),INDEX(Bases!$O$2:$O$53,C239))</f>
        <v>54.3333333333333</v>
      </c>
      <c r="V239" s="2" t="n">
        <f aca="false">Settings!$B$4*MAX(INDEX(Bases!$P$2:$P$53,B239),INDEX(Bases!$P$2:$P$53,C239))+Settings!$B$5*MIN(INDEX(Bases!$P$2:$P$53,B239),INDEX(Bases!$P$2:$P$53,C239))</f>
        <v>63</v>
      </c>
      <c r="W239" s="2" t="n">
        <f aca="false">Settings!$B$4*MAX(INDEX(Bases!$Q$2:$Q$53,B239),INDEX(Bases!$Q$2:$Q$53,C239))+Settings!$B$5*MIN(INDEX(Bases!$Q$2:$Q$53,B239),INDEX(Bases!$Q$2:$Q$53,C239))</f>
        <v>68.3333333333333</v>
      </c>
      <c r="X239" s="2" t="n">
        <f aca="false">Settings!$B$4*MAX(INDEX(Bases!$R$2:$R$53,B239),INDEX(Bases!$R$2:$R$53,C239))+Settings!$B$5*MIN(INDEX(Bases!$R$2:$R$53,B239),INDEX(Bases!$R$2:$R$53,C239))</f>
        <v>99.3333333333333</v>
      </c>
      <c r="Y239" s="2" t="n">
        <f aca="false">S239*Settings!$B$3/SUM(S239:X239)</f>
        <v>60.8</v>
      </c>
      <c r="Z239" s="2" t="n">
        <f aca="false">T239*Settings!$B$3/SUM(S239:X239)</f>
        <v>97.2</v>
      </c>
      <c r="AA239" s="2" t="n">
        <f aca="false">U239*Settings!$B$3/SUM(S239:X239)</f>
        <v>65.2</v>
      </c>
      <c r="AB239" s="2" t="n">
        <f aca="false">V239*Settings!$B$3/SUM(S239:X239)</f>
        <v>75.6</v>
      </c>
      <c r="AC239" s="2" t="n">
        <f aca="false">W239*Settings!$B$3/SUM(S239:X239)</f>
        <v>82</v>
      </c>
      <c r="AD239" s="2" t="n">
        <f aca="false">X239*Settings!$B$3/SUM(S239:X239)</f>
        <v>119.2</v>
      </c>
      <c r="AE239" s="2" t="n">
        <f aca="false">INT(Y239)</f>
        <v>60</v>
      </c>
      <c r="AF239" s="2" t="n">
        <f aca="false">INT(Z239)</f>
        <v>97</v>
      </c>
      <c r="AG239" s="2" t="n">
        <f aca="false">INT(AA239)</f>
        <v>65</v>
      </c>
      <c r="AH239" s="2" t="n">
        <f aca="false">INT(AB239)</f>
        <v>75</v>
      </c>
      <c r="AI239" s="2" t="n">
        <f aca="false">INT(AC239)</f>
        <v>82</v>
      </c>
      <c r="AJ239" s="2" t="n">
        <f aca="false">INT(AD239)</f>
        <v>119</v>
      </c>
      <c r="AK239" s="2" t="n">
        <f aca="false">Settings!$B$3-SUM(AE239:AJ239)</f>
        <v>2</v>
      </c>
      <c r="AL239" s="2" t="n">
        <f aca="false">ROUND(Y239-AE239,9)</f>
        <v>0.8</v>
      </c>
      <c r="AM239" s="2" t="n">
        <f aca="false">ROUND(Z239-AF239,9)</f>
        <v>0.2</v>
      </c>
      <c r="AN239" s="2" t="n">
        <f aca="false">ROUND(AA239-AG239,9)</f>
        <v>0.2</v>
      </c>
      <c r="AO239" s="2" t="n">
        <f aca="false">ROUND(AB239-AH239,9)</f>
        <v>0.6</v>
      </c>
      <c r="AP239" s="2" t="n">
        <f aca="false">ROUND(AC239-AI239,9)</f>
        <v>0</v>
      </c>
      <c r="AQ239" s="2" t="n">
        <f aca="false">ROUND(AD239-AJ239,9)</f>
        <v>0.2</v>
      </c>
    </row>
    <row r="240" customFormat="false" ht="15" hidden="false" customHeight="false" outlineLevel="0" collapsed="false">
      <c r="A240" s="2" t="n">
        <v>239</v>
      </c>
      <c r="B240" s="6" t="n">
        <v>5</v>
      </c>
      <c r="C240" s="6" t="n">
        <v>46</v>
      </c>
      <c r="D240" s="8" t="str">
        <f aca="false">INDEX(Bases!$B$2:$B$53,B240)</f>
        <v>Cyndaquil</v>
      </c>
      <c r="E240" s="8" t="str">
        <f aca="false">INDEX(Bases!$B$2:$B$53,C240)</f>
        <v>Houndour</v>
      </c>
      <c r="F240" s="2" t="str">
        <f aca="false">LEFT(D240,ROUNDUP(LEN(D240)/2,0))&amp;LOWER(MID(E240,ROUNDUP(LEN(E240)/2,0)+1,20))</f>
        <v>Cyndadour</v>
      </c>
      <c r="G240" s="8" t="str">
        <f aca="false">INDEX(Bases!$C$2:$C$53,B240)</f>
        <v>Fire</v>
      </c>
      <c r="H240" s="8" t="str">
        <f aca="false">IF(INDEX(Bases!$C$2:$C$53,C240)=G240,"",INDEX(Bases!$C$2:$C$53,C240))</f>
        <v>Dark</v>
      </c>
      <c r="I240" s="8" t="str">
        <f aca="false">IF(INDEX(Bases!$E$2:$E$53,B240)="","",INDEX(Bases!$E$2:$E$53,B240))</f>
        <v/>
      </c>
      <c r="J240" s="8" t="str">
        <f aca="false">IF(INDEX(Bases!$E$2:$E$53,C240)="","",INDEX(Bases!$E$2:$E$53,C240))</f>
        <v/>
      </c>
      <c r="K240" s="5"/>
      <c r="L240" s="2" t="n">
        <f aca="false">AE240+IF(SUMPRODUCT(--($AL240:$AQ240&gt;AL240))&lt;$AK240,1,0)</f>
        <v>64</v>
      </c>
      <c r="M240" s="2" t="n">
        <f aca="false">AF240+IF(SUMPRODUCT(--($AL240:$AQ240&gt;AM240))+SUMPRODUCT(--($AL240:AL240=AM240))&lt;$AK240,1,0)</f>
        <v>87</v>
      </c>
      <c r="N240" s="2" t="n">
        <f aca="false">AG240+IF(SUMPRODUCT(--($AL240:$AQ240&gt;AN240))+SUMPRODUCT(--($AL240:AM240=AN240))&lt;$AK240,1,0)</f>
        <v>60</v>
      </c>
      <c r="O240" s="2" t="n">
        <f aca="false">AH240+IF(SUMPRODUCT(--($AL240:$AQ240&gt;AO240))+SUMPRODUCT(--($AL240:AN240=AO240))&lt;$AK240,1,0)</f>
        <v>111</v>
      </c>
      <c r="P240" s="2" t="n">
        <f aca="false">AI240+IF(SUMPRODUCT(--($AL240:$AQ240&gt;AP240))+SUMPRODUCT(--($AL240:AO240=AP240))&lt;$AK240,1,0)</f>
        <v>78</v>
      </c>
      <c r="Q240" s="2" t="n">
        <f aca="false">AJ240+IF(SUMPRODUCT(--($AL240:$AQ240&gt;AQ240))+SUMPRODUCT(--($AL240:AP240=AQ240))&lt;$AK240,1,0)</f>
        <v>100</v>
      </c>
      <c r="R240" s="2" t="n">
        <f aca="false">SUM(L240:Q240)</f>
        <v>500</v>
      </c>
      <c r="S240" s="2" t="n">
        <f aca="false">Settings!$B$4*MAX(INDEX(Bases!$M$2:$M$53,B240),INDEX(Bases!$M$2:$M$53,C240))+Settings!$B$5*MIN(INDEX(Bases!$M$2:$M$53,B240),INDEX(Bases!$M$2:$M$53,C240))</f>
        <v>52.6666666666667</v>
      </c>
      <c r="T240" s="2" t="n">
        <f aca="false">Settings!$B$4*MAX(INDEX(Bases!$N$2:$N$53,B240),INDEX(Bases!$N$2:$N$53,C240))+Settings!$B$5*MIN(INDEX(Bases!$N$2:$N$53,B240),INDEX(Bases!$N$2:$N$53,C240))</f>
        <v>71</v>
      </c>
      <c r="U240" s="2" t="n">
        <f aca="false">Settings!$B$4*MAX(INDEX(Bases!$O$2:$O$53,B240),INDEX(Bases!$O$2:$O$53,C240))+Settings!$B$5*MIN(INDEX(Bases!$O$2:$O$53,B240),INDEX(Bases!$O$2:$O$53,C240))</f>
        <v>49.3333333333333</v>
      </c>
      <c r="V240" s="2" t="n">
        <f aca="false">Settings!$B$4*MAX(INDEX(Bases!$P$2:$P$53,B240),INDEX(Bases!$P$2:$P$53,C240))+Settings!$B$5*MIN(INDEX(Bases!$P$2:$P$53,B240),INDEX(Bases!$P$2:$P$53,C240))</f>
        <v>90.6666666666667</v>
      </c>
      <c r="W240" s="2" t="n">
        <f aca="false">Settings!$B$4*MAX(INDEX(Bases!$Q$2:$Q$53,B240),INDEX(Bases!$Q$2:$Q$53,C240))+Settings!$B$5*MIN(INDEX(Bases!$Q$2:$Q$53,B240),INDEX(Bases!$Q$2:$Q$53,C240))</f>
        <v>63.6666666666667</v>
      </c>
      <c r="X240" s="2" t="n">
        <f aca="false">Settings!$B$4*MAX(INDEX(Bases!$R$2:$R$53,B240),INDEX(Bases!$R$2:$R$53,C240))+Settings!$B$5*MIN(INDEX(Bases!$R$2:$R$53,B240),INDEX(Bases!$R$2:$R$53,C240))</f>
        <v>82.3333333333333</v>
      </c>
      <c r="Y240" s="2" t="n">
        <f aca="false">S240*Settings!$B$3/SUM(S240:X240)</f>
        <v>64.279902359642</v>
      </c>
      <c r="Z240" s="2" t="n">
        <f aca="false">T240*Settings!$B$3/SUM(S240:X240)</f>
        <v>86.6558177379984</v>
      </c>
      <c r="AA240" s="2" t="n">
        <f aca="false">U240*Settings!$B$3/SUM(S240:X240)</f>
        <v>60.2115541090317</v>
      </c>
      <c r="AB240" s="2" t="n">
        <f aca="false">V240*Settings!$B$3/SUM(S240:X240)</f>
        <v>110.659072416599</v>
      </c>
      <c r="AC240" s="2" t="n">
        <f aca="false">W240*Settings!$B$3/SUM(S240:X240)</f>
        <v>77.7054515866558</v>
      </c>
      <c r="AD240" s="2" t="n">
        <f aca="false">X240*Settings!$B$3/SUM(S240:X240)</f>
        <v>100.488201790073</v>
      </c>
      <c r="AE240" s="2" t="n">
        <f aca="false">INT(Y240)</f>
        <v>64</v>
      </c>
      <c r="AF240" s="2" t="n">
        <f aca="false">INT(Z240)</f>
        <v>86</v>
      </c>
      <c r="AG240" s="2" t="n">
        <f aca="false">INT(AA240)</f>
        <v>60</v>
      </c>
      <c r="AH240" s="2" t="n">
        <f aca="false">INT(AB240)</f>
        <v>110</v>
      </c>
      <c r="AI240" s="2" t="n">
        <f aca="false">INT(AC240)</f>
        <v>77</v>
      </c>
      <c r="AJ240" s="2" t="n">
        <f aca="false">INT(AD240)</f>
        <v>100</v>
      </c>
      <c r="AK240" s="2" t="n">
        <f aca="false">Settings!$B$3-SUM(AE240:AJ240)</f>
        <v>3</v>
      </c>
      <c r="AL240" s="2" t="n">
        <f aca="false">ROUND(Y240-AE240,9)</f>
        <v>0.27990236</v>
      </c>
      <c r="AM240" s="2" t="n">
        <f aca="false">ROUND(Z240-AF240,9)</f>
        <v>0.655817738</v>
      </c>
      <c r="AN240" s="2" t="n">
        <f aca="false">ROUND(AA240-AG240,9)</f>
        <v>0.211554109</v>
      </c>
      <c r="AO240" s="2" t="n">
        <f aca="false">ROUND(AB240-AH240,9)</f>
        <v>0.659072417</v>
      </c>
      <c r="AP240" s="2" t="n">
        <f aca="false">ROUND(AC240-AI240,9)</f>
        <v>0.705451587</v>
      </c>
      <c r="AQ240" s="2" t="n">
        <f aca="false">ROUND(AD240-AJ240,9)</f>
        <v>0.48820179</v>
      </c>
    </row>
    <row r="241" customFormat="false" ht="15" hidden="false" customHeight="false" outlineLevel="0" collapsed="false">
      <c r="A241" s="2" t="n">
        <v>240</v>
      </c>
      <c r="B241" s="6" t="n">
        <v>5</v>
      </c>
      <c r="C241" s="6" t="n">
        <v>47</v>
      </c>
      <c r="D241" s="8" t="str">
        <f aca="false">INDEX(Bases!$B$2:$B$53,B241)</f>
        <v>Cyndaquil</v>
      </c>
      <c r="E241" s="8" t="str">
        <f aca="false">INDEX(Bases!$B$2:$B$53,C241)</f>
        <v>Carvanha</v>
      </c>
      <c r="F241" s="2" t="str">
        <f aca="false">LEFT(D241,ROUNDUP(LEN(D241)/2,0))&amp;LOWER(MID(E241,ROUNDUP(LEN(E241)/2,0)+1,20))</f>
        <v>Cyndaanha</v>
      </c>
      <c r="G241" s="8" t="str">
        <f aca="false">INDEX(Bases!$C$2:$C$53,B241)</f>
        <v>Fire</v>
      </c>
      <c r="H241" s="8" t="str">
        <f aca="false">IF(INDEX(Bases!$C$2:$C$53,C241)=G241,"",INDEX(Bases!$C$2:$C$53,C241))</f>
        <v>Dark</v>
      </c>
      <c r="I241" s="8" t="str">
        <f aca="false">IF(INDEX(Bases!$E$2:$E$53,B241)="","",INDEX(Bases!$E$2:$E$53,B241))</f>
        <v/>
      </c>
      <c r="J241" s="8" t="str">
        <f aca="false">IF(INDEX(Bases!$E$2:$E$53,C241)="","",INDEX(Bases!$E$2:$E$53,C241))</f>
        <v/>
      </c>
      <c r="K241" s="5"/>
      <c r="L241" s="2" t="n">
        <f aca="false">AE241+IF(SUMPRODUCT(--($AL241:$AQ241&gt;AL241))&lt;$AK241,1,0)</f>
        <v>66</v>
      </c>
      <c r="M241" s="2" t="n">
        <f aca="false">AF241+IF(SUMPRODUCT(--($AL241:$AQ241&gt;AM241))+SUMPRODUCT(--($AL241:AL241=AM241))&lt;$AK241,1,0)</f>
        <v>119</v>
      </c>
      <c r="N241" s="2" t="n">
        <f aca="false">AG241+IF(SUMPRODUCT(--($AL241:$AQ241&gt;AN241))+SUMPRODUCT(--($AL241:AM241=AN241))&lt;$AK241,1,0)</f>
        <v>54</v>
      </c>
      <c r="O241" s="2" t="n">
        <f aca="false">AH241+IF(SUMPRODUCT(--($AL241:$AQ241&gt;AO241))+SUMPRODUCT(--($AL241:AN241=AO241))&lt;$AK241,1,0)</f>
        <v>99</v>
      </c>
      <c r="P241" s="2" t="n">
        <f aca="false">AI241+IF(SUMPRODUCT(--($AL241:$AQ241&gt;AP241))+SUMPRODUCT(--($AL241:AO241=AP241))&lt;$AK241,1,0)</f>
        <v>62</v>
      </c>
      <c r="Q241" s="2" t="n">
        <f aca="false">AJ241+IF(SUMPRODUCT(--($AL241:$AQ241&gt;AQ241))+SUMPRODUCT(--($AL241:AP241=AQ241))&lt;$AK241,1,0)</f>
        <v>100</v>
      </c>
      <c r="R241" s="2" t="n">
        <f aca="false">SUM(L241:Q241)</f>
        <v>500</v>
      </c>
      <c r="S241" s="2" t="n">
        <f aca="false">Settings!$B$4*MAX(INDEX(Bases!$M$2:$M$53,B241),INDEX(Bases!$M$2:$M$53,C241))+Settings!$B$5*MIN(INDEX(Bases!$M$2:$M$53,B241),INDEX(Bases!$M$2:$M$53,C241))</f>
        <v>56</v>
      </c>
      <c r="T241" s="2" t="n">
        <f aca="false">Settings!$B$4*MAX(INDEX(Bases!$N$2:$N$53,B241),INDEX(Bases!$N$2:$N$53,C241))+Settings!$B$5*MIN(INDEX(Bases!$N$2:$N$53,B241),INDEX(Bases!$N$2:$N$53,C241))</f>
        <v>101</v>
      </c>
      <c r="U241" s="2" t="n">
        <f aca="false">Settings!$B$4*MAX(INDEX(Bases!$O$2:$O$53,B241),INDEX(Bases!$O$2:$O$53,C241))+Settings!$B$5*MIN(INDEX(Bases!$O$2:$O$53,B241),INDEX(Bases!$O$2:$O$53,C241))</f>
        <v>46</v>
      </c>
      <c r="V241" s="2" t="n">
        <f aca="false">Settings!$B$4*MAX(INDEX(Bases!$P$2:$P$53,B241),INDEX(Bases!$P$2:$P$53,C241))+Settings!$B$5*MIN(INDEX(Bases!$P$2:$P$53,B241),INDEX(Bases!$P$2:$P$53,C241))</f>
        <v>83.3333333333333</v>
      </c>
      <c r="W241" s="2" t="n">
        <f aca="false">Settings!$B$4*MAX(INDEX(Bases!$Q$2:$Q$53,B241),INDEX(Bases!$Q$2:$Q$53,C241))+Settings!$B$5*MIN(INDEX(Bases!$Q$2:$Q$53,B241),INDEX(Bases!$Q$2:$Q$53,C241))</f>
        <v>52</v>
      </c>
      <c r="X241" s="2" t="n">
        <f aca="false">Settings!$B$4*MAX(INDEX(Bases!$R$2:$R$53,B241),INDEX(Bases!$R$2:$R$53,C241))+Settings!$B$5*MIN(INDEX(Bases!$R$2:$R$53,B241),INDEX(Bases!$R$2:$R$53,C241))</f>
        <v>84.6666666666667</v>
      </c>
      <c r="Y241" s="2" t="n">
        <f aca="false">S241*Settings!$B$3/SUM(S241:X241)</f>
        <v>66.193853427896</v>
      </c>
      <c r="Z241" s="2" t="n">
        <f aca="false">T241*Settings!$B$3/SUM(S241:X241)</f>
        <v>119.385342789598</v>
      </c>
      <c r="AA241" s="2" t="n">
        <f aca="false">U241*Settings!$B$3/SUM(S241:X241)</f>
        <v>54.3735224586288</v>
      </c>
      <c r="AB241" s="2" t="n">
        <f aca="false">V241*Settings!$B$3/SUM(S241:X241)</f>
        <v>98.5027580772262</v>
      </c>
      <c r="AC241" s="2" t="n">
        <f aca="false">W241*Settings!$B$3/SUM(S241:X241)</f>
        <v>61.4657210401891</v>
      </c>
      <c r="AD241" s="2" t="n">
        <f aca="false">X241*Settings!$B$3/SUM(S241:X241)</f>
        <v>100.078802206462</v>
      </c>
      <c r="AE241" s="2" t="n">
        <f aca="false">INT(Y241)</f>
        <v>66</v>
      </c>
      <c r="AF241" s="2" t="n">
        <f aca="false">INT(Z241)</f>
        <v>119</v>
      </c>
      <c r="AG241" s="2" t="n">
        <f aca="false">INT(AA241)</f>
        <v>54</v>
      </c>
      <c r="AH241" s="2" t="n">
        <f aca="false">INT(AB241)</f>
        <v>98</v>
      </c>
      <c r="AI241" s="2" t="n">
        <f aca="false">INT(AC241)</f>
        <v>61</v>
      </c>
      <c r="AJ241" s="2" t="n">
        <f aca="false">INT(AD241)</f>
        <v>100</v>
      </c>
      <c r="AK241" s="2" t="n">
        <f aca="false">Settings!$B$3-SUM(AE241:AJ241)</f>
        <v>2</v>
      </c>
      <c r="AL241" s="2" t="n">
        <f aca="false">ROUND(Y241-AE241,9)</f>
        <v>0.193853428</v>
      </c>
      <c r="AM241" s="2" t="n">
        <f aca="false">ROUND(Z241-AF241,9)</f>
        <v>0.38534279</v>
      </c>
      <c r="AN241" s="2" t="n">
        <f aca="false">ROUND(AA241-AG241,9)</f>
        <v>0.373522459</v>
      </c>
      <c r="AO241" s="2" t="n">
        <f aca="false">ROUND(AB241-AH241,9)</f>
        <v>0.502758077</v>
      </c>
      <c r="AP241" s="2" t="n">
        <f aca="false">ROUND(AC241-AI241,9)</f>
        <v>0.46572104</v>
      </c>
      <c r="AQ241" s="2" t="n">
        <f aca="false">ROUND(AD241-AJ241,9)</f>
        <v>0.078802206</v>
      </c>
    </row>
    <row r="242" customFormat="false" ht="15" hidden="false" customHeight="false" outlineLevel="0" collapsed="false">
      <c r="A242" s="2" t="n">
        <v>241</v>
      </c>
      <c r="B242" s="6" t="n">
        <v>5</v>
      </c>
      <c r="C242" s="6" t="n">
        <v>48</v>
      </c>
      <c r="D242" s="8" t="str">
        <f aca="false">INDEX(Bases!$B$2:$B$53,B242)</f>
        <v>Cyndaquil</v>
      </c>
      <c r="E242" s="8" t="str">
        <f aca="false">INDEX(Bases!$B$2:$B$53,C242)</f>
        <v>Magnemite</v>
      </c>
      <c r="F242" s="2" t="str">
        <f aca="false">LEFT(D242,ROUNDUP(LEN(D242)/2,0))&amp;LOWER(MID(E242,ROUNDUP(LEN(E242)/2,0)+1,20))</f>
        <v>Cyndamite</v>
      </c>
      <c r="G242" s="8" t="str">
        <f aca="false">INDEX(Bases!$C$2:$C$53,B242)</f>
        <v>Fire</v>
      </c>
      <c r="H242" s="8" t="str">
        <f aca="false">IF(INDEX(Bases!$C$2:$C$53,C242)=G242,"",INDEX(Bases!$C$2:$C$53,C242))</f>
        <v>Steel</v>
      </c>
      <c r="I242" s="8" t="str">
        <f aca="false">IF(INDEX(Bases!$E$2:$E$53,B242)="","",INDEX(Bases!$E$2:$E$53,B242))</f>
        <v/>
      </c>
      <c r="J242" s="8" t="str">
        <f aca="false">IF(INDEX(Bases!$E$2:$E$53,C242)="","",INDEX(Bases!$E$2:$E$53,C242))</f>
        <v/>
      </c>
      <c r="K242" s="5"/>
      <c r="L242" s="2" t="n">
        <f aca="false">AE242+IF(SUMPRODUCT(--($AL242:$AQ242&gt;AL242))&lt;$AK242,1,0)</f>
        <v>51</v>
      </c>
      <c r="M242" s="2" t="n">
        <f aca="false">AF242+IF(SUMPRODUCT(--($AL242:$AQ242&gt;AM242))+SUMPRODUCT(--($AL242:AL242=AM242))&lt;$AK242,1,0)</f>
        <v>69</v>
      </c>
      <c r="N242" s="2" t="n">
        <f aca="false">AG242+IF(SUMPRODUCT(--($AL242:$AQ242&gt;AN242))+SUMPRODUCT(--($AL242:AM242=AN242))&lt;$AK242,1,0)</f>
        <v>90</v>
      </c>
      <c r="O242" s="2" t="n">
        <f aca="false">AH242+IF(SUMPRODUCT(--($AL242:$AQ242&gt;AO242))+SUMPRODUCT(--($AL242:AN242=AO242))&lt;$AK242,1,0)</f>
        <v>123</v>
      </c>
      <c r="P242" s="2" t="n">
        <f aca="false">AI242+IF(SUMPRODUCT(--($AL242:$AQ242&gt;AP242))+SUMPRODUCT(--($AL242:AO242=AP242))&lt;$AK242,1,0)</f>
        <v>79</v>
      </c>
      <c r="Q242" s="2" t="n">
        <f aca="false">AJ242+IF(SUMPRODUCT(--($AL242:$AQ242&gt;AQ242))+SUMPRODUCT(--($AL242:AP242=AQ242))&lt;$AK242,1,0)</f>
        <v>88</v>
      </c>
      <c r="R242" s="2" t="n">
        <f aca="false">SUM(L242:Q242)</f>
        <v>500</v>
      </c>
      <c r="S242" s="2" t="n">
        <f aca="false">Settings!$B$4*MAX(INDEX(Bases!$M$2:$M$53,B242),INDEX(Bases!$M$2:$M$53,C242))+Settings!$B$5*MIN(INDEX(Bases!$M$2:$M$53,B242),INDEX(Bases!$M$2:$M$53,C242))</f>
        <v>43.6666666666667</v>
      </c>
      <c r="T242" s="2" t="n">
        <f aca="false">Settings!$B$4*MAX(INDEX(Bases!$N$2:$N$53,B242),INDEX(Bases!$N$2:$N$53,C242))+Settings!$B$5*MIN(INDEX(Bases!$N$2:$N$53,B242),INDEX(Bases!$N$2:$N$53,C242))</f>
        <v>59</v>
      </c>
      <c r="U242" s="2" t="n">
        <f aca="false">Settings!$B$4*MAX(INDEX(Bases!$O$2:$O$53,B242),INDEX(Bases!$O$2:$O$53,C242))+Settings!$B$5*MIN(INDEX(Bases!$O$2:$O$53,B242),INDEX(Bases!$O$2:$O$53,C242))</f>
        <v>76</v>
      </c>
      <c r="V242" s="2" t="n">
        <f aca="false">Settings!$B$4*MAX(INDEX(Bases!$P$2:$P$53,B242),INDEX(Bases!$P$2:$P$53,C242))+Settings!$B$5*MIN(INDEX(Bases!$P$2:$P$53,B242),INDEX(Bases!$P$2:$P$53,C242))</f>
        <v>104</v>
      </c>
      <c r="W242" s="2" t="n">
        <f aca="false">Settings!$B$4*MAX(INDEX(Bases!$Q$2:$Q$53,B242),INDEX(Bases!$Q$2:$Q$53,C242))+Settings!$B$5*MIN(INDEX(Bases!$Q$2:$Q$53,B242),INDEX(Bases!$Q$2:$Q$53,C242))</f>
        <v>67</v>
      </c>
      <c r="X242" s="2" t="n">
        <f aca="false">Settings!$B$4*MAX(INDEX(Bases!$R$2:$R$53,B242),INDEX(Bases!$R$2:$R$53,C242))+Settings!$B$5*MIN(INDEX(Bases!$R$2:$R$53,B242),INDEX(Bases!$R$2:$R$53,C242))</f>
        <v>74.3333333333333</v>
      </c>
      <c r="Y242" s="2" t="n">
        <f aca="false">S242*Settings!$B$3/SUM(S242:X242)</f>
        <v>51.4937106918239</v>
      </c>
      <c r="Z242" s="2" t="n">
        <f aca="false">T242*Settings!$B$3/SUM(S242:X242)</f>
        <v>69.5754716981132</v>
      </c>
      <c r="AA242" s="2" t="n">
        <f aca="false">U242*Settings!$B$3/SUM(S242:X242)</f>
        <v>89.622641509434</v>
      </c>
      <c r="AB242" s="2" t="n">
        <f aca="false">V242*Settings!$B$3/SUM(S242:X242)</f>
        <v>122.641509433962</v>
      </c>
      <c r="AC242" s="2" t="n">
        <f aca="false">W242*Settings!$B$3/SUM(S242:X242)</f>
        <v>79.0094339622642</v>
      </c>
      <c r="AD242" s="2" t="n">
        <f aca="false">X242*Settings!$B$3/SUM(S242:X242)</f>
        <v>87.6572327044025</v>
      </c>
      <c r="AE242" s="2" t="n">
        <f aca="false">INT(Y242)</f>
        <v>51</v>
      </c>
      <c r="AF242" s="2" t="n">
        <f aca="false">INT(Z242)</f>
        <v>69</v>
      </c>
      <c r="AG242" s="2" t="n">
        <f aca="false">INT(AA242)</f>
        <v>89</v>
      </c>
      <c r="AH242" s="2" t="n">
        <f aca="false">INT(AB242)</f>
        <v>122</v>
      </c>
      <c r="AI242" s="2" t="n">
        <f aca="false">INT(AC242)</f>
        <v>79</v>
      </c>
      <c r="AJ242" s="2" t="n">
        <f aca="false">INT(AD242)</f>
        <v>87</v>
      </c>
      <c r="AK242" s="2" t="n">
        <f aca="false">Settings!$B$3-SUM(AE242:AJ242)</f>
        <v>3</v>
      </c>
      <c r="AL242" s="2" t="n">
        <f aca="false">ROUND(Y242-AE242,9)</f>
        <v>0.493710692</v>
      </c>
      <c r="AM242" s="2" t="n">
        <f aca="false">ROUND(Z242-AF242,9)</f>
        <v>0.575471698</v>
      </c>
      <c r="AN242" s="2" t="n">
        <f aca="false">ROUND(AA242-AG242,9)</f>
        <v>0.622641509</v>
      </c>
      <c r="AO242" s="2" t="n">
        <f aca="false">ROUND(AB242-AH242,9)</f>
        <v>0.641509434</v>
      </c>
      <c r="AP242" s="2" t="n">
        <f aca="false">ROUND(AC242-AI242,9)</f>
        <v>0.009433962</v>
      </c>
      <c r="AQ242" s="2" t="n">
        <f aca="false">ROUND(AD242-AJ242,9)</f>
        <v>0.657232704</v>
      </c>
    </row>
    <row r="243" customFormat="false" ht="15" hidden="false" customHeight="false" outlineLevel="0" collapsed="false">
      <c r="A243" s="2" t="n">
        <v>242</v>
      </c>
      <c r="B243" s="6" t="n">
        <v>5</v>
      </c>
      <c r="C243" s="6" t="n">
        <v>49</v>
      </c>
      <c r="D243" s="8" t="str">
        <f aca="false">INDEX(Bases!$B$2:$B$53,B243)</f>
        <v>Cyndaquil</v>
      </c>
      <c r="E243" s="8" t="str">
        <f aca="false">INDEX(Bases!$B$2:$B$53,C243)</f>
        <v>Aron</v>
      </c>
      <c r="F243" s="2" t="str">
        <f aca="false">LEFT(D243,ROUNDUP(LEN(D243)/2,0))&amp;LOWER(MID(E243,ROUNDUP(LEN(E243)/2,0)+1,20))</f>
        <v>Cyndaon</v>
      </c>
      <c r="G243" s="8" t="str">
        <f aca="false">INDEX(Bases!$C$2:$C$53,B243)</f>
        <v>Fire</v>
      </c>
      <c r="H243" s="8" t="str">
        <f aca="false">IF(INDEX(Bases!$C$2:$C$53,C243)=G243,"",INDEX(Bases!$C$2:$C$53,C243))</f>
        <v>Steel</v>
      </c>
      <c r="I243" s="8" t="str">
        <f aca="false">IF(INDEX(Bases!$E$2:$E$53,B243)="","",INDEX(Bases!$E$2:$E$53,B243))</f>
        <v/>
      </c>
      <c r="J243" s="8" t="str">
        <f aca="false">IF(INDEX(Bases!$E$2:$E$53,C243)="","",INDEX(Bases!$E$2:$E$53,C243))</f>
        <v/>
      </c>
      <c r="K243" s="5"/>
      <c r="L243" s="2" t="n">
        <f aca="false">AE243+IF(SUMPRODUCT(--($AL243:$AQ243&gt;AL243))&lt;$AK243,1,0)</f>
        <v>66</v>
      </c>
      <c r="M243" s="2" t="n">
        <f aca="false">AF243+IF(SUMPRODUCT(--($AL243:$AQ243&gt;AM243))+SUMPRODUCT(--($AL243:AL243=AM243))&lt;$AK243,1,0)</f>
        <v>92</v>
      </c>
      <c r="N243" s="2" t="n">
        <f aca="false">AG243+IF(SUMPRODUCT(--($AL243:$AQ243&gt;AN243))+SUMPRODUCT(--($AL243:AM243=AN243))&lt;$AK243,1,0)</f>
        <v>115</v>
      </c>
      <c r="O243" s="2" t="n">
        <f aca="false">AH243+IF(SUMPRODUCT(--($AL243:$AQ243&gt;AO243))+SUMPRODUCT(--($AL243:AN243=AO243))&lt;$AK243,1,0)</f>
        <v>79</v>
      </c>
      <c r="P243" s="2" t="n">
        <f aca="false">AI243+IF(SUMPRODUCT(--($AL243:$AQ243&gt;AP243))+SUMPRODUCT(--($AL243:AO243=AP243))&lt;$AK243,1,0)</f>
        <v>69</v>
      </c>
      <c r="Q243" s="2" t="n">
        <f aca="false">AJ243+IF(SUMPRODUCT(--($AL243:$AQ243&gt;AQ243))+SUMPRODUCT(--($AL243:AP243=AQ243))&lt;$AK243,1,0)</f>
        <v>79</v>
      </c>
      <c r="R243" s="2" t="n">
        <f aca="false">SUM(L243:Q243)</f>
        <v>500</v>
      </c>
      <c r="S243" s="2" t="n">
        <f aca="false">Settings!$B$4*MAX(INDEX(Bases!$M$2:$M$53,B243),INDEX(Bases!$M$2:$M$53,C243))+Settings!$B$5*MIN(INDEX(Bases!$M$2:$M$53,B243),INDEX(Bases!$M$2:$M$53,C243))</f>
        <v>57.3333333333333</v>
      </c>
      <c r="T243" s="2" t="n">
        <f aca="false">Settings!$B$4*MAX(INDEX(Bases!$N$2:$N$53,B243),INDEX(Bases!$N$2:$N$53,C243))+Settings!$B$5*MIN(INDEX(Bases!$N$2:$N$53,B243),INDEX(Bases!$N$2:$N$53,C243))</f>
        <v>79</v>
      </c>
      <c r="U243" s="2" t="n">
        <f aca="false">Settings!$B$4*MAX(INDEX(Bases!$O$2:$O$53,B243),INDEX(Bases!$O$2:$O$53,C243))+Settings!$B$5*MIN(INDEX(Bases!$O$2:$O$53,B243),INDEX(Bases!$O$2:$O$53,C243))</f>
        <v>99.3333333333333</v>
      </c>
      <c r="V243" s="2" t="n">
        <f aca="false">Settings!$B$4*MAX(INDEX(Bases!$P$2:$P$53,B243),INDEX(Bases!$P$2:$P$53,C243))+Settings!$B$5*MIN(INDEX(Bases!$P$2:$P$53,B243),INDEX(Bases!$P$2:$P$53,C243))</f>
        <v>68.3333333333333</v>
      </c>
      <c r="W243" s="2" t="n">
        <f aca="false">Settings!$B$4*MAX(INDEX(Bases!$Q$2:$Q$53,B243),INDEX(Bases!$Q$2:$Q$53,C243))+Settings!$B$5*MIN(INDEX(Bases!$Q$2:$Q$53,B243),INDEX(Bases!$Q$2:$Q$53,C243))</f>
        <v>59.3333333333333</v>
      </c>
      <c r="X243" s="2" t="n">
        <f aca="false">Settings!$B$4*MAX(INDEX(Bases!$R$2:$R$53,B243),INDEX(Bases!$R$2:$R$53,C243))+Settings!$B$5*MIN(INDEX(Bases!$R$2:$R$53,B243),INDEX(Bases!$R$2:$R$53,C243))</f>
        <v>68</v>
      </c>
      <c r="Y243" s="2" t="n">
        <f aca="false">S243*Settings!$B$3/SUM(S243:X243)</f>
        <v>66.4605873261206</v>
      </c>
      <c r="Z243" s="2" t="n">
        <f aca="false">T243*Settings!$B$3/SUM(S243:X243)</f>
        <v>91.5765069551778</v>
      </c>
      <c r="AA243" s="2" t="n">
        <f aca="false">U243*Settings!$B$3/SUM(S243:X243)</f>
        <v>115.146831530139</v>
      </c>
      <c r="AB243" s="2" t="n">
        <f aca="false">V243*Settings!$B$3/SUM(S243:X243)</f>
        <v>79.2117465224112</v>
      </c>
      <c r="AC243" s="2" t="n">
        <f aca="false">W243*Settings!$B$3/SUM(S243:X243)</f>
        <v>68.7789799072643</v>
      </c>
      <c r="AD243" s="2" t="n">
        <f aca="false">X243*Settings!$B$3/SUM(S243:X243)</f>
        <v>78.8253477588872</v>
      </c>
      <c r="AE243" s="2" t="n">
        <f aca="false">INT(Y243)</f>
        <v>66</v>
      </c>
      <c r="AF243" s="2" t="n">
        <f aca="false">INT(Z243)</f>
        <v>91</v>
      </c>
      <c r="AG243" s="2" t="n">
        <f aca="false">INT(AA243)</f>
        <v>115</v>
      </c>
      <c r="AH243" s="2" t="n">
        <f aca="false">INT(AB243)</f>
        <v>79</v>
      </c>
      <c r="AI243" s="2" t="n">
        <f aca="false">INT(AC243)</f>
        <v>68</v>
      </c>
      <c r="AJ243" s="2" t="n">
        <f aca="false">INT(AD243)</f>
        <v>78</v>
      </c>
      <c r="AK243" s="2" t="n">
        <f aca="false">Settings!$B$3-SUM(AE243:AJ243)</f>
        <v>3</v>
      </c>
      <c r="AL243" s="2" t="n">
        <f aca="false">ROUND(Y243-AE243,9)</f>
        <v>0.460587326</v>
      </c>
      <c r="AM243" s="2" t="n">
        <f aca="false">ROUND(Z243-AF243,9)</f>
        <v>0.576506955</v>
      </c>
      <c r="AN243" s="2" t="n">
        <f aca="false">ROUND(AA243-AG243,9)</f>
        <v>0.14683153</v>
      </c>
      <c r="AO243" s="2" t="n">
        <f aca="false">ROUND(AB243-AH243,9)</f>
        <v>0.211746522</v>
      </c>
      <c r="AP243" s="2" t="n">
        <f aca="false">ROUND(AC243-AI243,9)</f>
        <v>0.778979907</v>
      </c>
      <c r="AQ243" s="2" t="n">
        <f aca="false">ROUND(AD243-AJ243,9)</f>
        <v>0.825347759</v>
      </c>
    </row>
    <row r="244" customFormat="false" ht="15" hidden="false" customHeight="false" outlineLevel="0" collapsed="false">
      <c r="A244" s="2" t="n">
        <v>243</v>
      </c>
      <c r="B244" s="6" t="n">
        <v>5</v>
      </c>
      <c r="C244" s="6" t="n">
        <v>50</v>
      </c>
      <c r="D244" s="8" t="str">
        <f aca="false">INDEX(Bases!$B$2:$B$53,B244)</f>
        <v>Cyndaquil</v>
      </c>
      <c r="E244" s="8" t="str">
        <f aca="false">INDEX(Bases!$B$2:$B$53,C244)</f>
        <v>Beldum</v>
      </c>
      <c r="F244" s="2" t="str">
        <f aca="false">LEFT(D244,ROUNDUP(LEN(D244)/2,0))&amp;LOWER(MID(E244,ROUNDUP(LEN(E244)/2,0)+1,20))</f>
        <v>Cyndadum</v>
      </c>
      <c r="G244" s="8" t="str">
        <f aca="false">INDEX(Bases!$C$2:$C$53,B244)</f>
        <v>Fire</v>
      </c>
      <c r="H244" s="8" t="str">
        <f aca="false">IF(INDEX(Bases!$C$2:$C$53,C244)=G244,"",INDEX(Bases!$C$2:$C$53,C244))</f>
        <v>Steel</v>
      </c>
      <c r="I244" s="8" t="str">
        <f aca="false">IF(INDEX(Bases!$E$2:$E$53,B244)="","",INDEX(Bases!$E$2:$E$53,B244))</f>
        <v/>
      </c>
      <c r="J244" s="8" t="str">
        <f aca="false">IF(INDEX(Bases!$E$2:$E$53,C244)="","",INDEX(Bases!$E$2:$E$53,C244))</f>
        <v/>
      </c>
      <c r="K244" s="5"/>
      <c r="L244" s="2" t="n">
        <f aca="false">AE244+IF(SUMPRODUCT(--($AL244:$AQ244&gt;AL244))&lt;$AK244,1,0)</f>
        <v>61</v>
      </c>
      <c r="M244" s="2" t="n">
        <f aca="false">AF244+IF(SUMPRODUCT(--($AL244:$AQ244&gt;AM244))+SUMPRODUCT(--($AL244:AL244=AM244))&lt;$AK244,1,0)</f>
        <v>83</v>
      </c>
      <c r="N244" s="2" t="n">
        <f aca="false">AG244+IF(SUMPRODUCT(--($AL244:$AQ244&gt;AN244))+SUMPRODUCT(--($AL244:AM244=AN244))&lt;$AK244,1,0)</f>
        <v>106</v>
      </c>
      <c r="O244" s="2" t="n">
        <f aca="false">AH244+IF(SUMPRODUCT(--($AL244:$AQ244&gt;AO244))+SUMPRODUCT(--($AL244:AN244=AO244))&lt;$AK244,1,0)</f>
        <v>80</v>
      </c>
      <c r="P244" s="2" t="n">
        <f aca="false">AI244+IF(SUMPRODUCT(--($AL244:$AQ244&gt;AP244))+SUMPRODUCT(--($AL244:AO244=AP244))&lt;$AK244,1,0)</f>
        <v>88</v>
      </c>
      <c r="Q244" s="2" t="n">
        <f aca="false">AJ244+IF(SUMPRODUCT(--($AL244:$AQ244&gt;AQ244))+SUMPRODUCT(--($AL244:AP244=AQ244))&lt;$AK244,1,0)</f>
        <v>82</v>
      </c>
      <c r="R244" s="2" t="n">
        <f aca="false">SUM(L244:Q244)</f>
        <v>500</v>
      </c>
      <c r="S244" s="2" t="n">
        <f aca="false">Settings!$B$4*MAX(INDEX(Bases!$M$2:$M$53,B244),INDEX(Bases!$M$2:$M$53,C244))+Settings!$B$5*MIN(INDEX(Bases!$M$2:$M$53,B244),INDEX(Bases!$M$2:$M$53,C244))</f>
        <v>52</v>
      </c>
      <c r="T244" s="2" t="n">
        <f aca="false">Settings!$B$4*MAX(INDEX(Bases!$N$2:$N$53,B244),INDEX(Bases!$N$2:$N$53,C244))+Settings!$B$5*MIN(INDEX(Bases!$N$2:$N$53,B244),INDEX(Bases!$N$2:$N$53,C244))</f>
        <v>71</v>
      </c>
      <c r="U244" s="2" t="n">
        <f aca="false">Settings!$B$4*MAX(INDEX(Bases!$O$2:$O$53,B244),INDEX(Bases!$O$2:$O$53,C244))+Settings!$B$5*MIN(INDEX(Bases!$O$2:$O$53,B244),INDEX(Bases!$O$2:$O$53,C244))</f>
        <v>90</v>
      </c>
      <c r="V244" s="2" t="n">
        <f aca="false">Settings!$B$4*MAX(INDEX(Bases!$P$2:$P$53,B244),INDEX(Bases!$P$2:$P$53,C244))+Settings!$B$5*MIN(INDEX(Bases!$P$2:$P$53,B244),INDEX(Bases!$P$2:$P$53,C244))</f>
        <v>67.6666666666667</v>
      </c>
      <c r="W244" s="2" t="n">
        <f aca="false">Settings!$B$4*MAX(INDEX(Bases!$Q$2:$Q$53,B244),INDEX(Bases!$Q$2:$Q$53,C244))+Settings!$B$5*MIN(INDEX(Bases!$Q$2:$Q$53,B244),INDEX(Bases!$Q$2:$Q$53,C244))</f>
        <v>75</v>
      </c>
      <c r="X244" s="2" t="n">
        <f aca="false">Settings!$B$4*MAX(INDEX(Bases!$R$2:$R$53,B244),INDEX(Bases!$R$2:$R$53,C244))+Settings!$B$5*MIN(INDEX(Bases!$R$2:$R$53,B244),INDEX(Bases!$R$2:$R$53,C244))</f>
        <v>69.3333333333333</v>
      </c>
      <c r="Y244" s="2" t="n">
        <f aca="false">S244*Settings!$B$3/SUM(S244:X244)</f>
        <v>61.1764705882353</v>
      </c>
      <c r="Z244" s="2" t="n">
        <f aca="false">T244*Settings!$B$3/SUM(S244:X244)</f>
        <v>83.5294117647059</v>
      </c>
      <c r="AA244" s="2" t="n">
        <f aca="false">U244*Settings!$B$3/SUM(S244:X244)</f>
        <v>105.882352941176</v>
      </c>
      <c r="AB244" s="2" t="n">
        <f aca="false">V244*Settings!$B$3/SUM(S244:X244)</f>
        <v>79.6078431372549</v>
      </c>
      <c r="AC244" s="2" t="n">
        <f aca="false">W244*Settings!$B$3/SUM(S244:X244)</f>
        <v>88.2352941176471</v>
      </c>
      <c r="AD244" s="2" t="n">
        <f aca="false">X244*Settings!$B$3/SUM(S244:X244)</f>
        <v>81.5686274509804</v>
      </c>
      <c r="AE244" s="2" t="n">
        <f aca="false">INT(Y244)</f>
        <v>61</v>
      </c>
      <c r="AF244" s="2" t="n">
        <f aca="false">INT(Z244)</f>
        <v>83</v>
      </c>
      <c r="AG244" s="2" t="n">
        <f aca="false">INT(AA244)</f>
        <v>105</v>
      </c>
      <c r="AH244" s="2" t="n">
        <f aca="false">INT(AB244)</f>
        <v>79</v>
      </c>
      <c r="AI244" s="2" t="n">
        <f aca="false">INT(AC244)</f>
        <v>88</v>
      </c>
      <c r="AJ244" s="2" t="n">
        <f aca="false">INT(AD244)</f>
        <v>81</v>
      </c>
      <c r="AK244" s="2" t="n">
        <f aca="false">Settings!$B$3-SUM(AE244:AJ244)</f>
        <v>3</v>
      </c>
      <c r="AL244" s="2" t="n">
        <f aca="false">ROUND(Y244-AE244,9)</f>
        <v>0.176470588</v>
      </c>
      <c r="AM244" s="2" t="n">
        <f aca="false">ROUND(Z244-AF244,9)</f>
        <v>0.529411765</v>
      </c>
      <c r="AN244" s="2" t="n">
        <f aca="false">ROUND(AA244-AG244,9)</f>
        <v>0.882352941</v>
      </c>
      <c r="AO244" s="2" t="n">
        <f aca="false">ROUND(AB244-AH244,9)</f>
        <v>0.607843137</v>
      </c>
      <c r="AP244" s="2" t="n">
        <f aca="false">ROUND(AC244-AI244,9)</f>
        <v>0.235294118</v>
      </c>
      <c r="AQ244" s="2" t="n">
        <f aca="false">ROUND(AD244-AJ244,9)</f>
        <v>0.568627451</v>
      </c>
    </row>
    <row r="245" customFormat="false" ht="15" hidden="false" customHeight="false" outlineLevel="0" collapsed="false">
      <c r="A245" s="2" t="n">
        <v>244</v>
      </c>
      <c r="B245" s="6" t="n">
        <v>5</v>
      </c>
      <c r="C245" s="6" t="n">
        <v>51</v>
      </c>
      <c r="D245" s="8" t="str">
        <f aca="false">INDEX(Bases!$B$2:$B$53,B245)</f>
        <v>Cyndaquil</v>
      </c>
      <c r="E245" s="8" t="str">
        <f aca="false">INDEX(Bases!$B$2:$B$53,C245)</f>
        <v>Cleffa</v>
      </c>
      <c r="F245" s="2" t="str">
        <f aca="false">LEFT(D245,ROUNDUP(LEN(D245)/2,0))&amp;LOWER(MID(E245,ROUNDUP(LEN(E245)/2,0)+1,20))</f>
        <v>Cyndaffa</v>
      </c>
      <c r="G245" s="8" t="str">
        <f aca="false">INDEX(Bases!$C$2:$C$53,B245)</f>
        <v>Fire</v>
      </c>
      <c r="H245" s="8" t="str">
        <f aca="false">IF(INDEX(Bases!$C$2:$C$53,C245)=G245,"",INDEX(Bases!$C$2:$C$53,C245))</f>
        <v>Fairy</v>
      </c>
      <c r="I245" s="8" t="str">
        <f aca="false">IF(INDEX(Bases!$E$2:$E$53,B245)="","",INDEX(Bases!$E$2:$E$53,B245))</f>
        <v/>
      </c>
      <c r="J245" s="8" t="str">
        <f aca="false">IF(INDEX(Bases!$E$2:$E$53,C245)="","",INDEX(Bases!$E$2:$E$53,C245))</f>
        <v/>
      </c>
      <c r="K245" s="5"/>
      <c r="L245" s="2" t="n">
        <f aca="false">AE245+IF(SUMPRODUCT(--($AL245:$AQ245&gt;AL245))&lt;$AK245,1,0)</f>
        <v>91</v>
      </c>
      <c r="M245" s="2" t="n">
        <f aca="false">AF245+IF(SUMPRODUCT(--($AL245:$AQ245&gt;AM245))+SUMPRODUCT(--($AL245:AL245=AM245))&lt;$AK245,1,0)</f>
        <v>70</v>
      </c>
      <c r="N245" s="2" t="n">
        <f aca="false">AG245+IF(SUMPRODUCT(--($AL245:$AQ245&gt;AN245))+SUMPRODUCT(--($AL245:AM245=AN245))&lt;$AK245,1,0)</f>
        <v>64</v>
      </c>
      <c r="O245" s="2" t="n">
        <f aca="false">AH245+IF(SUMPRODUCT(--($AL245:$AQ245&gt;AO245))+SUMPRODUCT(--($AL245:AN245=AO245))&lt;$AK245,1,0)</f>
        <v>95</v>
      </c>
      <c r="P245" s="2" t="n">
        <f aca="false">AI245+IF(SUMPRODUCT(--($AL245:$AQ245&gt;AP245))+SUMPRODUCT(--($AL245:AO245=AP245))&lt;$AK245,1,0)</f>
        <v>104</v>
      </c>
      <c r="Q245" s="2" t="n">
        <f aca="false">AJ245+IF(SUMPRODUCT(--($AL245:$AQ245&gt;AQ245))+SUMPRODUCT(--($AL245:AP245=AQ245))&lt;$AK245,1,0)</f>
        <v>76</v>
      </c>
      <c r="R245" s="2" t="n">
        <f aca="false">SUM(L245:Q245)</f>
        <v>500</v>
      </c>
      <c r="S245" s="2" t="n">
        <f aca="false">Settings!$B$4*MAX(INDEX(Bases!$M$2:$M$53,B245),INDEX(Bases!$M$2:$M$53,C245))+Settings!$B$5*MIN(INDEX(Bases!$M$2:$M$53,B245),INDEX(Bases!$M$2:$M$53,C245))</f>
        <v>78</v>
      </c>
      <c r="T245" s="2" t="n">
        <f aca="false">Settings!$B$4*MAX(INDEX(Bases!$N$2:$N$53,B245),INDEX(Bases!$N$2:$N$53,C245))+Settings!$B$5*MIN(INDEX(Bases!$N$2:$N$53,B245),INDEX(Bases!$N$2:$N$53,C245))</f>
        <v>60</v>
      </c>
      <c r="U245" s="2" t="n">
        <f aca="false">Settings!$B$4*MAX(INDEX(Bases!$O$2:$O$53,B245),INDEX(Bases!$O$2:$O$53,C245))+Settings!$B$5*MIN(INDEX(Bases!$O$2:$O$53,B245),INDEX(Bases!$O$2:$O$53,C245))</f>
        <v>54.3333333333333</v>
      </c>
      <c r="V245" s="2" t="n">
        <f aca="false">Settings!$B$4*MAX(INDEX(Bases!$P$2:$P$53,B245),INDEX(Bases!$P$2:$P$53,C245))+Settings!$B$5*MIN(INDEX(Bases!$P$2:$P$53,B245),INDEX(Bases!$P$2:$P$53,C245))</f>
        <v>81.3333333333333</v>
      </c>
      <c r="W245" s="2" t="n">
        <f aca="false">Settings!$B$4*MAX(INDEX(Bases!$Q$2:$Q$53,B245),INDEX(Bases!$Q$2:$Q$53,C245))+Settings!$B$5*MIN(INDEX(Bases!$Q$2:$Q$53,B245),INDEX(Bases!$Q$2:$Q$53,C245))</f>
        <v>89</v>
      </c>
      <c r="X245" s="2" t="n">
        <f aca="false">Settings!$B$4*MAX(INDEX(Bases!$R$2:$R$53,B245),INDEX(Bases!$R$2:$R$53,C245))+Settings!$B$5*MIN(INDEX(Bases!$R$2:$R$53,B245),INDEX(Bases!$R$2:$R$53,C245))</f>
        <v>65</v>
      </c>
      <c r="Y245" s="2" t="n">
        <f aca="false">S245*Settings!$B$3/SUM(S245:X245)</f>
        <v>91.1925175370226</v>
      </c>
      <c r="Z245" s="2" t="n">
        <f aca="false">T245*Settings!$B$3/SUM(S245:X245)</f>
        <v>70.1480904130943</v>
      </c>
      <c r="AA245" s="2" t="n">
        <f aca="false">U245*Settings!$B$3/SUM(S245:X245)</f>
        <v>63.522992985191</v>
      </c>
      <c r="AB245" s="2" t="n">
        <f aca="false">V245*Settings!$B$3/SUM(S245:X245)</f>
        <v>95.0896336710834</v>
      </c>
      <c r="AC245" s="2" t="n">
        <f aca="false">W245*Settings!$B$3/SUM(S245:X245)</f>
        <v>104.053000779423</v>
      </c>
      <c r="AD245" s="2" t="n">
        <f aca="false">X245*Settings!$B$3/SUM(S245:X245)</f>
        <v>75.9937646141855</v>
      </c>
      <c r="AE245" s="2" t="n">
        <f aca="false">INT(Y245)</f>
        <v>91</v>
      </c>
      <c r="AF245" s="2" t="n">
        <f aca="false">INT(Z245)</f>
        <v>70</v>
      </c>
      <c r="AG245" s="2" t="n">
        <f aca="false">INT(AA245)</f>
        <v>63</v>
      </c>
      <c r="AH245" s="2" t="n">
        <f aca="false">INT(AB245)</f>
        <v>95</v>
      </c>
      <c r="AI245" s="2" t="n">
        <f aca="false">INT(AC245)</f>
        <v>104</v>
      </c>
      <c r="AJ245" s="2" t="n">
        <f aca="false">INT(AD245)</f>
        <v>75</v>
      </c>
      <c r="AK245" s="2" t="n">
        <f aca="false">Settings!$B$3-SUM(AE245:AJ245)</f>
        <v>2</v>
      </c>
      <c r="AL245" s="2" t="n">
        <f aca="false">ROUND(Y245-AE245,9)</f>
        <v>0.192517537</v>
      </c>
      <c r="AM245" s="2" t="n">
        <f aca="false">ROUND(Z245-AF245,9)</f>
        <v>0.148090413</v>
      </c>
      <c r="AN245" s="2" t="n">
        <f aca="false">ROUND(AA245-AG245,9)</f>
        <v>0.522992985</v>
      </c>
      <c r="AO245" s="2" t="n">
        <f aca="false">ROUND(AB245-AH245,9)</f>
        <v>0.089633671</v>
      </c>
      <c r="AP245" s="2" t="n">
        <f aca="false">ROUND(AC245-AI245,9)</f>
        <v>0.053000779</v>
      </c>
      <c r="AQ245" s="2" t="n">
        <f aca="false">ROUND(AD245-AJ245,9)</f>
        <v>0.993764614</v>
      </c>
    </row>
    <row r="246" customFormat="false" ht="15" hidden="false" customHeight="false" outlineLevel="0" collapsed="false">
      <c r="A246" s="2" t="n">
        <v>245</v>
      </c>
      <c r="B246" s="6" t="n">
        <v>5</v>
      </c>
      <c r="C246" s="6" t="n">
        <v>52</v>
      </c>
      <c r="D246" s="8" t="str">
        <f aca="false">INDEX(Bases!$B$2:$B$53,B246)</f>
        <v>Cyndaquil</v>
      </c>
      <c r="E246" s="8" t="str">
        <f aca="false">INDEX(Bases!$B$2:$B$53,C246)</f>
        <v>Togepi</v>
      </c>
      <c r="F246" s="2" t="str">
        <f aca="false">LEFT(D246,ROUNDUP(LEN(D246)/2,0))&amp;LOWER(MID(E246,ROUNDUP(LEN(E246)/2,0)+1,20))</f>
        <v>Cyndaepi</v>
      </c>
      <c r="G246" s="8" t="str">
        <f aca="false">INDEX(Bases!$C$2:$C$53,B246)</f>
        <v>Fire</v>
      </c>
      <c r="H246" s="8" t="str">
        <f aca="false">IF(INDEX(Bases!$C$2:$C$53,C246)=G246,"",INDEX(Bases!$C$2:$C$53,C246))</f>
        <v>Fairy</v>
      </c>
      <c r="I246" s="8" t="str">
        <f aca="false">IF(INDEX(Bases!$E$2:$E$53,B246)="","",INDEX(Bases!$E$2:$E$53,B246))</f>
        <v/>
      </c>
      <c r="J246" s="8" t="str">
        <f aca="false">IF(INDEX(Bases!$E$2:$E$53,C246)="","",INDEX(Bases!$E$2:$E$53,C246))</f>
        <v/>
      </c>
      <c r="K246" s="5"/>
      <c r="L246" s="2" t="n">
        <f aca="false">AE246+IF(SUMPRODUCT(--($AL246:$AQ246&gt;AL246))&lt;$AK246,1,0)</f>
        <v>63</v>
      </c>
      <c r="M246" s="2" t="n">
        <f aca="false">AF246+IF(SUMPRODUCT(--($AL246:$AQ246&gt;AM246))+SUMPRODUCT(--($AL246:AL246=AM246))&lt;$AK246,1,0)</f>
        <v>64</v>
      </c>
      <c r="N246" s="2" t="n">
        <f aca="false">AG246+IF(SUMPRODUCT(--($AL246:$AQ246&gt;AN246))+SUMPRODUCT(--($AL246:AM246=AN246))&lt;$AK246,1,0)</f>
        <v>103</v>
      </c>
      <c r="O246" s="2" t="n">
        <f aca="false">AH246+IF(SUMPRODUCT(--($AL246:$AQ246&gt;AO246))+SUMPRODUCT(--($AL246:AN246=AO246))&lt;$AK246,1,0)</f>
        <v>85</v>
      </c>
      <c r="P246" s="2" t="n">
        <f aca="false">AI246+IF(SUMPRODUCT(--($AL246:$AQ246&gt;AP246))+SUMPRODUCT(--($AL246:AO246=AP246))&lt;$AK246,1,0)</f>
        <v>107</v>
      </c>
      <c r="Q246" s="2" t="n">
        <f aca="false">AJ246+IF(SUMPRODUCT(--($AL246:$AQ246&gt;AQ246))+SUMPRODUCT(--($AL246:AP246=AQ246))&lt;$AK246,1,0)</f>
        <v>78</v>
      </c>
      <c r="R246" s="2" t="n">
        <f aca="false">SUM(L246:Q246)</f>
        <v>500</v>
      </c>
      <c r="S246" s="2" t="n">
        <f aca="false">Settings!$B$4*MAX(INDEX(Bases!$M$2:$M$53,B246),INDEX(Bases!$M$2:$M$53,C246))+Settings!$B$5*MIN(INDEX(Bases!$M$2:$M$53,B246),INDEX(Bases!$M$2:$M$53,C246))</f>
        <v>54.6666666666667</v>
      </c>
      <c r="T246" s="2" t="n">
        <f aca="false">Settings!$B$4*MAX(INDEX(Bases!$N$2:$N$53,B246),INDEX(Bases!$N$2:$N$53,C246))+Settings!$B$5*MIN(INDEX(Bases!$N$2:$N$53,B246),INDEX(Bases!$N$2:$N$53,C246))</f>
        <v>55.6666666666667</v>
      </c>
      <c r="U246" s="2" t="n">
        <f aca="false">Settings!$B$4*MAX(INDEX(Bases!$O$2:$O$53,B246),INDEX(Bases!$O$2:$O$53,C246))+Settings!$B$5*MIN(INDEX(Bases!$O$2:$O$53,B246),INDEX(Bases!$O$2:$O$53,C246))</f>
        <v>89.3333333333333</v>
      </c>
      <c r="V246" s="2" t="n">
        <f aca="false">Settings!$B$4*MAX(INDEX(Bases!$P$2:$P$53,B246),INDEX(Bases!$P$2:$P$53,C246))+Settings!$B$5*MIN(INDEX(Bases!$P$2:$P$53,B246),INDEX(Bases!$P$2:$P$53,C246))</f>
        <v>73.6666666666667</v>
      </c>
      <c r="W246" s="2" t="n">
        <f aca="false">Settings!$B$4*MAX(INDEX(Bases!$Q$2:$Q$53,B246),INDEX(Bases!$Q$2:$Q$53,C246))+Settings!$B$5*MIN(INDEX(Bases!$Q$2:$Q$53,B246),INDEX(Bases!$Q$2:$Q$53,C246))</f>
        <v>92.3333333333333</v>
      </c>
      <c r="X246" s="2" t="n">
        <f aca="false">Settings!$B$4*MAX(INDEX(Bases!$R$2:$R$53,B246),INDEX(Bases!$R$2:$R$53,C246))+Settings!$B$5*MIN(INDEX(Bases!$R$2:$R$53,B246),INDEX(Bases!$R$2:$R$53,C246))</f>
        <v>67</v>
      </c>
      <c r="Y246" s="2" t="n">
        <f aca="false">S246*Settings!$B$3/SUM(S246:X246)</f>
        <v>63.1741140215717</v>
      </c>
      <c r="Z246" s="2" t="n">
        <f aca="false">T246*Settings!$B$3/SUM(S246:X246)</f>
        <v>64.3297380585516</v>
      </c>
      <c r="AA246" s="2" t="n">
        <f aca="false">U246*Settings!$B$3/SUM(S246:X246)</f>
        <v>103.235747303544</v>
      </c>
      <c r="AB246" s="2" t="n">
        <f aca="false">V246*Settings!$B$3/SUM(S246:X246)</f>
        <v>85.1309707241911</v>
      </c>
      <c r="AC246" s="2" t="n">
        <f aca="false">W246*Settings!$B$3/SUM(S246:X246)</f>
        <v>106.702619414484</v>
      </c>
      <c r="AD246" s="2" t="n">
        <f aca="false">X246*Settings!$B$3/SUM(S246:X246)</f>
        <v>77.4268104776579</v>
      </c>
      <c r="AE246" s="2" t="n">
        <f aca="false">INT(Y246)</f>
        <v>63</v>
      </c>
      <c r="AF246" s="2" t="n">
        <f aca="false">INT(Z246)</f>
        <v>64</v>
      </c>
      <c r="AG246" s="2" t="n">
        <f aca="false">INT(AA246)</f>
        <v>103</v>
      </c>
      <c r="AH246" s="2" t="n">
        <f aca="false">INT(AB246)</f>
        <v>85</v>
      </c>
      <c r="AI246" s="2" t="n">
        <f aca="false">INT(AC246)</f>
        <v>106</v>
      </c>
      <c r="AJ246" s="2" t="n">
        <f aca="false">INT(AD246)</f>
        <v>77</v>
      </c>
      <c r="AK246" s="2" t="n">
        <f aca="false">Settings!$B$3-SUM(AE246:AJ246)</f>
        <v>2</v>
      </c>
      <c r="AL246" s="2" t="n">
        <f aca="false">ROUND(Y246-AE246,9)</f>
        <v>0.174114022</v>
      </c>
      <c r="AM246" s="2" t="n">
        <f aca="false">ROUND(Z246-AF246,9)</f>
        <v>0.329738059</v>
      </c>
      <c r="AN246" s="2" t="n">
        <f aca="false">ROUND(AA246-AG246,9)</f>
        <v>0.235747304</v>
      </c>
      <c r="AO246" s="2" t="n">
        <f aca="false">ROUND(AB246-AH246,9)</f>
        <v>0.130970724</v>
      </c>
      <c r="AP246" s="2" t="n">
        <f aca="false">ROUND(AC246-AI246,9)</f>
        <v>0.702619414</v>
      </c>
      <c r="AQ246" s="2" t="n">
        <f aca="false">ROUND(AD246-AJ246,9)</f>
        <v>0.426810478</v>
      </c>
    </row>
    <row r="247" customFormat="false" ht="15" hidden="false" customHeight="false" outlineLevel="0" collapsed="false">
      <c r="A247" s="2" t="n">
        <v>246</v>
      </c>
      <c r="B247" s="6" t="n">
        <v>6</v>
      </c>
      <c r="C247" s="6" t="n">
        <v>7</v>
      </c>
      <c r="D247" s="8" t="str">
        <f aca="false">INDEX(Bases!$B$2:$B$53,B247)</f>
        <v>Numel</v>
      </c>
      <c r="E247" s="8" t="str">
        <f aca="false">INDEX(Bases!$B$2:$B$53,C247)</f>
        <v>Azurill</v>
      </c>
      <c r="F247" s="2" t="str">
        <f aca="false">LEFT(D247,ROUNDUP(LEN(D247)/2,0))&amp;LOWER(MID(E247,ROUNDUP(LEN(E247)/2,0)+1,20))</f>
        <v>Numill</v>
      </c>
      <c r="G247" s="8" t="str">
        <f aca="false">INDEX(Bases!$C$2:$C$53,B247)</f>
        <v>Fire</v>
      </c>
      <c r="H247" s="8" t="str">
        <f aca="false">IF(INDEX(Bases!$C$2:$C$53,C247)=G247,"",INDEX(Bases!$C$2:$C$53,C247))</f>
        <v>Water</v>
      </c>
      <c r="I247" s="8" t="str">
        <f aca="false">IF(INDEX(Bases!$E$2:$E$53,B247)="","",INDEX(Bases!$E$2:$E$53,B247))</f>
        <v/>
      </c>
      <c r="J247" s="8" t="str">
        <f aca="false">IF(INDEX(Bases!$E$2:$E$53,C247)="","",INDEX(Bases!$E$2:$E$53,C247))</f>
        <v/>
      </c>
      <c r="K247" s="5"/>
      <c r="L247" s="2" t="n">
        <f aca="false">AE247+IF(SUMPRODUCT(--($AL247:$AQ247&gt;AL247))&lt;$AK247,1,0)</f>
        <v>113</v>
      </c>
      <c r="M247" s="2" t="n">
        <f aca="false">AF247+IF(SUMPRODUCT(--($AL247:$AQ247&gt;AM247))+SUMPRODUCT(--($AL247:AL247=AM247))&lt;$AK247,1,0)</f>
        <v>78</v>
      </c>
      <c r="N247" s="2" t="n">
        <f aca="false">AG247+IF(SUMPRODUCT(--($AL247:$AQ247&gt;AN247))+SUMPRODUCT(--($AL247:AM247=AN247))&lt;$AK247,1,0)</f>
        <v>86</v>
      </c>
      <c r="O247" s="2" t="n">
        <f aca="false">AH247+IF(SUMPRODUCT(--($AL247:$AQ247&gt;AO247))+SUMPRODUCT(--($AL247:AN247=AO247))&lt;$AK247,1,0)</f>
        <v>83</v>
      </c>
      <c r="P247" s="2" t="n">
        <f aca="false">AI247+IF(SUMPRODUCT(--($AL247:$AQ247&gt;AP247))+SUMPRODUCT(--($AL247:AO247=AP247))&lt;$AK247,1,0)</f>
        <v>88</v>
      </c>
      <c r="Q247" s="2" t="n">
        <f aca="false">AJ247+IF(SUMPRODUCT(--($AL247:$AQ247&gt;AQ247))+SUMPRODUCT(--($AL247:AP247=AQ247))&lt;$AK247,1,0)</f>
        <v>52</v>
      </c>
      <c r="R247" s="2" t="n">
        <f aca="false">SUM(L247:Q247)</f>
        <v>500</v>
      </c>
      <c r="S247" s="2" t="n">
        <f aca="false">Settings!$B$4*MAX(INDEX(Bases!$M$2:$M$53,B247),INDEX(Bases!$M$2:$M$53,C247))+Settings!$B$5*MIN(INDEX(Bases!$M$2:$M$53,B247),INDEX(Bases!$M$2:$M$53,C247))</f>
        <v>97</v>
      </c>
      <c r="T247" s="2" t="n">
        <f aca="false">Settings!$B$4*MAX(INDEX(Bases!$N$2:$N$53,B247),INDEX(Bases!$N$2:$N$53,C247))+Settings!$B$5*MIN(INDEX(Bases!$N$2:$N$53,B247),INDEX(Bases!$N$2:$N$53,C247))</f>
        <v>66.6666666666667</v>
      </c>
      <c r="U247" s="2" t="n">
        <f aca="false">Settings!$B$4*MAX(INDEX(Bases!$O$2:$O$53,B247),INDEX(Bases!$O$2:$O$53,C247))+Settings!$B$5*MIN(INDEX(Bases!$O$2:$O$53,B247),INDEX(Bases!$O$2:$O$53,C247))</f>
        <v>73.3333333333333</v>
      </c>
      <c r="V247" s="2" t="n">
        <f aca="false">Settings!$B$4*MAX(INDEX(Bases!$P$2:$P$53,B247),INDEX(Bases!$P$2:$P$53,C247))+Settings!$B$5*MIN(INDEX(Bases!$P$2:$P$53,B247),INDEX(Bases!$P$2:$P$53,C247))</f>
        <v>70.6666666666667</v>
      </c>
      <c r="W247" s="2" t="n">
        <f aca="false">Settings!$B$4*MAX(INDEX(Bases!$Q$2:$Q$53,B247),INDEX(Bases!$Q$2:$Q$53,C247))+Settings!$B$5*MIN(INDEX(Bases!$Q$2:$Q$53,B247),INDEX(Bases!$Q$2:$Q$53,C247))</f>
        <v>75.6666666666667</v>
      </c>
      <c r="X247" s="2" t="n">
        <f aca="false">Settings!$B$4*MAX(INDEX(Bases!$R$2:$R$53,B247),INDEX(Bases!$R$2:$R$53,C247))+Settings!$B$5*MIN(INDEX(Bases!$R$2:$R$53,B247),INDEX(Bases!$R$2:$R$53,C247))</f>
        <v>44.6666666666667</v>
      </c>
      <c r="Y247" s="2" t="n">
        <f aca="false">S247*Settings!$B$3/SUM(S247:X247)</f>
        <v>113.317757009346</v>
      </c>
      <c r="Z247" s="2" t="n">
        <f aca="false">T247*Settings!$B$3/SUM(S247:X247)</f>
        <v>77.8816199376947</v>
      </c>
      <c r="AA247" s="2" t="n">
        <f aca="false">U247*Settings!$B$3/SUM(S247:X247)</f>
        <v>85.6697819314642</v>
      </c>
      <c r="AB247" s="2" t="n">
        <f aca="false">V247*Settings!$B$3/SUM(S247:X247)</f>
        <v>82.5545171339564</v>
      </c>
      <c r="AC247" s="2" t="n">
        <f aca="false">W247*Settings!$B$3/SUM(S247:X247)</f>
        <v>88.3956386292835</v>
      </c>
      <c r="AD247" s="2" t="n">
        <f aca="false">X247*Settings!$B$3/SUM(S247:X247)</f>
        <v>52.1806853582554</v>
      </c>
      <c r="AE247" s="2" t="n">
        <f aca="false">INT(Y247)</f>
        <v>113</v>
      </c>
      <c r="AF247" s="2" t="n">
        <f aca="false">INT(Z247)</f>
        <v>77</v>
      </c>
      <c r="AG247" s="2" t="n">
        <f aca="false">INT(AA247)</f>
        <v>85</v>
      </c>
      <c r="AH247" s="2" t="n">
        <f aca="false">INT(AB247)</f>
        <v>82</v>
      </c>
      <c r="AI247" s="2" t="n">
        <f aca="false">INT(AC247)</f>
        <v>88</v>
      </c>
      <c r="AJ247" s="2" t="n">
        <f aca="false">INT(AD247)</f>
        <v>52</v>
      </c>
      <c r="AK247" s="2" t="n">
        <f aca="false">Settings!$B$3-SUM(AE247:AJ247)</f>
        <v>3</v>
      </c>
      <c r="AL247" s="2" t="n">
        <f aca="false">ROUND(Y247-AE247,9)</f>
        <v>0.317757009</v>
      </c>
      <c r="AM247" s="2" t="n">
        <f aca="false">ROUND(Z247-AF247,9)</f>
        <v>0.881619938</v>
      </c>
      <c r="AN247" s="2" t="n">
        <f aca="false">ROUND(AA247-AG247,9)</f>
        <v>0.669781931</v>
      </c>
      <c r="AO247" s="2" t="n">
        <f aca="false">ROUND(AB247-AH247,9)</f>
        <v>0.554517134</v>
      </c>
      <c r="AP247" s="2" t="n">
        <f aca="false">ROUND(AC247-AI247,9)</f>
        <v>0.395638629</v>
      </c>
      <c r="AQ247" s="2" t="n">
        <f aca="false">ROUND(AD247-AJ247,9)</f>
        <v>0.180685358</v>
      </c>
    </row>
    <row r="248" customFormat="false" ht="15" hidden="false" customHeight="false" outlineLevel="0" collapsed="false">
      <c r="A248" s="2" t="n">
        <v>247</v>
      </c>
      <c r="B248" s="6" t="n">
        <v>6</v>
      </c>
      <c r="C248" s="6" t="n">
        <v>8</v>
      </c>
      <c r="D248" s="8" t="str">
        <f aca="false">INDEX(Bases!$B$2:$B$53,B248)</f>
        <v>Numel</v>
      </c>
      <c r="E248" s="8" t="str">
        <f aca="false">INDEX(Bases!$B$2:$B$53,C248)</f>
        <v>Corsola</v>
      </c>
      <c r="F248" s="2" t="str">
        <f aca="false">LEFT(D248,ROUNDUP(LEN(D248)/2,0))&amp;LOWER(MID(E248,ROUNDUP(LEN(E248)/2,0)+1,20))</f>
        <v>Numola</v>
      </c>
      <c r="G248" s="8" t="str">
        <f aca="false">INDEX(Bases!$C$2:$C$53,B248)</f>
        <v>Fire</v>
      </c>
      <c r="H248" s="8" t="str">
        <f aca="false">IF(INDEX(Bases!$C$2:$C$53,C248)=G248,"",INDEX(Bases!$C$2:$C$53,C248))</f>
        <v>Water</v>
      </c>
      <c r="I248" s="8" t="str">
        <f aca="false">IF(INDEX(Bases!$E$2:$E$53,B248)="","",INDEX(Bases!$E$2:$E$53,B248))</f>
        <v/>
      </c>
      <c r="J248" s="8" t="str">
        <f aca="false">IF(INDEX(Bases!$E$2:$E$53,C248)="","",INDEX(Bases!$E$2:$E$53,C248))</f>
        <v/>
      </c>
      <c r="K248" s="5"/>
      <c r="L248" s="2" t="n">
        <f aca="false">AE248+IF(SUMPRODUCT(--($AL248:$AQ248&gt;AL248))&lt;$AK248,1,0)</f>
        <v>87</v>
      </c>
      <c r="M248" s="2" t="n">
        <f aca="false">AF248+IF(SUMPRODUCT(--($AL248:$AQ248&gt;AM248))+SUMPRODUCT(--($AL248:AL248=AM248))&lt;$AK248,1,0)</f>
        <v>83</v>
      </c>
      <c r="N248" s="2" t="n">
        <f aca="false">AG248+IF(SUMPRODUCT(--($AL248:$AQ248&gt;AN248))+SUMPRODUCT(--($AL248:AM248=AN248))&lt;$AK248,1,0)</f>
        <v>93</v>
      </c>
      <c r="O248" s="2" t="n">
        <f aca="false">AH248+IF(SUMPRODUCT(--($AL248:$AQ248&gt;AO248))+SUMPRODUCT(--($AL248:AN248=AO248))&lt;$AK248,1,0)</f>
        <v>91</v>
      </c>
      <c r="P248" s="2" t="n">
        <f aca="false">AI248+IF(SUMPRODUCT(--($AL248:$AQ248&gt;AP248))+SUMPRODUCT(--($AL248:AO248=AP248))&lt;$AK248,1,0)</f>
        <v>96</v>
      </c>
      <c r="Q248" s="2" t="n">
        <f aca="false">AJ248+IF(SUMPRODUCT(--($AL248:$AQ248&gt;AQ248))+SUMPRODUCT(--($AL248:AP248=AQ248))&lt;$AK248,1,0)</f>
        <v>50</v>
      </c>
      <c r="R248" s="2" t="n">
        <f aca="false">SUM(L248:Q248)</f>
        <v>500</v>
      </c>
      <c r="S248" s="2" t="n">
        <f aca="false">Settings!$B$4*MAX(INDEX(Bases!$M$2:$M$53,B248),INDEX(Bases!$M$2:$M$53,C248))+Settings!$B$5*MIN(INDEX(Bases!$M$2:$M$53,B248),INDEX(Bases!$M$2:$M$53,C248))</f>
        <v>73.6666666666667</v>
      </c>
      <c r="T248" s="2" t="n">
        <f aca="false">Settings!$B$4*MAX(INDEX(Bases!$N$2:$N$53,B248),INDEX(Bases!$N$2:$N$53,C248))+Settings!$B$5*MIN(INDEX(Bases!$N$2:$N$53,B248),INDEX(Bases!$N$2:$N$53,C248))</f>
        <v>70.6666666666667</v>
      </c>
      <c r="U248" s="2" t="n">
        <f aca="false">Settings!$B$4*MAX(INDEX(Bases!$O$2:$O$53,B248),INDEX(Bases!$O$2:$O$53,C248))+Settings!$B$5*MIN(INDEX(Bases!$O$2:$O$53,B248),INDEX(Bases!$O$2:$O$53,C248))</f>
        <v>79.3333333333333</v>
      </c>
      <c r="V248" s="2" t="n">
        <f aca="false">Settings!$B$4*MAX(INDEX(Bases!$P$2:$P$53,B248),INDEX(Bases!$P$2:$P$53,C248))+Settings!$B$5*MIN(INDEX(Bases!$P$2:$P$53,B248),INDEX(Bases!$P$2:$P$53,C248))</f>
        <v>77.6666666666667</v>
      </c>
      <c r="W248" s="2" t="n">
        <f aca="false">Settings!$B$4*MAX(INDEX(Bases!$Q$2:$Q$53,B248),INDEX(Bases!$Q$2:$Q$53,C248))+Settings!$B$5*MIN(INDEX(Bases!$Q$2:$Q$53,B248),INDEX(Bases!$Q$2:$Q$53,C248))</f>
        <v>81.6666666666667</v>
      </c>
      <c r="X248" s="2" t="n">
        <f aca="false">Settings!$B$4*MAX(INDEX(Bases!$R$2:$R$53,B248),INDEX(Bases!$R$2:$R$53,C248))+Settings!$B$5*MIN(INDEX(Bases!$R$2:$R$53,B248),INDEX(Bases!$R$2:$R$53,C248))</f>
        <v>42</v>
      </c>
      <c r="Y248" s="2" t="n">
        <f aca="false">S248*Settings!$B$3/SUM(S248:X248)</f>
        <v>86.6666666666667</v>
      </c>
      <c r="Z248" s="2" t="n">
        <f aca="false">T248*Settings!$B$3/SUM(S248:X248)</f>
        <v>83.1372549019608</v>
      </c>
      <c r="AA248" s="2" t="n">
        <f aca="false">U248*Settings!$B$3/SUM(S248:X248)</f>
        <v>93.3333333333333</v>
      </c>
      <c r="AB248" s="2" t="n">
        <f aca="false">V248*Settings!$B$3/SUM(S248:X248)</f>
        <v>91.3725490196079</v>
      </c>
      <c r="AC248" s="2" t="n">
        <f aca="false">W248*Settings!$B$3/SUM(S248:X248)</f>
        <v>96.078431372549</v>
      </c>
      <c r="AD248" s="2" t="n">
        <f aca="false">X248*Settings!$B$3/SUM(S248:X248)</f>
        <v>49.4117647058824</v>
      </c>
      <c r="AE248" s="2" t="n">
        <f aca="false">INT(Y248)</f>
        <v>86</v>
      </c>
      <c r="AF248" s="2" t="n">
        <f aca="false">INT(Z248)</f>
        <v>83</v>
      </c>
      <c r="AG248" s="2" t="n">
        <f aca="false">INT(AA248)</f>
        <v>93</v>
      </c>
      <c r="AH248" s="2" t="n">
        <f aca="false">INT(AB248)</f>
        <v>91</v>
      </c>
      <c r="AI248" s="2" t="n">
        <f aca="false">INT(AC248)</f>
        <v>96</v>
      </c>
      <c r="AJ248" s="2" t="n">
        <f aca="false">INT(AD248)</f>
        <v>49</v>
      </c>
      <c r="AK248" s="2" t="n">
        <f aca="false">Settings!$B$3-SUM(AE248:AJ248)</f>
        <v>2</v>
      </c>
      <c r="AL248" s="2" t="n">
        <f aca="false">ROUND(Y248-AE248,9)</f>
        <v>0.666666667</v>
      </c>
      <c r="AM248" s="2" t="n">
        <f aca="false">ROUND(Z248-AF248,9)</f>
        <v>0.137254902</v>
      </c>
      <c r="AN248" s="2" t="n">
        <f aca="false">ROUND(AA248-AG248,9)</f>
        <v>0.333333333</v>
      </c>
      <c r="AO248" s="2" t="n">
        <f aca="false">ROUND(AB248-AH248,9)</f>
        <v>0.37254902</v>
      </c>
      <c r="AP248" s="2" t="n">
        <f aca="false">ROUND(AC248-AI248,9)</f>
        <v>0.078431373</v>
      </c>
      <c r="AQ248" s="2" t="n">
        <f aca="false">ROUND(AD248-AJ248,9)</f>
        <v>0.411764706</v>
      </c>
    </row>
    <row r="249" customFormat="false" ht="15" hidden="false" customHeight="false" outlineLevel="0" collapsed="false">
      <c r="A249" s="2" t="n">
        <v>248</v>
      </c>
      <c r="B249" s="6" t="n">
        <v>6</v>
      </c>
      <c r="C249" s="6" t="n">
        <v>9</v>
      </c>
      <c r="D249" s="8" t="str">
        <f aca="false">INDEX(Bases!$B$2:$B$53,B249)</f>
        <v>Numel</v>
      </c>
      <c r="E249" s="8" t="str">
        <f aca="false">INDEX(Bases!$B$2:$B$53,C249)</f>
        <v>Mudkip</v>
      </c>
      <c r="F249" s="2" t="str">
        <f aca="false">LEFT(D249,ROUNDUP(LEN(D249)/2,0))&amp;LOWER(MID(E249,ROUNDUP(LEN(E249)/2,0)+1,20))</f>
        <v>Numkip</v>
      </c>
      <c r="G249" s="8" t="str">
        <f aca="false">INDEX(Bases!$C$2:$C$53,B249)</f>
        <v>Fire</v>
      </c>
      <c r="H249" s="8" t="str">
        <f aca="false">IF(INDEX(Bases!$C$2:$C$53,C249)=G249,"",INDEX(Bases!$C$2:$C$53,C249))</f>
        <v>Water</v>
      </c>
      <c r="I249" s="8" t="str">
        <f aca="false">IF(INDEX(Bases!$E$2:$E$53,B249)="","",INDEX(Bases!$E$2:$E$53,B249))</f>
        <v/>
      </c>
      <c r="J249" s="8" t="str">
        <f aca="false">IF(INDEX(Bases!$E$2:$E$53,C249)="","",INDEX(Bases!$E$2:$E$53,C249))</f>
        <v/>
      </c>
      <c r="K249" s="5"/>
      <c r="L249" s="2" t="n">
        <f aca="false">AE249+IF(SUMPRODUCT(--($AL249:$AQ249&gt;AL249))&lt;$AK249,1,0)</f>
        <v>90</v>
      </c>
      <c r="M249" s="2" t="n">
        <f aca="false">AF249+IF(SUMPRODUCT(--($AL249:$AQ249&gt;AM249))+SUMPRODUCT(--($AL249:AL249=AM249))&lt;$AK249,1,0)</f>
        <v>105</v>
      </c>
      <c r="N249" s="2" t="n">
        <f aca="false">AG249+IF(SUMPRODUCT(--($AL249:$AQ249&gt;AN249))+SUMPRODUCT(--($AL249:AM249=AN249))&lt;$AK249,1,0)</f>
        <v>73</v>
      </c>
      <c r="O249" s="2" t="n">
        <f aca="false">AH249+IF(SUMPRODUCT(--($AL249:$AQ249&gt;AO249))+SUMPRODUCT(--($AL249:AN249=AO249))&lt;$AK249,1,0)</f>
        <v>95</v>
      </c>
      <c r="P249" s="2" t="n">
        <f aca="false">AI249+IF(SUMPRODUCT(--($AL249:$AQ249&gt;AP249))+SUMPRODUCT(--($AL249:AO249=AP249))&lt;$AK249,1,0)</f>
        <v>76</v>
      </c>
      <c r="Q249" s="2" t="n">
        <f aca="false">AJ249+IF(SUMPRODUCT(--($AL249:$AQ249&gt;AQ249))+SUMPRODUCT(--($AL249:AP249=AQ249))&lt;$AK249,1,0)</f>
        <v>61</v>
      </c>
      <c r="R249" s="2" t="n">
        <f aca="false">SUM(L249:Q249)</f>
        <v>500</v>
      </c>
      <c r="S249" s="2" t="n">
        <f aca="false">Settings!$B$4*MAX(INDEX(Bases!$M$2:$M$53,B249),INDEX(Bases!$M$2:$M$53,C249))+Settings!$B$5*MIN(INDEX(Bases!$M$2:$M$53,B249),INDEX(Bases!$M$2:$M$53,C249))</f>
        <v>74.3333333333333</v>
      </c>
      <c r="T249" s="2" t="n">
        <f aca="false">Settings!$B$4*MAX(INDEX(Bases!$N$2:$N$53,B249),INDEX(Bases!$N$2:$N$53,C249))+Settings!$B$5*MIN(INDEX(Bases!$N$2:$N$53,B249),INDEX(Bases!$N$2:$N$53,C249))</f>
        <v>86.3333333333333</v>
      </c>
      <c r="U249" s="2" t="n">
        <f aca="false">Settings!$B$4*MAX(INDEX(Bases!$O$2:$O$53,B249),INDEX(Bases!$O$2:$O$53,C249))+Settings!$B$5*MIN(INDEX(Bases!$O$2:$O$53,B249),INDEX(Bases!$O$2:$O$53,C249))</f>
        <v>60.6666666666667</v>
      </c>
      <c r="V249" s="2" t="n">
        <f aca="false">Settings!$B$4*MAX(INDEX(Bases!$P$2:$P$53,B249),INDEX(Bases!$P$2:$P$53,C249))+Settings!$B$5*MIN(INDEX(Bases!$P$2:$P$53,B249),INDEX(Bases!$P$2:$P$53,C249))</f>
        <v>78</v>
      </c>
      <c r="W249" s="2" t="n">
        <f aca="false">Settings!$B$4*MAX(INDEX(Bases!$Q$2:$Q$53,B249),INDEX(Bases!$Q$2:$Q$53,C249))+Settings!$B$5*MIN(INDEX(Bases!$Q$2:$Q$53,B249),INDEX(Bases!$Q$2:$Q$53,C249))</f>
        <v>62.3333333333333</v>
      </c>
      <c r="X249" s="2" t="n">
        <f aca="false">Settings!$B$4*MAX(INDEX(Bases!$R$2:$R$53,B249),INDEX(Bases!$R$2:$R$53,C249))+Settings!$B$5*MIN(INDEX(Bases!$R$2:$R$53,B249),INDEX(Bases!$R$2:$R$53,C249))</f>
        <v>50</v>
      </c>
      <c r="Y249" s="2" t="n">
        <f aca="false">S249*Settings!$B$3/SUM(S249:X249)</f>
        <v>90.2834008097166</v>
      </c>
      <c r="Z249" s="2" t="n">
        <f aca="false">T249*Settings!$B$3/SUM(S249:X249)</f>
        <v>104.858299595142</v>
      </c>
      <c r="AA249" s="2" t="n">
        <f aca="false">U249*Settings!$B$3/SUM(S249:X249)</f>
        <v>73.6842105263158</v>
      </c>
      <c r="AB249" s="2" t="n">
        <f aca="false">V249*Settings!$B$3/SUM(S249:X249)</f>
        <v>94.7368421052632</v>
      </c>
      <c r="AC249" s="2" t="n">
        <f aca="false">W249*Settings!$B$3/SUM(S249:X249)</f>
        <v>75.7085020242915</v>
      </c>
      <c r="AD249" s="2" t="n">
        <f aca="false">X249*Settings!$B$3/SUM(S249:X249)</f>
        <v>60.7287449392713</v>
      </c>
      <c r="AE249" s="2" t="n">
        <f aca="false">INT(Y249)</f>
        <v>90</v>
      </c>
      <c r="AF249" s="2" t="n">
        <f aca="false">INT(Z249)</f>
        <v>104</v>
      </c>
      <c r="AG249" s="2" t="n">
        <f aca="false">INT(AA249)</f>
        <v>73</v>
      </c>
      <c r="AH249" s="2" t="n">
        <f aca="false">INT(AB249)</f>
        <v>94</v>
      </c>
      <c r="AI249" s="2" t="n">
        <f aca="false">INT(AC249)</f>
        <v>75</v>
      </c>
      <c r="AJ249" s="2" t="n">
        <f aca="false">INT(AD249)</f>
        <v>60</v>
      </c>
      <c r="AK249" s="2" t="n">
        <f aca="false">Settings!$B$3-SUM(AE249:AJ249)</f>
        <v>4</v>
      </c>
      <c r="AL249" s="2" t="n">
        <f aca="false">ROUND(Y249-AE249,9)</f>
        <v>0.28340081</v>
      </c>
      <c r="AM249" s="2" t="n">
        <f aca="false">ROUND(Z249-AF249,9)</f>
        <v>0.858299595</v>
      </c>
      <c r="AN249" s="2" t="n">
        <f aca="false">ROUND(AA249-AG249,9)</f>
        <v>0.684210526</v>
      </c>
      <c r="AO249" s="2" t="n">
        <f aca="false">ROUND(AB249-AH249,9)</f>
        <v>0.736842105</v>
      </c>
      <c r="AP249" s="2" t="n">
        <f aca="false">ROUND(AC249-AI249,9)</f>
        <v>0.708502024</v>
      </c>
      <c r="AQ249" s="2" t="n">
        <f aca="false">ROUND(AD249-AJ249,9)</f>
        <v>0.728744939</v>
      </c>
    </row>
    <row r="250" customFormat="false" ht="15" hidden="false" customHeight="false" outlineLevel="0" collapsed="false">
      <c r="A250" s="2" t="n">
        <v>249</v>
      </c>
      <c r="B250" s="6" t="n">
        <v>6</v>
      </c>
      <c r="C250" s="6" t="n">
        <v>10</v>
      </c>
      <c r="D250" s="8" t="str">
        <f aca="false">INDEX(Bases!$B$2:$B$53,B250)</f>
        <v>Numel</v>
      </c>
      <c r="E250" s="8" t="str">
        <f aca="false">INDEX(Bases!$B$2:$B$53,C250)</f>
        <v>Pichu</v>
      </c>
      <c r="F250" s="2" t="str">
        <f aca="false">LEFT(D250,ROUNDUP(LEN(D250)/2,0))&amp;LOWER(MID(E250,ROUNDUP(LEN(E250)/2,0)+1,20))</f>
        <v>Numhu</v>
      </c>
      <c r="G250" s="8" t="str">
        <f aca="false">INDEX(Bases!$C$2:$C$53,B250)</f>
        <v>Fire</v>
      </c>
      <c r="H250" s="8" t="str">
        <f aca="false">IF(INDEX(Bases!$C$2:$C$53,C250)=G250,"",INDEX(Bases!$C$2:$C$53,C250))</f>
        <v>Electric</v>
      </c>
      <c r="I250" s="8" t="str">
        <f aca="false">IF(INDEX(Bases!$E$2:$E$53,B250)="","",INDEX(Bases!$E$2:$E$53,B250))</f>
        <v/>
      </c>
      <c r="J250" s="8" t="str">
        <f aca="false">IF(INDEX(Bases!$E$2:$E$53,C250)="","",INDEX(Bases!$E$2:$E$53,C250))</f>
        <v/>
      </c>
      <c r="K250" s="5"/>
      <c r="L250" s="2" t="n">
        <f aca="false">AE250+IF(SUMPRODUCT(--($AL250:$AQ250&gt;AL250))&lt;$AK250,1,0)</f>
        <v>77</v>
      </c>
      <c r="M250" s="2" t="n">
        <f aca="false">AF250+IF(SUMPRODUCT(--($AL250:$AQ250&gt;AM250))+SUMPRODUCT(--($AL250:AL250=AM250))&lt;$AK250,1,0)</f>
        <v>92</v>
      </c>
      <c r="N250" s="2" t="n">
        <f aca="false">AG250+IF(SUMPRODUCT(--($AL250:$AQ250&gt;AN250))+SUMPRODUCT(--($AL250:AM250=AN250))&lt;$AK250,1,0)</f>
        <v>52</v>
      </c>
      <c r="O250" s="2" t="n">
        <f aca="false">AH250+IF(SUMPRODUCT(--($AL250:$AQ250&gt;AO250))+SUMPRODUCT(--($AL250:AN250=AO250))&lt;$AK250,1,0)</f>
        <v>93</v>
      </c>
      <c r="P250" s="2" t="n">
        <f aca="false">AI250+IF(SUMPRODUCT(--($AL250:$AQ250&gt;AP250))+SUMPRODUCT(--($AL250:AO250=AP250))&lt;$AK250,1,0)</f>
        <v>76</v>
      </c>
      <c r="Q250" s="2" t="n">
        <f aca="false">AJ250+IF(SUMPRODUCT(--($AL250:$AQ250&gt;AQ250))+SUMPRODUCT(--($AL250:AP250=AQ250))&lt;$AK250,1,0)</f>
        <v>110</v>
      </c>
      <c r="R250" s="2" t="n">
        <f aca="false">SUM(L250:Q250)</f>
        <v>500</v>
      </c>
      <c r="S250" s="2" t="n">
        <f aca="false">Settings!$B$4*MAX(INDEX(Bases!$M$2:$M$53,B250),INDEX(Bases!$M$2:$M$53,C250))+Settings!$B$5*MIN(INDEX(Bases!$M$2:$M$53,B250),INDEX(Bases!$M$2:$M$53,C250))</f>
        <v>65.6666666666667</v>
      </c>
      <c r="T250" s="2" t="n">
        <f aca="false">Settings!$B$4*MAX(INDEX(Bases!$N$2:$N$53,B250),INDEX(Bases!$N$2:$N$53,C250))+Settings!$B$5*MIN(INDEX(Bases!$N$2:$N$53,B250),INDEX(Bases!$N$2:$N$53,C250))</f>
        <v>78.6666666666667</v>
      </c>
      <c r="U250" s="2" t="n">
        <f aca="false">Settings!$B$4*MAX(INDEX(Bases!$O$2:$O$53,B250),INDEX(Bases!$O$2:$O$53,C250))+Settings!$B$5*MIN(INDEX(Bases!$O$2:$O$53,B250),INDEX(Bases!$O$2:$O$53,C250))</f>
        <v>44.3333333333333</v>
      </c>
      <c r="V250" s="2" t="n">
        <f aca="false">Settings!$B$4*MAX(INDEX(Bases!$P$2:$P$53,B250),INDEX(Bases!$P$2:$P$53,C250))+Settings!$B$5*MIN(INDEX(Bases!$P$2:$P$53,B250),INDEX(Bases!$P$2:$P$53,C250))</f>
        <v>79.6666666666667</v>
      </c>
      <c r="W250" s="2" t="n">
        <f aca="false">Settings!$B$4*MAX(INDEX(Bases!$Q$2:$Q$53,B250),INDEX(Bases!$Q$2:$Q$53,C250))+Settings!$B$5*MIN(INDEX(Bases!$Q$2:$Q$53,B250),INDEX(Bases!$Q$2:$Q$53,C250))</f>
        <v>65</v>
      </c>
      <c r="X250" s="2" t="n">
        <f aca="false">Settings!$B$4*MAX(INDEX(Bases!$R$2:$R$53,B250),INDEX(Bases!$R$2:$R$53,C250))+Settings!$B$5*MIN(INDEX(Bases!$R$2:$R$53,B250),INDEX(Bases!$R$2:$R$53,C250))</f>
        <v>93.3333333333333</v>
      </c>
      <c r="Y250" s="2" t="n">
        <f aca="false">S250*Settings!$B$3/SUM(S250:X250)</f>
        <v>76.953125</v>
      </c>
      <c r="Z250" s="2" t="n">
        <f aca="false">T250*Settings!$B$3/SUM(S250:X250)</f>
        <v>92.1875</v>
      </c>
      <c r="AA250" s="2" t="n">
        <f aca="false">U250*Settings!$B$3/SUM(S250:X250)</f>
        <v>51.953125</v>
      </c>
      <c r="AB250" s="2" t="n">
        <f aca="false">V250*Settings!$B$3/SUM(S250:X250)</f>
        <v>93.359375</v>
      </c>
      <c r="AC250" s="2" t="n">
        <f aca="false">W250*Settings!$B$3/SUM(S250:X250)</f>
        <v>76.171875</v>
      </c>
      <c r="AD250" s="2" t="n">
        <f aca="false">X250*Settings!$B$3/SUM(S250:X250)</f>
        <v>109.375</v>
      </c>
      <c r="AE250" s="2" t="n">
        <f aca="false">INT(Y250)</f>
        <v>76</v>
      </c>
      <c r="AF250" s="2" t="n">
        <f aca="false">INT(Z250)</f>
        <v>92</v>
      </c>
      <c r="AG250" s="2" t="n">
        <f aca="false">INT(AA250)</f>
        <v>51</v>
      </c>
      <c r="AH250" s="2" t="n">
        <f aca="false">INT(AB250)</f>
        <v>93</v>
      </c>
      <c r="AI250" s="2" t="n">
        <f aca="false">INT(AC250)</f>
        <v>76</v>
      </c>
      <c r="AJ250" s="2" t="n">
        <f aca="false">INT(AD250)</f>
        <v>109</v>
      </c>
      <c r="AK250" s="2" t="n">
        <f aca="false">Settings!$B$3-SUM(AE250:AJ250)</f>
        <v>3</v>
      </c>
      <c r="AL250" s="2" t="n">
        <f aca="false">ROUND(Y250-AE250,9)</f>
        <v>0.953125</v>
      </c>
      <c r="AM250" s="2" t="n">
        <f aca="false">ROUND(Z250-AF250,9)</f>
        <v>0.1875</v>
      </c>
      <c r="AN250" s="2" t="n">
        <f aca="false">ROUND(AA250-AG250,9)</f>
        <v>0.953125</v>
      </c>
      <c r="AO250" s="2" t="n">
        <f aca="false">ROUND(AB250-AH250,9)</f>
        <v>0.359375</v>
      </c>
      <c r="AP250" s="2" t="n">
        <f aca="false">ROUND(AC250-AI250,9)</f>
        <v>0.171875</v>
      </c>
      <c r="AQ250" s="2" t="n">
        <f aca="false">ROUND(AD250-AJ250,9)</f>
        <v>0.375</v>
      </c>
    </row>
    <row r="251" customFormat="false" ht="15" hidden="false" customHeight="false" outlineLevel="0" collapsed="false">
      <c r="A251" s="2" t="n">
        <v>250</v>
      </c>
      <c r="B251" s="6" t="n">
        <v>6</v>
      </c>
      <c r="C251" s="6" t="n">
        <v>11</v>
      </c>
      <c r="D251" s="8" t="str">
        <f aca="false">INDEX(Bases!$B$2:$B$53,B251)</f>
        <v>Numel</v>
      </c>
      <c r="E251" s="8" t="str">
        <f aca="false">INDEX(Bases!$B$2:$B$53,C251)</f>
        <v>Voltorb</v>
      </c>
      <c r="F251" s="2" t="str">
        <f aca="false">LEFT(D251,ROUNDUP(LEN(D251)/2,0))&amp;LOWER(MID(E251,ROUNDUP(LEN(E251)/2,0)+1,20))</f>
        <v>Numorb</v>
      </c>
      <c r="G251" s="8" t="str">
        <f aca="false">INDEX(Bases!$C$2:$C$53,B251)</f>
        <v>Fire</v>
      </c>
      <c r="H251" s="8" t="str">
        <f aca="false">IF(INDEX(Bases!$C$2:$C$53,C251)=G251,"",INDEX(Bases!$C$2:$C$53,C251))</f>
        <v>Electric</v>
      </c>
      <c r="I251" s="8" t="str">
        <f aca="false">IF(INDEX(Bases!$E$2:$E$53,B251)="","",INDEX(Bases!$E$2:$E$53,B251))</f>
        <v/>
      </c>
      <c r="J251" s="8" t="str">
        <f aca="false">IF(INDEX(Bases!$E$2:$E$53,C251)="","",INDEX(Bases!$E$2:$E$53,C251))</f>
        <v/>
      </c>
      <c r="K251" s="5"/>
      <c r="L251" s="2" t="n">
        <f aca="false">AE251+IF(SUMPRODUCT(--($AL251:$AQ251&gt;AL251))&lt;$AK251,1,0)</f>
        <v>80</v>
      </c>
      <c r="M251" s="2" t="n">
        <f aca="false">AF251+IF(SUMPRODUCT(--($AL251:$AQ251&gt;AM251))+SUMPRODUCT(--($AL251:AL251=AM251))&lt;$AK251,1,0)</f>
        <v>75</v>
      </c>
      <c r="N251" s="2" t="n">
        <f aca="false">AG251+IF(SUMPRODUCT(--($AL251:$AQ251&gt;AN251))+SUMPRODUCT(--($AL251:AM251=AN251))&lt;$AK251,1,0)</f>
        <v>67</v>
      </c>
      <c r="O251" s="2" t="n">
        <f aca="false">AH251+IF(SUMPRODUCT(--($AL251:$AQ251&gt;AO251))+SUMPRODUCT(--($AL251:AN251=AO251))&lt;$AK251,1,0)</f>
        <v>92</v>
      </c>
      <c r="P251" s="2" t="n">
        <f aca="false">AI251+IF(SUMPRODUCT(--($AL251:$AQ251&gt;AP251))+SUMPRODUCT(--($AL251:AO251=AP251))&lt;$AK251,1,0)</f>
        <v>75</v>
      </c>
      <c r="Q251" s="2" t="n">
        <f aca="false">AJ251+IF(SUMPRODUCT(--($AL251:$AQ251&gt;AQ251))+SUMPRODUCT(--($AL251:AP251=AQ251))&lt;$AK251,1,0)</f>
        <v>111</v>
      </c>
      <c r="R251" s="2" t="n">
        <f aca="false">SUM(L251:Q251)</f>
        <v>500</v>
      </c>
      <c r="S251" s="2" t="n">
        <f aca="false">Settings!$B$4*MAX(INDEX(Bases!$M$2:$M$53,B251),INDEX(Bases!$M$2:$M$53,C251))+Settings!$B$5*MIN(INDEX(Bases!$M$2:$M$53,B251),INDEX(Bases!$M$2:$M$53,C251))</f>
        <v>68.6666666666667</v>
      </c>
      <c r="T251" s="2" t="n">
        <f aca="false">Settings!$B$4*MAX(INDEX(Bases!$N$2:$N$53,B251),INDEX(Bases!$N$2:$N$53,C251))+Settings!$B$5*MIN(INDEX(Bases!$N$2:$N$53,B251),INDEX(Bases!$N$2:$N$53,C251))</f>
        <v>64.6666666666667</v>
      </c>
      <c r="U251" s="2" t="n">
        <f aca="false">Settings!$B$4*MAX(INDEX(Bases!$O$2:$O$53,B251),INDEX(Bases!$O$2:$O$53,C251))+Settings!$B$5*MIN(INDEX(Bases!$O$2:$O$53,B251),INDEX(Bases!$O$2:$O$53,C251))</f>
        <v>58</v>
      </c>
      <c r="V251" s="2" t="n">
        <f aca="false">Settings!$B$4*MAX(INDEX(Bases!$P$2:$P$53,B251),INDEX(Bases!$P$2:$P$53,C251))+Settings!$B$5*MIN(INDEX(Bases!$P$2:$P$53,B251),INDEX(Bases!$P$2:$P$53,C251))</f>
        <v>79</v>
      </c>
      <c r="W251" s="2" t="n">
        <f aca="false">Settings!$B$4*MAX(INDEX(Bases!$Q$2:$Q$53,B251),INDEX(Bases!$Q$2:$Q$53,C251))+Settings!$B$5*MIN(INDEX(Bases!$Q$2:$Q$53,B251),INDEX(Bases!$Q$2:$Q$53,C251))</f>
        <v>64.3333333333333</v>
      </c>
      <c r="X251" s="2" t="n">
        <f aca="false">Settings!$B$4*MAX(INDEX(Bases!$R$2:$R$53,B251),INDEX(Bases!$R$2:$R$53,C251))+Settings!$B$5*MIN(INDEX(Bases!$R$2:$R$53,B251),INDEX(Bases!$R$2:$R$53,C251))</f>
        <v>96</v>
      </c>
      <c r="Y251" s="2" t="n">
        <f aca="false">S251*Settings!$B$3/SUM(S251:X251)</f>
        <v>79.7213622291022</v>
      </c>
      <c r="Z251" s="2" t="n">
        <f aca="false">T251*Settings!$B$3/SUM(S251:X251)</f>
        <v>75.077399380805</v>
      </c>
      <c r="AA251" s="2" t="n">
        <f aca="false">U251*Settings!$B$3/SUM(S251:X251)</f>
        <v>67.3374613003096</v>
      </c>
      <c r="AB251" s="2" t="n">
        <f aca="false">V251*Settings!$B$3/SUM(S251:X251)</f>
        <v>91.71826625387</v>
      </c>
      <c r="AC251" s="2" t="n">
        <f aca="false">W251*Settings!$B$3/SUM(S251:X251)</f>
        <v>74.6904024767802</v>
      </c>
      <c r="AD251" s="2" t="n">
        <f aca="false">X251*Settings!$B$3/SUM(S251:X251)</f>
        <v>111.455108359133</v>
      </c>
      <c r="AE251" s="2" t="n">
        <f aca="false">INT(Y251)</f>
        <v>79</v>
      </c>
      <c r="AF251" s="2" t="n">
        <f aca="false">INT(Z251)</f>
        <v>75</v>
      </c>
      <c r="AG251" s="2" t="n">
        <f aca="false">INT(AA251)</f>
        <v>67</v>
      </c>
      <c r="AH251" s="2" t="n">
        <f aca="false">INT(AB251)</f>
        <v>91</v>
      </c>
      <c r="AI251" s="2" t="n">
        <f aca="false">INT(AC251)</f>
        <v>74</v>
      </c>
      <c r="AJ251" s="2" t="n">
        <f aca="false">INT(AD251)</f>
        <v>111</v>
      </c>
      <c r="AK251" s="2" t="n">
        <f aca="false">Settings!$B$3-SUM(AE251:AJ251)</f>
        <v>3</v>
      </c>
      <c r="AL251" s="2" t="n">
        <f aca="false">ROUND(Y251-AE251,9)</f>
        <v>0.721362229</v>
      </c>
      <c r="AM251" s="2" t="n">
        <f aca="false">ROUND(Z251-AF251,9)</f>
        <v>0.077399381</v>
      </c>
      <c r="AN251" s="2" t="n">
        <f aca="false">ROUND(AA251-AG251,9)</f>
        <v>0.3374613</v>
      </c>
      <c r="AO251" s="2" t="n">
        <f aca="false">ROUND(AB251-AH251,9)</f>
        <v>0.718266254</v>
      </c>
      <c r="AP251" s="2" t="n">
        <f aca="false">ROUND(AC251-AI251,9)</f>
        <v>0.690402477</v>
      </c>
      <c r="AQ251" s="2" t="n">
        <f aca="false">ROUND(AD251-AJ251,9)</f>
        <v>0.455108359</v>
      </c>
    </row>
    <row r="252" customFormat="false" ht="15" hidden="false" customHeight="false" outlineLevel="0" collapsed="false">
      <c r="A252" s="2" t="n">
        <v>251</v>
      </c>
      <c r="B252" s="6" t="n">
        <v>6</v>
      </c>
      <c r="C252" s="6" t="n">
        <v>12</v>
      </c>
      <c r="D252" s="8" t="str">
        <f aca="false">INDEX(Bases!$B$2:$B$53,B252)</f>
        <v>Numel</v>
      </c>
      <c r="E252" s="8" t="str">
        <f aca="false">INDEX(Bases!$B$2:$B$53,C252)</f>
        <v>Mareep</v>
      </c>
      <c r="F252" s="2" t="str">
        <f aca="false">LEFT(D252,ROUNDUP(LEN(D252)/2,0))&amp;LOWER(MID(E252,ROUNDUP(LEN(E252)/2,0)+1,20))</f>
        <v>Numeep</v>
      </c>
      <c r="G252" s="8" t="str">
        <f aca="false">INDEX(Bases!$C$2:$C$53,B252)</f>
        <v>Fire</v>
      </c>
      <c r="H252" s="8" t="str">
        <f aca="false">IF(INDEX(Bases!$C$2:$C$53,C252)=G252,"",INDEX(Bases!$C$2:$C$53,C252))</f>
        <v>Electric</v>
      </c>
      <c r="I252" s="8" t="str">
        <f aca="false">IF(INDEX(Bases!$E$2:$E$53,B252)="","",INDEX(Bases!$E$2:$E$53,B252))</f>
        <v/>
      </c>
      <c r="J252" s="8" t="str">
        <f aca="false">IF(INDEX(Bases!$E$2:$E$53,C252)="","",INDEX(Bases!$E$2:$E$53,C252))</f>
        <v/>
      </c>
      <c r="K252" s="5"/>
      <c r="L252" s="2" t="n">
        <f aca="false">AE252+IF(SUMPRODUCT(--($AL252:$AQ252&gt;AL252))&lt;$AK252,1,0)</f>
        <v>97</v>
      </c>
      <c r="M252" s="2" t="n">
        <f aca="false">AF252+IF(SUMPRODUCT(--($AL252:$AQ252&gt;AM252))+SUMPRODUCT(--($AL252:AL252=AM252))&lt;$AK252,1,0)</f>
        <v>88</v>
      </c>
      <c r="N252" s="2" t="n">
        <f aca="false">AG252+IF(SUMPRODUCT(--($AL252:$AQ252&gt;AN252))+SUMPRODUCT(--($AL252:AM252=AN252))&lt;$AK252,1,0)</f>
        <v>68</v>
      </c>
      <c r="O252" s="2" t="n">
        <f aca="false">AH252+IF(SUMPRODUCT(--($AL252:$AQ252&gt;AO252))+SUMPRODUCT(--($AL252:AN252=AO252))&lt;$AK252,1,0)</f>
        <v>111</v>
      </c>
      <c r="P252" s="2" t="n">
        <f aca="false">AI252+IF(SUMPRODUCT(--($AL252:$AQ252&gt;AP252))+SUMPRODUCT(--($AL252:AO252=AP252))&lt;$AK252,1,0)</f>
        <v>76</v>
      </c>
      <c r="Q252" s="2" t="n">
        <f aca="false">AJ252+IF(SUMPRODUCT(--($AL252:$AQ252&gt;AQ252))+SUMPRODUCT(--($AL252:AP252=AQ252))&lt;$AK252,1,0)</f>
        <v>60</v>
      </c>
      <c r="R252" s="2" t="n">
        <f aca="false">SUM(L252:Q252)</f>
        <v>500</v>
      </c>
      <c r="S252" s="2" t="n">
        <f aca="false">Settings!$B$4*MAX(INDEX(Bases!$M$2:$M$53,B252),INDEX(Bases!$M$2:$M$53,C252))+Settings!$B$5*MIN(INDEX(Bases!$M$2:$M$53,B252),INDEX(Bases!$M$2:$M$53,C252))</f>
        <v>79</v>
      </c>
      <c r="T252" s="2" t="n">
        <f aca="false">Settings!$B$4*MAX(INDEX(Bases!$N$2:$N$53,B252),INDEX(Bases!$N$2:$N$53,C252))+Settings!$B$5*MIN(INDEX(Bases!$N$2:$N$53,B252),INDEX(Bases!$N$2:$N$53,C252))</f>
        <v>71.6666666666667</v>
      </c>
      <c r="U252" s="2" t="n">
        <f aca="false">Settings!$B$4*MAX(INDEX(Bases!$O$2:$O$53,B252),INDEX(Bases!$O$2:$O$53,C252))+Settings!$B$5*MIN(INDEX(Bases!$O$2:$O$53,B252),INDEX(Bases!$O$2:$O$53,C252))</f>
        <v>55.3333333333333</v>
      </c>
      <c r="V252" s="2" t="n">
        <f aca="false">Settings!$B$4*MAX(INDEX(Bases!$P$2:$P$53,B252),INDEX(Bases!$P$2:$P$53,C252))+Settings!$B$5*MIN(INDEX(Bases!$P$2:$P$53,B252),INDEX(Bases!$P$2:$P$53,C252))</f>
        <v>90.3333333333333</v>
      </c>
      <c r="W252" s="2" t="n">
        <f aca="false">Settings!$B$4*MAX(INDEX(Bases!$Q$2:$Q$53,B252),INDEX(Bases!$Q$2:$Q$53,C252))+Settings!$B$5*MIN(INDEX(Bases!$Q$2:$Q$53,B252),INDEX(Bases!$Q$2:$Q$53,C252))</f>
        <v>62.3333333333333</v>
      </c>
      <c r="X252" s="2" t="n">
        <f aca="false">Settings!$B$4*MAX(INDEX(Bases!$R$2:$R$53,B252),INDEX(Bases!$R$2:$R$53,C252))+Settings!$B$5*MIN(INDEX(Bases!$R$2:$R$53,B252),INDEX(Bases!$R$2:$R$53,C252))</f>
        <v>48.6666666666667</v>
      </c>
      <c r="Y252" s="2" t="n">
        <f aca="false">S252*Settings!$B$3/SUM(S252:X252)</f>
        <v>96.9721767594108</v>
      </c>
      <c r="Z252" s="2" t="n">
        <f aca="false">T252*Settings!$B$3/SUM(S252:X252)</f>
        <v>87.9705400981997</v>
      </c>
      <c r="AA252" s="2" t="n">
        <f aca="false">U252*Settings!$B$3/SUM(S252:X252)</f>
        <v>67.9214402618658</v>
      </c>
      <c r="AB252" s="2" t="n">
        <f aca="false">V252*Settings!$B$3/SUM(S252:X252)</f>
        <v>110.88379705401</v>
      </c>
      <c r="AC252" s="2" t="n">
        <f aca="false">W252*Settings!$B$3/SUM(S252:X252)</f>
        <v>76.5139116202946</v>
      </c>
      <c r="AD252" s="2" t="n">
        <f aca="false">X252*Settings!$B$3/SUM(S252:X252)</f>
        <v>59.7381342062193</v>
      </c>
      <c r="AE252" s="2" t="n">
        <f aca="false">INT(Y252)</f>
        <v>96</v>
      </c>
      <c r="AF252" s="2" t="n">
        <f aca="false">INT(Z252)</f>
        <v>87</v>
      </c>
      <c r="AG252" s="2" t="n">
        <f aca="false">INT(AA252)</f>
        <v>67</v>
      </c>
      <c r="AH252" s="2" t="n">
        <f aca="false">INT(AB252)</f>
        <v>110</v>
      </c>
      <c r="AI252" s="2" t="n">
        <f aca="false">INT(AC252)</f>
        <v>76</v>
      </c>
      <c r="AJ252" s="2" t="n">
        <f aca="false">INT(AD252)</f>
        <v>59</v>
      </c>
      <c r="AK252" s="2" t="n">
        <f aca="false">Settings!$B$3-SUM(AE252:AJ252)</f>
        <v>5</v>
      </c>
      <c r="AL252" s="2" t="n">
        <f aca="false">ROUND(Y252-AE252,9)</f>
        <v>0.972176759</v>
      </c>
      <c r="AM252" s="2" t="n">
        <f aca="false">ROUND(Z252-AF252,9)</f>
        <v>0.970540098</v>
      </c>
      <c r="AN252" s="2" t="n">
        <f aca="false">ROUND(AA252-AG252,9)</f>
        <v>0.921440262</v>
      </c>
      <c r="AO252" s="2" t="n">
        <f aca="false">ROUND(AB252-AH252,9)</f>
        <v>0.883797054</v>
      </c>
      <c r="AP252" s="2" t="n">
        <f aca="false">ROUND(AC252-AI252,9)</f>
        <v>0.51391162</v>
      </c>
      <c r="AQ252" s="2" t="n">
        <f aca="false">ROUND(AD252-AJ252,9)</f>
        <v>0.738134206</v>
      </c>
    </row>
    <row r="253" customFormat="false" ht="15" hidden="false" customHeight="false" outlineLevel="0" collapsed="false">
      <c r="A253" s="2" t="n">
        <v>252</v>
      </c>
      <c r="B253" s="6" t="n">
        <v>6</v>
      </c>
      <c r="C253" s="6" t="n">
        <v>13</v>
      </c>
      <c r="D253" s="8" t="str">
        <f aca="false">INDEX(Bases!$B$2:$B$53,B253)</f>
        <v>Numel</v>
      </c>
      <c r="E253" s="8" t="str">
        <f aca="false">INDEX(Bases!$B$2:$B$53,C253)</f>
        <v>Bulbasaur</v>
      </c>
      <c r="F253" s="2" t="str">
        <f aca="false">LEFT(D253,ROUNDUP(LEN(D253)/2,0))&amp;LOWER(MID(E253,ROUNDUP(LEN(E253)/2,0)+1,20))</f>
        <v>Numsaur</v>
      </c>
      <c r="G253" s="8" t="str">
        <f aca="false">INDEX(Bases!$C$2:$C$53,B253)</f>
        <v>Fire</v>
      </c>
      <c r="H253" s="8" t="str">
        <f aca="false">IF(INDEX(Bases!$C$2:$C$53,C253)=G253,"",INDEX(Bases!$C$2:$C$53,C253))</f>
        <v>Grass</v>
      </c>
      <c r="I253" s="8" t="str">
        <f aca="false">IF(INDEX(Bases!$E$2:$E$53,B253)="","",INDEX(Bases!$E$2:$E$53,B253))</f>
        <v/>
      </c>
      <c r="J253" s="8" t="str">
        <f aca="false">IF(INDEX(Bases!$E$2:$E$53,C253)="","",INDEX(Bases!$E$2:$E$53,C253))</f>
        <v/>
      </c>
      <c r="K253" s="5"/>
      <c r="L253" s="2" t="n">
        <f aca="false">AE253+IF(SUMPRODUCT(--($AL253:$AQ253&gt;AL253))&lt;$AK253,1,0)</f>
        <v>86</v>
      </c>
      <c r="M253" s="2" t="n">
        <f aca="false">AF253+IF(SUMPRODUCT(--($AL253:$AQ253&gt;AM253))+SUMPRODUCT(--($AL253:AL253=AM253))&lt;$AK253,1,0)</f>
        <v>88</v>
      </c>
      <c r="N253" s="2" t="n">
        <f aca="false">AG253+IF(SUMPRODUCT(--($AL253:$AQ253&gt;AN253))+SUMPRODUCT(--($AL253:AM253=AN253))&lt;$AK253,1,0)</f>
        <v>71</v>
      </c>
      <c r="O253" s="2" t="n">
        <f aca="false">AH253+IF(SUMPRODUCT(--($AL253:$AQ253&gt;AO253))+SUMPRODUCT(--($AL253:AN253=AO253))&lt;$AK253,1,0)</f>
        <v>101</v>
      </c>
      <c r="P253" s="2" t="n">
        <f aca="false">AI253+IF(SUMPRODUCT(--($AL253:$AQ253&gt;AP253))+SUMPRODUCT(--($AL253:AO253=AP253))&lt;$AK253,1,0)</f>
        <v>90</v>
      </c>
      <c r="Q253" s="2" t="n">
        <f aca="false">AJ253+IF(SUMPRODUCT(--($AL253:$AQ253&gt;AQ253))+SUMPRODUCT(--($AL253:AP253=AQ253))&lt;$AK253,1,0)</f>
        <v>64</v>
      </c>
      <c r="R253" s="2" t="n">
        <f aca="false">SUM(L253:Q253)</f>
        <v>500</v>
      </c>
      <c r="S253" s="2" t="n">
        <f aca="false">Settings!$B$4*MAX(INDEX(Bases!$M$2:$M$53,B253),INDEX(Bases!$M$2:$M$53,C253))+Settings!$B$5*MIN(INDEX(Bases!$M$2:$M$53,B253),INDEX(Bases!$M$2:$M$53,C253))</f>
        <v>71.3333333333333</v>
      </c>
      <c r="T253" s="2" t="n">
        <f aca="false">Settings!$B$4*MAX(INDEX(Bases!$N$2:$N$53,B253),INDEX(Bases!$N$2:$N$53,C253))+Settings!$B$5*MIN(INDEX(Bases!$N$2:$N$53,B253),INDEX(Bases!$N$2:$N$53,C253))</f>
        <v>73.3333333333333</v>
      </c>
      <c r="U253" s="2" t="n">
        <f aca="false">Settings!$B$4*MAX(INDEX(Bases!$O$2:$O$53,B253),INDEX(Bases!$O$2:$O$53,C253))+Settings!$B$5*MIN(INDEX(Bases!$O$2:$O$53,B253),INDEX(Bases!$O$2:$O$53,C253))</f>
        <v>58.6666666666667</v>
      </c>
      <c r="V253" s="2" t="n">
        <f aca="false">Settings!$B$4*MAX(INDEX(Bases!$P$2:$P$53,B253),INDEX(Bases!$P$2:$P$53,C253))+Settings!$B$5*MIN(INDEX(Bases!$P$2:$P$53,B253),INDEX(Bases!$P$2:$P$53,C253))</f>
        <v>84</v>
      </c>
      <c r="W253" s="2" t="n">
        <f aca="false">Settings!$B$4*MAX(INDEX(Bases!$Q$2:$Q$53,B253),INDEX(Bases!$Q$2:$Q$53,C253))+Settings!$B$5*MIN(INDEX(Bases!$Q$2:$Q$53,B253),INDEX(Bases!$Q$2:$Q$53,C253))</f>
        <v>74.3333333333333</v>
      </c>
      <c r="X253" s="2" t="n">
        <f aca="false">Settings!$B$4*MAX(INDEX(Bases!$R$2:$R$53,B253),INDEX(Bases!$R$2:$R$53,C253))+Settings!$B$5*MIN(INDEX(Bases!$R$2:$R$53,B253),INDEX(Bases!$R$2:$R$53,C253))</f>
        <v>52.6666666666667</v>
      </c>
      <c r="Y253" s="2" t="n">
        <f aca="false">S253*Settings!$B$3/SUM(S253:X253)</f>
        <v>86.082059533387</v>
      </c>
      <c r="Z253" s="2" t="n">
        <f aca="false">T253*Settings!$B$3/SUM(S253:X253)</f>
        <v>88.4955752212389</v>
      </c>
      <c r="AA253" s="2" t="n">
        <f aca="false">U253*Settings!$B$3/SUM(S253:X253)</f>
        <v>70.7964601769912</v>
      </c>
      <c r="AB253" s="2" t="n">
        <f aca="false">V253*Settings!$B$3/SUM(S253:X253)</f>
        <v>101.367658889783</v>
      </c>
      <c r="AC253" s="2" t="n">
        <f aca="false">W253*Settings!$B$3/SUM(S253:X253)</f>
        <v>89.7023330651649</v>
      </c>
      <c r="AD253" s="2" t="n">
        <f aca="false">X253*Settings!$B$3/SUM(S253:X253)</f>
        <v>63.5559131134352</v>
      </c>
      <c r="AE253" s="2" t="n">
        <f aca="false">INT(Y253)</f>
        <v>86</v>
      </c>
      <c r="AF253" s="2" t="n">
        <f aca="false">INT(Z253)</f>
        <v>88</v>
      </c>
      <c r="AG253" s="2" t="n">
        <f aca="false">INT(AA253)</f>
        <v>70</v>
      </c>
      <c r="AH253" s="2" t="n">
        <f aca="false">INT(AB253)</f>
        <v>101</v>
      </c>
      <c r="AI253" s="2" t="n">
        <f aca="false">INT(AC253)</f>
        <v>89</v>
      </c>
      <c r="AJ253" s="2" t="n">
        <f aca="false">INT(AD253)</f>
        <v>63</v>
      </c>
      <c r="AK253" s="2" t="n">
        <f aca="false">Settings!$B$3-SUM(AE253:AJ253)</f>
        <v>3</v>
      </c>
      <c r="AL253" s="2" t="n">
        <f aca="false">ROUND(Y253-AE253,9)</f>
        <v>0.082059533</v>
      </c>
      <c r="AM253" s="2" t="n">
        <f aca="false">ROUND(Z253-AF253,9)</f>
        <v>0.495575221</v>
      </c>
      <c r="AN253" s="2" t="n">
        <f aca="false">ROUND(AA253-AG253,9)</f>
        <v>0.796460177</v>
      </c>
      <c r="AO253" s="2" t="n">
        <f aca="false">ROUND(AB253-AH253,9)</f>
        <v>0.36765889</v>
      </c>
      <c r="AP253" s="2" t="n">
        <f aca="false">ROUND(AC253-AI253,9)</f>
        <v>0.702333065</v>
      </c>
      <c r="AQ253" s="2" t="n">
        <f aca="false">ROUND(AD253-AJ253,9)</f>
        <v>0.555913113</v>
      </c>
    </row>
    <row r="254" customFormat="false" ht="15" hidden="false" customHeight="false" outlineLevel="0" collapsed="false">
      <c r="A254" s="2" t="n">
        <v>253</v>
      </c>
      <c r="B254" s="6" t="n">
        <v>6</v>
      </c>
      <c r="C254" s="6" t="n">
        <v>14</v>
      </c>
      <c r="D254" s="8" t="str">
        <f aca="false">INDEX(Bases!$B$2:$B$53,B254)</f>
        <v>Numel</v>
      </c>
      <c r="E254" s="8" t="str">
        <f aca="false">INDEX(Bases!$B$2:$B$53,C254)</f>
        <v>Celebi</v>
      </c>
      <c r="F254" s="2" t="str">
        <f aca="false">LEFT(D254,ROUNDUP(LEN(D254)/2,0))&amp;LOWER(MID(E254,ROUNDUP(LEN(E254)/2,0)+1,20))</f>
        <v>Numebi</v>
      </c>
      <c r="G254" s="8" t="str">
        <f aca="false">INDEX(Bases!$C$2:$C$53,B254)</f>
        <v>Fire</v>
      </c>
      <c r="H254" s="8" t="str">
        <f aca="false">IF(INDEX(Bases!$C$2:$C$53,C254)=G254,"",INDEX(Bases!$C$2:$C$53,C254))</f>
        <v>Grass</v>
      </c>
      <c r="I254" s="8" t="str">
        <f aca="false">IF(INDEX(Bases!$E$2:$E$53,B254)="","",INDEX(Bases!$E$2:$E$53,B254))</f>
        <v/>
      </c>
      <c r="J254" s="8" t="str">
        <f aca="false">IF(INDEX(Bases!$E$2:$E$53,C254)="","",INDEX(Bases!$E$2:$E$53,C254))</f>
        <v/>
      </c>
      <c r="K254" s="5"/>
      <c r="L254" s="2" t="n">
        <f aca="false">AE254+IF(SUMPRODUCT(--($AL254:$AQ254&gt;AL254))&lt;$AK254,1,0)</f>
        <v>91</v>
      </c>
      <c r="M254" s="2" t="n">
        <f aca="false">AF254+IF(SUMPRODUCT(--($AL254:$AQ254&gt;AM254))+SUMPRODUCT(--($AL254:AL254=AM254))&lt;$AK254,1,0)</f>
        <v>90</v>
      </c>
      <c r="N254" s="2" t="n">
        <f aca="false">AG254+IF(SUMPRODUCT(--($AL254:$AQ254&gt;AN254))+SUMPRODUCT(--($AL254:AM254=AN254))&lt;$AK254,1,0)</f>
        <v>75</v>
      </c>
      <c r="O254" s="2" t="n">
        <f aca="false">AH254+IF(SUMPRODUCT(--($AL254:$AQ254&gt;AO254))+SUMPRODUCT(--($AL254:AN254=AO254))&lt;$AK254,1,0)</f>
        <v>95</v>
      </c>
      <c r="P254" s="2" t="n">
        <f aca="false">AI254+IF(SUMPRODUCT(--($AL254:$AQ254&gt;AP254))+SUMPRODUCT(--($AL254:AO254=AP254))&lt;$AK254,1,0)</f>
        <v>77</v>
      </c>
      <c r="Q254" s="2" t="n">
        <f aca="false">AJ254+IF(SUMPRODUCT(--($AL254:$AQ254&gt;AQ254))+SUMPRODUCT(--($AL254:AP254=AQ254))&lt;$AK254,1,0)</f>
        <v>72</v>
      </c>
      <c r="R254" s="2" t="n">
        <f aca="false">SUM(L254:Q254)</f>
        <v>500</v>
      </c>
      <c r="S254" s="2" t="n">
        <f aca="false">Settings!$B$4*MAX(INDEX(Bases!$M$2:$M$53,B254),INDEX(Bases!$M$2:$M$53,C254))+Settings!$B$5*MIN(INDEX(Bases!$M$2:$M$53,B254),INDEX(Bases!$M$2:$M$53,C254))</f>
        <v>75</v>
      </c>
      <c r="T254" s="2" t="n">
        <f aca="false">Settings!$B$4*MAX(INDEX(Bases!$N$2:$N$53,B254),INDEX(Bases!$N$2:$N$53,C254))+Settings!$B$5*MIN(INDEX(Bases!$N$2:$N$53,B254),INDEX(Bases!$N$2:$N$53,C254))</f>
        <v>75</v>
      </c>
      <c r="U254" s="2" t="n">
        <f aca="false">Settings!$B$4*MAX(INDEX(Bases!$O$2:$O$53,B254),INDEX(Bases!$O$2:$O$53,C254))+Settings!$B$5*MIN(INDEX(Bases!$O$2:$O$53,B254),INDEX(Bases!$O$2:$O$53,C254))</f>
        <v>62</v>
      </c>
      <c r="V254" s="2" t="n">
        <f aca="false">Settings!$B$4*MAX(INDEX(Bases!$P$2:$P$53,B254),INDEX(Bases!$P$2:$P$53,C254))+Settings!$B$5*MIN(INDEX(Bases!$P$2:$P$53,B254),INDEX(Bases!$P$2:$P$53,C254))</f>
        <v>79</v>
      </c>
      <c r="W254" s="2" t="n">
        <f aca="false">Settings!$B$4*MAX(INDEX(Bases!$Q$2:$Q$53,B254),INDEX(Bases!$Q$2:$Q$53,C254))+Settings!$B$5*MIN(INDEX(Bases!$Q$2:$Q$53,B254),INDEX(Bases!$Q$2:$Q$53,C254))</f>
        <v>63.6666666666667</v>
      </c>
      <c r="X254" s="2" t="n">
        <f aca="false">Settings!$B$4*MAX(INDEX(Bases!$R$2:$R$53,B254),INDEX(Bases!$R$2:$R$53,C254))+Settings!$B$5*MIN(INDEX(Bases!$R$2:$R$53,B254),INDEX(Bases!$R$2:$R$53,C254))</f>
        <v>59.3333333333333</v>
      </c>
      <c r="Y254" s="2" t="n">
        <f aca="false">S254*Settings!$B$3/SUM(S254:X254)</f>
        <v>90.5797101449275</v>
      </c>
      <c r="Z254" s="2" t="n">
        <f aca="false">T254*Settings!$B$3/SUM(S254:X254)</f>
        <v>90.5797101449275</v>
      </c>
      <c r="AA254" s="2" t="n">
        <f aca="false">U254*Settings!$B$3/SUM(S254:X254)</f>
        <v>74.8792270531401</v>
      </c>
      <c r="AB254" s="2" t="n">
        <f aca="false">V254*Settings!$B$3/SUM(S254:X254)</f>
        <v>95.4106280193237</v>
      </c>
      <c r="AC254" s="2" t="n">
        <f aca="false">W254*Settings!$B$3/SUM(S254:X254)</f>
        <v>76.8921095008052</v>
      </c>
      <c r="AD254" s="2" t="n">
        <f aca="false">X254*Settings!$B$3/SUM(S254:X254)</f>
        <v>71.658615136876</v>
      </c>
      <c r="AE254" s="2" t="n">
        <f aca="false">INT(Y254)</f>
        <v>90</v>
      </c>
      <c r="AF254" s="2" t="n">
        <f aca="false">INT(Z254)</f>
        <v>90</v>
      </c>
      <c r="AG254" s="2" t="n">
        <f aca="false">INT(AA254)</f>
        <v>74</v>
      </c>
      <c r="AH254" s="2" t="n">
        <f aca="false">INT(AB254)</f>
        <v>95</v>
      </c>
      <c r="AI254" s="2" t="n">
        <f aca="false">INT(AC254)</f>
        <v>76</v>
      </c>
      <c r="AJ254" s="2" t="n">
        <f aca="false">INT(AD254)</f>
        <v>71</v>
      </c>
      <c r="AK254" s="2" t="n">
        <f aca="false">Settings!$B$3-SUM(AE254:AJ254)</f>
        <v>4</v>
      </c>
      <c r="AL254" s="2" t="n">
        <f aca="false">ROUND(Y254-AE254,9)</f>
        <v>0.579710145</v>
      </c>
      <c r="AM254" s="2" t="n">
        <f aca="false">ROUND(Z254-AF254,9)</f>
        <v>0.579710145</v>
      </c>
      <c r="AN254" s="2" t="n">
        <f aca="false">ROUND(AA254-AG254,9)</f>
        <v>0.879227053</v>
      </c>
      <c r="AO254" s="2" t="n">
        <f aca="false">ROUND(AB254-AH254,9)</f>
        <v>0.410628019</v>
      </c>
      <c r="AP254" s="2" t="n">
        <f aca="false">ROUND(AC254-AI254,9)</f>
        <v>0.892109501</v>
      </c>
      <c r="AQ254" s="2" t="n">
        <f aca="false">ROUND(AD254-AJ254,9)</f>
        <v>0.658615137</v>
      </c>
    </row>
    <row r="255" customFormat="false" ht="15" hidden="false" customHeight="false" outlineLevel="0" collapsed="false">
      <c r="A255" s="2" t="n">
        <v>254</v>
      </c>
      <c r="B255" s="6" t="n">
        <v>6</v>
      </c>
      <c r="C255" s="6" t="n">
        <v>15</v>
      </c>
      <c r="D255" s="8" t="str">
        <f aca="false">INDEX(Bases!$B$2:$B$53,B255)</f>
        <v>Numel</v>
      </c>
      <c r="E255" s="8" t="str">
        <f aca="false">INDEX(Bases!$B$2:$B$53,C255)</f>
        <v>Shroomish</v>
      </c>
      <c r="F255" s="2" t="str">
        <f aca="false">LEFT(D255,ROUNDUP(LEN(D255)/2,0))&amp;LOWER(MID(E255,ROUNDUP(LEN(E255)/2,0)+1,20))</f>
        <v>Nummish</v>
      </c>
      <c r="G255" s="8" t="str">
        <f aca="false">INDEX(Bases!$C$2:$C$53,B255)</f>
        <v>Fire</v>
      </c>
      <c r="H255" s="8" t="str">
        <f aca="false">IF(INDEX(Bases!$C$2:$C$53,C255)=G255,"",INDEX(Bases!$C$2:$C$53,C255))</f>
        <v>Grass</v>
      </c>
      <c r="I255" s="8" t="str">
        <f aca="false">IF(INDEX(Bases!$E$2:$E$53,B255)="","",INDEX(Bases!$E$2:$E$53,B255))</f>
        <v/>
      </c>
      <c r="J255" s="8" t="str">
        <f aca="false">IF(INDEX(Bases!$E$2:$E$53,C255)="","",INDEX(Bases!$E$2:$E$53,C255))</f>
        <v/>
      </c>
      <c r="K255" s="5"/>
      <c r="L255" s="2" t="n">
        <f aca="false">AE255+IF(SUMPRODUCT(--($AL255:$AQ255&gt;AL255))&lt;$AK255,1,0)</f>
        <v>97</v>
      </c>
      <c r="M255" s="2" t="n">
        <f aca="false">AF255+IF(SUMPRODUCT(--($AL255:$AQ255&gt;AM255))+SUMPRODUCT(--($AL255:AL255=AM255))&lt;$AK255,1,0)</f>
        <v>84</v>
      </c>
      <c r="N255" s="2" t="n">
        <f aca="false">AG255+IF(SUMPRODUCT(--($AL255:$AQ255&gt;AN255))+SUMPRODUCT(--($AL255:AM255=AN255))&lt;$AK255,1,0)</f>
        <v>85</v>
      </c>
      <c r="O255" s="2" t="n">
        <f aca="false">AH255+IF(SUMPRODUCT(--($AL255:$AQ255&gt;AO255))+SUMPRODUCT(--($AL255:AN255=AO255))&lt;$AK255,1,0)</f>
        <v>89</v>
      </c>
      <c r="P255" s="2" t="n">
        <f aca="false">AI255+IF(SUMPRODUCT(--($AL255:$AQ255&gt;AP255))+SUMPRODUCT(--($AL255:AO255=AP255))&lt;$AK255,1,0)</f>
        <v>88</v>
      </c>
      <c r="Q255" s="2" t="n">
        <f aca="false">AJ255+IF(SUMPRODUCT(--($AL255:$AQ255&gt;AQ255))+SUMPRODUCT(--($AL255:AP255=AQ255))&lt;$AK255,1,0)</f>
        <v>57</v>
      </c>
      <c r="R255" s="2" t="n">
        <f aca="false">SUM(L255:Q255)</f>
        <v>500</v>
      </c>
      <c r="S255" s="2" t="n">
        <f aca="false">Settings!$B$4*MAX(INDEX(Bases!$M$2:$M$53,B255),INDEX(Bases!$M$2:$M$53,C255))+Settings!$B$5*MIN(INDEX(Bases!$M$2:$M$53,B255),INDEX(Bases!$M$2:$M$53,C255))</f>
        <v>81</v>
      </c>
      <c r="T255" s="2" t="n">
        <f aca="false">Settings!$B$4*MAX(INDEX(Bases!$N$2:$N$53,B255),INDEX(Bases!$N$2:$N$53,C255))+Settings!$B$5*MIN(INDEX(Bases!$N$2:$N$53,B255),INDEX(Bases!$N$2:$N$53,C255))</f>
        <v>70.6666666666667</v>
      </c>
      <c r="U255" s="2" t="n">
        <f aca="false">Settings!$B$4*MAX(INDEX(Bases!$O$2:$O$53,B255),INDEX(Bases!$O$2:$O$53,C255))+Settings!$B$5*MIN(INDEX(Bases!$O$2:$O$53,B255),INDEX(Bases!$O$2:$O$53,C255))</f>
        <v>71.3333333333333</v>
      </c>
      <c r="V255" s="2" t="n">
        <f aca="false">Settings!$B$4*MAX(INDEX(Bases!$P$2:$P$53,B255),INDEX(Bases!$P$2:$P$53,C255))+Settings!$B$5*MIN(INDEX(Bases!$P$2:$P$53,B255),INDEX(Bases!$P$2:$P$53,C255))</f>
        <v>74.6666666666667</v>
      </c>
      <c r="W255" s="2" t="n">
        <f aca="false">Settings!$B$4*MAX(INDEX(Bases!$Q$2:$Q$53,B255),INDEX(Bases!$Q$2:$Q$53,C255))+Settings!$B$5*MIN(INDEX(Bases!$Q$2:$Q$53,B255),INDEX(Bases!$Q$2:$Q$53,C255))</f>
        <v>73.6666666666667</v>
      </c>
      <c r="X255" s="2" t="n">
        <f aca="false">Settings!$B$4*MAX(INDEX(Bases!$R$2:$R$53,B255),INDEX(Bases!$R$2:$R$53,C255))+Settings!$B$5*MIN(INDEX(Bases!$R$2:$R$53,B255),INDEX(Bases!$R$2:$R$53,C255))</f>
        <v>47.3333333333333</v>
      </c>
      <c r="Y255" s="2" t="n">
        <f aca="false">S255*Settings!$B$3/SUM(S255:X255)</f>
        <v>96.7356687898089</v>
      </c>
      <c r="Z255" s="2" t="n">
        <f aca="false">T255*Settings!$B$3/SUM(S255:X255)</f>
        <v>84.3949044585987</v>
      </c>
      <c r="AA255" s="2" t="n">
        <f aca="false">U255*Settings!$B$3/SUM(S255:X255)</f>
        <v>85.1910828025478</v>
      </c>
      <c r="AB255" s="2" t="n">
        <f aca="false">V255*Settings!$B$3/SUM(S255:X255)</f>
        <v>89.171974522293</v>
      </c>
      <c r="AC255" s="2" t="n">
        <f aca="false">W255*Settings!$B$3/SUM(S255:X255)</f>
        <v>87.9777070063694</v>
      </c>
      <c r="AD255" s="2" t="n">
        <f aca="false">X255*Settings!$B$3/SUM(S255:X255)</f>
        <v>56.5286624203822</v>
      </c>
      <c r="AE255" s="2" t="n">
        <f aca="false">INT(Y255)</f>
        <v>96</v>
      </c>
      <c r="AF255" s="2" t="n">
        <f aca="false">INT(Z255)</f>
        <v>84</v>
      </c>
      <c r="AG255" s="2" t="n">
        <f aca="false">INT(AA255)</f>
        <v>85</v>
      </c>
      <c r="AH255" s="2" t="n">
        <f aca="false">INT(AB255)</f>
        <v>89</v>
      </c>
      <c r="AI255" s="2" t="n">
        <f aca="false">INT(AC255)</f>
        <v>87</v>
      </c>
      <c r="AJ255" s="2" t="n">
        <f aca="false">INT(AD255)</f>
        <v>56</v>
      </c>
      <c r="AK255" s="2" t="n">
        <f aca="false">Settings!$B$3-SUM(AE255:AJ255)</f>
        <v>3</v>
      </c>
      <c r="AL255" s="2" t="n">
        <f aca="false">ROUND(Y255-AE255,9)</f>
        <v>0.73566879</v>
      </c>
      <c r="AM255" s="2" t="n">
        <f aca="false">ROUND(Z255-AF255,9)</f>
        <v>0.394904459</v>
      </c>
      <c r="AN255" s="2" t="n">
        <f aca="false">ROUND(AA255-AG255,9)</f>
        <v>0.191082803</v>
      </c>
      <c r="AO255" s="2" t="n">
        <f aca="false">ROUND(AB255-AH255,9)</f>
        <v>0.171974522</v>
      </c>
      <c r="AP255" s="2" t="n">
        <f aca="false">ROUND(AC255-AI255,9)</f>
        <v>0.977707006</v>
      </c>
      <c r="AQ255" s="2" t="n">
        <f aca="false">ROUND(AD255-AJ255,9)</f>
        <v>0.52866242</v>
      </c>
    </row>
    <row r="256" customFormat="false" ht="15" hidden="false" customHeight="false" outlineLevel="0" collapsed="false">
      <c r="A256" s="2" t="n">
        <v>255</v>
      </c>
      <c r="B256" s="6" t="n">
        <v>6</v>
      </c>
      <c r="C256" s="6" t="n">
        <v>16</v>
      </c>
      <c r="D256" s="8" t="str">
        <f aca="false">INDEX(Bases!$B$2:$B$53,B256)</f>
        <v>Numel</v>
      </c>
      <c r="E256" s="8" t="str">
        <f aca="false">INDEX(Bases!$B$2:$B$53,C256)</f>
        <v>Swinub</v>
      </c>
      <c r="F256" s="2" t="str">
        <f aca="false">LEFT(D256,ROUNDUP(LEN(D256)/2,0))&amp;LOWER(MID(E256,ROUNDUP(LEN(E256)/2,0)+1,20))</f>
        <v>Numnub</v>
      </c>
      <c r="G256" s="8" t="str">
        <f aca="false">INDEX(Bases!$C$2:$C$53,B256)</f>
        <v>Fire</v>
      </c>
      <c r="H256" s="8" t="str">
        <f aca="false">IF(INDEX(Bases!$C$2:$C$53,C256)=G256,"",INDEX(Bases!$C$2:$C$53,C256))</f>
        <v>Ice</v>
      </c>
      <c r="I256" s="8" t="str">
        <f aca="false">IF(INDEX(Bases!$E$2:$E$53,B256)="","",INDEX(Bases!$E$2:$E$53,B256))</f>
        <v/>
      </c>
      <c r="J256" s="8" t="str">
        <f aca="false">IF(INDEX(Bases!$E$2:$E$53,C256)="","",INDEX(Bases!$E$2:$E$53,C256))</f>
        <v/>
      </c>
      <c r="K256" s="5"/>
      <c r="L256" s="2" t="n">
        <f aca="false">AE256+IF(SUMPRODUCT(--($AL256:$AQ256&gt;AL256))&lt;$AK256,1,0)</f>
        <v>96</v>
      </c>
      <c r="M256" s="2" t="n">
        <f aca="false">AF256+IF(SUMPRODUCT(--($AL256:$AQ256&gt;AM256))+SUMPRODUCT(--($AL256:AL256=AM256))&lt;$AK256,1,0)</f>
        <v>96</v>
      </c>
      <c r="N256" s="2" t="n">
        <f aca="false">AG256+IF(SUMPRODUCT(--($AL256:$AQ256&gt;AN256))+SUMPRODUCT(--($AL256:AM256=AN256))&lt;$AK256,1,0)</f>
        <v>72</v>
      </c>
      <c r="O256" s="2" t="n">
        <f aca="false">AH256+IF(SUMPRODUCT(--($AL256:$AQ256&gt;AO256))+SUMPRODUCT(--($AL256:AN256=AO256))&lt;$AK256,1,0)</f>
        <v>87</v>
      </c>
      <c r="P256" s="2" t="n">
        <f aca="false">AI256+IF(SUMPRODUCT(--($AL256:$AQ256&gt;AP256))+SUMPRODUCT(--($AL256:AO256=AP256))&lt;$AK256,1,0)</f>
        <v>66</v>
      </c>
      <c r="Q256" s="2" t="n">
        <f aca="false">AJ256+IF(SUMPRODUCT(--($AL256:$AQ256&gt;AQ256))+SUMPRODUCT(--($AL256:AP256=AQ256))&lt;$AK256,1,0)</f>
        <v>83</v>
      </c>
      <c r="R256" s="2" t="n">
        <f aca="false">SUM(L256:Q256)</f>
        <v>500</v>
      </c>
      <c r="S256" s="2" t="n">
        <f aca="false">Settings!$B$4*MAX(INDEX(Bases!$M$2:$M$53,B256),INDEX(Bases!$M$2:$M$53,C256))+Settings!$B$5*MIN(INDEX(Bases!$M$2:$M$53,B256),INDEX(Bases!$M$2:$M$53,C256))</f>
        <v>79.6666666666667</v>
      </c>
      <c r="T256" s="2" t="n">
        <f aca="false">Settings!$B$4*MAX(INDEX(Bases!$N$2:$N$53,B256),INDEX(Bases!$N$2:$N$53,C256))+Settings!$B$5*MIN(INDEX(Bases!$N$2:$N$53,B256),INDEX(Bases!$N$2:$N$53,C256))</f>
        <v>79.6666666666667</v>
      </c>
      <c r="U256" s="2" t="n">
        <f aca="false">Settings!$B$4*MAX(INDEX(Bases!$O$2:$O$53,B256),INDEX(Bases!$O$2:$O$53,C256))+Settings!$B$5*MIN(INDEX(Bases!$O$2:$O$53,B256),INDEX(Bases!$O$2:$O$53,C256))</f>
        <v>60</v>
      </c>
      <c r="V256" s="2" t="n">
        <f aca="false">Settings!$B$4*MAX(INDEX(Bases!$P$2:$P$53,B256),INDEX(Bases!$P$2:$P$53,C256))+Settings!$B$5*MIN(INDEX(Bases!$P$2:$P$53,B256),INDEX(Bases!$P$2:$P$53,C256))</f>
        <v>72.6666666666667</v>
      </c>
      <c r="W256" s="2" t="n">
        <f aca="false">Settings!$B$4*MAX(INDEX(Bases!$Q$2:$Q$53,B256),INDEX(Bases!$Q$2:$Q$53,C256))+Settings!$B$5*MIN(INDEX(Bases!$Q$2:$Q$53,B256),INDEX(Bases!$Q$2:$Q$53,C256))</f>
        <v>55.3333333333333</v>
      </c>
      <c r="X256" s="2" t="n">
        <f aca="false">Settings!$B$4*MAX(INDEX(Bases!$R$2:$R$53,B256),INDEX(Bases!$R$2:$R$53,C256))+Settings!$B$5*MIN(INDEX(Bases!$R$2:$R$53,B256),INDEX(Bases!$R$2:$R$53,C256))</f>
        <v>68.6666666666667</v>
      </c>
      <c r="Y256" s="2" t="n">
        <f aca="false">S256*Settings!$B$3/SUM(S256:X256)</f>
        <v>95.7532051282051</v>
      </c>
      <c r="Z256" s="2" t="n">
        <f aca="false">T256*Settings!$B$3/SUM(S256:X256)</f>
        <v>95.7532051282051</v>
      </c>
      <c r="AA256" s="2" t="n">
        <f aca="false">U256*Settings!$B$3/SUM(S256:X256)</f>
        <v>72.1153846153846</v>
      </c>
      <c r="AB256" s="2" t="n">
        <f aca="false">V256*Settings!$B$3/SUM(S256:X256)</f>
        <v>87.3397435897436</v>
      </c>
      <c r="AC256" s="2" t="n">
        <f aca="false">W256*Settings!$B$3/SUM(S256:X256)</f>
        <v>66.5064102564103</v>
      </c>
      <c r="AD256" s="2" t="n">
        <f aca="false">X256*Settings!$B$3/SUM(S256:X256)</f>
        <v>82.5320512820513</v>
      </c>
      <c r="AE256" s="2" t="n">
        <f aca="false">INT(Y256)</f>
        <v>95</v>
      </c>
      <c r="AF256" s="2" t="n">
        <f aca="false">INT(Z256)</f>
        <v>95</v>
      </c>
      <c r="AG256" s="2" t="n">
        <f aca="false">INT(AA256)</f>
        <v>72</v>
      </c>
      <c r="AH256" s="2" t="n">
        <f aca="false">INT(AB256)</f>
        <v>87</v>
      </c>
      <c r="AI256" s="2" t="n">
        <f aca="false">INT(AC256)</f>
        <v>66</v>
      </c>
      <c r="AJ256" s="2" t="n">
        <f aca="false">INT(AD256)</f>
        <v>82</v>
      </c>
      <c r="AK256" s="2" t="n">
        <f aca="false">Settings!$B$3-SUM(AE256:AJ256)</f>
        <v>3</v>
      </c>
      <c r="AL256" s="2" t="n">
        <f aca="false">ROUND(Y256-AE256,9)</f>
        <v>0.753205128</v>
      </c>
      <c r="AM256" s="2" t="n">
        <f aca="false">ROUND(Z256-AF256,9)</f>
        <v>0.753205128</v>
      </c>
      <c r="AN256" s="2" t="n">
        <f aca="false">ROUND(AA256-AG256,9)</f>
        <v>0.115384615</v>
      </c>
      <c r="AO256" s="2" t="n">
        <f aca="false">ROUND(AB256-AH256,9)</f>
        <v>0.33974359</v>
      </c>
      <c r="AP256" s="2" t="n">
        <f aca="false">ROUND(AC256-AI256,9)</f>
        <v>0.506410256</v>
      </c>
      <c r="AQ256" s="2" t="n">
        <f aca="false">ROUND(AD256-AJ256,9)</f>
        <v>0.532051282</v>
      </c>
    </row>
    <row r="257" customFormat="false" ht="15" hidden="false" customHeight="false" outlineLevel="0" collapsed="false">
      <c r="A257" s="2" t="n">
        <v>256</v>
      </c>
      <c r="B257" s="6" t="n">
        <v>6</v>
      </c>
      <c r="C257" s="6" t="n">
        <v>17</v>
      </c>
      <c r="D257" s="8" t="str">
        <f aca="false">INDEX(Bases!$B$2:$B$53,B257)</f>
        <v>Numel</v>
      </c>
      <c r="E257" s="8" t="str">
        <f aca="false">INDEX(Bases!$B$2:$B$53,C257)</f>
        <v>Snorunt</v>
      </c>
      <c r="F257" s="2" t="str">
        <f aca="false">LEFT(D257,ROUNDUP(LEN(D257)/2,0))&amp;LOWER(MID(E257,ROUNDUP(LEN(E257)/2,0)+1,20))</f>
        <v>Numunt</v>
      </c>
      <c r="G257" s="8" t="str">
        <f aca="false">INDEX(Bases!$C$2:$C$53,B257)</f>
        <v>Fire</v>
      </c>
      <c r="H257" s="8" t="str">
        <f aca="false">IF(INDEX(Bases!$C$2:$C$53,C257)=G257,"",INDEX(Bases!$C$2:$C$53,C257))</f>
        <v>Ice</v>
      </c>
      <c r="I257" s="8" t="str">
        <f aca="false">IF(INDEX(Bases!$E$2:$E$53,B257)="","",INDEX(Bases!$E$2:$E$53,B257))</f>
        <v/>
      </c>
      <c r="J257" s="8" t="str">
        <f aca="false">IF(INDEX(Bases!$E$2:$E$53,C257)="","",INDEX(Bases!$E$2:$E$53,C257))</f>
        <v/>
      </c>
      <c r="K257" s="5"/>
      <c r="L257" s="2" t="n">
        <f aca="false">AE257+IF(SUMPRODUCT(--($AL257:$AQ257&gt;AL257))&lt;$AK257,1,0)</f>
        <v>91</v>
      </c>
      <c r="M257" s="2" t="n">
        <f aca="false">AF257+IF(SUMPRODUCT(--($AL257:$AQ257&gt;AM257))+SUMPRODUCT(--($AL257:AL257=AM257))&lt;$AK257,1,0)</f>
        <v>90</v>
      </c>
      <c r="N257" s="2" t="n">
        <f aca="false">AG257+IF(SUMPRODUCT(--($AL257:$AQ257&gt;AN257))+SUMPRODUCT(--($AL257:AM257=AN257))&lt;$AK257,1,0)</f>
        <v>75</v>
      </c>
      <c r="O257" s="2" t="n">
        <f aca="false">AH257+IF(SUMPRODUCT(--($AL257:$AQ257&gt;AO257))+SUMPRODUCT(--($AL257:AN257=AO257))&lt;$AK257,1,0)</f>
        <v>95</v>
      </c>
      <c r="P257" s="2" t="n">
        <f aca="false">AI257+IF(SUMPRODUCT(--($AL257:$AQ257&gt;AP257))+SUMPRODUCT(--($AL257:AO257=AP257))&lt;$AK257,1,0)</f>
        <v>77</v>
      </c>
      <c r="Q257" s="2" t="n">
        <f aca="false">AJ257+IF(SUMPRODUCT(--($AL257:$AQ257&gt;AQ257))+SUMPRODUCT(--($AL257:AP257=AQ257))&lt;$AK257,1,0)</f>
        <v>72</v>
      </c>
      <c r="R257" s="2" t="n">
        <f aca="false">SUM(L257:Q257)</f>
        <v>500</v>
      </c>
      <c r="S257" s="2" t="n">
        <f aca="false">Settings!$B$4*MAX(INDEX(Bases!$M$2:$M$53,B257),INDEX(Bases!$M$2:$M$53,C257))+Settings!$B$5*MIN(INDEX(Bases!$M$2:$M$53,B257),INDEX(Bases!$M$2:$M$53,C257))</f>
        <v>75</v>
      </c>
      <c r="T257" s="2" t="n">
        <f aca="false">Settings!$B$4*MAX(INDEX(Bases!$N$2:$N$53,B257),INDEX(Bases!$N$2:$N$53,C257))+Settings!$B$5*MIN(INDEX(Bases!$N$2:$N$53,B257),INDEX(Bases!$N$2:$N$53,C257))</f>
        <v>75</v>
      </c>
      <c r="U257" s="2" t="n">
        <f aca="false">Settings!$B$4*MAX(INDEX(Bases!$O$2:$O$53,B257),INDEX(Bases!$O$2:$O$53,C257))+Settings!$B$5*MIN(INDEX(Bases!$O$2:$O$53,B257),INDEX(Bases!$O$2:$O$53,C257))</f>
        <v>62</v>
      </c>
      <c r="V257" s="2" t="n">
        <f aca="false">Settings!$B$4*MAX(INDEX(Bases!$P$2:$P$53,B257),INDEX(Bases!$P$2:$P$53,C257))+Settings!$B$5*MIN(INDEX(Bases!$P$2:$P$53,B257),INDEX(Bases!$P$2:$P$53,C257))</f>
        <v>79</v>
      </c>
      <c r="W257" s="2" t="n">
        <f aca="false">Settings!$B$4*MAX(INDEX(Bases!$Q$2:$Q$53,B257),INDEX(Bases!$Q$2:$Q$53,C257))+Settings!$B$5*MIN(INDEX(Bases!$Q$2:$Q$53,B257),INDEX(Bases!$Q$2:$Q$53,C257))</f>
        <v>63.6666666666667</v>
      </c>
      <c r="X257" s="2" t="n">
        <f aca="false">Settings!$B$4*MAX(INDEX(Bases!$R$2:$R$53,B257),INDEX(Bases!$R$2:$R$53,C257))+Settings!$B$5*MIN(INDEX(Bases!$R$2:$R$53,B257),INDEX(Bases!$R$2:$R$53,C257))</f>
        <v>59.3333333333333</v>
      </c>
      <c r="Y257" s="2" t="n">
        <f aca="false">S257*Settings!$B$3/SUM(S257:X257)</f>
        <v>90.5797101449275</v>
      </c>
      <c r="Z257" s="2" t="n">
        <f aca="false">T257*Settings!$B$3/SUM(S257:X257)</f>
        <v>90.5797101449275</v>
      </c>
      <c r="AA257" s="2" t="n">
        <f aca="false">U257*Settings!$B$3/SUM(S257:X257)</f>
        <v>74.8792270531401</v>
      </c>
      <c r="AB257" s="2" t="n">
        <f aca="false">V257*Settings!$B$3/SUM(S257:X257)</f>
        <v>95.4106280193237</v>
      </c>
      <c r="AC257" s="2" t="n">
        <f aca="false">W257*Settings!$B$3/SUM(S257:X257)</f>
        <v>76.8921095008052</v>
      </c>
      <c r="AD257" s="2" t="n">
        <f aca="false">X257*Settings!$B$3/SUM(S257:X257)</f>
        <v>71.658615136876</v>
      </c>
      <c r="AE257" s="2" t="n">
        <f aca="false">INT(Y257)</f>
        <v>90</v>
      </c>
      <c r="AF257" s="2" t="n">
        <f aca="false">INT(Z257)</f>
        <v>90</v>
      </c>
      <c r="AG257" s="2" t="n">
        <f aca="false">INT(AA257)</f>
        <v>74</v>
      </c>
      <c r="AH257" s="2" t="n">
        <f aca="false">INT(AB257)</f>
        <v>95</v>
      </c>
      <c r="AI257" s="2" t="n">
        <f aca="false">INT(AC257)</f>
        <v>76</v>
      </c>
      <c r="AJ257" s="2" t="n">
        <f aca="false">INT(AD257)</f>
        <v>71</v>
      </c>
      <c r="AK257" s="2" t="n">
        <f aca="false">Settings!$B$3-SUM(AE257:AJ257)</f>
        <v>4</v>
      </c>
      <c r="AL257" s="2" t="n">
        <f aca="false">ROUND(Y257-AE257,9)</f>
        <v>0.579710145</v>
      </c>
      <c r="AM257" s="2" t="n">
        <f aca="false">ROUND(Z257-AF257,9)</f>
        <v>0.579710145</v>
      </c>
      <c r="AN257" s="2" t="n">
        <f aca="false">ROUND(AA257-AG257,9)</f>
        <v>0.879227053</v>
      </c>
      <c r="AO257" s="2" t="n">
        <f aca="false">ROUND(AB257-AH257,9)</f>
        <v>0.410628019</v>
      </c>
      <c r="AP257" s="2" t="n">
        <f aca="false">ROUND(AC257-AI257,9)</f>
        <v>0.892109501</v>
      </c>
      <c r="AQ257" s="2" t="n">
        <f aca="false">ROUND(AD257-AJ257,9)</f>
        <v>0.658615137</v>
      </c>
    </row>
    <row r="258" customFormat="false" ht="15" hidden="false" customHeight="false" outlineLevel="0" collapsed="false">
      <c r="A258" s="2" t="n">
        <v>257</v>
      </c>
      <c r="B258" s="6" t="n">
        <v>6</v>
      </c>
      <c r="C258" s="6" t="n">
        <v>18</v>
      </c>
      <c r="D258" s="8" t="str">
        <f aca="false">INDEX(Bases!$B$2:$B$53,B258)</f>
        <v>Numel</v>
      </c>
      <c r="E258" s="8" t="str">
        <f aca="false">INDEX(Bases!$B$2:$B$53,C258)</f>
        <v>Spheal</v>
      </c>
      <c r="F258" s="2" t="str">
        <f aca="false">LEFT(D258,ROUNDUP(LEN(D258)/2,0))&amp;LOWER(MID(E258,ROUNDUP(LEN(E258)/2,0)+1,20))</f>
        <v>Numeal</v>
      </c>
      <c r="G258" s="8" t="str">
        <f aca="false">INDEX(Bases!$C$2:$C$53,B258)</f>
        <v>Fire</v>
      </c>
      <c r="H258" s="8" t="str">
        <f aca="false">IF(INDEX(Bases!$C$2:$C$53,C258)=G258,"",INDEX(Bases!$C$2:$C$53,C258))</f>
        <v>Ice</v>
      </c>
      <c r="I258" s="8" t="str">
        <f aca="false">IF(INDEX(Bases!$E$2:$E$53,B258)="","",INDEX(Bases!$E$2:$E$53,B258))</f>
        <v/>
      </c>
      <c r="J258" s="8" t="str">
        <f aca="false">IF(INDEX(Bases!$E$2:$E$53,C258)="","",INDEX(Bases!$E$2:$E$53,C258))</f>
        <v/>
      </c>
      <c r="K258" s="5"/>
      <c r="L258" s="2" t="n">
        <f aca="false">AE258+IF(SUMPRODUCT(--($AL258:$AQ258&gt;AL258))&lt;$AK258,1,0)</f>
        <v>110</v>
      </c>
      <c r="M258" s="2" t="n">
        <f aca="false">AF258+IF(SUMPRODUCT(--($AL258:$AQ258&gt;AM258))+SUMPRODUCT(--($AL258:AL258=AM258))&lt;$AK258,1,0)</f>
        <v>85</v>
      </c>
      <c r="N258" s="2" t="n">
        <f aca="false">AG258+IF(SUMPRODUCT(--($AL258:$AQ258&gt;AN258))+SUMPRODUCT(--($AL258:AM258=AN258))&lt;$AK258,1,0)</f>
        <v>76</v>
      </c>
      <c r="O258" s="2" t="n">
        <f aca="false">AH258+IF(SUMPRODUCT(--($AL258:$AQ258&gt;AO258))+SUMPRODUCT(--($AL258:AN258=AO258))&lt;$AK258,1,0)</f>
        <v>99</v>
      </c>
      <c r="P258" s="2" t="n">
        <f aca="false">AI258+IF(SUMPRODUCT(--($AL258:$AQ258&gt;AP258))+SUMPRODUCT(--($AL258:AO258=AP258))&lt;$AK258,1,0)</f>
        <v>79</v>
      </c>
      <c r="Q258" s="2" t="n">
        <f aca="false">AJ258+IF(SUMPRODUCT(--($AL258:$AQ258&gt;AQ258))+SUMPRODUCT(--($AL258:AP258=AQ258))&lt;$AK258,1,0)</f>
        <v>51</v>
      </c>
      <c r="R258" s="2" t="n">
        <f aca="false">SUM(L258:Q258)</f>
        <v>500</v>
      </c>
      <c r="S258" s="2" t="n">
        <f aca="false">Settings!$B$4*MAX(INDEX(Bases!$M$2:$M$53,B258),INDEX(Bases!$M$2:$M$53,C258))+Settings!$B$5*MIN(INDEX(Bases!$M$2:$M$53,B258),INDEX(Bases!$M$2:$M$53,C258))</f>
        <v>91</v>
      </c>
      <c r="T258" s="2" t="n">
        <f aca="false">Settings!$B$4*MAX(INDEX(Bases!$N$2:$N$53,B258),INDEX(Bases!$N$2:$N$53,C258))+Settings!$B$5*MIN(INDEX(Bases!$N$2:$N$53,B258),INDEX(Bases!$N$2:$N$53,C258))</f>
        <v>71</v>
      </c>
      <c r="U258" s="2" t="n">
        <f aca="false">Settings!$B$4*MAX(INDEX(Bases!$O$2:$O$53,B258),INDEX(Bases!$O$2:$O$53,C258))+Settings!$B$5*MIN(INDEX(Bases!$O$2:$O$53,B258),INDEX(Bases!$O$2:$O$53,C258))</f>
        <v>63.3333333333333</v>
      </c>
      <c r="V258" s="2" t="n">
        <f aca="false">Settings!$B$4*MAX(INDEX(Bases!$P$2:$P$53,B258),INDEX(Bases!$P$2:$P$53,C258))+Settings!$B$5*MIN(INDEX(Bases!$P$2:$P$53,B258),INDEX(Bases!$P$2:$P$53,C258))</f>
        <v>82</v>
      </c>
      <c r="W258" s="2" t="n">
        <f aca="false">Settings!$B$4*MAX(INDEX(Bases!$Q$2:$Q$53,B258),INDEX(Bases!$Q$2:$Q$53,C258))+Settings!$B$5*MIN(INDEX(Bases!$Q$2:$Q$53,B258),INDEX(Bases!$Q$2:$Q$53,C258))</f>
        <v>65.6666666666667</v>
      </c>
      <c r="X258" s="2" t="n">
        <f aca="false">Settings!$B$4*MAX(INDEX(Bases!$R$2:$R$53,B258),INDEX(Bases!$R$2:$R$53,C258))+Settings!$B$5*MIN(INDEX(Bases!$R$2:$R$53,B258),INDEX(Bases!$R$2:$R$53,C258))</f>
        <v>42</v>
      </c>
      <c r="Y258" s="2" t="n">
        <f aca="false">S258*Settings!$B$3/SUM(S258:X258)</f>
        <v>109.638554216867</v>
      </c>
      <c r="Z258" s="2" t="n">
        <f aca="false">T258*Settings!$B$3/SUM(S258:X258)</f>
        <v>85.5421686746988</v>
      </c>
      <c r="AA258" s="2" t="n">
        <f aca="false">U258*Settings!$B$3/SUM(S258:X258)</f>
        <v>76.3052208835341</v>
      </c>
      <c r="AB258" s="2" t="n">
        <f aca="false">V258*Settings!$B$3/SUM(S258:X258)</f>
        <v>98.7951807228916</v>
      </c>
      <c r="AC258" s="2" t="n">
        <f aca="false">W258*Settings!$B$3/SUM(S258:X258)</f>
        <v>79.1164658634538</v>
      </c>
      <c r="AD258" s="2" t="n">
        <f aca="false">X258*Settings!$B$3/SUM(S258:X258)</f>
        <v>50.6024096385542</v>
      </c>
      <c r="AE258" s="2" t="n">
        <f aca="false">INT(Y258)</f>
        <v>109</v>
      </c>
      <c r="AF258" s="2" t="n">
        <f aca="false">INT(Z258)</f>
        <v>85</v>
      </c>
      <c r="AG258" s="2" t="n">
        <f aca="false">INT(AA258)</f>
        <v>76</v>
      </c>
      <c r="AH258" s="2" t="n">
        <f aca="false">INT(AB258)</f>
        <v>98</v>
      </c>
      <c r="AI258" s="2" t="n">
        <f aca="false">INT(AC258)</f>
        <v>79</v>
      </c>
      <c r="AJ258" s="2" t="n">
        <f aca="false">INT(AD258)</f>
        <v>50</v>
      </c>
      <c r="AK258" s="2" t="n">
        <f aca="false">Settings!$B$3-SUM(AE258:AJ258)</f>
        <v>3</v>
      </c>
      <c r="AL258" s="2" t="n">
        <f aca="false">ROUND(Y258-AE258,9)</f>
        <v>0.638554217</v>
      </c>
      <c r="AM258" s="2" t="n">
        <f aca="false">ROUND(Z258-AF258,9)</f>
        <v>0.542168675</v>
      </c>
      <c r="AN258" s="2" t="n">
        <f aca="false">ROUND(AA258-AG258,9)</f>
        <v>0.305220884</v>
      </c>
      <c r="AO258" s="2" t="n">
        <f aca="false">ROUND(AB258-AH258,9)</f>
        <v>0.795180723</v>
      </c>
      <c r="AP258" s="2" t="n">
        <f aca="false">ROUND(AC258-AI258,9)</f>
        <v>0.116465863</v>
      </c>
      <c r="AQ258" s="2" t="n">
        <f aca="false">ROUND(AD258-AJ258,9)</f>
        <v>0.602409639</v>
      </c>
    </row>
    <row r="259" customFormat="false" ht="15" hidden="false" customHeight="false" outlineLevel="0" collapsed="false">
      <c r="A259" s="2" t="n">
        <v>258</v>
      </c>
      <c r="B259" s="6" t="n">
        <v>6</v>
      </c>
      <c r="C259" s="6" t="n">
        <v>19</v>
      </c>
      <c r="D259" s="8" t="str">
        <f aca="false">INDEX(Bases!$B$2:$B$53,B259)</f>
        <v>Numel</v>
      </c>
      <c r="E259" s="8" t="str">
        <f aca="false">INDEX(Bases!$B$2:$B$53,C259)</f>
        <v>Mankey</v>
      </c>
      <c r="F259" s="2" t="str">
        <f aca="false">LEFT(D259,ROUNDUP(LEN(D259)/2,0))&amp;LOWER(MID(E259,ROUNDUP(LEN(E259)/2,0)+1,20))</f>
        <v>Numkey</v>
      </c>
      <c r="G259" s="8" t="str">
        <f aca="false">INDEX(Bases!$C$2:$C$53,B259)</f>
        <v>Fire</v>
      </c>
      <c r="H259" s="8" t="str">
        <f aca="false">IF(INDEX(Bases!$C$2:$C$53,C259)=G259,"",INDEX(Bases!$C$2:$C$53,C259))</f>
        <v>Fighting</v>
      </c>
      <c r="I259" s="8" t="str">
        <f aca="false">IF(INDEX(Bases!$E$2:$E$53,B259)="","",INDEX(Bases!$E$2:$E$53,B259))</f>
        <v/>
      </c>
      <c r="J259" s="8" t="str">
        <f aca="false">IF(INDEX(Bases!$E$2:$E$53,C259)="","",INDEX(Bases!$E$2:$E$53,C259))</f>
        <v/>
      </c>
      <c r="K259" s="5"/>
      <c r="L259" s="2" t="n">
        <f aca="false">AE259+IF(SUMPRODUCT(--($AL259:$AQ259&gt;AL259))&lt;$AK259,1,0)</f>
        <v>82</v>
      </c>
      <c r="M259" s="2" t="n">
        <f aca="false">AF259+IF(SUMPRODUCT(--($AL259:$AQ259&gt;AM259))+SUMPRODUCT(--($AL259:AL259=AM259))&lt;$AK259,1,0)</f>
        <v>114</v>
      </c>
      <c r="N259" s="2" t="n">
        <f aca="false">AG259+IF(SUMPRODUCT(--($AL259:$AQ259&gt;AN259))+SUMPRODUCT(--($AL259:AM259=AN259))&lt;$AK259,1,0)</f>
        <v>59</v>
      </c>
      <c r="O259" s="2" t="n">
        <f aca="false">AH259+IF(SUMPRODUCT(--($AL259:$AQ259&gt;AO259))+SUMPRODUCT(--($AL259:AN259=AO259))&lt;$AK259,1,0)</f>
        <v>85</v>
      </c>
      <c r="P259" s="2" t="n">
        <f aca="false">AI259+IF(SUMPRODUCT(--($AL259:$AQ259&gt;AP259))+SUMPRODUCT(--($AL259:AO259=AP259))&lt;$AK259,1,0)</f>
        <v>70</v>
      </c>
      <c r="Q259" s="2" t="n">
        <f aca="false">AJ259+IF(SUMPRODUCT(--($AL259:$AQ259&gt;AQ259))+SUMPRODUCT(--($AL259:AP259=AQ259))&lt;$AK259,1,0)</f>
        <v>90</v>
      </c>
      <c r="R259" s="2" t="n">
        <f aca="false">SUM(L259:Q259)</f>
        <v>500</v>
      </c>
      <c r="S259" s="2" t="n">
        <f aca="false">Settings!$B$4*MAX(INDEX(Bases!$M$2:$M$53,B259),INDEX(Bases!$M$2:$M$53,C259))+Settings!$B$5*MIN(INDEX(Bases!$M$2:$M$53,B259),INDEX(Bases!$M$2:$M$53,C259))</f>
        <v>70</v>
      </c>
      <c r="T259" s="2" t="n">
        <f aca="false">Settings!$B$4*MAX(INDEX(Bases!$N$2:$N$53,B259),INDEX(Bases!$N$2:$N$53,C259))+Settings!$B$5*MIN(INDEX(Bases!$N$2:$N$53,B259),INDEX(Bases!$N$2:$N$53,C259))</f>
        <v>96.3333333333333</v>
      </c>
      <c r="U259" s="2" t="n">
        <f aca="false">Settings!$B$4*MAX(INDEX(Bases!$O$2:$O$53,B259),INDEX(Bases!$O$2:$O$53,C259))+Settings!$B$5*MIN(INDEX(Bases!$O$2:$O$53,B259),INDEX(Bases!$O$2:$O$53,C259))</f>
        <v>50</v>
      </c>
      <c r="V259" s="2" t="n">
        <f aca="false">Settings!$B$4*MAX(INDEX(Bases!$P$2:$P$53,B259),INDEX(Bases!$P$2:$P$53,C259))+Settings!$B$5*MIN(INDEX(Bases!$P$2:$P$53,B259),INDEX(Bases!$P$2:$P$53,C259))</f>
        <v>72</v>
      </c>
      <c r="W259" s="2" t="n">
        <f aca="false">Settings!$B$4*MAX(INDEX(Bases!$Q$2:$Q$53,B259),INDEX(Bases!$Q$2:$Q$53,C259))+Settings!$B$5*MIN(INDEX(Bases!$Q$2:$Q$53,B259),INDEX(Bases!$Q$2:$Q$53,C259))</f>
        <v>59</v>
      </c>
      <c r="X259" s="2" t="n">
        <f aca="false">Settings!$B$4*MAX(INDEX(Bases!$R$2:$R$53,B259),INDEX(Bases!$R$2:$R$53,C259))+Settings!$B$5*MIN(INDEX(Bases!$R$2:$R$53,B259),INDEX(Bases!$R$2:$R$53,C259))</f>
        <v>76.6666666666667</v>
      </c>
      <c r="Y259" s="2" t="n">
        <f aca="false">S259*Settings!$B$3/SUM(S259:X259)</f>
        <v>82.5471698113208</v>
      </c>
      <c r="Z259" s="2" t="n">
        <f aca="false">T259*Settings!$B$3/SUM(S259:X259)</f>
        <v>113.600628930818</v>
      </c>
      <c r="AA259" s="2" t="n">
        <f aca="false">U259*Settings!$B$3/SUM(S259:X259)</f>
        <v>58.9622641509434</v>
      </c>
      <c r="AB259" s="2" t="n">
        <f aca="false">V259*Settings!$B$3/SUM(S259:X259)</f>
        <v>84.9056603773585</v>
      </c>
      <c r="AC259" s="2" t="n">
        <f aca="false">W259*Settings!$B$3/SUM(S259:X259)</f>
        <v>69.5754716981132</v>
      </c>
      <c r="AD259" s="2" t="n">
        <f aca="false">X259*Settings!$B$3/SUM(S259:X259)</f>
        <v>90.4088050314465</v>
      </c>
      <c r="AE259" s="2" t="n">
        <f aca="false">INT(Y259)</f>
        <v>82</v>
      </c>
      <c r="AF259" s="2" t="n">
        <f aca="false">INT(Z259)</f>
        <v>113</v>
      </c>
      <c r="AG259" s="2" t="n">
        <f aca="false">INT(AA259)</f>
        <v>58</v>
      </c>
      <c r="AH259" s="2" t="n">
        <f aca="false">INT(AB259)</f>
        <v>84</v>
      </c>
      <c r="AI259" s="2" t="n">
        <f aca="false">INT(AC259)</f>
        <v>69</v>
      </c>
      <c r="AJ259" s="2" t="n">
        <f aca="false">INT(AD259)</f>
        <v>90</v>
      </c>
      <c r="AK259" s="2" t="n">
        <f aca="false">Settings!$B$3-SUM(AE259:AJ259)</f>
        <v>4</v>
      </c>
      <c r="AL259" s="2" t="n">
        <f aca="false">ROUND(Y259-AE259,9)</f>
        <v>0.547169811</v>
      </c>
      <c r="AM259" s="2" t="n">
        <f aca="false">ROUND(Z259-AF259,9)</f>
        <v>0.600628931</v>
      </c>
      <c r="AN259" s="2" t="n">
        <f aca="false">ROUND(AA259-AG259,9)</f>
        <v>0.962264151</v>
      </c>
      <c r="AO259" s="2" t="n">
        <f aca="false">ROUND(AB259-AH259,9)</f>
        <v>0.905660377</v>
      </c>
      <c r="AP259" s="2" t="n">
        <f aca="false">ROUND(AC259-AI259,9)</f>
        <v>0.575471698</v>
      </c>
      <c r="AQ259" s="2" t="n">
        <f aca="false">ROUND(AD259-AJ259,9)</f>
        <v>0.408805031</v>
      </c>
    </row>
    <row r="260" customFormat="false" ht="15" hidden="false" customHeight="false" outlineLevel="0" collapsed="false">
      <c r="A260" s="2" t="n">
        <v>259</v>
      </c>
      <c r="B260" s="6" t="n">
        <v>6</v>
      </c>
      <c r="C260" s="6" t="n">
        <v>20</v>
      </c>
      <c r="D260" s="8" t="str">
        <f aca="false">INDEX(Bases!$B$2:$B$53,B260)</f>
        <v>Numel</v>
      </c>
      <c r="E260" s="8" t="str">
        <f aca="false">INDEX(Bases!$B$2:$B$53,C260)</f>
        <v>Tyrogue</v>
      </c>
      <c r="F260" s="2" t="str">
        <f aca="false">LEFT(D260,ROUNDUP(LEN(D260)/2,0))&amp;LOWER(MID(E260,ROUNDUP(LEN(E260)/2,0)+1,20))</f>
        <v>Numgue</v>
      </c>
      <c r="G260" s="8" t="str">
        <f aca="false">INDEX(Bases!$C$2:$C$53,B260)</f>
        <v>Fire</v>
      </c>
      <c r="H260" s="8" t="str">
        <f aca="false">IF(INDEX(Bases!$C$2:$C$53,C260)=G260,"",INDEX(Bases!$C$2:$C$53,C260))</f>
        <v>Fighting</v>
      </c>
      <c r="I260" s="8" t="str">
        <f aca="false">IF(INDEX(Bases!$E$2:$E$53,B260)="","",INDEX(Bases!$E$2:$E$53,B260))</f>
        <v/>
      </c>
      <c r="J260" s="8" t="str">
        <f aca="false">IF(INDEX(Bases!$E$2:$E$53,C260)="","",INDEX(Bases!$E$2:$E$53,C260))</f>
        <v/>
      </c>
      <c r="K260" s="5"/>
      <c r="L260" s="2" t="n">
        <f aca="false">AE260+IF(SUMPRODUCT(--($AL260:$AQ260&gt;AL260))&lt;$AK260,1,0)</f>
        <v>91</v>
      </c>
      <c r="M260" s="2" t="n">
        <f aca="false">AF260+IF(SUMPRODUCT(--($AL260:$AQ260&gt;AM260))+SUMPRODUCT(--($AL260:AL260=AM260))&lt;$AK260,1,0)</f>
        <v>90</v>
      </c>
      <c r="N260" s="2" t="n">
        <f aca="false">AG260+IF(SUMPRODUCT(--($AL260:$AQ260&gt;AN260))+SUMPRODUCT(--($AL260:AM260=AN260))&lt;$AK260,1,0)</f>
        <v>75</v>
      </c>
      <c r="O260" s="2" t="n">
        <f aca="false">AH260+IF(SUMPRODUCT(--($AL260:$AQ260&gt;AO260))+SUMPRODUCT(--($AL260:AN260=AO260))&lt;$AK260,1,0)</f>
        <v>95</v>
      </c>
      <c r="P260" s="2" t="n">
        <f aca="false">AI260+IF(SUMPRODUCT(--($AL260:$AQ260&gt;AP260))+SUMPRODUCT(--($AL260:AO260=AP260))&lt;$AK260,1,0)</f>
        <v>77</v>
      </c>
      <c r="Q260" s="2" t="n">
        <f aca="false">AJ260+IF(SUMPRODUCT(--($AL260:$AQ260&gt;AQ260))+SUMPRODUCT(--($AL260:AP260=AQ260))&lt;$AK260,1,0)</f>
        <v>72</v>
      </c>
      <c r="R260" s="2" t="n">
        <f aca="false">SUM(L260:Q260)</f>
        <v>500</v>
      </c>
      <c r="S260" s="2" t="n">
        <f aca="false">Settings!$B$4*MAX(INDEX(Bases!$M$2:$M$53,B260),INDEX(Bases!$M$2:$M$53,C260))+Settings!$B$5*MIN(INDEX(Bases!$M$2:$M$53,B260),INDEX(Bases!$M$2:$M$53,C260))</f>
        <v>75</v>
      </c>
      <c r="T260" s="2" t="n">
        <f aca="false">Settings!$B$4*MAX(INDEX(Bases!$N$2:$N$53,B260),INDEX(Bases!$N$2:$N$53,C260))+Settings!$B$5*MIN(INDEX(Bases!$N$2:$N$53,B260),INDEX(Bases!$N$2:$N$53,C260))</f>
        <v>75</v>
      </c>
      <c r="U260" s="2" t="n">
        <f aca="false">Settings!$B$4*MAX(INDEX(Bases!$O$2:$O$53,B260),INDEX(Bases!$O$2:$O$53,C260))+Settings!$B$5*MIN(INDEX(Bases!$O$2:$O$53,B260),INDEX(Bases!$O$2:$O$53,C260))</f>
        <v>62</v>
      </c>
      <c r="V260" s="2" t="n">
        <f aca="false">Settings!$B$4*MAX(INDEX(Bases!$P$2:$P$53,B260),INDEX(Bases!$P$2:$P$53,C260))+Settings!$B$5*MIN(INDEX(Bases!$P$2:$P$53,B260),INDEX(Bases!$P$2:$P$53,C260))</f>
        <v>79</v>
      </c>
      <c r="W260" s="2" t="n">
        <f aca="false">Settings!$B$4*MAX(INDEX(Bases!$Q$2:$Q$53,B260),INDEX(Bases!$Q$2:$Q$53,C260))+Settings!$B$5*MIN(INDEX(Bases!$Q$2:$Q$53,B260),INDEX(Bases!$Q$2:$Q$53,C260))</f>
        <v>63.6666666666667</v>
      </c>
      <c r="X260" s="2" t="n">
        <f aca="false">Settings!$B$4*MAX(INDEX(Bases!$R$2:$R$53,B260),INDEX(Bases!$R$2:$R$53,C260))+Settings!$B$5*MIN(INDEX(Bases!$R$2:$R$53,B260),INDEX(Bases!$R$2:$R$53,C260))</f>
        <v>59.3333333333333</v>
      </c>
      <c r="Y260" s="2" t="n">
        <f aca="false">S260*Settings!$B$3/SUM(S260:X260)</f>
        <v>90.5797101449275</v>
      </c>
      <c r="Z260" s="2" t="n">
        <f aca="false">T260*Settings!$B$3/SUM(S260:X260)</f>
        <v>90.5797101449275</v>
      </c>
      <c r="AA260" s="2" t="n">
        <f aca="false">U260*Settings!$B$3/SUM(S260:X260)</f>
        <v>74.8792270531401</v>
      </c>
      <c r="AB260" s="2" t="n">
        <f aca="false">V260*Settings!$B$3/SUM(S260:X260)</f>
        <v>95.4106280193237</v>
      </c>
      <c r="AC260" s="2" t="n">
        <f aca="false">W260*Settings!$B$3/SUM(S260:X260)</f>
        <v>76.8921095008052</v>
      </c>
      <c r="AD260" s="2" t="n">
        <f aca="false">X260*Settings!$B$3/SUM(S260:X260)</f>
        <v>71.658615136876</v>
      </c>
      <c r="AE260" s="2" t="n">
        <f aca="false">INT(Y260)</f>
        <v>90</v>
      </c>
      <c r="AF260" s="2" t="n">
        <f aca="false">INT(Z260)</f>
        <v>90</v>
      </c>
      <c r="AG260" s="2" t="n">
        <f aca="false">INT(AA260)</f>
        <v>74</v>
      </c>
      <c r="AH260" s="2" t="n">
        <f aca="false">INT(AB260)</f>
        <v>95</v>
      </c>
      <c r="AI260" s="2" t="n">
        <f aca="false">INT(AC260)</f>
        <v>76</v>
      </c>
      <c r="AJ260" s="2" t="n">
        <f aca="false">INT(AD260)</f>
        <v>71</v>
      </c>
      <c r="AK260" s="2" t="n">
        <f aca="false">Settings!$B$3-SUM(AE260:AJ260)</f>
        <v>4</v>
      </c>
      <c r="AL260" s="2" t="n">
        <f aca="false">ROUND(Y260-AE260,9)</f>
        <v>0.579710145</v>
      </c>
      <c r="AM260" s="2" t="n">
        <f aca="false">ROUND(Z260-AF260,9)</f>
        <v>0.579710145</v>
      </c>
      <c r="AN260" s="2" t="n">
        <f aca="false">ROUND(AA260-AG260,9)</f>
        <v>0.879227053</v>
      </c>
      <c r="AO260" s="2" t="n">
        <f aca="false">ROUND(AB260-AH260,9)</f>
        <v>0.410628019</v>
      </c>
      <c r="AP260" s="2" t="n">
        <f aca="false">ROUND(AC260-AI260,9)</f>
        <v>0.892109501</v>
      </c>
      <c r="AQ260" s="2" t="n">
        <f aca="false">ROUND(AD260-AJ260,9)</f>
        <v>0.658615137</v>
      </c>
    </row>
    <row r="261" customFormat="false" ht="15" hidden="false" customHeight="false" outlineLevel="0" collapsed="false">
      <c r="A261" s="2" t="n">
        <v>260</v>
      </c>
      <c r="B261" s="6" t="n">
        <v>6</v>
      </c>
      <c r="C261" s="6" t="n">
        <v>21</v>
      </c>
      <c r="D261" s="8" t="str">
        <f aca="false">INDEX(Bases!$B$2:$B$53,B261)</f>
        <v>Numel</v>
      </c>
      <c r="E261" s="8" t="str">
        <f aca="false">INDEX(Bases!$B$2:$B$53,C261)</f>
        <v>Makuhita</v>
      </c>
      <c r="F261" s="2" t="str">
        <f aca="false">LEFT(D261,ROUNDUP(LEN(D261)/2,0))&amp;LOWER(MID(E261,ROUNDUP(LEN(E261)/2,0)+1,20))</f>
        <v>Numhita</v>
      </c>
      <c r="G261" s="8" t="str">
        <f aca="false">INDEX(Bases!$C$2:$C$53,B261)</f>
        <v>Fire</v>
      </c>
      <c r="H261" s="8" t="str">
        <f aca="false">IF(INDEX(Bases!$C$2:$C$53,C261)=G261,"",INDEX(Bases!$C$2:$C$53,C261))</f>
        <v>Fighting</v>
      </c>
      <c r="I261" s="8" t="str">
        <f aca="false">IF(INDEX(Bases!$E$2:$E$53,B261)="","",INDEX(Bases!$E$2:$E$53,B261))</f>
        <v/>
      </c>
      <c r="J261" s="8" t="str">
        <f aca="false">IF(INDEX(Bases!$E$2:$E$53,C261)="","",INDEX(Bases!$E$2:$E$53,C261))</f>
        <v/>
      </c>
      <c r="K261" s="5"/>
      <c r="L261" s="2" t="n">
        <f aca="false">AE261+IF(SUMPRODUCT(--($AL261:$AQ261&gt;AL261))&lt;$AK261,1,0)</f>
        <v>127</v>
      </c>
      <c r="M261" s="2" t="n">
        <f aca="false">AF261+IF(SUMPRODUCT(--($AL261:$AQ261&gt;AM261))+SUMPRODUCT(--($AL261:AL261=AM261))&lt;$AK261,1,0)</f>
        <v>111</v>
      </c>
      <c r="N261" s="2" t="n">
        <f aca="false">AG261+IF(SUMPRODUCT(--($AL261:$AQ261&gt;AN261))+SUMPRODUCT(--($AL261:AM261=AN261))&lt;$AK261,1,0)</f>
        <v>61</v>
      </c>
      <c r="O261" s="2" t="n">
        <f aca="false">AH261+IF(SUMPRODUCT(--($AL261:$AQ261&gt;AO261))+SUMPRODUCT(--($AL261:AN261=AO261))&lt;$AK261,1,0)</f>
        <v>81</v>
      </c>
      <c r="P261" s="2" t="n">
        <f aca="false">AI261+IF(SUMPRODUCT(--($AL261:$AQ261&gt;AP261))+SUMPRODUCT(--($AL261:AO261=AP261))&lt;$AK261,1,0)</f>
        <v>67</v>
      </c>
      <c r="Q261" s="2" t="n">
        <f aca="false">AJ261+IF(SUMPRODUCT(--($AL261:$AQ261&gt;AQ261))+SUMPRODUCT(--($AL261:AP261=AQ261))&lt;$AK261,1,0)</f>
        <v>53</v>
      </c>
      <c r="R261" s="2" t="n">
        <f aca="false">SUM(L261:Q261)</f>
        <v>500</v>
      </c>
      <c r="S261" s="2" t="n">
        <f aca="false">Settings!$B$4*MAX(INDEX(Bases!$M$2:$M$53,B261),INDEX(Bases!$M$2:$M$53,C261))+Settings!$B$5*MIN(INDEX(Bases!$M$2:$M$53,B261),INDEX(Bases!$M$2:$M$53,C261))</f>
        <v>107</v>
      </c>
      <c r="T261" s="2" t="n">
        <f aca="false">Settings!$B$4*MAX(INDEX(Bases!$N$2:$N$53,B261),INDEX(Bases!$N$2:$N$53,C261))+Settings!$B$5*MIN(INDEX(Bases!$N$2:$N$53,B261),INDEX(Bases!$N$2:$N$53,C261))</f>
        <v>93.6666666666667</v>
      </c>
      <c r="U261" s="2" t="n">
        <f aca="false">Settings!$B$4*MAX(INDEX(Bases!$O$2:$O$53,B261),INDEX(Bases!$O$2:$O$53,C261))+Settings!$B$5*MIN(INDEX(Bases!$O$2:$O$53,B261),INDEX(Bases!$O$2:$O$53,C261))</f>
        <v>51.6666666666667</v>
      </c>
      <c r="V261" s="2" t="n">
        <f aca="false">Settings!$B$4*MAX(INDEX(Bases!$P$2:$P$53,B261),INDEX(Bases!$P$2:$P$53,C261))+Settings!$B$5*MIN(INDEX(Bases!$P$2:$P$53,B261),INDEX(Bases!$P$2:$P$53,C261))</f>
        <v>68</v>
      </c>
      <c r="W261" s="2" t="n">
        <f aca="false">Settings!$B$4*MAX(INDEX(Bases!$Q$2:$Q$53,B261),INDEX(Bases!$Q$2:$Q$53,C261))+Settings!$B$5*MIN(INDEX(Bases!$Q$2:$Q$53,B261),INDEX(Bases!$Q$2:$Q$53,C261))</f>
        <v>56.3333333333333</v>
      </c>
      <c r="X261" s="2" t="n">
        <f aca="false">Settings!$B$4*MAX(INDEX(Bases!$R$2:$R$53,B261),INDEX(Bases!$R$2:$R$53,C261))+Settings!$B$5*MIN(INDEX(Bases!$R$2:$R$53,B261),INDEX(Bases!$R$2:$R$53,C261))</f>
        <v>44.6666666666667</v>
      </c>
      <c r="Y261" s="2" t="n">
        <f aca="false">S261*Settings!$B$3/SUM(S261:X261)</f>
        <v>126.977848101266</v>
      </c>
      <c r="Z261" s="2" t="n">
        <f aca="false">T261*Settings!$B$3/SUM(S261:X261)</f>
        <v>111.155063291139</v>
      </c>
      <c r="AA261" s="2" t="n">
        <f aca="false">U261*Settings!$B$3/SUM(S261:X261)</f>
        <v>61.3132911392405</v>
      </c>
      <c r="AB261" s="2" t="n">
        <f aca="false">V261*Settings!$B$3/SUM(S261:X261)</f>
        <v>80.6962025316456</v>
      </c>
      <c r="AC261" s="2" t="n">
        <f aca="false">W261*Settings!$B$3/SUM(S261:X261)</f>
        <v>66.8512658227848</v>
      </c>
      <c r="AD261" s="2" t="n">
        <f aca="false">X261*Settings!$B$3/SUM(S261:X261)</f>
        <v>53.0063291139241</v>
      </c>
      <c r="AE261" s="2" t="n">
        <f aca="false">INT(Y261)</f>
        <v>126</v>
      </c>
      <c r="AF261" s="2" t="n">
        <f aca="false">INT(Z261)</f>
        <v>111</v>
      </c>
      <c r="AG261" s="2" t="n">
        <f aca="false">INT(AA261)</f>
        <v>61</v>
      </c>
      <c r="AH261" s="2" t="n">
        <f aca="false">INT(AB261)</f>
        <v>80</v>
      </c>
      <c r="AI261" s="2" t="n">
        <f aca="false">INT(AC261)</f>
        <v>66</v>
      </c>
      <c r="AJ261" s="2" t="n">
        <f aca="false">INT(AD261)</f>
        <v>53</v>
      </c>
      <c r="AK261" s="2" t="n">
        <f aca="false">Settings!$B$3-SUM(AE261:AJ261)</f>
        <v>3</v>
      </c>
      <c r="AL261" s="2" t="n">
        <f aca="false">ROUND(Y261-AE261,9)</f>
        <v>0.977848101</v>
      </c>
      <c r="AM261" s="2" t="n">
        <f aca="false">ROUND(Z261-AF261,9)</f>
        <v>0.155063291</v>
      </c>
      <c r="AN261" s="2" t="n">
        <f aca="false">ROUND(AA261-AG261,9)</f>
        <v>0.313291139</v>
      </c>
      <c r="AO261" s="2" t="n">
        <f aca="false">ROUND(AB261-AH261,9)</f>
        <v>0.696202532</v>
      </c>
      <c r="AP261" s="2" t="n">
        <f aca="false">ROUND(AC261-AI261,9)</f>
        <v>0.851265823</v>
      </c>
      <c r="AQ261" s="2" t="n">
        <f aca="false">ROUND(AD261-AJ261,9)</f>
        <v>0.006329114</v>
      </c>
    </row>
    <row r="262" customFormat="false" ht="15" hidden="false" customHeight="false" outlineLevel="0" collapsed="false">
      <c r="A262" s="2" t="n">
        <v>261</v>
      </c>
      <c r="B262" s="6" t="n">
        <v>6</v>
      </c>
      <c r="C262" s="6" t="n">
        <v>22</v>
      </c>
      <c r="D262" s="8" t="str">
        <f aca="false">INDEX(Bases!$B$2:$B$53,B262)</f>
        <v>Numel</v>
      </c>
      <c r="E262" s="8" t="str">
        <f aca="false">INDEX(Bases!$B$2:$B$53,C262)</f>
        <v>Ekans</v>
      </c>
      <c r="F262" s="2" t="str">
        <f aca="false">LEFT(D262,ROUNDUP(LEN(D262)/2,0))&amp;LOWER(MID(E262,ROUNDUP(LEN(E262)/2,0)+1,20))</f>
        <v>Numns</v>
      </c>
      <c r="G262" s="8" t="str">
        <f aca="false">INDEX(Bases!$C$2:$C$53,B262)</f>
        <v>Fire</v>
      </c>
      <c r="H262" s="8" t="str">
        <f aca="false">IF(INDEX(Bases!$C$2:$C$53,C262)=G262,"",INDEX(Bases!$C$2:$C$53,C262))</f>
        <v>Poison</v>
      </c>
      <c r="I262" s="8" t="str">
        <f aca="false">IF(INDEX(Bases!$E$2:$E$53,B262)="","",INDEX(Bases!$E$2:$E$53,B262))</f>
        <v/>
      </c>
      <c r="J262" s="8" t="str">
        <f aca="false">IF(INDEX(Bases!$E$2:$E$53,C262)="","",INDEX(Bases!$E$2:$E$53,C262))</f>
        <v/>
      </c>
      <c r="K262" s="5"/>
      <c r="L262" s="2" t="n">
        <f aca="false">AE262+IF(SUMPRODUCT(--($AL262:$AQ262&gt;AL262))&lt;$AK262,1,0)</f>
        <v>82</v>
      </c>
      <c r="M262" s="2" t="n">
        <f aca="false">AF262+IF(SUMPRODUCT(--($AL262:$AQ262&gt;AM262))+SUMPRODUCT(--($AL262:AL262=AM262))&lt;$AK262,1,0)</f>
        <v>97</v>
      </c>
      <c r="N262" s="2" t="n">
        <f aca="false">AG262+IF(SUMPRODUCT(--($AL262:$AQ262&gt;AN262))+SUMPRODUCT(--($AL262:AM262=AN262))&lt;$AK262,1,0)</f>
        <v>69</v>
      </c>
      <c r="O262" s="2" t="n">
        <f aca="false">AH262+IF(SUMPRODUCT(--($AL262:$AQ262&gt;AO262))+SUMPRODUCT(--($AL262:AN262=AO262))&lt;$AK262,1,0)</f>
        <v>90</v>
      </c>
      <c r="P262" s="2" t="n">
        <f aca="false">AI262+IF(SUMPRODUCT(--($AL262:$AQ262&gt;AP262))+SUMPRODUCT(--($AL262:AO262=AP262))&lt;$AK262,1,0)</f>
        <v>83</v>
      </c>
      <c r="Q262" s="2" t="n">
        <f aca="false">AJ262+IF(SUMPRODUCT(--($AL262:$AQ262&gt;AQ262))+SUMPRODUCT(--($AL262:AP262=AQ262))&lt;$AK262,1,0)</f>
        <v>79</v>
      </c>
      <c r="R262" s="2" t="n">
        <f aca="false">SUM(L262:Q262)</f>
        <v>500</v>
      </c>
      <c r="S262" s="2" t="n">
        <f aca="false">Settings!$B$4*MAX(INDEX(Bases!$M$2:$M$53,B262),INDEX(Bases!$M$2:$M$53,C262))+Settings!$B$5*MIN(INDEX(Bases!$M$2:$M$53,B262),INDEX(Bases!$M$2:$M$53,C262))</f>
        <v>69</v>
      </c>
      <c r="T262" s="2" t="n">
        <f aca="false">Settings!$B$4*MAX(INDEX(Bases!$N$2:$N$53,B262),INDEX(Bases!$N$2:$N$53,C262))+Settings!$B$5*MIN(INDEX(Bases!$N$2:$N$53,B262),INDEX(Bases!$N$2:$N$53,C262))</f>
        <v>81.6666666666667</v>
      </c>
      <c r="U262" s="2" t="n">
        <f aca="false">Settings!$B$4*MAX(INDEX(Bases!$O$2:$O$53,B262),INDEX(Bases!$O$2:$O$53,C262))+Settings!$B$5*MIN(INDEX(Bases!$O$2:$O$53,B262),INDEX(Bases!$O$2:$O$53,C262))</f>
        <v>58</v>
      </c>
      <c r="V262" s="2" t="n">
        <f aca="false">Settings!$B$4*MAX(INDEX(Bases!$P$2:$P$53,B262),INDEX(Bases!$P$2:$P$53,C262))+Settings!$B$5*MIN(INDEX(Bases!$P$2:$P$53,B262),INDEX(Bases!$P$2:$P$53,C262))</f>
        <v>75.3333333333333</v>
      </c>
      <c r="W262" s="2" t="n">
        <f aca="false">Settings!$B$4*MAX(INDEX(Bases!$Q$2:$Q$53,B262),INDEX(Bases!$Q$2:$Q$53,C262))+Settings!$B$5*MIN(INDEX(Bases!$Q$2:$Q$53,B262),INDEX(Bases!$Q$2:$Q$53,C262))</f>
        <v>69.6666666666667</v>
      </c>
      <c r="X262" s="2" t="n">
        <f aca="false">Settings!$B$4*MAX(INDEX(Bases!$R$2:$R$53,B262),INDEX(Bases!$R$2:$R$53,C262))+Settings!$B$5*MIN(INDEX(Bases!$R$2:$R$53,B262),INDEX(Bases!$R$2:$R$53,C262))</f>
        <v>66</v>
      </c>
      <c r="Y262" s="2" t="n">
        <f aca="false">S262*Settings!$B$3/SUM(S262:X262)</f>
        <v>82.2081016679905</v>
      </c>
      <c r="Z262" s="2" t="n">
        <f aca="false">T262*Settings!$B$3/SUM(S262:X262)</f>
        <v>97.2994440031771</v>
      </c>
      <c r="AA262" s="2" t="n">
        <f aca="false">U262*Settings!$B$3/SUM(S262:X262)</f>
        <v>69.1024622716442</v>
      </c>
      <c r="AB262" s="2" t="n">
        <f aca="false">V262*Settings!$B$3/SUM(S262:X262)</f>
        <v>89.7537728355838</v>
      </c>
      <c r="AC262" s="2" t="n">
        <f aca="false">W262*Settings!$B$3/SUM(S262:X262)</f>
        <v>83.0023828435266</v>
      </c>
      <c r="AD262" s="2" t="n">
        <f aca="false">X262*Settings!$B$3/SUM(S262:X262)</f>
        <v>78.6338363780779</v>
      </c>
      <c r="AE262" s="2" t="n">
        <f aca="false">INT(Y262)</f>
        <v>82</v>
      </c>
      <c r="AF262" s="2" t="n">
        <f aca="false">INT(Z262)</f>
        <v>97</v>
      </c>
      <c r="AG262" s="2" t="n">
        <f aca="false">INT(AA262)</f>
        <v>69</v>
      </c>
      <c r="AH262" s="2" t="n">
        <f aca="false">INT(AB262)</f>
        <v>89</v>
      </c>
      <c r="AI262" s="2" t="n">
        <f aca="false">INT(AC262)</f>
        <v>83</v>
      </c>
      <c r="AJ262" s="2" t="n">
        <f aca="false">INT(AD262)</f>
        <v>78</v>
      </c>
      <c r="AK262" s="2" t="n">
        <f aca="false">Settings!$B$3-SUM(AE262:AJ262)</f>
        <v>2</v>
      </c>
      <c r="AL262" s="2" t="n">
        <f aca="false">ROUND(Y262-AE262,9)</f>
        <v>0.208101668</v>
      </c>
      <c r="AM262" s="2" t="n">
        <f aca="false">ROUND(Z262-AF262,9)</f>
        <v>0.299444003</v>
      </c>
      <c r="AN262" s="2" t="n">
        <f aca="false">ROUND(AA262-AG262,9)</f>
        <v>0.102462272</v>
      </c>
      <c r="AO262" s="2" t="n">
        <f aca="false">ROUND(AB262-AH262,9)</f>
        <v>0.753772836</v>
      </c>
      <c r="AP262" s="2" t="n">
        <f aca="false">ROUND(AC262-AI262,9)</f>
        <v>0.002382844</v>
      </c>
      <c r="AQ262" s="2" t="n">
        <f aca="false">ROUND(AD262-AJ262,9)</f>
        <v>0.633836378</v>
      </c>
    </row>
    <row r="263" customFormat="false" ht="15" hidden="false" customHeight="false" outlineLevel="0" collapsed="false">
      <c r="A263" s="2" t="n">
        <v>262</v>
      </c>
      <c r="B263" s="6" t="n">
        <v>6</v>
      </c>
      <c r="C263" s="6" t="n">
        <v>23</v>
      </c>
      <c r="D263" s="8" t="str">
        <f aca="false">INDEX(Bases!$B$2:$B$53,B263)</f>
        <v>Numel</v>
      </c>
      <c r="E263" s="8" t="str">
        <f aca="false">INDEX(Bases!$B$2:$B$53,C263)</f>
        <v>Gulpin</v>
      </c>
      <c r="F263" s="2" t="str">
        <f aca="false">LEFT(D263,ROUNDUP(LEN(D263)/2,0))&amp;LOWER(MID(E263,ROUNDUP(LEN(E263)/2,0)+1,20))</f>
        <v>Numpin</v>
      </c>
      <c r="G263" s="8" t="str">
        <f aca="false">INDEX(Bases!$C$2:$C$53,B263)</f>
        <v>Fire</v>
      </c>
      <c r="H263" s="8" t="str">
        <f aca="false">IF(INDEX(Bases!$C$2:$C$53,C263)=G263,"",INDEX(Bases!$C$2:$C$53,C263))</f>
        <v>Poison</v>
      </c>
      <c r="I263" s="8" t="str">
        <f aca="false">IF(INDEX(Bases!$E$2:$E$53,B263)="","",INDEX(Bases!$E$2:$E$53,B263))</f>
        <v/>
      </c>
      <c r="J263" s="8" t="str">
        <f aca="false">IF(INDEX(Bases!$E$2:$E$53,C263)="","",INDEX(Bases!$E$2:$E$53,C263))</f>
        <v/>
      </c>
      <c r="K263" s="5"/>
      <c r="L263" s="2" t="n">
        <f aca="false">AE263+IF(SUMPRODUCT(--($AL263:$AQ263&gt;AL263))&lt;$AK263,1,0)</f>
        <v>106</v>
      </c>
      <c r="M263" s="2" t="n">
        <f aca="false">AF263+IF(SUMPRODUCT(--($AL263:$AQ263&gt;AM263))+SUMPRODUCT(--($AL263:AL263=AM263))&lt;$AK263,1,0)</f>
        <v>86</v>
      </c>
      <c r="N263" s="2" t="n">
        <f aca="false">AG263+IF(SUMPRODUCT(--($AL263:$AQ263&gt;AN263))+SUMPRODUCT(--($AL263:AM263=AN263))&lt;$AK263,1,0)</f>
        <v>77</v>
      </c>
      <c r="O263" s="2" t="n">
        <f aca="false">AH263+IF(SUMPRODUCT(--($AL263:$AQ263&gt;AO263))+SUMPRODUCT(--($AL263:AN263=AO263))&lt;$AK263,1,0)</f>
        <v>91</v>
      </c>
      <c r="P263" s="2" t="n">
        <f aca="false">AI263+IF(SUMPRODUCT(--($AL263:$AQ263&gt;AP263))+SUMPRODUCT(--($AL263:AO263=AP263))&lt;$AK263,1,0)</f>
        <v>79</v>
      </c>
      <c r="Q263" s="2" t="n">
        <f aca="false">AJ263+IF(SUMPRODUCT(--($AL263:$AQ263&gt;AQ263))+SUMPRODUCT(--($AL263:AP263=AQ263))&lt;$AK263,1,0)</f>
        <v>61</v>
      </c>
      <c r="R263" s="2" t="n">
        <f aca="false">SUM(L263:Q263)</f>
        <v>500</v>
      </c>
      <c r="S263" s="2" t="n">
        <f aca="false">Settings!$B$4*MAX(INDEX(Bases!$M$2:$M$53,B263),INDEX(Bases!$M$2:$M$53,C263))+Settings!$B$5*MIN(INDEX(Bases!$M$2:$M$53,B263),INDEX(Bases!$M$2:$M$53,C263))</f>
        <v>88.3333333333333</v>
      </c>
      <c r="T263" s="2" t="n">
        <f aca="false">Settings!$B$4*MAX(INDEX(Bases!$N$2:$N$53,B263),INDEX(Bases!$N$2:$N$53,C263))+Settings!$B$5*MIN(INDEX(Bases!$N$2:$N$53,B263),INDEX(Bases!$N$2:$N$53,C263))</f>
        <v>71.6666666666667</v>
      </c>
      <c r="U263" s="2" t="n">
        <f aca="false">Settings!$B$4*MAX(INDEX(Bases!$O$2:$O$53,B263),INDEX(Bases!$O$2:$O$53,C263))+Settings!$B$5*MIN(INDEX(Bases!$O$2:$O$53,B263),INDEX(Bases!$O$2:$O$53,C263))</f>
        <v>64</v>
      </c>
      <c r="V263" s="2" t="n">
        <f aca="false">Settings!$B$4*MAX(INDEX(Bases!$P$2:$P$53,B263),INDEX(Bases!$P$2:$P$53,C263))+Settings!$B$5*MIN(INDEX(Bases!$P$2:$P$53,B263),INDEX(Bases!$P$2:$P$53,C263))</f>
        <v>75.6666666666667</v>
      </c>
      <c r="W263" s="2" t="n">
        <f aca="false">Settings!$B$4*MAX(INDEX(Bases!$Q$2:$Q$53,B263),INDEX(Bases!$Q$2:$Q$53,C263))+Settings!$B$5*MIN(INDEX(Bases!$Q$2:$Q$53,B263),INDEX(Bases!$Q$2:$Q$53,C263))</f>
        <v>66.3333333333333</v>
      </c>
      <c r="X263" s="2" t="n">
        <f aca="false">Settings!$B$4*MAX(INDEX(Bases!$R$2:$R$53,B263),INDEX(Bases!$R$2:$R$53,C263))+Settings!$B$5*MIN(INDEX(Bases!$R$2:$R$53,B263),INDEX(Bases!$R$2:$R$53,C263))</f>
        <v>50.6666666666667</v>
      </c>
      <c r="Y263" s="2" t="n">
        <f aca="false">S263*Settings!$B$3/SUM(S263:X263)</f>
        <v>106</v>
      </c>
      <c r="Z263" s="2" t="n">
        <f aca="false">T263*Settings!$B$3/SUM(S263:X263)</f>
        <v>86</v>
      </c>
      <c r="AA263" s="2" t="n">
        <f aca="false">U263*Settings!$B$3/SUM(S263:X263)</f>
        <v>76.8</v>
      </c>
      <c r="AB263" s="2" t="n">
        <f aca="false">V263*Settings!$B$3/SUM(S263:X263)</f>
        <v>90.8</v>
      </c>
      <c r="AC263" s="2" t="n">
        <f aca="false">W263*Settings!$B$3/SUM(S263:X263)</f>
        <v>79.6</v>
      </c>
      <c r="AD263" s="2" t="n">
        <f aca="false">X263*Settings!$B$3/SUM(S263:X263)</f>
        <v>60.8</v>
      </c>
      <c r="AE263" s="2" t="n">
        <f aca="false">INT(Y263)</f>
        <v>106</v>
      </c>
      <c r="AF263" s="2" t="n">
        <f aca="false">INT(Z263)</f>
        <v>86</v>
      </c>
      <c r="AG263" s="2" t="n">
        <f aca="false">INT(AA263)</f>
        <v>76</v>
      </c>
      <c r="AH263" s="2" t="n">
        <f aca="false">INT(AB263)</f>
        <v>90</v>
      </c>
      <c r="AI263" s="2" t="n">
        <f aca="false">INT(AC263)</f>
        <v>79</v>
      </c>
      <c r="AJ263" s="2" t="n">
        <f aca="false">INT(AD263)</f>
        <v>60</v>
      </c>
      <c r="AK263" s="2" t="n">
        <f aca="false">Settings!$B$3-SUM(AE263:AJ263)</f>
        <v>3</v>
      </c>
      <c r="AL263" s="2" t="n">
        <f aca="false">ROUND(Y263-AE263,9)</f>
        <v>0</v>
      </c>
      <c r="AM263" s="2" t="n">
        <f aca="false">ROUND(Z263-AF263,9)</f>
        <v>0</v>
      </c>
      <c r="AN263" s="2" t="n">
        <f aca="false">ROUND(AA263-AG263,9)</f>
        <v>0.8</v>
      </c>
      <c r="AO263" s="2" t="n">
        <f aca="false">ROUND(AB263-AH263,9)</f>
        <v>0.8</v>
      </c>
      <c r="AP263" s="2" t="n">
        <f aca="false">ROUND(AC263-AI263,9)</f>
        <v>0.6</v>
      </c>
      <c r="AQ263" s="2" t="n">
        <f aca="false">ROUND(AD263-AJ263,9)</f>
        <v>0.8</v>
      </c>
    </row>
    <row r="264" customFormat="false" ht="15" hidden="false" customHeight="false" outlineLevel="0" collapsed="false">
      <c r="A264" s="2" t="n">
        <v>263</v>
      </c>
      <c r="B264" s="6" t="n">
        <v>6</v>
      </c>
      <c r="C264" s="6" t="n">
        <v>24</v>
      </c>
      <c r="D264" s="8" t="str">
        <f aca="false">INDEX(Bases!$B$2:$B$53,B264)</f>
        <v>Numel</v>
      </c>
      <c r="E264" s="8" t="str">
        <f aca="false">INDEX(Bases!$B$2:$B$53,C264)</f>
        <v>Koffing</v>
      </c>
      <c r="F264" s="2" t="str">
        <f aca="false">LEFT(D264,ROUNDUP(LEN(D264)/2,0))&amp;LOWER(MID(E264,ROUNDUP(LEN(E264)/2,0)+1,20))</f>
        <v>Numing</v>
      </c>
      <c r="G264" s="8" t="str">
        <f aca="false">INDEX(Bases!$C$2:$C$53,B264)</f>
        <v>Fire</v>
      </c>
      <c r="H264" s="8" t="str">
        <f aca="false">IF(INDEX(Bases!$C$2:$C$53,C264)=G264,"",INDEX(Bases!$C$2:$C$53,C264))</f>
        <v>Poison</v>
      </c>
      <c r="I264" s="8" t="str">
        <f aca="false">IF(INDEX(Bases!$E$2:$E$53,B264)="","",INDEX(Bases!$E$2:$E$53,B264))</f>
        <v/>
      </c>
      <c r="J264" s="8" t="str">
        <f aca="false">IF(INDEX(Bases!$E$2:$E$53,C264)="","",INDEX(Bases!$E$2:$E$53,C264))</f>
        <v/>
      </c>
      <c r="K264" s="5"/>
      <c r="L264" s="2" t="n">
        <f aca="false">AE264+IF(SUMPRODUCT(--($AL264:$AQ264&gt;AL264))&lt;$AK264,1,0)</f>
        <v>81</v>
      </c>
      <c r="M264" s="2" t="n">
        <f aca="false">AF264+IF(SUMPRODUCT(--($AL264:$AQ264&gt;AM264))+SUMPRODUCT(--($AL264:AL264=AM264))&lt;$AK264,1,0)</f>
        <v>93</v>
      </c>
      <c r="N264" s="2" t="n">
        <f aca="false">AG264+IF(SUMPRODUCT(--($AL264:$AQ264&gt;AN264))+SUMPRODUCT(--($AL264:AM264=AN264))&lt;$AK264,1,0)</f>
        <v>109</v>
      </c>
      <c r="O264" s="2" t="n">
        <f aca="false">AH264+IF(SUMPRODUCT(--($AL264:$AQ264&gt;AO264))+SUMPRODUCT(--($AL264:AN264=AO264))&lt;$AK264,1,0)</f>
        <v>96</v>
      </c>
      <c r="P264" s="2" t="n">
        <f aca="false">AI264+IF(SUMPRODUCT(--($AL264:$AQ264&gt;AP264))+SUMPRODUCT(--($AL264:AO264=AP264))&lt;$AK264,1,0)</f>
        <v>68</v>
      </c>
      <c r="Q264" s="2" t="n">
        <f aca="false">AJ264+IF(SUMPRODUCT(--($AL264:$AQ264&gt;AQ264))+SUMPRODUCT(--($AL264:AP264=AQ264))&lt;$AK264,1,0)</f>
        <v>53</v>
      </c>
      <c r="R264" s="2" t="n">
        <f aca="false">SUM(L264:Q264)</f>
        <v>500</v>
      </c>
      <c r="S264" s="2" t="n">
        <f aca="false">Settings!$B$4*MAX(INDEX(Bases!$M$2:$M$53,B264),INDEX(Bases!$M$2:$M$53,C264))+Settings!$B$5*MIN(INDEX(Bases!$M$2:$M$53,B264),INDEX(Bases!$M$2:$M$53,C264))</f>
        <v>68.3333333333333</v>
      </c>
      <c r="T264" s="2" t="n">
        <f aca="false">Settings!$B$4*MAX(INDEX(Bases!$N$2:$N$53,B264),INDEX(Bases!$N$2:$N$53,C264))+Settings!$B$5*MIN(INDEX(Bases!$N$2:$N$53,B264),INDEX(Bases!$N$2:$N$53,C264))</f>
        <v>78</v>
      </c>
      <c r="U264" s="2" t="n">
        <f aca="false">Settings!$B$4*MAX(INDEX(Bases!$O$2:$O$53,B264),INDEX(Bases!$O$2:$O$53,C264))+Settings!$B$5*MIN(INDEX(Bases!$O$2:$O$53,B264),INDEX(Bases!$O$2:$O$53,C264))</f>
        <v>92</v>
      </c>
      <c r="V264" s="2" t="n">
        <f aca="false">Settings!$B$4*MAX(INDEX(Bases!$P$2:$P$53,B264),INDEX(Bases!$P$2:$P$53,C264))+Settings!$B$5*MIN(INDEX(Bases!$P$2:$P$53,B264),INDEX(Bases!$P$2:$P$53,C264))</f>
        <v>80.3333333333333</v>
      </c>
      <c r="W264" s="2" t="n">
        <f aca="false">Settings!$B$4*MAX(INDEX(Bases!$Q$2:$Q$53,B264),INDEX(Bases!$Q$2:$Q$53,C264))+Settings!$B$5*MIN(INDEX(Bases!$Q$2:$Q$53,B264),INDEX(Bases!$Q$2:$Q$53,C264))</f>
        <v>57</v>
      </c>
      <c r="X264" s="2" t="n">
        <f aca="false">Settings!$B$4*MAX(INDEX(Bases!$R$2:$R$53,B264),INDEX(Bases!$R$2:$R$53,C264))+Settings!$B$5*MIN(INDEX(Bases!$R$2:$R$53,B264),INDEX(Bases!$R$2:$R$53,C264))</f>
        <v>44.3333333333333</v>
      </c>
      <c r="Y264" s="2" t="n">
        <f aca="false">S264*Settings!$B$3/SUM(S264:X264)</f>
        <v>81.3492063492064</v>
      </c>
      <c r="Z264" s="2" t="n">
        <f aca="false">T264*Settings!$B$3/SUM(S264:X264)</f>
        <v>92.8571428571429</v>
      </c>
      <c r="AA264" s="2" t="n">
        <f aca="false">U264*Settings!$B$3/SUM(S264:X264)</f>
        <v>109.52380952381</v>
      </c>
      <c r="AB264" s="2" t="n">
        <f aca="false">V264*Settings!$B$3/SUM(S264:X264)</f>
        <v>95.6349206349207</v>
      </c>
      <c r="AC264" s="2" t="n">
        <f aca="false">W264*Settings!$B$3/SUM(S264:X264)</f>
        <v>67.8571428571429</v>
      </c>
      <c r="AD264" s="2" t="n">
        <f aca="false">X264*Settings!$B$3/SUM(S264:X264)</f>
        <v>52.7777777777778</v>
      </c>
      <c r="AE264" s="2" t="n">
        <f aca="false">INT(Y264)</f>
        <v>81</v>
      </c>
      <c r="AF264" s="2" t="n">
        <f aca="false">INT(Z264)</f>
        <v>92</v>
      </c>
      <c r="AG264" s="2" t="n">
        <f aca="false">INT(AA264)</f>
        <v>109</v>
      </c>
      <c r="AH264" s="2" t="n">
        <f aca="false">INT(AB264)</f>
        <v>95</v>
      </c>
      <c r="AI264" s="2" t="n">
        <f aca="false">INT(AC264)</f>
        <v>67</v>
      </c>
      <c r="AJ264" s="2" t="n">
        <f aca="false">INT(AD264)</f>
        <v>52</v>
      </c>
      <c r="AK264" s="2" t="n">
        <f aca="false">Settings!$B$3-SUM(AE264:AJ264)</f>
        <v>4</v>
      </c>
      <c r="AL264" s="2" t="n">
        <f aca="false">ROUND(Y264-AE264,9)</f>
        <v>0.349206349</v>
      </c>
      <c r="AM264" s="2" t="n">
        <f aca="false">ROUND(Z264-AF264,9)</f>
        <v>0.857142857</v>
      </c>
      <c r="AN264" s="2" t="n">
        <f aca="false">ROUND(AA264-AG264,9)</f>
        <v>0.523809524</v>
      </c>
      <c r="AO264" s="2" t="n">
        <f aca="false">ROUND(AB264-AH264,9)</f>
        <v>0.634920635</v>
      </c>
      <c r="AP264" s="2" t="n">
        <f aca="false">ROUND(AC264-AI264,9)</f>
        <v>0.857142857</v>
      </c>
      <c r="AQ264" s="2" t="n">
        <f aca="false">ROUND(AD264-AJ264,9)</f>
        <v>0.777777778</v>
      </c>
    </row>
    <row r="265" customFormat="false" ht="15" hidden="false" customHeight="false" outlineLevel="0" collapsed="false">
      <c r="A265" s="2" t="n">
        <v>264</v>
      </c>
      <c r="B265" s="6" t="n">
        <v>6</v>
      </c>
      <c r="C265" s="6" t="n">
        <v>25</v>
      </c>
      <c r="D265" s="8" t="str">
        <f aca="false">INDEX(Bases!$B$2:$B$53,B265)</f>
        <v>Numel</v>
      </c>
      <c r="E265" s="8" t="str">
        <f aca="false">INDEX(Bases!$B$2:$B$53,C265)</f>
        <v>Sandshrew</v>
      </c>
      <c r="F265" s="2" t="str">
        <f aca="false">LEFT(D265,ROUNDUP(LEN(D265)/2,0))&amp;LOWER(MID(E265,ROUNDUP(LEN(E265)/2,0)+1,20))</f>
        <v>Numhrew</v>
      </c>
      <c r="G265" s="8" t="str">
        <f aca="false">INDEX(Bases!$C$2:$C$53,B265)</f>
        <v>Fire</v>
      </c>
      <c r="H265" s="8" t="str">
        <f aca="false">IF(INDEX(Bases!$C$2:$C$53,C265)=G265,"",INDEX(Bases!$C$2:$C$53,C265))</f>
        <v>Ground</v>
      </c>
      <c r="I265" s="8" t="str">
        <f aca="false">IF(INDEX(Bases!$E$2:$E$53,B265)="","",INDEX(Bases!$E$2:$E$53,B265))</f>
        <v/>
      </c>
      <c r="J265" s="8" t="str">
        <f aca="false">IF(INDEX(Bases!$E$2:$E$53,C265)="","",INDEX(Bases!$E$2:$E$53,C265))</f>
        <v/>
      </c>
      <c r="K265" s="5"/>
      <c r="L265" s="2" t="n">
        <f aca="false">AE265+IF(SUMPRODUCT(--($AL265:$AQ265&gt;AL265))&lt;$AK265,1,0)</f>
        <v>87</v>
      </c>
      <c r="M265" s="2" t="n">
        <f aca="false">AF265+IF(SUMPRODUCT(--($AL265:$AQ265&gt;AM265))+SUMPRODUCT(--($AL265:AL265=AM265))&lt;$AK265,1,0)</f>
        <v>108</v>
      </c>
      <c r="N265" s="2" t="n">
        <f aca="false">AG265+IF(SUMPRODUCT(--($AL265:$AQ265&gt;AN265))+SUMPRODUCT(--($AL265:AM265=AN265))&lt;$AK265,1,0)</f>
        <v>108</v>
      </c>
      <c r="O265" s="2" t="n">
        <f aca="false">AH265+IF(SUMPRODUCT(--($AL265:$AQ265&gt;AO265))+SUMPRODUCT(--($AL265:AN265=AO265))&lt;$AK265,1,0)</f>
        <v>77</v>
      </c>
      <c r="P265" s="2" t="n">
        <f aca="false">AI265+IF(SUMPRODUCT(--($AL265:$AQ265&gt;AP265))+SUMPRODUCT(--($AL265:AO265=AP265))&lt;$AK265,1,0)</f>
        <v>61</v>
      </c>
      <c r="Q265" s="2" t="n">
        <f aca="false">AJ265+IF(SUMPRODUCT(--($AL265:$AQ265&gt;AQ265))+SUMPRODUCT(--($AL265:AP265=AQ265))&lt;$AK265,1,0)</f>
        <v>59</v>
      </c>
      <c r="R265" s="2" t="n">
        <f aca="false">SUM(L265:Q265)</f>
        <v>500</v>
      </c>
      <c r="S265" s="2" t="n">
        <f aca="false">Settings!$B$4*MAX(INDEX(Bases!$M$2:$M$53,B265),INDEX(Bases!$M$2:$M$53,C265))+Settings!$B$5*MIN(INDEX(Bases!$M$2:$M$53,B265),INDEX(Bases!$M$2:$M$53,C265))</f>
        <v>75</v>
      </c>
      <c r="T265" s="2" t="n">
        <f aca="false">Settings!$B$4*MAX(INDEX(Bases!$N$2:$N$53,B265),INDEX(Bases!$N$2:$N$53,C265))+Settings!$B$5*MIN(INDEX(Bases!$N$2:$N$53,B265),INDEX(Bases!$N$2:$N$53,C265))</f>
        <v>93</v>
      </c>
      <c r="U265" s="2" t="n">
        <f aca="false">Settings!$B$4*MAX(INDEX(Bases!$O$2:$O$53,B265),INDEX(Bases!$O$2:$O$53,C265))+Settings!$B$5*MIN(INDEX(Bases!$O$2:$O$53,B265),INDEX(Bases!$O$2:$O$53,C265))</f>
        <v>92.6666666666667</v>
      </c>
      <c r="V265" s="2" t="n">
        <f aca="false">Settings!$B$4*MAX(INDEX(Bases!$P$2:$P$53,B265),INDEX(Bases!$P$2:$P$53,C265))+Settings!$B$5*MIN(INDEX(Bases!$P$2:$P$53,B265),INDEX(Bases!$P$2:$P$53,C265))</f>
        <v>65.6666666666667</v>
      </c>
      <c r="W265" s="2" t="n">
        <f aca="false">Settings!$B$4*MAX(INDEX(Bases!$Q$2:$Q$53,B265),INDEX(Bases!$Q$2:$Q$53,C265))+Settings!$B$5*MIN(INDEX(Bases!$Q$2:$Q$53,B265),INDEX(Bases!$Q$2:$Q$53,C265))</f>
        <v>52.6666666666667</v>
      </c>
      <c r="X265" s="2" t="n">
        <f aca="false">Settings!$B$4*MAX(INDEX(Bases!$R$2:$R$53,B265),INDEX(Bases!$R$2:$R$53,C265))+Settings!$B$5*MIN(INDEX(Bases!$R$2:$R$53,B265),INDEX(Bases!$R$2:$R$53,C265))</f>
        <v>50.6666666666667</v>
      </c>
      <c r="Y265" s="2" t="n">
        <f aca="false">S265*Settings!$B$3/SUM(S265:X265)</f>
        <v>87.2769588828549</v>
      </c>
      <c r="Z265" s="2" t="n">
        <f aca="false">T265*Settings!$B$3/SUM(S265:X265)</f>
        <v>108.22342901474</v>
      </c>
      <c r="AA265" s="2" t="n">
        <f aca="false">U265*Settings!$B$3/SUM(S265:X265)</f>
        <v>107.835531419705</v>
      </c>
      <c r="AB265" s="2" t="n">
        <f aca="false">V265*Settings!$B$3/SUM(S265:X265)</f>
        <v>76.4158262218774</v>
      </c>
      <c r="AC265" s="2" t="n">
        <f aca="false">W265*Settings!$B$3/SUM(S265:X265)</f>
        <v>61.2878200155159</v>
      </c>
      <c r="AD265" s="2" t="n">
        <f aca="false">X265*Settings!$B$3/SUM(S265:X265)</f>
        <v>58.9604344453064</v>
      </c>
      <c r="AE265" s="2" t="n">
        <f aca="false">INT(Y265)</f>
        <v>87</v>
      </c>
      <c r="AF265" s="2" t="n">
        <f aca="false">INT(Z265)</f>
        <v>108</v>
      </c>
      <c r="AG265" s="2" t="n">
        <f aca="false">INT(AA265)</f>
        <v>107</v>
      </c>
      <c r="AH265" s="2" t="n">
        <f aca="false">INT(AB265)</f>
        <v>76</v>
      </c>
      <c r="AI265" s="2" t="n">
        <f aca="false">INT(AC265)</f>
        <v>61</v>
      </c>
      <c r="AJ265" s="2" t="n">
        <f aca="false">INT(AD265)</f>
        <v>58</v>
      </c>
      <c r="AK265" s="2" t="n">
        <f aca="false">Settings!$B$3-SUM(AE265:AJ265)</f>
        <v>3</v>
      </c>
      <c r="AL265" s="2" t="n">
        <f aca="false">ROUND(Y265-AE265,9)</f>
        <v>0.276958883</v>
      </c>
      <c r="AM265" s="2" t="n">
        <f aca="false">ROUND(Z265-AF265,9)</f>
        <v>0.223429015</v>
      </c>
      <c r="AN265" s="2" t="n">
        <f aca="false">ROUND(AA265-AG265,9)</f>
        <v>0.83553142</v>
      </c>
      <c r="AO265" s="2" t="n">
        <f aca="false">ROUND(AB265-AH265,9)</f>
        <v>0.415826222</v>
      </c>
      <c r="AP265" s="2" t="n">
        <f aca="false">ROUND(AC265-AI265,9)</f>
        <v>0.287820016</v>
      </c>
      <c r="AQ265" s="2" t="n">
        <f aca="false">ROUND(AD265-AJ265,9)</f>
        <v>0.960434445</v>
      </c>
    </row>
    <row r="266" customFormat="false" ht="15" hidden="false" customHeight="false" outlineLevel="0" collapsed="false">
      <c r="A266" s="2" t="n">
        <v>265</v>
      </c>
      <c r="B266" s="6" t="n">
        <v>6</v>
      </c>
      <c r="C266" s="6" t="n">
        <v>26</v>
      </c>
      <c r="D266" s="8" t="str">
        <f aca="false">INDEX(Bases!$B$2:$B$53,B266)</f>
        <v>Numel</v>
      </c>
      <c r="E266" s="8" t="str">
        <f aca="false">INDEX(Bases!$B$2:$B$53,C266)</f>
        <v>Phanpy</v>
      </c>
      <c r="F266" s="2" t="str">
        <f aca="false">LEFT(D266,ROUNDUP(LEN(D266)/2,0))&amp;LOWER(MID(E266,ROUNDUP(LEN(E266)/2,0)+1,20))</f>
        <v>Numnpy</v>
      </c>
      <c r="G266" s="8" t="str">
        <f aca="false">INDEX(Bases!$C$2:$C$53,B266)</f>
        <v>Fire</v>
      </c>
      <c r="H266" s="8" t="str">
        <f aca="false">IF(INDEX(Bases!$C$2:$C$53,C266)=G266,"",INDEX(Bases!$C$2:$C$53,C266))</f>
        <v>Ground</v>
      </c>
      <c r="I266" s="8" t="str">
        <f aca="false">IF(INDEX(Bases!$E$2:$E$53,B266)="","",INDEX(Bases!$E$2:$E$53,B266))</f>
        <v/>
      </c>
      <c r="J266" s="8" t="str">
        <f aca="false">IF(INDEX(Bases!$E$2:$E$53,C266)="","",INDEX(Bases!$E$2:$E$53,C266))</f>
        <v/>
      </c>
      <c r="K266" s="5"/>
      <c r="L266" s="2" t="n">
        <f aca="false">AE266+IF(SUMPRODUCT(--($AL266:$AQ266&gt;AL266))&lt;$AK266,1,0)</f>
        <v>119</v>
      </c>
      <c r="M266" s="2" t="n">
        <f aca="false">AF266+IF(SUMPRODUCT(--($AL266:$AQ266&gt;AM266))+SUMPRODUCT(--($AL266:AL266=AM266))&lt;$AK266,1,0)</f>
        <v>92</v>
      </c>
      <c r="N266" s="2" t="n">
        <f aca="false">AG266+IF(SUMPRODUCT(--($AL266:$AQ266&gt;AN266))+SUMPRODUCT(--($AL266:AM266=AN266))&lt;$AK266,1,0)</f>
        <v>79</v>
      </c>
      <c r="O266" s="2" t="n">
        <f aca="false">AH266+IF(SUMPRODUCT(--($AL266:$AQ266&gt;AO266))+SUMPRODUCT(--($AL266:AN266=AO266))&lt;$AK266,1,0)</f>
        <v>87</v>
      </c>
      <c r="P266" s="2" t="n">
        <f aca="false">AI266+IF(SUMPRODUCT(--($AL266:$AQ266&gt;AP266))+SUMPRODUCT(--($AL266:AO266=AP266))&lt;$AK266,1,0)</f>
        <v>66</v>
      </c>
      <c r="Q266" s="2" t="n">
        <f aca="false">AJ266+IF(SUMPRODUCT(--($AL266:$AQ266&gt;AQ266))+SUMPRODUCT(--($AL266:AP266=AQ266))&lt;$AK266,1,0)</f>
        <v>57</v>
      </c>
      <c r="R266" s="2" t="n">
        <f aca="false">SUM(L266:Q266)</f>
        <v>500</v>
      </c>
      <c r="S266" s="2" t="n">
        <f aca="false">Settings!$B$4*MAX(INDEX(Bases!$M$2:$M$53,B266),INDEX(Bases!$M$2:$M$53,C266))+Settings!$B$5*MIN(INDEX(Bases!$M$2:$M$53,B266),INDEX(Bases!$M$2:$M$53,C266))</f>
        <v>99</v>
      </c>
      <c r="T266" s="2" t="n">
        <f aca="false">Settings!$B$4*MAX(INDEX(Bases!$N$2:$N$53,B266),INDEX(Bases!$N$2:$N$53,C266))+Settings!$B$5*MIN(INDEX(Bases!$N$2:$N$53,B266),INDEX(Bases!$N$2:$N$53,C266))</f>
        <v>77</v>
      </c>
      <c r="U266" s="2" t="n">
        <f aca="false">Settings!$B$4*MAX(INDEX(Bases!$O$2:$O$53,B266),INDEX(Bases!$O$2:$O$53,C266))+Settings!$B$5*MIN(INDEX(Bases!$O$2:$O$53,B266),INDEX(Bases!$O$2:$O$53,C266))</f>
        <v>66</v>
      </c>
      <c r="V266" s="2" t="n">
        <f aca="false">Settings!$B$4*MAX(INDEX(Bases!$P$2:$P$53,B266),INDEX(Bases!$P$2:$P$53,C266))+Settings!$B$5*MIN(INDEX(Bases!$P$2:$P$53,B266),INDEX(Bases!$P$2:$P$53,C266))</f>
        <v>73</v>
      </c>
      <c r="W266" s="2" t="n">
        <f aca="false">Settings!$B$4*MAX(INDEX(Bases!$Q$2:$Q$53,B266),INDEX(Bases!$Q$2:$Q$53,C266))+Settings!$B$5*MIN(INDEX(Bases!$Q$2:$Q$53,B266),INDEX(Bases!$Q$2:$Q$53,C266))</f>
        <v>55.3333333333333</v>
      </c>
      <c r="X266" s="2" t="n">
        <f aca="false">Settings!$B$4*MAX(INDEX(Bases!$R$2:$R$53,B266),INDEX(Bases!$R$2:$R$53,C266))+Settings!$B$5*MIN(INDEX(Bases!$R$2:$R$53,B266),INDEX(Bases!$R$2:$R$53,C266))</f>
        <v>47.3333333333333</v>
      </c>
      <c r="Y266" s="2" t="n">
        <f aca="false">S266*Settings!$B$3/SUM(S266:X266)</f>
        <v>118.515562649641</v>
      </c>
      <c r="Z266" s="2" t="n">
        <f aca="false">T266*Settings!$B$3/SUM(S266:X266)</f>
        <v>92.1787709497207</v>
      </c>
      <c r="AA266" s="2" t="n">
        <f aca="false">U266*Settings!$B$3/SUM(S266:X266)</f>
        <v>79.0103750997606</v>
      </c>
      <c r="AB266" s="2" t="n">
        <f aca="false">V266*Settings!$B$3/SUM(S266:X266)</f>
        <v>87.390263367917</v>
      </c>
      <c r="AC266" s="2" t="n">
        <f aca="false">W266*Settings!$B$3/SUM(S266:X266)</f>
        <v>66.2410215482841</v>
      </c>
      <c r="AD266" s="2" t="n">
        <f aca="false">X266*Settings!$B$3/SUM(S266:X266)</f>
        <v>56.6640063846768</v>
      </c>
      <c r="AE266" s="2" t="n">
        <f aca="false">INT(Y266)</f>
        <v>118</v>
      </c>
      <c r="AF266" s="2" t="n">
        <f aca="false">INT(Z266)</f>
        <v>92</v>
      </c>
      <c r="AG266" s="2" t="n">
        <f aca="false">INT(AA266)</f>
        <v>79</v>
      </c>
      <c r="AH266" s="2" t="n">
        <f aca="false">INT(AB266)</f>
        <v>87</v>
      </c>
      <c r="AI266" s="2" t="n">
        <f aca="false">INT(AC266)</f>
        <v>66</v>
      </c>
      <c r="AJ266" s="2" t="n">
        <f aca="false">INT(AD266)</f>
        <v>56</v>
      </c>
      <c r="AK266" s="2" t="n">
        <f aca="false">Settings!$B$3-SUM(AE266:AJ266)</f>
        <v>2</v>
      </c>
      <c r="AL266" s="2" t="n">
        <f aca="false">ROUND(Y266-AE266,9)</f>
        <v>0.51556265</v>
      </c>
      <c r="AM266" s="2" t="n">
        <f aca="false">ROUND(Z266-AF266,9)</f>
        <v>0.17877095</v>
      </c>
      <c r="AN266" s="2" t="n">
        <f aca="false">ROUND(AA266-AG266,9)</f>
        <v>0.0103751</v>
      </c>
      <c r="AO266" s="2" t="n">
        <f aca="false">ROUND(AB266-AH266,9)</f>
        <v>0.390263368</v>
      </c>
      <c r="AP266" s="2" t="n">
        <f aca="false">ROUND(AC266-AI266,9)</f>
        <v>0.241021548</v>
      </c>
      <c r="AQ266" s="2" t="n">
        <f aca="false">ROUND(AD266-AJ266,9)</f>
        <v>0.664006385</v>
      </c>
    </row>
    <row r="267" customFormat="false" ht="15" hidden="false" customHeight="false" outlineLevel="0" collapsed="false">
      <c r="A267" s="2" t="n">
        <v>266</v>
      </c>
      <c r="B267" s="6" t="n">
        <v>6</v>
      </c>
      <c r="C267" s="6" t="n">
        <v>27</v>
      </c>
      <c r="D267" s="8" t="str">
        <f aca="false">INDEX(Bases!$B$2:$B$53,B267)</f>
        <v>Numel</v>
      </c>
      <c r="E267" s="8" t="str">
        <f aca="false">INDEX(Bases!$B$2:$B$53,C267)</f>
        <v>Baltoy</v>
      </c>
      <c r="F267" s="2" t="str">
        <f aca="false">LEFT(D267,ROUNDUP(LEN(D267)/2,0))&amp;LOWER(MID(E267,ROUNDUP(LEN(E267)/2,0)+1,20))</f>
        <v>Numtoy</v>
      </c>
      <c r="G267" s="8" t="str">
        <f aca="false">INDEX(Bases!$C$2:$C$53,B267)</f>
        <v>Fire</v>
      </c>
      <c r="H267" s="8" t="str">
        <f aca="false">IF(INDEX(Bases!$C$2:$C$53,C267)=G267,"",INDEX(Bases!$C$2:$C$53,C267))</f>
        <v>Ground</v>
      </c>
      <c r="I267" s="8" t="str">
        <f aca="false">IF(INDEX(Bases!$E$2:$E$53,B267)="","",INDEX(Bases!$E$2:$E$53,B267))</f>
        <v/>
      </c>
      <c r="J267" s="8" t="str">
        <f aca="false">IF(INDEX(Bases!$E$2:$E$53,C267)="","",INDEX(Bases!$E$2:$E$53,C267))</f>
        <v/>
      </c>
      <c r="K267" s="5"/>
      <c r="L267" s="2" t="n">
        <f aca="false">AE267+IF(SUMPRODUCT(--($AL267:$AQ267&gt;AL267))&lt;$AK267,1,0)</f>
        <v>83</v>
      </c>
      <c r="M267" s="2" t="n">
        <f aca="false">AF267+IF(SUMPRODUCT(--($AL267:$AQ267&gt;AM267))+SUMPRODUCT(--($AL267:AL267=AM267))&lt;$AK267,1,0)</f>
        <v>83</v>
      </c>
      <c r="N267" s="2" t="n">
        <f aca="false">AG267+IF(SUMPRODUCT(--($AL267:$AQ267&gt;AN267))+SUMPRODUCT(--($AL267:AM267=AN267))&lt;$AK267,1,0)</f>
        <v>77</v>
      </c>
      <c r="O267" s="2" t="n">
        <f aca="false">AH267+IF(SUMPRODUCT(--($AL267:$AQ267&gt;AO267))+SUMPRODUCT(--($AL267:AN267=AO267))&lt;$AK267,1,0)</f>
        <v>87</v>
      </c>
      <c r="P267" s="2" t="n">
        <f aca="false">AI267+IF(SUMPRODUCT(--($AL267:$AQ267&gt;AP267))+SUMPRODUCT(--($AL267:AO267=AP267))&lt;$AK267,1,0)</f>
        <v>95</v>
      </c>
      <c r="Q267" s="2" t="n">
        <f aca="false">AJ267+IF(SUMPRODUCT(--($AL267:$AQ267&gt;AQ267))+SUMPRODUCT(--($AL267:AP267=AQ267))&lt;$AK267,1,0)</f>
        <v>75</v>
      </c>
      <c r="R267" s="2" t="n">
        <f aca="false">SUM(L267:Q267)</f>
        <v>500</v>
      </c>
      <c r="S267" s="2" t="n">
        <f aca="false">Settings!$B$4*MAX(INDEX(Bases!$M$2:$M$53,B267),INDEX(Bases!$M$2:$M$53,C267))+Settings!$B$5*MIN(INDEX(Bases!$M$2:$M$53,B267),INDEX(Bases!$M$2:$M$53,C267))</f>
        <v>70.6666666666667</v>
      </c>
      <c r="T267" s="2" t="n">
        <f aca="false">Settings!$B$4*MAX(INDEX(Bases!$N$2:$N$53,B267),INDEX(Bases!$N$2:$N$53,C267))+Settings!$B$5*MIN(INDEX(Bases!$N$2:$N$53,B267),INDEX(Bases!$N$2:$N$53,C267))</f>
        <v>70.6666666666667</v>
      </c>
      <c r="U267" s="2" t="n">
        <f aca="false">Settings!$B$4*MAX(INDEX(Bases!$O$2:$O$53,B267),INDEX(Bases!$O$2:$O$53,C267))+Settings!$B$5*MIN(INDEX(Bases!$O$2:$O$53,B267),INDEX(Bases!$O$2:$O$53,C267))</f>
        <v>66</v>
      </c>
      <c r="V267" s="2" t="n">
        <f aca="false">Settings!$B$4*MAX(INDEX(Bases!$P$2:$P$53,B267),INDEX(Bases!$P$2:$P$53,C267))+Settings!$B$5*MIN(INDEX(Bases!$P$2:$P$53,B267),INDEX(Bases!$P$2:$P$53,C267))</f>
        <v>74.3333333333333</v>
      </c>
      <c r="W267" s="2" t="n">
        <f aca="false">Settings!$B$4*MAX(INDEX(Bases!$Q$2:$Q$53,B267),INDEX(Bases!$Q$2:$Q$53,C267))+Settings!$B$5*MIN(INDEX(Bases!$Q$2:$Q$53,B267),INDEX(Bases!$Q$2:$Q$53,C267))</f>
        <v>81.6666666666667</v>
      </c>
      <c r="X267" s="2" t="n">
        <f aca="false">Settings!$B$4*MAX(INDEX(Bases!$R$2:$R$53,B267),INDEX(Bases!$R$2:$R$53,C267))+Settings!$B$5*MIN(INDEX(Bases!$R$2:$R$53,B267),INDEX(Bases!$R$2:$R$53,C267))</f>
        <v>64</v>
      </c>
      <c r="Y267" s="2" t="n">
        <f aca="false">S267*Settings!$B$3/SUM(S267:X267)</f>
        <v>82.6833073322933</v>
      </c>
      <c r="Z267" s="2" t="n">
        <f aca="false">T267*Settings!$B$3/SUM(S267:X267)</f>
        <v>82.6833073322933</v>
      </c>
      <c r="AA267" s="2" t="n">
        <f aca="false">U267*Settings!$B$3/SUM(S267:X267)</f>
        <v>77.2230889235569</v>
      </c>
      <c r="AB267" s="2" t="n">
        <f aca="false">V267*Settings!$B$3/SUM(S267:X267)</f>
        <v>86.9734789391576</v>
      </c>
      <c r="AC267" s="2" t="n">
        <f aca="false">W267*Settings!$B$3/SUM(S267:X267)</f>
        <v>95.5538221528861</v>
      </c>
      <c r="AD267" s="2" t="n">
        <f aca="false">X267*Settings!$B$3/SUM(S267:X267)</f>
        <v>74.8829953198128</v>
      </c>
      <c r="AE267" s="2" t="n">
        <f aca="false">INT(Y267)</f>
        <v>82</v>
      </c>
      <c r="AF267" s="2" t="n">
        <f aca="false">INT(Z267)</f>
        <v>82</v>
      </c>
      <c r="AG267" s="2" t="n">
        <f aca="false">INT(AA267)</f>
        <v>77</v>
      </c>
      <c r="AH267" s="2" t="n">
        <f aca="false">INT(AB267)</f>
        <v>86</v>
      </c>
      <c r="AI267" s="2" t="n">
        <f aca="false">INT(AC267)</f>
        <v>95</v>
      </c>
      <c r="AJ267" s="2" t="n">
        <f aca="false">INT(AD267)</f>
        <v>74</v>
      </c>
      <c r="AK267" s="2" t="n">
        <f aca="false">Settings!$B$3-SUM(AE267:AJ267)</f>
        <v>4</v>
      </c>
      <c r="AL267" s="2" t="n">
        <f aca="false">ROUND(Y267-AE267,9)</f>
        <v>0.683307332</v>
      </c>
      <c r="AM267" s="2" t="n">
        <f aca="false">ROUND(Z267-AF267,9)</f>
        <v>0.683307332</v>
      </c>
      <c r="AN267" s="2" t="n">
        <f aca="false">ROUND(AA267-AG267,9)</f>
        <v>0.223088924</v>
      </c>
      <c r="AO267" s="2" t="n">
        <f aca="false">ROUND(AB267-AH267,9)</f>
        <v>0.973478939</v>
      </c>
      <c r="AP267" s="2" t="n">
        <f aca="false">ROUND(AC267-AI267,9)</f>
        <v>0.553822153</v>
      </c>
      <c r="AQ267" s="2" t="n">
        <f aca="false">ROUND(AD267-AJ267,9)</f>
        <v>0.88299532</v>
      </c>
    </row>
    <row r="268" customFormat="false" ht="15" hidden="false" customHeight="false" outlineLevel="0" collapsed="false">
      <c r="A268" s="2" t="n">
        <v>267</v>
      </c>
      <c r="B268" s="6" t="n">
        <v>6</v>
      </c>
      <c r="C268" s="6" t="n">
        <v>28</v>
      </c>
      <c r="D268" s="8" t="str">
        <f aca="false">INDEX(Bases!$B$2:$B$53,B268)</f>
        <v>Numel</v>
      </c>
      <c r="E268" s="8" t="str">
        <f aca="false">INDEX(Bases!$B$2:$B$53,C268)</f>
        <v>Zubat</v>
      </c>
      <c r="F268" s="2" t="str">
        <f aca="false">LEFT(D268,ROUNDUP(LEN(D268)/2,0))&amp;LOWER(MID(E268,ROUNDUP(LEN(E268)/2,0)+1,20))</f>
        <v>Numat</v>
      </c>
      <c r="G268" s="8" t="str">
        <f aca="false">INDEX(Bases!$C$2:$C$53,B268)</f>
        <v>Fire</v>
      </c>
      <c r="H268" s="8" t="str">
        <f aca="false">IF(INDEX(Bases!$C$2:$C$53,C268)=G268,"",INDEX(Bases!$C$2:$C$53,C268))</f>
        <v>Flying</v>
      </c>
      <c r="I268" s="8" t="str">
        <f aca="false">IF(INDEX(Bases!$E$2:$E$53,B268)="","",INDEX(Bases!$E$2:$E$53,B268))</f>
        <v/>
      </c>
      <c r="J268" s="8" t="str">
        <f aca="false">IF(INDEX(Bases!$E$2:$E$53,C268)="","",INDEX(Bases!$E$2:$E$53,C268))</f>
        <v/>
      </c>
      <c r="K268" s="5"/>
      <c r="L268" s="2" t="n">
        <f aca="false">AE268+IF(SUMPRODUCT(--($AL268:$AQ268&gt;AL268))&lt;$AK268,1,0)</f>
        <v>89</v>
      </c>
      <c r="M268" s="2" t="n">
        <f aca="false">AF268+IF(SUMPRODUCT(--($AL268:$AQ268&gt;AM268))+SUMPRODUCT(--($AL268:AL268=AM268))&lt;$AK268,1,0)</f>
        <v>93</v>
      </c>
      <c r="N268" s="2" t="n">
        <f aca="false">AG268+IF(SUMPRODUCT(--($AL268:$AQ268&gt;AN268))+SUMPRODUCT(--($AL268:AM268=AN268))&lt;$AK268,1,0)</f>
        <v>66</v>
      </c>
      <c r="O268" s="2" t="n">
        <f aca="false">AH268+IF(SUMPRODUCT(--($AL268:$AQ268&gt;AO268))+SUMPRODUCT(--($AL268:AN268=AO268))&lt;$AK268,1,0)</f>
        <v>87</v>
      </c>
      <c r="P268" s="2" t="n">
        <f aca="false">AI268+IF(SUMPRODUCT(--($AL268:$AQ268&gt;AP268))+SUMPRODUCT(--($AL268:AO268=AP268))&lt;$AK268,1,0)</f>
        <v>75</v>
      </c>
      <c r="Q268" s="2" t="n">
        <f aca="false">AJ268+IF(SUMPRODUCT(--($AL268:$AQ268&gt;AQ268))+SUMPRODUCT(--($AL268:AP268=AQ268))&lt;$AK268,1,0)</f>
        <v>90</v>
      </c>
      <c r="R268" s="2" t="n">
        <f aca="false">SUM(L268:Q268)</f>
        <v>500</v>
      </c>
      <c r="S268" s="2" t="n">
        <f aca="false">Settings!$B$4*MAX(INDEX(Bases!$M$2:$M$53,B268),INDEX(Bases!$M$2:$M$53,C268))+Settings!$B$5*MIN(INDEX(Bases!$M$2:$M$53,B268),INDEX(Bases!$M$2:$M$53,C268))</f>
        <v>74.3333333333333</v>
      </c>
      <c r="T268" s="2" t="n">
        <f aca="false">Settings!$B$4*MAX(INDEX(Bases!$N$2:$N$53,B268),INDEX(Bases!$N$2:$N$53,C268))+Settings!$B$5*MIN(INDEX(Bases!$N$2:$N$53,B268),INDEX(Bases!$N$2:$N$53,C268))</f>
        <v>77.3333333333333</v>
      </c>
      <c r="U268" s="2" t="n">
        <f aca="false">Settings!$B$4*MAX(INDEX(Bases!$O$2:$O$53,B268),INDEX(Bases!$O$2:$O$53,C268))+Settings!$B$5*MIN(INDEX(Bases!$O$2:$O$53,B268),INDEX(Bases!$O$2:$O$53,C268))</f>
        <v>55.3333333333333</v>
      </c>
      <c r="V268" s="2" t="n">
        <f aca="false">Settings!$B$4*MAX(INDEX(Bases!$P$2:$P$53,B268),INDEX(Bases!$P$2:$P$53,C268))+Settings!$B$5*MIN(INDEX(Bases!$P$2:$P$53,B268),INDEX(Bases!$P$2:$P$53,C268))</f>
        <v>73</v>
      </c>
      <c r="W268" s="2" t="n">
        <f aca="false">Settings!$B$4*MAX(INDEX(Bases!$Q$2:$Q$53,B268),INDEX(Bases!$Q$2:$Q$53,C268))+Settings!$B$5*MIN(INDEX(Bases!$Q$2:$Q$53,B268),INDEX(Bases!$Q$2:$Q$53,C268))</f>
        <v>63</v>
      </c>
      <c r="X268" s="2" t="n">
        <f aca="false">Settings!$B$4*MAX(INDEX(Bases!$R$2:$R$53,B268),INDEX(Bases!$R$2:$R$53,C268))+Settings!$B$5*MIN(INDEX(Bases!$R$2:$R$53,B268),INDEX(Bases!$R$2:$R$53,C268))</f>
        <v>75.3333333333333</v>
      </c>
      <c r="Y268" s="2" t="n">
        <f aca="false">S268*Settings!$B$3/SUM(S268:X268)</f>
        <v>88.8446215139442</v>
      </c>
      <c r="Z268" s="2" t="n">
        <f aca="false">T268*Settings!$B$3/SUM(S268:X268)</f>
        <v>92.4302788844621</v>
      </c>
      <c r="AA268" s="2" t="n">
        <f aca="false">U268*Settings!$B$3/SUM(S268:X268)</f>
        <v>66.1354581673307</v>
      </c>
      <c r="AB268" s="2" t="n">
        <f aca="false">V268*Settings!$B$3/SUM(S268:X268)</f>
        <v>87.2509960159363</v>
      </c>
      <c r="AC268" s="2" t="n">
        <f aca="false">W268*Settings!$B$3/SUM(S268:X268)</f>
        <v>75.2988047808765</v>
      </c>
      <c r="AD268" s="2" t="n">
        <f aca="false">X268*Settings!$B$3/SUM(S268:X268)</f>
        <v>90.0398406374502</v>
      </c>
      <c r="AE268" s="2" t="n">
        <f aca="false">INT(Y268)</f>
        <v>88</v>
      </c>
      <c r="AF268" s="2" t="n">
        <f aca="false">INT(Z268)</f>
        <v>92</v>
      </c>
      <c r="AG268" s="2" t="n">
        <f aca="false">INT(AA268)</f>
        <v>66</v>
      </c>
      <c r="AH268" s="2" t="n">
        <f aca="false">INT(AB268)</f>
        <v>87</v>
      </c>
      <c r="AI268" s="2" t="n">
        <f aca="false">INT(AC268)</f>
        <v>75</v>
      </c>
      <c r="AJ268" s="2" t="n">
        <f aca="false">INT(AD268)</f>
        <v>90</v>
      </c>
      <c r="AK268" s="2" t="n">
        <f aca="false">Settings!$B$3-SUM(AE268:AJ268)</f>
        <v>2</v>
      </c>
      <c r="AL268" s="2" t="n">
        <f aca="false">ROUND(Y268-AE268,9)</f>
        <v>0.844621514</v>
      </c>
      <c r="AM268" s="2" t="n">
        <f aca="false">ROUND(Z268-AF268,9)</f>
        <v>0.430278884</v>
      </c>
      <c r="AN268" s="2" t="n">
        <f aca="false">ROUND(AA268-AG268,9)</f>
        <v>0.135458167</v>
      </c>
      <c r="AO268" s="2" t="n">
        <f aca="false">ROUND(AB268-AH268,9)</f>
        <v>0.250996016</v>
      </c>
      <c r="AP268" s="2" t="n">
        <f aca="false">ROUND(AC268-AI268,9)</f>
        <v>0.298804781</v>
      </c>
      <c r="AQ268" s="2" t="n">
        <f aca="false">ROUND(AD268-AJ268,9)</f>
        <v>0.039840637</v>
      </c>
    </row>
    <row r="269" customFormat="false" ht="15" hidden="false" customHeight="false" outlineLevel="0" collapsed="false">
      <c r="A269" s="2" t="n">
        <v>268</v>
      </c>
      <c r="B269" s="6" t="n">
        <v>6</v>
      </c>
      <c r="C269" s="6" t="n">
        <v>29</v>
      </c>
      <c r="D269" s="8" t="str">
        <f aca="false">INDEX(Bases!$B$2:$B$53,B269)</f>
        <v>Numel</v>
      </c>
      <c r="E269" s="8" t="str">
        <f aca="false">INDEX(Bases!$B$2:$B$53,C269)</f>
        <v>Murkrow</v>
      </c>
      <c r="F269" s="2" t="str">
        <f aca="false">LEFT(D269,ROUNDUP(LEN(D269)/2,0))&amp;LOWER(MID(E269,ROUNDUP(LEN(E269)/2,0)+1,20))</f>
        <v>Numrow</v>
      </c>
      <c r="G269" s="8" t="str">
        <f aca="false">INDEX(Bases!$C$2:$C$53,B269)</f>
        <v>Fire</v>
      </c>
      <c r="H269" s="8" t="str">
        <f aca="false">IF(INDEX(Bases!$C$2:$C$53,C269)=G269,"",INDEX(Bases!$C$2:$C$53,C269))</f>
        <v>Flying</v>
      </c>
      <c r="I269" s="8" t="str">
        <f aca="false">IF(INDEX(Bases!$E$2:$E$53,B269)="","",INDEX(Bases!$E$2:$E$53,B269))</f>
        <v/>
      </c>
      <c r="J269" s="8" t="str">
        <f aca="false">IF(INDEX(Bases!$E$2:$E$53,C269)="","",INDEX(Bases!$E$2:$E$53,C269))</f>
        <v/>
      </c>
      <c r="K269" s="5"/>
      <c r="L269" s="2" t="n">
        <f aca="false">AE269+IF(SUMPRODUCT(--($AL269:$AQ269&gt;AL269))&lt;$AK269,1,0)</f>
        <v>87</v>
      </c>
      <c r="M269" s="2" t="n">
        <f aca="false">AF269+IF(SUMPRODUCT(--($AL269:$AQ269&gt;AM269))+SUMPRODUCT(--($AL269:AL269=AM269))&lt;$AK269,1,0)</f>
        <v>99</v>
      </c>
      <c r="N269" s="2" t="n">
        <f aca="false">AG269+IF(SUMPRODUCT(--($AL269:$AQ269&gt;AN269))+SUMPRODUCT(--($AL269:AM269=AN269))&lt;$AK269,1,0)</f>
        <v>58</v>
      </c>
      <c r="O269" s="2" t="n">
        <f aca="false">AH269+IF(SUMPRODUCT(--($AL269:$AQ269&gt;AO269))+SUMPRODUCT(--($AL269:AN269=AO269))&lt;$AK269,1,0)</f>
        <v>102</v>
      </c>
      <c r="P269" s="2" t="n">
        <f aca="false">AI269+IF(SUMPRODUCT(--($AL269:$AQ269&gt;AP269))+SUMPRODUCT(--($AL269:AO269=AP269))&lt;$AK269,1,0)</f>
        <v>64</v>
      </c>
      <c r="Q269" s="2" t="n">
        <f aca="false">AJ269+IF(SUMPRODUCT(--($AL269:$AQ269&gt;AQ269))+SUMPRODUCT(--($AL269:AP269=AQ269))&lt;$AK269,1,0)</f>
        <v>90</v>
      </c>
      <c r="R269" s="2" t="n">
        <f aca="false">SUM(L269:Q269)</f>
        <v>500</v>
      </c>
      <c r="S269" s="2" t="n">
        <f aca="false">Settings!$B$4*MAX(INDEX(Bases!$M$2:$M$53,B269),INDEX(Bases!$M$2:$M$53,C269))+Settings!$B$5*MIN(INDEX(Bases!$M$2:$M$53,B269),INDEX(Bases!$M$2:$M$53,C269))</f>
        <v>72.3333333333333</v>
      </c>
      <c r="T269" s="2" t="n">
        <f aca="false">Settings!$B$4*MAX(INDEX(Bases!$N$2:$N$53,B269),INDEX(Bases!$N$2:$N$53,C269))+Settings!$B$5*MIN(INDEX(Bases!$N$2:$N$53,B269),INDEX(Bases!$N$2:$N$53,C269))</f>
        <v>82.3333333333333</v>
      </c>
      <c r="U269" s="2" t="n">
        <f aca="false">Settings!$B$4*MAX(INDEX(Bases!$O$2:$O$53,B269),INDEX(Bases!$O$2:$O$53,C269))+Settings!$B$5*MIN(INDEX(Bases!$O$2:$O$53,B269),INDEX(Bases!$O$2:$O$53,C269))</f>
        <v>48.6666666666667</v>
      </c>
      <c r="V269" s="2" t="n">
        <f aca="false">Settings!$B$4*MAX(INDEX(Bases!$P$2:$P$53,B269),INDEX(Bases!$P$2:$P$53,C269))+Settings!$B$5*MIN(INDEX(Bases!$P$2:$P$53,B269),INDEX(Bases!$P$2:$P$53,C269))</f>
        <v>84.6666666666667</v>
      </c>
      <c r="W269" s="2" t="n">
        <f aca="false">Settings!$B$4*MAX(INDEX(Bases!$Q$2:$Q$53,B269),INDEX(Bases!$Q$2:$Q$53,C269))+Settings!$B$5*MIN(INDEX(Bases!$Q$2:$Q$53,B269),INDEX(Bases!$Q$2:$Q$53,C269))</f>
        <v>53</v>
      </c>
      <c r="X269" s="2" t="n">
        <f aca="false">Settings!$B$4*MAX(INDEX(Bases!$R$2:$R$53,B269),INDEX(Bases!$R$2:$R$53,C269))+Settings!$B$5*MIN(INDEX(Bases!$R$2:$R$53,B269),INDEX(Bases!$R$2:$R$53,C269))</f>
        <v>75.3333333333333</v>
      </c>
      <c r="Y269" s="2" t="n">
        <f aca="false">S269*Settings!$B$3/SUM(S269:X269)</f>
        <v>86.8694955964772</v>
      </c>
      <c r="Z269" s="2" t="n">
        <f aca="false">T269*Settings!$B$3/SUM(S269:X269)</f>
        <v>98.8791032826261</v>
      </c>
      <c r="AA269" s="2" t="n">
        <f aca="false">U269*Settings!$B$3/SUM(S269:X269)</f>
        <v>58.4467574059247</v>
      </c>
      <c r="AB269" s="2" t="n">
        <f aca="false">V269*Settings!$B$3/SUM(S269:X269)</f>
        <v>101.681345076061</v>
      </c>
      <c r="AC269" s="2" t="n">
        <f aca="false">W269*Settings!$B$3/SUM(S269:X269)</f>
        <v>63.6509207365893</v>
      </c>
      <c r="AD269" s="2" t="n">
        <f aca="false">X269*Settings!$B$3/SUM(S269:X269)</f>
        <v>90.4723779023219</v>
      </c>
      <c r="AE269" s="2" t="n">
        <f aca="false">INT(Y269)</f>
        <v>86</v>
      </c>
      <c r="AF269" s="2" t="n">
        <f aca="false">INT(Z269)</f>
        <v>98</v>
      </c>
      <c r="AG269" s="2" t="n">
        <f aca="false">INT(AA269)</f>
        <v>58</v>
      </c>
      <c r="AH269" s="2" t="n">
        <f aca="false">INT(AB269)</f>
        <v>101</v>
      </c>
      <c r="AI269" s="2" t="n">
        <f aca="false">INT(AC269)</f>
        <v>63</v>
      </c>
      <c r="AJ269" s="2" t="n">
        <f aca="false">INT(AD269)</f>
        <v>90</v>
      </c>
      <c r="AK269" s="2" t="n">
        <f aca="false">Settings!$B$3-SUM(AE269:AJ269)</f>
        <v>4</v>
      </c>
      <c r="AL269" s="2" t="n">
        <f aca="false">ROUND(Y269-AE269,9)</f>
        <v>0.869495596</v>
      </c>
      <c r="AM269" s="2" t="n">
        <f aca="false">ROUND(Z269-AF269,9)</f>
        <v>0.879103283</v>
      </c>
      <c r="AN269" s="2" t="n">
        <f aca="false">ROUND(AA269-AG269,9)</f>
        <v>0.446757406</v>
      </c>
      <c r="AO269" s="2" t="n">
        <f aca="false">ROUND(AB269-AH269,9)</f>
        <v>0.681345076</v>
      </c>
      <c r="AP269" s="2" t="n">
        <f aca="false">ROUND(AC269-AI269,9)</f>
        <v>0.650920737</v>
      </c>
      <c r="AQ269" s="2" t="n">
        <f aca="false">ROUND(AD269-AJ269,9)</f>
        <v>0.472377902</v>
      </c>
    </row>
    <row r="270" customFormat="false" ht="15" hidden="false" customHeight="false" outlineLevel="0" collapsed="false">
      <c r="A270" s="2" t="n">
        <v>269</v>
      </c>
      <c r="B270" s="6" t="n">
        <v>6</v>
      </c>
      <c r="C270" s="6" t="n">
        <v>30</v>
      </c>
      <c r="D270" s="8" t="str">
        <f aca="false">INDEX(Bases!$B$2:$B$53,B270)</f>
        <v>Numel</v>
      </c>
      <c r="E270" s="8" t="str">
        <f aca="false">INDEX(Bases!$B$2:$B$53,C270)</f>
        <v>Swablu</v>
      </c>
      <c r="F270" s="2" t="str">
        <f aca="false">LEFT(D270,ROUNDUP(LEN(D270)/2,0))&amp;LOWER(MID(E270,ROUNDUP(LEN(E270)/2,0)+1,20))</f>
        <v>Numblu</v>
      </c>
      <c r="G270" s="8" t="str">
        <f aca="false">INDEX(Bases!$C$2:$C$53,B270)</f>
        <v>Fire</v>
      </c>
      <c r="H270" s="8" t="str">
        <f aca="false">IF(INDEX(Bases!$C$2:$C$53,C270)=G270,"",INDEX(Bases!$C$2:$C$53,C270))</f>
        <v>Flying</v>
      </c>
      <c r="I270" s="8" t="str">
        <f aca="false">IF(INDEX(Bases!$E$2:$E$53,B270)="","",INDEX(Bases!$E$2:$E$53,B270))</f>
        <v/>
      </c>
      <c r="J270" s="8" t="str">
        <f aca="false">IF(INDEX(Bases!$E$2:$E$53,C270)="","",INDEX(Bases!$E$2:$E$53,C270))</f>
        <v/>
      </c>
      <c r="K270" s="5"/>
      <c r="L270" s="2" t="n">
        <f aca="false">AE270+IF(SUMPRODUCT(--($AL270:$AQ270&gt;AL270))&lt;$AK270,1,0)</f>
        <v>84</v>
      </c>
      <c r="M270" s="2" t="n">
        <f aca="false">AF270+IF(SUMPRODUCT(--($AL270:$AQ270&gt;AM270))+SUMPRODUCT(--($AL270:AL270=AM270))&lt;$AK270,1,0)</f>
        <v>82</v>
      </c>
      <c r="N270" s="2" t="n">
        <f aca="false">AG270+IF(SUMPRODUCT(--($AL270:$AQ270&gt;AN270))+SUMPRODUCT(--($AL270:AM270=AN270))&lt;$AK270,1,0)</f>
        <v>80</v>
      </c>
      <c r="O270" s="2" t="n">
        <f aca="false">AH270+IF(SUMPRODUCT(--($AL270:$AQ270&gt;AO270))+SUMPRODUCT(--($AL270:AN270=AO270))&lt;$AK270,1,0)</f>
        <v>87</v>
      </c>
      <c r="P270" s="2" t="n">
        <f aca="false">AI270+IF(SUMPRODUCT(--($AL270:$AQ270&gt;AP270))+SUMPRODUCT(--($AL270:AO270=AP270))&lt;$AK270,1,0)</f>
        <v>99</v>
      </c>
      <c r="Q270" s="2" t="n">
        <f aca="false">AJ270+IF(SUMPRODUCT(--($AL270:$AQ270&gt;AQ270))+SUMPRODUCT(--($AL270:AP270=AQ270))&lt;$AK270,1,0)</f>
        <v>68</v>
      </c>
      <c r="R270" s="2" t="n">
        <f aca="false">SUM(L270:Q270)</f>
        <v>500</v>
      </c>
      <c r="S270" s="2" t="n">
        <f aca="false">Settings!$B$4*MAX(INDEX(Bases!$M$2:$M$53,B270),INDEX(Bases!$M$2:$M$53,C270))+Settings!$B$5*MIN(INDEX(Bases!$M$2:$M$53,B270),INDEX(Bases!$M$2:$M$53,C270))</f>
        <v>72</v>
      </c>
      <c r="T270" s="2" t="n">
        <f aca="false">Settings!$B$4*MAX(INDEX(Bases!$N$2:$N$53,B270),INDEX(Bases!$N$2:$N$53,C270))+Settings!$B$5*MIN(INDEX(Bases!$N$2:$N$53,B270),INDEX(Bases!$N$2:$N$53,C270))</f>
        <v>70</v>
      </c>
      <c r="U270" s="2" t="n">
        <f aca="false">Settings!$B$4*MAX(INDEX(Bases!$O$2:$O$53,B270),INDEX(Bases!$O$2:$O$53,C270))+Settings!$B$5*MIN(INDEX(Bases!$O$2:$O$53,B270),INDEX(Bases!$O$2:$O$53,C270))</f>
        <v>68.6666666666667</v>
      </c>
      <c r="V270" s="2" t="n">
        <f aca="false">Settings!$B$4*MAX(INDEX(Bases!$P$2:$P$53,B270),INDEX(Bases!$P$2:$P$53,C270))+Settings!$B$5*MIN(INDEX(Bases!$P$2:$P$53,B270),INDEX(Bases!$P$2:$P$53,C270))</f>
        <v>74</v>
      </c>
      <c r="W270" s="2" t="n">
        <f aca="false">Settings!$B$4*MAX(INDEX(Bases!$Q$2:$Q$53,B270),INDEX(Bases!$Q$2:$Q$53,C270))+Settings!$B$5*MIN(INDEX(Bases!$Q$2:$Q$53,B270),INDEX(Bases!$Q$2:$Q$53,C270))</f>
        <v>84.3333333333333</v>
      </c>
      <c r="X270" s="2" t="n">
        <f aca="false">Settings!$B$4*MAX(INDEX(Bases!$R$2:$R$53,B270),INDEX(Bases!$R$2:$R$53,C270))+Settings!$B$5*MIN(INDEX(Bases!$R$2:$R$53,B270),INDEX(Bases!$R$2:$R$53,C270))</f>
        <v>58</v>
      </c>
      <c r="Y270" s="2" t="n">
        <f aca="false">S270*Settings!$B$3/SUM(S270:X270)</f>
        <v>84.3091334894614</v>
      </c>
      <c r="Z270" s="2" t="n">
        <f aca="false">T270*Settings!$B$3/SUM(S270:X270)</f>
        <v>81.9672131147541</v>
      </c>
      <c r="AA270" s="2" t="n">
        <f aca="false">U270*Settings!$B$3/SUM(S270:X270)</f>
        <v>80.4059328649493</v>
      </c>
      <c r="AB270" s="2" t="n">
        <f aca="false">V270*Settings!$B$3/SUM(S270:X270)</f>
        <v>86.6510538641686</v>
      </c>
      <c r="AC270" s="2" t="n">
        <f aca="false">W270*Settings!$B$3/SUM(S270:X270)</f>
        <v>98.7509758001561</v>
      </c>
      <c r="AD270" s="2" t="n">
        <f aca="false">X270*Settings!$B$3/SUM(S270:X270)</f>
        <v>67.9156908665105</v>
      </c>
      <c r="AE270" s="2" t="n">
        <f aca="false">INT(Y270)</f>
        <v>84</v>
      </c>
      <c r="AF270" s="2" t="n">
        <f aca="false">INT(Z270)</f>
        <v>81</v>
      </c>
      <c r="AG270" s="2" t="n">
        <f aca="false">INT(AA270)</f>
        <v>80</v>
      </c>
      <c r="AH270" s="2" t="n">
        <f aca="false">INT(AB270)</f>
        <v>86</v>
      </c>
      <c r="AI270" s="2" t="n">
        <f aca="false">INT(AC270)</f>
        <v>98</v>
      </c>
      <c r="AJ270" s="2" t="n">
        <f aca="false">INT(AD270)</f>
        <v>67</v>
      </c>
      <c r="AK270" s="2" t="n">
        <f aca="false">Settings!$B$3-SUM(AE270:AJ270)</f>
        <v>4</v>
      </c>
      <c r="AL270" s="2" t="n">
        <f aca="false">ROUND(Y270-AE270,9)</f>
        <v>0.309133489</v>
      </c>
      <c r="AM270" s="2" t="n">
        <f aca="false">ROUND(Z270-AF270,9)</f>
        <v>0.967213115</v>
      </c>
      <c r="AN270" s="2" t="n">
        <f aca="false">ROUND(AA270-AG270,9)</f>
        <v>0.405932865</v>
      </c>
      <c r="AO270" s="2" t="n">
        <f aca="false">ROUND(AB270-AH270,9)</f>
        <v>0.651053864</v>
      </c>
      <c r="AP270" s="2" t="n">
        <f aca="false">ROUND(AC270-AI270,9)</f>
        <v>0.7509758</v>
      </c>
      <c r="AQ270" s="2" t="n">
        <f aca="false">ROUND(AD270-AJ270,9)</f>
        <v>0.915690867</v>
      </c>
    </row>
    <row r="271" customFormat="false" ht="15" hidden="false" customHeight="false" outlineLevel="0" collapsed="false">
      <c r="A271" s="2" t="n">
        <v>270</v>
      </c>
      <c r="B271" s="6" t="n">
        <v>6</v>
      </c>
      <c r="C271" s="6" t="n">
        <v>31</v>
      </c>
      <c r="D271" s="8" t="str">
        <f aca="false">INDEX(Bases!$B$2:$B$53,B271)</f>
        <v>Numel</v>
      </c>
      <c r="E271" s="8" t="str">
        <f aca="false">INDEX(Bases!$B$2:$B$53,C271)</f>
        <v>Mew</v>
      </c>
      <c r="F271" s="2" t="str">
        <f aca="false">LEFT(D271,ROUNDUP(LEN(D271)/2,0))&amp;LOWER(MID(E271,ROUNDUP(LEN(E271)/2,0)+1,20))</f>
        <v>Numw</v>
      </c>
      <c r="G271" s="8" t="str">
        <f aca="false">INDEX(Bases!$C$2:$C$53,B271)</f>
        <v>Fire</v>
      </c>
      <c r="H271" s="8" t="str">
        <f aca="false">IF(INDEX(Bases!$C$2:$C$53,C271)=G271,"",INDEX(Bases!$C$2:$C$53,C271))</f>
        <v>Psychic</v>
      </c>
      <c r="I271" s="8" t="str">
        <f aca="false">IF(INDEX(Bases!$E$2:$E$53,B271)="","",INDEX(Bases!$E$2:$E$53,B271))</f>
        <v/>
      </c>
      <c r="J271" s="8" t="str">
        <f aca="false">IF(INDEX(Bases!$E$2:$E$53,C271)="","",INDEX(Bases!$E$2:$E$53,C271))</f>
        <v/>
      </c>
      <c r="K271" s="5"/>
      <c r="L271" s="2" t="n">
        <f aca="false">AE271+IF(SUMPRODUCT(--($AL271:$AQ271&gt;AL271))&lt;$AK271,1,0)</f>
        <v>91</v>
      </c>
      <c r="M271" s="2" t="n">
        <f aca="false">AF271+IF(SUMPRODUCT(--($AL271:$AQ271&gt;AM271))+SUMPRODUCT(--($AL271:AL271=AM271))&lt;$AK271,1,0)</f>
        <v>90</v>
      </c>
      <c r="N271" s="2" t="n">
        <f aca="false">AG271+IF(SUMPRODUCT(--($AL271:$AQ271&gt;AN271))+SUMPRODUCT(--($AL271:AM271=AN271))&lt;$AK271,1,0)</f>
        <v>75</v>
      </c>
      <c r="O271" s="2" t="n">
        <f aca="false">AH271+IF(SUMPRODUCT(--($AL271:$AQ271&gt;AO271))+SUMPRODUCT(--($AL271:AN271=AO271))&lt;$AK271,1,0)</f>
        <v>95</v>
      </c>
      <c r="P271" s="2" t="n">
        <f aca="false">AI271+IF(SUMPRODUCT(--($AL271:$AQ271&gt;AP271))+SUMPRODUCT(--($AL271:AO271=AP271))&lt;$AK271,1,0)</f>
        <v>77</v>
      </c>
      <c r="Q271" s="2" t="n">
        <f aca="false">AJ271+IF(SUMPRODUCT(--($AL271:$AQ271&gt;AQ271))+SUMPRODUCT(--($AL271:AP271=AQ271))&lt;$AK271,1,0)</f>
        <v>72</v>
      </c>
      <c r="R271" s="2" t="n">
        <f aca="false">SUM(L271:Q271)</f>
        <v>500</v>
      </c>
      <c r="S271" s="2" t="n">
        <f aca="false">Settings!$B$4*MAX(INDEX(Bases!$M$2:$M$53,B271),INDEX(Bases!$M$2:$M$53,C271))+Settings!$B$5*MIN(INDEX(Bases!$M$2:$M$53,B271),INDEX(Bases!$M$2:$M$53,C271))</f>
        <v>75</v>
      </c>
      <c r="T271" s="2" t="n">
        <f aca="false">Settings!$B$4*MAX(INDEX(Bases!$N$2:$N$53,B271),INDEX(Bases!$N$2:$N$53,C271))+Settings!$B$5*MIN(INDEX(Bases!$N$2:$N$53,B271),INDEX(Bases!$N$2:$N$53,C271))</f>
        <v>75</v>
      </c>
      <c r="U271" s="2" t="n">
        <f aca="false">Settings!$B$4*MAX(INDEX(Bases!$O$2:$O$53,B271),INDEX(Bases!$O$2:$O$53,C271))+Settings!$B$5*MIN(INDEX(Bases!$O$2:$O$53,B271),INDEX(Bases!$O$2:$O$53,C271))</f>
        <v>62</v>
      </c>
      <c r="V271" s="2" t="n">
        <f aca="false">Settings!$B$4*MAX(INDEX(Bases!$P$2:$P$53,B271),INDEX(Bases!$P$2:$P$53,C271))+Settings!$B$5*MIN(INDEX(Bases!$P$2:$P$53,B271),INDEX(Bases!$P$2:$P$53,C271))</f>
        <v>79</v>
      </c>
      <c r="W271" s="2" t="n">
        <f aca="false">Settings!$B$4*MAX(INDEX(Bases!$Q$2:$Q$53,B271),INDEX(Bases!$Q$2:$Q$53,C271))+Settings!$B$5*MIN(INDEX(Bases!$Q$2:$Q$53,B271),INDEX(Bases!$Q$2:$Q$53,C271))</f>
        <v>63.6666666666667</v>
      </c>
      <c r="X271" s="2" t="n">
        <f aca="false">Settings!$B$4*MAX(INDEX(Bases!$R$2:$R$53,B271),INDEX(Bases!$R$2:$R$53,C271))+Settings!$B$5*MIN(INDEX(Bases!$R$2:$R$53,B271),INDEX(Bases!$R$2:$R$53,C271))</f>
        <v>59.3333333333333</v>
      </c>
      <c r="Y271" s="2" t="n">
        <f aca="false">S271*Settings!$B$3/SUM(S271:X271)</f>
        <v>90.5797101449275</v>
      </c>
      <c r="Z271" s="2" t="n">
        <f aca="false">T271*Settings!$B$3/SUM(S271:X271)</f>
        <v>90.5797101449275</v>
      </c>
      <c r="AA271" s="2" t="n">
        <f aca="false">U271*Settings!$B$3/SUM(S271:X271)</f>
        <v>74.8792270531401</v>
      </c>
      <c r="AB271" s="2" t="n">
        <f aca="false">V271*Settings!$B$3/SUM(S271:X271)</f>
        <v>95.4106280193237</v>
      </c>
      <c r="AC271" s="2" t="n">
        <f aca="false">W271*Settings!$B$3/SUM(S271:X271)</f>
        <v>76.8921095008052</v>
      </c>
      <c r="AD271" s="2" t="n">
        <f aca="false">X271*Settings!$B$3/SUM(S271:X271)</f>
        <v>71.658615136876</v>
      </c>
      <c r="AE271" s="2" t="n">
        <f aca="false">INT(Y271)</f>
        <v>90</v>
      </c>
      <c r="AF271" s="2" t="n">
        <f aca="false">INT(Z271)</f>
        <v>90</v>
      </c>
      <c r="AG271" s="2" t="n">
        <f aca="false">INT(AA271)</f>
        <v>74</v>
      </c>
      <c r="AH271" s="2" t="n">
        <f aca="false">INT(AB271)</f>
        <v>95</v>
      </c>
      <c r="AI271" s="2" t="n">
        <f aca="false">INT(AC271)</f>
        <v>76</v>
      </c>
      <c r="AJ271" s="2" t="n">
        <f aca="false">INT(AD271)</f>
        <v>71</v>
      </c>
      <c r="AK271" s="2" t="n">
        <f aca="false">Settings!$B$3-SUM(AE271:AJ271)</f>
        <v>4</v>
      </c>
      <c r="AL271" s="2" t="n">
        <f aca="false">ROUND(Y271-AE271,9)</f>
        <v>0.579710145</v>
      </c>
      <c r="AM271" s="2" t="n">
        <f aca="false">ROUND(Z271-AF271,9)</f>
        <v>0.579710145</v>
      </c>
      <c r="AN271" s="2" t="n">
        <f aca="false">ROUND(AA271-AG271,9)</f>
        <v>0.879227053</v>
      </c>
      <c r="AO271" s="2" t="n">
        <f aca="false">ROUND(AB271-AH271,9)</f>
        <v>0.410628019</v>
      </c>
      <c r="AP271" s="2" t="n">
        <f aca="false">ROUND(AC271-AI271,9)</f>
        <v>0.892109501</v>
      </c>
      <c r="AQ271" s="2" t="n">
        <f aca="false">ROUND(AD271-AJ271,9)</f>
        <v>0.658615137</v>
      </c>
    </row>
    <row r="272" customFormat="false" ht="15" hidden="false" customHeight="false" outlineLevel="0" collapsed="false">
      <c r="A272" s="2" t="n">
        <v>271</v>
      </c>
      <c r="B272" s="6" t="n">
        <v>6</v>
      </c>
      <c r="C272" s="6" t="n">
        <v>32</v>
      </c>
      <c r="D272" s="8" t="str">
        <f aca="false">INDEX(Bases!$B$2:$B$53,B272)</f>
        <v>Numel</v>
      </c>
      <c r="E272" s="8" t="str">
        <f aca="false">INDEX(Bases!$B$2:$B$53,C272)</f>
        <v>Spoink</v>
      </c>
      <c r="F272" s="2" t="str">
        <f aca="false">LEFT(D272,ROUNDUP(LEN(D272)/2,0))&amp;LOWER(MID(E272,ROUNDUP(LEN(E272)/2,0)+1,20))</f>
        <v>Numink</v>
      </c>
      <c r="G272" s="8" t="str">
        <f aca="false">INDEX(Bases!$C$2:$C$53,B272)</f>
        <v>Fire</v>
      </c>
      <c r="H272" s="8" t="str">
        <f aca="false">IF(INDEX(Bases!$C$2:$C$53,C272)=G272,"",INDEX(Bases!$C$2:$C$53,C272))</f>
        <v>Psychic</v>
      </c>
      <c r="I272" s="8" t="str">
        <f aca="false">IF(INDEX(Bases!$E$2:$E$53,B272)="","",INDEX(Bases!$E$2:$E$53,B272))</f>
        <v/>
      </c>
      <c r="J272" s="8" t="str">
        <f aca="false">IF(INDEX(Bases!$E$2:$E$53,C272)="","",INDEX(Bases!$E$2:$E$53,C272))</f>
        <v/>
      </c>
      <c r="K272" s="5"/>
      <c r="L272" s="2" t="n">
        <f aca="false">AE272+IF(SUMPRODUCT(--($AL272:$AQ272&gt;AL272))&lt;$AK272,1,0)</f>
        <v>91</v>
      </c>
      <c r="M272" s="2" t="n">
        <f aca="false">AF272+IF(SUMPRODUCT(--($AL272:$AQ272&gt;AM272))+SUMPRODUCT(--($AL272:AL272=AM272))&lt;$AK272,1,0)</f>
        <v>74</v>
      </c>
      <c r="N272" s="2" t="n">
        <f aca="false">AG272+IF(SUMPRODUCT(--($AL272:$AQ272&gt;AN272))+SUMPRODUCT(--($AL272:AM272=AN272))&lt;$AK272,1,0)</f>
        <v>58</v>
      </c>
      <c r="O272" s="2" t="n">
        <f aca="false">AH272+IF(SUMPRODUCT(--($AL272:$AQ272&gt;AO272))+SUMPRODUCT(--($AL272:AN272=AO272))&lt;$AK272,1,0)</f>
        <v>101</v>
      </c>
      <c r="P272" s="2" t="n">
        <f aca="false">AI272+IF(SUMPRODUCT(--($AL272:$AQ272&gt;AP272))+SUMPRODUCT(--($AL272:AO272=AP272))&lt;$AK272,1,0)</f>
        <v>100</v>
      </c>
      <c r="Q272" s="2" t="n">
        <f aca="false">AJ272+IF(SUMPRODUCT(--($AL272:$AQ272&gt;AQ272))+SUMPRODUCT(--($AL272:AP272=AQ272))&lt;$AK272,1,0)</f>
        <v>76</v>
      </c>
      <c r="R272" s="2" t="n">
        <f aca="false">SUM(L272:Q272)</f>
        <v>500</v>
      </c>
      <c r="S272" s="2" t="n">
        <f aca="false">Settings!$B$4*MAX(INDEX(Bases!$M$2:$M$53,B272),INDEX(Bases!$M$2:$M$53,C272))+Settings!$B$5*MIN(INDEX(Bases!$M$2:$M$53,B272),INDEX(Bases!$M$2:$M$53,C272))</f>
        <v>77</v>
      </c>
      <c r="T272" s="2" t="n">
        <f aca="false">Settings!$B$4*MAX(INDEX(Bases!$N$2:$N$53,B272),INDEX(Bases!$N$2:$N$53,C272))+Settings!$B$5*MIN(INDEX(Bases!$N$2:$N$53,B272),INDEX(Bases!$N$2:$N$53,C272))</f>
        <v>62.6666666666667</v>
      </c>
      <c r="U272" s="2" t="n">
        <f aca="false">Settings!$B$4*MAX(INDEX(Bases!$O$2:$O$53,B272),INDEX(Bases!$O$2:$O$53,C272))+Settings!$B$5*MIN(INDEX(Bases!$O$2:$O$53,B272),INDEX(Bases!$O$2:$O$53,C272))</f>
        <v>48.6666666666667</v>
      </c>
      <c r="V272" s="2" t="n">
        <f aca="false">Settings!$B$4*MAX(INDEX(Bases!$P$2:$P$53,B272),INDEX(Bases!$P$2:$P$53,C272))+Settings!$B$5*MIN(INDEX(Bases!$P$2:$P$53,B272),INDEX(Bases!$P$2:$P$53,C272))</f>
        <v>85</v>
      </c>
      <c r="W272" s="2" t="n">
        <f aca="false">Settings!$B$4*MAX(INDEX(Bases!$Q$2:$Q$53,B272),INDEX(Bases!$Q$2:$Q$53,C272))+Settings!$B$5*MIN(INDEX(Bases!$Q$2:$Q$53,B272),INDEX(Bases!$Q$2:$Q$53,C272))</f>
        <v>84.3333333333333</v>
      </c>
      <c r="X272" s="2" t="n">
        <f aca="false">Settings!$B$4*MAX(INDEX(Bases!$R$2:$R$53,B272),INDEX(Bases!$R$2:$R$53,C272))+Settings!$B$5*MIN(INDEX(Bases!$R$2:$R$53,B272),INDEX(Bases!$R$2:$R$53,C272))</f>
        <v>64</v>
      </c>
      <c r="Y272" s="2" t="n">
        <f aca="false">S272*Settings!$B$3/SUM(S272:X272)</f>
        <v>91.304347826087</v>
      </c>
      <c r="Z272" s="2" t="n">
        <f aca="false">T272*Settings!$B$3/SUM(S272:X272)</f>
        <v>74.3083003952569</v>
      </c>
      <c r="AA272" s="2" t="n">
        <f aca="false">U272*Settings!$B$3/SUM(S272:X272)</f>
        <v>57.7075098814229</v>
      </c>
      <c r="AB272" s="2" t="n">
        <f aca="false">V272*Settings!$B$3/SUM(S272:X272)</f>
        <v>100.790513833992</v>
      </c>
      <c r="AC272" s="2" t="n">
        <f aca="false">W272*Settings!$B$3/SUM(S272:X272)</f>
        <v>100</v>
      </c>
      <c r="AD272" s="2" t="n">
        <f aca="false">X272*Settings!$B$3/SUM(S272:X272)</f>
        <v>75.8893280632411</v>
      </c>
      <c r="AE272" s="2" t="n">
        <f aca="false">INT(Y272)</f>
        <v>91</v>
      </c>
      <c r="AF272" s="2" t="n">
        <f aca="false">INT(Z272)</f>
        <v>74</v>
      </c>
      <c r="AG272" s="2" t="n">
        <f aca="false">INT(AA272)</f>
        <v>57</v>
      </c>
      <c r="AH272" s="2" t="n">
        <f aca="false">INT(AB272)</f>
        <v>100</v>
      </c>
      <c r="AI272" s="2" t="n">
        <f aca="false">INT(AC272)</f>
        <v>100</v>
      </c>
      <c r="AJ272" s="2" t="n">
        <f aca="false">INT(AD272)</f>
        <v>75</v>
      </c>
      <c r="AK272" s="2" t="n">
        <f aca="false">Settings!$B$3-SUM(AE272:AJ272)</f>
        <v>3</v>
      </c>
      <c r="AL272" s="2" t="n">
        <f aca="false">ROUND(Y272-AE272,9)</f>
        <v>0.304347826</v>
      </c>
      <c r="AM272" s="2" t="n">
        <f aca="false">ROUND(Z272-AF272,9)</f>
        <v>0.308300395</v>
      </c>
      <c r="AN272" s="2" t="n">
        <f aca="false">ROUND(AA272-AG272,9)</f>
        <v>0.707509881</v>
      </c>
      <c r="AO272" s="2" t="n">
        <f aca="false">ROUND(AB272-AH272,9)</f>
        <v>0.790513834</v>
      </c>
      <c r="AP272" s="2" t="n">
        <f aca="false">ROUND(AC272-AI272,9)</f>
        <v>0</v>
      </c>
      <c r="AQ272" s="2" t="n">
        <f aca="false">ROUND(AD272-AJ272,9)</f>
        <v>0.889328063</v>
      </c>
    </row>
    <row r="273" customFormat="false" ht="15" hidden="false" customHeight="false" outlineLevel="0" collapsed="false">
      <c r="A273" s="2" t="n">
        <v>272</v>
      </c>
      <c r="B273" s="6" t="n">
        <v>6</v>
      </c>
      <c r="C273" s="6" t="n">
        <v>33</v>
      </c>
      <c r="D273" s="8" t="str">
        <f aca="false">INDEX(Bases!$B$2:$B$53,B273)</f>
        <v>Numel</v>
      </c>
      <c r="E273" s="8" t="str">
        <f aca="false">INDEX(Bases!$B$2:$B$53,C273)</f>
        <v>Jirachi</v>
      </c>
      <c r="F273" s="2" t="str">
        <f aca="false">LEFT(D273,ROUNDUP(LEN(D273)/2,0))&amp;LOWER(MID(E273,ROUNDUP(LEN(E273)/2,0)+1,20))</f>
        <v>Numchi</v>
      </c>
      <c r="G273" s="8" t="str">
        <f aca="false">INDEX(Bases!$C$2:$C$53,B273)</f>
        <v>Fire</v>
      </c>
      <c r="H273" s="8" t="str">
        <f aca="false">IF(INDEX(Bases!$C$2:$C$53,C273)=G273,"",INDEX(Bases!$C$2:$C$53,C273))</f>
        <v>Psychic</v>
      </c>
      <c r="I273" s="8" t="str">
        <f aca="false">IF(INDEX(Bases!$E$2:$E$53,B273)="","",INDEX(Bases!$E$2:$E$53,B273))</f>
        <v/>
      </c>
      <c r="J273" s="8" t="str">
        <f aca="false">IF(INDEX(Bases!$E$2:$E$53,C273)="","",INDEX(Bases!$E$2:$E$53,C273))</f>
        <v/>
      </c>
      <c r="K273" s="5"/>
      <c r="L273" s="2" t="n">
        <f aca="false">AE273+IF(SUMPRODUCT(--($AL273:$AQ273&gt;AL273))&lt;$AK273,1,0)</f>
        <v>91</v>
      </c>
      <c r="M273" s="2" t="n">
        <f aca="false">AF273+IF(SUMPRODUCT(--($AL273:$AQ273&gt;AM273))+SUMPRODUCT(--($AL273:AL273=AM273))&lt;$AK273,1,0)</f>
        <v>90</v>
      </c>
      <c r="N273" s="2" t="n">
        <f aca="false">AG273+IF(SUMPRODUCT(--($AL273:$AQ273&gt;AN273))+SUMPRODUCT(--($AL273:AM273=AN273))&lt;$AK273,1,0)</f>
        <v>75</v>
      </c>
      <c r="O273" s="2" t="n">
        <f aca="false">AH273+IF(SUMPRODUCT(--($AL273:$AQ273&gt;AO273))+SUMPRODUCT(--($AL273:AN273=AO273))&lt;$AK273,1,0)</f>
        <v>95</v>
      </c>
      <c r="P273" s="2" t="n">
        <f aca="false">AI273+IF(SUMPRODUCT(--($AL273:$AQ273&gt;AP273))+SUMPRODUCT(--($AL273:AO273=AP273))&lt;$AK273,1,0)</f>
        <v>77</v>
      </c>
      <c r="Q273" s="2" t="n">
        <f aca="false">AJ273+IF(SUMPRODUCT(--($AL273:$AQ273&gt;AQ273))+SUMPRODUCT(--($AL273:AP273=AQ273))&lt;$AK273,1,0)</f>
        <v>72</v>
      </c>
      <c r="R273" s="2" t="n">
        <f aca="false">SUM(L273:Q273)</f>
        <v>500</v>
      </c>
      <c r="S273" s="2" t="n">
        <f aca="false">Settings!$B$4*MAX(INDEX(Bases!$M$2:$M$53,B273),INDEX(Bases!$M$2:$M$53,C273))+Settings!$B$5*MIN(INDEX(Bases!$M$2:$M$53,B273),INDEX(Bases!$M$2:$M$53,C273))</f>
        <v>75</v>
      </c>
      <c r="T273" s="2" t="n">
        <f aca="false">Settings!$B$4*MAX(INDEX(Bases!$N$2:$N$53,B273),INDEX(Bases!$N$2:$N$53,C273))+Settings!$B$5*MIN(INDEX(Bases!$N$2:$N$53,B273),INDEX(Bases!$N$2:$N$53,C273))</f>
        <v>75</v>
      </c>
      <c r="U273" s="2" t="n">
        <f aca="false">Settings!$B$4*MAX(INDEX(Bases!$O$2:$O$53,B273),INDEX(Bases!$O$2:$O$53,C273))+Settings!$B$5*MIN(INDEX(Bases!$O$2:$O$53,B273),INDEX(Bases!$O$2:$O$53,C273))</f>
        <v>62</v>
      </c>
      <c r="V273" s="2" t="n">
        <f aca="false">Settings!$B$4*MAX(INDEX(Bases!$P$2:$P$53,B273),INDEX(Bases!$P$2:$P$53,C273))+Settings!$B$5*MIN(INDEX(Bases!$P$2:$P$53,B273),INDEX(Bases!$P$2:$P$53,C273))</f>
        <v>79</v>
      </c>
      <c r="W273" s="2" t="n">
        <f aca="false">Settings!$B$4*MAX(INDEX(Bases!$Q$2:$Q$53,B273),INDEX(Bases!$Q$2:$Q$53,C273))+Settings!$B$5*MIN(INDEX(Bases!$Q$2:$Q$53,B273),INDEX(Bases!$Q$2:$Q$53,C273))</f>
        <v>63.6666666666667</v>
      </c>
      <c r="X273" s="2" t="n">
        <f aca="false">Settings!$B$4*MAX(INDEX(Bases!$R$2:$R$53,B273),INDEX(Bases!$R$2:$R$53,C273))+Settings!$B$5*MIN(INDEX(Bases!$R$2:$R$53,B273),INDEX(Bases!$R$2:$R$53,C273))</f>
        <v>59.3333333333333</v>
      </c>
      <c r="Y273" s="2" t="n">
        <f aca="false">S273*Settings!$B$3/SUM(S273:X273)</f>
        <v>90.5797101449275</v>
      </c>
      <c r="Z273" s="2" t="n">
        <f aca="false">T273*Settings!$B$3/SUM(S273:X273)</f>
        <v>90.5797101449275</v>
      </c>
      <c r="AA273" s="2" t="n">
        <f aca="false">U273*Settings!$B$3/SUM(S273:X273)</f>
        <v>74.8792270531401</v>
      </c>
      <c r="AB273" s="2" t="n">
        <f aca="false">V273*Settings!$B$3/SUM(S273:X273)</f>
        <v>95.4106280193237</v>
      </c>
      <c r="AC273" s="2" t="n">
        <f aca="false">W273*Settings!$B$3/SUM(S273:X273)</f>
        <v>76.8921095008052</v>
      </c>
      <c r="AD273" s="2" t="n">
        <f aca="false">X273*Settings!$B$3/SUM(S273:X273)</f>
        <v>71.658615136876</v>
      </c>
      <c r="AE273" s="2" t="n">
        <f aca="false">INT(Y273)</f>
        <v>90</v>
      </c>
      <c r="AF273" s="2" t="n">
        <f aca="false">INT(Z273)</f>
        <v>90</v>
      </c>
      <c r="AG273" s="2" t="n">
        <f aca="false">INT(AA273)</f>
        <v>74</v>
      </c>
      <c r="AH273" s="2" t="n">
        <f aca="false">INT(AB273)</f>
        <v>95</v>
      </c>
      <c r="AI273" s="2" t="n">
        <f aca="false">INT(AC273)</f>
        <v>76</v>
      </c>
      <c r="AJ273" s="2" t="n">
        <f aca="false">INT(AD273)</f>
        <v>71</v>
      </c>
      <c r="AK273" s="2" t="n">
        <f aca="false">Settings!$B$3-SUM(AE273:AJ273)</f>
        <v>4</v>
      </c>
      <c r="AL273" s="2" t="n">
        <f aca="false">ROUND(Y273-AE273,9)</f>
        <v>0.579710145</v>
      </c>
      <c r="AM273" s="2" t="n">
        <f aca="false">ROUND(Z273-AF273,9)</f>
        <v>0.579710145</v>
      </c>
      <c r="AN273" s="2" t="n">
        <f aca="false">ROUND(AA273-AG273,9)</f>
        <v>0.879227053</v>
      </c>
      <c r="AO273" s="2" t="n">
        <f aca="false">ROUND(AB273-AH273,9)</f>
        <v>0.410628019</v>
      </c>
      <c r="AP273" s="2" t="n">
        <f aca="false">ROUND(AC273-AI273,9)</f>
        <v>0.892109501</v>
      </c>
      <c r="AQ273" s="2" t="n">
        <f aca="false">ROUND(AD273-AJ273,9)</f>
        <v>0.658615137</v>
      </c>
    </row>
    <row r="274" customFormat="false" ht="15" hidden="false" customHeight="false" outlineLevel="0" collapsed="false">
      <c r="A274" s="2" t="n">
        <v>273</v>
      </c>
      <c r="B274" s="6" t="n">
        <v>6</v>
      </c>
      <c r="C274" s="6" t="n">
        <v>34</v>
      </c>
      <c r="D274" s="8" t="str">
        <f aca="false">INDEX(Bases!$B$2:$B$53,B274)</f>
        <v>Numel</v>
      </c>
      <c r="E274" s="8" t="str">
        <f aca="false">INDEX(Bases!$B$2:$B$53,C274)</f>
        <v>Paras</v>
      </c>
      <c r="F274" s="2" t="str">
        <f aca="false">LEFT(D274,ROUNDUP(LEN(D274)/2,0))&amp;LOWER(MID(E274,ROUNDUP(LEN(E274)/2,0)+1,20))</f>
        <v>Numas</v>
      </c>
      <c r="G274" s="8" t="str">
        <f aca="false">INDEX(Bases!$C$2:$C$53,B274)</f>
        <v>Fire</v>
      </c>
      <c r="H274" s="8" t="str">
        <f aca="false">IF(INDEX(Bases!$C$2:$C$53,C274)=G274,"",INDEX(Bases!$C$2:$C$53,C274))</f>
        <v>Bug</v>
      </c>
      <c r="I274" s="8" t="str">
        <f aca="false">IF(INDEX(Bases!$E$2:$E$53,B274)="","",INDEX(Bases!$E$2:$E$53,B274))</f>
        <v/>
      </c>
      <c r="J274" s="8" t="str">
        <f aca="false">IF(INDEX(Bases!$E$2:$E$53,C274)="","",INDEX(Bases!$E$2:$E$53,C274))</f>
        <v/>
      </c>
      <c r="K274" s="5"/>
      <c r="L274" s="2" t="n">
        <f aca="false">AE274+IF(SUMPRODUCT(--($AL274:$AQ274&gt;AL274))&lt;$AK274,1,0)</f>
        <v>82</v>
      </c>
      <c r="M274" s="2" t="n">
        <f aca="false">AF274+IF(SUMPRODUCT(--($AL274:$AQ274&gt;AM274))+SUMPRODUCT(--($AL274:AL274=AM274))&lt;$AK274,1,0)</f>
        <v>110</v>
      </c>
      <c r="N274" s="2" t="n">
        <f aca="false">AG274+IF(SUMPRODUCT(--($AL274:$AQ274&gt;AN274))+SUMPRODUCT(--($AL274:AM274=AN274))&lt;$AK274,1,0)</f>
        <v>82</v>
      </c>
      <c r="O274" s="2" t="n">
        <f aca="false">AH274+IF(SUMPRODUCT(--($AL274:$AQ274&gt;AO274))+SUMPRODUCT(--($AL274:AN274=AO274))&lt;$AK274,1,0)</f>
        <v>92</v>
      </c>
      <c r="P274" s="2" t="n">
        <f aca="false">AI274+IF(SUMPRODUCT(--($AL274:$AQ274&gt;AP274))+SUMPRODUCT(--($AL274:AO274=AP274))&lt;$AK274,1,0)</f>
        <v>84</v>
      </c>
      <c r="Q274" s="2" t="n">
        <f aca="false">AJ274+IF(SUMPRODUCT(--($AL274:$AQ274&gt;AQ274))+SUMPRODUCT(--($AL274:AP274=AQ274))&lt;$AK274,1,0)</f>
        <v>50</v>
      </c>
      <c r="R274" s="2" t="n">
        <f aca="false">SUM(L274:Q274)</f>
        <v>500</v>
      </c>
      <c r="S274" s="2" t="n">
        <f aca="false">Settings!$B$4*MAX(INDEX(Bases!$M$2:$M$53,B274),INDEX(Bases!$M$2:$M$53,C274))+Settings!$B$5*MIN(INDEX(Bases!$M$2:$M$53,B274),INDEX(Bases!$M$2:$M$53,C274))</f>
        <v>69</v>
      </c>
      <c r="T274" s="2" t="n">
        <f aca="false">Settings!$B$4*MAX(INDEX(Bases!$N$2:$N$53,B274),INDEX(Bases!$N$2:$N$53,C274))+Settings!$B$5*MIN(INDEX(Bases!$N$2:$N$53,B274),INDEX(Bases!$N$2:$N$53,C274))</f>
        <v>92.3333333333333</v>
      </c>
      <c r="U274" s="2" t="n">
        <f aca="false">Settings!$B$4*MAX(INDEX(Bases!$O$2:$O$53,B274),INDEX(Bases!$O$2:$O$53,C274))+Settings!$B$5*MIN(INDEX(Bases!$O$2:$O$53,B274),INDEX(Bases!$O$2:$O$53,C274))</f>
        <v>68.6666666666667</v>
      </c>
      <c r="V274" s="2" t="n">
        <f aca="false">Settings!$B$4*MAX(INDEX(Bases!$P$2:$P$53,B274),INDEX(Bases!$P$2:$P$53,C274))+Settings!$B$5*MIN(INDEX(Bases!$P$2:$P$53,B274),INDEX(Bases!$P$2:$P$53,C274))</f>
        <v>77.6666666666667</v>
      </c>
      <c r="W274" s="2" t="n">
        <f aca="false">Settings!$B$4*MAX(INDEX(Bases!$Q$2:$Q$53,B274),INDEX(Bases!$Q$2:$Q$53,C274))+Settings!$B$5*MIN(INDEX(Bases!$Q$2:$Q$53,B274),INDEX(Bases!$Q$2:$Q$53,C274))</f>
        <v>71</v>
      </c>
      <c r="X274" s="2" t="n">
        <f aca="false">Settings!$B$4*MAX(INDEX(Bases!$R$2:$R$53,B274),INDEX(Bases!$R$2:$R$53,C274))+Settings!$B$5*MIN(INDEX(Bases!$R$2:$R$53,B274),INDEX(Bases!$R$2:$R$53,C274))</f>
        <v>42.3333333333333</v>
      </c>
      <c r="Y274" s="2" t="n">
        <f aca="false">S274*Settings!$B$3/SUM(S274:X274)</f>
        <v>81.9477434679335</v>
      </c>
      <c r="Z274" s="2" t="n">
        <f aca="false">T274*Settings!$B$3/SUM(S274:X274)</f>
        <v>109.65954077593</v>
      </c>
      <c r="AA274" s="2" t="n">
        <f aca="false">U274*Settings!$B$3/SUM(S274:X274)</f>
        <v>81.5518606492478</v>
      </c>
      <c r="AB274" s="2" t="n">
        <f aca="false">V274*Settings!$B$3/SUM(S274:X274)</f>
        <v>92.2406967537609</v>
      </c>
      <c r="AC274" s="2" t="n">
        <f aca="false">W274*Settings!$B$3/SUM(S274:X274)</f>
        <v>84.3230403800475</v>
      </c>
      <c r="AD274" s="2" t="n">
        <f aca="false">X274*Settings!$B$3/SUM(S274:X274)</f>
        <v>50.27711797308</v>
      </c>
      <c r="AE274" s="2" t="n">
        <f aca="false">INT(Y274)</f>
        <v>81</v>
      </c>
      <c r="AF274" s="2" t="n">
        <f aca="false">INT(Z274)</f>
        <v>109</v>
      </c>
      <c r="AG274" s="2" t="n">
        <f aca="false">INT(AA274)</f>
        <v>81</v>
      </c>
      <c r="AH274" s="2" t="n">
        <f aca="false">INT(AB274)</f>
        <v>92</v>
      </c>
      <c r="AI274" s="2" t="n">
        <f aca="false">INT(AC274)</f>
        <v>84</v>
      </c>
      <c r="AJ274" s="2" t="n">
        <f aca="false">INT(AD274)</f>
        <v>50</v>
      </c>
      <c r="AK274" s="2" t="n">
        <f aca="false">Settings!$B$3-SUM(AE274:AJ274)</f>
        <v>3</v>
      </c>
      <c r="AL274" s="2" t="n">
        <f aca="false">ROUND(Y274-AE274,9)</f>
        <v>0.947743468</v>
      </c>
      <c r="AM274" s="2" t="n">
        <f aca="false">ROUND(Z274-AF274,9)</f>
        <v>0.659540776</v>
      </c>
      <c r="AN274" s="2" t="n">
        <f aca="false">ROUND(AA274-AG274,9)</f>
        <v>0.551860649</v>
      </c>
      <c r="AO274" s="2" t="n">
        <f aca="false">ROUND(AB274-AH274,9)</f>
        <v>0.240696754</v>
      </c>
      <c r="AP274" s="2" t="n">
        <f aca="false">ROUND(AC274-AI274,9)</f>
        <v>0.32304038</v>
      </c>
      <c r="AQ274" s="2" t="n">
        <f aca="false">ROUND(AD274-AJ274,9)</f>
        <v>0.277117973</v>
      </c>
    </row>
    <row r="275" customFormat="false" ht="15" hidden="false" customHeight="false" outlineLevel="0" collapsed="false">
      <c r="A275" s="2" t="n">
        <v>274</v>
      </c>
      <c r="B275" s="6" t="n">
        <v>6</v>
      </c>
      <c r="C275" s="6" t="n">
        <v>35</v>
      </c>
      <c r="D275" s="8" t="str">
        <f aca="false">INDEX(Bases!$B$2:$B$53,B275)</f>
        <v>Numel</v>
      </c>
      <c r="E275" s="8" t="str">
        <f aca="false">INDEX(Bases!$B$2:$B$53,C275)</f>
        <v>Pineco</v>
      </c>
      <c r="F275" s="2" t="str">
        <f aca="false">LEFT(D275,ROUNDUP(LEN(D275)/2,0))&amp;LOWER(MID(E275,ROUNDUP(LEN(E275)/2,0)+1,20))</f>
        <v>Numeco</v>
      </c>
      <c r="G275" s="8" t="str">
        <f aca="false">INDEX(Bases!$C$2:$C$53,B275)</f>
        <v>Fire</v>
      </c>
      <c r="H275" s="8" t="str">
        <f aca="false">IF(INDEX(Bases!$C$2:$C$53,C275)=G275,"",INDEX(Bases!$C$2:$C$53,C275))</f>
        <v>Bug</v>
      </c>
      <c r="I275" s="8" t="str">
        <f aca="false">IF(INDEX(Bases!$E$2:$E$53,B275)="","",INDEX(Bases!$E$2:$E$53,B275))</f>
        <v/>
      </c>
      <c r="J275" s="8" t="str">
        <f aca="false">IF(INDEX(Bases!$E$2:$E$53,C275)="","",INDEX(Bases!$E$2:$E$53,C275))</f>
        <v/>
      </c>
      <c r="K275" s="5"/>
      <c r="L275" s="2" t="n">
        <f aca="false">AE275+IF(SUMPRODUCT(--($AL275:$AQ275&gt;AL275))&lt;$AK275,1,0)</f>
        <v>88</v>
      </c>
      <c r="M275" s="2" t="n">
        <f aca="false">AF275+IF(SUMPRODUCT(--($AL275:$AQ275&gt;AM275))+SUMPRODUCT(--($AL275:AL275=AM275))&lt;$AK275,1,0)</f>
        <v>101</v>
      </c>
      <c r="N275" s="2" t="n">
        <f aca="false">AG275+IF(SUMPRODUCT(--($AL275:$AQ275&gt;AN275))+SUMPRODUCT(--($AL275:AM275=AN275))&lt;$AK275,1,0)</f>
        <v>117</v>
      </c>
      <c r="O275" s="2" t="n">
        <f aca="false">AH275+IF(SUMPRODUCT(--($AL275:$AQ275&gt;AO275))+SUMPRODUCT(--($AL275:AN275=AO275))&lt;$AK275,1,0)</f>
        <v>85</v>
      </c>
      <c r="P275" s="2" t="n">
        <f aca="false">AI275+IF(SUMPRODUCT(--($AL275:$AQ275&gt;AP275))+SUMPRODUCT(--($AL275:AO275=AP275))&lt;$AK275,1,0)</f>
        <v>65</v>
      </c>
      <c r="Q275" s="2" t="n">
        <f aca="false">AJ275+IF(SUMPRODUCT(--($AL275:$AQ275&gt;AQ275))+SUMPRODUCT(--($AL275:AP275=AQ275))&lt;$AK275,1,0)</f>
        <v>44</v>
      </c>
      <c r="R275" s="2" t="n">
        <f aca="false">SUM(L275:Q275)</f>
        <v>500</v>
      </c>
      <c r="S275" s="2" t="n">
        <f aca="false">Settings!$B$4*MAX(INDEX(Bases!$M$2:$M$53,B275),INDEX(Bases!$M$2:$M$53,C275))+Settings!$B$5*MIN(INDEX(Bases!$M$2:$M$53,B275),INDEX(Bases!$M$2:$M$53,C275))</f>
        <v>75.6666666666667</v>
      </c>
      <c r="T275" s="2" t="n">
        <f aca="false">Settings!$B$4*MAX(INDEX(Bases!$N$2:$N$53,B275),INDEX(Bases!$N$2:$N$53,C275))+Settings!$B$5*MIN(INDEX(Bases!$N$2:$N$53,B275),INDEX(Bases!$N$2:$N$53,C275))</f>
        <v>86.3333333333333</v>
      </c>
      <c r="U275" s="2" t="n">
        <f aca="false">Settings!$B$4*MAX(INDEX(Bases!$O$2:$O$53,B275),INDEX(Bases!$O$2:$O$53,C275))+Settings!$B$5*MIN(INDEX(Bases!$O$2:$O$53,B275),INDEX(Bases!$O$2:$O$53,C275))</f>
        <v>100</v>
      </c>
      <c r="V275" s="2" t="n">
        <f aca="false">Settings!$B$4*MAX(INDEX(Bases!$P$2:$P$53,B275),INDEX(Bases!$P$2:$P$53,C275))+Settings!$B$5*MIN(INDEX(Bases!$P$2:$P$53,B275),INDEX(Bases!$P$2:$P$53,C275))</f>
        <v>72.6666666666667</v>
      </c>
      <c r="W275" s="2" t="n">
        <f aca="false">Settings!$B$4*MAX(INDEX(Bases!$Q$2:$Q$53,B275),INDEX(Bases!$Q$2:$Q$53,C275))+Settings!$B$5*MIN(INDEX(Bases!$Q$2:$Q$53,B275),INDEX(Bases!$Q$2:$Q$53,C275))</f>
        <v>55.3333333333333</v>
      </c>
      <c r="X275" s="2" t="n">
        <f aca="false">Settings!$B$4*MAX(INDEX(Bases!$R$2:$R$53,B275),INDEX(Bases!$R$2:$R$53,C275))+Settings!$B$5*MIN(INDEX(Bases!$R$2:$R$53,B275),INDEX(Bases!$R$2:$R$53,C275))</f>
        <v>37.6666666666667</v>
      </c>
      <c r="Y275" s="2" t="n">
        <f aca="false">S275*Settings!$B$3/SUM(S275:X275)</f>
        <v>88.4645362431801</v>
      </c>
      <c r="Z275" s="2" t="n">
        <f aca="false">T275*Settings!$B$3/SUM(S275:X275)</f>
        <v>100.935307872175</v>
      </c>
      <c r="AA275" s="2" t="n">
        <f aca="false">U275*Settings!$B$3/SUM(S275:X275)</f>
        <v>116.913484021824</v>
      </c>
      <c r="AB275" s="2" t="n">
        <f aca="false">V275*Settings!$B$3/SUM(S275:X275)</f>
        <v>84.9571317225253</v>
      </c>
      <c r="AC275" s="2" t="n">
        <f aca="false">W275*Settings!$B$3/SUM(S275:X275)</f>
        <v>64.6921278254092</v>
      </c>
      <c r="AD275" s="2" t="n">
        <f aca="false">X275*Settings!$B$3/SUM(S275:X275)</f>
        <v>44.037412314887</v>
      </c>
      <c r="AE275" s="2" t="n">
        <f aca="false">INT(Y275)</f>
        <v>88</v>
      </c>
      <c r="AF275" s="2" t="n">
        <f aca="false">INT(Z275)</f>
        <v>100</v>
      </c>
      <c r="AG275" s="2" t="n">
        <f aca="false">INT(AA275)</f>
        <v>116</v>
      </c>
      <c r="AH275" s="2" t="n">
        <f aca="false">INT(AB275)</f>
        <v>84</v>
      </c>
      <c r="AI275" s="2" t="n">
        <f aca="false">INT(AC275)</f>
        <v>64</v>
      </c>
      <c r="AJ275" s="2" t="n">
        <f aca="false">INT(AD275)</f>
        <v>44</v>
      </c>
      <c r="AK275" s="2" t="n">
        <f aca="false">Settings!$B$3-SUM(AE275:AJ275)</f>
        <v>4</v>
      </c>
      <c r="AL275" s="2" t="n">
        <f aca="false">ROUND(Y275-AE275,9)</f>
        <v>0.464536243</v>
      </c>
      <c r="AM275" s="2" t="n">
        <f aca="false">ROUND(Z275-AF275,9)</f>
        <v>0.935307872</v>
      </c>
      <c r="AN275" s="2" t="n">
        <f aca="false">ROUND(AA275-AG275,9)</f>
        <v>0.913484022</v>
      </c>
      <c r="AO275" s="2" t="n">
        <f aca="false">ROUND(AB275-AH275,9)</f>
        <v>0.957131723</v>
      </c>
      <c r="AP275" s="2" t="n">
        <f aca="false">ROUND(AC275-AI275,9)</f>
        <v>0.692127825</v>
      </c>
      <c r="AQ275" s="2" t="n">
        <f aca="false">ROUND(AD275-AJ275,9)</f>
        <v>0.037412315</v>
      </c>
    </row>
    <row r="276" customFormat="false" ht="15" hidden="false" customHeight="false" outlineLevel="0" collapsed="false">
      <c r="A276" s="2" t="n">
        <v>275</v>
      </c>
      <c r="B276" s="6" t="n">
        <v>6</v>
      </c>
      <c r="C276" s="6" t="n">
        <v>36</v>
      </c>
      <c r="D276" s="8" t="str">
        <f aca="false">INDEX(Bases!$B$2:$B$53,B276)</f>
        <v>Numel</v>
      </c>
      <c r="E276" s="8" t="str">
        <f aca="false">INDEX(Bases!$B$2:$B$53,C276)</f>
        <v>Wurmple</v>
      </c>
      <c r="F276" s="2" t="str">
        <f aca="false">LEFT(D276,ROUNDUP(LEN(D276)/2,0))&amp;LOWER(MID(E276,ROUNDUP(LEN(E276)/2,0)+1,20))</f>
        <v>Numple</v>
      </c>
      <c r="G276" s="8" t="str">
        <f aca="false">INDEX(Bases!$C$2:$C$53,B276)</f>
        <v>Fire</v>
      </c>
      <c r="H276" s="8" t="str">
        <f aca="false">IF(INDEX(Bases!$C$2:$C$53,C276)=G276,"",INDEX(Bases!$C$2:$C$53,C276))</f>
        <v>Bug</v>
      </c>
      <c r="I276" s="8" t="str">
        <f aca="false">IF(INDEX(Bases!$E$2:$E$53,B276)="","",INDEX(Bases!$E$2:$E$53,B276))</f>
        <v/>
      </c>
      <c r="J276" s="8" t="str">
        <f aca="false">IF(INDEX(Bases!$E$2:$E$53,C276)="","",INDEX(Bases!$E$2:$E$53,C276))</f>
        <v/>
      </c>
      <c r="K276" s="5"/>
      <c r="L276" s="2" t="n">
        <f aca="false">AE276+IF(SUMPRODUCT(--($AL276:$AQ276&gt;AL276))&lt;$AK276,1,0)</f>
        <v>105</v>
      </c>
      <c r="M276" s="2" t="n">
        <f aca="false">AF276+IF(SUMPRODUCT(--($AL276:$AQ276&gt;AM276))+SUMPRODUCT(--($AL276:AL276=AM276))&lt;$AK276,1,0)</f>
        <v>105</v>
      </c>
      <c r="N276" s="2" t="n">
        <f aca="false">AG276+IF(SUMPRODUCT(--($AL276:$AQ276&gt;AN276))+SUMPRODUCT(--($AL276:AM276=AN276))&lt;$AK276,1,0)</f>
        <v>79</v>
      </c>
      <c r="O276" s="2" t="n">
        <f aca="false">AH276+IF(SUMPRODUCT(--($AL276:$AQ276&gt;AO276))+SUMPRODUCT(--($AL276:AN276=AO276))&lt;$AK276,1,0)</f>
        <v>85</v>
      </c>
      <c r="P276" s="2" t="n">
        <f aca="false">AI276+IF(SUMPRODUCT(--($AL276:$AQ276&gt;AP276))+SUMPRODUCT(--($AL276:AO276=AP276))&lt;$AK276,1,0)</f>
        <v>73</v>
      </c>
      <c r="Q276" s="2" t="n">
        <f aca="false">AJ276+IF(SUMPRODUCT(--($AL276:$AQ276&gt;AQ276))+SUMPRODUCT(--($AL276:AP276=AQ276))&lt;$AK276,1,0)</f>
        <v>53</v>
      </c>
      <c r="R276" s="2" t="n">
        <f aca="false">SUM(L276:Q276)</f>
        <v>500</v>
      </c>
      <c r="S276" s="2" t="n">
        <f aca="false">Settings!$B$4*MAX(INDEX(Bases!$M$2:$M$53,B276),INDEX(Bases!$M$2:$M$53,C276))+Settings!$B$5*MIN(INDEX(Bases!$M$2:$M$53,B276),INDEX(Bases!$M$2:$M$53,C276))</f>
        <v>87.6666666666667</v>
      </c>
      <c r="T276" s="2" t="n">
        <f aca="false">Settings!$B$4*MAX(INDEX(Bases!$N$2:$N$53,B276),INDEX(Bases!$N$2:$N$53,C276))+Settings!$B$5*MIN(INDEX(Bases!$N$2:$N$53,B276),INDEX(Bases!$N$2:$N$53,C276))</f>
        <v>87.6666666666667</v>
      </c>
      <c r="U276" s="2" t="n">
        <f aca="false">Settings!$B$4*MAX(INDEX(Bases!$O$2:$O$53,B276),INDEX(Bases!$O$2:$O$53,C276))+Settings!$B$5*MIN(INDEX(Bases!$O$2:$O$53,B276),INDEX(Bases!$O$2:$O$53,C276))</f>
        <v>65.3333333333333</v>
      </c>
      <c r="V276" s="2" t="n">
        <f aca="false">Settings!$B$4*MAX(INDEX(Bases!$P$2:$P$53,B276),INDEX(Bases!$P$2:$P$53,C276))+Settings!$B$5*MIN(INDEX(Bases!$P$2:$P$53,B276),INDEX(Bases!$P$2:$P$53,C276))</f>
        <v>70.3333333333333</v>
      </c>
      <c r="W276" s="2" t="n">
        <f aca="false">Settings!$B$4*MAX(INDEX(Bases!$Q$2:$Q$53,B276),INDEX(Bases!$Q$2:$Q$53,C276))+Settings!$B$5*MIN(INDEX(Bases!$Q$2:$Q$53,B276),INDEX(Bases!$Q$2:$Q$53,C276))</f>
        <v>61</v>
      </c>
      <c r="X276" s="2" t="n">
        <f aca="false">Settings!$B$4*MAX(INDEX(Bases!$R$2:$R$53,B276),INDEX(Bases!$R$2:$R$53,C276))+Settings!$B$5*MIN(INDEX(Bases!$R$2:$R$53,B276),INDEX(Bases!$R$2:$R$53,C276))</f>
        <v>44.3333333333333</v>
      </c>
      <c r="Y276" s="2" t="n">
        <f aca="false">S276*Settings!$B$3/SUM(S276:X276)</f>
        <v>105.284227381906</v>
      </c>
      <c r="Z276" s="2" t="n">
        <f aca="false">T276*Settings!$B$3/SUM(S276:X276)</f>
        <v>105.284227381906</v>
      </c>
      <c r="AA276" s="2" t="n">
        <f aca="false">U276*Settings!$B$3/SUM(S276:X276)</f>
        <v>78.462770216173</v>
      </c>
      <c r="AB276" s="2" t="n">
        <f aca="false">V276*Settings!$B$3/SUM(S276:X276)</f>
        <v>84.4675740592474</v>
      </c>
      <c r="AC276" s="2" t="n">
        <f aca="false">W276*Settings!$B$3/SUM(S276:X276)</f>
        <v>73.2586068855084</v>
      </c>
      <c r="AD276" s="2" t="n">
        <f aca="false">X276*Settings!$B$3/SUM(S276:X276)</f>
        <v>53.2425940752602</v>
      </c>
      <c r="AE276" s="2" t="n">
        <f aca="false">INT(Y276)</f>
        <v>105</v>
      </c>
      <c r="AF276" s="2" t="n">
        <f aca="false">INT(Z276)</f>
        <v>105</v>
      </c>
      <c r="AG276" s="2" t="n">
        <f aca="false">INT(AA276)</f>
        <v>78</v>
      </c>
      <c r="AH276" s="2" t="n">
        <f aca="false">INT(AB276)</f>
        <v>84</v>
      </c>
      <c r="AI276" s="2" t="n">
        <f aca="false">INT(AC276)</f>
        <v>73</v>
      </c>
      <c r="AJ276" s="2" t="n">
        <f aca="false">INT(AD276)</f>
        <v>53</v>
      </c>
      <c r="AK276" s="2" t="n">
        <f aca="false">Settings!$B$3-SUM(AE276:AJ276)</f>
        <v>2</v>
      </c>
      <c r="AL276" s="2" t="n">
        <f aca="false">ROUND(Y276-AE276,9)</f>
        <v>0.284227382</v>
      </c>
      <c r="AM276" s="2" t="n">
        <f aca="false">ROUND(Z276-AF276,9)</f>
        <v>0.284227382</v>
      </c>
      <c r="AN276" s="2" t="n">
        <f aca="false">ROUND(AA276-AG276,9)</f>
        <v>0.462770216</v>
      </c>
      <c r="AO276" s="2" t="n">
        <f aca="false">ROUND(AB276-AH276,9)</f>
        <v>0.467574059</v>
      </c>
      <c r="AP276" s="2" t="n">
        <f aca="false">ROUND(AC276-AI276,9)</f>
        <v>0.258606886</v>
      </c>
      <c r="AQ276" s="2" t="n">
        <f aca="false">ROUND(AD276-AJ276,9)</f>
        <v>0.242594075</v>
      </c>
    </row>
    <row r="277" customFormat="false" ht="15" hidden="false" customHeight="false" outlineLevel="0" collapsed="false">
      <c r="A277" s="2" t="n">
        <v>276</v>
      </c>
      <c r="B277" s="6" t="n">
        <v>6</v>
      </c>
      <c r="C277" s="6" t="n">
        <v>37</v>
      </c>
      <c r="D277" s="8" t="str">
        <f aca="false">INDEX(Bases!$B$2:$B$53,B277)</f>
        <v>Numel</v>
      </c>
      <c r="E277" s="8" t="str">
        <f aca="false">INDEX(Bases!$B$2:$B$53,C277)</f>
        <v>Shuckle</v>
      </c>
      <c r="F277" s="2" t="str">
        <f aca="false">LEFT(D277,ROUNDUP(LEN(D277)/2,0))&amp;LOWER(MID(E277,ROUNDUP(LEN(E277)/2,0)+1,20))</f>
        <v>Numkle</v>
      </c>
      <c r="G277" s="8" t="str">
        <f aca="false">INDEX(Bases!$C$2:$C$53,B277)</f>
        <v>Fire</v>
      </c>
      <c r="H277" s="8" t="str">
        <f aca="false">IF(INDEX(Bases!$C$2:$C$53,C277)=G277,"",INDEX(Bases!$C$2:$C$53,C277))</f>
        <v>Rock</v>
      </c>
      <c r="I277" s="8" t="str">
        <f aca="false">IF(INDEX(Bases!$E$2:$E$53,B277)="","",INDEX(Bases!$E$2:$E$53,B277))</f>
        <v/>
      </c>
      <c r="J277" s="8" t="str">
        <f aca="false">IF(INDEX(Bases!$E$2:$E$53,C277)="","",INDEX(Bases!$E$2:$E$53,C277))</f>
        <v/>
      </c>
      <c r="K277" s="5"/>
      <c r="L277" s="2" t="n">
        <f aca="false">AE277+IF(SUMPRODUCT(--($AL277:$AQ277&gt;AL277))&lt;$AK277,1,0)</f>
        <v>60</v>
      </c>
      <c r="M277" s="2" t="n">
        <f aca="false">AF277+IF(SUMPRODUCT(--($AL277:$AQ277&gt;AM277))+SUMPRODUCT(--($AL277:AL277=AM277))&lt;$AK277,1,0)</f>
        <v>57</v>
      </c>
      <c r="N277" s="2" t="n">
        <f aca="false">AG277+IF(SUMPRODUCT(--($AL277:$AQ277&gt;AN277))+SUMPRODUCT(--($AL277:AM277=AN277))&lt;$AK277,1,0)</f>
        <v>143</v>
      </c>
      <c r="O277" s="2" t="n">
        <f aca="false">AH277+IF(SUMPRODUCT(--($AL277:$AQ277&gt;AO277))+SUMPRODUCT(--($AL277:AN277=AO277))&lt;$AK277,1,0)</f>
        <v>61</v>
      </c>
      <c r="P277" s="2" t="n">
        <f aca="false">AI277+IF(SUMPRODUCT(--($AL277:$AQ277&gt;AP277))+SUMPRODUCT(--($AL277:AO277=AP277))&lt;$AK277,1,0)</f>
        <v>146</v>
      </c>
      <c r="Q277" s="2" t="n">
        <f aca="false">AJ277+IF(SUMPRODUCT(--($AL277:$AQ277&gt;AQ277))+SUMPRODUCT(--($AL277:AP277=AQ277))&lt;$AK277,1,0)</f>
        <v>33</v>
      </c>
      <c r="R277" s="2" t="n">
        <f aca="false">SUM(L277:Q277)</f>
        <v>500</v>
      </c>
      <c r="S277" s="2" t="n">
        <f aca="false">Settings!$B$4*MAX(INDEX(Bases!$M$2:$M$53,B277),INDEX(Bases!$M$2:$M$53,C277))+Settings!$B$5*MIN(INDEX(Bases!$M$2:$M$53,B277),INDEX(Bases!$M$2:$M$53,C277))</f>
        <v>58</v>
      </c>
      <c r="T277" s="2" t="n">
        <f aca="false">Settings!$B$4*MAX(INDEX(Bases!$N$2:$N$53,B277),INDEX(Bases!$N$2:$N$53,C277))+Settings!$B$5*MIN(INDEX(Bases!$N$2:$N$53,B277),INDEX(Bases!$N$2:$N$53,C277))</f>
        <v>55.3333333333333</v>
      </c>
      <c r="U277" s="2" t="n">
        <f aca="false">Settings!$B$4*MAX(INDEX(Bases!$O$2:$O$53,B277),INDEX(Bases!$O$2:$O$53,C277))+Settings!$B$5*MIN(INDEX(Bases!$O$2:$O$53,B277),INDEX(Bases!$O$2:$O$53,C277))</f>
        <v>138.666666666667</v>
      </c>
      <c r="V277" s="2" t="n">
        <f aca="false">Settings!$B$4*MAX(INDEX(Bases!$P$2:$P$53,B277),INDEX(Bases!$P$2:$P$53,C277))+Settings!$B$5*MIN(INDEX(Bases!$P$2:$P$53,B277),INDEX(Bases!$P$2:$P$53,C277))</f>
        <v>59.3333333333333</v>
      </c>
      <c r="W277" s="2" t="n">
        <f aca="false">Settings!$B$4*MAX(INDEX(Bases!$Q$2:$Q$53,B277),INDEX(Bases!$Q$2:$Q$53,C277))+Settings!$B$5*MIN(INDEX(Bases!$Q$2:$Q$53,B277),INDEX(Bases!$Q$2:$Q$53,C277))</f>
        <v>141</v>
      </c>
      <c r="X277" s="2" t="n">
        <f aca="false">Settings!$B$4*MAX(INDEX(Bases!$R$2:$R$53,B277),INDEX(Bases!$R$2:$R$53,C277))+Settings!$B$5*MIN(INDEX(Bases!$R$2:$R$53,B277),INDEX(Bases!$R$2:$R$53,C277))</f>
        <v>32</v>
      </c>
      <c r="Y277" s="2" t="n">
        <f aca="false">S277*Settings!$B$3/SUM(S277:X277)</f>
        <v>59.8761183757743</v>
      </c>
      <c r="Z277" s="2" t="n">
        <f aca="false">T277*Settings!$B$3/SUM(S277:X277)</f>
        <v>57.12319339298</v>
      </c>
      <c r="AA277" s="2" t="n">
        <f aca="false">U277*Settings!$B$3/SUM(S277:X277)</f>
        <v>143.152099105299</v>
      </c>
      <c r="AB277" s="2" t="n">
        <f aca="false">V277*Settings!$B$3/SUM(S277:X277)</f>
        <v>61.2525808671714</v>
      </c>
      <c r="AC277" s="2" t="n">
        <f aca="false">W277*Settings!$B$3/SUM(S277:X277)</f>
        <v>145.560908465244</v>
      </c>
      <c r="AD277" s="2" t="n">
        <f aca="false">X277*Settings!$B$3/SUM(S277:X277)</f>
        <v>33.0350997935306</v>
      </c>
      <c r="AE277" s="2" t="n">
        <f aca="false">INT(Y277)</f>
        <v>59</v>
      </c>
      <c r="AF277" s="2" t="n">
        <f aca="false">INT(Z277)</f>
        <v>57</v>
      </c>
      <c r="AG277" s="2" t="n">
        <f aca="false">INT(AA277)</f>
        <v>143</v>
      </c>
      <c r="AH277" s="2" t="n">
        <f aca="false">INT(AB277)</f>
        <v>61</v>
      </c>
      <c r="AI277" s="2" t="n">
        <f aca="false">INT(AC277)</f>
        <v>145</v>
      </c>
      <c r="AJ277" s="2" t="n">
        <f aca="false">INT(AD277)</f>
        <v>33</v>
      </c>
      <c r="AK277" s="2" t="n">
        <f aca="false">Settings!$B$3-SUM(AE277:AJ277)</f>
        <v>2</v>
      </c>
      <c r="AL277" s="2" t="n">
        <f aca="false">ROUND(Y277-AE277,9)</f>
        <v>0.876118376</v>
      </c>
      <c r="AM277" s="2" t="n">
        <f aca="false">ROUND(Z277-AF277,9)</f>
        <v>0.123193393</v>
      </c>
      <c r="AN277" s="2" t="n">
        <f aca="false">ROUND(AA277-AG277,9)</f>
        <v>0.152099105</v>
      </c>
      <c r="AO277" s="2" t="n">
        <f aca="false">ROUND(AB277-AH277,9)</f>
        <v>0.252580867</v>
      </c>
      <c r="AP277" s="2" t="n">
        <f aca="false">ROUND(AC277-AI277,9)</f>
        <v>0.560908465</v>
      </c>
      <c r="AQ277" s="2" t="n">
        <f aca="false">ROUND(AD277-AJ277,9)</f>
        <v>0.035099794</v>
      </c>
    </row>
    <row r="278" customFormat="false" ht="15" hidden="false" customHeight="false" outlineLevel="0" collapsed="false">
      <c r="A278" s="2" t="n">
        <v>277</v>
      </c>
      <c r="B278" s="6" t="n">
        <v>6</v>
      </c>
      <c r="C278" s="6" t="n">
        <v>38</v>
      </c>
      <c r="D278" s="8" t="str">
        <f aca="false">INDEX(Bases!$B$2:$B$53,B278)</f>
        <v>Numel</v>
      </c>
      <c r="E278" s="8" t="str">
        <f aca="false">INDEX(Bases!$B$2:$B$53,C278)</f>
        <v>Larvitar</v>
      </c>
      <c r="F278" s="2" t="str">
        <f aca="false">LEFT(D278,ROUNDUP(LEN(D278)/2,0))&amp;LOWER(MID(E278,ROUNDUP(LEN(E278)/2,0)+1,20))</f>
        <v>Numitar</v>
      </c>
      <c r="G278" s="8" t="str">
        <f aca="false">INDEX(Bases!$C$2:$C$53,B278)</f>
        <v>Fire</v>
      </c>
      <c r="H278" s="8" t="str">
        <f aca="false">IF(INDEX(Bases!$C$2:$C$53,C278)=G278,"",INDEX(Bases!$C$2:$C$53,C278))</f>
        <v>Rock</v>
      </c>
      <c r="I278" s="8" t="str">
        <f aca="false">IF(INDEX(Bases!$E$2:$E$53,B278)="","",INDEX(Bases!$E$2:$E$53,B278))</f>
        <v/>
      </c>
      <c r="J278" s="8" t="str">
        <f aca="false">IF(INDEX(Bases!$E$2:$E$53,C278)="","",INDEX(Bases!$E$2:$E$53,C278))</f>
        <v/>
      </c>
      <c r="K278" s="5"/>
      <c r="L278" s="2" t="n">
        <f aca="false">AE278+IF(SUMPRODUCT(--($AL278:$AQ278&gt;AL278))&lt;$AK278,1,0)</f>
        <v>91</v>
      </c>
      <c r="M278" s="2" t="n">
        <f aca="false">AF278+IF(SUMPRODUCT(--($AL278:$AQ278&gt;AM278))+SUMPRODUCT(--($AL278:AL278=AM278))&lt;$AK278,1,0)</f>
        <v>101</v>
      </c>
      <c r="N278" s="2" t="n">
        <f aca="false">AG278+IF(SUMPRODUCT(--($AL278:$AQ278&gt;AN278))+SUMPRODUCT(--($AL278:AM278=AN278))&lt;$AK278,1,0)</f>
        <v>75</v>
      </c>
      <c r="O278" s="2" t="n">
        <f aca="false">AH278+IF(SUMPRODUCT(--($AL278:$AQ278&gt;AO278))+SUMPRODUCT(--($AL278:AN278=AO278))&lt;$AK278,1,0)</f>
        <v>93</v>
      </c>
      <c r="P278" s="2" t="n">
        <f aca="false">AI278+IF(SUMPRODUCT(--($AL278:$AQ278&gt;AP278))+SUMPRODUCT(--($AL278:AO278=AP278))&lt;$AK278,1,0)</f>
        <v>78</v>
      </c>
      <c r="Q278" s="2" t="n">
        <f aca="false">AJ278+IF(SUMPRODUCT(--($AL278:$AQ278&gt;AQ278))+SUMPRODUCT(--($AL278:AP278=AQ278))&lt;$AK278,1,0)</f>
        <v>62</v>
      </c>
      <c r="R278" s="2" t="n">
        <f aca="false">SUM(L278:Q278)</f>
        <v>500</v>
      </c>
      <c r="S278" s="2" t="n">
        <f aca="false">Settings!$B$4*MAX(INDEX(Bases!$M$2:$M$53,B278),INDEX(Bases!$M$2:$M$53,C278))+Settings!$B$5*MIN(INDEX(Bases!$M$2:$M$53,B278),INDEX(Bases!$M$2:$M$53,C278))</f>
        <v>75</v>
      </c>
      <c r="T278" s="2" t="n">
        <f aca="false">Settings!$B$4*MAX(INDEX(Bases!$N$2:$N$53,B278),INDEX(Bases!$N$2:$N$53,C278))+Settings!$B$5*MIN(INDEX(Bases!$N$2:$N$53,B278),INDEX(Bases!$N$2:$N$53,C278))</f>
        <v>83</v>
      </c>
      <c r="U278" s="2" t="n">
        <f aca="false">Settings!$B$4*MAX(INDEX(Bases!$O$2:$O$53,B278),INDEX(Bases!$O$2:$O$53,C278))+Settings!$B$5*MIN(INDEX(Bases!$O$2:$O$53,B278),INDEX(Bases!$O$2:$O$53,C278))</f>
        <v>62</v>
      </c>
      <c r="V278" s="2" t="n">
        <f aca="false">Settings!$B$4*MAX(INDEX(Bases!$P$2:$P$53,B278),INDEX(Bases!$P$2:$P$53,C278))+Settings!$B$5*MIN(INDEX(Bases!$P$2:$P$53,B278),INDEX(Bases!$P$2:$P$53,C278))</f>
        <v>76.6666666666667</v>
      </c>
      <c r="W278" s="2" t="n">
        <f aca="false">Settings!$B$4*MAX(INDEX(Bases!$Q$2:$Q$53,B278),INDEX(Bases!$Q$2:$Q$53,C278))+Settings!$B$5*MIN(INDEX(Bases!$Q$2:$Q$53,B278),INDEX(Bases!$Q$2:$Q$53,C278))</f>
        <v>64.3333333333333</v>
      </c>
      <c r="X278" s="2" t="n">
        <f aca="false">Settings!$B$4*MAX(INDEX(Bases!$R$2:$R$53,B278),INDEX(Bases!$R$2:$R$53,C278))+Settings!$B$5*MIN(INDEX(Bases!$R$2:$R$53,B278),INDEX(Bases!$R$2:$R$53,C278))</f>
        <v>51.3333333333333</v>
      </c>
      <c r="Y278" s="2" t="n">
        <f aca="false">S278*Settings!$B$3/SUM(S278:X278)</f>
        <v>90.9458367016977</v>
      </c>
      <c r="Z278" s="2" t="n">
        <f aca="false">T278*Settings!$B$3/SUM(S278:X278)</f>
        <v>100.646725949879</v>
      </c>
      <c r="AA278" s="2" t="n">
        <f aca="false">U278*Settings!$B$3/SUM(S278:X278)</f>
        <v>75.1818916734034</v>
      </c>
      <c r="AB278" s="2" t="n">
        <f aca="false">V278*Settings!$B$3/SUM(S278:X278)</f>
        <v>92.9668552950687</v>
      </c>
      <c r="AC278" s="2" t="n">
        <f aca="false">W278*Settings!$B$3/SUM(S278:X278)</f>
        <v>78.0113177041229</v>
      </c>
      <c r="AD278" s="2" t="n">
        <f aca="false">X278*Settings!$B$3/SUM(S278:X278)</f>
        <v>62.2473726758286</v>
      </c>
      <c r="AE278" s="2" t="n">
        <f aca="false">INT(Y278)</f>
        <v>90</v>
      </c>
      <c r="AF278" s="2" t="n">
        <f aca="false">INT(Z278)</f>
        <v>100</v>
      </c>
      <c r="AG278" s="2" t="n">
        <f aca="false">INT(AA278)</f>
        <v>75</v>
      </c>
      <c r="AH278" s="2" t="n">
        <f aca="false">INT(AB278)</f>
        <v>92</v>
      </c>
      <c r="AI278" s="2" t="n">
        <f aca="false">INT(AC278)</f>
        <v>78</v>
      </c>
      <c r="AJ278" s="2" t="n">
        <f aca="false">INT(AD278)</f>
        <v>62</v>
      </c>
      <c r="AK278" s="2" t="n">
        <f aca="false">Settings!$B$3-SUM(AE278:AJ278)</f>
        <v>3</v>
      </c>
      <c r="AL278" s="2" t="n">
        <f aca="false">ROUND(Y278-AE278,9)</f>
        <v>0.945836702</v>
      </c>
      <c r="AM278" s="2" t="n">
        <f aca="false">ROUND(Z278-AF278,9)</f>
        <v>0.64672595</v>
      </c>
      <c r="AN278" s="2" t="n">
        <f aca="false">ROUND(AA278-AG278,9)</f>
        <v>0.181891673</v>
      </c>
      <c r="AO278" s="2" t="n">
        <f aca="false">ROUND(AB278-AH278,9)</f>
        <v>0.966855295</v>
      </c>
      <c r="AP278" s="2" t="n">
        <f aca="false">ROUND(AC278-AI278,9)</f>
        <v>0.011317704</v>
      </c>
      <c r="AQ278" s="2" t="n">
        <f aca="false">ROUND(AD278-AJ278,9)</f>
        <v>0.247372676</v>
      </c>
    </row>
    <row r="279" customFormat="false" ht="15" hidden="false" customHeight="false" outlineLevel="0" collapsed="false">
      <c r="A279" s="2" t="n">
        <v>278</v>
      </c>
      <c r="B279" s="6" t="n">
        <v>6</v>
      </c>
      <c r="C279" s="6" t="n">
        <v>39</v>
      </c>
      <c r="D279" s="8" t="str">
        <f aca="false">INDEX(Bases!$B$2:$B$53,B279)</f>
        <v>Numel</v>
      </c>
      <c r="E279" s="8" t="str">
        <f aca="false">INDEX(Bases!$B$2:$B$53,C279)</f>
        <v>Nosepass</v>
      </c>
      <c r="F279" s="2" t="str">
        <f aca="false">LEFT(D279,ROUNDUP(LEN(D279)/2,0))&amp;LOWER(MID(E279,ROUNDUP(LEN(E279)/2,0)+1,20))</f>
        <v>Numpass</v>
      </c>
      <c r="G279" s="8" t="str">
        <f aca="false">INDEX(Bases!$C$2:$C$53,B279)</f>
        <v>Fire</v>
      </c>
      <c r="H279" s="8" t="str">
        <f aca="false">IF(INDEX(Bases!$C$2:$C$53,C279)=G279,"",INDEX(Bases!$C$2:$C$53,C279))</f>
        <v>Rock</v>
      </c>
      <c r="I279" s="8" t="str">
        <f aca="false">IF(INDEX(Bases!$E$2:$E$53,B279)="","",INDEX(Bases!$E$2:$E$53,B279))</f>
        <v/>
      </c>
      <c r="J279" s="8" t="str">
        <f aca="false">IF(INDEX(Bases!$E$2:$E$53,C279)="","",INDEX(Bases!$E$2:$E$53,C279))</f>
        <v/>
      </c>
      <c r="K279" s="5"/>
      <c r="L279" s="2" t="n">
        <f aca="false">AE279+IF(SUMPRODUCT(--($AL279:$AQ279&gt;AL279))&lt;$AK279,1,0)</f>
        <v>71</v>
      </c>
      <c r="M279" s="2" t="n">
        <f aca="false">AF279+IF(SUMPRODUCT(--($AL279:$AQ279&gt;AM279))+SUMPRODUCT(--($AL279:AL279=AM279))&lt;$AK279,1,0)</f>
        <v>78</v>
      </c>
      <c r="N279" s="2" t="n">
        <f aca="false">AG279+IF(SUMPRODUCT(--($AL279:$AQ279&gt;AN279))+SUMPRODUCT(--($AL279:AM279=AN279))&lt;$AK279,1,0)</f>
        <v>128</v>
      </c>
      <c r="O279" s="2" t="n">
        <f aca="false">AH279+IF(SUMPRODUCT(--($AL279:$AQ279&gt;AO279))+SUMPRODUCT(--($AL279:AN279=AO279))&lt;$AK279,1,0)</f>
        <v>82</v>
      </c>
      <c r="P279" s="2" t="n">
        <f aca="false">AI279+IF(SUMPRODUCT(--($AL279:$AQ279&gt;AP279))+SUMPRODUCT(--($AL279:AO279=AP279))&lt;$AK279,1,0)</f>
        <v>94</v>
      </c>
      <c r="Q279" s="2" t="n">
        <f aca="false">AJ279+IF(SUMPRODUCT(--($AL279:$AQ279&gt;AQ279))+SUMPRODUCT(--($AL279:AP279=AQ279))&lt;$AK279,1,0)</f>
        <v>47</v>
      </c>
      <c r="R279" s="2" t="n">
        <f aca="false">SUM(L279:Q279)</f>
        <v>500</v>
      </c>
      <c r="S279" s="2" t="n">
        <f aca="false">Settings!$B$4*MAX(INDEX(Bases!$M$2:$M$53,B279),INDEX(Bases!$M$2:$M$53,C279))+Settings!$B$5*MIN(INDEX(Bases!$M$2:$M$53,B279),INDEX(Bases!$M$2:$M$53,C279))</f>
        <v>63.3333333333333</v>
      </c>
      <c r="T279" s="2" t="n">
        <f aca="false">Settings!$B$4*MAX(INDEX(Bases!$N$2:$N$53,B279),INDEX(Bases!$N$2:$N$53,C279))+Settings!$B$5*MIN(INDEX(Bases!$N$2:$N$53,B279),INDEX(Bases!$N$2:$N$53,C279))</f>
        <v>68.6666666666667</v>
      </c>
      <c r="U279" s="2" t="n">
        <f aca="false">Settings!$B$4*MAX(INDEX(Bases!$O$2:$O$53,B279),INDEX(Bases!$O$2:$O$53,C279))+Settings!$B$5*MIN(INDEX(Bases!$O$2:$O$53,B279),INDEX(Bases!$O$2:$O$53,C279))</f>
        <v>113.333333333333</v>
      </c>
      <c r="V279" s="2" t="n">
        <f aca="false">Settings!$B$4*MAX(INDEX(Bases!$P$2:$P$53,B279),INDEX(Bases!$P$2:$P$53,C279))+Settings!$B$5*MIN(INDEX(Bases!$P$2:$P$53,B279),INDEX(Bases!$P$2:$P$53,C279))</f>
        <v>72.6666666666667</v>
      </c>
      <c r="W279" s="2" t="n">
        <f aca="false">Settings!$B$4*MAX(INDEX(Bases!$Q$2:$Q$53,B279),INDEX(Bases!$Q$2:$Q$53,C279))+Settings!$B$5*MIN(INDEX(Bases!$Q$2:$Q$53,B279),INDEX(Bases!$Q$2:$Q$53,C279))</f>
        <v>83.6666666666667</v>
      </c>
      <c r="X279" s="2" t="n">
        <f aca="false">Settings!$B$4*MAX(INDEX(Bases!$R$2:$R$53,B279),INDEX(Bases!$R$2:$R$53,C279))+Settings!$B$5*MIN(INDEX(Bases!$R$2:$R$53,B279),INDEX(Bases!$R$2:$R$53,C279))</f>
        <v>41.3333333333333</v>
      </c>
      <c r="Y279" s="2" t="n">
        <f aca="false">S279*Settings!$B$3/SUM(S279:X279)</f>
        <v>71.4823175319789</v>
      </c>
      <c r="Z279" s="2" t="n">
        <f aca="false">T279*Settings!$B$3/SUM(S279:X279)</f>
        <v>77.5018811136193</v>
      </c>
      <c r="AA279" s="2" t="n">
        <f aca="false">U279*Settings!$B$3/SUM(S279:X279)</f>
        <v>127.915726109857</v>
      </c>
      <c r="AB279" s="2" t="n">
        <f aca="false">V279*Settings!$B$3/SUM(S279:X279)</f>
        <v>82.0165537998495</v>
      </c>
      <c r="AC279" s="2" t="n">
        <f aca="false">W279*Settings!$B$3/SUM(S279:X279)</f>
        <v>94.4319036869827</v>
      </c>
      <c r="AD279" s="2" t="n">
        <f aca="false">X279*Settings!$B$3/SUM(S279:X279)</f>
        <v>46.6516177577126</v>
      </c>
      <c r="AE279" s="2" t="n">
        <f aca="false">INT(Y279)</f>
        <v>71</v>
      </c>
      <c r="AF279" s="2" t="n">
        <f aca="false">INT(Z279)</f>
        <v>77</v>
      </c>
      <c r="AG279" s="2" t="n">
        <f aca="false">INT(AA279)</f>
        <v>127</v>
      </c>
      <c r="AH279" s="2" t="n">
        <f aca="false">INT(AB279)</f>
        <v>82</v>
      </c>
      <c r="AI279" s="2" t="n">
        <f aca="false">INT(AC279)</f>
        <v>94</v>
      </c>
      <c r="AJ279" s="2" t="n">
        <f aca="false">INT(AD279)</f>
        <v>46</v>
      </c>
      <c r="AK279" s="2" t="n">
        <f aca="false">Settings!$B$3-SUM(AE279:AJ279)</f>
        <v>3</v>
      </c>
      <c r="AL279" s="2" t="n">
        <f aca="false">ROUND(Y279-AE279,9)</f>
        <v>0.482317532</v>
      </c>
      <c r="AM279" s="2" t="n">
        <f aca="false">ROUND(Z279-AF279,9)</f>
        <v>0.501881114</v>
      </c>
      <c r="AN279" s="2" t="n">
        <f aca="false">ROUND(AA279-AG279,9)</f>
        <v>0.91572611</v>
      </c>
      <c r="AO279" s="2" t="n">
        <f aca="false">ROUND(AB279-AH279,9)</f>
        <v>0.0165538</v>
      </c>
      <c r="AP279" s="2" t="n">
        <f aca="false">ROUND(AC279-AI279,9)</f>
        <v>0.431903687</v>
      </c>
      <c r="AQ279" s="2" t="n">
        <f aca="false">ROUND(AD279-AJ279,9)</f>
        <v>0.651617758</v>
      </c>
    </row>
    <row r="280" customFormat="false" ht="15" hidden="false" customHeight="false" outlineLevel="0" collapsed="false">
      <c r="A280" s="2" t="n">
        <v>279</v>
      </c>
      <c r="B280" s="6" t="n">
        <v>6</v>
      </c>
      <c r="C280" s="6" t="n">
        <v>40</v>
      </c>
      <c r="D280" s="8" t="str">
        <f aca="false">INDEX(Bases!$B$2:$B$53,B280)</f>
        <v>Numel</v>
      </c>
      <c r="E280" s="8" t="str">
        <f aca="false">INDEX(Bases!$B$2:$B$53,C280)</f>
        <v>Gastly</v>
      </c>
      <c r="F280" s="2" t="str">
        <f aca="false">LEFT(D280,ROUNDUP(LEN(D280)/2,0))&amp;LOWER(MID(E280,ROUNDUP(LEN(E280)/2,0)+1,20))</f>
        <v>Numtly</v>
      </c>
      <c r="G280" s="8" t="str">
        <f aca="false">INDEX(Bases!$C$2:$C$53,B280)</f>
        <v>Fire</v>
      </c>
      <c r="H280" s="8" t="str">
        <f aca="false">IF(INDEX(Bases!$C$2:$C$53,C280)=G280,"",INDEX(Bases!$C$2:$C$53,C280))</f>
        <v>Ghost</v>
      </c>
      <c r="I280" s="8" t="str">
        <f aca="false">IF(INDEX(Bases!$E$2:$E$53,B280)="","",INDEX(Bases!$E$2:$E$53,B280))</f>
        <v/>
      </c>
      <c r="J280" s="8" t="str">
        <f aca="false">IF(INDEX(Bases!$E$2:$E$53,C280)="","",INDEX(Bases!$E$2:$E$53,C280))</f>
        <v/>
      </c>
      <c r="K280" s="5"/>
      <c r="L280" s="2" t="n">
        <f aca="false">AE280+IF(SUMPRODUCT(--($AL280:$AQ280&gt;AL280))&lt;$AK280,1,0)</f>
        <v>76</v>
      </c>
      <c r="M280" s="2" t="n">
        <f aca="false">AF280+IF(SUMPRODUCT(--($AL280:$AQ280&gt;AM280))+SUMPRODUCT(--($AL280:AL280=AM280))&lt;$AK280,1,0)</f>
        <v>78</v>
      </c>
      <c r="N280" s="2" t="n">
        <f aca="false">AG280+IF(SUMPRODUCT(--($AL280:$AQ280&gt;AN280))+SUMPRODUCT(--($AL280:AM280=AN280))&lt;$AK280,1,0)</f>
        <v>55</v>
      </c>
      <c r="O280" s="2" t="n">
        <f aca="false">AH280+IF(SUMPRODUCT(--($AL280:$AQ280&gt;AO280))+SUMPRODUCT(--($AL280:AN280=AO280))&lt;$AK280,1,0)</f>
        <v>132</v>
      </c>
      <c r="P280" s="2" t="n">
        <f aca="false">AI280+IF(SUMPRODUCT(--($AL280:$AQ280&gt;AP280))+SUMPRODUCT(--($AL280:AO280=AP280))&lt;$AK280,1,0)</f>
        <v>62</v>
      </c>
      <c r="Q280" s="2" t="n">
        <f aca="false">AJ280+IF(SUMPRODUCT(--($AL280:$AQ280&gt;AQ280))+SUMPRODUCT(--($AL280:AP280=AQ280))&lt;$AK280,1,0)</f>
        <v>97</v>
      </c>
      <c r="R280" s="2" t="n">
        <f aca="false">SUM(L280:Q280)</f>
        <v>500</v>
      </c>
      <c r="S280" s="2" t="n">
        <f aca="false">Settings!$B$4*MAX(INDEX(Bases!$M$2:$M$53,B280),INDEX(Bases!$M$2:$M$53,C280))+Settings!$B$5*MIN(INDEX(Bases!$M$2:$M$53,B280),INDEX(Bases!$M$2:$M$53,C280))</f>
        <v>65.6666666666667</v>
      </c>
      <c r="T280" s="2" t="n">
        <f aca="false">Settings!$B$4*MAX(INDEX(Bases!$N$2:$N$53,B280),INDEX(Bases!$N$2:$N$53,C280))+Settings!$B$5*MIN(INDEX(Bases!$N$2:$N$53,B280),INDEX(Bases!$N$2:$N$53,C280))</f>
        <v>67.6666666666667</v>
      </c>
      <c r="U280" s="2" t="n">
        <f aca="false">Settings!$B$4*MAX(INDEX(Bases!$O$2:$O$53,B280),INDEX(Bases!$O$2:$O$53,C280))+Settings!$B$5*MIN(INDEX(Bases!$O$2:$O$53,B280),INDEX(Bases!$O$2:$O$53,C280))</f>
        <v>47.6666666666667</v>
      </c>
      <c r="V280" s="2" t="n">
        <f aca="false">Settings!$B$4*MAX(INDEX(Bases!$P$2:$P$53,B280),INDEX(Bases!$P$2:$P$53,C280))+Settings!$B$5*MIN(INDEX(Bases!$P$2:$P$53,B280),INDEX(Bases!$P$2:$P$53,C280))</f>
        <v>114.333333333333</v>
      </c>
      <c r="W280" s="2" t="n">
        <f aca="false">Settings!$B$4*MAX(INDEX(Bases!$Q$2:$Q$53,B280),INDEX(Bases!$Q$2:$Q$53,C280))+Settings!$B$5*MIN(INDEX(Bases!$Q$2:$Q$53,B280),INDEX(Bases!$Q$2:$Q$53,C280))</f>
        <v>54.3333333333333</v>
      </c>
      <c r="X280" s="2" t="n">
        <f aca="false">Settings!$B$4*MAX(INDEX(Bases!$R$2:$R$53,B280),INDEX(Bases!$R$2:$R$53,C280))+Settings!$B$5*MIN(INDEX(Bases!$R$2:$R$53,B280),INDEX(Bases!$R$2:$R$53,C280))</f>
        <v>84</v>
      </c>
      <c r="Y280" s="2" t="n">
        <f aca="false">S280*Settings!$B$3/SUM(S280:X280)</f>
        <v>75.7109915449654</v>
      </c>
      <c r="Z280" s="2" t="n">
        <f aca="false">T280*Settings!$B$3/SUM(S280:X280)</f>
        <v>78.0169100691776</v>
      </c>
      <c r="AA280" s="2" t="n">
        <f aca="false">U280*Settings!$B$3/SUM(S280:X280)</f>
        <v>54.9577248270561</v>
      </c>
      <c r="AB280" s="2" t="n">
        <f aca="false">V280*Settings!$B$3/SUM(S280:X280)</f>
        <v>131.821675634128</v>
      </c>
      <c r="AC280" s="2" t="n">
        <f aca="false">W280*Settings!$B$3/SUM(S280:X280)</f>
        <v>62.6441199077633</v>
      </c>
      <c r="AD280" s="2" t="n">
        <f aca="false">X280*Settings!$B$3/SUM(S280:X280)</f>
        <v>96.8485780169101</v>
      </c>
      <c r="AE280" s="2" t="n">
        <f aca="false">INT(Y280)</f>
        <v>75</v>
      </c>
      <c r="AF280" s="2" t="n">
        <f aca="false">INT(Z280)</f>
        <v>78</v>
      </c>
      <c r="AG280" s="2" t="n">
        <f aca="false">INT(AA280)</f>
        <v>54</v>
      </c>
      <c r="AH280" s="2" t="n">
        <f aca="false">INT(AB280)</f>
        <v>131</v>
      </c>
      <c r="AI280" s="2" t="n">
        <f aca="false">INT(AC280)</f>
        <v>62</v>
      </c>
      <c r="AJ280" s="2" t="n">
        <f aca="false">INT(AD280)</f>
        <v>96</v>
      </c>
      <c r="AK280" s="2" t="n">
        <f aca="false">Settings!$B$3-SUM(AE280:AJ280)</f>
        <v>4</v>
      </c>
      <c r="AL280" s="2" t="n">
        <f aca="false">ROUND(Y280-AE280,9)</f>
        <v>0.710991545</v>
      </c>
      <c r="AM280" s="2" t="n">
        <f aca="false">ROUND(Z280-AF280,9)</f>
        <v>0.016910069</v>
      </c>
      <c r="AN280" s="2" t="n">
        <f aca="false">ROUND(AA280-AG280,9)</f>
        <v>0.957724827</v>
      </c>
      <c r="AO280" s="2" t="n">
        <f aca="false">ROUND(AB280-AH280,9)</f>
        <v>0.821675634</v>
      </c>
      <c r="AP280" s="2" t="n">
        <f aca="false">ROUND(AC280-AI280,9)</f>
        <v>0.644119908</v>
      </c>
      <c r="AQ280" s="2" t="n">
        <f aca="false">ROUND(AD280-AJ280,9)</f>
        <v>0.848578017</v>
      </c>
    </row>
    <row r="281" customFormat="false" ht="15" hidden="false" customHeight="false" outlineLevel="0" collapsed="false">
      <c r="A281" s="2" t="n">
        <v>280</v>
      </c>
      <c r="B281" s="6" t="n">
        <v>6</v>
      </c>
      <c r="C281" s="6" t="n">
        <v>41</v>
      </c>
      <c r="D281" s="8" t="str">
        <f aca="false">INDEX(Bases!$B$2:$B$53,B281)</f>
        <v>Numel</v>
      </c>
      <c r="E281" s="8" t="str">
        <f aca="false">INDEX(Bases!$B$2:$B$53,C281)</f>
        <v>Misdreavus</v>
      </c>
      <c r="F281" s="2" t="str">
        <f aca="false">LEFT(D281,ROUNDUP(LEN(D281)/2,0))&amp;LOWER(MID(E281,ROUNDUP(LEN(E281)/2,0)+1,20))</f>
        <v>Numeavus</v>
      </c>
      <c r="G281" s="8" t="str">
        <f aca="false">INDEX(Bases!$C$2:$C$53,B281)</f>
        <v>Fire</v>
      </c>
      <c r="H281" s="8" t="str">
        <f aca="false">IF(INDEX(Bases!$C$2:$C$53,C281)=G281,"",INDEX(Bases!$C$2:$C$53,C281))</f>
        <v>Ghost</v>
      </c>
      <c r="I281" s="8" t="str">
        <f aca="false">IF(INDEX(Bases!$E$2:$E$53,B281)="","",INDEX(Bases!$E$2:$E$53,B281))</f>
        <v/>
      </c>
      <c r="J281" s="8" t="str">
        <f aca="false">IF(INDEX(Bases!$E$2:$E$53,C281)="","",INDEX(Bases!$E$2:$E$53,C281))</f>
        <v/>
      </c>
      <c r="K281" s="5"/>
      <c r="L281" s="2" t="n">
        <f aca="false">AE281+IF(SUMPRODUCT(--($AL281:$AQ281&gt;AL281))&lt;$AK281,1,0)</f>
        <v>85</v>
      </c>
      <c r="M281" s="2" t="n">
        <f aca="false">AF281+IF(SUMPRODUCT(--($AL281:$AQ281&gt;AM281))+SUMPRODUCT(--($AL281:AL281=AM281))&lt;$AK281,1,0)</f>
        <v>85</v>
      </c>
      <c r="N281" s="2" t="n">
        <f aca="false">AG281+IF(SUMPRODUCT(--($AL281:$AQ281&gt;AN281))+SUMPRODUCT(--($AL281:AM281=AN281))&lt;$AK281,1,0)</f>
        <v>65</v>
      </c>
      <c r="O281" s="2" t="n">
        <f aca="false">AH281+IF(SUMPRODUCT(--($AL281:$AQ281&gt;AO281))+SUMPRODUCT(--($AL281:AN281=AO281))&lt;$AK281,1,0)</f>
        <v>99</v>
      </c>
      <c r="P281" s="2" t="n">
        <f aca="false">AI281+IF(SUMPRODUCT(--($AL281:$AQ281&gt;AP281))+SUMPRODUCT(--($AL281:AO281=AP281))&lt;$AK281,1,0)</f>
        <v>86</v>
      </c>
      <c r="Q281" s="2" t="n">
        <f aca="false">AJ281+IF(SUMPRODUCT(--($AL281:$AQ281&gt;AQ281))+SUMPRODUCT(--($AL281:AP281=AQ281))&lt;$AK281,1,0)</f>
        <v>80</v>
      </c>
      <c r="R281" s="2" t="n">
        <f aca="false">SUM(L281:Q281)</f>
        <v>500</v>
      </c>
      <c r="S281" s="2" t="n">
        <f aca="false">Settings!$B$4*MAX(INDEX(Bases!$M$2:$M$53,B281),INDEX(Bases!$M$2:$M$53,C281))+Settings!$B$5*MIN(INDEX(Bases!$M$2:$M$53,B281),INDEX(Bases!$M$2:$M$53,C281))</f>
        <v>71.3333333333333</v>
      </c>
      <c r="T281" s="2" t="n">
        <f aca="false">Settings!$B$4*MAX(INDEX(Bases!$N$2:$N$53,B281),INDEX(Bases!$N$2:$N$53,C281))+Settings!$B$5*MIN(INDEX(Bases!$N$2:$N$53,B281),INDEX(Bases!$N$2:$N$53,C281))</f>
        <v>71</v>
      </c>
      <c r="U281" s="2" t="n">
        <f aca="false">Settings!$B$4*MAX(INDEX(Bases!$O$2:$O$53,B281),INDEX(Bases!$O$2:$O$53,C281))+Settings!$B$5*MIN(INDEX(Bases!$O$2:$O$53,B281),INDEX(Bases!$O$2:$O$53,C281))</f>
        <v>54</v>
      </c>
      <c r="V281" s="2" t="n">
        <f aca="false">Settings!$B$4*MAX(INDEX(Bases!$P$2:$P$53,B281),INDEX(Bases!$P$2:$P$53,C281))+Settings!$B$5*MIN(INDEX(Bases!$P$2:$P$53,B281),INDEX(Bases!$P$2:$P$53,C281))</f>
        <v>82.6666666666667</v>
      </c>
      <c r="W281" s="2" t="n">
        <f aca="false">Settings!$B$4*MAX(INDEX(Bases!$Q$2:$Q$53,B281),INDEX(Bases!$Q$2:$Q$53,C281))+Settings!$B$5*MIN(INDEX(Bases!$Q$2:$Q$53,B281),INDEX(Bases!$Q$2:$Q$53,C281))</f>
        <v>71.6666666666667</v>
      </c>
      <c r="X281" s="2" t="n">
        <f aca="false">Settings!$B$4*MAX(INDEX(Bases!$R$2:$R$53,B281),INDEX(Bases!$R$2:$R$53,C281))+Settings!$B$5*MIN(INDEX(Bases!$R$2:$R$53,B281),INDEX(Bases!$R$2:$R$53,C281))</f>
        <v>67.3333333333333</v>
      </c>
      <c r="Y281" s="2" t="n">
        <f aca="false">S281*Settings!$B$3/SUM(S281:X281)</f>
        <v>85.3269537480064</v>
      </c>
      <c r="Z281" s="2" t="n">
        <f aca="false">T281*Settings!$B$3/SUM(S281:X281)</f>
        <v>84.9282296650718</v>
      </c>
      <c r="AA281" s="2" t="n">
        <f aca="false">U281*Settings!$B$3/SUM(S281:X281)</f>
        <v>64.5933014354067</v>
      </c>
      <c r="AB281" s="2" t="n">
        <f aca="false">V281*Settings!$B$3/SUM(S281:X281)</f>
        <v>98.8835725677831</v>
      </c>
      <c r="AC281" s="2" t="n">
        <f aca="false">W281*Settings!$B$3/SUM(S281:X281)</f>
        <v>85.725677830941</v>
      </c>
      <c r="AD281" s="2" t="n">
        <f aca="false">X281*Settings!$B$3/SUM(S281:X281)</f>
        <v>80.5422647527911</v>
      </c>
      <c r="AE281" s="2" t="n">
        <f aca="false">INT(Y281)</f>
        <v>85</v>
      </c>
      <c r="AF281" s="2" t="n">
        <f aca="false">INT(Z281)</f>
        <v>84</v>
      </c>
      <c r="AG281" s="2" t="n">
        <f aca="false">INT(AA281)</f>
        <v>64</v>
      </c>
      <c r="AH281" s="2" t="n">
        <f aca="false">INT(AB281)</f>
        <v>98</v>
      </c>
      <c r="AI281" s="2" t="n">
        <f aca="false">INT(AC281)</f>
        <v>85</v>
      </c>
      <c r="AJ281" s="2" t="n">
        <f aca="false">INT(AD281)</f>
        <v>80</v>
      </c>
      <c r="AK281" s="2" t="n">
        <f aca="false">Settings!$B$3-SUM(AE281:AJ281)</f>
        <v>4</v>
      </c>
      <c r="AL281" s="2" t="n">
        <f aca="false">ROUND(Y281-AE281,9)</f>
        <v>0.326953748</v>
      </c>
      <c r="AM281" s="2" t="n">
        <f aca="false">ROUND(Z281-AF281,9)</f>
        <v>0.928229665</v>
      </c>
      <c r="AN281" s="2" t="n">
        <f aca="false">ROUND(AA281-AG281,9)</f>
        <v>0.593301435</v>
      </c>
      <c r="AO281" s="2" t="n">
        <f aca="false">ROUND(AB281-AH281,9)</f>
        <v>0.883572568</v>
      </c>
      <c r="AP281" s="2" t="n">
        <f aca="false">ROUND(AC281-AI281,9)</f>
        <v>0.725677831</v>
      </c>
      <c r="AQ281" s="2" t="n">
        <f aca="false">ROUND(AD281-AJ281,9)</f>
        <v>0.542264753</v>
      </c>
    </row>
    <row r="282" customFormat="false" ht="15" hidden="false" customHeight="false" outlineLevel="0" collapsed="false">
      <c r="A282" s="2" t="n">
        <v>281</v>
      </c>
      <c r="B282" s="6" t="n">
        <v>6</v>
      </c>
      <c r="C282" s="6" t="n">
        <v>42</v>
      </c>
      <c r="D282" s="8" t="str">
        <f aca="false">INDEX(Bases!$B$2:$B$53,B282)</f>
        <v>Numel</v>
      </c>
      <c r="E282" s="8" t="str">
        <f aca="false">INDEX(Bases!$B$2:$B$53,C282)</f>
        <v>Sableye</v>
      </c>
      <c r="F282" s="2" t="str">
        <f aca="false">LEFT(D282,ROUNDUP(LEN(D282)/2,0))&amp;LOWER(MID(E282,ROUNDUP(LEN(E282)/2,0)+1,20))</f>
        <v>Numeye</v>
      </c>
      <c r="G282" s="8" t="str">
        <f aca="false">INDEX(Bases!$C$2:$C$53,B282)</f>
        <v>Fire</v>
      </c>
      <c r="H282" s="8" t="str">
        <f aca="false">IF(INDEX(Bases!$C$2:$C$53,C282)=G282,"",INDEX(Bases!$C$2:$C$53,C282))</f>
        <v>Ghost</v>
      </c>
      <c r="I282" s="8" t="str">
        <f aca="false">IF(INDEX(Bases!$E$2:$E$53,B282)="","",INDEX(Bases!$E$2:$E$53,B282))</f>
        <v/>
      </c>
      <c r="J282" s="8" t="str">
        <f aca="false">IF(INDEX(Bases!$E$2:$E$53,C282)="","",INDEX(Bases!$E$2:$E$53,C282))</f>
        <v/>
      </c>
      <c r="K282" s="5"/>
      <c r="L282" s="2" t="n">
        <f aca="false">AE282+IF(SUMPRODUCT(--($AL282:$AQ282&gt;AL282))&lt;$AK282,1,0)</f>
        <v>85</v>
      </c>
      <c r="M282" s="2" t="n">
        <f aca="false">AF282+IF(SUMPRODUCT(--($AL282:$AQ282&gt;AM282))+SUMPRODUCT(--($AL282:AL282=AM282))&lt;$AK282,1,0)</f>
        <v>95</v>
      </c>
      <c r="N282" s="2" t="n">
        <f aca="false">AG282+IF(SUMPRODUCT(--($AL282:$AQ282&gt;AN282))+SUMPRODUCT(--($AL282:AM282=AN282))&lt;$AK282,1,0)</f>
        <v>85</v>
      </c>
      <c r="O282" s="2" t="n">
        <f aca="false">AH282+IF(SUMPRODUCT(--($AL282:$AQ282&gt;AO282))+SUMPRODUCT(--($AL282:AN282=AO282))&lt;$AK282,1,0)</f>
        <v>96</v>
      </c>
      <c r="P282" s="2" t="n">
        <f aca="false">AI282+IF(SUMPRODUCT(--($AL282:$AQ282&gt;AP282))+SUMPRODUCT(--($AL282:AO282=AP282))&lt;$AK282,1,0)</f>
        <v>78</v>
      </c>
      <c r="Q282" s="2" t="n">
        <f aca="false">AJ282+IF(SUMPRODUCT(--($AL282:$AQ282&gt;AQ282))+SUMPRODUCT(--($AL282:AP282=AQ282))&lt;$AK282,1,0)</f>
        <v>61</v>
      </c>
      <c r="R282" s="2" t="n">
        <f aca="false">SUM(L282:Q282)</f>
        <v>500</v>
      </c>
      <c r="S282" s="2" t="n">
        <f aca="false">Settings!$B$4*MAX(INDEX(Bases!$M$2:$M$53,B282),INDEX(Bases!$M$2:$M$53,C282))+Settings!$B$5*MIN(INDEX(Bases!$M$2:$M$53,B282),INDEX(Bases!$M$2:$M$53,C282))</f>
        <v>70.3333333333333</v>
      </c>
      <c r="T282" s="2" t="n">
        <f aca="false">Settings!$B$4*MAX(INDEX(Bases!$N$2:$N$53,B282),INDEX(Bases!$N$2:$N$53,C282))+Settings!$B$5*MIN(INDEX(Bases!$N$2:$N$53,B282),INDEX(Bases!$N$2:$N$53,C282))</f>
        <v>79</v>
      </c>
      <c r="U282" s="2" t="n">
        <f aca="false">Settings!$B$4*MAX(INDEX(Bases!$O$2:$O$53,B282),INDEX(Bases!$O$2:$O$53,C282))+Settings!$B$5*MIN(INDEX(Bases!$O$2:$O$53,B282),INDEX(Bases!$O$2:$O$53,C282))</f>
        <v>70</v>
      </c>
      <c r="V282" s="2" t="n">
        <f aca="false">Settings!$B$4*MAX(INDEX(Bases!$P$2:$P$53,B282),INDEX(Bases!$P$2:$P$53,C282))+Settings!$B$5*MIN(INDEX(Bases!$P$2:$P$53,B282),INDEX(Bases!$P$2:$P$53,C282))</f>
        <v>79.3333333333333</v>
      </c>
      <c r="W282" s="2" t="n">
        <f aca="false">Settings!$B$4*MAX(INDEX(Bases!$Q$2:$Q$53,B282),INDEX(Bases!$Q$2:$Q$53,C282))+Settings!$B$5*MIN(INDEX(Bases!$Q$2:$Q$53,B282),INDEX(Bases!$Q$2:$Q$53,C282))</f>
        <v>65</v>
      </c>
      <c r="X282" s="2" t="n">
        <f aca="false">Settings!$B$4*MAX(INDEX(Bases!$R$2:$R$53,B282),INDEX(Bases!$R$2:$R$53,C282))+Settings!$B$5*MIN(INDEX(Bases!$R$2:$R$53,B282),INDEX(Bases!$R$2:$R$53,C282))</f>
        <v>50.6666666666667</v>
      </c>
      <c r="Y282" s="2" t="n">
        <f aca="false">S282*Settings!$B$3/SUM(S282:X282)</f>
        <v>84.875301689461</v>
      </c>
      <c r="Z282" s="2" t="n">
        <f aca="false">T282*Settings!$B$3/SUM(S282:X282)</f>
        <v>95.3338696701529</v>
      </c>
      <c r="AA282" s="2" t="n">
        <f aca="false">U282*Settings!$B$3/SUM(S282:X282)</f>
        <v>84.473049074819</v>
      </c>
      <c r="AB282" s="2" t="n">
        <f aca="false">V282*Settings!$B$3/SUM(S282:X282)</f>
        <v>95.7361222847949</v>
      </c>
      <c r="AC282" s="2" t="n">
        <f aca="false">W282*Settings!$B$3/SUM(S282:X282)</f>
        <v>78.4392598551891</v>
      </c>
      <c r="AD282" s="2" t="n">
        <f aca="false">X282*Settings!$B$3/SUM(S282:X282)</f>
        <v>61.1423974255833</v>
      </c>
      <c r="AE282" s="2" t="n">
        <f aca="false">INT(Y282)</f>
        <v>84</v>
      </c>
      <c r="AF282" s="2" t="n">
        <f aca="false">INT(Z282)</f>
        <v>95</v>
      </c>
      <c r="AG282" s="2" t="n">
        <f aca="false">INT(AA282)</f>
        <v>84</v>
      </c>
      <c r="AH282" s="2" t="n">
        <f aca="false">INT(AB282)</f>
        <v>95</v>
      </c>
      <c r="AI282" s="2" t="n">
        <f aca="false">INT(AC282)</f>
        <v>78</v>
      </c>
      <c r="AJ282" s="2" t="n">
        <f aca="false">INT(AD282)</f>
        <v>61</v>
      </c>
      <c r="AK282" s="2" t="n">
        <f aca="false">Settings!$B$3-SUM(AE282:AJ282)</f>
        <v>3</v>
      </c>
      <c r="AL282" s="2" t="n">
        <f aca="false">ROUND(Y282-AE282,9)</f>
        <v>0.875301689</v>
      </c>
      <c r="AM282" s="2" t="n">
        <f aca="false">ROUND(Z282-AF282,9)</f>
        <v>0.33386967</v>
      </c>
      <c r="AN282" s="2" t="n">
        <f aca="false">ROUND(AA282-AG282,9)</f>
        <v>0.473049075</v>
      </c>
      <c r="AO282" s="2" t="n">
        <f aca="false">ROUND(AB282-AH282,9)</f>
        <v>0.736122285</v>
      </c>
      <c r="AP282" s="2" t="n">
        <f aca="false">ROUND(AC282-AI282,9)</f>
        <v>0.439259855</v>
      </c>
      <c r="AQ282" s="2" t="n">
        <f aca="false">ROUND(AD282-AJ282,9)</f>
        <v>0.142397426</v>
      </c>
    </row>
    <row r="283" customFormat="false" ht="15" hidden="false" customHeight="false" outlineLevel="0" collapsed="false">
      <c r="A283" s="2" t="n">
        <v>282</v>
      </c>
      <c r="B283" s="6" t="n">
        <v>6</v>
      </c>
      <c r="C283" s="6" t="n">
        <v>43</v>
      </c>
      <c r="D283" s="8" t="str">
        <f aca="false">INDEX(Bases!$B$2:$B$53,B283)</f>
        <v>Numel</v>
      </c>
      <c r="E283" s="8" t="str">
        <f aca="false">INDEX(Bases!$B$2:$B$53,C283)</f>
        <v>Dratini</v>
      </c>
      <c r="F283" s="2" t="str">
        <f aca="false">LEFT(D283,ROUNDUP(LEN(D283)/2,0))&amp;LOWER(MID(E283,ROUNDUP(LEN(E283)/2,0)+1,20))</f>
        <v>Numini</v>
      </c>
      <c r="G283" s="8" t="str">
        <f aca="false">INDEX(Bases!$C$2:$C$53,B283)</f>
        <v>Fire</v>
      </c>
      <c r="H283" s="8" t="str">
        <f aca="false">IF(INDEX(Bases!$C$2:$C$53,C283)=G283,"",INDEX(Bases!$C$2:$C$53,C283))</f>
        <v>Dragon</v>
      </c>
      <c r="I283" s="8" t="str">
        <f aca="false">IF(INDEX(Bases!$E$2:$E$53,B283)="","",INDEX(Bases!$E$2:$E$53,B283))</f>
        <v/>
      </c>
      <c r="J283" s="8" t="str">
        <f aca="false">IF(INDEX(Bases!$E$2:$E$53,C283)="","",INDEX(Bases!$E$2:$E$53,C283))</f>
        <v/>
      </c>
      <c r="K283" s="5"/>
      <c r="L283" s="2" t="n">
        <f aca="false">AE283+IF(SUMPRODUCT(--($AL283:$AQ283&gt;AL283))&lt;$AK283,1,0)</f>
        <v>86</v>
      </c>
      <c r="M283" s="2" t="n">
        <f aca="false">AF283+IF(SUMPRODUCT(--($AL283:$AQ283&gt;AM283))+SUMPRODUCT(--($AL283:AL283=AM283))&lt;$AK283,1,0)</f>
        <v>100</v>
      </c>
      <c r="N283" s="2" t="n">
        <f aca="false">AG283+IF(SUMPRODUCT(--($AL283:$AQ283&gt;AN283))+SUMPRODUCT(--($AL283:AM283=AN283))&lt;$AK283,1,0)</f>
        <v>69</v>
      </c>
      <c r="O283" s="2" t="n">
        <f aca="false">AH283+IF(SUMPRODUCT(--($AL283:$AQ283&gt;AO283))+SUMPRODUCT(--($AL283:AN283=AO283))&lt;$AK283,1,0)</f>
        <v>95</v>
      </c>
      <c r="P283" s="2" t="n">
        <f aca="false">AI283+IF(SUMPRODUCT(--($AL283:$AQ283&gt;AP283))+SUMPRODUCT(--($AL283:AO283=AP283))&lt;$AK283,1,0)</f>
        <v>78</v>
      </c>
      <c r="Q283" s="2" t="n">
        <f aca="false">AJ283+IF(SUMPRODUCT(--($AL283:$AQ283&gt;AQ283))+SUMPRODUCT(--($AL283:AP283=AQ283))&lt;$AK283,1,0)</f>
        <v>72</v>
      </c>
      <c r="R283" s="2" t="n">
        <f aca="false">SUM(L283:Q283)</f>
        <v>500</v>
      </c>
      <c r="S283" s="2" t="n">
        <f aca="false">Settings!$B$4*MAX(INDEX(Bases!$M$2:$M$53,B283),INDEX(Bases!$M$2:$M$53,C283))+Settings!$B$5*MIN(INDEX(Bases!$M$2:$M$53,B283),INDEX(Bases!$M$2:$M$53,C283))</f>
        <v>71</v>
      </c>
      <c r="T283" s="2" t="n">
        <f aca="false">Settings!$B$4*MAX(INDEX(Bases!$N$2:$N$53,B283),INDEX(Bases!$N$2:$N$53,C283))+Settings!$B$5*MIN(INDEX(Bases!$N$2:$N$53,B283),INDEX(Bases!$N$2:$N$53,C283))</f>
        <v>83</v>
      </c>
      <c r="U283" s="2" t="n">
        <f aca="false">Settings!$B$4*MAX(INDEX(Bases!$O$2:$O$53,B283),INDEX(Bases!$O$2:$O$53,C283))+Settings!$B$5*MIN(INDEX(Bases!$O$2:$O$53,B283),INDEX(Bases!$O$2:$O$53,C283))</f>
        <v>57.3333333333333</v>
      </c>
      <c r="V283" s="2" t="n">
        <f aca="false">Settings!$B$4*MAX(INDEX(Bases!$P$2:$P$53,B283),INDEX(Bases!$P$2:$P$53,C283))+Settings!$B$5*MIN(INDEX(Bases!$P$2:$P$53,B283),INDEX(Bases!$P$2:$P$53,C283))</f>
        <v>79</v>
      </c>
      <c r="W283" s="2" t="n">
        <f aca="false">Settings!$B$4*MAX(INDEX(Bases!$Q$2:$Q$53,B283),INDEX(Bases!$Q$2:$Q$53,C283))+Settings!$B$5*MIN(INDEX(Bases!$Q$2:$Q$53,B283),INDEX(Bases!$Q$2:$Q$53,C283))</f>
        <v>64.3333333333333</v>
      </c>
      <c r="X283" s="2" t="n">
        <f aca="false">Settings!$B$4*MAX(INDEX(Bases!$R$2:$R$53,B283),INDEX(Bases!$R$2:$R$53,C283))+Settings!$B$5*MIN(INDEX(Bases!$R$2:$R$53,B283),INDEX(Bases!$R$2:$R$53,C283))</f>
        <v>59.3333333333333</v>
      </c>
      <c r="Y283" s="2" t="n">
        <f aca="false">S283*Settings!$B$3/SUM(S283:X283)</f>
        <v>85.7487922705314</v>
      </c>
      <c r="Z283" s="2" t="n">
        <f aca="false">T283*Settings!$B$3/SUM(S283:X283)</f>
        <v>100.24154589372</v>
      </c>
      <c r="AA283" s="2" t="n">
        <f aca="false">U283*Settings!$B$3/SUM(S283:X283)</f>
        <v>69.2431561996779</v>
      </c>
      <c r="AB283" s="2" t="n">
        <f aca="false">V283*Settings!$B$3/SUM(S283:X283)</f>
        <v>95.4106280193237</v>
      </c>
      <c r="AC283" s="2" t="n">
        <f aca="false">W283*Settings!$B$3/SUM(S283:X283)</f>
        <v>77.6972624798712</v>
      </c>
      <c r="AD283" s="2" t="n">
        <f aca="false">X283*Settings!$B$3/SUM(S283:X283)</f>
        <v>71.658615136876</v>
      </c>
      <c r="AE283" s="2" t="n">
        <f aca="false">INT(Y283)</f>
        <v>85</v>
      </c>
      <c r="AF283" s="2" t="n">
        <f aca="false">INT(Z283)</f>
        <v>100</v>
      </c>
      <c r="AG283" s="2" t="n">
        <f aca="false">INT(AA283)</f>
        <v>69</v>
      </c>
      <c r="AH283" s="2" t="n">
        <f aca="false">INT(AB283)</f>
        <v>95</v>
      </c>
      <c r="AI283" s="2" t="n">
        <f aca="false">INT(AC283)</f>
        <v>77</v>
      </c>
      <c r="AJ283" s="2" t="n">
        <f aca="false">INT(AD283)</f>
        <v>71</v>
      </c>
      <c r="AK283" s="2" t="n">
        <f aca="false">Settings!$B$3-SUM(AE283:AJ283)</f>
        <v>3</v>
      </c>
      <c r="AL283" s="2" t="n">
        <f aca="false">ROUND(Y283-AE283,9)</f>
        <v>0.748792271</v>
      </c>
      <c r="AM283" s="2" t="n">
        <f aca="false">ROUND(Z283-AF283,9)</f>
        <v>0.241545894</v>
      </c>
      <c r="AN283" s="2" t="n">
        <f aca="false">ROUND(AA283-AG283,9)</f>
        <v>0.2431562</v>
      </c>
      <c r="AO283" s="2" t="n">
        <f aca="false">ROUND(AB283-AH283,9)</f>
        <v>0.410628019</v>
      </c>
      <c r="AP283" s="2" t="n">
        <f aca="false">ROUND(AC283-AI283,9)</f>
        <v>0.69726248</v>
      </c>
      <c r="AQ283" s="2" t="n">
        <f aca="false">ROUND(AD283-AJ283,9)</f>
        <v>0.658615137</v>
      </c>
    </row>
    <row r="284" customFormat="false" ht="15" hidden="false" customHeight="false" outlineLevel="0" collapsed="false">
      <c r="A284" s="2" t="n">
        <v>283</v>
      </c>
      <c r="B284" s="6" t="n">
        <v>6</v>
      </c>
      <c r="C284" s="6" t="n">
        <v>44</v>
      </c>
      <c r="D284" s="8" t="str">
        <f aca="false">INDEX(Bases!$B$2:$B$53,B284)</f>
        <v>Numel</v>
      </c>
      <c r="E284" s="8" t="str">
        <f aca="false">INDEX(Bases!$B$2:$B$53,C284)</f>
        <v>Bagon</v>
      </c>
      <c r="F284" s="2" t="str">
        <f aca="false">LEFT(D284,ROUNDUP(LEN(D284)/2,0))&amp;LOWER(MID(E284,ROUNDUP(LEN(E284)/2,0)+1,20))</f>
        <v>Numon</v>
      </c>
      <c r="G284" s="8" t="str">
        <f aca="false">INDEX(Bases!$C$2:$C$53,B284)</f>
        <v>Fire</v>
      </c>
      <c r="H284" s="8" t="str">
        <f aca="false">IF(INDEX(Bases!$C$2:$C$53,C284)=G284,"",INDEX(Bases!$C$2:$C$53,C284))</f>
        <v>Dragon</v>
      </c>
      <c r="I284" s="8" t="str">
        <f aca="false">IF(INDEX(Bases!$E$2:$E$53,B284)="","",INDEX(Bases!$E$2:$E$53,B284))</f>
        <v/>
      </c>
      <c r="J284" s="8" t="str">
        <f aca="false">IF(INDEX(Bases!$E$2:$E$53,C284)="","",INDEX(Bases!$E$2:$E$53,C284))</f>
        <v/>
      </c>
      <c r="K284" s="5"/>
      <c r="L284" s="2" t="n">
        <f aca="false">AE284+IF(SUMPRODUCT(--($AL284:$AQ284&gt;AL284))&lt;$AK284,1,0)</f>
        <v>86</v>
      </c>
      <c r="M284" s="2" t="n">
        <f aca="false">AF284+IF(SUMPRODUCT(--($AL284:$AQ284&gt;AM284))+SUMPRODUCT(--($AL284:AL284=AM284))&lt;$AK284,1,0)</f>
        <v>110</v>
      </c>
      <c r="N284" s="2" t="n">
        <f aca="false">AG284+IF(SUMPRODUCT(--($AL284:$AQ284&gt;AN284))+SUMPRODUCT(--($AL284:AM284=AN284))&lt;$AK284,1,0)</f>
        <v>83</v>
      </c>
      <c r="O284" s="2" t="n">
        <f aca="false">AH284+IF(SUMPRODUCT(--($AL284:$AQ284&gt;AO284))+SUMPRODUCT(--($AL284:AN284=AO284))&lt;$AK284,1,0)</f>
        <v>88</v>
      </c>
      <c r="P284" s="2" t="n">
        <f aca="false">AI284+IF(SUMPRODUCT(--($AL284:$AQ284&gt;AP284))+SUMPRODUCT(--($AL284:AO284=AP284))&lt;$AK284,1,0)</f>
        <v>62</v>
      </c>
      <c r="Q284" s="2" t="n">
        <f aca="false">AJ284+IF(SUMPRODUCT(--($AL284:$AQ284&gt;AQ284))+SUMPRODUCT(--($AL284:AP284=AQ284))&lt;$AK284,1,0)</f>
        <v>71</v>
      </c>
      <c r="R284" s="2" t="n">
        <f aca="false">SUM(L284:Q284)</f>
        <v>500</v>
      </c>
      <c r="S284" s="2" t="n">
        <f aca="false">Settings!$B$4*MAX(INDEX(Bases!$M$2:$M$53,B284),INDEX(Bases!$M$2:$M$53,C284))+Settings!$B$5*MIN(INDEX(Bases!$M$2:$M$53,B284),INDEX(Bases!$M$2:$M$53,C284))</f>
        <v>72.6666666666667</v>
      </c>
      <c r="T284" s="2" t="n">
        <f aca="false">Settings!$B$4*MAX(INDEX(Bases!$N$2:$N$53,B284),INDEX(Bases!$N$2:$N$53,C284))+Settings!$B$5*MIN(INDEX(Bases!$N$2:$N$53,B284),INDEX(Bases!$N$2:$N$53,C284))</f>
        <v>93</v>
      </c>
      <c r="U284" s="2" t="n">
        <f aca="false">Settings!$B$4*MAX(INDEX(Bases!$O$2:$O$53,B284),INDEX(Bases!$O$2:$O$53,C284))+Settings!$B$5*MIN(INDEX(Bases!$O$2:$O$53,B284),INDEX(Bases!$O$2:$O$53,C284))</f>
        <v>70.6666666666667</v>
      </c>
      <c r="V284" s="2" t="n">
        <f aca="false">Settings!$B$4*MAX(INDEX(Bases!$P$2:$P$53,B284),INDEX(Bases!$P$2:$P$53,C284))+Settings!$B$5*MIN(INDEX(Bases!$P$2:$P$53,B284),INDEX(Bases!$P$2:$P$53,C284))</f>
        <v>74.3333333333333</v>
      </c>
      <c r="W284" s="2" t="n">
        <f aca="false">Settings!$B$4*MAX(INDEX(Bases!$Q$2:$Q$53,B284),INDEX(Bases!$Q$2:$Q$53,C284))+Settings!$B$5*MIN(INDEX(Bases!$Q$2:$Q$53,B284),INDEX(Bases!$Q$2:$Q$53,C284))</f>
        <v>52.6666666666667</v>
      </c>
      <c r="X284" s="2" t="n">
        <f aca="false">Settings!$B$4*MAX(INDEX(Bases!$R$2:$R$53,B284),INDEX(Bases!$R$2:$R$53,C284))+Settings!$B$5*MIN(INDEX(Bases!$R$2:$R$53,B284),INDEX(Bases!$R$2:$R$53,C284))</f>
        <v>60</v>
      </c>
      <c r="Y284" s="2" t="n">
        <f aca="false">S284*Settings!$B$3/SUM(S284:X284)</f>
        <v>85.8267716535433</v>
      </c>
      <c r="Z284" s="2" t="n">
        <f aca="false">T284*Settings!$B$3/SUM(S284:X284)</f>
        <v>109.842519685039</v>
      </c>
      <c r="AA284" s="2" t="n">
        <f aca="false">U284*Settings!$B$3/SUM(S284:X284)</f>
        <v>83.4645669291339</v>
      </c>
      <c r="AB284" s="2" t="n">
        <f aca="false">V284*Settings!$B$3/SUM(S284:X284)</f>
        <v>87.7952755905512</v>
      </c>
      <c r="AC284" s="2" t="n">
        <f aca="false">W284*Settings!$B$3/SUM(S284:X284)</f>
        <v>62.2047244094488</v>
      </c>
      <c r="AD284" s="2" t="n">
        <f aca="false">X284*Settings!$B$3/SUM(S284:X284)</f>
        <v>70.8661417322835</v>
      </c>
      <c r="AE284" s="2" t="n">
        <f aca="false">INT(Y284)</f>
        <v>85</v>
      </c>
      <c r="AF284" s="2" t="n">
        <f aca="false">INT(Z284)</f>
        <v>109</v>
      </c>
      <c r="AG284" s="2" t="n">
        <f aca="false">INT(AA284)</f>
        <v>83</v>
      </c>
      <c r="AH284" s="2" t="n">
        <f aca="false">INT(AB284)</f>
        <v>87</v>
      </c>
      <c r="AI284" s="2" t="n">
        <f aca="false">INT(AC284)</f>
        <v>62</v>
      </c>
      <c r="AJ284" s="2" t="n">
        <f aca="false">INT(AD284)</f>
        <v>70</v>
      </c>
      <c r="AK284" s="2" t="n">
        <f aca="false">Settings!$B$3-SUM(AE284:AJ284)</f>
        <v>4</v>
      </c>
      <c r="AL284" s="2" t="n">
        <f aca="false">ROUND(Y284-AE284,9)</f>
        <v>0.826771654</v>
      </c>
      <c r="AM284" s="2" t="n">
        <f aca="false">ROUND(Z284-AF284,9)</f>
        <v>0.842519685</v>
      </c>
      <c r="AN284" s="2" t="n">
        <f aca="false">ROUND(AA284-AG284,9)</f>
        <v>0.464566929</v>
      </c>
      <c r="AO284" s="2" t="n">
        <f aca="false">ROUND(AB284-AH284,9)</f>
        <v>0.795275591</v>
      </c>
      <c r="AP284" s="2" t="n">
        <f aca="false">ROUND(AC284-AI284,9)</f>
        <v>0.204724409</v>
      </c>
      <c r="AQ284" s="2" t="n">
        <f aca="false">ROUND(AD284-AJ284,9)</f>
        <v>0.866141732</v>
      </c>
    </row>
    <row r="285" customFormat="false" ht="15" hidden="false" customHeight="false" outlineLevel="0" collapsed="false">
      <c r="A285" s="2" t="n">
        <v>284</v>
      </c>
      <c r="B285" s="6" t="n">
        <v>6</v>
      </c>
      <c r="C285" s="6" t="n">
        <v>45</v>
      </c>
      <c r="D285" s="8" t="str">
        <f aca="false">INDEX(Bases!$B$2:$B$53,B285)</f>
        <v>Numel</v>
      </c>
      <c r="E285" s="8" t="str">
        <f aca="false">INDEX(Bases!$B$2:$B$53,C285)</f>
        <v>Sneasel</v>
      </c>
      <c r="F285" s="2" t="str">
        <f aca="false">LEFT(D285,ROUNDUP(LEN(D285)/2,0))&amp;LOWER(MID(E285,ROUNDUP(LEN(E285)/2,0)+1,20))</f>
        <v>Numsel</v>
      </c>
      <c r="G285" s="8" t="str">
        <f aca="false">INDEX(Bases!$C$2:$C$53,B285)</f>
        <v>Fire</v>
      </c>
      <c r="H285" s="8" t="str">
        <f aca="false">IF(INDEX(Bases!$C$2:$C$53,C285)=G285,"",INDEX(Bases!$C$2:$C$53,C285))</f>
        <v>Dark</v>
      </c>
      <c r="I285" s="8" t="str">
        <f aca="false">IF(INDEX(Bases!$E$2:$E$53,B285)="","",INDEX(Bases!$E$2:$E$53,B285))</f>
        <v/>
      </c>
      <c r="J285" s="8" t="str">
        <f aca="false">IF(INDEX(Bases!$E$2:$E$53,C285)="","",INDEX(Bases!$E$2:$E$53,C285))</f>
        <v/>
      </c>
      <c r="K285" s="5"/>
      <c r="L285" s="2" t="n">
        <f aca="false">AE285+IF(SUMPRODUCT(--($AL285:$AQ285&gt;AL285))&lt;$AK285,1,0)</f>
        <v>82</v>
      </c>
      <c r="M285" s="2" t="n">
        <f aca="false">AF285+IF(SUMPRODUCT(--($AL285:$AQ285&gt;AM285))+SUMPRODUCT(--($AL285:AL285=AM285))&lt;$AK285,1,0)</f>
        <v>100</v>
      </c>
      <c r="N285" s="2" t="n">
        <f aca="false">AG285+IF(SUMPRODUCT(--($AL285:$AQ285&gt;AN285))+SUMPRODUCT(--($AL285:AM285=AN285))&lt;$AK285,1,0)</f>
        <v>60</v>
      </c>
      <c r="O285" s="2" t="n">
        <f aca="false">AH285+IF(SUMPRODUCT(--($AL285:$AQ285&gt;AO285))+SUMPRODUCT(--($AL285:AN285=AO285))&lt;$AK285,1,0)</f>
        <v>79</v>
      </c>
      <c r="P285" s="2" t="n">
        <f aca="false">AI285+IF(SUMPRODUCT(--($AL285:$AQ285&gt;AP285))+SUMPRODUCT(--($AL285:AO285=AP285))&lt;$AK285,1,0)</f>
        <v>78</v>
      </c>
      <c r="Q285" s="2" t="n">
        <f aca="false">AJ285+IF(SUMPRODUCT(--($AL285:$AQ285&gt;AQ285))+SUMPRODUCT(--($AL285:AP285=AQ285))&lt;$AK285,1,0)</f>
        <v>101</v>
      </c>
      <c r="R285" s="2" t="n">
        <f aca="false">SUM(L285:Q285)</f>
        <v>500</v>
      </c>
      <c r="S285" s="2" t="n">
        <f aca="false">Settings!$B$4*MAX(INDEX(Bases!$M$2:$M$53,B285),INDEX(Bases!$M$2:$M$53,C285))+Settings!$B$5*MIN(INDEX(Bases!$M$2:$M$53,B285),INDEX(Bases!$M$2:$M$53,C285))</f>
        <v>69.6666666666667</v>
      </c>
      <c r="T285" s="2" t="n">
        <f aca="false">Settings!$B$4*MAX(INDEX(Bases!$N$2:$N$53,B285),INDEX(Bases!$N$2:$N$53,C285))+Settings!$B$5*MIN(INDEX(Bases!$N$2:$N$53,B285),INDEX(Bases!$N$2:$N$53,C285))</f>
        <v>85</v>
      </c>
      <c r="U285" s="2" t="n">
        <f aca="false">Settings!$B$4*MAX(INDEX(Bases!$O$2:$O$53,B285),INDEX(Bases!$O$2:$O$53,C285))+Settings!$B$5*MIN(INDEX(Bases!$O$2:$O$53,B285),INDEX(Bases!$O$2:$O$53,C285))</f>
        <v>51.6666666666667</v>
      </c>
      <c r="V285" s="2" t="n">
        <f aca="false">Settings!$B$4*MAX(INDEX(Bases!$P$2:$P$53,B285),INDEX(Bases!$P$2:$P$53,C285))+Settings!$B$5*MIN(INDEX(Bases!$P$2:$P$53,B285),INDEX(Bases!$P$2:$P$53,C285))</f>
        <v>67.6666666666667</v>
      </c>
      <c r="W285" s="2" t="n">
        <f aca="false">Settings!$B$4*MAX(INDEX(Bases!$Q$2:$Q$53,B285),INDEX(Bases!$Q$2:$Q$53,C285))+Settings!$B$5*MIN(INDEX(Bases!$Q$2:$Q$53,B285),INDEX(Bases!$Q$2:$Q$53,C285))</f>
        <v>66.3333333333333</v>
      </c>
      <c r="X285" s="2" t="n">
        <f aca="false">Settings!$B$4*MAX(INDEX(Bases!$R$2:$R$53,B285),INDEX(Bases!$R$2:$R$53,C285))+Settings!$B$5*MIN(INDEX(Bases!$R$2:$R$53,B285),INDEX(Bases!$R$2:$R$53,C285))</f>
        <v>86.6666666666667</v>
      </c>
      <c r="Y285" s="2" t="n">
        <f aca="false">S285*Settings!$B$3/SUM(S285:X285)</f>
        <v>81.5768930523029</v>
      </c>
      <c r="Z285" s="2" t="n">
        <f aca="false">T285*Settings!$B$3/SUM(S285:X285)</f>
        <v>99.5316159250586</v>
      </c>
      <c r="AA285" s="2" t="n">
        <f aca="false">U285*Settings!$B$3/SUM(S285:X285)</f>
        <v>60.4996096799376</v>
      </c>
      <c r="AB285" s="2" t="n">
        <f aca="false">V285*Settings!$B$3/SUM(S285:X285)</f>
        <v>79.2349726775956</v>
      </c>
      <c r="AC285" s="2" t="n">
        <f aca="false">W285*Settings!$B$3/SUM(S285:X285)</f>
        <v>77.6736924277908</v>
      </c>
      <c r="AD285" s="2" t="n">
        <f aca="false">X285*Settings!$B$3/SUM(S285:X285)</f>
        <v>101.483216237315</v>
      </c>
      <c r="AE285" s="2" t="n">
        <f aca="false">INT(Y285)</f>
        <v>81</v>
      </c>
      <c r="AF285" s="2" t="n">
        <f aca="false">INT(Z285)</f>
        <v>99</v>
      </c>
      <c r="AG285" s="2" t="n">
        <f aca="false">INT(AA285)</f>
        <v>60</v>
      </c>
      <c r="AH285" s="2" t="n">
        <f aca="false">INT(AB285)</f>
        <v>79</v>
      </c>
      <c r="AI285" s="2" t="n">
        <f aca="false">INT(AC285)</f>
        <v>77</v>
      </c>
      <c r="AJ285" s="2" t="n">
        <f aca="false">INT(AD285)</f>
        <v>101</v>
      </c>
      <c r="AK285" s="2" t="n">
        <f aca="false">Settings!$B$3-SUM(AE285:AJ285)</f>
        <v>3</v>
      </c>
      <c r="AL285" s="2" t="n">
        <f aca="false">ROUND(Y285-AE285,9)</f>
        <v>0.576893052</v>
      </c>
      <c r="AM285" s="2" t="n">
        <f aca="false">ROUND(Z285-AF285,9)</f>
        <v>0.531615925</v>
      </c>
      <c r="AN285" s="2" t="n">
        <f aca="false">ROUND(AA285-AG285,9)</f>
        <v>0.49960968</v>
      </c>
      <c r="AO285" s="2" t="n">
        <f aca="false">ROUND(AB285-AH285,9)</f>
        <v>0.234972678</v>
      </c>
      <c r="AP285" s="2" t="n">
        <f aca="false">ROUND(AC285-AI285,9)</f>
        <v>0.673692428</v>
      </c>
      <c r="AQ285" s="2" t="n">
        <f aca="false">ROUND(AD285-AJ285,9)</f>
        <v>0.483216237</v>
      </c>
    </row>
    <row r="286" customFormat="false" ht="15" hidden="false" customHeight="false" outlineLevel="0" collapsed="false">
      <c r="A286" s="2" t="n">
        <v>285</v>
      </c>
      <c r="B286" s="6" t="n">
        <v>6</v>
      </c>
      <c r="C286" s="6" t="n">
        <v>46</v>
      </c>
      <c r="D286" s="8" t="str">
        <f aca="false">INDEX(Bases!$B$2:$B$53,B286)</f>
        <v>Numel</v>
      </c>
      <c r="E286" s="8" t="str">
        <f aca="false">INDEX(Bases!$B$2:$B$53,C286)</f>
        <v>Houndour</v>
      </c>
      <c r="F286" s="2" t="str">
        <f aca="false">LEFT(D286,ROUNDUP(LEN(D286)/2,0))&amp;LOWER(MID(E286,ROUNDUP(LEN(E286)/2,0)+1,20))</f>
        <v>Numdour</v>
      </c>
      <c r="G286" s="8" t="str">
        <f aca="false">INDEX(Bases!$C$2:$C$53,B286)</f>
        <v>Fire</v>
      </c>
      <c r="H286" s="8" t="str">
        <f aca="false">IF(INDEX(Bases!$C$2:$C$53,C286)=G286,"",INDEX(Bases!$C$2:$C$53,C286))</f>
        <v>Dark</v>
      </c>
      <c r="I286" s="8" t="str">
        <f aca="false">IF(INDEX(Bases!$E$2:$E$53,B286)="","",INDEX(Bases!$E$2:$E$53,B286))</f>
        <v/>
      </c>
      <c r="J286" s="8" t="str">
        <f aca="false">IF(INDEX(Bases!$E$2:$E$53,C286)="","",INDEX(Bases!$E$2:$E$53,C286))</f>
        <v/>
      </c>
      <c r="K286" s="5"/>
      <c r="L286" s="2" t="n">
        <f aca="false">AE286+IF(SUMPRODUCT(--($AL286:$AQ286&gt;AL286))&lt;$AK286,1,0)</f>
        <v>85</v>
      </c>
      <c r="M286" s="2" t="n">
        <f aca="false">AF286+IF(SUMPRODUCT(--($AL286:$AQ286&gt;AM286))+SUMPRODUCT(--($AL286:AL286=AM286))&lt;$AK286,1,0)</f>
        <v>93</v>
      </c>
      <c r="N286" s="2" t="n">
        <f aca="false">AG286+IF(SUMPRODUCT(--($AL286:$AQ286&gt;AN286))+SUMPRODUCT(--($AL286:AM286=AN286))&lt;$AK286,1,0)</f>
        <v>56</v>
      </c>
      <c r="O286" s="2" t="n">
        <f aca="false">AH286+IF(SUMPRODUCT(--($AL286:$AQ286&gt;AO286))+SUMPRODUCT(--($AL286:AN286=AO286))&lt;$AK286,1,0)</f>
        <v>112</v>
      </c>
      <c r="P286" s="2" t="n">
        <f aca="false">AI286+IF(SUMPRODUCT(--($AL286:$AQ286&gt;AP286))+SUMPRODUCT(--($AL286:AO286=AP286))&lt;$AK286,1,0)</f>
        <v>72</v>
      </c>
      <c r="Q286" s="2" t="n">
        <f aca="false">AJ286+IF(SUMPRODUCT(--($AL286:$AQ286&gt;AQ286))+SUMPRODUCT(--($AL286:AP286=AQ286))&lt;$AK286,1,0)</f>
        <v>82</v>
      </c>
      <c r="R286" s="2" t="n">
        <f aca="false">SUM(L286:Q286)</f>
        <v>500</v>
      </c>
      <c r="S286" s="2" t="n">
        <f aca="false">Settings!$B$4*MAX(INDEX(Bases!$M$2:$M$53,B286),INDEX(Bases!$M$2:$M$53,C286))+Settings!$B$5*MIN(INDEX(Bases!$M$2:$M$53,B286),INDEX(Bases!$M$2:$M$53,C286))</f>
        <v>70.6666666666667</v>
      </c>
      <c r="T286" s="2" t="n">
        <f aca="false">Settings!$B$4*MAX(INDEX(Bases!$N$2:$N$53,B286),INDEX(Bases!$N$2:$N$53,C286))+Settings!$B$5*MIN(INDEX(Bases!$N$2:$N$53,B286),INDEX(Bases!$N$2:$N$53,C286))</f>
        <v>77</v>
      </c>
      <c r="U286" s="2" t="n">
        <f aca="false">Settings!$B$4*MAX(INDEX(Bases!$O$2:$O$53,B286),INDEX(Bases!$O$2:$O$53,C286))+Settings!$B$5*MIN(INDEX(Bases!$O$2:$O$53,B286),INDEX(Bases!$O$2:$O$53,C286))</f>
        <v>46.6666666666667</v>
      </c>
      <c r="V286" s="2" t="n">
        <f aca="false">Settings!$B$4*MAX(INDEX(Bases!$P$2:$P$53,B286),INDEX(Bases!$P$2:$P$53,C286))+Settings!$B$5*MIN(INDEX(Bases!$P$2:$P$53,B286),INDEX(Bases!$P$2:$P$53,C286))</f>
        <v>93</v>
      </c>
      <c r="W286" s="2" t="n">
        <f aca="false">Settings!$B$4*MAX(INDEX(Bases!$Q$2:$Q$53,B286),INDEX(Bases!$Q$2:$Q$53,C286))+Settings!$B$5*MIN(INDEX(Bases!$Q$2:$Q$53,B286),INDEX(Bases!$Q$2:$Q$53,C286))</f>
        <v>60.3333333333333</v>
      </c>
      <c r="X286" s="2" t="n">
        <f aca="false">Settings!$B$4*MAX(INDEX(Bases!$R$2:$R$53,B286),INDEX(Bases!$R$2:$R$53,C286))+Settings!$B$5*MIN(INDEX(Bases!$R$2:$R$53,B286),INDEX(Bases!$R$2:$R$53,C286))</f>
        <v>68</v>
      </c>
      <c r="Y286" s="2" t="n">
        <f aca="false">S286*Settings!$B$3/SUM(S286:X286)</f>
        <v>85.0040096230954</v>
      </c>
      <c r="Z286" s="2" t="n">
        <f aca="false">T286*Settings!$B$3/SUM(S286:X286)</f>
        <v>92.6222935044106</v>
      </c>
      <c r="AA286" s="2" t="n">
        <f aca="false">U286*Settings!$B$3/SUM(S286:X286)</f>
        <v>56.1347233360064</v>
      </c>
      <c r="AB286" s="2" t="n">
        <f aca="false">V286*Settings!$B$3/SUM(S286:X286)</f>
        <v>111.86848436247</v>
      </c>
      <c r="AC286" s="2" t="n">
        <f aca="false">W286*Settings!$B$3/SUM(S286:X286)</f>
        <v>72.5741780272654</v>
      </c>
      <c r="AD286" s="2" t="n">
        <f aca="false">X286*Settings!$B$3/SUM(S286:X286)</f>
        <v>81.7963111467522</v>
      </c>
      <c r="AE286" s="2" t="n">
        <f aca="false">INT(Y286)</f>
        <v>85</v>
      </c>
      <c r="AF286" s="2" t="n">
        <f aca="false">INT(Z286)</f>
        <v>92</v>
      </c>
      <c r="AG286" s="2" t="n">
        <f aca="false">INT(AA286)</f>
        <v>56</v>
      </c>
      <c r="AH286" s="2" t="n">
        <f aca="false">INT(AB286)</f>
        <v>111</v>
      </c>
      <c r="AI286" s="2" t="n">
        <f aca="false">INT(AC286)</f>
        <v>72</v>
      </c>
      <c r="AJ286" s="2" t="n">
        <f aca="false">INT(AD286)</f>
        <v>81</v>
      </c>
      <c r="AK286" s="2" t="n">
        <f aca="false">Settings!$B$3-SUM(AE286:AJ286)</f>
        <v>3</v>
      </c>
      <c r="AL286" s="2" t="n">
        <f aca="false">ROUND(Y286-AE286,9)</f>
        <v>0.004009623</v>
      </c>
      <c r="AM286" s="2" t="n">
        <f aca="false">ROUND(Z286-AF286,9)</f>
        <v>0.622293504</v>
      </c>
      <c r="AN286" s="2" t="n">
        <f aca="false">ROUND(AA286-AG286,9)</f>
        <v>0.134723336</v>
      </c>
      <c r="AO286" s="2" t="n">
        <f aca="false">ROUND(AB286-AH286,9)</f>
        <v>0.868484362</v>
      </c>
      <c r="AP286" s="2" t="n">
        <f aca="false">ROUND(AC286-AI286,9)</f>
        <v>0.574178027</v>
      </c>
      <c r="AQ286" s="2" t="n">
        <f aca="false">ROUND(AD286-AJ286,9)</f>
        <v>0.796311147</v>
      </c>
    </row>
    <row r="287" customFormat="false" ht="15" hidden="false" customHeight="false" outlineLevel="0" collapsed="false">
      <c r="A287" s="2" t="n">
        <v>286</v>
      </c>
      <c r="B287" s="6" t="n">
        <v>6</v>
      </c>
      <c r="C287" s="6" t="n">
        <v>47</v>
      </c>
      <c r="D287" s="8" t="str">
        <f aca="false">INDEX(Bases!$B$2:$B$53,B287)</f>
        <v>Numel</v>
      </c>
      <c r="E287" s="8" t="str">
        <f aca="false">INDEX(Bases!$B$2:$B$53,C287)</f>
        <v>Carvanha</v>
      </c>
      <c r="F287" s="2" t="str">
        <f aca="false">LEFT(D287,ROUNDUP(LEN(D287)/2,0))&amp;LOWER(MID(E287,ROUNDUP(LEN(E287)/2,0)+1,20))</f>
        <v>Numanha</v>
      </c>
      <c r="G287" s="8" t="str">
        <f aca="false">INDEX(Bases!$C$2:$C$53,B287)</f>
        <v>Fire</v>
      </c>
      <c r="H287" s="8" t="str">
        <f aca="false">IF(INDEX(Bases!$C$2:$C$53,C287)=G287,"",INDEX(Bases!$C$2:$C$53,C287))</f>
        <v>Dark</v>
      </c>
      <c r="I287" s="8" t="str">
        <f aca="false">IF(INDEX(Bases!$E$2:$E$53,B287)="","",INDEX(Bases!$E$2:$E$53,B287))</f>
        <v/>
      </c>
      <c r="J287" s="8" t="str">
        <f aca="false">IF(INDEX(Bases!$E$2:$E$53,C287)="","",INDEX(Bases!$E$2:$E$53,C287))</f>
        <v/>
      </c>
      <c r="K287" s="5"/>
      <c r="L287" s="2" t="n">
        <f aca="false">AE287+IF(SUMPRODUCT(--($AL287:$AQ287&gt;AL287))&lt;$AK287,1,0)</f>
        <v>85</v>
      </c>
      <c r="M287" s="2" t="n">
        <f aca="false">AF287+IF(SUMPRODUCT(--($AL287:$AQ287&gt;AM287))+SUMPRODUCT(--($AL287:AL287=AM287))&lt;$AK287,1,0)</f>
        <v>123</v>
      </c>
      <c r="N287" s="2" t="n">
        <f aca="false">AG287+IF(SUMPRODUCT(--($AL287:$AQ287&gt;AN287))+SUMPRODUCT(--($AL287:AM287=AN287))&lt;$AK287,1,0)</f>
        <v>51</v>
      </c>
      <c r="O287" s="2" t="n">
        <f aca="false">AH287+IF(SUMPRODUCT(--($AL287:$AQ287&gt;AO287))+SUMPRODUCT(--($AL287:AN287=AO287))&lt;$AK287,1,0)</f>
        <v>101</v>
      </c>
      <c r="P287" s="2" t="n">
        <f aca="false">AI287+IF(SUMPRODUCT(--($AL287:$AQ287&gt;AP287))+SUMPRODUCT(--($AL287:AO287=AP287))&lt;$AK287,1,0)</f>
        <v>56</v>
      </c>
      <c r="Q287" s="2" t="n">
        <f aca="false">AJ287+IF(SUMPRODUCT(--($AL287:$AQ287&gt;AQ287))+SUMPRODUCT(--($AL287:AP287=AQ287))&lt;$AK287,1,0)</f>
        <v>84</v>
      </c>
      <c r="R287" s="2" t="n">
        <f aca="false">SUM(L287:Q287)</f>
        <v>500</v>
      </c>
      <c r="S287" s="2" t="n">
        <f aca="false">Settings!$B$4*MAX(INDEX(Bases!$M$2:$M$53,B287),INDEX(Bases!$M$2:$M$53,C287))+Settings!$B$5*MIN(INDEX(Bases!$M$2:$M$53,B287),INDEX(Bases!$M$2:$M$53,C287))</f>
        <v>72.3333333333333</v>
      </c>
      <c r="T287" s="2" t="n">
        <f aca="false">Settings!$B$4*MAX(INDEX(Bases!$N$2:$N$53,B287),INDEX(Bases!$N$2:$N$53,C287))+Settings!$B$5*MIN(INDEX(Bases!$N$2:$N$53,B287),INDEX(Bases!$N$2:$N$53,C287))</f>
        <v>105</v>
      </c>
      <c r="U287" s="2" t="n">
        <f aca="false">Settings!$B$4*MAX(INDEX(Bases!$O$2:$O$53,B287),INDEX(Bases!$O$2:$O$53,C287))+Settings!$B$5*MIN(INDEX(Bases!$O$2:$O$53,B287),INDEX(Bases!$O$2:$O$53,C287))</f>
        <v>43.3333333333333</v>
      </c>
      <c r="V287" s="2" t="n">
        <f aca="false">Settings!$B$4*MAX(INDEX(Bases!$P$2:$P$53,B287),INDEX(Bases!$P$2:$P$53,C287))+Settings!$B$5*MIN(INDEX(Bases!$P$2:$P$53,B287),INDEX(Bases!$P$2:$P$53,C287))</f>
        <v>85.6666666666667</v>
      </c>
      <c r="W287" s="2" t="n">
        <f aca="false">Settings!$B$4*MAX(INDEX(Bases!$Q$2:$Q$53,B287),INDEX(Bases!$Q$2:$Q$53,C287))+Settings!$B$5*MIN(INDEX(Bases!$Q$2:$Q$53,B287),INDEX(Bases!$Q$2:$Q$53,C287))</f>
        <v>48</v>
      </c>
      <c r="X287" s="2" t="n">
        <f aca="false">Settings!$B$4*MAX(INDEX(Bases!$R$2:$R$53,B287),INDEX(Bases!$R$2:$R$53,C287))+Settings!$B$5*MIN(INDEX(Bases!$R$2:$R$53,B287),INDEX(Bases!$R$2:$R$53,C287))</f>
        <v>72</v>
      </c>
      <c r="Y287" s="2" t="n">
        <f aca="false">S287*Settings!$B$3/SUM(S287:X287)</f>
        <v>84.8318999218139</v>
      </c>
      <c r="Z287" s="2" t="n">
        <f aca="false">T287*Settings!$B$3/SUM(S287:X287)</f>
        <v>123.143080531665</v>
      </c>
      <c r="AA287" s="2" t="n">
        <f aca="false">U287*Settings!$B$3/SUM(S287:X287)</f>
        <v>50.8209538702111</v>
      </c>
      <c r="AB287" s="2" t="n">
        <f aca="false">V287*Settings!$B$3/SUM(S287:X287)</f>
        <v>100.469116497263</v>
      </c>
      <c r="AC287" s="2" t="n">
        <f aca="false">W287*Settings!$B$3/SUM(S287:X287)</f>
        <v>56.2939796716185</v>
      </c>
      <c r="AD287" s="2" t="n">
        <f aca="false">X287*Settings!$B$3/SUM(S287:X287)</f>
        <v>84.4409695074277</v>
      </c>
      <c r="AE287" s="2" t="n">
        <f aca="false">INT(Y287)</f>
        <v>84</v>
      </c>
      <c r="AF287" s="2" t="n">
        <f aca="false">INT(Z287)</f>
        <v>123</v>
      </c>
      <c r="AG287" s="2" t="n">
        <f aca="false">INT(AA287)</f>
        <v>50</v>
      </c>
      <c r="AH287" s="2" t="n">
        <f aca="false">INT(AB287)</f>
        <v>100</v>
      </c>
      <c r="AI287" s="2" t="n">
        <f aca="false">INT(AC287)</f>
        <v>56</v>
      </c>
      <c r="AJ287" s="2" t="n">
        <f aca="false">INT(AD287)</f>
        <v>84</v>
      </c>
      <c r="AK287" s="2" t="n">
        <f aca="false">Settings!$B$3-SUM(AE287:AJ287)</f>
        <v>3</v>
      </c>
      <c r="AL287" s="2" t="n">
        <f aca="false">ROUND(Y287-AE287,9)</f>
        <v>0.831899922</v>
      </c>
      <c r="AM287" s="2" t="n">
        <f aca="false">ROUND(Z287-AF287,9)</f>
        <v>0.143080532</v>
      </c>
      <c r="AN287" s="2" t="n">
        <f aca="false">ROUND(AA287-AG287,9)</f>
        <v>0.82095387</v>
      </c>
      <c r="AO287" s="2" t="n">
        <f aca="false">ROUND(AB287-AH287,9)</f>
        <v>0.469116497</v>
      </c>
      <c r="AP287" s="2" t="n">
        <f aca="false">ROUND(AC287-AI287,9)</f>
        <v>0.293979672</v>
      </c>
      <c r="AQ287" s="2" t="n">
        <f aca="false">ROUND(AD287-AJ287,9)</f>
        <v>0.440969507</v>
      </c>
    </row>
    <row r="288" customFormat="false" ht="15" hidden="false" customHeight="false" outlineLevel="0" collapsed="false">
      <c r="A288" s="2" t="n">
        <v>287</v>
      </c>
      <c r="B288" s="6" t="n">
        <v>6</v>
      </c>
      <c r="C288" s="6" t="n">
        <v>48</v>
      </c>
      <c r="D288" s="8" t="str">
        <f aca="false">INDEX(Bases!$B$2:$B$53,B288)</f>
        <v>Numel</v>
      </c>
      <c r="E288" s="8" t="str">
        <f aca="false">INDEX(Bases!$B$2:$B$53,C288)</f>
        <v>Magnemite</v>
      </c>
      <c r="F288" s="2" t="str">
        <f aca="false">LEFT(D288,ROUNDUP(LEN(D288)/2,0))&amp;LOWER(MID(E288,ROUNDUP(LEN(E288)/2,0)+1,20))</f>
        <v>Nummite</v>
      </c>
      <c r="G288" s="8" t="str">
        <f aca="false">INDEX(Bases!$C$2:$C$53,B288)</f>
        <v>Fire</v>
      </c>
      <c r="H288" s="8" t="str">
        <f aca="false">IF(INDEX(Bases!$C$2:$C$53,C288)=G288,"",INDEX(Bases!$C$2:$C$53,C288))</f>
        <v>Steel</v>
      </c>
      <c r="I288" s="8" t="str">
        <f aca="false">IF(INDEX(Bases!$E$2:$E$53,B288)="","",INDEX(Bases!$E$2:$E$53,B288))</f>
        <v/>
      </c>
      <c r="J288" s="8" t="str">
        <f aca="false">IF(INDEX(Bases!$E$2:$E$53,C288)="","",INDEX(Bases!$E$2:$E$53,C288))</f>
        <v/>
      </c>
      <c r="K288" s="5"/>
      <c r="L288" s="2" t="n">
        <f aca="false">AE288+IF(SUMPRODUCT(--($AL288:$AQ288&gt;AL288))&lt;$AK288,1,0)</f>
        <v>74</v>
      </c>
      <c r="M288" s="2" t="n">
        <f aca="false">AF288+IF(SUMPRODUCT(--($AL288:$AQ288&gt;AM288))+SUMPRODUCT(--($AL288:AL288=AM288))&lt;$AK288,1,0)</f>
        <v>78</v>
      </c>
      <c r="N288" s="2" t="n">
        <f aca="false">AG288+IF(SUMPRODUCT(--($AL288:$AQ288&gt;AN288))+SUMPRODUCT(--($AL288:AM288=AN288))&lt;$AK288,1,0)</f>
        <v>87</v>
      </c>
      <c r="O288" s="2" t="n">
        <f aca="false">AH288+IF(SUMPRODUCT(--($AL288:$AQ288&gt;AO288))+SUMPRODUCT(--($AL288:AN288=AO288))&lt;$AK288,1,0)</f>
        <v>124</v>
      </c>
      <c r="P288" s="2" t="n">
        <f aca="false">AI288+IF(SUMPRODUCT(--($AL288:$AQ288&gt;AP288))+SUMPRODUCT(--($AL288:AO288=AP288))&lt;$AK288,1,0)</f>
        <v>76</v>
      </c>
      <c r="Q288" s="2" t="n">
        <f aca="false">AJ288+IF(SUMPRODUCT(--($AL288:$AQ288&gt;AQ288))+SUMPRODUCT(--($AL288:AP288=AQ288))&lt;$AK288,1,0)</f>
        <v>61</v>
      </c>
      <c r="R288" s="2" t="n">
        <f aca="false">SUM(L288:Q288)</f>
        <v>500</v>
      </c>
      <c r="S288" s="2" t="n">
        <f aca="false">Settings!$B$4*MAX(INDEX(Bases!$M$2:$M$53,B288),INDEX(Bases!$M$2:$M$53,C288))+Settings!$B$5*MIN(INDEX(Bases!$M$2:$M$53,B288),INDEX(Bases!$M$2:$M$53,C288))</f>
        <v>63</v>
      </c>
      <c r="T288" s="2" t="n">
        <f aca="false">Settings!$B$4*MAX(INDEX(Bases!$N$2:$N$53,B288),INDEX(Bases!$N$2:$N$53,C288))+Settings!$B$5*MIN(INDEX(Bases!$N$2:$N$53,B288),INDEX(Bases!$N$2:$N$53,C288))</f>
        <v>67</v>
      </c>
      <c r="U288" s="2" t="n">
        <f aca="false">Settings!$B$4*MAX(INDEX(Bases!$O$2:$O$53,B288),INDEX(Bases!$O$2:$O$53,C288))+Settings!$B$5*MIN(INDEX(Bases!$O$2:$O$53,B288),INDEX(Bases!$O$2:$O$53,C288))</f>
        <v>74.6666666666667</v>
      </c>
      <c r="V288" s="2" t="n">
        <f aca="false">Settings!$B$4*MAX(INDEX(Bases!$P$2:$P$53,B288),INDEX(Bases!$P$2:$P$53,C288))+Settings!$B$5*MIN(INDEX(Bases!$P$2:$P$53,B288),INDEX(Bases!$P$2:$P$53,C288))</f>
        <v>106.333333333333</v>
      </c>
      <c r="W288" s="2" t="n">
        <f aca="false">Settings!$B$4*MAX(INDEX(Bases!$Q$2:$Q$53,B288),INDEX(Bases!$Q$2:$Q$53,C288))+Settings!$B$5*MIN(INDEX(Bases!$Q$2:$Q$53,B288),INDEX(Bases!$Q$2:$Q$53,C288))</f>
        <v>65</v>
      </c>
      <c r="X288" s="2" t="n">
        <f aca="false">Settings!$B$4*MAX(INDEX(Bases!$R$2:$R$53,B288),INDEX(Bases!$R$2:$R$53,C288))+Settings!$B$5*MIN(INDEX(Bases!$R$2:$R$53,B288),INDEX(Bases!$R$2:$R$53,C288))</f>
        <v>52</v>
      </c>
      <c r="Y288" s="2" t="n">
        <f aca="false">S288*Settings!$B$3/SUM(S288:X288)</f>
        <v>73.5981308411215</v>
      </c>
      <c r="Z288" s="2" t="n">
        <f aca="false">T288*Settings!$B$3/SUM(S288:X288)</f>
        <v>78.2710280373832</v>
      </c>
      <c r="AA288" s="2" t="n">
        <f aca="false">U288*Settings!$B$3/SUM(S288:X288)</f>
        <v>87.2274143302181</v>
      </c>
      <c r="AB288" s="2" t="n">
        <f aca="false">V288*Settings!$B$3/SUM(S288:X288)</f>
        <v>124.221183800623</v>
      </c>
      <c r="AC288" s="2" t="n">
        <f aca="false">W288*Settings!$B$3/SUM(S288:X288)</f>
        <v>75.9345794392523</v>
      </c>
      <c r="AD288" s="2" t="n">
        <f aca="false">X288*Settings!$B$3/SUM(S288:X288)</f>
        <v>60.7476635514019</v>
      </c>
      <c r="AE288" s="2" t="n">
        <f aca="false">INT(Y288)</f>
        <v>73</v>
      </c>
      <c r="AF288" s="2" t="n">
        <f aca="false">INT(Z288)</f>
        <v>78</v>
      </c>
      <c r="AG288" s="2" t="n">
        <f aca="false">INT(AA288)</f>
        <v>87</v>
      </c>
      <c r="AH288" s="2" t="n">
        <f aca="false">INT(AB288)</f>
        <v>124</v>
      </c>
      <c r="AI288" s="2" t="n">
        <f aca="false">INT(AC288)</f>
        <v>75</v>
      </c>
      <c r="AJ288" s="2" t="n">
        <f aca="false">INT(AD288)</f>
        <v>60</v>
      </c>
      <c r="AK288" s="2" t="n">
        <f aca="false">Settings!$B$3-SUM(AE288:AJ288)</f>
        <v>3</v>
      </c>
      <c r="AL288" s="2" t="n">
        <f aca="false">ROUND(Y288-AE288,9)</f>
        <v>0.598130841</v>
      </c>
      <c r="AM288" s="2" t="n">
        <f aca="false">ROUND(Z288-AF288,9)</f>
        <v>0.271028037</v>
      </c>
      <c r="AN288" s="2" t="n">
        <f aca="false">ROUND(AA288-AG288,9)</f>
        <v>0.22741433</v>
      </c>
      <c r="AO288" s="2" t="n">
        <f aca="false">ROUND(AB288-AH288,9)</f>
        <v>0.221183801</v>
      </c>
      <c r="AP288" s="2" t="n">
        <f aca="false">ROUND(AC288-AI288,9)</f>
        <v>0.934579439</v>
      </c>
      <c r="AQ288" s="2" t="n">
        <f aca="false">ROUND(AD288-AJ288,9)</f>
        <v>0.747663551</v>
      </c>
    </row>
    <row r="289" customFormat="false" ht="15" hidden="false" customHeight="false" outlineLevel="0" collapsed="false">
      <c r="A289" s="2" t="n">
        <v>288</v>
      </c>
      <c r="B289" s="6" t="n">
        <v>6</v>
      </c>
      <c r="C289" s="6" t="n">
        <v>49</v>
      </c>
      <c r="D289" s="8" t="str">
        <f aca="false">INDEX(Bases!$B$2:$B$53,B289)</f>
        <v>Numel</v>
      </c>
      <c r="E289" s="8" t="str">
        <f aca="false">INDEX(Bases!$B$2:$B$53,C289)</f>
        <v>Aron</v>
      </c>
      <c r="F289" s="2" t="str">
        <f aca="false">LEFT(D289,ROUNDUP(LEN(D289)/2,0))&amp;LOWER(MID(E289,ROUNDUP(LEN(E289)/2,0)+1,20))</f>
        <v>Numon</v>
      </c>
      <c r="G289" s="8" t="str">
        <f aca="false">INDEX(Bases!$C$2:$C$53,B289)</f>
        <v>Fire</v>
      </c>
      <c r="H289" s="8" t="str">
        <f aca="false">IF(INDEX(Bases!$C$2:$C$53,C289)=G289,"",INDEX(Bases!$C$2:$C$53,C289))</f>
        <v>Steel</v>
      </c>
      <c r="I289" s="8" t="str">
        <f aca="false">IF(INDEX(Bases!$E$2:$E$53,B289)="","",INDEX(Bases!$E$2:$E$53,B289))</f>
        <v/>
      </c>
      <c r="J289" s="8" t="str">
        <f aca="false">IF(INDEX(Bases!$E$2:$E$53,C289)="","",INDEX(Bases!$E$2:$E$53,C289))</f>
        <v/>
      </c>
      <c r="K289" s="5"/>
      <c r="L289" s="2" t="n">
        <f aca="false">AE289+IF(SUMPRODUCT(--($AL289:$AQ289&gt;AL289))&lt;$AK289,1,0)</f>
        <v>86</v>
      </c>
      <c r="M289" s="2" t="n">
        <f aca="false">AF289+IF(SUMPRODUCT(--($AL289:$AQ289&gt;AM289))+SUMPRODUCT(--($AL289:AL289=AM289))&lt;$AK289,1,0)</f>
        <v>98</v>
      </c>
      <c r="N289" s="2" t="n">
        <f aca="false">AG289+IF(SUMPRODUCT(--($AL289:$AQ289&gt;AN289))+SUMPRODUCT(--($AL289:AM289=AN289))&lt;$AK289,1,0)</f>
        <v>115</v>
      </c>
      <c r="O289" s="2" t="n">
        <f aca="false">AH289+IF(SUMPRODUCT(--($AL289:$AQ289&gt;AO289))+SUMPRODUCT(--($AL289:AN289=AO289))&lt;$AK289,1,0)</f>
        <v>86</v>
      </c>
      <c r="P289" s="2" t="n">
        <f aca="false">AI289+IF(SUMPRODUCT(--($AL289:$AQ289&gt;AP289))+SUMPRODUCT(--($AL289:AO289=AP289))&lt;$AK289,1,0)</f>
        <v>65</v>
      </c>
      <c r="Q289" s="2" t="n">
        <f aca="false">AJ289+IF(SUMPRODUCT(--($AL289:$AQ289&gt;AQ289))+SUMPRODUCT(--($AL289:AP289=AQ289))&lt;$AK289,1,0)</f>
        <v>50</v>
      </c>
      <c r="R289" s="2" t="n">
        <f aca="false">SUM(L289:Q289)</f>
        <v>500</v>
      </c>
      <c r="S289" s="2" t="n">
        <f aca="false">Settings!$B$4*MAX(INDEX(Bases!$M$2:$M$53,B289),INDEX(Bases!$M$2:$M$53,C289))+Settings!$B$5*MIN(INDEX(Bases!$M$2:$M$53,B289),INDEX(Bases!$M$2:$M$53,C289))</f>
        <v>73</v>
      </c>
      <c r="T289" s="2" t="n">
        <f aca="false">Settings!$B$4*MAX(INDEX(Bases!$N$2:$N$53,B289),INDEX(Bases!$N$2:$N$53,C289))+Settings!$B$5*MIN(INDEX(Bases!$N$2:$N$53,B289),INDEX(Bases!$N$2:$N$53,C289))</f>
        <v>83</v>
      </c>
      <c r="U289" s="2" t="n">
        <f aca="false">Settings!$B$4*MAX(INDEX(Bases!$O$2:$O$53,B289),INDEX(Bases!$O$2:$O$53,C289))+Settings!$B$5*MIN(INDEX(Bases!$O$2:$O$53,B289),INDEX(Bases!$O$2:$O$53,C289))</f>
        <v>98</v>
      </c>
      <c r="V289" s="2" t="n">
        <f aca="false">Settings!$B$4*MAX(INDEX(Bases!$P$2:$P$53,B289),INDEX(Bases!$P$2:$P$53,C289))+Settings!$B$5*MIN(INDEX(Bases!$P$2:$P$53,B289),INDEX(Bases!$P$2:$P$53,C289))</f>
        <v>73</v>
      </c>
      <c r="W289" s="2" t="n">
        <f aca="false">Settings!$B$4*MAX(INDEX(Bases!$Q$2:$Q$53,B289),INDEX(Bases!$Q$2:$Q$53,C289))+Settings!$B$5*MIN(INDEX(Bases!$Q$2:$Q$53,B289),INDEX(Bases!$Q$2:$Q$53,C289))</f>
        <v>55.3333333333333</v>
      </c>
      <c r="X289" s="2" t="n">
        <f aca="false">Settings!$B$4*MAX(INDEX(Bases!$R$2:$R$53,B289),INDEX(Bases!$R$2:$R$53,C289))+Settings!$B$5*MIN(INDEX(Bases!$R$2:$R$53,B289),INDEX(Bases!$R$2:$R$53,C289))</f>
        <v>42.6666666666667</v>
      </c>
      <c r="Y289" s="2" t="n">
        <f aca="false">S289*Settings!$B$3/SUM(S289:X289)</f>
        <v>85.8823529411765</v>
      </c>
      <c r="Z289" s="2" t="n">
        <f aca="false">T289*Settings!$B$3/SUM(S289:X289)</f>
        <v>97.6470588235294</v>
      </c>
      <c r="AA289" s="2" t="n">
        <f aca="false">U289*Settings!$B$3/SUM(S289:X289)</f>
        <v>115.294117647059</v>
      </c>
      <c r="AB289" s="2" t="n">
        <f aca="false">V289*Settings!$B$3/SUM(S289:X289)</f>
        <v>85.8823529411765</v>
      </c>
      <c r="AC289" s="2" t="n">
        <f aca="false">W289*Settings!$B$3/SUM(S289:X289)</f>
        <v>65.0980392156863</v>
      </c>
      <c r="AD289" s="2" t="n">
        <f aca="false">X289*Settings!$B$3/SUM(S289:X289)</f>
        <v>50.1960784313726</v>
      </c>
      <c r="AE289" s="2" t="n">
        <f aca="false">INT(Y289)</f>
        <v>85</v>
      </c>
      <c r="AF289" s="2" t="n">
        <f aca="false">INT(Z289)</f>
        <v>97</v>
      </c>
      <c r="AG289" s="2" t="n">
        <f aca="false">INT(AA289)</f>
        <v>115</v>
      </c>
      <c r="AH289" s="2" t="n">
        <f aca="false">INT(AB289)</f>
        <v>85</v>
      </c>
      <c r="AI289" s="2" t="n">
        <f aca="false">INT(AC289)</f>
        <v>65</v>
      </c>
      <c r="AJ289" s="2" t="n">
        <f aca="false">INT(AD289)</f>
        <v>50</v>
      </c>
      <c r="AK289" s="2" t="n">
        <f aca="false">Settings!$B$3-SUM(AE289:AJ289)</f>
        <v>3</v>
      </c>
      <c r="AL289" s="2" t="n">
        <f aca="false">ROUND(Y289-AE289,9)</f>
        <v>0.882352941</v>
      </c>
      <c r="AM289" s="2" t="n">
        <f aca="false">ROUND(Z289-AF289,9)</f>
        <v>0.647058824</v>
      </c>
      <c r="AN289" s="2" t="n">
        <f aca="false">ROUND(AA289-AG289,9)</f>
        <v>0.294117647</v>
      </c>
      <c r="AO289" s="2" t="n">
        <f aca="false">ROUND(AB289-AH289,9)</f>
        <v>0.882352941</v>
      </c>
      <c r="AP289" s="2" t="n">
        <f aca="false">ROUND(AC289-AI289,9)</f>
        <v>0.098039216</v>
      </c>
      <c r="AQ289" s="2" t="n">
        <f aca="false">ROUND(AD289-AJ289,9)</f>
        <v>0.196078431</v>
      </c>
    </row>
    <row r="290" customFormat="false" ht="15" hidden="false" customHeight="false" outlineLevel="0" collapsed="false">
      <c r="A290" s="2" t="n">
        <v>289</v>
      </c>
      <c r="B290" s="6" t="n">
        <v>6</v>
      </c>
      <c r="C290" s="6" t="n">
        <v>50</v>
      </c>
      <c r="D290" s="8" t="str">
        <f aca="false">INDEX(Bases!$B$2:$B$53,B290)</f>
        <v>Numel</v>
      </c>
      <c r="E290" s="8" t="str">
        <f aca="false">INDEX(Bases!$B$2:$B$53,C290)</f>
        <v>Beldum</v>
      </c>
      <c r="F290" s="2" t="str">
        <f aca="false">LEFT(D290,ROUNDUP(LEN(D290)/2,0))&amp;LOWER(MID(E290,ROUNDUP(LEN(E290)/2,0)+1,20))</f>
        <v>Numdum</v>
      </c>
      <c r="G290" s="8" t="str">
        <f aca="false">INDEX(Bases!$C$2:$C$53,B290)</f>
        <v>Fire</v>
      </c>
      <c r="H290" s="8" t="str">
        <f aca="false">IF(INDEX(Bases!$C$2:$C$53,C290)=G290,"",INDEX(Bases!$C$2:$C$53,C290))</f>
        <v>Steel</v>
      </c>
      <c r="I290" s="8" t="str">
        <f aca="false">IF(INDEX(Bases!$E$2:$E$53,B290)="","",INDEX(Bases!$E$2:$E$53,B290))</f>
        <v/>
      </c>
      <c r="J290" s="8" t="str">
        <f aca="false">IF(INDEX(Bases!$E$2:$E$53,C290)="","",INDEX(Bases!$E$2:$E$53,C290))</f>
        <v/>
      </c>
      <c r="K290" s="5"/>
      <c r="L290" s="2" t="n">
        <f aca="false">AE290+IF(SUMPRODUCT(--($AL290:$AQ290&gt;AL290))&lt;$AK290,1,0)</f>
        <v>83</v>
      </c>
      <c r="M290" s="2" t="n">
        <f aca="false">AF290+IF(SUMPRODUCT(--($AL290:$AQ290&gt;AM290))+SUMPRODUCT(--($AL290:AL290=AM290))&lt;$AK290,1,0)</f>
        <v>90</v>
      </c>
      <c r="N290" s="2" t="n">
        <f aca="false">AG290+IF(SUMPRODUCT(--($AL290:$AQ290&gt;AN290))+SUMPRODUCT(--($AL290:AM290=AN290))&lt;$AK290,1,0)</f>
        <v>104</v>
      </c>
      <c r="O290" s="2" t="n">
        <f aca="false">AH290+IF(SUMPRODUCT(--($AL290:$AQ290&gt;AO290))+SUMPRODUCT(--($AL290:AN290=AO290))&lt;$AK290,1,0)</f>
        <v>85</v>
      </c>
      <c r="P290" s="2" t="n">
        <f aca="false">AI290+IF(SUMPRODUCT(--($AL290:$AQ290&gt;AP290))+SUMPRODUCT(--($AL290:AO290=AP290))&lt;$AK290,1,0)</f>
        <v>86</v>
      </c>
      <c r="Q290" s="2" t="n">
        <f aca="false">AJ290+IF(SUMPRODUCT(--($AL290:$AQ290&gt;AQ290))+SUMPRODUCT(--($AL290:AP290=AQ290))&lt;$AK290,1,0)</f>
        <v>52</v>
      </c>
      <c r="R290" s="2" t="n">
        <f aca="false">SUM(L290:Q290)</f>
        <v>500</v>
      </c>
      <c r="S290" s="2" t="n">
        <f aca="false">Settings!$B$4*MAX(INDEX(Bases!$M$2:$M$53,B290),INDEX(Bases!$M$2:$M$53,C290))+Settings!$B$5*MIN(INDEX(Bases!$M$2:$M$53,B290),INDEX(Bases!$M$2:$M$53,C290))</f>
        <v>70.3333333333333</v>
      </c>
      <c r="T290" s="2" t="n">
        <f aca="false">Settings!$B$4*MAX(INDEX(Bases!$N$2:$N$53,B290),INDEX(Bases!$N$2:$N$53,C290))+Settings!$B$5*MIN(INDEX(Bases!$N$2:$N$53,B290),INDEX(Bases!$N$2:$N$53,C290))</f>
        <v>77</v>
      </c>
      <c r="U290" s="2" t="n">
        <f aca="false">Settings!$B$4*MAX(INDEX(Bases!$O$2:$O$53,B290),INDEX(Bases!$O$2:$O$53,C290))+Settings!$B$5*MIN(INDEX(Bases!$O$2:$O$53,B290),INDEX(Bases!$O$2:$O$53,C290))</f>
        <v>88.6666666666667</v>
      </c>
      <c r="V290" s="2" t="n">
        <f aca="false">Settings!$B$4*MAX(INDEX(Bases!$P$2:$P$53,B290),INDEX(Bases!$P$2:$P$53,C290))+Settings!$B$5*MIN(INDEX(Bases!$P$2:$P$53,B290),INDEX(Bases!$P$2:$P$53,C290))</f>
        <v>72.3333333333333</v>
      </c>
      <c r="W290" s="2" t="n">
        <f aca="false">Settings!$B$4*MAX(INDEX(Bases!$Q$2:$Q$53,B290),INDEX(Bases!$Q$2:$Q$53,C290))+Settings!$B$5*MIN(INDEX(Bases!$Q$2:$Q$53,B290),INDEX(Bases!$Q$2:$Q$53,C290))</f>
        <v>73</v>
      </c>
      <c r="X290" s="2" t="n">
        <f aca="false">Settings!$B$4*MAX(INDEX(Bases!$R$2:$R$53,B290),INDEX(Bases!$R$2:$R$53,C290))+Settings!$B$5*MIN(INDEX(Bases!$R$2:$R$53,B290),INDEX(Bases!$R$2:$R$53,C290))</f>
        <v>44</v>
      </c>
      <c r="Y290" s="2" t="n">
        <f aca="false">S290*Settings!$B$3/SUM(S290:X290)</f>
        <v>82.6802507836991</v>
      </c>
      <c r="Z290" s="2" t="n">
        <f aca="false">T290*Settings!$B$3/SUM(S290:X290)</f>
        <v>90.5172413793104</v>
      </c>
      <c r="AA290" s="2" t="n">
        <f aca="false">U290*Settings!$B$3/SUM(S290:X290)</f>
        <v>104.23197492163</v>
      </c>
      <c r="AB290" s="2" t="n">
        <f aca="false">V290*Settings!$B$3/SUM(S290:X290)</f>
        <v>85.0313479623824</v>
      </c>
      <c r="AC290" s="2" t="n">
        <f aca="false">W290*Settings!$B$3/SUM(S290:X290)</f>
        <v>85.8150470219436</v>
      </c>
      <c r="AD290" s="2" t="n">
        <f aca="false">X290*Settings!$B$3/SUM(S290:X290)</f>
        <v>51.7241379310345</v>
      </c>
      <c r="AE290" s="2" t="n">
        <f aca="false">INT(Y290)</f>
        <v>82</v>
      </c>
      <c r="AF290" s="2" t="n">
        <f aca="false">INT(Z290)</f>
        <v>90</v>
      </c>
      <c r="AG290" s="2" t="n">
        <f aca="false">INT(AA290)</f>
        <v>104</v>
      </c>
      <c r="AH290" s="2" t="n">
        <f aca="false">INT(AB290)</f>
        <v>85</v>
      </c>
      <c r="AI290" s="2" t="n">
        <f aca="false">INT(AC290)</f>
        <v>85</v>
      </c>
      <c r="AJ290" s="2" t="n">
        <f aca="false">INT(AD290)</f>
        <v>51</v>
      </c>
      <c r="AK290" s="2" t="n">
        <f aca="false">Settings!$B$3-SUM(AE290:AJ290)</f>
        <v>3</v>
      </c>
      <c r="AL290" s="2" t="n">
        <f aca="false">ROUND(Y290-AE290,9)</f>
        <v>0.680250784</v>
      </c>
      <c r="AM290" s="2" t="n">
        <f aca="false">ROUND(Z290-AF290,9)</f>
        <v>0.517241379</v>
      </c>
      <c r="AN290" s="2" t="n">
        <f aca="false">ROUND(AA290-AG290,9)</f>
        <v>0.231974922</v>
      </c>
      <c r="AO290" s="2" t="n">
        <f aca="false">ROUND(AB290-AH290,9)</f>
        <v>0.031347962</v>
      </c>
      <c r="AP290" s="2" t="n">
        <f aca="false">ROUND(AC290-AI290,9)</f>
        <v>0.815047022</v>
      </c>
      <c r="AQ290" s="2" t="n">
        <f aca="false">ROUND(AD290-AJ290,9)</f>
        <v>0.724137931</v>
      </c>
    </row>
    <row r="291" customFormat="false" ht="15" hidden="false" customHeight="false" outlineLevel="0" collapsed="false">
      <c r="A291" s="2" t="n">
        <v>290</v>
      </c>
      <c r="B291" s="6" t="n">
        <v>6</v>
      </c>
      <c r="C291" s="6" t="n">
        <v>51</v>
      </c>
      <c r="D291" s="8" t="str">
        <f aca="false">INDEX(Bases!$B$2:$B$53,B291)</f>
        <v>Numel</v>
      </c>
      <c r="E291" s="8" t="str">
        <f aca="false">INDEX(Bases!$B$2:$B$53,C291)</f>
        <v>Cleffa</v>
      </c>
      <c r="F291" s="2" t="str">
        <f aca="false">LEFT(D291,ROUNDUP(LEN(D291)/2,0))&amp;LOWER(MID(E291,ROUNDUP(LEN(E291)/2,0)+1,20))</f>
        <v>Numffa</v>
      </c>
      <c r="G291" s="8" t="str">
        <f aca="false">INDEX(Bases!$C$2:$C$53,B291)</f>
        <v>Fire</v>
      </c>
      <c r="H291" s="8" t="str">
        <f aca="false">IF(INDEX(Bases!$C$2:$C$53,C291)=G291,"",INDEX(Bases!$C$2:$C$53,C291))</f>
        <v>Fairy</v>
      </c>
      <c r="I291" s="8" t="str">
        <f aca="false">IF(INDEX(Bases!$E$2:$E$53,B291)="","",INDEX(Bases!$E$2:$E$53,B291))</f>
        <v/>
      </c>
      <c r="J291" s="8" t="str">
        <f aca="false">IF(INDEX(Bases!$E$2:$E$53,C291)="","",INDEX(Bases!$E$2:$E$53,C291))</f>
        <v/>
      </c>
      <c r="K291" s="5"/>
      <c r="L291" s="2" t="n">
        <f aca="false">AE291+IF(SUMPRODUCT(--($AL291:$AQ291&gt;AL291))&lt;$AK291,1,0)</f>
        <v>105</v>
      </c>
      <c r="M291" s="2" t="n">
        <f aca="false">AF291+IF(SUMPRODUCT(--($AL291:$AQ291&gt;AM291))+SUMPRODUCT(--($AL291:AL291=AM291))&lt;$AK291,1,0)</f>
        <v>81</v>
      </c>
      <c r="N291" s="2" t="n">
        <f aca="false">AG291+IF(SUMPRODUCT(--($AL291:$AQ291&gt;AN291))+SUMPRODUCT(--($AL291:AM291=AN291))&lt;$AK291,1,0)</f>
        <v>62</v>
      </c>
      <c r="O291" s="2" t="n">
        <f aca="false">AH291+IF(SUMPRODUCT(--($AL291:$AQ291&gt;AO291))+SUMPRODUCT(--($AL291:AN291=AO291))&lt;$AK291,1,0)</f>
        <v>101</v>
      </c>
      <c r="P291" s="2" t="n">
        <f aca="false">AI291+IF(SUMPRODUCT(--($AL291:$AQ291&gt;AP291))+SUMPRODUCT(--($AL291:AO291=AP291))&lt;$AK291,1,0)</f>
        <v>104</v>
      </c>
      <c r="Q291" s="2" t="n">
        <f aca="false">AJ291+IF(SUMPRODUCT(--($AL291:$AQ291&gt;AQ291))+SUMPRODUCT(--($AL291:AP291=AQ291))&lt;$AK291,1,0)</f>
        <v>47</v>
      </c>
      <c r="R291" s="2" t="n">
        <f aca="false">SUM(L291:Q291)</f>
        <v>500</v>
      </c>
      <c r="S291" s="2" t="n">
        <f aca="false">Settings!$B$4*MAX(INDEX(Bases!$M$2:$M$53,B291),INDEX(Bases!$M$2:$M$53,C291))+Settings!$B$5*MIN(INDEX(Bases!$M$2:$M$53,B291),INDEX(Bases!$M$2:$M$53,C291))</f>
        <v>87.6666666666667</v>
      </c>
      <c r="T291" s="2" t="n">
        <f aca="false">Settings!$B$4*MAX(INDEX(Bases!$N$2:$N$53,B291),INDEX(Bases!$N$2:$N$53,C291))+Settings!$B$5*MIN(INDEX(Bases!$N$2:$N$53,B291),INDEX(Bases!$N$2:$N$53,C291))</f>
        <v>68</v>
      </c>
      <c r="U291" s="2" t="n">
        <f aca="false">Settings!$B$4*MAX(INDEX(Bases!$O$2:$O$53,B291),INDEX(Bases!$O$2:$O$53,C291))+Settings!$B$5*MIN(INDEX(Bases!$O$2:$O$53,B291),INDEX(Bases!$O$2:$O$53,C291))</f>
        <v>51.6666666666667</v>
      </c>
      <c r="V291" s="2" t="n">
        <f aca="false">Settings!$B$4*MAX(INDEX(Bases!$P$2:$P$53,B291),INDEX(Bases!$P$2:$P$53,C291))+Settings!$B$5*MIN(INDEX(Bases!$P$2:$P$53,B291),INDEX(Bases!$P$2:$P$53,C291))</f>
        <v>84.3333333333333</v>
      </c>
      <c r="W291" s="2" t="n">
        <f aca="false">Settings!$B$4*MAX(INDEX(Bases!$Q$2:$Q$53,B291),INDEX(Bases!$Q$2:$Q$53,C291))+Settings!$B$5*MIN(INDEX(Bases!$Q$2:$Q$53,B291),INDEX(Bases!$Q$2:$Q$53,C291))</f>
        <v>87</v>
      </c>
      <c r="X291" s="2" t="n">
        <f aca="false">Settings!$B$4*MAX(INDEX(Bases!$R$2:$R$53,B291),INDEX(Bases!$R$2:$R$53,C291))+Settings!$B$5*MIN(INDEX(Bases!$R$2:$R$53,B291),INDEX(Bases!$R$2:$R$53,C291))</f>
        <v>39.6666666666667</v>
      </c>
      <c r="Y291" s="2" t="n">
        <f aca="false">S291*Settings!$B$3/SUM(S291:X291)</f>
        <v>104.780876494024</v>
      </c>
      <c r="Z291" s="2" t="n">
        <f aca="false">T291*Settings!$B$3/SUM(S291:X291)</f>
        <v>81.2749003984064</v>
      </c>
      <c r="AA291" s="2" t="n">
        <f aca="false">U291*Settings!$B$3/SUM(S291:X291)</f>
        <v>61.7529880478088</v>
      </c>
      <c r="AB291" s="2" t="n">
        <f aca="false">V291*Settings!$B$3/SUM(S291:X291)</f>
        <v>100.796812749004</v>
      </c>
      <c r="AC291" s="2" t="n">
        <f aca="false">W291*Settings!$B$3/SUM(S291:X291)</f>
        <v>103.98406374502</v>
      </c>
      <c r="AD291" s="2" t="n">
        <f aca="false">X291*Settings!$B$3/SUM(S291:X291)</f>
        <v>47.410358565737</v>
      </c>
      <c r="AE291" s="2" t="n">
        <f aca="false">INT(Y291)</f>
        <v>104</v>
      </c>
      <c r="AF291" s="2" t="n">
        <f aca="false">INT(Z291)</f>
        <v>81</v>
      </c>
      <c r="AG291" s="2" t="n">
        <f aca="false">INT(AA291)</f>
        <v>61</v>
      </c>
      <c r="AH291" s="2" t="n">
        <f aca="false">INT(AB291)</f>
        <v>100</v>
      </c>
      <c r="AI291" s="2" t="n">
        <f aca="false">INT(AC291)</f>
        <v>103</v>
      </c>
      <c r="AJ291" s="2" t="n">
        <f aca="false">INT(AD291)</f>
        <v>47</v>
      </c>
      <c r="AK291" s="2" t="n">
        <f aca="false">Settings!$B$3-SUM(AE291:AJ291)</f>
        <v>4</v>
      </c>
      <c r="AL291" s="2" t="n">
        <f aca="false">ROUND(Y291-AE291,9)</f>
        <v>0.780876494</v>
      </c>
      <c r="AM291" s="2" t="n">
        <f aca="false">ROUND(Z291-AF291,9)</f>
        <v>0.274900398</v>
      </c>
      <c r="AN291" s="2" t="n">
        <f aca="false">ROUND(AA291-AG291,9)</f>
        <v>0.752988048</v>
      </c>
      <c r="AO291" s="2" t="n">
        <f aca="false">ROUND(AB291-AH291,9)</f>
        <v>0.796812749</v>
      </c>
      <c r="AP291" s="2" t="n">
        <f aca="false">ROUND(AC291-AI291,9)</f>
        <v>0.984063745</v>
      </c>
      <c r="AQ291" s="2" t="n">
        <f aca="false">ROUND(AD291-AJ291,9)</f>
        <v>0.410358566</v>
      </c>
    </row>
    <row r="292" customFormat="false" ht="15" hidden="false" customHeight="false" outlineLevel="0" collapsed="false">
      <c r="A292" s="2" t="n">
        <v>291</v>
      </c>
      <c r="B292" s="6" t="n">
        <v>6</v>
      </c>
      <c r="C292" s="6" t="n">
        <v>52</v>
      </c>
      <c r="D292" s="8" t="str">
        <f aca="false">INDEX(Bases!$B$2:$B$53,B292)</f>
        <v>Numel</v>
      </c>
      <c r="E292" s="8" t="str">
        <f aca="false">INDEX(Bases!$B$2:$B$53,C292)</f>
        <v>Togepi</v>
      </c>
      <c r="F292" s="2" t="str">
        <f aca="false">LEFT(D292,ROUNDUP(LEN(D292)/2,0))&amp;LOWER(MID(E292,ROUNDUP(LEN(E292)/2,0)+1,20))</f>
        <v>Numepi</v>
      </c>
      <c r="G292" s="8" t="str">
        <f aca="false">INDEX(Bases!$C$2:$C$53,B292)</f>
        <v>Fire</v>
      </c>
      <c r="H292" s="8" t="str">
        <f aca="false">IF(INDEX(Bases!$C$2:$C$53,C292)=G292,"",INDEX(Bases!$C$2:$C$53,C292))</f>
        <v>Fairy</v>
      </c>
      <c r="I292" s="8" t="str">
        <f aca="false">IF(INDEX(Bases!$E$2:$E$53,B292)="","",INDEX(Bases!$E$2:$E$53,B292))</f>
        <v/>
      </c>
      <c r="J292" s="8" t="str">
        <f aca="false">IF(INDEX(Bases!$E$2:$E$53,C292)="","",INDEX(Bases!$E$2:$E$53,C292))</f>
        <v/>
      </c>
      <c r="K292" s="5"/>
      <c r="L292" s="2" t="n">
        <f aca="false">AE292+IF(SUMPRODUCT(--($AL292:$AQ292&gt;AL292))&lt;$AK292,1,0)</f>
        <v>83</v>
      </c>
      <c r="M292" s="2" t="n">
        <f aca="false">AF292+IF(SUMPRODUCT(--($AL292:$AQ292&gt;AM292))+SUMPRODUCT(--($AL292:AL292=AM292))&lt;$AK292,1,0)</f>
        <v>73</v>
      </c>
      <c r="N292" s="2" t="n">
        <f aca="false">AG292+IF(SUMPRODUCT(--($AL292:$AQ292&gt;AN292))+SUMPRODUCT(--($AL292:AM292=AN292))&lt;$AK292,1,0)</f>
        <v>102</v>
      </c>
      <c r="O292" s="2" t="n">
        <f aca="false">AH292+IF(SUMPRODUCT(--($AL292:$AQ292&gt;AO292))+SUMPRODUCT(--($AL292:AN292=AO292))&lt;$AK292,1,0)</f>
        <v>90</v>
      </c>
      <c r="P292" s="2" t="n">
        <f aca="false">AI292+IF(SUMPRODUCT(--($AL292:$AQ292&gt;AP292))+SUMPRODUCT(--($AL292:AO292=AP292))&lt;$AK292,1,0)</f>
        <v>104</v>
      </c>
      <c r="Q292" s="2" t="n">
        <f aca="false">AJ292+IF(SUMPRODUCT(--($AL292:$AQ292&gt;AQ292))+SUMPRODUCT(--($AL292:AP292=AQ292))&lt;$AK292,1,0)</f>
        <v>48</v>
      </c>
      <c r="R292" s="2" t="n">
        <f aca="false">SUM(L292:Q292)</f>
        <v>500</v>
      </c>
      <c r="S292" s="2" t="n">
        <f aca="false">Settings!$B$4*MAX(INDEX(Bases!$M$2:$M$53,B292),INDEX(Bases!$M$2:$M$53,C292))+Settings!$B$5*MIN(INDEX(Bases!$M$2:$M$53,B292),INDEX(Bases!$M$2:$M$53,C292))</f>
        <v>71.6666666666667</v>
      </c>
      <c r="T292" s="2" t="n">
        <f aca="false">Settings!$B$4*MAX(INDEX(Bases!$N$2:$N$53,B292),INDEX(Bases!$N$2:$N$53,C292))+Settings!$B$5*MIN(INDEX(Bases!$N$2:$N$53,B292),INDEX(Bases!$N$2:$N$53,C292))</f>
        <v>63.6666666666667</v>
      </c>
      <c r="U292" s="2" t="n">
        <f aca="false">Settings!$B$4*MAX(INDEX(Bases!$O$2:$O$53,B292),INDEX(Bases!$O$2:$O$53,C292))+Settings!$B$5*MIN(INDEX(Bases!$O$2:$O$53,B292),INDEX(Bases!$O$2:$O$53,C292))</f>
        <v>88</v>
      </c>
      <c r="V292" s="2" t="n">
        <f aca="false">Settings!$B$4*MAX(INDEX(Bases!$P$2:$P$53,B292),INDEX(Bases!$P$2:$P$53,C292))+Settings!$B$5*MIN(INDEX(Bases!$P$2:$P$53,B292),INDEX(Bases!$P$2:$P$53,C292))</f>
        <v>78.3333333333333</v>
      </c>
      <c r="W292" s="2" t="n">
        <f aca="false">Settings!$B$4*MAX(INDEX(Bases!$Q$2:$Q$53,B292),INDEX(Bases!$Q$2:$Q$53,C292))+Settings!$B$5*MIN(INDEX(Bases!$Q$2:$Q$53,B292),INDEX(Bases!$Q$2:$Q$53,C292))</f>
        <v>90.3333333333333</v>
      </c>
      <c r="X292" s="2" t="n">
        <f aca="false">Settings!$B$4*MAX(INDEX(Bases!$R$2:$R$53,B292),INDEX(Bases!$R$2:$R$53,C292))+Settings!$B$5*MIN(INDEX(Bases!$R$2:$R$53,B292),INDEX(Bases!$R$2:$R$53,C292))</f>
        <v>41.6666666666667</v>
      </c>
      <c r="Y292" s="2" t="n">
        <f aca="false">S292*Settings!$B$3/SUM(S292:X292)</f>
        <v>82.6287471176019</v>
      </c>
      <c r="Z292" s="2" t="n">
        <f aca="false">T292*Settings!$B$3/SUM(S292:X292)</f>
        <v>73.4050730207533</v>
      </c>
      <c r="AA292" s="2" t="n">
        <f aca="false">U292*Settings!$B$3/SUM(S292:X292)</f>
        <v>101.460415065334</v>
      </c>
      <c r="AB292" s="2" t="n">
        <f aca="false">V292*Settings!$B$3/SUM(S292:X292)</f>
        <v>90.315142198309</v>
      </c>
      <c r="AC292" s="2" t="n">
        <f aca="false">W292*Settings!$B$3/SUM(S292:X292)</f>
        <v>104.150653343582</v>
      </c>
      <c r="AD292" s="2" t="n">
        <f aca="false">X292*Settings!$B$3/SUM(S292:X292)</f>
        <v>48.0399692544197</v>
      </c>
      <c r="AE292" s="2" t="n">
        <f aca="false">INT(Y292)</f>
        <v>82</v>
      </c>
      <c r="AF292" s="2" t="n">
        <f aca="false">INT(Z292)</f>
        <v>73</v>
      </c>
      <c r="AG292" s="2" t="n">
        <f aca="false">INT(AA292)</f>
        <v>101</v>
      </c>
      <c r="AH292" s="2" t="n">
        <f aca="false">INT(AB292)</f>
        <v>90</v>
      </c>
      <c r="AI292" s="2" t="n">
        <f aca="false">INT(AC292)</f>
        <v>104</v>
      </c>
      <c r="AJ292" s="2" t="n">
        <f aca="false">INT(AD292)</f>
        <v>48</v>
      </c>
      <c r="AK292" s="2" t="n">
        <f aca="false">Settings!$B$3-SUM(AE292:AJ292)</f>
        <v>2</v>
      </c>
      <c r="AL292" s="2" t="n">
        <f aca="false">ROUND(Y292-AE292,9)</f>
        <v>0.628747118</v>
      </c>
      <c r="AM292" s="2" t="n">
        <f aca="false">ROUND(Z292-AF292,9)</f>
        <v>0.405073021</v>
      </c>
      <c r="AN292" s="2" t="n">
        <f aca="false">ROUND(AA292-AG292,9)</f>
        <v>0.460415065</v>
      </c>
      <c r="AO292" s="2" t="n">
        <f aca="false">ROUND(AB292-AH292,9)</f>
        <v>0.315142198</v>
      </c>
      <c r="AP292" s="2" t="n">
        <f aca="false">ROUND(AC292-AI292,9)</f>
        <v>0.150653344</v>
      </c>
      <c r="AQ292" s="2" t="n">
        <f aca="false">ROUND(AD292-AJ292,9)</f>
        <v>0.039969254</v>
      </c>
    </row>
    <row r="293" customFormat="false" ht="15" hidden="false" customHeight="false" outlineLevel="0" collapsed="false">
      <c r="A293" s="2" t="n">
        <v>292</v>
      </c>
      <c r="B293" s="6" t="n">
        <v>7</v>
      </c>
      <c r="C293" s="6" t="n">
        <v>8</v>
      </c>
      <c r="D293" s="8" t="str">
        <f aca="false">INDEX(Bases!$B$2:$B$53,B293)</f>
        <v>Azurill</v>
      </c>
      <c r="E293" s="8" t="str">
        <f aca="false">INDEX(Bases!$B$2:$B$53,C293)</f>
        <v>Corsola</v>
      </c>
      <c r="F293" s="2" t="str">
        <f aca="false">LEFT(D293,ROUNDUP(LEN(D293)/2,0))&amp;LOWER(MID(E293,ROUNDUP(LEN(E293)/2,0)+1,20))</f>
        <v>Azurola</v>
      </c>
      <c r="G293" s="8" t="str">
        <f aca="false">INDEX(Bases!$C$2:$C$53,B293)</f>
        <v>Water</v>
      </c>
      <c r="H293" s="8" t="str">
        <f aca="false">IF(INDEX(Bases!$C$2:$C$53,C293)=G293,"",INDEX(Bases!$C$2:$C$53,C293))</f>
        <v/>
      </c>
      <c r="I293" s="8" t="str">
        <f aca="false">IF(INDEX(Bases!$E$2:$E$53,B293)="","",INDEX(Bases!$E$2:$E$53,B293))</f>
        <v/>
      </c>
      <c r="J293" s="8" t="str">
        <f aca="false">IF(INDEX(Bases!$E$2:$E$53,C293)="","",INDEX(Bases!$E$2:$E$53,C293))</f>
        <v/>
      </c>
      <c r="K293" s="5"/>
      <c r="L293" s="2" t="n">
        <f aca="false">AE293+IF(SUMPRODUCT(--($AL293:$AQ293&gt;AL293))&lt;$AK293,1,0)</f>
        <v>110</v>
      </c>
      <c r="M293" s="2" t="n">
        <f aca="false">AF293+IF(SUMPRODUCT(--($AL293:$AQ293&gt;AM293))+SUMPRODUCT(--($AL293:AL293=AM293))&lt;$AK293,1,0)</f>
        <v>60</v>
      </c>
      <c r="N293" s="2" t="n">
        <f aca="false">AG293+IF(SUMPRODUCT(--($AL293:$AQ293&gt;AN293))+SUMPRODUCT(--($AL293:AM293=AN293))&lt;$AK293,1,0)</f>
        <v>108</v>
      </c>
      <c r="O293" s="2" t="n">
        <f aca="false">AH293+IF(SUMPRODUCT(--($AL293:$AQ293&gt;AO293))+SUMPRODUCT(--($AL293:AN293=AO293))&lt;$AK293,1,0)</f>
        <v>67</v>
      </c>
      <c r="P293" s="2" t="n">
        <f aca="false">AI293+IF(SUMPRODUCT(--($AL293:$AQ293&gt;AP293))+SUMPRODUCT(--($AL293:AO293=AP293))&lt;$AK293,1,0)</f>
        <v>108</v>
      </c>
      <c r="Q293" s="2" t="n">
        <f aca="false">AJ293+IF(SUMPRODUCT(--($AL293:$AQ293&gt;AQ293))+SUMPRODUCT(--($AL293:AP293=AQ293))&lt;$AK293,1,0)</f>
        <v>47</v>
      </c>
      <c r="R293" s="2" t="n">
        <f aca="false">SUM(L293:Q293)</f>
        <v>500</v>
      </c>
      <c r="S293" s="2" t="n">
        <f aca="false">Settings!$B$4*MAX(INDEX(Bases!$M$2:$M$53,B293),INDEX(Bases!$M$2:$M$53,C293))+Settings!$B$5*MIN(INDEX(Bases!$M$2:$M$53,B293),INDEX(Bases!$M$2:$M$53,C293))</f>
        <v>91.6666666666667</v>
      </c>
      <c r="T293" s="2" t="n">
        <f aca="false">Settings!$B$4*MAX(INDEX(Bases!$N$2:$N$53,B293),INDEX(Bases!$N$2:$N$53,C293))+Settings!$B$5*MIN(INDEX(Bases!$N$2:$N$53,B293),INDEX(Bases!$N$2:$N$53,C293))</f>
        <v>50</v>
      </c>
      <c r="U293" s="2" t="n">
        <f aca="false">Settings!$B$4*MAX(INDEX(Bases!$O$2:$O$53,B293),INDEX(Bases!$O$2:$O$53,C293))+Settings!$B$5*MIN(INDEX(Bases!$O$2:$O$53,B293),INDEX(Bases!$O$2:$O$53,C293))</f>
        <v>90</v>
      </c>
      <c r="V293" s="2" t="n">
        <f aca="false">Settings!$B$4*MAX(INDEX(Bases!$P$2:$P$53,B293),INDEX(Bases!$P$2:$P$53,C293))+Settings!$B$5*MIN(INDEX(Bases!$P$2:$P$53,B293),INDEX(Bases!$P$2:$P$53,C293))</f>
        <v>56</v>
      </c>
      <c r="W293" s="2" t="n">
        <f aca="false">Settings!$B$4*MAX(INDEX(Bases!$Q$2:$Q$53,B293),INDEX(Bases!$Q$2:$Q$53,C293))+Settings!$B$5*MIN(INDEX(Bases!$Q$2:$Q$53,B293),INDEX(Bases!$Q$2:$Q$53,C293))</f>
        <v>90</v>
      </c>
      <c r="X293" s="2" t="n">
        <f aca="false">Settings!$B$4*MAX(INDEX(Bases!$R$2:$R$53,B293),INDEX(Bases!$R$2:$R$53,C293))+Settings!$B$5*MIN(INDEX(Bases!$R$2:$R$53,B293),INDEX(Bases!$R$2:$R$53,C293))</f>
        <v>39.3333333333333</v>
      </c>
      <c r="Y293" s="2" t="n">
        <f aca="false">S293*Settings!$B$3/SUM(S293:X293)</f>
        <v>109.912070343725</v>
      </c>
      <c r="Z293" s="2" t="n">
        <f aca="false">T293*Settings!$B$3/SUM(S293:X293)</f>
        <v>59.9520383693046</v>
      </c>
      <c r="AA293" s="2" t="n">
        <f aca="false">U293*Settings!$B$3/SUM(S293:X293)</f>
        <v>107.913669064748</v>
      </c>
      <c r="AB293" s="2" t="n">
        <f aca="false">V293*Settings!$B$3/SUM(S293:X293)</f>
        <v>67.1462829736211</v>
      </c>
      <c r="AC293" s="2" t="n">
        <f aca="false">W293*Settings!$B$3/SUM(S293:X293)</f>
        <v>107.913669064748</v>
      </c>
      <c r="AD293" s="2" t="n">
        <f aca="false">X293*Settings!$B$3/SUM(S293:X293)</f>
        <v>47.1622701838529</v>
      </c>
      <c r="AE293" s="2" t="n">
        <f aca="false">INT(Y293)</f>
        <v>109</v>
      </c>
      <c r="AF293" s="2" t="n">
        <f aca="false">INT(Z293)</f>
        <v>59</v>
      </c>
      <c r="AG293" s="2" t="n">
        <f aca="false">INT(AA293)</f>
        <v>107</v>
      </c>
      <c r="AH293" s="2" t="n">
        <f aca="false">INT(AB293)</f>
        <v>67</v>
      </c>
      <c r="AI293" s="2" t="n">
        <f aca="false">INT(AC293)</f>
        <v>107</v>
      </c>
      <c r="AJ293" s="2" t="n">
        <f aca="false">INT(AD293)</f>
        <v>47</v>
      </c>
      <c r="AK293" s="2" t="n">
        <f aca="false">Settings!$B$3-SUM(AE293:AJ293)</f>
        <v>4</v>
      </c>
      <c r="AL293" s="2" t="n">
        <f aca="false">ROUND(Y293-AE293,9)</f>
        <v>0.912070344</v>
      </c>
      <c r="AM293" s="2" t="n">
        <f aca="false">ROUND(Z293-AF293,9)</f>
        <v>0.952038369</v>
      </c>
      <c r="AN293" s="2" t="n">
        <f aca="false">ROUND(AA293-AG293,9)</f>
        <v>0.913669065</v>
      </c>
      <c r="AO293" s="2" t="n">
        <f aca="false">ROUND(AB293-AH293,9)</f>
        <v>0.146282974</v>
      </c>
      <c r="AP293" s="2" t="n">
        <f aca="false">ROUND(AC293-AI293,9)</f>
        <v>0.913669065</v>
      </c>
      <c r="AQ293" s="2" t="n">
        <f aca="false">ROUND(AD293-AJ293,9)</f>
        <v>0.162270184</v>
      </c>
    </row>
    <row r="294" customFormat="false" ht="15" hidden="false" customHeight="false" outlineLevel="0" collapsed="false">
      <c r="A294" s="2" t="n">
        <v>293</v>
      </c>
      <c r="B294" s="6" t="n">
        <v>7</v>
      </c>
      <c r="C294" s="6" t="n">
        <v>9</v>
      </c>
      <c r="D294" s="8" t="str">
        <f aca="false">INDEX(Bases!$B$2:$B$53,B294)</f>
        <v>Azurill</v>
      </c>
      <c r="E294" s="8" t="str">
        <f aca="false">INDEX(Bases!$B$2:$B$53,C294)</f>
        <v>Mudkip</v>
      </c>
      <c r="F294" s="2" t="str">
        <f aca="false">LEFT(D294,ROUNDUP(LEN(D294)/2,0))&amp;LOWER(MID(E294,ROUNDUP(LEN(E294)/2,0)+1,20))</f>
        <v>Azurkip</v>
      </c>
      <c r="G294" s="8" t="str">
        <f aca="false">INDEX(Bases!$C$2:$C$53,B294)</f>
        <v>Water</v>
      </c>
      <c r="H294" s="8" t="str">
        <f aca="false">IF(INDEX(Bases!$C$2:$C$53,C294)=G294,"",INDEX(Bases!$C$2:$C$53,C294))</f>
        <v/>
      </c>
      <c r="I294" s="8" t="str">
        <f aca="false">IF(INDEX(Bases!$E$2:$E$53,B294)="","",INDEX(Bases!$E$2:$E$53,B294))</f>
        <v/>
      </c>
      <c r="J294" s="8" t="str">
        <f aca="false">IF(INDEX(Bases!$E$2:$E$53,C294)="","",INDEX(Bases!$E$2:$E$53,C294))</f>
        <v/>
      </c>
      <c r="K294" s="5"/>
      <c r="L294" s="2" t="n">
        <f aca="false">AE294+IF(SUMPRODUCT(--($AL294:$AQ294&gt;AL294))&lt;$AK294,1,0)</f>
        <v>108</v>
      </c>
      <c r="M294" s="2" t="n">
        <f aca="false">AF294+IF(SUMPRODUCT(--($AL294:$AQ294&gt;AM294))+SUMPRODUCT(--($AL294:AL294=AM294))&lt;$AK294,1,0)</f>
        <v>87</v>
      </c>
      <c r="N294" s="2" t="n">
        <f aca="false">AG294+IF(SUMPRODUCT(--($AL294:$AQ294&gt;AN294))+SUMPRODUCT(--($AL294:AM294=AN294))&lt;$AK294,1,0)</f>
        <v>91</v>
      </c>
      <c r="O294" s="2" t="n">
        <f aca="false">AH294+IF(SUMPRODUCT(--($AL294:$AQ294&gt;AO294))+SUMPRODUCT(--($AL294:AN294=AO294))&lt;$AK294,1,0)</f>
        <v>66</v>
      </c>
      <c r="P294" s="2" t="n">
        <f aca="false">AI294+IF(SUMPRODUCT(--($AL294:$AQ294&gt;AP294))+SUMPRODUCT(--($AL294:AO294=AP294))&lt;$AK294,1,0)</f>
        <v>91</v>
      </c>
      <c r="Q294" s="2" t="n">
        <f aca="false">AJ294+IF(SUMPRODUCT(--($AL294:$AQ294&gt;AQ294))+SUMPRODUCT(--($AL294:AP294=AQ294))&lt;$AK294,1,0)</f>
        <v>57</v>
      </c>
      <c r="R294" s="2" t="n">
        <f aca="false">SUM(L294:Q294)</f>
        <v>500</v>
      </c>
      <c r="S294" s="2" t="n">
        <f aca="false">Settings!$B$4*MAX(INDEX(Bases!$M$2:$M$53,B294),INDEX(Bases!$M$2:$M$53,C294))+Settings!$B$5*MIN(INDEX(Bases!$M$2:$M$53,B294),INDEX(Bases!$M$2:$M$53,C294))</f>
        <v>92.3333333333333</v>
      </c>
      <c r="T294" s="2" t="n">
        <f aca="false">Settings!$B$4*MAX(INDEX(Bases!$N$2:$N$53,B294),INDEX(Bases!$N$2:$N$53,C294))+Settings!$B$5*MIN(INDEX(Bases!$N$2:$N$53,B294),INDEX(Bases!$N$2:$N$53,C294))</f>
        <v>74</v>
      </c>
      <c r="U294" s="2" t="n">
        <f aca="false">Settings!$B$4*MAX(INDEX(Bases!$O$2:$O$53,B294),INDEX(Bases!$O$2:$O$53,C294))+Settings!$B$5*MIN(INDEX(Bases!$O$2:$O$53,B294),INDEX(Bases!$O$2:$O$53,C294))</f>
        <v>77.6666666666667</v>
      </c>
      <c r="V294" s="2" t="n">
        <f aca="false">Settings!$B$4*MAX(INDEX(Bases!$P$2:$P$53,B294),INDEX(Bases!$P$2:$P$53,C294))+Settings!$B$5*MIN(INDEX(Bases!$P$2:$P$53,B294),INDEX(Bases!$P$2:$P$53,C294))</f>
        <v>56.6666666666667</v>
      </c>
      <c r="W294" s="2" t="n">
        <f aca="false">Settings!$B$4*MAX(INDEX(Bases!$Q$2:$Q$53,B294),INDEX(Bases!$Q$2:$Q$53,C294))+Settings!$B$5*MIN(INDEX(Bases!$Q$2:$Q$53,B294),INDEX(Bases!$Q$2:$Q$53,C294))</f>
        <v>77.3333333333333</v>
      </c>
      <c r="X294" s="2" t="n">
        <f aca="false">Settings!$B$4*MAX(INDEX(Bases!$R$2:$R$53,B294),INDEX(Bases!$R$2:$R$53,C294))+Settings!$B$5*MIN(INDEX(Bases!$R$2:$R$53,B294),INDEX(Bases!$R$2:$R$53,C294))</f>
        <v>48.6666666666667</v>
      </c>
      <c r="Y294" s="2" t="n">
        <f aca="false">S294*Settings!$B$3/SUM(S294:X294)</f>
        <v>108.203125</v>
      </c>
      <c r="Z294" s="2" t="n">
        <f aca="false">T294*Settings!$B$3/SUM(S294:X294)</f>
        <v>86.71875</v>
      </c>
      <c r="AA294" s="2" t="n">
        <f aca="false">U294*Settings!$B$3/SUM(S294:X294)</f>
        <v>91.015625</v>
      </c>
      <c r="AB294" s="2" t="n">
        <f aca="false">V294*Settings!$B$3/SUM(S294:X294)</f>
        <v>66.40625</v>
      </c>
      <c r="AC294" s="2" t="n">
        <f aca="false">W294*Settings!$B$3/SUM(S294:X294)</f>
        <v>90.625</v>
      </c>
      <c r="AD294" s="2" t="n">
        <f aca="false">X294*Settings!$B$3/SUM(S294:X294)</f>
        <v>57.03125</v>
      </c>
      <c r="AE294" s="2" t="n">
        <f aca="false">INT(Y294)</f>
        <v>108</v>
      </c>
      <c r="AF294" s="2" t="n">
        <f aca="false">INT(Z294)</f>
        <v>86</v>
      </c>
      <c r="AG294" s="2" t="n">
        <f aca="false">INT(AA294)</f>
        <v>91</v>
      </c>
      <c r="AH294" s="2" t="n">
        <f aca="false">INT(AB294)</f>
        <v>66</v>
      </c>
      <c r="AI294" s="2" t="n">
        <f aca="false">INT(AC294)</f>
        <v>90</v>
      </c>
      <c r="AJ294" s="2" t="n">
        <f aca="false">INT(AD294)</f>
        <v>57</v>
      </c>
      <c r="AK294" s="2" t="n">
        <f aca="false">Settings!$B$3-SUM(AE294:AJ294)</f>
        <v>2</v>
      </c>
      <c r="AL294" s="2" t="n">
        <f aca="false">ROUND(Y294-AE294,9)</f>
        <v>0.203125</v>
      </c>
      <c r="AM294" s="2" t="n">
        <f aca="false">ROUND(Z294-AF294,9)</f>
        <v>0.71875</v>
      </c>
      <c r="AN294" s="2" t="n">
        <f aca="false">ROUND(AA294-AG294,9)</f>
        <v>0.015625</v>
      </c>
      <c r="AO294" s="2" t="n">
        <f aca="false">ROUND(AB294-AH294,9)</f>
        <v>0.40625</v>
      </c>
      <c r="AP294" s="2" t="n">
        <f aca="false">ROUND(AC294-AI294,9)</f>
        <v>0.625</v>
      </c>
      <c r="AQ294" s="2" t="n">
        <f aca="false">ROUND(AD294-AJ294,9)</f>
        <v>0.03125</v>
      </c>
    </row>
    <row r="295" customFormat="false" ht="15" hidden="false" customHeight="false" outlineLevel="0" collapsed="false">
      <c r="A295" s="2" t="n">
        <v>294</v>
      </c>
      <c r="B295" s="6" t="n">
        <v>7</v>
      </c>
      <c r="C295" s="6" t="n">
        <v>10</v>
      </c>
      <c r="D295" s="8" t="str">
        <f aca="false">INDEX(Bases!$B$2:$B$53,B295)</f>
        <v>Azurill</v>
      </c>
      <c r="E295" s="8" t="str">
        <f aca="false">INDEX(Bases!$B$2:$B$53,C295)</f>
        <v>Pichu</v>
      </c>
      <c r="F295" s="2" t="str">
        <f aca="false">LEFT(D295,ROUNDUP(LEN(D295)/2,0))&amp;LOWER(MID(E295,ROUNDUP(LEN(E295)/2,0)+1,20))</f>
        <v>Azurhu</v>
      </c>
      <c r="G295" s="8" t="str">
        <f aca="false">INDEX(Bases!$C$2:$C$53,B295)</f>
        <v>Water</v>
      </c>
      <c r="H295" s="8" t="str">
        <f aca="false">IF(INDEX(Bases!$C$2:$C$53,C295)=G295,"",INDEX(Bases!$C$2:$C$53,C295))</f>
        <v>Electric</v>
      </c>
      <c r="I295" s="8" t="str">
        <f aca="false">IF(INDEX(Bases!$E$2:$E$53,B295)="","",INDEX(Bases!$E$2:$E$53,B295))</f>
        <v/>
      </c>
      <c r="J295" s="8" t="str">
        <f aca="false">IF(INDEX(Bases!$E$2:$E$53,C295)="","",INDEX(Bases!$E$2:$E$53,C295))</f>
        <v/>
      </c>
      <c r="K295" s="5"/>
      <c r="L295" s="2" t="n">
        <f aca="false">AE295+IF(SUMPRODUCT(--($AL295:$AQ295&gt;AL295))&lt;$AK295,1,0)</f>
        <v>94</v>
      </c>
      <c r="M295" s="2" t="n">
        <f aca="false">AF295+IF(SUMPRODUCT(--($AL295:$AQ295&gt;AM295))+SUMPRODUCT(--($AL295:AL295=AM295))&lt;$AK295,1,0)</f>
        <v>74</v>
      </c>
      <c r="N295" s="2" t="n">
        <f aca="false">AG295+IF(SUMPRODUCT(--($AL295:$AQ295&gt;AN295))+SUMPRODUCT(--($AL295:AM295=AN295))&lt;$AK295,1,0)</f>
        <v>74</v>
      </c>
      <c r="O295" s="2" t="n">
        <f aca="false">AH295+IF(SUMPRODUCT(--($AL295:$AQ295&gt;AO295))+SUMPRODUCT(--($AL295:AN295=AO295))&lt;$AK295,1,0)</f>
        <v>67</v>
      </c>
      <c r="P295" s="2" t="n">
        <f aca="false">AI295+IF(SUMPRODUCT(--($AL295:$AQ295&gt;AP295))+SUMPRODUCT(--($AL295:AO295=AP295))&lt;$AK295,1,0)</f>
        <v>88</v>
      </c>
      <c r="Q295" s="2" t="n">
        <f aca="false">AJ295+IF(SUMPRODUCT(--($AL295:$AQ295&gt;AQ295))+SUMPRODUCT(--($AL295:AP295=AQ295))&lt;$AK295,1,0)</f>
        <v>103</v>
      </c>
      <c r="R295" s="2" t="n">
        <f aca="false">SUM(L295:Q295)</f>
        <v>500</v>
      </c>
      <c r="S295" s="2" t="n">
        <f aca="false">Settings!$B$4*MAX(INDEX(Bases!$M$2:$M$53,B295),INDEX(Bases!$M$2:$M$53,C295))+Settings!$B$5*MIN(INDEX(Bases!$M$2:$M$53,B295),INDEX(Bases!$M$2:$M$53,C295))</f>
        <v>83.6666666666667</v>
      </c>
      <c r="T295" s="2" t="n">
        <f aca="false">Settings!$B$4*MAX(INDEX(Bases!$N$2:$N$53,B295),INDEX(Bases!$N$2:$N$53,C295))+Settings!$B$5*MIN(INDEX(Bases!$N$2:$N$53,B295),INDEX(Bases!$N$2:$N$53,C295))</f>
        <v>66</v>
      </c>
      <c r="U295" s="2" t="n">
        <f aca="false">Settings!$B$4*MAX(INDEX(Bases!$O$2:$O$53,B295),INDEX(Bases!$O$2:$O$53,C295))+Settings!$B$5*MIN(INDEX(Bases!$O$2:$O$53,B295),INDEX(Bases!$O$2:$O$53,C295))</f>
        <v>65.6666666666667</v>
      </c>
      <c r="V295" s="2" t="n">
        <f aca="false">Settings!$B$4*MAX(INDEX(Bases!$P$2:$P$53,B295),INDEX(Bases!$P$2:$P$53,C295))+Settings!$B$5*MIN(INDEX(Bases!$P$2:$P$53,B295),INDEX(Bases!$P$2:$P$53,C295))</f>
        <v>60</v>
      </c>
      <c r="W295" s="2" t="n">
        <f aca="false">Settings!$B$4*MAX(INDEX(Bases!$Q$2:$Q$53,B295),INDEX(Bases!$Q$2:$Q$53,C295))+Settings!$B$5*MIN(INDEX(Bases!$Q$2:$Q$53,B295),INDEX(Bases!$Q$2:$Q$53,C295))</f>
        <v>78.6666666666667</v>
      </c>
      <c r="X295" s="2" t="n">
        <f aca="false">Settings!$B$4*MAX(INDEX(Bases!$R$2:$R$53,B295),INDEX(Bases!$R$2:$R$53,C295))+Settings!$B$5*MIN(INDEX(Bases!$R$2:$R$53,B295),INDEX(Bases!$R$2:$R$53,C295))</f>
        <v>92</v>
      </c>
      <c r="Y295" s="2" t="n">
        <f aca="false">S295*Settings!$B$3/SUM(S295:X295)</f>
        <v>93.796711509716</v>
      </c>
      <c r="Z295" s="2" t="n">
        <f aca="false">T295*Settings!$B$3/SUM(S295:X295)</f>
        <v>73.9910313901345</v>
      </c>
      <c r="AA295" s="2" t="n">
        <f aca="false">U295*Settings!$B$3/SUM(S295:X295)</f>
        <v>73.6173393124066</v>
      </c>
      <c r="AB295" s="2" t="n">
        <f aca="false">V295*Settings!$B$3/SUM(S295:X295)</f>
        <v>67.2645739910314</v>
      </c>
      <c r="AC295" s="2" t="n">
        <f aca="false">W295*Settings!$B$3/SUM(S295:X295)</f>
        <v>88.1913303437967</v>
      </c>
      <c r="AD295" s="2" t="n">
        <f aca="false">X295*Settings!$B$3/SUM(S295:X295)</f>
        <v>103.139013452915</v>
      </c>
      <c r="AE295" s="2" t="n">
        <f aca="false">INT(Y295)</f>
        <v>93</v>
      </c>
      <c r="AF295" s="2" t="n">
        <f aca="false">INT(Z295)</f>
        <v>73</v>
      </c>
      <c r="AG295" s="2" t="n">
        <f aca="false">INT(AA295)</f>
        <v>73</v>
      </c>
      <c r="AH295" s="2" t="n">
        <f aca="false">INT(AB295)</f>
        <v>67</v>
      </c>
      <c r="AI295" s="2" t="n">
        <f aca="false">INT(AC295)</f>
        <v>88</v>
      </c>
      <c r="AJ295" s="2" t="n">
        <f aca="false">INT(AD295)</f>
        <v>103</v>
      </c>
      <c r="AK295" s="2" t="n">
        <f aca="false">Settings!$B$3-SUM(AE295:AJ295)</f>
        <v>3</v>
      </c>
      <c r="AL295" s="2" t="n">
        <f aca="false">ROUND(Y295-AE295,9)</f>
        <v>0.79671151</v>
      </c>
      <c r="AM295" s="2" t="n">
        <f aca="false">ROUND(Z295-AF295,9)</f>
        <v>0.99103139</v>
      </c>
      <c r="AN295" s="2" t="n">
        <f aca="false">ROUND(AA295-AG295,9)</f>
        <v>0.617339312</v>
      </c>
      <c r="AO295" s="2" t="n">
        <f aca="false">ROUND(AB295-AH295,9)</f>
        <v>0.264573991</v>
      </c>
      <c r="AP295" s="2" t="n">
        <f aca="false">ROUND(AC295-AI295,9)</f>
        <v>0.191330344</v>
      </c>
      <c r="AQ295" s="2" t="n">
        <f aca="false">ROUND(AD295-AJ295,9)</f>
        <v>0.139013453</v>
      </c>
    </row>
    <row r="296" customFormat="false" ht="15" hidden="false" customHeight="false" outlineLevel="0" collapsed="false">
      <c r="A296" s="2" t="n">
        <v>295</v>
      </c>
      <c r="B296" s="6" t="n">
        <v>7</v>
      </c>
      <c r="C296" s="6" t="n">
        <v>11</v>
      </c>
      <c r="D296" s="8" t="str">
        <f aca="false">INDEX(Bases!$B$2:$B$53,B296)</f>
        <v>Azurill</v>
      </c>
      <c r="E296" s="8" t="str">
        <f aca="false">INDEX(Bases!$B$2:$B$53,C296)</f>
        <v>Voltorb</v>
      </c>
      <c r="F296" s="2" t="str">
        <f aca="false">LEFT(D296,ROUNDUP(LEN(D296)/2,0))&amp;LOWER(MID(E296,ROUNDUP(LEN(E296)/2,0)+1,20))</f>
        <v>Azurorb</v>
      </c>
      <c r="G296" s="8" t="str">
        <f aca="false">INDEX(Bases!$C$2:$C$53,B296)</f>
        <v>Water</v>
      </c>
      <c r="H296" s="8" t="str">
        <f aca="false">IF(INDEX(Bases!$C$2:$C$53,C296)=G296,"",INDEX(Bases!$C$2:$C$53,C296))</f>
        <v>Electric</v>
      </c>
      <c r="I296" s="8" t="str">
        <f aca="false">IF(INDEX(Bases!$E$2:$E$53,B296)="","",INDEX(Bases!$E$2:$E$53,B296))</f>
        <v/>
      </c>
      <c r="J296" s="8" t="str">
        <f aca="false">IF(INDEX(Bases!$E$2:$E$53,C296)="","",INDEX(Bases!$E$2:$E$53,C296))</f>
        <v/>
      </c>
      <c r="K296" s="5"/>
      <c r="L296" s="2" t="n">
        <f aca="false">AE296+IF(SUMPRODUCT(--($AL296:$AQ296&gt;AL296))&lt;$AK296,1,0)</f>
        <v>100</v>
      </c>
      <c r="M296" s="2" t="n">
        <f aca="false">AF296+IF(SUMPRODUCT(--($AL296:$AQ296&gt;AM296))+SUMPRODUCT(--($AL296:AL296=AM296))&lt;$AK296,1,0)</f>
        <v>46</v>
      </c>
      <c r="N296" s="2" t="n">
        <f aca="false">AG296+IF(SUMPRODUCT(--($AL296:$AQ296&gt;AN296))+SUMPRODUCT(--($AL296:AM296=AN296))&lt;$AK296,1,0)</f>
        <v>88</v>
      </c>
      <c r="O296" s="2" t="n">
        <f aca="false">AH296+IF(SUMPRODUCT(--($AL296:$AQ296&gt;AO296))+SUMPRODUCT(--($AL296:AN296=AO296))&lt;$AK296,1,0)</f>
        <v>67</v>
      </c>
      <c r="P296" s="2" t="n">
        <f aca="false">AI296+IF(SUMPRODUCT(--($AL296:$AQ296&gt;AP296))+SUMPRODUCT(--($AL296:AO296=AP296))&lt;$AK296,1,0)</f>
        <v>90</v>
      </c>
      <c r="Q296" s="2" t="n">
        <f aca="false">AJ296+IF(SUMPRODUCT(--($AL296:$AQ296&gt;AQ296))+SUMPRODUCT(--($AL296:AP296=AQ296))&lt;$AK296,1,0)</f>
        <v>109</v>
      </c>
      <c r="R296" s="2" t="n">
        <f aca="false">SUM(L296:Q296)</f>
        <v>500</v>
      </c>
      <c r="S296" s="2" t="n">
        <f aca="false">Settings!$B$4*MAX(INDEX(Bases!$M$2:$M$53,B296),INDEX(Bases!$M$2:$M$53,C296))+Settings!$B$5*MIN(INDEX(Bases!$M$2:$M$53,B296),INDEX(Bases!$M$2:$M$53,C296))</f>
        <v>86.6666666666667</v>
      </c>
      <c r="T296" s="2" t="n">
        <f aca="false">Settings!$B$4*MAX(INDEX(Bases!$N$2:$N$53,B296),INDEX(Bases!$N$2:$N$53,C296))+Settings!$B$5*MIN(INDEX(Bases!$N$2:$N$53,B296),INDEX(Bases!$N$2:$N$53,C296))</f>
        <v>40</v>
      </c>
      <c r="U296" s="2" t="n">
        <f aca="false">Settings!$B$4*MAX(INDEX(Bases!$O$2:$O$53,B296),INDEX(Bases!$O$2:$O$53,C296))+Settings!$B$5*MIN(INDEX(Bases!$O$2:$O$53,B296),INDEX(Bases!$O$2:$O$53,C296))</f>
        <v>76.3333333333333</v>
      </c>
      <c r="V296" s="2" t="n">
        <f aca="false">Settings!$B$4*MAX(INDEX(Bases!$P$2:$P$53,B296),INDEX(Bases!$P$2:$P$53,C296))+Settings!$B$5*MIN(INDEX(Bases!$P$2:$P$53,B296),INDEX(Bases!$P$2:$P$53,C296))</f>
        <v>58.6666666666667</v>
      </c>
      <c r="W296" s="2" t="n">
        <f aca="false">Settings!$B$4*MAX(INDEX(Bases!$Q$2:$Q$53,B296),INDEX(Bases!$Q$2:$Q$53,C296))+Settings!$B$5*MIN(INDEX(Bases!$Q$2:$Q$53,B296),INDEX(Bases!$Q$2:$Q$53,C296))</f>
        <v>78.3333333333333</v>
      </c>
      <c r="X296" s="2" t="n">
        <f aca="false">Settings!$B$4*MAX(INDEX(Bases!$R$2:$R$53,B296),INDEX(Bases!$R$2:$R$53,C296))+Settings!$B$5*MIN(INDEX(Bases!$R$2:$R$53,B296),INDEX(Bases!$R$2:$R$53,C296))</f>
        <v>94.6666666666667</v>
      </c>
      <c r="Y296" s="2" t="n">
        <f aca="false">S296*Settings!$B$3/SUM(S296:X296)</f>
        <v>99.6932515337423</v>
      </c>
      <c r="Z296" s="2" t="n">
        <f aca="false">T296*Settings!$B$3/SUM(S296:X296)</f>
        <v>46.0122699386503</v>
      </c>
      <c r="AA296" s="2" t="n">
        <f aca="false">U296*Settings!$B$3/SUM(S296:X296)</f>
        <v>87.8067484662577</v>
      </c>
      <c r="AB296" s="2" t="n">
        <f aca="false">V296*Settings!$B$3/SUM(S296:X296)</f>
        <v>67.4846625766871</v>
      </c>
      <c r="AC296" s="2" t="n">
        <f aca="false">W296*Settings!$B$3/SUM(S296:X296)</f>
        <v>90.1073619631902</v>
      </c>
      <c r="AD296" s="2" t="n">
        <f aca="false">X296*Settings!$B$3/SUM(S296:X296)</f>
        <v>108.895705521472</v>
      </c>
      <c r="AE296" s="2" t="n">
        <f aca="false">INT(Y296)</f>
        <v>99</v>
      </c>
      <c r="AF296" s="2" t="n">
        <f aca="false">INT(Z296)</f>
        <v>46</v>
      </c>
      <c r="AG296" s="2" t="n">
        <f aca="false">INT(AA296)</f>
        <v>87</v>
      </c>
      <c r="AH296" s="2" t="n">
        <f aca="false">INT(AB296)</f>
        <v>67</v>
      </c>
      <c r="AI296" s="2" t="n">
        <f aca="false">INT(AC296)</f>
        <v>90</v>
      </c>
      <c r="AJ296" s="2" t="n">
        <f aca="false">INT(AD296)</f>
        <v>108</v>
      </c>
      <c r="AK296" s="2" t="n">
        <f aca="false">Settings!$B$3-SUM(AE296:AJ296)</f>
        <v>3</v>
      </c>
      <c r="AL296" s="2" t="n">
        <f aca="false">ROUND(Y296-AE296,9)</f>
        <v>0.693251534</v>
      </c>
      <c r="AM296" s="2" t="n">
        <f aca="false">ROUND(Z296-AF296,9)</f>
        <v>0.012269939</v>
      </c>
      <c r="AN296" s="2" t="n">
        <f aca="false">ROUND(AA296-AG296,9)</f>
        <v>0.806748466</v>
      </c>
      <c r="AO296" s="2" t="n">
        <f aca="false">ROUND(AB296-AH296,9)</f>
        <v>0.484662577</v>
      </c>
      <c r="AP296" s="2" t="n">
        <f aca="false">ROUND(AC296-AI296,9)</f>
        <v>0.107361963</v>
      </c>
      <c r="AQ296" s="2" t="n">
        <f aca="false">ROUND(AD296-AJ296,9)</f>
        <v>0.895705521</v>
      </c>
    </row>
    <row r="297" customFormat="false" ht="15" hidden="false" customHeight="false" outlineLevel="0" collapsed="false">
      <c r="A297" s="2" t="n">
        <v>296</v>
      </c>
      <c r="B297" s="6" t="n">
        <v>7</v>
      </c>
      <c r="C297" s="6" t="n">
        <v>12</v>
      </c>
      <c r="D297" s="8" t="str">
        <f aca="false">INDEX(Bases!$B$2:$B$53,B297)</f>
        <v>Azurill</v>
      </c>
      <c r="E297" s="8" t="str">
        <f aca="false">INDEX(Bases!$B$2:$B$53,C297)</f>
        <v>Mareep</v>
      </c>
      <c r="F297" s="2" t="str">
        <f aca="false">LEFT(D297,ROUNDUP(LEN(D297)/2,0))&amp;LOWER(MID(E297,ROUNDUP(LEN(E297)/2,0)+1,20))</f>
        <v>Azureep</v>
      </c>
      <c r="G297" s="8" t="str">
        <f aca="false">INDEX(Bases!$C$2:$C$53,B297)</f>
        <v>Water</v>
      </c>
      <c r="H297" s="8" t="str">
        <f aca="false">IF(INDEX(Bases!$C$2:$C$53,C297)=G297,"",INDEX(Bases!$C$2:$C$53,C297))</f>
        <v>Electric</v>
      </c>
      <c r="I297" s="8" t="str">
        <f aca="false">IF(INDEX(Bases!$E$2:$E$53,B297)="","",INDEX(Bases!$E$2:$E$53,B297))</f>
        <v/>
      </c>
      <c r="J297" s="8" t="str">
        <f aca="false">IF(INDEX(Bases!$E$2:$E$53,C297)="","",INDEX(Bases!$E$2:$E$53,C297))</f>
        <v/>
      </c>
      <c r="K297" s="5"/>
      <c r="L297" s="2" t="n">
        <f aca="false">AE297+IF(SUMPRODUCT(--($AL297:$AQ297&gt;AL297))&lt;$AK297,1,0)</f>
        <v>114</v>
      </c>
      <c r="M297" s="2" t="n">
        <f aca="false">AF297+IF(SUMPRODUCT(--($AL297:$AQ297&gt;AM297))+SUMPRODUCT(--($AL297:AL297=AM297))&lt;$AK297,1,0)</f>
        <v>61</v>
      </c>
      <c r="N297" s="2" t="n">
        <f aca="false">AG297+IF(SUMPRODUCT(--($AL297:$AQ297&gt;AN297))+SUMPRODUCT(--($AL297:AM297=AN297))&lt;$AK297,1,0)</f>
        <v>88</v>
      </c>
      <c r="O297" s="2" t="n">
        <f aca="false">AH297+IF(SUMPRODUCT(--($AL297:$AQ297&gt;AO297))+SUMPRODUCT(--($AL297:AN297=AO297))&lt;$AK297,1,0)</f>
        <v>90</v>
      </c>
      <c r="P297" s="2" t="n">
        <f aca="false">AI297+IF(SUMPRODUCT(--($AL297:$AQ297&gt;AP297))+SUMPRODUCT(--($AL297:AO297=AP297))&lt;$AK297,1,0)</f>
        <v>91</v>
      </c>
      <c r="Q297" s="2" t="n">
        <f aca="false">AJ297+IF(SUMPRODUCT(--($AL297:$AQ297&gt;AQ297))+SUMPRODUCT(--($AL297:AP297=AQ297))&lt;$AK297,1,0)</f>
        <v>56</v>
      </c>
      <c r="R297" s="2" t="n">
        <f aca="false">SUM(L297:Q297)</f>
        <v>500</v>
      </c>
      <c r="S297" s="2" t="n">
        <f aca="false">Settings!$B$4*MAX(INDEX(Bases!$M$2:$M$53,B297),INDEX(Bases!$M$2:$M$53,C297))+Settings!$B$5*MIN(INDEX(Bases!$M$2:$M$53,B297),INDEX(Bases!$M$2:$M$53,C297))</f>
        <v>97</v>
      </c>
      <c r="T297" s="2" t="n">
        <f aca="false">Settings!$B$4*MAX(INDEX(Bases!$N$2:$N$53,B297),INDEX(Bases!$N$2:$N$53,C297))+Settings!$B$5*MIN(INDEX(Bases!$N$2:$N$53,B297),INDEX(Bases!$N$2:$N$53,C297))</f>
        <v>52</v>
      </c>
      <c r="U297" s="2" t="n">
        <f aca="false">Settings!$B$4*MAX(INDEX(Bases!$O$2:$O$53,B297),INDEX(Bases!$O$2:$O$53,C297))+Settings!$B$5*MIN(INDEX(Bases!$O$2:$O$53,B297),INDEX(Bases!$O$2:$O$53,C297))</f>
        <v>75</v>
      </c>
      <c r="V297" s="2" t="n">
        <f aca="false">Settings!$B$4*MAX(INDEX(Bases!$P$2:$P$53,B297),INDEX(Bases!$P$2:$P$53,C297))+Settings!$B$5*MIN(INDEX(Bases!$P$2:$P$53,B297),INDEX(Bases!$P$2:$P$53,C297))</f>
        <v>76</v>
      </c>
      <c r="W297" s="2" t="n">
        <f aca="false">Settings!$B$4*MAX(INDEX(Bases!$Q$2:$Q$53,B297),INDEX(Bases!$Q$2:$Q$53,C297))+Settings!$B$5*MIN(INDEX(Bases!$Q$2:$Q$53,B297),INDEX(Bases!$Q$2:$Q$53,C297))</f>
        <v>77.3333333333333</v>
      </c>
      <c r="X297" s="2" t="n">
        <f aca="false">Settings!$B$4*MAX(INDEX(Bases!$R$2:$R$53,B297),INDEX(Bases!$R$2:$R$53,C297))+Settings!$B$5*MIN(INDEX(Bases!$R$2:$R$53,B297),INDEX(Bases!$R$2:$R$53,C297))</f>
        <v>47.3333333333333</v>
      </c>
      <c r="Y297" s="2" t="n">
        <f aca="false">S297*Settings!$B$3/SUM(S297:X297)</f>
        <v>114.207221350078</v>
      </c>
      <c r="Z297" s="2" t="n">
        <f aca="false">T297*Settings!$B$3/SUM(S297:X297)</f>
        <v>61.2244897959184</v>
      </c>
      <c r="AA297" s="2" t="n">
        <f aca="false">U297*Settings!$B$3/SUM(S297:X297)</f>
        <v>88.3045525902669</v>
      </c>
      <c r="AB297" s="2" t="n">
        <f aca="false">V297*Settings!$B$3/SUM(S297:X297)</f>
        <v>89.4819466248038</v>
      </c>
      <c r="AC297" s="2" t="n">
        <f aca="false">W297*Settings!$B$3/SUM(S297:X297)</f>
        <v>91.0518053375196</v>
      </c>
      <c r="AD297" s="2" t="n">
        <f aca="false">X297*Settings!$B$3/SUM(S297:X297)</f>
        <v>55.7299843014129</v>
      </c>
      <c r="AE297" s="2" t="n">
        <f aca="false">INT(Y297)</f>
        <v>114</v>
      </c>
      <c r="AF297" s="2" t="n">
        <f aca="false">INT(Z297)</f>
        <v>61</v>
      </c>
      <c r="AG297" s="2" t="n">
        <f aca="false">INT(AA297)</f>
        <v>88</v>
      </c>
      <c r="AH297" s="2" t="n">
        <f aca="false">INT(AB297)</f>
        <v>89</v>
      </c>
      <c r="AI297" s="2" t="n">
        <f aca="false">INT(AC297)</f>
        <v>91</v>
      </c>
      <c r="AJ297" s="2" t="n">
        <f aca="false">INT(AD297)</f>
        <v>55</v>
      </c>
      <c r="AK297" s="2" t="n">
        <f aca="false">Settings!$B$3-SUM(AE297:AJ297)</f>
        <v>2</v>
      </c>
      <c r="AL297" s="2" t="n">
        <f aca="false">ROUND(Y297-AE297,9)</f>
        <v>0.20722135</v>
      </c>
      <c r="AM297" s="2" t="n">
        <f aca="false">ROUND(Z297-AF297,9)</f>
        <v>0.224489796</v>
      </c>
      <c r="AN297" s="2" t="n">
        <f aca="false">ROUND(AA297-AG297,9)</f>
        <v>0.30455259</v>
      </c>
      <c r="AO297" s="2" t="n">
        <f aca="false">ROUND(AB297-AH297,9)</f>
        <v>0.481946625</v>
      </c>
      <c r="AP297" s="2" t="n">
        <f aca="false">ROUND(AC297-AI297,9)</f>
        <v>0.051805338</v>
      </c>
      <c r="AQ297" s="2" t="n">
        <f aca="false">ROUND(AD297-AJ297,9)</f>
        <v>0.729984301</v>
      </c>
    </row>
    <row r="298" customFormat="false" ht="15" hidden="false" customHeight="false" outlineLevel="0" collapsed="false">
      <c r="A298" s="2" t="n">
        <v>297</v>
      </c>
      <c r="B298" s="6" t="n">
        <v>7</v>
      </c>
      <c r="C298" s="6" t="n">
        <v>13</v>
      </c>
      <c r="D298" s="8" t="str">
        <f aca="false">INDEX(Bases!$B$2:$B$53,B298)</f>
        <v>Azurill</v>
      </c>
      <c r="E298" s="8" t="str">
        <f aca="false">INDEX(Bases!$B$2:$B$53,C298)</f>
        <v>Bulbasaur</v>
      </c>
      <c r="F298" s="2" t="str">
        <f aca="false">LEFT(D298,ROUNDUP(LEN(D298)/2,0))&amp;LOWER(MID(E298,ROUNDUP(LEN(E298)/2,0)+1,20))</f>
        <v>Azursaur</v>
      </c>
      <c r="G298" s="8" t="str">
        <f aca="false">INDEX(Bases!$C$2:$C$53,B298)</f>
        <v>Water</v>
      </c>
      <c r="H298" s="8" t="str">
        <f aca="false">IF(INDEX(Bases!$C$2:$C$53,C298)=G298,"",INDEX(Bases!$C$2:$C$53,C298))</f>
        <v>Grass</v>
      </c>
      <c r="I298" s="8" t="str">
        <f aca="false">IF(INDEX(Bases!$E$2:$E$53,B298)="","",INDEX(Bases!$E$2:$E$53,B298))</f>
        <v/>
      </c>
      <c r="J298" s="8" t="str">
        <f aca="false">IF(INDEX(Bases!$E$2:$E$53,C298)="","",INDEX(Bases!$E$2:$E$53,C298))</f>
        <v/>
      </c>
      <c r="K298" s="5"/>
      <c r="L298" s="2" t="n">
        <f aca="false">AE298+IF(SUMPRODUCT(--($AL298:$AQ298&gt;AL298))&lt;$AK298,1,0)</f>
        <v>105</v>
      </c>
      <c r="M298" s="2" t="n">
        <f aca="false">AF298+IF(SUMPRODUCT(--($AL298:$AQ298&gt;AM298))+SUMPRODUCT(--($AL298:AL298=AM298))&lt;$AK298,1,0)</f>
        <v>65</v>
      </c>
      <c r="N298" s="2" t="n">
        <f aca="false">AG298+IF(SUMPRODUCT(--($AL298:$AQ298&gt;AN298))+SUMPRODUCT(--($AL298:AM298=AN298))&lt;$AK298,1,0)</f>
        <v>90</v>
      </c>
      <c r="O298" s="2" t="n">
        <f aca="false">AH298+IF(SUMPRODUCT(--($AL298:$AQ298&gt;AO298))+SUMPRODUCT(--($AL298:AN298=AO298))&lt;$AK298,1,0)</f>
        <v>81</v>
      </c>
      <c r="P298" s="2" t="n">
        <f aca="false">AI298+IF(SUMPRODUCT(--($AL298:$AQ298&gt;AP298))+SUMPRODUCT(--($AL298:AO298=AP298))&lt;$AK298,1,0)</f>
        <v>98</v>
      </c>
      <c r="Q298" s="2" t="n">
        <f aca="false">AJ298+IF(SUMPRODUCT(--($AL298:$AQ298&gt;AQ298))+SUMPRODUCT(--($AL298:AP298=AQ298))&lt;$AK298,1,0)</f>
        <v>61</v>
      </c>
      <c r="R298" s="2" t="n">
        <f aca="false">SUM(L298:Q298)</f>
        <v>500</v>
      </c>
      <c r="S298" s="2" t="n">
        <f aca="false">Settings!$B$4*MAX(INDEX(Bases!$M$2:$M$53,B298),INDEX(Bases!$M$2:$M$53,C298))+Settings!$B$5*MIN(INDEX(Bases!$M$2:$M$53,B298),INDEX(Bases!$M$2:$M$53,C298))</f>
        <v>89.3333333333333</v>
      </c>
      <c r="T298" s="2" t="n">
        <f aca="false">Settings!$B$4*MAX(INDEX(Bases!$N$2:$N$53,B298),INDEX(Bases!$N$2:$N$53,C298))+Settings!$B$5*MIN(INDEX(Bases!$N$2:$N$53,B298),INDEX(Bases!$N$2:$N$53,C298))</f>
        <v>55.3333333333333</v>
      </c>
      <c r="U298" s="2" t="n">
        <f aca="false">Settings!$B$4*MAX(INDEX(Bases!$O$2:$O$53,B298),INDEX(Bases!$O$2:$O$53,C298))+Settings!$B$5*MIN(INDEX(Bases!$O$2:$O$53,B298),INDEX(Bases!$O$2:$O$53,C298))</f>
        <v>76.6666666666667</v>
      </c>
      <c r="V298" s="2" t="n">
        <f aca="false">Settings!$B$4*MAX(INDEX(Bases!$P$2:$P$53,B298),INDEX(Bases!$P$2:$P$53,C298))+Settings!$B$5*MIN(INDEX(Bases!$P$2:$P$53,B298),INDEX(Bases!$P$2:$P$53,C298))</f>
        <v>68.6666666666667</v>
      </c>
      <c r="W298" s="2" t="n">
        <f aca="false">Settings!$B$4*MAX(INDEX(Bases!$Q$2:$Q$53,B298),INDEX(Bases!$Q$2:$Q$53,C298))+Settings!$B$5*MIN(INDEX(Bases!$Q$2:$Q$53,B298),INDEX(Bases!$Q$2:$Q$53,C298))</f>
        <v>83.3333333333333</v>
      </c>
      <c r="X298" s="2" t="n">
        <f aca="false">Settings!$B$4*MAX(INDEX(Bases!$R$2:$R$53,B298),INDEX(Bases!$R$2:$R$53,C298))+Settings!$B$5*MIN(INDEX(Bases!$R$2:$R$53,B298),INDEX(Bases!$R$2:$R$53,C298))</f>
        <v>51.3333333333333</v>
      </c>
      <c r="Y298" s="2" t="n">
        <f aca="false">S298*Settings!$B$3/SUM(S298:X298)</f>
        <v>105.180533751962</v>
      </c>
      <c r="Z298" s="2" t="n">
        <f aca="false">T298*Settings!$B$3/SUM(S298:X298)</f>
        <v>65.149136577708</v>
      </c>
      <c r="AA298" s="2" t="n">
        <f aca="false">U298*Settings!$B$3/SUM(S298:X298)</f>
        <v>90.2668759811617</v>
      </c>
      <c r="AB298" s="2" t="n">
        <f aca="false">V298*Settings!$B$3/SUM(S298:X298)</f>
        <v>80.8477237048666</v>
      </c>
      <c r="AC298" s="2" t="n">
        <f aca="false">W298*Settings!$B$3/SUM(S298:X298)</f>
        <v>98.116169544741</v>
      </c>
      <c r="AD298" s="2" t="n">
        <f aca="false">X298*Settings!$B$3/SUM(S298:X298)</f>
        <v>60.4395604395604</v>
      </c>
      <c r="AE298" s="2" t="n">
        <f aca="false">INT(Y298)</f>
        <v>105</v>
      </c>
      <c r="AF298" s="2" t="n">
        <f aca="false">INT(Z298)</f>
        <v>65</v>
      </c>
      <c r="AG298" s="2" t="n">
        <f aca="false">INT(AA298)</f>
        <v>90</v>
      </c>
      <c r="AH298" s="2" t="n">
        <f aca="false">INT(AB298)</f>
        <v>80</v>
      </c>
      <c r="AI298" s="2" t="n">
        <f aca="false">INT(AC298)</f>
        <v>98</v>
      </c>
      <c r="AJ298" s="2" t="n">
        <f aca="false">INT(AD298)</f>
        <v>60</v>
      </c>
      <c r="AK298" s="2" t="n">
        <f aca="false">Settings!$B$3-SUM(AE298:AJ298)</f>
        <v>2</v>
      </c>
      <c r="AL298" s="2" t="n">
        <f aca="false">ROUND(Y298-AE298,9)</f>
        <v>0.180533752</v>
      </c>
      <c r="AM298" s="2" t="n">
        <f aca="false">ROUND(Z298-AF298,9)</f>
        <v>0.149136578</v>
      </c>
      <c r="AN298" s="2" t="n">
        <f aca="false">ROUND(AA298-AG298,9)</f>
        <v>0.266875981</v>
      </c>
      <c r="AO298" s="2" t="n">
        <f aca="false">ROUND(AB298-AH298,9)</f>
        <v>0.847723705</v>
      </c>
      <c r="AP298" s="2" t="n">
        <f aca="false">ROUND(AC298-AI298,9)</f>
        <v>0.116169545</v>
      </c>
      <c r="AQ298" s="2" t="n">
        <f aca="false">ROUND(AD298-AJ298,9)</f>
        <v>0.43956044</v>
      </c>
    </row>
    <row r="299" customFormat="false" ht="15" hidden="false" customHeight="false" outlineLevel="0" collapsed="false">
      <c r="A299" s="2" t="n">
        <v>298</v>
      </c>
      <c r="B299" s="6" t="n">
        <v>7</v>
      </c>
      <c r="C299" s="6" t="n">
        <v>14</v>
      </c>
      <c r="D299" s="8" t="str">
        <f aca="false">INDEX(Bases!$B$2:$B$53,B299)</f>
        <v>Azurill</v>
      </c>
      <c r="E299" s="8" t="str">
        <f aca="false">INDEX(Bases!$B$2:$B$53,C299)</f>
        <v>Celebi</v>
      </c>
      <c r="F299" s="2" t="str">
        <f aca="false">LEFT(D299,ROUNDUP(LEN(D299)/2,0))&amp;LOWER(MID(E299,ROUNDUP(LEN(E299)/2,0)+1,20))</f>
        <v>Azurebi</v>
      </c>
      <c r="G299" s="8" t="str">
        <f aca="false">INDEX(Bases!$C$2:$C$53,B299)</f>
        <v>Water</v>
      </c>
      <c r="H299" s="8" t="str">
        <f aca="false">IF(INDEX(Bases!$C$2:$C$53,C299)=G299,"",INDEX(Bases!$C$2:$C$53,C299))</f>
        <v>Grass</v>
      </c>
      <c r="I299" s="8" t="str">
        <f aca="false">IF(INDEX(Bases!$E$2:$E$53,B299)="","",INDEX(Bases!$E$2:$E$53,B299))</f>
        <v/>
      </c>
      <c r="J299" s="8" t="str">
        <f aca="false">IF(INDEX(Bases!$E$2:$E$53,C299)="","",INDEX(Bases!$E$2:$E$53,C299))</f>
        <v/>
      </c>
      <c r="K299" s="5"/>
      <c r="L299" s="2" t="n">
        <f aca="false">AE299+IF(SUMPRODUCT(--($AL299:$AQ299&gt;AL299))&lt;$AK299,1,0)</f>
        <v>110</v>
      </c>
      <c r="M299" s="2" t="n">
        <f aca="false">AF299+IF(SUMPRODUCT(--($AL299:$AQ299&gt;AM299))+SUMPRODUCT(--($AL299:AL299=AM299))&lt;$AK299,1,0)</f>
        <v>69</v>
      </c>
      <c r="N299" s="2" t="n">
        <f aca="false">AG299+IF(SUMPRODUCT(--($AL299:$AQ299&gt;AN299))+SUMPRODUCT(--($AL299:AM299=AN299))&lt;$AK299,1,0)</f>
        <v>92</v>
      </c>
      <c r="O299" s="2" t="n">
        <f aca="false">AH299+IF(SUMPRODUCT(--($AL299:$AQ299&gt;AO299))+SUMPRODUCT(--($AL299:AN299=AO299))&lt;$AK299,1,0)</f>
        <v>69</v>
      </c>
      <c r="P299" s="2" t="n">
        <f aca="false">AI299+IF(SUMPRODUCT(--($AL299:$AQ299&gt;AP299))+SUMPRODUCT(--($AL299:AO299=AP299))&lt;$AK299,1,0)</f>
        <v>92</v>
      </c>
      <c r="Q299" s="2" t="n">
        <f aca="false">AJ299+IF(SUMPRODUCT(--($AL299:$AQ299&gt;AQ299))+SUMPRODUCT(--($AL299:AP299=AQ299))&lt;$AK299,1,0)</f>
        <v>68</v>
      </c>
      <c r="R299" s="2" t="n">
        <f aca="false">SUM(L299:Q299)</f>
        <v>500</v>
      </c>
      <c r="S299" s="2" t="n">
        <f aca="false">Settings!$B$4*MAX(INDEX(Bases!$M$2:$M$53,B299),INDEX(Bases!$M$2:$M$53,C299))+Settings!$B$5*MIN(INDEX(Bases!$M$2:$M$53,B299),INDEX(Bases!$M$2:$M$53,C299))</f>
        <v>93</v>
      </c>
      <c r="T299" s="2" t="n">
        <f aca="false">Settings!$B$4*MAX(INDEX(Bases!$N$2:$N$53,B299),INDEX(Bases!$N$2:$N$53,C299))+Settings!$B$5*MIN(INDEX(Bases!$N$2:$N$53,B299),INDEX(Bases!$N$2:$N$53,C299))</f>
        <v>58.6666666666667</v>
      </c>
      <c r="U299" s="2" t="n">
        <f aca="false">Settings!$B$4*MAX(INDEX(Bases!$O$2:$O$53,B299),INDEX(Bases!$O$2:$O$53,C299))+Settings!$B$5*MIN(INDEX(Bases!$O$2:$O$53,B299),INDEX(Bases!$O$2:$O$53,C299))</f>
        <v>78.3333333333333</v>
      </c>
      <c r="V299" s="2" t="n">
        <f aca="false">Settings!$B$4*MAX(INDEX(Bases!$P$2:$P$53,B299),INDEX(Bases!$P$2:$P$53,C299))+Settings!$B$5*MIN(INDEX(Bases!$P$2:$P$53,B299),INDEX(Bases!$P$2:$P$53,C299))</f>
        <v>58.6666666666667</v>
      </c>
      <c r="W299" s="2" t="n">
        <f aca="false">Settings!$B$4*MAX(INDEX(Bases!$Q$2:$Q$53,B299),INDEX(Bases!$Q$2:$Q$53,C299))+Settings!$B$5*MIN(INDEX(Bases!$Q$2:$Q$53,B299),INDEX(Bases!$Q$2:$Q$53,C299))</f>
        <v>78</v>
      </c>
      <c r="X299" s="2" t="n">
        <f aca="false">Settings!$B$4*MAX(INDEX(Bases!$R$2:$R$53,B299),INDEX(Bases!$R$2:$R$53,C299))+Settings!$B$5*MIN(INDEX(Bases!$R$2:$R$53,B299),INDEX(Bases!$R$2:$R$53,C299))</f>
        <v>58</v>
      </c>
      <c r="Y299" s="2" t="n">
        <f aca="false">S299*Settings!$B$3/SUM(S299:X299)</f>
        <v>109.497645211931</v>
      </c>
      <c r="Z299" s="2" t="n">
        <f aca="false">T299*Settings!$B$3/SUM(S299:X299)</f>
        <v>69.0737833594976</v>
      </c>
      <c r="AA299" s="2" t="n">
        <f aca="false">U299*Settings!$B$3/SUM(S299:X299)</f>
        <v>92.2291993720565</v>
      </c>
      <c r="AB299" s="2" t="n">
        <f aca="false">V299*Settings!$B$3/SUM(S299:X299)</f>
        <v>69.0737833594976</v>
      </c>
      <c r="AC299" s="2" t="n">
        <f aca="false">W299*Settings!$B$3/SUM(S299:X299)</f>
        <v>91.8367346938776</v>
      </c>
      <c r="AD299" s="2" t="n">
        <f aca="false">X299*Settings!$B$3/SUM(S299:X299)</f>
        <v>68.2888540031397</v>
      </c>
      <c r="AE299" s="2" t="n">
        <f aca="false">INT(Y299)</f>
        <v>109</v>
      </c>
      <c r="AF299" s="2" t="n">
        <f aca="false">INT(Z299)</f>
        <v>69</v>
      </c>
      <c r="AG299" s="2" t="n">
        <f aca="false">INT(AA299)</f>
        <v>92</v>
      </c>
      <c r="AH299" s="2" t="n">
        <f aca="false">INT(AB299)</f>
        <v>69</v>
      </c>
      <c r="AI299" s="2" t="n">
        <f aca="false">INT(AC299)</f>
        <v>91</v>
      </c>
      <c r="AJ299" s="2" t="n">
        <f aca="false">INT(AD299)</f>
        <v>68</v>
      </c>
      <c r="AK299" s="2" t="n">
        <f aca="false">Settings!$B$3-SUM(AE299:AJ299)</f>
        <v>2</v>
      </c>
      <c r="AL299" s="2" t="n">
        <f aca="false">ROUND(Y299-AE299,9)</f>
        <v>0.497645212</v>
      </c>
      <c r="AM299" s="2" t="n">
        <f aca="false">ROUND(Z299-AF299,9)</f>
        <v>0.073783359</v>
      </c>
      <c r="AN299" s="2" t="n">
        <f aca="false">ROUND(AA299-AG299,9)</f>
        <v>0.229199372</v>
      </c>
      <c r="AO299" s="2" t="n">
        <f aca="false">ROUND(AB299-AH299,9)</f>
        <v>0.073783359</v>
      </c>
      <c r="AP299" s="2" t="n">
        <f aca="false">ROUND(AC299-AI299,9)</f>
        <v>0.836734694</v>
      </c>
      <c r="AQ299" s="2" t="n">
        <f aca="false">ROUND(AD299-AJ299,9)</f>
        <v>0.288854003</v>
      </c>
    </row>
    <row r="300" customFormat="false" ht="15" hidden="false" customHeight="false" outlineLevel="0" collapsed="false">
      <c r="A300" s="2" t="n">
        <v>299</v>
      </c>
      <c r="B300" s="6" t="n">
        <v>7</v>
      </c>
      <c r="C300" s="6" t="n">
        <v>15</v>
      </c>
      <c r="D300" s="8" t="str">
        <f aca="false">INDEX(Bases!$B$2:$B$53,B300)</f>
        <v>Azurill</v>
      </c>
      <c r="E300" s="8" t="str">
        <f aca="false">INDEX(Bases!$B$2:$B$53,C300)</f>
        <v>Shroomish</v>
      </c>
      <c r="F300" s="2" t="str">
        <f aca="false">LEFT(D300,ROUNDUP(LEN(D300)/2,0))&amp;LOWER(MID(E300,ROUNDUP(LEN(E300)/2,0)+1,20))</f>
        <v>Azurmish</v>
      </c>
      <c r="G300" s="8" t="str">
        <f aca="false">INDEX(Bases!$C$2:$C$53,B300)</f>
        <v>Water</v>
      </c>
      <c r="H300" s="8" t="str">
        <f aca="false">IF(INDEX(Bases!$C$2:$C$53,C300)=G300,"",INDEX(Bases!$C$2:$C$53,C300))</f>
        <v>Grass</v>
      </c>
      <c r="I300" s="8" t="str">
        <f aca="false">IF(INDEX(Bases!$E$2:$E$53,B300)="","",INDEX(Bases!$E$2:$E$53,B300))</f>
        <v/>
      </c>
      <c r="J300" s="8" t="str">
        <f aca="false">IF(INDEX(Bases!$E$2:$E$53,C300)="","",INDEX(Bases!$E$2:$E$53,C300))</f>
        <v/>
      </c>
      <c r="K300" s="5"/>
      <c r="L300" s="2" t="n">
        <f aca="false">AE300+IF(SUMPRODUCT(--($AL300:$AQ300&gt;AL300))&lt;$AK300,1,0)</f>
        <v>120</v>
      </c>
      <c r="M300" s="2" t="n">
        <f aca="false">AF300+IF(SUMPRODUCT(--($AL300:$AQ300&gt;AM300))+SUMPRODUCT(--($AL300:AL300=AM300))&lt;$AK300,1,0)</f>
        <v>61</v>
      </c>
      <c r="N300" s="2" t="n">
        <f aca="false">AG300+IF(SUMPRODUCT(--($AL300:$AQ300&gt;AN300))+SUMPRODUCT(--($AL300:AM300=AN300))&lt;$AK300,1,0)</f>
        <v>101</v>
      </c>
      <c r="O300" s="2" t="n">
        <f aca="false">AH300+IF(SUMPRODUCT(--($AL300:$AQ300&gt;AO300))+SUMPRODUCT(--($AL300:AN300=AO300))&lt;$AK300,1,0)</f>
        <v>61</v>
      </c>
      <c r="P300" s="2" t="n">
        <f aca="false">AI300+IF(SUMPRODUCT(--($AL300:$AQ300&gt;AP300))+SUMPRODUCT(--($AL300:AO300=AP300))&lt;$AK300,1,0)</f>
        <v>101</v>
      </c>
      <c r="Q300" s="2" t="n">
        <f aca="false">AJ300+IF(SUMPRODUCT(--($AL300:$AQ300&gt;AQ300))+SUMPRODUCT(--($AL300:AP300=AQ300))&lt;$AK300,1,0)</f>
        <v>56</v>
      </c>
      <c r="R300" s="2" t="n">
        <f aca="false">SUM(L300:Q300)</f>
        <v>500</v>
      </c>
      <c r="S300" s="2" t="n">
        <f aca="false">Settings!$B$4*MAX(INDEX(Bases!$M$2:$M$53,B300),INDEX(Bases!$M$2:$M$53,C300))+Settings!$B$5*MIN(INDEX(Bases!$M$2:$M$53,B300),INDEX(Bases!$M$2:$M$53,C300))</f>
        <v>98</v>
      </c>
      <c r="T300" s="2" t="n">
        <f aca="false">Settings!$B$4*MAX(INDEX(Bases!$N$2:$N$53,B300),INDEX(Bases!$N$2:$N$53,C300))+Settings!$B$5*MIN(INDEX(Bases!$N$2:$N$53,B300),INDEX(Bases!$N$2:$N$53,C300))</f>
        <v>50</v>
      </c>
      <c r="U300" s="2" t="n">
        <f aca="false">Settings!$B$4*MAX(INDEX(Bases!$O$2:$O$53,B300),INDEX(Bases!$O$2:$O$53,C300))+Settings!$B$5*MIN(INDEX(Bases!$O$2:$O$53,B300),INDEX(Bases!$O$2:$O$53,C300))</f>
        <v>83</v>
      </c>
      <c r="V300" s="2" t="n">
        <f aca="false">Settings!$B$4*MAX(INDEX(Bases!$P$2:$P$53,B300),INDEX(Bases!$P$2:$P$53,C300))+Settings!$B$5*MIN(INDEX(Bases!$P$2:$P$53,B300),INDEX(Bases!$P$2:$P$53,C300))</f>
        <v>50</v>
      </c>
      <c r="W300" s="2" t="n">
        <f aca="false">Settings!$B$4*MAX(INDEX(Bases!$Q$2:$Q$53,B300),INDEX(Bases!$Q$2:$Q$53,C300))+Settings!$B$5*MIN(INDEX(Bases!$Q$2:$Q$53,B300),INDEX(Bases!$Q$2:$Q$53,C300))</f>
        <v>83</v>
      </c>
      <c r="X300" s="2" t="n">
        <f aca="false">Settings!$B$4*MAX(INDEX(Bases!$R$2:$R$53,B300),INDEX(Bases!$R$2:$R$53,C300))+Settings!$B$5*MIN(INDEX(Bases!$R$2:$R$53,B300),INDEX(Bases!$R$2:$R$53,C300))</f>
        <v>46</v>
      </c>
      <c r="Y300" s="2" t="n">
        <f aca="false">S300*Settings!$B$3/SUM(S300:X300)</f>
        <v>119.512195121951</v>
      </c>
      <c r="Z300" s="2" t="n">
        <f aca="false">T300*Settings!$B$3/SUM(S300:X300)</f>
        <v>60.9756097560976</v>
      </c>
      <c r="AA300" s="2" t="n">
        <f aca="false">U300*Settings!$B$3/SUM(S300:X300)</f>
        <v>101.219512195122</v>
      </c>
      <c r="AB300" s="2" t="n">
        <f aca="false">V300*Settings!$B$3/SUM(S300:X300)</f>
        <v>60.9756097560976</v>
      </c>
      <c r="AC300" s="2" t="n">
        <f aca="false">W300*Settings!$B$3/SUM(S300:X300)</f>
        <v>101.219512195122</v>
      </c>
      <c r="AD300" s="2" t="n">
        <f aca="false">X300*Settings!$B$3/SUM(S300:X300)</f>
        <v>56.0975609756098</v>
      </c>
      <c r="AE300" s="2" t="n">
        <f aca="false">INT(Y300)</f>
        <v>119</v>
      </c>
      <c r="AF300" s="2" t="n">
        <f aca="false">INT(Z300)</f>
        <v>60</v>
      </c>
      <c r="AG300" s="2" t="n">
        <f aca="false">INT(AA300)</f>
        <v>101</v>
      </c>
      <c r="AH300" s="2" t="n">
        <f aca="false">INT(AB300)</f>
        <v>60</v>
      </c>
      <c r="AI300" s="2" t="n">
        <f aca="false">INT(AC300)</f>
        <v>101</v>
      </c>
      <c r="AJ300" s="2" t="n">
        <f aca="false">INT(AD300)</f>
        <v>56</v>
      </c>
      <c r="AK300" s="2" t="n">
        <f aca="false">Settings!$B$3-SUM(AE300:AJ300)</f>
        <v>3</v>
      </c>
      <c r="AL300" s="2" t="n">
        <f aca="false">ROUND(Y300-AE300,9)</f>
        <v>0.512195122</v>
      </c>
      <c r="AM300" s="2" t="n">
        <f aca="false">ROUND(Z300-AF300,9)</f>
        <v>0.975609756</v>
      </c>
      <c r="AN300" s="2" t="n">
        <f aca="false">ROUND(AA300-AG300,9)</f>
        <v>0.219512195</v>
      </c>
      <c r="AO300" s="2" t="n">
        <f aca="false">ROUND(AB300-AH300,9)</f>
        <v>0.975609756</v>
      </c>
      <c r="AP300" s="2" t="n">
        <f aca="false">ROUND(AC300-AI300,9)</f>
        <v>0.219512195</v>
      </c>
      <c r="AQ300" s="2" t="n">
        <f aca="false">ROUND(AD300-AJ300,9)</f>
        <v>0.097560976</v>
      </c>
    </row>
    <row r="301" customFormat="false" ht="15" hidden="false" customHeight="false" outlineLevel="0" collapsed="false">
      <c r="A301" s="2" t="n">
        <v>300</v>
      </c>
      <c r="B301" s="6" t="n">
        <v>7</v>
      </c>
      <c r="C301" s="6" t="n">
        <v>16</v>
      </c>
      <c r="D301" s="8" t="str">
        <f aca="false">INDEX(Bases!$B$2:$B$53,B301)</f>
        <v>Azurill</v>
      </c>
      <c r="E301" s="8" t="str">
        <f aca="false">INDEX(Bases!$B$2:$B$53,C301)</f>
        <v>Swinub</v>
      </c>
      <c r="F301" s="2" t="str">
        <f aca="false">LEFT(D301,ROUNDUP(LEN(D301)/2,0))&amp;LOWER(MID(E301,ROUNDUP(LEN(E301)/2,0)+1,20))</f>
        <v>Azurnub</v>
      </c>
      <c r="G301" s="8" t="str">
        <f aca="false">INDEX(Bases!$C$2:$C$53,B301)</f>
        <v>Water</v>
      </c>
      <c r="H301" s="8" t="str">
        <f aca="false">IF(INDEX(Bases!$C$2:$C$53,C301)=G301,"",INDEX(Bases!$C$2:$C$53,C301))</f>
        <v>Ice</v>
      </c>
      <c r="I301" s="8" t="str">
        <f aca="false">IF(INDEX(Bases!$E$2:$E$53,B301)="","",INDEX(Bases!$E$2:$E$53,B301))</f>
        <v/>
      </c>
      <c r="J301" s="8" t="str">
        <f aca="false">IF(INDEX(Bases!$E$2:$E$53,C301)="","",INDEX(Bases!$E$2:$E$53,C301))</f>
        <v/>
      </c>
      <c r="K301" s="5"/>
      <c r="L301" s="2" t="n">
        <f aca="false">AE301+IF(SUMPRODUCT(--($AL301:$AQ301&gt;AL301))&lt;$AK301,1,0)</f>
        <v>114</v>
      </c>
      <c r="M301" s="2" t="n">
        <f aca="false">AF301+IF(SUMPRODUCT(--($AL301:$AQ301&gt;AM301))+SUMPRODUCT(--($AL301:AL301=AM301))&lt;$AK301,1,0)</f>
        <v>79</v>
      </c>
      <c r="N301" s="2" t="n">
        <f aca="false">AG301+IF(SUMPRODUCT(--($AL301:$AQ301&gt;AN301))+SUMPRODUCT(--($AL301:AM301=AN301))&lt;$AK301,1,0)</f>
        <v>90</v>
      </c>
      <c r="O301" s="2" t="n">
        <f aca="false">AH301+IF(SUMPRODUCT(--($AL301:$AQ301&gt;AO301))+SUMPRODUCT(--($AL301:AN301=AO301))&lt;$AK301,1,0)</f>
        <v>54</v>
      </c>
      <c r="P301" s="2" t="n">
        <f aca="false">AI301+IF(SUMPRODUCT(--($AL301:$AQ301&gt;AP301))+SUMPRODUCT(--($AL301:AO301=AP301))&lt;$AK301,1,0)</f>
        <v>84</v>
      </c>
      <c r="Q301" s="2" t="n">
        <f aca="false">AJ301+IF(SUMPRODUCT(--($AL301:$AQ301&gt;AQ301))+SUMPRODUCT(--($AL301:AP301=AQ301))&lt;$AK301,1,0)</f>
        <v>79</v>
      </c>
      <c r="R301" s="2" t="n">
        <f aca="false">SUM(L301:Q301)</f>
        <v>500</v>
      </c>
      <c r="S301" s="2" t="n">
        <f aca="false">Settings!$B$4*MAX(INDEX(Bases!$M$2:$M$53,B301),INDEX(Bases!$M$2:$M$53,C301))+Settings!$B$5*MIN(INDEX(Bases!$M$2:$M$53,B301),INDEX(Bases!$M$2:$M$53,C301))</f>
        <v>97.3333333333333</v>
      </c>
      <c r="T301" s="2" t="n">
        <f aca="false">Settings!$B$4*MAX(INDEX(Bases!$N$2:$N$53,B301),INDEX(Bases!$N$2:$N$53,C301))+Settings!$B$5*MIN(INDEX(Bases!$N$2:$N$53,B301),INDEX(Bases!$N$2:$N$53,C301))</f>
        <v>67.3333333333333</v>
      </c>
      <c r="U301" s="2" t="n">
        <f aca="false">Settings!$B$4*MAX(INDEX(Bases!$O$2:$O$53,B301),INDEX(Bases!$O$2:$O$53,C301))+Settings!$B$5*MIN(INDEX(Bases!$O$2:$O$53,B301),INDEX(Bases!$O$2:$O$53,C301))</f>
        <v>77.3333333333333</v>
      </c>
      <c r="V301" s="2" t="n">
        <f aca="false">Settings!$B$4*MAX(INDEX(Bases!$P$2:$P$53,B301),INDEX(Bases!$P$2:$P$53,C301))+Settings!$B$5*MIN(INDEX(Bases!$P$2:$P$53,B301),INDEX(Bases!$P$2:$P$53,C301))</f>
        <v>46</v>
      </c>
      <c r="W301" s="2" t="n">
        <f aca="false">Settings!$B$4*MAX(INDEX(Bases!$Q$2:$Q$53,B301),INDEX(Bases!$Q$2:$Q$53,C301))+Settings!$B$5*MIN(INDEX(Bases!$Q$2:$Q$53,B301),INDEX(Bases!$Q$2:$Q$53,C301))</f>
        <v>72</v>
      </c>
      <c r="X301" s="2" t="n">
        <f aca="false">Settings!$B$4*MAX(INDEX(Bases!$R$2:$R$53,B301),INDEX(Bases!$R$2:$R$53,C301))+Settings!$B$5*MIN(INDEX(Bases!$R$2:$R$53,B301),INDEX(Bases!$R$2:$R$53,C301))</f>
        <v>67.3333333333333</v>
      </c>
      <c r="Y301" s="2" t="n">
        <f aca="false">S301*Settings!$B$3/SUM(S301:X301)</f>
        <v>113.884555382215</v>
      </c>
      <c r="Z301" s="2" t="n">
        <f aca="false">T301*Settings!$B$3/SUM(S301:X301)</f>
        <v>78.783151326053</v>
      </c>
      <c r="AA301" s="2" t="n">
        <f aca="false">U301*Settings!$B$3/SUM(S301:X301)</f>
        <v>90.4836193447738</v>
      </c>
      <c r="AB301" s="2" t="n">
        <f aca="false">V301*Settings!$B$3/SUM(S301:X301)</f>
        <v>53.8221528861155</v>
      </c>
      <c r="AC301" s="2" t="n">
        <f aca="false">W301*Settings!$B$3/SUM(S301:X301)</f>
        <v>84.2433697347894</v>
      </c>
      <c r="AD301" s="2" t="n">
        <f aca="false">X301*Settings!$B$3/SUM(S301:X301)</f>
        <v>78.783151326053</v>
      </c>
      <c r="AE301" s="2" t="n">
        <f aca="false">INT(Y301)</f>
        <v>113</v>
      </c>
      <c r="AF301" s="2" t="n">
        <f aca="false">INT(Z301)</f>
        <v>78</v>
      </c>
      <c r="AG301" s="2" t="n">
        <f aca="false">INT(AA301)</f>
        <v>90</v>
      </c>
      <c r="AH301" s="2" t="n">
        <f aca="false">INT(AB301)</f>
        <v>53</v>
      </c>
      <c r="AI301" s="2" t="n">
        <f aca="false">INT(AC301)</f>
        <v>84</v>
      </c>
      <c r="AJ301" s="2" t="n">
        <f aca="false">INT(AD301)</f>
        <v>78</v>
      </c>
      <c r="AK301" s="2" t="n">
        <f aca="false">Settings!$B$3-SUM(AE301:AJ301)</f>
        <v>4</v>
      </c>
      <c r="AL301" s="2" t="n">
        <f aca="false">ROUND(Y301-AE301,9)</f>
        <v>0.884555382</v>
      </c>
      <c r="AM301" s="2" t="n">
        <f aca="false">ROUND(Z301-AF301,9)</f>
        <v>0.783151326</v>
      </c>
      <c r="AN301" s="2" t="n">
        <f aca="false">ROUND(AA301-AG301,9)</f>
        <v>0.483619345</v>
      </c>
      <c r="AO301" s="2" t="n">
        <f aca="false">ROUND(AB301-AH301,9)</f>
        <v>0.822152886</v>
      </c>
      <c r="AP301" s="2" t="n">
        <f aca="false">ROUND(AC301-AI301,9)</f>
        <v>0.243369735</v>
      </c>
      <c r="AQ301" s="2" t="n">
        <f aca="false">ROUND(AD301-AJ301,9)</f>
        <v>0.783151326</v>
      </c>
    </row>
    <row r="302" customFormat="false" ht="15" hidden="false" customHeight="false" outlineLevel="0" collapsed="false">
      <c r="A302" s="2" t="n">
        <v>301</v>
      </c>
      <c r="B302" s="6" t="n">
        <v>7</v>
      </c>
      <c r="C302" s="6" t="n">
        <v>17</v>
      </c>
      <c r="D302" s="8" t="str">
        <f aca="false">INDEX(Bases!$B$2:$B$53,B302)</f>
        <v>Azurill</v>
      </c>
      <c r="E302" s="8" t="str">
        <f aca="false">INDEX(Bases!$B$2:$B$53,C302)</f>
        <v>Snorunt</v>
      </c>
      <c r="F302" s="2" t="str">
        <f aca="false">LEFT(D302,ROUNDUP(LEN(D302)/2,0))&amp;LOWER(MID(E302,ROUNDUP(LEN(E302)/2,0)+1,20))</f>
        <v>Azurunt</v>
      </c>
      <c r="G302" s="8" t="str">
        <f aca="false">INDEX(Bases!$C$2:$C$53,B302)</f>
        <v>Water</v>
      </c>
      <c r="H302" s="8" t="str">
        <f aca="false">IF(INDEX(Bases!$C$2:$C$53,C302)=G302,"",INDEX(Bases!$C$2:$C$53,C302))</f>
        <v>Ice</v>
      </c>
      <c r="I302" s="8" t="str">
        <f aca="false">IF(INDEX(Bases!$E$2:$E$53,B302)="","",INDEX(Bases!$E$2:$E$53,B302))</f>
        <v/>
      </c>
      <c r="J302" s="8" t="str">
        <f aca="false">IF(INDEX(Bases!$E$2:$E$53,C302)="","",INDEX(Bases!$E$2:$E$53,C302))</f>
        <v/>
      </c>
      <c r="K302" s="5"/>
      <c r="L302" s="2" t="n">
        <f aca="false">AE302+IF(SUMPRODUCT(--($AL302:$AQ302&gt;AL302))&lt;$AK302,1,0)</f>
        <v>110</v>
      </c>
      <c r="M302" s="2" t="n">
        <f aca="false">AF302+IF(SUMPRODUCT(--($AL302:$AQ302&gt;AM302))+SUMPRODUCT(--($AL302:AL302=AM302))&lt;$AK302,1,0)</f>
        <v>69</v>
      </c>
      <c r="N302" s="2" t="n">
        <f aca="false">AG302+IF(SUMPRODUCT(--($AL302:$AQ302&gt;AN302))+SUMPRODUCT(--($AL302:AM302=AN302))&lt;$AK302,1,0)</f>
        <v>92</v>
      </c>
      <c r="O302" s="2" t="n">
        <f aca="false">AH302+IF(SUMPRODUCT(--($AL302:$AQ302&gt;AO302))+SUMPRODUCT(--($AL302:AN302=AO302))&lt;$AK302,1,0)</f>
        <v>69</v>
      </c>
      <c r="P302" s="2" t="n">
        <f aca="false">AI302+IF(SUMPRODUCT(--($AL302:$AQ302&gt;AP302))+SUMPRODUCT(--($AL302:AO302=AP302))&lt;$AK302,1,0)</f>
        <v>92</v>
      </c>
      <c r="Q302" s="2" t="n">
        <f aca="false">AJ302+IF(SUMPRODUCT(--($AL302:$AQ302&gt;AQ302))+SUMPRODUCT(--($AL302:AP302=AQ302))&lt;$AK302,1,0)</f>
        <v>68</v>
      </c>
      <c r="R302" s="2" t="n">
        <f aca="false">SUM(L302:Q302)</f>
        <v>500</v>
      </c>
      <c r="S302" s="2" t="n">
        <f aca="false">Settings!$B$4*MAX(INDEX(Bases!$M$2:$M$53,B302),INDEX(Bases!$M$2:$M$53,C302))+Settings!$B$5*MIN(INDEX(Bases!$M$2:$M$53,B302),INDEX(Bases!$M$2:$M$53,C302))</f>
        <v>93</v>
      </c>
      <c r="T302" s="2" t="n">
        <f aca="false">Settings!$B$4*MAX(INDEX(Bases!$N$2:$N$53,B302),INDEX(Bases!$N$2:$N$53,C302))+Settings!$B$5*MIN(INDEX(Bases!$N$2:$N$53,B302),INDEX(Bases!$N$2:$N$53,C302))</f>
        <v>58.6666666666667</v>
      </c>
      <c r="U302" s="2" t="n">
        <f aca="false">Settings!$B$4*MAX(INDEX(Bases!$O$2:$O$53,B302),INDEX(Bases!$O$2:$O$53,C302))+Settings!$B$5*MIN(INDEX(Bases!$O$2:$O$53,B302),INDEX(Bases!$O$2:$O$53,C302))</f>
        <v>78.3333333333333</v>
      </c>
      <c r="V302" s="2" t="n">
        <f aca="false">Settings!$B$4*MAX(INDEX(Bases!$P$2:$P$53,B302),INDEX(Bases!$P$2:$P$53,C302))+Settings!$B$5*MIN(INDEX(Bases!$P$2:$P$53,B302),INDEX(Bases!$P$2:$P$53,C302))</f>
        <v>58.6666666666667</v>
      </c>
      <c r="W302" s="2" t="n">
        <f aca="false">Settings!$B$4*MAX(INDEX(Bases!$Q$2:$Q$53,B302),INDEX(Bases!$Q$2:$Q$53,C302))+Settings!$B$5*MIN(INDEX(Bases!$Q$2:$Q$53,B302),INDEX(Bases!$Q$2:$Q$53,C302))</f>
        <v>78</v>
      </c>
      <c r="X302" s="2" t="n">
        <f aca="false">Settings!$B$4*MAX(INDEX(Bases!$R$2:$R$53,B302),INDEX(Bases!$R$2:$R$53,C302))+Settings!$B$5*MIN(INDEX(Bases!$R$2:$R$53,B302),INDEX(Bases!$R$2:$R$53,C302))</f>
        <v>58</v>
      </c>
      <c r="Y302" s="2" t="n">
        <f aca="false">S302*Settings!$B$3/SUM(S302:X302)</f>
        <v>109.497645211931</v>
      </c>
      <c r="Z302" s="2" t="n">
        <f aca="false">T302*Settings!$B$3/SUM(S302:X302)</f>
        <v>69.0737833594976</v>
      </c>
      <c r="AA302" s="2" t="n">
        <f aca="false">U302*Settings!$B$3/SUM(S302:X302)</f>
        <v>92.2291993720565</v>
      </c>
      <c r="AB302" s="2" t="n">
        <f aca="false">V302*Settings!$B$3/SUM(S302:X302)</f>
        <v>69.0737833594976</v>
      </c>
      <c r="AC302" s="2" t="n">
        <f aca="false">W302*Settings!$B$3/SUM(S302:X302)</f>
        <v>91.8367346938776</v>
      </c>
      <c r="AD302" s="2" t="n">
        <f aca="false">X302*Settings!$B$3/SUM(S302:X302)</f>
        <v>68.2888540031397</v>
      </c>
      <c r="AE302" s="2" t="n">
        <f aca="false">INT(Y302)</f>
        <v>109</v>
      </c>
      <c r="AF302" s="2" t="n">
        <f aca="false">INT(Z302)</f>
        <v>69</v>
      </c>
      <c r="AG302" s="2" t="n">
        <f aca="false">INT(AA302)</f>
        <v>92</v>
      </c>
      <c r="AH302" s="2" t="n">
        <f aca="false">INT(AB302)</f>
        <v>69</v>
      </c>
      <c r="AI302" s="2" t="n">
        <f aca="false">INT(AC302)</f>
        <v>91</v>
      </c>
      <c r="AJ302" s="2" t="n">
        <f aca="false">INT(AD302)</f>
        <v>68</v>
      </c>
      <c r="AK302" s="2" t="n">
        <f aca="false">Settings!$B$3-SUM(AE302:AJ302)</f>
        <v>2</v>
      </c>
      <c r="AL302" s="2" t="n">
        <f aca="false">ROUND(Y302-AE302,9)</f>
        <v>0.497645212</v>
      </c>
      <c r="AM302" s="2" t="n">
        <f aca="false">ROUND(Z302-AF302,9)</f>
        <v>0.073783359</v>
      </c>
      <c r="AN302" s="2" t="n">
        <f aca="false">ROUND(AA302-AG302,9)</f>
        <v>0.229199372</v>
      </c>
      <c r="AO302" s="2" t="n">
        <f aca="false">ROUND(AB302-AH302,9)</f>
        <v>0.073783359</v>
      </c>
      <c r="AP302" s="2" t="n">
        <f aca="false">ROUND(AC302-AI302,9)</f>
        <v>0.836734694</v>
      </c>
      <c r="AQ302" s="2" t="n">
        <f aca="false">ROUND(AD302-AJ302,9)</f>
        <v>0.288854003</v>
      </c>
    </row>
    <row r="303" customFormat="false" ht="15" hidden="false" customHeight="false" outlineLevel="0" collapsed="false">
      <c r="A303" s="2" t="n">
        <v>302</v>
      </c>
      <c r="B303" s="6" t="n">
        <v>7</v>
      </c>
      <c r="C303" s="6" t="n">
        <v>18</v>
      </c>
      <c r="D303" s="8" t="str">
        <f aca="false">INDEX(Bases!$B$2:$B$53,B303)</f>
        <v>Azurill</v>
      </c>
      <c r="E303" s="8" t="str">
        <f aca="false">INDEX(Bases!$B$2:$B$53,C303)</f>
        <v>Spheal</v>
      </c>
      <c r="F303" s="2" t="str">
        <f aca="false">LEFT(D303,ROUNDUP(LEN(D303)/2,0))&amp;LOWER(MID(E303,ROUNDUP(LEN(E303)/2,0)+1,20))</f>
        <v>Azureal</v>
      </c>
      <c r="G303" s="8" t="str">
        <f aca="false">INDEX(Bases!$C$2:$C$53,B303)</f>
        <v>Water</v>
      </c>
      <c r="H303" s="8" t="str">
        <f aca="false">IF(INDEX(Bases!$C$2:$C$53,C303)=G303,"",INDEX(Bases!$C$2:$C$53,C303))</f>
        <v>Ice</v>
      </c>
      <c r="I303" s="8" t="str">
        <f aca="false">IF(INDEX(Bases!$E$2:$E$53,B303)="","",INDEX(Bases!$E$2:$E$53,B303))</f>
        <v/>
      </c>
      <c r="J303" s="8" t="str">
        <f aca="false">IF(INDEX(Bases!$E$2:$E$53,C303)="","",INDEX(Bases!$E$2:$E$53,C303))</f>
        <v/>
      </c>
      <c r="K303" s="5"/>
      <c r="L303" s="2" t="n">
        <f aca="false">AE303+IF(SUMPRODUCT(--($AL303:$AQ303&gt;AL303))&lt;$AK303,1,0)</f>
        <v>124</v>
      </c>
      <c r="M303" s="2" t="n">
        <f aca="false">AF303+IF(SUMPRODUCT(--($AL303:$AQ303&gt;AM303))+SUMPRODUCT(--($AL303:AL303=AM303))&lt;$AK303,1,0)</f>
        <v>61</v>
      </c>
      <c r="N303" s="2" t="n">
        <f aca="false">AG303+IF(SUMPRODUCT(--($AL303:$AQ303&gt;AN303))+SUMPRODUCT(--($AL303:AM303=AN303))&lt;$AK303,1,0)</f>
        <v>95</v>
      </c>
      <c r="O303" s="2" t="n">
        <f aca="false">AH303+IF(SUMPRODUCT(--($AL303:$AQ303&gt;AO303))+SUMPRODUCT(--($AL303:AN303=AO303))&lt;$AK303,1,0)</f>
        <v>78</v>
      </c>
      <c r="P303" s="2" t="n">
        <f aca="false">AI303+IF(SUMPRODUCT(--($AL303:$AQ303&gt;AP303))+SUMPRODUCT(--($AL303:AO303=AP303))&lt;$AK303,1,0)</f>
        <v>95</v>
      </c>
      <c r="Q303" s="2" t="n">
        <f aca="false">AJ303+IF(SUMPRODUCT(--($AL303:$AQ303&gt;AQ303))+SUMPRODUCT(--($AL303:AP303=AQ303))&lt;$AK303,1,0)</f>
        <v>47</v>
      </c>
      <c r="R303" s="2" t="n">
        <f aca="false">SUM(L303:Q303)</f>
        <v>500</v>
      </c>
      <c r="S303" s="2" t="n">
        <f aca="false">Settings!$B$4*MAX(INDEX(Bases!$M$2:$M$53,B303),INDEX(Bases!$M$2:$M$53,C303))+Settings!$B$5*MIN(INDEX(Bases!$M$2:$M$53,B303),INDEX(Bases!$M$2:$M$53,C303))</f>
        <v>103</v>
      </c>
      <c r="T303" s="2" t="n">
        <f aca="false">Settings!$B$4*MAX(INDEX(Bases!$N$2:$N$53,B303),INDEX(Bases!$N$2:$N$53,C303))+Settings!$B$5*MIN(INDEX(Bases!$N$2:$N$53,B303),INDEX(Bases!$N$2:$N$53,C303))</f>
        <v>50.6666666666667</v>
      </c>
      <c r="U303" s="2" t="n">
        <f aca="false">Settings!$B$4*MAX(INDEX(Bases!$O$2:$O$53,B303),INDEX(Bases!$O$2:$O$53,C303))+Settings!$B$5*MIN(INDEX(Bases!$O$2:$O$53,B303),INDEX(Bases!$O$2:$O$53,C303))</f>
        <v>79</v>
      </c>
      <c r="V303" s="2" t="n">
        <f aca="false">Settings!$B$4*MAX(INDEX(Bases!$P$2:$P$53,B303),INDEX(Bases!$P$2:$P$53,C303))+Settings!$B$5*MIN(INDEX(Bases!$P$2:$P$53,B303),INDEX(Bases!$P$2:$P$53,C303))</f>
        <v>64.6666666666667</v>
      </c>
      <c r="W303" s="2" t="n">
        <f aca="false">Settings!$B$4*MAX(INDEX(Bases!$Q$2:$Q$53,B303),INDEX(Bases!$Q$2:$Q$53,C303))+Settings!$B$5*MIN(INDEX(Bases!$Q$2:$Q$53,B303),INDEX(Bases!$Q$2:$Q$53,C303))</f>
        <v>79</v>
      </c>
      <c r="X303" s="2" t="n">
        <f aca="false">Settings!$B$4*MAX(INDEX(Bases!$R$2:$R$53,B303),INDEX(Bases!$R$2:$R$53,C303))+Settings!$B$5*MIN(INDEX(Bases!$R$2:$R$53,B303),INDEX(Bases!$R$2:$R$53,C303))</f>
        <v>39.3333333333333</v>
      </c>
      <c r="Y303" s="2" t="n">
        <f aca="false">S303*Settings!$B$3/SUM(S303:X303)</f>
        <v>123.897353648757</v>
      </c>
      <c r="Z303" s="2" t="n">
        <f aca="false">T303*Settings!$B$3/SUM(S303:X303)</f>
        <v>60.9462710505213</v>
      </c>
      <c r="AA303" s="2" t="n">
        <f aca="false">U303*Settings!$B$3/SUM(S303:X303)</f>
        <v>95.028067361668</v>
      </c>
      <c r="AB303" s="2" t="n">
        <f aca="false">V303*Settings!$B$3/SUM(S303:X303)</f>
        <v>77.7866880513232</v>
      </c>
      <c r="AC303" s="2" t="n">
        <f aca="false">W303*Settings!$B$3/SUM(S303:X303)</f>
        <v>95.028067361668</v>
      </c>
      <c r="AD303" s="2" t="n">
        <f aca="false">X303*Settings!$B$3/SUM(S303:X303)</f>
        <v>47.3135525260626</v>
      </c>
      <c r="AE303" s="2" t="n">
        <f aca="false">INT(Y303)</f>
        <v>123</v>
      </c>
      <c r="AF303" s="2" t="n">
        <f aca="false">INT(Z303)</f>
        <v>60</v>
      </c>
      <c r="AG303" s="2" t="n">
        <f aca="false">INT(AA303)</f>
        <v>95</v>
      </c>
      <c r="AH303" s="2" t="n">
        <f aca="false">INT(AB303)</f>
        <v>77</v>
      </c>
      <c r="AI303" s="2" t="n">
        <f aca="false">INT(AC303)</f>
        <v>95</v>
      </c>
      <c r="AJ303" s="2" t="n">
        <f aca="false">INT(AD303)</f>
        <v>47</v>
      </c>
      <c r="AK303" s="2" t="n">
        <f aca="false">Settings!$B$3-SUM(AE303:AJ303)</f>
        <v>3</v>
      </c>
      <c r="AL303" s="2" t="n">
        <f aca="false">ROUND(Y303-AE303,9)</f>
        <v>0.897353649</v>
      </c>
      <c r="AM303" s="2" t="n">
        <f aca="false">ROUND(Z303-AF303,9)</f>
        <v>0.946271051</v>
      </c>
      <c r="AN303" s="2" t="n">
        <f aca="false">ROUND(AA303-AG303,9)</f>
        <v>0.028067362</v>
      </c>
      <c r="AO303" s="2" t="n">
        <f aca="false">ROUND(AB303-AH303,9)</f>
        <v>0.786688051</v>
      </c>
      <c r="AP303" s="2" t="n">
        <f aca="false">ROUND(AC303-AI303,9)</f>
        <v>0.028067362</v>
      </c>
      <c r="AQ303" s="2" t="n">
        <f aca="false">ROUND(AD303-AJ303,9)</f>
        <v>0.313552526</v>
      </c>
    </row>
    <row r="304" customFormat="false" ht="15" hidden="false" customHeight="false" outlineLevel="0" collapsed="false">
      <c r="A304" s="2" t="n">
        <v>303</v>
      </c>
      <c r="B304" s="6" t="n">
        <v>7</v>
      </c>
      <c r="C304" s="6" t="n">
        <v>19</v>
      </c>
      <c r="D304" s="8" t="str">
        <f aca="false">INDEX(Bases!$B$2:$B$53,B304)</f>
        <v>Azurill</v>
      </c>
      <c r="E304" s="8" t="str">
        <f aca="false">INDEX(Bases!$B$2:$B$53,C304)</f>
        <v>Mankey</v>
      </c>
      <c r="F304" s="2" t="str">
        <f aca="false">LEFT(D304,ROUNDUP(LEN(D304)/2,0))&amp;LOWER(MID(E304,ROUNDUP(LEN(E304)/2,0)+1,20))</f>
        <v>Azurkey</v>
      </c>
      <c r="G304" s="8" t="str">
        <f aca="false">INDEX(Bases!$C$2:$C$53,B304)</f>
        <v>Water</v>
      </c>
      <c r="H304" s="8" t="str">
        <f aca="false">IF(INDEX(Bases!$C$2:$C$53,C304)=G304,"",INDEX(Bases!$C$2:$C$53,C304))</f>
        <v>Fighting</v>
      </c>
      <c r="I304" s="8" t="str">
        <f aca="false">IF(INDEX(Bases!$E$2:$E$53,B304)="","",INDEX(Bases!$E$2:$E$53,B304))</f>
        <v/>
      </c>
      <c r="J304" s="8" t="str">
        <f aca="false">IF(INDEX(Bases!$E$2:$E$53,C304)="","",INDEX(Bases!$E$2:$E$53,C304))</f>
        <v/>
      </c>
      <c r="K304" s="5"/>
      <c r="L304" s="2" t="n">
        <f aca="false">AE304+IF(SUMPRODUCT(--($AL304:$AQ304&gt;AL304))&lt;$AK304,1,0)</f>
        <v>100</v>
      </c>
      <c r="M304" s="2" t="n">
        <f aca="false">AF304+IF(SUMPRODUCT(--($AL304:$AQ304&gt;AM304))+SUMPRODUCT(--($AL304:AL304=AM304))&lt;$AK304,1,0)</f>
        <v>96</v>
      </c>
      <c r="N304" s="2" t="n">
        <f aca="false">AG304+IF(SUMPRODUCT(--($AL304:$AQ304&gt;AN304))+SUMPRODUCT(--($AL304:AM304=AN304))&lt;$AK304,1,0)</f>
        <v>81</v>
      </c>
      <c r="O304" s="2" t="n">
        <f aca="false">AH304+IF(SUMPRODUCT(--($AL304:$AQ304&gt;AO304))+SUMPRODUCT(--($AL304:AN304=AO304))&lt;$AK304,1,0)</f>
        <v>51</v>
      </c>
      <c r="P304" s="2" t="n">
        <f aca="false">AI304+IF(SUMPRODUCT(--($AL304:$AQ304&gt;AP304))+SUMPRODUCT(--($AL304:AO304=AP304))&lt;$AK304,1,0)</f>
        <v>86</v>
      </c>
      <c r="Q304" s="2" t="n">
        <f aca="false">AJ304+IF(SUMPRODUCT(--($AL304:$AQ304&gt;AQ304))+SUMPRODUCT(--($AL304:AP304=AQ304))&lt;$AK304,1,0)</f>
        <v>86</v>
      </c>
      <c r="R304" s="2" t="n">
        <f aca="false">SUM(L304:Q304)</f>
        <v>500</v>
      </c>
      <c r="S304" s="2" t="n">
        <f aca="false">Settings!$B$4*MAX(INDEX(Bases!$M$2:$M$53,B304),INDEX(Bases!$M$2:$M$53,C304))+Settings!$B$5*MIN(INDEX(Bases!$M$2:$M$53,B304),INDEX(Bases!$M$2:$M$53,C304))</f>
        <v>88</v>
      </c>
      <c r="T304" s="2" t="n">
        <f aca="false">Settings!$B$4*MAX(INDEX(Bases!$N$2:$N$53,B304),INDEX(Bases!$N$2:$N$53,C304))+Settings!$B$5*MIN(INDEX(Bases!$N$2:$N$53,B304),INDEX(Bases!$N$2:$N$53,C304))</f>
        <v>84</v>
      </c>
      <c r="U304" s="2" t="n">
        <f aca="false">Settings!$B$4*MAX(INDEX(Bases!$O$2:$O$53,B304),INDEX(Bases!$O$2:$O$53,C304))+Settings!$B$5*MIN(INDEX(Bases!$O$2:$O$53,B304),INDEX(Bases!$O$2:$O$53,C304))</f>
        <v>71.3333333333333</v>
      </c>
      <c r="V304" s="2" t="n">
        <f aca="false">Settings!$B$4*MAX(INDEX(Bases!$P$2:$P$53,B304),INDEX(Bases!$P$2:$P$53,C304))+Settings!$B$5*MIN(INDEX(Bases!$P$2:$P$53,B304),INDEX(Bases!$P$2:$P$53,C304))</f>
        <v>44.6666666666667</v>
      </c>
      <c r="W304" s="2" t="n">
        <f aca="false">Settings!$B$4*MAX(INDEX(Bases!$Q$2:$Q$53,B304),INDEX(Bases!$Q$2:$Q$53,C304))+Settings!$B$5*MIN(INDEX(Bases!$Q$2:$Q$53,B304),INDEX(Bases!$Q$2:$Q$53,C304))</f>
        <v>75.6666666666667</v>
      </c>
      <c r="X304" s="2" t="n">
        <f aca="false">Settings!$B$4*MAX(INDEX(Bases!$R$2:$R$53,B304),INDEX(Bases!$R$2:$R$53,C304))+Settings!$B$5*MIN(INDEX(Bases!$R$2:$R$53,B304),INDEX(Bases!$R$2:$R$53,C304))</f>
        <v>75.3333333333333</v>
      </c>
      <c r="Y304" s="2" t="n">
        <f aca="false">S304*Settings!$B$3/SUM(S304:X304)</f>
        <v>100.227790432802</v>
      </c>
      <c r="Z304" s="2" t="n">
        <f aca="false">T304*Settings!$B$3/SUM(S304:X304)</f>
        <v>95.6719817767654</v>
      </c>
      <c r="AA304" s="2" t="n">
        <f aca="false">U304*Settings!$B$3/SUM(S304:X304)</f>
        <v>81.2452543659833</v>
      </c>
      <c r="AB304" s="2" t="n">
        <f aca="false">V304*Settings!$B$3/SUM(S304:X304)</f>
        <v>50.8731966590737</v>
      </c>
      <c r="AC304" s="2" t="n">
        <f aca="false">W304*Settings!$B$3/SUM(S304:X304)</f>
        <v>86.1807137433561</v>
      </c>
      <c r="AD304" s="2" t="n">
        <f aca="false">X304*Settings!$B$3/SUM(S304:X304)</f>
        <v>85.8010630220197</v>
      </c>
      <c r="AE304" s="2" t="n">
        <f aca="false">INT(Y304)</f>
        <v>100</v>
      </c>
      <c r="AF304" s="2" t="n">
        <f aca="false">INT(Z304)</f>
        <v>95</v>
      </c>
      <c r="AG304" s="2" t="n">
        <f aca="false">INT(AA304)</f>
        <v>81</v>
      </c>
      <c r="AH304" s="2" t="n">
        <f aca="false">INT(AB304)</f>
        <v>50</v>
      </c>
      <c r="AI304" s="2" t="n">
        <f aca="false">INT(AC304)</f>
        <v>86</v>
      </c>
      <c r="AJ304" s="2" t="n">
        <f aca="false">INT(AD304)</f>
        <v>85</v>
      </c>
      <c r="AK304" s="2" t="n">
        <f aca="false">Settings!$B$3-SUM(AE304:AJ304)</f>
        <v>3</v>
      </c>
      <c r="AL304" s="2" t="n">
        <f aca="false">ROUND(Y304-AE304,9)</f>
        <v>0.227790433</v>
      </c>
      <c r="AM304" s="2" t="n">
        <f aca="false">ROUND(Z304-AF304,9)</f>
        <v>0.671981777</v>
      </c>
      <c r="AN304" s="2" t="n">
        <f aca="false">ROUND(AA304-AG304,9)</f>
        <v>0.245254366</v>
      </c>
      <c r="AO304" s="2" t="n">
        <f aca="false">ROUND(AB304-AH304,9)</f>
        <v>0.873196659</v>
      </c>
      <c r="AP304" s="2" t="n">
        <f aca="false">ROUND(AC304-AI304,9)</f>
        <v>0.180713743</v>
      </c>
      <c r="AQ304" s="2" t="n">
        <f aca="false">ROUND(AD304-AJ304,9)</f>
        <v>0.801063022</v>
      </c>
    </row>
    <row r="305" customFormat="false" ht="15" hidden="false" customHeight="false" outlineLevel="0" collapsed="false">
      <c r="A305" s="2" t="n">
        <v>304</v>
      </c>
      <c r="B305" s="6" t="n">
        <v>7</v>
      </c>
      <c r="C305" s="6" t="n">
        <v>20</v>
      </c>
      <c r="D305" s="8" t="str">
        <f aca="false">INDEX(Bases!$B$2:$B$53,B305)</f>
        <v>Azurill</v>
      </c>
      <c r="E305" s="8" t="str">
        <f aca="false">INDEX(Bases!$B$2:$B$53,C305)</f>
        <v>Tyrogue</v>
      </c>
      <c r="F305" s="2" t="str">
        <f aca="false">LEFT(D305,ROUNDUP(LEN(D305)/2,0))&amp;LOWER(MID(E305,ROUNDUP(LEN(E305)/2,0)+1,20))</f>
        <v>Azurgue</v>
      </c>
      <c r="G305" s="8" t="str">
        <f aca="false">INDEX(Bases!$C$2:$C$53,B305)</f>
        <v>Water</v>
      </c>
      <c r="H305" s="8" t="str">
        <f aca="false">IF(INDEX(Bases!$C$2:$C$53,C305)=G305,"",INDEX(Bases!$C$2:$C$53,C305))</f>
        <v>Fighting</v>
      </c>
      <c r="I305" s="8" t="str">
        <f aca="false">IF(INDEX(Bases!$E$2:$E$53,B305)="","",INDEX(Bases!$E$2:$E$53,B305))</f>
        <v/>
      </c>
      <c r="J305" s="8" t="str">
        <f aca="false">IF(INDEX(Bases!$E$2:$E$53,C305)="","",INDEX(Bases!$E$2:$E$53,C305))</f>
        <v/>
      </c>
      <c r="K305" s="5"/>
      <c r="L305" s="2" t="n">
        <f aca="false">AE305+IF(SUMPRODUCT(--($AL305:$AQ305&gt;AL305))&lt;$AK305,1,0)</f>
        <v>110</v>
      </c>
      <c r="M305" s="2" t="n">
        <f aca="false">AF305+IF(SUMPRODUCT(--($AL305:$AQ305&gt;AM305))+SUMPRODUCT(--($AL305:AL305=AM305))&lt;$AK305,1,0)</f>
        <v>69</v>
      </c>
      <c r="N305" s="2" t="n">
        <f aca="false">AG305+IF(SUMPRODUCT(--($AL305:$AQ305&gt;AN305))+SUMPRODUCT(--($AL305:AM305=AN305))&lt;$AK305,1,0)</f>
        <v>92</v>
      </c>
      <c r="O305" s="2" t="n">
        <f aca="false">AH305+IF(SUMPRODUCT(--($AL305:$AQ305&gt;AO305))+SUMPRODUCT(--($AL305:AN305=AO305))&lt;$AK305,1,0)</f>
        <v>69</v>
      </c>
      <c r="P305" s="2" t="n">
        <f aca="false">AI305+IF(SUMPRODUCT(--($AL305:$AQ305&gt;AP305))+SUMPRODUCT(--($AL305:AO305=AP305))&lt;$AK305,1,0)</f>
        <v>92</v>
      </c>
      <c r="Q305" s="2" t="n">
        <f aca="false">AJ305+IF(SUMPRODUCT(--($AL305:$AQ305&gt;AQ305))+SUMPRODUCT(--($AL305:AP305=AQ305))&lt;$AK305,1,0)</f>
        <v>68</v>
      </c>
      <c r="R305" s="2" t="n">
        <f aca="false">SUM(L305:Q305)</f>
        <v>500</v>
      </c>
      <c r="S305" s="2" t="n">
        <f aca="false">Settings!$B$4*MAX(INDEX(Bases!$M$2:$M$53,B305),INDEX(Bases!$M$2:$M$53,C305))+Settings!$B$5*MIN(INDEX(Bases!$M$2:$M$53,B305),INDEX(Bases!$M$2:$M$53,C305))</f>
        <v>93</v>
      </c>
      <c r="T305" s="2" t="n">
        <f aca="false">Settings!$B$4*MAX(INDEX(Bases!$N$2:$N$53,B305),INDEX(Bases!$N$2:$N$53,C305))+Settings!$B$5*MIN(INDEX(Bases!$N$2:$N$53,B305),INDEX(Bases!$N$2:$N$53,C305))</f>
        <v>58.6666666666667</v>
      </c>
      <c r="U305" s="2" t="n">
        <f aca="false">Settings!$B$4*MAX(INDEX(Bases!$O$2:$O$53,B305),INDEX(Bases!$O$2:$O$53,C305))+Settings!$B$5*MIN(INDEX(Bases!$O$2:$O$53,B305),INDEX(Bases!$O$2:$O$53,C305))</f>
        <v>78.3333333333333</v>
      </c>
      <c r="V305" s="2" t="n">
        <f aca="false">Settings!$B$4*MAX(INDEX(Bases!$P$2:$P$53,B305),INDEX(Bases!$P$2:$P$53,C305))+Settings!$B$5*MIN(INDEX(Bases!$P$2:$P$53,B305),INDEX(Bases!$P$2:$P$53,C305))</f>
        <v>58.6666666666667</v>
      </c>
      <c r="W305" s="2" t="n">
        <f aca="false">Settings!$B$4*MAX(INDEX(Bases!$Q$2:$Q$53,B305),INDEX(Bases!$Q$2:$Q$53,C305))+Settings!$B$5*MIN(INDEX(Bases!$Q$2:$Q$53,B305),INDEX(Bases!$Q$2:$Q$53,C305))</f>
        <v>78</v>
      </c>
      <c r="X305" s="2" t="n">
        <f aca="false">Settings!$B$4*MAX(INDEX(Bases!$R$2:$R$53,B305),INDEX(Bases!$R$2:$R$53,C305))+Settings!$B$5*MIN(INDEX(Bases!$R$2:$R$53,B305),INDEX(Bases!$R$2:$R$53,C305))</f>
        <v>58</v>
      </c>
      <c r="Y305" s="2" t="n">
        <f aca="false">S305*Settings!$B$3/SUM(S305:X305)</f>
        <v>109.497645211931</v>
      </c>
      <c r="Z305" s="2" t="n">
        <f aca="false">T305*Settings!$B$3/SUM(S305:X305)</f>
        <v>69.0737833594976</v>
      </c>
      <c r="AA305" s="2" t="n">
        <f aca="false">U305*Settings!$B$3/SUM(S305:X305)</f>
        <v>92.2291993720565</v>
      </c>
      <c r="AB305" s="2" t="n">
        <f aca="false">V305*Settings!$B$3/SUM(S305:X305)</f>
        <v>69.0737833594976</v>
      </c>
      <c r="AC305" s="2" t="n">
        <f aca="false">W305*Settings!$B$3/SUM(S305:X305)</f>
        <v>91.8367346938776</v>
      </c>
      <c r="AD305" s="2" t="n">
        <f aca="false">X305*Settings!$B$3/SUM(S305:X305)</f>
        <v>68.2888540031397</v>
      </c>
      <c r="AE305" s="2" t="n">
        <f aca="false">INT(Y305)</f>
        <v>109</v>
      </c>
      <c r="AF305" s="2" t="n">
        <f aca="false">INT(Z305)</f>
        <v>69</v>
      </c>
      <c r="AG305" s="2" t="n">
        <f aca="false">INT(AA305)</f>
        <v>92</v>
      </c>
      <c r="AH305" s="2" t="n">
        <f aca="false">INT(AB305)</f>
        <v>69</v>
      </c>
      <c r="AI305" s="2" t="n">
        <f aca="false">INT(AC305)</f>
        <v>91</v>
      </c>
      <c r="AJ305" s="2" t="n">
        <f aca="false">INT(AD305)</f>
        <v>68</v>
      </c>
      <c r="AK305" s="2" t="n">
        <f aca="false">Settings!$B$3-SUM(AE305:AJ305)</f>
        <v>2</v>
      </c>
      <c r="AL305" s="2" t="n">
        <f aca="false">ROUND(Y305-AE305,9)</f>
        <v>0.497645212</v>
      </c>
      <c r="AM305" s="2" t="n">
        <f aca="false">ROUND(Z305-AF305,9)</f>
        <v>0.073783359</v>
      </c>
      <c r="AN305" s="2" t="n">
        <f aca="false">ROUND(AA305-AG305,9)</f>
        <v>0.229199372</v>
      </c>
      <c r="AO305" s="2" t="n">
        <f aca="false">ROUND(AB305-AH305,9)</f>
        <v>0.073783359</v>
      </c>
      <c r="AP305" s="2" t="n">
        <f aca="false">ROUND(AC305-AI305,9)</f>
        <v>0.836734694</v>
      </c>
      <c r="AQ305" s="2" t="n">
        <f aca="false">ROUND(AD305-AJ305,9)</f>
        <v>0.288854003</v>
      </c>
    </row>
    <row r="306" customFormat="false" ht="15" hidden="false" customHeight="false" outlineLevel="0" collapsed="false">
      <c r="A306" s="2" t="n">
        <v>305</v>
      </c>
      <c r="B306" s="6" t="n">
        <v>7</v>
      </c>
      <c r="C306" s="6" t="n">
        <v>21</v>
      </c>
      <c r="D306" s="8" t="str">
        <f aca="false">INDEX(Bases!$B$2:$B$53,B306)</f>
        <v>Azurill</v>
      </c>
      <c r="E306" s="8" t="str">
        <f aca="false">INDEX(Bases!$B$2:$B$53,C306)</f>
        <v>Makuhita</v>
      </c>
      <c r="F306" s="2" t="str">
        <f aca="false">LEFT(D306,ROUNDUP(LEN(D306)/2,0))&amp;LOWER(MID(E306,ROUNDUP(LEN(E306)/2,0)+1,20))</f>
        <v>Azurhita</v>
      </c>
      <c r="G306" s="8" t="str">
        <f aca="false">INDEX(Bases!$C$2:$C$53,B306)</f>
        <v>Water</v>
      </c>
      <c r="H306" s="8" t="str">
        <f aca="false">IF(INDEX(Bases!$C$2:$C$53,C306)=G306,"",INDEX(Bases!$C$2:$C$53,C306))</f>
        <v>Fighting</v>
      </c>
      <c r="I306" s="8" t="str">
        <f aca="false">IF(INDEX(Bases!$E$2:$E$53,B306)="","",INDEX(Bases!$E$2:$E$53,B306))</f>
        <v/>
      </c>
      <c r="J306" s="8" t="str">
        <f aca="false">IF(INDEX(Bases!$E$2:$E$53,C306)="","",INDEX(Bases!$E$2:$E$53,C306))</f>
        <v/>
      </c>
      <c r="K306" s="5"/>
      <c r="L306" s="2" t="n">
        <f aca="false">AE306+IF(SUMPRODUCT(--($AL306:$AQ306&gt;AL306))&lt;$AK306,1,0)</f>
        <v>137</v>
      </c>
      <c r="M306" s="2" t="n">
        <f aca="false">AF306+IF(SUMPRODUCT(--($AL306:$AQ306&gt;AM306))+SUMPRODUCT(--($AL306:AL306=AM306))&lt;$AK306,1,0)</f>
        <v>96</v>
      </c>
      <c r="N306" s="2" t="n">
        <f aca="false">AG306+IF(SUMPRODUCT(--($AL306:$AQ306&gt;AN306))+SUMPRODUCT(--($AL306:AM306=AN306))&lt;$AK306,1,0)</f>
        <v>86</v>
      </c>
      <c r="O306" s="2" t="n">
        <f aca="false">AH306+IF(SUMPRODUCT(--($AL306:$AQ306&gt;AO306))+SUMPRODUCT(--($AL306:AN306=AO306))&lt;$AK306,1,0)</f>
        <v>46</v>
      </c>
      <c r="P306" s="2" t="n">
        <f aca="false">AI306+IF(SUMPRODUCT(--($AL306:$AQ306&gt;AP306))+SUMPRODUCT(--($AL306:AO306=AP306))&lt;$AK306,1,0)</f>
        <v>86</v>
      </c>
      <c r="Q306" s="2" t="n">
        <f aca="false">AJ306+IF(SUMPRODUCT(--($AL306:$AQ306&gt;AQ306))+SUMPRODUCT(--($AL306:AP306=AQ306))&lt;$AK306,1,0)</f>
        <v>49</v>
      </c>
      <c r="R306" s="2" t="n">
        <f aca="false">SUM(L306:Q306)</f>
        <v>500</v>
      </c>
      <c r="S306" s="2" t="n">
        <f aca="false">Settings!$B$4*MAX(INDEX(Bases!$M$2:$M$53,B306),INDEX(Bases!$M$2:$M$53,C306))+Settings!$B$5*MIN(INDEX(Bases!$M$2:$M$53,B306),INDEX(Bases!$M$2:$M$53,C306))</f>
        <v>116</v>
      </c>
      <c r="T306" s="2" t="n">
        <f aca="false">Settings!$B$4*MAX(INDEX(Bases!$N$2:$N$53,B306),INDEX(Bases!$N$2:$N$53,C306))+Settings!$B$5*MIN(INDEX(Bases!$N$2:$N$53,B306),INDEX(Bases!$N$2:$N$53,C306))</f>
        <v>81.3333333333333</v>
      </c>
      <c r="U306" s="2" t="n">
        <f aca="false">Settings!$B$4*MAX(INDEX(Bases!$O$2:$O$53,B306),INDEX(Bases!$O$2:$O$53,C306))+Settings!$B$5*MIN(INDEX(Bases!$O$2:$O$53,B306),INDEX(Bases!$O$2:$O$53,C306))</f>
        <v>73</v>
      </c>
      <c r="V306" s="2" t="n">
        <f aca="false">Settings!$B$4*MAX(INDEX(Bases!$P$2:$P$53,B306),INDEX(Bases!$P$2:$P$53,C306))+Settings!$B$5*MIN(INDEX(Bases!$P$2:$P$53,B306),INDEX(Bases!$P$2:$P$53,C306))</f>
        <v>39.3333333333333</v>
      </c>
      <c r="W306" s="2" t="n">
        <f aca="false">Settings!$B$4*MAX(INDEX(Bases!$Q$2:$Q$53,B306),INDEX(Bases!$Q$2:$Q$53,C306))+Settings!$B$5*MIN(INDEX(Bases!$Q$2:$Q$53,B306),INDEX(Bases!$Q$2:$Q$53,C306))</f>
        <v>73</v>
      </c>
      <c r="X306" s="2" t="n">
        <f aca="false">Settings!$B$4*MAX(INDEX(Bases!$R$2:$R$53,B306),INDEX(Bases!$R$2:$R$53,C306))+Settings!$B$5*MIN(INDEX(Bases!$R$2:$R$53,B306),INDEX(Bases!$R$2:$R$53,C306))</f>
        <v>42</v>
      </c>
      <c r="Y306" s="2" t="n">
        <f aca="false">S306*Settings!$B$3/SUM(S306:X306)</f>
        <v>136.577708006279</v>
      </c>
      <c r="Z306" s="2" t="n">
        <f aca="false">T306*Settings!$B$3/SUM(S306:X306)</f>
        <v>95.7613814756672</v>
      </c>
      <c r="AA306" s="2" t="n">
        <f aca="false">U306*Settings!$B$3/SUM(S306:X306)</f>
        <v>85.9497645211931</v>
      </c>
      <c r="AB306" s="2" t="n">
        <f aca="false">V306*Settings!$B$3/SUM(S306:X306)</f>
        <v>46.3108320251177</v>
      </c>
      <c r="AC306" s="2" t="n">
        <f aca="false">W306*Settings!$B$3/SUM(S306:X306)</f>
        <v>85.9497645211931</v>
      </c>
      <c r="AD306" s="2" t="n">
        <f aca="false">X306*Settings!$B$3/SUM(S306:X306)</f>
        <v>49.4505494505494</v>
      </c>
      <c r="AE306" s="2" t="n">
        <f aca="false">INT(Y306)</f>
        <v>136</v>
      </c>
      <c r="AF306" s="2" t="n">
        <f aca="false">INT(Z306)</f>
        <v>95</v>
      </c>
      <c r="AG306" s="2" t="n">
        <f aca="false">INT(AA306)</f>
        <v>85</v>
      </c>
      <c r="AH306" s="2" t="n">
        <f aca="false">INT(AB306)</f>
        <v>46</v>
      </c>
      <c r="AI306" s="2" t="n">
        <f aca="false">INT(AC306)</f>
        <v>85</v>
      </c>
      <c r="AJ306" s="2" t="n">
        <f aca="false">INT(AD306)</f>
        <v>49</v>
      </c>
      <c r="AK306" s="2" t="n">
        <f aca="false">Settings!$B$3-SUM(AE306:AJ306)</f>
        <v>4</v>
      </c>
      <c r="AL306" s="2" t="n">
        <f aca="false">ROUND(Y306-AE306,9)</f>
        <v>0.577708006</v>
      </c>
      <c r="AM306" s="2" t="n">
        <f aca="false">ROUND(Z306-AF306,9)</f>
        <v>0.761381476</v>
      </c>
      <c r="AN306" s="2" t="n">
        <f aca="false">ROUND(AA306-AG306,9)</f>
        <v>0.949764521</v>
      </c>
      <c r="AO306" s="2" t="n">
        <f aca="false">ROUND(AB306-AH306,9)</f>
        <v>0.310832025</v>
      </c>
      <c r="AP306" s="2" t="n">
        <f aca="false">ROUND(AC306-AI306,9)</f>
        <v>0.949764521</v>
      </c>
      <c r="AQ306" s="2" t="n">
        <f aca="false">ROUND(AD306-AJ306,9)</f>
        <v>0.450549451</v>
      </c>
    </row>
    <row r="307" customFormat="false" ht="15" hidden="false" customHeight="false" outlineLevel="0" collapsed="false">
      <c r="A307" s="2" t="n">
        <v>306</v>
      </c>
      <c r="B307" s="6" t="n">
        <v>7</v>
      </c>
      <c r="C307" s="6" t="n">
        <v>22</v>
      </c>
      <c r="D307" s="8" t="str">
        <f aca="false">INDEX(Bases!$B$2:$B$53,B307)</f>
        <v>Azurill</v>
      </c>
      <c r="E307" s="8" t="str">
        <f aca="false">INDEX(Bases!$B$2:$B$53,C307)</f>
        <v>Ekans</v>
      </c>
      <c r="F307" s="2" t="str">
        <f aca="false">LEFT(D307,ROUNDUP(LEN(D307)/2,0))&amp;LOWER(MID(E307,ROUNDUP(LEN(E307)/2,0)+1,20))</f>
        <v>Azurns</v>
      </c>
      <c r="G307" s="8" t="str">
        <f aca="false">INDEX(Bases!$C$2:$C$53,B307)</f>
        <v>Water</v>
      </c>
      <c r="H307" s="8" t="str">
        <f aca="false">IF(INDEX(Bases!$C$2:$C$53,C307)=G307,"",INDEX(Bases!$C$2:$C$53,C307))</f>
        <v>Poison</v>
      </c>
      <c r="I307" s="8" t="str">
        <f aca="false">IF(INDEX(Bases!$E$2:$E$53,B307)="","",INDEX(Bases!$E$2:$E$53,B307))</f>
        <v/>
      </c>
      <c r="J307" s="8" t="str">
        <f aca="false">IF(INDEX(Bases!$E$2:$E$53,C307)="","",INDEX(Bases!$E$2:$E$53,C307))</f>
        <v/>
      </c>
      <c r="K307" s="5"/>
      <c r="L307" s="2" t="n">
        <f aca="false">AE307+IF(SUMPRODUCT(--($AL307:$AQ307&gt;AL307))&lt;$AK307,1,0)</f>
        <v>101</v>
      </c>
      <c r="M307" s="2" t="n">
        <f aca="false">AF307+IF(SUMPRODUCT(--($AL307:$AQ307&gt;AM307))+SUMPRODUCT(--($AL307:AL307=AM307))&lt;$AK307,1,0)</f>
        <v>81</v>
      </c>
      <c r="N307" s="2" t="n">
        <f aca="false">AG307+IF(SUMPRODUCT(--($AL307:$AQ307&gt;AN307))+SUMPRODUCT(--($AL307:AM307=AN307))&lt;$AK307,1,0)</f>
        <v>89</v>
      </c>
      <c r="O307" s="2" t="n">
        <f aca="false">AH307+IF(SUMPRODUCT(--($AL307:$AQ307&gt;AO307))+SUMPRODUCT(--($AL307:AN307=AO307))&lt;$AK307,1,0)</f>
        <v>60</v>
      </c>
      <c r="P307" s="2" t="n">
        <f aca="false">AI307+IF(SUMPRODUCT(--($AL307:$AQ307&gt;AP307))+SUMPRODUCT(--($AL307:AO307=AP307))&lt;$AK307,1,0)</f>
        <v>94</v>
      </c>
      <c r="Q307" s="2" t="n">
        <f aca="false">AJ307+IF(SUMPRODUCT(--($AL307:$AQ307&gt;AQ307))+SUMPRODUCT(--($AL307:AP307=AQ307))&lt;$AK307,1,0)</f>
        <v>75</v>
      </c>
      <c r="R307" s="2" t="n">
        <f aca="false">SUM(L307:Q307)</f>
        <v>500</v>
      </c>
      <c r="S307" s="2" t="n">
        <f aca="false">Settings!$B$4*MAX(INDEX(Bases!$M$2:$M$53,B307),INDEX(Bases!$M$2:$M$53,C307))+Settings!$B$5*MIN(INDEX(Bases!$M$2:$M$53,B307),INDEX(Bases!$M$2:$M$53,C307))</f>
        <v>87</v>
      </c>
      <c r="T307" s="2" t="n">
        <f aca="false">Settings!$B$4*MAX(INDEX(Bases!$N$2:$N$53,B307),INDEX(Bases!$N$2:$N$53,C307))+Settings!$B$5*MIN(INDEX(Bases!$N$2:$N$53,B307),INDEX(Bases!$N$2:$N$53,C307))</f>
        <v>69.3333333333333</v>
      </c>
      <c r="U307" s="2" t="n">
        <f aca="false">Settings!$B$4*MAX(INDEX(Bases!$O$2:$O$53,B307),INDEX(Bases!$O$2:$O$53,C307))+Settings!$B$5*MIN(INDEX(Bases!$O$2:$O$53,B307),INDEX(Bases!$O$2:$O$53,C307))</f>
        <v>76.3333333333333</v>
      </c>
      <c r="V307" s="2" t="n">
        <f aca="false">Settings!$B$4*MAX(INDEX(Bases!$P$2:$P$53,B307),INDEX(Bases!$P$2:$P$53,C307))+Settings!$B$5*MIN(INDEX(Bases!$P$2:$P$53,B307),INDEX(Bases!$P$2:$P$53,C307))</f>
        <v>51.3333333333333</v>
      </c>
      <c r="W307" s="2" t="n">
        <f aca="false">Settings!$B$4*MAX(INDEX(Bases!$Q$2:$Q$53,B307),INDEX(Bases!$Q$2:$Q$53,C307))+Settings!$B$5*MIN(INDEX(Bases!$Q$2:$Q$53,B307),INDEX(Bases!$Q$2:$Q$53,C307))</f>
        <v>81</v>
      </c>
      <c r="X307" s="2" t="n">
        <f aca="false">Settings!$B$4*MAX(INDEX(Bases!$R$2:$R$53,B307),INDEX(Bases!$R$2:$R$53,C307))+Settings!$B$5*MIN(INDEX(Bases!$R$2:$R$53,B307),INDEX(Bases!$R$2:$R$53,C307))</f>
        <v>64.6666666666667</v>
      </c>
      <c r="Y307" s="2" t="n">
        <f aca="false">S307*Settings!$B$3/SUM(S307:X307)</f>
        <v>101.241272304112</v>
      </c>
      <c r="Z307" s="2" t="n">
        <f aca="false">T307*Settings!$B$3/SUM(S307:X307)</f>
        <v>80.6826997672614</v>
      </c>
      <c r="AA307" s="2" t="n">
        <f aca="false">U307*Settings!$B$3/SUM(S307:X307)</f>
        <v>88.8285492629946</v>
      </c>
      <c r="AB307" s="2" t="n">
        <f aca="false">V307*Settings!$B$3/SUM(S307:X307)</f>
        <v>59.7362296353763</v>
      </c>
      <c r="AC307" s="2" t="n">
        <f aca="false">W307*Settings!$B$3/SUM(S307:X307)</f>
        <v>94.2591155934833</v>
      </c>
      <c r="AD307" s="2" t="n">
        <f aca="false">X307*Settings!$B$3/SUM(S307:X307)</f>
        <v>75.2521334367727</v>
      </c>
      <c r="AE307" s="2" t="n">
        <f aca="false">INT(Y307)</f>
        <v>101</v>
      </c>
      <c r="AF307" s="2" t="n">
        <f aca="false">INT(Z307)</f>
        <v>80</v>
      </c>
      <c r="AG307" s="2" t="n">
        <f aca="false">INT(AA307)</f>
        <v>88</v>
      </c>
      <c r="AH307" s="2" t="n">
        <f aca="false">INT(AB307)</f>
        <v>59</v>
      </c>
      <c r="AI307" s="2" t="n">
        <f aca="false">INT(AC307)</f>
        <v>94</v>
      </c>
      <c r="AJ307" s="2" t="n">
        <f aca="false">INT(AD307)</f>
        <v>75</v>
      </c>
      <c r="AK307" s="2" t="n">
        <f aca="false">Settings!$B$3-SUM(AE307:AJ307)</f>
        <v>3</v>
      </c>
      <c r="AL307" s="2" t="n">
        <f aca="false">ROUND(Y307-AE307,9)</f>
        <v>0.241272304</v>
      </c>
      <c r="AM307" s="2" t="n">
        <f aca="false">ROUND(Z307-AF307,9)</f>
        <v>0.682699767</v>
      </c>
      <c r="AN307" s="2" t="n">
        <f aca="false">ROUND(AA307-AG307,9)</f>
        <v>0.828549263</v>
      </c>
      <c r="AO307" s="2" t="n">
        <f aca="false">ROUND(AB307-AH307,9)</f>
        <v>0.736229635</v>
      </c>
      <c r="AP307" s="2" t="n">
        <f aca="false">ROUND(AC307-AI307,9)</f>
        <v>0.259115593</v>
      </c>
      <c r="AQ307" s="2" t="n">
        <f aca="false">ROUND(AD307-AJ307,9)</f>
        <v>0.252133437</v>
      </c>
    </row>
    <row r="308" customFormat="false" ht="15" hidden="false" customHeight="false" outlineLevel="0" collapsed="false">
      <c r="A308" s="2" t="n">
        <v>307</v>
      </c>
      <c r="B308" s="6" t="n">
        <v>7</v>
      </c>
      <c r="C308" s="6" t="n">
        <v>23</v>
      </c>
      <c r="D308" s="8" t="str">
        <f aca="false">INDEX(Bases!$B$2:$B$53,B308)</f>
        <v>Azurill</v>
      </c>
      <c r="E308" s="8" t="str">
        <f aca="false">INDEX(Bases!$B$2:$B$53,C308)</f>
        <v>Gulpin</v>
      </c>
      <c r="F308" s="2" t="str">
        <f aca="false">LEFT(D308,ROUNDUP(LEN(D308)/2,0))&amp;LOWER(MID(E308,ROUNDUP(LEN(E308)/2,0)+1,20))</f>
        <v>Azurpin</v>
      </c>
      <c r="G308" s="8" t="str">
        <f aca="false">INDEX(Bases!$C$2:$C$53,B308)</f>
        <v>Water</v>
      </c>
      <c r="H308" s="8" t="str">
        <f aca="false">IF(INDEX(Bases!$C$2:$C$53,C308)=G308,"",INDEX(Bases!$C$2:$C$53,C308))</f>
        <v>Poison</v>
      </c>
      <c r="I308" s="8" t="str">
        <f aca="false">IF(INDEX(Bases!$E$2:$E$53,B308)="","",INDEX(Bases!$E$2:$E$53,B308))</f>
        <v/>
      </c>
      <c r="J308" s="8" t="str">
        <f aca="false">IF(INDEX(Bases!$E$2:$E$53,C308)="","",INDEX(Bases!$E$2:$E$53,C308))</f>
        <v/>
      </c>
      <c r="K308" s="5"/>
      <c r="L308" s="2" t="n">
        <f aca="false">AE308+IF(SUMPRODUCT(--($AL308:$AQ308&gt;AL308))&lt;$AK308,1,0)</f>
        <v>123</v>
      </c>
      <c r="M308" s="2" t="n">
        <f aca="false">AF308+IF(SUMPRODUCT(--($AL308:$AQ308&gt;AM308))+SUMPRODUCT(--($AL308:AL308=AM308))&lt;$AK308,1,0)</f>
        <v>63</v>
      </c>
      <c r="N308" s="2" t="n">
        <f aca="false">AG308+IF(SUMPRODUCT(--($AL308:$AQ308&gt;AN308))+SUMPRODUCT(--($AL308:AM308=AN308))&lt;$AK308,1,0)</f>
        <v>96</v>
      </c>
      <c r="O308" s="2" t="n">
        <f aca="false">AH308+IF(SUMPRODUCT(--($AL308:$AQ308&gt;AO308))+SUMPRODUCT(--($AL308:AN308=AO308))&lt;$AK308,1,0)</f>
        <v>63</v>
      </c>
      <c r="P308" s="2" t="n">
        <f aca="false">AI308+IF(SUMPRODUCT(--($AL308:$AQ308&gt;AP308))+SUMPRODUCT(--($AL308:AO308=AP308))&lt;$AK308,1,0)</f>
        <v>96</v>
      </c>
      <c r="Q308" s="2" t="n">
        <f aca="false">AJ308+IF(SUMPRODUCT(--($AL308:$AQ308&gt;AQ308))+SUMPRODUCT(--($AL308:AP308=AQ308))&lt;$AK308,1,0)</f>
        <v>59</v>
      </c>
      <c r="R308" s="2" t="n">
        <f aca="false">SUM(L308:Q308)</f>
        <v>500</v>
      </c>
      <c r="S308" s="2" t="n">
        <f aca="false">Settings!$B$4*MAX(INDEX(Bases!$M$2:$M$53,B308),INDEX(Bases!$M$2:$M$53,C308))+Settings!$B$5*MIN(INDEX(Bases!$M$2:$M$53,B308),INDEX(Bases!$M$2:$M$53,C308))</f>
        <v>101.666666666667</v>
      </c>
      <c r="T308" s="2" t="n">
        <f aca="false">Settings!$B$4*MAX(INDEX(Bases!$N$2:$N$53,B308),INDEX(Bases!$N$2:$N$53,C308))+Settings!$B$5*MIN(INDEX(Bases!$N$2:$N$53,B308),INDEX(Bases!$N$2:$N$53,C308))</f>
        <v>52</v>
      </c>
      <c r="U308" s="2" t="n">
        <f aca="false">Settings!$B$4*MAX(INDEX(Bases!$O$2:$O$53,B308),INDEX(Bases!$O$2:$O$53,C308))+Settings!$B$5*MIN(INDEX(Bases!$O$2:$O$53,B308),INDEX(Bases!$O$2:$O$53,C308))</f>
        <v>79.3333333333333</v>
      </c>
      <c r="V308" s="2" t="n">
        <f aca="false">Settings!$B$4*MAX(INDEX(Bases!$P$2:$P$53,B308),INDEX(Bases!$P$2:$P$53,C308))+Settings!$B$5*MIN(INDEX(Bases!$P$2:$P$53,B308),INDEX(Bases!$P$2:$P$53,C308))</f>
        <v>52</v>
      </c>
      <c r="W308" s="2" t="n">
        <f aca="false">Settings!$B$4*MAX(INDEX(Bases!$Q$2:$Q$53,B308),INDEX(Bases!$Q$2:$Q$53,C308))+Settings!$B$5*MIN(INDEX(Bases!$Q$2:$Q$53,B308),INDEX(Bases!$Q$2:$Q$53,C308))</f>
        <v>79.3333333333333</v>
      </c>
      <c r="X308" s="2" t="n">
        <f aca="false">Settings!$B$4*MAX(INDEX(Bases!$R$2:$R$53,B308),INDEX(Bases!$R$2:$R$53,C308))+Settings!$B$5*MIN(INDEX(Bases!$R$2:$R$53,B308),INDEX(Bases!$R$2:$R$53,C308))</f>
        <v>49.3333333333333</v>
      </c>
      <c r="Y308" s="2" t="n">
        <f aca="false">S308*Settings!$B$3/SUM(S308:X308)</f>
        <v>122.884770346495</v>
      </c>
      <c r="Z308" s="2" t="n">
        <f aca="false">T308*Settings!$B$3/SUM(S308:X308)</f>
        <v>62.8525382755842</v>
      </c>
      <c r="AA308" s="2" t="n">
        <f aca="false">U308*Settings!$B$3/SUM(S308:X308)</f>
        <v>95.8904109589041</v>
      </c>
      <c r="AB308" s="2" t="n">
        <f aca="false">V308*Settings!$B$3/SUM(S308:X308)</f>
        <v>62.8525382755842</v>
      </c>
      <c r="AC308" s="2" t="n">
        <f aca="false">W308*Settings!$B$3/SUM(S308:X308)</f>
        <v>95.8904109589041</v>
      </c>
      <c r="AD308" s="2" t="n">
        <f aca="false">X308*Settings!$B$3/SUM(S308:X308)</f>
        <v>59.6293311845286</v>
      </c>
      <c r="AE308" s="2" t="n">
        <f aca="false">INT(Y308)</f>
        <v>122</v>
      </c>
      <c r="AF308" s="2" t="n">
        <f aca="false">INT(Z308)</f>
        <v>62</v>
      </c>
      <c r="AG308" s="2" t="n">
        <f aca="false">INT(AA308)</f>
        <v>95</v>
      </c>
      <c r="AH308" s="2" t="n">
        <f aca="false">INT(AB308)</f>
        <v>62</v>
      </c>
      <c r="AI308" s="2" t="n">
        <f aca="false">INT(AC308)</f>
        <v>95</v>
      </c>
      <c r="AJ308" s="2" t="n">
        <f aca="false">INT(AD308)</f>
        <v>59</v>
      </c>
      <c r="AK308" s="2" t="n">
        <f aca="false">Settings!$B$3-SUM(AE308:AJ308)</f>
        <v>5</v>
      </c>
      <c r="AL308" s="2" t="n">
        <f aca="false">ROUND(Y308-AE308,9)</f>
        <v>0.884770346</v>
      </c>
      <c r="AM308" s="2" t="n">
        <f aca="false">ROUND(Z308-AF308,9)</f>
        <v>0.852538276</v>
      </c>
      <c r="AN308" s="2" t="n">
        <f aca="false">ROUND(AA308-AG308,9)</f>
        <v>0.890410959</v>
      </c>
      <c r="AO308" s="2" t="n">
        <f aca="false">ROUND(AB308-AH308,9)</f>
        <v>0.852538276</v>
      </c>
      <c r="AP308" s="2" t="n">
        <f aca="false">ROUND(AC308-AI308,9)</f>
        <v>0.890410959</v>
      </c>
      <c r="AQ308" s="2" t="n">
        <f aca="false">ROUND(AD308-AJ308,9)</f>
        <v>0.629331185</v>
      </c>
    </row>
    <row r="309" customFormat="false" ht="15" hidden="false" customHeight="false" outlineLevel="0" collapsed="false">
      <c r="A309" s="2" t="n">
        <v>308</v>
      </c>
      <c r="B309" s="6" t="n">
        <v>7</v>
      </c>
      <c r="C309" s="6" t="n">
        <v>24</v>
      </c>
      <c r="D309" s="8" t="str">
        <f aca="false">INDEX(Bases!$B$2:$B$53,B309)</f>
        <v>Azurill</v>
      </c>
      <c r="E309" s="8" t="str">
        <f aca="false">INDEX(Bases!$B$2:$B$53,C309)</f>
        <v>Koffing</v>
      </c>
      <c r="F309" s="2" t="str">
        <f aca="false">LEFT(D309,ROUNDUP(LEN(D309)/2,0))&amp;LOWER(MID(E309,ROUNDUP(LEN(E309)/2,0)+1,20))</f>
        <v>Azuring</v>
      </c>
      <c r="G309" s="8" t="str">
        <f aca="false">INDEX(Bases!$C$2:$C$53,B309)</f>
        <v>Water</v>
      </c>
      <c r="H309" s="8" t="str">
        <f aca="false">IF(INDEX(Bases!$C$2:$C$53,C309)=G309,"",INDEX(Bases!$C$2:$C$53,C309))</f>
        <v>Poison</v>
      </c>
      <c r="I309" s="8" t="str">
        <f aca="false">IF(INDEX(Bases!$E$2:$E$53,B309)="","",INDEX(Bases!$E$2:$E$53,B309))</f>
        <v/>
      </c>
      <c r="J309" s="8" t="str">
        <f aca="false">IF(INDEX(Bases!$E$2:$E$53,C309)="","",INDEX(Bases!$E$2:$E$53,C309))</f>
        <v/>
      </c>
      <c r="K309" s="5"/>
      <c r="L309" s="2" t="n">
        <f aca="false">AE309+IF(SUMPRODUCT(--($AL309:$AQ309&gt;AL309))&lt;$AK309,1,0)</f>
        <v>100</v>
      </c>
      <c r="M309" s="2" t="n">
        <f aca="false">AF309+IF(SUMPRODUCT(--($AL309:$AQ309&gt;AM309))+SUMPRODUCT(--($AL309:AL309=AM309))&lt;$AK309,1,0)</f>
        <v>75</v>
      </c>
      <c r="N309" s="2" t="n">
        <f aca="false">AG309+IF(SUMPRODUCT(--($AL309:$AQ309&gt;AN309))+SUMPRODUCT(--($AL309:AM309=AN309))&lt;$AK309,1,0)</f>
        <v>119</v>
      </c>
      <c r="O309" s="2" t="n">
        <f aca="false">AH309+IF(SUMPRODUCT(--($AL309:$AQ309&gt;AO309))+SUMPRODUCT(--($AL309:AN309=AO309))&lt;$AK309,1,0)</f>
        <v>71</v>
      </c>
      <c r="P309" s="2" t="n">
        <f aca="false">AI309+IF(SUMPRODUCT(--($AL309:$AQ309&gt;AP309))+SUMPRODUCT(--($AL309:AO309=AP309))&lt;$AK309,1,0)</f>
        <v>86</v>
      </c>
      <c r="Q309" s="2" t="n">
        <f aca="false">AJ309+IF(SUMPRODUCT(--($AL309:$AQ309&gt;AQ309))+SUMPRODUCT(--($AL309:AP309=AQ309))&lt;$AK309,1,0)</f>
        <v>49</v>
      </c>
      <c r="R309" s="2" t="n">
        <f aca="false">SUM(L309:Q309)</f>
        <v>500</v>
      </c>
      <c r="S309" s="2" t="n">
        <f aca="false">Settings!$B$4*MAX(INDEX(Bases!$M$2:$M$53,B309),INDEX(Bases!$M$2:$M$53,C309))+Settings!$B$5*MIN(INDEX(Bases!$M$2:$M$53,B309),INDEX(Bases!$M$2:$M$53,C309))</f>
        <v>86.3333333333333</v>
      </c>
      <c r="T309" s="2" t="n">
        <f aca="false">Settings!$B$4*MAX(INDEX(Bases!$N$2:$N$53,B309),INDEX(Bases!$N$2:$N$53,C309))+Settings!$B$5*MIN(INDEX(Bases!$N$2:$N$53,B309),INDEX(Bases!$N$2:$N$53,C309))</f>
        <v>64.6666666666667</v>
      </c>
      <c r="U309" s="2" t="n">
        <f aca="false">Settings!$B$4*MAX(INDEX(Bases!$O$2:$O$53,B309),INDEX(Bases!$O$2:$O$53,C309))+Settings!$B$5*MIN(INDEX(Bases!$O$2:$O$53,B309),INDEX(Bases!$O$2:$O$53,C309))</f>
        <v>102.666666666667</v>
      </c>
      <c r="V309" s="2" t="n">
        <f aca="false">Settings!$B$4*MAX(INDEX(Bases!$P$2:$P$53,B309),INDEX(Bases!$P$2:$P$53,C309))+Settings!$B$5*MIN(INDEX(Bases!$P$2:$P$53,B309),INDEX(Bases!$P$2:$P$53,C309))</f>
        <v>61.3333333333333</v>
      </c>
      <c r="W309" s="2" t="n">
        <f aca="false">Settings!$B$4*MAX(INDEX(Bases!$Q$2:$Q$53,B309),INDEX(Bases!$Q$2:$Q$53,C309))+Settings!$B$5*MIN(INDEX(Bases!$Q$2:$Q$53,B309),INDEX(Bases!$Q$2:$Q$53,C309))</f>
        <v>73.6666666666667</v>
      </c>
      <c r="X309" s="2" t="n">
        <f aca="false">Settings!$B$4*MAX(INDEX(Bases!$R$2:$R$53,B309),INDEX(Bases!$R$2:$R$53,C309))+Settings!$B$5*MIN(INDEX(Bases!$R$2:$R$53,B309),INDEX(Bases!$R$2:$R$53,C309))</f>
        <v>41.6666666666667</v>
      </c>
      <c r="Y309" s="2" t="n">
        <f aca="false">S309*Settings!$B$3/SUM(S309:X309)</f>
        <v>100.309837335399</v>
      </c>
      <c r="Z309" s="2" t="n">
        <f aca="false">T309*Settings!$B$3/SUM(S309:X309)</f>
        <v>75.135553834237</v>
      </c>
      <c r="AA309" s="2" t="n">
        <f aca="false">U309*Settings!$B$3/SUM(S309:X309)</f>
        <v>119.287374128582</v>
      </c>
      <c r="AB309" s="2" t="n">
        <f aca="false">V309*Settings!$B$3/SUM(S309:X309)</f>
        <v>71.2625871417506</v>
      </c>
      <c r="AC309" s="2" t="n">
        <f aca="false">W309*Settings!$B$3/SUM(S309:X309)</f>
        <v>85.5925639039504</v>
      </c>
      <c r="AD309" s="2" t="n">
        <f aca="false">X309*Settings!$B$3/SUM(S309:X309)</f>
        <v>48.4120836560806</v>
      </c>
      <c r="AE309" s="2" t="n">
        <f aca="false">INT(Y309)</f>
        <v>100</v>
      </c>
      <c r="AF309" s="2" t="n">
        <f aca="false">INT(Z309)</f>
        <v>75</v>
      </c>
      <c r="AG309" s="2" t="n">
        <f aca="false">INT(AA309)</f>
        <v>119</v>
      </c>
      <c r="AH309" s="2" t="n">
        <f aca="false">INT(AB309)</f>
        <v>71</v>
      </c>
      <c r="AI309" s="2" t="n">
        <f aca="false">INT(AC309)</f>
        <v>85</v>
      </c>
      <c r="AJ309" s="2" t="n">
        <f aca="false">INT(AD309)</f>
        <v>48</v>
      </c>
      <c r="AK309" s="2" t="n">
        <f aca="false">Settings!$B$3-SUM(AE309:AJ309)</f>
        <v>2</v>
      </c>
      <c r="AL309" s="2" t="n">
        <f aca="false">ROUND(Y309-AE309,9)</f>
        <v>0.309837335</v>
      </c>
      <c r="AM309" s="2" t="n">
        <f aca="false">ROUND(Z309-AF309,9)</f>
        <v>0.135553834</v>
      </c>
      <c r="AN309" s="2" t="n">
        <f aca="false">ROUND(AA309-AG309,9)</f>
        <v>0.287374129</v>
      </c>
      <c r="AO309" s="2" t="n">
        <f aca="false">ROUND(AB309-AH309,9)</f>
        <v>0.262587142</v>
      </c>
      <c r="AP309" s="2" t="n">
        <f aca="false">ROUND(AC309-AI309,9)</f>
        <v>0.592563904</v>
      </c>
      <c r="AQ309" s="2" t="n">
        <f aca="false">ROUND(AD309-AJ309,9)</f>
        <v>0.412083656</v>
      </c>
    </row>
    <row r="310" customFormat="false" ht="15" hidden="false" customHeight="false" outlineLevel="0" collapsed="false">
      <c r="A310" s="2" t="n">
        <v>309</v>
      </c>
      <c r="B310" s="6" t="n">
        <v>7</v>
      </c>
      <c r="C310" s="6" t="n">
        <v>25</v>
      </c>
      <c r="D310" s="8" t="str">
        <f aca="false">INDEX(Bases!$B$2:$B$53,B310)</f>
        <v>Azurill</v>
      </c>
      <c r="E310" s="8" t="str">
        <f aca="false">INDEX(Bases!$B$2:$B$53,C310)</f>
        <v>Sandshrew</v>
      </c>
      <c r="F310" s="2" t="str">
        <f aca="false">LEFT(D310,ROUNDUP(LEN(D310)/2,0))&amp;LOWER(MID(E310,ROUNDUP(LEN(E310)/2,0)+1,20))</f>
        <v>Azurhrew</v>
      </c>
      <c r="G310" s="8" t="str">
        <f aca="false">INDEX(Bases!$C$2:$C$53,B310)</f>
        <v>Water</v>
      </c>
      <c r="H310" s="8" t="str">
        <f aca="false">IF(INDEX(Bases!$C$2:$C$53,C310)=G310,"",INDEX(Bases!$C$2:$C$53,C310))</f>
        <v>Ground</v>
      </c>
      <c r="I310" s="8" t="str">
        <f aca="false">IF(INDEX(Bases!$E$2:$E$53,B310)="","",INDEX(Bases!$E$2:$E$53,B310))</f>
        <v/>
      </c>
      <c r="J310" s="8" t="str">
        <f aca="false">IF(INDEX(Bases!$E$2:$E$53,C310)="","",INDEX(Bases!$E$2:$E$53,C310))</f>
        <v/>
      </c>
      <c r="K310" s="5"/>
      <c r="L310" s="2" t="n">
        <f aca="false">AE310+IF(SUMPRODUCT(--($AL310:$AQ310&gt;AL310))&lt;$AK310,1,0)</f>
        <v>108</v>
      </c>
      <c r="M310" s="2" t="n">
        <f aca="false">AF310+IF(SUMPRODUCT(--($AL310:$AQ310&gt;AM310))+SUMPRODUCT(--($AL310:AL310=AM310))&lt;$AK310,1,0)</f>
        <v>93</v>
      </c>
      <c r="N310" s="2" t="n">
        <f aca="false">AG310+IF(SUMPRODUCT(--($AL310:$AQ310&gt;AN310))+SUMPRODUCT(--($AL310:AM310=AN310))&lt;$AK310,1,0)</f>
        <v>119</v>
      </c>
      <c r="O310" s="2" t="n">
        <f aca="false">AH310+IF(SUMPRODUCT(--($AL310:$AQ310&gt;AO310))+SUMPRODUCT(--($AL310:AN310=AO310))&lt;$AK310,1,0)</f>
        <v>43</v>
      </c>
      <c r="P310" s="2" t="n">
        <f aca="false">AI310+IF(SUMPRODUCT(--($AL310:$AQ310&gt;AP310))+SUMPRODUCT(--($AL310:AO310=AP310))&lt;$AK310,1,0)</f>
        <v>80</v>
      </c>
      <c r="Q310" s="2" t="n">
        <f aca="false">AJ310+IF(SUMPRODUCT(--($AL310:$AQ310&gt;AQ310))+SUMPRODUCT(--($AL310:AP310=AQ310))&lt;$AK310,1,0)</f>
        <v>57</v>
      </c>
      <c r="R310" s="2" t="n">
        <f aca="false">SUM(L310:Q310)</f>
        <v>500</v>
      </c>
      <c r="S310" s="2" t="n">
        <f aca="false">Settings!$B$4*MAX(INDEX(Bases!$M$2:$M$53,B310),INDEX(Bases!$M$2:$M$53,C310))+Settings!$B$5*MIN(INDEX(Bases!$M$2:$M$53,B310),INDEX(Bases!$M$2:$M$53,C310))</f>
        <v>93</v>
      </c>
      <c r="T310" s="2" t="n">
        <f aca="false">Settings!$B$4*MAX(INDEX(Bases!$N$2:$N$53,B310),INDEX(Bases!$N$2:$N$53,C310))+Settings!$B$5*MIN(INDEX(Bases!$N$2:$N$53,B310),INDEX(Bases!$N$2:$N$53,C310))</f>
        <v>80.6666666666667</v>
      </c>
      <c r="U310" s="2" t="n">
        <f aca="false">Settings!$B$4*MAX(INDEX(Bases!$O$2:$O$53,B310),INDEX(Bases!$O$2:$O$53,C310))+Settings!$B$5*MIN(INDEX(Bases!$O$2:$O$53,B310),INDEX(Bases!$O$2:$O$53,C310))</f>
        <v>103.333333333333</v>
      </c>
      <c r="V310" s="2" t="n">
        <f aca="false">Settings!$B$4*MAX(INDEX(Bases!$P$2:$P$53,B310),INDEX(Bases!$P$2:$P$53,C310))+Settings!$B$5*MIN(INDEX(Bases!$P$2:$P$53,B310),INDEX(Bases!$P$2:$P$53,C310))</f>
        <v>37</v>
      </c>
      <c r="W310" s="2" t="n">
        <f aca="false">Settings!$B$4*MAX(INDEX(Bases!$Q$2:$Q$53,B310),INDEX(Bases!$Q$2:$Q$53,C310))+Settings!$B$5*MIN(INDEX(Bases!$Q$2:$Q$53,B310),INDEX(Bases!$Q$2:$Q$53,C310))</f>
        <v>69.3333333333333</v>
      </c>
      <c r="X310" s="2" t="n">
        <f aca="false">Settings!$B$4*MAX(INDEX(Bases!$R$2:$R$53,B310),INDEX(Bases!$R$2:$R$53,C310))+Settings!$B$5*MIN(INDEX(Bases!$R$2:$R$53,B310),INDEX(Bases!$R$2:$R$53,C310))</f>
        <v>49.3333333333333</v>
      </c>
      <c r="Y310" s="2" t="n">
        <f aca="false">S310*Settings!$B$3/SUM(S310:X310)</f>
        <v>107.473035439137</v>
      </c>
      <c r="Z310" s="2" t="n">
        <f aca="false">T310*Settings!$B$3/SUM(S310:X310)</f>
        <v>93.2203389830509</v>
      </c>
      <c r="AA310" s="2" t="n">
        <f aca="false">U310*Settings!$B$3/SUM(S310:X310)</f>
        <v>119.414483821263</v>
      </c>
      <c r="AB310" s="2" t="n">
        <f aca="false">V310*Settings!$B$3/SUM(S310:X310)</f>
        <v>42.7580893682589</v>
      </c>
      <c r="AC310" s="2" t="n">
        <f aca="false">W310*Settings!$B$3/SUM(S310:X310)</f>
        <v>80.1232665639446</v>
      </c>
      <c r="AD310" s="2" t="n">
        <f aca="false">X310*Settings!$B$3/SUM(S310:X310)</f>
        <v>57.0107858243452</v>
      </c>
      <c r="AE310" s="2" t="n">
        <f aca="false">INT(Y310)</f>
        <v>107</v>
      </c>
      <c r="AF310" s="2" t="n">
        <f aca="false">INT(Z310)</f>
        <v>93</v>
      </c>
      <c r="AG310" s="2" t="n">
        <f aca="false">INT(AA310)</f>
        <v>119</v>
      </c>
      <c r="AH310" s="2" t="n">
        <f aca="false">INT(AB310)</f>
        <v>42</v>
      </c>
      <c r="AI310" s="2" t="n">
        <f aca="false">INT(AC310)</f>
        <v>80</v>
      </c>
      <c r="AJ310" s="2" t="n">
        <f aca="false">INT(AD310)</f>
        <v>57</v>
      </c>
      <c r="AK310" s="2" t="n">
        <f aca="false">Settings!$B$3-SUM(AE310:AJ310)</f>
        <v>2</v>
      </c>
      <c r="AL310" s="2" t="n">
        <f aca="false">ROUND(Y310-AE310,9)</f>
        <v>0.473035439</v>
      </c>
      <c r="AM310" s="2" t="n">
        <f aca="false">ROUND(Z310-AF310,9)</f>
        <v>0.220338983</v>
      </c>
      <c r="AN310" s="2" t="n">
        <f aca="false">ROUND(AA310-AG310,9)</f>
        <v>0.414483821</v>
      </c>
      <c r="AO310" s="2" t="n">
        <f aca="false">ROUND(AB310-AH310,9)</f>
        <v>0.758089368</v>
      </c>
      <c r="AP310" s="2" t="n">
        <f aca="false">ROUND(AC310-AI310,9)</f>
        <v>0.123266564</v>
      </c>
      <c r="AQ310" s="2" t="n">
        <f aca="false">ROUND(AD310-AJ310,9)</f>
        <v>0.010785824</v>
      </c>
    </row>
    <row r="311" customFormat="false" ht="15" hidden="false" customHeight="false" outlineLevel="0" collapsed="false">
      <c r="A311" s="2" t="n">
        <v>310</v>
      </c>
      <c r="B311" s="6" t="n">
        <v>7</v>
      </c>
      <c r="C311" s="6" t="n">
        <v>26</v>
      </c>
      <c r="D311" s="8" t="str">
        <f aca="false">INDEX(Bases!$B$2:$B$53,B311)</f>
        <v>Azurill</v>
      </c>
      <c r="E311" s="8" t="str">
        <f aca="false">INDEX(Bases!$B$2:$B$53,C311)</f>
        <v>Phanpy</v>
      </c>
      <c r="F311" s="2" t="str">
        <f aca="false">LEFT(D311,ROUNDUP(LEN(D311)/2,0))&amp;LOWER(MID(E311,ROUNDUP(LEN(E311)/2,0)+1,20))</f>
        <v>Azurnpy</v>
      </c>
      <c r="G311" s="8" t="str">
        <f aca="false">INDEX(Bases!$C$2:$C$53,B311)</f>
        <v>Water</v>
      </c>
      <c r="H311" s="8" t="str">
        <f aca="false">IF(INDEX(Bases!$C$2:$C$53,C311)=G311,"",INDEX(Bases!$C$2:$C$53,C311))</f>
        <v>Ground</v>
      </c>
      <c r="I311" s="8" t="str">
        <f aca="false">IF(INDEX(Bases!$E$2:$E$53,B311)="","",INDEX(Bases!$E$2:$E$53,B311))</f>
        <v/>
      </c>
      <c r="J311" s="8" t="str">
        <f aca="false">IF(INDEX(Bases!$E$2:$E$53,C311)="","",INDEX(Bases!$E$2:$E$53,C311))</f>
        <v/>
      </c>
      <c r="K311" s="5"/>
      <c r="L311" s="2" t="n">
        <f aca="false">AE311+IF(SUMPRODUCT(--($AL311:$AQ311&gt;AL311))&lt;$AK311,1,0)</f>
        <v>130</v>
      </c>
      <c r="M311" s="2" t="n">
        <f aca="false">AF311+IF(SUMPRODUCT(--($AL311:$AQ311&gt;AM311))+SUMPRODUCT(--($AL311:AL311=AM311))&lt;$AK311,1,0)</f>
        <v>75</v>
      </c>
      <c r="N311" s="2" t="n">
        <f aca="false">AG311+IF(SUMPRODUCT(--($AL311:$AQ311&gt;AN311))+SUMPRODUCT(--($AL311:AM311=AN311))&lt;$AK311,1,0)</f>
        <v>97</v>
      </c>
      <c r="O311" s="2" t="n">
        <f aca="false">AH311+IF(SUMPRODUCT(--($AL311:$AQ311&gt;AO311))+SUMPRODUCT(--($AL311:AN311=AO311))&lt;$AK311,1,0)</f>
        <v>56</v>
      </c>
      <c r="P311" s="2" t="n">
        <f aca="false">AI311+IF(SUMPRODUCT(--($AL311:$AQ311&gt;AP311))+SUMPRODUCT(--($AL311:AO311=AP311))&lt;$AK311,1,0)</f>
        <v>87</v>
      </c>
      <c r="Q311" s="2" t="n">
        <f aca="false">AJ311+IF(SUMPRODUCT(--($AL311:$AQ311&gt;AQ311))+SUMPRODUCT(--($AL311:AP311=AQ311))&lt;$AK311,1,0)</f>
        <v>55</v>
      </c>
      <c r="R311" s="2" t="n">
        <f aca="false">SUM(L311:Q311)</f>
        <v>500</v>
      </c>
      <c r="S311" s="2" t="n">
        <f aca="false">Settings!$B$4*MAX(INDEX(Bases!$M$2:$M$53,B311),INDEX(Bases!$M$2:$M$53,C311))+Settings!$B$5*MIN(INDEX(Bases!$M$2:$M$53,B311),INDEX(Bases!$M$2:$M$53,C311))</f>
        <v>108</v>
      </c>
      <c r="T311" s="2" t="n">
        <f aca="false">Settings!$B$4*MAX(INDEX(Bases!$N$2:$N$53,B311),INDEX(Bases!$N$2:$N$53,C311))+Settings!$B$5*MIN(INDEX(Bases!$N$2:$N$53,B311),INDEX(Bases!$N$2:$N$53,C311))</f>
        <v>62.6666666666667</v>
      </c>
      <c r="U311" s="2" t="n">
        <f aca="false">Settings!$B$4*MAX(INDEX(Bases!$O$2:$O$53,B311),INDEX(Bases!$O$2:$O$53,C311))+Settings!$B$5*MIN(INDEX(Bases!$O$2:$O$53,B311),INDEX(Bases!$O$2:$O$53,C311))</f>
        <v>80.3333333333333</v>
      </c>
      <c r="V311" s="2" t="n">
        <f aca="false">Settings!$B$4*MAX(INDEX(Bases!$P$2:$P$53,B311),INDEX(Bases!$P$2:$P$53,C311))+Settings!$B$5*MIN(INDEX(Bases!$P$2:$P$53,B311),INDEX(Bases!$P$2:$P$53,C311))</f>
        <v>46.6666666666667</v>
      </c>
      <c r="W311" s="2" t="n">
        <f aca="false">Settings!$B$4*MAX(INDEX(Bases!$Q$2:$Q$53,B311),INDEX(Bases!$Q$2:$Q$53,C311))+Settings!$B$5*MIN(INDEX(Bases!$Q$2:$Q$53,B311),INDEX(Bases!$Q$2:$Q$53,C311))</f>
        <v>72</v>
      </c>
      <c r="X311" s="2" t="n">
        <f aca="false">Settings!$B$4*MAX(INDEX(Bases!$R$2:$R$53,B311),INDEX(Bases!$R$2:$R$53,C311))+Settings!$B$5*MIN(INDEX(Bases!$R$2:$R$53,B311),INDEX(Bases!$R$2:$R$53,C311))</f>
        <v>46</v>
      </c>
      <c r="Y311" s="2" t="n">
        <f aca="false">S311*Settings!$B$3/SUM(S311:X311)</f>
        <v>129.911788291901</v>
      </c>
      <c r="Z311" s="2" t="n">
        <f aca="false">T311*Settings!$B$3/SUM(S311:X311)</f>
        <v>75.3809141940658</v>
      </c>
      <c r="AA311" s="2" t="n">
        <f aca="false">U311*Settings!$B$3/SUM(S311:X311)</f>
        <v>96.6319165998396</v>
      </c>
      <c r="AB311" s="2" t="n">
        <f aca="false">V311*Settings!$B$3/SUM(S311:X311)</f>
        <v>56.1347233360064</v>
      </c>
      <c r="AC311" s="2" t="n">
        <f aca="false">W311*Settings!$B$3/SUM(S311:X311)</f>
        <v>86.607858861267</v>
      </c>
      <c r="AD311" s="2" t="n">
        <f aca="false">X311*Settings!$B$3/SUM(S311:X311)</f>
        <v>55.3327987169206</v>
      </c>
      <c r="AE311" s="2" t="n">
        <f aca="false">INT(Y311)</f>
        <v>129</v>
      </c>
      <c r="AF311" s="2" t="n">
        <f aca="false">INT(Z311)</f>
        <v>75</v>
      </c>
      <c r="AG311" s="2" t="n">
        <f aca="false">INT(AA311)</f>
        <v>96</v>
      </c>
      <c r="AH311" s="2" t="n">
        <f aca="false">INT(AB311)</f>
        <v>56</v>
      </c>
      <c r="AI311" s="2" t="n">
        <f aca="false">INT(AC311)</f>
        <v>86</v>
      </c>
      <c r="AJ311" s="2" t="n">
        <f aca="false">INT(AD311)</f>
        <v>55</v>
      </c>
      <c r="AK311" s="2" t="n">
        <f aca="false">Settings!$B$3-SUM(AE311:AJ311)</f>
        <v>3</v>
      </c>
      <c r="AL311" s="2" t="n">
        <f aca="false">ROUND(Y311-AE311,9)</f>
        <v>0.911788292</v>
      </c>
      <c r="AM311" s="2" t="n">
        <f aca="false">ROUND(Z311-AF311,9)</f>
        <v>0.380914194</v>
      </c>
      <c r="AN311" s="2" t="n">
        <f aca="false">ROUND(AA311-AG311,9)</f>
        <v>0.6319166</v>
      </c>
      <c r="AO311" s="2" t="n">
        <f aca="false">ROUND(AB311-AH311,9)</f>
        <v>0.134723336</v>
      </c>
      <c r="AP311" s="2" t="n">
        <f aca="false">ROUND(AC311-AI311,9)</f>
        <v>0.607858861</v>
      </c>
      <c r="AQ311" s="2" t="n">
        <f aca="false">ROUND(AD311-AJ311,9)</f>
        <v>0.332798717</v>
      </c>
    </row>
    <row r="312" customFormat="false" ht="15" hidden="false" customHeight="false" outlineLevel="0" collapsed="false">
      <c r="A312" s="2" t="n">
        <v>311</v>
      </c>
      <c r="B312" s="6" t="n">
        <v>7</v>
      </c>
      <c r="C312" s="6" t="n">
        <v>27</v>
      </c>
      <c r="D312" s="8" t="str">
        <f aca="false">INDEX(Bases!$B$2:$B$53,B312)</f>
        <v>Azurill</v>
      </c>
      <c r="E312" s="8" t="str">
        <f aca="false">INDEX(Bases!$B$2:$B$53,C312)</f>
        <v>Baltoy</v>
      </c>
      <c r="F312" s="2" t="str">
        <f aca="false">LEFT(D312,ROUNDUP(LEN(D312)/2,0))&amp;LOWER(MID(E312,ROUNDUP(LEN(E312)/2,0)+1,20))</f>
        <v>Azurtoy</v>
      </c>
      <c r="G312" s="8" t="str">
        <f aca="false">INDEX(Bases!$C$2:$C$53,B312)</f>
        <v>Water</v>
      </c>
      <c r="H312" s="8" t="str">
        <f aca="false">IF(INDEX(Bases!$C$2:$C$53,C312)=G312,"",INDEX(Bases!$C$2:$C$53,C312))</f>
        <v>Ground</v>
      </c>
      <c r="I312" s="8" t="str">
        <f aca="false">IF(INDEX(Bases!$E$2:$E$53,B312)="","",INDEX(Bases!$E$2:$E$53,B312))</f>
        <v/>
      </c>
      <c r="J312" s="8" t="str">
        <f aca="false">IF(INDEX(Bases!$E$2:$E$53,C312)="","",INDEX(Bases!$E$2:$E$53,C312))</f>
        <v/>
      </c>
      <c r="K312" s="5"/>
      <c r="L312" s="2" t="n">
        <f aca="false">AE312+IF(SUMPRODUCT(--($AL312:$AQ312&gt;AL312))&lt;$AK312,1,0)</f>
        <v>105</v>
      </c>
      <c r="M312" s="2" t="n">
        <f aca="false">AF312+IF(SUMPRODUCT(--($AL312:$AQ312&gt;AM312))+SUMPRODUCT(--($AL312:AL312=AM312))&lt;$AK312,1,0)</f>
        <v>59</v>
      </c>
      <c r="N312" s="2" t="n">
        <f aca="false">AG312+IF(SUMPRODUCT(--($AL312:$AQ312&gt;AN312))+SUMPRODUCT(--($AL312:AM312=AN312))&lt;$AK312,1,0)</f>
        <v>95</v>
      </c>
      <c r="O312" s="2" t="n">
        <f aca="false">AH312+IF(SUMPRODUCT(--($AL312:$AQ312&gt;AO312))+SUMPRODUCT(--($AL312:AN312=AO312))&lt;$AK312,1,0)</f>
        <v>59</v>
      </c>
      <c r="P312" s="2" t="n">
        <f aca="false">AI312+IF(SUMPRODUCT(--($AL312:$AQ312&gt;AP312))+SUMPRODUCT(--($AL312:AO312=AP312))&lt;$AK312,1,0)</f>
        <v>107</v>
      </c>
      <c r="Q312" s="2" t="n">
        <f aca="false">AJ312+IF(SUMPRODUCT(--($AL312:$AQ312&gt;AQ312))+SUMPRODUCT(--($AL312:AP312=AQ312))&lt;$AK312,1,0)</f>
        <v>75</v>
      </c>
      <c r="R312" s="2" t="n">
        <f aca="false">SUM(L312:Q312)</f>
        <v>500</v>
      </c>
      <c r="S312" s="2" t="n">
        <f aca="false">Settings!$B$4*MAX(INDEX(Bases!$M$2:$M$53,B312),INDEX(Bases!$M$2:$M$53,C312))+Settings!$B$5*MIN(INDEX(Bases!$M$2:$M$53,B312),INDEX(Bases!$M$2:$M$53,C312))</f>
        <v>88.6666666666667</v>
      </c>
      <c r="T312" s="2" t="n">
        <f aca="false">Settings!$B$4*MAX(INDEX(Bases!$N$2:$N$53,B312),INDEX(Bases!$N$2:$N$53,C312))+Settings!$B$5*MIN(INDEX(Bases!$N$2:$N$53,B312),INDEX(Bases!$N$2:$N$53,C312))</f>
        <v>50</v>
      </c>
      <c r="U312" s="2" t="n">
        <f aca="false">Settings!$B$4*MAX(INDEX(Bases!$O$2:$O$53,B312),INDEX(Bases!$O$2:$O$53,C312))+Settings!$B$5*MIN(INDEX(Bases!$O$2:$O$53,B312),INDEX(Bases!$O$2:$O$53,C312))</f>
        <v>80.3333333333333</v>
      </c>
      <c r="V312" s="2" t="n">
        <f aca="false">Settings!$B$4*MAX(INDEX(Bases!$P$2:$P$53,B312),INDEX(Bases!$P$2:$P$53,C312))+Settings!$B$5*MIN(INDEX(Bases!$P$2:$P$53,B312),INDEX(Bases!$P$2:$P$53,C312))</f>
        <v>49.3333333333333</v>
      </c>
      <c r="W312" s="2" t="n">
        <f aca="false">Settings!$B$4*MAX(INDEX(Bases!$Q$2:$Q$53,B312),INDEX(Bases!$Q$2:$Q$53,C312))+Settings!$B$5*MIN(INDEX(Bases!$Q$2:$Q$53,B312),INDEX(Bases!$Q$2:$Q$53,C312))</f>
        <v>90</v>
      </c>
      <c r="X312" s="2" t="n">
        <f aca="false">Settings!$B$4*MAX(INDEX(Bases!$R$2:$R$53,B312),INDEX(Bases!$R$2:$R$53,C312))+Settings!$B$5*MIN(INDEX(Bases!$R$2:$R$53,B312),INDEX(Bases!$R$2:$R$53,C312))</f>
        <v>62.6666666666667</v>
      </c>
      <c r="Y312" s="2" t="n">
        <f aca="false">S312*Settings!$B$3/SUM(S312:X312)</f>
        <v>105.304829770388</v>
      </c>
      <c r="Z312" s="2" t="n">
        <f aca="false">T312*Settings!$B$3/SUM(S312:X312)</f>
        <v>59.3824228028504</v>
      </c>
      <c r="AA312" s="2" t="n">
        <f aca="false">U312*Settings!$B$3/SUM(S312:X312)</f>
        <v>95.4077593032463</v>
      </c>
      <c r="AB312" s="2" t="n">
        <f aca="false">V312*Settings!$B$3/SUM(S312:X312)</f>
        <v>58.590657165479</v>
      </c>
      <c r="AC312" s="2" t="n">
        <f aca="false">W312*Settings!$B$3/SUM(S312:X312)</f>
        <v>106.888361045131</v>
      </c>
      <c r="AD312" s="2" t="n">
        <f aca="false">X312*Settings!$B$3/SUM(S312:X312)</f>
        <v>74.4259699129058</v>
      </c>
      <c r="AE312" s="2" t="n">
        <f aca="false">INT(Y312)</f>
        <v>105</v>
      </c>
      <c r="AF312" s="2" t="n">
        <f aca="false">INT(Z312)</f>
        <v>59</v>
      </c>
      <c r="AG312" s="2" t="n">
        <f aca="false">INT(AA312)</f>
        <v>95</v>
      </c>
      <c r="AH312" s="2" t="n">
        <f aca="false">INT(AB312)</f>
        <v>58</v>
      </c>
      <c r="AI312" s="2" t="n">
        <f aca="false">INT(AC312)</f>
        <v>106</v>
      </c>
      <c r="AJ312" s="2" t="n">
        <f aca="false">INT(AD312)</f>
        <v>74</v>
      </c>
      <c r="AK312" s="2" t="n">
        <f aca="false">Settings!$B$3-SUM(AE312:AJ312)</f>
        <v>3</v>
      </c>
      <c r="AL312" s="2" t="n">
        <f aca="false">ROUND(Y312-AE312,9)</f>
        <v>0.30482977</v>
      </c>
      <c r="AM312" s="2" t="n">
        <f aca="false">ROUND(Z312-AF312,9)</f>
        <v>0.382422803</v>
      </c>
      <c r="AN312" s="2" t="n">
        <f aca="false">ROUND(AA312-AG312,9)</f>
        <v>0.407759303</v>
      </c>
      <c r="AO312" s="2" t="n">
        <f aca="false">ROUND(AB312-AH312,9)</f>
        <v>0.590657165</v>
      </c>
      <c r="AP312" s="2" t="n">
        <f aca="false">ROUND(AC312-AI312,9)</f>
        <v>0.888361045</v>
      </c>
      <c r="AQ312" s="2" t="n">
        <f aca="false">ROUND(AD312-AJ312,9)</f>
        <v>0.425969913</v>
      </c>
    </row>
    <row r="313" customFormat="false" ht="15" hidden="false" customHeight="false" outlineLevel="0" collapsed="false">
      <c r="A313" s="2" t="n">
        <v>312</v>
      </c>
      <c r="B313" s="6" t="n">
        <v>7</v>
      </c>
      <c r="C313" s="6" t="n">
        <v>28</v>
      </c>
      <c r="D313" s="8" t="str">
        <f aca="false">INDEX(Bases!$B$2:$B$53,B313)</f>
        <v>Azurill</v>
      </c>
      <c r="E313" s="8" t="str">
        <f aca="false">INDEX(Bases!$B$2:$B$53,C313)</f>
        <v>Zubat</v>
      </c>
      <c r="F313" s="2" t="str">
        <f aca="false">LEFT(D313,ROUNDUP(LEN(D313)/2,0))&amp;LOWER(MID(E313,ROUNDUP(LEN(E313)/2,0)+1,20))</f>
        <v>Azurat</v>
      </c>
      <c r="G313" s="8" t="str">
        <f aca="false">INDEX(Bases!$C$2:$C$53,B313)</f>
        <v>Water</v>
      </c>
      <c r="H313" s="8" t="str">
        <f aca="false">IF(INDEX(Bases!$C$2:$C$53,C313)=G313,"",INDEX(Bases!$C$2:$C$53,C313))</f>
        <v>Flying</v>
      </c>
      <c r="I313" s="8" t="str">
        <f aca="false">IF(INDEX(Bases!$E$2:$E$53,B313)="","",INDEX(Bases!$E$2:$E$53,B313))</f>
        <v/>
      </c>
      <c r="J313" s="8" t="str">
        <f aca="false">IF(INDEX(Bases!$E$2:$E$53,C313)="","",INDEX(Bases!$E$2:$E$53,C313))</f>
        <v/>
      </c>
      <c r="K313" s="5"/>
      <c r="L313" s="2" t="n">
        <f aca="false">AE313+IF(SUMPRODUCT(--($AL313:$AQ313&gt;AL313))&lt;$AK313,1,0)</f>
        <v>108</v>
      </c>
      <c r="M313" s="2" t="n">
        <f aca="false">AF313+IF(SUMPRODUCT(--($AL313:$AQ313&gt;AM313))+SUMPRODUCT(--($AL313:AL313=AM313))&lt;$AK313,1,0)</f>
        <v>74</v>
      </c>
      <c r="N313" s="2" t="n">
        <f aca="false">AG313+IF(SUMPRODUCT(--($AL313:$AQ313&gt;AN313))+SUMPRODUCT(--($AL313:AM313=AN313))&lt;$AK313,1,0)</f>
        <v>87</v>
      </c>
      <c r="O313" s="2" t="n">
        <f aca="false">AH313+IF(SUMPRODUCT(--($AL313:$AQ313&gt;AO313))+SUMPRODUCT(--($AL313:AN313=AO313))&lt;$AK313,1,0)</f>
        <v>54</v>
      </c>
      <c r="P313" s="2" t="n">
        <f aca="false">AI313+IF(SUMPRODUCT(--($AL313:$AQ313&gt;AP313))+SUMPRODUCT(--($AL313:AO313=AP313))&lt;$AK313,1,0)</f>
        <v>91</v>
      </c>
      <c r="Q313" s="2" t="n">
        <f aca="false">AJ313+IF(SUMPRODUCT(--($AL313:$AQ313&gt;AQ313))+SUMPRODUCT(--($AL313:AP313=AQ313))&lt;$AK313,1,0)</f>
        <v>86</v>
      </c>
      <c r="R313" s="2" t="n">
        <f aca="false">SUM(L313:Q313)</f>
        <v>500</v>
      </c>
      <c r="S313" s="2" t="n">
        <f aca="false">Settings!$B$4*MAX(INDEX(Bases!$M$2:$M$53,B313),INDEX(Bases!$M$2:$M$53,C313))+Settings!$B$5*MIN(INDEX(Bases!$M$2:$M$53,B313),INDEX(Bases!$M$2:$M$53,C313))</f>
        <v>92.3333333333333</v>
      </c>
      <c r="T313" s="2" t="n">
        <f aca="false">Settings!$B$4*MAX(INDEX(Bases!$N$2:$N$53,B313),INDEX(Bases!$N$2:$N$53,C313))+Settings!$B$5*MIN(INDEX(Bases!$N$2:$N$53,B313),INDEX(Bases!$N$2:$N$53,C313))</f>
        <v>63.3333333333333</v>
      </c>
      <c r="U313" s="2" t="n">
        <f aca="false">Settings!$B$4*MAX(INDEX(Bases!$O$2:$O$53,B313),INDEX(Bases!$O$2:$O$53,C313))+Settings!$B$5*MIN(INDEX(Bases!$O$2:$O$53,B313),INDEX(Bases!$O$2:$O$53,C313))</f>
        <v>75</v>
      </c>
      <c r="V313" s="2" t="n">
        <f aca="false">Settings!$B$4*MAX(INDEX(Bases!$P$2:$P$53,B313),INDEX(Bases!$P$2:$P$53,C313))+Settings!$B$5*MIN(INDEX(Bases!$P$2:$P$53,B313),INDEX(Bases!$P$2:$P$53,C313))</f>
        <v>46.6666666666667</v>
      </c>
      <c r="W313" s="2" t="n">
        <f aca="false">Settings!$B$4*MAX(INDEX(Bases!$Q$2:$Q$53,B313),INDEX(Bases!$Q$2:$Q$53,C313))+Settings!$B$5*MIN(INDEX(Bases!$Q$2:$Q$53,B313),INDEX(Bases!$Q$2:$Q$53,C313))</f>
        <v>77.6666666666667</v>
      </c>
      <c r="X313" s="2" t="n">
        <f aca="false">Settings!$B$4*MAX(INDEX(Bases!$R$2:$R$53,B313),INDEX(Bases!$R$2:$R$53,C313))+Settings!$B$5*MIN(INDEX(Bases!$R$2:$R$53,B313),INDEX(Bases!$R$2:$R$53,C313))</f>
        <v>74</v>
      </c>
      <c r="Y313" s="2" t="n">
        <f aca="false">S313*Settings!$B$3/SUM(S313:X313)</f>
        <v>107.614607614608</v>
      </c>
      <c r="Z313" s="2" t="n">
        <f aca="false">T313*Settings!$B$3/SUM(S313:X313)</f>
        <v>73.8150738150738</v>
      </c>
      <c r="AA313" s="2" t="n">
        <f aca="false">U313*Settings!$B$3/SUM(S313:X313)</f>
        <v>87.4125874125874</v>
      </c>
      <c r="AB313" s="2" t="n">
        <f aca="false">V313*Settings!$B$3/SUM(S313:X313)</f>
        <v>54.3900543900544</v>
      </c>
      <c r="AC313" s="2" t="n">
        <f aca="false">W313*Settings!$B$3/SUM(S313:X313)</f>
        <v>90.5205905205905</v>
      </c>
      <c r="AD313" s="2" t="n">
        <f aca="false">X313*Settings!$B$3/SUM(S313:X313)</f>
        <v>86.2470862470862</v>
      </c>
      <c r="AE313" s="2" t="n">
        <f aca="false">INT(Y313)</f>
        <v>107</v>
      </c>
      <c r="AF313" s="2" t="n">
        <f aca="false">INT(Z313)</f>
        <v>73</v>
      </c>
      <c r="AG313" s="2" t="n">
        <f aca="false">INT(AA313)</f>
        <v>87</v>
      </c>
      <c r="AH313" s="2" t="n">
        <f aca="false">INT(AB313)</f>
        <v>54</v>
      </c>
      <c r="AI313" s="2" t="n">
        <f aca="false">INT(AC313)</f>
        <v>90</v>
      </c>
      <c r="AJ313" s="2" t="n">
        <f aca="false">INT(AD313)</f>
        <v>86</v>
      </c>
      <c r="AK313" s="2" t="n">
        <f aca="false">Settings!$B$3-SUM(AE313:AJ313)</f>
        <v>3</v>
      </c>
      <c r="AL313" s="2" t="n">
        <f aca="false">ROUND(Y313-AE313,9)</f>
        <v>0.614607615</v>
      </c>
      <c r="AM313" s="2" t="n">
        <f aca="false">ROUND(Z313-AF313,9)</f>
        <v>0.815073815</v>
      </c>
      <c r="AN313" s="2" t="n">
        <f aca="false">ROUND(AA313-AG313,9)</f>
        <v>0.412587413</v>
      </c>
      <c r="AO313" s="2" t="n">
        <f aca="false">ROUND(AB313-AH313,9)</f>
        <v>0.39005439</v>
      </c>
      <c r="AP313" s="2" t="n">
        <f aca="false">ROUND(AC313-AI313,9)</f>
        <v>0.520590521</v>
      </c>
      <c r="AQ313" s="2" t="n">
        <f aca="false">ROUND(AD313-AJ313,9)</f>
        <v>0.247086247</v>
      </c>
    </row>
    <row r="314" customFormat="false" ht="15" hidden="false" customHeight="false" outlineLevel="0" collapsed="false">
      <c r="A314" s="2" t="n">
        <v>313</v>
      </c>
      <c r="B314" s="6" t="n">
        <v>7</v>
      </c>
      <c r="C314" s="6" t="n">
        <v>29</v>
      </c>
      <c r="D314" s="8" t="str">
        <f aca="false">INDEX(Bases!$B$2:$B$53,B314)</f>
        <v>Azurill</v>
      </c>
      <c r="E314" s="8" t="str">
        <f aca="false">INDEX(Bases!$B$2:$B$53,C314)</f>
        <v>Murkrow</v>
      </c>
      <c r="F314" s="2" t="str">
        <f aca="false">LEFT(D314,ROUNDUP(LEN(D314)/2,0))&amp;LOWER(MID(E314,ROUNDUP(LEN(E314)/2,0)+1,20))</f>
        <v>Azurrow</v>
      </c>
      <c r="G314" s="8" t="str">
        <f aca="false">INDEX(Bases!$C$2:$C$53,B314)</f>
        <v>Water</v>
      </c>
      <c r="H314" s="8" t="str">
        <f aca="false">IF(INDEX(Bases!$C$2:$C$53,C314)=G314,"",INDEX(Bases!$C$2:$C$53,C314))</f>
        <v>Flying</v>
      </c>
      <c r="I314" s="8" t="str">
        <f aca="false">IF(INDEX(Bases!$E$2:$E$53,B314)="","",INDEX(Bases!$E$2:$E$53,B314))</f>
        <v/>
      </c>
      <c r="J314" s="8" t="str">
        <f aca="false">IF(INDEX(Bases!$E$2:$E$53,C314)="","",INDEX(Bases!$E$2:$E$53,C314))</f>
        <v/>
      </c>
      <c r="K314" s="5"/>
      <c r="L314" s="2" t="n">
        <f aca="false">AE314+IF(SUMPRODUCT(--($AL314:$AQ314&gt;AL314))&lt;$AK314,1,0)</f>
        <v>102</v>
      </c>
      <c r="M314" s="2" t="n">
        <f aca="false">AF314+IF(SUMPRODUCT(--($AL314:$AQ314&gt;AM314))+SUMPRODUCT(--($AL314:AL314=AM314))&lt;$AK314,1,0)</f>
        <v>79</v>
      </c>
      <c r="N314" s="2" t="n">
        <f aca="false">AG314+IF(SUMPRODUCT(--($AL314:$AQ314&gt;AN314))+SUMPRODUCT(--($AL314:AM314=AN314))&lt;$AK314,1,0)</f>
        <v>79</v>
      </c>
      <c r="O314" s="2" t="n">
        <f aca="false">AH314+IF(SUMPRODUCT(--($AL314:$AQ314&gt;AO314))+SUMPRODUCT(--($AL314:AN314=AO314))&lt;$AK314,1,0)</f>
        <v>79</v>
      </c>
      <c r="P314" s="2" t="n">
        <f aca="false">AI314+IF(SUMPRODUCT(--($AL314:$AQ314&gt;AP314))+SUMPRODUCT(--($AL314:AO314=AP314))&lt;$AK314,1,0)</f>
        <v>78</v>
      </c>
      <c r="Q314" s="2" t="n">
        <f aca="false">AJ314+IF(SUMPRODUCT(--($AL314:$AQ314&gt;AQ314))+SUMPRODUCT(--($AL314:AP314=AQ314))&lt;$AK314,1,0)</f>
        <v>83</v>
      </c>
      <c r="R314" s="2" t="n">
        <f aca="false">SUM(L314:Q314)</f>
        <v>500</v>
      </c>
      <c r="S314" s="2" t="n">
        <f aca="false">Settings!$B$4*MAX(INDEX(Bases!$M$2:$M$53,B314),INDEX(Bases!$M$2:$M$53,C314))+Settings!$B$5*MIN(INDEX(Bases!$M$2:$M$53,B314),INDEX(Bases!$M$2:$M$53,C314))</f>
        <v>90.3333333333333</v>
      </c>
      <c r="T314" s="2" t="n">
        <f aca="false">Settings!$B$4*MAX(INDEX(Bases!$N$2:$N$53,B314),INDEX(Bases!$N$2:$N$53,C314))+Settings!$B$5*MIN(INDEX(Bases!$N$2:$N$53,B314),INDEX(Bases!$N$2:$N$53,C314))</f>
        <v>70</v>
      </c>
      <c r="U314" s="2" t="n">
        <f aca="false">Settings!$B$4*MAX(INDEX(Bases!$O$2:$O$53,B314),INDEX(Bases!$O$2:$O$53,C314))+Settings!$B$5*MIN(INDEX(Bases!$O$2:$O$53,B314),INDEX(Bases!$O$2:$O$53,C314))</f>
        <v>70</v>
      </c>
      <c r="V314" s="2" t="n">
        <f aca="false">Settings!$B$4*MAX(INDEX(Bases!$P$2:$P$53,B314),INDEX(Bases!$P$2:$P$53,C314))+Settings!$B$5*MIN(INDEX(Bases!$P$2:$P$53,B314),INDEX(Bases!$P$2:$P$53,C314))</f>
        <v>70</v>
      </c>
      <c r="W314" s="2" t="n">
        <f aca="false">Settings!$B$4*MAX(INDEX(Bases!$Q$2:$Q$53,B314),INDEX(Bases!$Q$2:$Q$53,C314))+Settings!$B$5*MIN(INDEX(Bases!$Q$2:$Q$53,B314),INDEX(Bases!$Q$2:$Q$53,C314))</f>
        <v>69.6666666666667</v>
      </c>
      <c r="X314" s="2" t="n">
        <f aca="false">Settings!$B$4*MAX(INDEX(Bases!$R$2:$R$53,B314),INDEX(Bases!$R$2:$R$53,C314))+Settings!$B$5*MIN(INDEX(Bases!$R$2:$R$53,B314),INDEX(Bases!$R$2:$R$53,C314))</f>
        <v>74</v>
      </c>
      <c r="Y314" s="2" t="n">
        <f aca="false">S314*Settings!$B$3/SUM(S314:X314)</f>
        <v>101.726726726727</v>
      </c>
      <c r="Z314" s="2" t="n">
        <f aca="false">T314*Settings!$B$3/SUM(S314:X314)</f>
        <v>78.8288288288288</v>
      </c>
      <c r="AA314" s="2" t="n">
        <f aca="false">U314*Settings!$B$3/SUM(S314:X314)</f>
        <v>78.8288288288288</v>
      </c>
      <c r="AB314" s="2" t="n">
        <f aca="false">V314*Settings!$B$3/SUM(S314:X314)</f>
        <v>78.8288288288288</v>
      </c>
      <c r="AC314" s="2" t="n">
        <f aca="false">W314*Settings!$B$3/SUM(S314:X314)</f>
        <v>78.4534534534535</v>
      </c>
      <c r="AD314" s="2" t="n">
        <f aca="false">X314*Settings!$B$3/SUM(S314:X314)</f>
        <v>83.3333333333333</v>
      </c>
      <c r="AE314" s="2" t="n">
        <f aca="false">INT(Y314)</f>
        <v>101</v>
      </c>
      <c r="AF314" s="2" t="n">
        <f aca="false">INT(Z314)</f>
        <v>78</v>
      </c>
      <c r="AG314" s="2" t="n">
        <f aca="false">INT(AA314)</f>
        <v>78</v>
      </c>
      <c r="AH314" s="2" t="n">
        <f aca="false">INT(AB314)</f>
        <v>78</v>
      </c>
      <c r="AI314" s="2" t="n">
        <f aca="false">INT(AC314)</f>
        <v>78</v>
      </c>
      <c r="AJ314" s="2" t="n">
        <f aca="false">INT(AD314)</f>
        <v>83</v>
      </c>
      <c r="AK314" s="2" t="n">
        <f aca="false">Settings!$B$3-SUM(AE314:AJ314)</f>
        <v>4</v>
      </c>
      <c r="AL314" s="2" t="n">
        <f aca="false">ROUND(Y314-AE314,9)</f>
        <v>0.726726727</v>
      </c>
      <c r="AM314" s="2" t="n">
        <f aca="false">ROUND(Z314-AF314,9)</f>
        <v>0.828828829</v>
      </c>
      <c r="AN314" s="2" t="n">
        <f aca="false">ROUND(AA314-AG314,9)</f>
        <v>0.828828829</v>
      </c>
      <c r="AO314" s="2" t="n">
        <f aca="false">ROUND(AB314-AH314,9)</f>
        <v>0.828828829</v>
      </c>
      <c r="AP314" s="2" t="n">
        <f aca="false">ROUND(AC314-AI314,9)</f>
        <v>0.453453453</v>
      </c>
      <c r="AQ314" s="2" t="n">
        <f aca="false">ROUND(AD314-AJ314,9)</f>
        <v>0.333333333</v>
      </c>
    </row>
    <row r="315" customFormat="false" ht="15" hidden="false" customHeight="false" outlineLevel="0" collapsed="false">
      <c r="A315" s="2" t="n">
        <v>314</v>
      </c>
      <c r="B315" s="6" t="n">
        <v>7</v>
      </c>
      <c r="C315" s="6" t="n">
        <v>30</v>
      </c>
      <c r="D315" s="8" t="str">
        <f aca="false">INDEX(Bases!$B$2:$B$53,B315)</f>
        <v>Azurill</v>
      </c>
      <c r="E315" s="8" t="str">
        <f aca="false">INDEX(Bases!$B$2:$B$53,C315)</f>
        <v>Swablu</v>
      </c>
      <c r="F315" s="2" t="str">
        <f aca="false">LEFT(D315,ROUNDUP(LEN(D315)/2,0))&amp;LOWER(MID(E315,ROUNDUP(LEN(E315)/2,0)+1,20))</f>
        <v>Azurblu</v>
      </c>
      <c r="G315" s="8" t="str">
        <f aca="false">INDEX(Bases!$C$2:$C$53,B315)</f>
        <v>Water</v>
      </c>
      <c r="H315" s="8" t="str">
        <f aca="false">IF(INDEX(Bases!$C$2:$C$53,C315)=G315,"",INDEX(Bases!$C$2:$C$53,C315))</f>
        <v>Flying</v>
      </c>
      <c r="I315" s="8" t="str">
        <f aca="false">IF(INDEX(Bases!$E$2:$E$53,B315)="","",INDEX(Bases!$E$2:$E$53,B315))</f>
        <v/>
      </c>
      <c r="J315" s="8" t="str">
        <f aca="false">IF(INDEX(Bases!$E$2:$E$53,C315)="","",INDEX(Bases!$E$2:$E$53,C315))</f>
        <v/>
      </c>
      <c r="K315" s="5"/>
      <c r="L315" s="2" t="n">
        <f aca="false">AE315+IF(SUMPRODUCT(--($AL315:$AQ315&gt;AL315))&lt;$AK315,1,0)</f>
        <v>107</v>
      </c>
      <c r="M315" s="2" t="n">
        <f aca="false">AF315+IF(SUMPRODUCT(--($AL315:$AQ315&gt;AM315))+SUMPRODUCT(--($AL315:AL315=AM315))&lt;$AK315,1,0)</f>
        <v>58</v>
      </c>
      <c r="N315" s="2" t="n">
        <f aca="false">AG315+IF(SUMPRODUCT(--($AL315:$AQ315&gt;AN315))+SUMPRODUCT(--($AL315:AM315=AN315))&lt;$AK315,1,0)</f>
        <v>98</v>
      </c>
      <c r="O315" s="2" t="n">
        <f aca="false">AH315+IF(SUMPRODUCT(--($AL315:$AQ315&gt;AO315))+SUMPRODUCT(--($AL315:AN315=AO315))&lt;$AK315,1,0)</f>
        <v>58</v>
      </c>
      <c r="P315" s="2" t="n">
        <f aca="false">AI315+IF(SUMPRODUCT(--($AL315:$AQ315&gt;AP315))+SUMPRODUCT(--($AL315:AO315=AP315))&lt;$AK315,1,0)</f>
        <v>111</v>
      </c>
      <c r="Q315" s="2" t="n">
        <f aca="false">AJ315+IF(SUMPRODUCT(--($AL315:$AQ315&gt;AQ315))+SUMPRODUCT(--($AL315:AP315=AQ315))&lt;$AK315,1,0)</f>
        <v>68</v>
      </c>
      <c r="R315" s="2" t="n">
        <f aca="false">SUM(L315:Q315)</f>
        <v>500</v>
      </c>
      <c r="S315" s="2" t="n">
        <f aca="false">Settings!$B$4*MAX(INDEX(Bases!$M$2:$M$53,B315),INDEX(Bases!$M$2:$M$53,C315))+Settings!$B$5*MIN(INDEX(Bases!$M$2:$M$53,B315),INDEX(Bases!$M$2:$M$53,C315))</f>
        <v>90</v>
      </c>
      <c r="T315" s="2" t="n">
        <f aca="false">Settings!$B$4*MAX(INDEX(Bases!$N$2:$N$53,B315),INDEX(Bases!$N$2:$N$53,C315))+Settings!$B$5*MIN(INDEX(Bases!$N$2:$N$53,B315),INDEX(Bases!$N$2:$N$53,C315))</f>
        <v>48.6666666666667</v>
      </c>
      <c r="U315" s="2" t="n">
        <f aca="false">Settings!$B$4*MAX(INDEX(Bases!$O$2:$O$53,B315),INDEX(Bases!$O$2:$O$53,C315))+Settings!$B$5*MIN(INDEX(Bases!$O$2:$O$53,B315),INDEX(Bases!$O$2:$O$53,C315))</f>
        <v>81.6666666666667</v>
      </c>
      <c r="V315" s="2" t="n">
        <f aca="false">Settings!$B$4*MAX(INDEX(Bases!$P$2:$P$53,B315),INDEX(Bases!$P$2:$P$53,C315))+Settings!$B$5*MIN(INDEX(Bases!$P$2:$P$53,B315),INDEX(Bases!$P$2:$P$53,C315))</f>
        <v>48.6666666666667</v>
      </c>
      <c r="W315" s="2" t="n">
        <f aca="false">Settings!$B$4*MAX(INDEX(Bases!$Q$2:$Q$53,B315),INDEX(Bases!$Q$2:$Q$53,C315))+Settings!$B$5*MIN(INDEX(Bases!$Q$2:$Q$53,B315),INDEX(Bases!$Q$2:$Q$53,C315))</f>
        <v>92.6666666666667</v>
      </c>
      <c r="X315" s="2" t="n">
        <f aca="false">Settings!$B$4*MAX(INDEX(Bases!$R$2:$R$53,B315),INDEX(Bases!$R$2:$R$53,C315))+Settings!$B$5*MIN(INDEX(Bases!$R$2:$R$53,B315),INDEX(Bases!$R$2:$R$53,C315))</f>
        <v>56.6666666666667</v>
      </c>
      <c r="Y315" s="2" t="n">
        <f aca="false">S315*Settings!$B$3/SUM(S315:X315)</f>
        <v>107.569721115538</v>
      </c>
      <c r="Z315" s="2" t="n">
        <f aca="false">T315*Settings!$B$3/SUM(S315:X315)</f>
        <v>58.1673306772908</v>
      </c>
      <c r="AA315" s="2" t="n">
        <f aca="false">U315*Settings!$B$3/SUM(S315:X315)</f>
        <v>97.6095617529881</v>
      </c>
      <c r="AB315" s="2" t="n">
        <f aca="false">V315*Settings!$B$3/SUM(S315:X315)</f>
        <v>58.1673306772908</v>
      </c>
      <c r="AC315" s="2" t="n">
        <f aca="false">W315*Settings!$B$3/SUM(S315:X315)</f>
        <v>110.756972111554</v>
      </c>
      <c r="AD315" s="2" t="n">
        <f aca="false">X315*Settings!$B$3/SUM(S315:X315)</f>
        <v>67.7290836653387</v>
      </c>
      <c r="AE315" s="2" t="n">
        <f aca="false">INT(Y315)</f>
        <v>107</v>
      </c>
      <c r="AF315" s="2" t="n">
        <f aca="false">INT(Z315)</f>
        <v>58</v>
      </c>
      <c r="AG315" s="2" t="n">
        <f aca="false">INT(AA315)</f>
        <v>97</v>
      </c>
      <c r="AH315" s="2" t="n">
        <f aca="false">INT(AB315)</f>
        <v>58</v>
      </c>
      <c r="AI315" s="2" t="n">
        <f aca="false">INT(AC315)</f>
        <v>110</v>
      </c>
      <c r="AJ315" s="2" t="n">
        <f aca="false">INT(AD315)</f>
        <v>67</v>
      </c>
      <c r="AK315" s="2" t="n">
        <f aca="false">Settings!$B$3-SUM(AE315:AJ315)</f>
        <v>3</v>
      </c>
      <c r="AL315" s="2" t="n">
        <f aca="false">ROUND(Y315-AE315,9)</f>
        <v>0.569721116</v>
      </c>
      <c r="AM315" s="2" t="n">
        <f aca="false">ROUND(Z315-AF315,9)</f>
        <v>0.167330677</v>
      </c>
      <c r="AN315" s="2" t="n">
        <f aca="false">ROUND(AA315-AG315,9)</f>
        <v>0.609561753</v>
      </c>
      <c r="AO315" s="2" t="n">
        <f aca="false">ROUND(AB315-AH315,9)</f>
        <v>0.167330677</v>
      </c>
      <c r="AP315" s="2" t="n">
        <f aca="false">ROUND(AC315-AI315,9)</f>
        <v>0.756972112</v>
      </c>
      <c r="AQ315" s="2" t="n">
        <f aca="false">ROUND(AD315-AJ315,9)</f>
        <v>0.729083665</v>
      </c>
    </row>
    <row r="316" customFormat="false" ht="15" hidden="false" customHeight="false" outlineLevel="0" collapsed="false">
      <c r="A316" s="2" t="n">
        <v>315</v>
      </c>
      <c r="B316" s="6" t="n">
        <v>7</v>
      </c>
      <c r="C316" s="6" t="n">
        <v>31</v>
      </c>
      <c r="D316" s="8" t="str">
        <f aca="false">INDEX(Bases!$B$2:$B$53,B316)</f>
        <v>Azurill</v>
      </c>
      <c r="E316" s="8" t="str">
        <f aca="false">INDEX(Bases!$B$2:$B$53,C316)</f>
        <v>Mew</v>
      </c>
      <c r="F316" s="2" t="str">
        <f aca="false">LEFT(D316,ROUNDUP(LEN(D316)/2,0))&amp;LOWER(MID(E316,ROUNDUP(LEN(E316)/2,0)+1,20))</f>
        <v>Azurw</v>
      </c>
      <c r="G316" s="8" t="str">
        <f aca="false">INDEX(Bases!$C$2:$C$53,B316)</f>
        <v>Water</v>
      </c>
      <c r="H316" s="8" t="str">
        <f aca="false">IF(INDEX(Bases!$C$2:$C$53,C316)=G316,"",INDEX(Bases!$C$2:$C$53,C316))</f>
        <v>Psychic</v>
      </c>
      <c r="I316" s="8" t="str">
        <f aca="false">IF(INDEX(Bases!$E$2:$E$53,B316)="","",INDEX(Bases!$E$2:$E$53,B316))</f>
        <v/>
      </c>
      <c r="J316" s="8" t="str">
        <f aca="false">IF(INDEX(Bases!$E$2:$E$53,C316)="","",INDEX(Bases!$E$2:$E$53,C316))</f>
        <v/>
      </c>
      <c r="K316" s="5"/>
      <c r="L316" s="2" t="n">
        <f aca="false">AE316+IF(SUMPRODUCT(--($AL316:$AQ316&gt;AL316))&lt;$AK316,1,0)</f>
        <v>110</v>
      </c>
      <c r="M316" s="2" t="n">
        <f aca="false">AF316+IF(SUMPRODUCT(--($AL316:$AQ316&gt;AM316))+SUMPRODUCT(--($AL316:AL316=AM316))&lt;$AK316,1,0)</f>
        <v>69</v>
      </c>
      <c r="N316" s="2" t="n">
        <f aca="false">AG316+IF(SUMPRODUCT(--($AL316:$AQ316&gt;AN316))+SUMPRODUCT(--($AL316:AM316=AN316))&lt;$AK316,1,0)</f>
        <v>92</v>
      </c>
      <c r="O316" s="2" t="n">
        <f aca="false">AH316+IF(SUMPRODUCT(--($AL316:$AQ316&gt;AO316))+SUMPRODUCT(--($AL316:AN316=AO316))&lt;$AK316,1,0)</f>
        <v>69</v>
      </c>
      <c r="P316" s="2" t="n">
        <f aca="false">AI316+IF(SUMPRODUCT(--($AL316:$AQ316&gt;AP316))+SUMPRODUCT(--($AL316:AO316=AP316))&lt;$AK316,1,0)</f>
        <v>92</v>
      </c>
      <c r="Q316" s="2" t="n">
        <f aca="false">AJ316+IF(SUMPRODUCT(--($AL316:$AQ316&gt;AQ316))+SUMPRODUCT(--($AL316:AP316=AQ316))&lt;$AK316,1,0)</f>
        <v>68</v>
      </c>
      <c r="R316" s="2" t="n">
        <f aca="false">SUM(L316:Q316)</f>
        <v>500</v>
      </c>
      <c r="S316" s="2" t="n">
        <f aca="false">Settings!$B$4*MAX(INDEX(Bases!$M$2:$M$53,B316),INDEX(Bases!$M$2:$M$53,C316))+Settings!$B$5*MIN(INDEX(Bases!$M$2:$M$53,B316),INDEX(Bases!$M$2:$M$53,C316))</f>
        <v>93</v>
      </c>
      <c r="T316" s="2" t="n">
        <f aca="false">Settings!$B$4*MAX(INDEX(Bases!$N$2:$N$53,B316),INDEX(Bases!$N$2:$N$53,C316))+Settings!$B$5*MIN(INDEX(Bases!$N$2:$N$53,B316),INDEX(Bases!$N$2:$N$53,C316))</f>
        <v>58.6666666666667</v>
      </c>
      <c r="U316" s="2" t="n">
        <f aca="false">Settings!$B$4*MAX(INDEX(Bases!$O$2:$O$53,B316),INDEX(Bases!$O$2:$O$53,C316))+Settings!$B$5*MIN(INDEX(Bases!$O$2:$O$53,B316),INDEX(Bases!$O$2:$O$53,C316))</f>
        <v>78.3333333333333</v>
      </c>
      <c r="V316" s="2" t="n">
        <f aca="false">Settings!$B$4*MAX(INDEX(Bases!$P$2:$P$53,B316),INDEX(Bases!$P$2:$P$53,C316))+Settings!$B$5*MIN(INDEX(Bases!$P$2:$P$53,B316),INDEX(Bases!$P$2:$P$53,C316))</f>
        <v>58.6666666666667</v>
      </c>
      <c r="W316" s="2" t="n">
        <f aca="false">Settings!$B$4*MAX(INDEX(Bases!$Q$2:$Q$53,B316),INDEX(Bases!$Q$2:$Q$53,C316))+Settings!$B$5*MIN(INDEX(Bases!$Q$2:$Q$53,B316),INDEX(Bases!$Q$2:$Q$53,C316))</f>
        <v>78</v>
      </c>
      <c r="X316" s="2" t="n">
        <f aca="false">Settings!$B$4*MAX(INDEX(Bases!$R$2:$R$53,B316),INDEX(Bases!$R$2:$R$53,C316))+Settings!$B$5*MIN(INDEX(Bases!$R$2:$R$53,B316),INDEX(Bases!$R$2:$R$53,C316))</f>
        <v>58</v>
      </c>
      <c r="Y316" s="2" t="n">
        <f aca="false">S316*Settings!$B$3/SUM(S316:X316)</f>
        <v>109.497645211931</v>
      </c>
      <c r="Z316" s="2" t="n">
        <f aca="false">T316*Settings!$B$3/SUM(S316:X316)</f>
        <v>69.0737833594976</v>
      </c>
      <c r="AA316" s="2" t="n">
        <f aca="false">U316*Settings!$B$3/SUM(S316:X316)</f>
        <v>92.2291993720565</v>
      </c>
      <c r="AB316" s="2" t="n">
        <f aca="false">V316*Settings!$B$3/SUM(S316:X316)</f>
        <v>69.0737833594976</v>
      </c>
      <c r="AC316" s="2" t="n">
        <f aca="false">W316*Settings!$B$3/SUM(S316:X316)</f>
        <v>91.8367346938776</v>
      </c>
      <c r="AD316" s="2" t="n">
        <f aca="false">X316*Settings!$B$3/SUM(S316:X316)</f>
        <v>68.2888540031397</v>
      </c>
      <c r="AE316" s="2" t="n">
        <f aca="false">INT(Y316)</f>
        <v>109</v>
      </c>
      <c r="AF316" s="2" t="n">
        <f aca="false">INT(Z316)</f>
        <v>69</v>
      </c>
      <c r="AG316" s="2" t="n">
        <f aca="false">INT(AA316)</f>
        <v>92</v>
      </c>
      <c r="AH316" s="2" t="n">
        <f aca="false">INT(AB316)</f>
        <v>69</v>
      </c>
      <c r="AI316" s="2" t="n">
        <f aca="false">INT(AC316)</f>
        <v>91</v>
      </c>
      <c r="AJ316" s="2" t="n">
        <f aca="false">INT(AD316)</f>
        <v>68</v>
      </c>
      <c r="AK316" s="2" t="n">
        <f aca="false">Settings!$B$3-SUM(AE316:AJ316)</f>
        <v>2</v>
      </c>
      <c r="AL316" s="2" t="n">
        <f aca="false">ROUND(Y316-AE316,9)</f>
        <v>0.497645212</v>
      </c>
      <c r="AM316" s="2" t="n">
        <f aca="false">ROUND(Z316-AF316,9)</f>
        <v>0.073783359</v>
      </c>
      <c r="AN316" s="2" t="n">
        <f aca="false">ROUND(AA316-AG316,9)</f>
        <v>0.229199372</v>
      </c>
      <c r="AO316" s="2" t="n">
        <f aca="false">ROUND(AB316-AH316,9)</f>
        <v>0.073783359</v>
      </c>
      <c r="AP316" s="2" t="n">
        <f aca="false">ROUND(AC316-AI316,9)</f>
        <v>0.836734694</v>
      </c>
      <c r="AQ316" s="2" t="n">
        <f aca="false">ROUND(AD316-AJ316,9)</f>
        <v>0.288854003</v>
      </c>
    </row>
    <row r="317" customFormat="false" ht="15" hidden="false" customHeight="false" outlineLevel="0" collapsed="false">
      <c r="A317" s="2" t="n">
        <v>316</v>
      </c>
      <c r="B317" s="6" t="n">
        <v>7</v>
      </c>
      <c r="C317" s="6" t="n">
        <v>32</v>
      </c>
      <c r="D317" s="8" t="str">
        <f aca="false">INDEX(Bases!$B$2:$B$53,B317)</f>
        <v>Azurill</v>
      </c>
      <c r="E317" s="8" t="str">
        <f aca="false">INDEX(Bases!$B$2:$B$53,C317)</f>
        <v>Spoink</v>
      </c>
      <c r="F317" s="2" t="str">
        <f aca="false">LEFT(D317,ROUNDUP(LEN(D317)/2,0))&amp;LOWER(MID(E317,ROUNDUP(LEN(E317)/2,0)+1,20))</f>
        <v>Azurink</v>
      </c>
      <c r="G317" s="8" t="str">
        <f aca="false">INDEX(Bases!$C$2:$C$53,B317)</f>
        <v>Water</v>
      </c>
      <c r="H317" s="8" t="str">
        <f aca="false">IF(INDEX(Bases!$C$2:$C$53,C317)=G317,"",INDEX(Bases!$C$2:$C$53,C317))</f>
        <v>Psychic</v>
      </c>
      <c r="I317" s="8" t="str">
        <f aca="false">IF(INDEX(Bases!$E$2:$E$53,B317)="","",INDEX(Bases!$E$2:$E$53,B317))</f>
        <v/>
      </c>
      <c r="J317" s="8" t="str">
        <f aca="false">IF(INDEX(Bases!$E$2:$E$53,C317)="","",INDEX(Bases!$E$2:$E$53,C317))</f>
        <v/>
      </c>
      <c r="K317" s="5"/>
      <c r="L317" s="2" t="n">
        <f aca="false">AE317+IF(SUMPRODUCT(--($AL317:$AQ317&gt;AL317))&lt;$AK317,1,0)</f>
        <v>111</v>
      </c>
      <c r="M317" s="2" t="n">
        <f aca="false">AF317+IF(SUMPRODUCT(--($AL317:$AQ317&gt;AM317))+SUMPRODUCT(--($AL317:AL317=AM317))&lt;$AK317,1,0)</f>
        <v>44</v>
      </c>
      <c r="N317" s="2" t="n">
        <f aca="false">AG317+IF(SUMPRODUCT(--($AL317:$AQ317&gt;AN317))+SUMPRODUCT(--($AL317:AM317=AN317))&lt;$AK317,1,0)</f>
        <v>82</v>
      </c>
      <c r="O317" s="2" t="n">
        <f aca="false">AH317+IF(SUMPRODUCT(--($AL317:$AQ317&gt;AO317))+SUMPRODUCT(--($AL317:AN317=AO317))&lt;$AK317,1,0)</f>
        <v>82</v>
      </c>
      <c r="P317" s="2" t="n">
        <f aca="false">AI317+IF(SUMPRODUCT(--($AL317:$AQ317&gt;AP317))+SUMPRODUCT(--($AL317:AO317=AP317))&lt;$AK317,1,0)</f>
        <v>108</v>
      </c>
      <c r="Q317" s="2" t="n">
        <f aca="false">AJ317+IF(SUMPRODUCT(--($AL317:$AQ317&gt;AQ317))+SUMPRODUCT(--($AL317:AP317=AQ317))&lt;$AK317,1,0)</f>
        <v>73</v>
      </c>
      <c r="R317" s="2" t="n">
        <f aca="false">SUM(L317:Q317)</f>
        <v>500</v>
      </c>
      <c r="S317" s="2" t="n">
        <f aca="false">Settings!$B$4*MAX(INDEX(Bases!$M$2:$M$53,B317),INDEX(Bases!$M$2:$M$53,C317))+Settings!$B$5*MIN(INDEX(Bases!$M$2:$M$53,B317),INDEX(Bases!$M$2:$M$53,C317))</f>
        <v>95</v>
      </c>
      <c r="T317" s="2" t="n">
        <f aca="false">Settings!$B$4*MAX(INDEX(Bases!$N$2:$N$53,B317),INDEX(Bases!$N$2:$N$53,C317))+Settings!$B$5*MIN(INDEX(Bases!$N$2:$N$53,B317),INDEX(Bases!$N$2:$N$53,C317))</f>
        <v>38</v>
      </c>
      <c r="U317" s="2" t="n">
        <f aca="false">Settings!$B$4*MAX(INDEX(Bases!$O$2:$O$53,B317),INDEX(Bases!$O$2:$O$53,C317))+Settings!$B$5*MIN(INDEX(Bases!$O$2:$O$53,B317),INDEX(Bases!$O$2:$O$53,C317))</f>
        <v>70</v>
      </c>
      <c r="V317" s="2" t="n">
        <f aca="false">Settings!$B$4*MAX(INDEX(Bases!$P$2:$P$53,B317),INDEX(Bases!$P$2:$P$53,C317))+Settings!$B$5*MIN(INDEX(Bases!$P$2:$P$53,B317),INDEX(Bases!$P$2:$P$53,C317))</f>
        <v>70.6666666666667</v>
      </c>
      <c r="W317" s="2" t="n">
        <f aca="false">Settings!$B$4*MAX(INDEX(Bases!$Q$2:$Q$53,B317),INDEX(Bases!$Q$2:$Q$53,C317))+Settings!$B$5*MIN(INDEX(Bases!$Q$2:$Q$53,B317),INDEX(Bases!$Q$2:$Q$53,C317))</f>
        <v>92.6666666666667</v>
      </c>
      <c r="X317" s="2" t="n">
        <f aca="false">Settings!$B$4*MAX(INDEX(Bases!$R$2:$R$53,B317),INDEX(Bases!$R$2:$R$53,C317))+Settings!$B$5*MIN(INDEX(Bases!$R$2:$R$53,B317),INDEX(Bases!$R$2:$R$53,C317))</f>
        <v>62.6666666666667</v>
      </c>
      <c r="Y317" s="2" t="n">
        <f aca="false">S317*Settings!$B$3/SUM(S317:X317)</f>
        <v>110.722610722611</v>
      </c>
      <c r="Z317" s="2" t="n">
        <f aca="false">T317*Settings!$B$3/SUM(S317:X317)</f>
        <v>44.2890442890443</v>
      </c>
      <c r="AA317" s="2" t="n">
        <f aca="false">U317*Settings!$B$3/SUM(S317:X317)</f>
        <v>81.5850815850816</v>
      </c>
      <c r="AB317" s="2" t="n">
        <f aca="false">V317*Settings!$B$3/SUM(S317:X317)</f>
        <v>82.3620823620824</v>
      </c>
      <c r="AC317" s="2" t="n">
        <f aca="false">W317*Settings!$B$3/SUM(S317:X317)</f>
        <v>108.003108003108</v>
      </c>
      <c r="AD317" s="2" t="n">
        <f aca="false">X317*Settings!$B$3/SUM(S317:X317)</f>
        <v>73.038073038073</v>
      </c>
      <c r="AE317" s="2" t="n">
        <f aca="false">INT(Y317)</f>
        <v>110</v>
      </c>
      <c r="AF317" s="2" t="n">
        <f aca="false">INT(Z317)</f>
        <v>44</v>
      </c>
      <c r="AG317" s="2" t="n">
        <f aca="false">INT(AA317)</f>
        <v>81</v>
      </c>
      <c r="AH317" s="2" t="n">
        <f aca="false">INT(AB317)</f>
        <v>82</v>
      </c>
      <c r="AI317" s="2" t="n">
        <f aca="false">INT(AC317)</f>
        <v>108</v>
      </c>
      <c r="AJ317" s="2" t="n">
        <f aca="false">INT(AD317)</f>
        <v>73</v>
      </c>
      <c r="AK317" s="2" t="n">
        <f aca="false">Settings!$B$3-SUM(AE317:AJ317)</f>
        <v>2</v>
      </c>
      <c r="AL317" s="2" t="n">
        <f aca="false">ROUND(Y317-AE317,9)</f>
        <v>0.722610723</v>
      </c>
      <c r="AM317" s="2" t="n">
        <f aca="false">ROUND(Z317-AF317,9)</f>
        <v>0.289044289</v>
      </c>
      <c r="AN317" s="2" t="n">
        <f aca="false">ROUND(AA317-AG317,9)</f>
        <v>0.585081585</v>
      </c>
      <c r="AO317" s="2" t="n">
        <f aca="false">ROUND(AB317-AH317,9)</f>
        <v>0.362082362</v>
      </c>
      <c r="AP317" s="2" t="n">
        <f aca="false">ROUND(AC317-AI317,9)</f>
        <v>0.003108003</v>
      </c>
      <c r="AQ317" s="2" t="n">
        <f aca="false">ROUND(AD317-AJ317,9)</f>
        <v>0.038073038</v>
      </c>
    </row>
    <row r="318" customFormat="false" ht="15" hidden="false" customHeight="false" outlineLevel="0" collapsed="false">
      <c r="A318" s="2" t="n">
        <v>317</v>
      </c>
      <c r="B318" s="6" t="n">
        <v>7</v>
      </c>
      <c r="C318" s="6" t="n">
        <v>33</v>
      </c>
      <c r="D318" s="8" t="str">
        <f aca="false">INDEX(Bases!$B$2:$B$53,B318)</f>
        <v>Azurill</v>
      </c>
      <c r="E318" s="8" t="str">
        <f aca="false">INDEX(Bases!$B$2:$B$53,C318)</f>
        <v>Jirachi</v>
      </c>
      <c r="F318" s="2" t="str">
        <f aca="false">LEFT(D318,ROUNDUP(LEN(D318)/2,0))&amp;LOWER(MID(E318,ROUNDUP(LEN(E318)/2,0)+1,20))</f>
        <v>Azurchi</v>
      </c>
      <c r="G318" s="8" t="str">
        <f aca="false">INDEX(Bases!$C$2:$C$53,B318)</f>
        <v>Water</v>
      </c>
      <c r="H318" s="8" t="str">
        <f aca="false">IF(INDEX(Bases!$C$2:$C$53,C318)=G318,"",INDEX(Bases!$C$2:$C$53,C318))</f>
        <v>Psychic</v>
      </c>
      <c r="I318" s="8" t="str">
        <f aca="false">IF(INDEX(Bases!$E$2:$E$53,B318)="","",INDEX(Bases!$E$2:$E$53,B318))</f>
        <v/>
      </c>
      <c r="J318" s="8" t="str">
        <f aca="false">IF(INDEX(Bases!$E$2:$E$53,C318)="","",INDEX(Bases!$E$2:$E$53,C318))</f>
        <v/>
      </c>
      <c r="K318" s="5"/>
      <c r="L318" s="2" t="n">
        <f aca="false">AE318+IF(SUMPRODUCT(--($AL318:$AQ318&gt;AL318))&lt;$AK318,1,0)</f>
        <v>110</v>
      </c>
      <c r="M318" s="2" t="n">
        <f aca="false">AF318+IF(SUMPRODUCT(--($AL318:$AQ318&gt;AM318))+SUMPRODUCT(--($AL318:AL318=AM318))&lt;$AK318,1,0)</f>
        <v>69</v>
      </c>
      <c r="N318" s="2" t="n">
        <f aca="false">AG318+IF(SUMPRODUCT(--($AL318:$AQ318&gt;AN318))+SUMPRODUCT(--($AL318:AM318=AN318))&lt;$AK318,1,0)</f>
        <v>92</v>
      </c>
      <c r="O318" s="2" t="n">
        <f aca="false">AH318+IF(SUMPRODUCT(--($AL318:$AQ318&gt;AO318))+SUMPRODUCT(--($AL318:AN318=AO318))&lt;$AK318,1,0)</f>
        <v>69</v>
      </c>
      <c r="P318" s="2" t="n">
        <f aca="false">AI318+IF(SUMPRODUCT(--($AL318:$AQ318&gt;AP318))+SUMPRODUCT(--($AL318:AO318=AP318))&lt;$AK318,1,0)</f>
        <v>92</v>
      </c>
      <c r="Q318" s="2" t="n">
        <f aca="false">AJ318+IF(SUMPRODUCT(--($AL318:$AQ318&gt;AQ318))+SUMPRODUCT(--($AL318:AP318=AQ318))&lt;$AK318,1,0)</f>
        <v>68</v>
      </c>
      <c r="R318" s="2" t="n">
        <f aca="false">SUM(L318:Q318)</f>
        <v>500</v>
      </c>
      <c r="S318" s="2" t="n">
        <f aca="false">Settings!$B$4*MAX(INDEX(Bases!$M$2:$M$53,B318),INDEX(Bases!$M$2:$M$53,C318))+Settings!$B$5*MIN(INDEX(Bases!$M$2:$M$53,B318),INDEX(Bases!$M$2:$M$53,C318))</f>
        <v>93</v>
      </c>
      <c r="T318" s="2" t="n">
        <f aca="false">Settings!$B$4*MAX(INDEX(Bases!$N$2:$N$53,B318),INDEX(Bases!$N$2:$N$53,C318))+Settings!$B$5*MIN(INDEX(Bases!$N$2:$N$53,B318),INDEX(Bases!$N$2:$N$53,C318))</f>
        <v>58.6666666666667</v>
      </c>
      <c r="U318" s="2" t="n">
        <f aca="false">Settings!$B$4*MAX(INDEX(Bases!$O$2:$O$53,B318),INDEX(Bases!$O$2:$O$53,C318))+Settings!$B$5*MIN(INDEX(Bases!$O$2:$O$53,B318),INDEX(Bases!$O$2:$O$53,C318))</f>
        <v>78.3333333333333</v>
      </c>
      <c r="V318" s="2" t="n">
        <f aca="false">Settings!$B$4*MAX(INDEX(Bases!$P$2:$P$53,B318),INDEX(Bases!$P$2:$P$53,C318))+Settings!$B$5*MIN(INDEX(Bases!$P$2:$P$53,B318),INDEX(Bases!$P$2:$P$53,C318))</f>
        <v>58.6666666666667</v>
      </c>
      <c r="W318" s="2" t="n">
        <f aca="false">Settings!$B$4*MAX(INDEX(Bases!$Q$2:$Q$53,B318),INDEX(Bases!$Q$2:$Q$53,C318))+Settings!$B$5*MIN(INDEX(Bases!$Q$2:$Q$53,B318),INDEX(Bases!$Q$2:$Q$53,C318))</f>
        <v>78</v>
      </c>
      <c r="X318" s="2" t="n">
        <f aca="false">Settings!$B$4*MAX(INDEX(Bases!$R$2:$R$53,B318),INDEX(Bases!$R$2:$R$53,C318))+Settings!$B$5*MIN(INDEX(Bases!$R$2:$R$53,B318),INDEX(Bases!$R$2:$R$53,C318))</f>
        <v>58</v>
      </c>
      <c r="Y318" s="2" t="n">
        <f aca="false">S318*Settings!$B$3/SUM(S318:X318)</f>
        <v>109.497645211931</v>
      </c>
      <c r="Z318" s="2" t="n">
        <f aca="false">T318*Settings!$B$3/SUM(S318:X318)</f>
        <v>69.0737833594976</v>
      </c>
      <c r="AA318" s="2" t="n">
        <f aca="false">U318*Settings!$B$3/SUM(S318:X318)</f>
        <v>92.2291993720565</v>
      </c>
      <c r="AB318" s="2" t="n">
        <f aca="false">V318*Settings!$B$3/SUM(S318:X318)</f>
        <v>69.0737833594976</v>
      </c>
      <c r="AC318" s="2" t="n">
        <f aca="false">W318*Settings!$B$3/SUM(S318:X318)</f>
        <v>91.8367346938776</v>
      </c>
      <c r="AD318" s="2" t="n">
        <f aca="false">X318*Settings!$B$3/SUM(S318:X318)</f>
        <v>68.2888540031397</v>
      </c>
      <c r="AE318" s="2" t="n">
        <f aca="false">INT(Y318)</f>
        <v>109</v>
      </c>
      <c r="AF318" s="2" t="n">
        <f aca="false">INT(Z318)</f>
        <v>69</v>
      </c>
      <c r="AG318" s="2" t="n">
        <f aca="false">INT(AA318)</f>
        <v>92</v>
      </c>
      <c r="AH318" s="2" t="n">
        <f aca="false">INT(AB318)</f>
        <v>69</v>
      </c>
      <c r="AI318" s="2" t="n">
        <f aca="false">INT(AC318)</f>
        <v>91</v>
      </c>
      <c r="AJ318" s="2" t="n">
        <f aca="false">INT(AD318)</f>
        <v>68</v>
      </c>
      <c r="AK318" s="2" t="n">
        <f aca="false">Settings!$B$3-SUM(AE318:AJ318)</f>
        <v>2</v>
      </c>
      <c r="AL318" s="2" t="n">
        <f aca="false">ROUND(Y318-AE318,9)</f>
        <v>0.497645212</v>
      </c>
      <c r="AM318" s="2" t="n">
        <f aca="false">ROUND(Z318-AF318,9)</f>
        <v>0.073783359</v>
      </c>
      <c r="AN318" s="2" t="n">
        <f aca="false">ROUND(AA318-AG318,9)</f>
        <v>0.229199372</v>
      </c>
      <c r="AO318" s="2" t="n">
        <f aca="false">ROUND(AB318-AH318,9)</f>
        <v>0.073783359</v>
      </c>
      <c r="AP318" s="2" t="n">
        <f aca="false">ROUND(AC318-AI318,9)</f>
        <v>0.836734694</v>
      </c>
      <c r="AQ318" s="2" t="n">
        <f aca="false">ROUND(AD318-AJ318,9)</f>
        <v>0.288854003</v>
      </c>
    </row>
    <row r="319" customFormat="false" ht="15" hidden="false" customHeight="false" outlineLevel="0" collapsed="false">
      <c r="A319" s="2" t="n">
        <v>318</v>
      </c>
      <c r="B319" s="6" t="n">
        <v>7</v>
      </c>
      <c r="C319" s="6" t="n">
        <v>34</v>
      </c>
      <c r="D319" s="8" t="str">
        <f aca="false">INDEX(Bases!$B$2:$B$53,B319)</f>
        <v>Azurill</v>
      </c>
      <c r="E319" s="8" t="str">
        <f aca="false">INDEX(Bases!$B$2:$B$53,C319)</f>
        <v>Paras</v>
      </c>
      <c r="F319" s="2" t="str">
        <f aca="false">LEFT(D319,ROUNDUP(LEN(D319)/2,0))&amp;LOWER(MID(E319,ROUNDUP(LEN(E319)/2,0)+1,20))</f>
        <v>Azuras</v>
      </c>
      <c r="G319" s="8" t="str">
        <f aca="false">INDEX(Bases!$C$2:$C$53,B319)</f>
        <v>Water</v>
      </c>
      <c r="H319" s="8" t="str">
        <f aca="false">IF(INDEX(Bases!$C$2:$C$53,C319)=G319,"",INDEX(Bases!$C$2:$C$53,C319))</f>
        <v>Bug</v>
      </c>
      <c r="I319" s="8" t="str">
        <f aca="false">IF(INDEX(Bases!$E$2:$E$53,B319)="","",INDEX(Bases!$E$2:$E$53,B319))</f>
        <v/>
      </c>
      <c r="J319" s="8" t="str">
        <f aca="false">IF(INDEX(Bases!$E$2:$E$53,C319)="","",INDEX(Bases!$E$2:$E$53,C319))</f>
        <v/>
      </c>
      <c r="K319" s="5"/>
      <c r="L319" s="2" t="n">
        <f aca="false">AE319+IF(SUMPRODUCT(--($AL319:$AQ319&gt;AL319))&lt;$AK319,1,0)</f>
        <v>102</v>
      </c>
      <c r="M319" s="2" t="n">
        <f aca="false">AF319+IF(SUMPRODUCT(--($AL319:$AQ319&gt;AM319))+SUMPRODUCT(--($AL319:AL319=AM319))&lt;$AK319,1,0)</f>
        <v>94</v>
      </c>
      <c r="N319" s="2" t="n">
        <f aca="false">AG319+IF(SUMPRODUCT(--($AL319:$AQ319&gt;AN319))+SUMPRODUCT(--($AL319:AM319=AN319))&lt;$AK319,1,0)</f>
        <v>96</v>
      </c>
      <c r="O319" s="2" t="n">
        <f aca="false">AH319+IF(SUMPRODUCT(--($AL319:$AQ319&gt;AO319))+SUMPRODUCT(--($AL319:AN319=AO319))&lt;$AK319,1,0)</f>
        <v>66</v>
      </c>
      <c r="P319" s="2" t="n">
        <f aca="false">AI319+IF(SUMPRODUCT(--($AL319:$AQ319&gt;AP319))+SUMPRODUCT(--($AL319:AO319=AP319))&lt;$AK319,1,0)</f>
        <v>96</v>
      </c>
      <c r="Q319" s="2" t="n">
        <f aca="false">AJ319+IF(SUMPRODUCT(--($AL319:$AQ319&gt;AQ319))+SUMPRODUCT(--($AL319:AP319=AQ319))&lt;$AK319,1,0)</f>
        <v>46</v>
      </c>
      <c r="R319" s="2" t="n">
        <f aca="false">SUM(L319:Q319)</f>
        <v>500</v>
      </c>
      <c r="S319" s="2" t="n">
        <f aca="false">Settings!$B$4*MAX(INDEX(Bases!$M$2:$M$53,B319),INDEX(Bases!$M$2:$M$53,C319))+Settings!$B$5*MIN(INDEX(Bases!$M$2:$M$53,B319),INDEX(Bases!$M$2:$M$53,C319))</f>
        <v>87</v>
      </c>
      <c r="T319" s="2" t="n">
        <f aca="false">Settings!$B$4*MAX(INDEX(Bases!$N$2:$N$53,B319),INDEX(Bases!$N$2:$N$53,C319))+Settings!$B$5*MIN(INDEX(Bases!$N$2:$N$53,B319),INDEX(Bases!$N$2:$N$53,C319))</f>
        <v>80</v>
      </c>
      <c r="U319" s="2" t="n">
        <f aca="false">Settings!$B$4*MAX(INDEX(Bases!$O$2:$O$53,B319),INDEX(Bases!$O$2:$O$53,C319))+Settings!$B$5*MIN(INDEX(Bases!$O$2:$O$53,B319),INDEX(Bases!$O$2:$O$53,C319))</f>
        <v>81.6666666666667</v>
      </c>
      <c r="V319" s="2" t="n">
        <f aca="false">Settings!$B$4*MAX(INDEX(Bases!$P$2:$P$53,B319),INDEX(Bases!$P$2:$P$53,C319))+Settings!$B$5*MIN(INDEX(Bases!$P$2:$P$53,B319),INDEX(Bases!$P$2:$P$53,C319))</f>
        <v>56</v>
      </c>
      <c r="W319" s="2" t="n">
        <f aca="false">Settings!$B$4*MAX(INDEX(Bases!$Q$2:$Q$53,B319),INDEX(Bases!$Q$2:$Q$53,C319))+Settings!$B$5*MIN(INDEX(Bases!$Q$2:$Q$53,B319),INDEX(Bases!$Q$2:$Q$53,C319))</f>
        <v>81.6666666666667</v>
      </c>
      <c r="X319" s="2" t="n">
        <f aca="false">Settings!$B$4*MAX(INDEX(Bases!$R$2:$R$53,B319),INDEX(Bases!$R$2:$R$53,C319))+Settings!$B$5*MIN(INDEX(Bases!$R$2:$R$53,B319),INDEX(Bases!$R$2:$R$53,C319))</f>
        <v>39.6666666666667</v>
      </c>
      <c r="Y319" s="2" t="n">
        <f aca="false">S319*Settings!$B$3/SUM(S319:X319)</f>
        <v>102.112676056338</v>
      </c>
      <c r="Z319" s="2" t="n">
        <f aca="false">T319*Settings!$B$3/SUM(S319:X319)</f>
        <v>93.8967136150235</v>
      </c>
      <c r="AA319" s="2" t="n">
        <f aca="false">U319*Settings!$B$3/SUM(S319:X319)</f>
        <v>95.8528951486698</v>
      </c>
      <c r="AB319" s="2" t="n">
        <f aca="false">V319*Settings!$B$3/SUM(S319:X319)</f>
        <v>65.7276995305164</v>
      </c>
      <c r="AC319" s="2" t="n">
        <f aca="false">W319*Settings!$B$3/SUM(S319:X319)</f>
        <v>95.8528951486698</v>
      </c>
      <c r="AD319" s="2" t="n">
        <f aca="false">X319*Settings!$B$3/SUM(S319:X319)</f>
        <v>46.5571205007825</v>
      </c>
      <c r="AE319" s="2" t="n">
        <f aca="false">INT(Y319)</f>
        <v>102</v>
      </c>
      <c r="AF319" s="2" t="n">
        <f aca="false">INT(Z319)</f>
        <v>93</v>
      </c>
      <c r="AG319" s="2" t="n">
        <f aca="false">INT(AA319)</f>
        <v>95</v>
      </c>
      <c r="AH319" s="2" t="n">
        <f aca="false">INT(AB319)</f>
        <v>65</v>
      </c>
      <c r="AI319" s="2" t="n">
        <f aca="false">INT(AC319)</f>
        <v>95</v>
      </c>
      <c r="AJ319" s="2" t="n">
        <f aca="false">INT(AD319)</f>
        <v>46</v>
      </c>
      <c r="AK319" s="2" t="n">
        <f aca="false">Settings!$B$3-SUM(AE319:AJ319)</f>
        <v>4</v>
      </c>
      <c r="AL319" s="2" t="n">
        <f aca="false">ROUND(Y319-AE319,9)</f>
        <v>0.112676056</v>
      </c>
      <c r="AM319" s="2" t="n">
        <f aca="false">ROUND(Z319-AF319,9)</f>
        <v>0.896713615</v>
      </c>
      <c r="AN319" s="2" t="n">
        <f aca="false">ROUND(AA319-AG319,9)</f>
        <v>0.852895149</v>
      </c>
      <c r="AO319" s="2" t="n">
        <f aca="false">ROUND(AB319-AH319,9)</f>
        <v>0.727699531</v>
      </c>
      <c r="AP319" s="2" t="n">
        <f aca="false">ROUND(AC319-AI319,9)</f>
        <v>0.852895149</v>
      </c>
      <c r="AQ319" s="2" t="n">
        <f aca="false">ROUND(AD319-AJ319,9)</f>
        <v>0.557120501</v>
      </c>
    </row>
    <row r="320" customFormat="false" ht="15" hidden="false" customHeight="false" outlineLevel="0" collapsed="false">
      <c r="A320" s="2" t="n">
        <v>319</v>
      </c>
      <c r="B320" s="6" t="n">
        <v>7</v>
      </c>
      <c r="C320" s="6" t="n">
        <v>35</v>
      </c>
      <c r="D320" s="8" t="str">
        <f aca="false">INDEX(Bases!$B$2:$B$53,B320)</f>
        <v>Azurill</v>
      </c>
      <c r="E320" s="8" t="str">
        <f aca="false">INDEX(Bases!$B$2:$B$53,C320)</f>
        <v>Pineco</v>
      </c>
      <c r="F320" s="2" t="str">
        <f aca="false">LEFT(D320,ROUNDUP(LEN(D320)/2,0))&amp;LOWER(MID(E320,ROUNDUP(LEN(E320)/2,0)+1,20))</f>
        <v>Azureco</v>
      </c>
      <c r="G320" s="8" t="str">
        <f aca="false">INDEX(Bases!$C$2:$C$53,B320)</f>
        <v>Water</v>
      </c>
      <c r="H320" s="8" t="str">
        <f aca="false">IF(INDEX(Bases!$C$2:$C$53,C320)=G320,"",INDEX(Bases!$C$2:$C$53,C320))</f>
        <v>Bug</v>
      </c>
      <c r="I320" s="8" t="str">
        <f aca="false">IF(INDEX(Bases!$E$2:$E$53,B320)="","",INDEX(Bases!$E$2:$E$53,B320))</f>
        <v/>
      </c>
      <c r="J320" s="8" t="str">
        <f aca="false">IF(INDEX(Bases!$E$2:$E$53,C320)="","",INDEX(Bases!$E$2:$E$53,C320))</f>
        <v/>
      </c>
      <c r="K320" s="5"/>
      <c r="L320" s="2" t="n">
        <f aca="false">AE320+IF(SUMPRODUCT(--($AL320:$AQ320&gt;AL320))&lt;$AK320,1,0)</f>
        <v>109</v>
      </c>
      <c r="M320" s="2" t="n">
        <f aca="false">AF320+IF(SUMPRODUCT(--($AL320:$AQ320&gt;AM320))+SUMPRODUCT(--($AL320:AL320=AM320))&lt;$AK320,1,0)</f>
        <v>86</v>
      </c>
      <c r="N320" s="2" t="n">
        <f aca="false">AG320+IF(SUMPRODUCT(--($AL320:$AQ320&gt;AN320))+SUMPRODUCT(--($AL320:AM320=AN320))&lt;$AK320,1,0)</f>
        <v>128</v>
      </c>
      <c r="O320" s="2" t="n">
        <f aca="false">AH320+IF(SUMPRODUCT(--($AL320:$AQ320&gt;AO320))+SUMPRODUCT(--($AL320:AN320=AO320))&lt;$AK320,1,0)</f>
        <v>53</v>
      </c>
      <c r="P320" s="2" t="n">
        <f aca="false">AI320+IF(SUMPRODUCT(--($AL320:$AQ320&gt;AP320))+SUMPRODUCT(--($AL320:AO320=AP320))&lt;$AK320,1,0)</f>
        <v>83</v>
      </c>
      <c r="Q320" s="2" t="n">
        <f aca="false">AJ320+IF(SUMPRODUCT(--($AL320:$AQ320&gt;AQ320))+SUMPRODUCT(--($AL320:AP320=AQ320))&lt;$AK320,1,0)</f>
        <v>41</v>
      </c>
      <c r="R320" s="2" t="n">
        <f aca="false">SUM(L320:Q320)</f>
        <v>500</v>
      </c>
      <c r="S320" s="2" t="n">
        <f aca="false">Settings!$B$4*MAX(INDEX(Bases!$M$2:$M$53,B320),INDEX(Bases!$M$2:$M$53,C320))+Settings!$B$5*MIN(INDEX(Bases!$M$2:$M$53,B320),INDEX(Bases!$M$2:$M$53,C320))</f>
        <v>93.6666666666667</v>
      </c>
      <c r="T320" s="2" t="n">
        <f aca="false">Settings!$B$4*MAX(INDEX(Bases!$N$2:$N$53,B320),INDEX(Bases!$N$2:$N$53,C320))+Settings!$B$5*MIN(INDEX(Bases!$N$2:$N$53,B320),INDEX(Bases!$N$2:$N$53,C320))</f>
        <v>74</v>
      </c>
      <c r="U320" s="2" t="n">
        <f aca="false">Settings!$B$4*MAX(INDEX(Bases!$O$2:$O$53,B320),INDEX(Bases!$O$2:$O$53,C320))+Settings!$B$5*MIN(INDEX(Bases!$O$2:$O$53,B320),INDEX(Bases!$O$2:$O$53,C320))</f>
        <v>110.666666666667</v>
      </c>
      <c r="V320" s="2" t="n">
        <f aca="false">Settings!$B$4*MAX(INDEX(Bases!$P$2:$P$53,B320),INDEX(Bases!$P$2:$P$53,C320))+Settings!$B$5*MIN(INDEX(Bases!$P$2:$P$53,B320),INDEX(Bases!$P$2:$P$53,C320))</f>
        <v>46</v>
      </c>
      <c r="W320" s="2" t="n">
        <f aca="false">Settings!$B$4*MAX(INDEX(Bases!$Q$2:$Q$53,B320),INDEX(Bases!$Q$2:$Q$53,C320))+Settings!$B$5*MIN(INDEX(Bases!$Q$2:$Q$53,B320),INDEX(Bases!$Q$2:$Q$53,C320))</f>
        <v>72</v>
      </c>
      <c r="X320" s="2" t="n">
        <f aca="false">Settings!$B$4*MAX(INDEX(Bases!$R$2:$R$53,B320),INDEX(Bases!$R$2:$R$53,C320))+Settings!$B$5*MIN(INDEX(Bases!$R$2:$R$53,B320),INDEX(Bases!$R$2:$R$53,C320))</f>
        <v>35</v>
      </c>
      <c r="Y320" s="2" t="n">
        <f aca="false">S320*Settings!$B$3/SUM(S320:X320)</f>
        <v>108.578052550232</v>
      </c>
      <c r="Z320" s="2" t="n">
        <f aca="false">T320*Settings!$B$3/SUM(S320:X320)</f>
        <v>85.7805255023184</v>
      </c>
      <c r="AA320" s="2" t="n">
        <f aca="false">U320*Settings!$B$3/SUM(S320:X320)</f>
        <v>128.284389489954</v>
      </c>
      <c r="AB320" s="2" t="n">
        <f aca="false">V320*Settings!$B$3/SUM(S320:X320)</f>
        <v>53.323029366306</v>
      </c>
      <c r="AC320" s="2" t="n">
        <f aca="false">W320*Settings!$B$3/SUM(S320:X320)</f>
        <v>83.4621329211747</v>
      </c>
      <c r="AD320" s="2" t="n">
        <f aca="false">X320*Settings!$B$3/SUM(S320:X320)</f>
        <v>40.5718701700155</v>
      </c>
      <c r="AE320" s="2" t="n">
        <f aca="false">INT(Y320)</f>
        <v>108</v>
      </c>
      <c r="AF320" s="2" t="n">
        <f aca="false">INT(Z320)</f>
        <v>85</v>
      </c>
      <c r="AG320" s="2" t="n">
        <f aca="false">INT(AA320)</f>
        <v>128</v>
      </c>
      <c r="AH320" s="2" t="n">
        <f aca="false">INT(AB320)</f>
        <v>53</v>
      </c>
      <c r="AI320" s="2" t="n">
        <f aca="false">INT(AC320)</f>
        <v>83</v>
      </c>
      <c r="AJ320" s="2" t="n">
        <f aca="false">INT(AD320)</f>
        <v>40</v>
      </c>
      <c r="AK320" s="2" t="n">
        <f aca="false">Settings!$B$3-SUM(AE320:AJ320)</f>
        <v>3</v>
      </c>
      <c r="AL320" s="2" t="n">
        <f aca="false">ROUND(Y320-AE320,9)</f>
        <v>0.57805255</v>
      </c>
      <c r="AM320" s="2" t="n">
        <f aca="false">ROUND(Z320-AF320,9)</f>
        <v>0.780525502</v>
      </c>
      <c r="AN320" s="2" t="n">
        <f aca="false">ROUND(AA320-AG320,9)</f>
        <v>0.28438949</v>
      </c>
      <c r="AO320" s="2" t="n">
        <f aca="false">ROUND(AB320-AH320,9)</f>
        <v>0.323029366</v>
      </c>
      <c r="AP320" s="2" t="n">
        <f aca="false">ROUND(AC320-AI320,9)</f>
        <v>0.462132921</v>
      </c>
      <c r="AQ320" s="2" t="n">
        <f aca="false">ROUND(AD320-AJ320,9)</f>
        <v>0.57187017</v>
      </c>
    </row>
    <row r="321" customFormat="false" ht="15" hidden="false" customHeight="false" outlineLevel="0" collapsed="false">
      <c r="A321" s="2" t="n">
        <v>320</v>
      </c>
      <c r="B321" s="6" t="n">
        <v>7</v>
      </c>
      <c r="C321" s="6" t="n">
        <v>36</v>
      </c>
      <c r="D321" s="8" t="str">
        <f aca="false">INDEX(Bases!$B$2:$B$53,B321)</f>
        <v>Azurill</v>
      </c>
      <c r="E321" s="8" t="str">
        <f aca="false">INDEX(Bases!$B$2:$B$53,C321)</f>
        <v>Wurmple</v>
      </c>
      <c r="F321" s="2" t="str">
        <f aca="false">LEFT(D321,ROUNDUP(LEN(D321)/2,0))&amp;LOWER(MID(E321,ROUNDUP(LEN(E321)/2,0)+1,20))</f>
        <v>Azurple</v>
      </c>
      <c r="G321" s="8" t="str">
        <f aca="false">INDEX(Bases!$C$2:$C$53,B321)</f>
        <v>Water</v>
      </c>
      <c r="H321" s="8" t="str">
        <f aca="false">IF(INDEX(Bases!$C$2:$C$53,C321)=G321,"",INDEX(Bases!$C$2:$C$53,C321))</f>
        <v>Bug</v>
      </c>
      <c r="I321" s="8" t="str">
        <f aca="false">IF(INDEX(Bases!$E$2:$E$53,B321)="","",INDEX(Bases!$E$2:$E$53,B321))</f>
        <v/>
      </c>
      <c r="J321" s="8" t="str">
        <f aca="false">IF(INDEX(Bases!$E$2:$E$53,C321)="","",INDEX(Bases!$E$2:$E$53,C321))</f>
        <v/>
      </c>
      <c r="K321" s="5"/>
      <c r="L321" s="2" t="n">
        <f aca="false">AE321+IF(SUMPRODUCT(--($AL321:$AQ321&gt;AL321))&lt;$AK321,1,0)</f>
        <v>122</v>
      </c>
      <c r="M321" s="2" t="n">
        <f aca="false">AF321+IF(SUMPRODUCT(--($AL321:$AQ321&gt;AM321))+SUMPRODUCT(--($AL321:AL321=AM321))&lt;$AK321,1,0)</f>
        <v>90</v>
      </c>
      <c r="N321" s="2" t="n">
        <f aca="false">AG321+IF(SUMPRODUCT(--($AL321:$AQ321&gt;AN321))+SUMPRODUCT(--($AL321:AM321=AN321))&lt;$AK321,1,0)</f>
        <v>96</v>
      </c>
      <c r="O321" s="2" t="n">
        <f aca="false">AH321+IF(SUMPRODUCT(--($AL321:$AQ321&gt;AO321))+SUMPRODUCT(--($AL321:AN321=AO321))&lt;$AK321,1,0)</f>
        <v>50</v>
      </c>
      <c r="P321" s="2" t="n">
        <f aca="false">AI321+IF(SUMPRODUCT(--($AL321:$AQ321&gt;AP321))+SUMPRODUCT(--($AL321:AO321=AP321))&lt;$AK321,1,0)</f>
        <v>92</v>
      </c>
      <c r="Q321" s="2" t="n">
        <f aca="false">AJ321+IF(SUMPRODUCT(--($AL321:$AQ321&gt;AQ321))+SUMPRODUCT(--($AL321:AP321=AQ321))&lt;$AK321,1,0)</f>
        <v>50</v>
      </c>
      <c r="R321" s="2" t="n">
        <f aca="false">SUM(L321:Q321)</f>
        <v>500</v>
      </c>
      <c r="S321" s="2" t="n">
        <f aca="false">Settings!$B$4*MAX(INDEX(Bases!$M$2:$M$53,B321),INDEX(Bases!$M$2:$M$53,C321))+Settings!$B$5*MIN(INDEX(Bases!$M$2:$M$53,B321),INDEX(Bases!$M$2:$M$53,C321))</f>
        <v>101.333333333333</v>
      </c>
      <c r="T321" s="2" t="n">
        <f aca="false">Settings!$B$4*MAX(INDEX(Bases!$N$2:$N$53,B321),INDEX(Bases!$N$2:$N$53,C321))+Settings!$B$5*MIN(INDEX(Bases!$N$2:$N$53,B321),INDEX(Bases!$N$2:$N$53,C321))</f>
        <v>75.3333333333333</v>
      </c>
      <c r="U321" s="2" t="n">
        <f aca="false">Settings!$B$4*MAX(INDEX(Bases!$O$2:$O$53,B321),INDEX(Bases!$O$2:$O$53,C321))+Settings!$B$5*MIN(INDEX(Bases!$O$2:$O$53,B321),INDEX(Bases!$O$2:$O$53,C321))</f>
        <v>80</v>
      </c>
      <c r="V321" s="2" t="n">
        <f aca="false">Settings!$B$4*MAX(INDEX(Bases!$P$2:$P$53,B321),INDEX(Bases!$P$2:$P$53,C321))+Settings!$B$5*MIN(INDEX(Bases!$P$2:$P$53,B321),INDEX(Bases!$P$2:$P$53,C321))</f>
        <v>41.6666666666667</v>
      </c>
      <c r="W321" s="2" t="n">
        <f aca="false">Settings!$B$4*MAX(INDEX(Bases!$Q$2:$Q$53,B321),INDEX(Bases!$Q$2:$Q$53,C321))+Settings!$B$5*MIN(INDEX(Bases!$Q$2:$Q$53,B321),INDEX(Bases!$Q$2:$Q$53,C321))</f>
        <v>76.6666666666667</v>
      </c>
      <c r="X321" s="2" t="n">
        <f aca="false">Settings!$B$4*MAX(INDEX(Bases!$R$2:$R$53,B321),INDEX(Bases!$R$2:$R$53,C321))+Settings!$B$5*MIN(INDEX(Bases!$R$2:$R$53,B321),INDEX(Bases!$R$2:$R$53,C321))</f>
        <v>41.6666666666667</v>
      </c>
      <c r="Y321" s="2" t="n">
        <f aca="false">S321*Settings!$B$3/SUM(S321:X321)</f>
        <v>121.6</v>
      </c>
      <c r="Z321" s="2" t="n">
        <f aca="false">T321*Settings!$B$3/SUM(S321:X321)</f>
        <v>90.4</v>
      </c>
      <c r="AA321" s="2" t="n">
        <f aca="false">U321*Settings!$B$3/SUM(S321:X321)</f>
        <v>96</v>
      </c>
      <c r="AB321" s="2" t="n">
        <f aca="false">V321*Settings!$B$3/SUM(S321:X321)</f>
        <v>50</v>
      </c>
      <c r="AC321" s="2" t="n">
        <f aca="false">W321*Settings!$B$3/SUM(S321:X321)</f>
        <v>92</v>
      </c>
      <c r="AD321" s="2" t="n">
        <f aca="false">X321*Settings!$B$3/SUM(S321:X321)</f>
        <v>50</v>
      </c>
      <c r="AE321" s="2" t="n">
        <f aca="false">INT(Y321)</f>
        <v>121</v>
      </c>
      <c r="AF321" s="2" t="n">
        <f aca="false">INT(Z321)</f>
        <v>90</v>
      </c>
      <c r="AG321" s="2" t="n">
        <f aca="false">INT(AA321)</f>
        <v>96</v>
      </c>
      <c r="AH321" s="2" t="n">
        <f aca="false">INT(AB321)</f>
        <v>50</v>
      </c>
      <c r="AI321" s="2" t="n">
        <f aca="false">INT(AC321)</f>
        <v>92</v>
      </c>
      <c r="AJ321" s="2" t="n">
        <f aca="false">INT(AD321)</f>
        <v>50</v>
      </c>
      <c r="AK321" s="2" t="n">
        <f aca="false">Settings!$B$3-SUM(AE321:AJ321)</f>
        <v>1</v>
      </c>
      <c r="AL321" s="2" t="n">
        <f aca="false">ROUND(Y321-AE321,9)</f>
        <v>0.6</v>
      </c>
      <c r="AM321" s="2" t="n">
        <f aca="false">ROUND(Z321-AF321,9)</f>
        <v>0.4</v>
      </c>
      <c r="AN321" s="2" t="n">
        <f aca="false">ROUND(AA321-AG321,9)</f>
        <v>0</v>
      </c>
      <c r="AO321" s="2" t="n">
        <f aca="false">ROUND(AB321-AH321,9)</f>
        <v>0</v>
      </c>
      <c r="AP321" s="2" t="n">
        <f aca="false">ROUND(AC321-AI321,9)</f>
        <v>0</v>
      </c>
      <c r="AQ321" s="2" t="n">
        <f aca="false">ROUND(AD321-AJ321,9)</f>
        <v>0</v>
      </c>
    </row>
    <row r="322" customFormat="false" ht="15" hidden="false" customHeight="false" outlineLevel="0" collapsed="false">
      <c r="A322" s="2" t="n">
        <v>321</v>
      </c>
      <c r="B322" s="6" t="n">
        <v>7</v>
      </c>
      <c r="C322" s="6" t="n">
        <v>37</v>
      </c>
      <c r="D322" s="8" t="str">
        <f aca="false">INDEX(Bases!$B$2:$B$53,B322)</f>
        <v>Azurill</v>
      </c>
      <c r="E322" s="8" t="str">
        <f aca="false">INDEX(Bases!$B$2:$B$53,C322)</f>
        <v>Shuckle</v>
      </c>
      <c r="F322" s="2" t="str">
        <f aca="false">LEFT(D322,ROUNDUP(LEN(D322)/2,0))&amp;LOWER(MID(E322,ROUNDUP(LEN(E322)/2,0)+1,20))</f>
        <v>Azurkle</v>
      </c>
      <c r="G322" s="8" t="str">
        <f aca="false">INDEX(Bases!$C$2:$C$53,B322)</f>
        <v>Water</v>
      </c>
      <c r="H322" s="8" t="str">
        <f aca="false">IF(INDEX(Bases!$C$2:$C$53,C322)=G322,"",INDEX(Bases!$C$2:$C$53,C322))</f>
        <v>Rock</v>
      </c>
      <c r="I322" s="8" t="str">
        <f aca="false">IF(INDEX(Bases!$E$2:$E$53,B322)="","",INDEX(Bases!$E$2:$E$53,B322))</f>
        <v/>
      </c>
      <c r="J322" s="8" t="str">
        <f aca="false">IF(INDEX(Bases!$E$2:$E$53,C322)="","",INDEX(Bases!$E$2:$E$53,C322))</f>
        <v/>
      </c>
      <c r="K322" s="5"/>
      <c r="L322" s="2" t="n">
        <f aca="false">AE322+IF(SUMPRODUCT(--($AL322:$AQ322&gt;AL322))&lt;$AK322,1,0)</f>
        <v>82</v>
      </c>
      <c r="M322" s="2" t="n">
        <f aca="false">AF322+IF(SUMPRODUCT(--($AL322:$AQ322&gt;AM322))+SUMPRODUCT(--($AL322:AL322=AM322))&lt;$AK322,1,0)</f>
        <v>33</v>
      </c>
      <c r="N322" s="2" t="n">
        <f aca="false">AG322+IF(SUMPRODUCT(--($AL322:$AQ322&gt;AN322))+SUMPRODUCT(--($AL322:AM322=AN322))&lt;$AK322,1,0)</f>
        <v>160</v>
      </c>
      <c r="O322" s="2" t="n">
        <f aca="false">AH322+IF(SUMPRODUCT(--($AL322:$AQ322&gt;AO322))+SUMPRODUCT(--($AL322:AN322=AO322))&lt;$AK322,1,0)</f>
        <v>33</v>
      </c>
      <c r="P322" s="2" t="n">
        <f aca="false">AI322+IF(SUMPRODUCT(--($AL322:$AQ322&gt;AP322))+SUMPRODUCT(--($AL322:AO322=AP322))&lt;$AK322,1,0)</f>
        <v>160</v>
      </c>
      <c r="Q322" s="2" t="n">
        <f aca="false">AJ322+IF(SUMPRODUCT(--($AL322:$AQ322&gt;AQ322))+SUMPRODUCT(--($AL322:AP322=AQ322))&lt;$AK322,1,0)</f>
        <v>32</v>
      </c>
      <c r="R322" s="2" t="n">
        <f aca="false">SUM(L322:Q322)</f>
        <v>500</v>
      </c>
      <c r="S322" s="2" t="n">
        <f aca="false">Settings!$B$4*MAX(INDEX(Bases!$M$2:$M$53,B322),INDEX(Bases!$M$2:$M$53,C322))+Settings!$B$5*MIN(INDEX(Bases!$M$2:$M$53,B322),INDEX(Bases!$M$2:$M$53,C322))</f>
        <v>76</v>
      </c>
      <c r="T322" s="2" t="n">
        <f aca="false">Settings!$B$4*MAX(INDEX(Bases!$N$2:$N$53,B322),INDEX(Bases!$N$2:$N$53,C322))+Settings!$B$5*MIN(INDEX(Bases!$N$2:$N$53,B322),INDEX(Bases!$N$2:$N$53,C322))</f>
        <v>30.6666666666667</v>
      </c>
      <c r="U322" s="2" t="n">
        <f aca="false">Settings!$B$4*MAX(INDEX(Bases!$O$2:$O$53,B322),INDEX(Bases!$O$2:$O$53,C322))+Settings!$B$5*MIN(INDEX(Bases!$O$2:$O$53,B322),INDEX(Bases!$O$2:$O$53,C322))</f>
        <v>149.333333333333</v>
      </c>
      <c r="V322" s="2" t="n">
        <f aca="false">Settings!$B$4*MAX(INDEX(Bases!$P$2:$P$53,B322),INDEX(Bases!$P$2:$P$53,C322))+Settings!$B$5*MIN(INDEX(Bases!$P$2:$P$53,B322),INDEX(Bases!$P$2:$P$53,C322))</f>
        <v>30.6666666666667</v>
      </c>
      <c r="W322" s="2" t="n">
        <f aca="false">Settings!$B$4*MAX(INDEX(Bases!$Q$2:$Q$53,B322),INDEX(Bases!$Q$2:$Q$53,C322))+Settings!$B$5*MIN(INDEX(Bases!$Q$2:$Q$53,B322),INDEX(Bases!$Q$2:$Q$53,C322))</f>
        <v>149.333333333333</v>
      </c>
      <c r="X322" s="2" t="n">
        <f aca="false">Settings!$B$4*MAX(INDEX(Bases!$R$2:$R$53,B322),INDEX(Bases!$R$2:$R$53,C322))+Settings!$B$5*MIN(INDEX(Bases!$R$2:$R$53,B322),INDEX(Bases!$R$2:$R$53,C322))</f>
        <v>29.3333333333333</v>
      </c>
      <c r="Y322" s="2" t="n">
        <f aca="false">S322*Settings!$B$3/SUM(S322:X322)</f>
        <v>81.6618911174785</v>
      </c>
      <c r="Z322" s="2" t="n">
        <f aca="false">T322*Settings!$B$3/SUM(S322:X322)</f>
        <v>32.9512893982808</v>
      </c>
      <c r="AA322" s="2" t="n">
        <f aca="false">U322*Settings!$B$3/SUM(S322:X322)</f>
        <v>160.458452722063</v>
      </c>
      <c r="AB322" s="2" t="n">
        <f aca="false">V322*Settings!$B$3/SUM(S322:X322)</f>
        <v>32.9512893982808</v>
      </c>
      <c r="AC322" s="2" t="n">
        <f aca="false">W322*Settings!$B$3/SUM(S322:X322)</f>
        <v>160.458452722063</v>
      </c>
      <c r="AD322" s="2" t="n">
        <f aca="false">X322*Settings!$B$3/SUM(S322:X322)</f>
        <v>31.5186246418338</v>
      </c>
      <c r="AE322" s="2" t="n">
        <f aca="false">INT(Y322)</f>
        <v>81</v>
      </c>
      <c r="AF322" s="2" t="n">
        <f aca="false">INT(Z322)</f>
        <v>32</v>
      </c>
      <c r="AG322" s="2" t="n">
        <f aca="false">INT(AA322)</f>
        <v>160</v>
      </c>
      <c r="AH322" s="2" t="n">
        <f aca="false">INT(AB322)</f>
        <v>32</v>
      </c>
      <c r="AI322" s="2" t="n">
        <f aca="false">INT(AC322)</f>
        <v>160</v>
      </c>
      <c r="AJ322" s="2" t="n">
        <f aca="false">INT(AD322)</f>
        <v>31</v>
      </c>
      <c r="AK322" s="2" t="n">
        <f aca="false">Settings!$B$3-SUM(AE322:AJ322)</f>
        <v>4</v>
      </c>
      <c r="AL322" s="2" t="n">
        <f aca="false">ROUND(Y322-AE322,9)</f>
        <v>0.661891117</v>
      </c>
      <c r="AM322" s="2" t="n">
        <f aca="false">ROUND(Z322-AF322,9)</f>
        <v>0.951289398</v>
      </c>
      <c r="AN322" s="2" t="n">
        <f aca="false">ROUND(AA322-AG322,9)</f>
        <v>0.458452722</v>
      </c>
      <c r="AO322" s="2" t="n">
        <f aca="false">ROUND(AB322-AH322,9)</f>
        <v>0.951289398</v>
      </c>
      <c r="AP322" s="2" t="n">
        <f aca="false">ROUND(AC322-AI322,9)</f>
        <v>0.458452722</v>
      </c>
      <c r="AQ322" s="2" t="n">
        <f aca="false">ROUND(AD322-AJ322,9)</f>
        <v>0.518624642</v>
      </c>
    </row>
    <row r="323" customFormat="false" ht="15" hidden="false" customHeight="false" outlineLevel="0" collapsed="false">
      <c r="A323" s="2" t="n">
        <v>322</v>
      </c>
      <c r="B323" s="6" t="n">
        <v>7</v>
      </c>
      <c r="C323" s="6" t="n">
        <v>38</v>
      </c>
      <c r="D323" s="8" t="str">
        <f aca="false">INDEX(Bases!$B$2:$B$53,B323)</f>
        <v>Azurill</v>
      </c>
      <c r="E323" s="8" t="str">
        <f aca="false">INDEX(Bases!$B$2:$B$53,C323)</f>
        <v>Larvitar</v>
      </c>
      <c r="F323" s="2" t="str">
        <f aca="false">LEFT(D323,ROUNDUP(LEN(D323)/2,0))&amp;LOWER(MID(E323,ROUNDUP(LEN(E323)/2,0)+1,20))</f>
        <v>Azuritar</v>
      </c>
      <c r="G323" s="8" t="str">
        <f aca="false">INDEX(Bases!$C$2:$C$53,B323)</f>
        <v>Water</v>
      </c>
      <c r="H323" s="8" t="str">
        <f aca="false">IF(INDEX(Bases!$C$2:$C$53,C323)=G323,"",INDEX(Bases!$C$2:$C$53,C323))</f>
        <v>Rock</v>
      </c>
      <c r="I323" s="8" t="str">
        <f aca="false">IF(INDEX(Bases!$E$2:$E$53,B323)="","",INDEX(Bases!$E$2:$E$53,B323))</f>
        <v/>
      </c>
      <c r="J323" s="8" t="str">
        <f aca="false">IF(INDEX(Bases!$E$2:$E$53,C323)="","",INDEX(Bases!$E$2:$E$53,C323))</f>
        <v/>
      </c>
      <c r="K323" s="5"/>
      <c r="L323" s="2" t="n">
        <f aca="false">AE323+IF(SUMPRODUCT(--($AL323:$AQ323&gt;AL323))&lt;$AK323,1,0)</f>
        <v>110</v>
      </c>
      <c r="M323" s="2" t="n">
        <f aca="false">AF323+IF(SUMPRODUCT(--($AL323:$AQ323&gt;AM323))+SUMPRODUCT(--($AL323:AL323=AM323))&lt;$AK323,1,0)</f>
        <v>83</v>
      </c>
      <c r="N323" s="2" t="n">
        <f aca="false">AG323+IF(SUMPRODUCT(--($AL323:$AQ323&gt;AN323))+SUMPRODUCT(--($AL323:AM323=AN323))&lt;$AK323,1,0)</f>
        <v>92</v>
      </c>
      <c r="O323" s="2" t="n">
        <f aca="false">AH323+IF(SUMPRODUCT(--($AL323:$AQ323&gt;AO323))+SUMPRODUCT(--($AL323:AN323=AO323))&lt;$AK323,1,0)</f>
        <v>64</v>
      </c>
      <c r="P323" s="2" t="n">
        <f aca="false">AI323+IF(SUMPRODUCT(--($AL323:$AQ323&gt;AP323))+SUMPRODUCT(--($AL323:AO323=AP323))&lt;$AK323,1,0)</f>
        <v>92</v>
      </c>
      <c r="Q323" s="2" t="n">
        <f aca="false">AJ323+IF(SUMPRODUCT(--($AL323:$AQ323&gt;AQ323))+SUMPRODUCT(--($AL323:AP323=AQ323))&lt;$AK323,1,0)</f>
        <v>59</v>
      </c>
      <c r="R323" s="2" t="n">
        <f aca="false">SUM(L323:Q323)</f>
        <v>500</v>
      </c>
      <c r="S323" s="2" t="n">
        <f aca="false">Settings!$B$4*MAX(INDEX(Bases!$M$2:$M$53,B323),INDEX(Bases!$M$2:$M$53,C323))+Settings!$B$5*MIN(INDEX(Bases!$M$2:$M$53,B323),INDEX(Bases!$M$2:$M$53,C323))</f>
        <v>93</v>
      </c>
      <c r="T323" s="2" t="n">
        <f aca="false">Settings!$B$4*MAX(INDEX(Bases!$N$2:$N$53,B323),INDEX(Bases!$N$2:$N$53,C323))+Settings!$B$5*MIN(INDEX(Bases!$N$2:$N$53,B323),INDEX(Bases!$N$2:$N$53,C323))</f>
        <v>70.6666666666667</v>
      </c>
      <c r="U323" s="2" t="n">
        <f aca="false">Settings!$B$4*MAX(INDEX(Bases!$O$2:$O$53,B323),INDEX(Bases!$O$2:$O$53,C323))+Settings!$B$5*MIN(INDEX(Bases!$O$2:$O$53,B323),INDEX(Bases!$O$2:$O$53,C323))</f>
        <v>78.3333333333333</v>
      </c>
      <c r="V323" s="2" t="n">
        <f aca="false">Settings!$B$4*MAX(INDEX(Bases!$P$2:$P$53,B323),INDEX(Bases!$P$2:$P$53,C323))+Settings!$B$5*MIN(INDEX(Bases!$P$2:$P$53,B323),INDEX(Bases!$P$2:$P$53,C323))</f>
        <v>54</v>
      </c>
      <c r="W323" s="2" t="n">
        <f aca="false">Settings!$B$4*MAX(INDEX(Bases!$Q$2:$Q$53,B323),INDEX(Bases!$Q$2:$Q$53,C323))+Settings!$B$5*MIN(INDEX(Bases!$Q$2:$Q$53,B323),INDEX(Bases!$Q$2:$Q$53,C323))</f>
        <v>78.3333333333333</v>
      </c>
      <c r="X323" s="2" t="n">
        <f aca="false">Settings!$B$4*MAX(INDEX(Bases!$R$2:$R$53,B323),INDEX(Bases!$R$2:$R$53,C323))+Settings!$B$5*MIN(INDEX(Bases!$R$2:$R$53,B323),INDEX(Bases!$R$2:$R$53,C323))</f>
        <v>50</v>
      </c>
      <c r="Y323" s="2" t="n">
        <f aca="false">S323*Settings!$B$3/SUM(S323:X323)</f>
        <v>109.583660644148</v>
      </c>
      <c r="Z323" s="2" t="n">
        <f aca="false">T323*Settings!$B$3/SUM(S323:X323)</f>
        <v>83.2678711704635</v>
      </c>
      <c r="AA323" s="2" t="n">
        <f aca="false">U323*Settings!$B$3/SUM(S323:X323)</f>
        <v>92.3016496465043</v>
      </c>
      <c r="AB323" s="2" t="n">
        <f aca="false">V323*Settings!$B$3/SUM(S323:X323)</f>
        <v>63.6292223095051</v>
      </c>
      <c r="AC323" s="2" t="n">
        <f aca="false">W323*Settings!$B$3/SUM(S323:X323)</f>
        <v>92.3016496465043</v>
      </c>
      <c r="AD323" s="2" t="n">
        <f aca="false">X323*Settings!$B$3/SUM(S323:X323)</f>
        <v>58.9159465828751</v>
      </c>
      <c r="AE323" s="2" t="n">
        <f aca="false">INT(Y323)</f>
        <v>109</v>
      </c>
      <c r="AF323" s="2" t="n">
        <f aca="false">INT(Z323)</f>
        <v>83</v>
      </c>
      <c r="AG323" s="2" t="n">
        <f aca="false">INT(AA323)</f>
        <v>92</v>
      </c>
      <c r="AH323" s="2" t="n">
        <f aca="false">INT(AB323)</f>
        <v>63</v>
      </c>
      <c r="AI323" s="2" t="n">
        <f aca="false">INT(AC323)</f>
        <v>92</v>
      </c>
      <c r="AJ323" s="2" t="n">
        <f aca="false">INT(AD323)</f>
        <v>58</v>
      </c>
      <c r="AK323" s="2" t="n">
        <f aca="false">Settings!$B$3-SUM(AE323:AJ323)</f>
        <v>3</v>
      </c>
      <c r="AL323" s="2" t="n">
        <f aca="false">ROUND(Y323-AE323,9)</f>
        <v>0.583660644</v>
      </c>
      <c r="AM323" s="2" t="n">
        <f aca="false">ROUND(Z323-AF323,9)</f>
        <v>0.26787117</v>
      </c>
      <c r="AN323" s="2" t="n">
        <f aca="false">ROUND(AA323-AG323,9)</f>
        <v>0.301649647</v>
      </c>
      <c r="AO323" s="2" t="n">
        <f aca="false">ROUND(AB323-AH323,9)</f>
        <v>0.62922231</v>
      </c>
      <c r="AP323" s="2" t="n">
        <f aca="false">ROUND(AC323-AI323,9)</f>
        <v>0.301649647</v>
      </c>
      <c r="AQ323" s="2" t="n">
        <f aca="false">ROUND(AD323-AJ323,9)</f>
        <v>0.915946583</v>
      </c>
    </row>
    <row r="324" customFormat="false" ht="15" hidden="false" customHeight="false" outlineLevel="0" collapsed="false">
      <c r="A324" s="2" t="n">
        <v>323</v>
      </c>
      <c r="B324" s="6" t="n">
        <v>7</v>
      </c>
      <c r="C324" s="6" t="n">
        <v>39</v>
      </c>
      <c r="D324" s="8" t="str">
        <f aca="false">INDEX(Bases!$B$2:$B$53,B324)</f>
        <v>Azurill</v>
      </c>
      <c r="E324" s="8" t="str">
        <f aca="false">INDEX(Bases!$B$2:$B$53,C324)</f>
        <v>Nosepass</v>
      </c>
      <c r="F324" s="2" t="str">
        <f aca="false">LEFT(D324,ROUNDUP(LEN(D324)/2,0))&amp;LOWER(MID(E324,ROUNDUP(LEN(E324)/2,0)+1,20))</f>
        <v>Azurpass</v>
      </c>
      <c r="G324" s="8" t="str">
        <f aca="false">INDEX(Bases!$C$2:$C$53,B324)</f>
        <v>Water</v>
      </c>
      <c r="H324" s="8" t="str">
        <f aca="false">IF(INDEX(Bases!$C$2:$C$53,C324)=G324,"",INDEX(Bases!$C$2:$C$53,C324))</f>
        <v>Rock</v>
      </c>
      <c r="I324" s="8" t="str">
        <f aca="false">IF(INDEX(Bases!$E$2:$E$53,B324)="","",INDEX(Bases!$E$2:$E$53,B324))</f>
        <v/>
      </c>
      <c r="J324" s="8" t="str">
        <f aca="false">IF(INDEX(Bases!$E$2:$E$53,C324)="","",INDEX(Bases!$E$2:$E$53,C324))</f>
        <v/>
      </c>
      <c r="K324" s="5"/>
      <c r="L324" s="2" t="n">
        <f aca="false">AE324+IF(SUMPRODUCT(--($AL324:$AQ324&gt;AL324))&lt;$AK324,1,0)</f>
        <v>95</v>
      </c>
      <c r="M324" s="2" t="n">
        <f aca="false">AF324+IF(SUMPRODUCT(--($AL324:$AQ324&gt;AM324))+SUMPRODUCT(--($AL324:AL324=AM324))&lt;$AK324,1,0)</f>
        <v>54</v>
      </c>
      <c r="N324" s="2" t="n">
        <f aca="false">AG324+IF(SUMPRODUCT(--($AL324:$AQ324&gt;AN324))+SUMPRODUCT(--($AL324:AM324=AN324))&lt;$AK324,1,0)</f>
        <v>145</v>
      </c>
      <c r="O324" s="2" t="n">
        <f aca="false">AH324+IF(SUMPRODUCT(--($AL324:$AQ324&gt;AO324))+SUMPRODUCT(--($AL324:AN324=AO324))&lt;$AK324,1,0)</f>
        <v>54</v>
      </c>
      <c r="P324" s="2" t="n">
        <f aca="false">AI324+IF(SUMPRODUCT(--($AL324:$AQ324&gt;AP324))+SUMPRODUCT(--($AL324:AO324=AP324))&lt;$AK324,1,0)</f>
        <v>107</v>
      </c>
      <c r="Q324" s="2" t="n">
        <f aca="false">AJ324+IF(SUMPRODUCT(--($AL324:$AQ324&gt;AQ324))+SUMPRODUCT(--($AL324:AP324=AQ324))&lt;$AK324,1,0)</f>
        <v>45</v>
      </c>
      <c r="R324" s="2" t="n">
        <f aca="false">SUM(L324:Q324)</f>
        <v>500</v>
      </c>
      <c r="S324" s="2" t="n">
        <f aca="false">Settings!$B$4*MAX(INDEX(Bases!$M$2:$M$53,B324),INDEX(Bases!$M$2:$M$53,C324))+Settings!$B$5*MIN(INDEX(Bases!$M$2:$M$53,B324),INDEX(Bases!$M$2:$M$53,C324))</f>
        <v>81.3333333333333</v>
      </c>
      <c r="T324" s="2" t="n">
        <f aca="false">Settings!$B$4*MAX(INDEX(Bases!$N$2:$N$53,B324),INDEX(Bases!$N$2:$N$53,C324))+Settings!$B$5*MIN(INDEX(Bases!$N$2:$N$53,B324),INDEX(Bases!$N$2:$N$53,C324))</f>
        <v>46</v>
      </c>
      <c r="U324" s="2" t="n">
        <f aca="false">Settings!$B$4*MAX(INDEX(Bases!$O$2:$O$53,B324),INDEX(Bases!$O$2:$O$53,C324))+Settings!$B$5*MIN(INDEX(Bases!$O$2:$O$53,B324),INDEX(Bases!$O$2:$O$53,C324))</f>
        <v>124</v>
      </c>
      <c r="V324" s="2" t="n">
        <f aca="false">Settings!$B$4*MAX(INDEX(Bases!$P$2:$P$53,B324),INDEX(Bases!$P$2:$P$53,C324))+Settings!$B$5*MIN(INDEX(Bases!$P$2:$P$53,B324),INDEX(Bases!$P$2:$P$53,C324))</f>
        <v>46</v>
      </c>
      <c r="W324" s="2" t="n">
        <f aca="false">Settings!$B$4*MAX(INDEX(Bases!$Q$2:$Q$53,B324),INDEX(Bases!$Q$2:$Q$53,C324))+Settings!$B$5*MIN(INDEX(Bases!$Q$2:$Q$53,B324),INDEX(Bases!$Q$2:$Q$53,C324))</f>
        <v>92</v>
      </c>
      <c r="X324" s="2" t="n">
        <f aca="false">Settings!$B$4*MAX(INDEX(Bases!$R$2:$R$53,B324),INDEX(Bases!$R$2:$R$53,C324))+Settings!$B$5*MIN(INDEX(Bases!$R$2:$R$53,B324),INDEX(Bases!$R$2:$R$53,C324))</f>
        <v>38.6666666666667</v>
      </c>
      <c r="Y324" s="2" t="n">
        <f aca="false">S324*Settings!$B$3/SUM(S324:X324)</f>
        <v>95.0155763239875</v>
      </c>
      <c r="Z324" s="2" t="n">
        <f aca="false">T324*Settings!$B$3/SUM(S324:X324)</f>
        <v>53.7383177570094</v>
      </c>
      <c r="AA324" s="2" t="n">
        <f aca="false">U324*Settings!$B$3/SUM(S324:X324)</f>
        <v>144.859813084112</v>
      </c>
      <c r="AB324" s="2" t="n">
        <f aca="false">V324*Settings!$B$3/SUM(S324:X324)</f>
        <v>53.7383177570094</v>
      </c>
      <c r="AC324" s="2" t="n">
        <f aca="false">W324*Settings!$B$3/SUM(S324:X324)</f>
        <v>107.476635514019</v>
      </c>
      <c r="AD324" s="2" t="n">
        <f aca="false">X324*Settings!$B$3/SUM(S324:X324)</f>
        <v>45.1713395638629</v>
      </c>
      <c r="AE324" s="2" t="n">
        <f aca="false">INT(Y324)</f>
        <v>95</v>
      </c>
      <c r="AF324" s="2" t="n">
        <f aca="false">INT(Z324)</f>
        <v>53</v>
      </c>
      <c r="AG324" s="2" t="n">
        <f aca="false">INT(AA324)</f>
        <v>144</v>
      </c>
      <c r="AH324" s="2" t="n">
        <f aca="false">INT(AB324)</f>
        <v>53</v>
      </c>
      <c r="AI324" s="2" t="n">
        <f aca="false">INT(AC324)</f>
        <v>107</v>
      </c>
      <c r="AJ324" s="2" t="n">
        <f aca="false">INT(AD324)</f>
        <v>45</v>
      </c>
      <c r="AK324" s="2" t="n">
        <f aca="false">Settings!$B$3-SUM(AE324:AJ324)</f>
        <v>3</v>
      </c>
      <c r="AL324" s="2" t="n">
        <f aca="false">ROUND(Y324-AE324,9)</f>
        <v>0.015576324</v>
      </c>
      <c r="AM324" s="2" t="n">
        <f aca="false">ROUND(Z324-AF324,9)</f>
        <v>0.738317757</v>
      </c>
      <c r="AN324" s="2" t="n">
        <f aca="false">ROUND(AA324-AG324,9)</f>
        <v>0.859813084</v>
      </c>
      <c r="AO324" s="2" t="n">
        <f aca="false">ROUND(AB324-AH324,9)</f>
        <v>0.738317757</v>
      </c>
      <c r="AP324" s="2" t="n">
        <f aca="false">ROUND(AC324-AI324,9)</f>
        <v>0.476635514</v>
      </c>
      <c r="AQ324" s="2" t="n">
        <f aca="false">ROUND(AD324-AJ324,9)</f>
        <v>0.171339564</v>
      </c>
    </row>
    <row r="325" customFormat="false" ht="15" hidden="false" customHeight="false" outlineLevel="0" collapsed="false">
      <c r="A325" s="2" t="n">
        <v>324</v>
      </c>
      <c r="B325" s="6" t="n">
        <v>7</v>
      </c>
      <c r="C325" s="6" t="n">
        <v>40</v>
      </c>
      <c r="D325" s="8" t="str">
        <f aca="false">INDEX(Bases!$B$2:$B$53,B325)</f>
        <v>Azurill</v>
      </c>
      <c r="E325" s="8" t="str">
        <f aca="false">INDEX(Bases!$B$2:$B$53,C325)</f>
        <v>Gastly</v>
      </c>
      <c r="F325" s="2" t="str">
        <f aca="false">LEFT(D325,ROUNDUP(LEN(D325)/2,0))&amp;LOWER(MID(E325,ROUNDUP(LEN(E325)/2,0)+1,20))</f>
        <v>Azurtly</v>
      </c>
      <c r="G325" s="8" t="str">
        <f aca="false">INDEX(Bases!$C$2:$C$53,B325)</f>
        <v>Water</v>
      </c>
      <c r="H325" s="8" t="str">
        <f aca="false">IF(INDEX(Bases!$C$2:$C$53,C325)=G325,"",INDEX(Bases!$C$2:$C$53,C325))</f>
        <v>Ghost</v>
      </c>
      <c r="I325" s="8" t="str">
        <f aca="false">IF(INDEX(Bases!$E$2:$E$53,B325)="","",INDEX(Bases!$E$2:$E$53,B325))</f>
        <v/>
      </c>
      <c r="J325" s="8" t="str">
        <f aca="false">IF(INDEX(Bases!$E$2:$E$53,C325)="","",INDEX(Bases!$E$2:$E$53,C325))</f>
        <v/>
      </c>
      <c r="K325" s="5"/>
      <c r="L325" s="2" t="n">
        <f aca="false">AE325+IF(SUMPRODUCT(--($AL325:$AQ325&gt;AL325))&lt;$AK325,1,0)</f>
        <v>93</v>
      </c>
      <c r="M325" s="2" t="n">
        <f aca="false">AF325+IF(SUMPRODUCT(--($AL325:$AQ325&gt;AM325))+SUMPRODUCT(--($AL325:AL325=AM325))&lt;$AK325,1,0)</f>
        <v>49</v>
      </c>
      <c r="N325" s="2" t="n">
        <f aca="false">AG325+IF(SUMPRODUCT(--($AL325:$AQ325&gt;AN325))+SUMPRODUCT(--($AL325:AM325=AN325))&lt;$AK325,1,0)</f>
        <v>76</v>
      </c>
      <c r="O325" s="2" t="n">
        <f aca="false">AH325+IF(SUMPRODUCT(--($AL325:$AQ325&gt;AO325))+SUMPRODUCT(--($AL325:AN325=AO325))&lt;$AK325,1,0)</f>
        <v>111</v>
      </c>
      <c r="P325" s="2" t="n">
        <f aca="false">AI325+IF(SUMPRODUCT(--($AL325:$AQ325&gt;AP325))+SUMPRODUCT(--($AL325:AO325=AP325))&lt;$AK325,1,0)</f>
        <v>79</v>
      </c>
      <c r="Q325" s="2" t="n">
        <f aca="false">AJ325+IF(SUMPRODUCT(--($AL325:$AQ325&gt;AQ325))+SUMPRODUCT(--($AL325:AP325=AQ325))&lt;$AK325,1,0)</f>
        <v>92</v>
      </c>
      <c r="R325" s="2" t="n">
        <f aca="false">SUM(L325:Q325)</f>
        <v>500</v>
      </c>
      <c r="S325" s="2" t="n">
        <f aca="false">Settings!$B$4*MAX(INDEX(Bases!$M$2:$M$53,B325),INDEX(Bases!$M$2:$M$53,C325))+Settings!$B$5*MIN(INDEX(Bases!$M$2:$M$53,B325),INDEX(Bases!$M$2:$M$53,C325))</f>
        <v>83.6666666666667</v>
      </c>
      <c r="T325" s="2" t="n">
        <f aca="false">Settings!$B$4*MAX(INDEX(Bases!$N$2:$N$53,B325),INDEX(Bases!$N$2:$N$53,C325))+Settings!$B$5*MIN(INDEX(Bases!$N$2:$N$53,B325),INDEX(Bases!$N$2:$N$53,C325))</f>
        <v>44</v>
      </c>
      <c r="U325" s="2" t="n">
        <f aca="false">Settings!$B$4*MAX(INDEX(Bases!$O$2:$O$53,B325),INDEX(Bases!$O$2:$O$53,C325))+Settings!$B$5*MIN(INDEX(Bases!$O$2:$O$53,B325),INDEX(Bases!$O$2:$O$53,C325))</f>
        <v>69</v>
      </c>
      <c r="V325" s="2" t="n">
        <f aca="false">Settings!$B$4*MAX(INDEX(Bases!$P$2:$P$53,B325),INDEX(Bases!$P$2:$P$53,C325))+Settings!$B$5*MIN(INDEX(Bases!$P$2:$P$53,B325),INDEX(Bases!$P$2:$P$53,C325))</f>
        <v>100</v>
      </c>
      <c r="W325" s="2" t="n">
        <f aca="false">Settings!$B$4*MAX(INDEX(Bases!$Q$2:$Q$53,B325),INDEX(Bases!$Q$2:$Q$53,C325))+Settings!$B$5*MIN(INDEX(Bases!$Q$2:$Q$53,B325),INDEX(Bases!$Q$2:$Q$53,C325))</f>
        <v>71</v>
      </c>
      <c r="X325" s="2" t="n">
        <f aca="false">Settings!$B$4*MAX(INDEX(Bases!$R$2:$R$53,B325),INDEX(Bases!$R$2:$R$53,C325))+Settings!$B$5*MIN(INDEX(Bases!$R$2:$R$53,B325),INDEX(Bases!$R$2:$R$53,C325))</f>
        <v>82.6666666666667</v>
      </c>
      <c r="Y325" s="2" t="n">
        <f aca="false">S325*Settings!$B$3/SUM(S325:X325)</f>
        <v>92.8941524796447</v>
      </c>
      <c r="Z325" s="2" t="n">
        <f aca="false">T325*Settings!$B$3/SUM(S325:X325)</f>
        <v>48.8527017024426</v>
      </c>
      <c r="AA325" s="2" t="n">
        <f aca="false">U325*Settings!$B$3/SUM(S325:X325)</f>
        <v>76.6099185788305</v>
      </c>
      <c r="AB325" s="2" t="n">
        <f aca="false">V325*Settings!$B$3/SUM(S325:X325)</f>
        <v>111.028867505551</v>
      </c>
      <c r="AC325" s="2" t="n">
        <f aca="false">W325*Settings!$B$3/SUM(S325:X325)</f>
        <v>78.8304959289416</v>
      </c>
      <c r="AD325" s="2" t="n">
        <f aca="false">X325*Settings!$B$3/SUM(S325:X325)</f>
        <v>91.7838638045892</v>
      </c>
      <c r="AE325" s="2" t="n">
        <f aca="false">INT(Y325)</f>
        <v>92</v>
      </c>
      <c r="AF325" s="2" t="n">
        <f aca="false">INT(Z325)</f>
        <v>48</v>
      </c>
      <c r="AG325" s="2" t="n">
        <f aca="false">INT(AA325)</f>
        <v>76</v>
      </c>
      <c r="AH325" s="2" t="n">
        <f aca="false">INT(AB325)</f>
        <v>111</v>
      </c>
      <c r="AI325" s="2" t="n">
        <f aca="false">INT(AC325)</f>
        <v>78</v>
      </c>
      <c r="AJ325" s="2" t="n">
        <f aca="false">INT(AD325)</f>
        <v>91</v>
      </c>
      <c r="AK325" s="2" t="n">
        <f aca="false">Settings!$B$3-SUM(AE325:AJ325)</f>
        <v>4</v>
      </c>
      <c r="AL325" s="2" t="n">
        <f aca="false">ROUND(Y325-AE325,9)</f>
        <v>0.89415248</v>
      </c>
      <c r="AM325" s="2" t="n">
        <f aca="false">ROUND(Z325-AF325,9)</f>
        <v>0.852701702</v>
      </c>
      <c r="AN325" s="2" t="n">
        <f aca="false">ROUND(AA325-AG325,9)</f>
        <v>0.609918579</v>
      </c>
      <c r="AO325" s="2" t="n">
        <f aca="false">ROUND(AB325-AH325,9)</f>
        <v>0.028867506</v>
      </c>
      <c r="AP325" s="2" t="n">
        <f aca="false">ROUND(AC325-AI325,9)</f>
        <v>0.830495929</v>
      </c>
      <c r="AQ325" s="2" t="n">
        <f aca="false">ROUND(AD325-AJ325,9)</f>
        <v>0.783863805</v>
      </c>
    </row>
    <row r="326" customFormat="false" ht="15" hidden="false" customHeight="false" outlineLevel="0" collapsed="false">
      <c r="A326" s="2" t="n">
        <v>325</v>
      </c>
      <c r="B326" s="6" t="n">
        <v>7</v>
      </c>
      <c r="C326" s="6" t="n">
        <v>41</v>
      </c>
      <c r="D326" s="8" t="str">
        <f aca="false">INDEX(Bases!$B$2:$B$53,B326)</f>
        <v>Azurill</v>
      </c>
      <c r="E326" s="8" t="str">
        <f aca="false">INDEX(Bases!$B$2:$B$53,C326)</f>
        <v>Misdreavus</v>
      </c>
      <c r="F326" s="2" t="str">
        <f aca="false">LEFT(D326,ROUNDUP(LEN(D326)/2,0))&amp;LOWER(MID(E326,ROUNDUP(LEN(E326)/2,0)+1,20))</f>
        <v>Azureavus</v>
      </c>
      <c r="G326" s="8" t="str">
        <f aca="false">INDEX(Bases!$C$2:$C$53,B326)</f>
        <v>Water</v>
      </c>
      <c r="H326" s="8" t="str">
        <f aca="false">IF(INDEX(Bases!$C$2:$C$53,C326)=G326,"",INDEX(Bases!$C$2:$C$53,C326))</f>
        <v>Ghost</v>
      </c>
      <c r="I326" s="8" t="str">
        <f aca="false">IF(INDEX(Bases!$E$2:$E$53,B326)="","",INDEX(Bases!$E$2:$E$53,B326))</f>
        <v/>
      </c>
      <c r="J326" s="8" t="str">
        <f aca="false">IF(INDEX(Bases!$E$2:$E$53,C326)="","",INDEX(Bases!$E$2:$E$53,C326))</f>
        <v/>
      </c>
      <c r="K326" s="5"/>
      <c r="L326" s="2" t="n">
        <f aca="false">AE326+IF(SUMPRODUCT(--($AL326:$AQ326&gt;AL326))&lt;$AK326,1,0)</f>
        <v>104</v>
      </c>
      <c r="M326" s="2" t="n">
        <f aca="false">AF326+IF(SUMPRODUCT(--($AL326:$AQ326&gt;AM326))+SUMPRODUCT(--($AL326:AL326=AM326))&lt;$AK326,1,0)</f>
        <v>59</v>
      </c>
      <c r="N326" s="2" t="n">
        <f aca="false">AG326+IF(SUMPRODUCT(--($AL326:$AQ326&gt;AN326))+SUMPRODUCT(--($AL326:AM326=AN326))&lt;$AK326,1,0)</f>
        <v>87</v>
      </c>
      <c r="O326" s="2" t="n">
        <f aca="false">AH326+IF(SUMPRODUCT(--($AL326:$AQ326&gt;AO326))+SUMPRODUCT(--($AL326:AN326=AO326))&lt;$AK326,1,0)</f>
        <v>77</v>
      </c>
      <c r="P326" s="2" t="n">
        <f aca="false">AI326+IF(SUMPRODUCT(--($AL326:$AQ326&gt;AP326))+SUMPRODUCT(--($AL326:AO326=AP326))&lt;$AK326,1,0)</f>
        <v>96</v>
      </c>
      <c r="Q326" s="2" t="n">
        <f aca="false">AJ326+IF(SUMPRODUCT(--($AL326:$AQ326&gt;AQ326))+SUMPRODUCT(--($AL326:AP326=AQ326))&lt;$AK326,1,0)</f>
        <v>77</v>
      </c>
      <c r="R326" s="2" t="n">
        <f aca="false">SUM(L326:Q326)</f>
        <v>500</v>
      </c>
      <c r="S326" s="2" t="n">
        <f aca="false">Settings!$B$4*MAX(INDEX(Bases!$M$2:$M$53,B326),INDEX(Bases!$M$2:$M$53,C326))+Settings!$B$5*MIN(INDEX(Bases!$M$2:$M$53,B326),INDEX(Bases!$M$2:$M$53,C326))</f>
        <v>89.3333333333333</v>
      </c>
      <c r="T326" s="2" t="n">
        <f aca="false">Settings!$B$4*MAX(INDEX(Bases!$N$2:$N$53,B326),INDEX(Bases!$N$2:$N$53,C326))+Settings!$B$5*MIN(INDEX(Bases!$N$2:$N$53,B326),INDEX(Bases!$N$2:$N$53,C326))</f>
        <v>50.6666666666667</v>
      </c>
      <c r="U326" s="2" t="n">
        <f aca="false">Settings!$B$4*MAX(INDEX(Bases!$O$2:$O$53,B326),INDEX(Bases!$O$2:$O$53,C326))+Settings!$B$5*MIN(INDEX(Bases!$O$2:$O$53,B326),INDEX(Bases!$O$2:$O$53,C326))</f>
        <v>74.3333333333333</v>
      </c>
      <c r="V326" s="2" t="n">
        <f aca="false">Settings!$B$4*MAX(INDEX(Bases!$P$2:$P$53,B326),INDEX(Bases!$P$2:$P$53,C326))+Settings!$B$5*MIN(INDEX(Bases!$P$2:$P$53,B326),INDEX(Bases!$P$2:$P$53,C326))</f>
        <v>66</v>
      </c>
      <c r="W326" s="2" t="n">
        <f aca="false">Settings!$B$4*MAX(INDEX(Bases!$Q$2:$Q$53,B326),INDEX(Bases!$Q$2:$Q$53,C326))+Settings!$B$5*MIN(INDEX(Bases!$Q$2:$Q$53,B326),INDEX(Bases!$Q$2:$Q$53,C326))</f>
        <v>82</v>
      </c>
      <c r="X326" s="2" t="n">
        <f aca="false">Settings!$B$4*MAX(INDEX(Bases!$R$2:$R$53,B326),INDEX(Bases!$R$2:$R$53,C326))+Settings!$B$5*MIN(INDEX(Bases!$R$2:$R$53,B326),INDEX(Bases!$R$2:$R$53,C326))</f>
        <v>66</v>
      </c>
      <c r="Y326" s="2" t="n">
        <f aca="false">S326*Settings!$B$3/SUM(S326:X326)</f>
        <v>104.280155642023</v>
      </c>
      <c r="Z326" s="2" t="n">
        <f aca="false">T326*Settings!$B$3/SUM(S326:X326)</f>
        <v>59.1439688715953</v>
      </c>
      <c r="AA326" s="2" t="n">
        <f aca="false">U326*Settings!$B$3/SUM(S326:X326)</f>
        <v>86.7704280155642</v>
      </c>
      <c r="AB326" s="2" t="n">
        <f aca="false">V326*Settings!$B$3/SUM(S326:X326)</f>
        <v>77.0428015564202</v>
      </c>
      <c r="AC326" s="2" t="n">
        <f aca="false">W326*Settings!$B$3/SUM(S326:X326)</f>
        <v>95.7198443579767</v>
      </c>
      <c r="AD326" s="2" t="n">
        <f aca="false">X326*Settings!$B$3/SUM(S326:X326)</f>
        <v>77.0428015564202</v>
      </c>
      <c r="AE326" s="2" t="n">
        <f aca="false">INT(Y326)</f>
        <v>104</v>
      </c>
      <c r="AF326" s="2" t="n">
        <f aca="false">INT(Z326)</f>
        <v>59</v>
      </c>
      <c r="AG326" s="2" t="n">
        <f aca="false">INT(AA326)</f>
        <v>86</v>
      </c>
      <c r="AH326" s="2" t="n">
        <f aca="false">INT(AB326)</f>
        <v>77</v>
      </c>
      <c r="AI326" s="2" t="n">
        <f aca="false">INT(AC326)</f>
        <v>95</v>
      </c>
      <c r="AJ326" s="2" t="n">
        <f aca="false">INT(AD326)</f>
        <v>77</v>
      </c>
      <c r="AK326" s="2" t="n">
        <f aca="false">Settings!$B$3-SUM(AE326:AJ326)</f>
        <v>2</v>
      </c>
      <c r="AL326" s="2" t="n">
        <f aca="false">ROUND(Y326-AE326,9)</f>
        <v>0.280155642</v>
      </c>
      <c r="AM326" s="2" t="n">
        <f aca="false">ROUND(Z326-AF326,9)</f>
        <v>0.143968872</v>
      </c>
      <c r="AN326" s="2" t="n">
        <f aca="false">ROUND(AA326-AG326,9)</f>
        <v>0.770428016</v>
      </c>
      <c r="AO326" s="2" t="n">
        <f aca="false">ROUND(AB326-AH326,9)</f>
        <v>0.042801556</v>
      </c>
      <c r="AP326" s="2" t="n">
        <f aca="false">ROUND(AC326-AI326,9)</f>
        <v>0.719844358</v>
      </c>
      <c r="AQ326" s="2" t="n">
        <f aca="false">ROUND(AD326-AJ326,9)</f>
        <v>0.042801556</v>
      </c>
    </row>
    <row r="327" customFormat="false" ht="15" hidden="false" customHeight="false" outlineLevel="0" collapsed="false">
      <c r="A327" s="2" t="n">
        <v>326</v>
      </c>
      <c r="B327" s="6" t="n">
        <v>7</v>
      </c>
      <c r="C327" s="6" t="n">
        <v>42</v>
      </c>
      <c r="D327" s="8" t="str">
        <f aca="false">INDEX(Bases!$B$2:$B$53,B327)</f>
        <v>Azurill</v>
      </c>
      <c r="E327" s="8" t="str">
        <f aca="false">INDEX(Bases!$B$2:$B$53,C327)</f>
        <v>Sableye</v>
      </c>
      <c r="F327" s="2" t="str">
        <f aca="false">LEFT(D327,ROUNDUP(LEN(D327)/2,0))&amp;LOWER(MID(E327,ROUNDUP(LEN(E327)/2,0)+1,20))</f>
        <v>Azureye</v>
      </c>
      <c r="G327" s="8" t="str">
        <f aca="false">INDEX(Bases!$C$2:$C$53,B327)</f>
        <v>Water</v>
      </c>
      <c r="H327" s="8" t="str">
        <f aca="false">IF(INDEX(Bases!$C$2:$C$53,C327)=G327,"",INDEX(Bases!$C$2:$C$53,C327))</f>
        <v>Ghost</v>
      </c>
      <c r="I327" s="8" t="str">
        <f aca="false">IF(INDEX(Bases!$E$2:$E$53,B327)="","",INDEX(Bases!$E$2:$E$53,B327))</f>
        <v/>
      </c>
      <c r="J327" s="8" t="str">
        <f aca="false">IF(INDEX(Bases!$E$2:$E$53,C327)="","",INDEX(Bases!$E$2:$E$53,C327))</f>
        <v/>
      </c>
      <c r="K327" s="5"/>
      <c r="L327" s="2" t="n">
        <f aca="false">AE327+IF(SUMPRODUCT(--($AL327:$AQ327&gt;AL327))&lt;$AK327,1,0)</f>
        <v>104</v>
      </c>
      <c r="M327" s="2" t="n">
        <f aca="false">AF327+IF(SUMPRODUCT(--($AL327:$AQ327&gt;AM327))+SUMPRODUCT(--($AL327:AL327=AM327))&lt;$AK327,1,0)</f>
        <v>78</v>
      </c>
      <c r="N327" s="2" t="n">
        <f aca="false">AG327+IF(SUMPRODUCT(--($AL327:$AQ327&gt;AN327))+SUMPRODUCT(--($AL327:AM327=AN327))&lt;$AK327,1,0)</f>
        <v>97</v>
      </c>
      <c r="O327" s="2" t="n">
        <f aca="false">AH327+IF(SUMPRODUCT(--($AL327:$AQ327&gt;AO327))+SUMPRODUCT(--($AL327:AN327=AO327))&lt;$AK327,1,0)</f>
        <v>70</v>
      </c>
      <c r="P327" s="2" t="n">
        <f aca="false">AI327+IF(SUMPRODUCT(--($AL327:$AQ327&gt;AP327))+SUMPRODUCT(--($AL327:AO327=AP327))&lt;$AK327,1,0)</f>
        <v>93</v>
      </c>
      <c r="Q327" s="2" t="n">
        <f aca="false">AJ327+IF(SUMPRODUCT(--($AL327:$AQ327&gt;AQ327))+SUMPRODUCT(--($AL327:AP327=AQ327))&lt;$AK327,1,0)</f>
        <v>58</v>
      </c>
      <c r="R327" s="2" t="n">
        <f aca="false">SUM(L327:Q327)</f>
        <v>500</v>
      </c>
      <c r="S327" s="2" t="n">
        <f aca="false">Settings!$B$4*MAX(INDEX(Bases!$M$2:$M$53,B327),INDEX(Bases!$M$2:$M$53,C327))+Settings!$B$5*MIN(INDEX(Bases!$M$2:$M$53,B327),INDEX(Bases!$M$2:$M$53,C327))</f>
        <v>88.3333333333333</v>
      </c>
      <c r="T327" s="2" t="n">
        <f aca="false">Settings!$B$4*MAX(INDEX(Bases!$N$2:$N$53,B327),INDEX(Bases!$N$2:$N$53,C327))+Settings!$B$5*MIN(INDEX(Bases!$N$2:$N$53,B327),INDEX(Bases!$N$2:$N$53,C327))</f>
        <v>66.6666666666667</v>
      </c>
      <c r="U327" s="2" t="n">
        <f aca="false">Settings!$B$4*MAX(INDEX(Bases!$O$2:$O$53,B327),INDEX(Bases!$O$2:$O$53,C327))+Settings!$B$5*MIN(INDEX(Bases!$O$2:$O$53,B327),INDEX(Bases!$O$2:$O$53,C327))</f>
        <v>82.3333333333333</v>
      </c>
      <c r="V327" s="2" t="n">
        <f aca="false">Settings!$B$4*MAX(INDEX(Bases!$P$2:$P$53,B327),INDEX(Bases!$P$2:$P$53,C327))+Settings!$B$5*MIN(INDEX(Bases!$P$2:$P$53,B327),INDEX(Bases!$P$2:$P$53,C327))</f>
        <v>59.3333333333333</v>
      </c>
      <c r="W327" s="2" t="n">
        <f aca="false">Settings!$B$4*MAX(INDEX(Bases!$Q$2:$Q$53,B327),INDEX(Bases!$Q$2:$Q$53,C327))+Settings!$B$5*MIN(INDEX(Bases!$Q$2:$Q$53,B327),INDEX(Bases!$Q$2:$Q$53,C327))</f>
        <v>78.6666666666667</v>
      </c>
      <c r="X327" s="2" t="n">
        <f aca="false">Settings!$B$4*MAX(INDEX(Bases!$R$2:$R$53,B327),INDEX(Bases!$R$2:$R$53,C327))+Settings!$B$5*MIN(INDEX(Bases!$R$2:$R$53,B327),INDEX(Bases!$R$2:$R$53,C327))</f>
        <v>49.3333333333333</v>
      </c>
      <c r="Y327" s="2" t="n">
        <f aca="false">S327*Settings!$B$3/SUM(S327:X327)</f>
        <v>104.003139717425</v>
      </c>
      <c r="Z327" s="2" t="n">
        <f aca="false">T327*Settings!$B$3/SUM(S327:X327)</f>
        <v>78.4929356357928</v>
      </c>
      <c r="AA327" s="2" t="n">
        <f aca="false">U327*Settings!$B$3/SUM(S327:X327)</f>
        <v>96.9387755102041</v>
      </c>
      <c r="AB327" s="2" t="n">
        <f aca="false">V327*Settings!$B$3/SUM(S327:X327)</f>
        <v>69.8587127158556</v>
      </c>
      <c r="AC327" s="2" t="n">
        <f aca="false">W327*Settings!$B$3/SUM(S327:X327)</f>
        <v>92.6216640502355</v>
      </c>
      <c r="AD327" s="2" t="n">
        <f aca="false">X327*Settings!$B$3/SUM(S327:X327)</f>
        <v>58.0847723704867</v>
      </c>
      <c r="AE327" s="2" t="n">
        <f aca="false">INT(Y327)</f>
        <v>104</v>
      </c>
      <c r="AF327" s="2" t="n">
        <f aca="false">INT(Z327)</f>
        <v>78</v>
      </c>
      <c r="AG327" s="2" t="n">
        <f aca="false">INT(AA327)</f>
        <v>96</v>
      </c>
      <c r="AH327" s="2" t="n">
        <f aca="false">INT(AB327)</f>
        <v>69</v>
      </c>
      <c r="AI327" s="2" t="n">
        <f aca="false">INT(AC327)</f>
        <v>92</v>
      </c>
      <c r="AJ327" s="2" t="n">
        <f aca="false">INT(AD327)</f>
        <v>58</v>
      </c>
      <c r="AK327" s="2" t="n">
        <f aca="false">Settings!$B$3-SUM(AE327:AJ327)</f>
        <v>3</v>
      </c>
      <c r="AL327" s="2" t="n">
        <f aca="false">ROUND(Y327-AE327,9)</f>
        <v>0.003139717</v>
      </c>
      <c r="AM327" s="2" t="n">
        <f aca="false">ROUND(Z327-AF327,9)</f>
        <v>0.492935636</v>
      </c>
      <c r="AN327" s="2" t="n">
        <f aca="false">ROUND(AA327-AG327,9)</f>
        <v>0.93877551</v>
      </c>
      <c r="AO327" s="2" t="n">
        <f aca="false">ROUND(AB327-AH327,9)</f>
        <v>0.858712716</v>
      </c>
      <c r="AP327" s="2" t="n">
        <f aca="false">ROUND(AC327-AI327,9)</f>
        <v>0.62166405</v>
      </c>
      <c r="AQ327" s="2" t="n">
        <f aca="false">ROUND(AD327-AJ327,9)</f>
        <v>0.08477237</v>
      </c>
    </row>
    <row r="328" customFormat="false" ht="15" hidden="false" customHeight="false" outlineLevel="0" collapsed="false">
      <c r="A328" s="2" t="n">
        <v>327</v>
      </c>
      <c r="B328" s="6" t="n">
        <v>7</v>
      </c>
      <c r="C328" s="6" t="n">
        <v>43</v>
      </c>
      <c r="D328" s="8" t="str">
        <f aca="false">INDEX(Bases!$B$2:$B$53,B328)</f>
        <v>Azurill</v>
      </c>
      <c r="E328" s="8" t="str">
        <f aca="false">INDEX(Bases!$B$2:$B$53,C328)</f>
        <v>Dratini</v>
      </c>
      <c r="F328" s="2" t="str">
        <f aca="false">LEFT(D328,ROUNDUP(LEN(D328)/2,0))&amp;LOWER(MID(E328,ROUNDUP(LEN(E328)/2,0)+1,20))</f>
        <v>Azurini</v>
      </c>
      <c r="G328" s="8" t="str">
        <f aca="false">INDEX(Bases!$C$2:$C$53,B328)</f>
        <v>Water</v>
      </c>
      <c r="H328" s="8" t="str">
        <f aca="false">IF(INDEX(Bases!$C$2:$C$53,C328)=G328,"",INDEX(Bases!$C$2:$C$53,C328))</f>
        <v>Dragon</v>
      </c>
      <c r="I328" s="8" t="str">
        <f aca="false">IF(INDEX(Bases!$E$2:$E$53,B328)="","",INDEX(Bases!$E$2:$E$53,B328))</f>
        <v/>
      </c>
      <c r="J328" s="8" t="str">
        <f aca="false">IF(INDEX(Bases!$E$2:$E$53,C328)="","",INDEX(Bases!$E$2:$E$53,C328))</f>
        <v/>
      </c>
      <c r="K328" s="5"/>
      <c r="L328" s="2" t="n">
        <f aca="false">AE328+IF(SUMPRODUCT(--($AL328:$AQ328&gt;AL328))&lt;$AK328,1,0)</f>
        <v>103</v>
      </c>
      <c r="M328" s="2" t="n">
        <f aca="false">AF328+IF(SUMPRODUCT(--($AL328:$AQ328&gt;AM328))+SUMPRODUCT(--($AL328:AL328=AM328))&lt;$AK328,1,0)</f>
        <v>82</v>
      </c>
      <c r="N328" s="2" t="n">
        <f aca="false">AG328+IF(SUMPRODUCT(--($AL328:$AQ328&gt;AN328))+SUMPRODUCT(--($AL328:AM328=AN328))&lt;$AK328,1,0)</f>
        <v>88</v>
      </c>
      <c r="O328" s="2" t="n">
        <f aca="false">AH328+IF(SUMPRODUCT(--($AL328:$AQ328&gt;AO328))+SUMPRODUCT(--($AL328:AN328=AO328))&lt;$AK328,1,0)</f>
        <v>68</v>
      </c>
      <c r="P328" s="2" t="n">
        <f aca="false">AI328+IF(SUMPRODUCT(--($AL328:$AQ328&gt;AP328))+SUMPRODUCT(--($AL328:AO328=AP328))&lt;$AK328,1,0)</f>
        <v>91</v>
      </c>
      <c r="Q328" s="2" t="n">
        <f aca="false">AJ328+IF(SUMPRODUCT(--($AL328:$AQ328&gt;AQ328))+SUMPRODUCT(--($AL328:AP328=AQ328))&lt;$AK328,1,0)</f>
        <v>68</v>
      </c>
      <c r="R328" s="2" t="n">
        <f aca="false">SUM(L328:Q328)</f>
        <v>500</v>
      </c>
      <c r="S328" s="2" t="n">
        <f aca="false">Settings!$B$4*MAX(INDEX(Bases!$M$2:$M$53,B328),INDEX(Bases!$M$2:$M$53,C328))+Settings!$B$5*MIN(INDEX(Bases!$M$2:$M$53,B328),INDEX(Bases!$M$2:$M$53,C328))</f>
        <v>89</v>
      </c>
      <c r="T328" s="2" t="n">
        <f aca="false">Settings!$B$4*MAX(INDEX(Bases!$N$2:$N$53,B328),INDEX(Bases!$N$2:$N$53,C328))+Settings!$B$5*MIN(INDEX(Bases!$N$2:$N$53,B328),INDEX(Bases!$N$2:$N$53,C328))</f>
        <v>70.6666666666667</v>
      </c>
      <c r="U328" s="2" t="n">
        <f aca="false">Settings!$B$4*MAX(INDEX(Bases!$O$2:$O$53,B328),INDEX(Bases!$O$2:$O$53,C328))+Settings!$B$5*MIN(INDEX(Bases!$O$2:$O$53,B328),INDEX(Bases!$O$2:$O$53,C328))</f>
        <v>76</v>
      </c>
      <c r="V328" s="2" t="n">
        <f aca="false">Settings!$B$4*MAX(INDEX(Bases!$P$2:$P$53,B328),INDEX(Bases!$P$2:$P$53,C328))+Settings!$B$5*MIN(INDEX(Bases!$P$2:$P$53,B328),INDEX(Bases!$P$2:$P$53,C328))</f>
        <v>58.6666666666667</v>
      </c>
      <c r="W328" s="2" t="n">
        <f aca="false">Settings!$B$4*MAX(INDEX(Bases!$Q$2:$Q$53,B328),INDEX(Bases!$Q$2:$Q$53,C328))+Settings!$B$5*MIN(INDEX(Bases!$Q$2:$Q$53,B328),INDEX(Bases!$Q$2:$Q$53,C328))</f>
        <v>78.3333333333333</v>
      </c>
      <c r="X328" s="2" t="n">
        <f aca="false">Settings!$B$4*MAX(INDEX(Bases!$R$2:$R$53,B328),INDEX(Bases!$R$2:$R$53,C328))+Settings!$B$5*MIN(INDEX(Bases!$R$2:$R$53,B328),INDEX(Bases!$R$2:$R$53,C328))</f>
        <v>58</v>
      </c>
      <c r="Y328" s="2" t="n">
        <f aca="false">S328*Settings!$B$3/SUM(S328:X328)</f>
        <v>103.328173374613</v>
      </c>
      <c r="Z328" s="2" t="n">
        <f aca="false">T328*Settings!$B$3/SUM(S328:X328)</f>
        <v>82.0433436532508</v>
      </c>
      <c r="AA328" s="2" t="n">
        <f aca="false">U328*Settings!$B$3/SUM(S328:X328)</f>
        <v>88.2352941176471</v>
      </c>
      <c r="AB328" s="2" t="n">
        <f aca="false">V328*Settings!$B$3/SUM(S328:X328)</f>
        <v>68.1114551083591</v>
      </c>
      <c r="AC328" s="2" t="n">
        <f aca="false">W328*Settings!$B$3/SUM(S328:X328)</f>
        <v>90.9442724458205</v>
      </c>
      <c r="AD328" s="2" t="n">
        <f aca="false">X328*Settings!$B$3/SUM(S328:X328)</f>
        <v>67.3374613003096</v>
      </c>
      <c r="AE328" s="2" t="n">
        <f aca="false">INT(Y328)</f>
        <v>103</v>
      </c>
      <c r="AF328" s="2" t="n">
        <f aca="false">INT(Z328)</f>
        <v>82</v>
      </c>
      <c r="AG328" s="2" t="n">
        <f aca="false">INT(AA328)</f>
        <v>88</v>
      </c>
      <c r="AH328" s="2" t="n">
        <f aca="false">INT(AB328)</f>
        <v>68</v>
      </c>
      <c r="AI328" s="2" t="n">
        <f aca="false">INT(AC328)</f>
        <v>90</v>
      </c>
      <c r="AJ328" s="2" t="n">
        <f aca="false">INT(AD328)</f>
        <v>67</v>
      </c>
      <c r="AK328" s="2" t="n">
        <f aca="false">Settings!$B$3-SUM(AE328:AJ328)</f>
        <v>2</v>
      </c>
      <c r="AL328" s="2" t="n">
        <f aca="false">ROUND(Y328-AE328,9)</f>
        <v>0.328173375</v>
      </c>
      <c r="AM328" s="2" t="n">
        <f aca="false">ROUND(Z328-AF328,9)</f>
        <v>0.043343653</v>
      </c>
      <c r="AN328" s="2" t="n">
        <f aca="false">ROUND(AA328-AG328,9)</f>
        <v>0.235294118</v>
      </c>
      <c r="AO328" s="2" t="n">
        <f aca="false">ROUND(AB328-AH328,9)</f>
        <v>0.111455108</v>
      </c>
      <c r="AP328" s="2" t="n">
        <f aca="false">ROUND(AC328-AI328,9)</f>
        <v>0.944272446</v>
      </c>
      <c r="AQ328" s="2" t="n">
        <f aca="false">ROUND(AD328-AJ328,9)</f>
        <v>0.3374613</v>
      </c>
    </row>
    <row r="329" customFormat="false" ht="15" hidden="false" customHeight="false" outlineLevel="0" collapsed="false">
      <c r="A329" s="2" t="n">
        <v>328</v>
      </c>
      <c r="B329" s="6" t="n">
        <v>7</v>
      </c>
      <c r="C329" s="6" t="n">
        <v>44</v>
      </c>
      <c r="D329" s="8" t="str">
        <f aca="false">INDEX(Bases!$B$2:$B$53,B329)</f>
        <v>Azurill</v>
      </c>
      <c r="E329" s="8" t="str">
        <f aca="false">INDEX(Bases!$B$2:$B$53,C329)</f>
        <v>Bagon</v>
      </c>
      <c r="F329" s="2" t="str">
        <f aca="false">LEFT(D329,ROUNDUP(LEN(D329)/2,0))&amp;LOWER(MID(E329,ROUNDUP(LEN(E329)/2,0)+1,20))</f>
        <v>Azuron</v>
      </c>
      <c r="G329" s="8" t="str">
        <f aca="false">INDEX(Bases!$C$2:$C$53,B329)</f>
        <v>Water</v>
      </c>
      <c r="H329" s="8" t="str">
        <f aca="false">IF(INDEX(Bases!$C$2:$C$53,C329)=G329,"",INDEX(Bases!$C$2:$C$53,C329))</f>
        <v>Dragon</v>
      </c>
      <c r="I329" s="8" t="str">
        <f aca="false">IF(INDEX(Bases!$E$2:$E$53,B329)="","",INDEX(Bases!$E$2:$E$53,B329))</f>
        <v/>
      </c>
      <c r="J329" s="8" t="str">
        <f aca="false">IF(INDEX(Bases!$E$2:$E$53,C329)="","",INDEX(Bases!$E$2:$E$53,C329))</f>
        <v/>
      </c>
      <c r="K329" s="5"/>
      <c r="L329" s="2" t="n">
        <f aca="false">AE329+IF(SUMPRODUCT(--($AL329:$AQ329&gt;AL329))&lt;$AK329,1,0)</f>
        <v>105</v>
      </c>
      <c r="M329" s="2" t="n">
        <f aca="false">AF329+IF(SUMPRODUCT(--($AL329:$AQ329&gt;AM329))+SUMPRODUCT(--($AL329:AL329=AM329))&lt;$AK329,1,0)</f>
        <v>94</v>
      </c>
      <c r="N329" s="2" t="n">
        <f aca="false">AG329+IF(SUMPRODUCT(--($AL329:$AQ329&gt;AN329))+SUMPRODUCT(--($AL329:AM329=AN329))&lt;$AK329,1,0)</f>
        <v>96</v>
      </c>
      <c r="O329" s="2" t="n">
        <f aca="false">AH329+IF(SUMPRODUCT(--($AL329:$AQ329&gt;AO329))+SUMPRODUCT(--($AL329:AN329=AO329))&lt;$AK329,1,0)</f>
        <v>57</v>
      </c>
      <c r="P329" s="2" t="n">
        <f aca="false">AI329+IF(SUMPRODUCT(--($AL329:$AQ329&gt;AP329))+SUMPRODUCT(--($AL329:AO329=AP329))&lt;$AK329,1,0)</f>
        <v>80</v>
      </c>
      <c r="Q329" s="2" t="n">
        <f aca="false">AJ329+IF(SUMPRODUCT(--($AL329:$AQ329&gt;AQ329))+SUMPRODUCT(--($AL329:AP329=AQ329))&lt;$AK329,1,0)</f>
        <v>68</v>
      </c>
      <c r="R329" s="2" t="n">
        <f aca="false">SUM(L329:Q329)</f>
        <v>500</v>
      </c>
      <c r="S329" s="2" t="n">
        <f aca="false">Settings!$B$4*MAX(INDEX(Bases!$M$2:$M$53,B329),INDEX(Bases!$M$2:$M$53,C329))+Settings!$B$5*MIN(INDEX(Bases!$M$2:$M$53,B329),INDEX(Bases!$M$2:$M$53,C329))</f>
        <v>90.6666666666667</v>
      </c>
      <c r="T329" s="2" t="n">
        <f aca="false">Settings!$B$4*MAX(INDEX(Bases!$N$2:$N$53,B329),INDEX(Bases!$N$2:$N$53,C329))+Settings!$B$5*MIN(INDEX(Bases!$N$2:$N$53,B329),INDEX(Bases!$N$2:$N$53,C329))</f>
        <v>80.6666666666667</v>
      </c>
      <c r="U329" s="2" t="n">
        <f aca="false">Settings!$B$4*MAX(INDEX(Bases!$O$2:$O$53,B329),INDEX(Bases!$O$2:$O$53,C329))+Settings!$B$5*MIN(INDEX(Bases!$O$2:$O$53,B329),INDEX(Bases!$O$2:$O$53,C329))</f>
        <v>82.6666666666667</v>
      </c>
      <c r="V329" s="2" t="n">
        <f aca="false">Settings!$B$4*MAX(INDEX(Bases!$P$2:$P$53,B329),INDEX(Bases!$P$2:$P$53,C329))+Settings!$B$5*MIN(INDEX(Bases!$P$2:$P$53,B329),INDEX(Bases!$P$2:$P$53,C329))</f>
        <v>49.3333333333333</v>
      </c>
      <c r="W329" s="2" t="n">
        <f aca="false">Settings!$B$4*MAX(INDEX(Bases!$Q$2:$Q$53,B329),INDEX(Bases!$Q$2:$Q$53,C329))+Settings!$B$5*MIN(INDEX(Bases!$Q$2:$Q$53,B329),INDEX(Bases!$Q$2:$Q$53,C329))</f>
        <v>69.3333333333333</v>
      </c>
      <c r="X329" s="2" t="n">
        <f aca="false">Settings!$B$4*MAX(INDEX(Bases!$R$2:$R$53,B329),INDEX(Bases!$R$2:$R$53,C329))+Settings!$B$5*MIN(INDEX(Bases!$R$2:$R$53,B329),INDEX(Bases!$R$2:$R$53,C329))</f>
        <v>58.6666666666667</v>
      </c>
      <c r="Y329" s="2" t="n">
        <f aca="false">S329*Settings!$B$3/SUM(S329:X329)</f>
        <v>105.100463678516</v>
      </c>
      <c r="Z329" s="2" t="n">
        <f aca="false">T329*Settings!$B$3/SUM(S329:X329)</f>
        <v>93.5085007727975</v>
      </c>
      <c r="AA329" s="2" t="n">
        <f aca="false">U329*Settings!$B$3/SUM(S329:X329)</f>
        <v>95.8268933539413</v>
      </c>
      <c r="AB329" s="2" t="n">
        <f aca="false">V329*Settings!$B$3/SUM(S329:X329)</f>
        <v>57.1870170015456</v>
      </c>
      <c r="AC329" s="2" t="n">
        <f aca="false">W329*Settings!$B$3/SUM(S329:X329)</f>
        <v>80.370942812983</v>
      </c>
      <c r="AD329" s="2" t="n">
        <f aca="false">X329*Settings!$B$3/SUM(S329:X329)</f>
        <v>68.0061823802164</v>
      </c>
      <c r="AE329" s="2" t="n">
        <f aca="false">INT(Y329)</f>
        <v>105</v>
      </c>
      <c r="AF329" s="2" t="n">
        <f aca="false">INT(Z329)</f>
        <v>93</v>
      </c>
      <c r="AG329" s="2" t="n">
        <f aca="false">INT(AA329)</f>
        <v>95</v>
      </c>
      <c r="AH329" s="2" t="n">
        <f aca="false">INT(AB329)</f>
        <v>57</v>
      </c>
      <c r="AI329" s="2" t="n">
        <f aca="false">INT(AC329)</f>
        <v>80</v>
      </c>
      <c r="AJ329" s="2" t="n">
        <f aca="false">INT(AD329)</f>
        <v>68</v>
      </c>
      <c r="AK329" s="2" t="n">
        <f aca="false">Settings!$B$3-SUM(AE329:AJ329)</f>
        <v>2</v>
      </c>
      <c r="AL329" s="2" t="n">
        <f aca="false">ROUND(Y329-AE329,9)</f>
        <v>0.100463679</v>
      </c>
      <c r="AM329" s="2" t="n">
        <f aca="false">ROUND(Z329-AF329,9)</f>
        <v>0.508500773</v>
      </c>
      <c r="AN329" s="2" t="n">
        <f aca="false">ROUND(AA329-AG329,9)</f>
        <v>0.826893354</v>
      </c>
      <c r="AO329" s="2" t="n">
        <f aca="false">ROUND(AB329-AH329,9)</f>
        <v>0.187017002</v>
      </c>
      <c r="AP329" s="2" t="n">
        <f aca="false">ROUND(AC329-AI329,9)</f>
        <v>0.370942813</v>
      </c>
      <c r="AQ329" s="2" t="n">
        <f aca="false">ROUND(AD329-AJ329,9)</f>
        <v>0.00618238</v>
      </c>
    </row>
    <row r="330" customFormat="false" ht="15" hidden="false" customHeight="false" outlineLevel="0" collapsed="false">
      <c r="A330" s="2" t="n">
        <v>329</v>
      </c>
      <c r="B330" s="6" t="n">
        <v>7</v>
      </c>
      <c r="C330" s="6" t="n">
        <v>45</v>
      </c>
      <c r="D330" s="8" t="str">
        <f aca="false">INDEX(Bases!$B$2:$B$53,B330)</f>
        <v>Azurill</v>
      </c>
      <c r="E330" s="8" t="str">
        <f aca="false">INDEX(Bases!$B$2:$B$53,C330)</f>
        <v>Sneasel</v>
      </c>
      <c r="F330" s="2" t="str">
        <f aca="false">LEFT(D330,ROUNDUP(LEN(D330)/2,0))&amp;LOWER(MID(E330,ROUNDUP(LEN(E330)/2,0)+1,20))</f>
        <v>Azursel</v>
      </c>
      <c r="G330" s="8" t="str">
        <f aca="false">INDEX(Bases!$C$2:$C$53,B330)</f>
        <v>Water</v>
      </c>
      <c r="H330" s="8" t="str">
        <f aca="false">IF(INDEX(Bases!$C$2:$C$53,C330)=G330,"",INDEX(Bases!$C$2:$C$53,C330))</f>
        <v>Dark</v>
      </c>
      <c r="I330" s="8" t="str">
        <f aca="false">IF(INDEX(Bases!$E$2:$E$53,B330)="","",INDEX(Bases!$E$2:$E$53,B330))</f>
        <v/>
      </c>
      <c r="J330" s="8" t="str">
        <f aca="false">IF(INDEX(Bases!$E$2:$E$53,C330)="","",INDEX(Bases!$E$2:$E$53,C330))</f>
        <v/>
      </c>
      <c r="K330" s="5"/>
      <c r="L330" s="2" t="n">
        <f aca="false">AE330+IF(SUMPRODUCT(--($AL330:$AQ330&gt;AL330))&lt;$AK330,1,0)</f>
        <v>100</v>
      </c>
      <c r="M330" s="2" t="n">
        <f aca="false">AF330+IF(SUMPRODUCT(--($AL330:$AQ330&gt;AM330))+SUMPRODUCT(--($AL330:AL330=AM330))&lt;$AK330,1,0)</f>
        <v>83</v>
      </c>
      <c r="N330" s="2" t="n">
        <f aca="false">AG330+IF(SUMPRODUCT(--($AL330:$AQ330&gt;AN330))+SUMPRODUCT(--($AL330:AM330=AN330))&lt;$AK330,1,0)</f>
        <v>83</v>
      </c>
      <c r="O330" s="2" t="n">
        <f aca="false">AH330+IF(SUMPRODUCT(--($AL330:$AQ330&gt;AO330))+SUMPRODUCT(--($AL330:AN330=AO330))&lt;$AK330,1,0)</f>
        <v>45</v>
      </c>
      <c r="P330" s="2" t="n">
        <f aca="false">AI330+IF(SUMPRODUCT(--($AL330:$AQ330&gt;AP330))+SUMPRODUCT(--($AL330:AO330=AP330))&lt;$AK330,1,0)</f>
        <v>91</v>
      </c>
      <c r="Q330" s="2" t="n">
        <f aca="false">AJ330+IF(SUMPRODUCT(--($AL330:$AQ330&gt;AQ330))+SUMPRODUCT(--($AL330:AP330=AQ330))&lt;$AK330,1,0)</f>
        <v>98</v>
      </c>
      <c r="R330" s="2" t="n">
        <f aca="false">SUM(L330:Q330)</f>
        <v>500</v>
      </c>
      <c r="S330" s="2" t="n">
        <f aca="false">Settings!$B$4*MAX(INDEX(Bases!$M$2:$M$53,B330),INDEX(Bases!$M$2:$M$53,C330))+Settings!$B$5*MIN(INDEX(Bases!$M$2:$M$53,B330),INDEX(Bases!$M$2:$M$53,C330))</f>
        <v>87.6666666666667</v>
      </c>
      <c r="T330" s="2" t="n">
        <f aca="false">Settings!$B$4*MAX(INDEX(Bases!$N$2:$N$53,B330),INDEX(Bases!$N$2:$N$53,C330))+Settings!$B$5*MIN(INDEX(Bases!$N$2:$N$53,B330),INDEX(Bases!$N$2:$N$53,C330))</f>
        <v>72.6666666666667</v>
      </c>
      <c r="U330" s="2" t="n">
        <f aca="false">Settings!$B$4*MAX(INDEX(Bases!$O$2:$O$53,B330),INDEX(Bases!$O$2:$O$53,C330))+Settings!$B$5*MIN(INDEX(Bases!$O$2:$O$53,B330),INDEX(Bases!$O$2:$O$53,C330))</f>
        <v>73</v>
      </c>
      <c r="V330" s="2" t="n">
        <f aca="false">Settings!$B$4*MAX(INDEX(Bases!$P$2:$P$53,B330),INDEX(Bases!$P$2:$P$53,C330))+Settings!$B$5*MIN(INDEX(Bases!$P$2:$P$53,B330),INDEX(Bases!$P$2:$P$53,C330))</f>
        <v>39</v>
      </c>
      <c r="W330" s="2" t="n">
        <f aca="false">Settings!$B$4*MAX(INDEX(Bases!$Q$2:$Q$53,B330),INDEX(Bases!$Q$2:$Q$53,C330))+Settings!$B$5*MIN(INDEX(Bases!$Q$2:$Q$53,B330),INDEX(Bases!$Q$2:$Q$53,C330))</f>
        <v>79.3333333333333</v>
      </c>
      <c r="X330" s="2" t="n">
        <f aca="false">Settings!$B$4*MAX(INDEX(Bases!$R$2:$R$53,B330),INDEX(Bases!$R$2:$R$53,C330))+Settings!$B$5*MIN(INDEX(Bases!$R$2:$R$53,B330),INDEX(Bases!$R$2:$R$53,C330))</f>
        <v>85.3333333333333</v>
      </c>
      <c r="Y330" s="2" t="n">
        <f aca="false">S330*Settings!$B$3/SUM(S330:X330)</f>
        <v>100.305110602593</v>
      </c>
      <c r="Z330" s="2" t="n">
        <f aca="false">T330*Settings!$B$3/SUM(S330:X330)</f>
        <v>83.1426392067125</v>
      </c>
      <c r="AA330" s="2" t="n">
        <f aca="false">U330*Settings!$B$3/SUM(S330:X330)</f>
        <v>83.5240274599542</v>
      </c>
      <c r="AB330" s="2" t="n">
        <f aca="false">V330*Settings!$B$3/SUM(S330:X330)</f>
        <v>44.6224256292906</v>
      </c>
      <c r="AC330" s="2" t="n">
        <f aca="false">W330*Settings!$B$3/SUM(S330:X330)</f>
        <v>90.7704042715484</v>
      </c>
      <c r="AD330" s="2" t="n">
        <f aca="false">X330*Settings!$B$3/SUM(S330:X330)</f>
        <v>97.6353928299008</v>
      </c>
      <c r="AE330" s="2" t="n">
        <f aca="false">INT(Y330)</f>
        <v>100</v>
      </c>
      <c r="AF330" s="2" t="n">
        <f aca="false">INT(Z330)</f>
        <v>83</v>
      </c>
      <c r="AG330" s="2" t="n">
        <f aca="false">INT(AA330)</f>
        <v>83</v>
      </c>
      <c r="AH330" s="2" t="n">
        <f aca="false">INT(AB330)</f>
        <v>44</v>
      </c>
      <c r="AI330" s="2" t="n">
        <f aca="false">INT(AC330)</f>
        <v>90</v>
      </c>
      <c r="AJ330" s="2" t="n">
        <f aca="false">INT(AD330)</f>
        <v>97</v>
      </c>
      <c r="AK330" s="2" t="n">
        <f aca="false">Settings!$B$3-SUM(AE330:AJ330)</f>
        <v>3</v>
      </c>
      <c r="AL330" s="2" t="n">
        <f aca="false">ROUND(Y330-AE330,9)</f>
        <v>0.305110603</v>
      </c>
      <c r="AM330" s="2" t="n">
        <f aca="false">ROUND(Z330-AF330,9)</f>
        <v>0.142639207</v>
      </c>
      <c r="AN330" s="2" t="n">
        <f aca="false">ROUND(AA330-AG330,9)</f>
        <v>0.52402746</v>
      </c>
      <c r="AO330" s="2" t="n">
        <f aca="false">ROUND(AB330-AH330,9)</f>
        <v>0.622425629</v>
      </c>
      <c r="AP330" s="2" t="n">
        <f aca="false">ROUND(AC330-AI330,9)</f>
        <v>0.770404272</v>
      </c>
      <c r="AQ330" s="2" t="n">
        <f aca="false">ROUND(AD330-AJ330,9)</f>
        <v>0.63539283</v>
      </c>
    </row>
    <row r="331" customFormat="false" ht="15" hidden="false" customHeight="false" outlineLevel="0" collapsed="false">
      <c r="A331" s="2" t="n">
        <v>330</v>
      </c>
      <c r="B331" s="6" t="n">
        <v>7</v>
      </c>
      <c r="C331" s="6" t="n">
        <v>46</v>
      </c>
      <c r="D331" s="8" t="str">
        <f aca="false">INDEX(Bases!$B$2:$B$53,B331)</f>
        <v>Azurill</v>
      </c>
      <c r="E331" s="8" t="str">
        <f aca="false">INDEX(Bases!$B$2:$B$53,C331)</f>
        <v>Houndour</v>
      </c>
      <c r="F331" s="2" t="str">
        <f aca="false">LEFT(D331,ROUNDUP(LEN(D331)/2,0))&amp;LOWER(MID(E331,ROUNDUP(LEN(E331)/2,0)+1,20))</f>
        <v>Azurdour</v>
      </c>
      <c r="G331" s="8" t="str">
        <f aca="false">INDEX(Bases!$C$2:$C$53,B331)</f>
        <v>Water</v>
      </c>
      <c r="H331" s="8" t="str">
        <f aca="false">IF(INDEX(Bases!$C$2:$C$53,C331)=G331,"",INDEX(Bases!$C$2:$C$53,C331))</f>
        <v>Dark</v>
      </c>
      <c r="I331" s="8" t="str">
        <f aca="false">IF(INDEX(Bases!$E$2:$E$53,B331)="","",INDEX(Bases!$E$2:$E$53,B331))</f>
        <v/>
      </c>
      <c r="J331" s="8" t="str">
        <f aca="false">IF(INDEX(Bases!$E$2:$E$53,C331)="","",INDEX(Bases!$E$2:$E$53,C331))</f>
        <v/>
      </c>
      <c r="K331" s="5"/>
      <c r="L331" s="2" t="n">
        <f aca="false">AE331+IF(SUMPRODUCT(--($AL331:$AQ331&gt;AL331))&lt;$AK331,1,0)</f>
        <v>100</v>
      </c>
      <c r="M331" s="2" t="n">
        <f aca="false">AF331+IF(SUMPRODUCT(--($AL331:$AQ331&gt;AM331))+SUMPRODUCT(--($AL331:AL331=AM331))&lt;$AK331,1,0)</f>
        <v>71</v>
      </c>
      <c r="N331" s="2" t="n">
        <f aca="false">AG331+IF(SUMPRODUCT(--($AL331:$AQ331&gt;AN331))+SUMPRODUCT(--($AL331:AM331=AN331))&lt;$AK331,1,0)</f>
        <v>77</v>
      </c>
      <c r="O331" s="2" t="n">
        <f aca="false">AH331+IF(SUMPRODUCT(--($AL331:$AQ331&gt;AO331))+SUMPRODUCT(--($AL331:AN331=AO331))&lt;$AK331,1,0)</f>
        <v>89</v>
      </c>
      <c r="P331" s="2" t="n">
        <f aca="false">AI331+IF(SUMPRODUCT(--($AL331:$AQ331&gt;AP331))+SUMPRODUCT(--($AL331:AO331=AP331))&lt;$AK331,1,0)</f>
        <v>87</v>
      </c>
      <c r="Q331" s="2" t="n">
        <f aca="false">AJ331+IF(SUMPRODUCT(--($AL331:$AQ331&gt;AQ331))+SUMPRODUCT(--($AL331:AP331=AQ331))&lt;$AK331,1,0)</f>
        <v>76</v>
      </c>
      <c r="R331" s="2" t="n">
        <f aca="false">SUM(L331:Q331)</f>
        <v>500</v>
      </c>
      <c r="S331" s="2" t="n">
        <f aca="false">Settings!$B$4*MAX(INDEX(Bases!$M$2:$M$53,B331),INDEX(Bases!$M$2:$M$53,C331))+Settings!$B$5*MIN(INDEX(Bases!$M$2:$M$53,B331),INDEX(Bases!$M$2:$M$53,C331))</f>
        <v>88.6666666666667</v>
      </c>
      <c r="T331" s="2" t="n">
        <f aca="false">Settings!$B$4*MAX(INDEX(Bases!$N$2:$N$53,B331),INDEX(Bases!$N$2:$N$53,C331))+Settings!$B$5*MIN(INDEX(Bases!$N$2:$N$53,B331),INDEX(Bases!$N$2:$N$53,C331))</f>
        <v>62.6666666666667</v>
      </c>
      <c r="U331" s="2" t="n">
        <f aca="false">Settings!$B$4*MAX(INDEX(Bases!$O$2:$O$53,B331),INDEX(Bases!$O$2:$O$53,C331))+Settings!$B$5*MIN(INDEX(Bases!$O$2:$O$53,B331),INDEX(Bases!$O$2:$O$53,C331))</f>
        <v>68</v>
      </c>
      <c r="V331" s="2" t="n">
        <f aca="false">Settings!$B$4*MAX(INDEX(Bases!$P$2:$P$53,B331),INDEX(Bases!$P$2:$P$53,C331))+Settings!$B$5*MIN(INDEX(Bases!$P$2:$P$53,B331),INDEX(Bases!$P$2:$P$53,C331))</f>
        <v>78.6666666666667</v>
      </c>
      <c r="W331" s="2" t="n">
        <f aca="false">Settings!$B$4*MAX(INDEX(Bases!$Q$2:$Q$53,B331),INDEX(Bases!$Q$2:$Q$53,C331))+Settings!$B$5*MIN(INDEX(Bases!$Q$2:$Q$53,B331),INDEX(Bases!$Q$2:$Q$53,C331))</f>
        <v>76.3333333333333</v>
      </c>
      <c r="X331" s="2" t="n">
        <f aca="false">Settings!$B$4*MAX(INDEX(Bases!$R$2:$R$53,B331),INDEX(Bases!$R$2:$R$53,C331))+Settings!$B$5*MIN(INDEX(Bases!$R$2:$R$53,B331),INDEX(Bases!$R$2:$R$53,C331))</f>
        <v>66.6666666666667</v>
      </c>
      <c r="Y331" s="2" t="n">
        <f aca="false">S331*Settings!$B$3/SUM(S331:X331)</f>
        <v>100.529100529101</v>
      </c>
      <c r="Z331" s="2" t="n">
        <f aca="false">T331*Settings!$B$3/SUM(S331:X331)</f>
        <v>71.0506424792139</v>
      </c>
      <c r="AA331" s="2" t="n">
        <f aca="false">U331*Settings!$B$3/SUM(S331:X331)</f>
        <v>77.0975056689343</v>
      </c>
      <c r="AB331" s="2" t="n">
        <f aca="false">V331*Settings!$B$3/SUM(S331:X331)</f>
        <v>89.1912320483749</v>
      </c>
      <c r="AC331" s="2" t="n">
        <f aca="false">W331*Settings!$B$3/SUM(S331:X331)</f>
        <v>86.5457294028723</v>
      </c>
      <c r="AD331" s="2" t="n">
        <f aca="false">X331*Settings!$B$3/SUM(S331:X331)</f>
        <v>75.5857898715042</v>
      </c>
      <c r="AE331" s="2" t="n">
        <f aca="false">INT(Y331)</f>
        <v>100</v>
      </c>
      <c r="AF331" s="2" t="n">
        <f aca="false">INT(Z331)</f>
        <v>71</v>
      </c>
      <c r="AG331" s="2" t="n">
        <f aca="false">INT(AA331)</f>
        <v>77</v>
      </c>
      <c r="AH331" s="2" t="n">
        <f aca="false">INT(AB331)</f>
        <v>89</v>
      </c>
      <c r="AI331" s="2" t="n">
        <f aca="false">INT(AC331)</f>
        <v>86</v>
      </c>
      <c r="AJ331" s="2" t="n">
        <f aca="false">INT(AD331)</f>
        <v>75</v>
      </c>
      <c r="AK331" s="2" t="n">
        <f aca="false">Settings!$B$3-SUM(AE331:AJ331)</f>
        <v>2</v>
      </c>
      <c r="AL331" s="2" t="n">
        <f aca="false">ROUND(Y331-AE331,9)</f>
        <v>0.529100529</v>
      </c>
      <c r="AM331" s="2" t="n">
        <f aca="false">ROUND(Z331-AF331,9)</f>
        <v>0.050642479</v>
      </c>
      <c r="AN331" s="2" t="n">
        <f aca="false">ROUND(AA331-AG331,9)</f>
        <v>0.097505669</v>
      </c>
      <c r="AO331" s="2" t="n">
        <f aca="false">ROUND(AB331-AH331,9)</f>
        <v>0.191232048</v>
      </c>
      <c r="AP331" s="2" t="n">
        <f aca="false">ROUND(AC331-AI331,9)</f>
        <v>0.545729403</v>
      </c>
      <c r="AQ331" s="2" t="n">
        <f aca="false">ROUND(AD331-AJ331,9)</f>
        <v>0.585789872</v>
      </c>
    </row>
    <row r="332" customFormat="false" ht="15" hidden="false" customHeight="false" outlineLevel="0" collapsed="false">
      <c r="A332" s="2" t="n">
        <v>331</v>
      </c>
      <c r="B332" s="6" t="n">
        <v>7</v>
      </c>
      <c r="C332" s="6" t="n">
        <v>47</v>
      </c>
      <c r="D332" s="8" t="str">
        <f aca="false">INDEX(Bases!$B$2:$B$53,B332)</f>
        <v>Azurill</v>
      </c>
      <c r="E332" s="8" t="str">
        <f aca="false">INDEX(Bases!$B$2:$B$53,C332)</f>
        <v>Carvanha</v>
      </c>
      <c r="F332" s="2" t="str">
        <f aca="false">LEFT(D332,ROUNDUP(LEN(D332)/2,0))&amp;LOWER(MID(E332,ROUNDUP(LEN(E332)/2,0)+1,20))</f>
        <v>Azuranha</v>
      </c>
      <c r="G332" s="8" t="str">
        <f aca="false">INDEX(Bases!$C$2:$C$53,B332)</f>
        <v>Water</v>
      </c>
      <c r="H332" s="8" t="str">
        <f aca="false">IF(INDEX(Bases!$C$2:$C$53,C332)=G332,"",INDEX(Bases!$C$2:$C$53,C332))</f>
        <v>Dark</v>
      </c>
      <c r="I332" s="8" t="str">
        <f aca="false">IF(INDEX(Bases!$E$2:$E$53,B332)="","",INDEX(Bases!$E$2:$E$53,B332))</f>
        <v/>
      </c>
      <c r="J332" s="8" t="str">
        <f aca="false">IF(INDEX(Bases!$E$2:$E$53,C332)="","",INDEX(Bases!$E$2:$E$53,C332))</f>
        <v/>
      </c>
      <c r="K332" s="5"/>
      <c r="L332" s="2" t="n">
        <f aca="false">AE332+IF(SUMPRODUCT(--($AL332:$AQ332&gt;AL332))&lt;$AK332,1,0)</f>
        <v>99</v>
      </c>
      <c r="M332" s="2" t="n">
        <f aca="false">AF332+IF(SUMPRODUCT(--($AL332:$AQ332&gt;AM332))+SUMPRODUCT(--($AL332:AL332=AM332))&lt;$AK332,1,0)</f>
        <v>102</v>
      </c>
      <c r="N332" s="2" t="n">
        <f aca="false">AG332+IF(SUMPRODUCT(--($AL332:$AQ332&gt;AN332))+SUMPRODUCT(--($AL332:AM332=AN332))&lt;$AK332,1,0)</f>
        <v>71</v>
      </c>
      <c r="O332" s="2" t="n">
        <f aca="false">AH332+IF(SUMPRODUCT(--($AL332:$AQ332&gt;AO332))+SUMPRODUCT(--($AL332:AN332=AO332))&lt;$AK332,1,0)</f>
        <v>79</v>
      </c>
      <c r="P332" s="2" t="n">
        <f aca="false">AI332+IF(SUMPRODUCT(--($AL332:$AQ332&gt;AP332))+SUMPRODUCT(--($AL332:AO332=AP332))&lt;$AK332,1,0)</f>
        <v>71</v>
      </c>
      <c r="Q332" s="2" t="n">
        <f aca="false">AJ332+IF(SUMPRODUCT(--($AL332:$AQ332&gt;AQ332))+SUMPRODUCT(--($AL332:AP332=AQ332))&lt;$AK332,1,0)</f>
        <v>78</v>
      </c>
      <c r="R332" s="2" t="n">
        <f aca="false">SUM(L332:Q332)</f>
        <v>500</v>
      </c>
      <c r="S332" s="2" t="n">
        <f aca="false">Settings!$B$4*MAX(INDEX(Bases!$M$2:$M$53,B332),INDEX(Bases!$M$2:$M$53,C332))+Settings!$B$5*MIN(INDEX(Bases!$M$2:$M$53,B332),INDEX(Bases!$M$2:$M$53,C332))</f>
        <v>90.3333333333333</v>
      </c>
      <c r="T332" s="2" t="n">
        <f aca="false">Settings!$B$4*MAX(INDEX(Bases!$N$2:$N$53,B332),INDEX(Bases!$N$2:$N$53,C332))+Settings!$B$5*MIN(INDEX(Bases!$N$2:$N$53,B332),INDEX(Bases!$N$2:$N$53,C332))</f>
        <v>92.6666666666667</v>
      </c>
      <c r="U332" s="2" t="n">
        <f aca="false">Settings!$B$4*MAX(INDEX(Bases!$O$2:$O$53,B332),INDEX(Bases!$O$2:$O$53,C332))+Settings!$B$5*MIN(INDEX(Bases!$O$2:$O$53,B332),INDEX(Bases!$O$2:$O$53,C332))</f>
        <v>64.6666666666667</v>
      </c>
      <c r="V332" s="2" t="n">
        <f aca="false">Settings!$B$4*MAX(INDEX(Bases!$P$2:$P$53,B332),INDEX(Bases!$P$2:$P$53,C332))+Settings!$B$5*MIN(INDEX(Bases!$P$2:$P$53,B332),INDEX(Bases!$P$2:$P$53,C332))</f>
        <v>71.3333333333333</v>
      </c>
      <c r="W332" s="2" t="n">
        <f aca="false">Settings!$B$4*MAX(INDEX(Bases!$Q$2:$Q$53,B332),INDEX(Bases!$Q$2:$Q$53,C332))+Settings!$B$5*MIN(INDEX(Bases!$Q$2:$Q$53,B332),INDEX(Bases!$Q$2:$Q$53,C332))</f>
        <v>64.6666666666667</v>
      </c>
      <c r="X332" s="2" t="n">
        <f aca="false">Settings!$B$4*MAX(INDEX(Bases!$R$2:$R$53,B332),INDEX(Bases!$R$2:$R$53,C332))+Settings!$B$5*MIN(INDEX(Bases!$R$2:$R$53,B332),INDEX(Bases!$R$2:$R$53,C332))</f>
        <v>70.6666666666667</v>
      </c>
      <c r="Y332" s="2" t="n">
        <f aca="false">S332*Settings!$B$3/SUM(S332:X332)</f>
        <v>99.413059427733</v>
      </c>
      <c r="Z332" s="2" t="n">
        <f aca="false">T332*Settings!$B$3/SUM(S332:X332)</f>
        <v>101.980924431401</v>
      </c>
      <c r="AA332" s="2" t="n">
        <f aca="false">U332*Settings!$B$3/SUM(S332:X332)</f>
        <v>71.1665443873808</v>
      </c>
      <c r="AB332" s="2" t="n">
        <f aca="false">V332*Settings!$B$3/SUM(S332:X332)</f>
        <v>78.503301540719</v>
      </c>
      <c r="AC332" s="2" t="n">
        <f aca="false">W332*Settings!$B$3/SUM(S332:X332)</f>
        <v>71.1665443873808</v>
      </c>
      <c r="AD332" s="2" t="n">
        <f aca="false">X332*Settings!$B$3/SUM(S332:X332)</f>
        <v>77.7696258253852</v>
      </c>
      <c r="AE332" s="2" t="n">
        <f aca="false">INT(Y332)</f>
        <v>99</v>
      </c>
      <c r="AF332" s="2" t="n">
        <f aca="false">INT(Z332)</f>
        <v>101</v>
      </c>
      <c r="AG332" s="2" t="n">
        <f aca="false">INT(AA332)</f>
        <v>71</v>
      </c>
      <c r="AH332" s="2" t="n">
        <f aca="false">INT(AB332)</f>
        <v>78</v>
      </c>
      <c r="AI332" s="2" t="n">
        <f aca="false">INT(AC332)</f>
        <v>71</v>
      </c>
      <c r="AJ332" s="2" t="n">
        <f aca="false">INT(AD332)</f>
        <v>77</v>
      </c>
      <c r="AK332" s="2" t="n">
        <f aca="false">Settings!$B$3-SUM(AE332:AJ332)</f>
        <v>3</v>
      </c>
      <c r="AL332" s="2" t="n">
        <f aca="false">ROUND(Y332-AE332,9)</f>
        <v>0.413059428</v>
      </c>
      <c r="AM332" s="2" t="n">
        <f aca="false">ROUND(Z332-AF332,9)</f>
        <v>0.980924431</v>
      </c>
      <c r="AN332" s="2" t="n">
        <f aca="false">ROUND(AA332-AG332,9)</f>
        <v>0.166544387</v>
      </c>
      <c r="AO332" s="2" t="n">
        <f aca="false">ROUND(AB332-AH332,9)</f>
        <v>0.503301541</v>
      </c>
      <c r="AP332" s="2" t="n">
        <f aca="false">ROUND(AC332-AI332,9)</f>
        <v>0.166544387</v>
      </c>
      <c r="AQ332" s="2" t="n">
        <f aca="false">ROUND(AD332-AJ332,9)</f>
        <v>0.769625825</v>
      </c>
    </row>
    <row r="333" customFormat="false" ht="15" hidden="false" customHeight="false" outlineLevel="0" collapsed="false">
      <c r="A333" s="2" t="n">
        <v>332</v>
      </c>
      <c r="B333" s="6" t="n">
        <v>7</v>
      </c>
      <c r="C333" s="6" t="n">
        <v>48</v>
      </c>
      <c r="D333" s="8" t="str">
        <f aca="false">INDEX(Bases!$B$2:$B$53,B333)</f>
        <v>Azurill</v>
      </c>
      <c r="E333" s="8" t="str">
        <f aca="false">INDEX(Bases!$B$2:$B$53,C333)</f>
        <v>Magnemite</v>
      </c>
      <c r="F333" s="2" t="str">
        <f aca="false">LEFT(D333,ROUNDUP(LEN(D333)/2,0))&amp;LOWER(MID(E333,ROUNDUP(LEN(E333)/2,0)+1,20))</f>
        <v>Azurmite</v>
      </c>
      <c r="G333" s="8" t="str">
        <f aca="false">INDEX(Bases!$C$2:$C$53,B333)</f>
        <v>Water</v>
      </c>
      <c r="H333" s="8" t="str">
        <f aca="false">IF(INDEX(Bases!$C$2:$C$53,C333)=G333,"",INDEX(Bases!$C$2:$C$53,C333))</f>
        <v>Steel</v>
      </c>
      <c r="I333" s="8" t="str">
        <f aca="false">IF(INDEX(Bases!$E$2:$E$53,B333)="","",INDEX(Bases!$E$2:$E$53,B333))</f>
        <v/>
      </c>
      <c r="J333" s="8" t="str">
        <f aca="false">IF(INDEX(Bases!$E$2:$E$53,C333)="","",INDEX(Bases!$E$2:$E$53,C333))</f>
        <v/>
      </c>
      <c r="K333" s="5"/>
      <c r="L333" s="2" t="n">
        <f aca="false">AE333+IF(SUMPRODUCT(--($AL333:$AQ333&gt;AL333))&lt;$AK333,1,0)</f>
        <v>94</v>
      </c>
      <c r="M333" s="2" t="n">
        <f aca="false">AF333+IF(SUMPRODUCT(--($AL333:$AQ333&gt;AM333))+SUMPRODUCT(--($AL333:AL333=AM333))&lt;$AK333,1,0)</f>
        <v>50</v>
      </c>
      <c r="N333" s="2" t="n">
        <f aca="false">AG333+IF(SUMPRODUCT(--($AL333:$AQ333&gt;AN333))+SUMPRODUCT(--($AL333:AM333=AN333))&lt;$AK333,1,0)</f>
        <v>99</v>
      </c>
      <c r="O333" s="2" t="n">
        <f aca="false">AH333+IF(SUMPRODUCT(--($AL333:$AQ333&gt;AO333))+SUMPRODUCT(--($AL333:AN333=AO333))&lt;$AK333,1,0)</f>
        <v>107</v>
      </c>
      <c r="P333" s="2" t="n">
        <f aca="false">AI333+IF(SUMPRODUCT(--($AL333:$AQ333&gt;AP333))+SUMPRODUCT(--($AL333:AO333=AP333))&lt;$AK333,1,0)</f>
        <v>91</v>
      </c>
      <c r="Q333" s="2" t="n">
        <f aca="false">AJ333+IF(SUMPRODUCT(--($AL333:$AQ333&gt;AQ333))+SUMPRODUCT(--($AL333:AP333=AQ333))&lt;$AK333,1,0)</f>
        <v>59</v>
      </c>
      <c r="R333" s="2" t="n">
        <f aca="false">SUM(L333:Q333)</f>
        <v>500</v>
      </c>
      <c r="S333" s="2" t="n">
        <f aca="false">Settings!$B$4*MAX(INDEX(Bases!$M$2:$M$53,B333),INDEX(Bases!$M$2:$M$53,C333))+Settings!$B$5*MIN(INDEX(Bases!$M$2:$M$53,B333),INDEX(Bases!$M$2:$M$53,C333))</f>
        <v>81</v>
      </c>
      <c r="T333" s="2" t="n">
        <f aca="false">Settings!$B$4*MAX(INDEX(Bases!$N$2:$N$53,B333),INDEX(Bases!$N$2:$N$53,C333))+Settings!$B$5*MIN(INDEX(Bases!$N$2:$N$53,B333),INDEX(Bases!$N$2:$N$53,C333))</f>
        <v>42.6666666666667</v>
      </c>
      <c r="U333" s="2" t="n">
        <f aca="false">Settings!$B$4*MAX(INDEX(Bases!$O$2:$O$53,B333),INDEX(Bases!$O$2:$O$53,C333))+Settings!$B$5*MIN(INDEX(Bases!$O$2:$O$53,B333),INDEX(Bases!$O$2:$O$53,C333))</f>
        <v>85.3333333333333</v>
      </c>
      <c r="V333" s="2" t="n">
        <f aca="false">Settings!$B$4*MAX(INDEX(Bases!$P$2:$P$53,B333),INDEX(Bases!$P$2:$P$53,C333))+Settings!$B$5*MIN(INDEX(Bases!$P$2:$P$53,B333),INDEX(Bases!$P$2:$P$53,C333))</f>
        <v>92</v>
      </c>
      <c r="W333" s="2" t="n">
        <f aca="false">Settings!$B$4*MAX(INDEX(Bases!$Q$2:$Q$53,B333),INDEX(Bases!$Q$2:$Q$53,C333))+Settings!$B$5*MIN(INDEX(Bases!$Q$2:$Q$53,B333),INDEX(Bases!$Q$2:$Q$53,C333))</f>
        <v>78.6666666666667</v>
      </c>
      <c r="X333" s="2" t="n">
        <f aca="false">Settings!$B$4*MAX(INDEX(Bases!$R$2:$R$53,B333),INDEX(Bases!$R$2:$R$53,C333))+Settings!$B$5*MIN(INDEX(Bases!$R$2:$R$53,B333),INDEX(Bases!$R$2:$R$53,C333))</f>
        <v>50.6666666666667</v>
      </c>
      <c r="Y333" s="2" t="n">
        <f aca="false">S333*Settings!$B$3/SUM(S333:X333)</f>
        <v>94.1130906274206</v>
      </c>
      <c r="Z333" s="2" t="n">
        <f aca="false">T333*Settings!$B$3/SUM(S333:X333)</f>
        <v>49.5739736638265</v>
      </c>
      <c r="AA333" s="2" t="n">
        <f aca="false">U333*Settings!$B$3/SUM(S333:X333)</f>
        <v>99.147947327653</v>
      </c>
      <c r="AB333" s="2" t="n">
        <f aca="false">V333*Settings!$B$3/SUM(S333:X333)</f>
        <v>106.893880712626</v>
      </c>
      <c r="AC333" s="2" t="n">
        <f aca="false">W333*Settings!$B$3/SUM(S333:X333)</f>
        <v>91.4020139426801</v>
      </c>
      <c r="AD333" s="2" t="n">
        <f aca="false">X333*Settings!$B$3/SUM(S333:X333)</f>
        <v>58.869093725794</v>
      </c>
      <c r="AE333" s="2" t="n">
        <f aca="false">INT(Y333)</f>
        <v>94</v>
      </c>
      <c r="AF333" s="2" t="n">
        <f aca="false">INT(Z333)</f>
        <v>49</v>
      </c>
      <c r="AG333" s="2" t="n">
        <f aca="false">INT(AA333)</f>
        <v>99</v>
      </c>
      <c r="AH333" s="2" t="n">
        <f aca="false">INT(AB333)</f>
        <v>106</v>
      </c>
      <c r="AI333" s="2" t="n">
        <f aca="false">INT(AC333)</f>
        <v>91</v>
      </c>
      <c r="AJ333" s="2" t="n">
        <f aca="false">INT(AD333)</f>
        <v>58</v>
      </c>
      <c r="AK333" s="2" t="n">
        <f aca="false">Settings!$B$3-SUM(AE333:AJ333)</f>
        <v>3</v>
      </c>
      <c r="AL333" s="2" t="n">
        <f aca="false">ROUND(Y333-AE333,9)</f>
        <v>0.113090627</v>
      </c>
      <c r="AM333" s="2" t="n">
        <f aca="false">ROUND(Z333-AF333,9)</f>
        <v>0.573973664</v>
      </c>
      <c r="AN333" s="2" t="n">
        <f aca="false">ROUND(AA333-AG333,9)</f>
        <v>0.147947328</v>
      </c>
      <c r="AO333" s="2" t="n">
        <f aca="false">ROUND(AB333-AH333,9)</f>
        <v>0.893880713</v>
      </c>
      <c r="AP333" s="2" t="n">
        <f aca="false">ROUND(AC333-AI333,9)</f>
        <v>0.402013943</v>
      </c>
      <c r="AQ333" s="2" t="n">
        <f aca="false">ROUND(AD333-AJ333,9)</f>
        <v>0.869093726</v>
      </c>
    </row>
    <row r="334" customFormat="false" ht="15" hidden="false" customHeight="false" outlineLevel="0" collapsed="false">
      <c r="A334" s="2" t="n">
        <v>333</v>
      </c>
      <c r="B334" s="6" t="n">
        <v>7</v>
      </c>
      <c r="C334" s="6" t="n">
        <v>49</v>
      </c>
      <c r="D334" s="8" t="str">
        <f aca="false">INDEX(Bases!$B$2:$B$53,B334)</f>
        <v>Azurill</v>
      </c>
      <c r="E334" s="8" t="str">
        <f aca="false">INDEX(Bases!$B$2:$B$53,C334)</f>
        <v>Aron</v>
      </c>
      <c r="F334" s="2" t="str">
        <f aca="false">LEFT(D334,ROUNDUP(LEN(D334)/2,0))&amp;LOWER(MID(E334,ROUNDUP(LEN(E334)/2,0)+1,20))</f>
        <v>Azuron</v>
      </c>
      <c r="G334" s="8" t="str">
        <f aca="false">INDEX(Bases!$C$2:$C$53,B334)</f>
        <v>Water</v>
      </c>
      <c r="H334" s="8" t="str">
        <f aca="false">IF(INDEX(Bases!$C$2:$C$53,C334)=G334,"",INDEX(Bases!$C$2:$C$53,C334))</f>
        <v>Steel</v>
      </c>
      <c r="I334" s="8" t="str">
        <f aca="false">IF(INDEX(Bases!$E$2:$E$53,B334)="","",INDEX(Bases!$E$2:$E$53,B334))</f>
        <v/>
      </c>
      <c r="J334" s="8" t="str">
        <f aca="false">IF(INDEX(Bases!$E$2:$E$53,C334)="","",INDEX(Bases!$E$2:$E$53,C334))</f>
        <v/>
      </c>
      <c r="K334" s="5"/>
      <c r="L334" s="2" t="n">
        <f aca="false">AE334+IF(SUMPRODUCT(--($AL334:$AQ334&gt;AL334))&lt;$AK334,1,0)</f>
        <v>106</v>
      </c>
      <c r="M334" s="2" t="n">
        <f aca="false">AF334+IF(SUMPRODUCT(--($AL334:$AQ334&gt;AM334))+SUMPRODUCT(--($AL334:AL334=AM334))&lt;$AK334,1,0)</f>
        <v>82</v>
      </c>
      <c r="N334" s="2" t="n">
        <f aca="false">AG334+IF(SUMPRODUCT(--($AL334:$AQ334&gt;AN334))+SUMPRODUCT(--($AL334:AM334=AN334))&lt;$AK334,1,0)</f>
        <v>127</v>
      </c>
      <c r="O334" s="2" t="n">
        <f aca="false">AH334+IF(SUMPRODUCT(--($AL334:$AQ334&gt;AO334))+SUMPRODUCT(--($AL334:AN334=AO334))&lt;$AK334,1,0)</f>
        <v>54</v>
      </c>
      <c r="P334" s="2" t="n">
        <f aca="false">AI334+IF(SUMPRODUCT(--($AL334:$AQ334&gt;AP334))+SUMPRODUCT(--($AL334:AO334=AP334))&lt;$AK334,1,0)</f>
        <v>84</v>
      </c>
      <c r="Q334" s="2" t="n">
        <f aca="false">AJ334+IF(SUMPRODUCT(--($AL334:$AQ334&gt;AQ334))+SUMPRODUCT(--($AL334:AP334=AQ334))&lt;$AK334,1,0)</f>
        <v>47</v>
      </c>
      <c r="R334" s="2" t="n">
        <f aca="false">SUM(L334:Q334)</f>
        <v>500</v>
      </c>
      <c r="S334" s="2" t="n">
        <f aca="false">Settings!$B$4*MAX(INDEX(Bases!$M$2:$M$53,B334),INDEX(Bases!$M$2:$M$53,C334))+Settings!$B$5*MIN(INDEX(Bases!$M$2:$M$53,B334),INDEX(Bases!$M$2:$M$53,C334))</f>
        <v>91</v>
      </c>
      <c r="T334" s="2" t="n">
        <f aca="false">Settings!$B$4*MAX(INDEX(Bases!$N$2:$N$53,B334),INDEX(Bases!$N$2:$N$53,C334))+Settings!$B$5*MIN(INDEX(Bases!$N$2:$N$53,B334),INDEX(Bases!$N$2:$N$53,C334))</f>
        <v>70.6666666666667</v>
      </c>
      <c r="U334" s="2" t="n">
        <f aca="false">Settings!$B$4*MAX(INDEX(Bases!$O$2:$O$53,B334),INDEX(Bases!$O$2:$O$53,C334))+Settings!$B$5*MIN(INDEX(Bases!$O$2:$O$53,B334),INDEX(Bases!$O$2:$O$53,C334))</f>
        <v>108.666666666667</v>
      </c>
      <c r="V334" s="2" t="n">
        <f aca="false">Settings!$B$4*MAX(INDEX(Bases!$P$2:$P$53,B334),INDEX(Bases!$P$2:$P$53,C334))+Settings!$B$5*MIN(INDEX(Bases!$P$2:$P$53,B334),INDEX(Bases!$P$2:$P$53,C334))</f>
        <v>46.6666666666667</v>
      </c>
      <c r="W334" s="2" t="n">
        <f aca="false">Settings!$B$4*MAX(INDEX(Bases!$Q$2:$Q$53,B334),INDEX(Bases!$Q$2:$Q$53,C334))+Settings!$B$5*MIN(INDEX(Bases!$Q$2:$Q$53,B334),INDEX(Bases!$Q$2:$Q$53,C334))</f>
        <v>72</v>
      </c>
      <c r="X334" s="2" t="n">
        <f aca="false">Settings!$B$4*MAX(INDEX(Bases!$R$2:$R$53,B334),INDEX(Bases!$R$2:$R$53,C334))+Settings!$B$5*MIN(INDEX(Bases!$R$2:$R$53,B334),INDEX(Bases!$R$2:$R$53,C334))</f>
        <v>40</v>
      </c>
      <c r="Y334" s="2" t="n">
        <f aca="false">S334*Settings!$B$3/SUM(S334:X334)</f>
        <v>106.060606060606</v>
      </c>
      <c r="Z334" s="2" t="n">
        <f aca="false">T334*Settings!$B$3/SUM(S334:X334)</f>
        <v>82.3620823620824</v>
      </c>
      <c r="AA334" s="2" t="n">
        <f aca="false">U334*Settings!$B$3/SUM(S334:X334)</f>
        <v>126.651126651127</v>
      </c>
      <c r="AB334" s="2" t="n">
        <f aca="false">V334*Settings!$B$3/SUM(S334:X334)</f>
        <v>54.3900543900544</v>
      </c>
      <c r="AC334" s="2" t="n">
        <f aca="false">W334*Settings!$B$3/SUM(S334:X334)</f>
        <v>83.9160839160839</v>
      </c>
      <c r="AD334" s="2" t="n">
        <f aca="false">X334*Settings!$B$3/SUM(S334:X334)</f>
        <v>46.6200466200466</v>
      </c>
      <c r="AE334" s="2" t="n">
        <f aca="false">INT(Y334)</f>
        <v>106</v>
      </c>
      <c r="AF334" s="2" t="n">
        <f aca="false">INT(Z334)</f>
        <v>82</v>
      </c>
      <c r="AG334" s="2" t="n">
        <f aca="false">INT(AA334)</f>
        <v>126</v>
      </c>
      <c r="AH334" s="2" t="n">
        <f aca="false">INT(AB334)</f>
        <v>54</v>
      </c>
      <c r="AI334" s="2" t="n">
        <f aca="false">INT(AC334)</f>
        <v>83</v>
      </c>
      <c r="AJ334" s="2" t="n">
        <f aca="false">INT(AD334)</f>
        <v>46</v>
      </c>
      <c r="AK334" s="2" t="n">
        <f aca="false">Settings!$B$3-SUM(AE334:AJ334)</f>
        <v>3</v>
      </c>
      <c r="AL334" s="2" t="n">
        <f aca="false">ROUND(Y334-AE334,9)</f>
        <v>0.060606061</v>
      </c>
      <c r="AM334" s="2" t="n">
        <f aca="false">ROUND(Z334-AF334,9)</f>
        <v>0.362082362</v>
      </c>
      <c r="AN334" s="2" t="n">
        <f aca="false">ROUND(AA334-AG334,9)</f>
        <v>0.651126651</v>
      </c>
      <c r="AO334" s="2" t="n">
        <f aca="false">ROUND(AB334-AH334,9)</f>
        <v>0.39005439</v>
      </c>
      <c r="AP334" s="2" t="n">
        <f aca="false">ROUND(AC334-AI334,9)</f>
        <v>0.916083916</v>
      </c>
      <c r="AQ334" s="2" t="n">
        <f aca="false">ROUND(AD334-AJ334,9)</f>
        <v>0.62004662</v>
      </c>
    </row>
    <row r="335" customFormat="false" ht="15" hidden="false" customHeight="false" outlineLevel="0" collapsed="false">
      <c r="A335" s="2" t="n">
        <v>334</v>
      </c>
      <c r="B335" s="6" t="n">
        <v>7</v>
      </c>
      <c r="C335" s="6" t="n">
        <v>50</v>
      </c>
      <c r="D335" s="8" t="str">
        <f aca="false">INDEX(Bases!$B$2:$B$53,B335)</f>
        <v>Azurill</v>
      </c>
      <c r="E335" s="8" t="str">
        <f aca="false">INDEX(Bases!$B$2:$B$53,C335)</f>
        <v>Beldum</v>
      </c>
      <c r="F335" s="2" t="str">
        <f aca="false">LEFT(D335,ROUNDUP(LEN(D335)/2,0))&amp;LOWER(MID(E335,ROUNDUP(LEN(E335)/2,0)+1,20))</f>
        <v>Azurdum</v>
      </c>
      <c r="G335" s="8" t="str">
        <f aca="false">INDEX(Bases!$C$2:$C$53,B335)</f>
        <v>Water</v>
      </c>
      <c r="H335" s="8" t="str">
        <f aca="false">IF(INDEX(Bases!$C$2:$C$53,C335)=G335,"",INDEX(Bases!$C$2:$C$53,C335))</f>
        <v>Steel</v>
      </c>
      <c r="I335" s="8" t="str">
        <f aca="false">IF(INDEX(Bases!$E$2:$E$53,B335)="","",INDEX(Bases!$E$2:$E$53,B335))</f>
        <v/>
      </c>
      <c r="J335" s="8" t="str">
        <f aca="false">IF(INDEX(Bases!$E$2:$E$53,C335)="","",INDEX(Bases!$E$2:$E$53,C335))</f>
        <v/>
      </c>
      <c r="K335" s="5"/>
      <c r="L335" s="2" t="n">
        <f aca="false">AE335+IF(SUMPRODUCT(--($AL335:$AQ335&gt;AL335))&lt;$AK335,1,0)</f>
        <v>105</v>
      </c>
      <c r="M335" s="2" t="n">
        <f aca="false">AF335+IF(SUMPRODUCT(--($AL335:$AQ335&gt;AM335))+SUMPRODUCT(--($AL335:AL335=AM335))&lt;$AK335,1,0)</f>
        <v>75</v>
      </c>
      <c r="N335" s="2" t="n">
        <f aca="false">AG335+IF(SUMPRODUCT(--($AL335:$AQ335&gt;AN335))+SUMPRODUCT(--($AL335:AM335=AN335))&lt;$AK335,1,0)</f>
        <v>118</v>
      </c>
      <c r="O335" s="2" t="n">
        <f aca="false">AH335+IF(SUMPRODUCT(--($AL335:$AQ335&gt;AO335))+SUMPRODUCT(--($AL335:AN335=AO335))&lt;$AK335,1,0)</f>
        <v>54</v>
      </c>
      <c r="P335" s="2" t="n">
        <f aca="false">AI335+IF(SUMPRODUCT(--($AL335:$AQ335&gt;AP335))+SUMPRODUCT(--($AL335:AO335=AP335))&lt;$AK335,1,0)</f>
        <v>99</v>
      </c>
      <c r="Q335" s="2" t="n">
        <f aca="false">AJ335+IF(SUMPRODUCT(--($AL335:$AQ335&gt;AQ335))+SUMPRODUCT(--($AL335:AP335=AQ335))&lt;$AK335,1,0)</f>
        <v>49</v>
      </c>
      <c r="R335" s="2" t="n">
        <f aca="false">SUM(L335:Q335)</f>
        <v>500</v>
      </c>
      <c r="S335" s="2" t="n">
        <f aca="false">Settings!$B$4*MAX(INDEX(Bases!$M$2:$M$53,B335),INDEX(Bases!$M$2:$M$53,C335))+Settings!$B$5*MIN(INDEX(Bases!$M$2:$M$53,B335),INDEX(Bases!$M$2:$M$53,C335))</f>
        <v>88.3333333333333</v>
      </c>
      <c r="T335" s="2" t="n">
        <f aca="false">Settings!$B$4*MAX(INDEX(Bases!$N$2:$N$53,B335),INDEX(Bases!$N$2:$N$53,C335))+Settings!$B$5*MIN(INDEX(Bases!$N$2:$N$53,B335),INDEX(Bases!$N$2:$N$53,C335))</f>
        <v>62.6666666666667</v>
      </c>
      <c r="U335" s="2" t="n">
        <f aca="false">Settings!$B$4*MAX(INDEX(Bases!$O$2:$O$53,B335),INDEX(Bases!$O$2:$O$53,C335))+Settings!$B$5*MIN(INDEX(Bases!$O$2:$O$53,B335),INDEX(Bases!$O$2:$O$53,C335))</f>
        <v>99.3333333333333</v>
      </c>
      <c r="V335" s="2" t="n">
        <f aca="false">Settings!$B$4*MAX(INDEX(Bases!$P$2:$P$53,B335),INDEX(Bases!$P$2:$P$53,C335))+Settings!$B$5*MIN(INDEX(Bases!$P$2:$P$53,B335),INDEX(Bases!$P$2:$P$53,C335))</f>
        <v>45.3333333333333</v>
      </c>
      <c r="W335" s="2" t="n">
        <f aca="false">Settings!$B$4*MAX(INDEX(Bases!$Q$2:$Q$53,B335),INDEX(Bases!$Q$2:$Q$53,C335))+Settings!$B$5*MIN(INDEX(Bases!$Q$2:$Q$53,B335),INDEX(Bases!$Q$2:$Q$53,C335))</f>
        <v>82.6666666666667</v>
      </c>
      <c r="X335" s="2" t="n">
        <f aca="false">Settings!$B$4*MAX(INDEX(Bases!$R$2:$R$53,B335),INDEX(Bases!$R$2:$R$53,C335))+Settings!$B$5*MIN(INDEX(Bases!$R$2:$R$53,B335),INDEX(Bases!$R$2:$R$53,C335))</f>
        <v>41.3333333333333</v>
      </c>
      <c r="Y335" s="2" t="n">
        <f aca="false">S335*Settings!$B$3/SUM(S335:X335)</f>
        <v>105.242255758539</v>
      </c>
      <c r="Z335" s="2" t="n">
        <f aca="false">T335*Settings!$B$3/SUM(S335:X335)</f>
        <v>74.6624305003972</v>
      </c>
      <c r="AA335" s="2" t="n">
        <f aca="false">U335*Settings!$B$3/SUM(S335:X335)</f>
        <v>118.347895154885</v>
      </c>
      <c r="AB335" s="2" t="n">
        <f aca="false">V335*Settings!$B$3/SUM(S335:X335)</f>
        <v>54.0111199364575</v>
      </c>
      <c r="AC335" s="2" t="n">
        <f aca="false">W335*Settings!$B$3/SUM(S335:X335)</f>
        <v>98.4908657664814</v>
      </c>
      <c r="AD335" s="2" t="n">
        <f aca="false">X335*Settings!$B$3/SUM(S335:X335)</f>
        <v>49.2454328832407</v>
      </c>
      <c r="AE335" s="2" t="n">
        <f aca="false">INT(Y335)</f>
        <v>105</v>
      </c>
      <c r="AF335" s="2" t="n">
        <f aca="false">INT(Z335)</f>
        <v>74</v>
      </c>
      <c r="AG335" s="2" t="n">
        <f aca="false">INT(AA335)</f>
        <v>118</v>
      </c>
      <c r="AH335" s="2" t="n">
        <f aca="false">INT(AB335)</f>
        <v>54</v>
      </c>
      <c r="AI335" s="2" t="n">
        <f aca="false">INT(AC335)</f>
        <v>98</v>
      </c>
      <c r="AJ335" s="2" t="n">
        <f aca="false">INT(AD335)</f>
        <v>49</v>
      </c>
      <c r="AK335" s="2" t="n">
        <f aca="false">Settings!$B$3-SUM(AE335:AJ335)</f>
        <v>2</v>
      </c>
      <c r="AL335" s="2" t="n">
        <f aca="false">ROUND(Y335-AE335,9)</f>
        <v>0.242255759</v>
      </c>
      <c r="AM335" s="2" t="n">
        <f aca="false">ROUND(Z335-AF335,9)</f>
        <v>0.6624305</v>
      </c>
      <c r="AN335" s="2" t="n">
        <f aca="false">ROUND(AA335-AG335,9)</f>
        <v>0.347895155</v>
      </c>
      <c r="AO335" s="2" t="n">
        <f aca="false">ROUND(AB335-AH335,9)</f>
        <v>0.011119936</v>
      </c>
      <c r="AP335" s="2" t="n">
        <f aca="false">ROUND(AC335-AI335,9)</f>
        <v>0.490865766</v>
      </c>
      <c r="AQ335" s="2" t="n">
        <f aca="false">ROUND(AD335-AJ335,9)</f>
        <v>0.245432883</v>
      </c>
    </row>
    <row r="336" customFormat="false" ht="15" hidden="false" customHeight="false" outlineLevel="0" collapsed="false">
      <c r="A336" s="2" t="n">
        <v>335</v>
      </c>
      <c r="B336" s="6" t="n">
        <v>7</v>
      </c>
      <c r="C336" s="6" t="n">
        <v>51</v>
      </c>
      <c r="D336" s="8" t="str">
        <f aca="false">INDEX(Bases!$B$2:$B$53,B336)</f>
        <v>Azurill</v>
      </c>
      <c r="E336" s="8" t="str">
        <f aca="false">INDEX(Bases!$B$2:$B$53,C336)</f>
        <v>Cleffa</v>
      </c>
      <c r="F336" s="2" t="str">
        <f aca="false">LEFT(D336,ROUNDUP(LEN(D336)/2,0))&amp;LOWER(MID(E336,ROUNDUP(LEN(E336)/2,0)+1,20))</f>
        <v>Azurffa</v>
      </c>
      <c r="G336" s="8" t="str">
        <f aca="false">INDEX(Bases!$C$2:$C$53,B336)</f>
        <v>Water</v>
      </c>
      <c r="H336" s="8" t="str">
        <f aca="false">IF(INDEX(Bases!$C$2:$C$53,C336)=G336,"",INDEX(Bases!$C$2:$C$53,C336))</f>
        <v>Fairy</v>
      </c>
      <c r="I336" s="8" t="str">
        <f aca="false">IF(INDEX(Bases!$E$2:$E$53,B336)="","",INDEX(Bases!$E$2:$E$53,B336))</f>
        <v/>
      </c>
      <c r="J336" s="8" t="str">
        <f aca="false">IF(INDEX(Bases!$E$2:$E$53,C336)="","",INDEX(Bases!$E$2:$E$53,C336))</f>
        <v/>
      </c>
      <c r="K336" s="5"/>
      <c r="L336" s="2" t="n">
        <f aca="false">AE336+IF(SUMPRODUCT(--($AL336:$AQ336&gt;AL336))&lt;$AK336,1,0)</f>
        <v>121</v>
      </c>
      <c r="M336" s="2" t="n">
        <f aca="false">AF336+IF(SUMPRODUCT(--($AL336:$AQ336&gt;AM336))+SUMPRODUCT(--($AL336:AL336=AM336))&lt;$AK336,1,0)</f>
        <v>53</v>
      </c>
      <c r="N336" s="2" t="n">
        <f aca="false">AG336+IF(SUMPRODUCT(--($AL336:$AQ336&gt;AN336))+SUMPRODUCT(--($AL336:AM336=AN336))&lt;$AK336,1,0)</f>
        <v>87</v>
      </c>
      <c r="O336" s="2" t="n">
        <f aca="false">AH336+IF(SUMPRODUCT(--($AL336:$AQ336&gt;AO336))+SUMPRODUCT(--($AL336:AN336=AO336))&lt;$AK336,1,0)</f>
        <v>82</v>
      </c>
      <c r="P336" s="2" t="n">
        <f aca="false">AI336+IF(SUMPRODUCT(--($AL336:$AQ336&gt;AP336))+SUMPRODUCT(--($AL336:AO336=AP336))&lt;$AK336,1,0)</f>
        <v>113</v>
      </c>
      <c r="Q336" s="2" t="n">
        <f aca="false">AJ336+IF(SUMPRODUCT(--($AL336:$AQ336&gt;AQ336))+SUMPRODUCT(--($AL336:AP336=AQ336))&lt;$AK336,1,0)</f>
        <v>44</v>
      </c>
      <c r="R336" s="2" t="n">
        <f aca="false">SUM(L336:Q336)</f>
        <v>500</v>
      </c>
      <c r="S336" s="2" t="n">
        <f aca="false">Settings!$B$4*MAX(INDEX(Bases!$M$2:$M$53,B336),INDEX(Bases!$M$2:$M$53,C336))+Settings!$B$5*MIN(INDEX(Bases!$M$2:$M$53,B336),INDEX(Bases!$M$2:$M$53,C336))</f>
        <v>101.333333333333</v>
      </c>
      <c r="T336" s="2" t="n">
        <f aca="false">Settings!$B$4*MAX(INDEX(Bases!$N$2:$N$53,B336),INDEX(Bases!$N$2:$N$53,C336))+Settings!$B$5*MIN(INDEX(Bases!$N$2:$N$53,B336),INDEX(Bases!$N$2:$N$53,C336))</f>
        <v>44.6666666666667</v>
      </c>
      <c r="U336" s="2" t="n">
        <f aca="false">Settings!$B$4*MAX(INDEX(Bases!$O$2:$O$53,B336),INDEX(Bases!$O$2:$O$53,C336))+Settings!$B$5*MIN(INDEX(Bases!$O$2:$O$53,B336),INDEX(Bases!$O$2:$O$53,C336))</f>
        <v>73</v>
      </c>
      <c r="V336" s="2" t="n">
        <f aca="false">Settings!$B$4*MAX(INDEX(Bases!$P$2:$P$53,B336),INDEX(Bases!$P$2:$P$53,C336))+Settings!$B$5*MIN(INDEX(Bases!$P$2:$P$53,B336),INDEX(Bases!$P$2:$P$53,C336))</f>
        <v>69.3333333333333</v>
      </c>
      <c r="W336" s="2" t="n">
        <f aca="false">Settings!$B$4*MAX(INDEX(Bases!$Q$2:$Q$53,B336),INDEX(Bases!$Q$2:$Q$53,C336))+Settings!$B$5*MIN(INDEX(Bases!$Q$2:$Q$53,B336),INDEX(Bases!$Q$2:$Q$53,C336))</f>
        <v>95.3333333333333</v>
      </c>
      <c r="X336" s="2" t="n">
        <f aca="false">Settings!$B$4*MAX(INDEX(Bases!$R$2:$R$53,B336),INDEX(Bases!$R$2:$R$53,C336))+Settings!$B$5*MIN(INDEX(Bases!$R$2:$R$53,B336),INDEX(Bases!$R$2:$R$53,C336))</f>
        <v>37</v>
      </c>
      <c r="Y336" s="2" t="n">
        <f aca="false">S336*Settings!$B$3/SUM(S336:X336)</f>
        <v>120.443740095087</v>
      </c>
      <c r="Z336" s="2" t="n">
        <f aca="false">T336*Settings!$B$3/SUM(S336:X336)</f>
        <v>53.0903328050713</v>
      </c>
      <c r="AA336" s="2" t="n">
        <f aca="false">U336*Settings!$B$3/SUM(S336:X336)</f>
        <v>86.7670364500793</v>
      </c>
      <c r="AB336" s="2" t="n">
        <f aca="false">V336*Settings!$B$3/SUM(S336:X336)</f>
        <v>82.4088748019018</v>
      </c>
      <c r="AC336" s="2" t="n">
        <f aca="false">W336*Settings!$B$3/SUM(S336:X336)</f>
        <v>113.312202852615</v>
      </c>
      <c r="AD336" s="2" t="n">
        <f aca="false">X336*Settings!$B$3/SUM(S336:X336)</f>
        <v>43.9778129952456</v>
      </c>
      <c r="AE336" s="2" t="n">
        <f aca="false">INT(Y336)</f>
        <v>120</v>
      </c>
      <c r="AF336" s="2" t="n">
        <f aca="false">INT(Z336)</f>
        <v>53</v>
      </c>
      <c r="AG336" s="2" t="n">
        <f aca="false">INT(AA336)</f>
        <v>86</v>
      </c>
      <c r="AH336" s="2" t="n">
        <f aca="false">INT(AB336)</f>
        <v>82</v>
      </c>
      <c r="AI336" s="2" t="n">
        <f aca="false">INT(AC336)</f>
        <v>113</v>
      </c>
      <c r="AJ336" s="2" t="n">
        <f aca="false">INT(AD336)</f>
        <v>43</v>
      </c>
      <c r="AK336" s="2" t="n">
        <f aca="false">Settings!$B$3-SUM(AE336:AJ336)</f>
        <v>3</v>
      </c>
      <c r="AL336" s="2" t="n">
        <f aca="false">ROUND(Y336-AE336,9)</f>
        <v>0.443740095</v>
      </c>
      <c r="AM336" s="2" t="n">
        <f aca="false">ROUND(Z336-AF336,9)</f>
        <v>0.090332805</v>
      </c>
      <c r="AN336" s="2" t="n">
        <f aca="false">ROUND(AA336-AG336,9)</f>
        <v>0.76703645</v>
      </c>
      <c r="AO336" s="2" t="n">
        <f aca="false">ROUND(AB336-AH336,9)</f>
        <v>0.408874802</v>
      </c>
      <c r="AP336" s="2" t="n">
        <f aca="false">ROUND(AC336-AI336,9)</f>
        <v>0.312202853</v>
      </c>
      <c r="AQ336" s="2" t="n">
        <f aca="false">ROUND(AD336-AJ336,9)</f>
        <v>0.977812995</v>
      </c>
    </row>
    <row r="337" customFormat="false" ht="15" hidden="false" customHeight="false" outlineLevel="0" collapsed="false">
      <c r="A337" s="2" t="n">
        <v>336</v>
      </c>
      <c r="B337" s="6" t="n">
        <v>7</v>
      </c>
      <c r="C337" s="6" t="n">
        <v>52</v>
      </c>
      <c r="D337" s="8" t="str">
        <f aca="false">INDEX(Bases!$B$2:$B$53,B337)</f>
        <v>Azurill</v>
      </c>
      <c r="E337" s="8" t="str">
        <f aca="false">INDEX(Bases!$B$2:$B$53,C337)</f>
        <v>Togepi</v>
      </c>
      <c r="F337" s="2" t="str">
        <f aca="false">LEFT(D337,ROUNDUP(LEN(D337)/2,0))&amp;LOWER(MID(E337,ROUNDUP(LEN(E337)/2,0)+1,20))</f>
        <v>Azurepi</v>
      </c>
      <c r="G337" s="8" t="str">
        <f aca="false">INDEX(Bases!$C$2:$C$53,B337)</f>
        <v>Water</v>
      </c>
      <c r="H337" s="8" t="str">
        <f aca="false">IF(INDEX(Bases!$C$2:$C$53,C337)=G337,"",INDEX(Bases!$C$2:$C$53,C337))</f>
        <v>Fairy</v>
      </c>
      <c r="I337" s="8" t="str">
        <f aca="false">IF(INDEX(Bases!$E$2:$E$53,B337)="","",INDEX(Bases!$E$2:$E$53,B337))</f>
        <v/>
      </c>
      <c r="J337" s="8" t="str">
        <f aca="false">IF(INDEX(Bases!$E$2:$E$53,C337)="","",INDEX(Bases!$E$2:$E$53,C337))</f>
        <v/>
      </c>
      <c r="K337" s="5"/>
      <c r="L337" s="2" t="n">
        <f aca="false">AE337+IF(SUMPRODUCT(--($AL337:$AQ337&gt;AL337))&lt;$AK337,1,0)</f>
        <v>106</v>
      </c>
      <c r="M337" s="2" t="n">
        <f aca="false">AF337+IF(SUMPRODUCT(--($AL337:$AQ337&gt;AM337))+SUMPRODUCT(--($AL337:AL337=AM337))&lt;$AK337,1,0)</f>
        <v>46</v>
      </c>
      <c r="N337" s="2" t="n">
        <f aca="false">AG337+IF(SUMPRODUCT(--($AL337:$AQ337&gt;AN337))+SUMPRODUCT(--($AL337:AM337=AN337))&lt;$AK337,1,0)</f>
        <v>117</v>
      </c>
      <c r="O337" s="2" t="n">
        <f aca="false">AH337+IF(SUMPRODUCT(--($AL337:$AQ337&gt;AO337))+SUMPRODUCT(--($AL337:AN337=AO337))&lt;$AK337,1,0)</f>
        <v>68</v>
      </c>
      <c r="P337" s="2" t="n">
        <f aca="false">AI337+IF(SUMPRODUCT(--($AL337:$AQ337&gt;AP337))+SUMPRODUCT(--($AL337:AO337=AP337))&lt;$AK337,1,0)</f>
        <v>117</v>
      </c>
      <c r="Q337" s="2" t="n">
        <f aca="false">AJ337+IF(SUMPRODUCT(--($AL337:$AQ337&gt;AQ337))+SUMPRODUCT(--($AL337:AP337=AQ337))&lt;$AK337,1,0)</f>
        <v>46</v>
      </c>
      <c r="R337" s="2" t="n">
        <f aca="false">SUM(L337:Q337)</f>
        <v>500</v>
      </c>
      <c r="S337" s="2" t="n">
        <f aca="false">Settings!$B$4*MAX(INDEX(Bases!$M$2:$M$53,B337),INDEX(Bases!$M$2:$M$53,C337))+Settings!$B$5*MIN(INDEX(Bases!$M$2:$M$53,B337),INDEX(Bases!$M$2:$M$53,C337))</f>
        <v>89.6666666666667</v>
      </c>
      <c r="T337" s="2" t="n">
        <f aca="false">Settings!$B$4*MAX(INDEX(Bases!$N$2:$N$53,B337),INDEX(Bases!$N$2:$N$53,C337))+Settings!$B$5*MIN(INDEX(Bases!$N$2:$N$53,B337),INDEX(Bases!$N$2:$N$53,C337))</f>
        <v>39</v>
      </c>
      <c r="U337" s="2" t="n">
        <f aca="false">Settings!$B$4*MAX(INDEX(Bases!$O$2:$O$53,B337),INDEX(Bases!$O$2:$O$53,C337))+Settings!$B$5*MIN(INDEX(Bases!$O$2:$O$53,B337),INDEX(Bases!$O$2:$O$53,C337))</f>
        <v>98.6666666666667</v>
      </c>
      <c r="V337" s="2" t="n">
        <f aca="false">Settings!$B$4*MAX(INDEX(Bases!$P$2:$P$53,B337),INDEX(Bases!$P$2:$P$53,C337))+Settings!$B$5*MIN(INDEX(Bases!$P$2:$P$53,B337),INDEX(Bases!$P$2:$P$53,C337))</f>
        <v>57.3333333333333</v>
      </c>
      <c r="W337" s="2" t="n">
        <f aca="false">Settings!$B$4*MAX(INDEX(Bases!$Q$2:$Q$53,B337),INDEX(Bases!$Q$2:$Q$53,C337))+Settings!$B$5*MIN(INDEX(Bases!$Q$2:$Q$53,B337),INDEX(Bases!$Q$2:$Q$53,C337))</f>
        <v>98.6666666666667</v>
      </c>
      <c r="X337" s="2" t="n">
        <f aca="false">Settings!$B$4*MAX(INDEX(Bases!$R$2:$R$53,B337),INDEX(Bases!$R$2:$R$53,C337))+Settings!$B$5*MIN(INDEX(Bases!$R$2:$R$53,B337),INDEX(Bases!$R$2:$R$53,C337))</f>
        <v>39</v>
      </c>
      <c r="Y337" s="2" t="n">
        <f aca="false">S337*Settings!$B$3/SUM(S337:X337)</f>
        <v>106.156274664562</v>
      </c>
      <c r="Z337" s="2" t="n">
        <f aca="false">T337*Settings!$B$3/SUM(S337:X337)</f>
        <v>46.1720599842147</v>
      </c>
      <c r="AA337" s="2" t="n">
        <f aca="false">U337*Settings!$B$3/SUM(S337:X337)</f>
        <v>116.81136543015</v>
      </c>
      <c r="AB337" s="2" t="n">
        <f aca="false">V337*Settings!$B$3/SUM(S337:X337)</f>
        <v>67.8768745067088</v>
      </c>
      <c r="AC337" s="2" t="n">
        <f aca="false">W337*Settings!$B$3/SUM(S337:X337)</f>
        <v>116.81136543015</v>
      </c>
      <c r="AD337" s="2" t="n">
        <f aca="false">X337*Settings!$B$3/SUM(S337:X337)</f>
        <v>46.1720599842147</v>
      </c>
      <c r="AE337" s="2" t="n">
        <f aca="false">INT(Y337)</f>
        <v>106</v>
      </c>
      <c r="AF337" s="2" t="n">
        <f aca="false">INT(Z337)</f>
        <v>46</v>
      </c>
      <c r="AG337" s="2" t="n">
        <f aca="false">INT(AA337)</f>
        <v>116</v>
      </c>
      <c r="AH337" s="2" t="n">
        <f aca="false">INT(AB337)</f>
        <v>67</v>
      </c>
      <c r="AI337" s="2" t="n">
        <f aca="false">INT(AC337)</f>
        <v>116</v>
      </c>
      <c r="AJ337" s="2" t="n">
        <f aca="false">INT(AD337)</f>
        <v>46</v>
      </c>
      <c r="AK337" s="2" t="n">
        <f aca="false">Settings!$B$3-SUM(AE337:AJ337)</f>
        <v>3</v>
      </c>
      <c r="AL337" s="2" t="n">
        <f aca="false">ROUND(Y337-AE337,9)</f>
        <v>0.156274665</v>
      </c>
      <c r="AM337" s="2" t="n">
        <f aca="false">ROUND(Z337-AF337,9)</f>
        <v>0.172059984</v>
      </c>
      <c r="AN337" s="2" t="n">
        <f aca="false">ROUND(AA337-AG337,9)</f>
        <v>0.81136543</v>
      </c>
      <c r="AO337" s="2" t="n">
        <f aca="false">ROUND(AB337-AH337,9)</f>
        <v>0.876874507</v>
      </c>
      <c r="AP337" s="2" t="n">
        <f aca="false">ROUND(AC337-AI337,9)</f>
        <v>0.81136543</v>
      </c>
      <c r="AQ337" s="2" t="n">
        <f aca="false">ROUND(AD337-AJ337,9)</f>
        <v>0.172059984</v>
      </c>
    </row>
    <row r="338" customFormat="false" ht="15" hidden="false" customHeight="false" outlineLevel="0" collapsed="false">
      <c r="A338" s="2" t="n">
        <v>337</v>
      </c>
      <c r="B338" s="6" t="n">
        <v>8</v>
      </c>
      <c r="C338" s="6" t="n">
        <v>9</v>
      </c>
      <c r="D338" s="8" t="str">
        <f aca="false">INDEX(Bases!$B$2:$B$53,B338)</f>
        <v>Corsola</v>
      </c>
      <c r="E338" s="8" t="str">
        <f aca="false">INDEX(Bases!$B$2:$B$53,C338)</f>
        <v>Mudkip</v>
      </c>
      <c r="F338" s="2" t="str">
        <f aca="false">LEFT(D338,ROUNDUP(LEN(D338)/2,0))&amp;LOWER(MID(E338,ROUNDUP(LEN(E338)/2,0)+1,20))</f>
        <v>Corskip</v>
      </c>
      <c r="G338" s="8" t="str">
        <f aca="false">INDEX(Bases!$C$2:$C$53,B338)</f>
        <v>Water</v>
      </c>
      <c r="H338" s="8" t="str">
        <f aca="false">IF(INDEX(Bases!$C$2:$C$53,C338)=G338,"",INDEX(Bases!$C$2:$C$53,C338))</f>
        <v/>
      </c>
      <c r="I338" s="8" t="str">
        <f aca="false">IF(INDEX(Bases!$E$2:$E$53,B338)="","",INDEX(Bases!$E$2:$E$53,B338))</f>
        <v/>
      </c>
      <c r="J338" s="8" t="str">
        <f aca="false">IF(INDEX(Bases!$E$2:$E$53,C338)="","",INDEX(Bases!$E$2:$E$53,C338))</f>
        <v/>
      </c>
      <c r="K338" s="5"/>
      <c r="L338" s="2" t="n">
        <f aca="false">AE338+IF(SUMPRODUCT(--($AL338:$AQ338&gt;AL338))&lt;$AK338,1,0)</f>
        <v>77</v>
      </c>
      <c r="M338" s="2" t="n">
        <f aca="false">AF338+IF(SUMPRODUCT(--($AL338:$AQ338&gt;AM338))+SUMPRODUCT(--($AL338:AL338=AM338))&lt;$AK338,1,0)</f>
        <v>93</v>
      </c>
      <c r="N338" s="2" t="n">
        <f aca="false">AG338+IF(SUMPRODUCT(--($AL338:$AQ338&gt;AN338))+SUMPRODUCT(--($AL338:AM338=AN338))&lt;$AK338,1,0)</f>
        <v>100</v>
      </c>
      <c r="O338" s="2" t="n">
        <f aca="false">AH338+IF(SUMPRODUCT(--($AL338:$AQ338&gt;AO338))+SUMPRODUCT(--($AL338:AN338=AO338))&lt;$AK338,1,0)</f>
        <v>76</v>
      </c>
      <c r="P338" s="2" t="n">
        <f aca="false">AI338+IF(SUMPRODUCT(--($AL338:$AQ338&gt;AP338))+SUMPRODUCT(--($AL338:AO338=AP338))&lt;$AK338,1,0)</f>
        <v>99</v>
      </c>
      <c r="Q338" s="2" t="n">
        <f aca="false">AJ338+IF(SUMPRODUCT(--($AL338:$AQ338&gt;AQ338))+SUMPRODUCT(--($AL338:AP338=AQ338))&lt;$AK338,1,0)</f>
        <v>55</v>
      </c>
      <c r="R338" s="2" t="n">
        <f aca="false">SUM(L338:Q338)</f>
        <v>500</v>
      </c>
      <c r="S338" s="2" t="n">
        <f aca="false">Settings!$B$4*MAX(INDEX(Bases!$M$2:$M$53,B338),INDEX(Bases!$M$2:$M$53,C338))+Settings!$B$5*MIN(INDEX(Bases!$M$2:$M$53,B338),INDEX(Bases!$M$2:$M$53,C338))</f>
        <v>64.3333333333333</v>
      </c>
      <c r="T338" s="2" t="n">
        <f aca="false">Settings!$B$4*MAX(INDEX(Bases!$N$2:$N$53,B338),INDEX(Bases!$N$2:$N$53,C338))+Settings!$B$5*MIN(INDEX(Bases!$N$2:$N$53,B338),INDEX(Bases!$N$2:$N$53,C338))</f>
        <v>78</v>
      </c>
      <c r="U338" s="2" t="n">
        <f aca="false">Settings!$B$4*MAX(INDEX(Bases!$O$2:$O$53,B338),INDEX(Bases!$O$2:$O$53,C338))+Settings!$B$5*MIN(INDEX(Bases!$O$2:$O$53,B338),INDEX(Bases!$O$2:$O$53,C338))</f>
        <v>83.6666666666667</v>
      </c>
      <c r="V338" s="2" t="n">
        <f aca="false">Settings!$B$4*MAX(INDEX(Bases!$P$2:$P$53,B338),INDEX(Bases!$P$2:$P$53,C338))+Settings!$B$5*MIN(INDEX(Bases!$P$2:$P$53,B338),INDEX(Bases!$P$2:$P$53,C338))</f>
        <v>63.6666666666667</v>
      </c>
      <c r="W338" s="2" t="n">
        <f aca="false">Settings!$B$4*MAX(INDEX(Bases!$Q$2:$Q$53,B338),INDEX(Bases!$Q$2:$Q$53,C338))+Settings!$B$5*MIN(INDEX(Bases!$Q$2:$Q$53,B338),INDEX(Bases!$Q$2:$Q$53,C338))</f>
        <v>83.3333333333333</v>
      </c>
      <c r="X338" s="2" t="n">
        <f aca="false">Settings!$B$4*MAX(INDEX(Bases!$R$2:$R$53,B338),INDEX(Bases!$R$2:$R$53,C338))+Settings!$B$5*MIN(INDEX(Bases!$R$2:$R$53,B338),INDEX(Bases!$R$2:$R$53,C338))</f>
        <v>46</v>
      </c>
      <c r="Y338" s="2" t="n">
        <f aca="false">S338*Settings!$B$3/SUM(S338:X338)</f>
        <v>76.7700875099443</v>
      </c>
      <c r="Z338" s="2" t="n">
        <f aca="false">T338*Settings!$B$3/SUM(S338:X338)</f>
        <v>93.0787589498807</v>
      </c>
      <c r="AA338" s="2" t="n">
        <f aca="false">U338*Settings!$B$3/SUM(S338:X338)</f>
        <v>99.8408910103421</v>
      </c>
      <c r="AB338" s="2" t="n">
        <f aca="false">V338*Settings!$B$3/SUM(S338:X338)</f>
        <v>75.9745425616547</v>
      </c>
      <c r="AC338" s="2" t="n">
        <f aca="false">W338*Settings!$B$3/SUM(S338:X338)</f>
        <v>99.4431185361973</v>
      </c>
      <c r="AD338" s="2" t="n">
        <f aca="false">X338*Settings!$B$3/SUM(S338:X338)</f>
        <v>54.8926014319809</v>
      </c>
      <c r="AE338" s="2" t="n">
        <f aca="false">INT(Y338)</f>
        <v>76</v>
      </c>
      <c r="AF338" s="2" t="n">
        <f aca="false">INT(Z338)</f>
        <v>93</v>
      </c>
      <c r="AG338" s="2" t="n">
        <f aca="false">INT(AA338)</f>
        <v>99</v>
      </c>
      <c r="AH338" s="2" t="n">
        <f aca="false">INT(AB338)</f>
        <v>75</v>
      </c>
      <c r="AI338" s="2" t="n">
        <f aca="false">INT(AC338)</f>
        <v>99</v>
      </c>
      <c r="AJ338" s="2" t="n">
        <f aca="false">INT(AD338)</f>
        <v>54</v>
      </c>
      <c r="AK338" s="2" t="n">
        <f aca="false">Settings!$B$3-SUM(AE338:AJ338)</f>
        <v>4</v>
      </c>
      <c r="AL338" s="2" t="n">
        <f aca="false">ROUND(Y338-AE338,9)</f>
        <v>0.77008751</v>
      </c>
      <c r="AM338" s="2" t="n">
        <f aca="false">ROUND(Z338-AF338,9)</f>
        <v>0.07875895</v>
      </c>
      <c r="AN338" s="2" t="n">
        <f aca="false">ROUND(AA338-AG338,9)</f>
        <v>0.84089101</v>
      </c>
      <c r="AO338" s="2" t="n">
        <f aca="false">ROUND(AB338-AH338,9)</f>
        <v>0.974542562</v>
      </c>
      <c r="AP338" s="2" t="n">
        <f aca="false">ROUND(AC338-AI338,9)</f>
        <v>0.443118536</v>
      </c>
      <c r="AQ338" s="2" t="n">
        <f aca="false">ROUND(AD338-AJ338,9)</f>
        <v>0.892601432</v>
      </c>
    </row>
    <row r="339" customFormat="false" ht="15" hidden="false" customHeight="false" outlineLevel="0" collapsed="false">
      <c r="A339" s="2" t="n">
        <v>338</v>
      </c>
      <c r="B339" s="6" t="n">
        <v>8</v>
      </c>
      <c r="C339" s="6" t="n">
        <v>10</v>
      </c>
      <c r="D339" s="8" t="str">
        <f aca="false">INDEX(Bases!$B$2:$B$53,B339)</f>
        <v>Corsola</v>
      </c>
      <c r="E339" s="8" t="str">
        <f aca="false">INDEX(Bases!$B$2:$B$53,C339)</f>
        <v>Pichu</v>
      </c>
      <c r="F339" s="2" t="str">
        <f aca="false">LEFT(D339,ROUNDUP(LEN(D339)/2,0))&amp;LOWER(MID(E339,ROUNDUP(LEN(E339)/2,0)+1,20))</f>
        <v>Corshu</v>
      </c>
      <c r="G339" s="8" t="str">
        <f aca="false">INDEX(Bases!$C$2:$C$53,B339)</f>
        <v>Water</v>
      </c>
      <c r="H339" s="8" t="str">
        <f aca="false">IF(INDEX(Bases!$C$2:$C$53,C339)=G339,"",INDEX(Bases!$C$2:$C$53,C339))</f>
        <v>Electric</v>
      </c>
      <c r="I339" s="8" t="str">
        <f aca="false">IF(INDEX(Bases!$E$2:$E$53,B339)="","",INDEX(Bases!$E$2:$E$53,B339))</f>
        <v/>
      </c>
      <c r="J339" s="8" t="str">
        <f aca="false">IF(INDEX(Bases!$E$2:$E$53,C339)="","",INDEX(Bases!$E$2:$E$53,C339))</f>
        <v/>
      </c>
      <c r="K339" s="5"/>
      <c r="L339" s="2" t="n">
        <f aca="false">AE339+IF(SUMPRODUCT(--($AL339:$AQ339&gt;AL339))&lt;$AK339,1,0)</f>
        <v>63</v>
      </c>
      <c r="M339" s="2" t="n">
        <f aca="false">AF339+IF(SUMPRODUCT(--($AL339:$AQ339&gt;AM339))+SUMPRODUCT(--($AL339:AL339=AM339))&lt;$AK339,1,0)</f>
        <v>80</v>
      </c>
      <c r="N339" s="2" t="n">
        <f aca="false">AG339+IF(SUMPRODUCT(--($AL339:$AQ339&gt;AN339))+SUMPRODUCT(--($AL339:AM339=AN339))&lt;$AK339,1,0)</f>
        <v>82</v>
      </c>
      <c r="O339" s="2" t="n">
        <f aca="false">AH339+IF(SUMPRODUCT(--($AL339:$AQ339&gt;AO339))+SUMPRODUCT(--($AL339:AN339=AO339))&lt;$AK339,1,0)</f>
        <v>76</v>
      </c>
      <c r="P339" s="2" t="n">
        <f aca="false">AI339+IF(SUMPRODUCT(--($AL339:$AQ339&gt;AP339))+SUMPRODUCT(--($AL339:AO339=AP339))&lt;$AK339,1,0)</f>
        <v>97</v>
      </c>
      <c r="Q339" s="2" t="n">
        <f aca="false">AJ339+IF(SUMPRODUCT(--($AL339:$AQ339&gt;AQ339))+SUMPRODUCT(--($AL339:AP339=AQ339))&lt;$AK339,1,0)</f>
        <v>102</v>
      </c>
      <c r="R339" s="2" t="n">
        <f aca="false">SUM(L339:Q339)</f>
        <v>500</v>
      </c>
      <c r="S339" s="2" t="n">
        <f aca="false">Settings!$B$4*MAX(INDEX(Bases!$M$2:$M$53,B339),INDEX(Bases!$M$2:$M$53,C339))+Settings!$B$5*MIN(INDEX(Bases!$M$2:$M$53,B339),INDEX(Bases!$M$2:$M$53,C339))</f>
        <v>55</v>
      </c>
      <c r="T339" s="2" t="n">
        <f aca="false">Settings!$B$4*MAX(INDEX(Bases!$N$2:$N$53,B339),INDEX(Bases!$N$2:$N$53,C339))+Settings!$B$5*MIN(INDEX(Bases!$N$2:$N$53,B339),INDEX(Bases!$N$2:$N$53,C339))</f>
        <v>70</v>
      </c>
      <c r="U339" s="2" t="n">
        <f aca="false">Settings!$B$4*MAX(INDEX(Bases!$O$2:$O$53,B339),INDEX(Bases!$O$2:$O$53,C339))+Settings!$B$5*MIN(INDEX(Bases!$O$2:$O$53,B339),INDEX(Bases!$O$2:$O$53,C339))</f>
        <v>71.6666666666667</v>
      </c>
      <c r="V339" s="2" t="n">
        <f aca="false">Settings!$B$4*MAX(INDEX(Bases!$P$2:$P$53,B339),INDEX(Bases!$P$2:$P$53,C339))+Settings!$B$5*MIN(INDEX(Bases!$P$2:$P$53,B339),INDEX(Bases!$P$2:$P$53,C339))</f>
        <v>67</v>
      </c>
      <c r="W339" s="2" t="n">
        <f aca="false">Settings!$B$4*MAX(INDEX(Bases!$Q$2:$Q$53,B339),INDEX(Bases!$Q$2:$Q$53,C339))+Settings!$B$5*MIN(INDEX(Bases!$Q$2:$Q$53,B339),INDEX(Bases!$Q$2:$Q$53,C339))</f>
        <v>84.6666666666667</v>
      </c>
      <c r="X339" s="2" t="n">
        <f aca="false">Settings!$B$4*MAX(INDEX(Bases!$R$2:$R$53,B339),INDEX(Bases!$R$2:$R$53,C339))+Settings!$B$5*MIN(INDEX(Bases!$R$2:$R$53,B339),INDEX(Bases!$R$2:$R$53,C339))</f>
        <v>89.3333333333333</v>
      </c>
      <c r="Y339" s="2" t="n">
        <f aca="false">S339*Settings!$B$3/SUM(S339:X339)</f>
        <v>62.8332063975628</v>
      </c>
      <c r="Z339" s="2" t="n">
        <f aca="false">T339*Settings!$B$3/SUM(S339:X339)</f>
        <v>79.96953541508</v>
      </c>
      <c r="AA339" s="2" t="n">
        <f aca="false">U339*Settings!$B$3/SUM(S339:X339)</f>
        <v>81.8735719725819</v>
      </c>
      <c r="AB339" s="2" t="n">
        <f aca="false">V339*Settings!$B$3/SUM(S339:X339)</f>
        <v>76.5422696115765</v>
      </c>
      <c r="AC339" s="2" t="n">
        <f aca="false">W339*Settings!$B$3/SUM(S339:X339)</f>
        <v>96.7250571210967</v>
      </c>
      <c r="AD339" s="2" t="n">
        <f aca="false">X339*Settings!$B$3/SUM(S339:X339)</f>
        <v>102.056359482102</v>
      </c>
      <c r="AE339" s="2" t="n">
        <f aca="false">INT(Y339)</f>
        <v>62</v>
      </c>
      <c r="AF339" s="2" t="n">
        <f aca="false">INT(Z339)</f>
        <v>79</v>
      </c>
      <c r="AG339" s="2" t="n">
        <f aca="false">INT(AA339)</f>
        <v>81</v>
      </c>
      <c r="AH339" s="2" t="n">
        <f aca="false">INT(AB339)</f>
        <v>76</v>
      </c>
      <c r="AI339" s="2" t="n">
        <f aca="false">INT(AC339)</f>
        <v>96</v>
      </c>
      <c r="AJ339" s="2" t="n">
        <f aca="false">INT(AD339)</f>
        <v>102</v>
      </c>
      <c r="AK339" s="2" t="n">
        <f aca="false">Settings!$B$3-SUM(AE339:AJ339)</f>
        <v>4</v>
      </c>
      <c r="AL339" s="2" t="n">
        <f aca="false">ROUND(Y339-AE339,9)</f>
        <v>0.833206398</v>
      </c>
      <c r="AM339" s="2" t="n">
        <f aca="false">ROUND(Z339-AF339,9)</f>
        <v>0.969535415</v>
      </c>
      <c r="AN339" s="2" t="n">
        <f aca="false">ROUND(AA339-AG339,9)</f>
        <v>0.873571973</v>
      </c>
      <c r="AO339" s="2" t="n">
        <f aca="false">ROUND(AB339-AH339,9)</f>
        <v>0.542269612</v>
      </c>
      <c r="AP339" s="2" t="n">
        <f aca="false">ROUND(AC339-AI339,9)</f>
        <v>0.725057121</v>
      </c>
      <c r="AQ339" s="2" t="n">
        <f aca="false">ROUND(AD339-AJ339,9)</f>
        <v>0.056359482</v>
      </c>
    </row>
    <row r="340" customFormat="false" ht="15" hidden="false" customHeight="false" outlineLevel="0" collapsed="false">
      <c r="A340" s="2" t="n">
        <v>339</v>
      </c>
      <c r="B340" s="6" t="n">
        <v>8</v>
      </c>
      <c r="C340" s="6" t="n">
        <v>11</v>
      </c>
      <c r="D340" s="8" t="str">
        <f aca="false">INDEX(Bases!$B$2:$B$53,B340)</f>
        <v>Corsola</v>
      </c>
      <c r="E340" s="8" t="str">
        <f aca="false">INDEX(Bases!$B$2:$B$53,C340)</f>
        <v>Voltorb</v>
      </c>
      <c r="F340" s="2" t="str">
        <f aca="false">LEFT(D340,ROUNDUP(LEN(D340)/2,0))&amp;LOWER(MID(E340,ROUNDUP(LEN(E340)/2,0)+1,20))</f>
        <v>Corsorb</v>
      </c>
      <c r="G340" s="8" t="str">
        <f aca="false">INDEX(Bases!$C$2:$C$53,B340)</f>
        <v>Water</v>
      </c>
      <c r="H340" s="8" t="str">
        <f aca="false">IF(INDEX(Bases!$C$2:$C$53,C340)=G340,"",INDEX(Bases!$C$2:$C$53,C340))</f>
        <v>Electric</v>
      </c>
      <c r="I340" s="8" t="str">
        <f aca="false">IF(INDEX(Bases!$E$2:$E$53,B340)="","",INDEX(Bases!$E$2:$E$53,B340))</f>
        <v/>
      </c>
      <c r="J340" s="8" t="str">
        <f aca="false">IF(INDEX(Bases!$E$2:$E$53,C340)="","",INDEX(Bases!$E$2:$E$53,C340))</f>
        <v/>
      </c>
      <c r="K340" s="5"/>
      <c r="L340" s="2" t="n">
        <f aca="false">AE340+IF(SUMPRODUCT(--($AL340:$AQ340&gt;AL340))&lt;$AK340,1,0)</f>
        <v>67</v>
      </c>
      <c r="M340" s="2" t="n">
        <f aca="false">AF340+IF(SUMPRODUCT(--($AL340:$AQ340&gt;AM340))+SUMPRODUCT(--($AL340:AL340=AM340))&lt;$AK340,1,0)</f>
        <v>56</v>
      </c>
      <c r="N340" s="2" t="n">
        <f aca="false">AG340+IF(SUMPRODUCT(--($AL340:$AQ340&gt;AN340))+SUMPRODUCT(--($AL340:AM340=AN340))&lt;$AK340,1,0)</f>
        <v>96</v>
      </c>
      <c r="O340" s="2" t="n">
        <f aca="false">AH340+IF(SUMPRODUCT(--($AL340:$AQ340&gt;AO340))+SUMPRODUCT(--($AL340:AN340=AO340))&lt;$AK340,1,0)</f>
        <v>76</v>
      </c>
      <c r="P340" s="2" t="n">
        <f aca="false">AI340+IF(SUMPRODUCT(--($AL340:$AQ340&gt;AP340))+SUMPRODUCT(--($AL340:AO340=AP340))&lt;$AK340,1,0)</f>
        <v>98</v>
      </c>
      <c r="Q340" s="2" t="n">
        <f aca="false">AJ340+IF(SUMPRODUCT(--($AL340:$AQ340&gt;AQ340))+SUMPRODUCT(--($AL340:AP340=AQ340))&lt;$AK340,1,0)</f>
        <v>107</v>
      </c>
      <c r="R340" s="2" t="n">
        <f aca="false">SUM(L340:Q340)</f>
        <v>500</v>
      </c>
      <c r="S340" s="2" t="n">
        <f aca="false">Settings!$B$4*MAX(INDEX(Bases!$M$2:$M$53,B340),INDEX(Bases!$M$2:$M$53,C340))+Settings!$B$5*MIN(INDEX(Bases!$M$2:$M$53,B340),INDEX(Bases!$M$2:$M$53,C340))</f>
        <v>58</v>
      </c>
      <c r="T340" s="2" t="n">
        <f aca="false">Settings!$B$4*MAX(INDEX(Bases!$N$2:$N$53,B340),INDEX(Bases!$N$2:$N$53,C340))+Settings!$B$5*MIN(INDEX(Bases!$N$2:$N$53,B340),INDEX(Bases!$N$2:$N$53,C340))</f>
        <v>48</v>
      </c>
      <c r="U340" s="2" t="n">
        <f aca="false">Settings!$B$4*MAX(INDEX(Bases!$O$2:$O$53,B340),INDEX(Bases!$O$2:$O$53,C340))+Settings!$B$5*MIN(INDEX(Bases!$O$2:$O$53,B340),INDEX(Bases!$O$2:$O$53,C340))</f>
        <v>82.3333333333333</v>
      </c>
      <c r="V340" s="2" t="n">
        <f aca="false">Settings!$B$4*MAX(INDEX(Bases!$P$2:$P$53,B340),INDEX(Bases!$P$2:$P$53,C340))+Settings!$B$5*MIN(INDEX(Bases!$P$2:$P$53,B340),INDEX(Bases!$P$2:$P$53,C340))</f>
        <v>65.6666666666667</v>
      </c>
      <c r="W340" s="2" t="n">
        <f aca="false">Settings!$B$4*MAX(INDEX(Bases!$Q$2:$Q$53,B340),INDEX(Bases!$Q$2:$Q$53,C340))+Settings!$B$5*MIN(INDEX(Bases!$Q$2:$Q$53,B340),INDEX(Bases!$Q$2:$Q$53,C340))</f>
        <v>84.3333333333333</v>
      </c>
      <c r="X340" s="2" t="n">
        <f aca="false">Settings!$B$4*MAX(INDEX(Bases!$R$2:$R$53,B340),INDEX(Bases!$R$2:$R$53,C340))+Settings!$B$5*MIN(INDEX(Bases!$R$2:$R$53,B340),INDEX(Bases!$R$2:$R$53,C340))</f>
        <v>92</v>
      </c>
      <c r="Y340" s="2" t="n">
        <f aca="false">S340*Settings!$B$3/SUM(S340:X340)</f>
        <v>67.3896204492641</v>
      </c>
      <c r="Z340" s="2" t="n">
        <f aca="false">T340*Settings!$B$3/SUM(S340:X340)</f>
        <v>55.7707203718048</v>
      </c>
      <c r="AA340" s="2" t="n">
        <f aca="false">U340*Settings!$B$3/SUM(S340:X340)</f>
        <v>95.6622773044152</v>
      </c>
      <c r="AB340" s="2" t="n">
        <f aca="false">V340*Settings!$B$3/SUM(S340:X340)</f>
        <v>76.297443841983</v>
      </c>
      <c r="AC340" s="2" t="n">
        <f aca="false">W340*Settings!$B$3/SUM(S340:X340)</f>
        <v>97.9860573199071</v>
      </c>
      <c r="AD340" s="2" t="n">
        <f aca="false">X340*Settings!$B$3/SUM(S340:X340)</f>
        <v>106.893880712626</v>
      </c>
      <c r="AE340" s="2" t="n">
        <f aca="false">INT(Y340)</f>
        <v>67</v>
      </c>
      <c r="AF340" s="2" t="n">
        <f aca="false">INT(Z340)</f>
        <v>55</v>
      </c>
      <c r="AG340" s="2" t="n">
        <f aca="false">INT(AA340)</f>
        <v>95</v>
      </c>
      <c r="AH340" s="2" t="n">
        <f aca="false">INT(AB340)</f>
        <v>76</v>
      </c>
      <c r="AI340" s="2" t="n">
        <f aca="false">INT(AC340)</f>
        <v>97</v>
      </c>
      <c r="AJ340" s="2" t="n">
        <f aca="false">INT(AD340)</f>
        <v>106</v>
      </c>
      <c r="AK340" s="2" t="n">
        <f aca="false">Settings!$B$3-SUM(AE340:AJ340)</f>
        <v>4</v>
      </c>
      <c r="AL340" s="2" t="n">
        <f aca="false">ROUND(Y340-AE340,9)</f>
        <v>0.389620449</v>
      </c>
      <c r="AM340" s="2" t="n">
        <f aca="false">ROUND(Z340-AF340,9)</f>
        <v>0.770720372</v>
      </c>
      <c r="AN340" s="2" t="n">
        <f aca="false">ROUND(AA340-AG340,9)</f>
        <v>0.662277304</v>
      </c>
      <c r="AO340" s="2" t="n">
        <f aca="false">ROUND(AB340-AH340,9)</f>
        <v>0.297443842</v>
      </c>
      <c r="AP340" s="2" t="n">
        <f aca="false">ROUND(AC340-AI340,9)</f>
        <v>0.98605732</v>
      </c>
      <c r="AQ340" s="2" t="n">
        <f aca="false">ROUND(AD340-AJ340,9)</f>
        <v>0.893880713</v>
      </c>
    </row>
    <row r="341" customFormat="false" ht="15" hidden="false" customHeight="false" outlineLevel="0" collapsed="false">
      <c r="A341" s="2" t="n">
        <v>340</v>
      </c>
      <c r="B341" s="6" t="n">
        <v>8</v>
      </c>
      <c r="C341" s="6" t="n">
        <v>12</v>
      </c>
      <c r="D341" s="8" t="str">
        <f aca="false">INDEX(Bases!$B$2:$B$53,B341)</f>
        <v>Corsola</v>
      </c>
      <c r="E341" s="8" t="str">
        <f aca="false">INDEX(Bases!$B$2:$B$53,C341)</f>
        <v>Mareep</v>
      </c>
      <c r="F341" s="2" t="str">
        <f aca="false">LEFT(D341,ROUNDUP(LEN(D341)/2,0))&amp;LOWER(MID(E341,ROUNDUP(LEN(E341)/2,0)+1,20))</f>
        <v>Corseep</v>
      </c>
      <c r="G341" s="8" t="str">
        <f aca="false">INDEX(Bases!$C$2:$C$53,B341)</f>
        <v>Water</v>
      </c>
      <c r="H341" s="8" t="str">
        <f aca="false">IF(INDEX(Bases!$C$2:$C$53,C341)=G341,"",INDEX(Bases!$C$2:$C$53,C341))</f>
        <v>Electric</v>
      </c>
      <c r="I341" s="8" t="str">
        <f aca="false">IF(INDEX(Bases!$E$2:$E$53,B341)="","",INDEX(Bases!$E$2:$E$53,B341))</f>
        <v/>
      </c>
      <c r="J341" s="8" t="str">
        <f aca="false">IF(INDEX(Bases!$E$2:$E$53,C341)="","",INDEX(Bases!$E$2:$E$53,C341))</f>
        <v/>
      </c>
      <c r="K341" s="5"/>
      <c r="L341" s="2" t="n">
        <f aca="false">AE341+IF(SUMPRODUCT(--($AL341:$AQ341&gt;AL341))&lt;$AK341,1,0)</f>
        <v>87</v>
      </c>
      <c r="M341" s="2" t="n">
        <f aca="false">AF341+IF(SUMPRODUCT(--($AL341:$AQ341&gt;AM341))+SUMPRODUCT(--($AL341:AL341=AM341))&lt;$AK341,1,0)</f>
        <v>66</v>
      </c>
      <c r="N341" s="2" t="n">
        <f aca="false">AG341+IF(SUMPRODUCT(--($AL341:$AQ341&gt;AN341))+SUMPRODUCT(--($AL341:AM341=AN341))&lt;$AK341,1,0)</f>
        <v>96</v>
      </c>
      <c r="O341" s="2" t="n">
        <f aca="false">AH341+IF(SUMPRODUCT(--($AL341:$AQ341&gt;AO341))+SUMPRODUCT(--($AL341:AN341=AO341))&lt;$AK341,1,0)</f>
        <v>99</v>
      </c>
      <c r="P341" s="2" t="n">
        <f aca="false">AI341+IF(SUMPRODUCT(--($AL341:$AQ341&gt;AP341))+SUMPRODUCT(--($AL341:AO341=AP341))&lt;$AK341,1,0)</f>
        <v>99</v>
      </c>
      <c r="Q341" s="2" t="n">
        <f aca="false">AJ341+IF(SUMPRODUCT(--($AL341:$AQ341&gt;AQ341))+SUMPRODUCT(--($AL341:AP341=AQ341))&lt;$AK341,1,0)</f>
        <v>53</v>
      </c>
      <c r="R341" s="2" t="n">
        <f aca="false">SUM(L341:Q341)</f>
        <v>500</v>
      </c>
      <c r="S341" s="2" t="n">
        <f aca="false">Settings!$B$4*MAX(INDEX(Bases!$M$2:$M$53,B341),INDEX(Bases!$M$2:$M$53,C341))+Settings!$B$5*MIN(INDEX(Bases!$M$2:$M$53,B341),INDEX(Bases!$M$2:$M$53,C341))</f>
        <v>73.6666666666667</v>
      </c>
      <c r="T341" s="2" t="n">
        <f aca="false">Settings!$B$4*MAX(INDEX(Bases!$N$2:$N$53,B341),INDEX(Bases!$N$2:$N$53,C341))+Settings!$B$5*MIN(INDEX(Bases!$N$2:$N$53,B341),INDEX(Bases!$N$2:$N$53,C341))</f>
        <v>56</v>
      </c>
      <c r="U341" s="2" t="n">
        <f aca="false">Settings!$B$4*MAX(INDEX(Bases!$O$2:$O$53,B341),INDEX(Bases!$O$2:$O$53,C341))+Settings!$B$5*MIN(INDEX(Bases!$O$2:$O$53,B341),INDEX(Bases!$O$2:$O$53,C341))</f>
        <v>81</v>
      </c>
      <c r="V341" s="2" t="n">
        <f aca="false">Settings!$B$4*MAX(INDEX(Bases!$P$2:$P$53,B341),INDEX(Bases!$P$2:$P$53,C341))+Settings!$B$5*MIN(INDEX(Bases!$P$2:$P$53,B341),INDEX(Bases!$P$2:$P$53,C341))</f>
        <v>83</v>
      </c>
      <c r="W341" s="2" t="n">
        <f aca="false">Settings!$B$4*MAX(INDEX(Bases!$Q$2:$Q$53,B341),INDEX(Bases!$Q$2:$Q$53,C341))+Settings!$B$5*MIN(INDEX(Bases!$Q$2:$Q$53,B341),INDEX(Bases!$Q$2:$Q$53,C341))</f>
        <v>83.3333333333333</v>
      </c>
      <c r="X341" s="2" t="n">
        <f aca="false">Settings!$B$4*MAX(INDEX(Bases!$R$2:$R$53,B341),INDEX(Bases!$R$2:$R$53,C341))+Settings!$B$5*MIN(INDEX(Bases!$R$2:$R$53,B341),INDEX(Bases!$R$2:$R$53,C341))</f>
        <v>44.6666666666667</v>
      </c>
      <c r="Y341" s="2" t="n">
        <f aca="false">S341*Settings!$B$3/SUM(S341:X341)</f>
        <v>87.3517786561265</v>
      </c>
      <c r="Z341" s="2" t="n">
        <f aca="false">T341*Settings!$B$3/SUM(S341:X341)</f>
        <v>66.403162055336</v>
      </c>
      <c r="AA341" s="2" t="n">
        <f aca="false">U341*Settings!$B$3/SUM(S341:X341)</f>
        <v>96.0474308300395</v>
      </c>
      <c r="AB341" s="2" t="n">
        <f aca="false">V341*Settings!$B$3/SUM(S341:X341)</f>
        <v>98.4189723320158</v>
      </c>
      <c r="AC341" s="2" t="n">
        <f aca="false">W341*Settings!$B$3/SUM(S341:X341)</f>
        <v>98.8142292490119</v>
      </c>
      <c r="AD341" s="2" t="n">
        <f aca="false">X341*Settings!$B$3/SUM(S341:X341)</f>
        <v>52.9644268774704</v>
      </c>
      <c r="AE341" s="2" t="n">
        <f aca="false">INT(Y341)</f>
        <v>87</v>
      </c>
      <c r="AF341" s="2" t="n">
        <f aca="false">INT(Z341)</f>
        <v>66</v>
      </c>
      <c r="AG341" s="2" t="n">
        <f aca="false">INT(AA341)</f>
        <v>96</v>
      </c>
      <c r="AH341" s="2" t="n">
        <f aca="false">INT(AB341)</f>
        <v>98</v>
      </c>
      <c r="AI341" s="2" t="n">
        <f aca="false">INT(AC341)</f>
        <v>98</v>
      </c>
      <c r="AJ341" s="2" t="n">
        <f aca="false">INT(AD341)</f>
        <v>52</v>
      </c>
      <c r="AK341" s="2" t="n">
        <f aca="false">Settings!$B$3-SUM(AE341:AJ341)</f>
        <v>3</v>
      </c>
      <c r="AL341" s="2" t="n">
        <f aca="false">ROUND(Y341-AE341,9)</f>
        <v>0.351778656</v>
      </c>
      <c r="AM341" s="2" t="n">
        <f aca="false">ROUND(Z341-AF341,9)</f>
        <v>0.403162055</v>
      </c>
      <c r="AN341" s="2" t="n">
        <f aca="false">ROUND(AA341-AG341,9)</f>
        <v>0.04743083</v>
      </c>
      <c r="AO341" s="2" t="n">
        <f aca="false">ROUND(AB341-AH341,9)</f>
        <v>0.418972332</v>
      </c>
      <c r="AP341" s="2" t="n">
        <f aca="false">ROUND(AC341-AI341,9)</f>
        <v>0.814229249</v>
      </c>
      <c r="AQ341" s="2" t="n">
        <f aca="false">ROUND(AD341-AJ341,9)</f>
        <v>0.964426877</v>
      </c>
    </row>
    <row r="342" customFormat="false" ht="15" hidden="false" customHeight="false" outlineLevel="0" collapsed="false">
      <c r="A342" s="2" t="n">
        <v>341</v>
      </c>
      <c r="B342" s="6" t="n">
        <v>8</v>
      </c>
      <c r="C342" s="6" t="n">
        <v>13</v>
      </c>
      <c r="D342" s="8" t="str">
        <f aca="false">INDEX(Bases!$B$2:$B$53,B342)</f>
        <v>Corsola</v>
      </c>
      <c r="E342" s="8" t="str">
        <f aca="false">INDEX(Bases!$B$2:$B$53,C342)</f>
        <v>Bulbasaur</v>
      </c>
      <c r="F342" s="2" t="str">
        <f aca="false">LEFT(D342,ROUNDUP(LEN(D342)/2,0))&amp;LOWER(MID(E342,ROUNDUP(LEN(E342)/2,0)+1,20))</f>
        <v>Corssaur</v>
      </c>
      <c r="G342" s="8" t="str">
        <f aca="false">INDEX(Bases!$C$2:$C$53,B342)</f>
        <v>Water</v>
      </c>
      <c r="H342" s="8" t="str">
        <f aca="false">IF(INDEX(Bases!$C$2:$C$53,C342)=G342,"",INDEX(Bases!$C$2:$C$53,C342))</f>
        <v>Grass</v>
      </c>
      <c r="I342" s="8" t="str">
        <f aca="false">IF(INDEX(Bases!$E$2:$E$53,B342)="","",INDEX(Bases!$E$2:$E$53,B342))</f>
        <v/>
      </c>
      <c r="J342" s="8" t="str">
        <f aca="false">IF(INDEX(Bases!$E$2:$E$53,C342)="","",INDEX(Bases!$E$2:$E$53,C342))</f>
        <v/>
      </c>
      <c r="K342" s="5"/>
      <c r="L342" s="2" t="n">
        <f aca="false">AE342+IF(SUMPRODUCT(--($AL342:$AQ342&gt;AL342))&lt;$AK342,1,0)</f>
        <v>73</v>
      </c>
      <c r="M342" s="2" t="n">
        <f aca="false">AF342+IF(SUMPRODUCT(--($AL342:$AQ342&gt;AM342))+SUMPRODUCT(--($AL342:AL342=AM342))&lt;$AK342,1,0)</f>
        <v>71</v>
      </c>
      <c r="N342" s="2" t="n">
        <f aca="false">AG342+IF(SUMPRODUCT(--($AL342:$AQ342&gt;AN342))+SUMPRODUCT(--($AL342:AM342=AN342))&lt;$AK342,1,0)</f>
        <v>99</v>
      </c>
      <c r="O342" s="2" t="n">
        <f aca="false">AH342+IF(SUMPRODUCT(--($AL342:$AQ342&gt;AO342))+SUMPRODUCT(--($AL342:AN342=AO342))&lt;$AK342,1,0)</f>
        <v>91</v>
      </c>
      <c r="P342" s="2" t="n">
        <f aca="false">AI342+IF(SUMPRODUCT(--($AL342:$AQ342&gt;AP342))+SUMPRODUCT(--($AL342:AO342=AP342))&lt;$AK342,1,0)</f>
        <v>107</v>
      </c>
      <c r="Q342" s="2" t="n">
        <f aca="false">AJ342+IF(SUMPRODUCT(--($AL342:$AQ342&gt;AQ342))+SUMPRODUCT(--($AL342:AP342=AQ342))&lt;$AK342,1,0)</f>
        <v>59</v>
      </c>
      <c r="R342" s="2" t="n">
        <f aca="false">SUM(L342:Q342)</f>
        <v>500</v>
      </c>
      <c r="S342" s="2" t="n">
        <f aca="false">Settings!$B$4*MAX(INDEX(Bases!$M$2:$M$53,B342),INDEX(Bases!$M$2:$M$53,C342))+Settings!$B$5*MIN(INDEX(Bases!$M$2:$M$53,B342),INDEX(Bases!$M$2:$M$53,C342))</f>
        <v>60.6666666666667</v>
      </c>
      <c r="T342" s="2" t="n">
        <f aca="false">Settings!$B$4*MAX(INDEX(Bases!$N$2:$N$53,B342),INDEX(Bases!$N$2:$N$53,C342))+Settings!$B$5*MIN(INDEX(Bases!$N$2:$N$53,B342),INDEX(Bases!$N$2:$N$53,C342))</f>
        <v>59.3333333333333</v>
      </c>
      <c r="U342" s="2" t="n">
        <f aca="false">Settings!$B$4*MAX(INDEX(Bases!$O$2:$O$53,B342),INDEX(Bases!$O$2:$O$53,C342))+Settings!$B$5*MIN(INDEX(Bases!$O$2:$O$53,B342),INDEX(Bases!$O$2:$O$53,C342))</f>
        <v>82.6666666666667</v>
      </c>
      <c r="V342" s="2" t="n">
        <f aca="false">Settings!$B$4*MAX(INDEX(Bases!$P$2:$P$53,B342),INDEX(Bases!$P$2:$P$53,C342))+Settings!$B$5*MIN(INDEX(Bases!$P$2:$P$53,B342),INDEX(Bases!$P$2:$P$53,C342))</f>
        <v>75.6666666666667</v>
      </c>
      <c r="W342" s="2" t="n">
        <f aca="false">Settings!$B$4*MAX(INDEX(Bases!$Q$2:$Q$53,B342),INDEX(Bases!$Q$2:$Q$53,C342))+Settings!$B$5*MIN(INDEX(Bases!$Q$2:$Q$53,B342),INDEX(Bases!$Q$2:$Q$53,C342))</f>
        <v>89.3333333333333</v>
      </c>
      <c r="X342" s="2" t="n">
        <f aca="false">Settings!$B$4*MAX(INDEX(Bases!$R$2:$R$53,B342),INDEX(Bases!$R$2:$R$53,C342))+Settings!$B$5*MIN(INDEX(Bases!$R$2:$R$53,B342),INDEX(Bases!$R$2:$R$53,C342))</f>
        <v>48.6666666666667</v>
      </c>
      <c r="Y342" s="2" t="n">
        <f aca="false">S342*Settings!$B$3/SUM(S342:X342)</f>
        <v>72.8582866293034</v>
      </c>
      <c r="Z342" s="2" t="n">
        <f aca="false">T342*Settings!$B$3/SUM(S342:X342)</f>
        <v>71.2570056044836</v>
      </c>
      <c r="AA342" s="2" t="n">
        <f aca="false">U342*Settings!$B$3/SUM(S342:X342)</f>
        <v>99.2794235388311</v>
      </c>
      <c r="AB342" s="2" t="n">
        <f aca="false">V342*Settings!$B$3/SUM(S342:X342)</f>
        <v>90.8726981585268</v>
      </c>
      <c r="AC342" s="2" t="n">
        <f aca="false">W342*Settings!$B$3/SUM(S342:X342)</f>
        <v>107.28582866293</v>
      </c>
      <c r="AD342" s="2" t="n">
        <f aca="false">X342*Settings!$B$3/SUM(S342:X342)</f>
        <v>58.4467574059247</v>
      </c>
      <c r="AE342" s="2" t="n">
        <f aca="false">INT(Y342)</f>
        <v>72</v>
      </c>
      <c r="AF342" s="2" t="n">
        <f aca="false">INT(Z342)</f>
        <v>71</v>
      </c>
      <c r="AG342" s="2" t="n">
        <f aca="false">INT(AA342)</f>
        <v>99</v>
      </c>
      <c r="AH342" s="2" t="n">
        <f aca="false">INT(AB342)</f>
        <v>90</v>
      </c>
      <c r="AI342" s="2" t="n">
        <f aca="false">INT(AC342)</f>
        <v>107</v>
      </c>
      <c r="AJ342" s="2" t="n">
        <f aca="false">INT(AD342)</f>
        <v>58</v>
      </c>
      <c r="AK342" s="2" t="n">
        <f aca="false">Settings!$B$3-SUM(AE342:AJ342)</f>
        <v>3</v>
      </c>
      <c r="AL342" s="2" t="n">
        <f aca="false">ROUND(Y342-AE342,9)</f>
        <v>0.858286629</v>
      </c>
      <c r="AM342" s="2" t="n">
        <f aca="false">ROUND(Z342-AF342,9)</f>
        <v>0.257005604</v>
      </c>
      <c r="AN342" s="2" t="n">
        <f aca="false">ROUND(AA342-AG342,9)</f>
        <v>0.279423539</v>
      </c>
      <c r="AO342" s="2" t="n">
        <f aca="false">ROUND(AB342-AH342,9)</f>
        <v>0.872698159</v>
      </c>
      <c r="AP342" s="2" t="n">
        <f aca="false">ROUND(AC342-AI342,9)</f>
        <v>0.285828663</v>
      </c>
      <c r="AQ342" s="2" t="n">
        <f aca="false">ROUND(AD342-AJ342,9)</f>
        <v>0.446757406</v>
      </c>
    </row>
    <row r="343" customFormat="false" ht="15" hidden="false" customHeight="false" outlineLevel="0" collapsed="false">
      <c r="A343" s="2" t="n">
        <v>342</v>
      </c>
      <c r="B343" s="6" t="n">
        <v>8</v>
      </c>
      <c r="C343" s="6" t="n">
        <v>14</v>
      </c>
      <c r="D343" s="8" t="str">
        <f aca="false">INDEX(Bases!$B$2:$B$53,B343)</f>
        <v>Corsola</v>
      </c>
      <c r="E343" s="8" t="str">
        <f aca="false">INDEX(Bases!$B$2:$B$53,C343)</f>
        <v>Celebi</v>
      </c>
      <c r="F343" s="2" t="str">
        <f aca="false">LEFT(D343,ROUNDUP(LEN(D343)/2,0))&amp;LOWER(MID(E343,ROUNDUP(LEN(E343)/2,0)+1,20))</f>
        <v>Corsebi</v>
      </c>
      <c r="G343" s="8" t="str">
        <f aca="false">INDEX(Bases!$C$2:$C$53,B343)</f>
        <v>Water</v>
      </c>
      <c r="H343" s="8" t="str">
        <f aca="false">IF(INDEX(Bases!$C$2:$C$53,C343)=G343,"",INDEX(Bases!$C$2:$C$53,C343))</f>
        <v>Grass</v>
      </c>
      <c r="I343" s="8" t="str">
        <f aca="false">IF(INDEX(Bases!$E$2:$E$53,B343)="","",INDEX(Bases!$E$2:$E$53,B343))</f>
        <v/>
      </c>
      <c r="J343" s="8" t="str">
        <f aca="false">IF(INDEX(Bases!$E$2:$E$53,C343)="","",INDEX(Bases!$E$2:$E$53,C343))</f>
        <v/>
      </c>
      <c r="K343" s="5"/>
      <c r="L343" s="2" t="n">
        <f aca="false">AE343+IF(SUMPRODUCT(--($AL343:$AQ343&gt;AL343))&lt;$AK343,1,0)</f>
        <v>79</v>
      </c>
      <c r="M343" s="2" t="n">
        <f aca="false">AF343+IF(SUMPRODUCT(--($AL343:$AQ343&gt;AM343))+SUMPRODUCT(--($AL343:AL343=AM343))&lt;$AK343,1,0)</f>
        <v>75</v>
      </c>
      <c r="N343" s="2" t="n">
        <f aca="false">AG343+IF(SUMPRODUCT(--($AL343:$AQ343&gt;AN343))+SUMPRODUCT(--($AL343:AM343=AN343))&lt;$AK343,1,0)</f>
        <v>101</v>
      </c>
      <c r="O343" s="2" t="n">
        <f aca="false">AH343+IF(SUMPRODUCT(--($AL343:$AQ343&gt;AO343))+SUMPRODUCT(--($AL343:AN343=AO343))&lt;$AK343,1,0)</f>
        <v>79</v>
      </c>
      <c r="P343" s="2" t="n">
        <f aca="false">AI343+IF(SUMPRODUCT(--($AL343:$AQ343&gt;AP343))+SUMPRODUCT(--($AL343:AO343=AP343))&lt;$AK343,1,0)</f>
        <v>100</v>
      </c>
      <c r="Q343" s="2" t="n">
        <f aca="false">AJ343+IF(SUMPRODUCT(--($AL343:$AQ343&gt;AQ343))+SUMPRODUCT(--($AL343:AP343=AQ343))&lt;$AK343,1,0)</f>
        <v>66</v>
      </c>
      <c r="R343" s="2" t="n">
        <f aca="false">SUM(L343:Q343)</f>
        <v>500</v>
      </c>
      <c r="S343" s="2" t="n">
        <f aca="false">Settings!$B$4*MAX(INDEX(Bases!$M$2:$M$53,B343),INDEX(Bases!$M$2:$M$53,C343))+Settings!$B$5*MIN(INDEX(Bases!$M$2:$M$53,B343),INDEX(Bases!$M$2:$M$53,C343))</f>
        <v>65.6666666666667</v>
      </c>
      <c r="T343" s="2" t="n">
        <f aca="false">Settings!$B$4*MAX(INDEX(Bases!$N$2:$N$53,B343),INDEX(Bases!$N$2:$N$53,C343))+Settings!$B$5*MIN(INDEX(Bases!$N$2:$N$53,B343),INDEX(Bases!$N$2:$N$53,C343))</f>
        <v>62.6666666666667</v>
      </c>
      <c r="U343" s="2" t="n">
        <f aca="false">Settings!$B$4*MAX(INDEX(Bases!$O$2:$O$53,B343),INDEX(Bases!$O$2:$O$53,C343))+Settings!$B$5*MIN(INDEX(Bases!$O$2:$O$53,B343),INDEX(Bases!$O$2:$O$53,C343))</f>
        <v>84.3333333333333</v>
      </c>
      <c r="V343" s="2" t="n">
        <f aca="false">Settings!$B$4*MAX(INDEX(Bases!$P$2:$P$53,B343),INDEX(Bases!$P$2:$P$53,C343))+Settings!$B$5*MIN(INDEX(Bases!$P$2:$P$53,B343),INDEX(Bases!$P$2:$P$53,C343))</f>
        <v>65.6666666666667</v>
      </c>
      <c r="W343" s="2" t="n">
        <f aca="false">Settings!$B$4*MAX(INDEX(Bases!$Q$2:$Q$53,B343),INDEX(Bases!$Q$2:$Q$53,C343))+Settings!$B$5*MIN(INDEX(Bases!$Q$2:$Q$53,B343),INDEX(Bases!$Q$2:$Q$53,C343))</f>
        <v>84</v>
      </c>
      <c r="X343" s="2" t="n">
        <f aca="false">Settings!$B$4*MAX(INDEX(Bases!$R$2:$R$53,B343),INDEX(Bases!$R$2:$R$53,C343))+Settings!$B$5*MIN(INDEX(Bases!$R$2:$R$53,B343),INDEX(Bases!$R$2:$R$53,C343))</f>
        <v>55.3333333333333</v>
      </c>
      <c r="Y343" s="2" t="n">
        <f aca="false">S343*Settings!$B$3/SUM(S343:X343)</f>
        <v>78.6113328012769</v>
      </c>
      <c r="Z343" s="2" t="n">
        <f aca="false">T343*Settings!$B$3/SUM(S343:X343)</f>
        <v>75.0199521149242</v>
      </c>
      <c r="AA343" s="2" t="n">
        <f aca="false">U343*Settings!$B$3/SUM(S343:X343)</f>
        <v>100.957701516361</v>
      </c>
      <c r="AB343" s="2" t="n">
        <f aca="false">V343*Settings!$B$3/SUM(S343:X343)</f>
        <v>78.6113328012769</v>
      </c>
      <c r="AC343" s="2" t="n">
        <f aca="false">W343*Settings!$B$3/SUM(S343:X343)</f>
        <v>100.558659217877</v>
      </c>
      <c r="AD343" s="2" t="n">
        <f aca="false">X343*Settings!$B$3/SUM(S343:X343)</f>
        <v>66.2410215482841</v>
      </c>
      <c r="AE343" s="2" t="n">
        <f aca="false">INT(Y343)</f>
        <v>78</v>
      </c>
      <c r="AF343" s="2" t="n">
        <f aca="false">INT(Z343)</f>
        <v>75</v>
      </c>
      <c r="AG343" s="2" t="n">
        <f aca="false">INT(AA343)</f>
        <v>100</v>
      </c>
      <c r="AH343" s="2" t="n">
        <f aca="false">INT(AB343)</f>
        <v>78</v>
      </c>
      <c r="AI343" s="2" t="n">
        <f aca="false">INT(AC343)</f>
        <v>100</v>
      </c>
      <c r="AJ343" s="2" t="n">
        <f aca="false">INT(AD343)</f>
        <v>66</v>
      </c>
      <c r="AK343" s="2" t="n">
        <f aca="false">Settings!$B$3-SUM(AE343:AJ343)</f>
        <v>3</v>
      </c>
      <c r="AL343" s="2" t="n">
        <f aca="false">ROUND(Y343-AE343,9)</f>
        <v>0.611332801</v>
      </c>
      <c r="AM343" s="2" t="n">
        <f aca="false">ROUND(Z343-AF343,9)</f>
        <v>0.019952115</v>
      </c>
      <c r="AN343" s="2" t="n">
        <f aca="false">ROUND(AA343-AG343,9)</f>
        <v>0.957701516</v>
      </c>
      <c r="AO343" s="2" t="n">
        <f aca="false">ROUND(AB343-AH343,9)</f>
        <v>0.611332801</v>
      </c>
      <c r="AP343" s="2" t="n">
        <f aca="false">ROUND(AC343-AI343,9)</f>
        <v>0.558659218</v>
      </c>
      <c r="AQ343" s="2" t="n">
        <f aca="false">ROUND(AD343-AJ343,9)</f>
        <v>0.241021548</v>
      </c>
    </row>
    <row r="344" customFormat="false" ht="15" hidden="false" customHeight="false" outlineLevel="0" collapsed="false">
      <c r="A344" s="2" t="n">
        <v>343</v>
      </c>
      <c r="B344" s="6" t="n">
        <v>8</v>
      </c>
      <c r="C344" s="6" t="n">
        <v>15</v>
      </c>
      <c r="D344" s="8" t="str">
        <f aca="false">INDEX(Bases!$B$2:$B$53,B344)</f>
        <v>Corsola</v>
      </c>
      <c r="E344" s="8" t="str">
        <f aca="false">INDEX(Bases!$B$2:$B$53,C344)</f>
        <v>Shroomish</v>
      </c>
      <c r="F344" s="2" t="str">
        <f aca="false">LEFT(D344,ROUNDUP(LEN(D344)/2,0))&amp;LOWER(MID(E344,ROUNDUP(LEN(E344)/2,0)+1,20))</f>
        <v>Corsmish</v>
      </c>
      <c r="G344" s="8" t="str">
        <f aca="false">INDEX(Bases!$C$2:$C$53,B344)</f>
        <v>Water</v>
      </c>
      <c r="H344" s="8" t="str">
        <f aca="false">IF(INDEX(Bases!$C$2:$C$53,C344)=G344,"",INDEX(Bases!$C$2:$C$53,C344))</f>
        <v>Grass</v>
      </c>
      <c r="I344" s="8" t="str">
        <f aca="false">IF(INDEX(Bases!$E$2:$E$53,B344)="","",INDEX(Bases!$E$2:$E$53,B344))</f>
        <v/>
      </c>
      <c r="J344" s="8" t="str">
        <f aca="false">IF(INDEX(Bases!$E$2:$E$53,C344)="","",INDEX(Bases!$E$2:$E$53,C344))</f>
        <v/>
      </c>
      <c r="K344" s="5"/>
      <c r="L344" s="2" t="n">
        <f aca="false">AE344+IF(SUMPRODUCT(--($AL344:$AQ344&gt;AL344))&lt;$AK344,1,0)</f>
        <v>92</v>
      </c>
      <c r="M344" s="2" t="n">
        <f aca="false">AF344+IF(SUMPRODUCT(--($AL344:$AQ344&gt;AM344))+SUMPRODUCT(--($AL344:AL344=AM344))&lt;$AK344,1,0)</f>
        <v>66</v>
      </c>
      <c r="N344" s="2" t="n">
        <f aca="false">AG344+IF(SUMPRODUCT(--($AL344:$AQ344&gt;AN344))+SUMPRODUCT(--($AL344:AM344=AN344))&lt;$AK344,1,0)</f>
        <v>108</v>
      </c>
      <c r="O344" s="2" t="n">
        <f aca="false">AH344+IF(SUMPRODUCT(--($AL344:$AQ344&gt;AO344))+SUMPRODUCT(--($AL344:AN344=AO344))&lt;$AK344,1,0)</f>
        <v>73</v>
      </c>
      <c r="P344" s="2" t="n">
        <f aca="false">AI344+IF(SUMPRODUCT(--($AL344:$AQ344&gt;AP344))+SUMPRODUCT(--($AL344:AO344=AP344))&lt;$AK344,1,0)</f>
        <v>108</v>
      </c>
      <c r="Q344" s="2" t="n">
        <f aca="false">AJ344+IF(SUMPRODUCT(--($AL344:$AQ344&gt;AQ344))+SUMPRODUCT(--($AL344:AP344=AQ344))&lt;$AK344,1,0)</f>
        <v>53</v>
      </c>
      <c r="R344" s="2" t="n">
        <f aca="false">SUM(L344:Q344)</f>
        <v>500</v>
      </c>
      <c r="S344" s="2" t="n">
        <f aca="false">Settings!$B$4*MAX(INDEX(Bases!$M$2:$M$53,B344),INDEX(Bases!$M$2:$M$53,C344))+Settings!$B$5*MIN(INDEX(Bases!$M$2:$M$53,B344),INDEX(Bases!$M$2:$M$53,C344))</f>
        <v>75.6666666666667</v>
      </c>
      <c r="T344" s="2" t="n">
        <f aca="false">Settings!$B$4*MAX(INDEX(Bases!$N$2:$N$53,B344),INDEX(Bases!$N$2:$N$53,C344))+Settings!$B$5*MIN(INDEX(Bases!$N$2:$N$53,B344),INDEX(Bases!$N$2:$N$53,C344))</f>
        <v>54</v>
      </c>
      <c r="U344" s="2" t="n">
        <f aca="false">Settings!$B$4*MAX(INDEX(Bases!$O$2:$O$53,B344),INDEX(Bases!$O$2:$O$53,C344))+Settings!$B$5*MIN(INDEX(Bases!$O$2:$O$53,B344),INDEX(Bases!$O$2:$O$53,C344))</f>
        <v>89</v>
      </c>
      <c r="V344" s="2" t="n">
        <f aca="false">Settings!$B$4*MAX(INDEX(Bases!$P$2:$P$53,B344),INDEX(Bases!$P$2:$P$53,C344))+Settings!$B$5*MIN(INDEX(Bases!$P$2:$P$53,B344),INDEX(Bases!$P$2:$P$53,C344))</f>
        <v>60</v>
      </c>
      <c r="W344" s="2" t="n">
        <f aca="false">Settings!$B$4*MAX(INDEX(Bases!$Q$2:$Q$53,B344),INDEX(Bases!$Q$2:$Q$53,C344))+Settings!$B$5*MIN(INDEX(Bases!$Q$2:$Q$53,B344),INDEX(Bases!$Q$2:$Q$53,C344))</f>
        <v>89</v>
      </c>
      <c r="X344" s="2" t="n">
        <f aca="false">Settings!$B$4*MAX(INDEX(Bases!$R$2:$R$53,B344),INDEX(Bases!$R$2:$R$53,C344))+Settings!$B$5*MIN(INDEX(Bases!$R$2:$R$53,B344),INDEX(Bases!$R$2:$R$53,C344))</f>
        <v>43.3333333333333</v>
      </c>
      <c r="Y344" s="2" t="n">
        <f aca="false">S344*Settings!$B$3/SUM(S344:X344)</f>
        <v>92.0519059205191</v>
      </c>
      <c r="Z344" s="2" t="n">
        <f aca="false">T344*Settings!$B$3/SUM(S344:X344)</f>
        <v>65.6934306569343</v>
      </c>
      <c r="AA344" s="2" t="n">
        <f aca="false">U344*Settings!$B$3/SUM(S344:X344)</f>
        <v>108.272506082725</v>
      </c>
      <c r="AB344" s="2" t="n">
        <f aca="false">V344*Settings!$B$3/SUM(S344:X344)</f>
        <v>72.992700729927</v>
      </c>
      <c r="AC344" s="2" t="n">
        <f aca="false">W344*Settings!$B$3/SUM(S344:X344)</f>
        <v>108.272506082725</v>
      </c>
      <c r="AD344" s="2" t="n">
        <f aca="false">X344*Settings!$B$3/SUM(S344:X344)</f>
        <v>52.7169505271695</v>
      </c>
      <c r="AE344" s="2" t="n">
        <f aca="false">INT(Y344)</f>
        <v>92</v>
      </c>
      <c r="AF344" s="2" t="n">
        <f aca="false">INT(Z344)</f>
        <v>65</v>
      </c>
      <c r="AG344" s="2" t="n">
        <f aca="false">INT(AA344)</f>
        <v>108</v>
      </c>
      <c r="AH344" s="2" t="n">
        <f aca="false">INT(AB344)</f>
        <v>72</v>
      </c>
      <c r="AI344" s="2" t="n">
        <f aca="false">INT(AC344)</f>
        <v>108</v>
      </c>
      <c r="AJ344" s="2" t="n">
        <f aca="false">INT(AD344)</f>
        <v>52</v>
      </c>
      <c r="AK344" s="2" t="n">
        <f aca="false">Settings!$B$3-SUM(AE344:AJ344)</f>
        <v>3</v>
      </c>
      <c r="AL344" s="2" t="n">
        <f aca="false">ROUND(Y344-AE344,9)</f>
        <v>0.051905921</v>
      </c>
      <c r="AM344" s="2" t="n">
        <f aca="false">ROUND(Z344-AF344,9)</f>
        <v>0.693430657</v>
      </c>
      <c r="AN344" s="2" t="n">
        <f aca="false">ROUND(AA344-AG344,9)</f>
        <v>0.272506083</v>
      </c>
      <c r="AO344" s="2" t="n">
        <f aca="false">ROUND(AB344-AH344,9)</f>
        <v>0.99270073</v>
      </c>
      <c r="AP344" s="2" t="n">
        <f aca="false">ROUND(AC344-AI344,9)</f>
        <v>0.272506083</v>
      </c>
      <c r="AQ344" s="2" t="n">
        <f aca="false">ROUND(AD344-AJ344,9)</f>
        <v>0.716950527</v>
      </c>
    </row>
    <row r="345" customFormat="false" ht="15" hidden="false" customHeight="false" outlineLevel="0" collapsed="false">
      <c r="A345" s="2" t="n">
        <v>344</v>
      </c>
      <c r="B345" s="6" t="n">
        <v>8</v>
      </c>
      <c r="C345" s="6" t="n">
        <v>16</v>
      </c>
      <c r="D345" s="8" t="str">
        <f aca="false">INDEX(Bases!$B$2:$B$53,B345)</f>
        <v>Corsola</v>
      </c>
      <c r="E345" s="8" t="str">
        <f aca="false">INDEX(Bases!$B$2:$B$53,C345)</f>
        <v>Swinub</v>
      </c>
      <c r="F345" s="2" t="str">
        <f aca="false">LEFT(D345,ROUNDUP(LEN(D345)/2,0))&amp;LOWER(MID(E345,ROUNDUP(LEN(E345)/2,0)+1,20))</f>
        <v>Corsnub</v>
      </c>
      <c r="G345" s="8" t="str">
        <f aca="false">INDEX(Bases!$C$2:$C$53,B345)</f>
        <v>Water</v>
      </c>
      <c r="H345" s="8" t="str">
        <f aca="false">IF(INDEX(Bases!$C$2:$C$53,C345)=G345,"",INDEX(Bases!$C$2:$C$53,C345))</f>
        <v>Ice</v>
      </c>
      <c r="I345" s="8" t="str">
        <f aca="false">IF(INDEX(Bases!$E$2:$E$53,B345)="","",INDEX(Bases!$E$2:$E$53,B345))</f>
        <v/>
      </c>
      <c r="J345" s="8" t="str">
        <f aca="false">IF(INDEX(Bases!$E$2:$E$53,C345)="","",INDEX(Bases!$E$2:$E$53,C345))</f>
        <v/>
      </c>
      <c r="K345" s="5"/>
      <c r="L345" s="2" t="n">
        <f aca="false">AE345+IF(SUMPRODUCT(--($AL345:$AQ345&gt;AL345))&lt;$AK345,1,0)</f>
        <v>87</v>
      </c>
      <c r="M345" s="2" t="n">
        <f aca="false">AF345+IF(SUMPRODUCT(--($AL345:$AQ345&gt;AM345))+SUMPRODUCT(--($AL345:AL345=AM345))&lt;$AK345,1,0)</f>
        <v>83</v>
      </c>
      <c r="N345" s="2" t="n">
        <f aca="false">AG345+IF(SUMPRODUCT(--($AL345:$AQ345&gt;AN345))+SUMPRODUCT(--($AL345:AM345=AN345))&lt;$AK345,1,0)</f>
        <v>97</v>
      </c>
      <c r="O345" s="2" t="n">
        <f aca="false">AH345+IF(SUMPRODUCT(--($AL345:$AQ345&gt;AO345))+SUMPRODUCT(--($AL345:AN345=AO345))&lt;$AK345,1,0)</f>
        <v>67</v>
      </c>
      <c r="P345" s="2" t="n">
        <f aca="false">AI345+IF(SUMPRODUCT(--($AL345:$AQ345&gt;AP345))+SUMPRODUCT(--($AL345:AO345=AP345))&lt;$AK345,1,0)</f>
        <v>91</v>
      </c>
      <c r="Q345" s="2" t="n">
        <f aca="false">AJ345+IF(SUMPRODUCT(--($AL345:$AQ345&gt;AQ345))+SUMPRODUCT(--($AL345:AP345=AQ345))&lt;$AK345,1,0)</f>
        <v>75</v>
      </c>
      <c r="R345" s="2" t="n">
        <f aca="false">SUM(L345:Q345)</f>
        <v>500</v>
      </c>
      <c r="S345" s="2" t="n">
        <f aca="false">Settings!$B$4*MAX(INDEX(Bases!$M$2:$M$53,B345),INDEX(Bases!$M$2:$M$53,C345))+Settings!$B$5*MIN(INDEX(Bases!$M$2:$M$53,B345),INDEX(Bases!$M$2:$M$53,C345))</f>
        <v>74.3333333333333</v>
      </c>
      <c r="T345" s="2" t="n">
        <f aca="false">Settings!$B$4*MAX(INDEX(Bases!$N$2:$N$53,B345),INDEX(Bases!$N$2:$N$53,C345))+Settings!$B$5*MIN(INDEX(Bases!$N$2:$N$53,B345),INDEX(Bases!$N$2:$N$53,C345))</f>
        <v>71.3333333333333</v>
      </c>
      <c r="U345" s="2" t="n">
        <f aca="false">Settings!$B$4*MAX(INDEX(Bases!$O$2:$O$53,B345),INDEX(Bases!$O$2:$O$53,C345))+Settings!$B$5*MIN(INDEX(Bases!$O$2:$O$53,B345),INDEX(Bases!$O$2:$O$53,C345))</f>
        <v>83.3333333333333</v>
      </c>
      <c r="V345" s="2" t="n">
        <f aca="false">Settings!$B$4*MAX(INDEX(Bases!$P$2:$P$53,B345),INDEX(Bases!$P$2:$P$53,C345))+Settings!$B$5*MIN(INDEX(Bases!$P$2:$P$53,B345),INDEX(Bases!$P$2:$P$53,C345))</f>
        <v>58</v>
      </c>
      <c r="W345" s="2" t="n">
        <f aca="false">Settings!$B$4*MAX(INDEX(Bases!$Q$2:$Q$53,B345),INDEX(Bases!$Q$2:$Q$53,C345))+Settings!$B$5*MIN(INDEX(Bases!$Q$2:$Q$53,B345),INDEX(Bases!$Q$2:$Q$53,C345))</f>
        <v>78</v>
      </c>
      <c r="X345" s="2" t="n">
        <f aca="false">Settings!$B$4*MAX(INDEX(Bases!$R$2:$R$53,B345),INDEX(Bases!$R$2:$R$53,C345))+Settings!$B$5*MIN(INDEX(Bases!$R$2:$R$53,B345),INDEX(Bases!$R$2:$R$53,C345))</f>
        <v>64.6666666666667</v>
      </c>
      <c r="Y345" s="2" t="n">
        <f aca="false">S345*Settings!$B$3/SUM(S345:X345)</f>
        <v>86.5011636927851</v>
      </c>
      <c r="Z345" s="2" t="n">
        <f aca="false">T345*Settings!$B$3/SUM(S345:X345)</f>
        <v>83.0100853374709</v>
      </c>
      <c r="AA345" s="2" t="n">
        <f aca="false">U345*Settings!$B$3/SUM(S345:X345)</f>
        <v>96.9743987587277</v>
      </c>
      <c r="AB345" s="2" t="n">
        <f aca="false">V345*Settings!$B$3/SUM(S345:X345)</f>
        <v>67.4941815360745</v>
      </c>
      <c r="AC345" s="2" t="n">
        <f aca="false">W345*Settings!$B$3/SUM(S345:X345)</f>
        <v>90.7680372381691</v>
      </c>
      <c r="AD345" s="2" t="n">
        <f aca="false">X345*Settings!$B$3/SUM(S345:X345)</f>
        <v>75.2521334367727</v>
      </c>
      <c r="AE345" s="2" t="n">
        <f aca="false">INT(Y345)</f>
        <v>86</v>
      </c>
      <c r="AF345" s="2" t="n">
        <f aca="false">INT(Z345)</f>
        <v>83</v>
      </c>
      <c r="AG345" s="2" t="n">
        <f aca="false">INT(AA345)</f>
        <v>96</v>
      </c>
      <c r="AH345" s="2" t="n">
        <f aca="false">INT(AB345)</f>
        <v>67</v>
      </c>
      <c r="AI345" s="2" t="n">
        <f aca="false">INT(AC345)</f>
        <v>90</v>
      </c>
      <c r="AJ345" s="2" t="n">
        <f aca="false">INT(AD345)</f>
        <v>75</v>
      </c>
      <c r="AK345" s="2" t="n">
        <f aca="false">Settings!$B$3-SUM(AE345:AJ345)</f>
        <v>3</v>
      </c>
      <c r="AL345" s="2" t="n">
        <f aca="false">ROUND(Y345-AE345,9)</f>
        <v>0.501163693</v>
      </c>
      <c r="AM345" s="2" t="n">
        <f aca="false">ROUND(Z345-AF345,9)</f>
        <v>0.010085337</v>
      </c>
      <c r="AN345" s="2" t="n">
        <f aca="false">ROUND(AA345-AG345,9)</f>
        <v>0.974398759</v>
      </c>
      <c r="AO345" s="2" t="n">
        <f aca="false">ROUND(AB345-AH345,9)</f>
        <v>0.494181536</v>
      </c>
      <c r="AP345" s="2" t="n">
        <f aca="false">ROUND(AC345-AI345,9)</f>
        <v>0.768037238</v>
      </c>
      <c r="AQ345" s="2" t="n">
        <f aca="false">ROUND(AD345-AJ345,9)</f>
        <v>0.252133437</v>
      </c>
    </row>
    <row r="346" customFormat="false" ht="15" hidden="false" customHeight="false" outlineLevel="0" collapsed="false">
      <c r="A346" s="2" t="n">
        <v>345</v>
      </c>
      <c r="B346" s="6" t="n">
        <v>8</v>
      </c>
      <c r="C346" s="6" t="n">
        <v>17</v>
      </c>
      <c r="D346" s="8" t="str">
        <f aca="false">INDEX(Bases!$B$2:$B$53,B346)</f>
        <v>Corsola</v>
      </c>
      <c r="E346" s="8" t="str">
        <f aca="false">INDEX(Bases!$B$2:$B$53,C346)</f>
        <v>Snorunt</v>
      </c>
      <c r="F346" s="2" t="str">
        <f aca="false">LEFT(D346,ROUNDUP(LEN(D346)/2,0))&amp;LOWER(MID(E346,ROUNDUP(LEN(E346)/2,0)+1,20))</f>
        <v>Corsunt</v>
      </c>
      <c r="G346" s="8" t="str">
        <f aca="false">INDEX(Bases!$C$2:$C$53,B346)</f>
        <v>Water</v>
      </c>
      <c r="H346" s="8" t="str">
        <f aca="false">IF(INDEX(Bases!$C$2:$C$53,C346)=G346,"",INDEX(Bases!$C$2:$C$53,C346))</f>
        <v>Ice</v>
      </c>
      <c r="I346" s="8" t="str">
        <f aca="false">IF(INDEX(Bases!$E$2:$E$53,B346)="","",INDEX(Bases!$E$2:$E$53,B346))</f>
        <v/>
      </c>
      <c r="J346" s="8" t="str">
        <f aca="false">IF(INDEX(Bases!$E$2:$E$53,C346)="","",INDEX(Bases!$E$2:$E$53,C346))</f>
        <v/>
      </c>
      <c r="K346" s="5"/>
      <c r="L346" s="2" t="n">
        <f aca="false">AE346+IF(SUMPRODUCT(--($AL346:$AQ346&gt;AL346))&lt;$AK346,1,0)</f>
        <v>79</v>
      </c>
      <c r="M346" s="2" t="n">
        <f aca="false">AF346+IF(SUMPRODUCT(--($AL346:$AQ346&gt;AM346))+SUMPRODUCT(--($AL346:AL346=AM346))&lt;$AK346,1,0)</f>
        <v>75</v>
      </c>
      <c r="N346" s="2" t="n">
        <f aca="false">AG346+IF(SUMPRODUCT(--($AL346:$AQ346&gt;AN346))+SUMPRODUCT(--($AL346:AM346=AN346))&lt;$AK346,1,0)</f>
        <v>101</v>
      </c>
      <c r="O346" s="2" t="n">
        <f aca="false">AH346+IF(SUMPRODUCT(--($AL346:$AQ346&gt;AO346))+SUMPRODUCT(--($AL346:AN346=AO346))&lt;$AK346,1,0)</f>
        <v>79</v>
      </c>
      <c r="P346" s="2" t="n">
        <f aca="false">AI346+IF(SUMPRODUCT(--($AL346:$AQ346&gt;AP346))+SUMPRODUCT(--($AL346:AO346=AP346))&lt;$AK346,1,0)</f>
        <v>100</v>
      </c>
      <c r="Q346" s="2" t="n">
        <f aca="false">AJ346+IF(SUMPRODUCT(--($AL346:$AQ346&gt;AQ346))+SUMPRODUCT(--($AL346:AP346=AQ346))&lt;$AK346,1,0)</f>
        <v>66</v>
      </c>
      <c r="R346" s="2" t="n">
        <f aca="false">SUM(L346:Q346)</f>
        <v>500</v>
      </c>
      <c r="S346" s="2" t="n">
        <f aca="false">Settings!$B$4*MAX(INDEX(Bases!$M$2:$M$53,B346),INDEX(Bases!$M$2:$M$53,C346))+Settings!$B$5*MIN(INDEX(Bases!$M$2:$M$53,B346),INDEX(Bases!$M$2:$M$53,C346))</f>
        <v>65.6666666666667</v>
      </c>
      <c r="T346" s="2" t="n">
        <f aca="false">Settings!$B$4*MAX(INDEX(Bases!$N$2:$N$53,B346),INDEX(Bases!$N$2:$N$53,C346))+Settings!$B$5*MIN(INDEX(Bases!$N$2:$N$53,B346),INDEX(Bases!$N$2:$N$53,C346))</f>
        <v>62.6666666666667</v>
      </c>
      <c r="U346" s="2" t="n">
        <f aca="false">Settings!$B$4*MAX(INDEX(Bases!$O$2:$O$53,B346),INDEX(Bases!$O$2:$O$53,C346))+Settings!$B$5*MIN(INDEX(Bases!$O$2:$O$53,B346),INDEX(Bases!$O$2:$O$53,C346))</f>
        <v>84.3333333333333</v>
      </c>
      <c r="V346" s="2" t="n">
        <f aca="false">Settings!$B$4*MAX(INDEX(Bases!$P$2:$P$53,B346),INDEX(Bases!$P$2:$P$53,C346))+Settings!$B$5*MIN(INDEX(Bases!$P$2:$P$53,B346),INDEX(Bases!$P$2:$P$53,C346))</f>
        <v>65.6666666666667</v>
      </c>
      <c r="W346" s="2" t="n">
        <f aca="false">Settings!$B$4*MAX(INDEX(Bases!$Q$2:$Q$53,B346),INDEX(Bases!$Q$2:$Q$53,C346))+Settings!$B$5*MIN(INDEX(Bases!$Q$2:$Q$53,B346),INDEX(Bases!$Q$2:$Q$53,C346))</f>
        <v>84</v>
      </c>
      <c r="X346" s="2" t="n">
        <f aca="false">Settings!$B$4*MAX(INDEX(Bases!$R$2:$R$53,B346),INDEX(Bases!$R$2:$R$53,C346))+Settings!$B$5*MIN(INDEX(Bases!$R$2:$R$53,B346),INDEX(Bases!$R$2:$R$53,C346))</f>
        <v>55.3333333333333</v>
      </c>
      <c r="Y346" s="2" t="n">
        <f aca="false">S346*Settings!$B$3/SUM(S346:X346)</f>
        <v>78.6113328012769</v>
      </c>
      <c r="Z346" s="2" t="n">
        <f aca="false">T346*Settings!$B$3/SUM(S346:X346)</f>
        <v>75.0199521149242</v>
      </c>
      <c r="AA346" s="2" t="n">
        <f aca="false">U346*Settings!$B$3/SUM(S346:X346)</f>
        <v>100.957701516361</v>
      </c>
      <c r="AB346" s="2" t="n">
        <f aca="false">V346*Settings!$B$3/SUM(S346:X346)</f>
        <v>78.6113328012769</v>
      </c>
      <c r="AC346" s="2" t="n">
        <f aca="false">W346*Settings!$B$3/SUM(S346:X346)</f>
        <v>100.558659217877</v>
      </c>
      <c r="AD346" s="2" t="n">
        <f aca="false">X346*Settings!$B$3/SUM(S346:X346)</f>
        <v>66.2410215482841</v>
      </c>
      <c r="AE346" s="2" t="n">
        <f aca="false">INT(Y346)</f>
        <v>78</v>
      </c>
      <c r="AF346" s="2" t="n">
        <f aca="false">INT(Z346)</f>
        <v>75</v>
      </c>
      <c r="AG346" s="2" t="n">
        <f aca="false">INT(AA346)</f>
        <v>100</v>
      </c>
      <c r="AH346" s="2" t="n">
        <f aca="false">INT(AB346)</f>
        <v>78</v>
      </c>
      <c r="AI346" s="2" t="n">
        <f aca="false">INT(AC346)</f>
        <v>100</v>
      </c>
      <c r="AJ346" s="2" t="n">
        <f aca="false">INT(AD346)</f>
        <v>66</v>
      </c>
      <c r="AK346" s="2" t="n">
        <f aca="false">Settings!$B$3-SUM(AE346:AJ346)</f>
        <v>3</v>
      </c>
      <c r="AL346" s="2" t="n">
        <f aca="false">ROUND(Y346-AE346,9)</f>
        <v>0.611332801</v>
      </c>
      <c r="AM346" s="2" t="n">
        <f aca="false">ROUND(Z346-AF346,9)</f>
        <v>0.019952115</v>
      </c>
      <c r="AN346" s="2" t="n">
        <f aca="false">ROUND(AA346-AG346,9)</f>
        <v>0.957701516</v>
      </c>
      <c r="AO346" s="2" t="n">
        <f aca="false">ROUND(AB346-AH346,9)</f>
        <v>0.611332801</v>
      </c>
      <c r="AP346" s="2" t="n">
        <f aca="false">ROUND(AC346-AI346,9)</f>
        <v>0.558659218</v>
      </c>
      <c r="AQ346" s="2" t="n">
        <f aca="false">ROUND(AD346-AJ346,9)</f>
        <v>0.241021548</v>
      </c>
    </row>
    <row r="347" customFormat="false" ht="15" hidden="false" customHeight="false" outlineLevel="0" collapsed="false">
      <c r="A347" s="2" t="n">
        <v>346</v>
      </c>
      <c r="B347" s="6" t="n">
        <v>8</v>
      </c>
      <c r="C347" s="6" t="n">
        <v>18</v>
      </c>
      <c r="D347" s="8" t="str">
        <f aca="false">INDEX(Bases!$B$2:$B$53,B347)</f>
        <v>Corsola</v>
      </c>
      <c r="E347" s="8" t="str">
        <f aca="false">INDEX(Bases!$B$2:$B$53,C347)</f>
        <v>Spheal</v>
      </c>
      <c r="F347" s="2" t="str">
        <f aca="false">LEFT(D347,ROUNDUP(LEN(D347)/2,0))&amp;LOWER(MID(E347,ROUNDUP(LEN(E347)/2,0)+1,20))</f>
        <v>Corseal</v>
      </c>
      <c r="G347" s="8" t="str">
        <f aca="false">INDEX(Bases!$C$2:$C$53,B347)</f>
        <v>Water</v>
      </c>
      <c r="H347" s="8" t="str">
        <f aca="false">IF(INDEX(Bases!$C$2:$C$53,C347)=G347,"",INDEX(Bases!$C$2:$C$53,C347))</f>
        <v>Ice</v>
      </c>
      <c r="I347" s="8" t="str">
        <f aca="false">IF(INDEX(Bases!$E$2:$E$53,B347)="","",INDEX(Bases!$E$2:$E$53,B347))</f>
        <v/>
      </c>
      <c r="J347" s="8" t="str">
        <f aca="false">IF(INDEX(Bases!$E$2:$E$53,C347)="","",INDEX(Bases!$E$2:$E$53,C347))</f>
        <v/>
      </c>
      <c r="K347" s="5"/>
      <c r="L347" s="2" t="n">
        <f aca="false">AE347+IF(SUMPRODUCT(--($AL347:$AQ347&gt;AL347))&lt;$AK347,1,0)</f>
        <v>103</v>
      </c>
      <c r="M347" s="2" t="n">
        <f aca="false">AF347+IF(SUMPRODUCT(--($AL347:$AQ347&gt;AM347))+SUMPRODUCT(--($AL347:AL347=AM347))&lt;$AK347,1,0)</f>
        <v>66</v>
      </c>
      <c r="N347" s="2" t="n">
        <f aca="false">AG347+IF(SUMPRODUCT(--($AL347:$AQ347&gt;AN347))+SUMPRODUCT(--($AL347:AM347=AN347))&lt;$AK347,1,0)</f>
        <v>102</v>
      </c>
      <c r="O347" s="2" t="n">
        <f aca="false">AH347+IF(SUMPRODUCT(--($AL347:$AQ347&gt;AO347))+SUMPRODUCT(--($AL347:AN347=AO347))&lt;$AK347,1,0)</f>
        <v>86</v>
      </c>
      <c r="P347" s="2" t="n">
        <f aca="false">AI347+IF(SUMPRODUCT(--($AL347:$AQ347&gt;AP347))+SUMPRODUCT(--($AL347:AO347=AP347))&lt;$AK347,1,0)</f>
        <v>102</v>
      </c>
      <c r="Q347" s="2" t="n">
        <f aca="false">AJ347+IF(SUMPRODUCT(--($AL347:$AQ347&gt;AQ347))+SUMPRODUCT(--($AL347:AP347=AQ347))&lt;$AK347,1,0)</f>
        <v>41</v>
      </c>
      <c r="R347" s="2" t="n">
        <f aca="false">SUM(L347:Q347)</f>
        <v>500</v>
      </c>
      <c r="S347" s="2" t="n">
        <f aca="false">Settings!$B$4*MAX(INDEX(Bases!$M$2:$M$53,B347),INDEX(Bases!$M$2:$M$53,C347))+Settings!$B$5*MIN(INDEX(Bases!$M$2:$M$53,B347),INDEX(Bases!$M$2:$M$53,C347))</f>
        <v>85.6666666666667</v>
      </c>
      <c r="T347" s="2" t="n">
        <f aca="false">Settings!$B$4*MAX(INDEX(Bases!$N$2:$N$53,B347),INDEX(Bases!$N$2:$N$53,C347))+Settings!$B$5*MIN(INDEX(Bases!$N$2:$N$53,B347),INDEX(Bases!$N$2:$N$53,C347))</f>
        <v>54.6666666666667</v>
      </c>
      <c r="U347" s="2" t="n">
        <f aca="false">Settings!$B$4*MAX(INDEX(Bases!$O$2:$O$53,B347),INDEX(Bases!$O$2:$O$53,C347))+Settings!$B$5*MIN(INDEX(Bases!$O$2:$O$53,B347),INDEX(Bases!$O$2:$O$53,C347))</f>
        <v>85</v>
      </c>
      <c r="V347" s="2" t="n">
        <f aca="false">Settings!$B$4*MAX(INDEX(Bases!$P$2:$P$53,B347),INDEX(Bases!$P$2:$P$53,C347))+Settings!$B$5*MIN(INDEX(Bases!$P$2:$P$53,B347),INDEX(Bases!$P$2:$P$53,C347))</f>
        <v>71.6666666666667</v>
      </c>
      <c r="W347" s="2" t="n">
        <f aca="false">Settings!$B$4*MAX(INDEX(Bases!$Q$2:$Q$53,B347),INDEX(Bases!$Q$2:$Q$53,C347))+Settings!$B$5*MIN(INDEX(Bases!$Q$2:$Q$53,B347),INDEX(Bases!$Q$2:$Q$53,C347))</f>
        <v>85</v>
      </c>
      <c r="X347" s="2" t="n">
        <f aca="false">Settings!$B$4*MAX(INDEX(Bases!$R$2:$R$53,B347),INDEX(Bases!$R$2:$R$53,C347))+Settings!$B$5*MIN(INDEX(Bases!$R$2:$R$53,B347),INDEX(Bases!$R$2:$R$53,C347))</f>
        <v>34</v>
      </c>
      <c r="Y347" s="2" t="n">
        <f aca="false">S347*Settings!$B$3/SUM(S347:X347)</f>
        <v>102.964743589744</v>
      </c>
      <c r="Z347" s="2" t="n">
        <f aca="false">T347*Settings!$B$3/SUM(S347:X347)</f>
        <v>65.7051282051282</v>
      </c>
      <c r="AA347" s="2" t="n">
        <f aca="false">U347*Settings!$B$3/SUM(S347:X347)</f>
        <v>102.163461538462</v>
      </c>
      <c r="AB347" s="2" t="n">
        <f aca="false">V347*Settings!$B$3/SUM(S347:X347)</f>
        <v>86.1378205128205</v>
      </c>
      <c r="AC347" s="2" t="n">
        <f aca="false">W347*Settings!$B$3/SUM(S347:X347)</f>
        <v>102.163461538462</v>
      </c>
      <c r="AD347" s="2" t="n">
        <f aca="false">X347*Settings!$B$3/SUM(S347:X347)</f>
        <v>40.8653846153846</v>
      </c>
      <c r="AE347" s="2" t="n">
        <f aca="false">INT(Y347)</f>
        <v>102</v>
      </c>
      <c r="AF347" s="2" t="n">
        <f aca="false">INT(Z347)</f>
        <v>65</v>
      </c>
      <c r="AG347" s="2" t="n">
        <f aca="false">INT(AA347)</f>
        <v>102</v>
      </c>
      <c r="AH347" s="2" t="n">
        <f aca="false">INT(AB347)</f>
        <v>86</v>
      </c>
      <c r="AI347" s="2" t="n">
        <f aca="false">INT(AC347)</f>
        <v>102</v>
      </c>
      <c r="AJ347" s="2" t="n">
        <f aca="false">INT(AD347)</f>
        <v>40</v>
      </c>
      <c r="AK347" s="2" t="n">
        <f aca="false">Settings!$B$3-SUM(AE347:AJ347)</f>
        <v>3</v>
      </c>
      <c r="AL347" s="2" t="n">
        <f aca="false">ROUND(Y347-AE347,9)</f>
        <v>0.96474359</v>
      </c>
      <c r="AM347" s="2" t="n">
        <f aca="false">ROUND(Z347-AF347,9)</f>
        <v>0.705128205</v>
      </c>
      <c r="AN347" s="2" t="n">
        <f aca="false">ROUND(AA347-AG347,9)</f>
        <v>0.163461538</v>
      </c>
      <c r="AO347" s="2" t="n">
        <f aca="false">ROUND(AB347-AH347,9)</f>
        <v>0.137820513</v>
      </c>
      <c r="AP347" s="2" t="n">
        <f aca="false">ROUND(AC347-AI347,9)</f>
        <v>0.163461538</v>
      </c>
      <c r="AQ347" s="2" t="n">
        <f aca="false">ROUND(AD347-AJ347,9)</f>
        <v>0.865384615</v>
      </c>
    </row>
    <row r="348" customFormat="false" ht="15" hidden="false" customHeight="false" outlineLevel="0" collapsed="false">
      <c r="A348" s="2" t="n">
        <v>347</v>
      </c>
      <c r="B348" s="6" t="n">
        <v>8</v>
      </c>
      <c r="C348" s="6" t="n">
        <v>19</v>
      </c>
      <c r="D348" s="8" t="str">
        <f aca="false">INDEX(Bases!$B$2:$B$53,B348)</f>
        <v>Corsola</v>
      </c>
      <c r="E348" s="8" t="str">
        <f aca="false">INDEX(Bases!$B$2:$B$53,C348)</f>
        <v>Mankey</v>
      </c>
      <c r="F348" s="2" t="str">
        <f aca="false">LEFT(D348,ROUNDUP(LEN(D348)/2,0))&amp;LOWER(MID(E348,ROUNDUP(LEN(E348)/2,0)+1,20))</f>
        <v>Corskey</v>
      </c>
      <c r="G348" s="8" t="str">
        <f aca="false">INDEX(Bases!$C$2:$C$53,B348)</f>
        <v>Water</v>
      </c>
      <c r="H348" s="8" t="str">
        <f aca="false">IF(INDEX(Bases!$C$2:$C$53,C348)=G348,"",INDEX(Bases!$C$2:$C$53,C348))</f>
        <v>Fighting</v>
      </c>
      <c r="I348" s="8" t="str">
        <f aca="false">IF(INDEX(Bases!$E$2:$E$53,B348)="","",INDEX(Bases!$E$2:$E$53,B348))</f>
        <v/>
      </c>
      <c r="J348" s="8" t="str">
        <f aca="false">IF(INDEX(Bases!$E$2:$E$53,C348)="","",INDEX(Bases!$E$2:$E$53,C348))</f>
        <v/>
      </c>
      <c r="K348" s="5"/>
      <c r="L348" s="2" t="n">
        <f aca="false">AE348+IF(SUMPRODUCT(--($AL348:$AQ348&gt;AL348))&lt;$AK348,1,0)</f>
        <v>68</v>
      </c>
      <c r="M348" s="2" t="n">
        <f aca="false">AF348+IF(SUMPRODUCT(--($AL348:$AQ348&gt;AM348))+SUMPRODUCT(--($AL348:AL348=AM348))&lt;$AK348,1,0)</f>
        <v>101</v>
      </c>
      <c r="N348" s="2" t="n">
        <f aca="false">AG348+IF(SUMPRODUCT(--($AL348:$AQ348&gt;AN348))+SUMPRODUCT(--($AL348:AM348=AN348))&lt;$AK348,1,0)</f>
        <v>89</v>
      </c>
      <c r="O348" s="2" t="n">
        <f aca="false">AH348+IF(SUMPRODUCT(--($AL348:$AQ348&gt;AO348))+SUMPRODUCT(--($AL348:AN348=AO348))&lt;$AK348,1,0)</f>
        <v>66</v>
      </c>
      <c r="P348" s="2" t="n">
        <f aca="false">AI348+IF(SUMPRODUCT(--($AL348:$AQ348&gt;AP348))+SUMPRODUCT(--($AL348:AO348=AP348))&lt;$AK348,1,0)</f>
        <v>93</v>
      </c>
      <c r="Q348" s="2" t="n">
        <f aca="false">AJ348+IF(SUMPRODUCT(--($AL348:$AQ348&gt;AQ348))+SUMPRODUCT(--($AL348:AP348=AQ348))&lt;$AK348,1,0)</f>
        <v>83</v>
      </c>
      <c r="R348" s="2" t="n">
        <f aca="false">SUM(L348:Q348)</f>
        <v>500</v>
      </c>
      <c r="S348" s="2" t="n">
        <f aca="false">Settings!$B$4*MAX(INDEX(Bases!$M$2:$M$53,B348),INDEX(Bases!$M$2:$M$53,C348))+Settings!$B$5*MIN(INDEX(Bases!$M$2:$M$53,B348),INDEX(Bases!$M$2:$M$53,C348))</f>
        <v>59.3333333333333</v>
      </c>
      <c r="T348" s="2" t="n">
        <f aca="false">Settings!$B$4*MAX(INDEX(Bases!$N$2:$N$53,B348),INDEX(Bases!$N$2:$N$53,C348))+Settings!$B$5*MIN(INDEX(Bases!$N$2:$N$53,B348),INDEX(Bases!$N$2:$N$53,C348))</f>
        <v>88</v>
      </c>
      <c r="U348" s="2" t="n">
        <f aca="false">Settings!$B$4*MAX(INDEX(Bases!$O$2:$O$53,B348),INDEX(Bases!$O$2:$O$53,C348))+Settings!$B$5*MIN(INDEX(Bases!$O$2:$O$53,B348),INDEX(Bases!$O$2:$O$53,C348))</f>
        <v>77.3333333333333</v>
      </c>
      <c r="V348" s="2" t="n">
        <f aca="false">Settings!$B$4*MAX(INDEX(Bases!$P$2:$P$53,B348),INDEX(Bases!$P$2:$P$53,C348))+Settings!$B$5*MIN(INDEX(Bases!$P$2:$P$53,B348),INDEX(Bases!$P$2:$P$53,C348))</f>
        <v>57.3333333333333</v>
      </c>
      <c r="W348" s="2" t="n">
        <f aca="false">Settings!$B$4*MAX(INDEX(Bases!$Q$2:$Q$53,B348),INDEX(Bases!$Q$2:$Q$53,C348))+Settings!$B$5*MIN(INDEX(Bases!$Q$2:$Q$53,B348),INDEX(Bases!$Q$2:$Q$53,C348))</f>
        <v>81.6666666666667</v>
      </c>
      <c r="X348" s="2" t="n">
        <f aca="false">Settings!$B$4*MAX(INDEX(Bases!$R$2:$R$53,B348),INDEX(Bases!$R$2:$R$53,C348))+Settings!$B$5*MIN(INDEX(Bases!$R$2:$R$53,B348),INDEX(Bases!$R$2:$R$53,C348))</f>
        <v>72.6666666666667</v>
      </c>
      <c r="Y348" s="2" t="n">
        <f aca="false">S348*Settings!$B$3/SUM(S348:X348)</f>
        <v>67.9908326967151</v>
      </c>
      <c r="Z348" s="2" t="n">
        <f aca="false">T348*Settings!$B$3/SUM(S348:X348)</f>
        <v>100.840336134454</v>
      </c>
      <c r="AA348" s="2" t="n">
        <f aca="false">U348*Settings!$B$3/SUM(S348:X348)</f>
        <v>88.6172650878533</v>
      </c>
      <c r="AB348" s="2" t="n">
        <f aca="false">V348*Settings!$B$3/SUM(S348:X348)</f>
        <v>65.6990068754775</v>
      </c>
      <c r="AC348" s="2" t="n">
        <f aca="false">W348*Settings!$B$3/SUM(S348:X348)</f>
        <v>93.5828877005348</v>
      </c>
      <c r="AD348" s="2" t="n">
        <f aca="false">X348*Settings!$B$3/SUM(S348:X348)</f>
        <v>83.2696715049656</v>
      </c>
      <c r="AE348" s="2" t="n">
        <f aca="false">INT(Y348)</f>
        <v>67</v>
      </c>
      <c r="AF348" s="2" t="n">
        <f aca="false">INT(Z348)</f>
        <v>100</v>
      </c>
      <c r="AG348" s="2" t="n">
        <f aca="false">INT(AA348)</f>
        <v>88</v>
      </c>
      <c r="AH348" s="2" t="n">
        <f aca="false">INT(AB348)</f>
        <v>65</v>
      </c>
      <c r="AI348" s="2" t="n">
        <f aca="false">INT(AC348)</f>
        <v>93</v>
      </c>
      <c r="AJ348" s="2" t="n">
        <f aca="false">INT(AD348)</f>
        <v>83</v>
      </c>
      <c r="AK348" s="2" t="n">
        <f aca="false">Settings!$B$3-SUM(AE348:AJ348)</f>
        <v>4</v>
      </c>
      <c r="AL348" s="2" t="n">
        <f aca="false">ROUND(Y348-AE348,9)</f>
        <v>0.990832697</v>
      </c>
      <c r="AM348" s="2" t="n">
        <f aca="false">ROUND(Z348-AF348,9)</f>
        <v>0.840336134</v>
      </c>
      <c r="AN348" s="2" t="n">
        <f aca="false">ROUND(AA348-AG348,9)</f>
        <v>0.617265088</v>
      </c>
      <c r="AO348" s="2" t="n">
        <f aca="false">ROUND(AB348-AH348,9)</f>
        <v>0.699006875</v>
      </c>
      <c r="AP348" s="2" t="n">
        <f aca="false">ROUND(AC348-AI348,9)</f>
        <v>0.582887701</v>
      </c>
      <c r="AQ348" s="2" t="n">
        <f aca="false">ROUND(AD348-AJ348,9)</f>
        <v>0.269671505</v>
      </c>
    </row>
    <row r="349" customFormat="false" ht="15" hidden="false" customHeight="false" outlineLevel="0" collapsed="false">
      <c r="A349" s="2" t="n">
        <v>348</v>
      </c>
      <c r="B349" s="6" t="n">
        <v>8</v>
      </c>
      <c r="C349" s="6" t="n">
        <v>20</v>
      </c>
      <c r="D349" s="8" t="str">
        <f aca="false">INDEX(Bases!$B$2:$B$53,B349)</f>
        <v>Corsola</v>
      </c>
      <c r="E349" s="8" t="str">
        <f aca="false">INDEX(Bases!$B$2:$B$53,C349)</f>
        <v>Tyrogue</v>
      </c>
      <c r="F349" s="2" t="str">
        <f aca="false">LEFT(D349,ROUNDUP(LEN(D349)/2,0))&amp;LOWER(MID(E349,ROUNDUP(LEN(E349)/2,0)+1,20))</f>
        <v>Corsgue</v>
      </c>
      <c r="G349" s="8" t="str">
        <f aca="false">INDEX(Bases!$C$2:$C$53,B349)</f>
        <v>Water</v>
      </c>
      <c r="H349" s="8" t="str">
        <f aca="false">IF(INDEX(Bases!$C$2:$C$53,C349)=G349,"",INDEX(Bases!$C$2:$C$53,C349))</f>
        <v>Fighting</v>
      </c>
      <c r="I349" s="8" t="str">
        <f aca="false">IF(INDEX(Bases!$E$2:$E$53,B349)="","",INDEX(Bases!$E$2:$E$53,B349))</f>
        <v/>
      </c>
      <c r="J349" s="8" t="str">
        <f aca="false">IF(INDEX(Bases!$E$2:$E$53,C349)="","",INDEX(Bases!$E$2:$E$53,C349))</f>
        <v/>
      </c>
      <c r="K349" s="5"/>
      <c r="L349" s="2" t="n">
        <f aca="false">AE349+IF(SUMPRODUCT(--($AL349:$AQ349&gt;AL349))&lt;$AK349,1,0)</f>
        <v>79</v>
      </c>
      <c r="M349" s="2" t="n">
        <f aca="false">AF349+IF(SUMPRODUCT(--($AL349:$AQ349&gt;AM349))+SUMPRODUCT(--($AL349:AL349=AM349))&lt;$AK349,1,0)</f>
        <v>75</v>
      </c>
      <c r="N349" s="2" t="n">
        <f aca="false">AG349+IF(SUMPRODUCT(--($AL349:$AQ349&gt;AN349))+SUMPRODUCT(--($AL349:AM349=AN349))&lt;$AK349,1,0)</f>
        <v>101</v>
      </c>
      <c r="O349" s="2" t="n">
        <f aca="false">AH349+IF(SUMPRODUCT(--($AL349:$AQ349&gt;AO349))+SUMPRODUCT(--($AL349:AN349=AO349))&lt;$AK349,1,0)</f>
        <v>79</v>
      </c>
      <c r="P349" s="2" t="n">
        <f aca="false">AI349+IF(SUMPRODUCT(--($AL349:$AQ349&gt;AP349))+SUMPRODUCT(--($AL349:AO349=AP349))&lt;$AK349,1,0)</f>
        <v>100</v>
      </c>
      <c r="Q349" s="2" t="n">
        <f aca="false">AJ349+IF(SUMPRODUCT(--($AL349:$AQ349&gt;AQ349))+SUMPRODUCT(--($AL349:AP349=AQ349))&lt;$AK349,1,0)</f>
        <v>66</v>
      </c>
      <c r="R349" s="2" t="n">
        <f aca="false">SUM(L349:Q349)</f>
        <v>500</v>
      </c>
      <c r="S349" s="2" t="n">
        <f aca="false">Settings!$B$4*MAX(INDEX(Bases!$M$2:$M$53,B349),INDEX(Bases!$M$2:$M$53,C349))+Settings!$B$5*MIN(INDEX(Bases!$M$2:$M$53,B349),INDEX(Bases!$M$2:$M$53,C349))</f>
        <v>65.6666666666667</v>
      </c>
      <c r="T349" s="2" t="n">
        <f aca="false">Settings!$B$4*MAX(INDEX(Bases!$N$2:$N$53,B349),INDEX(Bases!$N$2:$N$53,C349))+Settings!$B$5*MIN(INDEX(Bases!$N$2:$N$53,B349),INDEX(Bases!$N$2:$N$53,C349))</f>
        <v>62.6666666666667</v>
      </c>
      <c r="U349" s="2" t="n">
        <f aca="false">Settings!$B$4*MAX(INDEX(Bases!$O$2:$O$53,B349),INDEX(Bases!$O$2:$O$53,C349))+Settings!$B$5*MIN(INDEX(Bases!$O$2:$O$53,B349),INDEX(Bases!$O$2:$O$53,C349))</f>
        <v>84.3333333333333</v>
      </c>
      <c r="V349" s="2" t="n">
        <f aca="false">Settings!$B$4*MAX(INDEX(Bases!$P$2:$P$53,B349),INDEX(Bases!$P$2:$P$53,C349))+Settings!$B$5*MIN(INDEX(Bases!$P$2:$P$53,B349),INDEX(Bases!$P$2:$P$53,C349))</f>
        <v>65.6666666666667</v>
      </c>
      <c r="W349" s="2" t="n">
        <f aca="false">Settings!$B$4*MAX(INDEX(Bases!$Q$2:$Q$53,B349),INDEX(Bases!$Q$2:$Q$53,C349))+Settings!$B$5*MIN(INDEX(Bases!$Q$2:$Q$53,B349),INDEX(Bases!$Q$2:$Q$53,C349))</f>
        <v>84</v>
      </c>
      <c r="X349" s="2" t="n">
        <f aca="false">Settings!$B$4*MAX(INDEX(Bases!$R$2:$R$53,B349),INDEX(Bases!$R$2:$R$53,C349))+Settings!$B$5*MIN(INDEX(Bases!$R$2:$R$53,B349),INDEX(Bases!$R$2:$R$53,C349))</f>
        <v>55.3333333333333</v>
      </c>
      <c r="Y349" s="2" t="n">
        <f aca="false">S349*Settings!$B$3/SUM(S349:X349)</f>
        <v>78.6113328012769</v>
      </c>
      <c r="Z349" s="2" t="n">
        <f aca="false">T349*Settings!$B$3/SUM(S349:X349)</f>
        <v>75.0199521149242</v>
      </c>
      <c r="AA349" s="2" t="n">
        <f aca="false">U349*Settings!$B$3/SUM(S349:X349)</f>
        <v>100.957701516361</v>
      </c>
      <c r="AB349" s="2" t="n">
        <f aca="false">V349*Settings!$B$3/SUM(S349:X349)</f>
        <v>78.6113328012769</v>
      </c>
      <c r="AC349" s="2" t="n">
        <f aca="false">W349*Settings!$B$3/SUM(S349:X349)</f>
        <v>100.558659217877</v>
      </c>
      <c r="AD349" s="2" t="n">
        <f aca="false">X349*Settings!$B$3/SUM(S349:X349)</f>
        <v>66.2410215482841</v>
      </c>
      <c r="AE349" s="2" t="n">
        <f aca="false">INT(Y349)</f>
        <v>78</v>
      </c>
      <c r="AF349" s="2" t="n">
        <f aca="false">INT(Z349)</f>
        <v>75</v>
      </c>
      <c r="AG349" s="2" t="n">
        <f aca="false">INT(AA349)</f>
        <v>100</v>
      </c>
      <c r="AH349" s="2" t="n">
        <f aca="false">INT(AB349)</f>
        <v>78</v>
      </c>
      <c r="AI349" s="2" t="n">
        <f aca="false">INT(AC349)</f>
        <v>100</v>
      </c>
      <c r="AJ349" s="2" t="n">
        <f aca="false">INT(AD349)</f>
        <v>66</v>
      </c>
      <c r="AK349" s="2" t="n">
        <f aca="false">Settings!$B$3-SUM(AE349:AJ349)</f>
        <v>3</v>
      </c>
      <c r="AL349" s="2" t="n">
        <f aca="false">ROUND(Y349-AE349,9)</f>
        <v>0.611332801</v>
      </c>
      <c r="AM349" s="2" t="n">
        <f aca="false">ROUND(Z349-AF349,9)</f>
        <v>0.019952115</v>
      </c>
      <c r="AN349" s="2" t="n">
        <f aca="false">ROUND(AA349-AG349,9)</f>
        <v>0.957701516</v>
      </c>
      <c r="AO349" s="2" t="n">
        <f aca="false">ROUND(AB349-AH349,9)</f>
        <v>0.611332801</v>
      </c>
      <c r="AP349" s="2" t="n">
        <f aca="false">ROUND(AC349-AI349,9)</f>
        <v>0.558659218</v>
      </c>
      <c r="AQ349" s="2" t="n">
        <f aca="false">ROUND(AD349-AJ349,9)</f>
        <v>0.241021548</v>
      </c>
    </row>
    <row r="350" customFormat="false" ht="15" hidden="false" customHeight="false" outlineLevel="0" collapsed="false">
      <c r="A350" s="2" t="n">
        <v>349</v>
      </c>
      <c r="B350" s="6" t="n">
        <v>8</v>
      </c>
      <c r="C350" s="6" t="n">
        <v>21</v>
      </c>
      <c r="D350" s="8" t="str">
        <f aca="false">INDEX(Bases!$B$2:$B$53,B350)</f>
        <v>Corsola</v>
      </c>
      <c r="E350" s="8" t="str">
        <f aca="false">INDEX(Bases!$B$2:$B$53,C350)</f>
        <v>Makuhita</v>
      </c>
      <c r="F350" s="2" t="str">
        <f aca="false">LEFT(D350,ROUNDUP(LEN(D350)/2,0))&amp;LOWER(MID(E350,ROUNDUP(LEN(E350)/2,0)+1,20))</f>
        <v>Corshita</v>
      </c>
      <c r="G350" s="8" t="str">
        <f aca="false">INDEX(Bases!$C$2:$C$53,B350)</f>
        <v>Water</v>
      </c>
      <c r="H350" s="8" t="str">
        <f aca="false">IF(INDEX(Bases!$C$2:$C$53,C350)=G350,"",INDEX(Bases!$C$2:$C$53,C350))</f>
        <v>Fighting</v>
      </c>
      <c r="I350" s="8" t="str">
        <f aca="false">IF(INDEX(Bases!$E$2:$E$53,B350)="","",INDEX(Bases!$E$2:$E$53,B350))</f>
        <v/>
      </c>
      <c r="J350" s="8" t="str">
        <f aca="false">IF(INDEX(Bases!$E$2:$E$53,C350)="","",INDEX(Bases!$E$2:$E$53,C350))</f>
        <v/>
      </c>
      <c r="K350" s="5"/>
      <c r="L350" s="2" t="n">
        <f aca="false">AE350+IF(SUMPRODUCT(--($AL350:$AQ350&gt;AL350))&lt;$AK350,1,0)</f>
        <v>116</v>
      </c>
      <c r="M350" s="2" t="n">
        <f aca="false">AF350+IF(SUMPRODUCT(--($AL350:$AQ350&gt;AM350))+SUMPRODUCT(--($AL350:AL350=AM350))&lt;$AK350,1,0)</f>
        <v>98</v>
      </c>
      <c r="N350" s="2" t="n">
        <f aca="false">AG350+IF(SUMPRODUCT(--($AL350:$AQ350&gt;AN350))+SUMPRODUCT(--($AL350:AM350=AN350))&lt;$AK350,1,0)</f>
        <v>90</v>
      </c>
      <c r="O350" s="2" t="n">
        <f aca="false">AH350+IF(SUMPRODUCT(--($AL350:$AQ350&gt;AO350))+SUMPRODUCT(--($AL350:AN350=AO350))&lt;$AK350,1,0)</f>
        <v>61</v>
      </c>
      <c r="P350" s="2" t="n">
        <f aca="false">AI350+IF(SUMPRODUCT(--($AL350:$AQ350&gt;AP350))+SUMPRODUCT(--($AL350:AO350=AP350))&lt;$AK350,1,0)</f>
        <v>90</v>
      </c>
      <c r="Q350" s="2" t="n">
        <f aca="false">AJ350+IF(SUMPRODUCT(--($AL350:$AQ350&gt;AQ350))+SUMPRODUCT(--($AL350:AP350=AQ350))&lt;$AK350,1,0)</f>
        <v>45</v>
      </c>
      <c r="R350" s="2" t="n">
        <f aca="false">SUM(L350:Q350)</f>
        <v>500</v>
      </c>
      <c r="S350" s="2" t="n">
        <f aca="false">Settings!$B$4*MAX(INDEX(Bases!$M$2:$M$53,B350),INDEX(Bases!$M$2:$M$53,C350))+Settings!$B$5*MIN(INDEX(Bases!$M$2:$M$53,B350),INDEX(Bases!$M$2:$M$53,C350))</f>
        <v>101.666666666667</v>
      </c>
      <c r="T350" s="2" t="n">
        <f aca="false">Settings!$B$4*MAX(INDEX(Bases!$N$2:$N$53,B350),INDEX(Bases!$N$2:$N$53,C350))+Settings!$B$5*MIN(INDEX(Bases!$N$2:$N$53,B350),INDEX(Bases!$N$2:$N$53,C350))</f>
        <v>85.3333333333333</v>
      </c>
      <c r="U350" s="2" t="n">
        <f aca="false">Settings!$B$4*MAX(INDEX(Bases!$O$2:$O$53,B350),INDEX(Bases!$O$2:$O$53,C350))+Settings!$B$5*MIN(INDEX(Bases!$O$2:$O$53,B350),INDEX(Bases!$O$2:$O$53,C350))</f>
        <v>79</v>
      </c>
      <c r="V350" s="2" t="n">
        <f aca="false">Settings!$B$4*MAX(INDEX(Bases!$P$2:$P$53,B350),INDEX(Bases!$P$2:$P$53,C350))+Settings!$B$5*MIN(INDEX(Bases!$P$2:$P$53,B350),INDEX(Bases!$P$2:$P$53,C350))</f>
        <v>53.3333333333333</v>
      </c>
      <c r="W350" s="2" t="n">
        <f aca="false">Settings!$B$4*MAX(INDEX(Bases!$Q$2:$Q$53,B350),INDEX(Bases!$Q$2:$Q$53,C350))+Settings!$B$5*MIN(INDEX(Bases!$Q$2:$Q$53,B350),INDEX(Bases!$Q$2:$Q$53,C350))</f>
        <v>79</v>
      </c>
      <c r="X350" s="2" t="n">
        <f aca="false">Settings!$B$4*MAX(INDEX(Bases!$R$2:$R$53,B350),INDEX(Bases!$R$2:$R$53,C350))+Settings!$B$5*MIN(INDEX(Bases!$R$2:$R$53,B350),INDEX(Bases!$R$2:$R$53,C350))</f>
        <v>39.3333333333333</v>
      </c>
      <c r="Y350" s="2" t="n">
        <f aca="false">S350*Settings!$B$3/SUM(S350:X350)</f>
        <v>116.146230007616</v>
      </c>
      <c r="Z350" s="2" t="n">
        <f aca="false">T350*Settings!$B$3/SUM(S350:X350)</f>
        <v>97.4866717440975</v>
      </c>
      <c r="AA350" s="2" t="n">
        <f aca="false">U350*Settings!$B$3/SUM(S350:X350)</f>
        <v>90.2513328255903</v>
      </c>
      <c r="AB350" s="2" t="n">
        <f aca="false">V350*Settings!$B$3/SUM(S350:X350)</f>
        <v>60.9291698400609</v>
      </c>
      <c r="AC350" s="2" t="n">
        <f aca="false">W350*Settings!$B$3/SUM(S350:X350)</f>
        <v>90.2513328255903</v>
      </c>
      <c r="AD350" s="2" t="n">
        <f aca="false">X350*Settings!$B$3/SUM(S350:X350)</f>
        <v>44.9352627570449</v>
      </c>
      <c r="AE350" s="2" t="n">
        <f aca="false">INT(Y350)</f>
        <v>116</v>
      </c>
      <c r="AF350" s="2" t="n">
        <f aca="false">INT(Z350)</f>
        <v>97</v>
      </c>
      <c r="AG350" s="2" t="n">
        <f aca="false">INT(AA350)</f>
        <v>90</v>
      </c>
      <c r="AH350" s="2" t="n">
        <f aca="false">INT(AB350)</f>
        <v>60</v>
      </c>
      <c r="AI350" s="2" t="n">
        <f aca="false">INT(AC350)</f>
        <v>90</v>
      </c>
      <c r="AJ350" s="2" t="n">
        <f aca="false">INT(AD350)</f>
        <v>44</v>
      </c>
      <c r="AK350" s="2" t="n">
        <f aca="false">Settings!$B$3-SUM(AE350:AJ350)</f>
        <v>3</v>
      </c>
      <c r="AL350" s="2" t="n">
        <f aca="false">ROUND(Y350-AE350,9)</f>
        <v>0.146230008</v>
      </c>
      <c r="AM350" s="2" t="n">
        <f aca="false">ROUND(Z350-AF350,9)</f>
        <v>0.486671744</v>
      </c>
      <c r="AN350" s="2" t="n">
        <f aca="false">ROUND(AA350-AG350,9)</f>
        <v>0.251332826</v>
      </c>
      <c r="AO350" s="2" t="n">
        <f aca="false">ROUND(AB350-AH350,9)</f>
        <v>0.92916984</v>
      </c>
      <c r="AP350" s="2" t="n">
        <f aca="false">ROUND(AC350-AI350,9)</f>
        <v>0.251332826</v>
      </c>
      <c r="AQ350" s="2" t="n">
        <f aca="false">ROUND(AD350-AJ350,9)</f>
        <v>0.935262757</v>
      </c>
    </row>
    <row r="351" customFormat="false" ht="15" hidden="false" customHeight="false" outlineLevel="0" collapsed="false">
      <c r="A351" s="2" t="n">
        <v>350</v>
      </c>
      <c r="B351" s="6" t="n">
        <v>8</v>
      </c>
      <c r="C351" s="6" t="n">
        <v>22</v>
      </c>
      <c r="D351" s="8" t="str">
        <f aca="false">INDEX(Bases!$B$2:$B$53,B351)</f>
        <v>Corsola</v>
      </c>
      <c r="E351" s="8" t="str">
        <f aca="false">INDEX(Bases!$B$2:$B$53,C351)</f>
        <v>Ekans</v>
      </c>
      <c r="F351" s="2" t="str">
        <f aca="false">LEFT(D351,ROUNDUP(LEN(D351)/2,0))&amp;LOWER(MID(E351,ROUNDUP(LEN(E351)/2,0)+1,20))</f>
        <v>Corsns</v>
      </c>
      <c r="G351" s="8" t="str">
        <f aca="false">INDEX(Bases!$C$2:$C$53,B351)</f>
        <v>Water</v>
      </c>
      <c r="H351" s="8" t="str">
        <f aca="false">IF(INDEX(Bases!$C$2:$C$53,C351)=G351,"",INDEX(Bases!$C$2:$C$53,C351))</f>
        <v>Poison</v>
      </c>
      <c r="I351" s="8" t="str">
        <f aca="false">IF(INDEX(Bases!$E$2:$E$53,B351)="","",INDEX(Bases!$E$2:$E$53,B351))</f>
        <v/>
      </c>
      <c r="J351" s="8" t="str">
        <f aca="false">IF(INDEX(Bases!$E$2:$E$53,C351)="","",INDEX(Bases!$E$2:$E$53,C351))</f>
        <v/>
      </c>
      <c r="K351" s="5"/>
      <c r="L351" s="2" t="n">
        <f aca="false">AE351+IF(SUMPRODUCT(--($AL351:$AQ351&gt;AL351))&lt;$AK351,1,0)</f>
        <v>69</v>
      </c>
      <c r="M351" s="2" t="n">
        <f aca="false">AF351+IF(SUMPRODUCT(--($AL351:$AQ351&gt;AM351))+SUMPRODUCT(--($AL351:AL351=AM351))&lt;$AK351,1,0)</f>
        <v>86</v>
      </c>
      <c r="N351" s="2" t="n">
        <f aca="false">AG351+IF(SUMPRODUCT(--($AL351:$AQ351&gt;AN351))+SUMPRODUCT(--($AL351:AM351=AN351))&lt;$AK351,1,0)</f>
        <v>97</v>
      </c>
      <c r="O351" s="2" t="n">
        <f aca="false">AH351+IF(SUMPRODUCT(--($AL351:$AQ351&gt;AO351))+SUMPRODUCT(--($AL351:AN351=AO351))&lt;$AK351,1,0)</f>
        <v>72</v>
      </c>
      <c r="P351" s="2" t="n">
        <f aca="false">AI351+IF(SUMPRODUCT(--($AL351:$AQ351&gt;AP351))+SUMPRODUCT(--($AL351:AO351=AP351))&lt;$AK351,1,0)</f>
        <v>103</v>
      </c>
      <c r="Q351" s="2" t="n">
        <f aca="false">AJ351+IF(SUMPRODUCT(--($AL351:$AQ351&gt;AQ351))+SUMPRODUCT(--($AL351:AP351=AQ351))&lt;$AK351,1,0)</f>
        <v>73</v>
      </c>
      <c r="R351" s="2" t="n">
        <f aca="false">SUM(L351:Q351)</f>
        <v>500</v>
      </c>
      <c r="S351" s="2" t="n">
        <f aca="false">Settings!$B$4*MAX(INDEX(Bases!$M$2:$M$53,B351),INDEX(Bases!$M$2:$M$53,C351))+Settings!$B$5*MIN(INDEX(Bases!$M$2:$M$53,B351),INDEX(Bases!$M$2:$M$53,C351))</f>
        <v>58.3333333333333</v>
      </c>
      <c r="T351" s="2" t="n">
        <f aca="false">Settings!$B$4*MAX(INDEX(Bases!$N$2:$N$53,B351),INDEX(Bases!$N$2:$N$53,C351))+Settings!$B$5*MIN(INDEX(Bases!$N$2:$N$53,B351),INDEX(Bases!$N$2:$N$53,C351))</f>
        <v>73.3333333333333</v>
      </c>
      <c r="U351" s="2" t="n">
        <f aca="false">Settings!$B$4*MAX(INDEX(Bases!$O$2:$O$53,B351),INDEX(Bases!$O$2:$O$53,C351))+Settings!$B$5*MIN(INDEX(Bases!$O$2:$O$53,B351),INDEX(Bases!$O$2:$O$53,C351))</f>
        <v>82.3333333333333</v>
      </c>
      <c r="V351" s="2" t="n">
        <f aca="false">Settings!$B$4*MAX(INDEX(Bases!$P$2:$P$53,B351),INDEX(Bases!$P$2:$P$53,C351))+Settings!$B$5*MIN(INDEX(Bases!$P$2:$P$53,B351),INDEX(Bases!$P$2:$P$53,C351))</f>
        <v>60.6666666666667</v>
      </c>
      <c r="W351" s="2" t="n">
        <f aca="false">Settings!$B$4*MAX(INDEX(Bases!$Q$2:$Q$53,B351),INDEX(Bases!$Q$2:$Q$53,C351))+Settings!$B$5*MIN(INDEX(Bases!$Q$2:$Q$53,B351),INDEX(Bases!$Q$2:$Q$53,C351))</f>
        <v>87</v>
      </c>
      <c r="X351" s="2" t="n">
        <f aca="false">Settings!$B$4*MAX(INDEX(Bases!$R$2:$R$53,B351),INDEX(Bases!$R$2:$R$53,C351))+Settings!$B$5*MIN(INDEX(Bases!$R$2:$R$53,B351),INDEX(Bases!$R$2:$R$53,C351))</f>
        <v>62</v>
      </c>
      <c r="Y351" s="2" t="n">
        <f aca="false">S351*Settings!$B$3/SUM(S351:X351)</f>
        <v>68.8434303697876</v>
      </c>
      <c r="Z351" s="2" t="n">
        <f aca="false">T351*Settings!$B$3/SUM(S351:X351)</f>
        <v>86.5460267505901</v>
      </c>
      <c r="AA351" s="2" t="n">
        <f aca="false">U351*Settings!$B$3/SUM(S351:X351)</f>
        <v>97.1675845790716</v>
      </c>
      <c r="AB351" s="2" t="n">
        <f aca="false">V351*Settings!$B$3/SUM(S351:X351)</f>
        <v>71.5971675845791</v>
      </c>
      <c r="AC351" s="2" t="n">
        <f aca="false">W351*Settings!$B$3/SUM(S351:X351)</f>
        <v>102.675059008655</v>
      </c>
      <c r="AD351" s="2" t="n">
        <f aca="false">X351*Settings!$B$3/SUM(S351:X351)</f>
        <v>73.1707317073171</v>
      </c>
      <c r="AE351" s="2" t="n">
        <f aca="false">INT(Y351)</f>
        <v>68</v>
      </c>
      <c r="AF351" s="2" t="n">
        <f aca="false">INT(Z351)</f>
        <v>86</v>
      </c>
      <c r="AG351" s="2" t="n">
        <f aca="false">INT(AA351)</f>
        <v>97</v>
      </c>
      <c r="AH351" s="2" t="n">
        <f aca="false">INT(AB351)</f>
        <v>71</v>
      </c>
      <c r="AI351" s="2" t="n">
        <f aca="false">INT(AC351)</f>
        <v>102</v>
      </c>
      <c r="AJ351" s="2" t="n">
        <f aca="false">INT(AD351)</f>
        <v>73</v>
      </c>
      <c r="AK351" s="2" t="n">
        <f aca="false">Settings!$B$3-SUM(AE351:AJ351)</f>
        <v>3</v>
      </c>
      <c r="AL351" s="2" t="n">
        <f aca="false">ROUND(Y351-AE351,9)</f>
        <v>0.84343037</v>
      </c>
      <c r="AM351" s="2" t="n">
        <f aca="false">ROUND(Z351-AF351,9)</f>
        <v>0.546026751</v>
      </c>
      <c r="AN351" s="2" t="n">
        <f aca="false">ROUND(AA351-AG351,9)</f>
        <v>0.167584579</v>
      </c>
      <c r="AO351" s="2" t="n">
        <f aca="false">ROUND(AB351-AH351,9)</f>
        <v>0.597167585</v>
      </c>
      <c r="AP351" s="2" t="n">
        <f aca="false">ROUND(AC351-AI351,9)</f>
        <v>0.675059009</v>
      </c>
      <c r="AQ351" s="2" t="n">
        <f aca="false">ROUND(AD351-AJ351,9)</f>
        <v>0.170731707</v>
      </c>
    </row>
    <row r="352" customFormat="false" ht="15" hidden="false" customHeight="false" outlineLevel="0" collapsed="false">
      <c r="A352" s="2" t="n">
        <v>351</v>
      </c>
      <c r="B352" s="6" t="n">
        <v>8</v>
      </c>
      <c r="C352" s="6" t="n">
        <v>23</v>
      </c>
      <c r="D352" s="8" t="str">
        <f aca="false">INDEX(Bases!$B$2:$B$53,B352)</f>
        <v>Corsola</v>
      </c>
      <c r="E352" s="8" t="str">
        <f aca="false">INDEX(Bases!$B$2:$B$53,C352)</f>
        <v>Gulpin</v>
      </c>
      <c r="F352" s="2" t="str">
        <f aca="false">LEFT(D352,ROUNDUP(LEN(D352)/2,0))&amp;LOWER(MID(E352,ROUNDUP(LEN(E352)/2,0)+1,20))</f>
        <v>Corspin</v>
      </c>
      <c r="G352" s="8" t="str">
        <f aca="false">INDEX(Bases!$C$2:$C$53,B352)</f>
        <v>Water</v>
      </c>
      <c r="H352" s="8" t="str">
        <f aca="false">IF(INDEX(Bases!$C$2:$C$53,C352)=G352,"",INDEX(Bases!$C$2:$C$53,C352))</f>
        <v>Poison</v>
      </c>
      <c r="I352" s="8" t="str">
        <f aca="false">IF(INDEX(Bases!$E$2:$E$53,B352)="","",INDEX(Bases!$E$2:$E$53,B352))</f>
        <v/>
      </c>
      <c r="J352" s="8" t="str">
        <f aca="false">IF(INDEX(Bases!$E$2:$E$53,C352)="","",INDEX(Bases!$E$2:$E$53,C352))</f>
        <v/>
      </c>
      <c r="K352" s="5"/>
      <c r="L352" s="2" t="n">
        <f aca="false">AE352+IF(SUMPRODUCT(--($AL352:$AQ352&gt;AL352))&lt;$AK352,1,0)</f>
        <v>100</v>
      </c>
      <c r="M352" s="2" t="n">
        <f aca="false">AF352+IF(SUMPRODUCT(--($AL352:$AQ352&gt;AM352))+SUMPRODUCT(--($AL352:AL352=AM352))&lt;$AK352,1,0)</f>
        <v>67</v>
      </c>
      <c r="N352" s="2" t="n">
        <f aca="false">AG352+IF(SUMPRODUCT(--($AL352:$AQ352&gt;AN352))+SUMPRODUCT(--($AL352:AM352=AN352))&lt;$AK352,1,0)</f>
        <v>102</v>
      </c>
      <c r="O352" s="2" t="n">
        <f aca="false">AH352+IF(SUMPRODUCT(--($AL352:$AQ352&gt;AO352))+SUMPRODUCT(--($AL352:AN352=AO352))&lt;$AK352,1,0)</f>
        <v>73</v>
      </c>
      <c r="P352" s="2" t="n">
        <f aca="false">AI352+IF(SUMPRODUCT(--($AL352:$AQ352&gt;AP352))+SUMPRODUCT(--($AL352:AO352=AP352))&lt;$AK352,1,0)</f>
        <v>102</v>
      </c>
      <c r="Q352" s="2" t="n">
        <f aca="false">AJ352+IF(SUMPRODUCT(--($AL352:$AQ352&gt;AQ352))+SUMPRODUCT(--($AL352:AP352=AQ352))&lt;$AK352,1,0)</f>
        <v>56</v>
      </c>
      <c r="R352" s="2" t="n">
        <f aca="false">SUM(L352:Q352)</f>
        <v>500</v>
      </c>
      <c r="S352" s="2" t="n">
        <f aca="false">Settings!$B$4*MAX(INDEX(Bases!$M$2:$M$53,B352),INDEX(Bases!$M$2:$M$53,C352))+Settings!$B$5*MIN(INDEX(Bases!$M$2:$M$53,B352),INDEX(Bases!$M$2:$M$53,C352))</f>
        <v>83</v>
      </c>
      <c r="T352" s="2" t="n">
        <f aca="false">Settings!$B$4*MAX(INDEX(Bases!$N$2:$N$53,B352),INDEX(Bases!$N$2:$N$53,C352))+Settings!$B$5*MIN(INDEX(Bases!$N$2:$N$53,B352),INDEX(Bases!$N$2:$N$53,C352))</f>
        <v>56</v>
      </c>
      <c r="U352" s="2" t="n">
        <f aca="false">Settings!$B$4*MAX(INDEX(Bases!$O$2:$O$53,B352),INDEX(Bases!$O$2:$O$53,C352))+Settings!$B$5*MIN(INDEX(Bases!$O$2:$O$53,B352),INDEX(Bases!$O$2:$O$53,C352))</f>
        <v>85.3333333333333</v>
      </c>
      <c r="V352" s="2" t="n">
        <f aca="false">Settings!$B$4*MAX(INDEX(Bases!$P$2:$P$53,B352),INDEX(Bases!$P$2:$P$53,C352))+Settings!$B$5*MIN(INDEX(Bases!$P$2:$P$53,B352),INDEX(Bases!$P$2:$P$53,C352))</f>
        <v>61</v>
      </c>
      <c r="W352" s="2" t="n">
        <f aca="false">Settings!$B$4*MAX(INDEX(Bases!$Q$2:$Q$53,B352),INDEX(Bases!$Q$2:$Q$53,C352))+Settings!$B$5*MIN(INDEX(Bases!$Q$2:$Q$53,B352),INDEX(Bases!$Q$2:$Q$53,C352))</f>
        <v>85.3333333333333</v>
      </c>
      <c r="X352" s="2" t="n">
        <f aca="false">Settings!$B$4*MAX(INDEX(Bases!$R$2:$R$53,B352),INDEX(Bases!$R$2:$R$53,C352))+Settings!$B$5*MIN(INDEX(Bases!$R$2:$R$53,B352),INDEX(Bases!$R$2:$R$53,C352))</f>
        <v>46.6666666666667</v>
      </c>
      <c r="Y352" s="2" t="n">
        <f aca="false">S352*Settings!$B$3/SUM(S352:X352)</f>
        <v>99.4408945686901</v>
      </c>
      <c r="Z352" s="2" t="n">
        <f aca="false">T352*Settings!$B$3/SUM(S352:X352)</f>
        <v>67.0926517571885</v>
      </c>
      <c r="AA352" s="2" t="n">
        <f aca="false">U352*Settings!$B$3/SUM(S352:X352)</f>
        <v>102.23642172524</v>
      </c>
      <c r="AB352" s="2" t="n">
        <f aca="false">V352*Settings!$B$3/SUM(S352:X352)</f>
        <v>73.0830670926518</v>
      </c>
      <c r="AC352" s="2" t="n">
        <f aca="false">W352*Settings!$B$3/SUM(S352:X352)</f>
        <v>102.23642172524</v>
      </c>
      <c r="AD352" s="2" t="n">
        <f aca="false">X352*Settings!$B$3/SUM(S352:X352)</f>
        <v>55.9105431309904</v>
      </c>
      <c r="AE352" s="2" t="n">
        <f aca="false">INT(Y352)</f>
        <v>99</v>
      </c>
      <c r="AF352" s="2" t="n">
        <f aca="false">INT(Z352)</f>
        <v>67</v>
      </c>
      <c r="AG352" s="2" t="n">
        <f aca="false">INT(AA352)</f>
        <v>102</v>
      </c>
      <c r="AH352" s="2" t="n">
        <f aca="false">INT(AB352)</f>
        <v>73</v>
      </c>
      <c r="AI352" s="2" t="n">
        <f aca="false">INT(AC352)</f>
        <v>102</v>
      </c>
      <c r="AJ352" s="2" t="n">
        <f aca="false">INT(AD352)</f>
        <v>55</v>
      </c>
      <c r="AK352" s="2" t="n">
        <f aca="false">Settings!$B$3-SUM(AE352:AJ352)</f>
        <v>2</v>
      </c>
      <c r="AL352" s="2" t="n">
        <f aca="false">ROUND(Y352-AE352,9)</f>
        <v>0.440894569</v>
      </c>
      <c r="AM352" s="2" t="n">
        <f aca="false">ROUND(Z352-AF352,9)</f>
        <v>0.092651757</v>
      </c>
      <c r="AN352" s="2" t="n">
        <f aca="false">ROUND(AA352-AG352,9)</f>
        <v>0.236421725</v>
      </c>
      <c r="AO352" s="2" t="n">
        <f aca="false">ROUND(AB352-AH352,9)</f>
        <v>0.083067093</v>
      </c>
      <c r="AP352" s="2" t="n">
        <f aca="false">ROUND(AC352-AI352,9)</f>
        <v>0.236421725</v>
      </c>
      <c r="AQ352" s="2" t="n">
        <f aca="false">ROUND(AD352-AJ352,9)</f>
        <v>0.910543131</v>
      </c>
    </row>
    <row r="353" customFormat="false" ht="15" hidden="false" customHeight="false" outlineLevel="0" collapsed="false">
      <c r="A353" s="2" t="n">
        <v>352</v>
      </c>
      <c r="B353" s="6" t="n">
        <v>8</v>
      </c>
      <c r="C353" s="6" t="n">
        <v>24</v>
      </c>
      <c r="D353" s="8" t="str">
        <f aca="false">INDEX(Bases!$B$2:$B$53,B353)</f>
        <v>Corsola</v>
      </c>
      <c r="E353" s="8" t="str">
        <f aca="false">INDEX(Bases!$B$2:$B$53,C353)</f>
        <v>Koffing</v>
      </c>
      <c r="F353" s="2" t="str">
        <f aca="false">LEFT(D353,ROUNDUP(LEN(D353)/2,0))&amp;LOWER(MID(E353,ROUNDUP(LEN(E353)/2,0)+1,20))</f>
        <v>Corsing</v>
      </c>
      <c r="G353" s="8" t="str">
        <f aca="false">INDEX(Bases!$C$2:$C$53,B353)</f>
        <v>Water</v>
      </c>
      <c r="H353" s="8" t="str">
        <f aca="false">IF(INDEX(Bases!$C$2:$C$53,C353)=G353,"",INDEX(Bases!$C$2:$C$53,C353))</f>
        <v>Poison</v>
      </c>
      <c r="I353" s="8" t="str">
        <f aca="false">IF(INDEX(Bases!$E$2:$E$53,B353)="","",INDEX(Bases!$E$2:$E$53,B353))</f>
        <v/>
      </c>
      <c r="J353" s="8" t="str">
        <f aca="false">IF(INDEX(Bases!$E$2:$E$53,C353)="","",INDEX(Bases!$E$2:$E$53,C353))</f>
        <v/>
      </c>
      <c r="K353" s="5"/>
      <c r="L353" s="2" t="n">
        <f aca="false">AE353+IF(SUMPRODUCT(--($AL353:$AQ353&gt;AL353))&lt;$AK353,1,0)</f>
        <v>69</v>
      </c>
      <c r="M353" s="2" t="n">
        <f aca="false">AF353+IF(SUMPRODUCT(--($AL353:$AQ353&gt;AM353))+SUMPRODUCT(--($AL353:AL353=AM353))&lt;$AK353,1,0)</f>
        <v>82</v>
      </c>
      <c r="N353" s="2" t="n">
        <f aca="false">AG353+IF(SUMPRODUCT(--($AL353:$AQ353&gt;AN353))+SUMPRODUCT(--($AL353:AM353=AN353))&lt;$AK353,1,0)</f>
        <v>126</v>
      </c>
      <c r="O353" s="2" t="n">
        <f aca="false">AH353+IF(SUMPRODUCT(--($AL353:$AQ353&gt;AO353))+SUMPRODUCT(--($AL353:AN353=AO353))&lt;$AK353,1,0)</f>
        <v>82</v>
      </c>
      <c r="P353" s="2" t="n">
        <f aca="false">AI353+IF(SUMPRODUCT(--($AL353:$AQ353&gt;AP353))+SUMPRODUCT(--($AL353:AO353=AP353))&lt;$AK353,1,0)</f>
        <v>95</v>
      </c>
      <c r="Q353" s="2" t="n">
        <f aca="false">AJ353+IF(SUMPRODUCT(--($AL353:$AQ353&gt;AQ353))+SUMPRODUCT(--($AL353:AP353=AQ353))&lt;$AK353,1,0)</f>
        <v>46</v>
      </c>
      <c r="R353" s="2" t="n">
        <f aca="false">SUM(L353:Q353)</f>
        <v>500</v>
      </c>
      <c r="S353" s="2" t="n">
        <f aca="false">Settings!$B$4*MAX(INDEX(Bases!$M$2:$M$53,B353),INDEX(Bases!$M$2:$M$53,C353))+Settings!$B$5*MIN(INDEX(Bases!$M$2:$M$53,B353),INDEX(Bases!$M$2:$M$53,C353))</f>
        <v>57.6666666666667</v>
      </c>
      <c r="T353" s="2" t="n">
        <f aca="false">Settings!$B$4*MAX(INDEX(Bases!$N$2:$N$53,B353),INDEX(Bases!$N$2:$N$53,C353))+Settings!$B$5*MIN(INDEX(Bases!$N$2:$N$53,B353),INDEX(Bases!$N$2:$N$53,C353))</f>
        <v>68.6666666666667</v>
      </c>
      <c r="U353" s="2" t="n">
        <f aca="false">Settings!$B$4*MAX(INDEX(Bases!$O$2:$O$53,B353),INDEX(Bases!$O$2:$O$53,C353))+Settings!$B$5*MIN(INDEX(Bases!$O$2:$O$53,B353),INDEX(Bases!$O$2:$O$53,C353))</f>
        <v>105.666666666667</v>
      </c>
      <c r="V353" s="2" t="n">
        <f aca="false">Settings!$B$4*MAX(INDEX(Bases!$P$2:$P$53,B353),INDEX(Bases!$P$2:$P$53,C353))+Settings!$B$5*MIN(INDEX(Bases!$P$2:$P$53,B353),INDEX(Bases!$P$2:$P$53,C353))</f>
        <v>68.3333333333333</v>
      </c>
      <c r="W353" s="2" t="n">
        <f aca="false">Settings!$B$4*MAX(INDEX(Bases!$Q$2:$Q$53,B353),INDEX(Bases!$Q$2:$Q$53,C353))+Settings!$B$5*MIN(INDEX(Bases!$Q$2:$Q$53,B353),INDEX(Bases!$Q$2:$Q$53,C353))</f>
        <v>79.6666666666667</v>
      </c>
      <c r="X353" s="2" t="n">
        <f aca="false">Settings!$B$4*MAX(INDEX(Bases!$R$2:$R$53,B353),INDEX(Bases!$R$2:$R$53,C353))+Settings!$B$5*MIN(INDEX(Bases!$R$2:$R$53,B353),INDEX(Bases!$R$2:$R$53,C353))</f>
        <v>38.6666666666667</v>
      </c>
      <c r="Y353" s="2" t="n">
        <f aca="false">S353*Settings!$B$3/SUM(S353:X353)</f>
        <v>68.8694267515924</v>
      </c>
      <c r="Z353" s="2" t="n">
        <f aca="false">T353*Settings!$B$3/SUM(S353:X353)</f>
        <v>82.0063694267516</v>
      </c>
      <c r="AA353" s="2" t="n">
        <f aca="false">U353*Settings!$B$3/SUM(S353:X353)</f>
        <v>126.194267515924</v>
      </c>
      <c r="AB353" s="2" t="n">
        <f aca="false">V353*Settings!$B$3/SUM(S353:X353)</f>
        <v>81.6082802547771</v>
      </c>
      <c r="AC353" s="2" t="n">
        <f aca="false">W353*Settings!$B$3/SUM(S353:X353)</f>
        <v>95.1433121019108</v>
      </c>
      <c r="AD353" s="2" t="n">
        <f aca="false">X353*Settings!$B$3/SUM(S353:X353)</f>
        <v>46.1783439490446</v>
      </c>
      <c r="AE353" s="2" t="n">
        <f aca="false">INT(Y353)</f>
        <v>68</v>
      </c>
      <c r="AF353" s="2" t="n">
        <f aca="false">INT(Z353)</f>
        <v>82</v>
      </c>
      <c r="AG353" s="2" t="n">
        <f aca="false">INT(AA353)</f>
        <v>126</v>
      </c>
      <c r="AH353" s="2" t="n">
        <f aca="false">INT(AB353)</f>
        <v>81</v>
      </c>
      <c r="AI353" s="2" t="n">
        <f aca="false">INT(AC353)</f>
        <v>95</v>
      </c>
      <c r="AJ353" s="2" t="n">
        <f aca="false">INT(AD353)</f>
        <v>46</v>
      </c>
      <c r="AK353" s="2" t="n">
        <f aca="false">Settings!$B$3-SUM(AE353:AJ353)</f>
        <v>2</v>
      </c>
      <c r="AL353" s="2" t="n">
        <f aca="false">ROUND(Y353-AE353,9)</f>
        <v>0.869426752</v>
      </c>
      <c r="AM353" s="2" t="n">
        <f aca="false">ROUND(Z353-AF353,9)</f>
        <v>0.006369427</v>
      </c>
      <c r="AN353" s="2" t="n">
        <f aca="false">ROUND(AA353-AG353,9)</f>
        <v>0.194267516</v>
      </c>
      <c r="AO353" s="2" t="n">
        <f aca="false">ROUND(AB353-AH353,9)</f>
        <v>0.608280255</v>
      </c>
      <c r="AP353" s="2" t="n">
        <f aca="false">ROUND(AC353-AI353,9)</f>
        <v>0.143312102</v>
      </c>
      <c r="AQ353" s="2" t="n">
        <f aca="false">ROUND(AD353-AJ353,9)</f>
        <v>0.178343949</v>
      </c>
    </row>
    <row r="354" customFormat="false" ht="15" hidden="false" customHeight="false" outlineLevel="0" collapsed="false">
      <c r="A354" s="2" t="n">
        <v>353</v>
      </c>
      <c r="B354" s="6" t="n">
        <v>8</v>
      </c>
      <c r="C354" s="6" t="n">
        <v>25</v>
      </c>
      <c r="D354" s="8" t="str">
        <f aca="false">INDEX(Bases!$B$2:$B$53,B354)</f>
        <v>Corsola</v>
      </c>
      <c r="E354" s="8" t="str">
        <f aca="false">INDEX(Bases!$B$2:$B$53,C354)</f>
        <v>Sandshrew</v>
      </c>
      <c r="F354" s="2" t="str">
        <f aca="false">LEFT(D354,ROUNDUP(LEN(D354)/2,0))&amp;LOWER(MID(E354,ROUNDUP(LEN(E354)/2,0)+1,20))</f>
        <v>Corshrew</v>
      </c>
      <c r="G354" s="8" t="str">
        <f aca="false">INDEX(Bases!$C$2:$C$53,B354)</f>
        <v>Water</v>
      </c>
      <c r="H354" s="8" t="str">
        <f aca="false">IF(INDEX(Bases!$C$2:$C$53,C354)=G354,"",INDEX(Bases!$C$2:$C$53,C354))</f>
        <v>Ground</v>
      </c>
      <c r="I354" s="8" t="str">
        <f aca="false">IF(INDEX(Bases!$E$2:$E$53,B354)="","",INDEX(Bases!$E$2:$E$53,B354))</f>
        <v/>
      </c>
      <c r="J354" s="8" t="str">
        <f aca="false">IF(INDEX(Bases!$E$2:$E$53,C354)="","",INDEX(Bases!$E$2:$E$53,C354))</f>
        <v/>
      </c>
      <c r="K354" s="5"/>
      <c r="L354" s="2" t="n">
        <f aca="false">AE354+IF(SUMPRODUCT(--($AL354:$AQ354&gt;AL354))&lt;$AK354,1,0)</f>
        <v>76</v>
      </c>
      <c r="M354" s="2" t="n">
        <f aca="false">AF354+IF(SUMPRODUCT(--($AL354:$AQ354&gt;AM354))+SUMPRODUCT(--($AL354:AL354=AM354))&lt;$AK354,1,0)</f>
        <v>99</v>
      </c>
      <c r="N354" s="2" t="n">
        <f aca="false">AG354+IF(SUMPRODUCT(--($AL354:$AQ354&gt;AN354))+SUMPRODUCT(--($AL354:AM354=AN354))&lt;$AK354,1,0)</f>
        <v>124</v>
      </c>
      <c r="O354" s="2" t="n">
        <f aca="false">AH354+IF(SUMPRODUCT(--($AL354:$AQ354&gt;AO354))+SUMPRODUCT(--($AL354:AN354=AO354))&lt;$AK354,1,0)</f>
        <v>59</v>
      </c>
      <c r="P354" s="2" t="n">
        <f aca="false">AI354+IF(SUMPRODUCT(--($AL354:$AQ354&gt;AP354))+SUMPRODUCT(--($AL354:AO354=AP354))&lt;$AK354,1,0)</f>
        <v>88</v>
      </c>
      <c r="Q354" s="2" t="n">
        <f aca="false">AJ354+IF(SUMPRODUCT(--($AL354:$AQ354&gt;AQ354))+SUMPRODUCT(--($AL354:AP354=AQ354))&lt;$AK354,1,0)</f>
        <v>54</v>
      </c>
      <c r="R354" s="2" t="n">
        <f aca="false">SUM(L354:Q354)</f>
        <v>500</v>
      </c>
      <c r="S354" s="2" t="n">
        <f aca="false">Settings!$B$4*MAX(INDEX(Bases!$M$2:$M$53,B354),INDEX(Bases!$M$2:$M$53,C354))+Settings!$B$5*MIN(INDEX(Bases!$M$2:$M$53,B354),INDEX(Bases!$M$2:$M$53,C354))</f>
        <v>65.6666666666667</v>
      </c>
      <c r="T354" s="2" t="n">
        <f aca="false">Settings!$B$4*MAX(INDEX(Bases!$N$2:$N$53,B354),INDEX(Bases!$N$2:$N$53,C354))+Settings!$B$5*MIN(INDEX(Bases!$N$2:$N$53,B354),INDEX(Bases!$N$2:$N$53,C354))</f>
        <v>84.6666666666667</v>
      </c>
      <c r="U354" s="2" t="n">
        <f aca="false">Settings!$B$4*MAX(INDEX(Bases!$O$2:$O$53,B354),INDEX(Bases!$O$2:$O$53,C354))+Settings!$B$5*MIN(INDEX(Bases!$O$2:$O$53,B354),INDEX(Bases!$O$2:$O$53,C354))</f>
        <v>106.333333333333</v>
      </c>
      <c r="V354" s="2" t="n">
        <f aca="false">Settings!$B$4*MAX(INDEX(Bases!$P$2:$P$53,B354),INDEX(Bases!$P$2:$P$53,C354))+Settings!$B$5*MIN(INDEX(Bases!$P$2:$P$53,B354),INDEX(Bases!$P$2:$P$53,C354))</f>
        <v>51</v>
      </c>
      <c r="W354" s="2" t="n">
        <f aca="false">Settings!$B$4*MAX(INDEX(Bases!$Q$2:$Q$53,B354),INDEX(Bases!$Q$2:$Q$53,C354))+Settings!$B$5*MIN(INDEX(Bases!$Q$2:$Q$53,B354),INDEX(Bases!$Q$2:$Q$53,C354))</f>
        <v>75.3333333333333</v>
      </c>
      <c r="X354" s="2" t="n">
        <f aca="false">Settings!$B$4*MAX(INDEX(Bases!$R$2:$R$53,B354),INDEX(Bases!$R$2:$R$53,C354))+Settings!$B$5*MIN(INDEX(Bases!$R$2:$R$53,B354),INDEX(Bases!$R$2:$R$53,C354))</f>
        <v>46.6666666666667</v>
      </c>
      <c r="Y354" s="2" t="n">
        <f aca="false">S354*Settings!$B$3/SUM(S354:X354)</f>
        <v>76.4158262218774</v>
      </c>
      <c r="Z354" s="2" t="n">
        <f aca="false">T354*Settings!$B$3/SUM(S354:X354)</f>
        <v>98.5259891388673</v>
      </c>
      <c r="AA354" s="2" t="n">
        <f aca="false">U354*Settings!$B$3/SUM(S354:X354)</f>
        <v>123.739332816137</v>
      </c>
      <c r="AB354" s="2" t="n">
        <f aca="false">V354*Settings!$B$3/SUM(S354:X354)</f>
        <v>59.3483320403414</v>
      </c>
      <c r="AC354" s="2" t="n">
        <f aca="false">W354*Settings!$B$3/SUM(S354:X354)</f>
        <v>87.6648564778898</v>
      </c>
      <c r="AD354" s="2" t="n">
        <f aca="false">X354*Settings!$B$3/SUM(S354:X354)</f>
        <v>54.3056633048875</v>
      </c>
      <c r="AE354" s="2" t="n">
        <f aca="false">INT(Y354)</f>
        <v>76</v>
      </c>
      <c r="AF354" s="2" t="n">
        <f aca="false">INT(Z354)</f>
        <v>98</v>
      </c>
      <c r="AG354" s="2" t="n">
        <f aca="false">INT(AA354)</f>
        <v>123</v>
      </c>
      <c r="AH354" s="2" t="n">
        <f aca="false">INT(AB354)</f>
        <v>59</v>
      </c>
      <c r="AI354" s="2" t="n">
        <f aca="false">INT(AC354)</f>
        <v>87</v>
      </c>
      <c r="AJ354" s="2" t="n">
        <f aca="false">INT(AD354)</f>
        <v>54</v>
      </c>
      <c r="AK354" s="2" t="n">
        <f aca="false">Settings!$B$3-SUM(AE354:AJ354)</f>
        <v>3</v>
      </c>
      <c r="AL354" s="2" t="n">
        <f aca="false">ROUND(Y354-AE354,9)</f>
        <v>0.415826222</v>
      </c>
      <c r="AM354" s="2" t="n">
        <f aca="false">ROUND(Z354-AF354,9)</f>
        <v>0.525989139</v>
      </c>
      <c r="AN354" s="2" t="n">
        <f aca="false">ROUND(AA354-AG354,9)</f>
        <v>0.739332816</v>
      </c>
      <c r="AO354" s="2" t="n">
        <f aca="false">ROUND(AB354-AH354,9)</f>
        <v>0.34833204</v>
      </c>
      <c r="AP354" s="2" t="n">
        <f aca="false">ROUND(AC354-AI354,9)</f>
        <v>0.664856478</v>
      </c>
      <c r="AQ354" s="2" t="n">
        <f aca="false">ROUND(AD354-AJ354,9)</f>
        <v>0.305663305</v>
      </c>
    </row>
    <row r="355" customFormat="false" ht="15" hidden="false" customHeight="false" outlineLevel="0" collapsed="false">
      <c r="A355" s="2" t="n">
        <v>354</v>
      </c>
      <c r="B355" s="6" t="n">
        <v>8</v>
      </c>
      <c r="C355" s="6" t="n">
        <v>26</v>
      </c>
      <c r="D355" s="8" t="str">
        <f aca="false">INDEX(Bases!$B$2:$B$53,B355)</f>
        <v>Corsola</v>
      </c>
      <c r="E355" s="8" t="str">
        <f aca="false">INDEX(Bases!$B$2:$B$53,C355)</f>
        <v>Phanpy</v>
      </c>
      <c r="F355" s="2" t="str">
        <f aca="false">LEFT(D355,ROUNDUP(LEN(D355)/2,0))&amp;LOWER(MID(E355,ROUNDUP(LEN(E355)/2,0)+1,20))</f>
        <v>Corsnpy</v>
      </c>
      <c r="G355" s="8" t="str">
        <f aca="false">INDEX(Bases!$C$2:$C$53,B355)</f>
        <v>Water</v>
      </c>
      <c r="H355" s="8" t="str">
        <f aca="false">IF(INDEX(Bases!$C$2:$C$53,C355)=G355,"",INDEX(Bases!$C$2:$C$53,C355))</f>
        <v>Ground</v>
      </c>
      <c r="I355" s="8" t="str">
        <f aca="false">IF(INDEX(Bases!$E$2:$E$53,B355)="","",INDEX(Bases!$E$2:$E$53,B355))</f>
        <v/>
      </c>
      <c r="J355" s="8" t="str">
        <f aca="false">IF(INDEX(Bases!$E$2:$E$53,C355)="","",INDEX(Bases!$E$2:$E$53,C355))</f>
        <v/>
      </c>
      <c r="K355" s="5"/>
      <c r="L355" s="2" t="n">
        <f aca="false">AE355+IF(SUMPRODUCT(--($AL355:$AQ355&gt;AL355))&lt;$AK355,1,0)</f>
        <v>110</v>
      </c>
      <c r="M355" s="2" t="n">
        <f aca="false">AF355+IF(SUMPRODUCT(--($AL355:$AQ355&gt;AM355))+SUMPRODUCT(--($AL355:AL355=AM355))&lt;$AK355,1,0)</f>
        <v>78</v>
      </c>
      <c r="N355" s="2" t="n">
        <f aca="false">AG355+IF(SUMPRODUCT(--($AL355:$AQ355&gt;AN355))+SUMPRODUCT(--($AL355:AM355=AN355))&lt;$AK355,1,0)</f>
        <v>101</v>
      </c>
      <c r="O355" s="2" t="n">
        <f aca="false">AH355+IF(SUMPRODUCT(--($AL355:$AQ355&gt;AO355))+SUMPRODUCT(--($AL355:AN355=AO355))&lt;$AK355,1,0)</f>
        <v>68</v>
      </c>
      <c r="P355" s="2" t="n">
        <f aca="false">AI355+IF(SUMPRODUCT(--($AL355:$AQ355&gt;AP355))+SUMPRODUCT(--($AL355:AO355=AP355))&lt;$AK355,1,0)</f>
        <v>92</v>
      </c>
      <c r="Q355" s="2" t="n">
        <f aca="false">AJ355+IF(SUMPRODUCT(--($AL355:$AQ355&gt;AQ355))+SUMPRODUCT(--($AL355:AP355=AQ355))&lt;$AK355,1,0)</f>
        <v>51</v>
      </c>
      <c r="R355" s="2" t="n">
        <f aca="false">SUM(L355:Q355)</f>
        <v>500</v>
      </c>
      <c r="S355" s="2" t="n">
        <f aca="false">Settings!$B$4*MAX(INDEX(Bases!$M$2:$M$53,B355),INDEX(Bases!$M$2:$M$53,C355))+Settings!$B$5*MIN(INDEX(Bases!$M$2:$M$53,B355),INDEX(Bases!$M$2:$M$53,C355))</f>
        <v>93.6666666666667</v>
      </c>
      <c r="T355" s="2" t="n">
        <f aca="false">Settings!$B$4*MAX(INDEX(Bases!$N$2:$N$53,B355),INDEX(Bases!$N$2:$N$53,C355))+Settings!$B$5*MIN(INDEX(Bases!$N$2:$N$53,B355),INDEX(Bases!$N$2:$N$53,C355))</f>
        <v>66.6666666666667</v>
      </c>
      <c r="U355" s="2" t="n">
        <f aca="false">Settings!$B$4*MAX(INDEX(Bases!$O$2:$O$53,B355),INDEX(Bases!$O$2:$O$53,C355))+Settings!$B$5*MIN(INDEX(Bases!$O$2:$O$53,B355),INDEX(Bases!$O$2:$O$53,C355))</f>
        <v>86.3333333333333</v>
      </c>
      <c r="V355" s="2" t="n">
        <f aca="false">Settings!$B$4*MAX(INDEX(Bases!$P$2:$P$53,B355),INDEX(Bases!$P$2:$P$53,C355))+Settings!$B$5*MIN(INDEX(Bases!$P$2:$P$53,B355),INDEX(Bases!$P$2:$P$53,C355))</f>
        <v>58.3333333333333</v>
      </c>
      <c r="W355" s="2" t="n">
        <f aca="false">Settings!$B$4*MAX(INDEX(Bases!$Q$2:$Q$53,B355),INDEX(Bases!$Q$2:$Q$53,C355))+Settings!$B$5*MIN(INDEX(Bases!$Q$2:$Q$53,B355),INDEX(Bases!$Q$2:$Q$53,C355))</f>
        <v>78</v>
      </c>
      <c r="X355" s="2" t="n">
        <f aca="false">Settings!$B$4*MAX(INDEX(Bases!$R$2:$R$53,B355),INDEX(Bases!$R$2:$R$53,C355))+Settings!$B$5*MIN(INDEX(Bases!$R$2:$R$53,B355),INDEX(Bases!$R$2:$R$53,C355))</f>
        <v>43.3333333333333</v>
      </c>
      <c r="Y355" s="2" t="n">
        <f aca="false">S355*Settings!$B$3/SUM(S355:X355)</f>
        <v>109.851446442533</v>
      </c>
      <c r="Z355" s="2" t="n">
        <f aca="false">T355*Settings!$B$3/SUM(S355:X355)</f>
        <v>78.1860828772479</v>
      </c>
      <c r="AA355" s="2" t="n">
        <f aca="false">U355*Settings!$B$3/SUM(S355:X355)</f>
        <v>101.250977326036</v>
      </c>
      <c r="AB355" s="2" t="n">
        <f aca="false">V355*Settings!$B$3/SUM(S355:X355)</f>
        <v>68.4128225175919</v>
      </c>
      <c r="AC355" s="2" t="n">
        <f aca="false">W355*Settings!$B$3/SUM(S355:X355)</f>
        <v>91.47771696638</v>
      </c>
      <c r="AD355" s="2" t="n">
        <f aca="false">X355*Settings!$B$3/SUM(S355:X355)</f>
        <v>50.8209538702111</v>
      </c>
      <c r="AE355" s="2" t="n">
        <f aca="false">INT(Y355)</f>
        <v>109</v>
      </c>
      <c r="AF355" s="2" t="n">
        <f aca="false">INT(Z355)</f>
        <v>78</v>
      </c>
      <c r="AG355" s="2" t="n">
        <f aca="false">INT(AA355)</f>
        <v>101</v>
      </c>
      <c r="AH355" s="2" t="n">
        <f aca="false">INT(AB355)</f>
        <v>68</v>
      </c>
      <c r="AI355" s="2" t="n">
        <f aca="false">INT(AC355)</f>
        <v>91</v>
      </c>
      <c r="AJ355" s="2" t="n">
        <f aca="false">INT(AD355)</f>
        <v>50</v>
      </c>
      <c r="AK355" s="2" t="n">
        <f aca="false">Settings!$B$3-SUM(AE355:AJ355)</f>
        <v>3</v>
      </c>
      <c r="AL355" s="2" t="n">
        <f aca="false">ROUND(Y355-AE355,9)</f>
        <v>0.851446443</v>
      </c>
      <c r="AM355" s="2" t="n">
        <f aca="false">ROUND(Z355-AF355,9)</f>
        <v>0.186082877</v>
      </c>
      <c r="AN355" s="2" t="n">
        <f aca="false">ROUND(AA355-AG355,9)</f>
        <v>0.250977326</v>
      </c>
      <c r="AO355" s="2" t="n">
        <f aca="false">ROUND(AB355-AH355,9)</f>
        <v>0.412822518</v>
      </c>
      <c r="AP355" s="2" t="n">
        <f aca="false">ROUND(AC355-AI355,9)</f>
        <v>0.477716966</v>
      </c>
      <c r="AQ355" s="2" t="n">
        <f aca="false">ROUND(AD355-AJ355,9)</f>
        <v>0.82095387</v>
      </c>
    </row>
    <row r="356" customFormat="false" ht="15" hidden="false" customHeight="false" outlineLevel="0" collapsed="false">
      <c r="A356" s="2" t="n">
        <v>355</v>
      </c>
      <c r="B356" s="6" t="n">
        <v>8</v>
      </c>
      <c r="C356" s="6" t="n">
        <v>27</v>
      </c>
      <c r="D356" s="8" t="str">
        <f aca="false">INDEX(Bases!$B$2:$B$53,B356)</f>
        <v>Corsola</v>
      </c>
      <c r="E356" s="8" t="str">
        <f aca="false">INDEX(Bases!$B$2:$B$53,C356)</f>
        <v>Baltoy</v>
      </c>
      <c r="F356" s="2" t="str">
        <f aca="false">LEFT(D356,ROUNDUP(LEN(D356)/2,0))&amp;LOWER(MID(E356,ROUNDUP(LEN(E356)/2,0)+1,20))</f>
        <v>Corstoy</v>
      </c>
      <c r="G356" s="8" t="str">
        <f aca="false">INDEX(Bases!$C$2:$C$53,B356)</f>
        <v>Water</v>
      </c>
      <c r="H356" s="8" t="str">
        <f aca="false">IF(INDEX(Bases!$C$2:$C$53,C356)=G356,"",INDEX(Bases!$C$2:$C$53,C356))</f>
        <v>Ground</v>
      </c>
      <c r="I356" s="8" t="str">
        <f aca="false">IF(INDEX(Bases!$E$2:$E$53,B356)="","",INDEX(Bases!$E$2:$E$53,B356))</f>
        <v/>
      </c>
      <c r="J356" s="8" t="str">
        <f aca="false">IF(INDEX(Bases!$E$2:$E$53,C356)="","",INDEX(Bases!$E$2:$E$53,C356))</f>
        <v/>
      </c>
      <c r="K356" s="5"/>
      <c r="L356" s="2" t="n">
        <f aca="false">AE356+IF(SUMPRODUCT(--($AL356:$AQ356&gt;AL356))&lt;$AK356,1,0)</f>
        <v>73</v>
      </c>
      <c r="M356" s="2" t="n">
        <f aca="false">AF356+IF(SUMPRODUCT(--($AL356:$AQ356&gt;AM356))+SUMPRODUCT(--($AL356:AL356=AM356))&lt;$AK356,1,0)</f>
        <v>65</v>
      </c>
      <c r="N356" s="2" t="n">
        <f aca="false">AG356+IF(SUMPRODUCT(--($AL356:$AQ356&gt;AN356))+SUMPRODUCT(--($AL356:AM356=AN356))&lt;$AK356,1,0)</f>
        <v>104</v>
      </c>
      <c r="O356" s="2" t="n">
        <f aca="false">AH356+IF(SUMPRODUCT(--($AL356:$AQ356&gt;AO356))+SUMPRODUCT(--($AL356:AN356=AO356))&lt;$AK356,1,0)</f>
        <v>72</v>
      </c>
      <c r="P356" s="2" t="n">
        <f aca="false">AI356+IF(SUMPRODUCT(--($AL356:$AQ356&gt;AP356))+SUMPRODUCT(--($AL356:AO356=AP356))&lt;$AK356,1,0)</f>
        <v>113</v>
      </c>
      <c r="Q356" s="2" t="n">
        <f aca="false">AJ356+IF(SUMPRODUCT(--($AL356:$AQ356&gt;AQ356))+SUMPRODUCT(--($AL356:AP356=AQ356))&lt;$AK356,1,0)</f>
        <v>73</v>
      </c>
      <c r="R356" s="2" t="n">
        <f aca="false">SUM(L356:Q356)</f>
        <v>500</v>
      </c>
      <c r="S356" s="2" t="n">
        <f aca="false">Settings!$B$4*MAX(INDEX(Bases!$M$2:$M$53,B356),INDEX(Bases!$M$2:$M$53,C356))+Settings!$B$5*MIN(INDEX(Bases!$M$2:$M$53,B356),INDEX(Bases!$M$2:$M$53,C356))</f>
        <v>60</v>
      </c>
      <c r="T356" s="2" t="n">
        <f aca="false">Settings!$B$4*MAX(INDEX(Bases!$N$2:$N$53,B356),INDEX(Bases!$N$2:$N$53,C356))+Settings!$B$5*MIN(INDEX(Bases!$N$2:$N$53,B356),INDEX(Bases!$N$2:$N$53,C356))</f>
        <v>54</v>
      </c>
      <c r="U356" s="2" t="n">
        <f aca="false">Settings!$B$4*MAX(INDEX(Bases!$O$2:$O$53,B356),INDEX(Bases!$O$2:$O$53,C356))+Settings!$B$5*MIN(INDEX(Bases!$O$2:$O$53,B356),INDEX(Bases!$O$2:$O$53,C356))</f>
        <v>86.3333333333333</v>
      </c>
      <c r="V356" s="2" t="n">
        <f aca="false">Settings!$B$4*MAX(INDEX(Bases!$P$2:$P$53,B356),INDEX(Bases!$P$2:$P$53,C356))+Settings!$B$5*MIN(INDEX(Bases!$P$2:$P$53,B356),INDEX(Bases!$P$2:$P$53,C356))</f>
        <v>59.6666666666667</v>
      </c>
      <c r="W356" s="2" t="n">
        <f aca="false">Settings!$B$4*MAX(INDEX(Bases!$Q$2:$Q$53,B356),INDEX(Bases!$Q$2:$Q$53,C356))+Settings!$B$5*MIN(INDEX(Bases!$Q$2:$Q$53,B356),INDEX(Bases!$Q$2:$Q$53,C356))</f>
        <v>93</v>
      </c>
      <c r="X356" s="2" t="n">
        <f aca="false">Settings!$B$4*MAX(INDEX(Bases!$R$2:$R$53,B356),INDEX(Bases!$R$2:$R$53,C356))+Settings!$B$5*MIN(INDEX(Bases!$R$2:$R$53,B356),INDEX(Bases!$R$2:$R$53,C356))</f>
        <v>60</v>
      </c>
      <c r="Y356" s="2" t="n">
        <f aca="false">S356*Settings!$B$3/SUM(S356:X356)</f>
        <v>72.6392251815981</v>
      </c>
      <c r="Z356" s="2" t="n">
        <f aca="false">T356*Settings!$B$3/SUM(S356:X356)</f>
        <v>65.3753026634383</v>
      </c>
      <c r="AA356" s="2" t="n">
        <f aca="false">U356*Settings!$B$3/SUM(S356:X356)</f>
        <v>104.519774011299</v>
      </c>
      <c r="AB356" s="2" t="n">
        <f aca="false">V356*Settings!$B$3/SUM(S356:X356)</f>
        <v>72.2356739305892</v>
      </c>
      <c r="AC356" s="2" t="n">
        <f aca="false">W356*Settings!$B$3/SUM(S356:X356)</f>
        <v>112.590799031477</v>
      </c>
      <c r="AD356" s="2" t="n">
        <f aca="false">X356*Settings!$B$3/SUM(S356:X356)</f>
        <v>72.6392251815981</v>
      </c>
      <c r="AE356" s="2" t="n">
        <f aca="false">INT(Y356)</f>
        <v>72</v>
      </c>
      <c r="AF356" s="2" t="n">
        <f aca="false">INT(Z356)</f>
        <v>65</v>
      </c>
      <c r="AG356" s="2" t="n">
        <f aca="false">INT(AA356)</f>
        <v>104</v>
      </c>
      <c r="AH356" s="2" t="n">
        <f aca="false">INT(AB356)</f>
        <v>72</v>
      </c>
      <c r="AI356" s="2" t="n">
        <f aca="false">INT(AC356)</f>
        <v>112</v>
      </c>
      <c r="AJ356" s="2" t="n">
        <f aca="false">INT(AD356)</f>
        <v>72</v>
      </c>
      <c r="AK356" s="2" t="n">
        <f aca="false">Settings!$B$3-SUM(AE356:AJ356)</f>
        <v>3</v>
      </c>
      <c r="AL356" s="2" t="n">
        <f aca="false">ROUND(Y356-AE356,9)</f>
        <v>0.639225182</v>
      </c>
      <c r="AM356" s="2" t="n">
        <f aca="false">ROUND(Z356-AF356,9)</f>
        <v>0.375302663</v>
      </c>
      <c r="AN356" s="2" t="n">
        <f aca="false">ROUND(AA356-AG356,9)</f>
        <v>0.519774011</v>
      </c>
      <c r="AO356" s="2" t="n">
        <f aca="false">ROUND(AB356-AH356,9)</f>
        <v>0.235673931</v>
      </c>
      <c r="AP356" s="2" t="n">
        <f aca="false">ROUND(AC356-AI356,9)</f>
        <v>0.590799031</v>
      </c>
      <c r="AQ356" s="2" t="n">
        <f aca="false">ROUND(AD356-AJ356,9)</f>
        <v>0.639225182</v>
      </c>
    </row>
    <row r="357" customFormat="false" ht="15" hidden="false" customHeight="false" outlineLevel="0" collapsed="false">
      <c r="A357" s="2" t="n">
        <v>356</v>
      </c>
      <c r="B357" s="6" t="n">
        <v>8</v>
      </c>
      <c r="C357" s="6" t="n">
        <v>28</v>
      </c>
      <c r="D357" s="8" t="str">
        <f aca="false">INDEX(Bases!$B$2:$B$53,B357)</f>
        <v>Corsola</v>
      </c>
      <c r="E357" s="8" t="str">
        <f aca="false">INDEX(Bases!$B$2:$B$53,C357)</f>
        <v>Zubat</v>
      </c>
      <c r="F357" s="2" t="str">
        <f aca="false">LEFT(D357,ROUNDUP(LEN(D357)/2,0))&amp;LOWER(MID(E357,ROUNDUP(LEN(E357)/2,0)+1,20))</f>
        <v>Corsat</v>
      </c>
      <c r="G357" s="8" t="str">
        <f aca="false">INDEX(Bases!$C$2:$C$53,B357)</f>
        <v>Water</v>
      </c>
      <c r="H357" s="8" t="str">
        <f aca="false">IF(INDEX(Bases!$C$2:$C$53,C357)=G357,"",INDEX(Bases!$C$2:$C$53,C357))</f>
        <v>Flying</v>
      </c>
      <c r="I357" s="8" t="str">
        <f aca="false">IF(INDEX(Bases!$E$2:$E$53,B357)="","",INDEX(Bases!$E$2:$E$53,B357))</f>
        <v/>
      </c>
      <c r="J357" s="8" t="str">
        <f aca="false">IF(INDEX(Bases!$E$2:$E$53,C357)="","",INDEX(Bases!$E$2:$E$53,C357))</f>
        <v/>
      </c>
      <c r="K357" s="5"/>
      <c r="L357" s="2" t="n">
        <f aca="false">AE357+IF(SUMPRODUCT(--($AL357:$AQ357&gt;AL357))&lt;$AK357,1,0)</f>
        <v>76</v>
      </c>
      <c r="M357" s="2" t="n">
        <f aca="false">AF357+IF(SUMPRODUCT(--($AL357:$AQ357&gt;AM357))+SUMPRODUCT(--($AL357:AL357=AM357))&lt;$AK357,1,0)</f>
        <v>79</v>
      </c>
      <c r="N357" s="2" t="n">
        <f aca="false">AG357+IF(SUMPRODUCT(--($AL357:$AQ357&gt;AN357))+SUMPRODUCT(--($AL357:AM357=AN357))&lt;$AK357,1,0)</f>
        <v>95</v>
      </c>
      <c r="O357" s="2" t="n">
        <f aca="false">AH357+IF(SUMPRODUCT(--($AL357:$AQ357&gt;AO357))+SUMPRODUCT(--($AL357:AN357=AO357))&lt;$AK357,1,0)</f>
        <v>68</v>
      </c>
      <c r="P357" s="2" t="n">
        <f aca="false">AI357+IF(SUMPRODUCT(--($AL357:$AQ357&gt;AP357))+SUMPRODUCT(--($AL357:AO357=AP357))&lt;$AK357,1,0)</f>
        <v>98</v>
      </c>
      <c r="Q357" s="2" t="n">
        <f aca="false">AJ357+IF(SUMPRODUCT(--($AL357:$AQ357&gt;AQ357))+SUMPRODUCT(--($AL357:AP357=AQ357))&lt;$AK357,1,0)</f>
        <v>84</v>
      </c>
      <c r="R357" s="2" t="n">
        <f aca="false">SUM(L357:Q357)</f>
        <v>500</v>
      </c>
      <c r="S357" s="2" t="n">
        <f aca="false">Settings!$B$4*MAX(INDEX(Bases!$M$2:$M$53,B357),INDEX(Bases!$M$2:$M$53,C357))+Settings!$B$5*MIN(INDEX(Bases!$M$2:$M$53,B357),INDEX(Bases!$M$2:$M$53,C357))</f>
        <v>64.3333333333333</v>
      </c>
      <c r="T357" s="2" t="n">
        <f aca="false">Settings!$B$4*MAX(INDEX(Bases!$N$2:$N$53,B357),INDEX(Bases!$N$2:$N$53,C357))+Settings!$B$5*MIN(INDEX(Bases!$N$2:$N$53,B357),INDEX(Bases!$N$2:$N$53,C357))</f>
        <v>67.3333333333333</v>
      </c>
      <c r="U357" s="2" t="n">
        <f aca="false">Settings!$B$4*MAX(INDEX(Bases!$O$2:$O$53,B357),INDEX(Bases!$O$2:$O$53,C357))+Settings!$B$5*MIN(INDEX(Bases!$O$2:$O$53,B357),INDEX(Bases!$O$2:$O$53,C357))</f>
        <v>81</v>
      </c>
      <c r="V357" s="2" t="n">
        <f aca="false">Settings!$B$4*MAX(INDEX(Bases!$P$2:$P$53,B357),INDEX(Bases!$P$2:$P$53,C357))+Settings!$B$5*MIN(INDEX(Bases!$P$2:$P$53,B357),INDEX(Bases!$P$2:$P$53,C357))</f>
        <v>58.3333333333333</v>
      </c>
      <c r="W357" s="2" t="n">
        <f aca="false">Settings!$B$4*MAX(INDEX(Bases!$Q$2:$Q$53,B357),INDEX(Bases!$Q$2:$Q$53,C357))+Settings!$B$5*MIN(INDEX(Bases!$Q$2:$Q$53,B357),INDEX(Bases!$Q$2:$Q$53,C357))</f>
        <v>83.6666666666667</v>
      </c>
      <c r="X357" s="2" t="n">
        <f aca="false">Settings!$B$4*MAX(INDEX(Bases!$R$2:$R$53,B357),INDEX(Bases!$R$2:$R$53,C357))+Settings!$B$5*MIN(INDEX(Bases!$R$2:$R$53,B357),INDEX(Bases!$R$2:$R$53,C357))</f>
        <v>71.3333333333333</v>
      </c>
      <c r="Y357" s="2" t="n">
        <f aca="false">S357*Settings!$B$3/SUM(S357:X357)</f>
        <v>75.508607198748</v>
      </c>
      <c r="Z357" s="2" t="n">
        <f aca="false">T357*Settings!$B$3/SUM(S357:X357)</f>
        <v>79.0297339593114</v>
      </c>
      <c r="AA357" s="2" t="n">
        <f aca="false">U357*Settings!$B$3/SUM(S357:X357)</f>
        <v>95.0704225352113</v>
      </c>
      <c r="AB357" s="2" t="n">
        <f aca="false">V357*Settings!$B$3/SUM(S357:X357)</f>
        <v>68.4663536776213</v>
      </c>
      <c r="AC357" s="2" t="n">
        <f aca="false">W357*Settings!$B$3/SUM(S357:X357)</f>
        <v>98.2003129890454</v>
      </c>
      <c r="AD357" s="2" t="n">
        <f aca="false">X357*Settings!$B$3/SUM(S357:X357)</f>
        <v>83.7245696400626</v>
      </c>
      <c r="AE357" s="2" t="n">
        <f aca="false">INT(Y357)</f>
        <v>75</v>
      </c>
      <c r="AF357" s="2" t="n">
        <f aca="false">INT(Z357)</f>
        <v>79</v>
      </c>
      <c r="AG357" s="2" t="n">
        <f aca="false">INT(AA357)</f>
        <v>95</v>
      </c>
      <c r="AH357" s="2" t="n">
        <f aca="false">INT(AB357)</f>
        <v>68</v>
      </c>
      <c r="AI357" s="2" t="n">
        <f aca="false">INT(AC357)</f>
        <v>98</v>
      </c>
      <c r="AJ357" s="2" t="n">
        <f aca="false">INT(AD357)</f>
        <v>83</v>
      </c>
      <c r="AK357" s="2" t="n">
        <f aca="false">Settings!$B$3-SUM(AE357:AJ357)</f>
        <v>2</v>
      </c>
      <c r="AL357" s="2" t="n">
        <f aca="false">ROUND(Y357-AE357,9)</f>
        <v>0.508607199</v>
      </c>
      <c r="AM357" s="2" t="n">
        <f aca="false">ROUND(Z357-AF357,9)</f>
        <v>0.029733959</v>
      </c>
      <c r="AN357" s="2" t="n">
        <f aca="false">ROUND(AA357-AG357,9)</f>
        <v>0.070422535</v>
      </c>
      <c r="AO357" s="2" t="n">
        <f aca="false">ROUND(AB357-AH357,9)</f>
        <v>0.466353678</v>
      </c>
      <c r="AP357" s="2" t="n">
        <f aca="false">ROUND(AC357-AI357,9)</f>
        <v>0.200312989</v>
      </c>
      <c r="AQ357" s="2" t="n">
        <f aca="false">ROUND(AD357-AJ357,9)</f>
        <v>0.72456964</v>
      </c>
    </row>
    <row r="358" customFormat="false" ht="15" hidden="false" customHeight="false" outlineLevel="0" collapsed="false">
      <c r="A358" s="2" t="n">
        <v>357</v>
      </c>
      <c r="B358" s="6" t="n">
        <v>8</v>
      </c>
      <c r="C358" s="6" t="n">
        <v>29</v>
      </c>
      <c r="D358" s="8" t="str">
        <f aca="false">INDEX(Bases!$B$2:$B$53,B358)</f>
        <v>Corsola</v>
      </c>
      <c r="E358" s="8" t="str">
        <f aca="false">INDEX(Bases!$B$2:$B$53,C358)</f>
        <v>Murkrow</v>
      </c>
      <c r="F358" s="2" t="str">
        <f aca="false">LEFT(D358,ROUNDUP(LEN(D358)/2,0))&amp;LOWER(MID(E358,ROUNDUP(LEN(E358)/2,0)+1,20))</f>
        <v>Corsrow</v>
      </c>
      <c r="G358" s="8" t="str">
        <f aca="false">INDEX(Bases!$C$2:$C$53,B358)</f>
        <v>Water</v>
      </c>
      <c r="H358" s="8" t="str">
        <f aca="false">IF(INDEX(Bases!$C$2:$C$53,C358)=G358,"",INDEX(Bases!$C$2:$C$53,C358))</f>
        <v>Flying</v>
      </c>
      <c r="I358" s="8" t="str">
        <f aca="false">IF(INDEX(Bases!$E$2:$E$53,B358)="","",INDEX(Bases!$E$2:$E$53,B358))</f>
        <v/>
      </c>
      <c r="J358" s="8" t="str">
        <f aca="false">IF(INDEX(Bases!$E$2:$E$53,C358)="","",INDEX(Bases!$E$2:$E$53,C358))</f>
        <v/>
      </c>
      <c r="K358" s="5"/>
      <c r="L358" s="2" t="n">
        <f aca="false">AE358+IF(SUMPRODUCT(--($AL358:$AQ358&gt;AL358))&lt;$AK358,1,0)</f>
        <v>71</v>
      </c>
      <c r="M358" s="2" t="n">
        <f aca="false">AF358+IF(SUMPRODUCT(--($AL358:$AQ358&gt;AM358))+SUMPRODUCT(--($AL358:AL358=AM358))&lt;$AK358,1,0)</f>
        <v>85</v>
      </c>
      <c r="N358" s="2" t="n">
        <f aca="false">AG358+IF(SUMPRODUCT(--($AL358:$AQ358&gt;AN358))+SUMPRODUCT(--($AL358:AM358=AN358))&lt;$AK358,1,0)</f>
        <v>87</v>
      </c>
      <c r="O358" s="2" t="n">
        <f aca="false">AH358+IF(SUMPRODUCT(--($AL358:$AQ358&gt;AO358))+SUMPRODUCT(--($AL358:AN358=AO358))&lt;$AK358,1,0)</f>
        <v>88</v>
      </c>
      <c r="P358" s="2" t="n">
        <f aca="false">AI358+IF(SUMPRODUCT(--($AL358:$AQ358&gt;AP358))+SUMPRODUCT(--($AL358:AO358=AP358))&lt;$AK358,1,0)</f>
        <v>87</v>
      </c>
      <c r="Q358" s="2" t="n">
        <f aca="false">AJ358+IF(SUMPRODUCT(--($AL358:$AQ358&gt;AQ358))+SUMPRODUCT(--($AL358:AP358=AQ358))&lt;$AK358,1,0)</f>
        <v>82</v>
      </c>
      <c r="R358" s="2" t="n">
        <f aca="false">SUM(L358:Q358)</f>
        <v>500</v>
      </c>
      <c r="S358" s="2" t="n">
        <f aca="false">Settings!$B$4*MAX(INDEX(Bases!$M$2:$M$53,B358),INDEX(Bases!$M$2:$M$53,C358))+Settings!$B$5*MIN(INDEX(Bases!$M$2:$M$53,B358),INDEX(Bases!$M$2:$M$53,C358))</f>
        <v>61.6666666666667</v>
      </c>
      <c r="T358" s="2" t="n">
        <f aca="false">Settings!$B$4*MAX(INDEX(Bases!$N$2:$N$53,B358),INDEX(Bases!$N$2:$N$53,C358))+Settings!$B$5*MIN(INDEX(Bases!$N$2:$N$53,B358),INDEX(Bases!$N$2:$N$53,C358))</f>
        <v>74</v>
      </c>
      <c r="U358" s="2" t="n">
        <f aca="false">Settings!$B$4*MAX(INDEX(Bases!$O$2:$O$53,B358),INDEX(Bases!$O$2:$O$53,C358))+Settings!$B$5*MIN(INDEX(Bases!$O$2:$O$53,B358),INDEX(Bases!$O$2:$O$53,C358))</f>
        <v>76</v>
      </c>
      <c r="V358" s="2" t="n">
        <f aca="false">Settings!$B$4*MAX(INDEX(Bases!$P$2:$P$53,B358),INDEX(Bases!$P$2:$P$53,C358))+Settings!$B$5*MIN(INDEX(Bases!$P$2:$P$53,B358),INDEX(Bases!$P$2:$P$53,C358))</f>
        <v>77</v>
      </c>
      <c r="W358" s="2" t="n">
        <f aca="false">Settings!$B$4*MAX(INDEX(Bases!$Q$2:$Q$53,B358),INDEX(Bases!$Q$2:$Q$53,C358))+Settings!$B$5*MIN(INDEX(Bases!$Q$2:$Q$53,B358),INDEX(Bases!$Q$2:$Q$53,C358))</f>
        <v>75.6666666666667</v>
      </c>
      <c r="X358" s="2" t="n">
        <f aca="false">Settings!$B$4*MAX(INDEX(Bases!$R$2:$R$53,B358),INDEX(Bases!$R$2:$R$53,C358))+Settings!$B$5*MIN(INDEX(Bases!$R$2:$R$53,B358),INDEX(Bases!$R$2:$R$53,C358))</f>
        <v>71.3333333333333</v>
      </c>
      <c r="Y358" s="2" t="n">
        <f aca="false">S358*Settings!$B$3/SUM(S358:X358)</f>
        <v>70.7727620504973</v>
      </c>
      <c r="Z358" s="2" t="n">
        <f aca="false">T358*Settings!$B$3/SUM(S358:X358)</f>
        <v>84.9273144605968</v>
      </c>
      <c r="AA358" s="2" t="n">
        <f aca="false">U358*Settings!$B$3/SUM(S358:X358)</f>
        <v>87.2226472838562</v>
      </c>
      <c r="AB358" s="2" t="n">
        <f aca="false">V358*Settings!$B$3/SUM(S358:X358)</f>
        <v>88.3703136954859</v>
      </c>
      <c r="AC358" s="2" t="n">
        <f aca="false">W358*Settings!$B$3/SUM(S358:X358)</f>
        <v>86.8400918133129</v>
      </c>
      <c r="AD358" s="2" t="n">
        <f aca="false">X358*Settings!$B$3/SUM(S358:X358)</f>
        <v>81.8668706962509</v>
      </c>
      <c r="AE358" s="2" t="n">
        <f aca="false">INT(Y358)</f>
        <v>70</v>
      </c>
      <c r="AF358" s="2" t="n">
        <f aca="false">INT(Z358)</f>
        <v>84</v>
      </c>
      <c r="AG358" s="2" t="n">
        <f aca="false">INT(AA358)</f>
        <v>87</v>
      </c>
      <c r="AH358" s="2" t="n">
        <f aca="false">INT(AB358)</f>
        <v>88</v>
      </c>
      <c r="AI358" s="2" t="n">
        <f aca="false">INT(AC358)</f>
        <v>86</v>
      </c>
      <c r="AJ358" s="2" t="n">
        <f aca="false">INT(AD358)</f>
        <v>81</v>
      </c>
      <c r="AK358" s="2" t="n">
        <f aca="false">Settings!$B$3-SUM(AE358:AJ358)</f>
        <v>4</v>
      </c>
      <c r="AL358" s="2" t="n">
        <f aca="false">ROUND(Y358-AE358,9)</f>
        <v>0.77276205</v>
      </c>
      <c r="AM358" s="2" t="n">
        <f aca="false">ROUND(Z358-AF358,9)</f>
        <v>0.927314461</v>
      </c>
      <c r="AN358" s="2" t="n">
        <f aca="false">ROUND(AA358-AG358,9)</f>
        <v>0.222647284</v>
      </c>
      <c r="AO358" s="2" t="n">
        <f aca="false">ROUND(AB358-AH358,9)</f>
        <v>0.370313695</v>
      </c>
      <c r="AP358" s="2" t="n">
        <f aca="false">ROUND(AC358-AI358,9)</f>
        <v>0.840091813</v>
      </c>
      <c r="AQ358" s="2" t="n">
        <f aca="false">ROUND(AD358-AJ358,9)</f>
        <v>0.866870696</v>
      </c>
    </row>
    <row r="359" customFormat="false" ht="15" hidden="false" customHeight="false" outlineLevel="0" collapsed="false">
      <c r="A359" s="2" t="n">
        <v>358</v>
      </c>
      <c r="B359" s="6" t="n">
        <v>8</v>
      </c>
      <c r="C359" s="6" t="n">
        <v>30</v>
      </c>
      <c r="D359" s="8" t="str">
        <f aca="false">INDEX(Bases!$B$2:$B$53,B359)</f>
        <v>Corsola</v>
      </c>
      <c r="E359" s="8" t="str">
        <f aca="false">INDEX(Bases!$B$2:$B$53,C359)</f>
        <v>Swablu</v>
      </c>
      <c r="F359" s="2" t="str">
        <f aca="false">LEFT(D359,ROUNDUP(LEN(D359)/2,0))&amp;LOWER(MID(E359,ROUNDUP(LEN(E359)/2,0)+1,20))</f>
        <v>Corsblu</v>
      </c>
      <c r="G359" s="8" t="str">
        <f aca="false">INDEX(Bases!$C$2:$C$53,B359)</f>
        <v>Water</v>
      </c>
      <c r="H359" s="8" t="str">
        <f aca="false">IF(INDEX(Bases!$C$2:$C$53,C359)=G359,"",INDEX(Bases!$C$2:$C$53,C359))</f>
        <v>Flying</v>
      </c>
      <c r="I359" s="8" t="str">
        <f aca="false">IF(INDEX(Bases!$E$2:$E$53,B359)="","",INDEX(Bases!$E$2:$E$53,B359))</f>
        <v/>
      </c>
      <c r="J359" s="8" t="str">
        <f aca="false">IF(INDEX(Bases!$E$2:$E$53,C359)="","",INDEX(Bases!$E$2:$E$53,C359))</f>
        <v/>
      </c>
      <c r="K359" s="5"/>
      <c r="L359" s="2" t="n">
        <f aca="false">AE359+IF(SUMPRODUCT(--($AL359:$AQ359&gt;AL359))&lt;$AK359,1,0)</f>
        <v>74</v>
      </c>
      <c r="M359" s="2" t="n">
        <f aca="false">AF359+IF(SUMPRODUCT(--($AL359:$AQ359&gt;AM359))+SUMPRODUCT(--($AL359:AL359=AM359))&lt;$AK359,1,0)</f>
        <v>65</v>
      </c>
      <c r="N359" s="2" t="n">
        <f aca="false">AG359+IF(SUMPRODUCT(--($AL359:$AQ359&gt;AN359))+SUMPRODUCT(--($AL359:AM359=AN359))&lt;$AK359,1,0)</f>
        <v>107</v>
      </c>
      <c r="O359" s="2" t="n">
        <f aca="false">AH359+IF(SUMPRODUCT(--($AL359:$AQ359&gt;AO359))+SUMPRODUCT(--($AL359:AN359=AO359))&lt;$AK359,1,0)</f>
        <v>72</v>
      </c>
      <c r="P359" s="2" t="n">
        <f aca="false">AI359+IF(SUMPRODUCT(--($AL359:$AQ359&gt;AP359))+SUMPRODUCT(--($AL359:AO359=AP359))&lt;$AK359,1,0)</f>
        <v>116</v>
      </c>
      <c r="Q359" s="2" t="n">
        <f aca="false">AJ359+IF(SUMPRODUCT(--($AL359:$AQ359&gt;AQ359))+SUMPRODUCT(--($AL359:AP359=AQ359))&lt;$AK359,1,0)</f>
        <v>66</v>
      </c>
      <c r="R359" s="2" t="n">
        <f aca="false">SUM(L359:Q359)</f>
        <v>500</v>
      </c>
      <c r="S359" s="2" t="n">
        <f aca="false">Settings!$B$4*MAX(INDEX(Bases!$M$2:$M$53,B359),INDEX(Bases!$M$2:$M$53,C359))+Settings!$B$5*MIN(INDEX(Bases!$M$2:$M$53,B359),INDEX(Bases!$M$2:$M$53,C359))</f>
        <v>61.3333333333333</v>
      </c>
      <c r="T359" s="2" t="n">
        <f aca="false">Settings!$B$4*MAX(INDEX(Bases!$N$2:$N$53,B359),INDEX(Bases!$N$2:$N$53,C359))+Settings!$B$5*MIN(INDEX(Bases!$N$2:$N$53,B359),INDEX(Bases!$N$2:$N$53,C359))</f>
        <v>53.3333333333333</v>
      </c>
      <c r="U359" s="2" t="n">
        <f aca="false">Settings!$B$4*MAX(INDEX(Bases!$O$2:$O$53,B359),INDEX(Bases!$O$2:$O$53,C359))+Settings!$B$5*MIN(INDEX(Bases!$O$2:$O$53,B359),INDEX(Bases!$O$2:$O$53,C359))</f>
        <v>87.6666666666667</v>
      </c>
      <c r="V359" s="2" t="n">
        <f aca="false">Settings!$B$4*MAX(INDEX(Bases!$P$2:$P$53,B359),INDEX(Bases!$P$2:$P$53,C359))+Settings!$B$5*MIN(INDEX(Bases!$P$2:$P$53,B359),INDEX(Bases!$P$2:$P$53,C359))</f>
        <v>59.3333333333333</v>
      </c>
      <c r="W359" s="2" t="n">
        <f aca="false">Settings!$B$4*MAX(INDEX(Bases!$Q$2:$Q$53,B359),INDEX(Bases!$Q$2:$Q$53,C359))+Settings!$B$5*MIN(INDEX(Bases!$Q$2:$Q$53,B359),INDEX(Bases!$Q$2:$Q$53,C359))</f>
        <v>95.6666666666667</v>
      </c>
      <c r="X359" s="2" t="n">
        <f aca="false">Settings!$B$4*MAX(INDEX(Bases!$R$2:$R$53,B359),INDEX(Bases!$R$2:$R$53,C359))+Settings!$B$5*MIN(INDEX(Bases!$R$2:$R$53,B359),INDEX(Bases!$R$2:$R$53,C359))</f>
        <v>54</v>
      </c>
      <c r="Y359" s="2" t="n">
        <f aca="false">S359*Settings!$B$3/SUM(S359:X359)</f>
        <v>74.5542949756888</v>
      </c>
      <c r="Z359" s="2" t="n">
        <f aca="false">T359*Settings!$B$3/SUM(S359:X359)</f>
        <v>64.8298217179903</v>
      </c>
      <c r="AA359" s="2" t="n">
        <f aca="false">U359*Settings!$B$3/SUM(S359:X359)</f>
        <v>106.564019448947</v>
      </c>
      <c r="AB359" s="2" t="n">
        <f aca="false">V359*Settings!$B$3/SUM(S359:X359)</f>
        <v>72.1231766612642</v>
      </c>
      <c r="AC359" s="2" t="n">
        <f aca="false">W359*Settings!$B$3/SUM(S359:X359)</f>
        <v>116.288492706645</v>
      </c>
      <c r="AD359" s="2" t="n">
        <f aca="false">X359*Settings!$B$3/SUM(S359:X359)</f>
        <v>65.6401944894652</v>
      </c>
      <c r="AE359" s="2" t="n">
        <f aca="false">INT(Y359)</f>
        <v>74</v>
      </c>
      <c r="AF359" s="2" t="n">
        <f aca="false">INT(Z359)</f>
        <v>64</v>
      </c>
      <c r="AG359" s="2" t="n">
        <f aca="false">INT(AA359)</f>
        <v>106</v>
      </c>
      <c r="AH359" s="2" t="n">
        <f aca="false">INT(AB359)</f>
        <v>72</v>
      </c>
      <c r="AI359" s="2" t="n">
        <f aca="false">INT(AC359)</f>
        <v>116</v>
      </c>
      <c r="AJ359" s="2" t="n">
        <f aca="false">INT(AD359)</f>
        <v>65</v>
      </c>
      <c r="AK359" s="2" t="n">
        <f aca="false">Settings!$B$3-SUM(AE359:AJ359)</f>
        <v>3</v>
      </c>
      <c r="AL359" s="2" t="n">
        <f aca="false">ROUND(Y359-AE359,9)</f>
        <v>0.554294976</v>
      </c>
      <c r="AM359" s="2" t="n">
        <f aca="false">ROUND(Z359-AF359,9)</f>
        <v>0.829821718</v>
      </c>
      <c r="AN359" s="2" t="n">
        <f aca="false">ROUND(AA359-AG359,9)</f>
        <v>0.564019449</v>
      </c>
      <c r="AO359" s="2" t="n">
        <f aca="false">ROUND(AB359-AH359,9)</f>
        <v>0.123176661</v>
      </c>
      <c r="AP359" s="2" t="n">
        <f aca="false">ROUND(AC359-AI359,9)</f>
        <v>0.288492707</v>
      </c>
      <c r="AQ359" s="2" t="n">
        <f aca="false">ROUND(AD359-AJ359,9)</f>
        <v>0.640194489</v>
      </c>
    </row>
    <row r="360" customFormat="false" ht="15" hidden="false" customHeight="false" outlineLevel="0" collapsed="false">
      <c r="A360" s="2" t="n">
        <v>359</v>
      </c>
      <c r="B360" s="6" t="n">
        <v>8</v>
      </c>
      <c r="C360" s="6" t="n">
        <v>31</v>
      </c>
      <c r="D360" s="8" t="str">
        <f aca="false">INDEX(Bases!$B$2:$B$53,B360)</f>
        <v>Corsola</v>
      </c>
      <c r="E360" s="8" t="str">
        <f aca="false">INDEX(Bases!$B$2:$B$53,C360)</f>
        <v>Mew</v>
      </c>
      <c r="F360" s="2" t="str">
        <f aca="false">LEFT(D360,ROUNDUP(LEN(D360)/2,0))&amp;LOWER(MID(E360,ROUNDUP(LEN(E360)/2,0)+1,20))</f>
        <v>Corsw</v>
      </c>
      <c r="G360" s="8" t="str">
        <f aca="false">INDEX(Bases!$C$2:$C$53,B360)</f>
        <v>Water</v>
      </c>
      <c r="H360" s="8" t="str">
        <f aca="false">IF(INDEX(Bases!$C$2:$C$53,C360)=G360,"",INDEX(Bases!$C$2:$C$53,C360))</f>
        <v>Psychic</v>
      </c>
      <c r="I360" s="8" t="str">
        <f aca="false">IF(INDEX(Bases!$E$2:$E$53,B360)="","",INDEX(Bases!$E$2:$E$53,B360))</f>
        <v/>
      </c>
      <c r="J360" s="8" t="str">
        <f aca="false">IF(INDEX(Bases!$E$2:$E$53,C360)="","",INDEX(Bases!$E$2:$E$53,C360))</f>
        <v/>
      </c>
      <c r="K360" s="5"/>
      <c r="L360" s="2" t="n">
        <f aca="false">AE360+IF(SUMPRODUCT(--($AL360:$AQ360&gt;AL360))&lt;$AK360,1,0)</f>
        <v>79</v>
      </c>
      <c r="M360" s="2" t="n">
        <f aca="false">AF360+IF(SUMPRODUCT(--($AL360:$AQ360&gt;AM360))+SUMPRODUCT(--($AL360:AL360=AM360))&lt;$AK360,1,0)</f>
        <v>75</v>
      </c>
      <c r="N360" s="2" t="n">
        <f aca="false">AG360+IF(SUMPRODUCT(--($AL360:$AQ360&gt;AN360))+SUMPRODUCT(--($AL360:AM360=AN360))&lt;$AK360,1,0)</f>
        <v>101</v>
      </c>
      <c r="O360" s="2" t="n">
        <f aca="false">AH360+IF(SUMPRODUCT(--($AL360:$AQ360&gt;AO360))+SUMPRODUCT(--($AL360:AN360=AO360))&lt;$AK360,1,0)</f>
        <v>79</v>
      </c>
      <c r="P360" s="2" t="n">
        <f aca="false">AI360+IF(SUMPRODUCT(--($AL360:$AQ360&gt;AP360))+SUMPRODUCT(--($AL360:AO360=AP360))&lt;$AK360,1,0)</f>
        <v>100</v>
      </c>
      <c r="Q360" s="2" t="n">
        <f aca="false">AJ360+IF(SUMPRODUCT(--($AL360:$AQ360&gt;AQ360))+SUMPRODUCT(--($AL360:AP360=AQ360))&lt;$AK360,1,0)</f>
        <v>66</v>
      </c>
      <c r="R360" s="2" t="n">
        <f aca="false">SUM(L360:Q360)</f>
        <v>500</v>
      </c>
      <c r="S360" s="2" t="n">
        <f aca="false">Settings!$B$4*MAX(INDEX(Bases!$M$2:$M$53,B360),INDEX(Bases!$M$2:$M$53,C360))+Settings!$B$5*MIN(INDEX(Bases!$M$2:$M$53,B360),INDEX(Bases!$M$2:$M$53,C360))</f>
        <v>65.6666666666667</v>
      </c>
      <c r="T360" s="2" t="n">
        <f aca="false">Settings!$B$4*MAX(INDEX(Bases!$N$2:$N$53,B360),INDEX(Bases!$N$2:$N$53,C360))+Settings!$B$5*MIN(INDEX(Bases!$N$2:$N$53,B360),INDEX(Bases!$N$2:$N$53,C360))</f>
        <v>62.6666666666667</v>
      </c>
      <c r="U360" s="2" t="n">
        <f aca="false">Settings!$B$4*MAX(INDEX(Bases!$O$2:$O$53,B360),INDEX(Bases!$O$2:$O$53,C360))+Settings!$B$5*MIN(INDEX(Bases!$O$2:$O$53,B360),INDEX(Bases!$O$2:$O$53,C360))</f>
        <v>84.3333333333333</v>
      </c>
      <c r="V360" s="2" t="n">
        <f aca="false">Settings!$B$4*MAX(INDEX(Bases!$P$2:$P$53,B360),INDEX(Bases!$P$2:$P$53,C360))+Settings!$B$5*MIN(INDEX(Bases!$P$2:$P$53,B360),INDEX(Bases!$P$2:$P$53,C360))</f>
        <v>65.6666666666667</v>
      </c>
      <c r="W360" s="2" t="n">
        <f aca="false">Settings!$B$4*MAX(INDEX(Bases!$Q$2:$Q$53,B360),INDEX(Bases!$Q$2:$Q$53,C360))+Settings!$B$5*MIN(INDEX(Bases!$Q$2:$Q$53,B360),INDEX(Bases!$Q$2:$Q$53,C360))</f>
        <v>84</v>
      </c>
      <c r="X360" s="2" t="n">
        <f aca="false">Settings!$B$4*MAX(INDEX(Bases!$R$2:$R$53,B360),INDEX(Bases!$R$2:$R$53,C360))+Settings!$B$5*MIN(INDEX(Bases!$R$2:$R$53,B360),INDEX(Bases!$R$2:$R$53,C360))</f>
        <v>55.3333333333333</v>
      </c>
      <c r="Y360" s="2" t="n">
        <f aca="false">S360*Settings!$B$3/SUM(S360:X360)</f>
        <v>78.6113328012769</v>
      </c>
      <c r="Z360" s="2" t="n">
        <f aca="false">T360*Settings!$B$3/SUM(S360:X360)</f>
        <v>75.0199521149242</v>
      </c>
      <c r="AA360" s="2" t="n">
        <f aca="false">U360*Settings!$B$3/SUM(S360:X360)</f>
        <v>100.957701516361</v>
      </c>
      <c r="AB360" s="2" t="n">
        <f aca="false">V360*Settings!$B$3/SUM(S360:X360)</f>
        <v>78.6113328012769</v>
      </c>
      <c r="AC360" s="2" t="n">
        <f aca="false">W360*Settings!$B$3/SUM(S360:X360)</f>
        <v>100.558659217877</v>
      </c>
      <c r="AD360" s="2" t="n">
        <f aca="false">X360*Settings!$B$3/SUM(S360:X360)</f>
        <v>66.2410215482841</v>
      </c>
      <c r="AE360" s="2" t="n">
        <f aca="false">INT(Y360)</f>
        <v>78</v>
      </c>
      <c r="AF360" s="2" t="n">
        <f aca="false">INT(Z360)</f>
        <v>75</v>
      </c>
      <c r="AG360" s="2" t="n">
        <f aca="false">INT(AA360)</f>
        <v>100</v>
      </c>
      <c r="AH360" s="2" t="n">
        <f aca="false">INT(AB360)</f>
        <v>78</v>
      </c>
      <c r="AI360" s="2" t="n">
        <f aca="false">INT(AC360)</f>
        <v>100</v>
      </c>
      <c r="AJ360" s="2" t="n">
        <f aca="false">INT(AD360)</f>
        <v>66</v>
      </c>
      <c r="AK360" s="2" t="n">
        <f aca="false">Settings!$B$3-SUM(AE360:AJ360)</f>
        <v>3</v>
      </c>
      <c r="AL360" s="2" t="n">
        <f aca="false">ROUND(Y360-AE360,9)</f>
        <v>0.611332801</v>
      </c>
      <c r="AM360" s="2" t="n">
        <f aca="false">ROUND(Z360-AF360,9)</f>
        <v>0.019952115</v>
      </c>
      <c r="AN360" s="2" t="n">
        <f aca="false">ROUND(AA360-AG360,9)</f>
        <v>0.957701516</v>
      </c>
      <c r="AO360" s="2" t="n">
        <f aca="false">ROUND(AB360-AH360,9)</f>
        <v>0.611332801</v>
      </c>
      <c r="AP360" s="2" t="n">
        <f aca="false">ROUND(AC360-AI360,9)</f>
        <v>0.558659218</v>
      </c>
      <c r="AQ360" s="2" t="n">
        <f aca="false">ROUND(AD360-AJ360,9)</f>
        <v>0.241021548</v>
      </c>
    </row>
    <row r="361" customFormat="false" ht="15" hidden="false" customHeight="false" outlineLevel="0" collapsed="false">
      <c r="A361" s="2" t="n">
        <v>360</v>
      </c>
      <c r="B361" s="6" t="n">
        <v>8</v>
      </c>
      <c r="C361" s="6" t="n">
        <v>32</v>
      </c>
      <c r="D361" s="8" t="str">
        <f aca="false">INDEX(Bases!$B$2:$B$53,B361)</f>
        <v>Corsola</v>
      </c>
      <c r="E361" s="8" t="str">
        <f aca="false">INDEX(Bases!$B$2:$B$53,C361)</f>
        <v>Spoink</v>
      </c>
      <c r="F361" s="2" t="str">
        <f aca="false">LEFT(D361,ROUNDUP(LEN(D361)/2,0))&amp;LOWER(MID(E361,ROUNDUP(LEN(E361)/2,0)+1,20))</f>
        <v>Corsink</v>
      </c>
      <c r="G361" s="8" t="str">
        <f aca="false">INDEX(Bases!$C$2:$C$53,B361)</f>
        <v>Water</v>
      </c>
      <c r="H361" s="8" t="str">
        <f aca="false">IF(INDEX(Bases!$C$2:$C$53,C361)=G361,"",INDEX(Bases!$C$2:$C$53,C361))</f>
        <v>Psychic</v>
      </c>
      <c r="I361" s="8" t="str">
        <f aca="false">IF(INDEX(Bases!$E$2:$E$53,B361)="","",INDEX(Bases!$E$2:$E$53,B361))</f>
        <v/>
      </c>
      <c r="J361" s="8" t="str">
        <f aca="false">IF(INDEX(Bases!$E$2:$E$53,C361)="","",INDEX(Bases!$E$2:$E$53,C361))</f>
        <v/>
      </c>
      <c r="K361" s="5"/>
      <c r="L361" s="2" t="n">
        <f aca="false">AE361+IF(SUMPRODUCT(--($AL361:$AQ361&gt;AL361))&lt;$AK361,1,0)</f>
        <v>82</v>
      </c>
      <c r="M361" s="2" t="n">
        <f aca="false">AF361+IF(SUMPRODUCT(--($AL361:$AQ361&gt;AM361))+SUMPRODUCT(--($AL361:AL361=AM361))&lt;$AK361,1,0)</f>
        <v>54</v>
      </c>
      <c r="N361" s="2" t="n">
        <f aca="false">AG361+IF(SUMPRODUCT(--($AL361:$AQ361&gt;AN361))+SUMPRODUCT(--($AL361:AM361=AN361))&lt;$AK361,1,0)</f>
        <v>89</v>
      </c>
      <c r="O361" s="2" t="n">
        <f aca="false">AH361+IF(SUMPRODUCT(--($AL361:$AQ361&gt;AO361))+SUMPRODUCT(--($AL361:AN361=AO361))&lt;$AK361,1,0)</f>
        <v>91</v>
      </c>
      <c r="P361" s="2" t="n">
        <f aca="false">AI361+IF(SUMPRODUCT(--($AL361:$AQ361&gt;AP361))+SUMPRODUCT(--($AL361:AO361=AP361))&lt;$AK361,1,0)</f>
        <v>113</v>
      </c>
      <c r="Q361" s="2" t="n">
        <f aca="false">AJ361+IF(SUMPRODUCT(--($AL361:$AQ361&gt;AQ361))+SUMPRODUCT(--($AL361:AP361=AQ361))&lt;$AK361,1,0)</f>
        <v>71</v>
      </c>
      <c r="R361" s="2" t="n">
        <f aca="false">SUM(L361:Q361)</f>
        <v>500</v>
      </c>
      <c r="S361" s="2" t="n">
        <f aca="false">Settings!$B$4*MAX(INDEX(Bases!$M$2:$M$53,B361),INDEX(Bases!$M$2:$M$53,C361))+Settings!$B$5*MIN(INDEX(Bases!$M$2:$M$53,B361),INDEX(Bases!$M$2:$M$53,C361))</f>
        <v>69.6666666666667</v>
      </c>
      <c r="T361" s="2" t="n">
        <f aca="false">Settings!$B$4*MAX(INDEX(Bases!$N$2:$N$53,B361),INDEX(Bases!$N$2:$N$53,C361))+Settings!$B$5*MIN(INDEX(Bases!$N$2:$N$53,B361),INDEX(Bases!$N$2:$N$53,C361))</f>
        <v>46</v>
      </c>
      <c r="U361" s="2" t="n">
        <f aca="false">Settings!$B$4*MAX(INDEX(Bases!$O$2:$O$53,B361),INDEX(Bases!$O$2:$O$53,C361))+Settings!$B$5*MIN(INDEX(Bases!$O$2:$O$53,B361),INDEX(Bases!$O$2:$O$53,C361))</f>
        <v>76</v>
      </c>
      <c r="V361" s="2" t="n">
        <f aca="false">Settings!$B$4*MAX(INDEX(Bases!$P$2:$P$53,B361),INDEX(Bases!$P$2:$P$53,C361))+Settings!$B$5*MIN(INDEX(Bases!$P$2:$P$53,B361),INDEX(Bases!$P$2:$P$53,C361))</f>
        <v>77.6666666666667</v>
      </c>
      <c r="W361" s="2" t="n">
        <f aca="false">Settings!$B$4*MAX(INDEX(Bases!$Q$2:$Q$53,B361),INDEX(Bases!$Q$2:$Q$53,C361))+Settings!$B$5*MIN(INDEX(Bases!$Q$2:$Q$53,B361),INDEX(Bases!$Q$2:$Q$53,C361))</f>
        <v>95.6666666666667</v>
      </c>
      <c r="X361" s="2" t="n">
        <f aca="false">Settings!$B$4*MAX(INDEX(Bases!$R$2:$R$53,B361),INDEX(Bases!$R$2:$R$53,C361))+Settings!$B$5*MIN(INDEX(Bases!$R$2:$R$53,B361),INDEX(Bases!$R$2:$R$53,C361))</f>
        <v>60</v>
      </c>
      <c r="Y361" s="2" t="n">
        <f aca="false">S361*Settings!$B$3/SUM(S361:X361)</f>
        <v>81.9607843137255</v>
      </c>
      <c r="Z361" s="2" t="n">
        <f aca="false">T361*Settings!$B$3/SUM(S361:X361)</f>
        <v>54.1176470588235</v>
      </c>
      <c r="AA361" s="2" t="n">
        <f aca="false">U361*Settings!$B$3/SUM(S361:X361)</f>
        <v>89.4117647058824</v>
      </c>
      <c r="AB361" s="2" t="n">
        <f aca="false">V361*Settings!$B$3/SUM(S361:X361)</f>
        <v>91.3725490196079</v>
      </c>
      <c r="AC361" s="2" t="n">
        <f aca="false">W361*Settings!$B$3/SUM(S361:X361)</f>
        <v>112.549019607843</v>
      </c>
      <c r="AD361" s="2" t="n">
        <f aca="false">X361*Settings!$B$3/SUM(S361:X361)</f>
        <v>70.5882352941177</v>
      </c>
      <c r="AE361" s="2" t="n">
        <f aca="false">INT(Y361)</f>
        <v>81</v>
      </c>
      <c r="AF361" s="2" t="n">
        <f aca="false">INT(Z361)</f>
        <v>54</v>
      </c>
      <c r="AG361" s="2" t="n">
        <f aca="false">INT(AA361)</f>
        <v>89</v>
      </c>
      <c r="AH361" s="2" t="n">
        <f aca="false">INT(AB361)</f>
        <v>91</v>
      </c>
      <c r="AI361" s="2" t="n">
        <f aca="false">INT(AC361)</f>
        <v>112</v>
      </c>
      <c r="AJ361" s="2" t="n">
        <f aca="false">INT(AD361)</f>
        <v>70</v>
      </c>
      <c r="AK361" s="2" t="n">
        <f aca="false">Settings!$B$3-SUM(AE361:AJ361)</f>
        <v>3</v>
      </c>
      <c r="AL361" s="2" t="n">
        <f aca="false">ROUND(Y361-AE361,9)</f>
        <v>0.960784314</v>
      </c>
      <c r="AM361" s="2" t="n">
        <f aca="false">ROUND(Z361-AF361,9)</f>
        <v>0.117647059</v>
      </c>
      <c r="AN361" s="2" t="n">
        <f aca="false">ROUND(AA361-AG361,9)</f>
        <v>0.411764706</v>
      </c>
      <c r="AO361" s="2" t="n">
        <f aca="false">ROUND(AB361-AH361,9)</f>
        <v>0.37254902</v>
      </c>
      <c r="AP361" s="2" t="n">
        <f aca="false">ROUND(AC361-AI361,9)</f>
        <v>0.549019608</v>
      </c>
      <c r="AQ361" s="2" t="n">
        <f aca="false">ROUND(AD361-AJ361,9)</f>
        <v>0.588235294</v>
      </c>
    </row>
    <row r="362" customFormat="false" ht="15" hidden="false" customHeight="false" outlineLevel="0" collapsed="false">
      <c r="A362" s="2" t="n">
        <v>361</v>
      </c>
      <c r="B362" s="6" t="n">
        <v>8</v>
      </c>
      <c r="C362" s="6" t="n">
        <v>33</v>
      </c>
      <c r="D362" s="8" t="str">
        <f aca="false">INDEX(Bases!$B$2:$B$53,B362)</f>
        <v>Corsola</v>
      </c>
      <c r="E362" s="8" t="str">
        <f aca="false">INDEX(Bases!$B$2:$B$53,C362)</f>
        <v>Jirachi</v>
      </c>
      <c r="F362" s="2" t="str">
        <f aca="false">LEFT(D362,ROUNDUP(LEN(D362)/2,0))&amp;LOWER(MID(E362,ROUNDUP(LEN(E362)/2,0)+1,20))</f>
        <v>Corschi</v>
      </c>
      <c r="G362" s="8" t="str">
        <f aca="false">INDEX(Bases!$C$2:$C$53,B362)</f>
        <v>Water</v>
      </c>
      <c r="H362" s="8" t="str">
        <f aca="false">IF(INDEX(Bases!$C$2:$C$53,C362)=G362,"",INDEX(Bases!$C$2:$C$53,C362))</f>
        <v>Psychic</v>
      </c>
      <c r="I362" s="8" t="str">
        <f aca="false">IF(INDEX(Bases!$E$2:$E$53,B362)="","",INDEX(Bases!$E$2:$E$53,B362))</f>
        <v/>
      </c>
      <c r="J362" s="8" t="str">
        <f aca="false">IF(INDEX(Bases!$E$2:$E$53,C362)="","",INDEX(Bases!$E$2:$E$53,C362))</f>
        <v/>
      </c>
      <c r="K362" s="5"/>
      <c r="L362" s="2" t="n">
        <f aca="false">AE362+IF(SUMPRODUCT(--($AL362:$AQ362&gt;AL362))&lt;$AK362,1,0)</f>
        <v>79</v>
      </c>
      <c r="M362" s="2" t="n">
        <f aca="false">AF362+IF(SUMPRODUCT(--($AL362:$AQ362&gt;AM362))+SUMPRODUCT(--($AL362:AL362=AM362))&lt;$AK362,1,0)</f>
        <v>75</v>
      </c>
      <c r="N362" s="2" t="n">
        <f aca="false">AG362+IF(SUMPRODUCT(--($AL362:$AQ362&gt;AN362))+SUMPRODUCT(--($AL362:AM362=AN362))&lt;$AK362,1,0)</f>
        <v>101</v>
      </c>
      <c r="O362" s="2" t="n">
        <f aca="false">AH362+IF(SUMPRODUCT(--($AL362:$AQ362&gt;AO362))+SUMPRODUCT(--($AL362:AN362=AO362))&lt;$AK362,1,0)</f>
        <v>79</v>
      </c>
      <c r="P362" s="2" t="n">
        <f aca="false">AI362+IF(SUMPRODUCT(--($AL362:$AQ362&gt;AP362))+SUMPRODUCT(--($AL362:AO362=AP362))&lt;$AK362,1,0)</f>
        <v>100</v>
      </c>
      <c r="Q362" s="2" t="n">
        <f aca="false">AJ362+IF(SUMPRODUCT(--($AL362:$AQ362&gt;AQ362))+SUMPRODUCT(--($AL362:AP362=AQ362))&lt;$AK362,1,0)</f>
        <v>66</v>
      </c>
      <c r="R362" s="2" t="n">
        <f aca="false">SUM(L362:Q362)</f>
        <v>500</v>
      </c>
      <c r="S362" s="2" t="n">
        <f aca="false">Settings!$B$4*MAX(INDEX(Bases!$M$2:$M$53,B362),INDEX(Bases!$M$2:$M$53,C362))+Settings!$B$5*MIN(INDEX(Bases!$M$2:$M$53,B362),INDEX(Bases!$M$2:$M$53,C362))</f>
        <v>65.6666666666667</v>
      </c>
      <c r="T362" s="2" t="n">
        <f aca="false">Settings!$B$4*MAX(INDEX(Bases!$N$2:$N$53,B362),INDEX(Bases!$N$2:$N$53,C362))+Settings!$B$5*MIN(INDEX(Bases!$N$2:$N$53,B362),INDEX(Bases!$N$2:$N$53,C362))</f>
        <v>62.6666666666667</v>
      </c>
      <c r="U362" s="2" t="n">
        <f aca="false">Settings!$B$4*MAX(INDEX(Bases!$O$2:$O$53,B362),INDEX(Bases!$O$2:$O$53,C362))+Settings!$B$5*MIN(INDEX(Bases!$O$2:$O$53,B362),INDEX(Bases!$O$2:$O$53,C362))</f>
        <v>84.3333333333333</v>
      </c>
      <c r="V362" s="2" t="n">
        <f aca="false">Settings!$B$4*MAX(INDEX(Bases!$P$2:$P$53,B362),INDEX(Bases!$P$2:$P$53,C362))+Settings!$B$5*MIN(INDEX(Bases!$P$2:$P$53,B362),INDEX(Bases!$P$2:$P$53,C362))</f>
        <v>65.6666666666667</v>
      </c>
      <c r="W362" s="2" t="n">
        <f aca="false">Settings!$B$4*MAX(INDEX(Bases!$Q$2:$Q$53,B362),INDEX(Bases!$Q$2:$Q$53,C362))+Settings!$B$5*MIN(INDEX(Bases!$Q$2:$Q$53,B362),INDEX(Bases!$Q$2:$Q$53,C362))</f>
        <v>84</v>
      </c>
      <c r="X362" s="2" t="n">
        <f aca="false">Settings!$B$4*MAX(INDEX(Bases!$R$2:$R$53,B362),INDEX(Bases!$R$2:$R$53,C362))+Settings!$B$5*MIN(INDEX(Bases!$R$2:$R$53,B362),INDEX(Bases!$R$2:$R$53,C362))</f>
        <v>55.3333333333333</v>
      </c>
      <c r="Y362" s="2" t="n">
        <f aca="false">S362*Settings!$B$3/SUM(S362:X362)</f>
        <v>78.6113328012769</v>
      </c>
      <c r="Z362" s="2" t="n">
        <f aca="false">T362*Settings!$B$3/SUM(S362:X362)</f>
        <v>75.0199521149242</v>
      </c>
      <c r="AA362" s="2" t="n">
        <f aca="false">U362*Settings!$B$3/SUM(S362:X362)</f>
        <v>100.957701516361</v>
      </c>
      <c r="AB362" s="2" t="n">
        <f aca="false">V362*Settings!$B$3/SUM(S362:X362)</f>
        <v>78.6113328012769</v>
      </c>
      <c r="AC362" s="2" t="n">
        <f aca="false">W362*Settings!$B$3/SUM(S362:X362)</f>
        <v>100.558659217877</v>
      </c>
      <c r="AD362" s="2" t="n">
        <f aca="false">X362*Settings!$B$3/SUM(S362:X362)</f>
        <v>66.2410215482841</v>
      </c>
      <c r="AE362" s="2" t="n">
        <f aca="false">INT(Y362)</f>
        <v>78</v>
      </c>
      <c r="AF362" s="2" t="n">
        <f aca="false">INT(Z362)</f>
        <v>75</v>
      </c>
      <c r="AG362" s="2" t="n">
        <f aca="false">INT(AA362)</f>
        <v>100</v>
      </c>
      <c r="AH362" s="2" t="n">
        <f aca="false">INT(AB362)</f>
        <v>78</v>
      </c>
      <c r="AI362" s="2" t="n">
        <f aca="false">INT(AC362)</f>
        <v>100</v>
      </c>
      <c r="AJ362" s="2" t="n">
        <f aca="false">INT(AD362)</f>
        <v>66</v>
      </c>
      <c r="AK362" s="2" t="n">
        <f aca="false">Settings!$B$3-SUM(AE362:AJ362)</f>
        <v>3</v>
      </c>
      <c r="AL362" s="2" t="n">
        <f aca="false">ROUND(Y362-AE362,9)</f>
        <v>0.611332801</v>
      </c>
      <c r="AM362" s="2" t="n">
        <f aca="false">ROUND(Z362-AF362,9)</f>
        <v>0.019952115</v>
      </c>
      <c r="AN362" s="2" t="n">
        <f aca="false">ROUND(AA362-AG362,9)</f>
        <v>0.957701516</v>
      </c>
      <c r="AO362" s="2" t="n">
        <f aca="false">ROUND(AB362-AH362,9)</f>
        <v>0.611332801</v>
      </c>
      <c r="AP362" s="2" t="n">
        <f aca="false">ROUND(AC362-AI362,9)</f>
        <v>0.558659218</v>
      </c>
      <c r="AQ362" s="2" t="n">
        <f aca="false">ROUND(AD362-AJ362,9)</f>
        <v>0.241021548</v>
      </c>
    </row>
    <row r="363" customFormat="false" ht="15" hidden="false" customHeight="false" outlineLevel="0" collapsed="false">
      <c r="A363" s="2" t="n">
        <v>362</v>
      </c>
      <c r="B363" s="6" t="n">
        <v>8</v>
      </c>
      <c r="C363" s="6" t="n">
        <v>34</v>
      </c>
      <c r="D363" s="8" t="str">
        <f aca="false">INDEX(Bases!$B$2:$B$53,B363)</f>
        <v>Corsola</v>
      </c>
      <c r="E363" s="8" t="str">
        <f aca="false">INDEX(Bases!$B$2:$B$53,C363)</f>
        <v>Paras</v>
      </c>
      <c r="F363" s="2" t="str">
        <f aca="false">LEFT(D363,ROUNDUP(LEN(D363)/2,0))&amp;LOWER(MID(E363,ROUNDUP(LEN(E363)/2,0)+1,20))</f>
        <v>Corsas</v>
      </c>
      <c r="G363" s="8" t="str">
        <f aca="false">INDEX(Bases!$C$2:$C$53,B363)</f>
        <v>Water</v>
      </c>
      <c r="H363" s="8" t="str">
        <f aca="false">IF(INDEX(Bases!$C$2:$C$53,C363)=G363,"",INDEX(Bases!$C$2:$C$53,C363))</f>
        <v>Bug</v>
      </c>
      <c r="I363" s="8" t="str">
        <f aca="false">IF(INDEX(Bases!$E$2:$E$53,B363)="","",INDEX(Bases!$E$2:$E$53,B363))</f>
        <v/>
      </c>
      <c r="J363" s="8" t="str">
        <f aca="false">IF(INDEX(Bases!$E$2:$E$53,C363)="","",INDEX(Bases!$E$2:$E$53,C363))</f>
        <v/>
      </c>
      <c r="K363" s="5"/>
      <c r="L363" s="2" t="n">
        <f aca="false">AE363+IF(SUMPRODUCT(--($AL363:$AQ363&gt;AL363))&lt;$AK363,1,0)</f>
        <v>70</v>
      </c>
      <c r="M363" s="2" t="n">
        <f aca="false">AF363+IF(SUMPRODUCT(--($AL363:$AQ363&gt;AM363))+SUMPRODUCT(--($AL363:AL363=AM363))&lt;$AK363,1,0)</f>
        <v>101</v>
      </c>
      <c r="N363" s="2" t="n">
        <f aca="false">AG363+IF(SUMPRODUCT(--($AL363:$AQ363&gt;AN363))+SUMPRODUCT(--($AL363:AM363=AN363))&lt;$AK363,1,0)</f>
        <v>106</v>
      </c>
      <c r="O363" s="2" t="n">
        <f aca="false">AH363+IF(SUMPRODUCT(--($AL363:$AQ363&gt;AO363))+SUMPRODUCT(--($AL363:AN363=AO363))&lt;$AK363,1,0)</f>
        <v>76</v>
      </c>
      <c r="P363" s="2" t="n">
        <f aca="false">AI363+IF(SUMPRODUCT(--($AL363:$AQ363&gt;AP363))+SUMPRODUCT(--($AL363:AO363=AP363))&lt;$AK363,1,0)</f>
        <v>105</v>
      </c>
      <c r="Q363" s="2" t="n">
        <f aca="false">AJ363+IF(SUMPRODUCT(--($AL363:$AQ363&gt;AQ363))+SUMPRODUCT(--($AL363:AP363=AQ363))&lt;$AK363,1,0)</f>
        <v>42</v>
      </c>
      <c r="R363" s="2" t="n">
        <f aca="false">SUM(L363:Q363)</f>
        <v>500</v>
      </c>
      <c r="S363" s="2" t="n">
        <f aca="false">Settings!$B$4*MAX(INDEX(Bases!$M$2:$M$53,B363),INDEX(Bases!$M$2:$M$53,C363))+Settings!$B$5*MIN(INDEX(Bases!$M$2:$M$53,B363),INDEX(Bases!$M$2:$M$53,C363))</f>
        <v>58.3333333333333</v>
      </c>
      <c r="T363" s="2" t="n">
        <f aca="false">Settings!$B$4*MAX(INDEX(Bases!$N$2:$N$53,B363),INDEX(Bases!$N$2:$N$53,C363))+Settings!$B$5*MIN(INDEX(Bases!$N$2:$N$53,B363),INDEX(Bases!$N$2:$N$53,C363))</f>
        <v>84</v>
      </c>
      <c r="U363" s="2" t="n">
        <f aca="false">Settings!$B$4*MAX(INDEX(Bases!$O$2:$O$53,B363),INDEX(Bases!$O$2:$O$53,C363))+Settings!$B$5*MIN(INDEX(Bases!$O$2:$O$53,B363),INDEX(Bases!$O$2:$O$53,C363))</f>
        <v>87.6666666666667</v>
      </c>
      <c r="V363" s="2" t="n">
        <f aca="false">Settings!$B$4*MAX(INDEX(Bases!$P$2:$P$53,B363),INDEX(Bases!$P$2:$P$53,C363))+Settings!$B$5*MIN(INDEX(Bases!$P$2:$P$53,B363),INDEX(Bases!$P$2:$P$53,C363))</f>
        <v>63</v>
      </c>
      <c r="W363" s="2" t="n">
        <f aca="false">Settings!$B$4*MAX(INDEX(Bases!$Q$2:$Q$53,B363),INDEX(Bases!$Q$2:$Q$53,C363))+Settings!$B$5*MIN(INDEX(Bases!$Q$2:$Q$53,B363),INDEX(Bases!$Q$2:$Q$53,C363))</f>
        <v>87.6666666666667</v>
      </c>
      <c r="X363" s="2" t="n">
        <f aca="false">Settings!$B$4*MAX(INDEX(Bases!$R$2:$R$53,B363),INDEX(Bases!$R$2:$R$53,C363))+Settings!$B$5*MIN(INDEX(Bases!$R$2:$R$53,B363),INDEX(Bases!$R$2:$R$53,C363))</f>
        <v>34.6666666666667</v>
      </c>
      <c r="Y363" s="2" t="n">
        <f aca="false">S363*Settings!$B$3/SUM(S363:X363)</f>
        <v>70.2247191011236</v>
      </c>
      <c r="Z363" s="2" t="n">
        <f aca="false">T363*Settings!$B$3/SUM(S363:X363)</f>
        <v>101.123595505618</v>
      </c>
      <c r="AA363" s="2" t="n">
        <f aca="false">U363*Settings!$B$3/SUM(S363:X363)</f>
        <v>105.53772070626</v>
      </c>
      <c r="AB363" s="2" t="n">
        <f aca="false">V363*Settings!$B$3/SUM(S363:X363)</f>
        <v>75.8426966292135</v>
      </c>
      <c r="AC363" s="2" t="n">
        <f aca="false">W363*Settings!$B$3/SUM(S363:X363)</f>
        <v>105.53772070626</v>
      </c>
      <c r="AD363" s="2" t="n">
        <f aca="false">X363*Settings!$B$3/SUM(S363:X363)</f>
        <v>41.7335473515249</v>
      </c>
      <c r="AE363" s="2" t="n">
        <f aca="false">INT(Y363)</f>
        <v>70</v>
      </c>
      <c r="AF363" s="2" t="n">
        <f aca="false">INT(Z363)</f>
        <v>101</v>
      </c>
      <c r="AG363" s="2" t="n">
        <f aca="false">INT(AA363)</f>
        <v>105</v>
      </c>
      <c r="AH363" s="2" t="n">
        <f aca="false">INT(AB363)</f>
        <v>75</v>
      </c>
      <c r="AI363" s="2" t="n">
        <f aca="false">INT(AC363)</f>
        <v>105</v>
      </c>
      <c r="AJ363" s="2" t="n">
        <f aca="false">INT(AD363)</f>
        <v>41</v>
      </c>
      <c r="AK363" s="2" t="n">
        <f aca="false">Settings!$B$3-SUM(AE363:AJ363)</f>
        <v>3</v>
      </c>
      <c r="AL363" s="2" t="n">
        <f aca="false">ROUND(Y363-AE363,9)</f>
        <v>0.224719101</v>
      </c>
      <c r="AM363" s="2" t="n">
        <f aca="false">ROUND(Z363-AF363,9)</f>
        <v>0.123595506</v>
      </c>
      <c r="AN363" s="2" t="n">
        <f aca="false">ROUND(AA363-AG363,9)</f>
        <v>0.537720706</v>
      </c>
      <c r="AO363" s="2" t="n">
        <f aca="false">ROUND(AB363-AH363,9)</f>
        <v>0.842696629</v>
      </c>
      <c r="AP363" s="2" t="n">
        <f aca="false">ROUND(AC363-AI363,9)</f>
        <v>0.537720706</v>
      </c>
      <c r="AQ363" s="2" t="n">
        <f aca="false">ROUND(AD363-AJ363,9)</f>
        <v>0.733547352</v>
      </c>
    </row>
    <row r="364" customFormat="false" ht="15" hidden="false" customHeight="false" outlineLevel="0" collapsed="false">
      <c r="A364" s="2" t="n">
        <v>363</v>
      </c>
      <c r="B364" s="6" t="n">
        <v>8</v>
      </c>
      <c r="C364" s="6" t="n">
        <v>35</v>
      </c>
      <c r="D364" s="8" t="str">
        <f aca="false">INDEX(Bases!$B$2:$B$53,B364)</f>
        <v>Corsola</v>
      </c>
      <c r="E364" s="8" t="str">
        <f aca="false">INDEX(Bases!$B$2:$B$53,C364)</f>
        <v>Pineco</v>
      </c>
      <c r="F364" s="2" t="str">
        <f aca="false">LEFT(D364,ROUNDUP(LEN(D364)/2,0))&amp;LOWER(MID(E364,ROUNDUP(LEN(E364)/2,0)+1,20))</f>
        <v>Corseco</v>
      </c>
      <c r="G364" s="8" t="str">
        <f aca="false">INDEX(Bases!$C$2:$C$53,B364)</f>
        <v>Water</v>
      </c>
      <c r="H364" s="8" t="str">
        <f aca="false">IF(INDEX(Bases!$C$2:$C$53,C364)=G364,"",INDEX(Bases!$C$2:$C$53,C364))</f>
        <v>Bug</v>
      </c>
      <c r="I364" s="8" t="str">
        <f aca="false">IF(INDEX(Bases!$E$2:$E$53,B364)="","",INDEX(Bases!$E$2:$E$53,B364))</f>
        <v/>
      </c>
      <c r="J364" s="8" t="str">
        <f aca="false">IF(INDEX(Bases!$E$2:$E$53,C364)="","",INDEX(Bases!$E$2:$E$53,C364))</f>
        <v/>
      </c>
      <c r="K364" s="5"/>
      <c r="L364" s="2" t="n">
        <f aca="false">AE364+IF(SUMPRODUCT(--($AL364:$AQ364&gt;AL364))&lt;$AK364,1,0)</f>
        <v>79</v>
      </c>
      <c r="M364" s="2" t="n">
        <f aca="false">AF364+IF(SUMPRODUCT(--($AL364:$AQ364&gt;AM364))+SUMPRODUCT(--($AL364:AL364=AM364))&lt;$AK364,1,0)</f>
        <v>92</v>
      </c>
      <c r="N364" s="2" t="n">
        <f aca="false">AG364+IF(SUMPRODUCT(--($AL364:$AQ364&gt;AN364))+SUMPRODUCT(--($AL364:AM364=AN364))&lt;$AK364,1,0)</f>
        <v>134</v>
      </c>
      <c r="O364" s="2" t="n">
        <f aca="false">AH364+IF(SUMPRODUCT(--($AL364:$AQ364&gt;AO364))+SUMPRODUCT(--($AL364:AN364=AO364))&lt;$AK364,1,0)</f>
        <v>68</v>
      </c>
      <c r="P364" s="2" t="n">
        <f aca="false">AI364+IF(SUMPRODUCT(--($AL364:$AQ364&gt;AP364))+SUMPRODUCT(--($AL364:AO364=AP364))&lt;$AK364,1,0)</f>
        <v>92</v>
      </c>
      <c r="Q364" s="2" t="n">
        <f aca="false">AJ364+IF(SUMPRODUCT(--($AL364:$AQ364&gt;AQ364))+SUMPRODUCT(--($AL364:AP364=AQ364))&lt;$AK364,1,0)</f>
        <v>35</v>
      </c>
      <c r="R364" s="2" t="n">
        <f aca="false">SUM(L364:Q364)</f>
        <v>500</v>
      </c>
      <c r="S364" s="2" t="n">
        <f aca="false">Settings!$B$4*MAX(INDEX(Bases!$M$2:$M$53,B364),INDEX(Bases!$M$2:$M$53,C364))+Settings!$B$5*MIN(INDEX(Bases!$M$2:$M$53,B364),INDEX(Bases!$M$2:$M$53,C364))</f>
        <v>67</v>
      </c>
      <c r="T364" s="2" t="n">
        <f aca="false">Settings!$B$4*MAX(INDEX(Bases!$N$2:$N$53,B364),INDEX(Bases!$N$2:$N$53,C364))+Settings!$B$5*MIN(INDEX(Bases!$N$2:$N$53,B364),INDEX(Bases!$N$2:$N$53,C364))</f>
        <v>78</v>
      </c>
      <c r="U364" s="2" t="n">
        <f aca="false">Settings!$B$4*MAX(INDEX(Bases!$O$2:$O$53,B364),INDEX(Bases!$O$2:$O$53,C364))+Settings!$B$5*MIN(INDEX(Bases!$O$2:$O$53,B364),INDEX(Bases!$O$2:$O$53,C364))</f>
        <v>113.666666666667</v>
      </c>
      <c r="V364" s="2" t="n">
        <f aca="false">Settings!$B$4*MAX(INDEX(Bases!$P$2:$P$53,B364),INDEX(Bases!$P$2:$P$53,C364))+Settings!$B$5*MIN(INDEX(Bases!$P$2:$P$53,B364),INDEX(Bases!$P$2:$P$53,C364))</f>
        <v>58</v>
      </c>
      <c r="W364" s="2" t="n">
        <f aca="false">Settings!$B$4*MAX(INDEX(Bases!$Q$2:$Q$53,B364),INDEX(Bases!$Q$2:$Q$53,C364))+Settings!$B$5*MIN(INDEX(Bases!$Q$2:$Q$53,B364),INDEX(Bases!$Q$2:$Q$53,C364))</f>
        <v>78</v>
      </c>
      <c r="X364" s="2" t="n">
        <f aca="false">Settings!$B$4*MAX(INDEX(Bases!$R$2:$R$53,B364),INDEX(Bases!$R$2:$R$53,C364))+Settings!$B$5*MIN(INDEX(Bases!$R$2:$R$53,B364),INDEX(Bases!$R$2:$R$53,C364))</f>
        <v>29.6666666666667</v>
      </c>
      <c r="Y364" s="2" t="n">
        <f aca="false">S364*Settings!$B$3/SUM(S364:X364)</f>
        <v>78.9473684210526</v>
      </c>
      <c r="Z364" s="2" t="n">
        <f aca="false">T364*Settings!$B$3/SUM(S364:X364)</f>
        <v>91.9088766692852</v>
      </c>
      <c r="AA364" s="2" t="n">
        <f aca="false">U364*Settings!$B$3/SUM(S364:X364)</f>
        <v>133.935585231736</v>
      </c>
      <c r="AB364" s="2" t="n">
        <f aca="false">V364*Settings!$B$3/SUM(S364:X364)</f>
        <v>68.3424980361351</v>
      </c>
      <c r="AC364" s="2" t="n">
        <f aca="false">W364*Settings!$B$3/SUM(S364:X364)</f>
        <v>91.9088766692852</v>
      </c>
      <c r="AD364" s="2" t="n">
        <f aca="false">X364*Settings!$B$3/SUM(S364:X364)</f>
        <v>34.9567949725059</v>
      </c>
      <c r="AE364" s="2" t="n">
        <f aca="false">INT(Y364)</f>
        <v>78</v>
      </c>
      <c r="AF364" s="2" t="n">
        <f aca="false">INT(Z364)</f>
        <v>91</v>
      </c>
      <c r="AG364" s="2" t="n">
        <f aca="false">INT(AA364)</f>
        <v>133</v>
      </c>
      <c r="AH364" s="2" t="n">
        <f aca="false">INT(AB364)</f>
        <v>68</v>
      </c>
      <c r="AI364" s="2" t="n">
        <f aca="false">INT(AC364)</f>
        <v>91</v>
      </c>
      <c r="AJ364" s="2" t="n">
        <f aca="false">INT(AD364)</f>
        <v>34</v>
      </c>
      <c r="AK364" s="2" t="n">
        <f aca="false">Settings!$B$3-SUM(AE364:AJ364)</f>
        <v>5</v>
      </c>
      <c r="AL364" s="2" t="n">
        <f aca="false">ROUND(Y364-AE364,9)</f>
        <v>0.947368421</v>
      </c>
      <c r="AM364" s="2" t="n">
        <f aca="false">ROUND(Z364-AF364,9)</f>
        <v>0.908876669</v>
      </c>
      <c r="AN364" s="2" t="n">
        <f aca="false">ROUND(AA364-AG364,9)</f>
        <v>0.935585232</v>
      </c>
      <c r="AO364" s="2" t="n">
        <f aca="false">ROUND(AB364-AH364,9)</f>
        <v>0.342498036</v>
      </c>
      <c r="AP364" s="2" t="n">
        <f aca="false">ROUND(AC364-AI364,9)</f>
        <v>0.908876669</v>
      </c>
      <c r="AQ364" s="2" t="n">
        <f aca="false">ROUND(AD364-AJ364,9)</f>
        <v>0.956794973</v>
      </c>
    </row>
    <row r="365" customFormat="false" ht="15" hidden="false" customHeight="false" outlineLevel="0" collapsed="false">
      <c r="A365" s="2" t="n">
        <v>364</v>
      </c>
      <c r="B365" s="6" t="n">
        <v>8</v>
      </c>
      <c r="C365" s="6" t="n">
        <v>36</v>
      </c>
      <c r="D365" s="8" t="str">
        <f aca="false">INDEX(Bases!$B$2:$B$53,B365)</f>
        <v>Corsola</v>
      </c>
      <c r="E365" s="8" t="str">
        <f aca="false">INDEX(Bases!$B$2:$B$53,C365)</f>
        <v>Wurmple</v>
      </c>
      <c r="F365" s="2" t="str">
        <f aca="false">LEFT(D365,ROUNDUP(LEN(D365)/2,0))&amp;LOWER(MID(E365,ROUNDUP(LEN(E365)/2,0)+1,20))</f>
        <v>Corsple</v>
      </c>
      <c r="G365" s="8" t="str">
        <f aca="false">INDEX(Bases!$C$2:$C$53,B365)</f>
        <v>Water</v>
      </c>
      <c r="H365" s="8" t="str">
        <f aca="false">IF(INDEX(Bases!$C$2:$C$53,C365)=G365,"",INDEX(Bases!$C$2:$C$53,C365))</f>
        <v>Bug</v>
      </c>
      <c r="I365" s="8" t="str">
        <f aca="false">IF(INDEX(Bases!$E$2:$E$53,B365)="","",INDEX(Bases!$E$2:$E$53,B365))</f>
        <v/>
      </c>
      <c r="J365" s="8" t="str">
        <f aca="false">IF(INDEX(Bases!$E$2:$E$53,C365)="","",INDEX(Bases!$E$2:$E$53,C365))</f>
        <v/>
      </c>
      <c r="K365" s="5"/>
      <c r="L365" s="2" t="n">
        <f aca="false">AE365+IF(SUMPRODUCT(--($AL365:$AQ365&gt;AL365))&lt;$AK365,1,0)</f>
        <v>97</v>
      </c>
      <c r="M365" s="2" t="n">
        <f aca="false">AF365+IF(SUMPRODUCT(--($AL365:$AQ365&gt;AM365))+SUMPRODUCT(--($AL365:AL365=AM365))&lt;$AK365,1,0)</f>
        <v>93</v>
      </c>
      <c r="N365" s="2" t="n">
        <f aca="false">AG365+IF(SUMPRODUCT(--($AL365:$AQ365&gt;AN365))+SUMPRODUCT(--($AL365:AM365=AN365))&lt;$AK365,1,0)</f>
        <v>101</v>
      </c>
      <c r="O365" s="2" t="n">
        <f aca="false">AH365+IF(SUMPRODUCT(--($AL365:$AQ365&gt;AO365))+SUMPRODUCT(--($AL365:AN365=AO365))&lt;$AK365,1,0)</f>
        <v>66</v>
      </c>
      <c r="P365" s="2" t="n">
        <f aca="false">AI365+IF(SUMPRODUCT(--($AL365:$AQ365&gt;AP365))+SUMPRODUCT(--($AL365:AO365=AP365))&lt;$AK365,1,0)</f>
        <v>97</v>
      </c>
      <c r="Q365" s="2" t="n">
        <f aca="false">AJ365+IF(SUMPRODUCT(--($AL365:$AQ365&gt;AQ365))+SUMPRODUCT(--($AL365:AP365=AQ365))&lt;$AK365,1,0)</f>
        <v>46</v>
      </c>
      <c r="R365" s="2" t="n">
        <f aca="false">SUM(L365:Q365)</f>
        <v>500</v>
      </c>
      <c r="S365" s="2" t="n">
        <f aca="false">Settings!$B$4*MAX(INDEX(Bases!$M$2:$M$53,B365),INDEX(Bases!$M$2:$M$53,C365))+Settings!$B$5*MIN(INDEX(Bases!$M$2:$M$53,B365),INDEX(Bases!$M$2:$M$53,C365))</f>
        <v>82.3333333333333</v>
      </c>
      <c r="T365" s="2" t="n">
        <f aca="false">Settings!$B$4*MAX(INDEX(Bases!$N$2:$N$53,B365),INDEX(Bases!$N$2:$N$53,C365))+Settings!$B$5*MIN(INDEX(Bases!$N$2:$N$53,B365),INDEX(Bases!$N$2:$N$53,C365))</f>
        <v>79.3333333333333</v>
      </c>
      <c r="U365" s="2" t="n">
        <f aca="false">Settings!$B$4*MAX(INDEX(Bases!$O$2:$O$53,B365),INDEX(Bases!$O$2:$O$53,C365))+Settings!$B$5*MIN(INDEX(Bases!$O$2:$O$53,B365),INDEX(Bases!$O$2:$O$53,C365))</f>
        <v>86</v>
      </c>
      <c r="V365" s="2" t="n">
        <f aca="false">Settings!$B$4*MAX(INDEX(Bases!$P$2:$P$53,B365),INDEX(Bases!$P$2:$P$53,C365))+Settings!$B$5*MIN(INDEX(Bases!$P$2:$P$53,B365),INDEX(Bases!$P$2:$P$53,C365))</f>
        <v>55.6666666666667</v>
      </c>
      <c r="W365" s="2" t="n">
        <f aca="false">Settings!$B$4*MAX(INDEX(Bases!$Q$2:$Q$53,B365),INDEX(Bases!$Q$2:$Q$53,C365))+Settings!$B$5*MIN(INDEX(Bases!$Q$2:$Q$53,B365),INDEX(Bases!$Q$2:$Q$53,C365))</f>
        <v>82.6666666666667</v>
      </c>
      <c r="X365" s="2" t="n">
        <f aca="false">Settings!$B$4*MAX(INDEX(Bases!$R$2:$R$53,B365),INDEX(Bases!$R$2:$R$53,C365))+Settings!$B$5*MIN(INDEX(Bases!$R$2:$R$53,B365),INDEX(Bases!$R$2:$R$53,C365))</f>
        <v>38.6666666666667</v>
      </c>
      <c r="Y365" s="2" t="n">
        <f aca="false">S365*Settings!$B$3/SUM(S365:X365)</f>
        <v>96.9387755102041</v>
      </c>
      <c r="Z365" s="2" t="n">
        <f aca="false">T365*Settings!$B$3/SUM(S365:X365)</f>
        <v>93.4065934065934</v>
      </c>
      <c r="AA365" s="2" t="n">
        <f aca="false">U365*Settings!$B$3/SUM(S365:X365)</f>
        <v>101.255886970173</v>
      </c>
      <c r="AB365" s="2" t="n">
        <f aca="false">V365*Settings!$B$3/SUM(S365:X365)</f>
        <v>65.541601255887</v>
      </c>
      <c r="AC365" s="2" t="n">
        <f aca="false">W365*Settings!$B$3/SUM(S365:X365)</f>
        <v>97.3312401883831</v>
      </c>
      <c r="AD365" s="2" t="n">
        <f aca="false">X365*Settings!$B$3/SUM(S365:X365)</f>
        <v>45.5259026687598</v>
      </c>
      <c r="AE365" s="2" t="n">
        <f aca="false">INT(Y365)</f>
        <v>96</v>
      </c>
      <c r="AF365" s="2" t="n">
        <f aca="false">INT(Z365)</f>
        <v>93</v>
      </c>
      <c r="AG365" s="2" t="n">
        <f aca="false">INT(AA365)</f>
        <v>101</v>
      </c>
      <c r="AH365" s="2" t="n">
        <f aca="false">INT(AB365)</f>
        <v>65</v>
      </c>
      <c r="AI365" s="2" t="n">
        <f aca="false">INT(AC365)</f>
        <v>97</v>
      </c>
      <c r="AJ365" s="2" t="n">
        <f aca="false">INT(AD365)</f>
        <v>45</v>
      </c>
      <c r="AK365" s="2" t="n">
        <f aca="false">Settings!$B$3-SUM(AE365:AJ365)</f>
        <v>3</v>
      </c>
      <c r="AL365" s="2" t="n">
        <f aca="false">ROUND(Y365-AE365,9)</f>
        <v>0.93877551</v>
      </c>
      <c r="AM365" s="2" t="n">
        <f aca="false">ROUND(Z365-AF365,9)</f>
        <v>0.406593407</v>
      </c>
      <c r="AN365" s="2" t="n">
        <f aca="false">ROUND(AA365-AG365,9)</f>
        <v>0.25588697</v>
      </c>
      <c r="AO365" s="2" t="n">
        <f aca="false">ROUND(AB365-AH365,9)</f>
        <v>0.541601256</v>
      </c>
      <c r="AP365" s="2" t="n">
        <f aca="false">ROUND(AC365-AI365,9)</f>
        <v>0.331240188</v>
      </c>
      <c r="AQ365" s="2" t="n">
        <f aca="false">ROUND(AD365-AJ365,9)</f>
        <v>0.525902669</v>
      </c>
    </row>
    <row r="366" customFormat="false" ht="15" hidden="false" customHeight="false" outlineLevel="0" collapsed="false">
      <c r="A366" s="2" t="n">
        <v>365</v>
      </c>
      <c r="B366" s="6" t="n">
        <v>8</v>
      </c>
      <c r="C366" s="6" t="n">
        <v>37</v>
      </c>
      <c r="D366" s="8" t="str">
        <f aca="false">INDEX(Bases!$B$2:$B$53,B366)</f>
        <v>Corsola</v>
      </c>
      <c r="E366" s="8" t="str">
        <f aca="false">INDEX(Bases!$B$2:$B$53,C366)</f>
        <v>Shuckle</v>
      </c>
      <c r="F366" s="2" t="str">
        <f aca="false">LEFT(D366,ROUNDUP(LEN(D366)/2,0))&amp;LOWER(MID(E366,ROUNDUP(LEN(E366)/2,0)+1,20))</f>
        <v>Corskle</v>
      </c>
      <c r="G366" s="8" t="str">
        <f aca="false">INDEX(Bases!$C$2:$C$53,B366)</f>
        <v>Water</v>
      </c>
      <c r="H366" s="8" t="str">
        <f aca="false">IF(INDEX(Bases!$C$2:$C$53,C366)=G366,"",INDEX(Bases!$C$2:$C$53,C366))</f>
        <v>Rock</v>
      </c>
      <c r="I366" s="8" t="str">
        <f aca="false">IF(INDEX(Bases!$E$2:$E$53,B366)="","",INDEX(Bases!$E$2:$E$53,B366))</f>
        <v/>
      </c>
      <c r="J366" s="8" t="str">
        <f aca="false">IF(INDEX(Bases!$E$2:$E$53,C366)="","",INDEX(Bases!$E$2:$E$53,C366))</f>
        <v/>
      </c>
      <c r="K366" s="5"/>
      <c r="L366" s="2" t="n">
        <f aca="false">AE366+IF(SUMPRODUCT(--($AL366:$AQ366&gt;AL366))&lt;$AK366,1,0)</f>
        <v>51</v>
      </c>
      <c r="M366" s="2" t="n">
        <f aca="false">AF366+IF(SUMPRODUCT(--($AL366:$AQ366&gt;AM366))+SUMPRODUCT(--($AL366:AL366=AM366))&lt;$AK366,1,0)</f>
        <v>42</v>
      </c>
      <c r="N366" s="2" t="n">
        <f aca="false">AG366+IF(SUMPRODUCT(--($AL366:$AQ366&gt;AN366))+SUMPRODUCT(--($AL366:AM366=AN366))&lt;$AK366,1,0)</f>
        <v>166</v>
      </c>
      <c r="O366" s="2" t="n">
        <f aca="false">AH366+IF(SUMPRODUCT(--($AL366:$AQ366&gt;AO366))+SUMPRODUCT(--($AL366:AN366=AO366))&lt;$AK366,1,0)</f>
        <v>49</v>
      </c>
      <c r="P366" s="2" t="n">
        <f aca="false">AI366+IF(SUMPRODUCT(--($AL366:$AQ366&gt;AP366))+SUMPRODUCT(--($AL366:AO366=AP366))&lt;$AK366,1,0)</f>
        <v>166</v>
      </c>
      <c r="Q366" s="2" t="n">
        <f aca="false">AJ366+IF(SUMPRODUCT(--($AL366:$AQ366&gt;AQ366))+SUMPRODUCT(--($AL366:AP366=AQ366))&lt;$AK366,1,0)</f>
        <v>26</v>
      </c>
      <c r="R366" s="2" t="n">
        <f aca="false">SUM(L366:Q366)</f>
        <v>500</v>
      </c>
      <c r="S366" s="2" t="n">
        <f aca="false">Settings!$B$4*MAX(INDEX(Bases!$M$2:$M$53,B366),INDEX(Bases!$M$2:$M$53,C366))+Settings!$B$5*MIN(INDEX(Bases!$M$2:$M$53,B366),INDEX(Bases!$M$2:$M$53,C366))</f>
        <v>47.3333333333333</v>
      </c>
      <c r="T366" s="2" t="n">
        <f aca="false">Settings!$B$4*MAX(INDEX(Bases!$N$2:$N$53,B366),INDEX(Bases!$N$2:$N$53,C366))+Settings!$B$5*MIN(INDEX(Bases!$N$2:$N$53,B366),INDEX(Bases!$N$2:$N$53,C366))</f>
        <v>38.6666666666667</v>
      </c>
      <c r="U366" s="2" t="n">
        <f aca="false">Settings!$B$4*MAX(INDEX(Bases!$O$2:$O$53,B366),INDEX(Bases!$O$2:$O$53,C366))+Settings!$B$5*MIN(INDEX(Bases!$O$2:$O$53,B366),INDEX(Bases!$O$2:$O$53,C366))</f>
        <v>152.333333333333</v>
      </c>
      <c r="V366" s="2" t="n">
        <f aca="false">Settings!$B$4*MAX(INDEX(Bases!$P$2:$P$53,B366),INDEX(Bases!$P$2:$P$53,C366))+Settings!$B$5*MIN(INDEX(Bases!$P$2:$P$53,B366),INDEX(Bases!$P$2:$P$53,C366))</f>
        <v>44.6666666666667</v>
      </c>
      <c r="W366" s="2" t="n">
        <f aca="false">Settings!$B$4*MAX(INDEX(Bases!$Q$2:$Q$53,B366),INDEX(Bases!$Q$2:$Q$53,C366))+Settings!$B$5*MIN(INDEX(Bases!$Q$2:$Q$53,B366),INDEX(Bases!$Q$2:$Q$53,C366))</f>
        <v>152.333333333333</v>
      </c>
      <c r="X366" s="2" t="n">
        <f aca="false">Settings!$B$4*MAX(INDEX(Bases!$R$2:$R$53,B366),INDEX(Bases!$R$2:$R$53,C366))+Settings!$B$5*MIN(INDEX(Bases!$R$2:$R$53,B366),INDEX(Bases!$R$2:$R$53,C366))</f>
        <v>24</v>
      </c>
      <c r="Y366" s="2" t="n">
        <f aca="false">S366*Settings!$B$3/SUM(S366:X366)</f>
        <v>51.5239477503628</v>
      </c>
      <c r="Z366" s="2" t="n">
        <f aca="false">T366*Settings!$B$3/SUM(S366:X366)</f>
        <v>42.0899854862119</v>
      </c>
      <c r="AA366" s="2" t="n">
        <f aca="false">U366*Settings!$B$3/SUM(S366:X366)</f>
        <v>165.820029027576</v>
      </c>
      <c r="AB366" s="2" t="n">
        <f aca="false">V366*Settings!$B$3/SUM(S366:X366)</f>
        <v>48.6211901306241</v>
      </c>
      <c r="AC366" s="2" t="n">
        <f aca="false">W366*Settings!$B$3/SUM(S366:X366)</f>
        <v>165.820029027576</v>
      </c>
      <c r="AD366" s="2" t="n">
        <f aca="false">X366*Settings!$B$3/SUM(S366:X366)</f>
        <v>26.1248185776488</v>
      </c>
      <c r="AE366" s="2" t="n">
        <f aca="false">INT(Y366)</f>
        <v>51</v>
      </c>
      <c r="AF366" s="2" t="n">
        <f aca="false">INT(Z366)</f>
        <v>42</v>
      </c>
      <c r="AG366" s="2" t="n">
        <f aca="false">INT(AA366)</f>
        <v>165</v>
      </c>
      <c r="AH366" s="2" t="n">
        <f aca="false">INT(AB366)</f>
        <v>48</v>
      </c>
      <c r="AI366" s="2" t="n">
        <f aca="false">INT(AC366)</f>
        <v>165</v>
      </c>
      <c r="AJ366" s="2" t="n">
        <f aca="false">INT(AD366)</f>
        <v>26</v>
      </c>
      <c r="AK366" s="2" t="n">
        <f aca="false">Settings!$B$3-SUM(AE366:AJ366)</f>
        <v>3</v>
      </c>
      <c r="AL366" s="2" t="n">
        <f aca="false">ROUND(Y366-AE366,9)</f>
        <v>0.52394775</v>
      </c>
      <c r="AM366" s="2" t="n">
        <f aca="false">ROUND(Z366-AF366,9)</f>
        <v>0.089985486</v>
      </c>
      <c r="AN366" s="2" t="n">
        <f aca="false">ROUND(AA366-AG366,9)</f>
        <v>0.820029028</v>
      </c>
      <c r="AO366" s="2" t="n">
        <f aca="false">ROUND(AB366-AH366,9)</f>
        <v>0.621190131</v>
      </c>
      <c r="AP366" s="2" t="n">
        <f aca="false">ROUND(AC366-AI366,9)</f>
        <v>0.820029028</v>
      </c>
      <c r="AQ366" s="2" t="n">
        <f aca="false">ROUND(AD366-AJ366,9)</f>
        <v>0.124818578</v>
      </c>
    </row>
    <row r="367" customFormat="false" ht="15" hidden="false" customHeight="false" outlineLevel="0" collapsed="false">
      <c r="A367" s="2" t="n">
        <v>366</v>
      </c>
      <c r="B367" s="6" t="n">
        <v>8</v>
      </c>
      <c r="C367" s="6" t="n">
        <v>38</v>
      </c>
      <c r="D367" s="8" t="str">
        <f aca="false">INDEX(Bases!$B$2:$B$53,B367)</f>
        <v>Corsola</v>
      </c>
      <c r="E367" s="8" t="str">
        <f aca="false">INDEX(Bases!$B$2:$B$53,C367)</f>
        <v>Larvitar</v>
      </c>
      <c r="F367" s="2" t="str">
        <f aca="false">LEFT(D367,ROUNDUP(LEN(D367)/2,0))&amp;LOWER(MID(E367,ROUNDUP(LEN(E367)/2,0)+1,20))</f>
        <v>Corsitar</v>
      </c>
      <c r="G367" s="8" t="str">
        <f aca="false">INDEX(Bases!$C$2:$C$53,B367)</f>
        <v>Water</v>
      </c>
      <c r="H367" s="8" t="str">
        <f aca="false">IF(INDEX(Bases!$C$2:$C$53,C367)=G367,"",INDEX(Bases!$C$2:$C$53,C367))</f>
        <v>Rock</v>
      </c>
      <c r="I367" s="8" t="str">
        <f aca="false">IF(INDEX(Bases!$E$2:$E$53,B367)="","",INDEX(Bases!$E$2:$E$53,B367))</f>
        <v/>
      </c>
      <c r="J367" s="8" t="str">
        <f aca="false">IF(INDEX(Bases!$E$2:$E$53,C367)="","",INDEX(Bases!$E$2:$E$53,C367))</f>
        <v/>
      </c>
      <c r="K367" s="5"/>
      <c r="L367" s="2" t="n">
        <f aca="false">AE367+IF(SUMPRODUCT(--($AL367:$AQ367&gt;AL367))&lt;$AK367,1,0)</f>
        <v>78</v>
      </c>
      <c r="M367" s="2" t="n">
        <f aca="false">AF367+IF(SUMPRODUCT(--($AL367:$AQ367&gt;AM367))+SUMPRODUCT(--($AL367:AL367=AM367))&lt;$AK367,1,0)</f>
        <v>89</v>
      </c>
      <c r="N367" s="2" t="n">
        <f aca="false">AG367+IF(SUMPRODUCT(--($AL367:$AQ367&gt;AN367))+SUMPRODUCT(--($AL367:AM367=AN367))&lt;$AK367,1,0)</f>
        <v>101</v>
      </c>
      <c r="O367" s="2" t="n">
        <f aca="false">AH367+IF(SUMPRODUCT(--($AL367:$AQ367&gt;AO367))+SUMPRODUCT(--($AL367:AN367=AO367))&lt;$AK367,1,0)</f>
        <v>74</v>
      </c>
      <c r="P367" s="2" t="n">
        <f aca="false">AI367+IF(SUMPRODUCT(--($AL367:$AQ367&gt;AP367))+SUMPRODUCT(--($AL367:AO367=AP367))&lt;$AK367,1,0)</f>
        <v>101</v>
      </c>
      <c r="Q367" s="2" t="n">
        <f aca="false">AJ367+IF(SUMPRODUCT(--($AL367:$AQ367&gt;AQ367))+SUMPRODUCT(--($AL367:AP367=AQ367))&lt;$AK367,1,0)</f>
        <v>57</v>
      </c>
      <c r="R367" s="2" t="n">
        <f aca="false">SUM(L367:Q367)</f>
        <v>500</v>
      </c>
      <c r="S367" s="2" t="n">
        <f aca="false">Settings!$B$4*MAX(INDEX(Bases!$M$2:$M$53,B367),INDEX(Bases!$M$2:$M$53,C367))+Settings!$B$5*MIN(INDEX(Bases!$M$2:$M$53,B367),INDEX(Bases!$M$2:$M$53,C367))</f>
        <v>65.6666666666667</v>
      </c>
      <c r="T367" s="2" t="n">
        <f aca="false">Settings!$B$4*MAX(INDEX(Bases!$N$2:$N$53,B367),INDEX(Bases!$N$2:$N$53,C367))+Settings!$B$5*MIN(INDEX(Bases!$N$2:$N$53,B367),INDEX(Bases!$N$2:$N$53,C367))</f>
        <v>74.6666666666667</v>
      </c>
      <c r="U367" s="2" t="n">
        <f aca="false">Settings!$B$4*MAX(INDEX(Bases!$O$2:$O$53,B367),INDEX(Bases!$O$2:$O$53,C367))+Settings!$B$5*MIN(INDEX(Bases!$O$2:$O$53,B367),INDEX(Bases!$O$2:$O$53,C367))</f>
        <v>84.3333333333333</v>
      </c>
      <c r="V367" s="2" t="n">
        <f aca="false">Settings!$B$4*MAX(INDEX(Bases!$P$2:$P$53,B367),INDEX(Bases!$P$2:$P$53,C367))+Settings!$B$5*MIN(INDEX(Bases!$P$2:$P$53,B367),INDEX(Bases!$P$2:$P$53,C367))</f>
        <v>62</v>
      </c>
      <c r="W367" s="2" t="n">
        <f aca="false">Settings!$B$4*MAX(INDEX(Bases!$Q$2:$Q$53,B367),INDEX(Bases!$Q$2:$Q$53,C367))+Settings!$B$5*MIN(INDEX(Bases!$Q$2:$Q$53,B367),INDEX(Bases!$Q$2:$Q$53,C367))</f>
        <v>84.3333333333333</v>
      </c>
      <c r="X367" s="2" t="n">
        <f aca="false">Settings!$B$4*MAX(INDEX(Bases!$R$2:$R$53,B367),INDEX(Bases!$R$2:$R$53,C367))+Settings!$B$5*MIN(INDEX(Bases!$R$2:$R$53,B367),INDEX(Bases!$R$2:$R$53,C367))</f>
        <v>47.3333333333333</v>
      </c>
      <c r="Y367" s="2" t="n">
        <f aca="false">S367*Settings!$B$3/SUM(S367:X367)</f>
        <v>78.4860557768924</v>
      </c>
      <c r="Z367" s="2" t="n">
        <f aca="false">T367*Settings!$B$3/SUM(S367:X367)</f>
        <v>89.2430278884462</v>
      </c>
      <c r="AA367" s="2" t="n">
        <f aca="false">U367*Settings!$B$3/SUM(S367:X367)</f>
        <v>100.796812749004</v>
      </c>
      <c r="AB367" s="2" t="n">
        <f aca="false">V367*Settings!$B$3/SUM(S367:X367)</f>
        <v>74.1035856573705</v>
      </c>
      <c r="AC367" s="2" t="n">
        <f aca="false">W367*Settings!$B$3/SUM(S367:X367)</f>
        <v>100.796812749004</v>
      </c>
      <c r="AD367" s="2" t="n">
        <f aca="false">X367*Settings!$B$3/SUM(S367:X367)</f>
        <v>56.5737051792829</v>
      </c>
      <c r="AE367" s="2" t="n">
        <f aca="false">INT(Y367)</f>
        <v>78</v>
      </c>
      <c r="AF367" s="2" t="n">
        <f aca="false">INT(Z367)</f>
        <v>89</v>
      </c>
      <c r="AG367" s="2" t="n">
        <f aca="false">INT(AA367)</f>
        <v>100</v>
      </c>
      <c r="AH367" s="2" t="n">
        <f aca="false">INT(AB367)</f>
        <v>74</v>
      </c>
      <c r="AI367" s="2" t="n">
        <f aca="false">INT(AC367)</f>
        <v>100</v>
      </c>
      <c r="AJ367" s="2" t="n">
        <f aca="false">INT(AD367)</f>
        <v>56</v>
      </c>
      <c r="AK367" s="2" t="n">
        <f aca="false">Settings!$B$3-SUM(AE367:AJ367)</f>
        <v>3</v>
      </c>
      <c r="AL367" s="2" t="n">
        <f aca="false">ROUND(Y367-AE367,9)</f>
        <v>0.486055777</v>
      </c>
      <c r="AM367" s="2" t="n">
        <f aca="false">ROUND(Z367-AF367,9)</f>
        <v>0.243027888</v>
      </c>
      <c r="AN367" s="2" t="n">
        <f aca="false">ROUND(AA367-AG367,9)</f>
        <v>0.796812749</v>
      </c>
      <c r="AO367" s="2" t="n">
        <f aca="false">ROUND(AB367-AH367,9)</f>
        <v>0.103585657</v>
      </c>
      <c r="AP367" s="2" t="n">
        <f aca="false">ROUND(AC367-AI367,9)</f>
        <v>0.796812749</v>
      </c>
      <c r="AQ367" s="2" t="n">
        <f aca="false">ROUND(AD367-AJ367,9)</f>
        <v>0.573705179</v>
      </c>
    </row>
    <row r="368" customFormat="false" ht="15" hidden="false" customHeight="false" outlineLevel="0" collapsed="false">
      <c r="A368" s="2" t="n">
        <v>367</v>
      </c>
      <c r="B368" s="6" t="n">
        <v>8</v>
      </c>
      <c r="C368" s="6" t="n">
        <v>39</v>
      </c>
      <c r="D368" s="8" t="str">
        <f aca="false">INDEX(Bases!$B$2:$B$53,B368)</f>
        <v>Corsola</v>
      </c>
      <c r="E368" s="8" t="str">
        <f aca="false">INDEX(Bases!$B$2:$B$53,C368)</f>
        <v>Nosepass</v>
      </c>
      <c r="F368" s="2" t="str">
        <f aca="false">LEFT(D368,ROUNDUP(LEN(D368)/2,0))&amp;LOWER(MID(E368,ROUNDUP(LEN(E368)/2,0)+1,20))</f>
        <v>Corspass</v>
      </c>
      <c r="G368" s="8" t="str">
        <f aca="false">INDEX(Bases!$C$2:$C$53,B368)</f>
        <v>Water</v>
      </c>
      <c r="H368" s="8" t="str">
        <f aca="false">IF(INDEX(Bases!$C$2:$C$53,C368)=G368,"",INDEX(Bases!$C$2:$C$53,C368))</f>
        <v>Rock</v>
      </c>
      <c r="I368" s="8" t="str">
        <f aca="false">IF(INDEX(Bases!$E$2:$E$53,B368)="","",INDEX(Bases!$E$2:$E$53,B368))</f>
        <v/>
      </c>
      <c r="J368" s="8" t="str">
        <f aca="false">IF(INDEX(Bases!$E$2:$E$53,C368)="","",INDEX(Bases!$E$2:$E$53,C368))</f>
        <v/>
      </c>
      <c r="K368" s="5"/>
      <c r="L368" s="2" t="n">
        <f aca="false">AE368+IF(SUMPRODUCT(--($AL368:$AQ368&gt;AL368))&lt;$AK368,1,0)</f>
        <v>63</v>
      </c>
      <c r="M368" s="2" t="n">
        <f aca="false">AF368+IF(SUMPRODUCT(--($AL368:$AQ368&gt;AM368))+SUMPRODUCT(--($AL368:AL368=AM368))&lt;$AK368,1,0)</f>
        <v>62</v>
      </c>
      <c r="N368" s="2" t="n">
        <f aca="false">AG368+IF(SUMPRODUCT(--($AL368:$AQ368&gt;AN368))+SUMPRODUCT(--($AL368:AM368=AN368))&lt;$AK368,1,0)</f>
        <v>152</v>
      </c>
      <c r="O368" s="2" t="n">
        <f aca="false">AH368+IF(SUMPRODUCT(--($AL368:$AQ368&gt;AO368))+SUMPRODUCT(--($AL368:AN368=AO368))&lt;$AK368,1,0)</f>
        <v>69</v>
      </c>
      <c r="P368" s="2" t="n">
        <f aca="false">AI368+IF(SUMPRODUCT(--($AL368:$AQ368&gt;AP368))+SUMPRODUCT(--($AL368:AO368=AP368))&lt;$AK368,1,0)</f>
        <v>114</v>
      </c>
      <c r="Q368" s="2" t="n">
        <f aca="false">AJ368+IF(SUMPRODUCT(--($AL368:$AQ368&gt;AQ368))+SUMPRODUCT(--($AL368:AP368=AQ368))&lt;$AK368,1,0)</f>
        <v>40</v>
      </c>
      <c r="R368" s="2" t="n">
        <f aca="false">SUM(L368:Q368)</f>
        <v>500</v>
      </c>
      <c r="S368" s="2" t="n">
        <f aca="false">Settings!$B$4*MAX(INDEX(Bases!$M$2:$M$53,B368),INDEX(Bases!$M$2:$M$53,C368))+Settings!$B$5*MIN(INDEX(Bases!$M$2:$M$53,B368),INDEX(Bases!$M$2:$M$53,C368))</f>
        <v>52.6666666666667</v>
      </c>
      <c r="T368" s="2" t="n">
        <f aca="false">Settings!$B$4*MAX(INDEX(Bases!$N$2:$N$53,B368),INDEX(Bases!$N$2:$N$53,C368))+Settings!$B$5*MIN(INDEX(Bases!$N$2:$N$53,B368),INDEX(Bases!$N$2:$N$53,C368))</f>
        <v>52</v>
      </c>
      <c r="U368" s="2" t="n">
        <f aca="false">Settings!$B$4*MAX(INDEX(Bases!$O$2:$O$53,B368),INDEX(Bases!$O$2:$O$53,C368))+Settings!$B$5*MIN(INDEX(Bases!$O$2:$O$53,B368),INDEX(Bases!$O$2:$O$53,C368))</f>
        <v>127</v>
      </c>
      <c r="V368" s="2" t="n">
        <f aca="false">Settings!$B$4*MAX(INDEX(Bases!$P$2:$P$53,B368),INDEX(Bases!$P$2:$P$53,C368))+Settings!$B$5*MIN(INDEX(Bases!$P$2:$P$53,B368),INDEX(Bases!$P$2:$P$53,C368))</f>
        <v>58</v>
      </c>
      <c r="W368" s="2" t="n">
        <f aca="false">Settings!$B$4*MAX(INDEX(Bases!$Q$2:$Q$53,B368),INDEX(Bases!$Q$2:$Q$53,C368))+Settings!$B$5*MIN(INDEX(Bases!$Q$2:$Q$53,B368),INDEX(Bases!$Q$2:$Q$53,C368))</f>
        <v>95</v>
      </c>
      <c r="X368" s="2" t="n">
        <f aca="false">Settings!$B$4*MAX(INDEX(Bases!$R$2:$R$53,B368),INDEX(Bases!$R$2:$R$53,C368))+Settings!$B$5*MIN(INDEX(Bases!$R$2:$R$53,B368),INDEX(Bases!$R$2:$R$53,C368))</f>
        <v>33.3333333333333</v>
      </c>
      <c r="Y368" s="2" t="n">
        <f aca="false">S368*Settings!$B$3/SUM(S368:X368)</f>
        <v>62.9984051036683</v>
      </c>
      <c r="Z368" s="2" t="n">
        <f aca="false">T368*Settings!$B$3/SUM(S368:X368)</f>
        <v>62.200956937799</v>
      </c>
      <c r="AA368" s="2" t="n">
        <f aca="false">U368*Settings!$B$3/SUM(S368:X368)</f>
        <v>151.913875598086</v>
      </c>
      <c r="AB368" s="2" t="n">
        <f aca="false">V368*Settings!$B$3/SUM(S368:X368)</f>
        <v>69.377990430622</v>
      </c>
      <c r="AC368" s="2" t="n">
        <f aca="false">W368*Settings!$B$3/SUM(S368:X368)</f>
        <v>113.636363636364</v>
      </c>
      <c r="AD368" s="2" t="n">
        <f aca="false">X368*Settings!$B$3/SUM(S368:X368)</f>
        <v>39.8724082934609</v>
      </c>
      <c r="AE368" s="2" t="n">
        <f aca="false">INT(Y368)</f>
        <v>62</v>
      </c>
      <c r="AF368" s="2" t="n">
        <f aca="false">INT(Z368)</f>
        <v>62</v>
      </c>
      <c r="AG368" s="2" t="n">
        <f aca="false">INT(AA368)</f>
        <v>151</v>
      </c>
      <c r="AH368" s="2" t="n">
        <f aca="false">INT(AB368)</f>
        <v>69</v>
      </c>
      <c r="AI368" s="2" t="n">
        <f aca="false">INT(AC368)</f>
        <v>113</v>
      </c>
      <c r="AJ368" s="2" t="n">
        <f aca="false">INT(AD368)</f>
        <v>39</v>
      </c>
      <c r="AK368" s="2" t="n">
        <f aca="false">Settings!$B$3-SUM(AE368:AJ368)</f>
        <v>4</v>
      </c>
      <c r="AL368" s="2" t="n">
        <f aca="false">ROUND(Y368-AE368,9)</f>
        <v>0.998405104</v>
      </c>
      <c r="AM368" s="2" t="n">
        <f aca="false">ROUND(Z368-AF368,9)</f>
        <v>0.200956938</v>
      </c>
      <c r="AN368" s="2" t="n">
        <f aca="false">ROUND(AA368-AG368,9)</f>
        <v>0.913875598</v>
      </c>
      <c r="AO368" s="2" t="n">
        <f aca="false">ROUND(AB368-AH368,9)</f>
        <v>0.377990431</v>
      </c>
      <c r="AP368" s="2" t="n">
        <f aca="false">ROUND(AC368-AI368,9)</f>
        <v>0.636363636</v>
      </c>
      <c r="AQ368" s="2" t="n">
        <f aca="false">ROUND(AD368-AJ368,9)</f>
        <v>0.872408293</v>
      </c>
    </row>
    <row r="369" customFormat="false" ht="15" hidden="false" customHeight="false" outlineLevel="0" collapsed="false">
      <c r="A369" s="2" t="n">
        <v>368</v>
      </c>
      <c r="B369" s="6" t="n">
        <v>8</v>
      </c>
      <c r="C369" s="6" t="n">
        <v>40</v>
      </c>
      <c r="D369" s="8" t="str">
        <f aca="false">INDEX(Bases!$B$2:$B$53,B369)</f>
        <v>Corsola</v>
      </c>
      <c r="E369" s="8" t="str">
        <f aca="false">INDEX(Bases!$B$2:$B$53,C369)</f>
        <v>Gastly</v>
      </c>
      <c r="F369" s="2" t="str">
        <f aca="false">LEFT(D369,ROUNDUP(LEN(D369)/2,0))&amp;LOWER(MID(E369,ROUNDUP(LEN(E369)/2,0)+1,20))</f>
        <v>Corstly</v>
      </c>
      <c r="G369" s="8" t="str">
        <f aca="false">INDEX(Bases!$C$2:$C$53,B369)</f>
        <v>Water</v>
      </c>
      <c r="H369" s="8" t="str">
        <f aca="false">IF(INDEX(Bases!$C$2:$C$53,C369)=G369,"",INDEX(Bases!$C$2:$C$53,C369))</f>
        <v>Ghost</v>
      </c>
      <c r="I369" s="8" t="str">
        <f aca="false">IF(INDEX(Bases!$E$2:$E$53,B369)="","",INDEX(Bases!$E$2:$E$53,B369))</f>
        <v/>
      </c>
      <c r="J369" s="8" t="str">
        <f aca="false">IF(INDEX(Bases!$E$2:$E$53,C369)="","",INDEX(Bases!$E$2:$E$53,C369))</f>
        <v/>
      </c>
      <c r="K369" s="5"/>
      <c r="L369" s="2" t="n">
        <f aca="false">AE369+IF(SUMPRODUCT(--($AL369:$AQ369&gt;AL369))&lt;$AK369,1,0)</f>
        <v>62</v>
      </c>
      <c r="M369" s="2" t="n">
        <f aca="false">AF369+IF(SUMPRODUCT(--($AL369:$AQ369&gt;AM369))+SUMPRODUCT(--($AL369:AL369=AM369))&lt;$AK369,1,0)</f>
        <v>57</v>
      </c>
      <c r="N369" s="2" t="n">
        <f aca="false">AG369+IF(SUMPRODUCT(--($AL369:$AQ369&gt;AN369))+SUMPRODUCT(--($AL369:AM369=AN369))&lt;$AK369,1,0)</f>
        <v>84</v>
      </c>
      <c r="O369" s="2" t="n">
        <f aca="false">AH369+IF(SUMPRODUCT(--($AL369:$AQ369&gt;AO369))+SUMPRODUCT(--($AL369:AN369=AO369))&lt;$AK369,1,0)</f>
        <v>120</v>
      </c>
      <c r="P369" s="2" t="n">
        <f aca="false">AI369+IF(SUMPRODUCT(--($AL369:$AQ369&gt;AP369))+SUMPRODUCT(--($AL369:AO369=AP369))&lt;$AK369,1,0)</f>
        <v>87</v>
      </c>
      <c r="Q369" s="2" t="n">
        <f aca="false">AJ369+IF(SUMPRODUCT(--($AL369:$AQ369&gt;AQ369))+SUMPRODUCT(--($AL369:AP369=AQ369))&lt;$AK369,1,0)</f>
        <v>90</v>
      </c>
      <c r="R369" s="2" t="n">
        <f aca="false">SUM(L369:Q369)</f>
        <v>500</v>
      </c>
      <c r="S369" s="2" t="n">
        <f aca="false">Settings!$B$4*MAX(INDEX(Bases!$M$2:$M$53,B369),INDEX(Bases!$M$2:$M$53,C369))+Settings!$B$5*MIN(INDEX(Bases!$M$2:$M$53,B369),INDEX(Bases!$M$2:$M$53,C369))</f>
        <v>55</v>
      </c>
      <c r="T369" s="2" t="n">
        <f aca="false">Settings!$B$4*MAX(INDEX(Bases!$N$2:$N$53,B369),INDEX(Bases!$N$2:$N$53,C369))+Settings!$B$5*MIN(INDEX(Bases!$N$2:$N$53,B369),INDEX(Bases!$N$2:$N$53,C369))</f>
        <v>51</v>
      </c>
      <c r="U369" s="2" t="n">
        <f aca="false">Settings!$B$4*MAX(INDEX(Bases!$O$2:$O$53,B369),INDEX(Bases!$O$2:$O$53,C369))+Settings!$B$5*MIN(INDEX(Bases!$O$2:$O$53,B369),INDEX(Bases!$O$2:$O$53,C369))</f>
        <v>75</v>
      </c>
      <c r="V369" s="2" t="n">
        <f aca="false">Settings!$B$4*MAX(INDEX(Bases!$P$2:$P$53,B369),INDEX(Bases!$P$2:$P$53,C369))+Settings!$B$5*MIN(INDEX(Bases!$P$2:$P$53,B369),INDEX(Bases!$P$2:$P$53,C369))</f>
        <v>107</v>
      </c>
      <c r="W369" s="2" t="n">
        <f aca="false">Settings!$B$4*MAX(INDEX(Bases!$Q$2:$Q$53,B369),INDEX(Bases!$Q$2:$Q$53,C369))+Settings!$B$5*MIN(INDEX(Bases!$Q$2:$Q$53,B369),INDEX(Bases!$Q$2:$Q$53,C369))</f>
        <v>77</v>
      </c>
      <c r="X369" s="2" t="n">
        <f aca="false">Settings!$B$4*MAX(INDEX(Bases!$R$2:$R$53,B369),INDEX(Bases!$R$2:$R$53,C369))+Settings!$B$5*MIN(INDEX(Bases!$R$2:$R$53,B369),INDEX(Bases!$R$2:$R$53,C369))</f>
        <v>80</v>
      </c>
      <c r="Y369" s="2" t="n">
        <f aca="false">S369*Settings!$B$3/SUM(S369:X369)</f>
        <v>61.7977528089888</v>
      </c>
      <c r="Z369" s="2" t="n">
        <f aca="false">T369*Settings!$B$3/SUM(S369:X369)</f>
        <v>57.3033707865169</v>
      </c>
      <c r="AA369" s="2" t="n">
        <f aca="false">U369*Settings!$B$3/SUM(S369:X369)</f>
        <v>84.2696629213483</v>
      </c>
      <c r="AB369" s="2" t="n">
        <f aca="false">V369*Settings!$B$3/SUM(S369:X369)</f>
        <v>120.224719101124</v>
      </c>
      <c r="AC369" s="2" t="n">
        <f aca="false">W369*Settings!$B$3/SUM(S369:X369)</f>
        <v>86.5168539325843</v>
      </c>
      <c r="AD369" s="2" t="n">
        <f aca="false">X369*Settings!$B$3/SUM(S369:X369)</f>
        <v>89.8876404494382</v>
      </c>
      <c r="AE369" s="2" t="n">
        <f aca="false">INT(Y369)</f>
        <v>61</v>
      </c>
      <c r="AF369" s="2" t="n">
        <f aca="false">INT(Z369)</f>
        <v>57</v>
      </c>
      <c r="AG369" s="2" t="n">
        <f aca="false">INT(AA369)</f>
        <v>84</v>
      </c>
      <c r="AH369" s="2" t="n">
        <f aca="false">INT(AB369)</f>
        <v>120</v>
      </c>
      <c r="AI369" s="2" t="n">
        <f aca="false">INT(AC369)</f>
        <v>86</v>
      </c>
      <c r="AJ369" s="2" t="n">
        <f aca="false">INT(AD369)</f>
        <v>89</v>
      </c>
      <c r="AK369" s="2" t="n">
        <f aca="false">Settings!$B$3-SUM(AE369:AJ369)</f>
        <v>3</v>
      </c>
      <c r="AL369" s="2" t="n">
        <f aca="false">ROUND(Y369-AE369,9)</f>
        <v>0.797752809</v>
      </c>
      <c r="AM369" s="2" t="n">
        <f aca="false">ROUND(Z369-AF369,9)</f>
        <v>0.303370787</v>
      </c>
      <c r="AN369" s="2" t="n">
        <f aca="false">ROUND(AA369-AG369,9)</f>
        <v>0.269662921</v>
      </c>
      <c r="AO369" s="2" t="n">
        <f aca="false">ROUND(AB369-AH369,9)</f>
        <v>0.224719101</v>
      </c>
      <c r="AP369" s="2" t="n">
        <f aca="false">ROUND(AC369-AI369,9)</f>
        <v>0.516853933</v>
      </c>
      <c r="AQ369" s="2" t="n">
        <f aca="false">ROUND(AD369-AJ369,9)</f>
        <v>0.887640449</v>
      </c>
    </row>
    <row r="370" customFormat="false" ht="15" hidden="false" customHeight="false" outlineLevel="0" collapsed="false">
      <c r="A370" s="2" t="n">
        <v>369</v>
      </c>
      <c r="B370" s="6" t="n">
        <v>8</v>
      </c>
      <c r="C370" s="6" t="n">
        <v>41</v>
      </c>
      <c r="D370" s="8" t="str">
        <f aca="false">INDEX(Bases!$B$2:$B$53,B370)</f>
        <v>Corsola</v>
      </c>
      <c r="E370" s="8" t="str">
        <f aca="false">INDEX(Bases!$B$2:$B$53,C370)</f>
        <v>Misdreavus</v>
      </c>
      <c r="F370" s="2" t="str">
        <f aca="false">LEFT(D370,ROUNDUP(LEN(D370)/2,0))&amp;LOWER(MID(E370,ROUNDUP(LEN(E370)/2,0)+1,20))</f>
        <v>Corseavus</v>
      </c>
      <c r="G370" s="8" t="str">
        <f aca="false">INDEX(Bases!$C$2:$C$53,B370)</f>
        <v>Water</v>
      </c>
      <c r="H370" s="8" t="str">
        <f aca="false">IF(INDEX(Bases!$C$2:$C$53,C370)=G370,"",INDEX(Bases!$C$2:$C$53,C370))</f>
        <v>Ghost</v>
      </c>
      <c r="I370" s="8" t="str">
        <f aca="false">IF(INDEX(Bases!$E$2:$E$53,B370)="","",INDEX(Bases!$E$2:$E$53,B370))</f>
        <v/>
      </c>
      <c r="J370" s="8" t="str">
        <f aca="false">IF(INDEX(Bases!$E$2:$E$53,C370)="","",INDEX(Bases!$E$2:$E$53,C370))</f>
        <v/>
      </c>
      <c r="K370" s="5"/>
      <c r="L370" s="2" t="n">
        <f aca="false">AE370+IF(SUMPRODUCT(--($AL370:$AQ370&gt;AL370))&lt;$AK370,1,0)</f>
        <v>72</v>
      </c>
      <c r="M370" s="2" t="n">
        <f aca="false">AF370+IF(SUMPRODUCT(--($AL370:$AQ370&gt;AM370))+SUMPRODUCT(--($AL370:AL370=AM370))&lt;$AK370,1,0)</f>
        <v>65</v>
      </c>
      <c r="N370" s="2" t="n">
        <f aca="false">AG370+IF(SUMPRODUCT(--($AL370:$AQ370&gt;AN370))+SUMPRODUCT(--($AL370:AM370=AN370))&lt;$AK370,1,0)</f>
        <v>96</v>
      </c>
      <c r="O370" s="2" t="n">
        <f aca="false">AH370+IF(SUMPRODUCT(--($AL370:$AQ370&gt;AO370))+SUMPRODUCT(--($AL370:AN370=AO370))&lt;$AK370,1,0)</f>
        <v>87</v>
      </c>
      <c r="P370" s="2" t="n">
        <f aca="false">AI370+IF(SUMPRODUCT(--($AL370:$AQ370&gt;AP370))+SUMPRODUCT(--($AL370:AO370=AP370))&lt;$AK370,1,0)</f>
        <v>105</v>
      </c>
      <c r="Q370" s="2" t="n">
        <f aca="false">AJ370+IF(SUMPRODUCT(--($AL370:$AQ370&gt;AQ370))+SUMPRODUCT(--($AL370:AP370=AQ370))&lt;$AK370,1,0)</f>
        <v>75</v>
      </c>
      <c r="R370" s="2" t="n">
        <f aca="false">SUM(L370:Q370)</f>
        <v>500</v>
      </c>
      <c r="S370" s="2" t="n">
        <f aca="false">Settings!$B$4*MAX(INDEX(Bases!$M$2:$M$53,B370),INDEX(Bases!$M$2:$M$53,C370))+Settings!$B$5*MIN(INDEX(Bases!$M$2:$M$53,B370),INDEX(Bases!$M$2:$M$53,C370))</f>
        <v>60.6666666666667</v>
      </c>
      <c r="T370" s="2" t="n">
        <f aca="false">Settings!$B$4*MAX(INDEX(Bases!$N$2:$N$53,B370),INDEX(Bases!$N$2:$N$53,C370))+Settings!$B$5*MIN(INDEX(Bases!$N$2:$N$53,B370),INDEX(Bases!$N$2:$N$53,C370))</f>
        <v>54.6666666666667</v>
      </c>
      <c r="U370" s="2" t="n">
        <f aca="false">Settings!$B$4*MAX(INDEX(Bases!$O$2:$O$53,B370),INDEX(Bases!$O$2:$O$53,C370))+Settings!$B$5*MIN(INDEX(Bases!$O$2:$O$53,B370),INDEX(Bases!$O$2:$O$53,C370))</f>
        <v>80.3333333333333</v>
      </c>
      <c r="V370" s="2" t="n">
        <f aca="false">Settings!$B$4*MAX(INDEX(Bases!$P$2:$P$53,B370),INDEX(Bases!$P$2:$P$53,C370))+Settings!$B$5*MIN(INDEX(Bases!$P$2:$P$53,B370),INDEX(Bases!$P$2:$P$53,C370))</f>
        <v>73</v>
      </c>
      <c r="W370" s="2" t="n">
        <f aca="false">Settings!$B$4*MAX(INDEX(Bases!$Q$2:$Q$53,B370),INDEX(Bases!$Q$2:$Q$53,C370))+Settings!$B$5*MIN(INDEX(Bases!$Q$2:$Q$53,B370),INDEX(Bases!$Q$2:$Q$53,C370))</f>
        <v>88</v>
      </c>
      <c r="X370" s="2" t="n">
        <f aca="false">Settings!$B$4*MAX(INDEX(Bases!$R$2:$R$53,B370),INDEX(Bases!$R$2:$R$53,C370))+Settings!$B$5*MIN(INDEX(Bases!$R$2:$R$53,B370),INDEX(Bases!$R$2:$R$53,C370))</f>
        <v>63.3333333333333</v>
      </c>
      <c r="Y370" s="2" t="n">
        <f aca="false">S370*Settings!$B$3/SUM(S370:X370)</f>
        <v>72.2222222222222</v>
      </c>
      <c r="Z370" s="2" t="n">
        <f aca="false">T370*Settings!$B$3/SUM(S370:X370)</f>
        <v>65.0793650793651</v>
      </c>
      <c r="AA370" s="2" t="n">
        <f aca="false">U370*Settings!$B$3/SUM(S370:X370)</f>
        <v>95.6349206349207</v>
      </c>
      <c r="AB370" s="2" t="n">
        <f aca="false">V370*Settings!$B$3/SUM(S370:X370)</f>
        <v>86.9047619047619</v>
      </c>
      <c r="AC370" s="2" t="n">
        <f aca="false">W370*Settings!$B$3/SUM(S370:X370)</f>
        <v>104.761904761905</v>
      </c>
      <c r="AD370" s="2" t="n">
        <f aca="false">X370*Settings!$B$3/SUM(S370:X370)</f>
        <v>75.3968253968254</v>
      </c>
      <c r="AE370" s="2" t="n">
        <f aca="false">INT(Y370)</f>
        <v>72</v>
      </c>
      <c r="AF370" s="2" t="n">
        <f aca="false">INT(Z370)</f>
        <v>65</v>
      </c>
      <c r="AG370" s="2" t="n">
        <f aca="false">INT(AA370)</f>
        <v>95</v>
      </c>
      <c r="AH370" s="2" t="n">
        <f aca="false">INT(AB370)</f>
        <v>86</v>
      </c>
      <c r="AI370" s="2" t="n">
        <f aca="false">INT(AC370)</f>
        <v>104</v>
      </c>
      <c r="AJ370" s="2" t="n">
        <f aca="false">INT(AD370)</f>
        <v>75</v>
      </c>
      <c r="AK370" s="2" t="n">
        <f aca="false">Settings!$B$3-SUM(AE370:AJ370)</f>
        <v>3</v>
      </c>
      <c r="AL370" s="2" t="n">
        <f aca="false">ROUND(Y370-AE370,9)</f>
        <v>0.222222222</v>
      </c>
      <c r="AM370" s="2" t="n">
        <f aca="false">ROUND(Z370-AF370,9)</f>
        <v>0.079365079</v>
      </c>
      <c r="AN370" s="2" t="n">
        <f aca="false">ROUND(AA370-AG370,9)</f>
        <v>0.634920635</v>
      </c>
      <c r="AO370" s="2" t="n">
        <f aca="false">ROUND(AB370-AH370,9)</f>
        <v>0.904761905</v>
      </c>
      <c r="AP370" s="2" t="n">
        <f aca="false">ROUND(AC370-AI370,9)</f>
        <v>0.761904762</v>
      </c>
      <c r="AQ370" s="2" t="n">
        <f aca="false">ROUND(AD370-AJ370,9)</f>
        <v>0.396825397</v>
      </c>
    </row>
    <row r="371" customFormat="false" ht="15" hidden="false" customHeight="false" outlineLevel="0" collapsed="false">
      <c r="A371" s="2" t="n">
        <v>370</v>
      </c>
      <c r="B371" s="6" t="n">
        <v>8</v>
      </c>
      <c r="C371" s="6" t="n">
        <v>42</v>
      </c>
      <c r="D371" s="8" t="str">
        <f aca="false">INDEX(Bases!$B$2:$B$53,B371)</f>
        <v>Corsola</v>
      </c>
      <c r="E371" s="8" t="str">
        <f aca="false">INDEX(Bases!$B$2:$B$53,C371)</f>
        <v>Sableye</v>
      </c>
      <c r="F371" s="2" t="str">
        <f aca="false">LEFT(D371,ROUNDUP(LEN(D371)/2,0))&amp;LOWER(MID(E371,ROUNDUP(LEN(E371)/2,0)+1,20))</f>
        <v>Corseye</v>
      </c>
      <c r="G371" s="8" t="str">
        <f aca="false">INDEX(Bases!$C$2:$C$53,B371)</f>
        <v>Water</v>
      </c>
      <c r="H371" s="8" t="str">
        <f aca="false">IF(INDEX(Bases!$C$2:$C$53,C371)=G371,"",INDEX(Bases!$C$2:$C$53,C371))</f>
        <v>Ghost</v>
      </c>
      <c r="I371" s="8" t="str">
        <f aca="false">IF(INDEX(Bases!$E$2:$E$53,B371)="","",INDEX(Bases!$E$2:$E$53,B371))</f>
        <v/>
      </c>
      <c r="J371" s="8" t="str">
        <f aca="false">IF(INDEX(Bases!$E$2:$E$53,C371)="","",INDEX(Bases!$E$2:$E$53,C371))</f>
        <v/>
      </c>
      <c r="K371" s="5"/>
      <c r="L371" s="2" t="n">
        <f aca="false">AE371+IF(SUMPRODUCT(--($AL371:$AQ371&gt;AL371))&lt;$AK371,1,0)</f>
        <v>71</v>
      </c>
      <c r="M371" s="2" t="n">
        <f aca="false">AF371+IF(SUMPRODUCT(--($AL371:$AQ371&gt;AM371))+SUMPRODUCT(--($AL371:AL371=AM371))&lt;$AK371,1,0)</f>
        <v>85</v>
      </c>
      <c r="N371" s="2" t="n">
        <f aca="false">AG371+IF(SUMPRODUCT(--($AL371:$AQ371&gt;AN371))+SUMPRODUCT(--($AL371:AM371=AN371))&lt;$AK371,1,0)</f>
        <v>106</v>
      </c>
      <c r="O371" s="2" t="n">
        <f aca="false">AH371+IF(SUMPRODUCT(--($AL371:$AQ371&gt;AO371))+SUMPRODUCT(--($AL371:AN371=AO371))&lt;$AK371,1,0)</f>
        <v>80</v>
      </c>
      <c r="P371" s="2" t="n">
        <f aca="false">AI371+IF(SUMPRODUCT(--($AL371:$AQ371&gt;AP371))+SUMPRODUCT(--($AL371:AO371=AP371))&lt;$AK371,1,0)</f>
        <v>102</v>
      </c>
      <c r="Q371" s="2" t="n">
        <f aca="false">AJ371+IF(SUMPRODUCT(--($AL371:$AQ371&gt;AQ371))+SUMPRODUCT(--($AL371:AP371=AQ371))&lt;$AK371,1,0)</f>
        <v>56</v>
      </c>
      <c r="R371" s="2" t="n">
        <f aca="false">SUM(L371:Q371)</f>
        <v>500</v>
      </c>
      <c r="S371" s="2" t="n">
        <f aca="false">Settings!$B$4*MAX(INDEX(Bases!$M$2:$M$53,B371),INDEX(Bases!$M$2:$M$53,C371))+Settings!$B$5*MIN(INDEX(Bases!$M$2:$M$53,B371),INDEX(Bases!$M$2:$M$53,C371))</f>
        <v>59.6666666666667</v>
      </c>
      <c r="T371" s="2" t="n">
        <f aca="false">Settings!$B$4*MAX(INDEX(Bases!$N$2:$N$53,B371),INDEX(Bases!$N$2:$N$53,C371))+Settings!$B$5*MIN(INDEX(Bases!$N$2:$N$53,B371),INDEX(Bases!$N$2:$N$53,C371))</f>
        <v>70.6666666666667</v>
      </c>
      <c r="U371" s="2" t="n">
        <f aca="false">Settings!$B$4*MAX(INDEX(Bases!$O$2:$O$53,B371),INDEX(Bases!$O$2:$O$53,C371))+Settings!$B$5*MIN(INDEX(Bases!$O$2:$O$53,B371),INDEX(Bases!$O$2:$O$53,C371))</f>
        <v>88.3333333333333</v>
      </c>
      <c r="V371" s="2" t="n">
        <f aca="false">Settings!$B$4*MAX(INDEX(Bases!$P$2:$P$53,B371),INDEX(Bases!$P$2:$P$53,C371))+Settings!$B$5*MIN(INDEX(Bases!$P$2:$P$53,B371),INDEX(Bases!$P$2:$P$53,C371))</f>
        <v>66.3333333333333</v>
      </c>
      <c r="W371" s="2" t="n">
        <f aca="false">Settings!$B$4*MAX(INDEX(Bases!$Q$2:$Q$53,B371),INDEX(Bases!$Q$2:$Q$53,C371))+Settings!$B$5*MIN(INDEX(Bases!$Q$2:$Q$53,B371),INDEX(Bases!$Q$2:$Q$53,C371))</f>
        <v>84.6666666666667</v>
      </c>
      <c r="X371" s="2" t="n">
        <f aca="false">Settings!$B$4*MAX(INDEX(Bases!$R$2:$R$53,B371),INDEX(Bases!$R$2:$R$53,C371))+Settings!$B$5*MIN(INDEX(Bases!$R$2:$R$53,B371),INDEX(Bases!$R$2:$R$53,C371))</f>
        <v>46.6666666666667</v>
      </c>
      <c r="Y371" s="2" t="n">
        <f aca="false">S371*Settings!$B$3/SUM(S371:X371)</f>
        <v>71.6573258606885</v>
      </c>
      <c r="Z371" s="2" t="n">
        <f aca="false">T371*Settings!$B$3/SUM(S371:X371)</f>
        <v>84.8678943154524</v>
      </c>
      <c r="AA371" s="2" t="n">
        <f aca="false">U371*Settings!$B$3/SUM(S371:X371)</f>
        <v>106.084867894315</v>
      </c>
      <c r="AB371" s="2" t="n">
        <f aca="false">V371*Settings!$B$3/SUM(S371:X371)</f>
        <v>79.6637309847878</v>
      </c>
      <c r="AC371" s="2" t="n">
        <f aca="false">W371*Settings!$B$3/SUM(S371:X371)</f>
        <v>101.681345076061</v>
      </c>
      <c r="AD371" s="2" t="n">
        <f aca="false">X371*Settings!$B$3/SUM(S371:X371)</f>
        <v>56.0448358686949</v>
      </c>
      <c r="AE371" s="2" t="n">
        <f aca="false">INT(Y371)</f>
        <v>71</v>
      </c>
      <c r="AF371" s="2" t="n">
        <f aca="false">INT(Z371)</f>
        <v>84</v>
      </c>
      <c r="AG371" s="2" t="n">
        <f aca="false">INT(AA371)</f>
        <v>106</v>
      </c>
      <c r="AH371" s="2" t="n">
        <f aca="false">INT(AB371)</f>
        <v>79</v>
      </c>
      <c r="AI371" s="2" t="n">
        <f aca="false">INT(AC371)</f>
        <v>101</v>
      </c>
      <c r="AJ371" s="2" t="n">
        <f aca="false">INT(AD371)</f>
        <v>56</v>
      </c>
      <c r="AK371" s="2" t="n">
        <f aca="false">Settings!$B$3-SUM(AE371:AJ371)</f>
        <v>3</v>
      </c>
      <c r="AL371" s="2" t="n">
        <f aca="false">ROUND(Y371-AE371,9)</f>
        <v>0.657325861</v>
      </c>
      <c r="AM371" s="2" t="n">
        <f aca="false">ROUND(Z371-AF371,9)</f>
        <v>0.867894315</v>
      </c>
      <c r="AN371" s="2" t="n">
        <f aca="false">ROUND(AA371-AG371,9)</f>
        <v>0.084867894</v>
      </c>
      <c r="AO371" s="2" t="n">
        <f aca="false">ROUND(AB371-AH371,9)</f>
        <v>0.663730985</v>
      </c>
      <c r="AP371" s="2" t="n">
        <f aca="false">ROUND(AC371-AI371,9)</f>
        <v>0.681345076</v>
      </c>
      <c r="AQ371" s="2" t="n">
        <f aca="false">ROUND(AD371-AJ371,9)</f>
        <v>0.044835869</v>
      </c>
    </row>
    <row r="372" customFormat="false" ht="15" hidden="false" customHeight="false" outlineLevel="0" collapsed="false">
      <c r="A372" s="2" t="n">
        <v>371</v>
      </c>
      <c r="B372" s="6" t="n">
        <v>8</v>
      </c>
      <c r="C372" s="6" t="n">
        <v>43</v>
      </c>
      <c r="D372" s="8" t="str">
        <f aca="false">INDEX(Bases!$B$2:$B$53,B372)</f>
        <v>Corsola</v>
      </c>
      <c r="E372" s="8" t="str">
        <f aca="false">INDEX(Bases!$B$2:$B$53,C372)</f>
        <v>Dratini</v>
      </c>
      <c r="F372" s="2" t="str">
        <f aca="false">LEFT(D372,ROUNDUP(LEN(D372)/2,0))&amp;LOWER(MID(E372,ROUNDUP(LEN(E372)/2,0)+1,20))</f>
        <v>Corsini</v>
      </c>
      <c r="G372" s="8" t="str">
        <f aca="false">INDEX(Bases!$C$2:$C$53,B372)</f>
        <v>Water</v>
      </c>
      <c r="H372" s="8" t="str">
        <f aca="false">IF(INDEX(Bases!$C$2:$C$53,C372)=G372,"",INDEX(Bases!$C$2:$C$53,C372))</f>
        <v>Dragon</v>
      </c>
      <c r="I372" s="8" t="str">
        <f aca="false">IF(INDEX(Bases!$E$2:$E$53,B372)="","",INDEX(Bases!$E$2:$E$53,B372))</f>
        <v/>
      </c>
      <c r="J372" s="8" t="str">
        <f aca="false">IF(INDEX(Bases!$E$2:$E$53,C372)="","",INDEX(Bases!$E$2:$E$53,C372))</f>
        <v/>
      </c>
      <c r="K372" s="5"/>
      <c r="L372" s="2" t="n">
        <f aca="false">AE372+IF(SUMPRODUCT(--($AL372:$AQ372&gt;AL372))&lt;$AK372,1,0)</f>
        <v>71</v>
      </c>
      <c r="M372" s="2" t="n">
        <f aca="false">AF372+IF(SUMPRODUCT(--($AL372:$AQ372&gt;AM372))+SUMPRODUCT(--($AL372:AL372=AM372))&lt;$AK372,1,0)</f>
        <v>88</v>
      </c>
      <c r="N372" s="2" t="n">
        <f aca="false">AG372+IF(SUMPRODUCT(--($AL372:$AQ372&gt;AN372))+SUMPRODUCT(--($AL372:AM372=AN372))&lt;$AK372,1,0)</f>
        <v>97</v>
      </c>
      <c r="O372" s="2" t="n">
        <f aca="false">AH372+IF(SUMPRODUCT(--($AL372:$AQ372&gt;AO372))+SUMPRODUCT(--($AL372:AN372=AO372))&lt;$AK372,1,0)</f>
        <v>78</v>
      </c>
      <c r="P372" s="2" t="n">
        <f aca="false">AI372+IF(SUMPRODUCT(--($AL372:$AQ372&gt;AP372))+SUMPRODUCT(--($AL372:AO372=AP372))&lt;$AK372,1,0)</f>
        <v>100</v>
      </c>
      <c r="Q372" s="2" t="n">
        <f aca="false">AJ372+IF(SUMPRODUCT(--($AL372:$AQ372&gt;AQ372))+SUMPRODUCT(--($AL372:AP372=AQ372))&lt;$AK372,1,0)</f>
        <v>66</v>
      </c>
      <c r="R372" s="2" t="n">
        <f aca="false">SUM(L372:Q372)</f>
        <v>500</v>
      </c>
      <c r="S372" s="2" t="n">
        <f aca="false">Settings!$B$4*MAX(INDEX(Bases!$M$2:$M$53,B372),INDEX(Bases!$M$2:$M$53,C372))+Settings!$B$5*MIN(INDEX(Bases!$M$2:$M$53,B372),INDEX(Bases!$M$2:$M$53,C372))</f>
        <v>60.3333333333333</v>
      </c>
      <c r="T372" s="2" t="n">
        <f aca="false">Settings!$B$4*MAX(INDEX(Bases!$N$2:$N$53,B372),INDEX(Bases!$N$2:$N$53,C372))+Settings!$B$5*MIN(INDEX(Bases!$N$2:$N$53,B372),INDEX(Bases!$N$2:$N$53,C372))</f>
        <v>74.6666666666667</v>
      </c>
      <c r="U372" s="2" t="n">
        <f aca="false">Settings!$B$4*MAX(INDEX(Bases!$O$2:$O$53,B372),INDEX(Bases!$O$2:$O$53,C372))+Settings!$B$5*MIN(INDEX(Bases!$O$2:$O$53,B372),INDEX(Bases!$O$2:$O$53,C372))</f>
        <v>82</v>
      </c>
      <c r="V372" s="2" t="n">
        <f aca="false">Settings!$B$4*MAX(INDEX(Bases!$P$2:$P$53,B372),INDEX(Bases!$P$2:$P$53,C372))+Settings!$B$5*MIN(INDEX(Bases!$P$2:$P$53,B372),INDEX(Bases!$P$2:$P$53,C372))</f>
        <v>65.6666666666667</v>
      </c>
      <c r="W372" s="2" t="n">
        <f aca="false">Settings!$B$4*MAX(INDEX(Bases!$Q$2:$Q$53,B372),INDEX(Bases!$Q$2:$Q$53,C372))+Settings!$B$5*MIN(INDEX(Bases!$Q$2:$Q$53,B372),INDEX(Bases!$Q$2:$Q$53,C372))</f>
        <v>84.3333333333333</v>
      </c>
      <c r="X372" s="2" t="n">
        <f aca="false">Settings!$B$4*MAX(INDEX(Bases!$R$2:$R$53,B372),INDEX(Bases!$R$2:$R$53,C372))+Settings!$B$5*MIN(INDEX(Bases!$R$2:$R$53,B372),INDEX(Bases!$R$2:$R$53,C372))</f>
        <v>55.3333333333333</v>
      </c>
      <c r="Y372" s="2" t="n">
        <f aca="false">S372*Settings!$B$3/SUM(S372:X372)</f>
        <v>71.4285714285714</v>
      </c>
      <c r="Z372" s="2" t="n">
        <f aca="false">T372*Settings!$B$3/SUM(S372:X372)</f>
        <v>88.3977900552486</v>
      </c>
      <c r="AA372" s="2" t="n">
        <f aca="false">U372*Settings!$B$3/SUM(S372:X372)</f>
        <v>97.0797158642463</v>
      </c>
      <c r="AB372" s="2" t="n">
        <f aca="false">V372*Settings!$B$3/SUM(S372:X372)</f>
        <v>77.7426992896606</v>
      </c>
      <c r="AC372" s="2" t="n">
        <f aca="false">W372*Settings!$B$3/SUM(S372:X372)</f>
        <v>99.8421468034728</v>
      </c>
      <c r="AD372" s="2" t="n">
        <f aca="false">X372*Settings!$B$3/SUM(S372:X372)</f>
        <v>65.5090765588003</v>
      </c>
      <c r="AE372" s="2" t="n">
        <f aca="false">INT(Y372)</f>
        <v>71</v>
      </c>
      <c r="AF372" s="2" t="n">
        <f aca="false">INT(Z372)</f>
        <v>88</v>
      </c>
      <c r="AG372" s="2" t="n">
        <f aca="false">INT(AA372)</f>
        <v>97</v>
      </c>
      <c r="AH372" s="2" t="n">
        <f aca="false">INT(AB372)</f>
        <v>77</v>
      </c>
      <c r="AI372" s="2" t="n">
        <f aca="false">INT(AC372)</f>
        <v>99</v>
      </c>
      <c r="AJ372" s="2" t="n">
        <f aca="false">INT(AD372)</f>
        <v>65</v>
      </c>
      <c r="AK372" s="2" t="n">
        <f aca="false">Settings!$B$3-SUM(AE372:AJ372)</f>
        <v>3</v>
      </c>
      <c r="AL372" s="2" t="n">
        <f aca="false">ROUND(Y372-AE372,9)</f>
        <v>0.428571429</v>
      </c>
      <c r="AM372" s="2" t="n">
        <f aca="false">ROUND(Z372-AF372,9)</f>
        <v>0.397790055</v>
      </c>
      <c r="AN372" s="2" t="n">
        <f aca="false">ROUND(AA372-AG372,9)</f>
        <v>0.079715864</v>
      </c>
      <c r="AO372" s="2" t="n">
        <f aca="false">ROUND(AB372-AH372,9)</f>
        <v>0.74269929</v>
      </c>
      <c r="AP372" s="2" t="n">
        <f aca="false">ROUND(AC372-AI372,9)</f>
        <v>0.842146803</v>
      </c>
      <c r="AQ372" s="2" t="n">
        <f aca="false">ROUND(AD372-AJ372,9)</f>
        <v>0.509076559</v>
      </c>
    </row>
    <row r="373" customFormat="false" ht="15" hidden="false" customHeight="false" outlineLevel="0" collapsed="false">
      <c r="A373" s="2" t="n">
        <v>372</v>
      </c>
      <c r="B373" s="6" t="n">
        <v>8</v>
      </c>
      <c r="C373" s="6" t="n">
        <v>44</v>
      </c>
      <c r="D373" s="8" t="str">
        <f aca="false">INDEX(Bases!$B$2:$B$53,B373)</f>
        <v>Corsola</v>
      </c>
      <c r="E373" s="8" t="str">
        <f aca="false">INDEX(Bases!$B$2:$B$53,C373)</f>
        <v>Bagon</v>
      </c>
      <c r="F373" s="2" t="str">
        <f aca="false">LEFT(D373,ROUNDUP(LEN(D373)/2,0))&amp;LOWER(MID(E373,ROUNDUP(LEN(E373)/2,0)+1,20))</f>
        <v>Corson</v>
      </c>
      <c r="G373" s="8" t="str">
        <f aca="false">INDEX(Bases!$C$2:$C$53,B373)</f>
        <v>Water</v>
      </c>
      <c r="H373" s="8" t="str">
        <f aca="false">IF(INDEX(Bases!$C$2:$C$53,C373)=G373,"",INDEX(Bases!$C$2:$C$53,C373))</f>
        <v>Dragon</v>
      </c>
      <c r="I373" s="8" t="str">
        <f aca="false">IF(INDEX(Bases!$E$2:$E$53,B373)="","",INDEX(Bases!$E$2:$E$53,B373))</f>
        <v/>
      </c>
      <c r="J373" s="8" t="str">
        <f aca="false">IF(INDEX(Bases!$E$2:$E$53,C373)="","",INDEX(Bases!$E$2:$E$53,C373))</f>
        <v/>
      </c>
      <c r="K373" s="5"/>
      <c r="L373" s="2" t="n">
        <f aca="false">AE373+IF(SUMPRODUCT(--($AL373:$AQ373&gt;AL373))&lt;$AK373,1,0)</f>
        <v>73</v>
      </c>
      <c r="M373" s="2" t="n">
        <f aca="false">AF373+IF(SUMPRODUCT(--($AL373:$AQ373&gt;AM373))+SUMPRODUCT(--($AL373:AL373=AM373))&lt;$AK373,1,0)</f>
        <v>99</v>
      </c>
      <c r="N373" s="2" t="n">
        <f aca="false">AG373+IF(SUMPRODUCT(--($AL373:$AQ373&gt;AN373))+SUMPRODUCT(--($AL373:AM373=AN373))&lt;$AK373,1,0)</f>
        <v>104</v>
      </c>
      <c r="O373" s="2" t="n">
        <f aca="false">AH373+IF(SUMPRODUCT(--($AL373:$AQ373&gt;AO373))+SUMPRODUCT(--($AL373:AN373=AO373))&lt;$AK373,1,0)</f>
        <v>70</v>
      </c>
      <c r="P373" s="2" t="n">
        <f aca="false">AI373+IF(SUMPRODUCT(--($AL373:$AQ373&gt;AP373))+SUMPRODUCT(--($AL373:AO373=AP373))&lt;$AK373,1,0)</f>
        <v>88</v>
      </c>
      <c r="Q373" s="2" t="n">
        <f aca="false">AJ373+IF(SUMPRODUCT(--($AL373:$AQ373&gt;AQ373))+SUMPRODUCT(--($AL373:AP373=AQ373))&lt;$AK373,1,0)</f>
        <v>66</v>
      </c>
      <c r="R373" s="2" t="n">
        <f aca="false">SUM(L373:Q373)</f>
        <v>500</v>
      </c>
      <c r="S373" s="2" t="n">
        <f aca="false">Settings!$B$4*MAX(INDEX(Bases!$M$2:$M$53,B373),INDEX(Bases!$M$2:$M$53,C373))+Settings!$B$5*MIN(INDEX(Bases!$M$2:$M$53,B373),INDEX(Bases!$M$2:$M$53,C373))</f>
        <v>62</v>
      </c>
      <c r="T373" s="2" t="n">
        <f aca="false">Settings!$B$4*MAX(INDEX(Bases!$N$2:$N$53,B373),INDEX(Bases!$N$2:$N$53,C373))+Settings!$B$5*MIN(INDEX(Bases!$N$2:$N$53,B373),INDEX(Bases!$N$2:$N$53,C373))</f>
        <v>84.6666666666667</v>
      </c>
      <c r="U373" s="2" t="n">
        <f aca="false">Settings!$B$4*MAX(INDEX(Bases!$O$2:$O$53,B373),INDEX(Bases!$O$2:$O$53,C373))+Settings!$B$5*MIN(INDEX(Bases!$O$2:$O$53,B373),INDEX(Bases!$O$2:$O$53,C373))</f>
        <v>88.6666666666667</v>
      </c>
      <c r="V373" s="2" t="n">
        <f aca="false">Settings!$B$4*MAX(INDEX(Bases!$P$2:$P$53,B373),INDEX(Bases!$P$2:$P$53,C373))+Settings!$B$5*MIN(INDEX(Bases!$P$2:$P$53,B373),INDEX(Bases!$P$2:$P$53,C373))</f>
        <v>59.6666666666667</v>
      </c>
      <c r="W373" s="2" t="n">
        <f aca="false">Settings!$B$4*MAX(INDEX(Bases!$Q$2:$Q$53,B373),INDEX(Bases!$Q$2:$Q$53,C373))+Settings!$B$5*MIN(INDEX(Bases!$Q$2:$Q$53,B373),INDEX(Bases!$Q$2:$Q$53,C373))</f>
        <v>75.3333333333333</v>
      </c>
      <c r="X373" s="2" t="n">
        <f aca="false">Settings!$B$4*MAX(INDEX(Bases!$R$2:$R$53,B373),INDEX(Bases!$R$2:$R$53,C373))+Settings!$B$5*MIN(INDEX(Bases!$R$2:$R$53,B373),INDEX(Bases!$R$2:$R$53,C373))</f>
        <v>56</v>
      </c>
      <c r="Y373" s="2" t="n">
        <f aca="false">S373*Settings!$B$3/SUM(S373:X373)</f>
        <v>72.7130570758405</v>
      </c>
      <c r="Z373" s="2" t="n">
        <f aca="false">T373*Settings!$B$3/SUM(S373:X373)</f>
        <v>99.2963252541047</v>
      </c>
      <c r="AA373" s="2" t="n">
        <f aca="false">U373*Settings!$B$3/SUM(S373:X373)</f>
        <v>103.98749022674</v>
      </c>
      <c r="AB373" s="2" t="n">
        <f aca="false">V373*Settings!$B$3/SUM(S373:X373)</f>
        <v>69.9765441751368</v>
      </c>
      <c r="AC373" s="2" t="n">
        <f aca="false">W373*Settings!$B$3/SUM(S373:X373)</f>
        <v>88.3502736512901</v>
      </c>
      <c r="AD373" s="2" t="n">
        <f aca="false">X373*Settings!$B$3/SUM(S373:X373)</f>
        <v>65.6763096168882</v>
      </c>
      <c r="AE373" s="2" t="n">
        <f aca="false">INT(Y373)</f>
        <v>72</v>
      </c>
      <c r="AF373" s="2" t="n">
        <f aca="false">INT(Z373)</f>
        <v>99</v>
      </c>
      <c r="AG373" s="2" t="n">
        <f aca="false">INT(AA373)</f>
        <v>103</v>
      </c>
      <c r="AH373" s="2" t="n">
        <f aca="false">INT(AB373)</f>
        <v>69</v>
      </c>
      <c r="AI373" s="2" t="n">
        <f aca="false">INT(AC373)</f>
        <v>88</v>
      </c>
      <c r="AJ373" s="2" t="n">
        <f aca="false">INT(AD373)</f>
        <v>65</v>
      </c>
      <c r="AK373" s="2" t="n">
        <f aca="false">Settings!$B$3-SUM(AE373:AJ373)</f>
        <v>4</v>
      </c>
      <c r="AL373" s="2" t="n">
        <f aca="false">ROUND(Y373-AE373,9)</f>
        <v>0.713057076</v>
      </c>
      <c r="AM373" s="2" t="n">
        <f aca="false">ROUND(Z373-AF373,9)</f>
        <v>0.296325254</v>
      </c>
      <c r="AN373" s="2" t="n">
        <f aca="false">ROUND(AA373-AG373,9)</f>
        <v>0.987490227</v>
      </c>
      <c r="AO373" s="2" t="n">
        <f aca="false">ROUND(AB373-AH373,9)</f>
        <v>0.976544175</v>
      </c>
      <c r="AP373" s="2" t="n">
        <f aca="false">ROUND(AC373-AI373,9)</f>
        <v>0.350273651</v>
      </c>
      <c r="AQ373" s="2" t="n">
        <f aca="false">ROUND(AD373-AJ373,9)</f>
        <v>0.676309617</v>
      </c>
    </row>
    <row r="374" customFormat="false" ht="15" hidden="false" customHeight="false" outlineLevel="0" collapsed="false">
      <c r="A374" s="2" t="n">
        <v>373</v>
      </c>
      <c r="B374" s="6" t="n">
        <v>8</v>
      </c>
      <c r="C374" s="6" t="n">
        <v>45</v>
      </c>
      <c r="D374" s="8" t="str">
        <f aca="false">INDEX(Bases!$B$2:$B$53,B374)</f>
        <v>Corsola</v>
      </c>
      <c r="E374" s="8" t="str">
        <f aca="false">INDEX(Bases!$B$2:$B$53,C374)</f>
        <v>Sneasel</v>
      </c>
      <c r="F374" s="2" t="str">
        <f aca="false">LEFT(D374,ROUNDUP(LEN(D374)/2,0))&amp;LOWER(MID(E374,ROUNDUP(LEN(E374)/2,0)+1,20))</f>
        <v>Corssel</v>
      </c>
      <c r="G374" s="8" t="str">
        <f aca="false">INDEX(Bases!$C$2:$C$53,B374)</f>
        <v>Water</v>
      </c>
      <c r="H374" s="8" t="str">
        <f aca="false">IF(INDEX(Bases!$C$2:$C$53,C374)=G374,"",INDEX(Bases!$C$2:$C$53,C374))</f>
        <v>Dark</v>
      </c>
      <c r="I374" s="8" t="str">
        <f aca="false">IF(INDEX(Bases!$E$2:$E$53,B374)="","",INDEX(Bases!$E$2:$E$53,B374))</f>
        <v/>
      </c>
      <c r="J374" s="8" t="str">
        <f aca="false">IF(INDEX(Bases!$E$2:$E$53,C374)="","",INDEX(Bases!$E$2:$E$53,C374))</f>
        <v/>
      </c>
      <c r="K374" s="5"/>
      <c r="L374" s="2" t="n">
        <f aca="false">AE374+IF(SUMPRODUCT(--($AL374:$AQ374&gt;AL374))&lt;$AK374,1,0)</f>
        <v>68</v>
      </c>
      <c r="M374" s="2" t="n">
        <f aca="false">AF374+IF(SUMPRODUCT(--($AL374:$AQ374&gt;AM374))+SUMPRODUCT(--($AL374:AL374=AM374))&lt;$AK374,1,0)</f>
        <v>88</v>
      </c>
      <c r="N374" s="2" t="n">
        <f aca="false">AG374+IF(SUMPRODUCT(--($AL374:$AQ374&gt;AN374))+SUMPRODUCT(--($AL374:AM374=AN374))&lt;$AK374,1,0)</f>
        <v>90</v>
      </c>
      <c r="O374" s="2" t="n">
        <f aca="false">AH374+IF(SUMPRODUCT(--($AL374:$AQ374&gt;AO374))+SUMPRODUCT(--($AL374:AN374=AO374))&lt;$AK374,1,0)</f>
        <v>61</v>
      </c>
      <c r="P374" s="2" t="n">
        <f aca="false">AI374+IF(SUMPRODUCT(--($AL374:$AQ374&gt;AP374))+SUMPRODUCT(--($AL374:AO374=AP374))&lt;$AK374,1,0)</f>
        <v>98</v>
      </c>
      <c r="Q374" s="2" t="n">
        <f aca="false">AJ374+IF(SUMPRODUCT(--($AL374:$AQ374&gt;AQ374))+SUMPRODUCT(--($AL374:AP374=AQ374))&lt;$AK374,1,0)</f>
        <v>95</v>
      </c>
      <c r="R374" s="2" t="n">
        <f aca="false">SUM(L374:Q374)</f>
        <v>500</v>
      </c>
      <c r="S374" s="2" t="n">
        <f aca="false">Settings!$B$4*MAX(INDEX(Bases!$M$2:$M$53,B374),INDEX(Bases!$M$2:$M$53,C374))+Settings!$B$5*MIN(INDEX(Bases!$M$2:$M$53,B374),INDEX(Bases!$M$2:$M$53,C374))</f>
        <v>59</v>
      </c>
      <c r="T374" s="2" t="n">
        <f aca="false">Settings!$B$4*MAX(INDEX(Bases!$N$2:$N$53,B374),INDEX(Bases!$N$2:$N$53,C374))+Settings!$B$5*MIN(INDEX(Bases!$N$2:$N$53,B374),INDEX(Bases!$N$2:$N$53,C374))</f>
        <v>76.6666666666667</v>
      </c>
      <c r="U374" s="2" t="n">
        <f aca="false">Settings!$B$4*MAX(INDEX(Bases!$O$2:$O$53,B374),INDEX(Bases!$O$2:$O$53,C374))+Settings!$B$5*MIN(INDEX(Bases!$O$2:$O$53,B374),INDEX(Bases!$O$2:$O$53,C374))</f>
        <v>79</v>
      </c>
      <c r="V374" s="2" t="n">
        <f aca="false">Settings!$B$4*MAX(INDEX(Bases!$P$2:$P$53,B374),INDEX(Bases!$P$2:$P$53,C374))+Settings!$B$5*MIN(INDEX(Bases!$P$2:$P$53,B374),INDEX(Bases!$P$2:$P$53,C374))</f>
        <v>53</v>
      </c>
      <c r="W374" s="2" t="n">
        <f aca="false">Settings!$B$4*MAX(INDEX(Bases!$Q$2:$Q$53,B374),INDEX(Bases!$Q$2:$Q$53,C374))+Settings!$B$5*MIN(INDEX(Bases!$Q$2:$Q$53,B374),INDEX(Bases!$Q$2:$Q$53,C374))</f>
        <v>85.3333333333333</v>
      </c>
      <c r="X374" s="2" t="n">
        <f aca="false">Settings!$B$4*MAX(INDEX(Bases!$R$2:$R$53,B374),INDEX(Bases!$R$2:$R$53,C374))+Settings!$B$5*MIN(INDEX(Bases!$R$2:$R$53,B374),INDEX(Bases!$R$2:$R$53,C374))</f>
        <v>82.6666666666667</v>
      </c>
      <c r="Y374" s="2" t="n">
        <f aca="false">S374*Settings!$B$3/SUM(S374:X374)</f>
        <v>67.7123182861515</v>
      </c>
      <c r="Z374" s="2" t="n">
        <f aca="false">T374*Settings!$B$3/SUM(S374:X374)</f>
        <v>87.9877582249426</v>
      </c>
      <c r="AA374" s="2" t="n">
        <f aca="false">U374*Settings!$B$3/SUM(S374:X374)</f>
        <v>90.6656465187452</v>
      </c>
      <c r="AB374" s="2" t="n">
        <f aca="false">V374*Settings!$B$3/SUM(S374:X374)</f>
        <v>60.8263198163734</v>
      </c>
      <c r="AC374" s="2" t="n">
        <f aca="false">W374*Settings!$B$3/SUM(S374:X374)</f>
        <v>97.9342004590666</v>
      </c>
      <c r="AD374" s="2" t="n">
        <f aca="false">X374*Settings!$B$3/SUM(S374:X374)</f>
        <v>94.8737566947207</v>
      </c>
      <c r="AE374" s="2" t="n">
        <f aca="false">INT(Y374)</f>
        <v>67</v>
      </c>
      <c r="AF374" s="2" t="n">
        <f aca="false">INT(Z374)</f>
        <v>87</v>
      </c>
      <c r="AG374" s="2" t="n">
        <f aca="false">INT(AA374)</f>
        <v>90</v>
      </c>
      <c r="AH374" s="2" t="n">
        <f aca="false">INT(AB374)</f>
        <v>60</v>
      </c>
      <c r="AI374" s="2" t="n">
        <f aca="false">INT(AC374)</f>
        <v>97</v>
      </c>
      <c r="AJ374" s="2" t="n">
        <f aca="false">INT(AD374)</f>
        <v>94</v>
      </c>
      <c r="AK374" s="2" t="n">
        <f aca="false">Settings!$B$3-SUM(AE374:AJ374)</f>
        <v>5</v>
      </c>
      <c r="AL374" s="2" t="n">
        <f aca="false">ROUND(Y374-AE374,9)</f>
        <v>0.712318286</v>
      </c>
      <c r="AM374" s="2" t="n">
        <f aca="false">ROUND(Z374-AF374,9)</f>
        <v>0.987758225</v>
      </c>
      <c r="AN374" s="2" t="n">
        <f aca="false">ROUND(AA374-AG374,9)</f>
        <v>0.665646519</v>
      </c>
      <c r="AO374" s="2" t="n">
        <f aca="false">ROUND(AB374-AH374,9)</f>
        <v>0.826319816</v>
      </c>
      <c r="AP374" s="2" t="n">
        <f aca="false">ROUND(AC374-AI374,9)</f>
        <v>0.934200459</v>
      </c>
      <c r="AQ374" s="2" t="n">
        <f aca="false">ROUND(AD374-AJ374,9)</f>
        <v>0.873756695</v>
      </c>
    </row>
    <row r="375" customFormat="false" ht="15" hidden="false" customHeight="false" outlineLevel="0" collapsed="false">
      <c r="A375" s="2" t="n">
        <v>374</v>
      </c>
      <c r="B375" s="6" t="n">
        <v>8</v>
      </c>
      <c r="C375" s="6" t="n">
        <v>46</v>
      </c>
      <c r="D375" s="8" t="str">
        <f aca="false">INDEX(Bases!$B$2:$B$53,B375)</f>
        <v>Corsola</v>
      </c>
      <c r="E375" s="8" t="str">
        <f aca="false">INDEX(Bases!$B$2:$B$53,C375)</f>
        <v>Houndour</v>
      </c>
      <c r="F375" s="2" t="str">
        <f aca="false">LEFT(D375,ROUNDUP(LEN(D375)/2,0))&amp;LOWER(MID(E375,ROUNDUP(LEN(E375)/2,0)+1,20))</f>
        <v>Corsdour</v>
      </c>
      <c r="G375" s="8" t="str">
        <f aca="false">INDEX(Bases!$C$2:$C$53,B375)</f>
        <v>Water</v>
      </c>
      <c r="H375" s="8" t="str">
        <f aca="false">IF(INDEX(Bases!$C$2:$C$53,C375)=G375,"",INDEX(Bases!$C$2:$C$53,C375))</f>
        <v>Dark</v>
      </c>
      <c r="I375" s="8" t="str">
        <f aca="false">IF(INDEX(Bases!$E$2:$E$53,B375)="","",INDEX(Bases!$E$2:$E$53,B375))</f>
        <v/>
      </c>
      <c r="J375" s="8" t="str">
        <f aca="false">IF(INDEX(Bases!$E$2:$E$53,C375)="","",INDEX(Bases!$E$2:$E$53,C375))</f>
        <v/>
      </c>
      <c r="K375" s="5"/>
      <c r="L375" s="2" t="n">
        <f aca="false">AE375+IF(SUMPRODUCT(--($AL375:$AQ375&gt;AL375))&lt;$AK375,1,0)</f>
        <v>69</v>
      </c>
      <c r="M375" s="2" t="n">
        <f aca="false">AF375+IF(SUMPRODUCT(--($AL375:$AQ375&gt;AM375))+SUMPRODUCT(--($AL375:AL375=AM375))&lt;$AK375,1,0)</f>
        <v>77</v>
      </c>
      <c r="N375" s="2" t="n">
        <f aca="false">AG375+IF(SUMPRODUCT(--($AL375:$AQ375&gt;AN375))+SUMPRODUCT(--($AL375:AM375=AN375))&lt;$AK375,1,0)</f>
        <v>86</v>
      </c>
      <c r="O375" s="2" t="n">
        <f aca="false">AH375+IF(SUMPRODUCT(--($AL375:$AQ375&gt;AO375))+SUMPRODUCT(--($AL375:AN375=AO375))&lt;$AK375,1,0)</f>
        <v>99</v>
      </c>
      <c r="P375" s="2" t="n">
        <f aca="false">AI375+IF(SUMPRODUCT(--($AL375:$AQ375&gt;AP375))+SUMPRODUCT(--($AL375:AO375=AP375))&lt;$AK375,1,0)</f>
        <v>95</v>
      </c>
      <c r="Q375" s="2" t="n">
        <f aca="false">AJ375+IF(SUMPRODUCT(--($AL375:$AQ375&gt;AQ375))+SUMPRODUCT(--($AL375:AP375=AQ375))&lt;$AK375,1,0)</f>
        <v>74</v>
      </c>
      <c r="R375" s="2" t="n">
        <f aca="false">SUM(L375:Q375)</f>
        <v>500</v>
      </c>
      <c r="S375" s="2" t="n">
        <f aca="false">Settings!$B$4*MAX(INDEX(Bases!$M$2:$M$53,B375),INDEX(Bases!$M$2:$M$53,C375))+Settings!$B$5*MIN(INDEX(Bases!$M$2:$M$53,B375),INDEX(Bases!$M$2:$M$53,C375))</f>
        <v>60</v>
      </c>
      <c r="T375" s="2" t="n">
        <f aca="false">Settings!$B$4*MAX(INDEX(Bases!$N$2:$N$53,B375),INDEX(Bases!$N$2:$N$53,C375))+Settings!$B$5*MIN(INDEX(Bases!$N$2:$N$53,B375),INDEX(Bases!$N$2:$N$53,C375))</f>
        <v>66.6666666666667</v>
      </c>
      <c r="U375" s="2" t="n">
        <f aca="false">Settings!$B$4*MAX(INDEX(Bases!$O$2:$O$53,B375),INDEX(Bases!$O$2:$O$53,C375))+Settings!$B$5*MIN(INDEX(Bases!$O$2:$O$53,B375),INDEX(Bases!$O$2:$O$53,C375))</f>
        <v>74</v>
      </c>
      <c r="V375" s="2" t="n">
        <f aca="false">Settings!$B$4*MAX(INDEX(Bases!$P$2:$P$53,B375),INDEX(Bases!$P$2:$P$53,C375))+Settings!$B$5*MIN(INDEX(Bases!$P$2:$P$53,B375),INDEX(Bases!$P$2:$P$53,C375))</f>
        <v>85.6666666666667</v>
      </c>
      <c r="W375" s="2" t="n">
        <f aca="false">Settings!$B$4*MAX(INDEX(Bases!$Q$2:$Q$53,B375),INDEX(Bases!$Q$2:$Q$53,C375))+Settings!$B$5*MIN(INDEX(Bases!$Q$2:$Q$53,B375),INDEX(Bases!$Q$2:$Q$53,C375))</f>
        <v>82.3333333333333</v>
      </c>
      <c r="X375" s="2" t="n">
        <f aca="false">Settings!$B$4*MAX(INDEX(Bases!$R$2:$R$53,B375),INDEX(Bases!$R$2:$R$53,C375))+Settings!$B$5*MIN(INDEX(Bases!$R$2:$R$53,B375),INDEX(Bases!$R$2:$R$53,C375))</f>
        <v>64</v>
      </c>
      <c r="Y375" s="2" t="n">
        <f aca="false">S375*Settings!$B$3/SUM(S375:X375)</f>
        <v>69.3374422187982</v>
      </c>
      <c r="Z375" s="2" t="n">
        <f aca="false">T375*Settings!$B$3/SUM(S375:X375)</f>
        <v>77.0416024653313</v>
      </c>
      <c r="AA375" s="2" t="n">
        <f aca="false">U375*Settings!$B$3/SUM(S375:X375)</f>
        <v>85.5161787365177</v>
      </c>
      <c r="AB375" s="2" t="n">
        <f aca="false">V375*Settings!$B$3/SUM(S375:X375)</f>
        <v>98.9984591679507</v>
      </c>
      <c r="AC375" s="2" t="n">
        <f aca="false">W375*Settings!$B$3/SUM(S375:X375)</f>
        <v>95.1463790446841</v>
      </c>
      <c r="AD375" s="2" t="n">
        <f aca="false">X375*Settings!$B$3/SUM(S375:X375)</f>
        <v>73.959938366718</v>
      </c>
      <c r="AE375" s="2" t="n">
        <f aca="false">INT(Y375)</f>
        <v>69</v>
      </c>
      <c r="AF375" s="2" t="n">
        <f aca="false">INT(Z375)</f>
        <v>77</v>
      </c>
      <c r="AG375" s="2" t="n">
        <f aca="false">INT(AA375)</f>
        <v>85</v>
      </c>
      <c r="AH375" s="2" t="n">
        <f aca="false">INT(AB375)</f>
        <v>98</v>
      </c>
      <c r="AI375" s="2" t="n">
        <f aca="false">INT(AC375)</f>
        <v>95</v>
      </c>
      <c r="AJ375" s="2" t="n">
        <f aca="false">INT(AD375)</f>
        <v>73</v>
      </c>
      <c r="AK375" s="2" t="n">
        <f aca="false">Settings!$B$3-SUM(AE375:AJ375)</f>
        <v>3</v>
      </c>
      <c r="AL375" s="2" t="n">
        <f aca="false">ROUND(Y375-AE375,9)</f>
        <v>0.337442219</v>
      </c>
      <c r="AM375" s="2" t="n">
        <f aca="false">ROUND(Z375-AF375,9)</f>
        <v>0.041602465</v>
      </c>
      <c r="AN375" s="2" t="n">
        <f aca="false">ROUND(AA375-AG375,9)</f>
        <v>0.516178737</v>
      </c>
      <c r="AO375" s="2" t="n">
        <f aca="false">ROUND(AB375-AH375,9)</f>
        <v>0.998459168</v>
      </c>
      <c r="AP375" s="2" t="n">
        <f aca="false">ROUND(AC375-AI375,9)</f>
        <v>0.146379045</v>
      </c>
      <c r="AQ375" s="2" t="n">
        <f aca="false">ROUND(AD375-AJ375,9)</f>
        <v>0.959938367</v>
      </c>
    </row>
    <row r="376" customFormat="false" ht="15" hidden="false" customHeight="false" outlineLevel="0" collapsed="false">
      <c r="A376" s="2" t="n">
        <v>375</v>
      </c>
      <c r="B376" s="6" t="n">
        <v>8</v>
      </c>
      <c r="C376" s="6" t="n">
        <v>47</v>
      </c>
      <c r="D376" s="8" t="str">
        <f aca="false">INDEX(Bases!$B$2:$B$53,B376)</f>
        <v>Corsola</v>
      </c>
      <c r="E376" s="8" t="str">
        <f aca="false">INDEX(Bases!$B$2:$B$53,C376)</f>
        <v>Carvanha</v>
      </c>
      <c r="F376" s="2" t="str">
        <f aca="false">LEFT(D376,ROUNDUP(LEN(D376)/2,0))&amp;LOWER(MID(E376,ROUNDUP(LEN(E376)/2,0)+1,20))</f>
        <v>Corsanha</v>
      </c>
      <c r="G376" s="8" t="str">
        <f aca="false">INDEX(Bases!$C$2:$C$53,B376)</f>
        <v>Water</v>
      </c>
      <c r="H376" s="8" t="str">
        <f aca="false">IF(INDEX(Bases!$C$2:$C$53,C376)=G376,"",INDEX(Bases!$C$2:$C$53,C376))</f>
        <v>Dark</v>
      </c>
      <c r="I376" s="8" t="str">
        <f aca="false">IF(INDEX(Bases!$E$2:$E$53,B376)="","",INDEX(Bases!$E$2:$E$53,B376))</f>
        <v/>
      </c>
      <c r="J376" s="8" t="str">
        <f aca="false">IF(INDEX(Bases!$E$2:$E$53,C376)="","",INDEX(Bases!$E$2:$E$53,C376))</f>
        <v/>
      </c>
      <c r="K376" s="5"/>
      <c r="L376" s="2" t="n">
        <f aca="false">AE376+IF(SUMPRODUCT(--($AL376:$AQ376&gt;AL376))&lt;$AK376,1,0)</f>
        <v>69</v>
      </c>
      <c r="M376" s="2" t="n">
        <f aca="false">AF376+IF(SUMPRODUCT(--($AL376:$AQ376&gt;AM376))+SUMPRODUCT(--($AL376:AL376=AM376))&lt;$AK376,1,0)</f>
        <v>109</v>
      </c>
      <c r="N376" s="2" t="n">
        <f aca="false">AG376+IF(SUMPRODUCT(--($AL376:$AQ376&gt;AN376))+SUMPRODUCT(--($AL376:AM376=AN376))&lt;$AK376,1,0)</f>
        <v>79</v>
      </c>
      <c r="O376" s="2" t="n">
        <f aca="false">AH376+IF(SUMPRODUCT(--($AL376:$AQ376&gt;AO376))+SUMPRODUCT(--($AL376:AN376=AO376))&lt;$AK376,1,0)</f>
        <v>88</v>
      </c>
      <c r="P376" s="2" t="n">
        <f aca="false">AI376+IF(SUMPRODUCT(--($AL376:$AQ376&gt;AP376))+SUMPRODUCT(--($AL376:AO376=AP376))&lt;$AK376,1,0)</f>
        <v>79</v>
      </c>
      <c r="Q376" s="2" t="n">
        <f aca="false">AJ376+IF(SUMPRODUCT(--($AL376:$AQ376&gt;AQ376))+SUMPRODUCT(--($AL376:AP376=AQ376))&lt;$AK376,1,0)</f>
        <v>76</v>
      </c>
      <c r="R376" s="2" t="n">
        <f aca="false">SUM(L376:Q376)</f>
        <v>500</v>
      </c>
      <c r="S376" s="2" t="n">
        <f aca="false">Settings!$B$4*MAX(INDEX(Bases!$M$2:$M$53,B376),INDEX(Bases!$M$2:$M$53,C376))+Settings!$B$5*MIN(INDEX(Bases!$M$2:$M$53,B376),INDEX(Bases!$M$2:$M$53,C376))</f>
        <v>61.6666666666667</v>
      </c>
      <c r="T376" s="2" t="n">
        <f aca="false">Settings!$B$4*MAX(INDEX(Bases!$N$2:$N$53,B376),INDEX(Bases!$N$2:$N$53,C376))+Settings!$B$5*MIN(INDEX(Bases!$N$2:$N$53,B376),INDEX(Bases!$N$2:$N$53,C376))</f>
        <v>96.6666666666667</v>
      </c>
      <c r="U376" s="2" t="n">
        <f aca="false">Settings!$B$4*MAX(INDEX(Bases!$O$2:$O$53,B376),INDEX(Bases!$O$2:$O$53,C376))+Settings!$B$5*MIN(INDEX(Bases!$O$2:$O$53,B376),INDEX(Bases!$O$2:$O$53,C376))</f>
        <v>70.6666666666667</v>
      </c>
      <c r="V376" s="2" t="n">
        <f aca="false">Settings!$B$4*MAX(INDEX(Bases!$P$2:$P$53,B376),INDEX(Bases!$P$2:$P$53,C376))+Settings!$B$5*MIN(INDEX(Bases!$P$2:$P$53,B376),INDEX(Bases!$P$2:$P$53,C376))</f>
        <v>78.3333333333333</v>
      </c>
      <c r="W376" s="2" t="n">
        <f aca="false">Settings!$B$4*MAX(INDEX(Bases!$Q$2:$Q$53,B376),INDEX(Bases!$Q$2:$Q$53,C376))+Settings!$B$5*MIN(INDEX(Bases!$Q$2:$Q$53,B376),INDEX(Bases!$Q$2:$Q$53,C376))</f>
        <v>70.6666666666667</v>
      </c>
      <c r="X376" s="2" t="n">
        <f aca="false">Settings!$B$4*MAX(INDEX(Bases!$R$2:$R$53,B376),INDEX(Bases!$R$2:$R$53,C376))+Settings!$B$5*MIN(INDEX(Bases!$R$2:$R$53,B376),INDEX(Bases!$R$2:$R$53,C376))</f>
        <v>68</v>
      </c>
      <c r="Y376" s="2" t="n">
        <f aca="false">S376*Settings!$B$3/SUM(S376:X376)</f>
        <v>69.1330343796712</v>
      </c>
      <c r="Z376" s="2" t="n">
        <f aca="false">T376*Settings!$B$3/SUM(S376:X376)</f>
        <v>108.370702541106</v>
      </c>
      <c r="AA376" s="2" t="n">
        <f aca="false">U376*Settings!$B$3/SUM(S376:X376)</f>
        <v>79.2227204783259</v>
      </c>
      <c r="AB376" s="2" t="n">
        <f aca="false">V376*Settings!$B$3/SUM(S376:X376)</f>
        <v>87.8176382660688</v>
      </c>
      <c r="AC376" s="2" t="n">
        <f aca="false">W376*Settings!$B$3/SUM(S376:X376)</f>
        <v>79.2227204783259</v>
      </c>
      <c r="AD376" s="2" t="n">
        <f aca="false">X376*Settings!$B$3/SUM(S376:X376)</f>
        <v>76.2331838565022</v>
      </c>
      <c r="AE376" s="2" t="n">
        <f aca="false">INT(Y376)</f>
        <v>69</v>
      </c>
      <c r="AF376" s="2" t="n">
        <f aca="false">INT(Z376)</f>
        <v>108</v>
      </c>
      <c r="AG376" s="2" t="n">
        <f aca="false">INT(AA376)</f>
        <v>79</v>
      </c>
      <c r="AH376" s="2" t="n">
        <f aca="false">INT(AB376)</f>
        <v>87</v>
      </c>
      <c r="AI376" s="2" t="n">
        <f aca="false">INT(AC376)</f>
        <v>79</v>
      </c>
      <c r="AJ376" s="2" t="n">
        <f aca="false">INT(AD376)</f>
        <v>76</v>
      </c>
      <c r="AK376" s="2" t="n">
        <f aca="false">Settings!$B$3-SUM(AE376:AJ376)</f>
        <v>2</v>
      </c>
      <c r="AL376" s="2" t="n">
        <f aca="false">ROUND(Y376-AE376,9)</f>
        <v>0.13303438</v>
      </c>
      <c r="AM376" s="2" t="n">
        <f aca="false">ROUND(Z376-AF376,9)</f>
        <v>0.370702541</v>
      </c>
      <c r="AN376" s="2" t="n">
        <f aca="false">ROUND(AA376-AG376,9)</f>
        <v>0.222720478</v>
      </c>
      <c r="AO376" s="2" t="n">
        <f aca="false">ROUND(AB376-AH376,9)</f>
        <v>0.817638266</v>
      </c>
      <c r="AP376" s="2" t="n">
        <f aca="false">ROUND(AC376-AI376,9)</f>
        <v>0.222720478</v>
      </c>
      <c r="AQ376" s="2" t="n">
        <f aca="false">ROUND(AD376-AJ376,9)</f>
        <v>0.233183857</v>
      </c>
    </row>
    <row r="377" customFormat="false" ht="15" hidden="false" customHeight="false" outlineLevel="0" collapsed="false">
      <c r="A377" s="2" t="n">
        <v>376</v>
      </c>
      <c r="B377" s="6" t="n">
        <v>8</v>
      </c>
      <c r="C377" s="6" t="n">
        <v>48</v>
      </c>
      <c r="D377" s="8" t="str">
        <f aca="false">INDEX(Bases!$B$2:$B$53,B377)</f>
        <v>Corsola</v>
      </c>
      <c r="E377" s="8" t="str">
        <f aca="false">INDEX(Bases!$B$2:$B$53,C377)</f>
        <v>Magnemite</v>
      </c>
      <c r="F377" s="2" t="str">
        <f aca="false">LEFT(D377,ROUNDUP(LEN(D377)/2,0))&amp;LOWER(MID(E377,ROUNDUP(LEN(E377)/2,0)+1,20))</f>
        <v>Corsmite</v>
      </c>
      <c r="G377" s="8" t="str">
        <f aca="false">INDEX(Bases!$C$2:$C$53,B377)</f>
        <v>Water</v>
      </c>
      <c r="H377" s="8" t="str">
        <f aca="false">IF(INDEX(Bases!$C$2:$C$53,C377)=G377,"",INDEX(Bases!$C$2:$C$53,C377))</f>
        <v>Steel</v>
      </c>
      <c r="I377" s="8" t="str">
        <f aca="false">IF(INDEX(Bases!$E$2:$E$53,B377)="","",INDEX(Bases!$E$2:$E$53,B377))</f>
        <v/>
      </c>
      <c r="J377" s="8" t="str">
        <f aca="false">IF(INDEX(Bases!$E$2:$E$53,C377)="","",INDEX(Bases!$E$2:$E$53,C377))</f>
        <v/>
      </c>
      <c r="K377" s="5"/>
      <c r="L377" s="2" t="n">
        <f aca="false">AE377+IF(SUMPRODUCT(--($AL377:$AQ377&gt;AL377))&lt;$AK377,1,0)</f>
        <v>62</v>
      </c>
      <c r="M377" s="2" t="n">
        <f aca="false">AF377+IF(SUMPRODUCT(--($AL377:$AQ377&gt;AM377))+SUMPRODUCT(--($AL377:AL377=AM377))&lt;$AK377,1,0)</f>
        <v>59</v>
      </c>
      <c r="N377" s="2" t="n">
        <f aca="false">AG377+IF(SUMPRODUCT(--($AL377:$AQ377&gt;AN377))+SUMPRODUCT(--($AL377:AM377=AN377))&lt;$AK377,1,0)</f>
        <v>107</v>
      </c>
      <c r="O377" s="2" t="n">
        <f aca="false">AH377+IF(SUMPRODUCT(--($AL377:$AQ377&gt;AO377))+SUMPRODUCT(--($AL377:AN377=AO377))&lt;$AK377,1,0)</f>
        <v>116</v>
      </c>
      <c r="P377" s="2" t="n">
        <f aca="false">AI377+IF(SUMPRODUCT(--($AL377:$AQ377&gt;AP377))+SUMPRODUCT(--($AL377:AO377=AP377))&lt;$AK377,1,0)</f>
        <v>100</v>
      </c>
      <c r="Q377" s="2" t="n">
        <f aca="false">AJ377+IF(SUMPRODUCT(--($AL377:$AQ377&gt;AQ377))+SUMPRODUCT(--($AL377:AP377=AQ377))&lt;$AK377,1,0)</f>
        <v>56</v>
      </c>
      <c r="R377" s="2" t="n">
        <f aca="false">SUM(L377:Q377)</f>
        <v>500</v>
      </c>
      <c r="S377" s="2" t="n">
        <f aca="false">Settings!$B$4*MAX(INDEX(Bases!$M$2:$M$53,B377),INDEX(Bases!$M$2:$M$53,C377))+Settings!$B$5*MIN(INDEX(Bases!$M$2:$M$53,B377),INDEX(Bases!$M$2:$M$53,C377))</f>
        <v>52.3333333333333</v>
      </c>
      <c r="T377" s="2" t="n">
        <f aca="false">Settings!$B$4*MAX(INDEX(Bases!$N$2:$N$53,B377),INDEX(Bases!$N$2:$N$53,C377))+Settings!$B$5*MIN(INDEX(Bases!$N$2:$N$53,B377),INDEX(Bases!$N$2:$N$53,C377))</f>
        <v>50.3333333333333</v>
      </c>
      <c r="U377" s="2" t="n">
        <f aca="false">Settings!$B$4*MAX(INDEX(Bases!$O$2:$O$53,B377),INDEX(Bases!$O$2:$O$53,C377))+Settings!$B$5*MIN(INDEX(Bases!$O$2:$O$53,B377),INDEX(Bases!$O$2:$O$53,C377))</f>
        <v>90.6666666666667</v>
      </c>
      <c r="V377" s="2" t="n">
        <f aca="false">Settings!$B$4*MAX(INDEX(Bases!$P$2:$P$53,B377),INDEX(Bases!$P$2:$P$53,C377))+Settings!$B$5*MIN(INDEX(Bases!$P$2:$P$53,B377),INDEX(Bases!$P$2:$P$53,C377))</f>
        <v>99</v>
      </c>
      <c r="W377" s="2" t="n">
        <f aca="false">Settings!$B$4*MAX(INDEX(Bases!$Q$2:$Q$53,B377),INDEX(Bases!$Q$2:$Q$53,C377))+Settings!$B$5*MIN(INDEX(Bases!$Q$2:$Q$53,B377),INDEX(Bases!$Q$2:$Q$53,C377))</f>
        <v>84.6666666666667</v>
      </c>
      <c r="X377" s="2" t="n">
        <f aca="false">Settings!$B$4*MAX(INDEX(Bases!$R$2:$R$53,B377),INDEX(Bases!$R$2:$R$53,C377))+Settings!$B$5*MIN(INDEX(Bases!$R$2:$R$53,B377),INDEX(Bases!$R$2:$R$53,C377))</f>
        <v>48</v>
      </c>
      <c r="Y377" s="2" t="n">
        <f aca="false">S377*Settings!$B$3/SUM(S377:X377)</f>
        <v>61.5686274509804</v>
      </c>
      <c r="Z377" s="2" t="n">
        <f aca="false">T377*Settings!$B$3/SUM(S377:X377)</f>
        <v>59.2156862745098</v>
      </c>
      <c r="AA377" s="2" t="n">
        <f aca="false">U377*Settings!$B$3/SUM(S377:X377)</f>
        <v>106.666666666667</v>
      </c>
      <c r="AB377" s="2" t="n">
        <f aca="false">V377*Settings!$B$3/SUM(S377:X377)</f>
        <v>116.470588235294</v>
      </c>
      <c r="AC377" s="2" t="n">
        <f aca="false">W377*Settings!$B$3/SUM(S377:X377)</f>
        <v>99.6078431372549</v>
      </c>
      <c r="AD377" s="2" t="n">
        <f aca="false">X377*Settings!$B$3/SUM(S377:X377)</f>
        <v>56.4705882352941</v>
      </c>
      <c r="AE377" s="2" t="n">
        <f aca="false">INT(Y377)</f>
        <v>61</v>
      </c>
      <c r="AF377" s="2" t="n">
        <f aca="false">INT(Z377)</f>
        <v>59</v>
      </c>
      <c r="AG377" s="2" t="n">
        <f aca="false">INT(AA377)</f>
        <v>106</v>
      </c>
      <c r="AH377" s="2" t="n">
        <f aca="false">INT(AB377)</f>
        <v>116</v>
      </c>
      <c r="AI377" s="2" t="n">
        <f aca="false">INT(AC377)</f>
        <v>99</v>
      </c>
      <c r="AJ377" s="2" t="n">
        <f aca="false">INT(AD377)</f>
        <v>56</v>
      </c>
      <c r="AK377" s="2" t="n">
        <f aca="false">Settings!$B$3-SUM(AE377:AJ377)</f>
        <v>3</v>
      </c>
      <c r="AL377" s="2" t="n">
        <f aca="false">ROUND(Y377-AE377,9)</f>
        <v>0.568627451</v>
      </c>
      <c r="AM377" s="2" t="n">
        <f aca="false">ROUND(Z377-AF377,9)</f>
        <v>0.215686275</v>
      </c>
      <c r="AN377" s="2" t="n">
        <f aca="false">ROUND(AA377-AG377,9)</f>
        <v>0.666666667</v>
      </c>
      <c r="AO377" s="2" t="n">
        <f aca="false">ROUND(AB377-AH377,9)</f>
        <v>0.470588235</v>
      </c>
      <c r="AP377" s="2" t="n">
        <f aca="false">ROUND(AC377-AI377,9)</f>
        <v>0.607843137</v>
      </c>
      <c r="AQ377" s="2" t="n">
        <f aca="false">ROUND(AD377-AJ377,9)</f>
        <v>0.470588235</v>
      </c>
    </row>
    <row r="378" customFormat="false" ht="15" hidden="false" customHeight="false" outlineLevel="0" collapsed="false">
      <c r="A378" s="2" t="n">
        <v>377</v>
      </c>
      <c r="B378" s="6" t="n">
        <v>8</v>
      </c>
      <c r="C378" s="6" t="n">
        <v>49</v>
      </c>
      <c r="D378" s="8" t="str">
        <f aca="false">INDEX(Bases!$B$2:$B$53,B378)</f>
        <v>Corsola</v>
      </c>
      <c r="E378" s="8" t="str">
        <f aca="false">INDEX(Bases!$B$2:$B$53,C378)</f>
        <v>Aron</v>
      </c>
      <c r="F378" s="2" t="str">
        <f aca="false">LEFT(D378,ROUNDUP(LEN(D378)/2,0))&amp;LOWER(MID(E378,ROUNDUP(LEN(E378)/2,0)+1,20))</f>
        <v>Corson</v>
      </c>
      <c r="G378" s="8" t="str">
        <f aca="false">INDEX(Bases!$C$2:$C$53,B378)</f>
        <v>Water</v>
      </c>
      <c r="H378" s="8" t="str">
        <f aca="false">IF(INDEX(Bases!$C$2:$C$53,C378)=G378,"",INDEX(Bases!$C$2:$C$53,C378))</f>
        <v>Steel</v>
      </c>
      <c r="I378" s="8" t="str">
        <f aca="false">IF(INDEX(Bases!$E$2:$E$53,B378)="","",INDEX(Bases!$E$2:$E$53,B378))</f>
        <v/>
      </c>
      <c r="J378" s="8" t="str">
        <f aca="false">IF(INDEX(Bases!$E$2:$E$53,C378)="","",INDEX(Bases!$E$2:$E$53,C378))</f>
        <v/>
      </c>
      <c r="K378" s="5"/>
      <c r="L378" s="2" t="n">
        <f aca="false">AE378+IF(SUMPRODUCT(--($AL378:$AQ378&gt;AL378))&lt;$AK378,1,0)</f>
        <v>74</v>
      </c>
      <c r="M378" s="2" t="n">
        <f aca="false">AF378+IF(SUMPRODUCT(--($AL378:$AQ378&gt;AM378))+SUMPRODUCT(--($AL378:AL378=AM378))&lt;$AK378,1,0)</f>
        <v>89</v>
      </c>
      <c r="N378" s="2" t="n">
        <f aca="false">AG378+IF(SUMPRODUCT(--($AL378:$AQ378&gt;AN378))+SUMPRODUCT(--($AL378:AM378=AN378))&lt;$AK378,1,0)</f>
        <v>133</v>
      </c>
      <c r="O378" s="2" t="n">
        <f aca="false">AH378+IF(SUMPRODUCT(--($AL378:$AQ378&gt;AO378))+SUMPRODUCT(--($AL378:AN378=AO378))&lt;$AK378,1,0)</f>
        <v>69</v>
      </c>
      <c r="P378" s="2" t="n">
        <f aca="false">AI378+IF(SUMPRODUCT(--($AL378:$AQ378&gt;AP378))+SUMPRODUCT(--($AL378:AO378=AP378))&lt;$AK378,1,0)</f>
        <v>93</v>
      </c>
      <c r="Q378" s="2" t="n">
        <f aca="false">AJ378+IF(SUMPRODUCT(--($AL378:$AQ378&gt;AQ378))+SUMPRODUCT(--($AL378:AP378=AQ378))&lt;$AK378,1,0)</f>
        <v>42</v>
      </c>
      <c r="R378" s="2" t="n">
        <f aca="false">SUM(L378:Q378)</f>
        <v>500</v>
      </c>
      <c r="S378" s="2" t="n">
        <f aca="false">Settings!$B$4*MAX(INDEX(Bases!$M$2:$M$53,B378),INDEX(Bases!$M$2:$M$53,C378))+Settings!$B$5*MIN(INDEX(Bases!$M$2:$M$53,B378),INDEX(Bases!$M$2:$M$53,C378))</f>
        <v>62.3333333333333</v>
      </c>
      <c r="T378" s="2" t="n">
        <f aca="false">Settings!$B$4*MAX(INDEX(Bases!$N$2:$N$53,B378),INDEX(Bases!$N$2:$N$53,C378))+Settings!$B$5*MIN(INDEX(Bases!$N$2:$N$53,B378),INDEX(Bases!$N$2:$N$53,C378))</f>
        <v>74.6666666666667</v>
      </c>
      <c r="U378" s="2" t="n">
        <f aca="false">Settings!$B$4*MAX(INDEX(Bases!$O$2:$O$53,B378),INDEX(Bases!$O$2:$O$53,C378))+Settings!$B$5*MIN(INDEX(Bases!$O$2:$O$53,B378),INDEX(Bases!$O$2:$O$53,C378))</f>
        <v>111.666666666667</v>
      </c>
      <c r="V378" s="2" t="n">
        <f aca="false">Settings!$B$4*MAX(INDEX(Bases!$P$2:$P$53,B378),INDEX(Bases!$P$2:$P$53,C378))+Settings!$B$5*MIN(INDEX(Bases!$P$2:$P$53,B378),INDEX(Bases!$P$2:$P$53,C378))</f>
        <v>58.3333333333333</v>
      </c>
      <c r="W378" s="2" t="n">
        <f aca="false">Settings!$B$4*MAX(INDEX(Bases!$Q$2:$Q$53,B378),INDEX(Bases!$Q$2:$Q$53,C378))+Settings!$B$5*MIN(INDEX(Bases!$Q$2:$Q$53,B378),INDEX(Bases!$Q$2:$Q$53,C378))</f>
        <v>78</v>
      </c>
      <c r="X378" s="2" t="n">
        <f aca="false">Settings!$B$4*MAX(INDEX(Bases!$R$2:$R$53,B378),INDEX(Bases!$R$2:$R$53,C378))+Settings!$B$5*MIN(INDEX(Bases!$R$2:$R$53,B378),INDEX(Bases!$R$2:$R$53,C378))</f>
        <v>35.3333333333333</v>
      </c>
      <c r="Y378" s="2" t="n">
        <f aca="false">S378*Settings!$B$3/SUM(S378:X378)</f>
        <v>74.1475019825535</v>
      </c>
      <c r="Z378" s="2" t="n">
        <f aca="false">T378*Settings!$B$3/SUM(S378:X378)</f>
        <v>88.8183980967486</v>
      </c>
      <c r="AA378" s="2" t="n">
        <f aca="false">U378*Settings!$B$3/SUM(S378:X378)</f>
        <v>132.831086439334</v>
      </c>
      <c r="AB378" s="2" t="n">
        <f aca="false">V378*Settings!$B$3/SUM(S378:X378)</f>
        <v>69.3893735130849</v>
      </c>
      <c r="AC378" s="2" t="n">
        <f aca="false">W378*Settings!$B$3/SUM(S378:X378)</f>
        <v>92.7835051546392</v>
      </c>
      <c r="AD378" s="2" t="n">
        <f aca="false">X378*Settings!$B$3/SUM(S378:X378)</f>
        <v>42.03013481364</v>
      </c>
      <c r="AE378" s="2" t="n">
        <f aca="false">INT(Y378)</f>
        <v>74</v>
      </c>
      <c r="AF378" s="2" t="n">
        <f aca="false">INT(Z378)</f>
        <v>88</v>
      </c>
      <c r="AG378" s="2" t="n">
        <f aca="false">INT(AA378)</f>
        <v>132</v>
      </c>
      <c r="AH378" s="2" t="n">
        <f aca="false">INT(AB378)</f>
        <v>69</v>
      </c>
      <c r="AI378" s="2" t="n">
        <f aca="false">INT(AC378)</f>
        <v>92</v>
      </c>
      <c r="AJ378" s="2" t="n">
        <f aca="false">INT(AD378)</f>
        <v>42</v>
      </c>
      <c r="AK378" s="2" t="n">
        <f aca="false">Settings!$B$3-SUM(AE378:AJ378)</f>
        <v>3</v>
      </c>
      <c r="AL378" s="2" t="n">
        <f aca="false">ROUND(Y378-AE378,9)</f>
        <v>0.147501983</v>
      </c>
      <c r="AM378" s="2" t="n">
        <f aca="false">ROUND(Z378-AF378,9)</f>
        <v>0.818398097</v>
      </c>
      <c r="AN378" s="2" t="n">
        <f aca="false">ROUND(AA378-AG378,9)</f>
        <v>0.831086439</v>
      </c>
      <c r="AO378" s="2" t="n">
        <f aca="false">ROUND(AB378-AH378,9)</f>
        <v>0.389373513</v>
      </c>
      <c r="AP378" s="2" t="n">
        <f aca="false">ROUND(AC378-AI378,9)</f>
        <v>0.783505155</v>
      </c>
      <c r="AQ378" s="2" t="n">
        <f aca="false">ROUND(AD378-AJ378,9)</f>
        <v>0.030134814</v>
      </c>
    </row>
    <row r="379" customFormat="false" ht="15" hidden="false" customHeight="false" outlineLevel="0" collapsed="false">
      <c r="A379" s="2" t="n">
        <v>378</v>
      </c>
      <c r="B379" s="6" t="n">
        <v>8</v>
      </c>
      <c r="C379" s="6" t="n">
        <v>50</v>
      </c>
      <c r="D379" s="8" t="str">
        <f aca="false">INDEX(Bases!$B$2:$B$53,B379)</f>
        <v>Corsola</v>
      </c>
      <c r="E379" s="8" t="str">
        <f aca="false">INDEX(Bases!$B$2:$B$53,C379)</f>
        <v>Beldum</v>
      </c>
      <c r="F379" s="2" t="str">
        <f aca="false">LEFT(D379,ROUNDUP(LEN(D379)/2,0))&amp;LOWER(MID(E379,ROUNDUP(LEN(E379)/2,0)+1,20))</f>
        <v>Corsdum</v>
      </c>
      <c r="G379" s="8" t="str">
        <f aca="false">INDEX(Bases!$C$2:$C$53,B379)</f>
        <v>Water</v>
      </c>
      <c r="H379" s="8" t="str">
        <f aca="false">IF(INDEX(Bases!$C$2:$C$53,C379)=G379,"",INDEX(Bases!$C$2:$C$53,C379))</f>
        <v>Steel</v>
      </c>
      <c r="I379" s="8" t="str">
        <f aca="false">IF(INDEX(Bases!$E$2:$E$53,B379)="","",INDEX(Bases!$E$2:$E$53,B379))</f>
        <v/>
      </c>
      <c r="J379" s="8" t="str">
        <f aca="false">IF(INDEX(Bases!$E$2:$E$53,C379)="","",INDEX(Bases!$E$2:$E$53,C379))</f>
        <v/>
      </c>
      <c r="K379" s="5"/>
      <c r="L379" s="2" t="n">
        <f aca="false">AE379+IF(SUMPRODUCT(--($AL379:$AQ379&gt;AL379))&lt;$AK379,1,0)</f>
        <v>72</v>
      </c>
      <c r="M379" s="2" t="n">
        <f aca="false">AF379+IF(SUMPRODUCT(--($AL379:$AQ379&gt;AM379))+SUMPRODUCT(--($AL379:AL379=AM379))&lt;$AK379,1,0)</f>
        <v>81</v>
      </c>
      <c r="N379" s="2" t="n">
        <f aca="false">AG379+IF(SUMPRODUCT(--($AL379:$AQ379&gt;AN379))+SUMPRODUCT(--($AL379:AM379=AN379))&lt;$AK379,1,0)</f>
        <v>124</v>
      </c>
      <c r="O379" s="2" t="n">
        <f aca="false">AH379+IF(SUMPRODUCT(--($AL379:$AQ379&gt;AO379))+SUMPRODUCT(--($AL379:AN379=AO379))&lt;$AK379,1,0)</f>
        <v>70</v>
      </c>
      <c r="P379" s="2" t="n">
        <f aca="false">AI379+IF(SUMPRODUCT(--($AL379:$AQ379&gt;AP379))+SUMPRODUCT(--($AL379:AO379=AP379))&lt;$AK379,1,0)</f>
        <v>107</v>
      </c>
      <c r="Q379" s="2" t="n">
        <f aca="false">AJ379+IF(SUMPRODUCT(--($AL379:$AQ379&gt;AQ379))+SUMPRODUCT(--($AL379:AP379=AQ379))&lt;$AK379,1,0)</f>
        <v>46</v>
      </c>
      <c r="R379" s="2" t="n">
        <f aca="false">SUM(L379:Q379)</f>
        <v>500</v>
      </c>
      <c r="S379" s="2" t="n">
        <f aca="false">Settings!$B$4*MAX(INDEX(Bases!$M$2:$M$53,B379),INDEX(Bases!$M$2:$M$53,C379))+Settings!$B$5*MIN(INDEX(Bases!$M$2:$M$53,B379),INDEX(Bases!$M$2:$M$53,C379))</f>
        <v>59.6666666666667</v>
      </c>
      <c r="T379" s="2" t="n">
        <f aca="false">Settings!$B$4*MAX(INDEX(Bases!$N$2:$N$53,B379),INDEX(Bases!$N$2:$N$53,C379))+Settings!$B$5*MIN(INDEX(Bases!$N$2:$N$53,B379),INDEX(Bases!$N$2:$N$53,C379))</f>
        <v>66.6666666666667</v>
      </c>
      <c r="U379" s="2" t="n">
        <f aca="false">Settings!$B$4*MAX(INDEX(Bases!$O$2:$O$53,B379),INDEX(Bases!$O$2:$O$53,C379))+Settings!$B$5*MIN(INDEX(Bases!$O$2:$O$53,B379),INDEX(Bases!$O$2:$O$53,C379))</f>
        <v>102.333333333333</v>
      </c>
      <c r="V379" s="2" t="n">
        <f aca="false">Settings!$B$4*MAX(INDEX(Bases!$P$2:$P$53,B379),INDEX(Bases!$P$2:$P$53,C379))+Settings!$B$5*MIN(INDEX(Bases!$P$2:$P$53,B379),INDEX(Bases!$P$2:$P$53,C379))</f>
        <v>57.6666666666667</v>
      </c>
      <c r="W379" s="2" t="n">
        <f aca="false">Settings!$B$4*MAX(INDEX(Bases!$Q$2:$Q$53,B379),INDEX(Bases!$Q$2:$Q$53,C379))+Settings!$B$5*MIN(INDEX(Bases!$Q$2:$Q$53,B379),INDEX(Bases!$Q$2:$Q$53,C379))</f>
        <v>88.6666666666667</v>
      </c>
      <c r="X379" s="2" t="n">
        <f aca="false">Settings!$B$4*MAX(INDEX(Bases!$R$2:$R$53,B379),INDEX(Bases!$R$2:$R$53,C379))+Settings!$B$5*MIN(INDEX(Bases!$R$2:$R$53,B379),INDEX(Bases!$R$2:$R$53,C379))</f>
        <v>38</v>
      </c>
      <c r="Y379" s="2" t="n">
        <f aca="false">S379*Settings!$B$3/SUM(S379:X379)</f>
        <v>72.2356739305892</v>
      </c>
      <c r="Z379" s="2" t="n">
        <f aca="false">T379*Settings!$B$3/SUM(S379:X379)</f>
        <v>80.7102502017756</v>
      </c>
      <c r="AA379" s="2" t="n">
        <f aca="false">U379*Settings!$B$3/SUM(S379:X379)</f>
        <v>123.890234059726</v>
      </c>
      <c r="AB379" s="2" t="n">
        <f aca="false">V379*Settings!$B$3/SUM(S379:X379)</f>
        <v>69.8143664245359</v>
      </c>
      <c r="AC379" s="2" t="n">
        <f aca="false">W379*Settings!$B$3/SUM(S379:X379)</f>
        <v>107.344632768362</v>
      </c>
      <c r="AD379" s="2" t="n">
        <f aca="false">X379*Settings!$B$3/SUM(S379:X379)</f>
        <v>46.0048426150121</v>
      </c>
      <c r="AE379" s="2" t="n">
        <f aca="false">INT(Y379)</f>
        <v>72</v>
      </c>
      <c r="AF379" s="2" t="n">
        <f aca="false">INT(Z379)</f>
        <v>80</v>
      </c>
      <c r="AG379" s="2" t="n">
        <f aca="false">INT(AA379)</f>
        <v>123</v>
      </c>
      <c r="AH379" s="2" t="n">
        <f aca="false">INT(AB379)</f>
        <v>69</v>
      </c>
      <c r="AI379" s="2" t="n">
        <f aca="false">INT(AC379)</f>
        <v>107</v>
      </c>
      <c r="AJ379" s="2" t="n">
        <f aca="false">INT(AD379)</f>
        <v>46</v>
      </c>
      <c r="AK379" s="2" t="n">
        <f aca="false">Settings!$B$3-SUM(AE379:AJ379)</f>
        <v>3</v>
      </c>
      <c r="AL379" s="2" t="n">
        <f aca="false">ROUND(Y379-AE379,9)</f>
        <v>0.235673931</v>
      </c>
      <c r="AM379" s="2" t="n">
        <f aca="false">ROUND(Z379-AF379,9)</f>
        <v>0.710250202</v>
      </c>
      <c r="AN379" s="2" t="n">
        <f aca="false">ROUND(AA379-AG379,9)</f>
        <v>0.89023406</v>
      </c>
      <c r="AO379" s="2" t="n">
        <f aca="false">ROUND(AB379-AH379,9)</f>
        <v>0.814366425</v>
      </c>
      <c r="AP379" s="2" t="n">
        <f aca="false">ROUND(AC379-AI379,9)</f>
        <v>0.344632768</v>
      </c>
      <c r="AQ379" s="2" t="n">
        <f aca="false">ROUND(AD379-AJ379,9)</f>
        <v>0.004842615</v>
      </c>
    </row>
    <row r="380" customFormat="false" ht="15" hidden="false" customHeight="false" outlineLevel="0" collapsed="false">
      <c r="A380" s="2" t="n">
        <v>379</v>
      </c>
      <c r="B380" s="6" t="n">
        <v>8</v>
      </c>
      <c r="C380" s="6" t="n">
        <v>51</v>
      </c>
      <c r="D380" s="8" t="str">
        <f aca="false">INDEX(Bases!$B$2:$B$53,B380)</f>
        <v>Corsola</v>
      </c>
      <c r="E380" s="8" t="str">
        <f aca="false">INDEX(Bases!$B$2:$B$53,C380)</f>
        <v>Cleffa</v>
      </c>
      <c r="F380" s="2" t="str">
        <f aca="false">LEFT(D380,ROUNDUP(LEN(D380)/2,0))&amp;LOWER(MID(E380,ROUNDUP(LEN(E380)/2,0)+1,20))</f>
        <v>Corsffa</v>
      </c>
      <c r="G380" s="8" t="str">
        <f aca="false">INDEX(Bases!$C$2:$C$53,B380)</f>
        <v>Water</v>
      </c>
      <c r="H380" s="8" t="str">
        <f aca="false">IF(INDEX(Bases!$C$2:$C$53,C380)=G380,"",INDEX(Bases!$C$2:$C$53,C380))</f>
        <v>Fairy</v>
      </c>
      <c r="I380" s="8" t="str">
        <f aca="false">IF(INDEX(Bases!$E$2:$E$53,B380)="","",INDEX(Bases!$E$2:$E$53,B380))</f>
        <v/>
      </c>
      <c r="J380" s="8" t="str">
        <f aca="false">IF(INDEX(Bases!$E$2:$E$53,C380)="","",INDEX(Bases!$E$2:$E$53,C380))</f>
        <v/>
      </c>
      <c r="K380" s="5"/>
      <c r="L380" s="2" t="n">
        <f aca="false">AE380+IF(SUMPRODUCT(--($AL380:$AQ380&gt;AL380))&lt;$AK380,1,0)</f>
        <v>98</v>
      </c>
      <c r="M380" s="2" t="n">
        <f aca="false">AF380+IF(SUMPRODUCT(--($AL380:$AQ380&gt;AM380))+SUMPRODUCT(--($AL380:AL380=AM380))&lt;$AK380,1,0)</f>
        <v>61</v>
      </c>
      <c r="N380" s="2" t="n">
        <f aca="false">AG380+IF(SUMPRODUCT(--($AL380:$AQ380&gt;AN380))+SUMPRODUCT(--($AL380:AM380=AN380))&lt;$AK380,1,0)</f>
        <v>94</v>
      </c>
      <c r="O380" s="2" t="n">
        <f aca="false">AH380+IF(SUMPRODUCT(--($AL380:$AQ380&gt;AO380))+SUMPRODUCT(--($AL380:AN380=AO380))&lt;$AK380,1,0)</f>
        <v>91</v>
      </c>
      <c r="P380" s="2" t="n">
        <f aca="false">AI380+IF(SUMPRODUCT(--($AL380:$AQ380&gt;AP380))+SUMPRODUCT(--($AL380:AO380=AP380))&lt;$AK380,1,0)</f>
        <v>118</v>
      </c>
      <c r="Q380" s="2" t="n">
        <f aca="false">AJ380+IF(SUMPRODUCT(--($AL380:$AQ380&gt;AQ380))+SUMPRODUCT(--($AL380:AP380=AQ380))&lt;$AK380,1,0)</f>
        <v>38</v>
      </c>
      <c r="R380" s="2" t="n">
        <f aca="false">SUM(L380:Q380)</f>
        <v>500</v>
      </c>
      <c r="S380" s="2" t="n">
        <f aca="false">Settings!$B$4*MAX(INDEX(Bases!$M$2:$M$53,B380),INDEX(Bases!$M$2:$M$53,C380))+Settings!$B$5*MIN(INDEX(Bases!$M$2:$M$53,B380),INDEX(Bases!$M$2:$M$53,C380))</f>
        <v>82.3333333333333</v>
      </c>
      <c r="T380" s="2" t="n">
        <f aca="false">Settings!$B$4*MAX(INDEX(Bases!$N$2:$N$53,B380),INDEX(Bases!$N$2:$N$53,C380))+Settings!$B$5*MIN(INDEX(Bases!$N$2:$N$53,B380),INDEX(Bases!$N$2:$N$53,C380))</f>
        <v>51.3333333333333</v>
      </c>
      <c r="U380" s="2" t="n">
        <f aca="false">Settings!$B$4*MAX(INDEX(Bases!$O$2:$O$53,B380),INDEX(Bases!$O$2:$O$53,C380))+Settings!$B$5*MIN(INDEX(Bases!$O$2:$O$53,B380),INDEX(Bases!$O$2:$O$53,C380))</f>
        <v>79</v>
      </c>
      <c r="V380" s="2" t="n">
        <f aca="false">Settings!$B$4*MAX(INDEX(Bases!$P$2:$P$53,B380),INDEX(Bases!$P$2:$P$53,C380))+Settings!$B$5*MIN(INDEX(Bases!$P$2:$P$53,B380),INDEX(Bases!$P$2:$P$53,C380))</f>
        <v>76.3333333333333</v>
      </c>
      <c r="W380" s="2" t="n">
        <f aca="false">Settings!$B$4*MAX(INDEX(Bases!$Q$2:$Q$53,B380),INDEX(Bases!$Q$2:$Q$53,C380))+Settings!$B$5*MIN(INDEX(Bases!$Q$2:$Q$53,B380),INDEX(Bases!$Q$2:$Q$53,C380))</f>
        <v>98.3333333333333</v>
      </c>
      <c r="X380" s="2" t="n">
        <f aca="false">Settings!$B$4*MAX(INDEX(Bases!$R$2:$R$53,B380),INDEX(Bases!$R$2:$R$53,C380))+Settings!$B$5*MIN(INDEX(Bases!$R$2:$R$53,B380),INDEX(Bases!$R$2:$R$53,C380))</f>
        <v>31.6666666666667</v>
      </c>
      <c r="Y380" s="2" t="n">
        <f aca="false">S380*Settings!$B$3/SUM(S380:X380)</f>
        <v>98.2498011137629</v>
      </c>
      <c r="Z380" s="2" t="n">
        <f aca="false">T380*Settings!$B$3/SUM(S380:X380)</f>
        <v>61.2569610182975</v>
      </c>
      <c r="AA380" s="2" t="n">
        <f aca="false">U380*Settings!$B$3/SUM(S380:X380)</f>
        <v>94.272076372315</v>
      </c>
      <c r="AB380" s="2" t="n">
        <f aca="false">V380*Settings!$B$3/SUM(S380:X380)</f>
        <v>91.0898965791567</v>
      </c>
      <c r="AC380" s="2" t="n">
        <f aca="false">W380*Settings!$B$3/SUM(S380:X380)</f>
        <v>117.342879872713</v>
      </c>
      <c r="AD380" s="2" t="n">
        <f aca="false">X380*Settings!$B$3/SUM(S380:X380)</f>
        <v>37.788385043755</v>
      </c>
      <c r="AE380" s="2" t="n">
        <f aca="false">INT(Y380)</f>
        <v>98</v>
      </c>
      <c r="AF380" s="2" t="n">
        <f aca="false">INT(Z380)</f>
        <v>61</v>
      </c>
      <c r="AG380" s="2" t="n">
        <f aca="false">INT(AA380)</f>
        <v>94</v>
      </c>
      <c r="AH380" s="2" t="n">
        <f aca="false">INT(AB380)</f>
        <v>91</v>
      </c>
      <c r="AI380" s="2" t="n">
        <f aca="false">INT(AC380)</f>
        <v>117</v>
      </c>
      <c r="AJ380" s="2" t="n">
        <f aca="false">INT(AD380)</f>
        <v>37</v>
      </c>
      <c r="AK380" s="2" t="n">
        <f aca="false">Settings!$B$3-SUM(AE380:AJ380)</f>
        <v>2</v>
      </c>
      <c r="AL380" s="2" t="n">
        <f aca="false">ROUND(Y380-AE380,9)</f>
        <v>0.249801114</v>
      </c>
      <c r="AM380" s="2" t="n">
        <f aca="false">ROUND(Z380-AF380,9)</f>
        <v>0.256961018</v>
      </c>
      <c r="AN380" s="2" t="n">
        <f aca="false">ROUND(AA380-AG380,9)</f>
        <v>0.272076372</v>
      </c>
      <c r="AO380" s="2" t="n">
        <f aca="false">ROUND(AB380-AH380,9)</f>
        <v>0.089896579</v>
      </c>
      <c r="AP380" s="2" t="n">
        <f aca="false">ROUND(AC380-AI380,9)</f>
        <v>0.342879873</v>
      </c>
      <c r="AQ380" s="2" t="n">
        <f aca="false">ROUND(AD380-AJ380,9)</f>
        <v>0.788385044</v>
      </c>
    </row>
    <row r="381" customFormat="false" ht="15" hidden="false" customHeight="false" outlineLevel="0" collapsed="false">
      <c r="A381" s="2" t="n">
        <v>380</v>
      </c>
      <c r="B381" s="6" t="n">
        <v>8</v>
      </c>
      <c r="C381" s="6" t="n">
        <v>52</v>
      </c>
      <c r="D381" s="8" t="str">
        <f aca="false">INDEX(Bases!$B$2:$B$53,B381)</f>
        <v>Corsola</v>
      </c>
      <c r="E381" s="8" t="str">
        <f aca="false">INDEX(Bases!$B$2:$B$53,C381)</f>
        <v>Togepi</v>
      </c>
      <c r="F381" s="2" t="str">
        <f aca="false">LEFT(D381,ROUNDUP(LEN(D381)/2,0))&amp;LOWER(MID(E381,ROUNDUP(LEN(E381)/2,0)+1,20))</f>
        <v>Corsepi</v>
      </c>
      <c r="G381" s="8" t="str">
        <f aca="false">INDEX(Bases!$C$2:$C$53,B381)</f>
        <v>Water</v>
      </c>
      <c r="H381" s="8" t="str">
        <f aca="false">IF(INDEX(Bases!$C$2:$C$53,C381)=G381,"",INDEX(Bases!$C$2:$C$53,C381))</f>
        <v>Fairy</v>
      </c>
      <c r="I381" s="8" t="str">
        <f aca="false">IF(INDEX(Bases!$E$2:$E$53,B381)="","",INDEX(Bases!$E$2:$E$53,B381))</f>
        <v/>
      </c>
      <c r="J381" s="8" t="str">
        <f aca="false">IF(INDEX(Bases!$E$2:$E$53,C381)="","",INDEX(Bases!$E$2:$E$53,C381))</f>
        <v/>
      </c>
      <c r="K381" s="5"/>
      <c r="L381" s="2" t="n">
        <f aca="false">AE381+IF(SUMPRODUCT(--($AL381:$AQ381&gt;AL381))&lt;$AK381,1,0)</f>
        <v>75</v>
      </c>
      <c r="M381" s="2" t="n">
        <f aca="false">AF381+IF(SUMPRODUCT(--($AL381:$AQ381&gt;AM381))+SUMPRODUCT(--($AL381:AL381=AM381))&lt;$AK381,1,0)</f>
        <v>57</v>
      </c>
      <c r="N381" s="2" t="n">
        <f aca="false">AG381+IF(SUMPRODUCT(--($AL381:$AQ381&gt;AN381))+SUMPRODUCT(--($AL381:AM381=AN381))&lt;$AK381,1,0)</f>
        <v>124</v>
      </c>
      <c r="O381" s="2" t="n">
        <f aca="false">AH381+IF(SUMPRODUCT(--($AL381:$AQ381&gt;AO381))+SUMPRODUCT(--($AL381:AN381=AO381))&lt;$AK381,1,0)</f>
        <v>79</v>
      </c>
      <c r="P381" s="2" t="n">
        <f aca="false">AI381+IF(SUMPRODUCT(--($AL381:$AQ381&gt;AP381))+SUMPRODUCT(--($AL381:AO381=AP381))&lt;$AK381,1,0)</f>
        <v>124</v>
      </c>
      <c r="Q381" s="2" t="n">
        <f aca="false">AJ381+IF(SUMPRODUCT(--($AL381:$AQ381&gt;AQ381))+SUMPRODUCT(--($AL381:AP381=AQ381))&lt;$AK381,1,0)</f>
        <v>41</v>
      </c>
      <c r="R381" s="2" t="n">
        <f aca="false">SUM(L381:Q381)</f>
        <v>500</v>
      </c>
      <c r="S381" s="2" t="n">
        <f aca="false">Settings!$B$4*MAX(INDEX(Bases!$M$2:$M$53,B381),INDEX(Bases!$M$2:$M$53,C381))+Settings!$B$5*MIN(INDEX(Bases!$M$2:$M$53,B381),INDEX(Bases!$M$2:$M$53,C381))</f>
        <v>61</v>
      </c>
      <c r="T381" s="2" t="n">
        <f aca="false">Settings!$B$4*MAX(INDEX(Bases!$N$2:$N$53,B381),INDEX(Bases!$N$2:$N$53,C381))+Settings!$B$5*MIN(INDEX(Bases!$N$2:$N$53,B381),INDEX(Bases!$N$2:$N$53,C381))</f>
        <v>47</v>
      </c>
      <c r="U381" s="2" t="n">
        <f aca="false">Settings!$B$4*MAX(INDEX(Bases!$O$2:$O$53,B381),INDEX(Bases!$O$2:$O$53,C381))+Settings!$B$5*MIN(INDEX(Bases!$O$2:$O$53,B381),INDEX(Bases!$O$2:$O$53,C381))</f>
        <v>101.666666666667</v>
      </c>
      <c r="V381" s="2" t="n">
        <f aca="false">Settings!$B$4*MAX(INDEX(Bases!$P$2:$P$53,B381),INDEX(Bases!$P$2:$P$53,C381))+Settings!$B$5*MIN(INDEX(Bases!$P$2:$P$53,B381),INDEX(Bases!$P$2:$P$53,C381))</f>
        <v>64.3333333333333</v>
      </c>
      <c r="W381" s="2" t="n">
        <f aca="false">Settings!$B$4*MAX(INDEX(Bases!$Q$2:$Q$53,B381),INDEX(Bases!$Q$2:$Q$53,C381))+Settings!$B$5*MIN(INDEX(Bases!$Q$2:$Q$53,B381),INDEX(Bases!$Q$2:$Q$53,C381))</f>
        <v>101.666666666667</v>
      </c>
      <c r="X381" s="2" t="n">
        <f aca="false">Settings!$B$4*MAX(INDEX(Bases!$R$2:$R$53,B381),INDEX(Bases!$R$2:$R$53,C381))+Settings!$B$5*MIN(INDEX(Bases!$R$2:$R$53,B381),INDEX(Bases!$R$2:$R$53,C381))</f>
        <v>33.6666666666667</v>
      </c>
      <c r="Y381" s="2" t="n">
        <f aca="false">S381*Settings!$B$3/SUM(S381:X381)</f>
        <v>74.5114006514658</v>
      </c>
      <c r="Z381" s="2" t="n">
        <f aca="false">T381*Settings!$B$3/SUM(S381:X381)</f>
        <v>57.4104234527687</v>
      </c>
      <c r="AA381" s="2" t="n">
        <f aca="false">U381*Settings!$B$3/SUM(S381:X381)</f>
        <v>124.185667752443</v>
      </c>
      <c r="AB381" s="2" t="n">
        <f aca="false">V381*Settings!$B$3/SUM(S381:X381)</f>
        <v>78.5830618892508</v>
      </c>
      <c r="AC381" s="2" t="n">
        <f aca="false">W381*Settings!$B$3/SUM(S381:X381)</f>
        <v>124.185667752443</v>
      </c>
      <c r="AD381" s="2" t="n">
        <f aca="false">X381*Settings!$B$3/SUM(S381:X381)</f>
        <v>41.1237785016287</v>
      </c>
      <c r="AE381" s="2" t="n">
        <f aca="false">INT(Y381)</f>
        <v>74</v>
      </c>
      <c r="AF381" s="2" t="n">
        <f aca="false">INT(Z381)</f>
        <v>57</v>
      </c>
      <c r="AG381" s="2" t="n">
        <f aca="false">INT(AA381)</f>
        <v>124</v>
      </c>
      <c r="AH381" s="2" t="n">
        <f aca="false">INT(AB381)</f>
        <v>78</v>
      </c>
      <c r="AI381" s="2" t="n">
        <f aca="false">INT(AC381)</f>
        <v>124</v>
      </c>
      <c r="AJ381" s="2" t="n">
        <f aca="false">INT(AD381)</f>
        <v>41</v>
      </c>
      <c r="AK381" s="2" t="n">
        <f aca="false">Settings!$B$3-SUM(AE381:AJ381)</f>
        <v>2</v>
      </c>
      <c r="AL381" s="2" t="n">
        <f aca="false">ROUND(Y381-AE381,9)</f>
        <v>0.511400651</v>
      </c>
      <c r="AM381" s="2" t="n">
        <f aca="false">ROUND(Z381-AF381,9)</f>
        <v>0.410423453</v>
      </c>
      <c r="AN381" s="2" t="n">
        <f aca="false">ROUND(AA381-AG381,9)</f>
        <v>0.185667752</v>
      </c>
      <c r="AO381" s="2" t="n">
        <f aca="false">ROUND(AB381-AH381,9)</f>
        <v>0.583061889</v>
      </c>
      <c r="AP381" s="2" t="n">
        <f aca="false">ROUND(AC381-AI381,9)</f>
        <v>0.185667752</v>
      </c>
      <c r="AQ381" s="2" t="n">
        <f aca="false">ROUND(AD381-AJ381,9)</f>
        <v>0.123778502</v>
      </c>
    </row>
    <row r="382" customFormat="false" ht="15" hidden="false" customHeight="false" outlineLevel="0" collapsed="false">
      <c r="A382" s="2" t="n">
        <v>381</v>
      </c>
      <c r="B382" s="6" t="n">
        <v>9</v>
      </c>
      <c r="C382" s="6" t="n">
        <v>10</v>
      </c>
      <c r="D382" s="8" t="str">
        <f aca="false">INDEX(Bases!$B$2:$B$53,B382)</f>
        <v>Mudkip</v>
      </c>
      <c r="E382" s="8" t="str">
        <f aca="false">INDEX(Bases!$B$2:$B$53,C382)</f>
        <v>Pichu</v>
      </c>
      <c r="F382" s="2" t="str">
        <f aca="false">LEFT(D382,ROUNDUP(LEN(D382)/2,0))&amp;LOWER(MID(E382,ROUNDUP(LEN(E382)/2,0)+1,20))</f>
        <v>Mudhu</v>
      </c>
      <c r="G382" s="8" t="str">
        <f aca="false">INDEX(Bases!$C$2:$C$53,B382)</f>
        <v>Water</v>
      </c>
      <c r="H382" s="8" t="str">
        <f aca="false">IF(INDEX(Bases!$C$2:$C$53,C382)=G382,"",INDEX(Bases!$C$2:$C$53,C382))</f>
        <v>Electric</v>
      </c>
      <c r="I382" s="8" t="str">
        <f aca="false">IF(INDEX(Bases!$E$2:$E$53,B382)="","",INDEX(Bases!$E$2:$E$53,B382))</f>
        <v/>
      </c>
      <c r="J382" s="8" t="str">
        <f aca="false">IF(INDEX(Bases!$E$2:$E$53,C382)="","",INDEX(Bases!$E$2:$E$53,C382))</f>
        <v/>
      </c>
      <c r="K382" s="5"/>
      <c r="L382" s="2" t="n">
        <f aca="false">AE382+IF(SUMPRODUCT(--($AL382:$AQ382&gt;AL382))&lt;$AK382,1,0)</f>
        <v>66</v>
      </c>
      <c r="M382" s="2" t="n">
        <f aca="false">AF382+IF(SUMPRODUCT(--($AL382:$AQ382&gt;AM382))+SUMPRODUCT(--($AL382:AL382=AM382))&lt;$AK382,1,0)</f>
        <v>101</v>
      </c>
      <c r="N382" s="2" t="n">
        <f aca="false">AG382+IF(SUMPRODUCT(--($AL382:$AQ382&gt;AN382))+SUMPRODUCT(--($AL382:AM382=AN382))&lt;$AK382,1,0)</f>
        <v>63</v>
      </c>
      <c r="O382" s="2" t="n">
        <f aca="false">AH382+IF(SUMPRODUCT(--($AL382:$AQ382&gt;AO382))+SUMPRODUCT(--($AL382:AN382=AO382))&lt;$AK382,1,0)</f>
        <v>79</v>
      </c>
      <c r="P382" s="2" t="n">
        <f aca="false">AI382+IF(SUMPRODUCT(--($AL382:$AQ382&gt;AP382))+SUMPRODUCT(--($AL382:AO382=AP382))&lt;$AK382,1,0)</f>
        <v>79</v>
      </c>
      <c r="Q382" s="2" t="n">
        <f aca="false">AJ382+IF(SUMPRODUCT(--($AL382:$AQ382&gt;AQ382))+SUMPRODUCT(--($AL382:AP382=AQ382))&lt;$AK382,1,0)</f>
        <v>112</v>
      </c>
      <c r="R382" s="2" t="n">
        <f aca="false">SUM(L382:Q382)</f>
        <v>500</v>
      </c>
      <c r="S382" s="2" t="n">
        <f aca="false">Settings!$B$4*MAX(INDEX(Bases!$M$2:$M$53,B382),INDEX(Bases!$M$2:$M$53,C382))+Settings!$B$5*MIN(INDEX(Bases!$M$2:$M$53,B382),INDEX(Bases!$M$2:$M$53,C382))</f>
        <v>56.3333333333333</v>
      </c>
      <c r="T382" s="2" t="n">
        <f aca="false">Settings!$B$4*MAX(INDEX(Bases!$N$2:$N$53,B382),INDEX(Bases!$N$2:$N$53,C382))+Settings!$B$5*MIN(INDEX(Bases!$N$2:$N$53,B382),INDEX(Bases!$N$2:$N$53,C382))</f>
        <v>86</v>
      </c>
      <c r="U382" s="2" t="n">
        <f aca="false">Settings!$B$4*MAX(INDEX(Bases!$O$2:$O$53,B382),INDEX(Bases!$O$2:$O$53,C382))+Settings!$B$5*MIN(INDEX(Bases!$O$2:$O$53,B382),INDEX(Bases!$O$2:$O$53,C382))</f>
        <v>53</v>
      </c>
      <c r="V382" s="2" t="n">
        <f aca="false">Settings!$B$4*MAX(INDEX(Bases!$P$2:$P$53,B382),INDEX(Bases!$P$2:$P$53,C382))+Settings!$B$5*MIN(INDEX(Bases!$P$2:$P$53,B382),INDEX(Bases!$P$2:$P$53,C382))</f>
        <v>67.3333333333333</v>
      </c>
      <c r="W382" s="2" t="n">
        <f aca="false">Settings!$B$4*MAX(INDEX(Bases!$Q$2:$Q$53,B382),INDEX(Bases!$Q$2:$Q$53,C382))+Settings!$B$5*MIN(INDEX(Bases!$Q$2:$Q$53,B382),INDEX(Bases!$Q$2:$Q$53,C382))</f>
        <v>66.6666666666667</v>
      </c>
      <c r="X382" s="2" t="n">
        <f aca="false">Settings!$B$4*MAX(INDEX(Bases!$R$2:$R$53,B382),INDEX(Bases!$R$2:$R$53,C382))+Settings!$B$5*MIN(INDEX(Bases!$R$2:$R$53,B382),INDEX(Bases!$R$2:$R$53,C382))</f>
        <v>95.3333333333333</v>
      </c>
      <c r="Y382" s="2" t="n">
        <f aca="false">S382*Settings!$B$3/SUM(S382:X382)</f>
        <v>66.3265306122449</v>
      </c>
      <c r="Z382" s="2" t="n">
        <f aca="false">T382*Settings!$B$3/SUM(S382:X382)</f>
        <v>101.255886970173</v>
      </c>
      <c r="AA382" s="2" t="n">
        <f aca="false">U382*Settings!$B$3/SUM(S382:X382)</f>
        <v>62.4018838304553</v>
      </c>
      <c r="AB382" s="2" t="n">
        <f aca="false">V382*Settings!$B$3/SUM(S382:X382)</f>
        <v>79.2778649921507</v>
      </c>
      <c r="AC382" s="2" t="n">
        <f aca="false">W382*Settings!$B$3/SUM(S382:X382)</f>
        <v>78.4929356357928</v>
      </c>
      <c r="AD382" s="2" t="n">
        <f aca="false">X382*Settings!$B$3/SUM(S382:X382)</f>
        <v>112.244897959184</v>
      </c>
      <c r="AE382" s="2" t="n">
        <f aca="false">INT(Y382)</f>
        <v>66</v>
      </c>
      <c r="AF382" s="2" t="n">
        <f aca="false">INT(Z382)</f>
        <v>101</v>
      </c>
      <c r="AG382" s="2" t="n">
        <f aca="false">INT(AA382)</f>
        <v>62</v>
      </c>
      <c r="AH382" s="2" t="n">
        <f aca="false">INT(AB382)</f>
        <v>79</v>
      </c>
      <c r="AI382" s="2" t="n">
        <f aca="false">INT(AC382)</f>
        <v>78</v>
      </c>
      <c r="AJ382" s="2" t="n">
        <f aca="false">INT(AD382)</f>
        <v>112</v>
      </c>
      <c r="AK382" s="2" t="n">
        <f aca="false">Settings!$B$3-SUM(AE382:AJ382)</f>
        <v>2</v>
      </c>
      <c r="AL382" s="2" t="n">
        <f aca="false">ROUND(Y382-AE382,9)</f>
        <v>0.326530612</v>
      </c>
      <c r="AM382" s="2" t="n">
        <f aca="false">ROUND(Z382-AF382,9)</f>
        <v>0.25588697</v>
      </c>
      <c r="AN382" s="2" t="n">
        <f aca="false">ROUND(AA382-AG382,9)</f>
        <v>0.40188383</v>
      </c>
      <c r="AO382" s="2" t="n">
        <f aca="false">ROUND(AB382-AH382,9)</f>
        <v>0.277864992</v>
      </c>
      <c r="AP382" s="2" t="n">
        <f aca="false">ROUND(AC382-AI382,9)</f>
        <v>0.492935636</v>
      </c>
      <c r="AQ382" s="2" t="n">
        <f aca="false">ROUND(AD382-AJ382,9)</f>
        <v>0.244897959</v>
      </c>
    </row>
    <row r="383" customFormat="false" ht="15" hidden="false" customHeight="false" outlineLevel="0" collapsed="false">
      <c r="A383" s="2" t="n">
        <v>382</v>
      </c>
      <c r="B383" s="6" t="n">
        <v>9</v>
      </c>
      <c r="C383" s="6" t="n">
        <v>11</v>
      </c>
      <c r="D383" s="8" t="str">
        <f aca="false">INDEX(Bases!$B$2:$B$53,B383)</f>
        <v>Mudkip</v>
      </c>
      <c r="E383" s="8" t="str">
        <f aca="false">INDEX(Bases!$B$2:$B$53,C383)</f>
        <v>Voltorb</v>
      </c>
      <c r="F383" s="2" t="str">
        <f aca="false">LEFT(D383,ROUNDUP(LEN(D383)/2,0))&amp;LOWER(MID(E383,ROUNDUP(LEN(E383)/2,0)+1,20))</f>
        <v>Mudorb</v>
      </c>
      <c r="G383" s="8" t="str">
        <f aca="false">INDEX(Bases!$C$2:$C$53,B383)</f>
        <v>Water</v>
      </c>
      <c r="H383" s="8" t="str">
        <f aca="false">IF(INDEX(Bases!$C$2:$C$53,C383)=G383,"",INDEX(Bases!$C$2:$C$53,C383))</f>
        <v>Electric</v>
      </c>
      <c r="I383" s="8" t="str">
        <f aca="false">IF(INDEX(Bases!$E$2:$E$53,B383)="","",INDEX(Bases!$E$2:$E$53,B383))</f>
        <v/>
      </c>
      <c r="J383" s="8" t="str">
        <f aca="false">IF(INDEX(Bases!$E$2:$E$53,C383)="","",INDEX(Bases!$E$2:$E$53,C383))</f>
        <v/>
      </c>
      <c r="K383" s="5"/>
      <c r="L383" s="2" t="n">
        <f aca="false">AE383+IF(SUMPRODUCT(--($AL383:$AQ383&gt;AL383))&lt;$AK383,1,0)</f>
        <v>70</v>
      </c>
      <c r="M383" s="2" t="n">
        <f aca="false">AF383+IF(SUMPRODUCT(--($AL383:$AQ383&gt;AM383))+SUMPRODUCT(--($AL383:AL383=AM383))&lt;$AK383,1,0)</f>
        <v>85</v>
      </c>
      <c r="N383" s="2" t="n">
        <f aca="false">AG383+IF(SUMPRODUCT(--($AL383:$AQ383&gt;AN383))+SUMPRODUCT(--($AL383:AM383=AN383))&lt;$AK383,1,0)</f>
        <v>75</v>
      </c>
      <c r="O383" s="2" t="n">
        <f aca="false">AH383+IF(SUMPRODUCT(--($AL383:$AQ383&gt;AO383))+SUMPRODUCT(--($AL383:AN383=AO383))&lt;$AK383,1,0)</f>
        <v>78</v>
      </c>
      <c r="P383" s="2" t="n">
        <f aca="false">AI383+IF(SUMPRODUCT(--($AL383:$AQ383&gt;AP383))+SUMPRODUCT(--($AL383:AO383=AP383))&lt;$AK383,1,0)</f>
        <v>77</v>
      </c>
      <c r="Q383" s="2" t="n">
        <f aca="false">AJ383+IF(SUMPRODUCT(--($AL383:$AQ383&gt;AQ383))+SUMPRODUCT(--($AL383:AP383=AQ383))&lt;$AK383,1,0)</f>
        <v>115</v>
      </c>
      <c r="R383" s="2" t="n">
        <f aca="false">SUM(L383:Q383)</f>
        <v>500</v>
      </c>
      <c r="S383" s="2" t="n">
        <f aca="false">Settings!$B$4*MAX(INDEX(Bases!$M$2:$M$53,B383),INDEX(Bases!$M$2:$M$53,C383))+Settings!$B$5*MIN(INDEX(Bases!$M$2:$M$53,B383),INDEX(Bases!$M$2:$M$53,C383))</f>
        <v>59.3333333333333</v>
      </c>
      <c r="T383" s="2" t="n">
        <f aca="false">Settings!$B$4*MAX(INDEX(Bases!$N$2:$N$53,B383),INDEX(Bases!$N$2:$N$53,C383))+Settings!$B$5*MIN(INDEX(Bases!$N$2:$N$53,B383),INDEX(Bases!$N$2:$N$53,C383))</f>
        <v>72</v>
      </c>
      <c r="U383" s="2" t="n">
        <f aca="false">Settings!$B$4*MAX(INDEX(Bases!$O$2:$O$53,B383),INDEX(Bases!$O$2:$O$53,C383))+Settings!$B$5*MIN(INDEX(Bases!$O$2:$O$53,B383),INDEX(Bases!$O$2:$O$53,C383))</f>
        <v>63.6666666666667</v>
      </c>
      <c r="V383" s="2" t="n">
        <f aca="false">Settings!$B$4*MAX(INDEX(Bases!$P$2:$P$53,B383),INDEX(Bases!$P$2:$P$53,C383))+Settings!$B$5*MIN(INDEX(Bases!$P$2:$P$53,B383),INDEX(Bases!$P$2:$P$53,C383))</f>
        <v>66</v>
      </c>
      <c r="W383" s="2" t="n">
        <f aca="false">Settings!$B$4*MAX(INDEX(Bases!$Q$2:$Q$53,B383),INDEX(Bases!$Q$2:$Q$53,C383))+Settings!$B$5*MIN(INDEX(Bases!$Q$2:$Q$53,B383),INDEX(Bases!$Q$2:$Q$53,C383))</f>
        <v>66</v>
      </c>
      <c r="X383" s="2" t="n">
        <f aca="false">Settings!$B$4*MAX(INDEX(Bases!$R$2:$R$53,B383),INDEX(Bases!$R$2:$R$53,C383))+Settings!$B$5*MIN(INDEX(Bases!$R$2:$R$53,B383),INDEX(Bases!$R$2:$R$53,C383))</f>
        <v>98</v>
      </c>
      <c r="Y383" s="2" t="n">
        <f aca="false">S383*Settings!$B$3/SUM(S383:X383)</f>
        <v>69.8039215686274</v>
      </c>
      <c r="Z383" s="2" t="n">
        <f aca="false">T383*Settings!$B$3/SUM(S383:X383)</f>
        <v>84.7058823529412</v>
      </c>
      <c r="AA383" s="2" t="n">
        <f aca="false">U383*Settings!$B$3/SUM(S383:X383)</f>
        <v>74.9019607843137</v>
      </c>
      <c r="AB383" s="2" t="n">
        <f aca="false">V383*Settings!$B$3/SUM(S383:X383)</f>
        <v>77.6470588235294</v>
      </c>
      <c r="AC383" s="2" t="n">
        <f aca="false">W383*Settings!$B$3/SUM(S383:X383)</f>
        <v>77.6470588235294</v>
      </c>
      <c r="AD383" s="2" t="n">
        <f aca="false">X383*Settings!$B$3/SUM(S383:X383)</f>
        <v>115.294117647059</v>
      </c>
      <c r="AE383" s="2" t="n">
        <f aca="false">INT(Y383)</f>
        <v>69</v>
      </c>
      <c r="AF383" s="2" t="n">
        <f aca="false">INT(Z383)</f>
        <v>84</v>
      </c>
      <c r="AG383" s="2" t="n">
        <f aca="false">INT(AA383)</f>
        <v>74</v>
      </c>
      <c r="AH383" s="2" t="n">
        <f aca="false">INT(AB383)</f>
        <v>77</v>
      </c>
      <c r="AI383" s="2" t="n">
        <f aca="false">INT(AC383)</f>
        <v>77</v>
      </c>
      <c r="AJ383" s="2" t="n">
        <f aca="false">INT(AD383)</f>
        <v>115</v>
      </c>
      <c r="AK383" s="2" t="n">
        <f aca="false">Settings!$B$3-SUM(AE383:AJ383)</f>
        <v>4</v>
      </c>
      <c r="AL383" s="2" t="n">
        <f aca="false">ROUND(Y383-AE383,9)</f>
        <v>0.803921569</v>
      </c>
      <c r="AM383" s="2" t="n">
        <f aca="false">ROUND(Z383-AF383,9)</f>
        <v>0.705882353</v>
      </c>
      <c r="AN383" s="2" t="n">
        <f aca="false">ROUND(AA383-AG383,9)</f>
        <v>0.901960784</v>
      </c>
      <c r="AO383" s="2" t="n">
        <f aca="false">ROUND(AB383-AH383,9)</f>
        <v>0.647058824</v>
      </c>
      <c r="AP383" s="2" t="n">
        <f aca="false">ROUND(AC383-AI383,9)</f>
        <v>0.647058824</v>
      </c>
      <c r="AQ383" s="2" t="n">
        <f aca="false">ROUND(AD383-AJ383,9)</f>
        <v>0.294117647</v>
      </c>
    </row>
    <row r="384" customFormat="false" ht="15" hidden="false" customHeight="false" outlineLevel="0" collapsed="false">
      <c r="A384" s="2" t="n">
        <v>383</v>
      </c>
      <c r="B384" s="6" t="n">
        <v>9</v>
      </c>
      <c r="C384" s="6" t="n">
        <v>12</v>
      </c>
      <c r="D384" s="8" t="str">
        <f aca="false">INDEX(Bases!$B$2:$B$53,B384)</f>
        <v>Mudkip</v>
      </c>
      <c r="E384" s="8" t="str">
        <f aca="false">INDEX(Bases!$B$2:$B$53,C384)</f>
        <v>Mareep</v>
      </c>
      <c r="F384" s="2" t="str">
        <f aca="false">LEFT(D384,ROUNDUP(LEN(D384)/2,0))&amp;LOWER(MID(E384,ROUNDUP(LEN(E384)/2,0)+1,20))</f>
        <v>Mudeep</v>
      </c>
      <c r="G384" s="8" t="str">
        <f aca="false">INDEX(Bases!$C$2:$C$53,B384)</f>
        <v>Water</v>
      </c>
      <c r="H384" s="8" t="str">
        <f aca="false">IF(INDEX(Bases!$C$2:$C$53,C384)=G384,"",INDEX(Bases!$C$2:$C$53,C384))</f>
        <v>Electric</v>
      </c>
      <c r="I384" s="8" t="str">
        <f aca="false">IF(INDEX(Bases!$E$2:$E$53,B384)="","",INDEX(Bases!$E$2:$E$53,B384))</f>
        <v/>
      </c>
      <c r="J384" s="8" t="str">
        <f aca="false">IF(INDEX(Bases!$E$2:$E$53,C384)="","",INDEX(Bases!$E$2:$E$53,C384))</f>
        <v/>
      </c>
      <c r="K384" s="5"/>
      <c r="L384" s="2" t="n">
        <f aca="false">AE384+IF(SUMPRODUCT(--($AL384:$AQ384&gt;AL384))&lt;$AK384,1,0)</f>
        <v>90</v>
      </c>
      <c r="M384" s="2" t="n">
        <f aca="false">AF384+IF(SUMPRODUCT(--($AL384:$AQ384&gt;AM384))+SUMPRODUCT(--($AL384:AL384=AM384))&lt;$AK384,1,0)</f>
        <v>95</v>
      </c>
      <c r="N384" s="2" t="n">
        <f aca="false">AG384+IF(SUMPRODUCT(--($AL384:$AQ384&gt;AN384))+SUMPRODUCT(--($AL384:AM384=AN384))&lt;$AK384,1,0)</f>
        <v>75</v>
      </c>
      <c r="O384" s="2" t="n">
        <f aca="false">AH384+IF(SUMPRODUCT(--($AL384:$AQ384&gt;AO384))+SUMPRODUCT(--($AL384:AN384=AO384))&lt;$AK384,1,0)</f>
        <v>101</v>
      </c>
      <c r="P384" s="2" t="n">
        <f aca="false">AI384+IF(SUMPRODUCT(--($AL384:$AQ384&gt;AP384))+SUMPRODUCT(--($AL384:AO384=AP384))&lt;$AK384,1,0)</f>
        <v>77</v>
      </c>
      <c r="Q384" s="2" t="n">
        <f aca="false">AJ384+IF(SUMPRODUCT(--($AL384:$AQ384&gt;AQ384))+SUMPRODUCT(--($AL384:AP384=AQ384))&lt;$AK384,1,0)</f>
        <v>62</v>
      </c>
      <c r="R384" s="2" t="n">
        <f aca="false">SUM(L384:Q384)</f>
        <v>500</v>
      </c>
      <c r="S384" s="2" t="n">
        <f aca="false">Settings!$B$4*MAX(INDEX(Bases!$M$2:$M$53,B384),INDEX(Bases!$M$2:$M$53,C384))+Settings!$B$5*MIN(INDEX(Bases!$M$2:$M$53,B384),INDEX(Bases!$M$2:$M$53,C384))</f>
        <v>74.3333333333333</v>
      </c>
      <c r="T384" s="2" t="n">
        <f aca="false">Settings!$B$4*MAX(INDEX(Bases!$N$2:$N$53,B384),INDEX(Bases!$N$2:$N$53,C384))+Settings!$B$5*MIN(INDEX(Bases!$N$2:$N$53,B384),INDEX(Bases!$N$2:$N$53,C384))</f>
        <v>79</v>
      </c>
      <c r="U384" s="2" t="n">
        <f aca="false">Settings!$B$4*MAX(INDEX(Bases!$O$2:$O$53,B384),INDEX(Bases!$O$2:$O$53,C384))+Settings!$B$5*MIN(INDEX(Bases!$O$2:$O$53,B384),INDEX(Bases!$O$2:$O$53,C384))</f>
        <v>62.3333333333333</v>
      </c>
      <c r="V384" s="2" t="n">
        <f aca="false">Settings!$B$4*MAX(INDEX(Bases!$P$2:$P$53,B384),INDEX(Bases!$P$2:$P$53,C384))+Settings!$B$5*MIN(INDEX(Bases!$P$2:$P$53,B384),INDEX(Bases!$P$2:$P$53,C384))</f>
        <v>83.3333333333333</v>
      </c>
      <c r="W384" s="2" t="n">
        <f aca="false">Settings!$B$4*MAX(INDEX(Bases!$Q$2:$Q$53,B384),INDEX(Bases!$Q$2:$Q$53,C384))+Settings!$B$5*MIN(INDEX(Bases!$Q$2:$Q$53,B384),INDEX(Bases!$Q$2:$Q$53,C384))</f>
        <v>64</v>
      </c>
      <c r="X384" s="2" t="n">
        <f aca="false">Settings!$B$4*MAX(INDEX(Bases!$R$2:$R$53,B384),INDEX(Bases!$R$2:$R$53,C384))+Settings!$B$5*MIN(INDEX(Bases!$R$2:$R$53,B384),INDEX(Bases!$R$2:$R$53,C384))</f>
        <v>51.3333333333333</v>
      </c>
      <c r="Y384" s="2" t="n">
        <f aca="false">S384*Settings!$B$3/SUM(S384:X384)</f>
        <v>89.7023330651649</v>
      </c>
      <c r="Z384" s="2" t="n">
        <f aca="false">T384*Settings!$B$3/SUM(S384:X384)</f>
        <v>95.3338696701529</v>
      </c>
      <c r="AA384" s="2" t="n">
        <f aca="false">U384*Settings!$B$3/SUM(S384:X384)</f>
        <v>75.2212389380531</v>
      </c>
      <c r="AB384" s="2" t="n">
        <f aca="false">V384*Settings!$B$3/SUM(S384:X384)</f>
        <v>100.563153660499</v>
      </c>
      <c r="AC384" s="2" t="n">
        <f aca="false">W384*Settings!$B$3/SUM(S384:X384)</f>
        <v>77.2325020112631</v>
      </c>
      <c r="AD384" s="2" t="n">
        <f aca="false">X384*Settings!$B$3/SUM(S384:X384)</f>
        <v>61.9469026548673</v>
      </c>
      <c r="AE384" s="2" t="n">
        <f aca="false">INT(Y384)</f>
        <v>89</v>
      </c>
      <c r="AF384" s="2" t="n">
        <f aca="false">INT(Z384)</f>
        <v>95</v>
      </c>
      <c r="AG384" s="2" t="n">
        <f aca="false">INT(AA384)</f>
        <v>75</v>
      </c>
      <c r="AH384" s="2" t="n">
        <f aca="false">INT(AB384)</f>
        <v>100</v>
      </c>
      <c r="AI384" s="2" t="n">
        <f aca="false">INT(AC384)</f>
        <v>77</v>
      </c>
      <c r="AJ384" s="2" t="n">
        <f aca="false">INT(AD384)</f>
        <v>61</v>
      </c>
      <c r="AK384" s="2" t="n">
        <f aca="false">Settings!$B$3-SUM(AE384:AJ384)</f>
        <v>3</v>
      </c>
      <c r="AL384" s="2" t="n">
        <f aca="false">ROUND(Y384-AE384,9)</f>
        <v>0.702333065</v>
      </c>
      <c r="AM384" s="2" t="n">
        <f aca="false">ROUND(Z384-AF384,9)</f>
        <v>0.33386967</v>
      </c>
      <c r="AN384" s="2" t="n">
        <f aca="false">ROUND(AA384-AG384,9)</f>
        <v>0.221238938</v>
      </c>
      <c r="AO384" s="2" t="n">
        <f aca="false">ROUND(AB384-AH384,9)</f>
        <v>0.56315366</v>
      </c>
      <c r="AP384" s="2" t="n">
        <f aca="false">ROUND(AC384-AI384,9)</f>
        <v>0.232502011</v>
      </c>
      <c r="AQ384" s="2" t="n">
        <f aca="false">ROUND(AD384-AJ384,9)</f>
        <v>0.946902655</v>
      </c>
    </row>
    <row r="385" customFormat="false" ht="15" hidden="false" customHeight="false" outlineLevel="0" collapsed="false">
      <c r="A385" s="2" t="n">
        <v>384</v>
      </c>
      <c r="B385" s="6" t="n">
        <v>9</v>
      </c>
      <c r="C385" s="6" t="n">
        <v>13</v>
      </c>
      <c r="D385" s="8" t="str">
        <f aca="false">INDEX(Bases!$B$2:$B$53,B385)</f>
        <v>Mudkip</v>
      </c>
      <c r="E385" s="8" t="str">
        <f aca="false">INDEX(Bases!$B$2:$B$53,C385)</f>
        <v>Bulbasaur</v>
      </c>
      <c r="F385" s="2" t="str">
        <f aca="false">LEFT(D385,ROUNDUP(LEN(D385)/2,0))&amp;LOWER(MID(E385,ROUNDUP(LEN(E385)/2,0)+1,20))</f>
        <v>Mudsaur</v>
      </c>
      <c r="G385" s="8" t="str">
        <f aca="false">INDEX(Bases!$C$2:$C$53,B385)</f>
        <v>Water</v>
      </c>
      <c r="H385" s="8" t="str">
        <f aca="false">IF(INDEX(Bases!$C$2:$C$53,C385)=G385,"",INDEX(Bases!$C$2:$C$53,C385))</f>
        <v>Grass</v>
      </c>
      <c r="I385" s="8" t="str">
        <f aca="false">IF(INDEX(Bases!$E$2:$E$53,B385)="","",INDEX(Bases!$E$2:$E$53,B385))</f>
        <v/>
      </c>
      <c r="J385" s="8" t="str">
        <f aca="false">IF(INDEX(Bases!$E$2:$E$53,C385)="","",INDEX(Bases!$E$2:$E$53,C385))</f>
        <v/>
      </c>
      <c r="K385" s="5"/>
      <c r="L385" s="2" t="n">
        <f aca="false">AE385+IF(SUMPRODUCT(--($AL385:$AQ385&gt;AL385))&lt;$AK385,1,0)</f>
        <v>75</v>
      </c>
      <c r="M385" s="2" t="n">
        <f aca="false">AF385+IF(SUMPRODUCT(--($AL385:$AQ385&gt;AM385))+SUMPRODUCT(--($AL385:AL385=AM385))&lt;$AK385,1,0)</f>
        <v>98</v>
      </c>
      <c r="N385" s="2" t="n">
        <f aca="false">AG385+IF(SUMPRODUCT(--($AL385:$AQ385&gt;AN385))+SUMPRODUCT(--($AL385:AM385=AN385))&lt;$AK385,1,0)</f>
        <v>77</v>
      </c>
      <c r="O385" s="2" t="n">
        <f aca="false">AH385+IF(SUMPRODUCT(--($AL385:$AQ385&gt;AO385))+SUMPRODUCT(--($AL385:AN385=AO385))&lt;$AK385,1,0)</f>
        <v>92</v>
      </c>
      <c r="P385" s="2" t="n">
        <f aca="false">AI385+IF(SUMPRODUCT(--($AL385:$AQ385&gt;AP385))+SUMPRODUCT(--($AL385:AO385=AP385))&lt;$AK385,1,0)</f>
        <v>92</v>
      </c>
      <c r="Q385" s="2" t="n">
        <f aca="false">AJ385+IF(SUMPRODUCT(--($AL385:$AQ385&gt;AQ385))+SUMPRODUCT(--($AL385:AP385=AQ385))&lt;$AK385,1,0)</f>
        <v>66</v>
      </c>
      <c r="R385" s="2" t="n">
        <f aca="false">SUM(L385:Q385)</f>
        <v>500</v>
      </c>
      <c r="S385" s="2" t="n">
        <f aca="false">Settings!$B$4*MAX(INDEX(Bases!$M$2:$M$53,B385),INDEX(Bases!$M$2:$M$53,C385))+Settings!$B$5*MIN(INDEX(Bases!$M$2:$M$53,B385),INDEX(Bases!$M$2:$M$53,C385))</f>
        <v>62</v>
      </c>
      <c r="T385" s="2" t="n">
        <f aca="false">Settings!$B$4*MAX(INDEX(Bases!$N$2:$N$53,B385),INDEX(Bases!$N$2:$N$53,C385))+Settings!$B$5*MIN(INDEX(Bases!$N$2:$N$53,B385),INDEX(Bases!$N$2:$N$53,C385))</f>
        <v>80.6666666666667</v>
      </c>
      <c r="U385" s="2" t="n">
        <f aca="false">Settings!$B$4*MAX(INDEX(Bases!$O$2:$O$53,B385),INDEX(Bases!$O$2:$O$53,C385))+Settings!$B$5*MIN(INDEX(Bases!$O$2:$O$53,B385),INDEX(Bases!$O$2:$O$53,C385))</f>
        <v>64</v>
      </c>
      <c r="V385" s="2" t="n">
        <f aca="false">Settings!$B$4*MAX(INDEX(Bases!$P$2:$P$53,B385),INDEX(Bases!$P$2:$P$53,C385))+Settings!$B$5*MIN(INDEX(Bases!$P$2:$P$53,B385),INDEX(Bases!$P$2:$P$53,C385))</f>
        <v>76</v>
      </c>
      <c r="W385" s="2" t="n">
        <f aca="false">Settings!$B$4*MAX(INDEX(Bases!$Q$2:$Q$53,B385),INDEX(Bases!$Q$2:$Q$53,C385))+Settings!$B$5*MIN(INDEX(Bases!$Q$2:$Q$53,B385),INDEX(Bases!$Q$2:$Q$53,C385))</f>
        <v>76</v>
      </c>
      <c r="X385" s="2" t="n">
        <f aca="false">Settings!$B$4*MAX(INDEX(Bases!$R$2:$R$53,B385),INDEX(Bases!$R$2:$R$53,C385))+Settings!$B$5*MIN(INDEX(Bases!$R$2:$R$53,B385),INDEX(Bases!$R$2:$R$53,C385))</f>
        <v>54.6666666666667</v>
      </c>
      <c r="Y385" s="2" t="n">
        <f aca="false">S385*Settings!$B$3/SUM(S385:X385)</f>
        <v>75</v>
      </c>
      <c r="Z385" s="2" t="n">
        <f aca="false">T385*Settings!$B$3/SUM(S385:X385)</f>
        <v>97.5806451612903</v>
      </c>
      <c r="AA385" s="2" t="n">
        <f aca="false">U385*Settings!$B$3/SUM(S385:X385)</f>
        <v>77.4193548387097</v>
      </c>
      <c r="AB385" s="2" t="n">
        <f aca="false">V385*Settings!$B$3/SUM(S385:X385)</f>
        <v>91.9354838709677</v>
      </c>
      <c r="AC385" s="2" t="n">
        <f aca="false">W385*Settings!$B$3/SUM(S385:X385)</f>
        <v>91.9354838709677</v>
      </c>
      <c r="AD385" s="2" t="n">
        <f aca="false">X385*Settings!$B$3/SUM(S385:X385)</f>
        <v>66.1290322580645</v>
      </c>
      <c r="AE385" s="2" t="n">
        <f aca="false">INT(Y385)</f>
        <v>75</v>
      </c>
      <c r="AF385" s="2" t="n">
        <f aca="false">INT(Z385)</f>
        <v>97</v>
      </c>
      <c r="AG385" s="2" t="n">
        <f aca="false">INT(AA385)</f>
        <v>77</v>
      </c>
      <c r="AH385" s="2" t="n">
        <f aca="false">INT(AB385)</f>
        <v>91</v>
      </c>
      <c r="AI385" s="2" t="n">
        <f aca="false">INT(AC385)</f>
        <v>91</v>
      </c>
      <c r="AJ385" s="2" t="n">
        <f aca="false">INT(AD385)</f>
        <v>66</v>
      </c>
      <c r="AK385" s="2" t="n">
        <f aca="false">Settings!$B$3-SUM(AE385:AJ385)</f>
        <v>3</v>
      </c>
      <c r="AL385" s="2" t="n">
        <f aca="false">ROUND(Y385-AE385,9)</f>
        <v>0</v>
      </c>
      <c r="AM385" s="2" t="n">
        <f aca="false">ROUND(Z385-AF385,9)</f>
        <v>0.580645161</v>
      </c>
      <c r="AN385" s="2" t="n">
        <f aca="false">ROUND(AA385-AG385,9)</f>
        <v>0.419354839</v>
      </c>
      <c r="AO385" s="2" t="n">
        <f aca="false">ROUND(AB385-AH385,9)</f>
        <v>0.935483871</v>
      </c>
      <c r="AP385" s="2" t="n">
        <f aca="false">ROUND(AC385-AI385,9)</f>
        <v>0.935483871</v>
      </c>
      <c r="AQ385" s="2" t="n">
        <f aca="false">ROUND(AD385-AJ385,9)</f>
        <v>0.129032258</v>
      </c>
    </row>
    <row r="386" customFormat="false" ht="15" hidden="false" customHeight="false" outlineLevel="0" collapsed="false">
      <c r="A386" s="2" t="n">
        <v>385</v>
      </c>
      <c r="B386" s="6" t="n">
        <v>9</v>
      </c>
      <c r="C386" s="6" t="n">
        <v>14</v>
      </c>
      <c r="D386" s="8" t="str">
        <f aca="false">INDEX(Bases!$B$2:$B$53,B386)</f>
        <v>Mudkip</v>
      </c>
      <c r="E386" s="8" t="str">
        <f aca="false">INDEX(Bases!$B$2:$B$53,C386)</f>
        <v>Celebi</v>
      </c>
      <c r="F386" s="2" t="str">
        <f aca="false">LEFT(D386,ROUNDUP(LEN(D386)/2,0))&amp;LOWER(MID(E386,ROUNDUP(LEN(E386)/2,0)+1,20))</f>
        <v>Mudebi</v>
      </c>
      <c r="G386" s="8" t="str">
        <f aca="false">INDEX(Bases!$C$2:$C$53,B386)</f>
        <v>Water</v>
      </c>
      <c r="H386" s="8" t="str">
        <f aca="false">IF(INDEX(Bases!$C$2:$C$53,C386)=G386,"",INDEX(Bases!$C$2:$C$53,C386))</f>
        <v>Grass</v>
      </c>
      <c r="I386" s="8" t="str">
        <f aca="false">IF(INDEX(Bases!$E$2:$E$53,B386)="","",INDEX(Bases!$E$2:$E$53,B386))</f>
        <v/>
      </c>
      <c r="J386" s="8" t="str">
        <f aca="false">IF(INDEX(Bases!$E$2:$E$53,C386)="","",INDEX(Bases!$E$2:$E$53,C386))</f>
        <v/>
      </c>
      <c r="K386" s="5"/>
      <c r="L386" s="2" t="n">
        <f aca="false">AE386+IF(SUMPRODUCT(--($AL386:$AQ386&gt;AL386))&lt;$AK386,1,0)</f>
        <v>82</v>
      </c>
      <c r="M386" s="2" t="n">
        <f aca="false">AF386+IF(SUMPRODUCT(--($AL386:$AQ386&gt;AM386))+SUMPRODUCT(--($AL386:AL386=AM386))&lt;$AK386,1,0)</f>
        <v>101</v>
      </c>
      <c r="N386" s="2" t="n">
        <f aca="false">AG386+IF(SUMPRODUCT(--($AL386:$AQ386&gt;AN386))+SUMPRODUCT(--($AL386:AM386=AN386))&lt;$AK386,1,0)</f>
        <v>81</v>
      </c>
      <c r="O386" s="2" t="n">
        <f aca="false">AH386+IF(SUMPRODUCT(--($AL386:$AQ386&gt;AO386))+SUMPRODUCT(--($AL386:AN386=AO386))&lt;$AK386,1,0)</f>
        <v>81</v>
      </c>
      <c r="P386" s="2" t="n">
        <f aca="false">AI386+IF(SUMPRODUCT(--($AL386:$AQ386&gt;AP386))+SUMPRODUCT(--($AL386:AO386=AP386))&lt;$AK386,1,0)</f>
        <v>80</v>
      </c>
      <c r="Q386" s="2" t="n">
        <f aca="false">AJ386+IF(SUMPRODUCT(--($AL386:$AQ386&gt;AQ386))+SUMPRODUCT(--($AL386:AP386=AQ386))&lt;$AK386,1,0)</f>
        <v>75</v>
      </c>
      <c r="R386" s="2" t="n">
        <f aca="false">SUM(L386:Q386)</f>
        <v>500</v>
      </c>
      <c r="S386" s="2" t="n">
        <f aca="false">Settings!$B$4*MAX(INDEX(Bases!$M$2:$M$53,B386),INDEX(Bases!$M$2:$M$53,C386))+Settings!$B$5*MIN(INDEX(Bases!$M$2:$M$53,B386),INDEX(Bases!$M$2:$M$53,C386))</f>
        <v>66.3333333333333</v>
      </c>
      <c r="T386" s="2" t="n">
        <f aca="false">Settings!$B$4*MAX(INDEX(Bases!$N$2:$N$53,B386),INDEX(Bases!$N$2:$N$53,C386))+Settings!$B$5*MIN(INDEX(Bases!$N$2:$N$53,B386),INDEX(Bases!$N$2:$N$53,C386))</f>
        <v>82.3333333333333</v>
      </c>
      <c r="U386" s="2" t="n">
        <f aca="false">Settings!$B$4*MAX(INDEX(Bases!$O$2:$O$53,B386),INDEX(Bases!$O$2:$O$53,C386))+Settings!$B$5*MIN(INDEX(Bases!$O$2:$O$53,B386),INDEX(Bases!$O$2:$O$53,C386))</f>
        <v>66.3333333333333</v>
      </c>
      <c r="V386" s="2" t="n">
        <f aca="false">Settings!$B$4*MAX(INDEX(Bases!$P$2:$P$53,B386),INDEX(Bases!$P$2:$P$53,C386))+Settings!$B$5*MIN(INDEX(Bases!$P$2:$P$53,B386),INDEX(Bases!$P$2:$P$53,C386))</f>
        <v>66</v>
      </c>
      <c r="W386" s="2" t="n">
        <f aca="false">Settings!$B$4*MAX(INDEX(Bases!$Q$2:$Q$53,B386),INDEX(Bases!$Q$2:$Q$53,C386))+Settings!$B$5*MIN(INDEX(Bases!$Q$2:$Q$53,B386),INDEX(Bases!$Q$2:$Q$53,C386))</f>
        <v>65.3333333333333</v>
      </c>
      <c r="X386" s="2" t="n">
        <f aca="false">Settings!$B$4*MAX(INDEX(Bases!$R$2:$R$53,B386),INDEX(Bases!$R$2:$R$53,C386))+Settings!$B$5*MIN(INDEX(Bases!$R$2:$R$53,B386),INDEX(Bases!$R$2:$R$53,C386))</f>
        <v>61.3333333333333</v>
      </c>
      <c r="Y386" s="2" t="n">
        <f aca="false">S386*Settings!$B$3/SUM(S386:X386)</f>
        <v>81.3573180703189</v>
      </c>
      <c r="Z386" s="2" t="n">
        <f aca="false">T386*Settings!$B$3/SUM(S386:X386)</f>
        <v>100.981193785773</v>
      </c>
      <c r="AA386" s="2" t="n">
        <f aca="false">U386*Settings!$B$3/SUM(S386:X386)</f>
        <v>81.3573180703189</v>
      </c>
      <c r="AB386" s="2" t="n">
        <f aca="false">V386*Settings!$B$3/SUM(S386:X386)</f>
        <v>80.9484873262469</v>
      </c>
      <c r="AC386" s="2" t="n">
        <f aca="false">W386*Settings!$B$3/SUM(S386:X386)</f>
        <v>80.130825838103</v>
      </c>
      <c r="AD386" s="2" t="n">
        <f aca="false">X386*Settings!$B$3/SUM(S386:X386)</f>
        <v>75.2248569092396</v>
      </c>
      <c r="AE386" s="2" t="n">
        <f aca="false">INT(Y386)</f>
        <v>81</v>
      </c>
      <c r="AF386" s="2" t="n">
        <f aca="false">INT(Z386)</f>
        <v>100</v>
      </c>
      <c r="AG386" s="2" t="n">
        <f aca="false">INT(AA386)</f>
        <v>81</v>
      </c>
      <c r="AH386" s="2" t="n">
        <f aca="false">INT(AB386)</f>
        <v>80</v>
      </c>
      <c r="AI386" s="2" t="n">
        <f aca="false">INT(AC386)</f>
        <v>80</v>
      </c>
      <c r="AJ386" s="2" t="n">
        <f aca="false">INT(AD386)</f>
        <v>75</v>
      </c>
      <c r="AK386" s="2" t="n">
        <f aca="false">Settings!$B$3-SUM(AE386:AJ386)</f>
        <v>3</v>
      </c>
      <c r="AL386" s="2" t="n">
        <f aca="false">ROUND(Y386-AE386,9)</f>
        <v>0.35731807</v>
      </c>
      <c r="AM386" s="2" t="n">
        <f aca="false">ROUND(Z386-AF386,9)</f>
        <v>0.981193786</v>
      </c>
      <c r="AN386" s="2" t="n">
        <f aca="false">ROUND(AA386-AG386,9)</f>
        <v>0.35731807</v>
      </c>
      <c r="AO386" s="2" t="n">
        <f aca="false">ROUND(AB386-AH386,9)</f>
        <v>0.948487326</v>
      </c>
      <c r="AP386" s="2" t="n">
        <f aca="false">ROUND(AC386-AI386,9)</f>
        <v>0.130825838</v>
      </c>
      <c r="AQ386" s="2" t="n">
        <f aca="false">ROUND(AD386-AJ386,9)</f>
        <v>0.224856909</v>
      </c>
    </row>
    <row r="387" customFormat="false" ht="15" hidden="false" customHeight="false" outlineLevel="0" collapsed="false">
      <c r="A387" s="2" t="n">
        <v>386</v>
      </c>
      <c r="B387" s="6" t="n">
        <v>9</v>
      </c>
      <c r="C387" s="6" t="n">
        <v>15</v>
      </c>
      <c r="D387" s="8" t="str">
        <f aca="false">INDEX(Bases!$B$2:$B$53,B387)</f>
        <v>Mudkip</v>
      </c>
      <c r="E387" s="8" t="str">
        <f aca="false">INDEX(Bases!$B$2:$B$53,C387)</f>
        <v>Shroomish</v>
      </c>
      <c r="F387" s="2" t="str">
        <f aca="false">LEFT(D387,ROUNDUP(LEN(D387)/2,0))&amp;LOWER(MID(E387,ROUNDUP(LEN(E387)/2,0)+1,20))</f>
        <v>Mudmish</v>
      </c>
      <c r="G387" s="8" t="str">
        <f aca="false">INDEX(Bases!$C$2:$C$53,B387)</f>
        <v>Water</v>
      </c>
      <c r="H387" s="8" t="str">
        <f aca="false">IF(INDEX(Bases!$C$2:$C$53,C387)=G387,"",INDEX(Bases!$C$2:$C$53,C387))</f>
        <v>Grass</v>
      </c>
      <c r="I387" s="8" t="str">
        <f aca="false">IF(INDEX(Bases!$E$2:$E$53,B387)="","",INDEX(Bases!$E$2:$E$53,B387))</f>
        <v/>
      </c>
      <c r="J387" s="8" t="str">
        <f aca="false">IF(INDEX(Bases!$E$2:$E$53,C387)="","",INDEX(Bases!$E$2:$E$53,C387))</f>
        <v/>
      </c>
      <c r="K387" s="5"/>
      <c r="L387" s="2" t="n">
        <f aca="false">AE387+IF(SUMPRODUCT(--($AL387:$AQ387&gt;AL387))&lt;$AK387,1,0)</f>
        <v>92</v>
      </c>
      <c r="M387" s="2" t="n">
        <f aca="false">AF387+IF(SUMPRODUCT(--($AL387:$AQ387&gt;AM387))+SUMPRODUCT(--($AL387:AL387=AM387))&lt;$AK387,1,0)</f>
        <v>93</v>
      </c>
      <c r="N387" s="2" t="n">
        <f aca="false">AG387+IF(SUMPRODUCT(--($AL387:$AQ387&gt;AN387))+SUMPRODUCT(--($AL387:AM387=AN387))&lt;$AK387,1,0)</f>
        <v>91</v>
      </c>
      <c r="O387" s="2" t="n">
        <f aca="false">AH387+IF(SUMPRODUCT(--($AL387:$AQ387&gt;AO387))+SUMPRODUCT(--($AL387:AN387=AO387))&lt;$AK387,1,0)</f>
        <v>73</v>
      </c>
      <c r="P387" s="2" t="n">
        <f aca="false">AI387+IF(SUMPRODUCT(--($AL387:$AQ387&gt;AP387))+SUMPRODUCT(--($AL387:AO387=AP387))&lt;$AK387,1,0)</f>
        <v>90</v>
      </c>
      <c r="Q387" s="2" t="n">
        <f aca="false">AJ387+IF(SUMPRODUCT(--($AL387:$AQ387&gt;AQ387))+SUMPRODUCT(--($AL387:AP387=AQ387))&lt;$AK387,1,0)</f>
        <v>61</v>
      </c>
      <c r="R387" s="2" t="n">
        <f aca="false">SUM(L387:Q387)</f>
        <v>500</v>
      </c>
      <c r="S387" s="2" t="n">
        <f aca="false">Settings!$B$4*MAX(INDEX(Bases!$M$2:$M$53,B387),INDEX(Bases!$M$2:$M$53,C387))+Settings!$B$5*MIN(INDEX(Bases!$M$2:$M$53,B387),INDEX(Bases!$M$2:$M$53,C387))</f>
        <v>76.3333333333333</v>
      </c>
      <c r="T387" s="2" t="n">
        <f aca="false">Settings!$B$4*MAX(INDEX(Bases!$N$2:$N$53,B387),INDEX(Bases!$N$2:$N$53,C387))+Settings!$B$5*MIN(INDEX(Bases!$N$2:$N$53,B387),INDEX(Bases!$N$2:$N$53,C387))</f>
        <v>78</v>
      </c>
      <c r="U387" s="2" t="n">
        <f aca="false">Settings!$B$4*MAX(INDEX(Bases!$O$2:$O$53,B387),INDEX(Bases!$O$2:$O$53,C387))+Settings!$B$5*MIN(INDEX(Bases!$O$2:$O$53,B387),INDEX(Bases!$O$2:$O$53,C387))</f>
        <v>75.6666666666667</v>
      </c>
      <c r="V387" s="2" t="n">
        <f aca="false">Settings!$B$4*MAX(INDEX(Bases!$P$2:$P$53,B387),INDEX(Bases!$P$2:$P$53,C387))+Settings!$B$5*MIN(INDEX(Bases!$P$2:$P$53,B387),INDEX(Bases!$P$2:$P$53,C387))</f>
        <v>60.6666666666667</v>
      </c>
      <c r="W387" s="2" t="n">
        <f aca="false">Settings!$B$4*MAX(INDEX(Bases!$Q$2:$Q$53,B387),INDEX(Bases!$Q$2:$Q$53,C387))+Settings!$B$5*MIN(INDEX(Bases!$Q$2:$Q$53,B387),INDEX(Bases!$Q$2:$Q$53,C387))</f>
        <v>75.3333333333333</v>
      </c>
      <c r="X387" s="2" t="n">
        <f aca="false">Settings!$B$4*MAX(INDEX(Bases!$R$2:$R$53,B387),INDEX(Bases!$R$2:$R$53,C387))+Settings!$B$5*MIN(INDEX(Bases!$R$2:$R$53,B387),INDEX(Bases!$R$2:$R$53,C387))</f>
        <v>50.6666666666667</v>
      </c>
      <c r="Y387" s="2" t="n">
        <f aca="false">S387*Settings!$B$3/SUM(S387:X387)</f>
        <v>91.6</v>
      </c>
      <c r="Z387" s="2" t="n">
        <f aca="false">T387*Settings!$B$3/SUM(S387:X387)</f>
        <v>93.6</v>
      </c>
      <c r="AA387" s="2" t="n">
        <f aca="false">U387*Settings!$B$3/SUM(S387:X387)</f>
        <v>90.8</v>
      </c>
      <c r="AB387" s="2" t="n">
        <f aca="false">V387*Settings!$B$3/SUM(S387:X387)</f>
        <v>72.8</v>
      </c>
      <c r="AC387" s="2" t="n">
        <f aca="false">W387*Settings!$B$3/SUM(S387:X387)</f>
        <v>90.4</v>
      </c>
      <c r="AD387" s="2" t="n">
        <f aca="false">X387*Settings!$B$3/SUM(S387:X387)</f>
        <v>60.8</v>
      </c>
      <c r="AE387" s="2" t="n">
        <f aca="false">INT(Y387)</f>
        <v>91</v>
      </c>
      <c r="AF387" s="2" t="n">
        <f aca="false">INT(Z387)</f>
        <v>93</v>
      </c>
      <c r="AG387" s="2" t="n">
        <f aca="false">INT(AA387)</f>
        <v>90</v>
      </c>
      <c r="AH387" s="2" t="n">
        <f aca="false">INT(AB387)</f>
        <v>72</v>
      </c>
      <c r="AI387" s="2" t="n">
        <f aca="false">INT(AC387)</f>
        <v>90</v>
      </c>
      <c r="AJ387" s="2" t="n">
        <f aca="false">INT(AD387)</f>
        <v>60</v>
      </c>
      <c r="AK387" s="2" t="n">
        <f aca="false">Settings!$B$3-SUM(AE387:AJ387)</f>
        <v>4</v>
      </c>
      <c r="AL387" s="2" t="n">
        <f aca="false">ROUND(Y387-AE387,9)</f>
        <v>0.6</v>
      </c>
      <c r="AM387" s="2" t="n">
        <f aca="false">ROUND(Z387-AF387,9)</f>
        <v>0.6</v>
      </c>
      <c r="AN387" s="2" t="n">
        <f aca="false">ROUND(AA387-AG387,9)</f>
        <v>0.8</v>
      </c>
      <c r="AO387" s="2" t="n">
        <f aca="false">ROUND(AB387-AH387,9)</f>
        <v>0.8</v>
      </c>
      <c r="AP387" s="2" t="n">
        <f aca="false">ROUND(AC387-AI387,9)</f>
        <v>0.4</v>
      </c>
      <c r="AQ387" s="2" t="n">
        <f aca="false">ROUND(AD387-AJ387,9)</f>
        <v>0.8</v>
      </c>
    </row>
    <row r="388" customFormat="false" ht="15" hidden="false" customHeight="false" outlineLevel="0" collapsed="false">
      <c r="A388" s="2" t="n">
        <v>387</v>
      </c>
      <c r="B388" s="6" t="n">
        <v>9</v>
      </c>
      <c r="C388" s="6" t="n">
        <v>16</v>
      </c>
      <c r="D388" s="8" t="str">
        <f aca="false">INDEX(Bases!$B$2:$B$53,B388)</f>
        <v>Mudkip</v>
      </c>
      <c r="E388" s="8" t="str">
        <f aca="false">INDEX(Bases!$B$2:$B$53,C388)</f>
        <v>Swinub</v>
      </c>
      <c r="F388" s="2" t="str">
        <f aca="false">LEFT(D388,ROUNDUP(LEN(D388)/2,0))&amp;LOWER(MID(E388,ROUNDUP(LEN(E388)/2,0)+1,20))</f>
        <v>Mudnub</v>
      </c>
      <c r="G388" s="8" t="str">
        <f aca="false">INDEX(Bases!$C$2:$C$53,B388)</f>
        <v>Water</v>
      </c>
      <c r="H388" s="8" t="str">
        <f aca="false">IF(INDEX(Bases!$C$2:$C$53,C388)=G388,"",INDEX(Bases!$C$2:$C$53,C388))</f>
        <v>Ice</v>
      </c>
      <c r="I388" s="8" t="str">
        <f aca="false">IF(INDEX(Bases!$E$2:$E$53,B388)="","",INDEX(Bases!$E$2:$E$53,B388))</f>
        <v/>
      </c>
      <c r="J388" s="8" t="str">
        <f aca="false">IF(INDEX(Bases!$E$2:$E$53,C388)="","",INDEX(Bases!$E$2:$E$53,C388))</f>
        <v/>
      </c>
      <c r="K388" s="5"/>
      <c r="L388" s="2" t="n">
        <f aca="false">AE388+IF(SUMPRODUCT(--($AL388:$AQ388&gt;AL388))&lt;$AK388,1,0)</f>
        <v>90</v>
      </c>
      <c r="M388" s="2" t="n">
        <f aca="false">AF388+IF(SUMPRODUCT(--($AL388:$AQ388&gt;AM388))+SUMPRODUCT(--($AL388:AL388=AM388))&lt;$AK388,1,0)</f>
        <v>105</v>
      </c>
      <c r="N388" s="2" t="n">
        <f aca="false">AG388+IF(SUMPRODUCT(--($AL388:$AQ388&gt;AN388))+SUMPRODUCT(--($AL388:AM388=AN388))&lt;$AK388,1,0)</f>
        <v>78</v>
      </c>
      <c r="O388" s="2" t="n">
        <f aca="false">AH388+IF(SUMPRODUCT(--($AL388:$AQ388&gt;AO388))+SUMPRODUCT(--($AL388:AN388=AO388))&lt;$AK388,1,0)</f>
        <v>71</v>
      </c>
      <c r="P388" s="2" t="n">
        <f aca="false">AI388+IF(SUMPRODUCT(--($AL388:$AQ388&gt;AP388))+SUMPRODUCT(--($AL388:AO388=AP388))&lt;$AK388,1,0)</f>
        <v>71</v>
      </c>
      <c r="Q388" s="2" t="n">
        <f aca="false">AJ388+IF(SUMPRODUCT(--($AL388:$AQ388&gt;AQ388))+SUMPRODUCT(--($AL388:AP388=AQ388))&lt;$AK388,1,0)</f>
        <v>85</v>
      </c>
      <c r="R388" s="2" t="n">
        <f aca="false">SUM(L388:Q388)</f>
        <v>500</v>
      </c>
      <c r="S388" s="2" t="n">
        <f aca="false">Settings!$B$4*MAX(INDEX(Bases!$M$2:$M$53,B388),INDEX(Bases!$M$2:$M$53,C388))+Settings!$B$5*MIN(INDEX(Bases!$M$2:$M$53,B388),INDEX(Bases!$M$2:$M$53,C388))</f>
        <v>75</v>
      </c>
      <c r="T388" s="2" t="n">
        <f aca="false">Settings!$B$4*MAX(INDEX(Bases!$N$2:$N$53,B388),INDEX(Bases!$N$2:$N$53,C388))+Settings!$B$5*MIN(INDEX(Bases!$N$2:$N$53,B388),INDEX(Bases!$N$2:$N$53,C388))</f>
        <v>86.6666666666667</v>
      </c>
      <c r="U388" s="2" t="n">
        <f aca="false">Settings!$B$4*MAX(INDEX(Bases!$O$2:$O$53,B388),INDEX(Bases!$O$2:$O$53,C388))+Settings!$B$5*MIN(INDEX(Bases!$O$2:$O$53,B388),INDEX(Bases!$O$2:$O$53,C388))</f>
        <v>64.6666666666667</v>
      </c>
      <c r="V388" s="2" t="n">
        <f aca="false">Settings!$B$4*MAX(INDEX(Bases!$P$2:$P$53,B388),INDEX(Bases!$P$2:$P$53,C388))+Settings!$B$5*MIN(INDEX(Bases!$P$2:$P$53,B388),INDEX(Bases!$P$2:$P$53,C388))</f>
        <v>58.6666666666667</v>
      </c>
      <c r="W388" s="2" t="n">
        <f aca="false">Settings!$B$4*MAX(INDEX(Bases!$Q$2:$Q$53,B388),INDEX(Bases!$Q$2:$Q$53,C388))+Settings!$B$5*MIN(INDEX(Bases!$Q$2:$Q$53,B388),INDEX(Bases!$Q$2:$Q$53,C388))</f>
        <v>58.6666666666667</v>
      </c>
      <c r="X388" s="2" t="n">
        <f aca="false">Settings!$B$4*MAX(INDEX(Bases!$R$2:$R$53,B388),INDEX(Bases!$R$2:$R$53,C388))+Settings!$B$5*MIN(INDEX(Bases!$R$2:$R$53,B388),INDEX(Bases!$R$2:$R$53,C388))</f>
        <v>70.6666666666667</v>
      </c>
      <c r="Y388" s="2" t="n">
        <f aca="false">S388*Settings!$B$3/SUM(S388:X388)</f>
        <v>90.5068382944489</v>
      </c>
      <c r="Z388" s="2" t="n">
        <f aca="false">T388*Settings!$B$3/SUM(S388:X388)</f>
        <v>104.585679806919</v>
      </c>
      <c r="AA388" s="2" t="n">
        <f aca="false">U388*Settings!$B$3/SUM(S388:X388)</f>
        <v>78.0370072405471</v>
      </c>
      <c r="AB388" s="2" t="n">
        <f aca="false">V388*Settings!$B$3/SUM(S388:X388)</f>
        <v>70.7964601769912</v>
      </c>
      <c r="AC388" s="2" t="n">
        <f aca="false">W388*Settings!$B$3/SUM(S388:X388)</f>
        <v>70.7964601769912</v>
      </c>
      <c r="AD388" s="2" t="n">
        <f aca="false">X388*Settings!$B$3/SUM(S388:X388)</f>
        <v>85.277554304103</v>
      </c>
      <c r="AE388" s="2" t="n">
        <f aca="false">INT(Y388)</f>
        <v>90</v>
      </c>
      <c r="AF388" s="2" t="n">
        <f aca="false">INT(Z388)</f>
        <v>104</v>
      </c>
      <c r="AG388" s="2" t="n">
        <f aca="false">INT(AA388)</f>
        <v>78</v>
      </c>
      <c r="AH388" s="2" t="n">
        <f aca="false">INT(AB388)</f>
        <v>70</v>
      </c>
      <c r="AI388" s="2" t="n">
        <f aca="false">INT(AC388)</f>
        <v>70</v>
      </c>
      <c r="AJ388" s="2" t="n">
        <f aca="false">INT(AD388)</f>
        <v>85</v>
      </c>
      <c r="AK388" s="2" t="n">
        <f aca="false">Settings!$B$3-SUM(AE388:AJ388)</f>
        <v>3</v>
      </c>
      <c r="AL388" s="2" t="n">
        <f aca="false">ROUND(Y388-AE388,9)</f>
        <v>0.506838294</v>
      </c>
      <c r="AM388" s="2" t="n">
        <f aca="false">ROUND(Z388-AF388,9)</f>
        <v>0.585679807</v>
      </c>
      <c r="AN388" s="2" t="n">
        <f aca="false">ROUND(AA388-AG388,9)</f>
        <v>0.037007241</v>
      </c>
      <c r="AO388" s="2" t="n">
        <f aca="false">ROUND(AB388-AH388,9)</f>
        <v>0.796460177</v>
      </c>
      <c r="AP388" s="2" t="n">
        <f aca="false">ROUND(AC388-AI388,9)</f>
        <v>0.796460177</v>
      </c>
      <c r="AQ388" s="2" t="n">
        <f aca="false">ROUND(AD388-AJ388,9)</f>
        <v>0.277554304</v>
      </c>
    </row>
    <row r="389" customFormat="false" ht="15" hidden="false" customHeight="false" outlineLevel="0" collapsed="false">
      <c r="A389" s="2" t="n">
        <v>388</v>
      </c>
      <c r="B389" s="6" t="n">
        <v>9</v>
      </c>
      <c r="C389" s="6" t="n">
        <v>17</v>
      </c>
      <c r="D389" s="8" t="str">
        <f aca="false">INDEX(Bases!$B$2:$B$53,B389)</f>
        <v>Mudkip</v>
      </c>
      <c r="E389" s="8" t="str">
        <f aca="false">INDEX(Bases!$B$2:$B$53,C389)</f>
        <v>Snorunt</v>
      </c>
      <c r="F389" s="2" t="str">
        <f aca="false">LEFT(D389,ROUNDUP(LEN(D389)/2,0))&amp;LOWER(MID(E389,ROUNDUP(LEN(E389)/2,0)+1,20))</f>
        <v>Mudunt</v>
      </c>
      <c r="G389" s="8" t="str">
        <f aca="false">INDEX(Bases!$C$2:$C$53,B389)</f>
        <v>Water</v>
      </c>
      <c r="H389" s="8" t="str">
        <f aca="false">IF(INDEX(Bases!$C$2:$C$53,C389)=G389,"",INDEX(Bases!$C$2:$C$53,C389))</f>
        <v>Ice</v>
      </c>
      <c r="I389" s="8" t="str">
        <f aca="false">IF(INDEX(Bases!$E$2:$E$53,B389)="","",INDEX(Bases!$E$2:$E$53,B389))</f>
        <v/>
      </c>
      <c r="J389" s="8" t="str">
        <f aca="false">IF(INDEX(Bases!$E$2:$E$53,C389)="","",INDEX(Bases!$E$2:$E$53,C389))</f>
        <v/>
      </c>
      <c r="K389" s="5"/>
      <c r="L389" s="2" t="n">
        <f aca="false">AE389+IF(SUMPRODUCT(--($AL389:$AQ389&gt;AL389))&lt;$AK389,1,0)</f>
        <v>82</v>
      </c>
      <c r="M389" s="2" t="n">
        <f aca="false">AF389+IF(SUMPRODUCT(--($AL389:$AQ389&gt;AM389))+SUMPRODUCT(--($AL389:AL389=AM389))&lt;$AK389,1,0)</f>
        <v>101</v>
      </c>
      <c r="N389" s="2" t="n">
        <f aca="false">AG389+IF(SUMPRODUCT(--($AL389:$AQ389&gt;AN389))+SUMPRODUCT(--($AL389:AM389=AN389))&lt;$AK389,1,0)</f>
        <v>81</v>
      </c>
      <c r="O389" s="2" t="n">
        <f aca="false">AH389+IF(SUMPRODUCT(--($AL389:$AQ389&gt;AO389))+SUMPRODUCT(--($AL389:AN389=AO389))&lt;$AK389,1,0)</f>
        <v>81</v>
      </c>
      <c r="P389" s="2" t="n">
        <f aca="false">AI389+IF(SUMPRODUCT(--($AL389:$AQ389&gt;AP389))+SUMPRODUCT(--($AL389:AO389=AP389))&lt;$AK389,1,0)</f>
        <v>80</v>
      </c>
      <c r="Q389" s="2" t="n">
        <f aca="false">AJ389+IF(SUMPRODUCT(--($AL389:$AQ389&gt;AQ389))+SUMPRODUCT(--($AL389:AP389=AQ389))&lt;$AK389,1,0)</f>
        <v>75</v>
      </c>
      <c r="R389" s="2" t="n">
        <f aca="false">SUM(L389:Q389)</f>
        <v>500</v>
      </c>
      <c r="S389" s="2" t="n">
        <f aca="false">Settings!$B$4*MAX(INDEX(Bases!$M$2:$M$53,B389),INDEX(Bases!$M$2:$M$53,C389))+Settings!$B$5*MIN(INDEX(Bases!$M$2:$M$53,B389),INDEX(Bases!$M$2:$M$53,C389))</f>
        <v>66.3333333333333</v>
      </c>
      <c r="T389" s="2" t="n">
        <f aca="false">Settings!$B$4*MAX(INDEX(Bases!$N$2:$N$53,B389),INDEX(Bases!$N$2:$N$53,C389))+Settings!$B$5*MIN(INDEX(Bases!$N$2:$N$53,B389),INDEX(Bases!$N$2:$N$53,C389))</f>
        <v>82.3333333333333</v>
      </c>
      <c r="U389" s="2" t="n">
        <f aca="false">Settings!$B$4*MAX(INDEX(Bases!$O$2:$O$53,B389),INDEX(Bases!$O$2:$O$53,C389))+Settings!$B$5*MIN(INDEX(Bases!$O$2:$O$53,B389),INDEX(Bases!$O$2:$O$53,C389))</f>
        <v>66.3333333333333</v>
      </c>
      <c r="V389" s="2" t="n">
        <f aca="false">Settings!$B$4*MAX(INDEX(Bases!$P$2:$P$53,B389),INDEX(Bases!$P$2:$P$53,C389))+Settings!$B$5*MIN(INDEX(Bases!$P$2:$P$53,B389),INDEX(Bases!$P$2:$P$53,C389))</f>
        <v>66</v>
      </c>
      <c r="W389" s="2" t="n">
        <f aca="false">Settings!$B$4*MAX(INDEX(Bases!$Q$2:$Q$53,B389),INDEX(Bases!$Q$2:$Q$53,C389))+Settings!$B$5*MIN(INDEX(Bases!$Q$2:$Q$53,B389),INDEX(Bases!$Q$2:$Q$53,C389))</f>
        <v>65.3333333333333</v>
      </c>
      <c r="X389" s="2" t="n">
        <f aca="false">Settings!$B$4*MAX(INDEX(Bases!$R$2:$R$53,B389),INDEX(Bases!$R$2:$R$53,C389))+Settings!$B$5*MIN(INDEX(Bases!$R$2:$R$53,B389),INDEX(Bases!$R$2:$R$53,C389))</f>
        <v>61.3333333333333</v>
      </c>
      <c r="Y389" s="2" t="n">
        <f aca="false">S389*Settings!$B$3/SUM(S389:X389)</f>
        <v>81.3573180703189</v>
      </c>
      <c r="Z389" s="2" t="n">
        <f aca="false">T389*Settings!$B$3/SUM(S389:X389)</f>
        <v>100.981193785773</v>
      </c>
      <c r="AA389" s="2" t="n">
        <f aca="false">U389*Settings!$B$3/SUM(S389:X389)</f>
        <v>81.3573180703189</v>
      </c>
      <c r="AB389" s="2" t="n">
        <f aca="false">V389*Settings!$B$3/SUM(S389:X389)</f>
        <v>80.9484873262469</v>
      </c>
      <c r="AC389" s="2" t="n">
        <f aca="false">W389*Settings!$B$3/SUM(S389:X389)</f>
        <v>80.130825838103</v>
      </c>
      <c r="AD389" s="2" t="n">
        <f aca="false">X389*Settings!$B$3/SUM(S389:X389)</f>
        <v>75.2248569092396</v>
      </c>
      <c r="AE389" s="2" t="n">
        <f aca="false">INT(Y389)</f>
        <v>81</v>
      </c>
      <c r="AF389" s="2" t="n">
        <f aca="false">INT(Z389)</f>
        <v>100</v>
      </c>
      <c r="AG389" s="2" t="n">
        <f aca="false">INT(AA389)</f>
        <v>81</v>
      </c>
      <c r="AH389" s="2" t="n">
        <f aca="false">INT(AB389)</f>
        <v>80</v>
      </c>
      <c r="AI389" s="2" t="n">
        <f aca="false">INT(AC389)</f>
        <v>80</v>
      </c>
      <c r="AJ389" s="2" t="n">
        <f aca="false">INT(AD389)</f>
        <v>75</v>
      </c>
      <c r="AK389" s="2" t="n">
        <f aca="false">Settings!$B$3-SUM(AE389:AJ389)</f>
        <v>3</v>
      </c>
      <c r="AL389" s="2" t="n">
        <f aca="false">ROUND(Y389-AE389,9)</f>
        <v>0.35731807</v>
      </c>
      <c r="AM389" s="2" t="n">
        <f aca="false">ROUND(Z389-AF389,9)</f>
        <v>0.981193786</v>
      </c>
      <c r="AN389" s="2" t="n">
        <f aca="false">ROUND(AA389-AG389,9)</f>
        <v>0.35731807</v>
      </c>
      <c r="AO389" s="2" t="n">
        <f aca="false">ROUND(AB389-AH389,9)</f>
        <v>0.948487326</v>
      </c>
      <c r="AP389" s="2" t="n">
        <f aca="false">ROUND(AC389-AI389,9)</f>
        <v>0.130825838</v>
      </c>
      <c r="AQ389" s="2" t="n">
        <f aca="false">ROUND(AD389-AJ389,9)</f>
        <v>0.224856909</v>
      </c>
    </row>
    <row r="390" customFormat="false" ht="15" hidden="false" customHeight="false" outlineLevel="0" collapsed="false">
      <c r="A390" s="2" t="n">
        <v>389</v>
      </c>
      <c r="B390" s="6" t="n">
        <v>9</v>
      </c>
      <c r="C390" s="6" t="n">
        <v>18</v>
      </c>
      <c r="D390" s="8" t="str">
        <f aca="false">INDEX(Bases!$B$2:$B$53,B390)</f>
        <v>Mudkip</v>
      </c>
      <c r="E390" s="8" t="str">
        <f aca="false">INDEX(Bases!$B$2:$B$53,C390)</f>
        <v>Spheal</v>
      </c>
      <c r="F390" s="2" t="str">
        <f aca="false">LEFT(D390,ROUNDUP(LEN(D390)/2,0))&amp;LOWER(MID(E390,ROUNDUP(LEN(E390)/2,0)+1,20))</f>
        <v>Mudeal</v>
      </c>
      <c r="G390" s="8" t="str">
        <f aca="false">INDEX(Bases!$C$2:$C$53,B390)</f>
        <v>Water</v>
      </c>
      <c r="H390" s="8" t="str">
        <f aca="false">IF(INDEX(Bases!$C$2:$C$53,C390)=G390,"",INDEX(Bases!$C$2:$C$53,C390))</f>
        <v>Ice</v>
      </c>
      <c r="I390" s="8" t="str">
        <f aca="false">IF(INDEX(Bases!$E$2:$E$53,B390)="","",INDEX(Bases!$E$2:$E$53,B390))</f>
        <v/>
      </c>
      <c r="J390" s="8" t="str">
        <f aca="false">IF(INDEX(Bases!$E$2:$E$53,C390)="","",INDEX(Bases!$E$2:$E$53,C390))</f>
        <v/>
      </c>
      <c r="K390" s="5"/>
      <c r="L390" s="2" t="n">
        <f aca="false">AE390+IF(SUMPRODUCT(--($AL390:$AQ390&gt;AL390))&lt;$AK390,1,0)</f>
        <v>103</v>
      </c>
      <c r="M390" s="2" t="n">
        <f aca="false">AF390+IF(SUMPRODUCT(--($AL390:$AQ390&gt;AM390))+SUMPRODUCT(--($AL390:AL390=AM390))&lt;$AK390,1,0)</f>
        <v>94</v>
      </c>
      <c r="N390" s="2" t="n">
        <f aca="false">AG390+IF(SUMPRODUCT(--($AL390:$AQ390&gt;AN390))+SUMPRODUCT(--($AL390:AM390=AN390))&lt;$AK390,1,0)</f>
        <v>81</v>
      </c>
      <c r="O390" s="2" t="n">
        <f aca="false">AH390+IF(SUMPRODUCT(--($AL390:$AQ390&gt;AO390))+SUMPRODUCT(--($AL390:AN390=AO390))&lt;$AK390,1,0)</f>
        <v>86</v>
      </c>
      <c r="P390" s="2" t="n">
        <f aca="false">AI390+IF(SUMPRODUCT(--($AL390:$AQ390&gt;AP390))+SUMPRODUCT(--($AL390:AO390=AP390))&lt;$AK390,1,0)</f>
        <v>81</v>
      </c>
      <c r="Q390" s="2" t="n">
        <f aca="false">AJ390+IF(SUMPRODUCT(--($AL390:$AQ390&gt;AQ390))+SUMPRODUCT(--($AL390:AP390=AQ390))&lt;$AK390,1,0)</f>
        <v>55</v>
      </c>
      <c r="R390" s="2" t="n">
        <f aca="false">SUM(L390:Q390)</f>
        <v>500</v>
      </c>
      <c r="S390" s="2" t="n">
        <f aca="false">Settings!$B$4*MAX(INDEX(Bases!$M$2:$M$53,B390),INDEX(Bases!$M$2:$M$53,C390))+Settings!$B$5*MIN(INDEX(Bases!$M$2:$M$53,B390),INDEX(Bases!$M$2:$M$53,C390))</f>
        <v>86.3333333333333</v>
      </c>
      <c r="T390" s="2" t="n">
        <f aca="false">Settings!$B$4*MAX(INDEX(Bases!$N$2:$N$53,B390),INDEX(Bases!$N$2:$N$53,C390))+Settings!$B$5*MIN(INDEX(Bases!$N$2:$N$53,B390),INDEX(Bases!$N$2:$N$53,C390))</f>
        <v>78.3333333333333</v>
      </c>
      <c r="U390" s="2" t="n">
        <f aca="false">Settings!$B$4*MAX(INDEX(Bases!$O$2:$O$53,B390),INDEX(Bases!$O$2:$O$53,C390))+Settings!$B$5*MIN(INDEX(Bases!$O$2:$O$53,B390),INDEX(Bases!$O$2:$O$53,C390))</f>
        <v>67.6666666666667</v>
      </c>
      <c r="V390" s="2" t="n">
        <f aca="false">Settings!$B$4*MAX(INDEX(Bases!$P$2:$P$53,B390),INDEX(Bases!$P$2:$P$53,C390))+Settings!$B$5*MIN(INDEX(Bases!$P$2:$P$53,B390),INDEX(Bases!$P$2:$P$53,C390))</f>
        <v>72</v>
      </c>
      <c r="W390" s="2" t="n">
        <f aca="false">Settings!$B$4*MAX(INDEX(Bases!$Q$2:$Q$53,B390),INDEX(Bases!$Q$2:$Q$53,C390))+Settings!$B$5*MIN(INDEX(Bases!$Q$2:$Q$53,B390),INDEX(Bases!$Q$2:$Q$53,C390))</f>
        <v>67.3333333333333</v>
      </c>
      <c r="X390" s="2" t="n">
        <f aca="false">Settings!$B$4*MAX(INDEX(Bases!$R$2:$R$53,B390),INDEX(Bases!$R$2:$R$53,C390))+Settings!$B$5*MIN(INDEX(Bases!$R$2:$R$53,B390),INDEX(Bases!$R$2:$R$53,C390))</f>
        <v>46</v>
      </c>
      <c r="Y390" s="2" t="n">
        <f aca="false">S390*Settings!$B$3/SUM(S390:X390)</f>
        <v>103.351955307263</v>
      </c>
      <c r="Z390" s="2" t="n">
        <f aca="false">T390*Settings!$B$3/SUM(S390:X390)</f>
        <v>93.7749401436552</v>
      </c>
      <c r="AA390" s="2" t="n">
        <f aca="false">U390*Settings!$B$3/SUM(S390:X390)</f>
        <v>81.0055865921788</v>
      </c>
      <c r="AB390" s="2" t="n">
        <f aca="false">V390*Settings!$B$3/SUM(S390:X390)</f>
        <v>86.1931364724661</v>
      </c>
      <c r="AC390" s="2" t="n">
        <f aca="false">W390*Settings!$B$3/SUM(S390:X390)</f>
        <v>80.6065442936951</v>
      </c>
      <c r="AD390" s="2" t="n">
        <f aca="false">X390*Settings!$B$3/SUM(S390:X390)</f>
        <v>55.0678371907422</v>
      </c>
      <c r="AE390" s="2" t="n">
        <f aca="false">INT(Y390)</f>
        <v>103</v>
      </c>
      <c r="AF390" s="2" t="n">
        <f aca="false">INT(Z390)</f>
        <v>93</v>
      </c>
      <c r="AG390" s="2" t="n">
        <f aca="false">INT(AA390)</f>
        <v>81</v>
      </c>
      <c r="AH390" s="2" t="n">
        <f aca="false">INT(AB390)</f>
        <v>86</v>
      </c>
      <c r="AI390" s="2" t="n">
        <f aca="false">INT(AC390)</f>
        <v>80</v>
      </c>
      <c r="AJ390" s="2" t="n">
        <f aca="false">INT(AD390)</f>
        <v>55</v>
      </c>
      <c r="AK390" s="2" t="n">
        <f aca="false">Settings!$B$3-SUM(AE390:AJ390)</f>
        <v>2</v>
      </c>
      <c r="AL390" s="2" t="n">
        <f aca="false">ROUND(Y390-AE390,9)</f>
        <v>0.351955307</v>
      </c>
      <c r="AM390" s="2" t="n">
        <f aca="false">ROUND(Z390-AF390,9)</f>
        <v>0.774940144</v>
      </c>
      <c r="AN390" s="2" t="n">
        <f aca="false">ROUND(AA390-AG390,9)</f>
        <v>0.005586592</v>
      </c>
      <c r="AO390" s="2" t="n">
        <f aca="false">ROUND(AB390-AH390,9)</f>
        <v>0.193136472</v>
      </c>
      <c r="AP390" s="2" t="n">
        <f aca="false">ROUND(AC390-AI390,9)</f>
        <v>0.606544294</v>
      </c>
      <c r="AQ390" s="2" t="n">
        <f aca="false">ROUND(AD390-AJ390,9)</f>
        <v>0.067837191</v>
      </c>
    </row>
    <row r="391" customFormat="false" ht="15" hidden="false" customHeight="false" outlineLevel="0" collapsed="false">
      <c r="A391" s="2" t="n">
        <v>390</v>
      </c>
      <c r="B391" s="6" t="n">
        <v>9</v>
      </c>
      <c r="C391" s="6" t="n">
        <v>19</v>
      </c>
      <c r="D391" s="8" t="str">
        <f aca="false">INDEX(Bases!$B$2:$B$53,B391)</f>
        <v>Mudkip</v>
      </c>
      <c r="E391" s="8" t="str">
        <f aca="false">INDEX(Bases!$B$2:$B$53,C391)</f>
        <v>Mankey</v>
      </c>
      <c r="F391" s="2" t="str">
        <f aca="false">LEFT(D391,ROUNDUP(LEN(D391)/2,0))&amp;LOWER(MID(E391,ROUNDUP(LEN(E391)/2,0)+1,20))</f>
        <v>Mudkey</v>
      </c>
      <c r="G391" s="8" t="str">
        <f aca="false">INDEX(Bases!$C$2:$C$53,B391)</f>
        <v>Water</v>
      </c>
      <c r="H391" s="8" t="str">
        <f aca="false">IF(INDEX(Bases!$C$2:$C$53,C391)=G391,"",INDEX(Bases!$C$2:$C$53,C391))</f>
        <v>Fighting</v>
      </c>
      <c r="I391" s="8" t="str">
        <f aca="false">IF(INDEX(Bases!$E$2:$E$53,B391)="","",INDEX(Bases!$E$2:$E$53,B391))</f>
        <v/>
      </c>
      <c r="J391" s="8" t="str">
        <f aca="false">IF(INDEX(Bases!$E$2:$E$53,C391)="","",INDEX(Bases!$E$2:$E$53,C391))</f>
        <v/>
      </c>
      <c r="K391" s="5"/>
      <c r="L391" s="2" t="n">
        <f aca="false">AE391+IF(SUMPRODUCT(--($AL391:$AQ391&gt;AL391))&lt;$AK391,1,0)</f>
        <v>73</v>
      </c>
      <c r="M391" s="2" t="n">
        <f aca="false">AF391+IF(SUMPRODUCT(--($AL391:$AQ391&gt;AM391))+SUMPRODUCT(--($AL391:AL391=AM391))&lt;$AK391,1,0)</f>
        <v>120</v>
      </c>
      <c r="N391" s="2" t="n">
        <f aca="false">AG391+IF(SUMPRODUCT(--($AL391:$AQ391&gt;AN391))+SUMPRODUCT(--($AL391:AM391=AN391))&lt;$AK391,1,0)</f>
        <v>70</v>
      </c>
      <c r="O391" s="2" t="n">
        <f aca="false">AH391+IF(SUMPRODUCT(--($AL391:$AQ391&gt;AO391))+SUMPRODUCT(--($AL391:AN391=AO391))&lt;$AK391,1,0)</f>
        <v>69</v>
      </c>
      <c r="P391" s="2" t="n">
        <f aca="false">AI391+IF(SUMPRODUCT(--($AL391:$AQ391&gt;AP391))+SUMPRODUCT(--($AL391:AO391=AP391))&lt;$AK391,1,0)</f>
        <v>74</v>
      </c>
      <c r="Q391" s="2" t="n">
        <f aca="false">AJ391+IF(SUMPRODUCT(--($AL391:$AQ391&gt;AQ391))+SUMPRODUCT(--($AL391:AP391=AQ391))&lt;$AK391,1,0)</f>
        <v>94</v>
      </c>
      <c r="R391" s="2" t="n">
        <f aca="false">SUM(L391:Q391)</f>
        <v>500</v>
      </c>
      <c r="S391" s="2" t="n">
        <f aca="false">Settings!$B$4*MAX(INDEX(Bases!$M$2:$M$53,B391),INDEX(Bases!$M$2:$M$53,C391))+Settings!$B$5*MIN(INDEX(Bases!$M$2:$M$53,B391),INDEX(Bases!$M$2:$M$53,C391))</f>
        <v>60.6666666666667</v>
      </c>
      <c r="T391" s="2" t="n">
        <f aca="false">Settings!$B$4*MAX(INDEX(Bases!$N$2:$N$53,B391),INDEX(Bases!$N$2:$N$53,C391))+Settings!$B$5*MIN(INDEX(Bases!$N$2:$N$53,B391),INDEX(Bases!$N$2:$N$53,C391))</f>
        <v>100</v>
      </c>
      <c r="U391" s="2" t="n">
        <f aca="false">Settings!$B$4*MAX(INDEX(Bases!$O$2:$O$53,B391),INDEX(Bases!$O$2:$O$53,C391))+Settings!$B$5*MIN(INDEX(Bases!$O$2:$O$53,B391),INDEX(Bases!$O$2:$O$53,C391))</f>
        <v>58.6666666666667</v>
      </c>
      <c r="V391" s="2" t="n">
        <f aca="false">Settings!$B$4*MAX(INDEX(Bases!$P$2:$P$53,B391),INDEX(Bases!$P$2:$P$53,C391))+Settings!$B$5*MIN(INDEX(Bases!$P$2:$P$53,B391),INDEX(Bases!$P$2:$P$53,C391))</f>
        <v>58</v>
      </c>
      <c r="W391" s="2" t="n">
        <f aca="false">Settings!$B$4*MAX(INDEX(Bases!$Q$2:$Q$53,B391),INDEX(Bases!$Q$2:$Q$53,C391))+Settings!$B$5*MIN(INDEX(Bases!$Q$2:$Q$53,B391),INDEX(Bases!$Q$2:$Q$53,C391))</f>
        <v>62.3333333333333</v>
      </c>
      <c r="X391" s="2" t="n">
        <f aca="false">Settings!$B$4*MAX(INDEX(Bases!$R$2:$R$53,B391),INDEX(Bases!$R$2:$R$53,C391))+Settings!$B$5*MIN(INDEX(Bases!$R$2:$R$53,B391),INDEX(Bases!$R$2:$R$53,C391))</f>
        <v>78.6666666666667</v>
      </c>
      <c r="Y391" s="2" t="n">
        <f aca="false">S391*Settings!$B$3/SUM(S391:X391)</f>
        <v>72.5099601593626</v>
      </c>
      <c r="Z391" s="2" t="n">
        <f aca="false">T391*Settings!$B$3/SUM(S391:X391)</f>
        <v>119.521912350598</v>
      </c>
      <c r="AA391" s="2" t="n">
        <f aca="false">U391*Settings!$B$3/SUM(S391:X391)</f>
        <v>70.1195219123506</v>
      </c>
      <c r="AB391" s="2" t="n">
        <f aca="false">V391*Settings!$B$3/SUM(S391:X391)</f>
        <v>69.3227091633466</v>
      </c>
      <c r="AC391" s="2" t="n">
        <f aca="false">W391*Settings!$B$3/SUM(S391:X391)</f>
        <v>74.5019920318725</v>
      </c>
      <c r="AD391" s="2" t="n">
        <f aca="false">X391*Settings!$B$3/SUM(S391:X391)</f>
        <v>94.0239043824701</v>
      </c>
      <c r="AE391" s="2" t="n">
        <f aca="false">INT(Y391)</f>
        <v>72</v>
      </c>
      <c r="AF391" s="2" t="n">
        <f aca="false">INT(Z391)</f>
        <v>119</v>
      </c>
      <c r="AG391" s="2" t="n">
        <f aca="false">INT(AA391)</f>
        <v>70</v>
      </c>
      <c r="AH391" s="2" t="n">
        <f aca="false">INT(AB391)</f>
        <v>69</v>
      </c>
      <c r="AI391" s="2" t="n">
        <f aca="false">INT(AC391)</f>
        <v>74</v>
      </c>
      <c r="AJ391" s="2" t="n">
        <f aca="false">INT(AD391)</f>
        <v>94</v>
      </c>
      <c r="AK391" s="2" t="n">
        <f aca="false">Settings!$B$3-SUM(AE391:AJ391)</f>
        <v>2</v>
      </c>
      <c r="AL391" s="2" t="n">
        <f aca="false">ROUND(Y391-AE391,9)</f>
        <v>0.509960159</v>
      </c>
      <c r="AM391" s="2" t="n">
        <f aca="false">ROUND(Z391-AF391,9)</f>
        <v>0.521912351</v>
      </c>
      <c r="AN391" s="2" t="n">
        <f aca="false">ROUND(AA391-AG391,9)</f>
        <v>0.119521912</v>
      </c>
      <c r="AO391" s="2" t="n">
        <f aca="false">ROUND(AB391-AH391,9)</f>
        <v>0.322709163</v>
      </c>
      <c r="AP391" s="2" t="n">
        <f aca="false">ROUND(AC391-AI391,9)</f>
        <v>0.501992032</v>
      </c>
      <c r="AQ391" s="2" t="n">
        <f aca="false">ROUND(AD391-AJ391,9)</f>
        <v>0.023904382</v>
      </c>
    </row>
    <row r="392" customFormat="false" ht="15" hidden="false" customHeight="false" outlineLevel="0" collapsed="false">
      <c r="A392" s="2" t="n">
        <v>391</v>
      </c>
      <c r="B392" s="6" t="n">
        <v>9</v>
      </c>
      <c r="C392" s="6" t="n">
        <v>20</v>
      </c>
      <c r="D392" s="8" t="str">
        <f aca="false">INDEX(Bases!$B$2:$B$53,B392)</f>
        <v>Mudkip</v>
      </c>
      <c r="E392" s="8" t="str">
        <f aca="false">INDEX(Bases!$B$2:$B$53,C392)</f>
        <v>Tyrogue</v>
      </c>
      <c r="F392" s="2" t="str">
        <f aca="false">LEFT(D392,ROUNDUP(LEN(D392)/2,0))&amp;LOWER(MID(E392,ROUNDUP(LEN(E392)/2,0)+1,20))</f>
        <v>Mudgue</v>
      </c>
      <c r="G392" s="8" t="str">
        <f aca="false">INDEX(Bases!$C$2:$C$53,B392)</f>
        <v>Water</v>
      </c>
      <c r="H392" s="8" t="str">
        <f aca="false">IF(INDEX(Bases!$C$2:$C$53,C392)=G392,"",INDEX(Bases!$C$2:$C$53,C392))</f>
        <v>Fighting</v>
      </c>
      <c r="I392" s="8" t="str">
        <f aca="false">IF(INDEX(Bases!$E$2:$E$53,B392)="","",INDEX(Bases!$E$2:$E$53,B392))</f>
        <v/>
      </c>
      <c r="J392" s="8" t="str">
        <f aca="false">IF(INDEX(Bases!$E$2:$E$53,C392)="","",INDEX(Bases!$E$2:$E$53,C392))</f>
        <v/>
      </c>
      <c r="K392" s="5"/>
      <c r="L392" s="2" t="n">
        <f aca="false">AE392+IF(SUMPRODUCT(--($AL392:$AQ392&gt;AL392))&lt;$AK392,1,0)</f>
        <v>82</v>
      </c>
      <c r="M392" s="2" t="n">
        <f aca="false">AF392+IF(SUMPRODUCT(--($AL392:$AQ392&gt;AM392))+SUMPRODUCT(--($AL392:AL392=AM392))&lt;$AK392,1,0)</f>
        <v>101</v>
      </c>
      <c r="N392" s="2" t="n">
        <f aca="false">AG392+IF(SUMPRODUCT(--($AL392:$AQ392&gt;AN392))+SUMPRODUCT(--($AL392:AM392=AN392))&lt;$AK392,1,0)</f>
        <v>81</v>
      </c>
      <c r="O392" s="2" t="n">
        <f aca="false">AH392+IF(SUMPRODUCT(--($AL392:$AQ392&gt;AO392))+SUMPRODUCT(--($AL392:AN392=AO392))&lt;$AK392,1,0)</f>
        <v>81</v>
      </c>
      <c r="P392" s="2" t="n">
        <f aca="false">AI392+IF(SUMPRODUCT(--($AL392:$AQ392&gt;AP392))+SUMPRODUCT(--($AL392:AO392=AP392))&lt;$AK392,1,0)</f>
        <v>80</v>
      </c>
      <c r="Q392" s="2" t="n">
        <f aca="false">AJ392+IF(SUMPRODUCT(--($AL392:$AQ392&gt;AQ392))+SUMPRODUCT(--($AL392:AP392=AQ392))&lt;$AK392,1,0)</f>
        <v>75</v>
      </c>
      <c r="R392" s="2" t="n">
        <f aca="false">SUM(L392:Q392)</f>
        <v>500</v>
      </c>
      <c r="S392" s="2" t="n">
        <f aca="false">Settings!$B$4*MAX(INDEX(Bases!$M$2:$M$53,B392),INDEX(Bases!$M$2:$M$53,C392))+Settings!$B$5*MIN(INDEX(Bases!$M$2:$M$53,B392),INDEX(Bases!$M$2:$M$53,C392))</f>
        <v>66.3333333333333</v>
      </c>
      <c r="T392" s="2" t="n">
        <f aca="false">Settings!$B$4*MAX(INDEX(Bases!$N$2:$N$53,B392),INDEX(Bases!$N$2:$N$53,C392))+Settings!$B$5*MIN(INDEX(Bases!$N$2:$N$53,B392),INDEX(Bases!$N$2:$N$53,C392))</f>
        <v>82.3333333333333</v>
      </c>
      <c r="U392" s="2" t="n">
        <f aca="false">Settings!$B$4*MAX(INDEX(Bases!$O$2:$O$53,B392),INDEX(Bases!$O$2:$O$53,C392))+Settings!$B$5*MIN(INDEX(Bases!$O$2:$O$53,B392),INDEX(Bases!$O$2:$O$53,C392))</f>
        <v>66.3333333333333</v>
      </c>
      <c r="V392" s="2" t="n">
        <f aca="false">Settings!$B$4*MAX(INDEX(Bases!$P$2:$P$53,B392),INDEX(Bases!$P$2:$P$53,C392))+Settings!$B$5*MIN(INDEX(Bases!$P$2:$P$53,B392),INDEX(Bases!$P$2:$P$53,C392))</f>
        <v>66</v>
      </c>
      <c r="W392" s="2" t="n">
        <f aca="false">Settings!$B$4*MAX(INDEX(Bases!$Q$2:$Q$53,B392),INDEX(Bases!$Q$2:$Q$53,C392))+Settings!$B$5*MIN(INDEX(Bases!$Q$2:$Q$53,B392),INDEX(Bases!$Q$2:$Q$53,C392))</f>
        <v>65.3333333333333</v>
      </c>
      <c r="X392" s="2" t="n">
        <f aca="false">Settings!$B$4*MAX(INDEX(Bases!$R$2:$R$53,B392),INDEX(Bases!$R$2:$R$53,C392))+Settings!$B$5*MIN(INDEX(Bases!$R$2:$R$53,B392),INDEX(Bases!$R$2:$R$53,C392))</f>
        <v>61.3333333333333</v>
      </c>
      <c r="Y392" s="2" t="n">
        <f aca="false">S392*Settings!$B$3/SUM(S392:X392)</f>
        <v>81.3573180703189</v>
      </c>
      <c r="Z392" s="2" t="n">
        <f aca="false">T392*Settings!$B$3/SUM(S392:X392)</f>
        <v>100.981193785773</v>
      </c>
      <c r="AA392" s="2" t="n">
        <f aca="false">U392*Settings!$B$3/SUM(S392:X392)</f>
        <v>81.3573180703189</v>
      </c>
      <c r="AB392" s="2" t="n">
        <f aca="false">V392*Settings!$B$3/SUM(S392:X392)</f>
        <v>80.9484873262469</v>
      </c>
      <c r="AC392" s="2" t="n">
        <f aca="false">W392*Settings!$B$3/SUM(S392:X392)</f>
        <v>80.130825838103</v>
      </c>
      <c r="AD392" s="2" t="n">
        <f aca="false">X392*Settings!$B$3/SUM(S392:X392)</f>
        <v>75.2248569092396</v>
      </c>
      <c r="AE392" s="2" t="n">
        <f aca="false">INT(Y392)</f>
        <v>81</v>
      </c>
      <c r="AF392" s="2" t="n">
        <f aca="false">INT(Z392)</f>
        <v>100</v>
      </c>
      <c r="AG392" s="2" t="n">
        <f aca="false">INT(AA392)</f>
        <v>81</v>
      </c>
      <c r="AH392" s="2" t="n">
        <f aca="false">INT(AB392)</f>
        <v>80</v>
      </c>
      <c r="AI392" s="2" t="n">
        <f aca="false">INT(AC392)</f>
        <v>80</v>
      </c>
      <c r="AJ392" s="2" t="n">
        <f aca="false">INT(AD392)</f>
        <v>75</v>
      </c>
      <c r="AK392" s="2" t="n">
        <f aca="false">Settings!$B$3-SUM(AE392:AJ392)</f>
        <v>3</v>
      </c>
      <c r="AL392" s="2" t="n">
        <f aca="false">ROUND(Y392-AE392,9)</f>
        <v>0.35731807</v>
      </c>
      <c r="AM392" s="2" t="n">
        <f aca="false">ROUND(Z392-AF392,9)</f>
        <v>0.981193786</v>
      </c>
      <c r="AN392" s="2" t="n">
        <f aca="false">ROUND(AA392-AG392,9)</f>
        <v>0.35731807</v>
      </c>
      <c r="AO392" s="2" t="n">
        <f aca="false">ROUND(AB392-AH392,9)</f>
        <v>0.948487326</v>
      </c>
      <c r="AP392" s="2" t="n">
        <f aca="false">ROUND(AC392-AI392,9)</f>
        <v>0.130825838</v>
      </c>
      <c r="AQ392" s="2" t="n">
        <f aca="false">ROUND(AD392-AJ392,9)</f>
        <v>0.224856909</v>
      </c>
    </row>
    <row r="393" customFormat="false" ht="15" hidden="false" customHeight="false" outlineLevel="0" collapsed="false">
      <c r="A393" s="2" t="n">
        <v>392</v>
      </c>
      <c r="B393" s="6" t="n">
        <v>9</v>
      </c>
      <c r="C393" s="6" t="n">
        <v>21</v>
      </c>
      <c r="D393" s="8" t="str">
        <f aca="false">INDEX(Bases!$B$2:$B$53,B393)</f>
        <v>Mudkip</v>
      </c>
      <c r="E393" s="8" t="str">
        <f aca="false">INDEX(Bases!$B$2:$B$53,C393)</f>
        <v>Makuhita</v>
      </c>
      <c r="F393" s="2" t="str">
        <f aca="false">LEFT(D393,ROUNDUP(LEN(D393)/2,0))&amp;LOWER(MID(E393,ROUNDUP(LEN(E393)/2,0)+1,20))</f>
        <v>Mudhita</v>
      </c>
      <c r="G393" s="8" t="str">
        <f aca="false">INDEX(Bases!$C$2:$C$53,B393)</f>
        <v>Water</v>
      </c>
      <c r="H393" s="8" t="str">
        <f aca="false">IF(INDEX(Bases!$C$2:$C$53,C393)=G393,"",INDEX(Bases!$C$2:$C$53,C393))</f>
        <v>Fighting</v>
      </c>
      <c r="I393" s="8" t="str">
        <f aca="false">IF(INDEX(Bases!$E$2:$E$53,B393)="","",INDEX(Bases!$E$2:$E$53,B393))</f>
        <v/>
      </c>
      <c r="J393" s="8" t="str">
        <f aca="false">IF(INDEX(Bases!$E$2:$E$53,C393)="","",INDEX(Bases!$E$2:$E$53,C393))</f>
        <v/>
      </c>
      <c r="K393" s="5"/>
      <c r="L393" s="2" t="n">
        <f aca="false">AE393+IF(SUMPRODUCT(--($AL393:$AQ393&gt;AL393))&lt;$AK393,1,0)</f>
        <v>121</v>
      </c>
      <c r="M393" s="2" t="n">
        <f aca="false">AF393+IF(SUMPRODUCT(--($AL393:$AQ393&gt;AM393))+SUMPRODUCT(--($AL393:AL393=AM393))&lt;$AK393,1,0)</f>
        <v>115</v>
      </c>
      <c r="N393" s="2" t="n">
        <f aca="false">AG393+IF(SUMPRODUCT(--($AL393:$AQ393&gt;AN393))+SUMPRODUCT(--($AL393:AM393=AN393))&lt;$AK393,1,0)</f>
        <v>71</v>
      </c>
      <c r="O393" s="2" t="n">
        <f aca="false">AH393+IF(SUMPRODUCT(--($AL393:$AQ393&gt;AO393))+SUMPRODUCT(--($AL393:AN393=AO393))&lt;$AK393,1,0)</f>
        <v>64</v>
      </c>
      <c r="P393" s="2" t="n">
        <f aca="false">AI393+IF(SUMPRODUCT(--($AL393:$AQ393&gt;AP393))+SUMPRODUCT(--($AL393:AO393=AP393))&lt;$AK393,1,0)</f>
        <v>71</v>
      </c>
      <c r="Q393" s="2" t="n">
        <f aca="false">AJ393+IF(SUMPRODUCT(--($AL393:$AQ393&gt;AQ393))+SUMPRODUCT(--($AL393:AP393=AQ393))&lt;$AK393,1,0)</f>
        <v>58</v>
      </c>
      <c r="R393" s="2" t="n">
        <f aca="false">SUM(L393:Q393)</f>
        <v>500</v>
      </c>
      <c r="S393" s="2" t="n">
        <f aca="false">Settings!$B$4*MAX(INDEX(Bases!$M$2:$M$53,B393),INDEX(Bases!$M$2:$M$53,C393))+Settings!$B$5*MIN(INDEX(Bases!$M$2:$M$53,B393),INDEX(Bases!$M$2:$M$53,C393))</f>
        <v>102.333333333333</v>
      </c>
      <c r="T393" s="2" t="n">
        <f aca="false">Settings!$B$4*MAX(INDEX(Bases!$N$2:$N$53,B393),INDEX(Bases!$N$2:$N$53,C393))+Settings!$B$5*MIN(INDEX(Bases!$N$2:$N$53,B393),INDEX(Bases!$N$2:$N$53,C393))</f>
        <v>97.3333333333333</v>
      </c>
      <c r="U393" s="2" t="n">
        <f aca="false">Settings!$B$4*MAX(INDEX(Bases!$O$2:$O$53,B393),INDEX(Bases!$O$2:$O$53,C393))+Settings!$B$5*MIN(INDEX(Bases!$O$2:$O$53,B393),INDEX(Bases!$O$2:$O$53,C393))</f>
        <v>60.3333333333333</v>
      </c>
      <c r="V393" s="2" t="n">
        <f aca="false">Settings!$B$4*MAX(INDEX(Bases!$P$2:$P$53,B393),INDEX(Bases!$P$2:$P$53,C393))+Settings!$B$5*MIN(INDEX(Bases!$P$2:$P$53,B393),INDEX(Bases!$P$2:$P$53,C393))</f>
        <v>54</v>
      </c>
      <c r="W393" s="2" t="n">
        <f aca="false">Settings!$B$4*MAX(INDEX(Bases!$Q$2:$Q$53,B393),INDEX(Bases!$Q$2:$Q$53,C393))+Settings!$B$5*MIN(INDEX(Bases!$Q$2:$Q$53,B393),INDEX(Bases!$Q$2:$Q$53,C393))</f>
        <v>59.6666666666667</v>
      </c>
      <c r="X393" s="2" t="n">
        <f aca="false">Settings!$B$4*MAX(INDEX(Bases!$R$2:$R$53,B393),INDEX(Bases!$R$2:$R$53,C393))+Settings!$B$5*MIN(INDEX(Bases!$R$2:$R$53,B393),INDEX(Bases!$R$2:$R$53,C393))</f>
        <v>48.6666666666667</v>
      </c>
      <c r="Y393" s="2" t="n">
        <f aca="false">S393*Settings!$B$3/SUM(S393:X393)</f>
        <v>121.152328334649</v>
      </c>
      <c r="Z393" s="2" t="n">
        <f aca="false">T393*Settings!$B$3/SUM(S393:X393)</f>
        <v>115.232833464878</v>
      </c>
      <c r="AA393" s="2" t="n">
        <f aca="false">U393*Settings!$B$3/SUM(S393:X393)</f>
        <v>71.4285714285714</v>
      </c>
      <c r="AB393" s="2" t="n">
        <f aca="false">V393*Settings!$B$3/SUM(S393:X393)</f>
        <v>63.930544593528</v>
      </c>
      <c r="AC393" s="2" t="n">
        <f aca="false">W393*Settings!$B$3/SUM(S393:X393)</f>
        <v>70.6393054459353</v>
      </c>
      <c r="AD393" s="2" t="n">
        <f aca="false">X393*Settings!$B$3/SUM(S393:X393)</f>
        <v>57.6164167324388</v>
      </c>
      <c r="AE393" s="2" t="n">
        <f aca="false">INT(Y393)</f>
        <v>121</v>
      </c>
      <c r="AF393" s="2" t="n">
        <f aca="false">INT(Z393)</f>
        <v>115</v>
      </c>
      <c r="AG393" s="2" t="n">
        <f aca="false">INT(AA393)</f>
        <v>71</v>
      </c>
      <c r="AH393" s="2" t="n">
        <f aca="false">INT(AB393)</f>
        <v>63</v>
      </c>
      <c r="AI393" s="2" t="n">
        <f aca="false">INT(AC393)</f>
        <v>70</v>
      </c>
      <c r="AJ393" s="2" t="n">
        <f aca="false">INT(AD393)</f>
        <v>57</v>
      </c>
      <c r="AK393" s="2" t="n">
        <f aca="false">Settings!$B$3-SUM(AE393:AJ393)</f>
        <v>3</v>
      </c>
      <c r="AL393" s="2" t="n">
        <f aca="false">ROUND(Y393-AE393,9)</f>
        <v>0.152328335</v>
      </c>
      <c r="AM393" s="2" t="n">
        <f aca="false">ROUND(Z393-AF393,9)</f>
        <v>0.232833465</v>
      </c>
      <c r="AN393" s="2" t="n">
        <f aca="false">ROUND(AA393-AG393,9)</f>
        <v>0.428571429</v>
      </c>
      <c r="AO393" s="2" t="n">
        <f aca="false">ROUND(AB393-AH393,9)</f>
        <v>0.930544594</v>
      </c>
      <c r="AP393" s="2" t="n">
        <f aca="false">ROUND(AC393-AI393,9)</f>
        <v>0.639305446</v>
      </c>
      <c r="AQ393" s="2" t="n">
        <f aca="false">ROUND(AD393-AJ393,9)</f>
        <v>0.616416732</v>
      </c>
    </row>
    <row r="394" customFormat="false" ht="15" hidden="false" customHeight="false" outlineLevel="0" collapsed="false">
      <c r="A394" s="2" t="n">
        <v>393</v>
      </c>
      <c r="B394" s="6" t="n">
        <v>9</v>
      </c>
      <c r="C394" s="6" t="n">
        <v>22</v>
      </c>
      <c r="D394" s="8" t="str">
        <f aca="false">INDEX(Bases!$B$2:$B$53,B394)</f>
        <v>Mudkip</v>
      </c>
      <c r="E394" s="8" t="str">
        <f aca="false">INDEX(Bases!$B$2:$B$53,C394)</f>
        <v>Ekans</v>
      </c>
      <c r="F394" s="2" t="str">
        <f aca="false">LEFT(D394,ROUNDUP(LEN(D394)/2,0))&amp;LOWER(MID(E394,ROUNDUP(LEN(E394)/2,0)+1,20))</f>
        <v>Mudns</v>
      </c>
      <c r="G394" s="8" t="str">
        <f aca="false">INDEX(Bases!$C$2:$C$53,B394)</f>
        <v>Water</v>
      </c>
      <c r="H394" s="8" t="str">
        <f aca="false">IF(INDEX(Bases!$C$2:$C$53,C394)=G394,"",INDEX(Bases!$C$2:$C$53,C394))</f>
        <v>Poison</v>
      </c>
      <c r="I394" s="8" t="str">
        <f aca="false">IF(INDEX(Bases!$E$2:$E$53,B394)="","",INDEX(Bases!$E$2:$E$53,B394))</f>
        <v/>
      </c>
      <c r="J394" s="8" t="str">
        <f aca="false">IF(INDEX(Bases!$E$2:$E$53,C394)="","",INDEX(Bases!$E$2:$E$53,C394))</f>
        <v/>
      </c>
      <c r="K394" s="5"/>
      <c r="L394" s="2" t="n">
        <f aca="false">AE394+IF(SUMPRODUCT(--($AL394:$AQ394&gt;AL394))&lt;$AK394,1,0)</f>
        <v>72</v>
      </c>
      <c r="M394" s="2" t="n">
        <f aca="false">AF394+IF(SUMPRODUCT(--($AL394:$AQ394&gt;AM394))+SUMPRODUCT(--($AL394:AL394=AM394))&lt;$AK394,1,0)</f>
        <v>106</v>
      </c>
      <c r="N394" s="2" t="n">
        <f aca="false">AG394+IF(SUMPRODUCT(--($AL394:$AQ394&gt;AN394))+SUMPRODUCT(--($AL394:AM394=AN394))&lt;$AK394,1,0)</f>
        <v>77</v>
      </c>
      <c r="O394" s="2" t="n">
        <f aca="false">AH394+IF(SUMPRODUCT(--($AL394:$AQ394&gt;AO394))+SUMPRODUCT(--($AL394:AN394=AO394))&lt;$AK394,1,0)</f>
        <v>75</v>
      </c>
      <c r="P394" s="2" t="n">
        <f aca="false">AI394+IF(SUMPRODUCT(--($AL394:$AQ394&gt;AP394))+SUMPRODUCT(--($AL394:AO394=AP394))&lt;$AK394,1,0)</f>
        <v>87</v>
      </c>
      <c r="Q394" s="2" t="n">
        <f aca="false">AJ394+IF(SUMPRODUCT(--($AL394:$AQ394&gt;AQ394))+SUMPRODUCT(--($AL394:AP394=AQ394))&lt;$AK394,1,0)</f>
        <v>83</v>
      </c>
      <c r="R394" s="2" t="n">
        <f aca="false">SUM(L394:Q394)</f>
        <v>500</v>
      </c>
      <c r="S394" s="2" t="n">
        <f aca="false">Settings!$B$4*MAX(INDEX(Bases!$M$2:$M$53,B394),INDEX(Bases!$M$2:$M$53,C394))+Settings!$B$5*MIN(INDEX(Bases!$M$2:$M$53,B394),INDEX(Bases!$M$2:$M$53,C394))</f>
        <v>59.6666666666667</v>
      </c>
      <c r="T394" s="2" t="n">
        <f aca="false">Settings!$B$4*MAX(INDEX(Bases!$N$2:$N$53,B394),INDEX(Bases!$N$2:$N$53,C394))+Settings!$B$5*MIN(INDEX(Bases!$N$2:$N$53,B394),INDEX(Bases!$N$2:$N$53,C394))</f>
        <v>87.6666666666667</v>
      </c>
      <c r="U394" s="2" t="n">
        <f aca="false">Settings!$B$4*MAX(INDEX(Bases!$O$2:$O$53,B394),INDEX(Bases!$O$2:$O$53,C394))+Settings!$B$5*MIN(INDEX(Bases!$O$2:$O$53,B394),INDEX(Bases!$O$2:$O$53,C394))</f>
        <v>63.6666666666667</v>
      </c>
      <c r="V394" s="2" t="n">
        <f aca="false">Settings!$B$4*MAX(INDEX(Bases!$P$2:$P$53,B394),INDEX(Bases!$P$2:$P$53,C394))+Settings!$B$5*MIN(INDEX(Bases!$P$2:$P$53,B394),INDEX(Bases!$P$2:$P$53,C394))</f>
        <v>61.3333333333333</v>
      </c>
      <c r="W394" s="2" t="n">
        <f aca="false">Settings!$B$4*MAX(INDEX(Bases!$Q$2:$Q$53,B394),INDEX(Bases!$Q$2:$Q$53,C394))+Settings!$B$5*MIN(INDEX(Bases!$Q$2:$Q$53,B394),INDEX(Bases!$Q$2:$Q$53,C394))</f>
        <v>71.3333333333333</v>
      </c>
      <c r="X394" s="2" t="n">
        <f aca="false">Settings!$B$4*MAX(INDEX(Bases!$R$2:$R$53,B394),INDEX(Bases!$R$2:$R$53,C394))+Settings!$B$5*MIN(INDEX(Bases!$R$2:$R$53,B394),INDEX(Bases!$R$2:$R$53,C394))</f>
        <v>68</v>
      </c>
      <c r="Y394" s="2" t="n">
        <f aca="false">S394*Settings!$B$3/SUM(S394:X394)</f>
        <v>72.4696356275304</v>
      </c>
      <c r="Z394" s="2" t="n">
        <f aca="false">T394*Settings!$B$3/SUM(S394:X394)</f>
        <v>106.477732793522</v>
      </c>
      <c r="AA394" s="2" t="n">
        <f aca="false">U394*Settings!$B$3/SUM(S394:X394)</f>
        <v>77.3279352226721</v>
      </c>
      <c r="AB394" s="2" t="n">
        <f aca="false">V394*Settings!$B$3/SUM(S394:X394)</f>
        <v>74.4939271255061</v>
      </c>
      <c r="AC394" s="2" t="n">
        <f aca="false">W394*Settings!$B$3/SUM(S394:X394)</f>
        <v>86.6396761133603</v>
      </c>
      <c r="AD394" s="2" t="n">
        <f aca="false">X394*Settings!$B$3/SUM(S394:X394)</f>
        <v>82.5910931174089</v>
      </c>
      <c r="AE394" s="2" t="n">
        <f aca="false">INT(Y394)</f>
        <v>72</v>
      </c>
      <c r="AF394" s="2" t="n">
        <f aca="false">INT(Z394)</f>
        <v>106</v>
      </c>
      <c r="AG394" s="2" t="n">
        <f aca="false">INT(AA394)</f>
        <v>77</v>
      </c>
      <c r="AH394" s="2" t="n">
        <f aca="false">INT(AB394)</f>
        <v>74</v>
      </c>
      <c r="AI394" s="2" t="n">
        <f aca="false">INT(AC394)</f>
        <v>86</v>
      </c>
      <c r="AJ394" s="2" t="n">
        <f aca="false">INT(AD394)</f>
        <v>82</v>
      </c>
      <c r="AK394" s="2" t="n">
        <f aca="false">Settings!$B$3-SUM(AE394:AJ394)</f>
        <v>3</v>
      </c>
      <c r="AL394" s="2" t="n">
        <f aca="false">ROUND(Y394-AE394,9)</f>
        <v>0.469635628</v>
      </c>
      <c r="AM394" s="2" t="n">
        <f aca="false">ROUND(Z394-AF394,9)</f>
        <v>0.477732794</v>
      </c>
      <c r="AN394" s="2" t="n">
        <f aca="false">ROUND(AA394-AG394,9)</f>
        <v>0.327935223</v>
      </c>
      <c r="AO394" s="2" t="n">
        <f aca="false">ROUND(AB394-AH394,9)</f>
        <v>0.493927126</v>
      </c>
      <c r="AP394" s="2" t="n">
        <f aca="false">ROUND(AC394-AI394,9)</f>
        <v>0.639676113</v>
      </c>
      <c r="AQ394" s="2" t="n">
        <f aca="false">ROUND(AD394-AJ394,9)</f>
        <v>0.591093117</v>
      </c>
    </row>
    <row r="395" customFormat="false" ht="15" hidden="false" customHeight="false" outlineLevel="0" collapsed="false">
      <c r="A395" s="2" t="n">
        <v>394</v>
      </c>
      <c r="B395" s="6" t="n">
        <v>9</v>
      </c>
      <c r="C395" s="6" t="n">
        <v>23</v>
      </c>
      <c r="D395" s="8" t="str">
        <f aca="false">INDEX(Bases!$B$2:$B$53,B395)</f>
        <v>Mudkip</v>
      </c>
      <c r="E395" s="8" t="str">
        <f aca="false">INDEX(Bases!$B$2:$B$53,C395)</f>
        <v>Gulpin</v>
      </c>
      <c r="F395" s="2" t="str">
        <f aca="false">LEFT(D395,ROUNDUP(LEN(D395)/2,0))&amp;LOWER(MID(E395,ROUNDUP(LEN(E395)/2,0)+1,20))</f>
        <v>Mudpin</v>
      </c>
      <c r="G395" s="8" t="str">
        <f aca="false">INDEX(Bases!$C$2:$C$53,B395)</f>
        <v>Water</v>
      </c>
      <c r="H395" s="8" t="str">
        <f aca="false">IF(INDEX(Bases!$C$2:$C$53,C395)=G395,"",INDEX(Bases!$C$2:$C$53,C395))</f>
        <v>Poison</v>
      </c>
      <c r="I395" s="8" t="str">
        <f aca="false">IF(INDEX(Bases!$E$2:$E$53,B395)="","",INDEX(Bases!$E$2:$E$53,B395))</f>
        <v/>
      </c>
      <c r="J395" s="8" t="str">
        <f aca="false">IF(INDEX(Bases!$E$2:$E$53,C395)="","",INDEX(Bases!$E$2:$E$53,C395))</f>
        <v/>
      </c>
      <c r="K395" s="5"/>
      <c r="L395" s="2" t="n">
        <f aca="false">AE395+IF(SUMPRODUCT(--($AL395:$AQ395&gt;AL395))&lt;$AK395,1,0)</f>
        <v>101</v>
      </c>
      <c r="M395" s="2" t="n">
        <f aca="false">AF395+IF(SUMPRODUCT(--($AL395:$AQ395&gt;AM395))+SUMPRODUCT(--($AL395:AL395=AM395))&lt;$AK395,1,0)</f>
        <v>95</v>
      </c>
      <c r="N395" s="2" t="n">
        <f aca="false">AG395+IF(SUMPRODUCT(--($AL395:$AQ395&gt;AN395))+SUMPRODUCT(--($AL395:AM395=AN395))&lt;$AK395,1,0)</f>
        <v>83</v>
      </c>
      <c r="O395" s="2" t="n">
        <f aca="false">AH395+IF(SUMPRODUCT(--($AL395:$AQ395&gt;AO395))+SUMPRODUCT(--($AL395:AN395=AO395))&lt;$AK395,1,0)</f>
        <v>75</v>
      </c>
      <c r="P395" s="2" t="n">
        <f aca="false">AI395+IF(SUMPRODUCT(--($AL395:$AQ395&gt;AP395))+SUMPRODUCT(--($AL395:AO395=AP395))&lt;$AK395,1,0)</f>
        <v>82</v>
      </c>
      <c r="Q395" s="2" t="n">
        <f aca="false">AJ395+IF(SUMPRODUCT(--($AL395:$AQ395&gt;AQ395))+SUMPRODUCT(--($AL395:AP395=AQ395))&lt;$AK395,1,0)</f>
        <v>64</v>
      </c>
      <c r="R395" s="2" t="n">
        <f aca="false">SUM(L395:Q395)</f>
        <v>500</v>
      </c>
      <c r="S395" s="2" t="n">
        <f aca="false">Settings!$B$4*MAX(INDEX(Bases!$M$2:$M$53,B395),INDEX(Bases!$M$2:$M$53,C395))+Settings!$B$5*MIN(INDEX(Bases!$M$2:$M$53,B395),INDEX(Bases!$M$2:$M$53,C395))</f>
        <v>83.6666666666667</v>
      </c>
      <c r="T395" s="2" t="n">
        <f aca="false">Settings!$B$4*MAX(INDEX(Bases!$N$2:$N$53,B395),INDEX(Bases!$N$2:$N$53,C395))+Settings!$B$5*MIN(INDEX(Bases!$N$2:$N$53,B395),INDEX(Bases!$N$2:$N$53,C395))</f>
        <v>79</v>
      </c>
      <c r="U395" s="2" t="n">
        <f aca="false">Settings!$B$4*MAX(INDEX(Bases!$O$2:$O$53,B395),INDEX(Bases!$O$2:$O$53,C395))+Settings!$B$5*MIN(INDEX(Bases!$O$2:$O$53,B395),INDEX(Bases!$O$2:$O$53,C395))</f>
        <v>68.3333333333333</v>
      </c>
      <c r="V395" s="2" t="n">
        <f aca="false">Settings!$B$4*MAX(INDEX(Bases!$P$2:$P$53,B395),INDEX(Bases!$P$2:$P$53,C395))+Settings!$B$5*MIN(INDEX(Bases!$P$2:$P$53,B395),INDEX(Bases!$P$2:$P$53,C395))</f>
        <v>61.6666666666667</v>
      </c>
      <c r="W395" s="2" t="n">
        <f aca="false">Settings!$B$4*MAX(INDEX(Bases!$Q$2:$Q$53,B395),INDEX(Bases!$Q$2:$Q$53,C395))+Settings!$B$5*MIN(INDEX(Bases!$Q$2:$Q$53,B395),INDEX(Bases!$Q$2:$Q$53,C395))</f>
        <v>68</v>
      </c>
      <c r="X395" s="2" t="n">
        <f aca="false">Settings!$B$4*MAX(INDEX(Bases!$R$2:$R$53,B395),INDEX(Bases!$R$2:$R$53,C395))+Settings!$B$5*MIN(INDEX(Bases!$R$2:$R$53,B395),INDEX(Bases!$R$2:$R$53,C395))</f>
        <v>52.6666666666667</v>
      </c>
      <c r="Y395" s="2" t="n">
        <f aca="false">S395*Settings!$B$3/SUM(S395:X395)</f>
        <v>101.209677419355</v>
      </c>
      <c r="Z395" s="2" t="n">
        <f aca="false">T395*Settings!$B$3/SUM(S395:X395)</f>
        <v>95.5645161290323</v>
      </c>
      <c r="AA395" s="2" t="n">
        <f aca="false">U395*Settings!$B$3/SUM(S395:X395)</f>
        <v>82.6612903225806</v>
      </c>
      <c r="AB395" s="2" t="n">
        <f aca="false">V395*Settings!$B$3/SUM(S395:X395)</f>
        <v>74.5967741935484</v>
      </c>
      <c r="AC395" s="2" t="n">
        <f aca="false">W395*Settings!$B$3/SUM(S395:X395)</f>
        <v>82.258064516129</v>
      </c>
      <c r="AD395" s="2" t="n">
        <f aca="false">X395*Settings!$B$3/SUM(S395:X395)</f>
        <v>63.7096774193548</v>
      </c>
      <c r="AE395" s="2" t="n">
        <f aca="false">INT(Y395)</f>
        <v>101</v>
      </c>
      <c r="AF395" s="2" t="n">
        <f aca="false">INT(Z395)</f>
        <v>95</v>
      </c>
      <c r="AG395" s="2" t="n">
        <f aca="false">INT(AA395)</f>
        <v>82</v>
      </c>
      <c r="AH395" s="2" t="n">
        <f aca="false">INT(AB395)</f>
        <v>74</v>
      </c>
      <c r="AI395" s="2" t="n">
        <f aca="false">INT(AC395)</f>
        <v>82</v>
      </c>
      <c r="AJ395" s="2" t="n">
        <f aca="false">INT(AD395)</f>
        <v>63</v>
      </c>
      <c r="AK395" s="2" t="n">
        <f aca="false">Settings!$B$3-SUM(AE395:AJ395)</f>
        <v>3</v>
      </c>
      <c r="AL395" s="2" t="n">
        <f aca="false">ROUND(Y395-AE395,9)</f>
        <v>0.209677419</v>
      </c>
      <c r="AM395" s="2" t="n">
        <f aca="false">ROUND(Z395-AF395,9)</f>
        <v>0.564516129</v>
      </c>
      <c r="AN395" s="2" t="n">
        <f aca="false">ROUND(AA395-AG395,9)</f>
        <v>0.661290323</v>
      </c>
      <c r="AO395" s="2" t="n">
        <f aca="false">ROUND(AB395-AH395,9)</f>
        <v>0.596774194</v>
      </c>
      <c r="AP395" s="2" t="n">
        <f aca="false">ROUND(AC395-AI395,9)</f>
        <v>0.258064516</v>
      </c>
      <c r="AQ395" s="2" t="n">
        <f aca="false">ROUND(AD395-AJ395,9)</f>
        <v>0.709677419</v>
      </c>
    </row>
    <row r="396" customFormat="false" ht="15" hidden="false" customHeight="false" outlineLevel="0" collapsed="false">
      <c r="A396" s="2" t="n">
        <v>395</v>
      </c>
      <c r="B396" s="6" t="n">
        <v>9</v>
      </c>
      <c r="C396" s="6" t="n">
        <v>24</v>
      </c>
      <c r="D396" s="8" t="str">
        <f aca="false">INDEX(Bases!$B$2:$B$53,B396)</f>
        <v>Mudkip</v>
      </c>
      <c r="E396" s="8" t="str">
        <f aca="false">INDEX(Bases!$B$2:$B$53,C396)</f>
        <v>Koffing</v>
      </c>
      <c r="F396" s="2" t="str">
        <f aca="false">LEFT(D396,ROUNDUP(LEN(D396)/2,0))&amp;LOWER(MID(E396,ROUNDUP(LEN(E396)/2,0)+1,20))</f>
        <v>Muding</v>
      </c>
      <c r="G396" s="8" t="str">
        <f aca="false">INDEX(Bases!$C$2:$C$53,B396)</f>
        <v>Water</v>
      </c>
      <c r="H396" s="8" t="str">
        <f aca="false">IF(INDEX(Bases!$C$2:$C$53,C396)=G396,"",INDEX(Bases!$C$2:$C$53,C396))</f>
        <v>Poison</v>
      </c>
      <c r="I396" s="8" t="str">
        <f aca="false">IF(INDEX(Bases!$E$2:$E$53,B396)="","",INDEX(Bases!$E$2:$E$53,B396))</f>
        <v/>
      </c>
      <c r="J396" s="8" t="str">
        <f aca="false">IF(INDEX(Bases!$E$2:$E$53,C396)="","",INDEX(Bases!$E$2:$E$53,C396))</f>
        <v/>
      </c>
      <c r="K396" s="5"/>
      <c r="L396" s="2" t="n">
        <f aca="false">AE396+IF(SUMPRODUCT(--($AL396:$AQ396&gt;AL396))&lt;$AK396,1,0)</f>
        <v>71</v>
      </c>
      <c r="M396" s="2" t="n">
        <f aca="false">AF396+IF(SUMPRODUCT(--($AL396:$AQ396&gt;AM396))+SUMPRODUCT(--($AL396:AL396=AM396))&lt;$AK396,1,0)</f>
        <v>102</v>
      </c>
      <c r="N396" s="2" t="n">
        <f aca="false">AG396+IF(SUMPRODUCT(--($AL396:$AQ396&gt;AN396))+SUMPRODUCT(--($AL396:AM396=AN396))&lt;$AK396,1,0)</f>
        <v>115</v>
      </c>
      <c r="O396" s="2" t="n">
        <f aca="false">AH396+IF(SUMPRODUCT(--($AL396:$AQ396&gt;AO396))+SUMPRODUCT(--($AL396:AN396=AO396))&lt;$AK396,1,0)</f>
        <v>82</v>
      </c>
      <c r="P396" s="2" t="n">
        <f aca="false">AI396+IF(SUMPRODUCT(--($AL396:$AQ396&gt;AP396))+SUMPRODUCT(--($AL396:AO396=AP396))&lt;$AK396,1,0)</f>
        <v>72</v>
      </c>
      <c r="Q396" s="2" t="n">
        <f aca="false">AJ396+IF(SUMPRODUCT(--($AL396:$AQ396&gt;AQ396))+SUMPRODUCT(--($AL396:AP396=AQ396))&lt;$AK396,1,0)</f>
        <v>58</v>
      </c>
      <c r="R396" s="2" t="n">
        <f aca="false">SUM(L396:Q396)</f>
        <v>500</v>
      </c>
      <c r="S396" s="2" t="n">
        <f aca="false">Settings!$B$4*MAX(INDEX(Bases!$M$2:$M$53,B396),INDEX(Bases!$M$2:$M$53,C396))+Settings!$B$5*MIN(INDEX(Bases!$M$2:$M$53,B396),INDEX(Bases!$M$2:$M$53,C396))</f>
        <v>59</v>
      </c>
      <c r="T396" s="2" t="n">
        <f aca="false">Settings!$B$4*MAX(INDEX(Bases!$N$2:$N$53,B396),INDEX(Bases!$N$2:$N$53,C396))+Settings!$B$5*MIN(INDEX(Bases!$N$2:$N$53,B396),INDEX(Bases!$N$2:$N$53,C396))</f>
        <v>85.3333333333333</v>
      </c>
      <c r="U396" s="2" t="n">
        <f aca="false">Settings!$B$4*MAX(INDEX(Bases!$O$2:$O$53,B396),INDEX(Bases!$O$2:$O$53,C396))+Settings!$B$5*MIN(INDEX(Bases!$O$2:$O$53,B396),INDEX(Bases!$O$2:$O$53,C396))</f>
        <v>96.3333333333333</v>
      </c>
      <c r="V396" s="2" t="n">
        <f aca="false">Settings!$B$4*MAX(INDEX(Bases!$P$2:$P$53,B396),INDEX(Bases!$P$2:$P$53,C396))+Settings!$B$5*MIN(INDEX(Bases!$P$2:$P$53,B396),INDEX(Bases!$P$2:$P$53,C396))</f>
        <v>68.6666666666667</v>
      </c>
      <c r="W396" s="2" t="n">
        <f aca="false">Settings!$B$4*MAX(INDEX(Bases!$Q$2:$Q$53,B396),INDEX(Bases!$Q$2:$Q$53,C396))+Settings!$B$5*MIN(INDEX(Bases!$Q$2:$Q$53,B396),INDEX(Bases!$Q$2:$Q$53,C396))</f>
        <v>60.3333333333333</v>
      </c>
      <c r="X396" s="2" t="n">
        <f aca="false">Settings!$B$4*MAX(INDEX(Bases!$R$2:$R$53,B396),INDEX(Bases!$R$2:$R$53,C396))+Settings!$B$5*MIN(INDEX(Bases!$R$2:$R$53,B396),INDEX(Bases!$R$2:$R$53,C396))</f>
        <v>48.3333333333333</v>
      </c>
      <c r="Y396" s="2" t="n">
        <f aca="false">S396*Settings!$B$3/SUM(S396:X396)</f>
        <v>70.5741626794259</v>
      </c>
      <c r="Z396" s="2" t="n">
        <f aca="false">T396*Settings!$B$3/SUM(S396:X396)</f>
        <v>102.07336523126</v>
      </c>
      <c r="AA396" s="2" t="n">
        <f aca="false">U396*Settings!$B$3/SUM(S396:X396)</f>
        <v>115.231259968102</v>
      </c>
      <c r="AB396" s="2" t="n">
        <f aca="false">V396*Settings!$B$3/SUM(S396:X396)</f>
        <v>82.1371610845295</v>
      </c>
      <c r="AC396" s="2" t="n">
        <f aca="false">W396*Settings!$B$3/SUM(S396:X396)</f>
        <v>72.1690590111643</v>
      </c>
      <c r="AD396" s="2" t="n">
        <f aca="false">X396*Settings!$B$3/SUM(S396:X396)</f>
        <v>57.8149920255183</v>
      </c>
      <c r="AE396" s="2" t="n">
        <f aca="false">INT(Y396)</f>
        <v>70</v>
      </c>
      <c r="AF396" s="2" t="n">
        <f aca="false">INT(Z396)</f>
        <v>102</v>
      </c>
      <c r="AG396" s="2" t="n">
        <f aca="false">INT(AA396)</f>
        <v>115</v>
      </c>
      <c r="AH396" s="2" t="n">
        <f aca="false">INT(AB396)</f>
        <v>82</v>
      </c>
      <c r="AI396" s="2" t="n">
        <f aca="false">INT(AC396)</f>
        <v>72</v>
      </c>
      <c r="AJ396" s="2" t="n">
        <f aca="false">INT(AD396)</f>
        <v>57</v>
      </c>
      <c r="AK396" s="2" t="n">
        <f aca="false">Settings!$B$3-SUM(AE396:AJ396)</f>
        <v>2</v>
      </c>
      <c r="AL396" s="2" t="n">
        <f aca="false">ROUND(Y396-AE396,9)</f>
        <v>0.574162679</v>
      </c>
      <c r="AM396" s="2" t="n">
        <f aca="false">ROUND(Z396-AF396,9)</f>
        <v>0.073365231</v>
      </c>
      <c r="AN396" s="2" t="n">
        <f aca="false">ROUND(AA396-AG396,9)</f>
        <v>0.231259968</v>
      </c>
      <c r="AO396" s="2" t="n">
        <f aca="false">ROUND(AB396-AH396,9)</f>
        <v>0.137161085</v>
      </c>
      <c r="AP396" s="2" t="n">
        <f aca="false">ROUND(AC396-AI396,9)</f>
        <v>0.169059011</v>
      </c>
      <c r="AQ396" s="2" t="n">
        <f aca="false">ROUND(AD396-AJ396,9)</f>
        <v>0.814992026</v>
      </c>
    </row>
    <row r="397" customFormat="false" ht="15" hidden="false" customHeight="false" outlineLevel="0" collapsed="false">
      <c r="A397" s="2" t="n">
        <v>396</v>
      </c>
      <c r="B397" s="6" t="n">
        <v>9</v>
      </c>
      <c r="C397" s="6" t="n">
        <v>25</v>
      </c>
      <c r="D397" s="8" t="str">
        <f aca="false">INDEX(Bases!$B$2:$B$53,B397)</f>
        <v>Mudkip</v>
      </c>
      <c r="E397" s="8" t="str">
        <f aca="false">INDEX(Bases!$B$2:$B$53,C397)</f>
        <v>Sandshrew</v>
      </c>
      <c r="F397" s="2" t="str">
        <f aca="false">LEFT(D397,ROUNDUP(LEN(D397)/2,0))&amp;LOWER(MID(E397,ROUNDUP(LEN(E397)/2,0)+1,20))</f>
        <v>Mudhrew</v>
      </c>
      <c r="G397" s="8" t="str">
        <f aca="false">INDEX(Bases!$C$2:$C$53,B397)</f>
        <v>Water</v>
      </c>
      <c r="H397" s="8" t="str">
        <f aca="false">IF(INDEX(Bases!$C$2:$C$53,C397)=G397,"",INDEX(Bases!$C$2:$C$53,C397))</f>
        <v>Ground</v>
      </c>
      <c r="I397" s="8" t="str">
        <f aca="false">IF(INDEX(Bases!$E$2:$E$53,B397)="","",INDEX(Bases!$E$2:$E$53,B397))</f>
        <v/>
      </c>
      <c r="J397" s="8" t="str">
        <f aca="false">IF(INDEX(Bases!$E$2:$E$53,C397)="","",INDEX(Bases!$E$2:$E$53,C397))</f>
        <v/>
      </c>
      <c r="K397" s="5"/>
      <c r="L397" s="2" t="n">
        <f aca="false">AE397+IF(SUMPRODUCT(--($AL397:$AQ397&gt;AL397))&lt;$AK397,1,0)</f>
        <v>79</v>
      </c>
      <c r="M397" s="2" t="n">
        <f aca="false">AF397+IF(SUMPRODUCT(--($AL397:$AQ397&gt;AM397))+SUMPRODUCT(--($AL397:AL397=AM397))&lt;$AK397,1,0)</f>
        <v>115</v>
      </c>
      <c r="N397" s="2" t="n">
        <f aca="false">AG397+IF(SUMPRODUCT(--($AL397:$AQ397&gt;AN397))+SUMPRODUCT(--($AL397:AM397=AN397))&lt;$AK397,1,0)</f>
        <v>115</v>
      </c>
      <c r="O397" s="2" t="n">
        <f aca="false">AH397+IF(SUMPRODUCT(--($AL397:$AQ397&gt;AO397))+SUMPRODUCT(--($AL397:AN397=AO397))&lt;$AK397,1,0)</f>
        <v>61</v>
      </c>
      <c r="P397" s="2" t="n">
        <f aca="false">AI397+IF(SUMPRODUCT(--($AL397:$AQ397&gt;AP397))+SUMPRODUCT(--($AL397:AO397=AP397))&lt;$AK397,1,0)</f>
        <v>67</v>
      </c>
      <c r="Q397" s="2" t="n">
        <f aca="false">AJ397+IF(SUMPRODUCT(--($AL397:$AQ397&gt;AQ397))+SUMPRODUCT(--($AL397:AP397=AQ397))&lt;$AK397,1,0)</f>
        <v>63</v>
      </c>
      <c r="R397" s="2" t="n">
        <f aca="false">SUM(L397:Q397)</f>
        <v>500</v>
      </c>
      <c r="S397" s="2" t="n">
        <f aca="false">Settings!$B$4*MAX(INDEX(Bases!$M$2:$M$53,B397),INDEX(Bases!$M$2:$M$53,C397))+Settings!$B$5*MIN(INDEX(Bases!$M$2:$M$53,B397),INDEX(Bases!$M$2:$M$53,C397))</f>
        <v>66.3333333333333</v>
      </c>
      <c r="T397" s="2" t="n">
        <f aca="false">Settings!$B$4*MAX(INDEX(Bases!$N$2:$N$53,B397),INDEX(Bases!$N$2:$N$53,C397))+Settings!$B$5*MIN(INDEX(Bases!$N$2:$N$53,B397),INDEX(Bases!$N$2:$N$53,C397))</f>
        <v>96.6666666666667</v>
      </c>
      <c r="U397" s="2" t="n">
        <f aca="false">Settings!$B$4*MAX(INDEX(Bases!$O$2:$O$53,B397),INDEX(Bases!$O$2:$O$53,C397))+Settings!$B$5*MIN(INDEX(Bases!$O$2:$O$53,B397),INDEX(Bases!$O$2:$O$53,C397))</f>
        <v>97</v>
      </c>
      <c r="V397" s="2" t="n">
        <f aca="false">Settings!$B$4*MAX(INDEX(Bases!$P$2:$P$53,B397),INDEX(Bases!$P$2:$P$53,C397))+Settings!$B$5*MIN(INDEX(Bases!$P$2:$P$53,B397),INDEX(Bases!$P$2:$P$53,C397))</f>
        <v>51.6666666666667</v>
      </c>
      <c r="W397" s="2" t="n">
        <f aca="false">Settings!$B$4*MAX(INDEX(Bases!$Q$2:$Q$53,B397),INDEX(Bases!$Q$2:$Q$53,C397))+Settings!$B$5*MIN(INDEX(Bases!$Q$2:$Q$53,B397),INDEX(Bases!$Q$2:$Q$53,C397))</f>
        <v>56</v>
      </c>
      <c r="X397" s="2" t="n">
        <f aca="false">Settings!$B$4*MAX(INDEX(Bases!$R$2:$R$53,B397),INDEX(Bases!$R$2:$R$53,C397))+Settings!$B$5*MIN(INDEX(Bases!$R$2:$R$53,B397),INDEX(Bases!$R$2:$R$53,C397))</f>
        <v>52.6666666666667</v>
      </c>
      <c r="Y397" s="2" t="n">
        <f aca="false">S397*Settings!$B$3/SUM(S397:X397)</f>
        <v>78.9056304520222</v>
      </c>
      <c r="Z397" s="2" t="n">
        <f aca="false">T397*Settings!$B$3/SUM(S397:X397)</f>
        <v>114.988104678826</v>
      </c>
      <c r="AA397" s="2" t="n">
        <f aca="false">U397*Settings!$B$3/SUM(S397:X397)</f>
        <v>115.384615384615</v>
      </c>
      <c r="AB397" s="2" t="n">
        <f aca="false">V397*Settings!$B$3/SUM(S397:X397)</f>
        <v>61.4591593973037</v>
      </c>
      <c r="AC397" s="2" t="n">
        <f aca="false">W397*Settings!$B$3/SUM(S397:X397)</f>
        <v>66.6137985725615</v>
      </c>
      <c r="AD397" s="2" t="n">
        <f aca="false">X397*Settings!$B$3/SUM(S397:X397)</f>
        <v>62.6486915146709</v>
      </c>
      <c r="AE397" s="2" t="n">
        <f aca="false">INT(Y397)</f>
        <v>78</v>
      </c>
      <c r="AF397" s="2" t="n">
        <f aca="false">INT(Z397)</f>
        <v>114</v>
      </c>
      <c r="AG397" s="2" t="n">
        <f aca="false">INT(AA397)</f>
        <v>115</v>
      </c>
      <c r="AH397" s="2" t="n">
        <f aca="false">INT(AB397)</f>
        <v>61</v>
      </c>
      <c r="AI397" s="2" t="n">
        <f aca="false">INT(AC397)</f>
        <v>66</v>
      </c>
      <c r="AJ397" s="2" t="n">
        <f aca="false">INT(AD397)</f>
        <v>62</v>
      </c>
      <c r="AK397" s="2" t="n">
        <f aca="false">Settings!$B$3-SUM(AE397:AJ397)</f>
        <v>4</v>
      </c>
      <c r="AL397" s="2" t="n">
        <f aca="false">ROUND(Y397-AE397,9)</f>
        <v>0.905630452</v>
      </c>
      <c r="AM397" s="2" t="n">
        <f aca="false">ROUND(Z397-AF397,9)</f>
        <v>0.988104679</v>
      </c>
      <c r="AN397" s="2" t="n">
        <f aca="false">ROUND(AA397-AG397,9)</f>
        <v>0.384615385</v>
      </c>
      <c r="AO397" s="2" t="n">
        <f aca="false">ROUND(AB397-AH397,9)</f>
        <v>0.459159397</v>
      </c>
      <c r="AP397" s="2" t="n">
        <f aca="false">ROUND(AC397-AI397,9)</f>
        <v>0.613798573</v>
      </c>
      <c r="AQ397" s="2" t="n">
        <f aca="false">ROUND(AD397-AJ397,9)</f>
        <v>0.648691515</v>
      </c>
    </row>
    <row r="398" customFormat="false" ht="15" hidden="false" customHeight="false" outlineLevel="0" collapsed="false">
      <c r="A398" s="2" t="n">
        <v>397</v>
      </c>
      <c r="B398" s="6" t="n">
        <v>9</v>
      </c>
      <c r="C398" s="6" t="n">
        <v>26</v>
      </c>
      <c r="D398" s="8" t="str">
        <f aca="false">INDEX(Bases!$B$2:$B$53,B398)</f>
        <v>Mudkip</v>
      </c>
      <c r="E398" s="8" t="str">
        <f aca="false">INDEX(Bases!$B$2:$B$53,C398)</f>
        <v>Phanpy</v>
      </c>
      <c r="F398" s="2" t="str">
        <f aca="false">LEFT(D398,ROUNDUP(LEN(D398)/2,0))&amp;LOWER(MID(E398,ROUNDUP(LEN(E398)/2,0)+1,20))</f>
        <v>Mudnpy</v>
      </c>
      <c r="G398" s="8" t="str">
        <f aca="false">INDEX(Bases!$C$2:$C$53,B398)</f>
        <v>Water</v>
      </c>
      <c r="H398" s="8" t="str">
        <f aca="false">IF(INDEX(Bases!$C$2:$C$53,C398)=G398,"",INDEX(Bases!$C$2:$C$53,C398))</f>
        <v>Ground</v>
      </c>
      <c r="I398" s="8" t="str">
        <f aca="false">IF(INDEX(Bases!$E$2:$E$53,B398)="","",INDEX(Bases!$E$2:$E$53,B398))</f>
        <v/>
      </c>
      <c r="J398" s="8" t="str">
        <f aca="false">IF(INDEX(Bases!$E$2:$E$53,C398)="","",INDEX(Bases!$E$2:$E$53,C398))</f>
        <v/>
      </c>
      <c r="K398" s="5"/>
      <c r="L398" s="2" t="n">
        <f aca="false">AE398+IF(SUMPRODUCT(--($AL398:$AQ398&gt;AL398))&lt;$AK398,1,0)</f>
        <v>113</v>
      </c>
      <c r="M398" s="2" t="n">
        <f aca="false">AF398+IF(SUMPRODUCT(--($AL398:$AQ398&gt;AM398))+SUMPRODUCT(--($AL398:AL398=AM398))&lt;$AK398,1,0)</f>
        <v>101</v>
      </c>
      <c r="N398" s="2" t="n">
        <f aca="false">AG398+IF(SUMPRODUCT(--($AL398:$AQ398&gt;AN398))+SUMPRODUCT(--($AL398:AM398=AN398))&lt;$AK398,1,0)</f>
        <v>84</v>
      </c>
      <c r="O398" s="2" t="n">
        <f aca="false">AH398+IF(SUMPRODUCT(--($AL398:$AQ398&gt;AO398))+SUMPRODUCT(--($AL398:AN398=AO398))&lt;$AK398,1,0)</f>
        <v>71</v>
      </c>
      <c r="P398" s="2" t="n">
        <f aca="false">AI398+IF(SUMPRODUCT(--($AL398:$AQ398&gt;AP398))+SUMPRODUCT(--($AL398:AO398=AP398))&lt;$AK398,1,0)</f>
        <v>70</v>
      </c>
      <c r="Q398" s="2" t="n">
        <f aca="false">AJ398+IF(SUMPRODUCT(--($AL398:$AQ398&gt;AQ398))+SUMPRODUCT(--($AL398:AP398=AQ398))&lt;$AK398,1,0)</f>
        <v>61</v>
      </c>
      <c r="R398" s="2" t="n">
        <f aca="false">SUM(L398:Q398)</f>
        <v>500</v>
      </c>
      <c r="S398" s="2" t="n">
        <f aca="false">Settings!$B$4*MAX(INDEX(Bases!$M$2:$M$53,B398),INDEX(Bases!$M$2:$M$53,C398))+Settings!$B$5*MIN(INDEX(Bases!$M$2:$M$53,B398),INDEX(Bases!$M$2:$M$53,C398))</f>
        <v>94.3333333333333</v>
      </c>
      <c r="T398" s="2" t="n">
        <f aca="false">Settings!$B$4*MAX(INDEX(Bases!$N$2:$N$53,B398),INDEX(Bases!$N$2:$N$53,C398))+Settings!$B$5*MIN(INDEX(Bases!$N$2:$N$53,B398),INDEX(Bases!$N$2:$N$53,C398))</f>
        <v>84.3333333333333</v>
      </c>
      <c r="U398" s="2" t="n">
        <f aca="false">Settings!$B$4*MAX(INDEX(Bases!$O$2:$O$53,B398),INDEX(Bases!$O$2:$O$53,C398))+Settings!$B$5*MIN(INDEX(Bases!$O$2:$O$53,B398),INDEX(Bases!$O$2:$O$53,C398))</f>
        <v>70.3333333333333</v>
      </c>
      <c r="V398" s="2" t="n">
        <f aca="false">Settings!$B$4*MAX(INDEX(Bases!$P$2:$P$53,B398),INDEX(Bases!$P$2:$P$53,C398))+Settings!$B$5*MIN(INDEX(Bases!$P$2:$P$53,B398),INDEX(Bases!$P$2:$P$53,C398))</f>
        <v>59</v>
      </c>
      <c r="W398" s="2" t="n">
        <f aca="false">Settings!$B$4*MAX(INDEX(Bases!$Q$2:$Q$53,B398),INDEX(Bases!$Q$2:$Q$53,C398))+Settings!$B$5*MIN(INDEX(Bases!$Q$2:$Q$53,B398),INDEX(Bases!$Q$2:$Q$53,C398))</f>
        <v>58.6666666666667</v>
      </c>
      <c r="X398" s="2" t="n">
        <f aca="false">Settings!$B$4*MAX(INDEX(Bases!$R$2:$R$53,B398),INDEX(Bases!$R$2:$R$53,C398))+Settings!$B$5*MIN(INDEX(Bases!$R$2:$R$53,B398),INDEX(Bases!$R$2:$R$53,C398))</f>
        <v>50.6666666666667</v>
      </c>
      <c r="Y398" s="2" t="n">
        <f aca="false">S398*Settings!$B$3/SUM(S398:X398)</f>
        <v>113.019169329073</v>
      </c>
      <c r="Z398" s="2" t="n">
        <f aca="false">T398*Settings!$B$3/SUM(S398:X398)</f>
        <v>101.038338658147</v>
      </c>
      <c r="AA398" s="2" t="n">
        <f aca="false">U398*Settings!$B$3/SUM(S398:X398)</f>
        <v>84.2651757188498</v>
      </c>
      <c r="AB398" s="2" t="n">
        <f aca="false">V398*Settings!$B$3/SUM(S398:X398)</f>
        <v>70.6869009584665</v>
      </c>
      <c r="AC398" s="2" t="n">
        <f aca="false">W398*Settings!$B$3/SUM(S398:X398)</f>
        <v>70.2875399361022</v>
      </c>
      <c r="AD398" s="2" t="n">
        <f aca="false">X398*Settings!$B$3/SUM(S398:X398)</f>
        <v>60.702875399361</v>
      </c>
      <c r="AE398" s="2" t="n">
        <f aca="false">INT(Y398)</f>
        <v>113</v>
      </c>
      <c r="AF398" s="2" t="n">
        <f aca="false">INT(Z398)</f>
        <v>101</v>
      </c>
      <c r="AG398" s="2" t="n">
        <f aca="false">INT(AA398)</f>
        <v>84</v>
      </c>
      <c r="AH398" s="2" t="n">
        <f aca="false">INT(AB398)</f>
        <v>70</v>
      </c>
      <c r="AI398" s="2" t="n">
        <f aca="false">INT(AC398)</f>
        <v>70</v>
      </c>
      <c r="AJ398" s="2" t="n">
        <f aca="false">INT(AD398)</f>
        <v>60</v>
      </c>
      <c r="AK398" s="2" t="n">
        <f aca="false">Settings!$B$3-SUM(AE398:AJ398)</f>
        <v>2</v>
      </c>
      <c r="AL398" s="2" t="n">
        <f aca="false">ROUND(Y398-AE398,9)</f>
        <v>0.019169329</v>
      </c>
      <c r="AM398" s="2" t="n">
        <f aca="false">ROUND(Z398-AF398,9)</f>
        <v>0.038338658</v>
      </c>
      <c r="AN398" s="2" t="n">
        <f aca="false">ROUND(AA398-AG398,9)</f>
        <v>0.265175719</v>
      </c>
      <c r="AO398" s="2" t="n">
        <f aca="false">ROUND(AB398-AH398,9)</f>
        <v>0.686900958</v>
      </c>
      <c r="AP398" s="2" t="n">
        <f aca="false">ROUND(AC398-AI398,9)</f>
        <v>0.287539936</v>
      </c>
      <c r="AQ398" s="2" t="n">
        <f aca="false">ROUND(AD398-AJ398,9)</f>
        <v>0.702875399</v>
      </c>
    </row>
    <row r="399" customFormat="false" ht="15" hidden="false" customHeight="false" outlineLevel="0" collapsed="false">
      <c r="A399" s="2" t="n">
        <v>398</v>
      </c>
      <c r="B399" s="6" t="n">
        <v>9</v>
      </c>
      <c r="C399" s="6" t="n">
        <v>27</v>
      </c>
      <c r="D399" s="8" t="str">
        <f aca="false">INDEX(Bases!$B$2:$B$53,B399)</f>
        <v>Mudkip</v>
      </c>
      <c r="E399" s="8" t="str">
        <f aca="false">INDEX(Bases!$B$2:$B$53,C399)</f>
        <v>Baltoy</v>
      </c>
      <c r="F399" s="2" t="str">
        <f aca="false">LEFT(D399,ROUNDUP(LEN(D399)/2,0))&amp;LOWER(MID(E399,ROUNDUP(LEN(E399)/2,0)+1,20))</f>
        <v>Mudtoy</v>
      </c>
      <c r="G399" s="8" t="str">
        <f aca="false">INDEX(Bases!$C$2:$C$53,B399)</f>
        <v>Water</v>
      </c>
      <c r="H399" s="8" t="str">
        <f aca="false">IF(INDEX(Bases!$C$2:$C$53,C399)=G399,"",INDEX(Bases!$C$2:$C$53,C399))</f>
        <v>Ground</v>
      </c>
      <c r="I399" s="8" t="str">
        <f aca="false">IF(INDEX(Bases!$E$2:$E$53,B399)="","",INDEX(Bases!$E$2:$E$53,B399))</f>
        <v/>
      </c>
      <c r="J399" s="8" t="str">
        <f aca="false">IF(INDEX(Bases!$E$2:$E$53,C399)="","",INDEX(Bases!$E$2:$E$53,C399))</f>
        <v/>
      </c>
      <c r="K399" s="5"/>
      <c r="L399" s="2" t="n">
        <f aca="false">AE399+IF(SUMPRODUCT(--($AL399:$AQ399&gt;AL399))&lt;$AK399,1,0)</f>
        <v>73</v>
      </c>
      <c r="M399" s="2" t="n">
        <f aca="false">AF399+IF(SUMPRODUCT(--($AL399:$AQ399&gt;AM399))+SUMPRODUCT(--($AL399:AL399=AM399))&lt;$AK399,1,0)</f>
        <v>93</v>
      </c>
      <c r="N399" s="2" t="n">
        <f aca="false">AG399+IF(SUMPRODUCT(--($AL399:$AQ399&gt;AN399))+SUMPRODUCT(--($AL399:AM399=AN399))&lt;$AK399,1,0)</f>
        <v>84</v>
      </c>
      <c r="O399" s="2" t="n">
        <f aca="false">AH399+IF(SUMPRODUCT(--($AL399:$AQ399&gt;AO399))+SUMPRODUCT(--($AL399:AN399=AO399))&lt;$AK399,1,0)</f>
        <v>72</v>
      </c>
      <c r="P399" s="2" t="n">
        <f aca="false">AI399+IF(SUMPRODUCT(--($AL399:$AQ399&gt;AP399))+SUMPRODUCT(--($AL399:AO399=AP399))&lt;$AK399,1,0)</f>
        <v>99</v>
      </c>
      <c r="Q399" s="2" t="n">
        <f aca="false">AJ399+IF(SUMPRODUCT(--($AL399:$AQ399&gt;AQ399))+SUMPRODUCT(--($AL399:AP399=AQ399))&lt;$AK399,1,0)</f>
        <v>79</v>
      </c>
      <c r="R399" s="2" t="n">
        <f aca="false">SUM(L399:Q399)</f>
        <v>500</v>
      </c>
      <c r="S399" s="2" t="n">
        <f aca="false">Settings!$B$4*MAX(INDEX(Bases!$M$2:$M$53,B399),INDEX(Bases!$M$2:$M$53,C399))+Settings!$B$5*MIN(INDEX(Bases!$M$2:$M$53,B399),INDEX(Bases!$M$2:$M$53,C399))</f>
        <v>61.3333333333333</v>
      </c>
      <c r="T399" s="2" t="n">
        <f aca="false">Settings!$B$4*MAX(INDEX(Bases!$N$2:$N$53,B399),INDEX(Bases!$N$2:$N$53,C399))+Settings!$B$5*MIN(INDEX(Bases!$N$2:$N$53,B399),INDEX(Bases!$N$2:$N$53,C399))</f>
        <v>78</v>
      </c>
      <c r="U399" s="2" t="n">
        <f aca="false">Settings!$B$4*MAX(INDEX(Bases!$O$2:$O$53,B399),INDEX(Bases!$O$2:$O$53,C399))+Settings!$B$5*MIN(INDEX(Bases!$O$2:$O$53,B399),INDEX(Bases!$O$2:$O$53,C399))</f>
        <v>70.3333333333333</v>
      </c>
      <c r="V399" s="2" t="n">
        <f aca="false">Settings!$B$4*MAX(INDEX(Bases!$P$2:$P$53,B399),INDEX(Bases!$P$2:$P$53,C399))+Settings!$B$5*MIN(INDEX(Bases!$P$2:$P$53,B399),INDEX(Bases!$P$2:$P$53,C399))</f>
        <v>60.3333333333333</v>
      </c>
      <c r="W399" s="2" t="n">
        <f aca="false">Settings!$B$4*MAX(INDEX(Bases!$Q$2:$Q$53,B399),INDEX(Bases!$Q$2:$Q$53,C399))+Settings!$B$5*MIN(INDEX(Bases!$Q$2:$Q$53,B399),INDEX(Bases!$Q$2:$Q$53,C399))</f>
        <v>83.3333333333333</v>
      </c>
      <c r="X399" s="2" t="n">
        <f aca="false">Settings!$B$4*MAX(INDEX(Bases!$R$2:$R$53,B399),INDEX(Bases!$R$2:$R$53,C399))+Settings!$B$5*MIN(INDEX(Bases!$R$2:$R$53,B399),INDEX(Bases!$R$2:$R$53,C399))</f>
        <v>66</v>
      </c>
      <c r="Y399" s="2" t="n">
        <f aca="false">S399*Settings!$B$3/SUM(S399:X399)</f>
        <v>73.1319554848967</v>
      </c>
      <c r="Z399" s="2" t="n">
        <f aca="false">T399*Settings!$B$3/SUM(S399:X399)</f>
        <v>93.0047694753577</v>
      </c>
      <c r="AA399" s="2" t="n">
        <f aca="false">U399*Settings!$B$3/SUM(S399:X399)</f>
        <v>83.8632750397456</v>
      </c>
      <c r="AB399" s="2" t="n">
        <f aca="false">V399*Settings!$B$3/SUM(S399:X399)</f>
        <v>71.939586645469</v>
      </c>
      <c r="AC399" s="2" t="n">
        <f aca="false">W399*Settings!$B$3/SUM(S399:X399)</f>
        <v>99.3640699523053</v>
      </c>
      <c r="AD399" s="2" t="n">
        <f aca="false">X399*Settings!$B$3/SUM(S399:X399)</f>
        <v>78.6963434022258</v>
      </c>
      <c r="AE399" s="2" t="n">
        <f aca="false">INT(Y399)</f>
        <v>73</v>
      </c>
      <c r="AF399" s="2" t="n">
        <f aca="false">INT(Z399)</f>
        <v>93</v>
      </c>
      <c r="AG399" s="2" t="n">
        <f aca="false">INT(AA399)</f>
        <v>83</v>
      </c>
      <c r="AH399" s="2" t="n">
        <f aca="false">INT(AB399)</f>
        <v>71</v>
      </c>
      <c r="AI399" s="2" t="n">
        <f aca="false">INT(AC399)</f>
        <v>99</v>
      </c>
      <c r="AJ399" s="2" t="n">
        <f aca="false">INT(AD399)</f>
        <v>78</v>
      </c>
      <c r="AK399" s="2" t="n">
        <f aca="false">Settings!$B$3-SUM(AE399:AJ399)</f>
        <v>3</v>
      </c>
      <c r="AL399" s="2" t="n">
        <f aca="false">ROUND(Y399-AE399,9)</f>
        <v>0.131955485</v>
      </c>
      <c r="AM399" s="2" t="n">
        <f aca="false">ROUND(Z399-AF399,9)</f>
        <v>0.004769475</v>
      </c>
      <c r="AN399" s="2" t="n">
        <f aca="false">ROUND(AA399-AG399,9)</f>
        <v>0.86327504</v>
      </c>
      <c r="AO399" s="2" t="n">
        <f aca="false">ROUND(AB399-AH399,9)</f>
        <v>0.939586645</v>
      </c>
      <c r="AP399" s="2" t="n">
        <f aca="false">ROUND(AC399-AI399,9)</f>
        <v>0.364069952</v>
      </c>
      <c r="AQ399" s="2" t="n">
        <f aca="false">ROUND(AD399-AJ399,9)</f>
        <v>0.696343402</v>
      </c>
    </row>
    <row r="400" customFormat="false" ht="15" hidden="false" customHeight="false" outlineLevel="0" collapsed="false">
      <c r="A400" s="2" t="n">
        <v>399</v>
      </c>
      <c r="B400" s="6" t="n">
        <v>9</v>
      </c>
      <c r="C400" s="6" t="n">
        <v>28</v>
      </c>
      <c r="D400" s="8" t="str">
        <f aca="false">INDEX(Bases!$B$2:$B$53,B400)</f>
        <v>Mudkip</v>
      </c>
      <c r="E400" s="8" t="str">
        <f aca="false">INDEX(Bases!$B$2:$B$53,C400)</f>
        <v>Zubat</v>
      </c>
      <c r="F400" s="2" t="str">
        <f aca="false">LEFT(D400,ROUNDUP(LEN(D400)/2,0))&amp;LOWER(MID(E400,ROUNDUP(LEN(E400)/2,0)+1,20))</f>
        <v>Mudat</v>
      </c>
      <c r="G400" s="8" t="str">
        <f aca="false">INDEX(Bases!$C$2:$C$53,B400)</f>
        <v>Water</v>
      </c>
      <c r="H400" s="8" t="str">
        <f aca="false">IF(INDEX(Bases!$C$2:$C$53,C400)=G400,"",INDEX(Bases!$C$2:$C$53,C400))</f>
        <v>Flying</v>
      </c>
      <c r="I400" s="8" t="str">
        <f aca="false">IF(INDEX(Bases!$E$2:$E$53,B400)="","",INDEX(Bases!$E$2:$E$53,B400))</f>
        <v/>
      </c>
      <c r="J400" s="8" t="str">
        <f aca="false">IF(INDEX(Bases!$E$2:$E$53,C400)="","",INDEX(Bases!$E$2:$E$53,C400))</f>
        <v/>
      </c>
      <c r="K400" s="5"/>
      <c r="L400" s="2" t="n">
        <f aca="false">AE400+IF(SUMPRODUCT(--($AL400:$AQ400&gt;AL400))&lt;$AK400,1,0)</f>
        <v>79</v>
      </c>
      <c r="M400" s="2" t="n">
        <f aca="false">AF400+IF(SUMPRODUCT(--($AL400:$AQ400&gt;AM400))+SUMPRODUCT(--($AL400:AL400=AM400))&lt;$AK400,1,0)</f>
        <v>103</v>
      </c>
      <c r="N400" s="2" t="n">
        <f aca="false">AG400+IF(SUMPRODUCT(--($AL400:$AQ400&gt;AN400))+SUMPRODUCT(--($AL400:AM400=AN400))&lt;$AK400,1,0)</f>
        <v>75</v>
      </c>
      <c r="O400" s="2" t="n">
        <f aca="false">AH400+IF(SUMPRODUCT(--($AL400:$AQ400&gt;AO400))+SUMPRODUCT(--($AL400:AN400=AO400))&lt;$AK400,1,0)</f>
        <v>71</v>
      </c>
      <c r="P400" s="2" t="n">
        <f aca="false">AI400+IF(SUMPRODUCT(--($AL400:$AQ400&gt;AP400))+SUMPRODUCT(--($AL400:AO400=AP400))&lt;$AK400,1,0)</f>
        <v>78</v>
      </c>
      <c r="Q400" s="2" t="n">
        <f aca="false">AJ400+IF(SUMPRODUCT(--($AL400:$AQ400&gt;AQ400))+SUMPRODUCT(--($AL400:AP400=AQ400))&lt;$AK400,1,0)</f>
        <v>94</v>
      </c>
      <c r="R400" s="2" t="n">
        <f aca="false">SUM(L400:Q400)</f>
        <v>500</v>
      </c>
      <c r="S400" s="2" t="n">
        <f aca="false">Settings!$B$4*MAX(INDEX(Bases!$M$2:$M$53,B400),INDEX(Bases!$M$2:$M$53,C400))+Settings!$B$5*MIN(INDEX(Bases!$M$2:$M$53,B400),INDEX(Bases!$M$2:$M$53,C400))</f>
        <v>65</v>
      </c>
      <c r="T400" s="2" t="n">
        <f aca="false">Settings!$B$4*MAX(INDEX(Bases!$N$2:$N$53,B400),INDEX(Bases!$N$2:$N$53,C400))+Settings!$B$5*MIN(INDEX(Bases!$N$2:$N$53,B400),INDEX(Bases!$N$2:$N$53,C400))</f>
        <v>84.6666666666667</v>
      </c>
      <c r="U400" s="2" t="n">
        <f aca="false">Settings!$B$4*MAX(INDEX(Bases!$O$2:$O$53,B400),INDEX(Bases!$O$2:$O$53,C400))+Settings!$B$5*MIN(INDEX(Bases!$O$2:$O$53,B400),INDEX(Bases!$O$2:$O$53,C400))</f>
        <v>62.3333333333333</v>
      </c>
      <c r="V400" s="2" t="n">
        <f aca="false">Settings!$B$4*MAX(INDEX(Bases!$P$2:$P$53,B400),INDEX(Bases!$P$2:$P$53,C400))+Settings!$B$5*MIN(INDEX(Bases!$P$2:$P$53,B400),INDEX(Bases!$P$2:$P$53,C400))</f>
        <v>59</v>
      </c>
      <c r="W400" s="2" t="n">
        <f aca="false">Settings!$B$4*MAX(INDEX(Bases!$Q$2:$Q$53,B400),INDEX(Bases!$Q$2:$Q$53,C400))+Settings!$B$5*MIN(INDEX(Bases!$Q$2:$Q$53,B400),INDEX(Bases!$Q$2:$Q$53,C400))</f>
        <v>64.6666666666667</v>
      </c>
      <c r="X400" s="2" t="n">
        <f aca="false">Settings!$B$4*MAX(INDEX(Bases!$R$2:$R$53,B400),INDEX(Bases!$R$2:$R$53,C400))+Settings!$B$5*MIN(INDEX(Bases!$R$2:$R$53,B400),INDEX(Bases!$R$2:$R$53,C400))</f>
        <v>77.3333333333333</v>
      </c>
      <c r="Y400" s="2" t="n">
        <f aca="false">S400*Settings!$B$3/SUM(S400:X400)</f>
        <v>78.6924939467312</v>
      </c>
      <c r="Z400" s="2" t="n">
        <f aca="false">T400*Settings!$B$3/SUM(S400:X400)</f>
        <v>102.502017756255</v>
      </c>
      <c r="AA400" s="2" t="n">
        <f aca="false">U400*Settings!$B$3/SUM(S400:X400)</f>
        <v>75.4640839386602</v>
      </c>
      <c r="AB400" s="2" t="n">
        <f aca="false">V400*Settings!$B$3/SUM(S400:X400)</f>
        <v>71.4285714285714</v>
      </c>
      <c r="AC400" s="2" t="n">
        <f aca="false">W400*Settings!$B$3/SUM(S400:X400)</f>
        <v>78.2889426957223</v>
      </c>
      <c r="AD400" s="2" t="n">
        <f aca="false">X400*Settings!$B$3/SUM(S400:X400)</f>
        <v>93.6238902340597</v>
      </c>
      <c r="AE400" s="2" t="n">
        <f aca="false">INT(Y400)</f>
        <v>78</v>
      </c>
      <c r="AF400" s="2" t="n">
        <f aca="false">INT(Z400)</f>
        <v>102</v>
      </c>
      <c r="AG400" s="2" t="n">
        <f aca="false">INT(AA400)</f>
        <v>75</v>
      </c>
      <c r="AH400" s="2" t="n">
        <f aca="false">INT(AB400)</f>
        <v>71</v>
      </c>
      <c r="AI400" s="2" t="n">
        <f aca="false">INT(AC400)</f>
        <v>78</v>
      </c>
      <c r="AJ400" s="2" t="n">
        <f aca="false">INT(AD400)</f>
        <v>93</v>
      </c>
      <c r="AK400" s="2" t="n">
        <f aca="false">Settings!$B$3-SUM(AE400:AJ400)</f>
        <v>3</v>
      </c>
      <c r="AL400" s="2" t="n">
        <f aca="false">ROUND(Y400-AE400,9)</f>
        <v>0.692493947</v>
      </c>
      <c r="AM400" s="2" t="n">
        <f aca="false">ROUND(Z400-AF400,9)</f>
        <v>0.502017756</v>
      </c>
      <c r="AN400" s="2" t="n">
        <f aca="false">ROUND(AA400-AG400,9)</f>
        <v>0.464083939</v>
      </c>
      <c r="AO400" s="2" t="n">
        <f aca="false">ROUND(AB400-AH400,9)</f>
        <v>0.428571429</v>
      </c>
      <c r="AP400" s="2" t="n">
        <f aca="false">ROUND(AC400-AI400,9)</f>
        <v>0.288942696</v>
      </c>
      <c r="AQ400" s="2" t="n">
        <f aca="false">ROUND(AD400-AJ400,9)</f>
        <v>0.623890234</v>
      </c>
    </row>
    <row r="401" customFormat="false" ht="15" hidden="false" customHeight="false" outlineLevel="0" collapsed="false">
      <c r="A401" s="2" t="n">
        <v>400</v>
      </c>
      <c r="B401" s="6" t="n">
        <v>9</v>
      </c>
      <c r="C401" s="6" t="n">
        <v>29</v>
      </c>
      <c r="D401" s="8" t="str">
        <f aca="false">INDEX(Bases!$B$2:$B$53,B401)</f>
        <v>Mudkip</v>
      </c>
      <c r="E401" s="8" t="str">
        <f aca="false">INDEX(Bases!$B$2:$B$53,C401)</f>
        <v>Murkrow</v>
      </c>
      <c r="F401" s="2" t="str">
        <f aca="false">LEFT(D401,ROUNDUP(LEN(D401)/2,0))&amp;LOWER(MID(E401,ROUNDUP(LEN(E401)/2,0)+1,20))</f>
        <v>Mudrow</v>
      </c>
      <c r="G401" s="8" t="str">
        <f aca="false">INDEX(Bases!$C$2:$C$53,B401)</f>
        <v>Water</v>
      </c>
      <c r="H401" s="8" t="str">
        <f aca="false">IF(INDEX(Bases!$C$2:$C$53,C401)=G401,"",INDEX(Bases!$C$2:$C$53,C401))</f>
        <v>Flying</v>
      </c>
      <c r="I401" s="8" t="str">
        <f aca="false">IF(INDEX(Bases!$E$2:$E$53,B401)="","",INDEX(Bases!$E$2:$E$53,B401))</f>
        <v/>
      </c>
      <c r="J401" s="8" t="str">
        <f aca="false">IF(INDEX(Bases!$E$2:$E$53,C401)="","",INDEX(Bases!$E$2:$E$53,C401))</f>
        <v/>
      </c>
      <c r="K401" s="5"/>
      <c r="L401" s="2" t="n">
        <f aca="false">AE401+IF(SUMPRODUCT(--($AL401:$AQ401&gt;AL401))&lt;$AK401,1,0)</f>
        <v>75</v>
      </c>
      <c r="M401" s="2" t="n">
        <f aca="false">AF401+IF(SUMPRODUCT(--($AL401:$AQ401&gt;AM401))+SUMPRODUCT(--($AL401:AL401=AM401))&lt;$AK401,1,0)</f>
        <v>105</v>
      </c>
      <c r="N401" s="2" t="n">
        <f aca="false">AG401+IF(SUMPRODUCT(--($AL401:$AQ401&gt;AN401))+SUMPRODUCT(--($AL401:AM401=AN401))&lt;$AK401,1,0)</f>
        <v>69</v>
      </c>
      <c r="O401" s="2" t="n">
        <f aca="false">AH401+IF(SUMPRODUCT(--($AL401:$AQ401&gt;AO401))+SUMPRODUCT(--($AL401:AN401=AO401))&lt;$AK401,1,0)</f>
        <v>92</v>
      </c>
      <c r="P401" s="2" t="n">
        <f aca="false">AI401+IF(SUMPRODUCT(--($AL401:$AQ401&gt;AP401))+SUMPRODUCT(--($AL401:AO401=AP401))&lt;$AK401,1,0)</f>
        <v>67</v>
      </c>
      <c r="Q401" s="2" t="n">
        <f aca="false">AJ401+IF(SUMPRODUCT(--($AL401:$AQ401&gt;AQ401))+SUMPRODUCT(--($AL401:AP401=AQ401))&lt;$AK401,1,0)</f>
        <v>92</v>
      </c>
      <c r="R401" s="2" t="n">
        <f aca="false">SUM(L401:Q401)</f>
        <v>500</v>
      </c>
      <c r="S401" s="2" t="n">
        <f aca="false">Settings!$B$4*MAX(INDEX(Bases!$M$2:$M$53,B401),INDEX(Bases!$M$2:$M$53,C401))+Settings!$B$5*MIN(INDEX(Bases!$M$2:$M$53,B401),INDEX(Bases!$M$2:$M$53,C401))</f>
        <v>63</v>
      </c>
      <c r="T401" s="2" t="n">
        <f aca="false">Settings!$B$4*MAX(INDEX(Bases!$N$2:$N$53,B401),INDEX(Bases!$N$2:$N$53,C401))+Settings!$B$5*MIN(INDEX(Bases!$N$2:$N$53,B401),INDEX(Bases!$N$2:$N$53,C401))</f>
        <v>88</v>
      </c>
      <c r="U401" s="2" t="n">
        <f aca="false">Settings!$B$4*MAX(INDEX(Bases!$O$2:$O$53,B401),INDEX(Bases!$O$2:$O$53,C401))+Settings!$B$5*MIN(INDEX(Bases!$O$2:$O$53,B401),INDEX(Bases!$O$2:$O$53,C401))</f>
        <v>57.3333333333333</v>
      </c>
      <c r="V401" s="2" t="n">
        <f aca="false">Settings!$B$4*MAX(INDEX(Bases!$P$2:$P$53,B401),INDEX(Bases!$P$2:$P$53,C401))+Settings!$B$5*MIN(INDEX(Bases!$P$2:$P$53,B401),INDEX(Bases!$P$2:$P$53,C401))</f>
        <v>77.3333333333333</v>
      </c>
      <c r="W401" s="2" t="n">
        <f aca="false">Settings!$B$4*MAX(INDEX(Bases!$Q$2:$Q$53,B401),INDEX(Bases!$Q$2:$Q$53,C401))+Settings!$B$5*MIN(INDEX(Bases!$Q$2:$Q$53,B401),INDEX(Bases!$Q$2:$Q$53,C401))</f>
        <v>56.3333333333333</v>
      </c>
      <c r="X401" s="2" t="n">
        <f aca="false">Settings!$B$4*MAX(INDEX(Bases!$R$2:$R$53,B401),INDEX(Bases!$R$2:$R$53,C401))+Settings!$B$5*MIN(INDEX(Bases!$R$2:$R$53,B401),INDEX(Bases!$R$2:$R$53,C401))</f>
        <v>77.3333333333333</v>
      </c>
      <c r="Y401" s="2" t="n">
        <f aca="false">S401*Settings!$B$3/SUM(S401:X401)</f>
        <v>75.1192368839428</v>
      </c>
      <c r="Z401" s="2" t="n">
        <f aca="false">T401*Settings!$B$3/SUM(S401:X401)</f>
        <v>104.928457869634</v>
      </c>
      <c r="AA401" s="2" t="n">
        <f aca="false">U401*Settings!$B$3/SUM(S401:X401)</f>
        <v>68.362480127186</v>
      </c>
      <c r="AB401" s="2" t="n">
        <f aca="false">V401*Settings!$B$3/SUM(S401:X401)</f>
        <v>92.2098569157393</v>
      </c>
      <c r="AC401" s="2" t="n">
        <f aca="false">W401*Settings!$B$3/SUM(S401:X401)</f>
        <v>67.1701112877583</v>
      </c>
      <c r="AD401" s="2" t="n">
        <f aca="false">X401*Settings!$B$3/SUM(S401:X401)</f>
        <v>92.2098569157393</v>
      </c>
      <c r="AE401" s="2" t="n">
        <f aca="false">INT(Y401)</f>
        <v>75</v>
      </c>
      <c r="AF401" s="2" t="n">
        <f aca="false">INT(Z401)</f>
        <v>104</v>
      </c>
      <c r="AG401" s="2" t="n">
        <f aca="false">INT(AA401)</f>
        <v>68</v>
      </c>
      <c r="AH401" s="2" t="n">
        <f aca="false">INT(AB401)</f>
        <v>92</v>
      </c>
      <c r="AI401" s="2" t="n">
        <f aca="false">INT(AC401)</f>
        <v>67</v>
      </c>
      <c r="AJ401" s="2" t="n">
        <f aca="false">INT(AD401)</f>
        <v>92</v>
      </c>
      <c r="AK401" s="2" t="n">
        <f aca="false">Settings!$B$3-SUM(AE401:AJ401)</f>
        <v>2</v>
      </c>
      <c r="AL401" s="2" t="n">
        <f aca="false">ROUND(Y401-AE401,9)</f>
        <v>0.119236884</v>
      </c>
      <c r="AM401" s="2" t="n">
        <f aca="false">ROUND(Z401-AF401,9)</f>
        <v>0.92845787</v>
      </c>
      <c r="AN401" s="2" t="n">
        <f aca="false">ROUND(AA401-AG401,9)</f>
        <v>0.362480127</v>
      </c>
      <c r="AO401" s="2" t="n">
        <f aca="false">ROUND(AB401-AH401,9)</f>
        <v>0.209856916</v>
      </c>
      <c r="AP401" s="2" t="n">
        <f aca="false">ROUND(AC401-AI401,9)</f>
        <v>0.170111288</v>
      </c>
      <c r="AQ401" s="2" t="n">
        <f aca="false">ROUND(AD401-AJ401,9)</f>
        <v>0.209856916</v>
      </c>
    </row>
    <row r="402" customFormat="false" ht="15" hidden="false" customHeight="false" outlineLevel="0" collapsed="false">
      <c r="A402" s="2" t="n">
        <v>401</v>
      </c>
      <c r="B402" s="6" t="n">
        <v>9</v>
      </c>
      <c r="C402" s="6" t="n">
        <v>30</v>
      </c>
      <c r="D402" s="8" t="str">
        <f aca="false">INDEX(Bases!$B$2:$B$53,B402)</f>
        <v>Mudkip</v>
      </c>
      <c r="E402" s="8" t="str">
        <f aca="false">INDEX(Bases!$B$2:$B$53,C402)</f>
        <v>Swablu</v>
      </c>
      <c r="F402" s="2" t="str">
        <f aca="false">LEFT(D402,ROUNDUP(LEN(D402)/2,0))&amp;LOWER(MID(E402,ROUNDUP(LEN(E402)/2,0)+1,20))</f>
        <v>Mudblu</v>
      </c>
      <c r="G402" s="8" t="str">
        <f aca="false">INDEX(Bases!$C$2:$C$53,B402)</f>
        <v>Water</v>
      </c>
      <c r="H402" s="8" t="str">
        <f aca="false">IF(INDEX(Bases!$C$2:$C$53,C402)=G402,"",INDEX(Bases!$C$2:$C$53,C402))</f>
        <v>Flying</v>
      </c>
      <c r="I402" s="8" t="str">
        <f aca="false">IF(INDEX(Bases!$E$2:$E$53,B402)="","",INDEX(Bases!$E$2:$E$53,B402))</f>
        <v/>
      </c>
      <c r="J402" s="8" t="str">
        <f aca="false">IF(INDEX(Bases!$E$2:$E$53,C402)="","",INDEX(Bases!$E$2:$E$53,C402))</f>
        <v/>
      </c>
      <c r="K402" s="5"/>
      <c r="L402" s="2" t="n">
        <f aca="false">AE402+IF(SUMPRODUCT(--($AL402:$AQ402&gt;AL402))&lt;$AK402,1,0)</f>
        <v>75</v>
      </c>
      <c r="M402" s="2" t="n">
        <f aca="false">AF402+IF(SUMPRODUCT(--($AL402:$AQ402&gt;AM402))+SUMPRODUCT(--($AL402:AL402=AM402))&lt;$AK402,1,0)</f>
        <v>92</v>
      </c>
      <c r="N402" s="2" t="n">
        <f aca="false">AG402+IF(SUMPRODUCT(--($AL402:$AQ402&gt;AN402))+SUMPRODUCT(--($AL402:AM402=AN402))&lt;$AK402,1,0)</f>
        <v>87</v>
      </c>
      <c r="O402" s="2" t="n">
        <f aca="false">AH402+IF(SUMPRODUCT(--($AL402:$AQ402&gt;AO402))+SUMPRODUCT(--($AL402:AN402=AO402))&lt;$AK402,1,0)</f>
        <v>72</v>
      </c>
      <c r="P402" s="2" t="n">
        <f aca="false">AI402+IF(SUMPRODUCT(--($AL402:$AQ402&gt;AP402))+SUMPRODUCT(--($AL402:AO402=AP402))&lt;$AK402,1,0)</f>
        <v>103</v>
      </c>
      <c r="Q402" s="2" t="n">
        <f aca="false">AJ402+IF(SUMPRODUCT(--($AL402:$AQ402&gt;AQ402))+SUMPRODUCT(--($AL402:AP402=AQ402))&lt;$AK402,1,0)</f>
        <v>71</v>
      </c>
      <c r="R402" s="2" t="n">
        <f aca="false">SUM(L402:Q402)</f>
        <v>500</v>
      </c>
      <c r="S402" s="2" t="n">
        <f aca="false">Settings!$B$4*MAX(INDEX(Bases!$M$2:$M$53,B402),INDEX(Bases!$M$2:$M$53,C402))+Settings!$B$5*MIN(INDEX(Bases!$M$2:$M$53,B402),INDEX(Bases!$M$2:$M$53,C402))</f>
        <v>62.6666666666667</v>
      </c>
      <c r="T402" s="2" t="n">
        <f aca="false">Settings!$B$4*MAX(INDEX(Bases!$N$2:$N$53,B402),INDEX(Bases!$N$2:$N$53,C402))+Settings!$B$5*MIN(INDEX(Bases!$N$2:$N$53,B402),INDEX(Bases!$N$2:$N$53,C402))</f>
        <v>77.3333333333333</v>
      </c>
      <c r="U402" s="2" t="n">
        <f aca="false">Settings!$B$4*MAX(INDEX(Bases!$O$2:$O$53,B402),INDEX(Bases!$O$2:$O$53,C402))+Settings!$B$5*MIN(INDEX(Bases!$O$2:$O$53,B402),INDEX(Bases!$O$2:$O$53,C402))</f>
        <v>73</v>
      </c>
      <c r="V402" s="2" t="n">
        <f aca="false">Settings!$B$4*MAX(INDEX(Bases!$P$2:$P$53,B402),INDEX(Bases!$P$2:$P$53,C402))+Settings!$B$5*MIN(INDEX(Bases!$P$2:$P$53,B402),INDEX(Bases!$P$2:$P$53,C402))</f>
        <v>60</v>
      </c>
      <c r="W402" s="2" t="n">
        <f aca="false">Settings!$B$4*MAX(INDEX(Bases!$Q$2:$Q$53,B402),INDEX(Bases!$Q$2:$Q$53,C402))+Settings!$B$5*MIN(INDEX(Bases!$Q$2:$Q$53,B402),INDEX(Bases!$Q$2:$Q$53,C402))</f>
        <v>86</v>
      </c>
      <c r="X402" s="2" t="n">
        <f aca="false">Settings!$B$4*MAX(INDEX(Bases!$R$2:$R$53,B402),INDEX(Bases!$R$2:$R$53,C402))+Settings!$B$5*MIN(INDEX(Bases!$R$2:$R$53,B402),INDEX(Bases!$R$2:$R$53,C402))</f>
        <v>60</v>
      </c>
      <c r="Y402" s="2" t="n">
        <f aca="false">S402*Settings!$B$3/SUM(S402:X402)</f>
        <v>74.7812251392204</v>
      </c>
      <c r="Z402" s="2" t="n">
        <f aca="false">T402*Settings!$B$3/SUM(S402:X402)</f>
        <v>92.2832140015911</v>
      </c>
      <c r="AA402" s="2" t="n">
        <f aca="false">U402*Settings!$B$3/SUM(S402:X402)</f>
        <v>87.1121718377088</v>
      </c>
      <c r="AB402" s="2" t="n">
        <f aca="false">V402*Settings!$B$3/SUM(S402:X402)</f>
        <v>71.5990453460621</v>
      </c>
      <c r="AC402" s="2" t="n">
        <f aca="false">W402*Settings!$B$3/SUM(S402:X402)</f>
        <v>102.625298329356</v>
      </c>
      <c r="AD402" s="2" t="n">
        <f aca="false">X402*Settings!$B$3/SUM(S402:X402)</f>
        <v>71.5990453460621</v>
      </c>
      <c r="AE402" s="2" t="n">
        <f aca="false">INT(Y402)</f>
        <v>74</v>
      </c>
      <c r="AF402" s="2" t="n">
        <f aca="false">INT(Z402)</f>
        <v>92</v>
      </c>
      <c r="AG402" s="2" t="n">
        <f aca="false">INT(AA402)</f>
        <v>87</v>
      </c>
      <c r="AH402" s="2" t="n">
        <f aca="false">INT(AB402)</f>
        <v>71</v>
      </c>
      <c r="AI402" s="2" t="n">
        <f aca="false">INT(AC402)</f>
        <v>102</v>
      </c>
      <c r="AJ402" s="2" t="n">
        <f aca="false">INT(AD402)</f>
        <v>71</v>
      </c>
      <c r="AK402" s="2" t="n">
        <f aca="false">Settings!$B$3-SUM(AE402:AJ402)</f>
        <v>3</v>
      </c>
      <c r="AL402" s="2" t="n">
        <f aca="false">ROUND(Y402-AE402,9)</f>
        <v>0.781225139</v>
      </c>
      <c r="AM402" s="2" t="n">
        <f aca="false">ROUND(Z402-AF402,9)</f>
        <v>0.283214002</v>
      </c>
      <c r="AN402" s="2" t="n">
        <f aca="false">ROUND(AA402-AG402,9)</f>
        <v>0.112171838</v>
      </c>
      <c r="AO402" s="2" t="n">
        <f aca="false">ROUND(AB402-AH402,9)</f>
        <v>0.599045346</v>
      </c>
      <c r="AP402" s="2" t="n">
        <f aca="false">ROUND(AC402-AI402,9)</f>
        <v>0.625298329</v>
      </c>
      <c r="AQ402" s="2" t="n">
        <f aca="false">ROUND(AD402-AJ402,9)</f>
        <v>0.599045346</v>
      </c>
    </row>
    <row r="403" customFormat="false" ht="15" hidden="false" customHeight="false" outlineLevel="0" collapsed="false">
      <c r="A403" s="2" t="n">
        <v>402</v>
      </c>
      <c r="B403" s="6" t="n">
        <v>9</v>
      </c>
      <c r="C403" s="6" t="n">
        <v>31</v>
      </c>
      <c r="D403" s="8" t="str">
        <f aca="false">INDEX(Bases!$B$2:$B$53,B403)</f>
        <v>Mudkip</v>
      </c>
      <c r="E403" s="8" t="str">
        <f aca="false">INDEX(Bases!$B$2:$B$53,C403)</f>
        <v>Mew</v>
      </c>
      <c r="F403" s="2" t="str">
        <f aca="false">LEFT(D403,ROUNDUP(LEN(D403)/2,0))&amp;LOWER(MID(E403,ROUNDUP(LEN(E403)/2,0)+1,20))</f>
        <v>Mudw</v>
      </c>
      <c r="G403" s="8" t="str">
        <f aca="false">INDEX(Bases!$C$2:$C$53,B403)</f>
        <v>Water</v>
      </c>
      <c r="H403" s="8" t="str">
        <f aca="false">IF(INDEX(Bases!$C$2:$C$53,C403)=G403,"",INDEX(Bases!$C$2:$C$53,C403))</f>
        <v>Psychic</v>
      </c>
      <c r="I403" s="8" t="str">
        <f aca="false">IF(INDEX(Bases!$E$2:$E$53,B403)="","",INDEX(Bases!$E$2:$E$53,B403))</f>
        <v/>
      </c>
      <c r="J403" s="8" t="str">
        <f aca="false">IF(INDEX(Bases!$E$2:$E$53,C403)="","",INDEX(Bases!$E$2:$E$53,C403))</f>
        <v/>
      </c>
      <c r="K403" s="5"/>
      <c r="L403" s="2" t="n">
        <f aca="false">AE403+IF(SUMPRODUCT(--($AL403:$AQ403&gt;AL403))&lt;$AK403,1,0)</f>
        <v>82</v>
      </c>
      <c r="M403" s="2" t="n">
        <f aca="false">AF403+IF(SUMPRODUCT(--($AL403:$AQ403&gt;AM403))+SUMPRODUCT(--($AL403:AL403=AM403))&lt;$AK403,1,0)</f>
        <v>101</v>
      </c>
      <c r="N403" s="2" t="n">
        <f aca="false">AG403+IF(SUMPRODUCT(--($AL403:$AQ403&gt;AN403))+SUMPRODUCT(--($AL403:AM403=AN403))&lt;$AK403,1,0)</f>
        <v>81</v>
      </c>
      <c r="O403" s="2" t="n">
        <f aca="false">AH403+IF(SUMPRODUCT(--($AL403:$AQ403&gt;AO403))+SUMPRODUCT(--($AL403:AN403=AO403))&lt;$AK403,1,0)</f>
        <v>81</v>
      </c>
      <c r="P403" s="2" t="n">
        <f aca="false">AI403+IF(SUMPRODUCT(--($AL403:$AQ403&gt;AP403))+SUMPRODUCT(--($AL403:AO403=AP403))&lt;$AK403,1,0)</f>
        <v>80</v>
      </c>
      <c r="Q403" s="2" t="n">
        <f aca="false">AJ403+IF(SUMPRODUCT(--($AL403:$AQ403&gt;AQ403))+SUMPRODUCT(--($AL403:AP403=AQ403))&lt;$AK403,1,0)</f>
        <v>75</v>
      </c>
      <c r="R403" s="2" t="n">
        <f aca="false">SUM(L403:Q403)</f>
        <v>500</v>
      </c>
      <c r="S403" s="2" t="n">
        <f aca="false">Settings!$B$4*MAX(INDEX(Bases!$M$2:$M$53,B403),INDEX(Bases!$M$2:$M$53,C403))+Settings!$B$5*MIN(INDEX(Bases!$M$2:$M$53,B403),INDEX(Bases!$M$2:$M$53,C403))</f>
        <v>66.3333333333333</v>
      </c>
      <c r="T403" s="2" t="n">
        <f aca="false">Settings!$B$4*MAX(INDEX(Bases!$N$2:$N$53,B403),INDEX(Bases!$N$2:$N$53,C403))+Settings!$B$5*MIN(INDEX(Bases!$N$2:$N$53,B403),INDEX(Bases!$N$2:$N$53,C403))</f>
        <v>82.3333333333333</v>
      </c>
      <c r="U403" s="2" t="n">
        <f aca="false">Settings!$B$4*MAX(INDEX(Bases!$O$2:$O$53,B403),INDEX(Bases!$O$2:$O$53,C403))+Settings!$B$5*MIN(INDEX(Bases!$O$2:$O$53,B403),INDEX(Bases!$O$2:$O$53,C403))</f>
        <v>66.3333333333333</v>
      </c>
      <c r="V403" s="2" t="n">
        <f aca="false">Settings!$B$4*MAX(INDEX(Bases!$P$2:$P$53,B403),INDEX(Bases!$P$2:$P$53,C403))+Settings!$B$5*MIN(INDEX(Bases!$P$2:$P$53,B403),INDEX(Bases!$P$2:$P$53,C403))</f>
        <v>66</v>
      </c>
      <c r="W403" s="2" t="n">
        <f aca="false">Settings!$B$4*MAX(INDEX(Bases!$Q$2:$Q$53,B403),INDEX(Bases!$Q$2:$Q$53,C403))+Settings!$B$5*MIN(INDEX(Bases!$Q$2:$Q$53,B403),INDEX(Bases!$Q$2:$Q$53,C403))</f>
        <v>65.3333333333333</v>
      </c>
      <c r="X403" s="2" t="n">
        <f aca="false">Settings!$B$4*MAX(INDEX(Bases!$R$2:$R$53,B403),INDEX(Bases!$R$2:$R$53,C403))+Settings!$B$5*MIN(INDEX(Bases!$R$2:$R$53,B403),INDEX(Bases!$R$2:$R$53,C403))</f>
        <v>61.3333333333333</v>
      </c>
      <c r="Y403" s="2" t="n">
        <f aca="false">S403*Settings!$B$3/SUM(S403:X403)</f>
        <v>81.3573180703189</v>
      </c>
      <c r="Z403" s="2" t="n">
        <f aca="false">T403*Settings!$B$3/SUM(S403:X403)</f>
        <v>100.981193785773</v>
      </c>
      <c r="AA403" s="2" t="n">
        <f aca="false">U403*Settings!$B$3/SUM(S403:X403)</f>
        <v>81.3573180703189</v>
      </c>
      <c r="AB403" s="2" t="n">
        <f aca="false">V403*Settings!$B$3/SUM(S403:X403)</f>
        <v>80.9484873262469</v>
      </c>
      <c r="AC403" s="2" t="n">
        <f aca="false">W403*Settings!$B$3/SUM(S403:X403)</f>
        <v>80.130825838103</v>
      </c>
      <c r="AD403" s="2" t="n">
        <f aca="false">X403*Settings!$B$3/SUM(S403:X403)</f>
        <v>75.2248569092396</v>
      </c>
      <c r="AE403" s="2" t="n">
        <f aca="false">INT(Y403)</f>
        <v>81</v>
      </c>
      <c r="AF403" s="2" t="n">
        <f aca="false">INT(Z403)</f>
        <v>100</v>
      </c>
      <c r="AG403" s="2" t="n">
        <f aca="false">INT(AA403)</f>
        <v>81</v>
      </c>
      <c r="AH403" s="2" t="n">
        <f aca="false">INT(AB403)</f>
        <v>80</v>
      </c>
      <c r="AI403" s="2" t="n">
        <f aca="false">INT(AC403)</f>
        <v>80</v>
      </c>
      <c r="AJ403" s="2" t="n">
        <f aca="false">INT(AD403)</f>
        <v>75</v>
      </c>
      <c r="AK403" s="2" t="n">
        <f aca="false">Settings!$B$3-SUM(AE403:AJ403)</f>
        <v>3</v>
      </c>
      <c r="AL403" s="2" t="n">
        <f aca="false">ROUND(Y403-AE403,9)</f>
        <v>0.35731807</v>
      </c>
      <c r="AM403" s="2" t="n">
        <f aca="false">ROUND(Z403-AF403,9)</f>
        <v>0.981193786</v>
      </c>
      <c r="AN403" s="2" t="n">
        <f aca="false">ROUND(AA403-AG403,9)</f>
        <v>0.35731807</v>
      </c>
      <c r="AO403" s="2" t="n">
        <f aca="false">ROUND(AB403-AH403,9)</f>
        <v>0.948487326</v>
      </c>
      <c r="AP403" s="2" t="n">
        <f aca="false">ROUND(AC403-AI403,9)</f>
        <v>0.130825838</v>
      </c>
      <c r="AQ403" s="2" t="n">
        <f aca="false">ROUND(AD403-AJ403,9)</f>
        <v>0.224856909</v>
      </c>
    </row>
    <row r="404" customFormat="false" ht="15" hidden="false" customHeight="false" outlineLevel="0" collapsed="false">
      <c r="A404" s="2" t="n">
        <v>403</v>
      </c>
      <c r="B404" s="6" t="n">
        <v>9</v>
      </c>
      <c r="C404" s="6" t="n">
        <v>32</v>
      </c>
      <c r="D404" s="8" t="str">
        <f aca="false">INDEX(Bases!$B$2:$B$53,B404)</f>
        <v>Mudkip</v>
      </c>
      <c r="E404" s="8" t="str">
        <f aca="false">INDEX(Bases!$B$2:$B$53,C404)</f>
        <v>Spoink</v>
      </c>
      <c r="F404" s="2" t="str">
        <f aca="false">LEFT(D404,ROUNDUP(LEN(D404)/2,0))&amp;LOWER(MID(E404,ROUNDUP(LEN(E404)/2,0)+1,20))</f>
        <v>Mudink</v>
      </c>
      <c r="G404" s="8" t="str">
        <f aca="false">INDEX(Bases!$C$2:$C$53,B404)</f>
        <v>Water</v>
      </c>
      <c r="H404" s="8" t="str">
        <f aca="false">IF(INDEX(Bases!$C$2:$C$53,C404)=G404,"",INDEX(Bases!$C$2:$C$53,C404))</f>
        <v>Psychic</v>
      </c>
      <c r="I404" s="8" t="str">
        <f aca="false">IF(INDEX(Bases!$E$2:$E$53,B404)="","",INDEX(Bases!$E$2:$E$53,B404))</f>
        <v/>
      </c>
      <c r="J404" s="8" t="str">
        <f aca="false">IF(INDEX(Bases!$E$2:$E$53,C404)="","",INDEX(Bases!$E$2:$E$53,C404))</f>
        <v/>
      </c>
      <c r="K404" s="5"/>
      <c r="L404" s="2" t="n">
        <f aca="false">AE404+IF(SUMPRODUCT(--($AL404:$AQ404&gt;AL404))&lt;$AK404,1,0)</f>
        <v>82</v>
      </c>
      <c r="M404" s="2" t="n">
        <f aca="false">AF404+IF(SUMPRODUCT(--($AL404:$AQ404&gt;AM404))+SUMPRODUCT(--($AL404:AL404=AM404))&lt;$AK404,1,0)</f>
        <v>82</v>
      </c>
      <c r="N404" s="2" t="n">
        <f aca="false">AG404+IF(SUMPRODUCT(--($AL404:$AQ404&gt;AN404))+SUMPRODUCT(--($AL404:AM404=AN404))&lt;$AK404,1,0)</f>
        <v>67</v>
      </c>
      <c r="O404" s="2" t="n">
        <f aca="false">AH404+IF(SUMPRODUCT(--($AL404:$AQ404&gt;AO404))+SUMPRODUCT(--($AL404:AN404=AO404))&lt;$AK404,1,0)</f>
        <v>91</v>
      </c>
      <c r="P404" s="2" t="n">
        <f aca="false">AI404+IF(SUMPRODUCT(--($AL404:$AQ404&gt;AP404))+SUMPRODUCT(--($AL404:AO404=AP404))&lt;$AK404,1,0)</f>
        <v>101</v>
      </c>
      <c r="Q404" s="2" t="n">
        <f aca="false">AJ404+IF(SUMPRODUCT(--($AL404:$AQ404&gt;AQ404))+SUMPRODUCT(--($AL404:AP404=AQ404))&lt;$AK404,1,0)</f>
        <v>77</v>
      </c>
      <c r="R404" s="2" t="n">
        <f aca="false">SUM(L404:Q404)</f>
        <v>500</v>
      </c>
      <c r="S404" s="2" t="n">
        <f aca="false">Settings!$B$4*MAX(INDEX(Bases!$M$2:$M$53,B404),INDEX(Bases!$M$2:$M$53,C404))+Settings!$B$5*MIN(INDEX(Bases!$M$2:$M$53,B404),INDEX(Bases!$M$2:$M$53,C404))</f>
        <v>70.3333333333333</v>
      </c>
      <c r="T404" s="2" t="n">
        <f aca="false">Settings!$B$4*MAX(INDEX(Bases!$N$2:$N$53,B404),INDEX(Bases!$N$2:$N$53,C404))+Settings!$B$5*MIN(INDEX(Bases!$N$2:$N$53,B404),INDEX(Bases!$N$2:$N$53,C404))</f>
        <v>70</v>
      </c>
      <c r="U404" s="2" t="n">
        <f aca="false">Settings!$B$4*MAX(INDEX(Bases!$O$2:$O$53,B404),INDEX(Bases!$O$2:$O$53,C404))+Settings!$B$5*MIN(INDEX(Bases!$O$2:$O$53,B404),INDEX(Bases!$O$2:$O$53,C404))</f>
        <v>57.3333333333333</v>
      </c>
      <c r="V404" s="2" t="n">
        <f aca="false">Settings!$B$4*MAX(INDEX(Bases!$P$2:$P$53,B404),INDEX(Bases!$P$2:$P$53,C404))+Settings!$B$5*MIN(INDEX(Bases!$P$2:$P$53,B404),INDEX(Bases!$P$2:$P$53,C404))</f>
        <v>78</v>
      </c>
      <c r="W404" s="2" t="n">
        <f aca="false">Settings!$B$4*MAX(INDEX(Bases!$Q$2:$Q$53,B404),INDEX(Bases!$Q$2:$Q$53,C404))+Settings!$B$5*MIN(INDEX(Bases!$Q$2:$Q$53,B404),INDEX(Bases!$Q$2:$Q$53,C404))</f>
        <v>86</v>
      </c>
      <c r="X404" s="2" t="n">
        <f aca="false">Settings!$B$4*MAX(INDEX(Bases!$R$2:$R$53,B404),INDEX(Bases!$R$2:$R$53,C404))+Settings!$B$5*MIN(INDEX(Bases!$R$2:$R$53,B404),INDEX(Bases!$R$2:$R$53,C404))</f>
        <v>66</v>
      </c>
      <c r="Y404" s="2" t="n">
        <f aca="false">S404*Settings!$B$3/SUM(S404:X404)</f>
        <v>82.2291504286828</v>
      </c>
      <c r="Z404" s="2" t="n">
        <f aca="false">T404*Settings!$B$3/SUM(S404:X404)</f>
        <v>81.8394388152767</v>
      </c>
      <c r="AA404" s="2" t="n">
        <f aca="false">U404*Settings!$B$3/SUM(S404:X404)</f>
        <v>67.0303975058457</v>
      </c>
      <c r="AB404" s="2" t="n">
        <f aca="false">V404*Settings!$B$3/SUM(S404:X404)</f>
        <v>91.1925175370226</v>
      </c>
      <c r="AC404" s="2" t="n">
        <f aca="false">W404*Settings!$B$3/SUM(S404:X404)</f>
        <v>100.545596258769</v>
      </c>
      <c r="AD404" s="2" t="n">
        <f aca="false">X404*Settings!$B$3/SUM(S404:X404)</f>
        <v>77.1628994544037</v>
      </c>
      <c r="AE404" s="2" t="n">
        <f aca="false">INT(Y404)</f>
        <v>82</v>
      </c>
      <c r="AF404" s="2" t="n">
        <f aca="false">INT(Z404)</f>
        <v>81</v>
      </c>
      <c r="AG404" s="2" t="n">
        <f aca="false">INT(AA404)</f>
        <v>67</v>
      </c>
      <c r="AH404" s="2" t="n">
        <f aca="false">INT(AB404)</f>
        <v>91</v>
      </c>
      <c r="AI404" s="2" t="n">
        <f aca="false">INT(AC404)</f>
        <v>100</v>
      </c>
      <c r="AJ404" s="2" t="n">
        <f aca="false">INT(AD404)</f>
        <v>77</v>
      </c>
      <c r="AK404" s="2" t="n">
        <f aca="false">Settings!$B$3-SUM(AE404:AJ404)</f>
        <v>2</v>
      </c>
      <c r="AL404" s="2" t="n">
        <f aca="false">ROUND(Y404-AE404,9)</f>
        <v>0.229150429</v>
      </c>
      <c r="AM404" s="2" t="n">
        <f aca="false">ROUND(Z404-AF404,9)</f>
        <v>0.839438815</v>
      </c>
      <c r="AN404" s="2" t="n">
        <f aca="false">ROUND(AA404-AG404,9)</f>
        <v>0.030397506</v>
      </c>
      <c r="AO404" s="2" t="n">
        <f aca="false">ROUND(AB404-AH404,9)</f>
        <v>0.192517537</v>
      </c>
      <c r="AP404" s="2" t="n">
        <f aca="false">ROUND(AC404-AI404,9)</f>
        <v>0.545596259</v>
      </c>
      <c r="AQ404" s="2" t="n">
        <f aca="false">ROUND(AD404-AJ404,9)</f>
        <v>0.162899454</v>
      </c>
    </row>
    <row r="405" customFormat="false" ht="15" hidden="false" customHeight="false" outlineLevel="0" collapsed="false">
      <c r="A405" s="2" t="n">
        <v>404</v>
      </c>
      <c r="B405" s="6" t="n">
        <v>9</v>
      </c>
      <c r="C405" s="6" t="n">
        <v>33</v>
      </c>
      <c r="D405" s="8" t="str">
        <f aca="false">INDEX(Bases!$B$2:$B$53,B405)</f>
        <v>Mudkip</v>
      </c>
      <c r="E405" s="8" t="str">
        <f aca="false">INDEX(Bases!$B$2:$B$53,C405)</f>
        <v>Jirachi</v>
      </c>
      <c r="F405" s="2" t="str">
        <f aca="false">LEFT(D405,ROUNDUP(LEN(D405)/2,0))&amp;LOWER(MID(E405,ROUNDUP(LEN(E405)/2,0)+1,20))</f>
        <v>Mudchi</v>
      </c>
      <c r="G405" s="8" t="str">
        <f aca="false">INDEX(Bases!$C$2:$C$53,B405)</f>
        <v>Water</v>
      </c>
      <c r="H405" s="8" t="str">
        <f aca="false">IF(INDEX(Bases!$C$2:$C$53,C405)=G405,"",INDEX(Bases!$C$2:$C$53,C405))</f>
        <v>Psychic</v>
      </c>
      <c r="I405" s="8" t="str">
        <f aca="false">IF(INDEX(Bases!$E$2:$E$53,B405)="","",INDEX(Bases!$E$2:$E$53,B405))</f>
        <v/>
      </c>
      <c r="J405" s="8" t="str">
        <f aca="false">IF(INDEX(Bases!$E$2:$E$53,C405)="","",INDEX(Bases!$E$2:$E$53,C405))</f>
        <v/>
      </c>
      <c r="K405" s="5"/>
      <c r="L405" s="2" t="n">
        <f aca="false">AE405+IF(SUMPRODUCT(--($AL405:$AQ405&gt;AL405))&lt;$AK405,1,0)</f>
        <v>82</v>
      </c>
      <c r="M405" s="2" t="n">
        <f aca="false">AF405+IF(SUMPRODUCT(--($AL405:$AQ405&gt;AM405))+SUMPRODUCT(--($AL405:AL405=AM405))&lt;$AK405,1,0)</f>
        <v>101</v>
      </c>
      <c r="N405" s="2" t="n">
        <f aca="false">AG405+IF(SUMPRODUCT(--($AL405:$AQ405&gt;AN405))+SUMPRODUCT(--($AL405:AM405=AN405))&lt;$AK405,1,0)</f>
        <v>81</v>
      </c>
      <c r="O405" s="2" t="n">
        <f aca="false">AH405+IF(SUMPRODUCT(--($AL405:$AQ405&gt;AO405))+SUMPRODUCT(--($AL405:AN405=AO405))&lt;$AK405,1,0)</f>
        <v>81</v>
      </c>
      <c r="P405" s="2" t="n">
        <f aca="false">AI405+IF(SUMPRODUCT(--($AL405:$AQ405&gt;AP405))+SUMPRODUCT(--($AL405:AO405=AP405))&lt;$AK405,1,0)</f>
        <v>80</v>
      </c>
      <c r="Q405" s="2" t="n">
        <f aca="false">AJ405+IF(SUMPRODUCT(--($AL405:$AQ405&gt;AQ405))+SUMPRODUCT(--($AL405:AP405=AQ405))&lt;$AK405,1,0)</f>
        <v>75</v>
      </c>
      <c r="R405" s="2" t="n">
        <f aca="false">SUM(L405:Q405)</f>
        <v>500</v>
      </c>
      <c r="S405" s="2" t="n">
        <f aca="false">Settings!$B$4*MAX(INDEX(Bases!$M$2:$M$53,B405),INDEX(Bases!$M$2:$M$53,C405))+Settings!$B$5*MIN(INDEX(Bases!$M$2:$M$53,B405),INDEX(Bases!$M$2:$M$53,C405))</f>
        <v>66.3333333333333</v>
      </c>
      <c r="T405" s="2" t="n">
        <f aca="false">Settings!$B$4*MAX(INDEX(Bases!$N$2:$N$53,B405),INDEX(Bases!$N$2:$N$53,C405))+Settings!$B$5*MIN(INDEX(Bases!$N$2:$N$53,B405),INDEX(Bases!$N$2:$N$53,C405))</f>
        <v>82.3333333333333</v>
      </c>
      <c r="U405" s="2" t="n">
        <f aca="false">Settings!$B$4*MAX(INDEX(Bases!$O$2:$O$53,B405),INDEX(Bases!$O$2:$O$53,C405))+Settings!$B$5*MIN(INDEX(Bases!$O$2:$O$53,B405),INDEX(Bases!$O$2:$O$53,C405))</f>
        <v>66.3333333333333</v>
      </c>
      <c r="V405" s="2" t="n">
        <f aca="false">Settings!$B$4*MAX(INDEX(Bases!$P$2:$P$53,B405),INDEX(Bases!$P$2:$P$53,C405))+Settings!$B$5*MIN(INDEX(Bases!$P$2:$P$53,B405),INDEX(Bases!$P$2:$P$53,C405))</f>
        <v>66</v>
      </c>
      <c r="W405" s="2" t="n">
        <f aca="false">Settings!$B$4*MAX(INDEX(Bases!$Q$2:$Q$53,B405),INDEX(Bases!$Q$2:$Q$53,C405))+Settings!$B$5*MIN(INDEX(Bases!$Q$2:$Q$53,B405),INDEX(Bases!$Q$2:$Q$53,C405))</f>
        <v>65.3333333333333</v>
      </c>
      <c r="X405" s="2" t="n">
        <f aca="false">Settings!$B$4*MAX(INDEX(Bases!$R$2:$R$53,B405),INDEX(Bases!$R$2:$R$53,C405))+Settings!$B$5*MIN(INDEX(Bases!$R$2:$R$53,B405),INDEX(Bases!$R$2:$R$53,C405))</f>
        <v>61.3333333333333</v>
      </c>
      <c r="Y405" s="2" t="n">
        <f aca="false">S405*Settings!$B$3/SUM(S405:X405)</f>
        <v>81.3573180703189</v>
      </c>
      <c r="Z405" s="2" t="n">
        <f aca="false">T405*Settings!$B$3/SUM(S405:X405)</f>
        <v>100.981193785773</v>
      </c>
      <c r="AA405" s="2" t="n">
        <f aca="false">U405*Settings!$B$3/SUM(S405:X405)</f>
        <v>81.3573180703189</v>
      </c>
      <c r="AB405" s="2" t="n">
        <f aca="false">V405*Settings!$B$3/SUM(S405:X405)</f>
        <v>80.9484873262469</v>
      </c>
      <c r="AC405" s="2" t="n">
        <f aca="false">W405*Settings!$B$3/SUM(S405:X405)</f>
        <v>80.130825838103</v>
      </c>
      <c r="AD405" s="2" t="n">
        <f aca="false">X405*Settings!$B$3/SUM(S405:X405)</f>
        <v>75.2248569092396</v>
      </c>
      <c r="AE405" s="2" t="n">
        <f aca="false">INT(Y405)</f>
        <v>81</v>
      </c>
      <c r="AF405" s="2" t="n">
        <f aca="false">INT(Z405)</f>
        <v>100</v>
      </c>
      <c r="AG405" s="2" t="n">
        <f aca="false">INT(AA405)</f>
        <v>81</v>
      </c>
      <c r="AH405" s="2" t="n">
        <f aca="false">INT(AB405)</f>
        <v>80</v>
      </c>
      <c r="AI405" s="2" t="n">
        <f aca="false">INT(AC405)</f>
        <v>80</v>
      </c>
      <c r="AJ405" s="2" t="n">
        <f aca="false">INT(AD405)</f>
        <v>75</v>
      </c>
      <c r="AK405" s="2" t="n">
        <f aca="false">Settings!$B$3-SUM(AE405:AJ405)</f>
        <v>3</v>
      </c>
      <c r="AL405" s="2" t="n">
        <f aca="false">ROUND(Y405-AE405,9)</f>
        <v>0.35731807</v>
      </c>
      <c r="AM405" s="2" t="n">
        <f aca="false">ROUND(Z405-AF405,9)</f>
        <v>0.981193786</v>
      </c>
      <c r="AN405" s="2" t="n">
        <f aca="false">ROUND(AA405-AG405,9)</f>
        <v>0.35731807</v>
      </c>
      <c r="AO405" s="2" t="n">
        <f aca="false">ROUND(AB405-AH405,9)</f>
        <v>0.948487326</v>
      </c>
      <c r="AP405" s="2" t="n">
        <f aca="false">ROUND(AC405-AI405,9)</f>
        <v>0.130825838</v>
      </c>
      <c r="AQ405" s="2" t="n">
        <f aca="false">ROUND(AD405-AJ405,9)</f>
        <v>0.224856909</v>
      </c>
    </row>
    <row r="406" customFormat="false" ht="15" hidden="false" customHeight="false" outlineLevel="0" collapsed="false">
      <c r="A406" s="2" t="n">
        <v>405</v>
      </c>
      <c r="B406" s="6" t="n">
        <v>9</v>
      </c>
      <c r="C406" s="6" t="n">
        <v>34</v>
      </c>
      <c r="D406" s="8" t="str">
        <f aca="false">INDEX(Bases!$B$2:$B$53,B406)</f>
        <v>Mudkip</v>
      </c>
      <c r="E406" s="8" t="str">
        <f aca="false">INDEX(Bases!$B$2:$B$53,C406)</f>
        <v>Paras</v>
      </c>
      <c r="F406" s="2" t="str">
        <f aca="false">LEFT(D406,ROUNDUP(LEN(D406)/2,0))&amp;LOWER(MID(E406,ROUNDUP(LEN(E406)/2,0)+1,20))</f>
        <v>Mudas</v>
      </c>
      <c r="G406" s="8" t="str">
        <f aca="false">INDEX(Bases!$C$2:$C$53,B406)</f>
        <v>Water</v>
      </c>
      <c r="H406" s="8" t="str">
        <f aca="false">IF(INDEX(Bases!$C$2:$C$53,C406)=G406,"",INDEX(Bases!$C$2:$C$53,C406))</f>
        <v>Bug</v>
      </c>
      <c r="I406" s="8" t="str">
        <f aca="false">IF(INDEX(Bases!$E$2:$E$53,B406)="","",INDEX(Bases!$E$2:$E$53,B406))</f>
        <v/>
      </c>
      <c r="J406" s="8" t="str">
        <f aca="false">IF(INDEX(Bases!$E$2:$E$53,C406)="","",INDEX(Bases!$E$2:$E$53,C406))</f>
        <v/>
      </c>
      <c r="K406" s="5"/>
      <c r="L406" s="2" t="n">
        <f aca="false">AE406+IF(SUMPRODUCT(--($AL406:$AQ406&gt;AL406))&lt;$AK406,1,0)</f>
        <v>73</v>
      </c>
      <c r="M406" s="2" t="n">
        <f aca="false">AF406+IF(SUMPRODUCT(--($AL406:$AQ406&gt;AM406))+SUMPRODUCT(--($AL406:AL406=AM406))&lt;$AK406,1,0)</f>
        <v>117</v>
      </c>
      <c r="N406" s="2" t="n">
        <f aca="false">AG406+IF(SUMPRODUCT(--($AL406:$AQ406&gt;AN406))+SUMPRODUCT(--($AL406:AM406=AN406))&lt;$AK406,1,0)</f>
        <v>89</v>
      </c>
      <c r="O406" s="2" t="n">
        <f aca="false">AH406+IF(SUMPRODUCT(--($AL406:$AQ406&gt;AO406))+SUMPRODUCT(--($AL406:AN406=AO406))&lt;$AK406,1,0)</f>
        <v>77</v>
      </c>
      <c r="P406" s="2" t="n">
        <f aca="false">AI406+IF(SUMPRODUCT(--($AL406:$AQ406&gt;AP406))+SUMPRODUCT(--($AL406:AO406=AP406))&lt;$AK406,1,0)</f>
        <v>88</v>
      </c>
      <c r="Q406" s="2" t="n">
        <f aca="false">AJ406+IF(SUMPRODUCT(--($AL406:$AQ406&gt;AQ406))+SUMPRODUCT(--($AL406:AP406=AQ406))&lt;$AK406,1,0)</f>
        <v>56</v>
      </c>
      <c r="R406" s="2" t="n">
        <f aca="false">SUM(L406:Q406)</f>
        <v>500</v>
      </c>
      <c r="S406" s="2" t="n">
        <f aca="false">Settings!$B$4*MAX(INDEX(Bases!$M$2:$M$53,B406),INDEX(Bases!$M$2:$M$53,C406))+Settings!$B$5*MIN(INDEX(Bases!$M$2:$M$53,B406),INDEX(Bases!$M$2:$M$53,C406))</f>
        <v>59.6666666666667</v>
      </c>
      <c r="T406" s="2" t="n">
        <f aca="false">Settings!$B$4*MAX(INDEX(Bases!$N$2:$N$53,B406),INDEX(Bases!$N$2:$N$53,C406))+Settings!$B$5*MIN(INDEX(Bases!$N$2:$N$53,B406),INDEX(Bases!$N$2:$N$53,C406))</f>
        <v>96</v>
      </c>
      <c r="U406" s="2" t="n">
        <f aca="false">Settings!$B$4*MAX(INDEX(Bases!$O$2:$O$53,B406),INDEX(Bases!$O$2:$O$53,C406))+Settings!$B$5*MIN(INDEX(Bases!$O$2:$O$53,B406),INDEX(Bases!$O$2:$O$53,C406))</f>
        <v>73</v>
      </c>
      <c r="V406" s="2" t="n">
        <f aca="false">Settings!$B$4*MAX(INDEX(Bases!$P$2:$P$53,B406),INDEX(Bases!$P$2:$P$53,C406))+Settings!$B$5*MIN(INDEX(Bases!$P$2:$P$53,B406),INDEX(Bases!$P$2:$P$53,C406))</f>
        <v>63.6666666666667</v>
      </c>
      <c r="W406" s="2" t="n">
        <f aca="false">Settings!$B$4*MAX(INDEX(Bases!$Q$2:$Q$53,B406),INDEX(Bases!$Q$2:$Q$53,C406))+Settings!$B$5*MIN(INDEX(Bases!$Q$2:$Q$53,B406),INDEX(Bases!$Q$2:$Q$53,C406))</f>
        <v>72.6666666666667</v>
      </c>
      <c r="X406" s="2" t="n">
        <f aca="false">Settings!$B$4*MAX(INDEX(Bases!$R$2:$R$53,B406),INDEX(Bases!$R$2:$R$53,C406))+Settings!$B$5*MIN(INDEX(Bases!$R$2:$R$53,B406),INDEX(Bases!$R$2:$R$53,C406))</f>
        <v>46.3333333333333</v>
      </c>
      <c r="Y406" s="2" t="n">
        <f aca="false">S406*Settings!$B$3/SUM(S406:X406)</f>
        <v>72.5283630470016</v>
      </c>
      <c r="Z406" s="2" t="n">
        <f aca="false">T406*Settings!$B$3/SUM(S406:X406)</f>
        <v>116.693679092383</v>
      </c>
      <c r="AA406" s="2" t="n">
        <f aca="false">U406*Settings!$B$3/SUM(S406:X406)</f>
        <v>88.7358184764992</v>
      </c>
      <c r="AB406" s="2" t="n">
        <f aca="false">V406*Settings!$B$3/SUM(S406:X406)</f>
        <v>77.3905996758509</v>
      </c>
      <c r="AC406" s="2" t="n">
        <f aca="false">W406*Settings!$B$3/SUM(S406:X406)</f>
        <v>88.3306320907617</v>
      </c>
      <c r="AD406" s="2" t="n">
        <f aca="false">X406*Settings!$B$3/SUM(S406:X406)</f>
        <v>56.3209076175041</v>
      </c>
      <c r="AE406" s="2" t="n">
        <f aca="false">INT(Y406)</f>
        <v>72</v>
      </c>
      <c r="AF406" s="2" t="n">
        <f aca="false">INT(Z406)</f>
        <v>116</v>
      </c>
      <c r="AG406" s="2" t="n">
        <f aca="false">INT(AA406)</f>
        <v>88</v>
      </c>
      <c r="AH406" s="2" t="n">
        <f aca="false">INT(AB406)</f>
        <v>77</v>
      </c>
      <c r="AI406" s="2" t="n">
        <f aca="false">INT(AC406)</f>
        <v>88</v>
      </c>
      <c r="AJ406" s="2" t="n">
        <f aca="false">INT(AD406)</f>
        <v>56</v>
      </c>
      <c r="AK406" s="2" t="n">
        <f aca="false">Settings!$B$3-SUM(AE406:AJ406)</f>
        <v>3</v>
      </c>
      <c r="AL406" s="2" t="n">
        <f aca="false">ROUND(Y406-AE406,9)</f>
        <v>0.528363047</v>
      </c>
      <c r="AM406" s="2" t="n">
        <f aca="false">ROUND(Z406-AF406,9)</f>
        <v>0.693679092</v>
      </c>
      <c r="AN406" s="2" t="n">
        <f aca="false">ROUND(AA406-AG406,9)</f>
        <v>0.735818476</v>
      </c>
      <c r="AO406" s="2" t="n">
        <f aca="false">ROUND(AB406-AH406,9)</f>
        <v>0.390599676</v>
      </c>
      <c r="AP406" s="2" t="n">
        <f aca="false">ROUND(AC406-AI406,9)</f>
        <v>0.330632091</v>
      </c>
      <c r="AQ406" s="2" t="n">
        <f aca="false">ROUND(AD406-AJ406,9)</f>
        <v>0.320907618</v>
      </c>
    </row>
    <row r="407" customFormat="false" ht="15" hidden="false" customHeight="false" outlineLevel="0" collapsed="false">
      <c r="A407" s="2" t="n">
        <v>406</v>
      </c>
      <c r="B407" s="6" t="n">
        <v>9</v>
      </c>
      <c r="C407" s="6" t="n">
        <v>35</v>
      </c>
      <c r="D407" s="8" t="str">
        <f aca="false">INDEX(Bases!$B$2:$B$53,B407)</f>
        <v>Mudkip</v>
      </c>
      <c r="E407" s="8" t="str">
        <f aca="false">INDEX(Bases!$B$2:$B$53,C407)</f>
        <v>Pineco</v>
      </c>
      <c r="F407" s="2" t="str">
        <f aca="false">LEFT(D407,ROUNDUP(LEN(D407)/2,0))&amp;LOWER(MID(E407,ROUNDUP(LEN(E407)/2,0)+1,20))</f>
        <v>Mudeco</v>
      </c>
      <c r="G407" s="8" t="str">
        <f aca="false">INDEX(Bases!$C$2:$C$53,B407)</f>
        <v>Water</v>
      </c>
      <c r="H407" s="8" t="str">
        <f aca="false">IF(INDEX(Bases!$C$2:$C$53,C407)=G407,"",INDEX(Bases!$C$2:$C$53,C407))</f>
        <v>Bug</v>
      </c>
      <c r="I407" s="8" t="str">
        <f aca="false">IF(INDEX(Bases!$E$2:$E$53,B407)="","",INDEX(Bases!$E$2:$E$53,B407))</f>
        <v/>
      </c>
      <c r="J407" s="8" t="str">
        <f aca="false">IF(INDEX(Bases!$E$2:$E$53,C407)="","",INDEX(Bases!$E$2:$E$53,C407))</f>
        <v/>
      </c>
      <c r="K407" s="5"/>
      <c r="L407" s="2" t="n">
        <f aca="false">AE407+IF(SUMPRODUCT(--($AL407:$AQ407&gt;AL407))&lt;$AK407,1,0)</f>
        <v>80</v>
      </c>
      <c r="M407" s="2" t="n">
        <f aca="false">AF407+IF(SUMPRODUCT(--($AL407:$AQ407&gt;AM407))+SUMPRODUCT(--($AL407:AL407=AM407))&lt;$AK407,1,0)</f>
        <v>107</v>
      </c>
      <c r="N407" s="2" t="n">
        <f aca="false">AG407+IF(SUMPRODUCT(--($AL407:$AQ407&gt;AN407))+SUMPRODUCT(--($AL407:AM407=AN407))&lt;$AK407,1,0)</f>
        <v>124</v>
      </c>
      <c r="O407" s="2" t="n">
        <f aca="false">AH407+IF(SUMPRODUCT(--($AL407:$AQ407&gt;AO407))+SUMPRODUCT(--($AL407:AN407=AO407))&lt;$AK407,1,0)</f>
        <v>70</v>
      </c>
      <c r="P407" s="2" t="n">
        <f aca="false">AI407+IF(SUMPRODUCT(--($AL407:$AQ407&gt;AP407))+SUMPRODUCT(--($AL407:AO407=AP407))&lt;$AK407,1,0)</f>
        <v>70</v>
      </c>
      <c r="Q407" s="2" t="n">
        <f aca="false">AJ407+IF(SUMPRODUCT(--($AL407:$AQ407&gt;AQ407))+SUMPRODUCT(--($AL407:AP407=AQ407))&lt;$AK407,1,0)</f>
        <v>49</v>
      </c>
      <c r="R407" s="2" t="n">
        <f aca="false">SUM(L407:Q407)</f>
        <v>500</v>
      </c>
      <c r="S407" s="2" t="n">
        <f aca="false">Settings!$B$4*MAX(INDEX(Bases!$M$2:$M$53,B407),INDEX(Bases!$M$2:$M$53,C407))+Settings!$B$5*MIN(INDEX(Bases!$M$2:$M$53,B407),INDEX(Bases!$M$2:$M$53,C407))</f>
        <v>67.6666666666667</v>
      </c>
      <c r="T407" s="2" t="n">
        <f aca="false">Settings!$B$4*MAX(INDEX(Bases!$N$2:$N$53,B407),INDEX(Bases!$N$2:$N$53,C407))+Settings!$B$5*MIN(INDEX(Bases!$N$2:$N$53,B407),INDEX(Bases!$N$2:$N$53,C407))</f>
        <v>90</v>
      </c>
      <c r="U407" s="2" t="n">
        <f aca="false">Settings!$B$4*MAX(INDEX(Bases!$O$2:$O$53,B407),INDEX(Bases!$O$2:$O$53,C407))+Settings!$B$5*MIN(INDEX(Bases!$O$2:$O$53,B407),INDEX(Bases!$O$2:$O$53,C407))</f>
        <v>104.333333333333</v>
      </c>
      <c r="V407" s="2" t="n">
        <f aca="false">Settings!$B$4*MAX(INDEX(Bases!$P$2:$P$53,B407),INDEX(Bases!$P$2:$P$53,C407))+Settings!$B$5*MIN(INDEX(Bases!$P$2:$P$53,B407),INDEX(Bases!$P$2:$P$53,C407))</f>
        <v>58.6666666666667</v>
      </c>
      <c r="W407" s="2" t="n">
        <f aca="false">Settings!$B$4*MAX(INDEX(Bases!$Q$2:$Q$53,B407),INDEX(Bases!$Q$2:$Q$53,C407))+Settings!$B$5*MIN(INDEX(Bases!$Q$2:$Q$53,B407),INDEX(Bases!$Q$2:$Q$53,C407))</f>
        <v>58.6666666666667</v>
      </c>
      <c r="X407" s="2" t="n">
        <f aca="false">Settings!$B$4*MAX(INDEX(Bases!$R$2:$R$53,B407),INDEX(Bases!$R$2:$R$53,C407))+Settings!$B$5*MIN(INDEX(Bases!$R$2:$R$53,B407),INDEX(Bases!$R$2:$R$53,C407))</f>
        <v>41.6666666666667</v>
      </c>
      <c r="Y407" s="2" t="n">
        <f aca="false">S407*Settings!$B$3/SUM(S407:X407)</f>
        <v>80.3642121931908</v>
      </c>
      <c r="Z407" s="2" t="n">
        <f aca="false">T407*Settings!$B$3/SUM(S407:X407)</f>
        <v>106.888361045131</v>
      </c>
      <c r="AA407" s="2" t="n">
        <f aca="false">U407*Settings!$B$3/SUM(S407:X407)</f>
        <v>123.911322248614</v>
      </c>
      <c r="AB407" s="2" t="n">
        <f aca="false">V407*Settings!$B$3/SUM(S407:X407)</f>
        <v>69.6753760886778</v>
      </c>
      <c r="AC407" s="2" t="n">
        <f aca="false">W407*Settings!$B$3/SUM(S407:X407)</f>
        <v>69.6753760886778</v>
      </c>
      <c r="AD407" s="2" t="n">
        <f aca="false">X407*Settings!$B$3/SUM(S407:X407)</f>
        <v>49.4853523357086</v>
      </c>
      <c r="AE407" s="2" t="n">
        <f aca="false">INT(Y407)</f>
        <v>80</v>
      </c>
      <c r="AF407" s="2" t="n">
        <f aca="false">INT(Z407)</f>
        <v>106</v>
      </c>
      <c r="AG407" s="2" t="n">
        <f aca="false">INT(AA407)</f>
        <v>123</v>
      </c>
      <c r="AH407" s="2" t="n">
        <f aca="false">INT(AB407)</f>
        <v>69</v>
      </c>
      <c r="AI407" s="2" t="n">
        <f aca="false">INT(AC407)</f>
        <v>69</v>
      </c>
      <c r="AJ407" s="2" t="n">
        <f aca="false">INT(AD407)</f>
        <v>49</v>
      </c>
      <c r="AK407" s="2" t="n">
        <f aca="false">Settings!$B$3-SUM(AE407:AJ407)</f>
        <v>4</v>
      </c>
      <c r="AL407" s="2" t="n">
        <f aca="false">ROUND(Y407-AE407,9)</f>
        <v>0.364212193</v>
      </c>
      <c r="AM407" s="2" t="n">
        <f aca="false">ROUND(Z407-AF407,9)</f>
        <v>0.888361045</v>
      </c>
      <c r="AN407" s="2" t="n">
        <f aca="false">ROUND(AA407-AG407,9)</f>
        <v>0.911322249</v>
      </c>
      <c r="AO407" s="2" t="n">
        <f aca="false">ROUND(AB407-AH407,9)</f>
        <v>0.675376089</v>
      </c>
      <c r="AP407" s="2" t="n">
        <f aca="false">ROUND(AC407-AI407,9)</f>
        <v>0.675376089</v>
      </c>
      <c r="AQ407" s="2" t="n">
        <f aca="false">ROUND(AD407-AJ407,9)</f>
        <v>0.485352336</v>
      </c>
    </row>
    <row r="408" customFormat="false" ht="15" hidden="false" customHeight="false" outlineLevel="0" collapsed="false">
      <c r="A408" s="2" t="n">
        <v>407</v>
      </c>
      <c r="B408" s="6" t="n">
        <v>9</v>
      </c>
      <c r="C408" s="6" t="n">
        <v>36</v>
      </c>
      <c r="D408" s="8" t="str">
        <f aca="false">INDEX(Bases!$B$2:$B$53,B408)</f>
        <v>Mudkip</v>
      </c>
      <c r="E408" s="8" t="str">
        <f aca="false">INDEX(Bases!$B$2:$B$53,C408)</f>
        <v>Wurmple</v>
      </c>
      <c r="F408" s="2" t="str">
        <f aca="false">LEFT(D408,ROUNDUP(LEN(D408)/2,0))&amp;LOWER(MID(E408,ROUNDUP(LEN(E408)/2,0)+1,20))</f>
        <v>Mudple</v>
      </c>
      <c r="G408" s="8" t="str">
        <f aca="false">INDEX(Bases!$C$2:$C$53,B408)</f>
        <v>Water</v>
      </c>
      <c r="H408" s="8" t="str">
        <f aca="false">IF(INDEX(Bases!$C$2:$C$53,C408)=G408,"",INDEX(Bases!$C$2:$C$53,C408))</f>
        <v>Bug</v>
      </c>
      <c r="I408" s="8" t="str">
        <f aca="false">IF(INDEX(Bases!$E$2:$E$53,B408)="","",INDEX(Bases!$E$2:$E$53,B408))</f>
        <v/>
      </c>
      <c r="J408" s="8" t="str">
        <f aca="false">IF(INDEX(Bases!$E$2:$E$53,C408)="","",INDEX(Bases!$E$2:$E$53,C408))</f>
        <v/>
      </c>
      <c r="K408" s="5"/>
      <c r="L408" s="2" t="n">
        <f aca="false">AE408+IF(SUMPRODUCT(--($AL408:$AQ408&gt;AL408))&lt;$AK408,1,0)</f>
        <v>101</v>
      </c>
      <c r="M408" s="2" t="n">
        <f aca="false">AF408+IF(SUMPRODUCT(--($AL408:$AQ408&gt;AM408))+SUMPRODUCT(--($AL408:AL408=AM408))&lt;$AK408,1,0)</f>
        <v>111</v>
      </c>
      <c r="N408" s="2" t="n">
        <f aca="false">AG408+IF(SUMPRODUCT(--($AL408:$AQ408&gt;AN408))+SUMPRODUCT(--($AL408:AM408=AN408))&lt;$AK408,1,0)</f>
        <v>84</v>
      </c>
      <c r="O408" s="2" t="n">
        <f aca="false">AH408+IF(SUMPRODUCT(--($AL408:$AQ408&gt;AO408))+SUMPRODUCT(--($AL408:AN408=AO408))&lt;$AK408,1,0)</f>
        <v>68</v>
      </c>
      <c r="P408" s="2" t="n">
        <f aca="false">AI408+IF(SUMPRODUCT(--($AL408:$AQ408&gt;AP408))+SUMPRODUCT(--($AL408:AO408=AP408))&lt;$AK408,1,0)</f>
        <v>77</v>
      </c>
      <c r="Q408" s="2" t="n">
        <f aca="false">AJ408+IF(SUMPRODUCT(--($AL408:$AQ408&gt;AQ408))+SUMPRODUCT(--($AL408:AP408=AQ408))&lt;$AK408,1,0)</f>
        <v>59</v>
      </c>
      <c r="R408" s="2" t="n">
        <f aca="false">SUM(L408:Q408)</f>
        <v>500</v>
      </c>
      <c r="S408" s="2" t="n">
        <f aca="false">Settings!$B$4*MAX(INDEX(Bases!$M$2:$M$53,B408),INDEX(Bases!$M$2:$M$53,C408))+Settings!$B$5*MIN(INDEX(Bases!$M$2:$M$53,B408),INDEX(Bases!$M$2:$M$53,C408))</f>
        <v>83</v>
      </c>
      <c r="T408" s="2" t="n">
        <f aca="false">Settings!$B$4*MAX(INDEX(Bases!$N$2:$N$53,B408),INDEX(Bases!$N$2:$N$53,C408))+Settings!$B$5*MIN(INDEX(Bases!$N$2:$N$53,B408),INDEX(Bases!$N$2:$N$53,C408))</f>
        <v>91.3333333333333</v>
      </c>
      <c r="U408" s="2" t="n">
        <f aca="false">Settings!$B$4*MAX(INDEX(Bases!$O$2:$O$53,B408),INDEX(Bases!$O$2:$O$53,C408))+Settings!$B$5*MIN(INDEX(Bases!$O$2:$O$53,B408),INDEX(Bases!$O$2:$O$53,C408))</f>
        <v>69.6666666666667</v>
      </c>
      <c r="V408" s="2" t="n">
        <f aca="false">Settings!$B$4*MAX(INDEX(Bases!$P$2:$P$53,B408),INDEX(Bases!$P$2:$P$53,C408))+Settings!$B$5*MIN(INDEX(Bases!$P$2:$P$53,B408),INDEX(Bases!$P$2:$P$53,C408))</f>
        <v>56.3333333333333</v>
      </c>
      <c r="W408" s="2" t="n">
        <f aca="false">Settings!$B$4*MAX(INDEX(Bases!$Q$2:$Q$53,B408),INDEX(Bases!$Q$2:$Q$53,C408))+Settings!$B$5*MIN(INDEX(Bases!$Q$2:$Q$53,B408),INDEX(Bases!$Q$2:$Q$53,C408))</f>
        <v>63.3333333333333</v>
      </c>
      <c r="X408" s="2" t="n">
        <f aca="false">Settings!$B$4*MAX(INDEX(Bases!$R$2:$R$53,B408),INDEX(Bases!$R$2:$R$53,C408))+Settings!$B$5*MIN(INDEX(Bases!$R$2:$R$53,B408),INDEX(Bases!$R$2:$R$53,C408))</f>
        <v>48.3333333333333</v>
      </c>
      <c r="Y408" s="2" t="n">
        <f aca="false">S408*Settings!$B$3/SUM(S408:X408)</f>
        <v>100.728155339806</v>
      </c>
      <c r="Z408" s="2" t="n">
        <f aca="false">T408*Settings!$B$3/SUM(S408:X408)</f>
        <v>110.84142394822</v>
      </c>
      <c r="AA408" s="2" t="n">
        <f aca="false">U408*Settings!$B$3/SUM(S408:X408)</f>
        <v>84.5469255663431</v>
      </c>
      <c r="AB408" s="2" t="n">
        <f aca="false">V408*Settings!$B$3/SUM(S408:X408)</f>
        <v>68.3656957928803</v>
      </c>
      <c r="AC408" s="2" t="n">
        <f aca="false">W408*Settings!$B$3/SUM(S408:X408)</f>
        <v>76.8608414239482</v>
      </c>
      <c r="AD408" s="2" t="n">
        <f aca="false">X408*Settings!$B$3/SUM(S408:X408)</f>
        <v>58.6569579288026</v>
      </c>
      <c r="AE408" s="2" t="n">
        <f aca="false">INT(Y408)</f>
        <v>100</v>
      </c>
      <c r="AF408" s="2" t="n">
        <f aca="false">INT(Z408)</f>
        <v>110</v>
      </c>
      <c r="AG408" s="2" t="n">
        <f aca="false">INT(AA408)</f>
        <v>84</v>
      </c>
      <c r="AH408" s="2" t="n">
        <f aca="false">INT(AB408)</f>
        <v>68</v>
      </c>
      <c r="AI408" s="2" t="n">
        <f aca="false">INT(AC408)</f>
        <v>76</v>
      </c>
      <c r="AJ408" s="2" t="n">
        <f aca="false">INT(AD408)</f>
        <v>58</v>
      </c>
      <c r="AK408" s="2" t="n">
        <f aca="false">Settings!$B$3-SUM(AE408:AJ408)</f>
        <v>4</v>
      </c>
      <c r="AL408" s="2" t="n">
        <f aca="false">ROUND(Y408-AE408,9)</f>
        <v>0.72815534</v>
      </c>
      <c r="AM408" s="2" t="n">
        <f aca="false">ROUND(Z408-AF408,9)</f>
        <v>0.841423948</v>
      </c>
      <c r="AN408" s="2" t="n">
        <f aca="false">ROUND(AA408-AG408,9)</f>
        <v>0.546925566</v>
      </c>
      <c r="AO408" s="2" t="n">
        <f aca="false">ROUND(AB408-AH408,9)</f>
        <v>0.365695793</v>
      </c>
      <c r="AP408" s="2" t="n">
        <f aca="false">ROUND(AC408-AI408,9)</f>
        <v>0.860841424</v>
      </c>
      <c r="AQ408" s="2" t="n">
        <f aca="false">ROUND(AD408-AJ408,9)</f>
        <v>0.656957929</v>
      </c>
    </row>
    <row r="409" customFormat="false" ht="15" hidden="false" customHeight="false" outlineLevel="0" collapsed="false">
      <c r="A409" s="2" t="n">
        <v>408</v>
      </c>
      <c r="B409" s="6" t="n">
        <v>9</v>
      </c>
      <c r="C409" s="6" t="n">
        <v>37</v>
      </c>
      <c r="D409" s="8" t="str">
        <f aca="false">INDEX(Bases!$B$2:$B$53,B409)</f>
        <v>Mudkip</v>
      </c>
      <c r="E409" s="8" t="str">
        <f aca="false">INDEX(Bases!$B$2:$B$53,C409)</f>
        <v>Shuckle</v>
      </c>
      <c r="F409" s="2" t="str">
        <f aca="false">LEFT(D409,ROUNDUP(LEN(D409)/2,0))&amp;LOWER(MID(E409,ROUNDUP(LEN(E409)/2,0)+1,20))</f>
        <v>Mudkle</v>
      </c>
      <c r="G409" s="8" t="str">
        <f aca="false">INDEX(Bases!$C$2:$C$53,B409)</f>
        <v>Water</v>
      </c>
      <c r="H409" s="8" t="str">
        <f aca="false">IF(INDEX(Bases!$C$2:$C$53,C409)=G409,"",INDEX(Bases!$C$2:$C$53,C409))</f>
        <v>Rock</v>
      </c>
      <c r="I409" s="8" t="str">
        <f aca="false">IF(INDEX(Bases!$E$2:$E$53,B409)="","",INDEX(Bases!$E$2:$E$53,B409))</f>
        <v/>
      </c>
      <c r="J409" s="8" t="str">
        <f aca="false">IF(INDEX(Bases!$E$2:$E$53,C409)="","",INDEX(Bases!$E$2:$E$53,C409))</f>
        <v/>
      </c>
      <c r="K409" s="5"/>
      <c r="L409" s="2" t="n">
        <f aca="false">AE409+IF(SUMPRODUCT(--($AL409:$AQ409&gt;AL409))&lt;$AK409,1,0)</f>
        <v>51</v>
      </c>
      <c r="M409" s="2" t="n">
        <f aca="false">AF409+IF(SUMPRODUCT(--($AL409:$AQ409&gt;AM409))+SUMPRODUCT(--($AL409:AL409=AM409))&lt;$AK409,1,0)</f>
        <v>66</v>
      </c>
      <c r="N409" s="2" t="n">
        <f aca="false">AG409+IF(SUMPRODUCT(--($AL409:$AQ409&gt;AN409))+SUMPRODUCT(--($AL409:AM409=AN409))&lt;$AK409,1,0)</f>
        <v>149</v>
      </c>
      <c r="O409" s="2" t="n">
        <f aca="false">AH409+IF(SUMPRODUCT(--($AL409:$AQ409&gt;AO409))+SUMPRODUCT(--($AL409:AN409=AO409))&lt;$AK409,1,0)</f>
        <v>47</v>
      </c>
      <c r="P409" s="2" t="n">
        <f aca="false">AI409+IF(SUMPRODUCT(--($AL409:$AQ409&gt;AP409))+SUMPRODUCT(--($AL409:AO409=AP409))&lt;$AK409,1,0)</f>
        <v>149</v>
      </c>
      <c r="Q409" s="2" t="n">
        <f aca="false">AJ409+IF(SUMPRODUCT(--($AL409:$AQ409&gt;AQ409))+SUMPRODUCT(--($AL409:AP409=AQ409))&lt;$AK409,1,0)</f>
        <v>38</v>
      </c>
      <c r="R409" s="2" t="n">
        <f aca="false">SUM(L409:Q409)</f>
        <v>500</v>
      </c>
      <c r="S409" s="2" t="n">
        <f aca="false">Settings!$B$4*MAX(INDEX(Bases!$M$2:$M$53,B409),INDEX(Bases!$M$2:$M$53,C409))+Settings!$B$5*MIN(INDEX(Bases!$M$2:$M$53,B409),INDEX(Bases!$M$2:$M$53,C409))</f>
        <v>48.6666666666667</v>
      </c>
      <c r="T409" s="2" t="n">
        <f aca="false">Settings!$B$4*MAX(INDEX(Bases!$N$2:$N$53,B409),INDEX(Bases!$N$2:$N$53,C409))+Settings!$B$5*MIN(INDEX(Bases!$N$2:$N$53,B409),INDEX(Bases!$N$2:$N$53,C409))</f>
        <v>62.6666666666667</v>
      </c>
      <c r="U409" s="2" t="n">
        <f aca="false">Settings!$B$4*MAX(INDEX(Bases!$O$2:$O$53,B409),INDEX(Bases!$O$2:$O$53,C409))+Settings!$B$5*MIN(INDEX(Bases!$O$2:$O$53,B409),INDEX(Bases!$O$2:$O$53,C409))</f>
        <v>143</v>
      </c>
      <c r="V409" s="2" t="n">
        <f aca="false">Settings!$B$4*MAX(INDEX(Bases!$P$2:$P$53,B409),INDEX(Bases!$P$2:$P$53,C409))+Settings!$B$5*MIN(INDEX(Bases!$P$2:$P$53,B409),INDEX(Bases!$P$2:$P$53,C409))</f>
        <v>45.3333333333333</v>
      </c>
      <c r="W409" s="2" t="n">
        <f aca="false">Settings!$B$4*MAX(INDEX(Bases!$Q$2:$Q$53,B409),INDEX(Bases!$Q$2:$Q$53,C409))+Settings!$B$5*MIN(INDEX(Bases!$Q$2:$Q$53,B409),INDEX(Bases!$Q$2:$Q$53,C409))</f>
        <v>142.666666666667</v>
      </c>
      <c r="X409" s="2" t="n">
        <f aca="false">Settings!$B$4*MAX(INDEX(Bases!$R$2:$R$53,B409),INDEX(Bases!$R$2:$R$53,C409))+Settings!$B$5*MIN(INDEX(Bases!$R$2:$R$53,B409),INDEX(Bases!$R$2:$R$53,C409))</f>
        <v>36</v>
      </c>
      <c r="Y409" s="2" t="n">
        <f aca="false">S409*Settings!$B$3/SUM(S409:X409)</f>
        <v>50.8710801393728</v>
      </c>
      <c r="Z409" s="2" t="n">
        <f aca="false">T409*Settings!$B$3/SUM(S409:X409)</f>
        <v>65.5052264808362</v>
      </c>
      <c r="AA409" s="2" t="n">
        <f aca="false">U409*Settings!$B$3/SUM(S409:X409)</f>
        <v>149.477351916376</v>
      </c>
      <c r="AB409" s="2" t="n">
        <f aca="false">V409*Settings!$B$3/SUM(S409:X409)</f>
        <v>47.3867595818815</v>
      </c>
      <c r="AC409" s="2" t="n">
        <f aca="false">W409*Settings!$B$3/SUM(S409:X409)</f>
        <v>149.128919860627</v>
      </c>
      <c r="AD409" s="2" t="n">
        <f aca="false">X409*Settings!$B$3/SUM(S409:X409)</f>
        <v>37.6306620209059</v>
      </c>
      <c r="AE409" s="2" t="n">
        <f aca="false">INT(Y409)</f>
        <v>50</v>
      </c>
      <c r="AF409" s="2" t="n">
        <f aca="false">INT(Z409)</f>
        <v>65</v>
      </c>
      <c r="AG409" s="2" t="n">
        <f aca="false">INT(AA409)</f>
        <v>149</v>
      </c>
      <c r="AH409" s="2" t="n">
        <f aca="false">INT(AB409)</f>
        <v>47</v>
      </c>
      <c r="AI409" s="2" t="n">
        <f aca="false">INT(AC409)</f>
        <v>149</v>
      </c>
      <c r="AJ409" s="2" t="n">
        <f aca="false">INT(AD409)</f>
        <v>37</v>
      </c>
      <c r="AK409" s="2" t="n">
        <f aca="false">Settings!$B$3-SUM(AE409:AJ409)</f>
        <v>3</v>
      </c>
      <c r="AL409" s="2" t="n">
        <f aca="false">ROUND(Y409-AE409,9)</f>
        <v>0.871080139</v>
      </c>
      <c r="AM409" s="2" t="n">
        <f aca="false">ROUND(Z409-AF409,9)</f>
        <v>0.505226481</v>
      </c>
      <c r="AN409" s="2" t="n">
        <f aca="false">ROUND(AA409-AG409,9)</f>
        <v>0.477351916</v>
      </c>
      <c r="AO409" s="2" t="n">
        <f aca="false">ROUND(AB409-AH409,9)</f>
        <v>0.386759582</v>
      </c>
      <c r="AP409" s="2" t="n">
        <f aca="false">ROUND(AC409-AI409,9)</f>
        <v>0.128919861</v>
      </c>
      <c r="AQ409" s="2" t="n">
        <f aca="false">ROUND(AD409-AJ409,9)</f>
        <v>0.630662021</v>
      </c>
    </row>
    <row r="410" customFormat="false" ht="15" hidden="false" customHeight="false" outlineLevel="0" collapsed="false">
      <c r="A410" s="2" t="n">
        <v>409</v>
      </c>
      <c r="B410" s="6" t="n">
        <v>9</v>
      </c>
      <c r="C410" s="6" t="n">
        <v>38</v>
      </c>
      <c r="D410" s="8" t="str">
        <f aca="false">INDEX(Bases!$B$2:$B$53,B410)</f>
        <v>Mudkip</v>
      </c>
      <c r="E410" s="8" t="str">
        <f aca="false">INDEX(Bases!$B$2:$B$53,C410)</f>
        <v>Larvitar</v>
      </c>
      <c r="F410" s="2" t="str">
        <f aca="false">LEFT(D410,ROUNDUP(LEN(D410)/2,0))&amp;LOWER(MID(E410,ROUNDUP(LEN(E410)/2,0)+1,20))</f>
        <v>Muditar</v>
      </c>
      <c r="G410" s="8" t="str">
        <f aca="false">INDEX(Bases!$C$2:$C$53,B410)</f>
        <v>Water</v>
      </c>
      <c r="H410" s="8" t="str">
        <f aca="false">IF(INDEX(Bases!$C$2:$C$53,C410)=G410,"",INDEX(Bases!$C$2:$C$53,C410))</f>
        <v>Rock</v>
      </c>
      <c r="I410" s="8" t="str">
        <f aca="false">IF(INDEX(Bases!$E$2:$E$53,B410)="","",INDEX(Bases!$E$2:$E$53,B410))</f>
        <v/>
      </c>
      <c r="J410" s="8" t="str">
        <f aca="false">IF(INDEX(Bases!$E$2:$E$53,C410)="","",INDEX(Bases!$E$2:$E$53,C410))</f>
        <v/>
      </c>
      <c r="K410" s="5"/>
      <c r="L410" s="2" t="n">
        <f aca="false">AE410+IF(SUMPRODUCT(--($AL410:$AQ410&gt;AL410))&lt;$AK410,1,0)</f>
        <v>82</v>
      </c>
      <c r="M410" s="2" t="n">
        <f aca="false">AF410+IF(SUMPRODUCT(--($AL410:$AQ410&gt;AM410))+SUMPRODUCT(--($AL410:AL410=AM410))&lt;$AK410,1,0)</f>
        <v>110</v>
      </c>
      <c r="N410" s="2" t="n">
        <f aca="false">AG410+IF(SUMPRODUCT(--($AL410:$AQ410&gt;AN410))+SUMPRODUCT(--($AL410:AM410=AN410))&lt;$AK410,1,0)</f>
        <v>82</v>
      </c>
      <c r="O410" s="2" t="n">
        <f aca="false">AH410+IF(SUMPRODUCT(--($AL410:$AQ410&gt;AO410))+SUMPRODUCT(--($AL410:AN410=AO410))&lt;$AK410,1,0)</f>
        <v>78</v>
      </c>
      <c r="P410" s="2" t="n">
        <f aca="false">AI410+IF(SUMPRODUCT(--($AL410:$AQ410&gt;AP410))+SUMPRODUCT(--($AL410:AO410=AP410))&lt;$AK410,1,0)</f>
        <v>82</v>
      </c>
      <c r="Q410" s="2" t="n">
        <f aca="false">AJ410+IF(SUMPRODUCT(--($AL410:$AQ410&gt;AQ410))+SUMPRODUCT(--($AL410:AP410=AQ410))&lt;$AK410,1,0)</f>
        <v>66</v>
      </c>
      <c r="R410" s="2" t="n">
        <f aca="false">SUM(L410:Q410)</f>
        <v>500</v>
      </c>
      <c r="S410" s="2" t="n">
        <f aca="false">Settings!$B$4*MAX(INDEX(Bases!$M$2:$M$53,B410),INDEX(Bases!$M$2:$M$53,C410))+Settings!$B$5*MIN(INDEX(Bases!$M$2:$M$53,B410),INDEX(Bases!$M$2:$M$53,C410))</f>
        <v>66.3333333333333</v>
      </c>
      <c r="T410" s="2" t="n">
        <f aca="false">Settings!$B$4*MAX(INDEX(Bases!$N$2:$N$53,B410),INDEX(Bases!$N$2:$N$53,C410))+Settings!$B$5*MIN(INDEX(Bases!$N$2:$N$53,B410),INDEX(Bases!$N$2:$N$53,C410))</f>
        <v>88.3333333333333</v>
      </c>
      <c r="U410" s="2" t="n">
        <f aca="false">Settings!$B$4*MAX(INDEX(Bases!$O$2:$O$53,B410),INDEX(Bases!$O$2:$O$53,C410))+Settings!$B$5*MIN(INDEX(Bases!$O$2:$O$53,B410),INDEX(Bases!$O$2:$O$53,C410))</f>
        <v>66.3333333333333</v>
      </c>
      <c r="V410" s="2" t="n">
        <f aca="false">Settings!$B$4*MAX(INDEX(Bases!$P$2:$P$53,B410),INDEX(Bases!$P$2:$P$53,C410))+Settings!$B$5*MIN(INDEX(Bases!$P$2:$P$53,B410),INDEX(Bases!$P$2:$P$53,C410))</f>
        <v>62.6666666666667</v>
      </c>
      <c r="W410" s="2" t="n">
        <f aca="false">Settings!$B$4*MAX(INDEX(Bases!$Q$2:$Q$53,B410),INDEX(Bases!$Q$2:$Q$53,C410))+Settings!$B$5*MIN(INDEX(Bases!$Q$2:$Q$53,B410),INDEX(Bases!$Q$2:$Q$53,C410))</f>
        <v>66</v>
      </c>
      <c r="X410" s="2" t="n">
        <f aca="false">Settings!$B$4*MAX(INDEX(Bases!$R$2:$R$53,B410),INDEX(Bases!$R$2:$R$53,C410))+Settings!$B$5*MIN(INDEX(Bases!$R$2:$R$53,B410),INDEX(Bases!$R$2:$R$53,C410))</f>
        <v>53.3333333333333</v>
      </c>
      <c r="Y410" s="2" t="n">
        <f aca="false">S410*Settings!$B$3/SUM(S410:X410)</f>
        <v>82.2994210090984</v>
      </c>
      <c r="Z410" s="2" t="n">
        <f aca="false">T410*Settings!$B$3/SUM(S410:X410)</f>
        <v>109.5947063689</v>
      </c>
      <c r="AA410" s="2" t="n">
        <f aca="false">U410*Settings!$B$3/SUM(S410:X410)</f>
        <v>82.2994210090984</v>
      </c>
      <c r="AB410" s="2" t="n">
        <f aca="false">V410*Settings!$B$3/SUM(S410:X410)</f>
        <v>77.7502067824649</v>
      </c>
      <c r="AC410" s="2" t="n">
        <f aca="false">W410*Settings!$B$3/SUM(S410:X410)</f>
        <v>81.8858560794045</v>
      </c>
      <c r="AD410" s="2" t="n">
        <f aca="false">X410*Settings!$B$3/SUM(S410:X410)</f>
        <v>66.1703887510339</v>
      </c>
      <c r="AE410" s="2" t="n">
        <f aca="false">INT(Y410)</f>
        <v>82</v>
      </c>
      <c r="AF410" s="2" t="n">
        <f aca="false">INT(Z410)</f>
        <v>109</v>
      </c>
      <c r="AG410" s="2" t="n">
        <f aca="false">INT(AA410)</f>
        <v>82</v>
      </c>
      <c r="AH410" s="2" t="n">
        <f aca="false">INT(AB410)</f>
        <v>77</v>
      </c>
      <c r="AI410" s="2" t="n">
        <f aca="false">INT(AC410)</f>
        <v>81</v>
      </c>
      <c r="AJ410" s="2" t="n">
        <f aca="false">INT(AD410)</f>
        <v>66</v>
      </c>
      <c r="AK410" s="2" t="n">
        <f aca="false">Settings!$B$3-SUM(AE410:AJ410)</f>
        <v>3</v>
      </c>
      <c r="AL410" s="2" t="n">
        <f aca="false">ROUND(Y410-AE410,9)</f>
        <v>0.299421009</v>
      </c>
      <c r="AM410" s="2" t="n">
        <f aca="false">ROUND(Z410-AF410,9)</f>
        <v>0.594706369</v>
      </c>
      <c r="AN410" s="2" t="n">
        <f aca="false">ROUND(AA410-AG410,9)</f>
        <v>0.299421009</v>
      </c>
      <c r="AO410" s="2" t="n">
        <f aca="false">ROUND(AB410-AH410,9)</f>
        <v>0.750206782</v>
      </c>
      <c r="AP410" s="2" t="n">
        <f aca="false">ROUND(AC410-AI410,9)</f>
        <v>0.885856079</v>
      </c>
      <c r="AQ410" s="2" t="n">
        <f aca="false">ROUND(AD410-AJ410,9)</f>
        <v>0.170388751</v>
      </c>
    </row>
    <row r="411" customFormat="false" ht="15" hidden="false" customHeight="false" outlineLevel="0" collapsed="false">
      <c r="A411" s="2" t="n">
        <v>410</v>
      </c>
      <c r="B411" s="6" t="n">
        <v>9</v>
      </c>
      <c r="C411" s="6" t="n">
        <v>39</v>
      </c>
      <c r="D411" s="8" t="str">
        <f aca="false">INDEX(Bases!$B$2:$B$53,B411)</f>
        <v>Mudkip</v>
      </c>
      <c r="E411" s="8" t="str">
        <f aca="false">INDEX(Bases!$B$2:$B$53,C411)</f>
        <v>Nosepass</v>
      </c>
      <c r="F411" s="2" t="str">
        <f aca="false">LEFT(D411,ROUNDUP(LEN(D411)/2,0))&amp;LOWER(MID(E411,ROUNDUP(LEN(E411)/2,0)+1,20))</f>
        <v>Mudpass</v>
      </c>
      <c r="G411" s="8" t="str">
        <f aca="false">INDEX(Bases!$C$2:$C$53,B411)</f>
        <v>Water</v>
      </c>
      <c r="H411" s="8" t="str">
        <f aca="false">IF(INDEX(Bases!$C$2:$C$53,C411)=G411,"",INDEX(Bases!$C$2:$C$53,C411))</f>
        <v>Rock</v>
      </c>
      <c r="I411" s="8" t="str">
        <f aca="false">IF(INDEX(Bases!$E$2:$E$53,B411)="","",INDEX(Bases!$E$2:$E$53,B411))</f>
        <v/>
      </c>
      <c r="J411" s="8" t="str">
        <f aca="false">IF(INDEX(Bases!$E$2:$E$53,C411)="","",INDEX(Bases!$E$2:$E$53,C411))</f>
        <v/>
      </c>
      <c r="K411" s="5"/>
      <c r="L411" s="2" t="n">
        <f aca="false">AE411+IF(SUMPRODUCT(--($AL411:$AQ411&gt;AL411))&lt;$AK411,1,0)</f>
        <v>62</v>
      </c>
      <c r="M411" s="2" t="n">
        <f aca="false">AF411+IF(SUMPRODUCT(--($AL411:$AQ411&gt;AM411))+SUMPRODUCT(--($AL411:AL411=AM411))&lt;$AK411,1,0)</f>
        <v>87</v>
      </c>
      <c r="N411" s="2" t="n">
        <f aca="false">AG411+IF(SUMPRODUCT(--($AL411:$AQ411&gt;AN411))+SUMPRODUCT(--($AL411:AM411=AN411))&lt;$AK411,1,0)</f>
        <v>134</v>
      </c>
      <c r="O411" s="2" t="n">
        <f aca="false">AH411+IF(SUMPRODUCT(--($AL411:$AQ411&gt;AO411))+SUMPRODUCT(--($AL411:AN411=AO411))&lt;$AK411,1,0)</f>
        <v>67</v>
      </c>
      <c r="P411" s="2" t="n">
        <f aca="false">AI411+IF(SUMPRODUCT(--($AL411:$AQ411&gt;AP411))+SUMPRODUCT(--($AL411:AO411=AP411))&lt;$AK411,1,0)</f>
        <v>98</v>
      </c>
      <c r="Q411" s="2" t="n">
        <f aca="false">AJ411+IF(SUMPRODUCT(--($AL411:$AQ411&gt;AQ411))+SUMPRODUCT(--($AL411:AP411=AQ411))&lt;$AK411,1,0)</f>
        <v>52</v>
      </c>
      <c r="R411" s="2" t="n">
        <f aca="false">SUM(L411:Q411)</f>
        <v>500</v>
      </c>
      <c r="S411" s="2" t="n">
        <f aca="false">Settings!$B$4*MAX(INDEX(Bases!$M$2:$M$53,B411),INDEX(Bases!$M$2:$M$53,C411))+Settings!$B$5*MIN(INDEX(Bases!$M$2:$M$53,B411),INDEX(Bases!$M$2:$M$53,C411))</f>
        <v>54</v>
      </c>
      <c r="T411" s="2" t="n">
        <f aca="false">Settings!$B$4*MAX(INDEX(Bases!$N$2:$N$53,B411),INDEX(Bases!$N$2:$N$53,C411))+Settings!$B$5*MIN(INDEX(Bases!$N$2:$N$53,B411),INDEX(Bases!$N$2:$N$53,C411))</f>
        <v>76</v>
      </c>
      <c r="U411" s="2" t="n">
        <f aca="false">Settings!$B$4*MAX(INDEX(Bases!$O$2:$O$53,B411),INDEX(Bases!$O$2:$O$53,C411))+Settings!$B$5*MIN(INDEX(Bases!$O$2:$O$53,B411),INDEX(Bases!$O$2:$O$53,C411))</f>
        <v>117.666666666667</v>
      </c>
      <c r="V411" s="2" t="n">
        <f aca="false">Settings!$B$4*MAX(INDEX(Bases!$P$2:$P$53,B411),INDEX(Bases!$P$2:$P$53,C411))+Settings!$B$5*MIN(INDEX(Bases!$P$2:$P$53,B411),INDEX(Bases!$P$2:$P$53,C411))</f>
        <v>58.6666666666667</v>
      </c>
      <c r="W411" s="2" t="n">
        <f aca="false">Settings!$B$4*MAX(INDEX(Bases!$Q$2:$Q$53,B411),INDEX(Bases!$Q$2:$Q$53,C411))+Settings!$B$5*MIN(INDEX(Bases!$Q$2:$Q$53,B411),INDEX(Bases!$Q$2:$Q$53,C411))</f>
        <v>85.3333333333333</v>
      </c>
      <c r="X411" s="2" t="n">
        <f aca="false">Settings!$B$4*MAX(INDEX(Bases!$R$2:$R$53,B411),INDEX(Bases!$R$2:$R$53,C411))+Settings!$B$5*MIN(INDEX(Bases!$R$2:$R$53,B411),INDEX(Bases!$R$2:$R$53,C411))</f>
        <v>45.3333333333333</v>
      </c>
      <c r="Y411" s="2" t="n">
        <f aca="false">S411*Settings!$B$3/SUM(S411:X411)</f>
        <v>61.7848970251716</v>
      </c>
      <c r="Z411" s="2" t="n">
        <f aca="false">T411*Settings!$B$3/SUM(S411:X411)</f>
        <v>86.9565217391304</v>
      </c>
      <c r="AA411" s="2" t="n">
        <f aca="false">U411*Settings!$B$3/SUM(S411:X411)</f>
        <v>134.630053394355</v>
      </c>
      <c r="AB411" s="2" t="n">
        <f aca="false">V411*Settings!$B$3/SUM(S411:X411)</f>
        <v>67.1243325705568</v>
      </c>
      <c r="AC411" s="2" t="n">
        <f aca="false">W411*Settings!$B$3/SUM(S411:X411)</f>
        <v>97.6353928299009</v>
      </c>
      <c r="AD411" s="2" t="n">
        <f aca="false">X411*Settings!$B$3/SUM(S411:X411)</f>
        <v>51.8688024408848</v>
      </c>
      <c r="AE411" s="2" t="n">
        <f aca="false">INT(Y411)</f>
        <v>61</v>
      </c>
      <c r="AF411" s="2" t="n">
        <f aca="false">INT(Z411)</f>
        <v>86</v>
      </c>
      <c r="AG411" s="2" t="n">
        <f aca="false">INT(AA411)</f>
        <v>134</v>
      </c>
      <c r="AH411" s="2" t="n">
        <f aca="false">INT(AB411)</f>
        <v>67</v>
      </c>
      <c r="AI411" s="2" t="n">
        <f aca="false">INT(AC411)</f>
        <v>97</v>
      </c>
      <c r="AJ411" s="2" t="n">
        <f aca="false">INT(AD411)</f>
        <v>51</v>
      </c>
      <c r="AK411" s="2" t="n">
        <f aca="false">Settings!$B$3-SUM(AE411:AJ411)</f>
        <v>4</v>
      </c>
      <c r="AL411" s="2" t="n">
        <f aca="false">ROUND(Y411-AE411,9)</f>
        <v>0.784897025</v>
      </c>
      <c r="AM411" s="2" t="n">
        <f aca="false">ROUND(Z411-AF411,9)</f>
        <v>0.956521739</v>
      </c>
      <c r="AN411" s="2" t="n">
        <f aca="false">ROUND(AA411-AG411,9)</f>
        <v>0.630053394</v>
      </c>
      <c r="AO411" s="2" t="n">
        <f aca="false">ROUND(AB411-AH411,9)</f>
        <v>0.124332571</v>
      </c>
      <c r="AP411" s="2" t="n">
        <f aca="false">ROUND(AC411-AI411,9)</f>
        <v>0.63539283</v>
      </c>
      <c r="AQ411" s="2" t="n">
        <f aca="false">ROUND(AD411-AJ411,9)</f>
        <v>0.868802441</v>
      </c>
    </row>
    <row r="412" customFormat="false" ht="15" hidden="false" customHeight="false" outlineLevel="0" collapsed="false">
      <c r="A412" s="2" t="n">
        <v>411</v>
      </c>
      <c r="B412" s="6" t="n">
        <v>9</v>
      </c>
      <c r="C412" s="6" t="n">
        <v>40</v>
      </c>
      <c r="D412" s="8" t="str">
        <f aca="false">INDEX(Bases!$B$2:$B$53,B412)</f>
        <v>Mudkip</v>
      </c>
      <c r="E412" s="8" t="str">
        <f aca="false">INDEX(Bases!$B$2:$B$53,C412)</f>
        <v>Gastly</v>
      </c>
      <c r="F412" s="2" t="str">
        <f aca="false">LEFT(D412,ROUNDUP(LEN(D412)/2,0))&amp;LOWER(MID(E412,ROUNDUP(LEN(E412)/2,0)+1,20))</f>
        <v>Mudtly</v>
      </c>
      <c r="G412" s="8" t="str">
        <f aca="false">INDEX(Bases!$C$2:$C$53,B412)</f>
        <v>Water</v>
      </c>
      <c r="H412" s="8" t="str">
        <f aca="false">IF(INDEX(Bases!$C$2:$C$53,C412)=G412,"",INDEX(Bases!$C$2:$C$53,C412))</f>
        <v>Ghost</v>
      </c>
      <c r="I412" s="8" t="str">
        <f aca="false">IF(INDEX(Bases!$E$2:$E$53,B412)="","",INDEX(Bases!$E$2:$E$53,B412))</f>
        <v/>
      </c>
      <c r="J412" s="8" t="str">
        <f aca="false">IF(INDEX(Bases!$E$2:$E$53,C412)="","",INDEX(Bases!$E$2:$E$53,C412))</f>
        <v/>
      </c>
      <c r="K412" s="5"/>
      <c r="L412" s="2" t="n">
        <f aca="false">AE412+IF(SUMPRODUCT(--($AL412:$AQ412&gt;AL412))&lt;$AK412,1,0)</f>
        <v>64</v>
      </c>
      <c r="M412" s="2" t="n">
        <f aca="false">AF412+IF(SUMPRODUCT(--($AL412:$AQ412&gt;AM412))+SUMPRODUCT(--($AL412:AL412=AM412))&lt;$AK412,1,0)</f>
        <v>86</v>
      </c>
      <c r="N412" s="2" t="n">
        <f aca="false">AG412+IF(SUMPRODUCT(--($AL412:$AQ412&gt;AN412))+SUMPRODUCT(--($AL412:AM412=AN412))&lt;$AK412,1,0)</f>
        <v>64</v>
      </c>
      <c r="O412" s="2" t="n">
        <f aca="false">AH412+IF(SUMPRODUCT(--($AL412:$AQ412&gt;AO412))+SUMPRODUCT(--($AL412:AN412=AO412))&lt;$AK412,1,0)</f>
        <v>122</v>
      </c>
      <c r="P412" s="2" t="n">
        <f aca="false">AI412+IF(SUMPRODUCT(--($AL412:$AQ412&gt;AP412))+SUMPRODUCT(--($AL412:AO412=AP412))&lt;$AK412,1,0)</f>
        <v>66</v>
      </c>
      <c r="Q412" s="2" t="n">
        <f aca="false">AJ412+IF(SUMPRODUCT(--($AL412:$AQ412&gt;AQ412))+SUMPRODUCT(--($AL412:AP412=AQ412))&lt;$AK412,1,0)</f>
        <v>98</v>
      </c>
      <c r="R412" s="2" t="n">
        <f aca="false">SUM(L412:Q412)</f>
        <v>500</v>
      </c>
      <c r="S412" s="2" t="n">
        <f aca="false">Settings!$B$4*MAX(INDEX(Bases!$M$2:$M$53,B412),INDEX(Bases!$M$2:$M$53,C412))+Settings!$B$5*MIN(INDEX(Bases!$M$2:$M$53,B412),INDEX(Bases!$M$2:$M$53,C412))</f>
        <v>56.3333333333333</v>
      </c>
      <c r="T412" s="2" t="n">
        <f aca="false">Settings!$B$4*MAX(INDEX(Bases!$N$2:$N$53,B412),INDEX(Bases!$N$2:$N$53,C412))+Settings!$B$5*MIN(INDEX(Bases!$N$2:$N$53,B412),INDEX(Bases!$N$2:$N$53,C412))</f>
        <v>75</v>
      </c>
      <c r="U412" s="2" t="n">
        <f aca="false">Settings!$B$4*MAX(INDEX(Bases!$O$2:$O$53,B412),INDEX(Bases!$O$2:$O$53,C412))+Settings!$B$5*MIN(INDEX(Bases!$O$2:$O$53,B412),INDEX(Bases!$O$2:$O$53,C412))</f>
        <v>56.3333333333333</v>
      </c>
      <c r="V412" s="2" t="n">
        <f aca="false">Settings!$B$4*MAX(INDEX(Bases!$P$2:$P$53,B412),INDEX(Bases!$P$2:$P$53,C412))+Settings!$B$5*MIN(INDEX(Bases!$P$2:$P$53,B412),INDEX(Bases!$P$2:$P$53,C412))</f>
        <v>107.333333333333</v>
      </c>
      <c r="W412" s="2" t="n">
        <f aca="false">Settings!$B$4*MAX(INDEX(Bases!$Q$2:$Q$53,B412),INDEX(Bases!$Q$2:$Q$53,C412))+Settings!$B$5*MIN(INDEX(Bases!$Q$2:$Q$53,B412),INDEX(Bases!$Q$2:$Q$53,C412))</f>
        <v>57.6666666666667</v>
      </c>
      <c r="X412" s="2" t="n">
        <f aca="false">Settings!$B$4*MAX(INDEX(Bases!$R$2:$R$53,B412),INDEX(Bases!$R$2:$R$53,C412))+Settings!$B$5*MIN(INDEX(Bases!$R$2:$R$53,B412),INDEX(Bases!$R$2:$R$53,C412))</f>
        <v>86</v>
      </c>
      <c r="Y412" s="2" t="n">
        <f aca="false">S412*Settings!$B$3/SUM(S412:X412)</f>
        <v>64.209726443769</v>
      </c>
      <c r="Z412" s="2" t="n">
        <f aca="false">T412*Settings!$B$3/SUM(S412:X412)</f>
        <v>85.4863221884499</v>
      </c>
      <c r="AA412" s="2" t="n">
        <f aca="false">U412*Settings!$B$3/SUM(S412:X412)</f>
        <v>64.209726443769</v>
      </c>
      <c r="AB412" s="2" t="n">
        <f aca="false">V412*Settings!$B$3/SUM(S412:X412)</f>
        <v>122.340425531915</v>
      </c>
      <c r="AC412" s="2" t="n">
        <f aca="false">W412*Settings!$B$3/SUM(S412:X412)</f>
        <v>65.7294832826748</v>
      </c>
      <c r="AD412" s="2" t="n">
        <f aca="false">X412*Settings!$B$3/SUM(S412:X412)</f>
        <v>98.0243161094225</v>
      </c>
      <c r="AE412" s="2" t="n">
        <f aca="false">INT(Y412)</f>
        <v>64</v>
      </c>
      <c r="AF412" s="2" t="n">
        <f aca="false">INT(Z412)</f>
        <v>85</v>
      </c>
      <c r="AG412" s="2" t="n">
        <f aca="false">INT(AA412)</f>
        <v>64</v>
      </c>
      <c r="AH412" s="2" t="n">
        <f aca="false">INT(AB412)</f>
        <v>122</v>
      </c>
      <c r="AI412" s="2" t="n">
        <f aca="false">INT(AC412)</f>
        <v>65</v>
      </c>
      <c r="AJ412" s="2" t="n">
        <f aca="false">INT(AD412)</f>
        <v>98</v>
      </c>
      <c r="AK412" s="2" t="n">
        <f aca="false">Settings!$B$3-SUM(AE412:AJ412)</f>
        <v>2</v>
      </c>
      <c r="AL412" s="2" t="n">
        <f aca="false">ROUND(Y412-AE412,9)</f>
        <v>0.209726444</v>
      </c>
      <c r="AM412" s="2" t="n">
        <f aca="false">ROUND(Z412-AF412,9)</f>
        <v>0.486322188</v>
      </c>
      <c r="AN412" s="2" t="n">
        <f aca="false">ROUND(AA412-AG412,9)</f>
        <v>0.209726444</v>
      </c>
      <c r="AO412" s="2" t="n">
        <f aca="false">ROUND(AB412-AH412,9)</f>
        <v>0.340425532</v>
      </c>
      <c r="AP412" s="2" t="n">
        <f aca="false">ROUND(AC412-AI412,9)</f>
        <v>0.729483283</v>
      </c>
      <c r="AQ412" s="2" t="n">
        <f aca="false">ROUND(AD412-AJ412,9)</f>
        <v>0.024316109</v>
      </c>
    </row>
    <row r="413" customFormat="false" ht="15" hidden="false" customHeight="false" outlineLevel="0" collapsed="false">
      <c r="A413" s="2" t="n">
        <v>412</v>
      </c>
      <c r="B413" s="6" t="n">
        <v>9</v>
      </c>
      <c r="C413" s="6" t="n">
        <v>41</v>
      </c>
      <c r="D413" s="8" t="str">
        <f aca="false">INDEX(Bases!$B$2:$B$53,B413)</f>
        <v>Mudkip</v>
      </c>
      <c r="E413" s="8" t="str">
        <f aca="false">INDEX(Bases!$B$2:$B$53,C413)</f>
        <v>Misdreavus</v>
      </c>
      <c r="F413" s="2" t="str">
        <f aca="false">LEFT(D413,ROUNDUP(LEN(D413)/2,0))&amp;LOWER(MID(E413,ROUNDUP(LEN(E413)/2,0)+1,20))</f>
        <v>Mudeavus</v>
      </c>
      <c r="G413" s="8" t="str">
        <f aca="false">INDEX(Bases!$C$2:$C$53,B413)</f>
        <v>Water</v>
      </c>
      <c r="H413" s="8" t="str">
        <f aca="false">IF(INDEX(Bases!$C$2:$C$53,C413)=G413,"",INDEX(Bases!$C$2:$C$53,C413))</f>
        <v>Ghost</v>
      </c>
      <c r="I413" s="8" t="str">
        <f aca="false">IF(INDEX(Bases!$E$2:$E$53,B413)="","",INDEX(Bases!$E$2:$E$53,B413))</f>
        <v/>
      </c>
      <c r="J413" s="8" t="str">
        <f aca="false">IF(INDEX(Bases!$E$2:$E$53,C413)="","",INDEX(Bases!$E$2:$E$53,C413))</f>
        <v/>
      </c>
      <c r="K413" s="5"/>
      <c r="L413" s="2" t="n">
        <f aca="false">AE413+IF(SUMPRODUCT(--($AL413:$AQ413&gt;AL413))&lt;$AK413,1,0)</f>
        <v>74</v>
      </c>
      <c r="M413" s="2" t="n">
        <f aca="false">AF413+IF(SUMPRODUCT(--($AL413:$AQ413&gt;AM413))+SUMPRODUCT(--($AL413:AL413=AM413))&lt;$AK413,1,0)</f>
        <v>93</v>
      </c>
      <c r="N413" s="2" t="n">
        <f aca="false">AG413+IF(SUMPRODUCT(--($AL413:$AQ413&gt;AN413))+SUMPRODUCT(--($AL413:AM413=AN413))&lt;$AK413,1,0)</f>
        <v>74</v>
      </c>
      <c r="O413" s="2" t="n">
        <f aca="false">AH413+IF(SUMPRODUCT(--($AL413:$AQ413&gt;AO413))+SUMPRODUCT(--($AL413:AN413=AO413))&lt;$AK413,1,0)</f>
        <v>88</v>
      </c>
      <c r="P413" s="2" t="n">
        <f aca="false">AI413+IF(SUMPRODUCT(--($AL413:$AQ413&gt;AP413))+SUMPRODUCT(--($AL413:AO413=AP413))&lt;$AK413,1,0)</f>
        <v>88</v>
      </c>
      <c r="Q413" s="2" t="n">
        <f aca="false">AJ413+IF(SUMPRODUCT(--($AL413:$AQ413&gt;AQ413))+SUMPRODUCT(--($AL413:AP413=AQ413))&lt;$AK413,1,0)</f>
        <v>83</v>
      </c>
      <c r="R413" s="2" t="n">
        <f aca="false">SUM(L413:Q413)</f>
        <v>500</v>
      </c>
      <c r="S413" s="2" t="n">
        <f aca="false">Settings!$B$4*MAX(INDEX(Bases!$M$2:$M$53,B413),INDEX(Bases!$M$2:$M$53,C413))+Settings!$B$5*MIN(INDEX(Bases!$M$2:$M$53,B413),INDEX(Bases!$M$2:$M$53,C413))</f>
        <v>62</v>
      </c>
      <c r="T413" s="2" t="n">
        <f aca="false">Settings!$B$4*MAX(INDEX(Bases!$N$2:$N$53,B413),INDEX(Bases!$N$2:$N$53,C413))+Settings!$B$5*MIN(INDEX(Bases!$N$2:$N$53,B413),INDEX(Bases!$N$2:$N$53,C413))</f>
        <v>78.3333333333333</v>
      </c>
      <c r="U413" s="2" t="n">
        <f aca="false">Settings!$B$4*MAX(INDEX(Bases!$O$2:$O$53,B413),INDEX(Bases!$O$2:$O$53,C413))+Settings!$B$5*MIN(INDEX(Bases!$O$2:$O$53,B413),INDEX(Bases!$O$2:$O$53,C413))</f>
        <v>61.6666666666667</v>
      </c>
      <c r="V413" s="2" t="n">
        <f aca="false">Settings!$B$4*MAX(INDEX(Bases!$P$2:$P$53,B413),INDEX(Bases!$P$2:$P$53,C413))+Settings!$B$5*MIN(INDEX(Bases!$P$2:$P$53,B413),INDEX(Bases!$P$2:$P$53,C413))</f>
        <v>73.3333333333333</v>
      </c>
      <c r="W413" s="2" t="n">
        <f aca="false">Settings!$B$4*MAX(INDEX(Bases!$Q$2:$Q$53,B413),INDEX(Bases!$Q$2:$Q$53,C413))+Settings!$B$5*MIN(INDEX(Bases!$Q$2:$Q$53,B413),INDEX(Bases!$Q$2:$Q$53,C413))</f>
        <v>73.3333333333333</v>
      </c>
      <c r="X413" s="2" t="n">
        <f aca="false">Settings!$B$4*MAX(INDEX(Bases!$R$2:$R$53,B413),INDEX(Bases!$R$2:$R$53,C413))+Settings!$B$5*MIN(INDEX(Bases!$R$2:$R$53,B413),INDEX(Bases!$R$2:$R$53,C413))</f>
        <v>69.3333333333333</v>
      </c>
      <c r="Y413" s="2" t="n">
        <f aca="false">S413*Settings!$B$3/SUM(S413:X413)</f>
        <v>74.1626794258373</v>
      </c>
      <c r="Z413" s="2" t="n">
        <f aca="false">T413*Settings!$B$3/SUM(S413:X413)</f>
        <v>93.7001594896332</v>
      </c>
      <c r="AA413" s="2" t="n">
        <f aca="false">U413*Settings!$B$3/SUM(S413:X413)</f>
        <v>73.7639553429027</v>
      </c>
      <c r="AB413" s="2" t="n">
        <f aca="false">V413*Settings!$B$3/SUM(S413:X413)</f>
        <v>87.719298245614</v>
      </c>
      <c r="AC413" s="2" t="n">
        <f aca="false">W413*Settings!$B$3/SUM(S413:X413)</f>
        <v>87.719298245614</v>
      </c>
      <c r="AD413" s="2" t="n">
        <f aca="false">X413*Settings!$B$3/SUM(S413:X413)</f>
        <v>82.9346092503987</v>
      </c>
      <c r="AE413" s="2" t="n">
        <f aca="false">INT(Y413)</f>
        <v>74</v>
      </c>
      <c r="AF413" s="2" t="n">
        <f aca="false">INT(Z413)</f>
        <v>93</v>
      </c>
      <c r="AG413" s="2" t="n">
        <f aca="false">INT(AA413)</f>
        <v>73</v>
      </c>
      <c r="AH413" s="2" t="n">
        <f aca="false">INT(AB413)</f>
        <v>87</v>
      </c>
      <c r="AI413" s="2" t="n">
        <f aca="false">INT(AC413)</f>
        <v>87</v>
      </c>
      <c r="AJ413" s="2" t="n">
        <f aca="false">INT(AD413)</f>
        <v>82</v>
      </c>
      <c r="AK413" s="2" t="n">
        <f aca="false">Settings!$B$3-SUM(AE413:AJ413)</f>
        <v>4</v>
      </c>
      <c r="AL413" s="2" t="n">
        <f aca="false">ROUND(Y413-AE413,9)</f>
        <v>0.162679426</v>
      </c>
      <c r="AM413" s="2" t="n">
        <f aca="false">ROUND(Z413-AF413,9)</f>
        <v>0.70015949</v>
      </c>
      <c r="AN413" s="2" t="n">
        <f aca="false">ROUND(AA413-AG413,9)</f>
        <v>0.763955343</v>
      </c>
      <c r="AO413" s="2" t="n">
        <f aca="false">ROUND(AB413-AH413,9)</f>
        <v>0.719298246</v>
      </c>
      <c r="AP413" s="2" t="n">
        <f aca="false">ROUND(AC413-AI413,9)</f>
        <v>0.719298246</v>
      </c>
      <c r="AQ413" s="2" t="n">
        <f aca="false">ROUND(AD413-AJ413,9)</f>
        <v>0.93460925</v>
      </c>
    </row>
    <row r="414" customFormat="false" ht="15" hidden="false" customHeight="false" outlineLevel="0" collapsed="false">
      <c r="A414" s="2" t="n">
        <v>413</v>
      </c>
      <c r="B414" s="6" t="n">
        <v>9</v>
      </c>
      <c r="C414" s="6" t="n">
        <v>42</v>
      </c>
      <c r="D414" s="8" t="str">
        <f aca="false">INDEX(Bases!$B$2:$B$53,B414)</f>
        <v>Mudkip</v>
      </c>
      <c r="E414" s="8" t="str">
        <f aca="false">INDEX(Bases!$B$2:$B$53,C414)</f>
        <v>Sableye</v>
      </c>
      <c r="F414" s="2" t="str">
        <f aca="false">LEFT(D414,ROUNDUP(LEN(D414)/2,0))&amp;LOWER(MID(E414,ROUNDUP(LEN(E414)/2,0)+1,20))</f>
        <v>Mudeye</v>
      </c>
      <c r="G414" s="8" t="str">
        <f aca="false">INDEX(Bases!$C$2:$C$53,B414)</f>
        <v>Water</v>
      </c>
      <c r="H414" s="8" t="str">
        <f aca="false">IF(INDEX(Bases!$C$2:$C$53,C414)=G414,"",INDEX(Bases!$C$2:$C$53,C414))</f>
        <v>Ghost</v>
      </c>
      <c r="I414" s="8" t="str">
        <f aca="false">IF(INDEX(Bases!$E$2:$E$53,B414)="","",INDEX(Bases!$E$2:$E$53,B414))</f>
        <v/>
      </c>
      <c r="J414" s="8" t="str">
        <f aca="false">IF(INDEX(Bases!$E$2:$E$53,C414)="","",INDEX(Bases!$E$2:$E$53,C414))</f>
        <v/>
      </c>
      <c r="K414" s="5"/>
      <c r="L414" s="2" t="n">
        <f aca="false">AE414+IF(SUMPRODUCT(--($AL414:$AQ414&gt;AL414))&lt;$AK414,1,0)</f>
        <v>75</v>
      </c>
      <c r="M414" s="2" t="n">
        <f aca="false">AF414+IF(SUMPRODUCT(--($AL414:$AQ414&gt;AM414))+SUMPRODUCT(--($AL414:AL414=AM414))&lt;$AK414,1,0)</f>
        <v>106</v>
      </c>
      <c r="N414" s="2" t="n">
        <f aca="false">AG414+IF(SUMPRODUCT(--($AL414:$AQ414&gt;AN414))+SUMPRODUCT(--($AL414:AM414=AN414))&lt;$AK414,1,0)</f>
        <v>91</v>
      </c>
      <c r="O414" s="2" t="n">
        <f aca="false">AH414+IF(SUMPRODUCT(--($AL414:$AQ414&gt;AO414))+SUMPRODUCT(--($AL414:AN414=AO414))&lt;$AK414,1,0)</f>
        <v>82</v>
      </c>
      <c r="P414" s="2" t="n">
        <f aca="false">AI414+IF(SUMPRODUCT(--($AL414:$AQ414&gt;AP414))+SUMPRODUCT(--($AL414:AO414=AP414))&lt;$AK414,1,0)</f>
        <v>82</v>
      </c>
      <c r="Q414" s="2" t="n">
        <f aca="false">AJ414+IF(SUMPRODUCT(--($AL414:$AQ414&gt;AQ414))+SUMPRODUCT(--($AL414:AP414=AQ414))&lt;$AK414,1,0)</f>
        <v>64</v>
      </c>
      <c r="R414" s="2" t="n">
        <f aca="false">SUM(L414:Q414)</f>
        <v>500</v>
      </c>
      <c r="S414" s="2" t="n">
        <f aca="false">Settings!$B$4*MAX(INDEX(Bases!$M$2:$M$53,B414),INDEX(Bases!$M$2:$M$53,C414))+Settings!$B$5*MIN(INDEX(Bases!$M$2:$M$53,B414),INDEX(Bases!$M$2:$M$53,C414))</f>
        <v>61</v>
      </c>
      <c r="T414" s="2" t="n">
        <f aca="false">Settings!$B$4*MAX(INDEX(Bases!$N$2:$N$53,B414),INDEX(Bases!$N$2:$N$53,C414))+Settings!$B$5*MIN(INDEX(Bases!$N$2:$N$53,B414),INDEX(Bases!$N$2:$N$53,C414))</f>
        <v>86.3333333333333</v>
      </c>
      <c r="U414" s="2" t="n">
        <f aca="false">Settings!$B$4*MAX(INDEX(Bases!$O$2:$O$53,B414),INDEX(Bases!$O$2:$O$53,C414))+Settings!$B$5*MIN(INDEX(Bases!$O$2:$O$53,B414),INDEX(Bases!$O$2:$O$53,C414))</f>
        <v>74.3333333333333</v>
      </c>
      <c r="V414" s="2" t="n">
        <f aca="false">Settings!$B$4*MAX(INDEX(Bases!$P$2:$P$53,B414),INDEX(Bases!$P$2:$P$53,C414))+Settings!$B$5*MIN(INDEX(Bases!$P$2:$P$53,B414),INDEX(Bases!$P$2:$P$53,C414))</f>
        <v>66.6666666666667</v>
      </c>
      <c r="W414" s="2" t="n">
        <f aca="false">Settings!$B$4*MAX(INDEX(Bases!$Q$2:$Q$53,B414),INDEX(Bases!$Q$2:$Q$53,C414))+Settings!$B$5*MIN(INDEX(Bases!$Q$2:$Q$53,B414),INDEX(Bases!$Q$2:$Q$53,C414))</f>
        <v>66.6666666666667</v>
      </c>
      <c r="X414" s="2" t="n">
        <f aca="false">Settings!$B$4*MAX(INDEX(Bases!$R$2:$R$53,B414),INDEX(Bases!$R$2:$R$53,C414))+Settings!$B$5*MIN(INDEX(Bases!$R$2:$R$53,B414),INDEX(Bases!$R$2:$R$53,C414))</f>
        <v>52.6666666666667</v>
      </c>
      <c r="Y414" s="2" t="n">
        <f aca="false">S414*Settings!$B$3/SUM(S414:X414)</f>
        <v>74.8160261651676</v>
      </c>
      <c r="Z414" s="2" t="n">
        <f aca="false">T414*Settings!$B$3/SUM(S414:X414)</f>
        <v>105.887162714636</v>
      </c>
      <c r="AA414" s="2" t="n">
        <f aca="false">U414*Settings!$B$3/SUM(S414:X414)</f>
        <v>91.1692559280458</v>
      </c>
      <c r="AB414" s="2" t="n">
        <f aca="false">V414*Settings!$B$3/SUM(S414:X414)</f>
        <v>81.7661488143908</v>
      </c>
      <c r="AC414" s="2" t="n">
        <f aca="false">W414*Settings!$B$3/SUM(S414:X414)</f>
        <v>81.7661488143908</v>
      </c>
      <c r="AD414" s="2" t="n">
        <f aca="false">X414*Settings!$B$3/SUM(S414:X414)</f>
        <v>64.5952575633688</v>
      </c>
      <c r="AE414" s="2" t="n">
        <f aca="false">INT(Y414)</f>
        <v>74</v>
      </c>
      <c r="AF414" s="2" t="n">
        <f aca="false">INT(Z414)</f>
        <v>105</v>
      </c>
      <c r="AG414" s="2" t="n">
        <f aca="false">INT(AA414)</f>
        <v>91</v>
      </c>
      <c r="AH414" s="2" t="n">
        <f aca="false">INT(AB414)</f>
        <v>81</v>
      </c>
      <c r="AI414" s="2" t="n">
        <f aca="false">INT(AC414)</f>
        <v>81</v>
      </c>
      <c r="AJ414" s="2" t="n">
        <f aca="false">INT(AD414)</f>
        <v>64</v>
      </c>
      <c r="AK414" s="2" t="n">
        <f aca="false">Settings!$B$3-SUM(AE414:AJ414)</f>
        <v>4</v>
      </c>
      <c r="AL414" s="2" t="n">
        <f aca="false">ROUND(Y414-AE414,9)</f>
        <v>0.816026165</v>
      </c>
      <c r="AM414" s="2" t="n">
        <f aca="false">ROUND(Z414-AF414,9)</f>
        <v>0.887162715</v>
      </c>
      <c r="AN414" s="2" t="n">
        <f aca="false">ROUND(AA414-AG414,9)</f>
        <v>0.169255928</v>
      </c>
      <c r="AO414" s="2" t="n">
        <f aca="false">ROUND(AB414-AH414,9)</f>
        <v>0.766148814</v>
      </c>
      <c r="AP414" s="2" t="n">
        <f aca="false">ROUND(AC414-AI414,9)</f>
        <v>0.766148814</v>
      </c>
      <c r="AQ414" s="2" t="n">
        <f aca="false">ROUND(AD414-AJ414,9)</f>
        <v>0.595257563</v>
      </c>
    </row>
    <row r="415" customFormat="false" ht="15" hidden="false" customHeight="false" outlineLevel="0" collapsed="false">
      <c r="A415" s="2" t="n">
        <v>414</v>
      </c>
      <c r="B415" s="6" t="n">
        <v>9</v>
      </c>
      <c r="C415" s="6" t="n">
        <v>43</v>
      </c>
      <c r="D415" s="8" t="str">
        <f aca="false">INDEX(Bases!$B$2:$B$53,B415)</f>
        <v>Mudkip</v>
      </c>
      <c r="E415" s="8" t="str">
        <f aca="false">INDEX(Bases!$B$2:$B$53,C415)</f>
        <v>Dratini</v>
      </c>
      <c r="F415" s="2" t="str">
        <f aca="false">LEFT(D415,ROUNDUP(LEN(D415)/2,0))&amp;LOWER(MID(E415,ROUNDUP(LEN(E415)/2,0)+1,20))</f>
        <v>Mudini</v>
      </c>
      <c r="G415" s="8" t="str">
        <f aca="false">INDEX(Bases!$C$2:$C$53,B415)</f>
        <v>Water</v>
      </c>
      <c r="H415" s="8" t="str">
        <f aca="false">IF(INDEX(Bases!$C$2:$C$53,C415)=G415,"",INDEX(Bases!$C$2:$C$53,C415))</f>
        <v>Dragon</v>
      </c>
      <c r="I415" s="8" t="str">
        <f aca="false">IF(INDEX(Bases!$E$2:$E$53,B415)="","",INDEX(Bases!$E$2:$E$53,B415))</f>
        <v/>
      </c>
      <c r="J415" s="8" t="str">
        <f aca="false">IF(INDEX(Bases!$E$2:$E$53,C415)="","",INDEX(Bases!$E$2:$E$53,C415))</f>
        <v/>
      </c>
      <c r="K415" s="5"/>
      <c r="L415" s="2" t="n">
        <f aca="false">AE415+IF(SUMPRODUCT(--($AL415:$AQ415&gt;AL415))&lt;$AK415,1,0)</f>
        <v>76</v>
      </c>
      <c r="M415" s="2" t="n">
        <f aca="false">AF415+IF(SUMPRODUCT(--($AL415:$AQ415&gt;AM415))+SUMPRODUCT(--($AL415:AL415=AM415))&lt;$AK415,1,0)</f>
        <v>109</v>
      </c>
      <c r="N415" s="2" t="n">
        <f aca="false">AG415+IF(SUMPRODUCT(--($AL415:$AQ415&gt;AN415))+SUMPRODUCT(--($AL415:AM415=AN415))&lt;$AK415,1,0)</f>
        <v>78</v>
      </c>
      <c r="O415" s="2" t="n">
        <f aca="false">AH415+IF(SUMPRODUCT(--($AL415:$AQ415&gt;AO415))+SUMPRODUCT(--($AL415:AN415=AO415))&lt;$AK415,1,0)</f>
        <v>81</v>
      </c>
      <c r="P415" s="2" t="n">
        <f aca="false">AI415+IF(SUMPRODUCT(--($AL415:$AQ415&gt;AP415))+SUMPRODUCT(--($AL415:AO415=AP415))&lt;$AK415,1,0)</f>
        <v>81</v>
      </c>
      <c r="Q415" s="2" t="n">
        <f aca="false">AJ415+IF(SUMPRODUCT(--($AL415:$AQ415&gt;AQ415))+SUMPRODUCT(--($AL415:AP415=AQ415))&lt;$AK415,1,0)</f>
        <v>75</v>
      </c>
      <c r="R415" s="2" t="n">
        <f aca="false">SUM(L415:Q415)</f>
        <v>500</v>
      </c>
      <c r="S415" s="2" t="n">
        <f aca="false">Settings!$B$4*MAX(INDEX(Bases!$M$2:$M$53,B415),INDEX(Bases!$M$2:$M$53,C415))+Settings!$B$5*MIN(INDEX(Bases!$M$2:$M$53,B415),INDEX(Bases!$M$2:$M$53,C415))</f>
        <v>61.6666666666667</v>
      </c>
      <c r="T415" s="2" t="n">
        <f aca="false">Settings!$B$4*MAX(INDEX(Bases!$N$2:$N$53,B415),INDEX(Bases!$N$2:$N$53,C415))+Settings!$B$5*MIN(INDEX(Bases!$N$2:$N$53,B415),INDEX(Bases!$N$2:$N$53,C415))</f>
        <v>88.3333333333333</v>
      </c>
      <c r="U415" s="2" t="n">
        <f aca="false">Settings!$B$4*MAX(INDEX(Bases!$O$2:$O$53,B415),INDEX(Bases!$O$2:$O$53,C415))+Settings!$B$5*MIN(INDEX(Bases!$O$2:$O$53,B415),INDEX(Bases!$O$2:$O$53,C415))</f>
        <v>63.3333333333333</v>
      </c>
      <c r="V415" s="2" t="n">
        <f aca="false">Settings!$B$4*MAX(INDEX(Bases!$P$2:$P$53,B415),INDEX(Bases!$P$2:$P$53,C415))+Settings!$B$5*MIN(INDEX(Bases!$P$2:$P$53,B415),INDEX(Bases!$P$2:$P$53,C415))</f>
        <v>66</v>
      </c>
      <c r="W415" s="2" t="n">
        <f aca="false">Settings!$B$4*MAX(INDEX(Bases!$Q$2:$Q$53,B415),INDEX(Bases!$Q$2:$Q$53,C415))+Settings!$B$5*MIN(INDEX(Bases!$Q$2:$Q$53,B415),INDEX(Bases!$Q$2:$Q$53,C415))</f>
        <v>66</v>
      </c>
      <c r="X415" s="2" t="n">
        <f aca="false">Settings!$B$4*MAX(INDEX(Bases!$R$2:$R$53,B415),INDEX(Bases!$R$2:$R$53,C415))+Settings!$B$5*MIN(INDEX(Bases!$R$2:$R$53,B415),INDEX(Bases!$R$2:$R$53,C415))</f>
        <v>61.3333333333333</v>
      </c>
      <c r="Y415" s="2" t="n">
        <f aca="false">S415*Settings!$B$3/SUM(S415:X415)</f>
        <v>75.8196721311475</v>
      </c>
      <c r="Z415" s="2" t="n">
        <f aca="false">T415*Settings!$B$3/SUM(S415:X415)</f>
        <v>108.606557377049</v>
      </c>
      <c r="AA415" s="2" t="n">
        <f aca="false">U415*Settings!$B$3/SUM(S415:X415)</f>
        <v>77.8688524590164</v>
      </c>
      <c r="AB415" s="2" t="n">
        <f aca="false">V415*Settings!$B$3/SUM(S415:X415)</f>
        <v>81.1475409836066</v>
      </c>
      <c r="AC415" s="2" t="n">
        <f aca="false">W415*Settings!$B$3/SUM(S415:X415)</f>
        <v>81.1475409836066</v>
      </c>
      <c r="AD415" s="2" t="n">
        <f aca="false">X415*Settings!$B$3/SUM(S415:X415)</f>
        <v>75.4098360655738</v>
      </c>
      <c r="AE415" s="2" t="n">
        <f aca="false">INT(Y415)</f>
        <v>75</v>
      </c>
      <c r="AF415" s="2" t="n">
        <f aca="false">INT(Z415)</f>
        <v>108</v>
      </c>
      <c r="AG415" s="2" t="n">
        <f aca="false">INT(AA415)</f>
        <v>77</v>
      </c>
      <c r="AH415" s="2" t="n">
        <f aca="false">INT(AB415)</f>
        <v>81</v>
      </c>
      <c r="AI415" s="2" t="n">
        <f aca="false">INT(AC415)</f>
        <v>81</v>
      </c>
      <c r="AJ415" s="2" t="n">
        <f aca="false">INT(AD415)</f>
        <v>75</v>
      </c>
      <c r="AK415" s="2" t="n">
        <f aca="false">Settings!$B$3-SUM(AE415:AJ415)</f>
        <v>3</v>
      </c>
      <c r="AL415" s="2" t="n">
        <f aca="false">ROUND(Y415-AE415,9)</f>
        <v>0.819672131</v>
      </c>
      <c r="AM415" s="2" t="n">
        <f aca="false">ROUND(Z415-AF415,9)</f>
        <v>0.606557377</v>
      </c>
      <c r="AN415" s="2" t="n">
        <f aca="false">ROUND(AA415-AG415,9)</f>
        <v>0.868852459</v>
      </c>
      <c r="AO415" s="2" t="n">
        <f aca="false">ROUND(AB415-AH415,9)</f>
        <v>0.147540984</v>
      </c>
      <c r="AP415" s="2" t="n">
        <f aca="false">ROUND(AC415-AI415,9)</f>
        <v>0.147540984</v>
      </c>
      <c r="AQ415" s="2" t="n">
        <f aca="false">ROUND(AD415-AJ415,9)</f>
        <v>0.409836066</v>
      </c>
    </row>
    <row r="416" customFormat="false" ht="15" hidden="false" customHeight="false" outlineLevel="0" collapsed="false">
      <c r="A416" s="2" t="n">
        <v>415</v>
      </c>
      <c r="B416" s="6" t="n">
        <v>9</v>
      </c>
      <c r="C416" s="6" t="n">
        <v>44</v>
      </c>
      <c r="D416" s="8" t="str">
        <f aca="false">INDEX(Bases!$B$2:$B$53,B416)</f>
        <v>Mudkip</v>
      </c>
      <c r="E416" s="8" t="str">
        <f aca="false">INDEX(Bases!$B$2:$B$53,C416)</f>
        <v>Bagon</v>
      </c>
      <c r="F416" s="2" t="str">
        <f aca="false">LEFT(D416,ROUNDUP(LEN(D416)/2,0))&amp;LOWER(MID(E416,ROUNDUP(LEN(E416)/2,0)+1,20))</f>
        <v>Mudon</v>
      </c>
      <c r="G416" s="8" t="str">
        <f aca="false">INDEX(Bases!$C$2:$C$53,B416)</f>
        <v>Water</v>
      </c>
      <c r="H416" s="8" t="str">
        <f aca="false">IF(INDEX(Bases!$C$2:$C$53,C416)=G416,"",INDEX(Bases!$C$2:$C$53,C416))</f>
        <v>Dragon</v>
      </c>
      <c r="I416" s="8" t="str">
        <f aca="false">IF(INDEX(Bases!$E$2:$E$53,B416)="","",INDEX(Bases!$E$2:$E$53,B416))</f>
        <v/>
      </c>
      <c r="J416" s="8" t="str">
        <f aca="false">IF(INDEX(Bases!$E$2:$E$53,C416)="","",INDEX(Bases!$E$2:$E$53,C416))</f>
        <v/>
      </c>
      <c r="K416" s="5"/>
      <c r="L416" s="2" t="n">
        <f aca="false">AE416+IF(SUMPRODUCT(--($AL416:$AQ416&gt;AL416))&lt;$AK416,1,0)</f>
        <v>76</v>
      </c>
      <c r="M416" s="2" t="n">
        <f aca="false">AF416+IF(SUMPRODUCT(--($AL416:$AQ416&gt;AM416))+SUMPRODUCT(--($AL416:AL416=AM416))&lt;$AK416,1,0)</f>
        <v>117</v>
      </c>
      <c r="N416" s="2" t="n">
        <f aca="false">AG416+IF(SUMPRODUCT(--($AL416:$AQ416&gt;AN416))+SUMPRODUCT(--($AL416:AM416=AN416))&lt;$AK416,1,0)</f>
        <v>91</v>
      </c>
      <c r="O416" s="2" t="n">
        <f aca="false">AH416+IF(SUMPRODUCT(--($AL416:$AQ416&gt;AO416))+SUMPRODUCT(--($AL416:AN416=AO416))&lt;$AK416,1,0)</f>
        <v>73</v>
      </c>
      <c r="P416" s="2" t="n">
        <f aca="false">AI416+IF(SUMPRODUCT(--($AL416:$AQ416&gt;AP416))+SUMPRODUCT(--($AL416:AO416=AP416))&lt;$AK416,1,0)</f>
        <v>68</v>
      </c>
      <c r="Q416" s="2" t="n">
        <f aca="false">AJ416+IF(SUMPRODUCT(--($AL416:$AQ416&gt;AQ416))+SUMPRODUCT(--($AL416:AP416=AQ416))&lt;$AK416,1,0)</f>
        <v>75</v>
      </c>
      <c r="R416" s="2" t="n">
        <f aca="false">SUM(L416:Q416)</f>
        <v>500</v>
      </c>
      <c r="S416" s="2" t="n">
        <f aca="false">Settings!$B$4*MAX(INDEX(Bases!$M$2:$M$53,B416),INDEX(Bases!$M$2:$M$53,C416))+Settings!$B$5*MIN(INDEX(Bases!$M$2:$M$53,B416),INDEX(Bases!$M$2:$M$53,C416))</f>
        <v>63.3333333333333</v>
      </c>
      <c r="T416" s="2" t="n">
        <f aca="false">Settings!$B$4*MAX(INDEX(Bases!$N$2:$N$53,B416),INDEX(Bases!$N$2:$N$53,C416))+Settings!$B$5*MIN(INDEX(Bases!$N$2:$N$53,B416),INDEX(Bases!$N$2:$N$53,C416))</f>
        <v>96.6666666666667</v>
      </c>
      <c r="U416" s="2" t="n">
        <f aca="false">Settings!$B$4*MAX(INDEX(Bases!$O$2:$O$53,B416),INDEX(Bases!$O$2:$O$53,C416))+Settings!$B$5*MIN(INDEX(Bases!$O$2:$O$53,B416),INDEX(Bases!$O$2:$O$53,C416))</f>
        <v>75</v>
      </c>
      <c r="V416" s="2" t="n">
        <f aca="false">Settings!$B$4*MAX(INDEX(Bases!$P$2:$P$53,B416),INDEX(Bases!$P$2:$P$53,C416))+Settings!$B$5*MIN(INDEX(Bases!$P$2:$P$53,B416),INDEX(Bases!$P$2:$P$53,C416))</f>
        <v>60.3333333333333</v>
      </c>
      <c r="W416" s="2" t="n">
        <f aca="false">Settings!$B$4*MAX(INDEX(Bases!$Q$2:$Q$53,B416),INDEX(Bases!$Q$2:$Q$53,C416))+Settings!$B$5*MIN(INDEX(Bases!$Q$2:$Q$53,B416),INDEX(Bases!$Q$2:$Q$53,C416))</f>
        <v>56</v>
      </c>
      <c r="X416" s="2" t="n">
        <f aca="false">Settings!$B$4*MAX(INDEX(Bases!$R$2:$R$53,B416),INDEX(Bases!$R$2:$R$53,C416))+Settings!$B$5*MIN(INDEX(Bases!$R$2:$R$53,B416),INDEX(Bases!$R$2:$R$53,C416))</f>
        <v>62</v>
      </c>
      <c r="Y416" s="2" t="n">
        <f aca="false">S416*Settings!$B$3/SUM(S416:X416)</f>
        <v>76.6129032258065</v>
      </c>
      <c r="Z416" s="2" t="n">
        <f aca="false">T416*Settings!$B$3/SUM(S416:X416)</f>
        <v>116.935483870968</v>
      </c>
      <c r="AA416" s="2" t="n">
        <f aca="false">U416*Settings!$B$3/SUM(S416:X416)</f>
        <v>90.7258064516129</v>
      </c>
      <c r="AB416" s="2" t="n">
        <f aca="false">V416*Settings!$B$3/SUM(S416:X416)</f>
        <v>72.9838709677419</v>
      </c>
      <c r="AC416" s="2" t="n">
        <f aca="false">W416*Settings!$B$3/SUM(S416:X416)</f>
        <v>67.741935483871</v>
      </c>
      <c r="AD416" s="2" t="n">
        <f aca="false">X416*Settings!$B$3/SUM(S416:X416)</f>
        <v>75</v>
      </c>
      <c r="AE416" s="2" t="n">
        <f aca="false">INT(Y416)</f>
        <v>76</v>
      </c>
      <c r="AF416" s="2" t="n">
        <f aca="false">INT(Z416)</f>
        <v>116</v>
      </c>
      <c r="AG416" s="2" t="n">
        <f aca="false">INT(AA416)</f>
        <v>90</v>
      </c>
      <c r="AH416" s="2" t="n">
        <f aca="false">INT(AB416)</f>
        <v>72</v>
      </c>
      <c r="AI416" s="2" t="n">
        <f aca="false">INT(AC416)</f>
        <v>67</v>
      </c>
      <c r="AJ416" s="2" t="n">
        <f aca="false">INT(AD416)</f>
        <v>75</v>
      </c>
      <c r="AK416" s="2" t="n">
        <f aca="false">Settings!$B$3-SUM(AE416:AJ416)</f>
        <v>4</v>
      </c>
      <c r="AL416" s="2" t="n">
        <f aca="false">ROUND(Y416-AE416,9)</f>
        <v>0.612903226</v>
      </c>
      <c r="AM416" s="2" t="n">
        <f aca="false">ROUND(Z416-AF416,9)</f>
        <v>0.935483871</v>
      </c>
      <c r="AN416" s="2" t="n">
        <f aca="false">ROUND(AA416-AG416,9)</f>
        <v>0.725806452</v>
      </c>
      <c r="AO416" s="2" t="n">
        <f aca="false">ROUND(AB416-AH416,9)</f>
        <v>0.983870968</v>
      </c>
      <c r="AP416" s="2" t="n">
        <f aca="false">ROUND(AC416-AI416,9)</f>
        <v>0.741935484</v>
      </c>
      <c r="AQ416" s="2" t="n">
        <f aca="false">ROUND(AD416-AJ416,9)</f>
        <v>0</v>
      </c>
    </row>
    <row r="417" customFormat="false" ht="15" hidden="false" customHeight="false" outlineLevel="0" collapsed="false">
      <c r="A417" s="2" t="n">
        <v>416</v>
      </c>
      <c r="B417" s="6" t="n">
        <v>9</v>
      </c>
      <c r="C417" s="6" t="n">
        <v>45</v>
      </c>
      <c r="D417" s="8" t="str">
        <f aca="false">INDEX(Bases!$B$2:$B$53,B417)</f>
        <v>Mudkip</v>
      </c>
      <c r="E417" s="8" t="str">
        <f aca="false">INDEX(Bases!$B$2:$B$53,C417)</f>
        <v>Sneasel</v>
      </c>
      <c r="F417" s="2" t="str">
        <f aca="false">LEFT(D417,ROUNDUP(LEN(D417)/2,0))&amp;LOWER(MID(E417,ROUNDUP(LEN(E417)/2,0)+1,20))</f>
        <v>Mudsel</v>
      </c>
      <c r="G417" s="8" t="str">
        <f aca="false">INDEX(Bases!$C$2:$C$53,B417)</f>
        <v>Water</v>
      </c>
      <c r="H417" s="8" t="str">
        <f aca="false">IF(INDEX(Bases!$C$2:$C$53,C417)=G417,"",INDEX(Bases!$C$2:$C$53,C417))</f>
        <v>Dark</v>
      </c>
      <c r="I417" s="8" t="str">
        <f aca="false">IF(INDEX(Bases!$E$2:$E$53,B417)="","",INDEX(Bases!$E$2:$E$53,B417))</f>
        <v/>
      </c>
      <c r="J417" s="8" t="str">
        <f aca="false">IF(INDEX(Bases!$E$2:$E$53,C417)="","",INDEX(Bases!$E$2:$E$53,C417))</f>
        <v/>
      </c>
      <c r="K417" s="5"/>
      <c r="L417" s="2" t="n">
        <f aca="false">AE417+IF(SUMPRODUCT(--($AL417:$AQ417&gt;AL417))&lt;$AK417,1,0)</f>
        <v>72</v>
      </c>
      <c r="M417" s="2" t="n">
        <f aca="false">AF417+IF(SUMPRODUCT(--($AL417:$AQ417&gt;AM417))+SUMPRODUCT(--($AL417:AL417=AM417))&lt;$AK417,1,0)</f>
        <v>106</v>
      </c>
      <c r="N417" s="2" t="n">
        <f aca="false">AG417+IF(SUMPRODUCT(--($AL417:$AQ417&gt;AN417))+SUMPRODUCT(--($AL417:AM417=AN417))&lt;$AK417,1,0)</f>
        <v>72</v>
      </c>
      <c r="O417" s="2" t="n">
        <f aca="false">AH417+IF(SUMPRODUCT(--($AL417:$AQ417&gt;AO417))+SUMPRODUCT(--($AL417:AN417=AO417))&lt;$AK417,1,0)</f>
        <v>64</v>
      </c>
      <c r="P417" s="2" t="n">
        <f aca="false">AI417+IF(SUMPRODUCT(--($AL417:$AQ417&gt;AP417))+SUMPRODUCT(--($AL417:AO417=AP417))&lt;$AK417,1,0)</f>
        <v>81</v>
      </c>
      <c r="Q417" s="2" t="n">
        <f aca="false">AJ417+IF(SUMPRODUCT(--($AL417:$AQ417&gt;AQ417))+SUMPRODUCT(--($AL417:AP417=AQ417))&lt;$AK417,1,0)</f>
        <v>105</v>
      </c>
      <c r="R417" s="2" t="n">
        <f aca="false">SUM(L417:Q417)</f>
        <v>500</v>
      </c>
      <c r="S417" s="2" t="n">
        <f aca="false">Settings!$B$4*MAX(INDEX(Bases!$M$2:$M$53,B417),INDEX(Bases!$M$2:$M$53,C417))+Settings!$B$5*MIN(INDEX(Bases!$M$2:$M$53,B417),INDEX(Bases!$M$2:$M$53,C417))</f>
        <v>60.3333333333333</v>
      </c>
      <c r="T417" s="2" t="n">
        <f aca="false">Settings!$B$4*MAX(INDEX(Bases!$N$2:$N$53,B417),INDEX(Bases!$N$2:$N$53,C417))+Settings!$B$5*MIN(INDEX(Bases!$N$2:$N$53,B417),INDEX(Bases!$N$2:$N$53,C417))</f>
        <v>89.3333333333333</v>
      </c>
      <c r="U417" s="2" t="n">
        <f aca="false">Settings!$B$4*MAX(INDEX(Bases!$O$2:$O$53,B417),INDEX(Bases!$O$2:$O$53,C417))+Settings!$B$5*MIN(INDEX(Bases!$O$2:$O$53,B417),INDEX(Bases!$O$2:$O$53,C417))</f>
        <v>60.3333333333333</v>
      </c>
      <c r="V417" s="2" t="n">
        <f aca="false">Settings!$B$4*MAX(INDEX(Bases!$P$2:$P$53,B417),INDEX(Bases!$P$2:$P$53,C417))+Settings!$B$5*MIN(INDEX(Bases!$P$2:$P$53,B417),INDEX(Bases!$P$2:$P$53,C417))</f>
        <v>53.6666666666667</v>
      </c>
      <c r="W417" s="2" t="n">
        <f aca="false">Settings!$B$4*MAX(INDEX(Bases!$Q$2:$Q$53,B417),INDEX(Bases!$Q$2:$Q$53,C417))+Settings!$B$5*MIN(INDEX(Bases!$Q$2:$Q$53,B417),INDEX(Bases!$Q$2:$Q$53,C417))</f>
        <v>68</v>
      </c>
      <c r="X417" s="2" t="n">
        <f aca="false">Settings!$B$4*MAX(INDEX(Bases!$R$2:$R$53,B417),INDEX(Bases!$R$2:$R$53,C417))+Settings!$B$5*MIN(INDEX(Bases!$R$2:$R$53,B417),INDEX(Bases!$R$2:$R$53,C417))</f>
        <v>88.6666666666667</v>
      </c>
      <c r="Y417" s="2" t="n">
        <f aca="false">S417*Settings!$B$3/SUM(S417:X417)</f>
        <v>71.7684377478192</v>
      </c>
      <c r="Z417" s="2" t="n">
        <f aca="false">T417*Settings!$B$3/SUM(S417:X417)</f>
        <v>106.264869151467</v>
      </c>
      <c r="AA417" s="2" t="n">
        <f aca="false">U417*Settings!$B$3/SUM(S417:X417)</f>
        <v>71.7684377478192</v>
      </c>
      <c r="AB417" s="2" t="n">
        <f aca="false">V417*Settings!$B$3/SUM(S417:X417)</f>
        <v>63.8382236320381</v>
      </c>
      <c r="AC417" s="2" t="n">
        <f aca="false">W417*Settings!$B$3/SUM(S417:X417)</f>
        <v>80.8881839809675</v>
      </c>
      <c r="AD417" s="2" t="n">
        <f aca="false">X417*Settings!$B$3/SUM(S417:X417)</f>
        <v>105.471847739889</v>
      </c>
      <c r="AE417" s="2" t="n">
        <f aca="false">INT(Y417)</f>
        <v>71</v>
      </c>
      <c r="AF417" s="2" t="n">
        <f aca="false">INT(Z417)</f>
        <v>106</v>
      </c>
      <c r="AG417" s="2" t="n">
        <f aca="false">INT(AA417)</f>
        <v>71</v>
      </c>
      <c r="AH417" s="2" t="n">
        <f aca="false">INT(AB417)</f>
        <v>63</v>
      </c>
      <c r="AI417" s="2" t="n">
        <f aca="false">INT(AC417)</f>
        <v>80</v>
      </c>
      <c r="AJ417" s="2" t="n">
        <f aca="false">INT(AD417)</f>
        <v>105</v>
      </c>
      <c r="AK417" s="2" t="n">
        <f aca="false">Settings!$B$3-SUM(AE417:AJ417)</f>
        <v>4</v>
      </c>
      <c r="AL417" s="2" t="n">
        <f aca="false">ROUND(Y417-AE417,9)</f>
        <v>0.768437748</v>
      </c>
      <c r="AM417" s="2" t="n">
        <f aca="false">ROUND(Z417-AF417,9)</f>
        <v>0.264869151</v>
      </c>
      <c r="AN417" s="2" t="n">
        <f aca="false">ROUND(AA417-AG417,9)</f>
        <v>0.768437748</v>
      </c>
      <c r="AO417" s="2" t="n">
        <f aca="false">ROUND(AB417-AH417,9)</f>
        <v>0.838223632</v>
      </c>
      <c r="AP417" s="2" t="n">
        <f aca="false">ROUND(AC417-AI417,9)</f>
        <v>0.888183981</v>
      </c>
      <c r="AQ417" s="2" t="n">
        <f aca="false">ROUND(AD417-AJ417,9)</f>
        <v>0.47184774</v>
      </c>
    </row>
    <row r="418" customFormat="false" ht="15" hidden="false" customHeight="false" outlineLevel="0" collapsed="false">
      <c r="A418" s="2" t="n">
        <v>417</v>
      </c>
      <c r="B418" s="6" t="n">
        <v>9</v>
      </c>
      <c r="C418" s="6" t="n">
        <v>46</v>
      </c>
      <c r="D418" s="8" t="str">
        <f aca="false">INDEX(Bases!$B$2:$B$53,B418)</f>
        <v>Mudkip</v>
      </c>
      <c r="E418" s="8" t="str">
        <f aca="false">INDEX(Bases!$B$2:$B$53,C418)</f>
        <v>Houndour</v>
      </c>
      <c r="F418" s="2" t="str">
        <f aca="false">LEFT(D418,ROUNDUP(LEN(D418)/2,0))&amp;LOWER(MID(E418,ROUNDUP(LEN(E418)/2,0)+1,20))</f>
        <v>Muddour</v>
      </c>
      <c r="G418" s="8" t="str">
        <f aca="false">INDEX(Bases!$C$2:$C$53,B418)</f>
        <v>Water</v>
      </c>
      <c r="H418" s="8" t="str">
        <f aca="false">IF(INDEX(Bases!$C$2:$C$53,C418)=G418,"",INDEX(Bases!$C$2:$C$53,C418))</f>
        <v>Dark</v>
      </c>
      <c r="I418" s="8" t="str">
        <f aca="false">IF(INDEX(Bases!$E$2:$E$53,B418)="","",INDEX(Bases!$E$2:$E$53,B418))</f>
        <v/>
      </c>
      <c r="J418" s="8" t="str">
        <f aca="false">IF(INDEX(Bases!$E$2:$E$53,C418)="","",INDEX(Bases!$E$2:$E$53,C418))</f>
        <v/>
      </c>
      <c r="K418" s="5"/>
      <c r="L418" s="2" t="n">
        <f aca="false">AE418+IF(SUMPRODUCT(--($AL418:$AQ418&gt;AL418))&lt;$AK418,1,0)</f>
        <v>73</v>
      </c>
      <c r="M418" s="2" t="n">
        <f aca="false">AF418+IF(SUMPRODUCT(--($AL418:$AQ418&gt;AM418))+SUMPRODUCT(--($AL418:AL418=AM418))&lt;$AK418,1,0)</f>
        <v>101</v>
      </c>
      <c r="N418" s="2" t="n">
        <f aca="false">AG418+IF(SUMPRODUCT(--($AL418:$AQ418&gt;AN418))+SUMPRODUCT(--($AL418:AM418=AN418))&lt;$AK418,1,0)</f>
        <v>66</v>
      </c>
      <c r="O418" s="2" t="n">
        <f aca="false">AH418+IF(SUMPRODUCT(--($AL418:$AQ418&gt;AO418))+SUMPRODUCT(--($AL418:AN418=AO418))&lt;$AK418,1,0)</f>
        <v>102</v>
      </c>
      <c r="P418" s="2" t="n">
        <f aca="false">AI418+IF(SUMPRODUCT(--($AL418:$AQ418&gt;AP418))+SUMPRODUCT(--($AL418:AO418=AP418))&lt;$AK418,1,0)</f>
        <v>75</v>
      </c>
      <c r="Q418" s="2" t="n">
        <f aca="false">AJ418+IF(SUMPRODUCT(--($AL418:$AQ418&gt;AQ418))+SUMPRODUCT(--($AL418:AP418=AQ418))&lt;$AK418,1,0)</f>
        <v>83</v>
      </c>
      <c r="R418" s="2" t="n">
        <f aca="false">SUM(L418:Q418)</f>
        <v>500</v>
      </c>
      <c r="S418" s="2" t="n">
        <f aca="false">Settings!$B$4*MAX(INDEX(Bases!$M$2:$M$53,B418),INDEX(Bases!$M$2:$M$53,C418))+Settings!$B$5*MIN(INDEX(Bases!$M$2:$M$53,B418),INDEX(Bases!$M$2:$M$53,C418))</f>
        <v>61.3333333333333</v>
      </c>
      <c r="T418" s="2" t="n">
        <f aca="false">Settings!$B$4*MAX(INDEX(Bases!$N$2:$N$53,B418),INDEX(Bases!$N$2:$N$53,C418))+Settings!$B$5*MIN(INDEX(Bases!$N$2:$N$53,B418),INDEX(Bases!$N$2:$N$53,C418))</f>
        <v>84.3333333333333</v>
      </c>
      <c r="U418" s="2" t="n">
        <f aca="false">Settings!$B$4*MAX(INDEX(Bases!$O$2:$O$53,B418),INDEX(Bases!$O$2:$O$53,C418))+Settings!$B$5*MIN(INDEX(Bases!$O$2:$O$53,B418),INDEX(Bases!$O$2:$O$53,C418))</f>
        <v>55.3333333333333</v>
      </c>
      <c r="V418" s="2" t="n">
        <f aca="false">Settings!$B$4*MAX(INDEX(Bases!$P$2:$P$53,B418),INDEX(Bases!$P$2:$P$53,C418))+Settings!$B$5*MIN(INDEX(Bases!$P$2:$P$53,B418),INDEX(Bases!$P$2:$P$53,C418))</f>
        <v>86</v>
      </c>
      <c r="W418" s="2" t="n">
        <f aca="false">Settings!$B$4*MAX(INDEX(Bases!$Q$2:$Q$53,B418),INDEX(Bases!$Q$2:$Q$53,C418))+Settings!$B$5*MIN(INDEX(Bases!$Q$2:$Q$53,B418),INDEX(Bases!$Q$2:$Q$53,C418))</f>
        <v>63</v>
      </c>
      <c r="X418" s="2" t="n">
        <f aca="false">Settings!$B$4*MAX(INDEX(Bases!$R$2:$R$53,B418),INDEX(Bases!$R$2:$R$53,C418))+Settings!$B$5*MIN(INDEX(Bases!$R$2:$R$53,B418),INDEX(Bases!$R$2:$R$53,C418))</f>
        <v>70</v>
      </c>
      <c r="Y418" s="2" t="n">
        <f aca="false">S418*Settings!$B$3/SUM(S418:X418)</f>
        <v>73.015873015873</v>
      </c>
      <c r="Z418" s="2" t="n">
        <f aca="false">T418*Settings!$B$3/SUM(S418:X418)</f>
        <v>100.396825396825</v>
      </c>
      <c r="AA418" s="2" t="n">
        <f aca="false">U418*Settings!$B$3/SUM(S418:X418)</f>
        <v>65.8730158730159</v>
      </c>
      <c r="AB418" s="2" t="n">
        <f aca="false">V418*Settings!$B$3/SUM(S418:X418)</f>
        <v>102.380952380952</v>
      </c>
      <c r="AC418" s="2" t="n">
        <f aca="false">W418*Settings!$B$3/SUM(S418:X418)</f>
        <v>75</v>
      </c>
      <c r="AD418" s="2" t="n">
        <f aca="false">X418*Settings!$B$3/SUM(S418:X418)</f>
        <v>83.3333333333333</v>
      </c>
      <c r="AE418" s="2" t="n">
        <f aca="false">INT(Y418)</f>
        <v>73</v>
      </c>
      <c r="AF418" s="2" t="n">
        <f aca="false">INT(Z418)</f>
        <v>100</v>
      </c>
      <c r="AG418" s="2" t="n">
        <f aca="false">INT(AA418)</f>
        <v>65</v>
      </c>
      <c r="AH418" s="2" t="n">
        <f aca="false">INT(AB418)</f>
        <v>102</v>
      </c>
      <c r="AI418" s="2" t="n">
        <f aca="false">INT(AC418)</f>
        <v>75</v>
      </c>
      <c r="AJ418" s="2" t="n">
        <f aca="false">INT(AD418)</f>
        <v>83</v>
      </c>
      <c r="AK418" s="2" t="n">
        <f aca="false">Settings!$B$3-SUM(AE418:AJ418)</f>
        <v>2</v>
      </c>
      <c r="AL418" s="2" t="n">
        <f aca="false">ROUND(Y418-AE418,9)</f>
        <v>0.015873016</v>
      </c>
      <c r="AM418" s="2" t="n">
        <f aca="false">ROUND(Z418-AF418,9)</f>
        <v>0.396825397</v>
      </c>
      <c r="AN418" s="2" t="n">
        <f aca="false">ROUND(AA418-AG418,9)</f>
        <v>0.873015873</v>
      </c>
      <c r="AO418" s="2" t="n">
        <f aca="false">ROUND(AB418-AH418,9)</f>
        <v>0.380952381</v>
      </c>
      <c r="AP418" s="2" t="n">
        <f aca="false">ROUND(AC418-AI418,9)</f>
        <v>0</v>
      </c>
      <c r="AQ418" s="2" t="n">
        <f aca="false">ROUND(AD418-AJ418,9)</f>
        <v>0.333333333</v>
      </c>
    </row>
    <row r="419" customFormat="false" ht="15" hidden="false" customHeight="false" outlineLevel="0" collapsed="false">
      <c r="A419" s="2" t="n">
        <v>418</v>
      </c>
      <c r="B419" s="6" t="n">
        <v>9</v>
      </c>
      <c r="C419" s="6" t="n">
        <v>47</v>
      </c>
      <c r="D419" s="8" t="str">
        <f aca="false">INDEX(Bases!$B$2:$B$53,B419)</f>
        <v>Mudkip</v>
      </c>
      <c r="E419" s="8" t="str">
        <f aca="false">INDEX(Bases!$B$2:$B$53,C419)</f>
        <v>Carvanha</v>
      </c>
      <c r="F419" s="2" t="str">
        <f aca="false">LEFT(D419,ROUNDUP(LEN(D419)/2,0))&amp;LOWER(MID(E419,ROUNDUP(LEN(E419)/2,0)+1,20))</f>
        <v>Mudanha</v>
      </c>
      <c r="G419" s="8" t="str">
        <f aca="false">INDEX(Bases!$C$2:$C$53,B419)</f>
        <v>Water</v>
      </c>
      <c r="H419" s="8" t="str">
        <f aca="false">IF(INDEX(Bases!$C$2:$C$53,C419)=G419,"",INDEX(Bases!$C$2:$C$53,C419))</f>
        <v>Dark</v>
      </c>
      <c r="I419" s="8" t="str">
        <f aca="false">IF(INDEX(Bases!$E$2:$E$53,B419)="","",INDEX(Bases!$E$2:$E$53,B419))</f>
        <v/>
      </c>
      <c r="J419" s="8" t="str">
        <f aca="false">IF(INDEX(Bases!$E$2:$E$53,C419)="","",INDEX(Bases!$E$2:$E$53,C419))</f>
        <v/>
      </c>
      <c r="K419" s="5"/>
      <c r="L419" s="2" t="n">
        <f aca="false">AE419+IF(SUMPRODUCT(--($AL419:$AQ419&gt;AL419))&lt;$AK419,1,0)</f>
        <v>74</v>
      </c>
      <c r="M419" s="2" t="n">
        <f aca="false">AF419+IF(SUMPRODUCT(--($AL419:$AQ419&gt;AM419))+SUMPRODUCT(--($AL419:AL419=AM419))&lt;$AK419,1,0)</f>
        <v>127</v>
      </c>
      <c r="N419" s="2" t="n">
        <f aca="false">AG419+IF(SUMPRODUCT(--($AL419:$AQ419&gt;AN419))+SUMPRODUCT(--($AL419:AM419=AN419))&lt;$AK419,1,0)</f>
        <v>61</v>
      </c>
      <c r="O419" s="2" t="n">
        <f aca="false">AH419+IF(SUMPRODUCT(--($AL419:$AQ419&gt;AO419))+SUMPRODUCT(--($AL419:AN419=AO419))&lt;$AK419,1,0)</f>
        <v>92</v>
      </c>
      <c r="P419" s="2" t="n">
        <f aca="false">AI419+IF(SUMPRODUCT(--($AL419:$AQ419&gt;AP419))+SUMPRODUCT(--($AL419:AO419=AP419))&lt;$AK419,1,0)</f>
        <v>60</v>
      </c>
      <c r="Q419" s="2" t="n">
        <f aca="false">AJ419+IF(SUMPRODUCT(--($AL419:$AQ419&gt;AQ419))+SUMPRODUCT(--($AL419:AP419=AQ419))&lt;$AK419,1,0)</f>
        <v>86</v>
      </c>
      <c r="R419" s="2" t="n">
        <f aca="false">SUM(L419:Q419)</f>
        <v>500</v>
      </c>
      <c r="S419" s="2" t="n">
        <f aca="false">Settings!$B$4*MAX(INDEX(Bases!$M$2:$M$53,B419),INDEX(Bases!$M$2:$M$53,C419))+Settings!$B$5*MIN(INDEX(Bases!$M$2:$M$53,B419),INDEX(Bases!$M$2:$M$53,C419))</f>
        <v>63</v>
      </c>
      <c r="T419" s="2" t="n">
        <f aca="false">Settings!$B$4*MAX(INDEX(Bases!$N$2:$N$53,B419),INDEX(Bases!$N$2:$N$53,C419))+Settings!$B$5*MIN(INDEX(Bases!$N$2:$N$53,B419),INDEX(Bases!$N$2:$N$53,C419))</f>
        <v>108.666666666667</v>
      </c>
      <c r="U419" s="2" t="n">
        <f aca="false">Settings!$B$4*MAX(INDEX(Bases!$O$2:$O$53,B419),INDEX(Bases!$O$2:$O$53,C419))+Settings!$B$5*MIN(INDEX(Bases!$O$2:$O$53,B419),INDEX(Bases!$O$2:$O$53,C419))</f>
        <v>52</v>
      </c>
      <c r="V419" s="2" t="n">
        <f aca="false">Settings!$B$4*MAX(INDEX(Bases!$P$2:$P$53,B419),INDEX(Bases!$P$2:$P$53,C419))+Settings!$B$5*MIN(INDEX(Bases!$P$2:$P$53,B419),INDEX(Bases!$P$2:$P$53,C419))</f>
        <v>78.6666666666667</v>
      </c>
      <c r="W419" s="2" t="n">
        <f aca="false">Settings!$B$4*MAX(INDEX(Bases!$Q$2:$Q$53,B419),INDEX(Bases!$Q$2:$Q$53,C419))+Settings!$B$5*MIN(INDEX(Bases!$Q$2:$Q$53,B419),INDEX(Bases!$Q$2:$Q$53,C419))</f>
        <v>51.3333333333333</v>
      </c>
      <c r="X419" s="2" t="n">
        <f aca="false">Settings!$B$4*MAX(INDEX(Bases!$R$2:$R$53,B419),INDEX(Bases!$R$2:$R$53,C419))+Settings!$B$5*MIN(INDEX(Bases!$R$2:$R$53,B419),INDEX(Bases!$R$2:$R$53,C419))</f>
        <v>74</v>
      </c>
      <c r="Y419" s="2" t="n">
        <f aca="false">S419*Settings!$B$3/SUM(S419:X419)</f>
        <v>73.655494933749</v>
      </c>
      <c r="Z419" s="2" t="n">
        <f aca="false">T419*Settings!$B$3/SUM(S419:X419)</f>
        <v>127.045985970382</v>
      </c>
      <c r="AA419" s="2" t="n">
        <f aca="false">U419*Settings!$B$3/SUM(S419:X419)</f>
        <v>60.7950116913484</v>
      </c>
      <c r="AB419" s="2" t="n">
        <f aca="false">V419*Settings!$B$3/SUM(S419:X419)</f>
        <v>91.9719407638348</v>
      </c>
      <c r="AC419" s="2" t="n">
        <f aca="false">W419*Settings!$B$3/SUM(S419:X419)</f>
        <v>60.0155884645362</v>
      </c>
      <c r="AD419" s="2" t="n">
        <f aca="false">X419*Settings!$B$3/SUM(S419:X419)</f>
        <v>86.5159781761497</v>
      </c>
      <c r="AE419" s="2" t="n">
        <f aca="false">INT(Y419)</f>
        <v>73</v>
      </c>
      <c r="AF419" s="2" t="n">
        <f aca="false">INT(Z419)</f>
        <v>127</v>
      </c>
      <c r="AG419" s="2" t="n">
        <f aca="false">INT(AA419)</f>
        <v>60</v>
      </c>
      <c r="AH419" s="2" t="n">
        <f aca="false">INT(AB419)</f>
        <v>91</v>
      </c>
      <c r="AI419" s="2" t="n">
        <f aca="false">INT(AC419)</f>
        <v>60</v>
      </c>
      <c r="AJ419" s="2" t="n">
        <f aca="false">INT(AD419)</f>
        <v>86</v>
      </c>
      <c r="AK419" s="2" t="n">
        <f aca="false">Settings!$B$3-SUM(AE419:AJ419)</f>
        <v>3</v>
      </c>
      <c r="AL419" s="2" t="n">
        <f aca="false">ROUND(Y419-AE419,9)</f>
        <v>0.655494934</v>
      </c>
      <c r="AM419" s="2" t="n">
        <f aca="false">ROUND(Z419-AF419,9)</f>
        <v>0.04598597</v>
      </c>
      <c r="AN419" s="2" t="n">
        <f aca="false">ROUND(AA419-AG419,9)</f>
        <v>0.795011691</v>
      </c>
      <c r="AO419" s="2" t="n">
        <f aca="false">ROUND(AB419-AH419,9)</f>
        <v>0.971940764</v>
      </c>
      <c r="AP419" s="2" t="n">
        <f aca="false">ROUND(AC419-AI419,9)</f>
        <v>0.015588465</v>
      </c>
      <c r="AQ419" s="2" t="n">
        <f aca="false">ROUND(AD419-AJ419,9)</f>
        <v>0.515978176</v>
      </c>
    </row>
    <row r="420" customFormat="false" ht="15" hidden="false" customHeight="false" outlineLevel="0" collapsed="false">
      <c r="A420" s="2" t="n">
        <v>419</v>
      </c>
      <c r="B420" s="6" t="n">
        <v>9</v>
      </c>
      <c r="C420" s="6" t="n">
        <v>48</v>
      </c>
      <c r="D420" s="8" t="str">
        <f aca="false">INDEX(Bases!$B$2:$B$53,B420)</f>
        <v>Mudkip</v>
      </c>
      <c r="E420" s="8" t="str">
        <f aca="false">INDEX(Bases!$B$2:$B$53,C420)</f>
        <v>Magnemite</v>
      </c>
      <c r="F420" s="2" t="str">
        <f aca="false">LEFT(D420,ROUNDUP(LEN(D420)/2,0))&amp;LOWER(MID(E420,ROUNDUP(LEN(E420)/2,0)+1,20))</f>
        <v>Mudmite</v>
      </c>
      <c r="G420" s="8" t="str">
        <f aca="false">INDEX(Bases!$C$2:$C$53,B420)</f>
        <v>Water</v>
      </c>
      <c r="H420" s="8" t="str">
        <f aca="false">IF(INDEX(Bases!$C$2:$C$53,C420)=G420,"",INDEX(Bases!$C$2:$C$53,C420))</f>
        <v>Steel</v>
      </c>
      <c r="I420" s="8" t="str">
        <f aca="false">IF(INDEX(Bases!$E$2:$E$53,B420)="","",INDEX(Bases!$E$2:$E$53,B420))</f>
        <v/>
      </c>
      <c r="J420" s="8" t="str">
        <f aca="false">IF(INDEX(Bases!$E$2:$E$53,C420)="","",INDEX(Bases!$E$2:$E$53,C420))</f>
        <v/>
      </c>
      <c r="K420" s="5"/>
      <c r="L420" s="2" t="n">
        <f aca="false">AE420+IF(SUMPRODUCT(--($AL420:$AQ420&gt;AL420))&lt;$AK420,1,0)</f>
        <v>63</v>
      </c>
      <c r="M420" s="2" t="n">
        <f aca="false">AF420+IF(SUMPRODUCT(--($AL420:$AQ420&gt;AM420))+SUMPRODUCT(--($AL420:AL420=AM420))&lt;$AK420,1,0)</f>
        <v>87</v>
      </c>
      <c r="N420" s="2" t="n">
        <f aca="false">AG420+IF(SUMPRODUCT(--($AL420:$AQ420&gt;AN420))+SUMPRODUCT(--($AL420:AM420=AN420))&lt;$AK420,1,0)</f>
        <v>93</v>
      </c>
      <c r="O420" s="2" t="n">
        <f aca="false">AH420+IF(SUMPRODUCT(--($AL420:$AQ420&gt;AO420))+SUMPRODUCT(--($AL420:AN420=AO420))&lt;$AK420,1,0)</f>
        <v>116</v>
      </c>
      <c r="P420" s="2" t="n">
        <f aca="false">AI420+IF(SUMPRODUCT(--($AL420:$AQ420&gt;AP420))+SUMPRODUCT(--($AL420:AO420=AP420))&lt;$AK420,1,0)</f>
        <v>78</v>
      </c>
      <c r="Q420" s="2" t="n">
        <f aca="false">AJ420+IF(SUMPRODUCT(--($AL420:$AQ420&gt;AQ420))+SUMPRODUCT(--($AL420:AP420=AQ420))&lt;$AK420,1,0)</f>
        <v>63</v>
      </c>
      <c r="R420" s="2" t="n">
        <f aca="false">SUM(L420:Q420)</f>
        <v>500</v>
      </c>
      <c r="S420" s="2" t="n">
        <f aca="false">Settings!$B$4*MAX(INDEX(Bases!$M$2:$M$53,B420),INDEX(Bases!$M$2:$M$53,C420))+Settings!$B$5*MIN(INDEX(Bases!$M$2:$M$53,B420),INDEX(Bases!$M$2:$M$53,C420))</f>
        <v>53.6666666666667</v>
      </c>
      <c r="T420" s="2" t="n">
        <f aca="false">Settings!$B$4*MAX(INDEX(Bases!$N$2:$N$53,B420),INDEX(Bases!$N$2:$N$53,C420))+Settings!$B$5*MIN(INDEX(Bases!$N$2:$N$53,B420),INDEX(Bases!$N$2:$N$53,C420))</f>
        <v>74.3333333333333</v>
      </c>
      <c r="U420" s="2" t="n">
        <f aca="false">Settings!$B$4*MAX(INDEX(Bases!$O$2:$O$53,B420),INDEX(Bases!$O$2:$O$53,C420))+Settings!$B$5*MIN(INDEX(Bases!$O$2:$O$53,B420),INDEX(Bases!$O$2:$O$53,C420))</f>
        <v>79</v>
      </c>
      <c r="V420" s="2" t="n">
        <f aca="false">Settings!$B$4*MAX(INDEX(Bases!$P$2:$P$53,B420),INDEX(Bases!$P$2:$P$53,C420))+Settings!$B$5*MIN(INDEX(Bases!$P$2:$P$53,B420),INDEX(Bases!$P$2:$P$53,C420))</f>
        <v>99.3333333333333</v>
      </c>
      <c r="W420" s="2" t="n">
        <f aca="false">Settings!$B$4*MAX(INDEX(Bases!$Q$2:$Q$53,B420),INDEX(Bases!$Q$2:$Q$53,C420))+Settings!$B$5*MIN(INDEX(Bases!$Q$2:$Q$53,B420),INDEX(Bases!$Q$2:$Q$53,C420))</f>
        <v>66.6666666666667</v>
      </c>
      <c r="X420" s="2" t="n">
        <f aca="false">Settings!$B$4*MAX(INDEX(Bases!$R$2:$R$53,B420),INDEX(Bases!$R$2:$R$53,C420))+Settings!$B$5*MIN(INDEX(Bases!$R$2:$R$53,B420),INDEX(Bases!$R$2:$R$53,C420))</f>
        <v>54</v>
      </c>
      <c r="Y420" s="2" t="n">
        <f aca="false">S420*Settings!$B$3/SUM(S420:X420)</f>
        <v>62.8415300546448</v>
      </c>
      <c r="Z420" s="2" t="n">
        <f aca="false">T420*Settings!$B$3/SUM(S420:X420)</f>
        <v>87.0413739266198</v>
      </c>
      <c r="AA420" s="2" t="n">
        <f aca="false">U420*Settings!$B$3/SUM(S420:X420)</f>
        <v>92.5058548009368</v>
      </c>
      <c r="AB420" s="2" t="n">
        <f aca="false">V420*Settings!$B$3/SUM(S420:X420)</f>
        <v>116.315378610461</v>
      </c>
      <c r="AC420" s="2" t="n">
        <f aca="false">W420*Settings!$B$3/SUM(S420:X420)</f>
        <v>78.064012490242</v>
      </c>
      <c r="AD420" s="2" t="n">
        <f aca="false">X420*Settings!$B$3/SUM(S420:X420)</f>
        <v>63.231850117096</v>
      </c>
      <c r="AE420" s="2" t="n">
        <f aca="false">INT(Y420)</f>
        <v>62</v>
      </c>
      <c r="AF420" s="2" t="n">
        <f aca="false">INT(Z420)</f>
        <v>87</v>
      </c>
      <c r="AG420" s="2" t="n">
        <f aca="false">INT(AA420)</f>
        <v>92</v>
      </c>
      <c r="AH420" s="2" t="n">
        <f aca="false">INT(AB420)</f>
        <v>116</v>
      </c>
      <c r="AI420" s="2" t="n">
        <f aca="false">INT(AC420)</f>
        <v>78</v>
      </c>
      <c r="AJ420" s="2" t="n">
        <f aca="false">INT(AD420)</f>
        <v>63</v>
      </c>
      <c r="AK420" s="2" t="n">
        <f aca="false">Settings!$B$3-SUM(AE420:AJ420)</f>
        <v>2</v>
      </c>
      <c r="AL420" s="2" t="n">
        <f aca="false">ROUND(Y420-AE420,9)</f>
        <v>0.841530055</v>
      </c>
      <c r="AM420" s="2" t="n">
        <f aca="false">ROUND(Z420-AF420,9)</f>
        <v>0.041373927</v>
      </c>
      <c r="AN420" s="2" t="n">
        <f aca="false">ROUND(AA420-AG420,9)</f>
        <v>0.505854801</v>
      </c>
      <c r="AO420" s="2" t="n">
        <f aca="false">ROUND(AB420-AH420,9)</f>
        <v>0.31537861</v>
      </c>
      <c r="AP420" s="2" t="n">
        <f aca="false">ROUND(AC420-AI420,9)</f>
        <v>0.06401249</v>
      </c>
      <c r="AQ420" s="2" t="n">
        <f aca="false">ROUND(AD420-AJ420,9)</f>
        <v>0.231850117</v>
      </c>
    </row>
    <row r="421" customFormat="false" ht="15" hidden="false" customHeight="false" outlineLevel="0" collapsed="false">
      <c r="A421" s="2" t="n">
        <v>420</v>
      </c>
      <c r="B421" s="6" t="n">
        <v>9</v>
      </c>
      <c r="C421" s="6" t="n">
        <v>49</v>
      </c>
      <c r="D421" s="8" t="str">
        <f aca="false">INDEX(Bases!$B$2:$B$53,B421)</f>
        <v>Mudkip</v>
      </c>
      <c r="E421" s="8" t="str">
        <f aca="false">INDEX(Bases!$B$2:$B$53,C421)</f>
        <v>Aron</v>
      </c>
      <c r="F421" s="2" t="str">
        <f aca="false">LEFT(D421,ROUNDUP(LEN(D421)/2,0))&amp;LOWER(MID(E421,ROUNDUP(LEN(E421)/2,0)+1,20))</f>
        <v>Mudon</v>
      </c>
      <c r="G421" s="8" t="str">
        <f aca="false">INDEX(Bases!$C$2:$C$53,B421)</f>
        <v>Water</v>
      </c>
      <c r="H421" s="8" t="str">
        <f aca="false">IF(INDEX(Bases!$C$2:$C$53,C421)=G421,"",INDEX(Bases!$C$2:$C$53,C421))</f>
        <v>Steel</v>
      </c>
      <c r="I421" s="8" t="str">
        <f aca="false">IF(INDEX(Bases!$E$2:$E$53,B421)="","",INDEX(Bases!$E$2:$E$53,B421))</f>
        <v/>
      </c>
      <c r="J421" s="8" t="str">
        <f aca="false">IF(INDEX(Bases!$E$2:$E$53,C421)="","",INDEX(Bases!$E$2:$E$53,C421))</f>
        <v/>
      </c>
      <c r="K421" s="5"/>
      <c r="L421" s="2" t="n">
        <f aca="false">AE421+IF(SUMPRODUCT(--($AL421:$AQ421&gt;AL421))&lt;$AK421,1,0)</f>
        <v>76</v>
      </c>
      <c r="M421" s="2" t="n">
        <f aca="false">AF421+IF(SUMPRODUCT(--($AL421:$AQ421&gt;AM421))+SUMPRODUCT(--($AL421:AL421=AM421))&lt;$AK421,1,0)</f>
        <v>106</v>
      </c>
      <c r="N421" s="2" t="n">
        <f aca="false">AG421+IF(SUMPRODUCT(--($AL421:$AQ421&gt;AN421))+SUMPRODUCT(--($AL421:AM421=AN421))&lt;$AK421,1,0)</f>
        <v>122</v>
      </c>
      <c r="O421" s="2" t="n">
        <f aca="false">AH421+IF(SUMPRODUCT(--($AL421:$AQ421&gt;AO421))+SUMPRODUCT(--($AL421:AN421=AO421))&lt;$AK421,1,0)</f>
        <v>70</v>
      </c>
      <c r="P421" s="2" t="n">
        <f aca="false">AI421+IF(SUMPRODUCT(--($AL421:$AQ421&gt;AP421))+SUMPRODUCT(--($AL421:AO421=AP421))&lt;$AK421,1,0)</f>
        <v>70</v>
      </c>
      <c r="Q421" s="2" t="n">
        <f aca="false">AJ421+IF(SUMPRODUCT(--($AL421:$AQ421&gt;AQ421))+SUMPRODUCT(--($AL421:AP421=AQ421))&lt;$AK421,1,0)</f>
        <v>56</v>
      </c>
      <c r="R421" s="2" t="n">
        <f aca="false">SUM(L421:Q421)</f>
        <v>500</v>
      </c>
      <c r="S421" s="2" t="n">
        <f aca="false">Settings!$B$4*MAX(INDEX(Bases!$M$2:$M$53,B421),INDEX(Bases!$M$2:$M$53,C421))+Settings!$B$5*MIN(INDEX(Bases!$M$2:$M$53,B421),INDEX(Bases!$M$2:$M$53,C421))</f>
        <v>63.6666666666667</v>
      </c>
      <c r="T421" s="2" t="n">
        <f aca="false">Settings!$B$4*MAX(INDEX(Bases!$N$2:$N$53,B421),INDEX(Bases!$N$2:$N$53,C421))+Settings!$B$5*MIN(INDEX(Bases!$N$2:$N$53,B421),INDEX(Bases!$N$2:$N$53,C421))</f>
        <v>88.3333333333333</v>
      </c>
      <c r="U421" s="2" t="n">
        <f aca="false">Settings!$B$4*MAX(INDEX(Bases!$O$2:$O$53,B421),INDEX(Bases!$O$2:$O$53,C421))+Settings!$B$5*MIN(INDEX(Bases!$O$2:$O$53,B421),INDEX(Bases!$O$2:$O$53,C421))</f>
        <v>102.333333333333</v>
      </c>
      <c r="V421" s="2" t="n">
        <f aca="false">Settings!$B$4*MAX(INDEX(Bases!$P$2:$P$53,B421),INDEX(Bases!$P$2:$P$53,C421))+Settings!$B$5*MIN(INDEX(Bases!$P$2:$P$53,B421),INDEX(Bases!$P$2:$P$53,C421))</f>
        <v>59</v>
      </c>
      <c r="W421" s="2" t="n">
        <f aca="false">Settings!$B$4*MAX(INDEX(Bases!$Q$2:$Q$53,B421),INDEX(Bases!$Q$2:$Q$53,C421))+Settings!$B$5*MIN(INDEX(Bases!$Q$2:$Q$53,B421),INDEX(Bases!$Q$2:$Q$53,C421))</f>
        <v>58.6666666666667</v>
      </c>
      <c r="X421" s="2" t="n">
        <f aca="false">Settings!$B$4*MAX(INDEX(Bases!$R$2:$R$53,B421),INDEX(Bases!$R$2:$R$53,C421))+Settings!$B$5*MIN(INDEX(Bases!$R$2:$R$53,B421),INDEX(Bases!$R$2:$R$53,C421))</f>
        <v>46.6666666666667</v>
      </c>
      <c r="Y421" s="2" t="n">
        <f aca="false">S421*Settings!$B$3/SUM(S421:X421)</f>
        <v>76.0350318471338</v>
      </c>
      <c r="Z421" s="2" t="n">
        <f aca="false">T421*Settings!$B$3/SUM(S421:X421)</f>
        <v>105.493630573248</v>
      </c>
      <c r="AA421" s="2" t="n">
        <f aca="false">U421*Settings!$B$3/SUM(S421:X421)</f>
        <v>122.213375796178</v>
      </c>
      <c r="AB421" s="2" t="n">
        <f aca="false">V421*Settings!$B$3/SUM(S421:X421)</f>
        <v>70.4617834394905</v>
      </c>
      <c r="AC421" s="2" t="n">
        <f aca="false">W421*Settings!$B$3/SUM(S421:X421)</f>
        <v>70.0636942675159</v>
      </c>
      <c r="AD421" s="2" t="n">
        <f aca="false">X421*Settings!$B$3/SUM(S421:X421)</f>
        <v>55.7324840764331</v>
      </c>
      <c r="AE421" s="2" t="n">
        <f aca="false">INT(Y421)</f>
        <v>76</v>
      </c>
      <c r="AF421" s="2" t="n">
        <f aca="false">INT(Z421)</f>
        <v>105</v>
      </c>
      <c r="AG421" s="2" t="n">
        <f aca="false">INT(AA421)</f>
        <v>122</v>
      </c>
      <c r="AH421" s="2" t="n">
        <f aca="false">INT(AB421)</f>
        <v>70</v>
      </c>
      <c r="AI421" s="2" t="n">
        <f aca="false">INT(AC421)</f>
        <v>70</v>
      </c>
      <c r="AJ421" s="2" t="n">
        <f aca="false">INT(AD421)</f>
        <v>55</v>
      </c>
      <c r="AK421" s="2" t="n">
        <f aca="false">Settings!$B$3-SUM(AE421:AJ421)</f>
        <v>2</v>
      </c>
      <c r="AL421" s="2" t="n">
        <f aca="false">ROUND(Y421-AE421,9)</f>
        <v>0.035031847</v>
      </c>
      <c r="AM421" s="2" t="n">
        <f aca="false">ROUND(Z421-AF421,9)</f>
        <v>0.493630573</v>
      </c>
      <c r="AN421" s="2" t="n">
        <f aca="false">ROUND(AA421-AG421,9)</f>
        <v>0.213375796</v>
      </c>
      <c r="AO421" s="2" t="n">
        <f aca="false">ROUND(AB421-AH421,9)</f>
        <v>0.461783439</v>
      </c>
      <c r="AP421" s="2" t="n">
        <f aca="false">ROUND(AC421-AI421,9)</f>
        <v>0.063694268</v>
      </c>
      <c r="AQ421" s="2" t="n">
        <f aca="false">ROUND(AD421-AJ421,9)</f>
        <v>0.732484076</v>
      </c>
    </row>
    <row r="422" customFormat="false" ht="15" hidden="false" customHeight="false" outlineLevel="0" collapsed="false">
      <c r="A422" s="2" t="n">
        <v>421</v>
      </c>
      <c r="B422" s="6" t="n">
        <v>9</v>
      </c>
      <c r="C422" s="6" t="n">
        <v>50</v>
      </c>
      <c r="D422" s="8" t="str">
        <f aca="false">INDEX(Bases!$B$2:$B$53,B422)</f>
        <v>Mudkip</v>
      </c>
      <c r="E422" s="8" t="str">
        <f aca="false">INDEX(Bases!$B$2:$B$53,C422)</f>
        <v>Beldum</v>
      </c>
      <c r="F422" s="2" t="str">
        <f aca="false">LEFT(D422,ROUNDUP(LEN(D422)/2,0))&amp;LOWER(MID(E422,ROUNDUP(LEN(E422)/2,0)+1,20))</f>
        <v>Muddum</v>
      </c>
      <c r="G422" s="8" t="str">
        <f aca="false">INDEX(Bases!$C$2:$C$53,B422)</f>
        <v>Water</v>
      </c>
      <c r="H422" s="8" t="str">
        <f aca="false">IF(INDEX(Bases!$C$2:$C$53,C422)=G422,"",INDEX(Bases!$C$2:$C$53,C422))</f>
        <v>Steel</v>
      </c>
      <c r="I422" s="8" t="str">
        <f aca="false">IF(INDEX(Bases!$E$2:$E$53,B422)="","",INDEX(Bases!$E$2:$E$53,B422))</f>
        <v/>
      </c>
      <c r="J422" s="8" t="str">
        <f aca="false">IF(INDEX(Bases!$E$2:$E$53,C422)="","",INDEX(Bases!$E$2:$E$53,C422))</f>
        <v/>
      </c>
      <c r="K422" s="5"/>
      <c r="L422" s="2" t="n">
        <f aca="false">AE422+IF(SUMPRODUCT(--($AL422:$AQ422&gt;AL422))&lt;$AK422,1,0)</f>
        <v>73</v>
      </c>
      <c r="M422" s="2" t="n">
        <f aca="false">AF422+IF(SUMPRODUCT(--($AL422:$AQ422&gt;AM422))+SUMPRODUCT(--($AL422:AL422=AM422))&lt;$AK422,1,0)</f>
        <v>101</v>
      </c>
      <c r="N422" s="2" t="n">
        <f aca="false">AG422+IF(SUMPRODUCT(--($AL422:$AQ422&gt;AN422))+SUMPRODUCT(--($AL422:AM422=AN422))&lt;$AK422,1,0)</f>
        <v>111</v>
      </c>
      <c r="O422" s="2" t="n">
        <f aca="false">AH422+IF(SUMPRODUCT(--($AL422:$AQ422&gt;AO422))+SUMPRODUCT(--($AL422:AN422=AO422))&lt;$AK422,1,0)</f>
        <v>69</v>
      </c>
      <c r="P422" s="2" t="n">
        <f aca="false">AI422+IF(SUMPRODUCT(--($AL422:$AQ422&gt;AP422))+SUMPRODUCT(--($AL422:AO422=AP422))&lt;$AK422,1,0)</f>
        <v>89</v>
      </c>
      <c r="Q422" s="2" t="n">
        <f aca="false">AJ422+IF(SUMPRODUCT(--($AL422:$AQ422&gt;AQ422))+SUMPRODUCT(--($AL422:AP422=AQ422))&lt;$AK422,1,0)</f>
        <v>57</v>
      </c>
      <c r="R422" s="2" t="n">
        <f aca="false">SUM(L422:Q422)</f>
        <v>500</v>
      </c>
      <c r="S422" s="2" t="n">
        <f aca="false">Settings!$B$4*MAX(INDEX(Bases!$M$2:$M$53,B422),INDEX(Bases!$M$2:$M$53,C422))+Settings!$B$5*MIN(INDEX(Bases!$M$2:$M$53,B422),INDEX(Bases!$M$2:$M$53,C422))</f>
        <v>61</v>
      </c>
      <c r="T422" s="2" t="n">
        <f aca="false">Settings!$B$4*MAX(INDEX(Bases!$N$2:$N$53,B422),INDEX(Bases!$N$2:$N$53,C422))+Settings!$B$5*MIN(INDEX(Bases!$N$2:$N$53,B422),INDEX(Bases!$N$2:$N$53,C422))</f>
        <v>84.3333333333333</v>
      </c>
      <c r="U422" s="2" t="n">
        <f aca="false">Settings!$B$4*MAX(INDEX(Bases!$O$2:$O$53,B422),INDEX(Bases!$O$2:$O$53,C422))+Settings!$B$5*MIN(INDEX(Bases!$O$2:$O$53,B422),INDEX(Bases!$O$2:$O$53,C422))</f>
        <v>93</v>
      </c>
      <c r="V422" s="2" t="n">
        <f aca="false">Settings!$B$4*MAX(INDEX(Bases!$P$2:$P$53,B422),INDEX(Bases!$P$2:$P$53,C422))+Settings!$B$5*MIN(INDEX(Bases!$P$2:$P$53,B422),INDEX(Bases!$P$2:$P$53,C422))</f>
        <v>58.3333333333333</v>
      </c>
      <c r="W422" s="2" t="n">
        <f aca="false">Settings!$B$4*MAX(INDEX(Bases!$Q$2:$Q$53,B422),INDEX(Bases!$Q$2:$Q$53,C422))+Settings!$B$5*MIN(INDEX(Bases!$Q$2:$Q$53,B422),INDEX(Bases!$Q$2:$Q$53,C422))</f>
        <v>74.6666666666667</v>
      </c>
      <c r="X422" s="2" t="n">
        <f aca="false">Settings!$B$4*MAX(INDEX(Bases!$R$2:$R$53,B422),INDEX(Bases!$R$2:$R$53,C422))+Settings!$B$5*MIN(INDEX(Bases!$R$2:$R$53,B422),INDEX(Bases!$R$2:$R$53,C422))</f>
        <v>48</v>
      </c>
      <c r="Y422" s="2" t="n">
        <f aca="false">S422*Settings!$B$3/SUM(S422:X422)</f>
        <v>72.7344992050875</v>
      </c>
      <c r="Z422" s="2" t="n">
        <f aca="false">T422*Settings!$B$3/SUM(S422:X422)</f>
        <v>100.556438791733</v>
      </c>
      <c r="AA422" s="2" t="n">
        <f aca="false">U422*Settings!$B$3/SUM(S422:X422)</f>
        <v>110.890302066773</v>
      </c>
      <c r="AB422" s="2" t="n">
        <f aca="false">V422*Settings!$B$3/SUM(S422:X422)</f>
        <v>69.5548489666137</v>
      </c>
      <c r="AC422" s="2" t="n">
        <f aca="false">W422*Settings!$B$3/SUM(S422:X422)</f>
        <v>89.0302066772655</v>
      </c>
      <c r="AD422" s="2" t="n">
        <f aca="false">X422*Settings!$B$3/SUM(S422:X422)</f>
        <v>57.2337042925278</v>
      </c>
      <c r="AE422" s="2" t="n">
        <f aca="false">INT(Y422)</f>
        <v>72</v>
      </c>
      <c r="AF422" s="2" t="n">
        <f aca="false">INT(Z422)</f>
        <v>100</v>
      </c>
      <c r="AG422" s="2" t="n">
        <f aca="false">INT(AA422)</f>
        <v>110</v>
      </c>
      <c r="AH422" s="2" t="n">
        <f aca="false">INT(AB422)</f>
        <v>69</v>
      </c>
      <c r="AI422" s="2" t="n">
        <f aca="false">INT(AC422)</f>
        <v>89</v>
      </c>
      <c r="AJ422" s="2" t="n">
        <f aca="false">INT(AD422)</f>
        <v>57</v>
      </c>
      <c r="AK422" s="2" t="n">
        <f aca="false">Settings!$B$3-SUM(AE422:AJ422)</f>
        <v>3</v>
      </c>
      <c r="AL422" s="2" t="n">
        <f aca="false">ROUND(Y422-AE422,9)</f>
        <v>0.734499205</v>
      </c>
      <c r="AM422" s="2" t="n">
        <f aca="false">ROUND(Z422-AF422,9)</f>
        <v>0.556438792</v>
      </c>
      <c r="AN422" s="2" t="n">
        <f aca="false">ROUND(AA422-AG422,9)</f>
        <v>0.890302067</v>
      </c>
      <c r="AO422" s="2" t="n">
        <f aca="false">ROUND(AB422-AH422,9)</f>
        <v>0.554848967</v>
      </c>
      <c r="AP422" s="2" t="n">
        <f aca="false">ROUND(AC422-AI422,9)</f>
        <v>0.030206677</v>
      </c>
      <c r="AQ422" s="2" t="n">
        <f aca="false">ROUND(AD422-AJ422,9)</f>
        <v>0.233704293</v>
      </c>
    </row>
    <row r="423" customFormat="false" ht="15" hidden="false" customHeight="false" outlineLevel="0" collapsed="false">
      <c r="A423" s="2" t="n">
        <v>422</v>
      </c>
      <c r="B423" s="6" t="n">
        <v>9</v>
      </c>
      <c r="C423" s="6" t="n">
        <v>51</v>
      </c>
      <c r="D423" s="8" t="str">
        <f aca="false">INDEX(Bases!$B$2:$B$53,B423)</f>
        <v>Mudkip</v>
      </c>
      <c r="E423" s="8" t="str">
        <f aca="false">INDEX(Bases!$B$2:$B$53,C423)</f>
        <v>Cleffa</v>
      </c>
      <c r="F423" s="2" t="str">
        <f aca="false">LEFT(D423,ROUNDUP(LEN(D423)/2,0))&amp;LOWER(MID(E423,ROUNDUP(LEN(E423)/2,0)+1,20))</f>
        <v>Mudffa</v>
      </c>
      <c r="G423" s="8" t="str">
        <f aca="false">INDEX(Bases!$C$2:$C$53,B423)</f>
        <v>Water</v>
      </c>
      <c r="H423" s="8" t="str">
        <f aca="false">IF(INDEX(Bases!$C$2:$C$53,C423)=G423,"",INDEX(Bases!$C$2:$C$53,C423))</f>
        <v>Fairy</v>
      </c>
      <c r="I423" s="8" t="str">
        <f aca="false">IF(INDEX(Bases!$E$2:$E$53,B423)="","",INDEX(Bases!$E$2:$E$53,B423))</f>
        <v/>
      </c>
      <c r="J423" s="8" t="str">
        <f aca="false">IF(INDEX(Bases!$E$2:$E$53,C423)="","",INDEX(Bases!$E$2:$E$53,C423))</f>
        <v/>
      </c>
      <c r="K423" s="5"/>
      <c r="L423" s="2" t="n">
        <f aca="false">AE423+IF(SUMPRODUCT(--($AL423:$AQ423&gt;AL423))&lt;$AK423,1,0)</f>
        <v>97</v>
      </c>
      <c r="M423" s="2" t="n">
        <f aca="false">AF423+IF(SUMPRODUCT(--($AL423:$AQ423&gt;AM423))+SUMPRODUCT(--($AL423:AL423=AM423))&lt;$AK423,1,0)</f>
        <v>88</v>
      </c>
      <c r="N423" s="2" t="n">
        <f aca="false">AG423+IF(SUMPRODUCT(--($AL423:$AQ423&gt;AN423))+SUMPRODUCT(--($AL423:AM423=AN423))&lt;$AK423,1,0)</f>
        <v>70</v>
      </c>
      <c r="O423" s="2" t="n">
        <f aca="false">AH423+IF(SUMPRODUCT(--($AL423:$AQ423&gt;AO423))+SUMPRODUCT(--($AL423:AN423=AO423))&lt;$AK423,1,0)</f>
        <v>90</v>
      </c>
      <c r="P423" s="2" t="n">
        <f aca="false">AI423+IF(SUMPRODUCT(--($AL423:$AQ423&gt;AP423))+SUMPRODUCT(--($AL423:AO423=AP423))&lt;$AK423,1,0)</f>
        <v>104</v>
      </c>
      <c r="Q423" s="2" t="n">
        <f aca="false">AJ423+IF(SUMPRODUCT(--($AL423:$AQ423&gt;AQ423))+SUMPRODUCT(--($AL423:AP423=AQ423))&lt;$AK423,1,0)</f>
        <v>51</v>
      </c>
      <c r="R423" s="2" t="n">
        <f aca="false">SUM(L423:Q423)</f>
        <v>500</v>
      </c>
      <c r="S423" s="2" t="n">
        <f aca="false">Settings!$B$4*MAX(INDEX(Bases!$M$2:$M$53,B423),INDEX(Bases!$M$2:$M$53,C423))+Settings!$B$5*MIN(INDEX(Bases!$M$2:$M$53,B423),INDEX(Bases!$M$2:$M$53,C423))</f>
        <v>83</v>
      </c>
      <c r="T423" s="2" t="n">
        <f aca="false">Settings!$B$4*MAX(INDEX(Bases!$N$2:$N$53,B423),INDEX(Bases!$N$2:$N$53,C423))+Settings!$B$5*MIN(INDEX(Bases!$N$2:$N$53,B423),INDEX(Bases!$N$2:$N$53,C423))</f>
        <v>75.3333333333333</v>
      </c>
      <c r="U423" s="2" t="n">
        <f aca="false">Settings!$B$4*MAX(INDEX(Bases!$O$2:$O$53,B423),INDEX(Bases!$O$2:$O$53,C423))+Settings!$B$5*MIN(INDEX(Bases!$O$2:$O$53,B423),INDEX(Bases!$O$2:$O$53,C423))</f>
        <v>60.3333333333333</v>
      </c>
      <c r="V423" s="2" t="n">
        <f aca="false">Settings!$B$4*MAX(INDEX(Bases!$P$2:$P$53,B423),INDEX(Bases!$P$2:$P$53,C423))+Settings!$B$5*MIN(INDEX(Bases!$P$2:$P$53,B423),INDEX(Bases!$P$2:$P$53,C423))</f>
        <v>76.6666666666667</v>
      </c>
      <c r="W423" s="2" t="n">
        <f aca="false">Settings!$B$4*MAX(INDEX(Bases!$Q$2:$Q$53,B423),INDEX(Bases!$Q$2:$Q$53,C423))+Settings!$B$5*MIN(INDEX(Bases!$Q$2:$Q$53,B423),INDEX(Bases!$Q$2:$Q$53,C423))</f>
        <v>88.6666666666667</v>
      </c>
      <c r="X423" s="2" t="n">
        <f aca="false">Settings!$B$4*MAX(INDEX(Bases!$R$2:$R$53,B423),INDEX(Bases!$R$2:$R$53,C423))+Settings!$B$5*MIN(INDEX(Bases!$R$2:$R$53,B423),INDEX(Bases!$R$2:$R$53,C423))</f>
        <v>43.6666666666667</v>
      </c>
      <c r="Y423" s="2" t="n">
        <f aca="false">S423*Settings!$B$3/SUM(S423:X423)</f>
        <v>97.0381917381138</v>
      </c>
      <c r="Z423" s="2" t="n">
        <f aca="false">T423*Settings!$B$3/SUM(S423:X423)</f>
        <v>88.074824629774</v>
      </c>
      <c r="AA423" s="2" t="n">
        <f aca="false">U423*Settings!$B$3/SUM(S423:X423)</f>
        <v>70.5378020265004</v>
      </c>
      <c r="AB423" s="2" t="n">
        <f aca="false">V423*Settings!$B$3/SUM(S423:X423)</f>
        <v>89.6336710833983</v>
      </c>
      <c r="AC423" s="2" t="n">
        <f aca="false">W423*Settings!$B$3/SUM(S423:X423)</f>
        <v>103.663289166017</v>
      </c>
      <c r="AD423" s="2" t="n">
        <f aca="false">X423*Settings!$B$3/SUM(S423:X423)</f>
        <v>51.0522213561964</v>
      </c>
      <c r="AE423" s="2" t="n">
        <f aca="false">INT(Y423)</f>
        <v>97</v>
      </c>
      <c r="AF423" s="2" t="n">
        <f aca="false">INT(Z423)</f>
        <v>88</v>
      </c>
      <c r="AG423" s="2" t="n">
        <f aca="false">INT(AA423)</f>
        <v>70</v>
      </c>
      <c r="AH423" s="2" t="n">
        <f aca="false">INT(AB423)</f>
        <v>89</v>
      </c>
      <c r="AI423" s="2" t="n">
        <f aca="false">INT(AC423)</f>
        <v>103</v>
      </c>
      <c r="AJ423" s="2" t="n">
        <f aca="false">INT(AD423)</f>
        <v>51</v>
      </c>
      <c r="AK423" s="2" t="n">
        <f aca="false">Settings!$B$3-SUM(AE423:AJ423)</f>
        <v>2</v>
      </c>
      <c r="AL423" s="2" t="n">
        <f aca="false">ROUND(Y423-AE423,9)</f>
        <v>0.038191738</v>
      </c>
      <c r="AM423" s="2" t="n">
        <f aca="false">ROUND(Z423-AF423,9)</f>
        <v>0.07482463</v>
      </c>
      <c r="AN423" s="2" t="n">
        <f aca="false">ROUND(AA423-AG423,9)</f>
        <v>0.537802027</v>
      </c>
      <c r="AO423" s="2" t="n">
        <f aca="false">ROUND(AB423-AH423,9)</f>
        <v>0.633671083</v>
      </c>
      <c r="AP423" s="2" t="n">
        <f aca="false">ROUND(AC423-AI423,9)</f>
        <v>0.663289166</v>
      </c>
      <c r="AQ423" s="2" t="n">
        <f aca="false">ROUND(AD423-AJ423,9)</f>
        <v>0.052221356</v>
      </c>
    </row>
    <row r="424" customFormat="false" ht="15" hidden="false" customHeight="false" outlineLevel="0" collapsed="false">
      <c r="A424" s="2" t="n">
        <v>423</v>
      </c>
      <c r="B424" s="6" t="n">
        <v>9</v>
      </c>
      <c r="C424" s="6" t="n">
        <v>52</v>
      </c>
      <c r="D424" s="8" t="str">
        <f aca="false">INDEX(Bases!$B$2:$B$53,B424)</f>
        <v>Mudkip</v>
      </c>
      <c r="E424" s="8" t="str">
        <f aca="false">INDEX(Bases!$B$2:$B$53,C424)</f>
        <v>Togepi</v>
      </c>
      <c r="F424" s="2" t="str">
        <f aca="false">LEFT(D424,ROUNDUP(LEN(D424)/2,0))&amp;LOWER(MID(E424,ROUNDUP(LEN(E424)/2,0)+1,20))</f>
        <v>Mudepi</v>
      </c>
      <c r="G424" s="8" t="str">
        <f aca="false">INDEX(Bases!$C$2:$C$53,B424)</f>
        <v>Water</v>
      </c>
      <c r="H424" s="8" t="str">
        <f aca="false">IF(INDEX(Bases!$C$2:$C$53,C424)=G424,"",INDEX(Bases!$C$2:$C$53,C424))</f>
        <v>Fairy</v>
      </c>
      <c r="I424" s="8" t="str">
        <f aca="false">IF(INDEX(Bases!$E$2:$E$53,B424)="","",INDEX(Bases!$E$2:$E$53,B424))</f>
        <v/>
      </c>
      <c r="J424" s="8" t="str">
        <f aca="false">IF(INDEX(Bases!$E$2:$E$53,C424)="","",INDEX(Bases!$E$2:$E$53,C424))</f>
        <v/>
      </c>
      <c r="K424" s="5"/>
      <c r="L424" s="2" t="n">
        <f aca="false">AE424+IF(SUMPRODUCT(--($AL424:$AQ424&gt;AL424))&lt;$AK424,1,0)</f>
        <v>73</v>
      </c>
      <c r="M424" s="2" t="n">
        <f aca="false">AF424+IF(SUMPRODUCT(--($AL424:$AQ424&gt;AM424))+SUMPRODUCT(--($AL424:AL424=AM424))&lt;$AK424,1,0)</f>
        <v>83</v>
      </c>
      <c r="N424" s="2" t="n">
        <f aca="false">AG424+IF(SUMPRODUCT(--($AL424:$AQ424&gt;AN424))+SUMPRODUCT(--($AL424:AM424=AN424))&lt;$AK424,1,0)</f>
        <v>108</v>
      </c>
      <c r="O424" s="2" t="n">
        <f aca="false">AH424+IF(SUMPRODUCT(--($AL424:$AQ424&gt;AO424))+SUMPRODUCT(--($AL424:AN424=AO424))&lt;$AK424,1,0)</f>
        <v>76</v>
      </c>
      <c r="P424" s="2" t="n">
        <f aca="false">AI424+IF(SUMPRODUCT(--($AL424:$AQ424&gt;AP424))+SUMPRODUCT(--($AL424:AO424=AP424))&lt;$AK424,1,0)</f>
        <v>107</v>
      </c>
      <c r="Q424" s="2" t="n">
        <f aca="false">AJ424+IF(SUMPRODUCT(--($AL424:$AQ424&gt;AQ424))+SUMPRODUCT(--($AL424:AP424=AQ424))&lt;$AK424,1,0)</f>
        <v>53</v>
      </c>
      <c r="R424" s="2" t="n">
        <f aca="false">SUM(L424:Q424)</f>
        <v>500</v>
      </c>
      <c r="S424" s="2" t="n">
        <f aca="false">Settings!$B$4*MAX(INDEX(Bases!$M$2:$M$53,B424),INDEX(Bases!$M$2:$M$53,C424))+Settings!$B$5*MIN(INDEX(Bases!$M$2:$M$53,B424),INDEX(Bases!$M$2:$M$53,C424))</f>
        <v>62.3333333333333</v>
      </c>
      <c r="T424" s="2" t="n">
        <f aca="false">Settings!$B$4*MAX(INDEX(Bases!$N$2:$N$53,B424),INDEX(Bases!$N$2:$N$53,C424))+Settings!$B$5*MIN(INDEX(Bases!$N$2:$N$53,B424),INDEX(Bases!$N$2:$N$53,C424))</f>
        <v>71</v>
      </c>
      <c r="U424" s="2" t="n">
        <f aca="false">Settings!$B$4*MAX(INDEX(Bases!$O$2:$O$53,B424),INDEX(Bases!$O$2:$O$53,C424))+Settings!$B$5*MIN(INDEX(Bases!$O$2:$O$53,B424),INDEX(Bases!$O$2:$O$53,C424))</f>
        <v>92.3333333333333</v>
      </c>
      <c r="V424" s="2" t="n">
        <f aca="false">Settings!$B$4*MAX(INDEX(Bases!$P$2:$P$53,B424),INDEX(Bases!$P$2:$P$53,C424))+Settings!$B$5*MIN(INDEX(Bases!$P$2:$P$53,B424),INDEX(Bases!$P$2:$P$53,C424))</f>
        <v>64.6666666666667</v>
      </c>
      <c r="W424" s="2" t="n">
        <f aca="false">Settings!$B$4*MAX(INDEX(Bases!$Q$2:$Q$53,B424),INDEX(Bases!$Q$2:$Q$53,C424))+Settings!$B$5*MIN(INDEX(Bases!$Q$2:$Q$53,B424),INDEX(Bases!$Q$2:$Q$53,C424))</f>
        <v>92</v>
      </c>
      <c r="X424" s="2" t="n">
        <f aca="false">Settings!$B$4*MAX(INDEX(Bases!$R$2:$R$53,B424),INDEX(Bases!$R$2:$R$53,C424))+Settings!$B$5*MIN(INDEX(Bases!$R$2:$R$53,B424),INDEX(Bases!$R$2:$R$53,C424))</f>
        <v>45.6666666666667</v>
      </c>
      <c r="Y424" s="2" t="n">
        <f aca="false">S424*Settings!$B$3/SUM(S424:X424)</f>
        <v>72.8193146417445</v>
      </c>
      <c r="Z424" s="2" t="n">
        <f aca="false">T424*Settings!$B$3/SUM(S424:X424)</f>
        <v>82.9439252336449</v>
      </c>
      <c r="AA424" s="2" t="n">
        <f aca="false">U424*Settings!$B$3/SUM(S424:X424)</f>
        <v>107.866043613707</v>
      </c>
      <c r="AB424" s="2" t="n">
        <f aca="false">V424*Settings!$B$3/SUM(S424:X424)</f>
        <v>75.5451713395639</v>
      </c>
      <c r="AC424" s="2" t="n">
        <f aca="false">W424*Settings!$B$3/SUM(S424:X424)</f>
        <v>107.476635514019</v>
      </c>
      <c r="AD424" s="2" t="n">
        <f aca="false">X424*Settings!$B$3/SUM(S424:X424)</f>
        <v>53.3489096573209</v>
      </c>
      <c r="AE424" s="2" t="n">
        <f aca="false">INT(Y424)</f>
        <v>72</v>
      </c>
      <c r="AF424" s="2" t="n">
        <f aca="false">INT(Z424)</f>
        <v>82</v>
      </c>
      <c r="AG424" s="2" t="n">
        <f aca="false">INT(AA424)</f>
        <v>107</v>
      </c>
      <c r="AH424" s="2" t="n">
        <f aca="false">INT(AB424)</f>
        <v>75</v>
      </c>
      <c r="AI424" s="2" t="n">
        <f aca="false">INT(AC424)</f>
        <v>107</v>
      </c>
      <c r="AJ424" s="2" t="n">
        <f aca="false">INT(AD424)</f>
        <v>53</v>
      </c>
      <c r="AK424" s="2" t="n">
        <f aca="false">Settings!$B$3-SUM(AE424:AJ424)</f>
        <v>4</v>
      </c>
      <c r="AL424" s="2" t="n">
        <f aca="false">ROUND(Y424-AE424,9)</f>
        <v>0.819314642</v>
      </c>
      <c r="AM424" s="2" t="n">
        <f aca="false">ROUND(Z424-AF424,9)</f>
        <v>0.943925234</v>
      </c>
      <c r="AN424" s="2" t="n">
        <f aca="false">ROUND(AA424-AG424,9)</f>
        <v>0.866043614</v>
      </c>
      <c r="AO424" s="2" t="n">
        <f aca="false">ROUND(AB424-AH424,9)</f>
        <v>0.54517134</v>
      </c>
      <c r="AP424" s="2" t="n">
        <f aca="false">ROUND(AC424-AI424,9)</f>
        <v>0.476635514</v>
      </c>
      <c r="AQ424" s="2" t="n">
        <f aca="false">ROUND(AD424-AJ424,9)</f>
        <v>0.348909657</v>
      </c>
    </row>
    <row r="425" customFormat="false" ht="15" hidden="false" customHeight="false" outlineLevel="0" collapsed="false">
      <c r="A425" s="2" t="n">
        <v>424</v>
      </c>
      <c r="B425" s="6" t="n">
        <v>10</v>
      </c>
      <c r="C425" s="6" t="n">
        <v>11</v>
      </c>
      <c r="D425" s="8" t="str">
        <f aca="false">INDEX(Bases!$B$2:$B$53,B425)</f>
        <v>Pichu</v>
      </c>
      <c r="E425" s="8" t="str">
        <f aca="false">INDEX(Bases!$B$2:$B$53,C425)</f>
        <v>Voltorb</v>
      </c>
      <c r="F425" s="2" t="str">
        <f aca="false">LEFT(D425,ROUNDUP(LEN(D425)/2,0))&amp;LOWER(MID(E425,ROUNDUP(LEN(E425)/2,0)+1,20))</f>
        <v>Picorb</v>
      </c>
      <c r="G425" s="8" t="str">
        <f aca="false">INDEX(Bases!$C$2:$C$53,B425)</f>
        <v>Electric</v>
      </c>
      <c r="H425" s="8" t="str">
        <f aca="false">IF(INDEX(Bases!$C$2:$C$53,C425)=G425,"",INDEX(Bases!$C$2:$C$53,C425))</f>
        <v/>
      </c>
      <c r="I425" s="8" t="str">
        <f aca="false">IF(INDEX(Bases!$E$2:$E$53,B425)="","",INDEX(Bases!$E$2:$E$53,B425))</f>
        <v/>
      </c>
      <c r="J425" s="8" t="str">
        <f aca="false">IF(INDEX(Bases!$E$2:$E$53,C425)="","",INDEX(Bases!$E$2:$E$53,C425))</f>
        <v/>
      </c>
      <c r="K425" s="5"/>
      <c r="L425" s="2" t="n">
        <f aca="false">AE425+IF(SUMPRODUCT(--($AL425:$AQ425&gt;AL425))&lt;$AK425,1,0)</f>
        <v>54</v>
      </c>
      <c r="M425" s="2" t="n">
        <f aca="false">AF425+IF(SUMPRODUCT(--($AL425:$AQ425&gt;AM425))+SUMPRODUCT(--($AL425:AL425=AM425))&lt;$AK425,1,0)</f>
        <v>77</v>
      </c>
      <c r="N425" s="2" t="n">
        <f aca="false">AG425+IF(SUMPRODUCT(--($AL425:$AQ425&gt;AN425))+SUMPRODUCT(--($AL425:AM425=AN425))&lt;$AK425,1,0)</f>
        <v>61</v>
      </c>
      <c r="O425" s="2" t="n">
        <f aca="false">AH425+IF(SUMPRODUCT(--($AL425:$AQ425&gt;AO425))+SUMPRODUCT(--($AL425:AN425=AO425))&lt;$AK425,1,0)</f>
        <v>82</v>
      </c>
      <c r="P425" s="2" t="n">
        <f aca="false">AI425+IF(SUMPRODUCT(--($AL425:$AQ425&gt;AP425))+SUMPRODUCT(--($AL425:AO425=AP425))&lt;$AK425,1,0)</f>
        <v>82</v>
      </c>
      <c r="Q425" s="2" t="n">
        <f aca="false">AJ425+IF(SUMPRODUCT(--($AL425:$AQ425&gt;AQ425))+SUMPRODUCT(--($AL425:AP425=AQ425))&lt;$AK425,1,0)</f>
        <v>144</v>
      </c>
      <c r="R425" s="2" t="n">
        <f aca="false">SUM(L425:Q425)</f>
        <v>500</v>
      </c>
      <c r="S425" s="2" t="n">
        <f aca="false">Settings!$B$4*MAX(INDEX(Bases!$M$2:$M$53,B425),INDEX(Bases!$M$2:$M$53,C425))+Settings!$B$5*MIN(INDEX(Bases!$M$2:$M$53,B425),INDEX(Bases!$M$2:$M$53,C425))</f>
        <v>45</v>
      </c>
      <c r="T425" s="2" t="n">
        <f aca="false">Settings!$B$4*MAX(INDEX(Bases!$N$2:$N$53,B425),INDEX(Bases!$N$2:$N$53,C425))+Settings!$B$5*MIN(INDEX(Bases!$N$2:$N$53,B425),INDEX(Bases!$N$2:$N$53,C425))</f>
        <v>64</v>
      </c>
      <c r="U425" s="2" t="n">
        <f aca="false">Settings!$B$4*MAX(INDEX(Bases!$O$2:$O$53,B425),INDEX(Bases!$O$2:$O$53,C425))+Settings!$B$5*MIN(INDEX(Bases!$O$2:$O$53,B425),INDEX(Bases!$O$2:$O$53,C425))</f>
        <v>50.3333333333333</v>
      </c>
      <c r="V425" s="2" t="n">
        <f aca="false">Settings!$B$4*MAX(INDEX(Bases!$P$2:$P$53,B425),INDEX(Bases!$P$2:$P$53,C425))+Settings!$B$5*MIN(INDEX(Bases!$P$2:$P$53,B425),INDEX(Bases!$P$2:$P$53,C425))</f>
        <v>68.3333333333333</v>
      </c>
      <c r="W425" s="2" t="n">
        <f aca="false">Settings!$B$4*MAX(INDEX(Bases!$Q$2:$Q$53,B425),INDEX(Bases!$Q$2:$Q$53,C425))+Settings!$B$5*MIN(INDEX(Bases!$Q$2:$Q$53,B425),INDEX(Bases!$Q$2:$Q$53,C425))</f>
        <v>67.6666666666667</v>
      </c>
      <c r="X425" s="2" t="n">
        <f aca="false">Settings!$B$4*MAX(INDEX(Bases!$R$2:$R$53,B425),INDEX(Bases!$R$2:$R$53,C425))+Settings!$B$5*MIN(INDEX(Bases!$R$2:$R$53,B425),INDEX(Bases!$R$2:$R$53,C425))</f>
        <v>119.666666666667</v>
      </c>
      <c r="Y425" s="2" t="n">
        <f aca="false">S425*Settings!$B$3/SUM(S425:X425)</f>
        <v>54.2168674698795</v>
      </c>
      <c r="Z425" s="2" t="n">
        <f aca="false">T425*Settings!$B$3/SUM(S425:X425)</f>
        <v>77.1084337349398</v>
      </c>
      <c r="AA425" s="2" t="n">
        <f aca="false">U425*Settings!$B$3/SUM(S425:X425)</f>
        <v>60.6425702811245</v>
      </c>
      <c r="AB425" s="2" t="n">
        <f aca="false">V425*Settings!$B$3/SUM(S425:X425)</f>
        <v>82.3293172690763</v>
      </c>
      <c r="AC425" s="2" t="n">
        <f aca="false">W425*Settings!$B$3/SUM(S425:X425)</f>
        <v>81.5261044176707</v>
      </c>
      <c r="AD425" s="2" t="n">
        <f aca="false">X425*Settings!$B$3/SUM(S425:X425)</f>
        <v>144.176706827309</v>
      </c>
      <c r="AE425" s="2" t="n">
        <f aca="false">INT(Y425)</f>
        <v>54</v>
      </c>
      <c r="AF425" s="2" t="n">
        <f aca="false">INT(Z425)</f>
        <v>77</v>
      </c>
      <c r="AG425" s="2" t="n">
        <f aca="false">INT(AA425)</f>
        <v>60</v>
      </c>
      <c r="AH425" s="2" t="n">
        <f aca="false">INT(AB425)</f>
        <v>82</v>
      </c>
      <c r="AI425" s="2" t="n">
        <f aca="false">INT(AC425)</f>
        <v>81</v>
      </c>
      <c r="AJ425" s="2" t="n">
        <f aca="false">INT(AD425)</f>
        <v>144</v>
      </c>
      <c r="AK425" s="2" t="n">
        <f aca="false">Settings!$B$3-SUM(AE425:AJ425)</f>
        <v>2</v>
      </c>
      <c r="AL425" s="2" t="n">
        <f aca="false">ROUND(Y425-AE425,9)</f>
        <v>0.21686747</v>
      </c>
      <c r="AM425" s="2" t="n">
        <f aca="false">ROUND(Z425-AF425,9)</f>
        <v>0.108433735</v>
      </c>
      <c r="AN425" s="2" t="n">
        <f aca="false">ROUND(AA425-AG425,9)</f>
        <v>0.642570281</v>
      </c>
      <c r="AO425" s="2" t="n">
        <f aca="false">ROUND(AB425-AH425,9)</f>
        <v>0.329317269</v>
      </c>
      <c r="AP425" s="2" t="n">
        <f aca="false">ROUND(AC425-AI425,9)</f>
        <v>0.526104418</v>
      </c>
      <c r="AQ425" s="2" t="n">
        <f aca="false">ROUND(AD425-AJ425,9)</f>
        <v>0.176706827</v>
      </c>
    </row>
    <row r="426" customFormat="false" ht="15" hidden="false" customHeight="false" outlineLevel="0" collapsed="false">
      <c r="A426" s="2" t="n">
        <v>425</v>
      </c>
      <c r="B426" s="6" t="n">
        <v>10</v>
      </c>
      <c r="C426" s="6" t="n">
        <v>12</v>
      </c>
      <c r="D426" s="8" t="str">
        <f aca="false">INDEX(Bases!$B$2:$B$53,B426)</f>
        <v>Pichu</v>
      </c>
      <c r="E426" s="8" t="str">
        <f aca="false">INDEX(Bases!$B$2:$B$53,C426)</f>
        <v>Mareep</v>
      </c>
      <c r="F426" s="2" t="str">
        <f aca="false">LEFT(D426,ROUNDUP(LEN(D426)/2,0))&amp;LOWER(MID(E426,ROUNDUP(LEN(E426)/2,0)+1,20))</f>
        <v>Piceep</v>
      </c>
      <c r="G426" s="8" t="str">
        <f aca="false">INDEX(Bases!$C$2:$C$53,B426)</f>
        <v>Electric</v>
      </c>
      <c r="H426" s="8" t="str">
        <f aca="false">IF(INDEX(Bases!$C$2:$C$53,C426)=G426,"",INDEX(Bases!$C$2:$C$53,C426))</f>
        <v/>
      </c>
      <c r="I426" s="8" t="str">
        <f aca="false">IF(INDEX(Bases!$E$2:$E$53,B426)="","",INDEX(Bases!$E$2:$E$53,B426))</f>
        <v/>
      </c>
      <c r="J426" s="8" t="str">
        <f aca="false">IF(INDEX(Bases!$E$2:$E$53,C426)="","",INDEX(Bases!$E$2:$E$53,C426))</f>
        <v/>
      </c>
      <c r="K426" s="5"/>
      <c r="L426" s="2" t="n">
        <f aca="false">AE426+IF(SUMPRODUCT(--($AL426:$AQ426&gt;AL426))&lt;$AK426,1,0)</f>
        <v>76</v>
      </c>
      <c r="M426" s="2" t="n">
        <f aca="false">AF426+IF(SUMPRODUCT(--($AL426:$AQ426&gt;AM426))+SUMPRODUCT(--($AL426:AL426=AM426))&lt;$AK426,1,0)</f>
        <v>83</v>
      </c>
      <c r="N426" s="2" t="n">
        <f aca="false">AG426+IF(SUMPRODUCT(--($AL426:$AQ426&gt;AN426))+SUMPRODUCT(--($AL426:AM426=AN426))&lt;$AK426,1,0)</f>
        <v>55</v>
      </c>
      <c r="O426" s="2" t="n">
        <f aca="false">AH426+IF(SUMPRODUCT(--($AL426:$AQ426&gt;AO426))+SUMPRODUCT(--($AL426:AN426=AO426))&lt;$AK426,1,0)</f>
        <v>99</v>
      </c>
      <c r="P426" s="2" t="n">
        <f aca="false">AI426+IF(SUMPRODUCT(--($AL426:$AQ426&gt;AP426))+SUMPRODUCT(--($AL426:AO426=AP426))&lt;$AK426,1,0)</f>
        <v>77</v>
      </c>
      <c r="Q426" s="2" t="n">
        <f aca="false">AJ426+IF(SUMPRODUCT(--($AL426:$AQ426&gt;AQ426))+SUMPRODUCT(--($AL426:AP426=AQ426))&lt;$AK426,1,0)</f>
        <v>110</v>
      </c>
      <c r="R426" s="2" t="n">
        <f aca="false">SUM(L426:Q426)</f>
        <v>500</v>
      </c>
      <c r="S426" s="2" t="n">
        <f aca="false">Settings!$B$4*MAX(INDEX(Bases!$M$2:$M$53,B426),INDEX(Bases!$M$2:$M$53,C426))+Settings!$B$5*MIN(INDEX(Bases!$M$2:$M$53,B426),INDEX(Bases!$M$2:$M$53,C426))</f>
        <v>65.6666666666667</v>
      </c>
      <c r="T426" s="2" t="n">
        <f aca="false">Settings!$B$4*MAX(INDEX(Bases!$N$2:$N$53,B426),INDEX(Bases!$N$2:$N$53,C426))+Settings!$B$5*MIN(INDEX(Bases!$N$2:$N$53,B426),INDEX(Bases!$N$2:$N$53,C426))</f>
        <v>71</v>
      </c>
      <c r="U426" s="2" t="n">
        <f aca="false">Settings!$B$4*MAX(INDEX(Bases!$O$2:$O$53,B426),INDEX(Bases!$O$2:$O$53,C426))+Settings!$B$5*MIN(INDEX(Bases!$O$2:$O$53,B426),INDEX(Bases!$O$2:$O$53,C426))</f>
        <v>47.6666666666667</v>
      </c>
      <c r="V426" s="2" t="n">
        <f aca="false">Settings!$B$4*MAX(INDEX(Bases!$P$2:$P$53,B426),INDEX(Bases!$P$2:$P$53,C426))+Settings!$B$5*MIN(INDEX(Bases!$P$2:$P$53,B426),INDEX(Bases!$P$2:$P$53,C426))</f>
        <v>85</v>
      </c>
      <c r="W426" s="2" t="n">
        <f aca="false">Settings!$B$4*MAX(INDEX(Bases!$Q$2:$Q$53,B426),INDEX(Bases!$Q$2:$Q$53,C426))+Settings!$B$5*MIN(INDEX(Bases!$Q$2:$Q$53,B426),INDEX(Bases!$Q$2:$Q$53,C426))</f>
        <v>66.6666666666667</v>
      </c>
      <c r="X426" s="2" t="n">
        <f aca="false">Settings!$B$4*MAX(INDEX(Bases!$R$2:$R$53,B426),INDEX(Bases!$R$2:$R$53,C426))+Settings!$B$5*MIN(INDEX(Bases!$R$2:$R$53,B426),INDEX(Bases!$R$2:$R$53,C426))</f>
        <v>94.6666666666667</v>
      </c>
      <c r="Y426" s="2" t="n">
        <f aca="false">S426*Settings!$B$3/SUM(S426:X426)</f>
        <v>76.2383900928793</v>
      </c>
      <c r="Z426" s="2" t="n">
        <f aca="false">T426*Settings!$B$3/SUM(S426:X426)</f>
        <v>82.4303405572755</v>
      </c>
      <c r="AA426" s="2" t="n">
        <f aca="false">U426*Settings!$B$3/SUM(S426:X426)</f>
        <v>55.3405572755418</v>
      </c>
      <c r="AB426" s="2" t="n">
        <f aca="false">V426*Settings!$B$3/SUM(S426:X426)</f>
        <v>98.6842105263158</v>
      </c>
      <c r="AC426" s="2" t="n">
        <f aca="false">W426*Settings!$B$3/SUM(S426:X426)</f>
        <v>77.3993808049536</v>
      </c>
      <c r="AD426" s="2" t="n">
        <f aca="false">X426*Settings!$B$3/SUM(S426:X426)</f>
        <v>109.907120743034</v>
      </c>
      <c r="AE426" s="2" t="n">
        <f aca="false">INT(Y426)</f>
        <v>76</v>
      </c>
      <c r="AF426" s="2" t="n">
        <f aca="false">INT(Z426)</f>
        <v>82</v>
      </c>
      <c r="AG426" s="2" t="n">
        <f aca="false">INT(AA426)</f>
        <v>55</v>
      </c>
      <c r="AH426" s="2" t="n">
        <f aca="false">INT(AB426)</f>
        <v>98</v>
      </c>
      <c r="AI426" s="2" t="n">
        <f aca="false">INT(AC426)</f>
        <v>77</v>
      </c>
      <c r="AJ426" s="2" t="n">
        <f aca="false">INT(AD426)</f>
        <v>109</v>
      </c>
      <c r="AK426" s="2" t="n">
        <f aca="false">Settings!$B$3-SUM(AE426:AJ426)</f>
        <v>3</v>
      </c>
      <c r="AL426" s="2" t="n">
        <f aca="false">ROUND(Y426-AE426,9)</f>
        <v>0.238390093</v>
      </c>
      <c r="AM426" s="2" t="n">
        <f aca="false">ROUND(Z426-AF426,9)</f>
        <v>0.430340557</v>
      </c>
      <c r="AN426" s="2" t="n">
        <f aca="false">ROUND(AA426-AG426,9)</f>
        <v>0.340557276</v>
      </c>
      <c r="AO426" s="2" t="n">
        <f aca="false">ROUND(AB426-AH426,9)</f>
        <v>0.684210526</v>
      </c>
      <c r="AP426" s="2" t="n">
        <f aca="false">ROUND(AC426-AI426,9)</f>
        <v>0.399380805</v>
      </c>
      <c r="AQ426" s="2" t="n">
        <f aca="false">ROUND(AD426-AJ426,9)</f>
        <v>0.907120743</v>
      </c>
    </row>
    <row r="427" customFormat="false" ht="15" hidden="false" customHeight="false" outlineLevel="0" collapsed="false">
      <c r="A427" s="2" t="n">
        <v>426</v>
      </c>
      <c r="B427" s="6" t="n">
        <v>10</v>
      </c>
      <c r="C427" s="6" t="n">
        <v>13</v>
      </c>
      <c r="D427" s="8" t="str">
        <f aca="false">INDEX(Bases!$B$2:$B$53,B427)</f>
        <v>Pichu</v>
      </c>
      <c r="E427" s="8" t="str">
        <f aca="false">INDEX(Bases!$B$2:$B$53,C427)</f>
        <v>Bulbasaur</v>
      </c>
      <c r="F427" s="2" t="str">
        <f aca="false">LEFT(D427,ROUNDUP(LEN(D427)/2,0))&amp;LOWER(MID(E427,ROUNDUP(LEN(E427)/2,0)+1,20))</f>
        <v>Picsaur</v>
      </c>
      <c r="G427" s="8" t="str">
        <f aca="false">INDEX(Bases!$C$2:$C$53,B427)</f>
        <v>Electric</v>
      </c>
      <c r="H427" s="8" t="str">
        <f aca="false">IF(INDEX(Bases!$C$2:$C$53,C427)=G427,"",INDEX(Bases!$C$2:$C$53,C427))</f>
        <v>Grass</v>
      </c>
      <c r="I427" s="8" t="str">
        <f aca="false">IF(INDEX(Bases!$E$2:$E$53,B427)="","",INDEX(Bases!$E$2:$E$53,B427))</f>
        <v/>
      </c>
      <c r="J427" s="8" t="str">
        <f aca="false">IF(INDEX(Bases!$E$2:$E$53,C427)="","",INDEX(Bases!$E$2:$E$53,C427))</f>
        <v/>
      </c>
      <c r="K427" s="5"/>
      <c r="L427" s="2" t="n">
        <f aca="false">AE427+IF(SUMPRODUCT(--($AL427:$AQ427&gt;AL427))&lt;$AK427,1,0)</f>
        <v>59</v>
      </c>
      <c r="M427" s="2" t="n">
        <f aca="false">AF427+IF(SUMPRODUCT(--($AL427:$AQ427&gt;AM427))+SUMPRODUCT(--($AL427:AL427=AM427))&lt;$AK427,1,0)</f>
        <v>85</v>
      </c>
      <c r="N427" s="2" t="n">
        <f aca="false">AG427+IF(SUMPRODUCT(--($AL427:$AQ427&gt;AN427))+SUMPRODUCT(--($AL427:AM427=AN427))&lt;$AK427,1,0)</f>
        <v>60</v>
      </c>
      <c r="O427" s="2" t="n">
        <f aca="false">AH427+IF(SUMPRODUCT(--($AL427:$AQ427&gt;AO427))+SUMPRODUCT(--($AL427:AN427=AO427))&lt;$AK427,1,0)</f>
        <v>91</v>
      </c>
      <c r="P427" s="2" t="n">
        <f aca="false">AI427+IF(SUMPRODUCT(--($AL427:$AQ427&gt;AP427))+SUMPRODUCT(--($AL427:AO427=AP427))&lt;$AK427,1,0)</f>
        <v>91</v>
      </c>
      <c r="Q427" s="2" t="n">
        <f aca="false">AJ427+IF(SUMPRODUCT(--($AL427:$AQ427&gt;AQ427))+SUMPRODUCT(--($AL427:AP427=AQ427))&lt;$AK427,1,0)</f>
        <v>114</v>
      </c>
      <c r="R427" s="2" t="n">
        <f aca="false">SUM(L427:Q427)</f>
        <v>500</v>
      </c>
      <c r="S427" s="2" t="n">
        <f aca="false">Settings!$B$4*MAX(INDEX(Bases!$M$2:$M$53,B427),INDEX(Bases!$M$2:$M$53,C427))+Settings!$B$5*MIN(INDEX(Bases!$M$2:$M$53,B427),INDEX(Bases!$M$2:$M$53,C427))</f>
        <v>50.3333333333333</v>
      </c>
      <c r="T427" s="2" t="n">
        <f aca="false">Settings!$B$4*MAX(INDEX(Bases!$N$2:$N$53,B427),INDEX(Bases!$N$2:$N$53,C427))+Settings!$B$5*MIN(INDEX(Bases!$N$2:$N$53,B427),INDEX(Bases!$N$2:$N$53,C427))</f>
        <v>72.6666666666667</v>
      </c>
      <c r="U427" s="2" t="n">
        <f aca="false">Settings!$B$4*MAX(INDEX(Bases!$O$2:$O$53,B427),INDEX(Bases!$O$2:$O$53,C427))+Settings!$B$5*MIN(INDEX(Bases!$O$2:$O$53,B427),INDEX(Bases!$O$2:$O$53,C427))</f>
        <v>51</v>
      </c>
      <c r="V427" s="2" t="n">
        <f aca="false">Settings!$B$4*MAX(INDEX(Bases!$P$2:$P$53,B427),INDEX(Bases!$P$2:$P$53,C427))+Settings!$B$5*MIN(INDEX(Bases!$P$2:$P$53,B427),INDEX(Bases!$P$2:$P$53,C427))</f>
        <v>77.6666666666667</v>
      </c>
      <c r="W427" s="2" t="n">
        <f aca="false">Settings!$B$4*MAX(INDEX(Bases!$Q$2:$Q$53,B427),INDEX(Bases!$Q$2:$Q$53,C427))+Settings!$B$5*MIN(INDEX(Bases!$Q$2:$Q$53,B427),INDEX(Bases!$Q$2:$Q$53,C427))</f>
        <v>77.3333333333333</v>
      </c>
      <c r="X427" s="2" t="n">
        <f aca="false">Settings!$B$4*MAX(INDEX(Bases!$R$2:$R$53,B427),INDEX(Bases!$R$2:$R$53,C427))+Settings!$B$5*MIN(INDEX(Bases!$R$2:$R$53,B427),INDEX(Bases!$R$2:$R$53,C427))</f>
        <v>96.6666666666667</v>
      </c>
      <c r="Y427" s="2" t="n">
        <f aca="false">S427*Settings!$B$3/SUM(S427:X427)</f>
        <v>59.1229444009397</v>
      </c>
      <c r="Z427" s="2" t="n">
        <f aca="false">T427*Settings!$B$3/SUM(S427:X427)</f>
        <v>85.3563038371183</v>
      </c>
      <c r="AA427" s="2" t="n">
        <f aca="false">U427*Settings!$B$3/SUM(S427:X427)</f>
        <v>59.9060297572435</v>
      </c>
      <c r="AB427" s="2" t="n">
        <f aca="false">V427*Settings!$B$3/SUM(S427:X427)</f>
        <v>91.229444009397</v>
      </c>
      <c r="AC427" s="2" t="n">
        <f aca="false">W427*Settings!$B$3/SUM(S427:X427)</f>
        <v>90.8379013312451</v>
      </c>
      <c r="AD427" s="2" t="n">
        <f aca="false">X427*Settings!$B$3/SUM(S427:X427)</f>
        <v>113.547376664056</v>
      </c>
      <c r="AE427" s="2" t="n">
        <f aca="false">INT(Y427)</f>
        <v>59</v>
      </c>
      <c r="AF427" s="2" t="n">
        <f aca="false">INT(Z427)</f>
        <v>85</v>
      </c>
      <c r="AG427" s="2" t="n">
        <f aca="false">INT(AA427)</f>
        <v>59</v>
      </c>
      <c r="AH427" s="2" t="n">
        <f aca="false">INT(AB427)</f>
        <v>91</v>
      </c>
      <c r="AI427" s="2" t="n">
        <f aca="false">INT(AC427)</f>
        <v>90</v>
      </c>
      <c r="AJ427" s="2" t="n">
        <f aca="false">INT(AD427)</f>
        <v>113</v>
      </c>
      <c r="AK427" s="2" t="n">
        <f aca="false">Settings!$B$3-SUM(AE427:AJ427)</f>
        <v>3</v>
      </c>
      <c r="AL427" s="2" t="n">
        <f aca="false">ROUND(Y427-AE427,9)</f>
        <v>0.122944401</v>
      </c>
      <c r="AM427" s="2" t="n">
        <f aca="false">ROUND(Z427-AF427,9)</f>
        <v>0.356303837</v>
      </c>
      <c r="AN427" s="2" t="n">
        <f aca="false">ROUND(AA427-AG427,9)</f>
        <v>0.906029757</v>
      </c>
      <c r="AO427" s="2" t="n">
        <f aca="false">ROUND(AB427-AH427,9)</f>
        <v>0.229444009</v>
      </c>
      <c r="AP427" s="2" t="n">
        <f aca="false">ROUND(AC427-AI427,9)</f>
        <v>0.837901331</v>
      </c>
      <c r="AQ427" s="2" t="n">
        <f aca="false">ROUND(AD427-AJ427,9)</f>
        <v>0.547376664</v>
      </c>
    </row>
    <row r="428" customFormat="false" ht="15" hidden="false" customHeight="false" outlineLevel="0" collapsed="false">
      <c r="A428" s="2" t="n">
        <v>427</v>
      </c>
      <c r="B428" s="6" t="n">
        <v>10</v>
      </c>
      <c r="C428" s="6" t="n">
        <v>14</v>
      </c>
      <c r="D428" s="8" t="str">
        <f aca="false">INDEX(Bases!$B$2:$B$53,B428)</f>
        <v>Pichu</v>
      </c>
      <c r="E428" s="8" t="str">
        <f aca="false">INDEX(Bases!$B$2:$B$53,C428)</f>
        <v>Celebi</v>
      </c>
      <c r="F428" s="2" t="str">
        <f aca="false">LEFT(D428,ROUNDUP(LEN(D428)/2,0))&amp;LOWER(MID(E428,ROUNDUP(LEN(E428)/2,0)+1,20))</f>
        <v>Picebi</v>
      </c>
      <c r="G428" s="8" t="str">
        <f aca="false">INDEX(Bases!$C$2:$C$53,B428)</f>
        <v>Electric</v>
      </c>
      <c r="H428" s="8" t="str">
        <f aca="false">IF(INDEX(Bases!$C$2:$C$53,C428)=G428,"",INDEX(Bases!$C$2:$C$53,C428))</f>
        <v>Grass</v>
      </c>
      <c r="I428" s="8" t="str">
        <f aca="false">IF(INDEX(Bases!$E$2:$E$53,B428)="","",INDEX(Bases!$E$2:$E$53,B428))</f>
        <v/>
      </c>
      <c r="J428" s="8" t="str">
        <f aca="false">IF(INDEX(Bases!$E$2:$E$53,C428)="","",INDEX(Bases!$E$2:$E$53,C428))</f>
        <v/>
      </c>
      <c r="K428" s="5"/>
      <c r="L428" s="2" t="n">
        <f aca="false">AE428+IF(SUMPRODUCT(--($AL428:$AQ428&gt;AL428))&lt;$AK428,1,0)</f>
        <v>68</v>
      </c>
      <c r="M428" s="2" t="n">
        <f aca="false">AF428+IF(SUMPRODUCT(--($AL428:$AQ428&gt;AM428))+SUMPRODUCT(--($AL428:AL428=AM428))&lt;$AK428,1,0)</f>
        <v>88</v>
      </c>
      <c r="N428" s="2" t="n">
        <f aca="false">AG428+IF(SUMPRODUCT(--($AL428:$AQ428&gt;AN428))+SUMPRODUCT(--($AL428:AM428=AN428))&lt;$AK428,1,0)</f>
        <v>64</v>
      </c>
      <c r="O428" s="2" t="n">
        <f aca="false">AH428+IF(SUMPRODUCT(--($AL428:$AQ428&gt;AO428))+SUMPRODUCT(--($AL428:AN428=AO428))&lt;$AK428,1,0)</f>
        <v>81</v>
      </c>
      <c r="P428" s="2" t="n">
        <f aca="false">AI428+IF(SUMPRODUCT(--($AL428:$AQ428&gt;AP428))+SUMPRODUCT(--($AL428:AO428=AP428))&lt;$AK428,1,0)</f>
        <v>80</v>
      </c>
      <c r="Q428" s="2" t="n">
        <f aca="false">AJ428+IF(SUMPRODUCT(--($AL428:$AQ428&gt;AQ428))+SUMPRODUCT(--($AL428:AP428=AQ428))&lt;$AK428,1,0)</f>
        <v>119</v>
      </c>
      <c r="R428" s="2" t="n">
        <f aca="false">SUM(L428:Q428)</f>
        <v>500</v>
      </c>
      <c r="S428" s="2" t="n">
        <f aca="false">Settings!$B$4*MAX(INDEX(Bases!$M$2:$M$53,B428),INDEX(Bases!$M$2:$M$53,C428))+Settings!$B$5*MIN(INDEX(Bases!$M$2:$M$53,B428),INDEX(Bases!$M$2:$M$53,C428))</f>
        <v>57.6666666666667</v>
      </c>
      <c r="T428" s="2" t="n">
        <f aca="false">Settings!$B$4*MAX(INDEX(Bases!$N$2:$N$53,B428),INDEX(Bases!$N$2:$N$53,C428))+Settings!$B$5*MIN(INDEX(Bases!$N$2:$N$53,B428),INDEX(Bases!$N$2:$N$53,C428))</f>
        <v>74.3333333333333</v>
      </c>
      <c r="U428" s="2" t="n">
        <f aca="false">Settings!$B$4*MAX(INDEX(Bases!$O$2:$O$53,B428),INDEX(Bases!$O$2:$O$53,C428))+Settings!$B$5*MIN(INDEX(Bases!$O$2:$O$53,B428),INDEX(Bases!$O$2:$O$53,C428))</f>
        <v>54.3333333333333</v>
      </c>
      <c r="V428" s="2" t="n">
        <f aca="false">Settings!$B$4*MAX(INDEX(Bases!$P$2:$P$53,B428),INDEX(Bases!$P$2:$P$53,C428))+Settings!$B$5*MIN(INDEX(Bases!$P$2:$P$53,B428),INDEX(Bases!$P$2:$P$53,C428))</f>
        <v>68.3333333333333</v>
      </c>
      <c r="W428" s="2" t="n">
        <f aca="false">Settings!$B$4*MAX(INDEX(Bases!$Q$2:$Q$53,B428),INDEX(Bases!$Q$2:$Q$53,C428))+Settings!$B$5*MIN(INDEX(Bases!$Q$2:$Q$53,B428),INDEX(Bases!$Q$2:$Q$53,C428))</f>
        <v>67.3333333333333</v>
      </c>
      <c r="X428" s="2" t="n">
        <f aca="false">Settings!$B$4*MAX(INDEX(Bases!$R$2:$R$53,B428),INDEX(Bases!$R$2:$R$53,C428))+Settings!$B$5*MIN(INDEX(Bases!$R$2:$R$53,B428),INDEX(Bases!$R$2:$R$53,C428))</f>
        <v>100</v>
      </c>
      <c r="Y428" s="2" t="n">
        <f aca="false">S428*Settings!$B$3/SUM(S428:X428)</f>
        <v>68.3254344391785</v>
      </c>
      <c r="Z428" s="2" t="n">
        <f aca="false">T428*Settings!$B$3/SUM(S428:X428)</f>
        <v>88.0726698262243</v>
      </c>
      <c r="AA428" s="2" t="n">
        <f aca="false">U428*Settings!$B$3/SUM(S428:X428)</f>
        <v>64.3759873617694</v>
      </c>
      <c r="AB428" s="2" t="n">
        <f aca="false">V428*Settings!$B$3/SUM(S428:X428)</f>
        <v>80.9636650868878</v>
      </c>
      <c r="AC428" s="2" t="n">
        <f aca="false">W428*Settings!$B$3/SUM(S428:X428)</f>
        <v>79.7788309636651</v>
      </c>
      <c r="AD428" s="2" t="n">
        <f aca="false">X428*Settings!$B$3/SUM(S428:X428)</f>
        <v>118.483412322275</v>
      </c>
      <c r="AE428" s="2" t="n">
        <f aca="false">INT(Y428)</f>
        <v>68</v>
      </c>
      <c r="AF428" s="2" t="n">
        <f aca="false">INT(Z428)</f>
        <v>88</v>
      </c>
      <c r="AG428" s="2" t="n">
        <f aca="false">INT(AA428)</f>
        <v>64</v>
      </c>
      <c r="AH428" s="2" t="n">
        <f aca="false">INT(AB428)</f>
        <v>80</v>
      </c>
      <c r="AI428" s="2" t="n">
        <f aca="false">INT(AC428)</f>
        <v>79</v>
      </c>
      <c r="AJ428" s="2" t="n">
        <f aca="false">INT(AD428)</f>
        <v>118</v>
      </c>
      <c r="AK428" s="2" t="n">
        <f aca="false">Settings!$B$3-SUM(AE428:AJ428)</f>
        <v>3</v>
      </c>
      <c r="AL428" s="2" t="n">
        <f aca="false">ROUND(Y428-AE428,9)</f>
        <v>0.325434439</v>
      </c>
      <c r="AM428" s="2" t="n">
        <f aca="false">ROUND(Z428-AF428,9)</f>
        <v>0.072669826</v>
      </c>
      <c r="AN428" s="2" t="n">
        <f aca="false">ROUND(AA428-AG428,9)</f>
        <v>0.375987362</v>
      </c>
      <c r="AO428" s="2" t="n">
        <f aca="false">ROUND(AB428-AH428,9)</f>
        <v>0.963665087</v>
      </c>
      <c r="AP428" s="2" t="n">
        <f aca="false">ROUND(AC428-AI428,9)</f>
        <v>0.778830964</v>
      </c>
      <c r="AQ428" s="2" t="n">
        <f aca="false">ROUND(AD428-AJ428,9)</f>
        <v>0.483412322</v>
      </c>
    </row>
    <row r="429" customFormat="false" ht="15" hidden="false" customHeight="false" outlineLevel="0" collapsed="false">
      <c r="A429" s="2" t="n">
        <v>428</v>
      </c>
      <c r="B429" s="6" t="n">
        <v>10</v>
      </c>
      <c r="C429" s="6" t="n">
        <v>15</v>
      </c>
      <c r="D429" s="8" t="str">
        <f aca="false">INDEX(Bases!$B$2:$B$53,B429)</f>
        <v>Pichu</v>
      </c>
      <c r="E429" s="8" t="str">
        <f aca="false">INDEX(Bases!$B$2:$B$53,C429)</f>
        <v>Shroomish</v>
      </c>
      <c r="F429" s="2" t="str">
        <f aca="false">LEFT(D429,ROUNDUP(LEN(D429)/2,0))&amp;LOWER(MID(E429,ROUNDUP(LEN(E429)/2,0)+1,20))</f>
        <v>Picmish</v>
      </c>
      <c r="G429" s="8" t="str">
        <f aca="false">INDEX(Bases!$C$2:$C$53,B429)</f>
        <v>Electric</v>
      </c>
      <c r="H429" s="8" t="str">
        <f aca="false">IF(INDEX(Bases!$C$2:$C$53,C429)=G429,"",INDEX(Bases!$C$2:$C$53,C429))</f>
        <v>Grass</v>
      </c>
      <c r="I429" s="8" t="str">
        <f aca="false">IF(INDEX(Bases!$E$2:$E$53,B429)="","",INDEX(Bases!$E$2:$E$53,B429))</f>
        <v/>
      </c>
      <c r="J429" s="8" t="str">
        <f aca="false">IF(INDEX(Bases!$E$2:$E$53,C429)="","",INDEX(Bases!$E$2:$E$53,C429))</f>
        <v/>
      </c>
      <c r="K429" s="5"/>
      <c r="L429" s="2" t="n">
        <f aca="false">AE429+IF(SUMPRODUCT(--($AL429:$AQ429&gt;AL429))&lt;$AK429,1,0)</f>
        <v>78</v>
      </c>
      <c r="M429" s="2" t="n">
        <f aca="false">AF429+IF(SUMPRODUCT(--($AL429:$AQ429&gt;AM429))+SUMPRODUCT(--($AL429:AL429=AM429))&lt;$AK429,1,0)</f>
        <v>80</v>
      </c>
      <c r="N429" s="2" t="n">
        <f aca="false">AG429+IF(SUMPRODUCT(--($AL429:$AQ429&gt;AN429))+SUMPRODUCT(--($AL429:AM429=AN429))&lt;$AK429,1,0)</f>
        <v>73</v>
      </c>
      <c r="O429" s="2" t="n">
        <f aca="false">AH429+IF(SUMPRODUCT(--($AL429:$AQ429&gt;AO429))+SUMPRODUCT(--($AL429:AN429=AO429))&lt;$AK429,1,0)</f>
        <v>73</v>
      </c>
      <c r="P429" s="2" t="n">
        <f aca="false">AI429+IF(SUMPRODUCT(--($AL429:$AQ429&gt;AP429))+SUMPRODUCT(--($AL429:AO429=AP429))&lt;$AK429,1,0)</f>
        <v>88</v>
      </c>
      <c r="Q429" s="2" t="n">
        <f aca="false">AJ429+IF(SUMPRODUCT(--($AL429:$AQ429&gt;AQ429))+SUMPRODUCT(--($AL429:AP429=AQ429))&lt;$AK429,1,0)</f>
        <v>108</v>
      </c>
      <c r="R429" s="2" t="n">
        <f aca="false">SUM(L429:Q429)</f>
        <v>500</v>
      </c>
      <c r="S429" s="2" t="n">
        <f aca="false">Settings!$B$4*MAX(INDEX(Bases!$M$2:$M$53,B429),INDEX(Bases!$M$2:$M$53,C429))+Settings!$B$5*MIN(INDEX(Bases!$M$2:$M$53,B429),INDEX(Bases!$M$2:$M$53,C429))</f>
        <v>67.6666666666667</v>
      </c>
      <c r="T429" s="2" t="n">
        <f aca="false">Settings!$B$4*MAX(INDEX(Bases!$N$2:$N$53,B429),INDEX(Bases!$N$2:$N$53,C429))+Settings!$B$5*MIN(INDEX(Bases!$N$2:$N$53,B429),INDEX(Bases!$N$2:$N$53,C429))</f>
        <v>70</v>
      </c>
      <c r="U429" s="2" t="n">
        <f aca="false">Settings!$B$4*MAX(INDEX(Bases!$O$2:$O$53,B429),INDEX(Bases!$O$2:$O$53,C429))+Settings!$B$5*MIN(INDEX(Bases!$O$2:$O$53,B429),INDEX(Bases!$O$2:$O$53,C429))</f>
        <v>63.6666666666667</v>
      </c>
      <c r="V429" s="2" t="n">
        <f aca="false">Settings!$B$4*MAX(INDEX(Bases!$P$2:$P$53,B429),INDEX(Bases!$P$2:$P$53,C429))+Settings!$B$5*MIN(INDEX(Bases!$P$2:$P$53,B429),INDEX(Bases!$P$2:$P$53,C429))</f>
        <v>64</v>
      </c>
      <c r="W429" s="2" t="n">
        <f aca="false">Settings!$B$4*MAX(INDEX(Bases!$Q$2:$Q$53,B429),INDEX(Bases!$Q$2:$Q$53,C429))+Settings!$B$5*MIN(INDEX(Bases!$Q$2:$Q$53,B429),INDEX(Bases!$Q$2:$Q$53,C429))</f>
        <v>76.6666666666667</v>
      </c>
      <c r="X429" s="2" t="n">
        <f aca="false">Settings!$B$4*MAX(INDEX(Bases!$R$2:$R$53,B429),INDEX(Bases!$R$2:$R$53,C429))+Settings!$B$5*MIN(INDEX(Bases!$R$2:$R$53,B429),INDEX(Bases!$R$2:$R$53,C429))</f>
        <v>94</v>
      </c>
      <c r="Y429" s="2" t="n">
        <f aca="false">S429*Settings!$B$3/SUM(S429:X429)</f>
        <v>77.5993883792049</v>
      </c>
      <c r="Z429" s="2" t="n">
        <f aca="false">T429*Settings!$B$3/SUM(S429:X429)</f>
        <v>80.2752293577982</v>
      </c>
      <c r="AA429" s="2" t="n">
        <f aca="false">U429*Settings!$B$3/SUM(S429:X429)</f>
        <v>73.0122324159022</v>
      </c>
      <c r="AB429" s="2" t="n">
        <f aca="false">V429*Settings!$B$3/SUM(S429:X429)</f>
        <v>73.394495412844</v>
      </c>
      <c r="AC429" s="2" t="n">
        <f aca="false">W429*Settings!$B$3/SUM(S429:X429)</f>
        <v>87.9204892966361</v>
      </c>
      <c r="AD429" s="2" t="n">
        <f aca="false">X429*Settings!$B$3/SUM(S429:X429)</f>
        <v>107.798165137615</v>
      </c>
      <c r="AE429" s="2" t="n">
        <f aca="false">INT(Y429)</f>
        <v>77</v>
      </c>
      <c r="AF429" s="2" t="n">
        <f aca="false">INT(Z429)</f>
        <v>80</v>
      </c>
      <c r="AG429" s="2" t="n">
        <f aca="false">INT(AA429)</f>
        <v>73</v>
      </c>
      <c r="AH429" s="2" t="n">
        <f aca="false">INT(AB429)</f>
        <v>73</v>
      </c>
      <c r="AI429" s="2" t="n">
        <f aca="false">INT(AC429)</f>
        <v>87</v>
      </c>
      <c r="AJ429" s="2" t="n">
        <f aca="false">INT(AD429)</f>
        <v>107</v>
      </c>
      <c r="AK429" s="2" t="n">
        <f aca="false">Settings!$B$3-SUM(AE429:AJ429)</f>
        <v>3</v>
      </c>
      <c r="AL429" s="2" t="n">
        <f aca="false">ROUND(Y429-AE429,9)</f>
        <v>0.599388379</v>
      </c>
      <c r="AM429" s="2" t="n">
        <f aca="false">ROUND(Z429-AF429,9)</f>
        <v>0.275229358</v>
      </c>
      <c r="AN429" s="2" t="n">
        <f aca="false">ROUND(AA429-AG429,9)</f>
        <v>0.012232416</v>
      </c>
      <c r="AO429" s="2" t="n">
        <f aca="false">ROUND(AB429-AH429,9)</f>
        <v>0.394495413</v>
      </c>
      <c r="AP429" s="2" t="n">
        <f aca="false">ROUND(AC429-AI429,9)</f>
        <v>0.920489297</v>
      </c>
      <c r="AQ429" s="2" t="n">
        <f aca="false">ROUND(AD429-AJ429,9)</f>
        <v>0.798165138</v>
      </c>
    </row>
    <row r="430" customFormat="false" ht="15" hidden="false" customHeight="false" outlineLevel="0" collapsed="false">
      <c r="A430" s="2" t="n">
        <v>429</v>
      </c>
      <c r="B430" s="6" t="n">
        <v>10</v>
      </c>
      <c r="C430" s="6" t="n">
        <v>16</v>
      </c>
      <c r="D430" s="8" t="str">
        <f aca="false">INDEX(Bases!$B$2:$B$53,B430)</f>
        <v>Pichu</v>
      </c>
      <c r="E430" s="8" t="str">
        <f aca="false">INDEX(Bases!$B$2:$B$53,C430)</f>
        <v>Swinub</v>
      </c>
      <c r="F430" s="2" t="str">
        <f aca="false">LEFT(D430,ROUNDUP(LEN(D430)/2,0))&amp;LOWER(MID(E430,ROUNDUP(LEN(E430)/2,0)+1,20))</f>
        <v>Picnub</v>
      </c>
      <c r="G430" s="8" t="str">
        <f aca="false">INDEX(Bases!$C$2:$C$53,B430)</f>
        <v>Electric</v>
      </c>
      <c r="H430" s="8" t="str">
        <f aca="false">IF(INDEX(Bases!$C$2:$C$53,C430)=G430,"",INDEX(Bases!$C$2:$C$53,C430))</f>
        <v>Ice</v>
      </c>
      <c r="I430" s="8" t="str">
        <f aca="false">IF(INDEX(Bases!$E$2:$E$53,B430)="","",INDEX(Bases!$E$2:$E$53,B430))</f>
        <v/>
      </c>
      <c r="J430" s="8" t="str">
        <f aca="false">IF(INDEX(Bases!$E$2:$E$53,C430)="","",INDEX(Bases!$E$2:$E$53,C430))</f>
        <v/>
      </c>
      <c r="K430" s="5"/>
      <c r="L430" s="2" t="n">
        <f aca="false">AE430+IF(SUMPRODUCT(--($AL430:$AQ430&gt;AL430))&lt;$AK430,1,0)</f>
        <v>78</v>
      </c>
      <c r="M430" s="2" t="n">
        <f aca="false">AF430+IF(SUMPRODUCT(--($AL430:$AQ430&gt;AM430))+SUMPRODUCT(--($AL430:AL430=AM430))&lt;$AK430,1,0)</f>
        <v>93</v>
      </c>
      <c r="N430" s="2" t="n">
        <f aca="false">AG430+IF(SUMPRODUCT(--($AL430:$AQ430&gt;AN430))+SUMPRODUCT(--($AL430:AM430=AN430))&lt;$AK430,1,0)</f>
        <v>61</v>
      </c>
      <c r="O430" s="2" t="n">
        <f aca="false">AH430+IF(SUMPRODUCT(--($AL430:$AQ430&gt;AO430))+SUMPRODUCT(--($AL430:AN430=AO430))&lt;$AK430,1,0)</f>
        <v>73</v>
      </c>
      <c r="P430" s="2" t="n">
        <f aca="false">AI430+IF(SUMPRODUCT(--($AL430:$AQ430&gt;AP430))+SUMPRODUCT(--($AL430:AO430=AP430))&lt;$AK430,1,0)</f>
        <v>72</v>
      </c>
      <c r="Q430" s="2" t="n">
        <f aca="false">AJ430+IF(SUMPRODUCT(--($AL430:$AQ430&gt;AQ430))+SUMPRODUCT(--($AL430:AP430=AQ430))&lt;$AK430,1,0)</f>
        <v>123</v>
      </c>
      <c r="R430" s="2" t="n">
        <f aca="false">SUM(L430:Q430)</f>
        <v>500</v>
      </c>
      <c r="S430" s="2" t="n">
        <f aca="false">Settings!$B$4*MAX(INDEX(Bases!$M$2:$M$53,B430),INDEX(Bases!$M$2:$M$53,C430))+Settings!$B$5*MIN(INDEX(Bases!$M$2:$M$53,B430),INDEX(Bases!$M$2:$M$53,C430))</f>
        <v>66.3333333333333</v>
      </c>
      <c r="T430" s="2" t="n">
        <f aca="false">Settings!$B$4*MAX(INDEX(Bases!$N$2:$N$53,B430),INDEX(Bases!$N$2:$N$53,C430))+Settings!$B$5*MIN(INDEX(Bases!$N$2:$N$53,B430),INDEX(Bases!$N$2:$N$53,C430))</f>
        <v>79.3333333333333</v>
      </c>
      <c r="U430" s="2" t="n">
        <f aca="false">Settings!$B$4*MAX(INDEX(Bases!$O$2:$O$53,B430),INDEX(Bases!$O$2:$O$53,C430))+Settings!$B$5*MIN(INDEX(Bases!$O$2:$O$53,B430),INDEX(Bases!$O$2:$O$53,C430))</f>
        <v>52.3333333333333</v>
      </c>
      <c r="V430" s="2" t="n">
        <f aca="false">Settings!$B$4*MAX(INDEX(Bases!$P$2:$P$53,B430),INDEX(Bases!$P$2:$P$53,C430))+Settings!$B$5*MIN(INDEX(Bases!$P$2:$P$53,B430),INDEX(Bases!$P$2:$P$53,C430))</f>
        <v>62</v>
      </c>
      <c r="W430" s="2" t="n">
        <f aca="false">Settings!$B$4*MAX(INDEX(Bases!$Q$2:$Q$53,B430),INDEX(Bases!$Q$2:$Q$53,C430))+Settings!$B$5*MIN(INDEX(Bases!$Q$2:$Q$53,B430),INDEX(Bases!$Q$2:$Q$53,C430))</f>
        <v>61.3333333333333</v>
      </c>
      <c r="X430" s="2" t="n">
        <f aca="false">Settings!$B$4*MAX(INDEX(Bases!$R$2:$R$53,B430),INDEX(Bases!$R$2:$R$53,C430))+Settings!$B$5*MIN(INDEX(Bases!$R$2:$R$53,B430),INDEX(Bases!$R$2:$R$53,C430))</f>
        <v>104.666666666667</v>
      </c>
      <c r="Y430" s="2" t="n">
        <f aca="false">S430*Settings!$B$3/SUM(S430:X430)</f>
        <v>77.8560250391236</v>
      </c>
      <c r="Z430" s="2" t="n">
        <f aca="false">T430*Settings!$B$3/SUM(S430:X430)</f>
        <v>93.1142410015649</v>
      </c>
      <c r="AA430" s="2" t="n">
        <f aca="false">U430*Settings!$B$3/SUM(S430:X430)</f>
        <v>61.4241001564945</v>
      </c>
      <c r="AB430" s="2" t="n">
        <f aca="false">V430*Settings!$B$3/SUM(S430:X430)</f>
        <v>72.7699530516432</v>
      </c>
      <c r="AC430" s="2" t="n">
        <f aca="false">W430*Settings!$B$3/SUM(S430:X430)</f>
        <v>71.9874804381847</v>
      </c>
      <c r="AD430" s="2" t="n">
        <f aca="false">X430*Settings!$B$3/SUM(S430:X430)</f>
        <v>122.848200312989</v>
      </c>
      <c r="AE430" s="2" t="n">
        <f aca="false">INT(Y430)</f>
        <v>77</v>
      </c>
      <c r="AF430" s="2" t="n">
        <f aca="false">INT(Z430)</f>
        <v>93</v>
      </c>
      <c r="AG430" s="2" t="n">
        <f aca="false">INT(AA430)</f>
        <v>61</v>
      </c>
      <c r="AH430" s="2" t="n">
        <f aca="false">INT(AB430)</f>
        <v>72</v>
      </c>
      <c r="AI430" s="2" t="n">
        <f aca="false">INT(AC430)</f>
        <v>71</v>
      </c>
      <c r="AJ430" s="2" t="n">
        <f aca="false">INT(AD430)</f>
        <v>122</v>
      </c>
      <c r="AK430" s="2" t="n">
        <f aca="false">Settings!$B$3-SUM(AE430:AJ430)</f>
        <v>4</v>
      </c>
      <c r="AL430" s="2" t="n">
        <f aca="false">ROUND(Y430-AE430,9)</f>
        <v>0.856025039</v>
      </c>
      <c r="AM430" s="2" t="n">
        <f aca="false">ROUND(Z430-AF430,9)</f>
        <v>0.114241002</v>
      </c>
      <c r="AN430" s="2" t="n">
        <f aca="false">ROUND(AA430-AG430,9)</f>
        <v>0.424100156</v>
      </c>
      <c r="AO430" s="2" t="n">
        <f aca="false">ROUND(AB430-AH430,9)</f>
        <v>0.769953052</v>
      </c>
      <c r="AP430" s="2" t="n">
        <f aca="false">ROUND(AC430-AI430,9)</f>
        <v>0.987480438</v>
      </c>
      <c r="AQ430" s="2" t="n">
        <f aca="false">ROUND(AD430-AJ430,9)</f>
        <v>0.848200313</v>
      </c>
    </row>
    <row r="431" customFormat="false" ht="15" hidden="false" customHeight="false" outlineLevel="0" collapsed="false">
      <c r="A431" s="2" t="n">
        <v>430</v>
      </c>
      <c r="B431" s="6" t="n">
        <v>10</v>
      </c>
      <c r="C431" s="6" t="n">
        <v>17</v>
      </c>
      <c r="D431" s="8" t="str">
        <f aca="false">INDEX(Bases!$B$2:$B$53,B431)</f>
        <v>Pichu</v>
      </c>
      <c r="E431" s="8" t="str">
        <f aca="false">INDEX(Bases!$B$2:$B$53,C431)</f>
        <v>Snorunt</v>
      </c>
      <c r="F431" s="2" t="str">
        <f aca="false">LEFT(D431,ROUNDUP(LEN(D431)/2,0))&amp;LOWER(MID(E431,ROUNDUP(LEN(E431)/2,0)+1,20))</f>
        <v>Picunt</v>
      </c>
      <c r="G431" s="8" t="str">
        <f aca="false">INDEX(Bases!$C$2:$C$53,B431)</f>
        <v>Electric</v>
      </c>
      <c r="H431" s="8" t="str">
        <f aca="false">IF(INDEX(Bases!$C$2:$C$53,C431)=G431,"",INDEX(Bases!$C$2:$C$53,C431))</f>
        <v>Ice</v>
      </c>
      <c r="I431" s="8" t="str">
        <f aca="false">IF(INDEX(Bases!$E$2:$E$53,B431)="","",INDEX(Bases!$E$2:$E$53,B431))</f>
        <v/>
      </c>
      <c r="J431" s="8" t="str">
        <f aca="false">IF(INDEX(Bases!$E$2:$E$53,C431)="","",INDEX(Bases!$E$2:$E$53,C431))</f>
        <v/>
      </c>
      <c r="K431" s="5"/>
      <c r="L431" s="2" t="n">
        <f aca="false">AE431+IF(SUMPRODUCT(--($AL431:$AQ431&gt;AL431))&lt;$AK431,1,0)</f>
        <v>68</v>
      </c>
      <c r="M431" s="2" t="n">
        <f aca="false">AF431+IF(SUMPRODUCT(--($AL431:$AQ431&gt;AM431))+SUMPRODUCT(--($AL431:AL431=AM431))&lt;$AK431,1,0)</f>
        <v>88</v>
      </c>
      <c r="N431" s="2" t="n">
        <f aca="false">AG431+IF(SUMPRODUCT(--($AL431:$AQ431&gt;AN431))+SUMPRODUCT(--($AL431:AM431=AN431))&lt;$AK431,1,0)</f>
        <v>64</v>
      </c>
      <c r="O431" s="2" t="n">
        <f aca="false">AH431+IF(SUMPRODUCT(--($AL431:$AQ431&gt;AO431))+SUMPRODUCT(--($AL431:AN431=AO431))&lt;$AK431,1,0)</f>
        <v>81</v>
      </c>
      <c r="P431" s="2" t="n">
        <f aca="false">AI431+IF(SUMPRODUCT(--($AL431:$AQ431&gt;AP431))+SUMPRODUCT(--($AL431:AO431=AP431))&lt;$AK431,1,0)</f>
        <v>80</v>
      </c>
      <c r="Q431" s="2" t="n">
        <f aca="false">AJ431+IF(SUMPRODUCT(--($AL431:$AQ431&gt;AQ431))+SUMPRODUCT(--($AL431:AP431=AQ431))&lt;$AK431,1,0)</f>
        <v>119</v>
      </c>
      <c r="R431" s="2" t="n">
        <f aca="false">SUM(L431:Q431)</f>
        <v>500</v>
      </c>
      <c r="S431" s="2" t="n">
        <f aca="false">Settings!$B$4*MAX(INDEX(Bases!$M$2:$M$53,B431),INDEX(Bases!$M$2:$M$53,C431))+Settings!$B$5*MIN(INDEX(Bases!$M$2:$M$53,B431),INDEX(Bases!$M$2:$M$53,C431))</f>
        <v>57.6666666666667</v>
      </c>
      <c r="T431" s="2" t="n">
        <f aca="false">Settings!$B$4*MAX(INDEX(Bases!$N$2:$N$53,B431),INDEX(Bases!$N$2:$N$53,C431))+Settings!$B$5*MIN(INDEX(Bases!$N$2:$N$53,B431),INDEX(Bases!$N$2:$N$53,C431))</f>
        <v>74.3333333333333</v>
      </c>
      <c r="U431" s="2" t="n">
        <f aca="false">Settings!$B$4*MAX(INDEX(Bases!$O$2:$O$53,B431),INDEX(Bases!$O$2:$O$53,C431))+Settings!$B$5*MIN(INDEX(Bases!$O$2:$O$53,B431),INDEX(Bases!$O$2:$O$53,C431))</f>
        <v>54.3333333333333</v>
      </c>
      <c r="V431" s="2" t="n">
        <f aca="false">Settings!$B$4*MAX(INDEX(Bases!$P$2:$P$53,B431),INDEX(Bases!$P$2:$P$53,C431))+Settings!$B$5*MIN(INDEX(Bases!$P$2:$P$53,B431),INDEX(Bases!$P$2:$P$53,C431))</f>
        <v>68.3333333333333</v>
      </c>
      <c r="W431" s="2" t="n">
        <f aca="false">Settings!$B$4*MAX(INDEX(Bases!$Q$2:$Q$53,B431),INDEX(Bases!$Q$2:$Q$53,C431))+Settings!$B$5*MIN(INDEX(Bases!$Q$2:$Q$53,B431),INDEX(Bases!$Q$2:$Q$53,C431))</f>
        <v>67.3333333333333</v>
      </c>
      <c r="X431" s="2" t="n">
        <f aca="false">Settings!$B$4*MAX(INDEX(Bases!$R$2:$R$53,B431),INDEX(Bases!$R$2:$R$53,C431))+Settings!$B$5*MIN(INDEX(Bases!$R$2:$R$53,B431),INDEX(Bases!$R$2:$R$53,C431))</f>
        <v>100</v>
      </c>
      <c r="Y431" s="2" t="n">
        <f aca="false">S431*Settings!$B$3/SUM(S431:X431)</f>
        <v>68.3254344391785</v>
      </c>
      <c r="Z431" s="2" t="n">
        <f aca="false">T431*Settings!$B$3/SUM(S431:X431)</f>
        <v>88.0726698262243</v>
      </c>
      <c r="AA431" s="2" t="n">
        <f aca="false">U431*Settings!$B$3/SUM(S431:X431)</f>
        <v>64.3759873617694</v>
      </c>
      <c r="AB431" s="2" t="n">
        <f aca="false">V431*Settings!$B$3/SUM(S431:X431)</f>
        <v>80.9636650868878</v>
      </c>
      <c r="AC431" s="2" t="n">
        <f aca="false">W431*Settings!$B$3/SUM(S431:X431)</f>
        <v>79.7788309636651</v>
      </c>
      <c r="AD431" s="2" t="n">
        <f aca="false">X431*Settings!$B$3/SUM(S431:X431)</f>
        <v>118.483412322275</v>
      </c>
      <c r="AE431" s="2" t="n">
        <f aca="false">INT(Y431)</f>
        <v>68</v>
      </c>
      <c r="AF431" s="2" t="n">
        <f aca="false">INT(Z431)</f>
        <v>88</v>
      </c>
      <c r="AG431" s="2" t="n">
        <f aca="false">INT(AA431)</f>
        <v>64</v>
      </c>
      <c r="AH431" s="2" t="n">
        <f aca="false">INT(AB431)</f>
        <v>80</v>
      </c>
      <c r="AI431" s="2" t="n">
        <f aca="false">INT(AC431)</f>
        <v>79</v>
      </c>
      <c r="AJ431" s="2" t="n">
        <f aca="false">INT(AD431)</f>
        <v>118</v>
      </c>
      <c r="AK431" s="2" t="n">
        <f aca="false">Settings!$B$3-SUM(AE431:AJ431)</f>
        <v>3</v>
      </c>
      <c r="AL431" s="2" t="n">
        <f aca="false">ROUND(Y431-AE431,9)</f>
        <v>0.325434439</v>
      </c>
      <c r="AM431" s="2" t="n">
        <f aca="false">ROUND(Z431-AF431,9)</f>
        <v>0.072669826</v>
      </c>
      <c r="AN431" s="2" t="n">
        <f aca="false">ROUND(AA431-AG431,9)</f>
        <v>0.375987362</v>
      </c>
      <c r="AO431" s="2" t="n">
        <f aca="false">ROUND(AB431-AH431,9)</f>
        <v>0.963665087</v>
      </c>
      <c r="AP431" s="2" t="n">
        <f aca="false">ROUND(AC431-AI431,9)</f>
        <v>0.778830964</v>
      </c>
      <c r="AQ431" s="2" t="n">
        <f aca="false">ROUND(AD431-AJ431,9)</f>
        <v>0.483412322</v>
      </c>
    </row>
    <row r="432" customFormat="false" ht="15" hidden="false" customHeight="false" outlineLevel="0" collapsed="false">
      <c r="A432" s="2" t="n">
        <v>431</v>
      </c>
      <c r="B432" s="6" t="n">
        <v>10</v>
      </c>
      <c r="C432" s="6" t="n">
        <v>18</v>
      </c>
      <c r="D432" s="8" t="str">
        <f aca="false">INDEX(Bases!$B$2:$B$53,B432)</f>
        <v>Pichu</v>
      </c>
      <c r="E432" s="8" t="str">
        <f aca="false">INDEX(Bases!$B$2:$B$53,C432)</f>
        <v>Spheal</v>
      </c>
      <c r="F432" s="2" t="str">
        <f aca="false">LEFT(D432,ROUNDUP(LEN(D432)/2,0))&amp;LOWER(MID(E432,ROUNDUP(LEN(E432)/2,0)+1,20))</f>
        <v>Piceal</v>
      </c>
      <c r="G432" s="8" t="str">
        <f aca="false">INDEX(Bases!$C$2:$C$53,B432)</f>
        <v>Electric</v>
      </c>
      <c r="H432" s="8" t="str">
        <f aca="false">IF(INDEX(Bases!$C$2:$C$53,C432)=G432,"",INDEX(Bases!$C$2:$C$53,C432))</f>
        <v>Ice</v>
      </c>
      <c r="I432" s="8" t="str">
        <f aca="false">IF(INDEX(Bases!$E$2:$E$53,B432)="","",INDEX(Bases!$E$2:$E$53,B432))</f>
        <v/>
      </c>
      <c r="J432" s="8" t="str">
        <f aca="false">IF(INDEX(Bases!$E$2:$E$53,C432)="","",INDEX(Bases!$E$2:$E$53,C432))</f>
        <v/>
      </c>
      <c r="K432" s="5"/>
      <c r="L432" s="2" t="n">
        <f aca="false">AE432+IF(SUMPRODUCT(--($AL432:$AQ432&gt;AL432))&lt;$AK432,1,0)</f>
        <v>89</v>
      </c>
      <c r="M432" s="2" t="n">
        <f aca="false">AF432+IF(SUMPRODUCT(--($AL432:$AQ432&gt;AM432))+SUMPRODUCT(--($AL432:AL432=AM432))&lt;$AK432,1,0)</f>
        <v>81</v>
      </c>
      <c r="N432" s="2" t="n">
        <f aca="false">AG432+IF(SUMPRODUCT(--($AL432:$AQ432&gt;AN432))+SUMPRODUCT(--($AL432:AM432=AN432))&lt;$AK432,1,0)</f>
        <v>64</v>
      </c>
      <c r="O432" s="2" t="n">
        <f aca="false">AH432+IF(SUMPRODUCT(--($AL432:$AQ432&gt;AO432))+SUMPRODUCT(--($AL432:AN432=AO432))&lt;$AK432,1,0)</f>
        <v>85</v>
      </c>
      <c r="P432" s="2" t="n">
        <f aca="false">AI432+IF(SUMPRODUCT(--($AL432:$AQ432&gt;AP432))+SUMPRODUCT(--($AL432:AO432=AP432))&lt;$AK432,1,0)</f>
        <v>79</v>
      </c>
      <c r="Q432" s="2" t="n">
        <f aca="false">AJ432+IF(SUMPRODUCT(--($AL432:$AQ432&gt;AQ432))+SUMPRODUCT(--($AL432:AP432=AQ432))&lt;$AK432,1,0)</f>
        <v>102</v>
      </c>
      <c r="R432" s="2" t="n">
        <f aca="false">SUM(L432:Q432)</f>
        <v>500</v>
      </c>
      <c r="S432" s="2" t="n">
        <f aca="false">Settings!$B$4*MAX(INDEX(Bases!$M$2:$M$53,B432),INDEX(Bases!$M$2:$M$53,C432))+Settings!$B$5*MIN(INDEX(Bases!$M$2:$M$53,B432),INDEX(Bases!$M$2:$M$53,C432))</f>
        <v>77.6666666666667</v>
      </c>
      <c r="T432" s="2" t="n">
        <f aca="false">Settings!$B$4*MAX(INDEX(Bases!$N$2:$N$53,B432),INDEX(Bases!$N$2:$N$53,C432))+Settings!$B$5*MIN(INDEX(Bases!$N$2:$N$53,B432),INDEX(Bases!$N$2:$N$53,C432))</f>
        <v>70.3333333333333</v>
      </c>
      <c r="U432" s="2" t="n">
        <f aca="false">Settings!$B$4*MAX(INDEX(Bases!$O$2:$O$53,B432),INDEX(Bases!$O$2:$O$53,C432))+Settings!$B$5*MIN(INDEX(Bases!$O$2:$O$53,B432),INDEX(Bases!$O$2:$O$53,C432))</f>
        <v>55.6666666666667</v>
      </c>
      <c r="V432" s="2" t="n">
        <f aca="false">Settings!$B$4*MAX(INDEX(Bases!$P$2:$P$53,B432),INDEX(Bases!$P$2:$P$53,C432))+Settings!$B$5*MIN(INDEX(Bases!$P$2:$P$53,B432),INDEX(Bases!$P$2:$P$53,C432))</f>
        <v>73.6666666666667</v>
      </c>
      <c r="W432" s="2" t="n">
        <f aca="false">Settings!$B$4*MAX(INDEX(Bases!$Q$2:$Q$53,B432),INDEX(Bases!$Q$2:$Q$53,C432))+Settings!$B$5*MIN(INDEX(Bases!$Q$2:$Q$53,B432),INDEX(Bases!$Q$2:$Q$53,C432))</f>
        <v>68.6666666666667</v>
      </c>
      <c r="X432" s="2" t="n">
        <f aca="false">Settings!$B$4*MAX(INDEX(Bases!$R$2:$R$53,B432),INDEX(Bases!$R$2:$R$53,C432))+Settings!$B$5*MIN(INDEX(Bases!$R$2:$R$53,B432),INDEX(Bases!$R$2:$R$53,C432))</f>
        <v>89.3333333333333</v>
      </c>
      <c r="Y432" s="2" t="n">
        <f aca="false">S432*Settings!$B$3/SUM(S432:X432)</f>
        <v>89.2036753445636</v>
      </c>
      <c r="Z432" s="2" t="n">
        <f aca="false">T432*Settings!$B$3/SUM(S432:X432)</f>
        <v>80.781010719755</v>
      </c>
      <c r="AA432" s="2" t="n">
        <f aca="false">U432*Settings!$B$3/SUM(S432:X432)</f>
        <v>63.9356814701378</v>
      </c>
      <c r="AB432" s="2" t="n">
        <f aca="false">V432*Settings!$B$3/SUM(S432:X432)</f>
        <v>84.6094946401225</v>
      </c>
      <c r="AC432" s="2" t="n">
        <f aca="false">W432*Settings!$B$3/SUM(S432:X432)</f>
        <v>78.8667687595712</v>
      </c>
      <c r="AD432" s="2" t="n">
        <f aca="false">X432*Settings!$B$3/SUM(S432:X432)</f>
        <v>102.60336906585</v>
      </c>
      <c r="AE432" s="2" t="n">
        <f aca="false">INT(Y432)</f>
        <v>89</v>
      </c>
      <c r="AF432" s="2" t="n">
        <f aca="false">INT(Z432)</f>
        <v>80</v>
      </c>
      <c r="AG432" s="2" t="n">
        <f aca="false">INT(AA432)</f>
        <v>63</v>
      </c>
      <c r="AH432" s="2" t="n">
        <f aca="false">INT(AB432)</f>
        <v>84</v>
      </c>
      <c r="AI432" s="2" t="n">
        <f aca="false">INT(AC432)</f>
        <v>78</v>
      </c>
      <c r="AJ432" s="2" t="n">
        <f aca="false">INT(AD432)</f>
        <v>102</v>
      </c>
      <c r="AK432" s="2" t="n">
        <f aca="false">Settings!$B$3-SUM(AE432:AJ432)</f>
        <v>4</v>
      </c>
      <c r="AL432" s="2" t="n">
        <f aca="false">ROUND(Y432-AE432,9)</f>
        <v>0.203675345</v>
      </c>
      <c r="AM432" s="2" t="n">
        <f aca="false">ROUND(Z432-AF432,9)</f>
        <v>0.78101072</v>
      </c>
      <c r="AN432" s="2" t="n">
        <f aca="false">ROUND(AA432-AG432,9)</f>
        <v>0.93568147</v>
      </c>
      <c r="AO432" s="2" t="n">
        <f aca="false">ROUND(AB432-AH432,9)</f>
        <v>0.60949464</v>
      </c>
      <c r="AP432" s="2" t="n">
        <f aca="false">ROUND(AC432-AI432,9)</f>
        <v>0.86676876</v>
      </c>
      <c r="AQ432" s="2" t="n">
        <f aca="false">ROUND(AD432-AJ432,9)</f>
        <v>0.603369066</v>
      </c>
    </row>
    <row r="433" customFormat="false" ht="15" hidden="false" customHeight="false" outlineLevel="0" collapsed="false">
      <c r="A433" s="2" t="n">
        <v>432</v>
      </c>
      <c r="B433" s="6" t="n">
        <v>10</v>
      </c>
      <c r="C433" s="6" t="n">
        <v>19</v>
      </c>
      <c r="D433" s="8" t="str">
        <f aca="false">INDEX(Bases!$B$2:$B$53,B433)</f>
        <v>Pichu</v>
      </c>
      <c r="E433" s="8" t="str">
        <f aca="false">INDEX(Bases!$B$2:$B$53,C433)</f>
        <v>Mankey</v>
      </c>
      <c r="F433" s="2" t="str">
        <f aca="false">LEFT(D433,ROUNDUP(LEN(D433)/2,0))&amp;LOWER(MID(E433,ROUNDUP(LEN(E433)/2,0)+1,20))</f>
        <v>Pickey</v>
      </c>
      <c r="G433" s="8" t="str">
        <f aca="false">INDEX(Bases!$C$2:$C$53,B433)</f>
        <v>Electric</v>
      </c>
      <c r="H433" s="8" t="str">
        <f aca="false">IF(INDEX(Bases!$C$2:$C$53,C433)=G433,"",INDEX(Bases!$C$2:$C$53,C433))</f>
        <v>Fighting</v>
      </c>
      <c r="I433" s="8" t="str">
        <f aca="false">IF(INDEX(Bases!$E$2:$E$53,B433)="","",INDEX(Bases!$E$2:$E$53,B433))</f>
        <v/>
      </c>
      <c r="J433" s="8" t="str">
        <f aca="false">IF(INDEX(Bases!$E$2:$E$53,C433)="","",INDEX(Bases!$E$2:$E$53,C433))</f>
        <v/>
      </c>
      <c r="K433" s="5"/>
      <c r="L433" s="2" t="n">
        <f aca="false">AE433+IF(SUMPRODUCT(--($AL433:$AQ433&gt;AL433))&lt;$AK433,1,0)</f>
        <v>57</v>
      </c>
      <c r="M433" s="2" t="n">
        <f aca="false">AF433+IF(SUMPRODUCT(--($AL433:$AQ433&gt;AM433))+SUMPRODUCT(--($AL433:AL433=AM433))&lt;$AK433,1,0)</f>
        <v>114</v>
      </c>
      <c r="N433" s="2" t="n">
        <f aca="false">AG433+IF(SUMPRODUCT(--($AL433:$AQ433&gt;AN433))+SUMPRODUCT(--($AL433:AM433=AN433))&lt;$AK433,1,0)</f>
        <v>48</v>
      </c>
      <c r="O433" s="2" t="n">
        <f aca="false">AH433+IF(SUMPRODUCT(--($AL433:$AQ433&gt;AO433))+SUMPRODUCT(--($AL433:AN433=AO433))&lt;$AK433,1,0)</f>
        <v>73</v>
      </c>
      <c r="P433" s="2" t="n">
        <f aca="false">AI433+IF(SUMPRODUCT(--($AL433:$AQ433&gt;AP433))+SUMPRODUCT(--($AL433:AO433=AP433))&lt;$AK433,1,0)</f>
        <v>78</v>
      </c>
      <c r="Q433" s="2" t="n">
        <f aca="false">AJ433+IF(SUMPRODUCT(--($AL433:$AQ433&gt;AQ433))+SUMPRODUCT(--($AL433:AP433=AQ433))&lt;$AK433,1,0)</f>
        <v>130</v>
      </c>
      <c r="R433" s="2" t="n">
        <f aca="false">SUM(L433:Q433)</f>
        <v>500</v>
      </c>
      <c r="S433" s="2" t="n">
        <f aca="false">Settings!$B$4*MAX(INDEX(Bases!$M$2:$M$53,B433),INDEX(Bases!$M$2:$M$53,C433))+Settings!$B$5*MIN(INDEX(Bases!$M$2:$M$53,B433),INDEX(Bases!$M$2:$M$53,C433))</f>
        <v>47.6666666666667</v>
      </c>
      <c r="T433" s="2" t="n">
        <f aca="false">Settings!$B$4*MAX(INDEX(Bases!$N$2:$N$53,B433),INDEX(Bases!$N$2:$N$53,C433))+Settings!$B$5*MIN(INDEX(Bases!$N$2:$N$53,B433),INDEX(Bases!$N$2:$N$53,C433))</f>
        <v>96</v>
      </c>
      <c r="U433" s="2" t="n">
        <f aca="false">Settings!$B$4*MAX(INDEX(Bases!$O$2:$O$53,B433),INDEX(Bases!$O$2:$O$53,C433))+Settings!$B$5*MIN(INDEX(Bases!$O$2:$O$53,B433),INDEX(Bases!$O$2:$O$53,C433))</f>
        <v>40.3333333333333</v>
      </c>
      <c r="V433" s="2" t="n">
        <f aca="false">Settings!$B$4*MAX(INDEX(Bases!$P$2:$P$53,B433),INDEX(Bases!$P$2:$P$53,C433))+Settings!$B$5*MIN(INDEX(Bases!$P$2:$P$53,B433),INDEX(Bases!$P$2:$P$53,C433))</f>
        <v>61.3333333333333</v>
      </c>
      <c r="W433" s="2" t="n">
        <f aca="false">Settings!$B$4*MAX(INDEX(Bases!$Q$2:$Q$53,B433),INDEX(Bases!$Q$2:$Q$53,C433))+Settings!$B$5*MIN(INDEX(Bases!$Q$2:$Q$53,B433),INDEX(Bases!$Q$2:$Q$53,C433))</f>
        <v>65</v>
      </c>
      <c r="X433" s="2" t="n">
        <f aca="false">Settings!$B$4*MAX(INDEX(Bases!$R$2:$R$53,B433),INDEX(Bases!$R$2:$R$53,C433))+Settings!$B$5*MIN(INDEX(Bases!$R$2:$R$53,B433),INDEX(Bases!$R$2:$R$53,C433))</f>
        <v>108.666666666667</v>
      </c>
      <c r="Y433" s="2" t="n">
        <f aca="false">S433*Settings!$B$3/SUM(S433:X433)</f>
        <v>56.8814638027049</v>
      </c>
      <c r="Z433" s="2" t="n">
        <f aca="false">T433*Settings!$B$3/SUM(S433:X433)</f>
        <v>114.558472553699</v>
      </c>
      <c r="AA433" s="2" t="n">
        <f aca="false">U433*Settings!$B$3/SUM(S433:X433)</f>
        <v>48.1304693715195</v>
      </c>
      <c r="AB433" s="2" t="n">
        <f aca="false">V433*Settings!$B$3/SUM(S433:X433)</f>
        <v>73.1901352426412</v>
      </c>
      <c r="AC433" s="2" t="n">
        <f aca="false">W433*Settings!$B$3/SUM(S433:X433)</f>
        <v>77.5656324582339</v>
      </c>
      <c r="AD433" s="2" t="n">
        <f aca="false">X433*Settings!$B$3/SUM(S433:X433)</f>
        <v>129.673826571201</v>
      </c>
      <c r="AE433" s="2" t="n">
        <f aca="false">INT(Y433)</f>
        <v>56</v>
      </c>
      <c r="AF433" s="2" t="n">
        <f aca="false">INT(Z433)</f>
        <v>114</v>
      </c>
      <c r="AG433" s="2" t="n">
        <f aca="false">INT(AA433)</f>
        <v>48</v>
      </c>
      <c r="AH433" s="2" t="n">
        <f aca="false">INT(AB433)</f>
        <v>73</v>
      </c>
      <c r="AI433" s="2" t="n">
        <f aca="false">INT(AC433)</f>
        <v>77</v>
      </c>
      <c r="AJ433" s="2" t="n">
        <f aca="false">INT(AD433)</f>
        <v>129</v>
      </c>
      <c r="AK433" s="2" t="n">
        <f aca="false">Settings!$B$3-SUM(AE433:AJ433)</f>
        <v>3</v>
      </c>
      <c r="AL433" s="2" t="n">
        <f aca="false">ROUND(Y433-AE433,9)</f>
        <v>0.881463803</v>
      </c>
      <c r="AM433" s="2" t="n">
        <f aca="false">ROUND(Z433-AF433,9)</f>
        <v>0.558472554</v>
      </c>
      <c r="AN433" s="2" t="n">
        <f aca="false">ROUND(AA433-AG433,9)</f>
        <v>0.130469372</v>
      </c>
      <c r="AO433" s="2" t="n">
        <f aca="false">ROUND(AB433-AH433,9)</f>
        <v>0.190135243</v>
      </c>
      <c r="AP433" s="2" t="n">
        <f aca="false">ROUND(AC433-AI433,9)</f>
        <v>0.565632458</v>
      </c>
      <c r="AQ433" s="2" t="n">
        <f aca="false">ROUND(AD433-AJ433,9)</f>
        <v>0.673826571</v>
      </c>
    </row>
    <row r="434" customFormat="false" ht="15" hidden="false" customHeight="false" outlineLevel="0" collapsed="false">
      <c r="A434" s="2" t="n">
        <v>433</v>
      </c>
      <c r="B434" s="6" t="n">
        <v>10</v>
      </c>
      <c r="C434" s="6" t="n">
        <v>20</v>
      </c>
      <c r="D434" s="8" t="str">
        <f aca="false">INDEX(Bases!$B$2:$B$53,B434)</f>
        <v>Pichu</v>
      </c>
      <c r="E434" s="8" t="str">
        <f aca="false">INDEX(Bases!$B$2:$B$53,C434)</f>
        <v>Tyrogue</v>
      </c>
      <c r="F434" s="2" t="str">
        <f aca="false">LEFT(D434,ROUNDUP(LEN(D434)/2,0))&amp;LOWER(MID(E434,ROUNDUP(LEN(E434)/2,0)+1,20))</f>
        <v>Picgue</v>
      </c>
      <c r="G434" s="8" t="str">
        <f aca="false">INDEX(Bases!$C$2:$C$53,B434)</f>
        <v>Electric</v>
      </c>
      <c r="H434" s="8" t="str">
        <f aca="false">IF(INDEX(Bases!$C$2:$C$53,C434)=G434,"",INDEX(Bases!$C$2:$C$53,C434))</f>
        <v>Fighting</v>
      </c>
      <c r="I434" s="8" t="str">
        <f aca="false">IF(INDEX(Bases!$E$2:$E$53,B434)="","",INDEX(Bases!$E$2:$E$53,B434))</f>
        <v/>
      </c>
      <c r="J434" s="8" t="str">
        <f aca="false">IF(INDEX(Bases!$E$2:$E$53,C434)="","",INDEX(Bases!$E$2:$E$53,C434))</f>
        <v/>
      </c>
      <c r="K434" s="5"/>
      <c r="L434" s="2" t="n">
        <f aca="false">AE434+IF(SUMPRODUCT(--($AL434:$AQ434&gt;AL434))&lt;$AK434,1,0)</f>
        <v>68</v>
      </c>
      <c r="M434" s="2" t="n">
        <f aca="false">AF434+IF(SUMPRODUCT(--($AL434:$AQ434&gt;AM434))+SUMPRODUCT(--($AL434:AL434=AM434))&lt;$AK434,1,0)</f>
        <v>88</v>
      </c>
      <c r="N434" s="2" t="n">
        <f aca="false">AG434+IF(SUMPRODUCT(--($AL434:$AQ434&gt;AN434))+SUMPRODUCT(--($AL434:AM434=AN434))&lt;$AK434,1,0)</f>
        <v>64</v>
      </c>
      <c r="O434" s="2" t="n">
        <f aca="false">AH434+IF(SUMPRODUCT(--($AL434:$AQ434&gt;AO434))+SUMPRODUCT(--($AL434:AN434=AO434))&lt;$AK434,1,0)</f>
        <v>81</v>
      </c>
      <c r="P434" s="2" t="n">
        <f aca="false">AI434+IF(SUMPRODUCT(--($AL434:$AQ434&gt;AP434))+SUMPRODUCT(--($AL434:AO434=AP434))&lt;$AK434,1,0)</f>
        <v>80</v>
      </c>
      <c r="Q434" s="2" t="n">
        <f aca="false">AJ434+IF(SUMPRODUCT(--($AL434:$AQ434&gt;AQ434))+SUMPRODUCT(--($AL434:AP434=AQ434))&lt;$AK434,1,0)</f>
        <v>119</v>
      </c>
      <c r="R434" s="2" t="n">
        <f aca="false">SUM(L434:Q434)</f>
        <v>500</v>
      </c>
      <c r="S434" s="2" t="n">
        <f aca="false">Settings!$B$4*MAX(INDEX(Bases!$M$2:$M$53,B434),INDEX(Bases!$M$2:$M$53,C434))+Settings!$B$5*MIN(INDEX(Bases!$M$2:$M$53,B434),INDEX(Bases!$M$2:$M$53,C434))</f>
        <v>57.6666666666667</v>
      </c>
      <c r="T434" s="2" t="n">
        <f aca="false">Settings!$B$4*MAX(INDEX(Bases!$N$2:$N$53,B434),INDEX(Bases!$N$2:$N$53,C434))+Settings!$B$5*MIN(INDEX(Bases!$N$2:$N$53,B434),INDEX(Bases!$N$2:$N$53,C434))</f>
        <v>74.3333333333333</v>
      </c>
      <c r="U434" s="2" t="n">
        <f aca="false">Settings!$B$4*MAX(INDEX(Bases!$O$2:$O$53,B434),INDEX(Bases!$O$2:$O$53,C434))+Settings!$B$5*MIN(INDEX(Bases!$O$2:$O$53,B434),INDEX(Bases!$O$2:$O$53,C434))</f>
        <v>54.3333333333333</v>
      </c>
      <c r="V434" s="2" t="n">
        <f aca="false">Settings!$B$4*MAX(INDEX(Bases!$P$2:$P$53,B434),INDEX(Bases!$P$2:$P$53,C434))+Settings!$B$5*MIN(INDEX(Bases!$P$2:$P$53,B434),INDEX(Bases!$P$2:$P$53,C434))</f>
        <v>68.3333333333333</v>
      </c>
      <c r="W434" s="2" t="n">
        <f aca="false">Settings!$B$4*MAX(INDEX(Bases!$Q$2:$Q$53,B434),INDEX(Bases!$Q$2:$Q$53,C434))+Settings!$B$5*MIN(INDEX(Bases!$Q$2:$Q$53,B434),INDEX(Bases!$Q$2:$Q$53,C434))</f>
        <v>67.3333333333333</v>
      </c>
      <c r="X434" s="2" t="n">
        <f aca="false">Settings!$B$4*MAX(INDEX(Bases!$R$2:$R$53,B434),INDEX(Bases!$R$2:$R$53,C434))+Settings!$B$5*MIN(INDEX(Bases!$R$2:$R$53,B434),INDEX(Bases!$R$2:$R$53,C434))</f>
        <v>100</v>
      </c>
      <c r="Y434" s="2" t="n">
        <f aca="false">S434*Settings!$B$3/SUM(S434:X434)</f>
        <v>68.3254344391785</v>
      </c>
      <c r="Z434" s="2" t="n">
        <f aca="false">T434*Settings!$B$3/SUM(S434:X434)</f>
        <v>88.0726698262243</v>
      </c>
      <c r="AA434" s="2" t="n">
        <f aca="false">U434*Settings!$B$3/SUM(S434:X434)</f>
        <v>64.3759873617694</v>
      </c>
      <c r="AB434" s="2" t="n">
        <f aca="false">V434*Settings!$B$3/SUM(S434:X434)</f>
        <v>80.9636650868878</v>
      </c>
      <c r="AC434" s="2" t="n">
        <f aca="false">W434*Settings!$B$3/SUM(S434:X434)</f>
        <v>79.7788309636651</v>
      </c>
      <c r="AD434" s="2" t="n">
        <f aca="false">X434*Settings!$B$3/SUM(S434:X434)</f>
        <v>118.483412322275</v>
      </c>
      <c r="AE434" s="2" t="n">
        <f aca="false">INT(Y434)</f>
        <v>68</v>
      </c>
      <c r="AF434" s="2" t="n">
        <f aca="false">INT(Z434)</f>
        <v>88</v>
      </c>
      <c r="AG434" s="2" t="n">
        <f aca="false">INT(AA434)</f>
        <v>64</v>
      </c>
      <c r="AH434" s="2" t="n">
        <f aca="false">INT(AB434)</f>
        <v>80</v>
      </c>
      <c r="AI434" s="2" t="n">
        <f aca="false">INT(AC434)</f>
        <v>79</v>
      </c>
      <c r="AJ434" s="2" t="n">
        <f aca="false">INT(AD434)</f>
        <v>118</v>
      </c>
      <c r="AK434" s="2" t="n">
        <f aca="false">Settings!$B$3-SUM(AE434:AJ434)</f>
        <v>3</v>
      </c>
      <c r="AL434" s="2" t="n">
        <f aca="false">ROUND(Y434-AE434,9)</f>
        <v>0.325434439</v>
      </c>
      <c r="AM434" s="2" t="n">
        <f aca="false">ROUND(Z434-AF434,9)</f>
        <v>0.072669826</v>
      </c>
      <c r="AN434" s="2" t="n">
        <f aca="false">ROUND(AA434-AG434,9)</f>
        <v>0.375987362</v>
      </c>
      <c r="AO434" s="2" t="n">
        <f aca="false">ROUND(AB434-AH434,9)</f>
        <v>0.963665087</v>
      </c>
      <c r="AP434" s="2" t="n">
        <f aca="false">ROUND(AC434-AI434,9)</f>
        <v>0.778830964</v>
      </c>
      <c r="AQ434" s="2" t="n">
        <f aca="false">ROUND(AD434-AJ434,9)</f>
        <v>0.483412322</v>
      </c>
    </row>
    <row r="435" customFormat="false" ht="15" hidden="false" customHeight="false" outlineLevel="0" collapsed="false">
      <c r="A435" s="2" t="n">
        <v>434</v>
      </c>
      <c r="B435" s="6" t="n">
        <v>10</v>
      </c>
      <c r="C435" s="6" t="n">
        <v>21</v>
      </c>
      <c r="D435" s="8" t="str">
        <f aca="false">INDEX(Bases!$B$2:$B$53,B435)</f>
        <v>Pichu</v>
      </c>
      <c r="E435" s="8" t="str">
        <f aca="false">INDEX(Bases!$B$2:$B$53,C435)</f>
        <v>Makuhita</v>
      </c>
      <c r="F435" s="2" t="str">
        <f aca="false">LEFT(D435,ROUNDUP(LEN(D435)/2,0))&amp;LOWER(MID(E435,ROUNDUP(LEN(E435)/2,0)+1,20))</f>
        <v>Pichita</v>
      </c>
      <c r="G435" s="8" t="str">
        <f aca="false">INDEX(Bases!$C$2:$C$53,B435)</f>
        <v>Electric</v>
      </c>
      <c r="H435" s="8" t="str">
        <f aca="false">IF(INDEX(Bases!$C$2:$C$53,C435)=G435,"",INDEX(Bases!$C$2:$C$53,C435))</f>
        <v>Fighting</v>
      </c>
      <c r="I435" s="8" t="str">
        <f aca="false">IF(INDEX(Bases!$E$2:$E$53,B435)="","",INDEX(Bases!$E$2:$E$53,B435))</f>
        <v/>
      </c>
      <c r="J435" s="8" t="str">
        <f aca="false">IF(INDEX(Bases!$E$2:$E$53,C435)="","",INDEX(Bases!$E$2:$E$53,C435))</f>
        <v/>
      </c>
      <c r="K435" s="5"/>
      <c r="L435" s="2" t="n">
        <f aca="false">AE435+IF(SUMPRODUCT(--($AL435:$AQ435&gt;AL435))&lt;$AK435,1,0)</f>
        <v>106</v>
      </c>
      <c r="M435" s="2" t="n">
        <f aca="false">AF435+IF(SUMPRODUCT(--($AL435:$AQ435&gt;AM435))+SUMPRODUCT(--($AL435:AL435=AM435))&lt;$AK435,1,0)</f>
        <v>106</v>
      </c>
      <c r="N435" s="2" t="n">
        <f aca="false">AG435+IF(SUMPRODUCT(--($AL435:$AQ435&gt;AN435))+SUMPRODUCT(--($AL435:AM435=AN435))&lt;$AK435,1,0)</f>
        <v>49</v>
      </c>
      <c r="O435" s="2" t="n">
        <f aca="false">AH435+IF(SUMPRODUCT(--($AL435:$AQ435&gt;AO435))+SUMPRODUCT(--($AL435:AN435=AO435))&lt;$AK435,1,0)</f>
        <v>65</v>
      </c>
      <c r="P435" s="2" t="n">
        <f aca="false">AI435+IF(SUMPRODUCT(--($AL435:$AQ435&gt;AP435))+SUMPRODUCT(--($AL435:AO435=AP435))&lt;$AK435,1,0)</f>
        <v>70</v>
      </c>
      <c r="Q435" s="2" t="n">
        <f aca="false">AJ435+IF(SUMPRODUCT(--($AL435:$AQ435&gt;AQ435))+SUMPRODUCT(--($AL435:AP435=AQ435))&lt;$AK435,1,0)</f>
        <v>104</v>
      </c>
      <c r="R435" s="2" t="n">
        <f aca="false">SUM(L435:Q435)</f>
        <v>500</v>
      </c>
      <c r="S435" s="2" t="n">
        <f aca="false">Settings!$B$4*MAX(INDEX(Bases!$M$2:$M$53,B435),INDEX(Bases!$M$2:$M$53,C435))+Settings!$B$5*MIN(INDEX(Bases!$M$2:$M$53,B435),INDEX(Bases!$M$2:$M$53,C435))</f>
        <v>93.6666666666667</v>
      </c>
      <c r="T435" s="2" t="n">
        <f aca="false">Settings!$B$4*MAX(INDEX(Bases!$N$2:$N$53,B435),INDEX(Bases!$N$2:$N$53,C435))+Settings!$B$5*MIN(INDEX(Bases!$N$2:$N$53,B435),INDEX(Bases!$N$2:$N$53,C435))</f>
        <v>93.3333333333333</v>
      </c>
      <c r="U435" s="2" t="n">
        <f aca="false">Settings!$B$4*MAX(INDEX(Bases!$O$2:$O$53,B435),INDEX(Bases!$O$2:$O$53,C435))+Settings!$B$5*MIN(INDEX(Bases!$O$2:$O$53,B435),INDEX(Bases!$O$2:$O$53,C435))</f>
        <v>43.6666666666667</v>
      </c>
      <c r="V435" s="2" t="n">
        <f aca="false">Settings!$B$4*MAX(INDEX(Bases!$P$2:$P$53,B435),INDEX(Bases!$P$2:$P$53,C435))+Settings!$B$5*MIN(INDEX(Bases!$P$2:$P$53,B435),INDEX(Bases!$P$2:$P$53,C435))</f>
        <v>57.3333333333333</v>
      </c>
      <c r="W435" s="2" t="n">
        <f aca="false">Settings!$B$4*MAX(INDEX(Bases!$Q$2:$Q$53,B435),INDEX(Bases!$Q$2:$Q$53,C435))+Settings!$B$5*MIN(INDEX(Bases!$Q$2:$Q$53,B435),INDEX(Bases!$Q$2:$Q$53,C435))</f>
        <v>62.3333333333333</v>
      </c>
      <c r="X435" s="2" t="n">
        <f aca="false">Settings!$B$4*MAX(INDEX(Bases!$R$2:$R$53,B435),INDEX(Bases!$R$2:$R$53,C435))+Settings!$B$5*MIN(INDEX(Bases!$R$2:$R$53,B435),INDEX(Bases!$R$2:$R$53,C435))</f>
        <v>92</v>
      </c>
      <c r="Y435" s="2" t="n">
        <f aca="false">S435*Settings!$B$3/SUM(S435:X435)</f>
        <v>105.877920120573</v>
      </c>
      <c r="Z435" s="2" t="n">
        <f aca="false">T435*Settings!$B$3/SUM(S435:X435)</f>
        <v>105.501130369254</v>
      </c>
      <c r="AA435" s="2" t="n">
        <f aca="false">U435*Settings!$B$3/SUM(S435:X435)</f>
        <v>49.3594574227581</v>
      </c>
      <c r="AB435" s="2" t="n">
        <f aca="false">V435*Settings!$B$3/SUM(S435:X435)</f>
        <v>64.8078372268274</v>
      </c>
      <c r="AC435" s="2" t="n">
        <f aca="false">W435*Settings!$B$3/SUM(S435:X435)</f>
        <v>70.4596834966089</v>
      </c>
      <c r="AD435" s="2" t="n">
        <f aca="false">X435*Settings!$B$3/SUM(S435:X435)</f>
        <v>103.993971363979</v>
      </c>
      <c r="AE435" s="2" t="n">
        <f aca="false">INT(Y435)</f>
        <v>105</v>
      </c>
      <c r="AF435" s="2" t="n">
        <f aca="false">INT(Z435)</f>
        <v>105</v>
      </c>
      <c r="AG435" s="2" t="n">
        <f aca="false">INT(AA435)</f>
        <v>49</v>
      </c>
      <c r="AH435" s="2" t="n">
        <f aca="false">INT(AB435)</f>
        <v>64</v>
      </c>
      <c r="AI435" s="2" t="n">
        <f aca="false">INT(AC435)</f>
        <v>70</v>
      </c>
      <c r="AJ435" s="2" t="n">
        <f aca="false">INT(AD435)</f>
        <v>103</v>
      </c>
      <c r="AK435" s="2" t="n">
        <f aca="false">Settings!$B$3-SUM(AE435:AJ435)</f>
        <v>4</v>
      </c>
      <c r="AL435" s="2" t="n">
        <f aca="false">ROUND(Y435-AE435,9)</f>
        <v>0.877920121</v>
      </c>
      <c r="AM435" s="2" t="n">
        <f aca="false">ROUND(Z435-AF435,9)</f>
        <v>0.501130369</v>
      </c>
      <c r="AN435" s="2" t="n">
        <f aca="false">ROUND(AA435-AG435,9)</f>
        <v>0.359457423</v>
      </c>
      <c r="AO435" s="2" t="n">
        <f aca="false">ROUND(AB435-AH435,9)</f>
        <v>0.807837227</v>
      </c>
      <c r="AP435" s="2" t="n">
        <f aca="false">ROUND(AC435-AI435,9)</f>
        <v>0.459683497</v>
      </c>
      <c r="AQ435" s="2" t="n">
        <f aca="false">ROUND(AD435-AJ435,9)</f>
        <v>0.993971364</v>
      </c>
    </row>
    <row r="436" customFormat="false" ht="15" hidden="false" customHeight="false" outlineLevel="0" collapsed="false">
      <c r="A436" s="2" t="n">
        <v>435</v>
      </c>
      <c r="B436" s="6" t="n">
        <v>10</v>
      </c>
      <c r="C436" s="6" t="n">
        <v>22</v>
      </c>
      <c r="D436" s="8" t="str">
        <f aca="false">INDEX(Bases!$B$2:$B$53,B436)</f>
        <v>Pichu</v>
      </c>
      <c r="E436" s="8" t="str">
        <f aca="false">INDEX(Bases!$B$2:$B$53,C436)</f>
        <v>Ekans</v>
      </c>
      <c r="F436" s="2" t="str">
        <f aca="false">LEFT(D436,ROUNDUP(LEN(D436)/2,0))&amp;LOWER(MID(E436,ROUNDUP(LEN(E436)/2,0)+1,20))</f>
        <v>Picns</v>
      </c>
      <c r="G436" s="8" t="str">
        <f aca="false">INDEX(Bases!$C$2:$C$53,B436)</f>
        <v>Electric</v>
      </c>
      <c r="H436" s="8" t="str">
        <f aca="false">IF(INDEX(Bases!$C$2:$C$53,C436)=G436,"",INDEX(Bases!$C$2:$C$53,C436))</f>
        <v>Poison</v>
      </c>
      <c r="I436" s="8" t="str">
        <f aca="false">IF(INDEX(Bases!$E$2:$E$53,B436)="","",INDEX(Bases!$E$2:$E$53,B436))</f>
        <v/>
      </c>
      <c r="J436" s="8" t="str">
        <f aca="false">IF(INDEX(Bases!$E$2:$E$53,C436)="","",INDEX(Bases!$E$2:$E$53,C436))</f>
        <v/>
      </c>
      <c r="K436" s="5"/>
      <c r="L436" s="2" t="n">
        <f aca="false">AE436+IF(SUMPRODUCT(--($AL436:$AQ436&gt;AL436))&lt;$AK436,1,0)</f>
        <v>55</v>
      </c>
      <c r="M436" s="2" t="n">
        <f aca="false">AF436+IF(SUMPRODUCT(--($AL436:$AQ436&gt;AM436))+SUMPRODUCT(--($AL436:AL436=AM436))&lt;$AK436,1,0)</f>
        <v>97</v>
      </c>
      <c r="N436" s="2" t="n">
        <f aca="false">AG436+IF(SUMPRODUCT(--($AL436:$AQ436&gt;AN436))+SUMPRODUCT(--($AL436:AM436=AN436))&lt;$AK436,1,0)</f>
        <v>60</v>
      </c>
      <c r="O436" s="2" t="n">
        <f aca="false">AH436+IF(SUMPRODUCT(--($AL436:$AQ436&gt;AO436))+SUMPRODUCT(--($AL436:AN436=AO436))&lt;$AK436,1,0)</f>
        <v>77</v>
      </c>
      <c r="P436" s="2" t="n">
        <f aca="false">AI436+IF(SUMPRODUCT(--($AL436:$AQ436&gt;AP436))+SUMPRODUCT(--($AL436:AO436=AP436))&lt;$AK436,1,0)</f>
        <v>87</v>
      </c>
      <c r="Q436" s="2" t="n">
        <f aca="false">AJ436+IF(SUMPRODUCT(--($AL436:$AQ436&gt;AQ436))+SUMPRODUCT(--($AL436:AP436=AQ436))&lt;$AK436,1,0)</f>
        <v>124</v>
      </c>
      <c r="R436" s="2" t="n">
        <f aca="false">SUM(L436:Q436)</f>
        <v>500</v>
      </c>
      <c r="S436" s="2" t="n">
        <f aca="false">Settings!$B$4*MAX(INDEX(Bases!$M$2:$M$53,B436),INDEX(Bases!$M$2:$M$53,C436))+Settings!$B$5*MIN(INDEX(Bases!$M$2:$M$53,B436),INDEX(Bases!$M$2:$M$53,C436))</f>
        <v>45.6666666666667</v>
      </c>
      <c r="T436" s="2" t="n">
        <f aca="false">Settings!$B$4*MAX(INDEX(Bases!$N$2:$N$53,B436),INDEX(Bases!$N$2:$N$53,C436))+Settings!$B$5*MIN(INDEX(Bases!$N$2:$N$53,B436),INDEX(Bases!$N$2:$N$53,C436))</f>
        <v>81.3333333333333</v>
      </c>
      <c r="U436" s="2" t="n">
        <f aca="false">Settings!$B$4*MAX(INDEX(Bases!$O$2:$O$53,B436),INDEX(Bases!$O$2:$O$53,C436))+Settings!$B$5*MIN(INDEX(Bases!$O$2:$O$53,B436),INDEX(Bases!$O$2:$O$53,C436))</f>
        <v>50.3333333333333</v>
      </c>
      <c r="V436" s="2" t="n">
        <f aca="false">Settings!$B$4*MAX(INDEX(Bases!$P$2:$P$53,B436),INDEX(Bases!$P$2:$P$53,C436))+Settings!$B$5*MIN(INDEX(Bases!$P$2:$P$53,B436),INDEX(Bases!$P$2:$P$53,C436))</f>
        <v>64.6666666666667</v>
      </c>
      <c r="W436" s="2" t="n">
        <f aca="false">Settings!$B$4*MAX(INDEX(Bases!$Q$2:$Q$53,B436),INDEX(Bases!$Q$2:$Q$53,C436))+Settings!$B$5*MIN(INDEX(Bases!$Q$2:$Q$53,B436),INDEX(Bases!$Q$2:$Q$53,C436))</f>
        <v>72.6666666666667</v>
      </c>
      <c r="X436" s="2" t="n">
        <f aca="false">Settings!$B$4*MAX(INDEX(Bases!$R$2:$R$53,B436),INDEX(Bases!$R$2:$R$53,C436))+Settings!$B$5*MIN(INDEX(Bases!$R$2:$R$53,B436),INDEX(Bases!$R$2:$R$53,C436))</f>
        <v>103.333333333333</v>
      </c>
      <c r="Y436" s="2" t="n">
        <f aca="false">S436*Settings!$B$3/SUM(S436:X436)</f>
        <v>54.6251993620415</v>
      </c>
      <c r="Z436" s="2" t="n">
        <f aca="false">T436*Settings!$B$3/SUM(S436:X436)</f>
        <v>97.2886762360447</v>
      </c>
      <c r="AA436" s="2" t="n">
        <f aca="false">U436*Settings!$B$3/SUM(S436:X436)</f>
        <v>60.207336523126</v>
      </c>
      <c r="AB436" s="2" t="n">
        <f aca="false">V436*Settings!$B$3/SUM(S436:X436)</f>
        <v>77.3524720893142</v>
      </c>
      <c r="AC436" s="2" t="n">
        <f aca="false">W436*Settings!$B$3/SUM(S436:X436)</f>
        <v>86.9218500797448</v>
      </c>
      <c r="AD436" s="2" t="n">
        <f aca="false">X436*Settings!$B$3/SUM(S436:X436)</f>
        <v>123.604465709729</v>
      </c>
      <c r="AE436" s="2" t="n">
        <f aca="false">INT(Y436)</f>
        <v>54</v>
      </c>
      <c r="AF436" s="2" t="n">
        <f aca="false">INT(Z436)</f>
        <v>97</v>
      </c>
      <c r="AG436" s="2" t="n">
        <f aca="false">INT(AA436)</f>
        <v>60</v>
      </c>
      <c r="AH436" s="2" t="n">
        <f aca="false">INT(AB436)</f>
        <v>77</v>
      </c>
      <c r="AI436" s="2" t="n">
        <f aca="false">INT(AC436)</f>
        <v>86</v>
      </c>
      <c r="AJ436" s="2" t="n">
        <f aca="false">INT(AD436)</f>
        <v>123</v>
      </c>
      <c r="AK436" s="2" t="n">
        <f aca="false">Settings!$B$3-SUM(AE436:AJ436)</f>
        <v>3</v>
      </c>
      <c r="AL436" s="2" t="n">
        <f aca="false">ROUND(Y436-AE436,9)</f>
        <v>0.625199362</v>
      </c>
      <c r="AM436" s="2" t="n">
        <f aca="false">ROUND(Z436-AF436,9)</f>
        <v>0.288676236</v>
      </c>
      <c r="AN436" s="2" t="n">
        <f aca="false">ROUND(AA436-AG436,9)</f>
        <v>0.207336523</v>
      </c>
      <c r="AO436" s="2" t="n">
        <f aca="false">ROUND(AB436-AH436,9)</f>
        <v>0.352472089</v>
      </c>
      <c r="AP436" s="2" t="n">
        <f aca="false">ROUND(AC436-AI436,9)</f>
        <v>0.92185008</v>
      </c>
      <c r="AQ436" s="2" t="n">
        <f aca="false">ROUND(AD436-AJ436,9)</f>
        <v>0.60446571</v>
      </c>
    </row>
    <row r="437" customFormat="false" ht="15" hidden="false" customHeight="false" outlineLevel="0" collapsed="false">
      <c r="A437" s="2" t="n">
        <v>436</v>
      </c>
      <c r="B437" s="6" t="n">
        <v>10</v>
      </c>
      <c r="C437" s="6" t="n">
        <v>23</v>
      </c>
      <c r="D437" s="8" t="str">
        <f aca="false">INDEX(Bases!$B$2:$B$53,B437)</f>
        <v>Pichu</v>
      </c>
      <c r="E437" s="8" t="str">
        <f aca="false">INDEX(Bases!$B$2:$B$53,C437)</f>
        <v>Gulpin</v>
      </c>
      <c r="F437" s="2" t="str">
        <f aca="false">LEFT(D437,ROUNDUP(LEN(D437)/2,0))&amp;LOWER(MID(E437,ROUNDUP(LEN(E437)/2,0)+1,20))</f>
        <v>Picpin</v>
      </c>
      <c r="G437" s="8" t="str">
        <f aca="false">INDEX(Bases!$C$2:$C$53,B437)</f>
        <v>Electric</v>
      </c>
      <c r="H437" s="8" t="str">
        <f aca="false">IF(INDEX(Bases!$C$2:$C$53,C437)=G437,"",INDEX(Bases!$C$2:$C$53,C437))</f>
        <v>Poison</v>
      </c>
      <c r="I437" s="8" t="str">
        <f aca="false">IF(INDEX(Bases!$E$2:$E$53,B437)="","",INDEX(Bases!$E$2:$E$53,B437))</f>
        <v/>
      </c>
      <c r="J437" s="8" t="str">
        <f aca="false">IF(INDEX(Bases!$E$2:$E$53,C437)="","",INDEX(Bases!$E$2:$E$53,C437))</f>
        <v/>
      </c>
      <c r="K437" s="5"/>
      <c r="L437" s="2" t="n">
        <f aca="false">AE437+IF(SUMPRODUCT(--($AL437:$AQ437&gt;AL437))&lt;$AK437,1,0)</f>
        <v>87</v>
      </c>
      <c r="M437" s="2" t="n">
        <f aca="false">AF437+IF(SUMPRODUCT(--($AL437:$AQ437&gt;AM437))+SUMPRODUCT(--($AL437:AL437=AM437))&lt;$AK437,1,0)</f>
        <v>82</v>
      </c>
      <c r="N437" s="2" t="n">
        <f aca="false">AG437+IF(SUMPRODUCT(--($AL437:$AQ437&gt;AN437))+SUMPRODUCT(--($AL437:AM437=AN437))&lt;$AK437,1,0)</f>
        <v>65</v>
      </c>
      <c r="O437" s="2" t="n">
        <f aca="false">AH437+IF(SUMPRODUCT(--($AL437:$AQ437&gt;AO437))+SUMPRODUCT(--($AL437:AN437=AO437))&lt;$AK437,1,0)</f>
        <v>75</v>
      </c>
      <c r="P437" s="2" t="n">
        <f aca="false">AI437+IF(SUMPRODUCT(--($AL437:$AQ437&gt;AP437))+SUMPRODUCT(--($AL437:AO437=AP437))&lt;$AK437,1,0)</f>
        <v>80</v>
      </c>
      <c r="Q437" s="2" t="n">
        <f aca="false">AJ437+IF(SUMPRODUCT(--($AL437:$AQ437&gt;AQ437))+SUMPRODUCT(--($AL437:AP437=AQ437))&lt;$AK437,1,0)</f>
        <v>111</v>
      </c>
      <c r="R437" s="2" t="n">
        <f aca="false">SUM(L437:Q437)</f>
        <v>500</v>
      </c>
      <c r="S437" s="2" t="n">
        <f aca="false">Settings!$B$4*MAX(INDEX(Bases!$M$2:$M$53,B437),INDEX(Bases!$M$2:$M$53,C437))+Settings!$B$5*MIN(INDEX(Bases!$M$2:$M$53,B437),INDEX(Bases!$M$2:$M$53,C437))</f>
        <v>75</v>
      </c>
      <c r="T437" s="2" t="n">
        <f aca="false">Settings!$B$4*MAX(INDEX(Bases!$N$2:$N$53,B437),INDEX(Bases!$N$2:$N$53,C437))+Settings!$B$5*MIN(INDEX(Bases!$N$2:$N$53,B437),INDEX(Bases!$N$2:$N$53,C437))</f>
        <v>71</v>
      </c>
      <c r="U437" s="2" t="n">
        <f aca="false">Settings!$B$4*MAX(INDEX(Bases!$O$2:$O$53,B437),INDEX(Bases!$O$2:$O$53,C437))+Settings!$B$5*MIN(INDEX(Bases!$O$2:$O$53,B437),INDEX(Bases!$O$2:$O$53,C437))</f>
        <v>56.3333333333333</v>
      </c>
      <c r="V437" s="2" t="n">
        <f aca="false">Settings!$B$4*MAX(INDEX(Bases!$P$2:$P$53,B437),INDEX(Bases!$P$2:$P$53,C437))+Settings!$B$5*MIN(INDEX(Bases!$P$2:$P$53,B437),INDEX(Bases!$P$2:$P$53,C437))</f>
        <v>65</v>
      </c>
      <c r="W437" s="2" t="n">
        <f aca="false">Settings!$B$4*MAX(INDEX(Bases!$Q$2:$Q$53,B437),INDEX(Bases!$Q$2:$Q$53,C437))+Settings!$B$5*MIN(INDEX(Bases!$Q$2:$Q$53,B437),INDEX(Bases!$Q$2:$Q$53,C437))</f>
        <v>69.3333333333333</v>
      </c>
      <c r="X437" s="2" t="n">
        <f aca="false">Settings!$B$4*MAX(INDEX(Bases!$R$2:$R$53,B437),INDEX(Bases!$R$2:$R$53,C437))+Settings!$B$5*MIN(INDEX(Bases!$R$2:$R$53,B437),INDEX(Bases!$R$2:$R$53,C437))</f>
        <v>95.6666666666667</v>
      </c>
      <c r="Y437" s="2" t="n">
        <f aca="false">S437*Settings!$B$3/SUM(S437:X437)</f>
        <v>86.7386276021588</v>
      </c>
      <c r="Z437" s="2" t="n">
        <f aca="false">T437*Settings!$B$3/SUM(S437:X437)</f>
        <v>82.112567463377</v>
      </c>
      <c r="AA437" s="2" t="n">
        <f aca="false">U437*Settings!$B$3/SUM(S437:X437)</f>
        <v>65.1503469545104</v>
      </c>
      <c r="AB437" s="2" t="n">
        <f aca="false">V437*Settings!$B$3/SUM(S437:X437)</f>
        <v>75.1734772552043</v>
      </c>
      <c r="AC437" s="2" t="n">
        <f aca="false">W437*Settings!$B$3/SUM(S437:X437)</f>
        <v>80.1850424055513</v>
      </c>
      <c r="AD437" s="2" t="n">
        <f aca="false">X437*Settings!$B$3/SUM(S437:X437)</f>
        <v>110.639938319198</v>
      </c>
      <c r="AE437" s="2" t="n">
        <f aca="false">INT(Y437)</f>
        <v>86</v>
      </c>
      <c r="AF437" s="2" t="n">
        <f aca="false">INT(Z437)</f>
        <v>82</v>
      </c>
      <c r="AG437" s="2" t="n">
        <f aca="false">INT(AA437)</f>
        <v>65</v>
      </c>
      <c r="AH437" s="2" t="n">
        <f aca="false">INT(AB437)</f>
        <v>75</v>
      </c>
      <c r="AI437" s="2" t="n">
        <f aca="false">INT(AC437)</f>
        <v>80</v>
      </c>
      <c r="AJ437" s="2" t="n">
        <f aca="false">INT(AD437)</f>
        <v>110</v>
      </c>
      <c r="AK437" s="2" t="n">
        <f aca="false">Settings!$B$3-SUM(AE437:AJ437)</f>
        <v>2</v>
      </c>
      <c r="AL437" s="2" t="n">
        <f aca="false">ROUND(Y437-AE437,9)</f>
        <v>0.738627602</v>
      </c>
      <c r="AM437" s="2" t="n">
        <f aca="false">ROUND(Z437-AF437,9)</f>
        <v>0.112567463</v>
      </c>
      <c r="AN437" s="2" t="n">
        <f aca="false">ROUND(AA437-AG437,9)</f>
        <v>0.150346955</v>
      </c>
      <c r="AO437" s="2" t="n">
        <f aca="false">ROUND(AB437-AH437,9)</f>
        <v>0.173477255</v>
      </c>
      <c r="AP437" s="2" t="n">
        <f aca="false">ROUND(AC437-AI437,9)</f>
        <v>0.185042406</v>
      </c>
      <c r="AQ437" s="2" t="n">
        <f aca="false">ROUND(AD437-AJ437,9)</f>
        <v>0.639938319</v>
      </c>
    </row>
    <row r="438" customFormat="false" ht="15" hidden="false" customHeight="false" outlineLevel="0" collapsed="false">
      <c r="A438" s="2" t="n">
        <v>437</v>
      </c>
      <c r="B438" s="6" t="n">
        <v>10</v>
      </c>
      <c r="C438" s="6" t="n">
        <v>24</v>
      </c>
      <c r="D438" s="8" t="str">
        <f aca="false">INDEX(Bases!$B$2:$B$53,B438)</f>
        <v>Pichu</v>
      </c>
      <c r="E438" s="8" t="str">
        <f aca="false">INDEX(Bases!$B$2:$B$53,C438)</f>
        <v>Koffing</v>
      </c>
      <c r="F438" s="2" t="str">
        <f aca="false">LEFT(D438,ROUNDUP(LEN(D438)/2,0))&amp;LOWER(MID(E438,ROUNDUP(LEN(E438)/2,0)+1,20))</f>
        <v>Picing</v>
      </c>
      <c r="G438" s="8" t="str">
        <f aca="false">INDEX(Bases!$C$2:$C$53,B438)</f>
        <v>Electric</v>
      </c>
      <c r="H438" s="8" t="str">
        <f aca="false">IF(INDEX(Bases!$C$2:$C$53,C438)=G438,"",INDEX(Bases!$C$2:$C$53,C438))</f>
        <v>Poison</v>
      </c>
      <c r="I438" s="8" t="str">
        <f aca="false">IF(INDEX(Bases!$E$2:$E$53,B438)="","",INDEX(Bases!$E$2:$E$53,B438))</f>
        <v/>
      </c>
      <c r="J438" s="8" t="str">
        <f aca="false">IF(INDEX(Bases!$E$2:$E$53,C438)="","",INDEX(Bases!$E$2:$E$53,C438))</f>
        <v/>
      </c>
      <c r="K438" s="5"/>
      <c r="L438" s="2" t="n">
        <f aca="false">AE438+IF(SUMPRODUCT(--($AL438:$AQ438&gt;AL438))&lt;$AK438,1,0)</f>
        <v>51</v>
      </c>
      <c r="M438" s="2" t="n">
        <f aca="false">AF438+IF(SUMPRODUCT(--($AL438:$AQ438&gt;AM438))+SUMPRODUCT(--($AL438:AL438=AM438))&lt;$AK438,1,0)</f>
        <v>90</v>
      </c>
      <c r="N438" s="2" t="n">
        <f aca="false">AG438+IF(SUMPRODUCT(--($AL438:$AQ438&gt;AN438))+SUMPRODUCT(--($AL438:AM438=AN438))&lt;$AK438,1,0)</f>
        <v>98</v>
      </c>
      <c r="O438" s="2" t="n">
        <f aca="false">AH438+IF(SUMPRODUCT(--($AL438:$AQ438&gt;AO438))+SUMPRODUCT(--($AL438:AN438=AO438))&lt;$AK438,1,0)</f>
        <v>82</v>
      </c>
      <c r="P438" s="2" t="n">
        <f aca="false">AI438+IF(SUMPRODUCT(--($AL438:$AQ438&gt;AP438))+SUMPRODUCT(--($AL438:AO438=AP438))&lt;$AK438,1,0)</f>
        <v>73</v>
      </c>
      <c r="Q438" s="2" t="n">
        <f aca="false">AJ438+IF(SUMPRODUCT(--($AL438:$AQ438&gt;AQ438))+SUMPRODUCT(--($AL438:AP438=AQ438))&lt;$AK438,1,0)</f>
        <v>106</v>
      </c>
      <c r="R438" s="2" t="n">
        <f aca="false">SUM(L438:Q438)</f>
        <v>500</v>
      </c>
      <c r="S438" s="2" t="n">
        <f aca="false">Settings!$B$4*MAX(INDEX(Bases!$M$2:$M$53,B438),INDEX(Bases!$M$2:$M$53,C438))+Settings!$B$5*MIN(INDEX(Bases!$M$2:$M$53,B438),INDEX(Bases!$M$2:$M$53,C438))</f>
        <v>44.3333333333333</v>
      </c>
      <c r="T438" s="2" t="n">
        <f aca="false">Settings!$B$4*MAX(INDEX(Bases!$N$2:$N$53,B438),INDEX(Bases!$N$2:$N$53,C438))+Settings!$B$5*MIN(INDEX(Bases!$N$2:$N$53,B438),INDEX(Bases!$N$2:$N$53,C438))</f>
        <v>77.3333333333333</v>
      </c>
      <c r="U438" s="2" t="n">
        <f aca="false">Settings!$B$4*MAX(INDEX(Bases!$O$2:$O$53,B438),INDEX(Bases!$O$2:$O$53,C438))+Settings!$B$5*MIN(INDEX(Bases!$O$2:$O$53,B438),INDEX(Bases!$O$2:$O$53,C438))</f>
        <v>84.3333333333333</v>
      </c>
      <c r="V438" s="2" t="n">
        <f aca="false">Settings!$B$4*MAX(INDEX(Bases!$P$2:$P$53,B438),INDEX(Bases!$P$2:$P$53,C438))+Settings!$B$5*MIN(INDEX(Bases!$P$2:$P$53,B438),INDEX(Bases!$P$2:$P$53,C438))</f>
        <v>70.3333333333333</v>
      </c>
      <c r="W438" s="2" t="n">
        <f aca="false">Settings!$B$4*MAX(INDEX(Bases!$Q$2:$Q$53,B438),INDEX(Bases!$Q$2:$Q$53,C438))+Settings!$B$5*MIN(INDEX(Bases!$Q$2:$Q$53,B438),INDEX(Bases!$Q$2:$Q$53,C438))</f>
        <v>63</v>
      </c>
      <c r="X438" s="2" t="n">
        <f aca="false">Settings!$B$4*MAX(INDEX(Bases!$R$2:$R$53,B438),INDEX(Bases!$R$2:$R$53,C438))+Settings!$B$5*MIN(INDEX(Bases!$R$2:$R$53,B438),INDEX(Bases!$R$2:$R$53,C438))</f>
        <v>91.6666666666667</v>
      </c>
      <c r="Y438" s="2" t="n">
        <f aca="false">S438*Settings!$B$3/SUM(S438:X438)</f>
        <v>51.430781129157</v>
      </c>
      <c r="Z438" s="2" t="n">
        <f aca="false">T438*Settings!$B$3/SUM(S438:X438)</f>
        <v>89.7138437741686</v>
      </c>
      <c r="AA438" s="2" t="n">
        <f aca="false">U438*Settings!$B$3/SUM(S438:X438)</f>
        <v>97.8344934261408</v>
      </c>
      <c r="AB438" s="2" t="n">
        <f aca="false">V438*Settings!$B$3/SUM(S438:X438)</f>
        <v>81.5931941221964</v>
      </c>
      <c r="AC438" s="2" t="n">
        <f aca="false">W438*Settings!$B$3/SUM(S438:X438)</f>
        <v>73.0858468677494</v>
      </c>
      <c r="AD438" s="2" t="n">
        <f aca="false">X438*Settings!$B$3/SUM(S438:X438)</f>
        <v>106.341840680588</v>
      </c>
      <c r="AE438" s="2" t="n">
        <f aca="false">INT(Y438)</f>
        <v>51</v>
      </c>
      <c r="AF438" s="2" t="n">
        <f aca="false">INT(Z438)</f>
        <v>89</v>
      </c>
      <c r="AG438" s="2" t="n">
        <f aca="false">INT(AA438)</f>
        <v>97</v>
      </c>
      <c r="AH438" s="2" t="n">
        <f aca="false">INT(AB438)</f>
        <v>81</v>
      </c>
      <c r="AI438" s="2" t="n">
        <f aca="false">INT(AC438)</f>
        <v>73</v>
      </c>
      <c r="AJ438" s="2" t="n">
        <f aca="false">INT(AD438)</f>
        <v>106</v>
      </c>
      <c r="AK438" s="2" t="n">
        <f aca="false">Settings!$B$3-SUM(AE438:AJ438)</f>
        <v>3</v>
      </c>
      <c r="AL438" s="2" t="n">
        <f aca="false">ROUND(Y438-AE438,9)</f>
        <v>0.430781129</v>
      </c>
      <c r="AM438" s="2" t="n">
        <f aca="false">ROUND(Z438-AF438,9)</f>
        <v>0.713843774</v>
      </c>
      <c r="AN438" s="2" t="n">
        <f aca="false">ROUND(AA438-AG438,9)</f>
        <v>0.834493426</v>
      </c>
      <c r="AO438" s="2" t="n">
        <f aca="false">ROUND(AB438-AH438,9)</f>
        <v>0.593194122</v>
      </c>
      <c r="AP438" s="2" t="n">
        <f aca="false">ROUND(AC438-AI438,9)</f>
        <v>0.085846868</v>
      </c>
      <c r="AQ438" s="2" t="n">
        <f aca="false">ROUND(AD438-AJ438,9)</f>
        <v>0.341840681</v>
      </c>
    </row>
    <row r="439" customFormat="false" ht="15" hidden="false" customHeight="false" outlineLevel="0" collapsed="false">
      <c r="A439" s="2" t="n">
        <v>438</v>
      </c>
      <c r="B439" s="6" t="n">
        <v>10</v>
      </c>
      <c r="C439" s="6" t="n">
        <v>25</v>
      </c>
      <c r="D439" s="8" t="str">
        <f aca="false">INDEX(Bases!$B$2:$B$53,B439)</f>
        <v>Pichu</v>
      </c>
      <c r="E439" s="8" t="str">
        <f aca="false">INDEX(Bases!$B$2:$B$53,C439)</f>
        <v>Sandshrew</v>
      </c>
      <c r="F439" s="2" t="str">
        <f aca="false">LEFT(D439,ROUNDUP(LEN(D439)/2,0))&amp;LOWER(MID(E439,ROUNDUP(LEN(E439)/2,0)+1,20))</f>
        <v>Pichrew</v>
      </c>
      <c r="G439" s="8" t="str">
        <f aca="false">INDEX(Bases!$C$2:$C$53,B439)</f>
        <v>Electric</v>
      </c>
      <c r="H439" s="8" t="str">
        <f aca="false">IF(INDEX(Bases!$C$2:$C$53,C439)=G439,"",INDEX(Bases!$C$2:$C$53,C439))</f>
        <v>Ground</v>
      </c>
      <c r="I439" s="8" t="str">
        <f aca="false">IF(INDEX(Bases!$E$2:$E$53,B439)="","",INDEX(Bases!$E$2:$E$53,B439))</f>
        <v/>
      </c>
      <c r="J439" s="8" t="str">
        <f aca="false">IF(INDEX(Bases!$E$2:$E$53,C439)="","",INDEX(Bases!$E$2:$E$53,C439))</f>
        <v/>
      </c>
      <c r="K439" s="5"/>
      <c r="L439" s="2" t="n">
        <f aca="false">AE439+IF(SUMPRODUCT(--($AL439:$AQ439&gt;AL439))&lt;$AK439,1,0)</f>
        <v>65</v>
      </c>
      <c r="M439" s="2" t="n">
        <f aca="false">AF439+IF(SUMPRODUCT(--($AL439:$AQ439&gt;AM439))+SUMPRODUCT(--($AL439:AL439=AM439))&lt;$AK439,1,0)</f>
        <v>104</v>
      </c>
      <c r="N439" s="2" t="n">
        <f aca="false">AG439+IF(SUMPRODUCT(--($AL439:$AQ439&gt;AN439))+SUMPRODUCT(--($AL439:AM439=AN439))&lt;$AK439,1,0)</f>
        <v>96</v>
      </c>
      <c r="O439" s="2" t="n">
        <f aca="false">AH439+IF(SUMPRODUCT(--($AL439:$AQ439&gt;AO439))+SUMPRODUCT(--($AL439:AN439=AO439))&lt;$AK439,1,0)</f>
        <v>62</v>
      </c>
      <c r="P439" s="2" t="n">
        <f aca="false">AI439+IF(SUMPRODUCT(--($AL439:$AQ439&gt;AP439))+SUMPRODUCT(--($AL439:AO439=AP439))&lt;$AK439,1,0)</f>
        <v>66</v>
      </c>
      <c r="Q439" s="2" t="n">
        <f aca="false">AJ439+IF(SUMPRODUCT(--($AL439:$AQ439&gt;AQ439))+SUMPRODUCT(--($AL439:AP439=AQ439))&lt;$AK439,1,0)</f>
        <v>107</v>
      </c>
      <c r="R439" s="2" t="n">
        <f aca="false">SUM(L439:Q439)</f>
        <v>500</v>
      </c>
      <c r="S439" s="2" t="n">
        <f aca="false">Settings!$B$4*MAX(INDEX(Bases!$M$2:$M$53,B439),INDEX(Bases!$M$2:$M$53,C439))+Settings!$B$5*MIN(INDEX(Bases!$M$2:$M$53,B439),INDEX(Bases!$M$2:$M$53,C439))</f>
        <v>57.6666666666667</v>
      </c>
      <c r="T439" s="2" t="n">
        <f aca="false">Settings!$B$4*MAX(INDEX(Bases!$N$2:$N$53,B439),INDEX(Bases!$N$2:$N$53,C439))+Settings!$B$5*MIN(INDEX(Bases!$N$2:$N$53,B439),INDEX(Bases!$N$2:$N$53,C439))</f>
        <v>92.6666666666667</v>
      </c>
      <c r="U439" s="2" t="n">
        <f aca="false">Settings!$B$4*MAX(INDEX(Bases!$O$2:$O$53,B439),INDEX(Bases!$O$2:$O$53,C439))+Settings!$B$5*MIN(INDEX(Bases!$O$2:$O$53,B439),INDEX(Bases!$O$2:$O$53,C439))</f>
        <v>85</v>
      </c>
      <c r="V439" s="2" t="n">
        <f aca="false">Settings!$B$4*MAX(INDEX(Bases!$P$2:$P$53,B439),INDEX(Bases!$P$2:$P$53,C439))+Settings!$B$5*MIN(INDEX(Bases!$P$2:$P$53,B439),INDEX(Bases!$P$2:$P$53,C439))</f>
        <v>55</v>
      </c>
      <c r="W439" s="2" t="n">
        <f aca="false">Settings!$B$4*MAX(INDEX(Bases!$Q$2:$Q$53,B439),INDEX(Bases!$Q$2:$Q$53,C439))+Settings!$B$5*MIN(INDEX(Bases!$Q$2:$Q$53,B439),INDEX(Bases!$Q$2:$Q$53,C439))</f>
        <v>58.6666666666667</v>
      </c>
      <c r="X439" s="2" t="n">
        <f aca="false">Settings!$B$4*MAX(INDEX(Bases!$R$2:$R$53,B439),INDEX(Bases!$R$2:$R$53,C439))+Settings!$B$5*MIN(INDEX(Bases!$R$2:$R$53,B439),INDEX(Bases!$R$2:$R$53,C439))</f>
        <v>95.6666666666667</v>
      </c>
      <c r="Y439" s="2" t="n">
        <f aca="false">S439*Settings!$B$3/SUM(S439:X439)</f>
        <v>64.8425787106447</v>
      </c>
      <c r="Z439" s="2" t="n">
        <f aca="false">T439*Settings!$B$3/SUM(S439:X439)</f>
        <v>104.197901049475</v>
      </c>
      <c r="AA439" s="2" t="n">
        <f aca="false">U439*Settings!$B$3/SUM(S439:X439)</f>
        <v>95.5772113943029</v>
      </c>
      <c r="AB439" s="2" t="n">
        <f aca="false">V439*Settings!$B$3/SUM(S439:X439)</f>
        <v>61.8440779610195</v>
      </c>
      <c r="AC439" s="2" t="n">
        <f aca="false">W439*Settings!$B$3/SUM(S439:X439)</f>
        <v>65.9670164917541</v>
      </c>
      <c r="AD439" s="2" t="n">
        <f aca="false">X439*Settings!$B$3/SUM(S439:X439)</f>
        <v>107.571214392804</v>
      </c>
      <c r="AE439" s="2" t="n">
        <f aca="false">INT(Y439)</f>
        <v>64</v>
      </c>
      <c r="AF439" s="2" t="n">
        <f aca="false">INT(Z439)</f>
        <v>104</v>
      </c>
      <c r="AG439" s="2" t="n">
        <f aca="false">INT(AA439)</f>
        <v>95</v>
      </c>
      <c r="AH439" s="2" t="n">
        <f aca="false">INT(AB439)</f>
        <v>61</v>
      </c>
      <c r="AI439" s="2" t="n">
        <f aca="false">INT(AC439)</f>
        <v>65</v>
      </c>
      <c r="AJ439" s="2" t="n">
        <f aca="false">INT(AD439)</f>
        <v>107</v>
      </c>
      <c r="AK439" s="2" t="n">
        <f aca="false">Settings!$B$3-SUM(AE439:AJ439)</f>
        <v>4</v>
      </c>
      <c r="AL439" s="2" t="n">
        <f aca="false">ROUND(Y439-AE439,9)</f>
        <v>0.842578711</v>
      </c>
      <c r="AM439" s="2" t="n">
        <f aca="false">ROUND(Z439-AF439,9)</f>
        <v>0.197901049</v>
      </c>
      <c r="AN439" s="2" t="n">
        <f aca="false">ROUND(AA439-AG439,9)</f>
        <v>0.577211394</v>
      </c>
      <c r="AO439" s="2" t="n">
        <f aca="false">ROUND(AB439-AH439,9)</f>
        <v>0.844077961</v>
      </c>
      <c r="AP439" s="2" t="n">
        <f aca="false">ROUND(AC439-AI439,9)</f>
        <v>0.967016492</v>
      </c>
      <c r="AQ439" s="2" t="n">
        <f aca="false">ROUND(AD439-AJ439,9)</f>
        <v>0.571214393</v>
      </c>
    </row>
    <row r="440" customFormat="false" ht="15" hidden="false" customHeight="false" outlineLevel="0" collapsed="false">
      <c r="A440" s="2" t="n">
        <v>439</v>
      </c>
      <c r="B440" s="6" t="n">
        <v>10</v>
      </c>
      <c r="C440" s="6" t="n">
        <v>26</v>
      </c>
      <c r="D440" s="8" t="str">
        <f aca="false">INDEX(Bases!$B$2:$B$53,B440)</f>
        <v>Pichu</v>
      </c>
      <c r="E440" s="8" t="str">
        <f aca="false">INDEX(Bases!$B$2:$B$53,C440)</f>
        <v>Phanpy</v>
      </c>
      <c r="F440" s="2" t="str">
        <f aca="false">LEFT(D440,ROUNDUP(LEN(D440)/2,0))&amp;LOWER(MID(E440,ROUNDUP(LEN(E440)/2,0)+1,20))</f>
        <v>Picnpy</v>
      </c>
      <c r="G440" s="8" t="str">
        <f aca="false">INDEX(Bases!$C$2:$C$53,B440)</f>
        <v>Electric</v>
      </c>
      <c r="H440" s="8" t="str">
        <f aca="false">IF(INDEX(Bases!$C$2:$C$53,C440)=G440,"",INDEX(Bases!$C$2:$C$53,C440))</f>
        <v>Ground</v>
      </c>
      <c r="I440" s="8" t="str">
        <f aca="false">IF(INDEX(Bases!$E$2:$E$53,B440)="","",INDEX(Bases!$E$2:$E$53,B440))</f>
        <v/>
      </c>
      <c r="J440" s="8" t="str">
        <f aca="false">IF(INDEX(Bases!$E$2:$E$53,C440)="","",INDEX(Bases!$E$2:$E$53,C440))</f>
        <v/>
      </c>
      <c r="K440" s="5"/>
      <c r="L440" s="2" t="n">
        <f aca="false">AE440+IF(SUMPRODUCT(--($AL440:$AQ440&gt;AL440))&lt;$AK440,1,0)</f>
        <v>98</v>
      </c>
      <c r="M440" s="2" t="n">
        <f aca="false">AF440+IF(SUMPRODUCT(--($AL440:$AQ440&gt;AM440))+SUMPRODUCT(--($AL440:AL440=AM440))&lt;$AK440,1,0)</f>
        <v>87</v>
      </c>
      <c r="N440" s="2" t="n">
        <f aca="false">AG440+IF(SUMPRODUCT(--($AL440:$AQ440&gt;AN440))+SUMPRODUCT(--($AL440:AM440=AN440))&lt;$AK440,1,0)</f>
        <v>67</v>
      </c>
      <c r="O440" s="2" t="n">
        <f aca="false">AH440+IF(SUMPRODUCT(--($AL440:$AQ440&gt;AO440))+SUMPRODUCT(--($AL440:AN440=AO440))&lt;$AK440,1,0)</f>
        <v>71</v>
      </c>
      <c r="P440" s="2" t="n">
        <f aca="false">AI440+IF(SUMPRODUCT(--($AL440:$AQ440&gt;AP440))+SUMPRODUCT(--($AL440:AO440=AP440))&lt;$AK440,1,0)</f>
        <v>70</v>
      </c>
      <c r="Q440" s="2" t="n">
        <f aca="false">AJ440+IF(SUMPRODUCT(--($AL440:$AQ440&gt;AQ440))+SUMPRODUCT(--($AL440:AP440=AQ440))&lt;$AK440,1,0)</f>
        <v>107</v>
      </c>
      <c r="R440" s="2" t="n">
        <f aca="false">SUM(L440:Q440)</f>
        <v>500</v>
      </c>
      <c r="S440" s="2" t="n">
        <f aca="false">Settings!$B$4*MAX(INDEX(Bases!$M$2:$M$53,B440),INDEX(Bases!$M$2:$M$53,C440))+Settings!$B$5*MIN(INDEX(Bases!$M$2:$M$53,B440),INDEX(Bases!$M$2:$M$53,C440))</f>
        <v>85.6666666666667</v>
      </c>
      <c r="T440" s="2" t="n">
        <f aca="false">Settings!$B$4*MAX(INDEX(Bases!$N$2:$N$53,B440),INDEX(Bases!$N$2:$N$53,C440))+Settings!$B$5*MIN(INDEX(Bases!$N$2:$N$53,B440),INDEX(Bases!$N$2:$N$53,C440))</f>
        <v>76.3333333333333</v>
      </c>
      <c r="U440" s="2" t="n">
        <f aca="false">Settings!$B$4*MAX(INDEX(Bases!$O$2:$O$53,B440),INDEX(Bases!$O$2:$O$53,C440))+Settings!$B$5*MIN(INDEX(Bases!$O$2:$O$53,B440),INDEX(Bases!$O$2:$O$53,C440))</f>
        <v>58.3333333333333</v>
      </c>
      <c r="V440" s="2" t="n">
        <f aca="false">Settings!$B$4*MAX(INDEX(Bases!$P$2:$P$53,B440),INDEX(Bases!$P$2:$P$53,C440))+Settings!$B$5*MIN(INDEX(Bases!$P$2:$P$53,B440),INDEX(Bases!$P$2:$P$53,C440))</f>
        <v>62.3333333333333</v>
      </c>
      <c r="W440" s="2" t="n">
        <f aca="false">Settings!$B$4*MAX(INDEX(Bases!$Q$2:$Q$53,B440),INDEX(Bases!$Q$2:$Q$53,C440))+Settings!$B$5*MIN(INDEX(Bases!$Q$2:$Q$53,B440),INDEX(Bases!$Q$2:$Q$53,C440))</f>
        <v>61.3333333333333</v>
      </c>
      <c r="X440" s="2" t="n">
        <f aca="false">Settings!$B$4*MAX(INDEX(Bases!$R$2:$R$53,B440),INDEX(Bases!$R$2:$R$53,C440))+Settings!$B$5*MIN(INDEX(Bases!$R$2:$R$53,B440),INDEX(Bases!$R$2:$R$53,C440))</f>
        <v>94</v>
      </c>
      <c r="Y440" s="2" t="n">
        <f aca="false">S440*Settings!$B$3/SUM(S440:X440)</f>
        <v>97.79299847793</v>
      </c>
      <c r="Z440" s="2" t="n">
        <f aca="false">T440*Settings!$B$3/SUM(S440:X440)</f>
        <v>87.1385083713851</v>
      </c>
      <c r="AA440" s="2" t="n">
        <f aca="false">U440*Settings!$B$3/SUM(S440:X440)</f>
        <v>66.5905631659056</v>
      </c>
      <c r="AB440" s="2" t="n">
        <f aca="false">V440*Settings!$B$3/SUM(S440:X440)</f>
        <v>71.1567732115677</v>
      </c>
      <c r="AC440" s="2" t="n">
        <f aca="false">W440*Settings!$B$3/SUM(S440:X440)</f>
        <v>70.0152207001522</v>
      </c>
      <c r="AD440" s="2" t="n">
        <f aca="false">X440*Settings!$B$3/SUM(S440:X440)</f>
        <v>107.305936073059</v>
      </c>
      <c r="AE440" s="2" t="n">
        <f aca="false">INT(Y440)</f>
        <v>97</v>
      </c>
      <c r="AF440" s="2" t="n">
        <f aca="false">INT(Z440)</f>
        <v>87</v>
      </c>
      <c r="AG440" s="2" t="n">
        <f aca="false">INT(AA440)</f>
        <v>66</v>
      </c>
      <c r="AH440" s="2" t="n">
        <f aca="false">INT(AB440)</f>
        <v>71</v>
      </c>
      <c r="AI440" s="2" t="n">
        <f aca="false">INT(AC440)</f>
        <v>70</v>
      </c>
      <c r="AJ440" s="2" t="n">
        <f aca="false">INT(AD440)</f>
        <v>107</v>
      </c>
      <c r="AK440" s="2" t="n">
        <f aca="false">Settings!$B$3-SUM(AE440:AJ440)</f>
        <v>2</v>
      </c>
      <c r="AL440" s="2" t="n">
        <f aca="false">ROUND(Y440-AE440,9)</f>
        <v>0.792998478</v>
      </c>
      <c r="AM440" s="2" t="n">
        <f aca="false">ROUND(Z440-AF440,9)</f>
        <v>0.138508371</v>
      </c>
      <c r="AN440" s="2" t="n">
        <f aca="false">ROUND(AA440-AG440,9)</f>
        <v>0.590563166</v>
      </c>
      <c r="AO440" s="2" t="n">
        <f aca="false">ROUND(AB440-AH440,9)</f>
        <v>0.156773212</v>
      </c>
      <c r="AP440" s="2" t="n">
        <f aca="false">ROUND(AC440-AI440,9)</f>
        <v>0.0152207</v>
      </c>
      <c r="AQ440" s="2" t="n">
        <f aca="false">ROUND(AD440-AJ440,9)</f>
        <v>0.305936073</v>
      </c>
    </row>
    <row r="441" customFormat="false" ht="15" hidden="false" customHeight="false" outlineLevel="0" collapsed="false">
      <c r="A441" s="2" t="n">
        <v>440</v>
      </c>
      <c r="B441" s="6" t="n">
        <v>10</v>
      </c>
      <c r="C441" s="6" t="n">
        <v>27</v>
      </c>
      <c r="D441" s="8" t="str">
        <f aca="false">INDEX(Bases!$B$2:$B$53,B441)</f>
        <v>Pichu</v>
      </c>
      <c r="E441" s="8" t="str">
        <f aca="false">INDEX(Bases!$B$2:$B$53,C441)</f>
        <v>Baltoy</v>
      </c>
      <c r="F441" s="2" t="str">
        <f aca="false">LEFT(D441,ROUNDUP(LEN(D441)/2,0))&amp;LOWER(MID(E441,ROUNDUP(LEN(E441)/2,0)+1,20))</f>
        <v>Pictoy</v>
      </c>
      <c r="G441" s="8" t="str">
        <f aca="false">INDEX(Bases!$C$2:$C$53,B441)</f>
        <v>Electric</v>
      </c>
      <c r="H441" s="8" t="str">
        <f aca="false">IF(INDEX(Bases!$C$2:$C$53,C441)=G441,"",INDEX(Bases!$C$2:$C$53,C441))</f>
        <v>Ground</v>
      </c>
      <c r="I441" s="8" t="str">
        <f aca="false">IF(INDEX(Bases!$E$2:$E$53,B441)="","",INDEX(Bases!$E$2:$E$53,B441))</f>
        <v/>
      </c>
      <c r="J441" s="8" t="str">
        <f aca="false">IF(INDEX(Bases!$E$2:$E$53,C441)="","",INDEX(Bases!$E$2:$E$53,C441))</f>
        <v/>
      </c>
      <c r="K441" s="5"/>
      <c r="L441" s="2" t="n">
        <f aca="false">AE441+IF(SUMPRODUCT(--($AL441:$AQ441&gt;AL441))&lt;$AK441,1,0)</f>
        <v>57</v>
      </c>
      <c r="M441" s="2" t="n">
        <f aca="false">AF441+IF(SUMPRODUCT(--($AL441:$AQ441&gt;AM441))+SUMPRODUCT(--($AL441:AL441=AM441))&lt;$AK441,1,0)</f>
        <v>82</v>
      </c>
      <c r="N441" s="2" t="n">
        <f aca="false">AG441+IF(SUMPRODUCT(--($AL441:$AQ441&gt;AN441))+SUMPRODUCT(--($AL441:AM441=AN441))&lt;$AK441,1,0)</f>
        <v>68</v>
      </c>
      <c r="O441" s="2" t="n">
        <f aca="false">AH441+IF(SUMPRODUCT(--($AL441:$AQ441&gt;AO441))+SUMPRODUCT(--($AL441:AN441=AO441))&lt;$AK441,1,0)</f>
        <v>74</v>
      </c>
      <c r="P441" s="2" t="n">
        <f aca="false">AI441+IF(SUMPRODUCT(--($AL441:$AQ441&gt;AP441))+SUMPRODUCT(--($AL441:AO441=AP441))&lt;$AK441,1,0)</f>
        <v>99</v>
      </c>
      <c r="Q441" s="2" t="n">
        <f aca="false">AJ441+IF(SUMPRODUCT(--($AL441:$AQ441&gt;AQ441))+SUMPRODUCT(--($AL441:AP441=AQ441))&lt;$AK441,1,0)</f>
        <v>120</v>
      </c>
      <c r="R441" s="2" t="n">
        <f aca="false">SUM(L441:Q441)</f>
        <v>500</v>
      </c>
      <c r="S441" s="2" t="n">
        <f aca="false">Settings!$B$4*MAX(INDEX(Bases!$M$2:$M$53,B441),INDEX(Bases!$M$2:$M$53,C441))+Settings!$B$5*MIN(INDEX(Bases!$M$2:$M$53,B441),INDEX(Bases!$M$2:$M$53,C441))</f>
        <v>49</v>
      </c>
      <c r="T441" s="2" t="n">
        <f aca="false">Settings!$B$4*MAX(INDEX(Bases!$N$2:$N$53,B441),INDEX(Bases!$N$2:$N$53,C441))+Settings!$B$5*MIN(INDEX(Bases!$N$2:$N$53,B441),INDEX(Bases!$N$2:$N$53,C441))</f>
        <v>70</v>
      </c>
      <c r="U441" s="2" t="n">
        <f aca="false">Settings!$B$4*MAX(INDEX(Bases!$O$2:$O$53,B441),INDEX(Bases!$O$2:$O$53,C441))+Settings!$B$5*MIN(INDEX(Bases!$O$2:$O$53,B441),INDEX(Bases!$O$2:$O$53,C441))</f>
        <v>58.3333333333333</v>
      </c>
      <c r="V441" s="2" t="n">
        <f aca="false">Settings!$B$4*MAX(INDEX(Bases!$P$2:$P$53,B441),INDEX(Bases!$P$2:$P$53,C441))+Settings!$B$5*MIN(INDEX(Bases!$P$2:$P$53,B441),INDEX(Bases!$P$2:$P$53,C441))</f>
        <v>63.6666666666667</v>
      </c>
      <c r="W441" s="2" t="n">
        <f aca="false">Settings!$B$4*MAX(INDEX(Bases!$Q$2:$Q$53,B441),INDEX(Bases!$Q$2:$Q$53,C441))+Settings!$B$5*MIN(INDEX(Bases!$Q$2:$Q$53,B441),INDEX(Bases!$Q$2:$Q$53,C441))</f>
        <v>84.6666666666667</v>
      </c>
      <c r="X441" s="2" t="n">
        <f aca="false">Settings!$B$4*MAX(INDEX(Bases!$R$2:$R$53,B441),INDEX(Bases!$R$2:$R$53,C441))+Settings!$B$5*MIN(INDEX(Bases!$R$2:$R$53,B441),INDEX(Bases!$R$2:$R$53,C441))</f>
        <v>102.333333333333</v>
      </c>
      <c r="Y441" s="2" t="n">
        <f aca="false">S441*Settings!$B$3/SUM(S441:X441)</f>
        <v>57.2429906542056</v>
      </c>
      <c r="Z441" s="2" t="n">
        <f aca="false">T441*Settings!$B$3/SUM(S441:X441)</f>
        <v>81.7757009345794</v>
      </c>
      <c r="AA441" s="2" t="n">
        <f aca="false">U441*Settings!$B$3/SUM(S441:X441)</f>
        <v>68.1464174454829</v>
      </c>
      <c r="AB441" s="2" t="n">
        <f aca="false">V441*Settings!$B$3/SUM(S441:X441)</f>
        <v>74.3769470404985</v>
      </c>
      <c r="AC441" s="2" t="n">
        <f aca="false">W441*Settings!$B$3/SUM(S441:X441)</f>
        <v>98.9096573208723</v>
      </c>
      <c r="AD441" s="2" t="n">
        <f aca="false">X441*Settings!$B$3/SUM(S441:X441)</f>
        <v>119.548286604361</v>
      </c>
      <c r="AE441" s="2" t="n">
        <f aca="false">INT(Y441)</f>
        <v>57</v>
      </c>
      <c r="AF441" s="2" t="n">
        <f aca="false">INT(Z441)</f>
        <v>81</v>
      </c>
      <c r="AG441" s="2" t="n">
        <f aca="false">INT(AA441)</f>
        <v>68</v>
      </c>
      <c r="AH441" s="2" t="n">
        <f aca="false">INT(AB441)</f>
        <v>74</v>
      </c>
      <c r="AI441" s="2" t="n">
        <f aca="false">INT(AC441)</f>
        <v>98</v>
      </c>
      <c r="AJ441" s="2" t="n">
        <f aca="false">INT(AD441)</f>
        <v>119</v>
      </c>
      <c r="AK441" s="2" t="n">
        <f aca="false">Settings!$B$3-SUM(AE441:AJ441)</f>
        <v>3</v>
      </c>
      <c r="AL441" s="2" t="n">
        <f aca="false">ROUND(Y441-AE441,9)</f>
        <v>0.242990654</v>
      </c>
      <c r="AM441" s="2" t="n">
        <f aca="false">ROUND(Z441-AF441,9)</f>
        <v>0.775700935</v>
      </c>
      <c r="AN441" s="2" t="n">
        <f aca="false">ROUND(AA441-AG441,9)</f>
        <v>0.146417445</v>
      </c>
      <c r="AO441" s="2" t="n">
        <f aca="false">ROUND(AB441-AH441,9)</f>
        <v>0.37694704</v>
      </c>
      <c r="AP441" s="2" t="n">
        <f aca="false">ROUND(AC441-AI441,9)</f>
        <v>0.909657321</v>
      </c>
      <c r="AQ441" s="2" t="n">
        <f aca="false">ROUND(AD441-AJ441,9)</f>
        <v>0.548286604</v>
      </c>
    </row>
    <row r="442" customFormat="false" ht="15" hidden="false" customHeight="false" outlineLevel="0" collapsed="false">
      <c r="A442" s="2" t="n">
        <v>441</v>
      </c>
      <c r="B442" s="6" t="n">
        <v>10</v>
      </c>
      <c r="C442" s="6" t="n">
        <v>28</v>
      </c>
      <c r="D442" s="8" t="str">
        <f aca="false">INDEX(Bases!$B$2:$B$53,B442)</f>
        <v>Pichu</v>
      </c>
      <c r="E442" s="8" t="str">
        <f aca="false">INDEX(Bases!$B$2:$B$53,C442)</f>
        <v>Zubat</v>
      </c>
      <c r="F442" s="2" t="str">
        <f aca="false">LEFT(D442,ROUNDUP(LEN(D442)/2,0))&amp;LOWER(MID(E442,ROUNDUP(LEN(E442)/2,0)+1,20))</f>
        <v>Picat</v>
      </c>
      <c r="G442" s="8" t="str">
        <f aca="false">INDEX(Bases!$C$2:$C$53,B442)</f>
        <v>Electric</v>
      </c>
      <c r="H442" s="8" t="str">
        <f aca="false">IF(INDEX(Bases!$C$2:$C$53,C442)=G442,"",INDEX(Bases!$C$2:$C$53,C442))</f>
        <v>Flying</v>
      </c>
      <c r="I442" s="8" t="str">
        <f aca="false">IF(INDEX(Bases!$E$2:$E$53,B442)="","",INDEX(Bases!$E$2:$E$53,B442))</f>
        <v/>
      </c>
      <c r="J442" s="8" t="str">
        <f aca="false">IF(INDEX(Bases!$E$2:$E$53,C442)="","",INDEX(Bases!$E$2:$E$53,C442))</f>
        <v/>
      </c>
      <c r="K442" s="5"/>
      <c r="L442" s="2" t="n">
        <f aca="false">AE442+IF(SUMPRODUCT(--($AL442:$AQ442&gt;AL442))&lt;$AK442,1,0)</f>
        <v>67</v>
      </c>
      <c r="M442" s="2" t="n">
        <f aca="false">AF442+IF(SUMPRODUCT(--($AL442:$AQ442&gt;AM442))+SUMPRODUCT(--($AL442:AL442=AM442))&lt;$AK442,1,0)</f>
        <v>92</v>
      </c>
      <c r="N442" s="2" t="n">
        <f aca="false">AG442+IF(SUMPRODUCT(--($AL442:$AQ442&gt;AN442))+SUMPRODUCT(--($AL442:AM442=AN442))&lt;$AK442,1,0)</f>
        <v>57</v>
      </c>
      <c r="O442" s="2" t="n">
        <f aca="false">AH442+IF(SUMPRODUCT(--($AL442:$AQ442&gt;AO442))+SUMPRODUCT(--($AL442:AN442=AO442))&lt;$AK442,1,0)</f>
        <v>75</v>
      </c>
      <c r="P442" s="2" t="n">
        <f aca="false">AI442+IF(SUMPRODUCT(--($AL442:$AQ442&gt;AP442))+SUMPRODUCT(--($AL442:AO442=AP442))&lt;$AK442,1,0)</f>
        <v>80</v>
      </c>
      <c r="Q442" s="2" t="n">
        <f aca="false">AJ442+IF(SUMPRODUCT(--($AL442:$AQ442&gt;AQ442))+SUMPRODUCT(--($AL442:AP442=AQ442))&lt;$AK442,1,0)</f>
        <v>129</v>
      </c>
      <c r="R442" s="2" t="n">
        <f aca="false">SUM(L442:Q442)</f>
        <v>500</v>
      </c>
      <c r="S442" s="2" t="n">
        <f aca="false">Settings!$B$4*MAX(INDEX(Bases!$M$2:$M$53,B442),INDEX(Bases!$M$2:$M$53,C442))+Settings!$B$5*MIN(INDEX(Bases!$M$2:$M$53,B442),INDEX(Bases!$M$2:$M$53,C442))</f>
        <v>56.3333333333333</v>
      </c>
      <c r="T442" s="2" t="n">
        <f aca="false">Settings!$B$4*MAX(INDEX(Bases!$N$2:$N$53,B442),INDEX(Bases!$N$2:$N$53,C442))+Settings!$B$5*MIN(INDEX(Bases!$N$2:$N$53,B442),INDEX(Bases!$N$2:$N$53,C442))</f>
        <v>76.6666666666667</v>
      </c>
      <c r="U442" s="2" t="n">
        <f aca="false">Settings!$B$4*MAX(INDEX(Bases!$O$2:$O$53,B442),INDEX(Bases!$O$2:$O$53,C442))+Settings!$B$5*MIN(INDEX(Bases!$O$2:$O$53,B442),INDEX(Bases!$O$2:$O$53,C442))</f>
        <v>47.6666666666667</v>
      </c>
      <c r="V442" s="2" t="n">
        <f aca="false">Settings!$B$4*MAX(INDEX(Bases!$P$2:$P$53,B442),INDEX(Bases!$P$2:$P$53,C442))+Settings!$B$5*MIN(INDEX(Bases!$P$2:$P$53,B442),INDEX(Bases!$P$2:$P$53,C442))</f>
        <v>62.3333333333333</v>
      </c>
      <c r="W442" s="2" t="n">
        <f aca="false">Settings!$B$4*MAX(INDEX(Bases!$Q$2:$Q$53,B442),INDEX(Bases!$Q$2:$Q$53,C442))+Settings!$B$5*MIN(INDEX(Bases!$Q$2:$Q$53,B442),INDEX(Bases!$Q$2:$Q$53,C442))</f>
        <v>67</v>
      </c>
      <c r="X442" s="2" t="n">
        <f aca="false">Settings!$B$4*MAX(INDEX(Bases!$R$2:$R$53,B442),INDEX(Bases!$R$2:$R$53,C442))+Settings!$B$5*MIN(INDEX(Bases!$R$2:$R$53,B442),INDEX(Bases!$R$2:$R$53,C442))</f>
        <v>108</v>
      </c>
      <c r="Y442" s="2" t="n">
        <f aca="false">S442*Settings!$B$3/SUM(S442:X442)</f>
        <v>67.384370015949</v>
      </c>
      <c r="Z442" s="2" t="n">
        <f aca="false">T442*Settings!$B$3/SUM(S442:X442)</f>
        <v>91.7065390749601</v>
      </c>
      <c r="AA442" s="2" t="n">
        <f aca="false">U442*Settings!$B$3/SUM(S442:X442)</f>
        <v>57.0175438596491</v>
      </c>
      <c r="AB442" s="2" t="n">
        <f aca="false">V442*Settings!$B$3/SUM(S442:X442)</f>
        <v>74.5614035087719</v>
      </c>
      <c r="AC442" s="2" t="n">
        <f aca="false">W442*Settings!$B$3/SUM(S442:X442)</f>
        <v>80.1435406698565</v>
      </c>
      <c r="AD442" s="2" t="n">
        <f aca="false">X442*Settings!$B$3/SUM(S442:X442)</f>
        <v>129.186602870813</v>
      </c>
      <c r="AE442" s="2" t="n">
        <f aca="false">INT(Y442)</f>
        <v>67</v>
      </c>
      <c r="AF442" s="2" t="n">
        <f aca="false">INT(Z442)</f>
        <v>91</v>
      </c>
      <c r="AG442" s="2" t="n">
        <f aca="false">INT(AA442)</f>
        <v>57</v>
      </c>
      <c r="AH442" s="2" t="n">
        <f aca="false">INT(AB442)</f>
        <v>74</v>
      </c>
      <c r="AI442" s="2" t="n">
        <f aca="false">INT(AC442)</f>
        <v>80</v>
      </c>
      <c r="AJ442" s="2" t="n">
        <f aca="false">INT(AD442)</f>
        <v>129</v>
      </c>
      <c r="AK442" s="2" t="n">
        <f aca="false">Settings!$B$3-SUM(AE442:AJ442)</f>
        <v>2</v>
      </c>
      <c r="AL442" s="2" t="n">
        <f aca="false">ROUND(Y442-AE442,9)</f>
        <v>0.384370016</v>
      </c>
      <c r="AM442" s="2" t="n">
        <f aca="false">ROUND(Z442-AF442,9)</f>
        <v>0.706539075</v>
      </c>
      <c r="AN442" s="2" t="n">
        <f aca="false">ROUND(AA442-AG442,9)</f>
        <v>0.01754386</v>
      </c>
      <c r="AO442" s="2" t="n">
        <f aca="false">ROUND(AB442-AH442,9)</f>
        <v>0.561403509</v>
      </c>
      <c r="AP442" s="2" t="n">
        <f aca="false">ROUND(AC442-AI442,9)</f>
        <v>0.14354067</v>
      </c>
      <c r="AQ442" s="2" t="n">
        <f aca="false">ROUND(AD442-AJ442,9)</f>
        <v>0.186602871</v>
      </c>
    </row>
    <row r="443" customFormat="false" ht="15" hidden="false" customHeight="false" outlineLevel="0" collapsed="false">
      <c r="A443" s="2" t="n">
        <v>442</v>
      </c>
      <c r="B443" s="6" t="n">
        <v>10</v>
      </c>
      <c r="C443" s="6" t="n">
        <v>29</v>
      </c>
      <c r="D443" s="8" t="str">
        <f aca="false">INDEX(Bases!$B$2:$B$53,B443)</f>
        <v>Pichu</v>
      </c>
      <c r="E443" s="8" t="str">
        <f aca="false">INDEX(Bases!$B$2:$B$53,C443)</f>
        <v>Murkrow</v>
      </c>
      <c r="F443" s="2" t="str">
        <f aca="false">LEFT(D443,ROUNDUP(LEN(D443)/2,0))&amp;LOWER(MID(E443,ROUNDUP(LEN(E443)/2,0)+1,20))</f>
        <v>Picrow</v>
      </c>
      <c r="G443" s="8" t="str">
        <f aca="false">INDEX(Bases!$C$2:$C$53,B443)</f>
        <v>Electric</v>
      </c>
      <c r="H443" s="8" t="str">
        <f aca="false">IF(INDEX(Bases!$C$2:$C$53,C443)=G443,"",INDEX(Bases!$C$2:$C$53,C443))</f>
        <v>Flying</v>
      </c>
      <c r="I443" s="8" t="str">
        <f aca="false">IF(INDEX(Bases!$E$2:$E$53,B443)="","",INDEX(Bases!$E$2:$E$53,B443))</f>
        <v/>
      </c>
      <c r="J443" s="8" t="str">
        <f aca="false">IF(INDEX(Bases!$E$2:$E$53,C443)="","",INDEX(Bases!$E$2:$E$53,C443))</f>
        <v/>
      </c>
      <c r="K443" s="5"/>
      <c r="L443" s="2" t="n">
        <f aca="false">AE443+IF(SUMPRODUCT(--($AL443:$AQ443&gt;AL443))&lt;$AK443,1,0)</f>
        <v>63</v>
      </c>
      <c r="M443" s="2" t="n">
        <f aca="false">AF443+IF(SUMPRODUCT(--($AL443:$AQ443&gt;AM443))+SUMPRODUCT(--($AL443:AL443=AM443))&lt;$AK443,1,0)</f>
        <v>98</v>
      </c>
      <c r="N443" s="2" t="n">
        <f aca="false">AG443+IF(SUMPRODUCT(--($AL443:$AQ443&gt;AN443))+SUMPRODUCT(--($AL443:AM443=AN443))&lt;$AK443,1,0)</f>
        <v>45</v>
      </c>
      <c r="O443" s="2" t="n">
        <f aca="false">AH443+IF(SUMPRODUCT(--($AL443:$AQ443&gt;AO443))+SUMPRODUCT(--($AL443:AN443=AO443))&lt;$AK443,1,0)</f>
        <v>94</v>
      </c>
      <c r="P443" s="2" t="n">
        <f aca="false">AI443+IF(SUMPRODUCT(--($AL443:$AQ443&gt;AP443))+SUMPRODUCT(--($AL443:AO443=AP443))&lt;$AK443,1,0)</f>
        <v>71</v>
      </c>
      <c r="Q443" s="2" t="n">
        <f aca="false">AJ443+IF(SUMPRODUCT(--($AL443:$AQ443&gt;AQ443))+SUMPRODUCT(--($AL443:AP443=AQ443))&lt;$AK443,1,0)</f>
        <v>129</v>
      </c>
      <c r="R443" s="2" t="n">
        <f aca="false">SUM(L443:Q443)</f>
        <v>500</v>
      </c>
      <c r="S443" s="2" t="n">
        <f aca="false">Settings!$B$4*MAX(INDEX(Bases!$M$2:$M$53,B443),INDEX(Bases!$M$2:$M$53,C443))+Settings!$B$5*MIN(INDEX(Bases!$M$2:$M$53,B443),INDEX(Bases!$M$2:$M$53,C443))</f>
        <v>52.3333333333333</v>
      </c>
      <c r="T443" s="2" t="n">
        <f aca="false">Settings!$B$4*MAX(INDEX(Bases!$N$2:$N$53,B443),INDEX(Bases!$N$2:$N$53,C443))+Settings!$B$5*MIN(INDEX(Bases!$N$2:$N$53,B443),INDEX(Bases!$N$2:$N$53,C443))</f>
        <v>82</v>
      </c>
      <c r="U443" s="2" t="n">
        <f aca="false">Settings!$B$4*MAX(INDEX(Bases!$O$2:$O$53,B443),INDEX(Bases!$O$2:$O$53,C443))+Settings!$B$5*MIN(INDEX(Bases!$O$2:$O$53,B443),INDEX(Bases!$O$2:$O$53,C443))</f>
        <v>37.6666666666667</v>
      </c>
      <c r="V443" s="2" t="n">
        <f aca="false">Settings!$B$4*MAX(INDEX(Bases!$P$2:$P$53,B443),INDEX(Bases!$P$2:$P$53,C443))+Settings!$B$5*MIN(INDEX(Bases!$P$2:$P$53,B443),INDEX(Bases!$P$2:$P$53,C443))</f>
        <v>79</v>
      </c>
      <c r="W443" s="2" t="n">
        <f aca="false">Settings!$B$4*MAX(INDEX(Bases!$Q$2:$Q$53,B443),INDEX(Bases!$Q$2:$Q$53,C443))+Settings!$B$5*MIN(INDEX(Bases!$Q$2:$Q$53,B443),INDEX(Bases!$Q$2:$Q$53,C443))</f>
        <v>59</v>
      </c>
      <c r="X443" s="2" t="n">
        <f aca="false">Settings!$B$4*MAX(INDEX(Bases!$R$2:$R$53,B443),INDEX(Bases!$R$2:$R$53,C443))+Settings!$B$5*MIN(INDEX(Bases!$R$2:$R$53,B443),INDEX(Bases!$R$2:$R$53,C443))</f>
        <v>108</v>
      </c>
      <c r="Y443" s="2" t="n">
        <f aca="false">S443*Settings!$B$3/SUM(S443:X443)</f>
        <v>62.5996810207337</v>
      </c>
      <c r="Z443" s="2" t="n">
        <f aca="false">T443*Settings!$B$3/SUM(S443:X443)</f>
        <v>98.0861244019139</v>
      </c>
      <c r="AA443" s="2" t="n">
        <f aca="false">U443*Settings!$B$3/SUM(S443:X443)</f>
        <v>45.0558213716109</v>
      </c>
      <c r="AB443" s="2" t="n">
        <f aca="false">V443*Settings!$B$3/SUM(S443:X443)</f>
        <v>94.4976076555024</v>
      </c>
      <c r="AC443" s="2" t="n">
        <f aca="false">W443*Settings!$B$3/SUM(S443:X443)</f>
        <v>70.5741626794258</v>
      </c>
      <c r="AD443" s="2" t="n">
        <f aca="false">X443*Settings!$B$3/SUM(S443:X443)</f>
        <v>129.186602870813</v>
      </c>
      <c r="AE443" s="2" t="n">
        <f aca="false">INT(Y443)</f>
        <v>62</v>
      </c>
      <c r="AF443" s="2" t="n">
        <f aca="false">INT(Z443)</f>
        <v>98</v>
      </c>
      <c r="AG443" s="2" t="n">
        <f aca="false">INT(AA443)</f>
        <v>45</v>
      </c>
      <c r="AH443" s="2" t="n">
        <f aca="false">INT(AB443)</f>
        <v>94</v>
      </c>
      <c r="AI443" s="2" t="n">
        <f aca="false">INT(AC443)</f>
        <v>70</v>
      </c>
      <c r="AJ443" s="2" t="n">
        <f aca="false">INT(AD443)</f>
        <v>129</v>
      </c>
      <c r="AK443" s="2" t="n">
        <f aca="false">Settings!$B$3-SUM(AE443:AJ443)</f>
        <v>2</v>
      </c>
      <c r="AL443" s="2" t="n">
        <f aca="false">ROUND(Y443-AE443,9)</f>
        <v>0.599681021</v>
      </c>
      <c r="AM443" s="2" t="n">
        <f aca="false">ROUND(Z443-AF443,9)</f>
        <v>0.086124402</v>
      </c>
      <c r="AN443" s="2" t="n">
        <f aca="false">ROUND(AA443-AG443,9)</f>
        <v>0.055821372</v>
      </c>
      <c r="AO443" s="2" t="n">
        <f aca="false">ROUND(AB443-AH443,9)</f>
        <v>0.497607656</v>
      </c>
      <c r="AP443" s="2" t="n">
        <f aca="false">ROUND(AC443-AI443,9)</f>
        <v>0.574162679</v>
      </c>
      <c r="AQ443" s="2" t="n">
        <f aca="false">ROUND(AD443-AJ443,9)</f>
        <v>0.186602871</v>
      </c>
    </row>
    <row r="444" customFormat="false" ht="15" hidden="false" customHeight="false" outlineLevel="0" collapsed="false">
      <c r="A444" s="2" t="n">
        <v>443</v>
      </c>
      <c r="B444" s="6" t="n">
        <v>10</v>
      </c>
      <c r="C444" s="6" t="n">
        <v>30</v>
      </c>
      <c r="D444" s="8" t="str">
        <f aca="false">INDEX(Bases!$B$2:$B$53,B444)</f>
        <v>Pichu</v>
      </c>
      <c r="E444" s="8" t="str">
        <f aca="false">INDEX(Bases!$B$2:$B$53,C444)</f>
        <v>Swablu</v>
      </c>
      <c r="F444" s="2" t="str">
        <f aca="false">LEFT(D444,ROUNDUP(LEN(D444)/2,0))&amp;LOWER(MID(E444,ROUNDUP(LEN(E444)/2,0)+1,20))</f>
        <v>Picblu</v>
      </c>
      <c r="G444" s="8" t="str">
        <f aca="false">INDEX(Bases!$C$2:$C$53,B444)</f>
        <v>Electric</v>
      </c>
      <c r="H444" s="8" t="str">
        <f aca="false">IF(INDEX(Bases!$C$2:$C$53,C444)=G444,"",INDEX(Bases!$C$2:$C$53,C444))</f>
        <v>Flying</v>
      </c>
      <c r="I444" s="8" t="str">
        <f aca="false">IF(INDEX(Bases!$E$2:$E$53,B444)="","",INDEX(Bases!$E$2:$E$53,B444))</f>
        <v/>
      </c>
      <c r="J444" s="8" t="str">
        <f aca="false">IF(INDEX(Bases!$E$2:$E$53,C444)="","",INDEX(Bases!$E$2:$E$53,C444))</f>
        <v/>
      </c>
      <c r="K444" s="5"/>
      <c r="L444" s="2" t="n">
        <f aca="false">AE444+IF(SUMPRODUCT(--($AL444:$AQ444&gt;AL444))&lt;$AK444,1,0)</f>
        <v>60</v>
      </c>
      <c r="M444" s="2" t="n">
        <f aca="false">AF444+IF(SUMPRODUCT(--($AL444:$AQ444&gt;AM444))+SUMPRODUCT(--($AL444:AL444=AM444))&lt;$AK444,1,0)</f>
        <v>80</v>
      </c>
      <c r="N444" s="2" t="n">
        <f aca="false">AG444+IF(SUMPRODUCT(--($AL444:$AQ444&gt;AN444))+SUMPRODUCT(--($AL444:AM444=AN444))&lt;$AK444,1,0)</f>
        <v>71</v>
      </c>
      <c r="O444" s="2" t="n">
        <f aca="false">AH444+IF(SUMPRODUCT(--($AL444:$AQ444&gt;AO444))+SUMPRODUCT(--($AL444:AN444=AO444))&lt;$AK444,1,0)</f>
        <v>73</v>
      </c>
      <c r="P444" s="2" t="n">
        <f aca="false">AI444+IF(SUMPRODUCT(--($AL444:$AQ444&gt;AP444))+SUMPRODUCT(--($AL444:AO444=AP444))&lt;$AK444,1,0)</f>
        <v>101</v>
      </c>
      <c r="Q444" s="2" t="n">
        <f aca="false">AJ444+IF(SUMPRODUCT(--($AL444:$AQ444&gt;AQ444))+SUMPRODUCT(--($AL444:AP444=AQ444))&lt;$AK444,1,0)</f>
        <v>115</v>
      </c>
      <c r="R444" s="2" t="n">
        <f aca="false">SUM(L444:Q444)</f>
        <v>500</v>
      </c>
      <c r="S444" s="2" t="n">
        <f aca="false">Settings!$B$4*MAX(INDEX(Bases!$M$2:$M$53,B444),INDEX(Bases!$M$2:$M$53,C444))+Settings!$B$5*MIN(INDEX(Bases!$M$2:$M$53,B444),INDEX(Bases!$M$2:$M$53,C444))</f>
        <v>51.6666666666667</v>
      </c>
      <c r="T444" s="2" t="n">
        <f aca="false">Settings!$B$4*MAX(INDEX(Bases!$N$2:$N$53,B444),INDEX(Bases!$N$2:$N$53,C444))+Settings!$B$5*MIN(INDEX(Bases!$N$2:$N$53,B444),INDEX(Bases!$N$2:$N$53,C444))</f>
        <v>69.3333333333333</v>
      </c>
      <c r="U444" s="2" t="n">
        <f aca="false">Settings!$B$4*MAX(INDEX(Bases!$O$2:$O$53,B444),INDEX(Bases!$O$2:$O$53,C444))+Settings!$B$5*MIN(INDEX(Bases!$O$2:$O$53,B444),INDEX(Bases!$O$2:$O$53,C444))</f>
        <v>61</v>
      </c>
      <c r="V444" s="2" t="n">
        <f aca="false">Settings!$B$4*MAX(INDEX(Bases!$P$2:$P$53,B444),INDEX(Bases!$P$2:$P$53,C444))+Settings!$B$5*MIN(INDEX(Bases!$P$2:$P$53,B444),INDEX(Bases!$P$2:$P$53,C444))</f>
        <v>63.3333333333333</v>
      </c>
      <c r="W444" s="2" t="n">
        <f aca="false">Settings!$B$4*MAX(INDEX(Bases!$Q$2:$Q$53,B444),INDEX(Bases!$Q$2:$Q$53,C444))+Settings!$B$5*MIN(INDEX(Bases!$Q$2:$Q$53,B444),INDEX(Bases!$Q$2:$Q$53,C444))</f>
        <v>87.3333333333333</v>
      </c>
      <c r="X444" s="2" t="n">
        <f aca="false">Settings!$B$4*MAX(INDEX(Bases!$R$2:$R$53,B444),INDEX(Bases!$R$2:$R$53,C444))+Settings!$B$5*MIN(INDEX(Bases!$R$2:$R$53,B444),INDEX(Bases!$R$2:$R$53,C444))</f>
        <v>99.3333333333333</v>
      </c>
      <c r="Y444" s="2" t="n">
        <f aca="false">S444*Settings!$B$3/SUM(S444:X444)</f>
        <v>59.7993827160494</v>
      </c>
      <c r="Z444" s="2" t="n">
        <f aca="false">T444*Settings!$B$3/SUM(S444:X444)</f>
        <v>80.2469135802469</v>
      </c>
      <c r="AA444" s="2" t="n">
        <f aca="false">U444*Settings!$B$3/SUM(S444:X444)</f>
        <v>70.6018518518519</v>
      </c>
      <c r="AB444" s="2" t="n">
        <f aca="false">V444*Settings!$B$3/SUM(S444:X444)</f>
        <v>73.3024691358025</v>
      </c>
      <c r="AC444" s="2" t="n">
        <f aca="false">W444*Settings!$B$3/SUM(S444:X444)</f>
        <v>101.08024691358</v>
      </c>
      <c r="AD444" s="2" t="n">
        <f aca="false">X444*Settings!$B$3/SUM(S444:X444)</f>
        <v>114.969135802469</v>
      </c>
      <c r="AE444" s="2" t="n">
        <f aca="false">INT(Y444)</f>
        <v>59</v>
      </c>
      <c r="AF444" s="2" t="n">
        <f aca="false">INT(Z444)</f>
        <v>80</v>
      </c>
      <c r="AG444" s="2" t="n">
        <f aca="false">INT(AA444)</f>
        <v>70</v>
      </c>
      <c r="AH444" s="2" t="n">
        <f aca="false">INT(AB444)</f>
        <v>73</v>
      </c>
      <c r="AI444" s="2" t="n">
        <f aca="false">INT(AC444)</f>
        <v>101</v>
      </c>
      <c r="AJ444" s="2" t="n">
        <f aca="false">INT(AD444)</f>
        <v>114</v>
      </c>
      <c r="AK444" s="2" t="n">
        <f aca="false">Settings!$B$3-SUM(AE444:AJ444)</f>
        <v>3</v>
      </c>
      <c r="AL444" s="2" t="n">
        <f aca="false">ROUND(Y444-AE444,9)</f>
        <v>0.799382716</v>
      </c>
      <c r="AM444" s="2" t="n">
        <f aca="false">ROUND(Z444-AF444,9)</f>
        <v>0.24691358</v>
      </c>
      <c r="AN444" s="2" t="n">
        <f aca="false">ROUND(AA444-AG444,9)</f>
        <v>0.601851852</v>
      </c>
      <c r="AO444" s="2" t="n">
        <f aca="false">ROUND(AB444-AH444,9)</f>
        <v>0.302469136</v>
      </c>
      <c r="AP444" s="2" t="n">
        <f aca="false">ROUND(AC444-AI444,9)</f>
        <v>0.080246914</v>
      </c>
      <c r="AQ444" s="2" t="n">
        <f aca="false">ROUND(AD444-AJ444,9)</f>
        <v>0.969135802</v>
      </c>
    </row>
    <row r="445" customFormat="false" ht="15" hidden="false" customHeight="false" outlineLevel="0" collapsed="false">
      <c r="A445" s="2" t="n">
        <v>444</v>
      </c>
      <c r="B445" s="6" t="n">
        <v>10</v>
      </c>
      <c r="C445" s="6" t="n">
        <v>31</v>
      </c>
      <c r="D445" s="8" t="str">
        <f aca="false">INDEX(Bases!$B$2:$B$53,B445)</f>
        <v>Pichu</v>
      </c>
      <c r="E445" s="8" t="str">
        <f aca="false">INDEX(Bases!$B$2:$B$53,C445)</f>
        <v>Mew</v>
      </c>
      <c r="F445" s="2" t="str">
        <f aca="false">LEFT(D445,ROUNDUP(LEN(D445)/2,0))&amp;LOWER(MID(E445,ROUNDUP(LEN(E445)/2,0)+1,20))</f>
        <v>Picw</v>
      </c>
      <c r="G445" s="8" t="str">
        <f aca="false">INDEX(Bases!$C$2:$C$53,B445)</f>
        <v>Electric</v>
      </c>
      <c r="H445" s="8" t="str">
        <f aca="false">IF(INDEX(Bases!$C$2:$C$53,C445)=G445,"",INDEX(Bases!$C$2:$C$53,C445))</f>
        <v>Psychic</v>
      </c>
      <c r="I445" s="8" t="str">
        <f aca="false">IF(INDEX(Bases!$E$2:$E$53,B445)="","",INDEX(Bases!$E$2:$E$53,B445))</f>
        <v/>
      </c>
      <c r="J445" s="8" t="str">
        <f aca="false">IF(INDEX(Bases!$E$2:$E$53,C445)="","",INDEX(Bases!$E$2:$E$53,C445))</f>
        <v/>
      </c>
      <c r="K445" s="5"/>
      <c r="L445" s="2" t="n">
        <f aca="false">AE445+IF(SUMPRODUCT(--($AL445:$AQ445&gt;AL445))&lt;$AK445,1,0)</f>
        <v>68</v>
      </c>
      <c r="M445" s="2" t="n">
        <f aca="false">AF445+IF(SUMPRODUCT(--($AL445:$AQ445&gt;AM445))+SUMPRODUCT(--($AL445:AL445=AM445))&lt;$AK445,1,0)</f>
        <v>88</v>
      </c>
      <c r="N445" s="2" t="n">
        <f aca="false">AG445+IF(SUMPRODUCT(--($AL445:$AQ445&gt;AN445))+SUMPRODUCT(--($AL445:AM445=AN445))&lt;$AK445,1,0)</f>
        <v>64</v>
      </c>
      <c r="O445" s="2" t="n">
        <f aca="false">AH445+IF(SUMPRODUCT(--($AL445:$AQ445&gt;AO445))+SUMPRODUCT(--($AL445:AN445=AO445))&lt;$AK445,1,0)</f>
        <v>81</v>
      </c>
      <c r="P445" s="2" t="n">
        <f aca="false">AI445+IF(SUMPRODUCT(--($AL445:$AQ445&gt;AP445))+SUMPRODUCT(--($AL445:AO445=AP445))&lt;$AK445,1,0)</f>
        <v>80</v>
      </c>
      <c r="Q445" s="2" t="n">
        <f aca="false">AJ445+IF(SUMPRODUCT(--($AL445:$AQ445&gt;AQ445))+SUMPRODUCT(--($AL445:AP445=AQ445))&lt;$AK445,1,0)</f>
        <v>119</v>
      </c>
      <c r="R445" s="2" t="n">
        <f aca="false">SUM(L445:Q445)</f>
        <v>500</v>
      </c>
      <c r="S445" s="2" t="n">
        <f aca="false">Settings!$B$4*MAX(INDEX(Bases!$M$2:$M$53,B445),INDEX(Bases!$M$2:$M$53,C445))+Settings!$B$5*MIN(INDEX(Bases!$M$2:$M$53,B445),INDEX(Bases!$M$2:$M$53,C445))</f>
        <v>57.6666666666667</v>
      </c>
      <c r="T445" s="2" t="n">
        <f aca="false">Settings!$B$4*MAX(INDEX(Bases!$N$2:$N$53,B445),INDEX(Bases!$N$2:$N$53,C445))+Settings!$B$5*MIN(INDEX(Bases!$N$2:$N$53,B445),INDEX(Bases!$N$2:$N$53,C445))</f>
        <v>74.3333333333333</v>
      </c>
      <c r="U445" s="2" t="n">
        <f aca="false">Settings!$B$4*MAX(INDEX(Bases!$O$2:$O$53,B445),INDEX(Bases!$O$2:$O$53,C445))+Settings!$B$5*MIN(INDEX(Bases!$O$2:$O$53,B445),INDEX(Bases!$O$2:$O$53,C445))</f>
        <v>54.3333333333333</v>
      </c>
      <c r="V445" s="2" t="n">
        <f aca="false">Settings!$B$4*MAX(INDEX(Bases!$P$2:$P$53,B445),INDEX(Bases!$P$2:$P$53,C445))+Settings!$B$5*MIN(INDEX(Bases!$P$2:$P$53,B445),INDEX(Bases!$P$2:$P$53,C445))</f>
        <v>68.3333333333333</v>
      </c>
      <c r="W445" s="2" t="n">
        <f aca="false">Settings!$B$4*MAX(INDEX(Bases!$Q$2:$Q$53,B445),INDEX(Bases!$Q$2:$Q$53,C445))+Settings!$B$5*MIN(INDEX(Bases!$Q$2:$Q$53,B445),INDEX(Bases!$Q$2:$Q$53,C445))</f>
        <v>67.3333333333333</v>
      </c>
      <c r="X445" s="2" t="n">
        <f aca="false">Settings!$B$4*MAX(INDEX(Bases!$R$2:$R$53,B445),INDEX(Bases!$R$2:$R$53,C445))+Settings!$B$5*MIN(INDEX(Bases!$R$2:$R$53,B445),INDEX(Bases!$R$2:$R$53,C445))</f>
        <v>100</v>
      </c>
      <c r="Y445" s="2" t="n">
        <f aca="false">S445*Settings!$B$3/SUM(S445:X445)</f>
        <v>68.3254344391785</v>
      </c>
      <c r="Z445" s="2" t="n">
        <f aca="false">T445*Settings!$B$3/SUM(S445:X445)</f>
        <v>88.0726698262243</v>
      </c>
      <c r="AA445" s="2" t="n">
        <f aca="false">U445*Settings!$B$3/SUM(S445:X445)</f>
        <v>64.3759873617694</v>
      </c>
      <c r="AB445" s="2" t="n">
        <f aca="false">V445*Settings!$B$3/SUM(S445:X445)</f>
        <v>80.9636650868878</v>
      </c>
      <c r="AC445" s="2" t="n">
        <f aca="false">W445*Settings!$B$3/SUM(S445:X445)</f>
        <v>79.7788309636651</v>
      </c>
      <c r="AD445" s="2" t="n">
        <f aca="false">X445*Settings!$B$3/SUM(S445:X445)</f>
        <v>118.483412322275</v>
      </c>
      <c r="AE445" s="2" t="n">
        <f aca="false">INT(Y445)</f>
        <v>68</v>
      </c>
      <c r="AF445" s="2" t="n">
        <f aca="false">INT(Z445)</f>
        <v>88</v>
      </c>
      <c r="AG445" s="2" t="n">
        <f aca="false">INT(AA445)</f>
        <v>64</v>
      </c>
      <c r="AH445" s="2" t="n">
        <f aca="false">INT(AB445)</f>
        <v>80</v>
      </c>
      <c r="AI445" s="2" t="n">
        <f aca="false">INT(AC445)</f>
        <v>79</v>
      </c>
      <c r="AJ445" s="2" t="n">
        <f aca="false">INT(AD445)</f>
        <v>118</v>
      </c>
      <c r="AK445" s="2" t="n">
        <f aca="false">Settings!$B$3-SUM(AE445:AJ445)</f>
        <v>3</v>
      </c>
      <c r="AL445" s="2" t="n">
        <f aca="false">ROUND(Y445-AE445,9)</f>
        <v>0.325434439</v>
      </c>
      <c r="AM445" s="2" t="n">
        <f aca="false">ROUND(Z445-AF445,9)</f>
        <v>0.072669826</v>
      </c>
      <c r="AN445" s="2" t="n">
        <f aca="false">ROUND(AA445-AG445,9)</f>
        <v>0.375987362</v>
      </c>
      <c r="AO445" s="2" t="n">
        <f aca="false">ROUND(AB445-AH445,9)</f>
        <v>0.963665087</v>
      </c>
      <c r="AP445" s="2" t="n">
        <f aca="false">ROUND(AC445-AI445,9)</f>
        <v>0.778830964</v>
      </c>
      <c r="AQ445" s="2" t="n">
        <f aca="false">ROUND(AD445-AJ445,9)</f>
        <v>0.483412322</v>
      </c>
    </row>
    <row r="446" customFormat="false" ht="15" hidden="false" customHeight="false" outlineLevel="0" collapsed="false">
      <c r="A446" s="2" t="n">
        <v>445</v>
      </c>
      <c r="B446" s="6" t="n">
        <v>10</v>
      </c>
      <c r="C446" s="6" t="n">
        <v>32</v>
      </c>
      <c r="D446" s="8" t="str">
        <f aca="false">INDEX(Bases!$B$2:$B$53,B446)</f>
        <v>Pichu</v>
      </c>
      <c r="E446" s="8" t="str">
        <f aca="false">INDEX(Bases!$B$2:$B$53,C446)</f>
        <v>Spoink</v>
      </c>
      <c r="F446" s="2" t="str">
        <f aca="false">LEFT(D446,ROUNDUP(LEN(D446)/2,0))&amp;LOWER(MID(E446,ROUNDUP(LEN(E446)/2,0)+1,20))</f>
        <v>Picink</v>
      </c>
      <c r="G446" s="8" t="str">
        <f aca="false">INDEX(Bases!$C$2:$C$53,B446)</f>
        <v>Electric</v>
      </c>
      <c r="H446" s="8" t="str">
        <f aca="false">IF(INDEX(Bases!$C$2:$C$53,C446)=G446,"",INDEX(Bases!$C$2:$C$53,C446))</f>
        <v>Psychic</v>
      </c>
      <c r="I446" s="8" t="str">
        <f aca="false">IF(INDEX(Bases!$E$2:$E$53,B446)="","",INDEX(Bases!$E$2:$E$53,B446))</f>
        <v/>
      </c>
      <c r="J446" s="8" t="str">
        <f aca="false">IF(INDEX(Bases!$E$2:$E$53,C446)="","",INDEX(Bases!$E$2:$E$53,C446))</f>
        <v/>
      </c>
      <c r="K446" s="5"/>
      <c r="L446" s="2" t="n">
        <f aca="false">AE446+IF(SUMPRODUCT(--($AL446:$AQ446&gt;AL446))&lt;$AK446,1,0)</f>
        <v>72</v>
      </c>
      <c r="M446" s="2" t="n">
        <f aca="false">AF446+IF(SUMPRODUCT(--($AL446:$AQ446&gt;AM446))+SUMPRODUCT(--($AL446:AL446=AM446))&lt;$AK446,1,0)</f>
        <v>72</v>
      </c>
      <c r="N446" s="2" t="n">
        <f aca="false">AG446+IF(SUMPRODUCT(--($AL446:$AQ446&gt;AN446))+SUMPRODUCT(--($AL446:AM446=AN446))&lt;$AK446,1,0)</f>
        <v>44</v>
      </c>
      <c r="O446" s="2" t="n">
        <f aca="false">AH446+IF(SUMPRODUCT(--($AL446:$AQ446&gt;AO446))+SUMPRODUCT(--($AL446:AN446=AO446))&lt;$AK446,1,0)</f>
        <v>92</v>
      </c>
      <c r="P446" s="2" t="n">
        <f aca="false">AI446+IF(SUMPRODUCT(--($AL446:$AQ446&gt;AP446))+SUMPRODUCT(--($AL446:AO446=AP446))&lt;$AK446,1,0)</f>
        <v>101</v>
      </c>
      <c r="Q446" s="2" t="n">
        <f aca="false">AJ446+IF(SUMPRODUCT(--($AL446:$AQ446&gt;AQ446))+SUMPRODUCT(--($AL446:AP446=AQ446))&lt;$AK446,1,0)</f>
        <v>119</v>
      </c>
      <c r="R446" s="2" t="n">
        <f aca="false">SUM(L446:Q446)</f>
        <v>500</v>
      </c>
      <c r="S446" s="2" t="n">
        <f aca="false">Settings!$B$4*MAX(INDEX(Bases!$M$2:$M$53,B446),INDEX(Bases!$M$2:$M$53,C446))+Settings!$B$5*MIN(INDEX(Bases!$M$2:$M$53,B446),INDEX(Bases!$M$2:$M$53,C446))</f>
        <v>61.6666666666667</v>
      </c>
      <c r="T446" s="2" t="n">
        <f aca="false">Settings!$B$4*MAX(INDEX(Bases!$N$2:$N$53,B446),INDEX(Bases!$N$2:$N$53,C446))+Settings!$B$5*MIN(INDEX(Bases!$N$2:$N$53,B446),INDEX(Bases!$N$2:$N$53,C446))</f>
        <v>62</v>
      </c>
      <c r="U446" s="2" t="n">
        <f aca="false">Settings!$B$4*MAX(INDEX(Bases!$O$2:$O$53,B446),INDEX(Bases!$O$2:$O$53,C446))+Settings!$B$5*MIN(INDEX(Bases!$O$2:$O$53,B446),INDEX(Bases!$O$2:$O$53,C446))</f>
        <v>37.6666666666667</v>
      </c>
      <c r="V446" s="2" t="n">
        <f aca="false">Settings!$B$4*MAX(INDEX(Bases!$P$2:$P$53,B446),INDEX(Bases!$P$2:$P$53,C446))+Settings!$B$5*MIN(INDEX(Bases!$P$2:$P$53,B446),INDEX(Bases!$P$2:$P$53,C446))</f>
        <v>79.6666666666667</v>
      </c>
      <c r="W446" s="2" t="n">
        <f aca="false">Settings!$B$4*MAX(INDEX(Bases!$Q$2:$Q$53,B446),INDEX(Bases!$Q$2:$Q$53,C446))+Settings!$B$5*MIN(INDEX(Bases!$Q$2:$Q$53,B446),INDEX(Bases!$Q$2:$Q$53,C446))</f>
        <v>87.3333333333333</v>
      </c>
      <c r="X446" s="2" t="n">
        <f aca="false">Settings!$B$4*MAX(INDEX(Bases!$R$2:$R$53,B446),INDEX(Bases!$R$2:$R$53,C446))+Settings!$B$5*MIN(INDEX(Bases!$R$2:$R$53,B446),INDEX(Bases!$R$2:$R$53,C446))</f>
        <v>102.333333333333</v>
      </c>
      <c r="Y446" s="2" t="n">
        <f aca="false">S446*Settings!$B$3/SUM(S446:X446)</f>
        <v>71.5944272445821</v>
      </c>
      <c r="Z446" s="2" t="n">
        <f aca="false">T446*Settings!$B$3/SUM(S446:X446)</f>
        <v>71.9814241486068</v>
      </c>
      <c r="AA446" s="2" t="n">
        <f aca="false">U446*Settings!$B$3/SUM(S446:X446)</f>
        <v>43.7306501547988</v>
      </c>
      <c r="AB446" s="2" t="n">
        <f aca="false">V446*Settings!$B$3/SUM(S446:X446)</f>
        <v>92.4922600619195</v>
      </c>
      <c r="AC446" s="2" t="n">
        <f aca="false">W446*Settings!$B$3/SUM(S446:X446)</f>
        <v>101.393188854489</v>
      </c>
      <c r="AD446" s="2" t="n">
        <f aca="false">X446*Settings!$B$3/SUM(S446:X446)</f>
        <v>118.808049535604</v>
      </c>
      <c r="AE446" s="2" t="n">
        <f aca="false">INT(Y446)</f>
        <v>71</v>
      </c>
      <c r="AF446" s="2" t="n">
        <f aca="false">INT(Z446)</f>
        <v>71</v>
      </c>
      <c r="AG446" s="2" t="n">
        <f aca="false">INT(AA446)</f>
        <v>43</v>
      </c>
      <c r="AH446" s="2" t="n">
        <f aca="false">INT(AB446)</f>
        <v>92</v>
      </c>
      <c r="AI446" s="2" t="n">
        <f aca="false">INT(AC446)</f>
        <v>101</v>
      </c>
      <c r="AJ446" s="2" t="n">
        <f aca="false">INT(AD446)</f>
        <v>118</v>
      </c>
      <c r="AK446" s="2" t="n">
        <f aca="false">Settings!$B$3-SUM(AE446:AJ446)</f>
        <v>4</v>
      </c>
      <c r="AL446" s="2" t="n">
        <f aca="false">ROUND(Y446-AE446,9)</f>
        <v>0.594427245</v>
      </c>
      <c r="AM446" s="2" t="n">
        <f aca="false">ROUND(Z446-AF446,9)</f>
        <v>0.981424149</v>
      </c>
      <c r="AN446" s="2" t="n">
        <f aca="false">ROUND(AA446-AG446,9)</f>
        <v>0.730650155</v>
      </c>
      <c r="AO446" s="2" t="n">
        <f aca="false">ROUND(AB446-AH446,9)</f>
        <v>0.492260062</v>
      </c>
      <c r="AP446" s="2" t="n">
        <f aca="false">ROUND(AC446-AI446,9)</f>
        <v>0.393188854</v>
      </c>
      <c r="AQ446" s="2" t="n">
        <f aca="false">ROUND(AD446-AJ446,9)</f>
        <v>0.808049536</v>
      </c>
    </row>
    <row r="447" customFormat="false" ht="15" hidden="false" customHeight="false" outlineLevel="0" collapsed="false">
      <c r="A447" s="2" t="n">
        <v>446</v>
      </c>
      <c r="B447" s="6" t="n">
        <v>10</v>
      </c>
      <c r="C447" s="6" t="n">
        <v>33</v>
      </c>
      <c r="D447" s="8" t="str">
        <f aca="false">INDEX(Bases!$B$2:$B$53,B447)</f>
        <v>Pichu</v>
      </c>
      <c r="E447" s="8" t="str">
        <f aca="false">INDEX(Bases!$B$2:$B$53,C447)</f>
        <v>Jirachi</v>
      </c>
      <c r="F447" s="2" t="str">
        <f aca="false">LEFT(D447,ROUNDUP(LEN(D447)/2,0))&amp;LOWER(MID(E447,ROUNDUP(LEN(E447)/2,0)+1,20))</f>
        <v>Picchi</v>
      </c>
      <c r="G447" s="8" t="str">
        <f aca="false">INDEX(Bases!$C$2:$C$53,B447)</f>
        <v>Electric</v>
      </c>
      <c r="H447" s="8" t="str">
        <f aca="false">IF(INDEX(Bases!$C$2:$C$53,C447)=G447,"",INDEX(Bases!$C$2:$C$53,C447))</f>
        <v>Psychic</v>
      </c>
      <c r="I447" s="8" t="str">
        <f aca="false">IF(INDEX(Bases!$E$2:$E$53,B447)="","",INDEX(Bases!$E$2:$E$53,B447))</f>
        <v/>
      </c>
      <c r="J447" s="8" t="str">
        <f aca="false">IF(INDEX(Bases!$E$2:$E$53,C447)="","",INDEX(Bases!$E$2:$E$53,C447))</f>
        <v/>
      </c>
      <c r="K447" s="5"/>
      <c r="L447" s="2" t="n">
        <f aca="false">AE447+IF(SUMPRODUCT(--($AL447:$AQ447&gt;AL447))&lt;$AK447,1,0)</f>
        <v>68</v>
      </c>
      <c r="M447" s="2" t="n">
        <f aca="false">AF447+IF(SUMPRODUCT(--($AL447:$AQ447&gt;AM447))+SUMPRODUCT(--($AL447:AL447=AM447))&lt;$AK447,1,0)</f>
        <v>88</v>
      </c>
      <c r="N447" s="2" t="n">
        <f aca="false">AG447+IF(SUMPRODUCT(--($AL447:$AQ447&gt;AN447))+SUMPRODUCT(--($AL447:AM447=AN447))&lt;$AK447,1,0)</f>
        <v>64</v>
      </c>
      <c r="O447" s="2" t="n">
        <f aca="false">AH447+IF(SUMPRODUCT(--($AL447:$AQ447&gt;AO447))+SUMPRODUCT(--($AL447:AN447=AO447))&lt;$AK447,1,0)</f>
        <v>81</v>
      </c>
      <c r="P447" s="2" t="n">
        <f aca="false">AI447+IF(SUMPRODUCT(--($AL447:$AQ447&gt;AP447))+SUMPRODUCT(--($AL447:AO447=AP447))&lt;$AK447,1,0)</f>
        <v>80</v>
      </c>
      <c r="Q447" s="2" t="n">
        <f aca="false">AJ447+IF(SUMPRODUCT(--($AL447:$AQ447&gt;AQ447))+SUMPRODUCT(--($AL447:AP447=AQ447))&lt;$AK447,1,0)</f>
        <v>119</v>
      </c>
      <c r="R447" s="2" t="n">
        <f aca="false">SUM(L447:Q447)</f>
        <v>500</v>
      </c>
      <c r="S447" s="2" t="n">
        <f aca="false">Settings!$B$4*MAX(INDEX(Bases!$M$2:$M$53,B447),INDEX(Bases!$M$2:$M$53,C447))+Settings!$B$5*MIN(INDEX(Bases!$M$2:$M$53,B447),INDEX(Bases!$M$2:$M$53,C447))</f>
        <v>57.6666666666667</v>
      </c>
      <c r="T447" s="2" t="n">
        <f aca="false">Settings!$B$4*MAX(INDEX(Bases!$N$2:$N$53,B447),INDEX(Bases!$N$2:$N$53,C447))+Settings!$B$5*MIN(INDEX(Bases!$N$2:$N$53,B447),INDEX(Bases!$N$2:$N$53,C447))</f>
        <v>74.3333333333333</v>
      </c>
      <c r="U447" s="2" t="n">
        <f aca="false">Settings!$B$4*MAX(INDEX(Bases!$O$2:$O$53,B447),INDEX(Bases!$O$2:$O$53,C447))+Settings!$B$5*MIN(INDEX(Bases!$O$2:$O$53,B447),INDEX(Bases!$O$2:$O$53,C447))</f>
        <v>54.3333333333333</v>
      </c>
      <c r="V447" s="2" t="n">
        <f aca="false">Settings!$B$4*MAX(INDEX(Bases!$P$2:$P$53,B447),INDEX(Bases!$P$2:$P$53,C447))+Settings!$B$5*MIN(INDEX(Bases!$P$2:$P$53,B447),INDEX(Bases!$P$2:$P$53,C447))</f>
        <v>68.3333333333333</v>
      </c>
      <c r="W447" s="2" t="n">
        <f aca="false">Settings!$B$4*MAX(INDEX(Bases!$Q$2:$Q$53,B447),INDEX(Bases!$Q$2:$Q$53,C447))+Settings!$B$5*MIN(INDEX(Bases!$Q$2:$Q$53,B447),INDEX(Bases!$Q$2:$Q$53,C447))</f>
        <v>67.3333333333333</v>
      </c>
      <c r="X447" s="2" t="n">
        <f aca="false">Settings!$B$4*MAX(INDEX(Bases!$R$2:$R$53,B447),INDEX(Bases!$R$2:$R$53,C447))+Settings!$B$5*MIN(INDEX(Bases!$R$2:$R$53,B447),INDEX(Bases!$R$2:$R$53,C447))</f>
        <v>100</v>
      </c>
      <c r="Y447" s="2" t="n">
        <f aca="false">S447*Settings!$B$3/SUM(S447:X447)</f>
        <v>68.3254344391785</v>
      </c>
      <c r="Z447" s="2" t="n">
        <f aca="false">T447*Settings!$B$3/SUM(S447:X447)</f>
        <v>88.0726698262243</v>
      </c>
      <c r="AA447" s="2" t="n">
        <f aca="false">U447*Settings!$B$3/SUM(S447:X447)</f>
        <v>64.3759873617694</v>
      </c>
      <c r="AB447" s="2" t="n">
        <f aca="false">V447*Settings!$B$3/SUM(S447:X447)</f>
        <v>80.9636650868878</v>
      </c>
      <c r="AC447" s="2" t="n">
        <f aca="false">W447*Settings!$B$3/SUM(S447:X447)</f>
        <v>79.7788309636651</v>
      </c>
      <c r="AD447" s="2" t="n">
        <f aca="false">X447*Settings!$B$3/SUM(S447:X447)</f>
        <v>118.483412322275</v>
      </c>
      <c r="AE447" s="2" t="n">
        <f aca="false">INT(Y447)</f>
        <v>68</v>
      </c>
      <c r="AF447" s="2" t="n">
        <f aca="false">INT(Z447)</f>
        <v>88</v>
      </c>
      <c r="AG447" s="2" t="n">
        <f aca="false">INT(AA447)</f>
        <v>64</v>
      </c>
      <c r="AH447" s="2" t="n">
        <f aca="false">INT(AB447)</f>
        <v>80</v>
      </c>
      <c r="AI447" s="2" t="n">
        <f aca="false">INT(AC447)</f>
        <v>79</v>
      </c>
      <c r="AJ447" s="2" t="n">
        <f aca="false">INT(AD447)</f>
        <v>118</v>
      </c>
      <c r="AK447" s="2" t="n">
        <f aca="false">Settings!$B$3-SUM(AE447:AJ447)</f>
        <v>3</v>
      </c>
      <c r="AL447" s="2" t="n">
        <f aca="false">ROUND(Y447-AE447,9)</f>
        <v>0.325434439</v>
      </c>
      <c r="AM447" s="2" t="n">
        <f aca="false">ROUND(Z447-AF447,9)</f>
        <v>0.072669826</v>
      </c>
      <c r="AN447" s="2" t="n">
        <f aca="false">ROUND(AA447-AG447,9)</f>
        <v>0.375987362</v>
      </c>
      <c r="AO447" s="2" t="n">
        <f aca="false">ROUND(AB447-AH447,9)</f>
        <v>0.963665087</v>
      </c>
      <c r="AP447" s="2" t="n">
        <f aca="false">ROUND(AC447-AI447,9)</f>
        <v>0.778830964</v>
      </c>
      <c r="AQ447" s="2" t="n">
        <f aca="false">ROUND(AD447-AJ447,9)</f>
        <v>0.483412322</v>
      </c>
    </row>
    <row r="448" customFormat="false" ht="15" hidden="false" customHeight="false" outlineLevel="0" collapsed="false">
      <c r="A448" s="2" t="n">
        <v>447</v>
      </c>
      <c r="B448" s="6" t="n">
        <v>10</v>
      </c>
      <c r="C448" s="6" t="n">
        <v>34</v>
      </c>
      <c r="D448" s="8" t="str">
        <f aca="false">INDEX(Bases!$B$2:$B$53,B448)</f>
        <v>Pichu</v>
      </c>
      <c r="E448" s="8" t="str">
        <f aca="false">INDEX(Bases!$B$2:$B$53,C448)</f>
        <v>Paras</v>
      </c>
      <c r="F448" s="2" t="str">
        <f aca="false">LEFT(D448,ROUNDUP(LEN(D448)/2,0))&amp;LOWER(MID(E448,ROUNDUP(LEN(E448)/2,0)+1,20))</f>
        <v>Picas</v>
      </c>
      <c r="G448" s="8" t="str">
        <f aca="false">INDEX(Bases!$C$2:$C$53,B448)</f>
        <v>Electric</v>
      </c>
      <c r="H448" s="8" t="str">
        <f aca="false">IF(INDEX(Bases!$C$2:$C$53,C448)=G448,"",INDEX(Bases!$C$2:$C$53,C448))</f>
        <v>Bug</v>
      </c>
      <c r="I448" s="8" t="str">
        <f aca="false">IF(INDEX(Bases!$E$2:$E$53,B448)="","",INDEX(Bases!$E$2:$E$53,B448))</f>
        <v/>
      </c>
      <c r="J448" s="8" t="str">
        <f aca="false">IF(INDEX(Bases!$E$2:$E$53,C448)="","",INDEX(Bases!$E$2:$E$53,C448))</f>
        <v/>
      </c>
      <c r="K448" s="5"/>
      <c r="L448" s="2" t="n">
        <f aca="false">AE448+IF(SUMPRODUCT(--($AL448:$AQ448&gt;AL448))&lt;$AK448,1,0)</f>
        <v>53</v>
      </c>
      <c r="M448" s="2" t="n">
        <f aca="false">AF448+IF(SUMPRODUCT(--($AL448:$AQ448&gt;AM448))+SUMPRODUCT(--($AL448:AL448=AM448))&lt;$AK448,1,0)</f>
        <v>107</v>
      </c>
      <c r="N448" s="2" t="n">
        <f aca="false">AG448+IF(SUMPRODUCT(--($AL448:$AQ448&gt;AN448))+SUMPRODUCT(--($AL448:AM448=AN448))&lt;$AK448,1,0)</f>
        <v>71</v>
      </c>
      <c r="O448" s="2" t="n">
        <f aca="false">AH448+IF(SUMPRODUCT(--($AL448:$AQ448&gt;AO448))+SUMPRODUCT(--($AL448:AN448=AO448))&lt;$AK448,1,0)</f>
        <v>78</v>
      </c>
      <c r="P448" s="2" t="n">
        <f aca="false">AI448+IF(SUMPRODUCT(--($AL448:$AQ448&gt;AP448))+SUMPRODUCT(--($AL448:AO448=AP448))&lt;$AK448,1,0)</f>
        <v>86</v>
      </c>
      <c r="Q448" s="2" t="n">
        <f aca="false">AJ448+IF(SUMPRODUCT(--($AL448:$AQ448&gt;AQ448))+SUMPRODUCT(--($AL448:AP448=AQ448))&lt;$AK448,1,0)</f>
        <v>105</v>
      </c>
      <c r="R448" s="2" t="n">
        <f aca="false">SUM(L448:Q448)</f>
        <v>500</v>
      </c>
      <c r="S448" s="2" t="n">
        <f aca="false">Settings!$B$4*MAX(INDEX(Bases!$M$2:$M$53,B448),INDEX(Bases!$M$2:$M$53,C448))+Settings!$B$5*MIN(INDEX(Bases!$M$2:$M$53,B448),INDEX(Bases!$M$2:$M$53,C448))</f>
        <v>45.6666666666667</v>
      </c>
      <c r="T448" s="2" t="n">
        <f aca="false">Settings!$B$4*MAX(INDEX(Bases!$N$2:$N$53,B448),INDEX(Bases!$N$2:$N$53,C448))+Settings!$B$5*MIN(INDEX(Bases!$N$2:$N$53,B448),INDEX(Bases!$N$2:$N$53,C448))</f>
        <v>92</v>
      </c>
      <c r="U448" s="2" t="n">
        <f aca="false">Settings!$B$4*MAX(INDEX(Bases!$O$2:$O$53,B448),INDEX(Bases!$O$2:$O$53,C448))+Settings!$B$5*MIN(INDEX(Bases!$O$2:$O$53,B448),INDEX(Bases!$O$2:$O$53,C448))</f>
        <v>61</v>
      </c>
      <c r="V448" s="2" t="n">
        <f aca="false">Settings!$B$4*MAX(INDEX(Bases!$P$2:$P$53,B448),INDEX(Bases!$P$2:$P$53,C448))+Settings!$B$5*MIN(INDEX(Bases!$P$2:$P$53,B448),INDEX(Bases!$P$2:$P$53,C448))</f>
        <v>67</v>
      </c>
      <c r="W448" s="2" t="n">
        <f aca="false">Settings!$B$4*MAX(INDEX(Bases!$Q$2:$Q$53,B448),INDEX(Bases!$Q$2:$Q$53,C448))+Settings!$B$5*MIN(INDEX(Bases!$Q$2:$Q$53,B448),INDEX(Bases!$Q$2:$Q$53,C448))</f>
        <v>74</v>
      </c>
      <c r="X448" s="2" t="n">
        <f aca="false">Settings!$B$4*MAX(INDEX(Bases!$R$2:$R$53,B448),INDEX(Bases!$R$2:$R$53,C448))+Settings!$B$5*MIN(INDEX(Bases!$R$2:$R$53,B448),INDEX(Bases!$R$2:$R$53,C448))</f>
        <v>89.6666666666667</v>
      </c>
      <c r="Y448" s="2" t="n">
        <f aca="false">S448*Settings!$B$3/SUM(S448:X448)</f>
        <v>53.1832298136646</v>
      </c>
      <c r="Z448" s="2" t="n">
        <f aca="false">T448*Settings!$B$3/SUM(S448:X448)</f>
        <v>107.142857142857</v>
      </c>
      <c r="AA448" s="2" t="n">
        <f aca="false">U448*Settings!$B$3/SUM(S448:X448)</f>
        <v>71.0403726708074</v>
      </c>
      <c r="AB448" s="2" t="n">
        <f aca="false">V448*Settings!$B$3/SUM(S448:X448)</f>
        <v>78.027950310559</v>
      </c>
      <c r="AC448" s="2" t="n">
        <f aca="false">W448*Settings!$B$3/SUM(S448:X448)</f>
        <v>86.1801242236025</v>
      </c>
      <c r="AD448" s="2" t="n">
        <f aca="false">X448*Settings!$B$3/SUM(S448:X448)</f>
        <v>104.425465838509</v>
      </c>
      <c r="AE448" s="2" t="n">
        <f aca="false">INT(Y448)</f>
        <v>53</v>
      </c>
      <c r="AF448" s="2" t="n">
        <f aca="false">INT(Z448)</f>
        <v>107</v>
      </c>
      <c r="AG448" s="2" t="n">
        <f aca="false">INT(AA448)</f>
        <v>71</v>
      </c>
      <c r="AH448" s="2" t="n">
        <f aca="false">INT(AB448)</f>
        <v>78</v>
      </c>
      <c r="AI448" s="2" t="n">
        <f aca="false">INT(AC448)</f>
        <v>86</v>
      </c>
      <c r="AJ448" s="2" t="n">
        <f aca="false">INT(AD448)</f>
        <v>104</v>
      </c>
      <c r="AK448" s="2" t="n">
        <f aca="false">Settings!$B$3-SUM(AE448:AJ448)</f>
        <v>1</v>
      </c>
      <c r="AL448" s="2" t="n">
        <f aca="false">ROUND(Y448-AE448,9)</f>
        <v>0.183229814</v>
      </c>
      <c r="AM448" s="2" t="n">
        <f aca="false">ROUND(Z448-AF448,9)</f>
        <v>0.142857143</v>
      </c>
      <c r="AN448" s="2" t="n">
        <f aca="false">ROUND(AA448-AG448,9)</f>
        <v>0.040372671</v>
      </c>
      <c r="AO448" s="2" t="n">
        <f aca="false">ROUND(AB448-AH448,9)</f>
        <v>0.027950311</v>
      </c>
      <c r="AP448" s="2" t="n">
        <f aca="false">ROUND(AC448-AI448,9)</f>
        <v>0.180124224</v>
      </c>
      <c r="AQ448" s="2" t="n">
        <f aca="false">ROUND(AD448-AJ448,9)</f>
        <v>0.425465839</v>
      </c>
    </row>
    <row r="449" customFormat="false" ht="15" hidden="false" customHeight="false" outlineLevel="0" collapsed="false">
      <c r="A449" s="2" t="n">
        <v>448</v>
      </c>
      <c r="B449" s="6" t="n">
        <v>10</v>
      </c>
      <c r="C449" s="6" t="n">
        <v>35</v>
      </c>
      <c r="D449" s="8" t="str">
        <f aca="false">INDEX(Bases!$B$2:$B$53,B449)</f>
        <v>Pichu</v>
      </c>
      <c r="E449" s="8" t="str">
        <f aca="false">INDEX(Bases!$B$2:$B$53,C449)</f>
        <v>Pineco</v>
      </c>
      <c r="F449" s="2" t="str">
        <f aca="false">LEFT(D449,ROUNDUP(LEN(D449)/2,0))&amp;LOWER(MID(E449,ROUNDUP(LEN(E449)/2,0)+1,20))</f>
        <v>Piceco</v>
      </c>
      <c r="G449" s="8" t="str">
        <f aca="false">INDEX(Bases!$C$2:$C$53,B449)</f>
        <v>Electric</v>
      </c>
      <c r="H449" s="8" t="str">
        <f aca="false">IF(INDEX(Bases!$C$2:$C$53,C449)=G449,"",INDEX(Bases!$C$2:$C$53,C449))</f>
        <v>Bug</v>
      </c>
      <c r="I449" s="8" t="str">
        <f aca="false">IF(INDEX(Bases!$E$2:$E$53,B449)="","",INDEX(Bases!$E$2:$E$53,B449))</f>
        <v/>
      </c>
      <c r="J449" s="8" t="str">
        <f aca="false">IF(INDEX(Bases!$E$2:$E$53,C449)="","",INDEX(Bases!$E$2:$E$53,C449))</f>
        <v/>
      </c>
      <c r="K449" s="5"/>
      <c r="L449" s="2" t="n">
        <f aca="false">AE449+IF(SUMPRODUCT(--($AL449:$AQ449&gt;AL449))&lt;$AK449,1,0)</f>
        <v>66</v>
      </c>
      <c r="M449" s="2" t="n">
        <f aca="false">AF449+IF(SUMPRODUCT(--($AL449:$AQ449&gt;AM449))+SUMPRODUCT(--($AL449:AL449=AM449))&lt;$AK449,1,0)</f>
        <v>96</v>
      </c>
      <c r="N449" s="2" t="n">
        <f aca="false">AG449+IF(SUMPRODUCT(--($AL449:$AQ449&gt;AN449))+SUMPRODUCT(--($AL449:AM449=AN449))&lt;$AK449,1,0)</f>
        <v>104</v>
      </c>
      <c r="O449" s="2" t="n">
        <f aca="false">AH449+IF(SUMPRODUCT(--($AL449:$AQ449&gt;AO449))+SUMPRODUCT(--($AL449:AN449=AO449))&lt;$AK449,1,0)</f>
        <v>70</v>
      </c>
      <c r="P449" s="2" t="n">
        <f aca="false">AI449+IF(SUMPRODUCT(--($AL449:$AQ449&gt;AP449))+SUMPRODUCT(--($AL449:AO449=AP449))&lt;$AK449,1,0)</f>
        <v>69</v>
      </c>
      <c r="Q449" s="2" t="n">
        <f aca="false">AJ449+IF(SUMPRODUCT(--($AL449:$AQ449&gt;AQ449))+SUMPRODUCT(--($AL449:AP449=AQ449))&lt;$AK449,1,0)</f>
        <v>95</v>
      </c>
      <c r="R449" s="2" t="n">
        <f aca="false">SUM(L449:Q449)</f>
        <v>500</v>
      </c>
      <c r="S449" s="2" t="n">
        <f aca="false">Settings!$B$4*MAX(INDEX(Bases!$M$2:$M$53,B449),INDEX(Bases!$M$2:$M$53,C449))+Settings!$B$5*MIN(INDEX(Bases!$M$2:$M$53,B449),INDEX(Bases!$M$2:$M$53,C449))</f>
        <v>59</v>
      </c>
      <c r="T449" s="2" t="n">
        <f aca="false">Settings!$B$4*MAX(INDEX(Bases!$N$2:$N$53,B449),INDEX(Bases!$N$2:$N$53,C449))+Settings!$B$5*MIN(INDEX(Bases!$N$2:$N$53,B449),INDEX(Bases!$N$2:$N$53,C449))</f>
        <v>86</v>
      </c>
      <c r="U449" s="2" t="n">
        <f aca="false">Settings!$B$4*MAX(INDEX(Bases!$O$2:$O$53,B449),INDEX(Bases!$O$2:$O$53,C449))+Settings!$B$5*MIN(INDEX(Bases!$O$2:$O$53,B449),INDEX(Bases!$O$2:$O$53,C449))</f>
        <v>92.3333333333333</v>
      </c>
      <c r="V449" s="2" t="n">
        <f aca="false">Settings!$B$4*MAX(INDEX(Bases!$P$2:$P$53,B449),INDEX(Bases!$P$2:$P$53,C449))+Settings!$B$5*MIN(INDEX(Bases!$P$2:$P$53,B449),INDEX(Bases!$P$2:$P$53,C449))</f>
        <v>62</v>
      </c>
      <c r="W449" s="2" t="n">
        <f aca="false">Settings!$B$4*MAX(INDEX(Bases!$Q$2:$Q$53,B449),INDEX(Bases!$Q$2:$Q$53,C449))+Settings!$B$5*MIN(INDEX(Bases!$Q$2:$Q$53,B449),INDEX(Bases!$Q$2:$Q$53,C449))</f>
        <v>61.3333333333333</v>
      </c>
      <c r="X449" s="2" t="n">
        <f aca="false">Settings!$B$4*MAX(INDEX(Bases!$R$2:$R$53,B449),INDEX(Bases!$R$2:$R$53,C449))+Settings!$B$5*MIN(INDEX(Bases!$R$2:$R$53,B449),INDEX(Bases!$R$2:$R$53,C449))</f>
        <v>85</v>
      </c>
      <c r="Y449" s="2" t="n">
        <f aca="false">S449*Settings!$B$3/SUM(S449:X449)</f>
        <v>66.1929693343306</v>
      </c>
      <c r="Z449" s="2" t="n">
        <f aca="false">T449*Settings!$B$3/SUM(S449:X449)</f>
        <v>96.4846671652955</v>
      </c>
      <c r="AA449" s="2" t="n">
        <f aca="false">U449*Settings!$B$3/SUM(S449:X449)</f>
        <v>103.590127150337</v>
      </c>
      <c r="AB449" s="2" t="n">
        <f aca="false">V449*Settings!$B$3/SUM(S449:X449)</f>
        <v>69.5587135377711</v>
      </c>
      <c r="AC449" s="2" t="n">
        <f aca="false">W449*Settings!$B$3/SUM(S449:X449)</f>
        <v>68.810770381451</v>
      </c>
      <c r="AD449" s="2" t="n">
        <f aca="false">X449*Settings!$B$3/SUM(S449:X449)</f>
        <v>95.3627524308153</v>
      </c>
      <c r="AE449" s="2" t="n">
        <f aca="false">INT(Y449)</f>
        <v>66</v>
      </c>
      <c r="AF449" s="2" t="n">
        <f aca="false">INT(Z449)</f>
        <v>96</v>
      </c>
      <c r="AG449" s="2" t="n">
        <f aca="false">INT(AA449)</f>
        <v>103</v>
      </c>
      <c r="AH449" s="2" t="n">
        <f aca="false">INT(AB449)</f>
        <v>69</v>
      </c>
      <c r="AI449" s="2" t="n">
        <f aca="false">INT(AC449)</f>
        <v>68</v>
      </c>
      <c r="AJ449" s="2" t="n">
        <f aca="false">INT(AD449)</f>
        <v>95</v>
      </c>
      <c r="AK449" s="2" t="n">
        <f aca="false">Settings!$B$3-SUM(AE449:AJ449)</f>
        <v>3</v>
      </c>
      <c r="AL449" s="2" t="n">
        <f aca="false">ROUND(Y449-AE449,9)</f>
        <v>0.192969334</v>
      </c>
      <c r="AM449" s="2" t="n">
        <f aca="false">ROUND(Z449-AF449,9)</f>
        <v>0.484667165</v>
      </c>
      <c r="AN449" s="2" t="n">
        <f aca="false">ROUND(AA449-AG449,9)</f>
        <v>0.59012715</v>
      </c>
      <c r="AO449" s="2" t="n">
        <f aca="false">ROUND(AB449-AH449,9)</f>
        <v>0.558713538</v>
      </c>
      <c r="AP449" s="2" t="n">
        <f aca="false">ROUND(AC449-AI449,9)</f>
        <v>0.810770381</v>
      </c>
      <c r="AQ449" s="2" t="n">
        <f aca="false">ROUND(AD449-AJ449,9)</f>
        <v>0.362752431</v>
      </c>
    </row>
    <row r="450" customFormat="false" ht="15" hidden="false" customHeight="false" outlineLevel="0" collapsed="false">
      <c r="A450" s="2" t="n">
        <v>449</v>
      </c>
      <c r="B450" s="6" t="n">
        <v>10</v>
      </c>
      <c r="C450" s="6" t="n">
        <v>36</v>
      </c>
      <c r="D450" s="8" t="str">
        <f aca="false">INDEX(Bases!$B$2:$B$53,B450)</f>
        <v>Pichu</v>
      </c>
      <c r="E450" s="8" t="str">
        <f aca="false">INDEX(Bases!$B$2:$B$53,C450)</f>
        <v>Wurmple</v>
      </c>
      <c r="F450" s="2" t="str">
        <f aca="false">LEFT(D450,ROUNDUP(LEN(D450)/2,0))&amp;LOWER(MID(E450,ROUNDUP(LEN(E450)/2,0)+1,20))</f>
        <v>Picple</v>
      </c>
      <c r="G450" s="8" t="str">
        <f aca="false">INDEX(Bases!$C$2:$C$53,B450)</f>
        <v>Electric</v>
      </c>
      <c r="H450" s="8" t="str">
        <f aca="false">IF(INDEX(Bases!$C$2:$C$53,C450)=G450,"",INDEX(Bases!$C$2:$C$53,C450))</f>
        <v>Bug</v>
      </c>
      <c r="I450" s="8" t="str">
        <f aca="false">IF(INDEX(Bases!$E$2:$E$53,B450)="","",INDEX(Bases!$E$2:$E$53,B450))</f>
        <v/>
      </c>
      <c r="J450" s="8" t="str">
        <f aca="false">IF(INDEX(Bases!$E$2:$E$53,C450)="","",INDEX(Bases!$E$2:$E$53,C450))</f>
        <v/>
      </c>
      <c r="K450" s="5"/>
      <c r="L450" s="2" t="n">
        <f aca="false">AE450+IF(SUMPRODUCT(--($AL450:$AQ450&gt;AL450))&lt;$AK450,1,0)</f>
        <v>85</v>
      </c>
      <c r="M450" s="2" t="n">
        <f aca="false">AF450+IF(SUMPRODUCT(--($AL450:$AQ450&gt;AM450))+SUMPRODUCT(--($AL450:AL450=AM450))&lt;$AK450,1,0)</f>
        <v>100</v>
      </c>
      <c r="N450" s="2" t="n">
        <f aca="false">AG450+IF(SUMPRODUCT(--($AL450:$AQ450&gt;AN450))+SUMPRODUCT(--($AL450:AM450=AN450))&lt;$AK450,1,0)</f>
        <v>66</v>
      </c>
      <c r="O450" s="2" t="n">
        <f aca="false">AH450+IF(SUMPRODUCT(--($AL450:$AQ450&gt;AO450))+SUMPRODUCT(--($AL450:AN450=AO450))&lt;$AK450,1,0)</f>
        <v>68</v>
      </c>
      <c r="P450" s="2" t="n">
        <f aca="false">AI450+IF(SUMPRODUCT(--($AL450:$AQ450&gt;AP450))+SUMPRODUCT(--($AL450:AO450=AP450))&lt;$AK450,1,0)</f>
        <v>76</v>
      </c>
      <c r="Q450" s="2" t="n">
        <f aca="false">AJ450+IF(SUMPRODUCT(--($AL450:$AQ450&gt;AQ450))+SUMPRODUCT(--($AL450:AP450=AQ450))&lt;$AK450,1,0)</f>
        <v>105</v>
      </c>
      <c r="R450" s="2" t="n">
        <f aca="false">SUM(L450:Q450)</f>
        <v>500</v>
      </c>
      <c r="S450" s="2" t="n">
        <f aca="false">Settings!$B$4*MAX(INDEX(Bases!$M$2:$M$53,B450),INDEX(Bases!$M$2:$M$53,C450))+Settings!$B$5*MIN(INDEX(Bases!$M$2:$M$53,B450),INDEX(Bases!$M$2:$M$53,C450))</f>
        <v>74.3333333333333</v>
      </c>
      <c r="T450" s="2" t="n">
        <f aca="false">Settings!$B$4*MAX(INDEX(Bases!$N$2:$N$53,B450),INDEX(Bases!$N$2:$N$53,C450))+Settings!$B$5*MIN(INDEX(Bases!$N$2:$N$53,B450),INDEX(Bases!$N$2:$N$53,C450))</f>
        <v>87.3333333333333</v>
      </c>
      <c r="U450" s="2" t="n">
        <f aca="false">Settings!$B$4*MAX(INDEX(Bases!$O$2:$O$53,B450),INDEX(Bases!$O$2:$O$53,C450))+Settings!$B$5*MIN(INDEX(Bases!$O$2:$O$53,B450),INDEX(Bases!$O$2:$O$53,C450))</f>
        <v>57.6666666666667</v>
      </c>
      <c r="V450" s="2" t="n">
        <f aca="false">Settings!$B$4*MAX(INDEX(Bases!$P$2:$P$53,B450),INDEX(Bases!$P$2:$P$53,C450))+Settings!$B$5*MIN(INDEX(Bases!$P$2:$P$53,B450),INDEX(Bases!$P$2:$P$53,C450))</f>
        <v>59.6666666666667</v>
      </c>
      <c r="W450" s="2" t="n">
        <f aca="false">Settings!$B$4*MAX(INDEX(Bases!$Q$2:$Q$53,B450),INDEX(Bases!$Q$2:$Q$53,C450))+Settings!$B$5*MIN(INDEX(Bases!$Q$2:$Q$53,B450),INDEX(Bases!$Q$2:$Q$53,C450))</f>
        <v>66</v>
      </c>
      <c r="X450" s="2" t="n">
        <f aca="false">Settings!$B$4*MAX(INDEX(Bases!$R$2:$R$53,B450),INDEX(Bases!$R$2:$R$53,C450))+Settings!$B$5*MIN(INDEX(Bases!$R$2:$R$53,B450),INDEX(Bases!$R$2:$R$53,C450))</f>
        <v>91.6666666666667</v>
      </c>
      <c r="Y450" s="2" t="n">
        <f aca="false">S450*Settings!$B$3/SUM(S450:X450)</f>
        <v>85.1145038167939</v>
      </c>
      <c r="Z450" s="2" t="n">
        <f aca="false">T450*Settings!$B$3/SUM(S450:X450)</f>
        <v>100</v>
      </c>
      <c r="AA450" s="2" t="n">
        <f aca="false">U450*Settings!$B$3/SUM(S450:X450)</f>
        <v>66.030534351145</v>
      </c>
      <c r="AB450" s="2" t="n">
        <f aca="false">V450*Settings!$B$3/SUM(S450:X450)</f>
        <v>68.3206106870229</v>
      </c>
      <c r="AC450" s="2" t="n">
        <f aca="false">W450*Settings!$B$3/SUM(S450:X450)</f>
        <v>75.5725190839695</v>
      </c>
      <c r="AD450" s="2" t="n">
        <f aca="false">X450*Settings!$B$3/SUM(S450:X450)</f>
        <v>104.961832061069</v>
      </c>
      <c r="AE450" s="2" t="n">
        <f aca="false">INT(Y450)</f>
        <v>85</v>
      </c>
      <c r="AF450" s="2" t="n">
        <f aca="false">INT(Z450)</f>
        <v>100</v>
      </c>
      <c r="AG450" s="2" t="n">
        <f aca="false">INT(AA450)</f>
        <v>66</v>
      </c>
      <c r="AH450" s="2" t="n">
        <f aca="false">INT(AB450)</f>
        <v>68</v>
      </c>
      <c r="AI450" s="2" t="n">
        <f aca="false">INT(AC450)</f>
        <v>75</v>
      </c>
      <c r="AJ450" s="2" t="n">
        <f aca="false">INT(AD450)</f>
        <v>104</v>
      </c>
      <c r="AK450" s="2" t="n">
        <f aca="false">Settings!$B$3-SUM(AE450:AJ450)</f>
        <v>2</v>
      </c>
      <c r="AL450" s="2" t="n">
        <f aca="false">ROUND(Y450-AE450,9)</f>
        <v>0.114503817</v>
      </c>
      <c r="AM450" s="2" t="n">
        <f aca="false">ROUND(Z450-AF450,9)</f>
        <v>0</v>
      </c>
      <c r="AN450" s="2" t="n">
        <f aca="false">ROUND(AA450-AG450,9)</f>
        <v>0.030534351</v>
      </c>
      <c r="AO450" s="2" t="n">
        <f aca="false">ROUND(AB450-AH450,9)</f>
        <v>0.320610687</v>
      </c>
      <c r="AP450" s="2" t="n">
        <f aca="false">ROUND(AC450-AI450,9)</f>
        <v>0.572519084</v>
      </c>
      <c r="AQ450" s="2" t="n">
        <f aca="false">ROUND(AD450-AJ450,9)</f>
        <v>0.961832061</v>
      </c>
    </row>
    <row r="451" customFormat="false" ht="15" hidden="false" customHeight="false" outlineLevel="0" collapsed="false">
      <c r="A451" s="2" t="n">
        <v>450</v>
      </c>
      <c r="B451" s="6" t="n">
        <v>10</v>
      </c>
      <c r="C451" s="6" t="n">
        <v>37</v>
      </c>
      <c r="D451" s="8" t="str">
        <f aca="false">INDEX(Bases!$B$2:$B$53,B451)</f>
        <v>Pichu</v>
      </c>
      <c r="E451" s="8" t="str">
        <f aca="false">INDEX(Bases!$B$2:$B$53,C451)</f>
        <v>Shuckle</v>
      </c>
      <c r="F451" s="2" t="str">
        <f aca="false">LEFT(D451,ROUNDUP(LEN(D451)/2,0))&amp;LOWER(MID(E451,ROUNDUP(LEN(E451)/2,0)+1,20))</f>
        <v>Pickle</v>
      </c>
      <c r="G451" s="8" t="str">
        <f aca="false">INDEX(Bases!$C$2:$C$53,B451)</f>
        <v>Electric</v>
      </c>
      <c r="H451" s="8" t="str">
        <f aca="false">IF(INDEX(Bases!$C$2:$C$53,C451)=G451,"",INDEX(Bases!$C$2:$C$53,C451))</f>
        <v>Rock</v>
      </c>
      <c r="I451" s="8" t="str">
        <f aca="false">IF(INDEX(Bases!$E$2:$E$53,B451)="","",INDEX(Bases!$E$2:$E$53,B451))</f>
        <v/>
      </c>
      <c r="J451" s="8" t="str">
        <f aca="false">IF(INDEX(Bases!$E$2:$E$53,C451)="","",INDEX(Bases!$E$2:$E$53,C451))</f>
        <v/>
      </c>
      <c r="K451" s="5"/>
      <c r="L451" s="2" t="n">
        <f aca="false">AE451+IF(SUMPRODUCT(--($AL451:$AQ451&gt;AL451))&lt;$AK451,1,0)</f>
        <v>32</v>
      </c>
      <c r="M451" s="2" t="n">
        <f aca="false">AF451+IF(SUMPRODUCT(--($AL451:$AQ451&gt;AM451))+SUMPRODUCT(--($AL451:AL451=AM451))&lt;$AK451,1,0)</f>
        <v>56</v>
      </c>
      <c r="N451" s="2" t="n">
        <f aca="false">AG451+IF(SUMPRODUCT(--($AL451:$AQ451&gt;AN451))+SUMPRODUCT(--($AL451:AM451=AN451))&lt;$AK451,1,0)</f>
        <v>134</v>
      </c>
      <c r="O451" s="2" t="n">
        <f aca="false">AH451+IF(SUMPRODUCT(--($AL451:$AQ451&gt;AO451))+SUMPRODUCT(--($AL451:AN451=AO451))&lt;$AK451,1,0)</f>
        <v>50</v>
      </c>
      <c r="P451" s="2" t="n">
        <f aca="false">AI451+IF(SUMPRODUCT(--($AL451:$AQ451&gt;AP451))+SUMPRODUCT(--($AL451:AO451=AP451))&lt;$AK451,1,0)</f>
        <v>147</v>
      </c>
      <c r="Q451" s="2" t="n">
        <f aca="false">AJ451+IF(SUMPRODUCT(--($AL451:$AQ451&gt;AQ451))+SUMPRODUCT(--($AL451:AP451=AQ451))&lt;$AK451,1,0)</f>
        <v>81</v>
      </c>
      <c r="R451" s="2" t="n">
        <f aca="false">SUM(L451:Q451)</f>
        <v>500</v>
      </c>
      <c r="S451" s="2" t="n">
        <f aca="false">Settings!$B$4*MAX(INDEX(Bases!$M$2:$M$53,B451),INDEX(Bases!$M$2:$M$53,C451))+Settings!$B$5*MIN(INDEX(Bases!$M$2:$M$53,B451),INDEX(Bases!$M$2:$M$53,C451))</f>
        <v>31.3333333333333</v>
      </c>
      <c r="T451" s="2" t="n">
        <f aca="false">Settings!$B$4*MAX(INDEX(Bases!$N$2:$N$53,B451),INDEX(Bases!$N$2:$N$53,C451))+Settings!$B$5*MIN(INDEX(Bases!$N$2:$N$53,B451),INDEX(Bases!$N$2:$N$53,C451))</f>
        <v>54.6666666666667</v>
      </c>
      <c r="U451" s="2" t="n">
        <f aca="false">Settings!$B$4*MAX(INDEX(Bases!$O$2:$O$53,B451),INDEX(Bases!$O$2:$O$53,C451))+Settings!$B$5*MIN(INDEX(Bases!$O$2:$O$53,B451),INDEX(Bases!$O$2:$O$53,C451))</f>
        <v>131</v>
      </c>
      <c r="V451" s="2" t="n">
        <f aca="false">Settings!$B$4*MAX(INDEX(Bases!$P$2:$P$53,B451),INDEX(Bases!$P$2:$P$53,C451))+Settings!$B$5*MIN(INDEX(Bases!$P$2:$P$53,B451),INDEX(Bases!$P$2:$P$53,C451))</f>
        <v>48.6666666666667</v>
      </c>
      <c r="W451" s="2" t="n">
        <f aca="false">Settings!$B$4*MAX(INDEX(Bases!$Q$2:$Q$53,B451),INDEX(Bases!$Q$2:$Q$53,C451))+Settings!$B$5*MIN(INDEX(Bases!$Q$2:$Q$53,B451),INDEX(Bases!$Q$2:$Q$53,C451))</f>
        <v>144</v>
      </c>
      <c r="X451" s="2" t="n">
        <f aca="false">Settings!$B$4*MAX(INDEX(Bases!$R$2:$R$53,B451),INDEX(Bases!$R$2:$R$53,C451))+Settings!$B$5*MIN(INDEX(Bases!$R$2:$R$53,B451),INDEX(Bases!$R$2:$R$53,C451))</f>
        <v>79.3333333333333</v>
      </c>
      <c r="Y451" s="2" t="n">
        <f aca="false">S451*Settings!$B$3/SUM(S451:X451)</f>
        <v>32.0381731424676</v>
      </c>
      <c r="Z451" s="2" t="n">
        <f aca="false">T451*Settings!$B$3/SUM(S451:X451)</f>
        <v>55.8963871847307</v>
      </c>
      <c r="AA451" s="2" t="n">
        <f aca="false">U451*Settings!$B$3/SUM(S451:X451)</f>
        <v>133.946830265849</v>
      </c>
      <c r="AB451" s="2" t="n">
        <f aca="false">V451*Settings!$B$3/SUM(S451:X451)</f>
        <v>49.7614178595774</v>
      </c>
      <c r="AC451" s="2" t="n">
        <f aca="false">W451*Settings!$B$3/SUM(S451:X451)</f>
        <v>147.239263803681</v>
      </c>
      <c r="AD451" s="2" t="n">
        <f aca="false">X451*Settings!$B$3/SUM(S451:X451)</f>
        <v>81.1179277436946</v>
      </c>
      <c r="AE451" s="2" t="n">
        <f aca="false">INT(Y451)</f>
        <v>32</v>
      </c>
      <c r="AF451" s="2" t="n">
        <f aca="false">INT(Z451)</f>
        <v>55</v>
      </c>
      <c r="AG451" s="2" t="n">
        <f aca="false">INT(AA451)</f>
        <v>133</v>
      </c>
      <c r="AH451" s="2" t="n">
        <f aca="false">INT(AB451)</f>
        <v>49</v>
      </c>
      <c r="AI451" s="2" t="n">
        <f aca="false">INT(AC451)</f>
        <v>147</v>
      </c>
      <c r="AJ451" s="2" t="n">
        <f aca="false">INT(AD451)</f>
        <v>81</v>
      </c>
      <c r="AK451" s="2" t="n">
        <f aca="false">Settings!$B$3-SUM(AE451:AJ451)</f>
        <v>3</v>
      </c>
      <c r="AL451" s="2" t="n">
        <f aca="false">ROUND(Y451-AE451,9)</f>
        <v>0.038173142</v>
      </c>
      <c r="AM451" s="2" t="n">
        <f aca="false">ROUND(Z451-AF451,9)</f>
        <v>0.896387185</v>
      </c>
      <c r="AN451" s="2" t="n">
        <f aca="false">ROUND(AA451-AG451,9)</f>
        <v>0.946830266</v>
      </c>
      <c r="AO451" s="2" t="n">
        <f aca="false">ROUND(AB451-AH451,9)</f>
        <v>0.76141786</v>
      </c>
      <c r="AP451" s="2" t="n">
        <f aca="false">ROUND(AC451-AI451,9)</f>
        <v>0.239263804</v>
      </c>
      <c r="AQ451" s="2" t="n">
        <f aca="false">ROUND(AD451-AJ451,9)</f>
        <v>0.117927744</v>
      </c>
    </row>
    <row r="452" customFormat="false" ht="15" hidden="false" customHeight="false" outlineLevel="0" collapsed="false">
      <c r="A452" s="2" t="n">
        <v>451</v>
      </c>
      <c r="B452" s="6" t="n">
        <v>10</v>
      </c>
      <c r="C452" s="6" t="n">
        <v>38</v>
      </c>
      <c r="D452" s="8" t="str">
        <f aca="false">INDEX(Bases!$B$2:$B$53,B452)</f>
        <v>Pichu</v>
      </c>
      <c r="E452" s="8" t="str">
        <f aca="false">INDEX(Bases!$B$2:$B$53,C452)</f>
        <v>Larvitar</v>
      </c>
      <c r="F452" s="2" t="str">
        <f aca="false">LEFT(D452,ROUNDUP(LEN(D452)/2,0))&amp;LOWER(MID(E452,ROUNDUP(LEN(E452)/2,0)+1,20))</f>
        <v>Picitar</v>
      </c>
      <c r="G452" s="8" t="str">
        <f aca="false">INDEX(Bases!$C$2:$C$53,B452)</f>
        <v>Electric</v>
      </c>
      <c r="H452" s="8" t="str">
        <f aca="false">IF(INDEX(Bases!$C$2:$C$53,C452)=G452,"",INDEX(Bases!$C$2:$C$53,C452))</f>
        <v>Rock</v>
      </c>
      <c r="I452" s="8" t="str">
        <f aca="false">IF(INDEX(Bases!$E$2:$E$53,B452)="","",INDEX(Bases!$E$2:$E$53,B452))</f>
        <v/>
      </c>
      <c r="J452" s="8" t="str">
        <f aca="false">IF(INDEX(Bases!$E$2:$E$53,C452)="","",INDEX(Bases!$E$2:$E$53,C452))</f>
        <v/>
      </c>
      <c r="K452" s="5"/>
      <c r="L452" s="2" t="n">
        <f aca="false">AE452+IF(SUMPRODUCT(--($AL452:$AQ452&gt;AL452))&lt;$AK452,1,0)</f>
        <v>68</v>
      </c>
      <c r="M452" s="2" t="n">
        <f aca="false">AF452+IF(SUMPRODUCT(--($AL452:$AQ452&gt;AM452))+SUMPRODUCT(--($AL452:AL452=AM452))&lt;$AK452,1,0)</f>
        <v>97</v>
      </c>
      <c r="N452" s="2" t="n">
        <f aca="false">AG452+IF(SUMPRODUCT(--($AL452:$AQ452&gt;AN452))+SUMPRODUCT(--($AL452:AM452=AN452))&lt;$AK452,1,0)</f>
        <v>64</v>
      </c>
      <c r="O452" s="2" t="n">
        <f aca="false">AH452+IF(SUMPRODUCT(--($AL452:$AQ452&gt;AO452))+SUMPRODUCT(--($AL452:AN452=AO452))&lt;$AK452,1,0)</f>
        <v>78</v>
      </c>
      <c r="P452" s="2" t="n">
        <f aca="false">AI452+IF(SUMPRODUCT(--($AL452:$AQ452&gt;AP452))+SUMPRODUCT(--($AL452:AO452=AP452))&lt;$AK452,1,0)</f>
        <v>80</v>
      </c>
      <c r="Q452" s="2" t="n">
        <f aca="false">AJ452+IF(SUMPRODUCT(--($AL452:$AQ452&gt;AQ452))+SUMPRODUCT(--($AL452:AP452=AQ452))&lt;$AK452,1,0)</f>
        <v>113</v>
      </c>
      <c r="R452" s="2" t="n">
        <f aca="false">SUM(L452:Q452)</f>
        <v>500</v>
      </c>
      <c r="S452" s="2" t="n">
        <f aca="false">Settings!$B$4*MAX(INDEX(Bases!$M$2:$M$53,B452),INDEX(Bases!$M$2:$M$53,C452))+Settings!$B$5*MIN(INDEX(Bases!$M$2:$M$53,B452),INDEX(Bases!$M$2:$M$53,C452))</f>
        <v>57.6666666666667</v>
      </c>
      <c r="T452" s="2" t="n">
        <f aca="false">Settings!$B$4*MAX(INDEX(Bases!$N$2:$N$53,B452),INDEX(Bases!$N$2:$N$53,C452))+Settings!$B$5*MIN(INDEX(Bases!$N$2:$N$53,B452),INDEX(Bases!$N$2:$N$53,C452))</f>
        <v>82.6666666666667</v>
      </c>
      <c r="U452" s="2" t="n">
        <f aca="false">Settings!$B$4*MAX(INDEX(Bases!$O$2:$O$53,B452),INDEX(Bases!$O$2:$O$53,C452))+Settings!$B$5*MIN(INDEX(Bases!$O$2:$O$53,B452),INDEX(Bases!$O$2:$O$53,C452))</f>
        <v>54.3333333333333</v>
      </c>
      <c r="V452" s="2" t="n">
        <f aca="false">Settings!$B$4*MAX(INDEX(Bases!$P$2:$P$53,B452),INDEX(Bases!$P$2:$P$53,C452))+Settings!$B$5*MIN(INDEX(Bases!$P$2:$P$53,B452),INDEX(Bases!$P$2:$P$53,C452))</f>
        <v>66</v>
      </c>
      <c r="W452" s="2" t="n">
        <f aca="false">Settings!$B$4*MAX(INDEX(Bases!$Q$2:$Q$53,B452),INDEX(Bases!$Q$2:$Q$53,C452))+Settings!$B$5*MIN(INDEX(Bases!$Q$2:$Q$53,B452),INDEX(Bases!$Q$2:$Q$53,C452))</f>
        <v>67.6666666666667</v>
      </c>
      <c r="X452" s="2" t="n">
        <f aca="false">Settings!$B$4*MAX(INDEX(Bases!$R$2:$R$53,B452),INDEX(Bases!$R$2:$R$53,C452))+Settings!$B$5*MIN(INDEX(Bases!$R$2:$R$53,B452),INDEX(Bases!$R$2:$R$53,C452))</f>
        <v>96</v>
      </c>
      <c r="Y452" s="2" t="n">
        <f aca="false">S452*Settings!$B$3/SUM(S452:X452)</f>
        <v>67.9497250589159</v>
      </c>
      <c r="Z452" s="2" t="n">
        <f aca="false">T452*Settings!$B$3/SUM(S452:X452)</f>
        <v>97.4076983503535</v>
      </c>
      <c r="AA452" s="2" t="n">
        <f aca="false">U452*Settings!$B$3/SUM(S452:X452)</f>
        <v>64.0219952867243</v>
      </c>
      <c r="AB452" s="2" t="n">
        <f aca="false">V452*Settings!$B$3/SUM(S452:X452)</f>
        <v>77.7690494893951</v>
      </c>
      <c r="AC452" s="2" t="n">
        <f aca="false">W452*Settings!$B$3/SUM(S452:X452)</f>
        <v>79.732914375491</v>
      </c>
      <c r="AD452" s="2" t="n">
        <f aca="false">X452*Settings!$B$3/SUM(S452:X452)</f>
        <v>113.11861743912</v>
      </c>
      <c r="AE452" s="2" t="n">
        <f aca="false">INT(Y452)</f>
        <v>67</v>
      </c>
      <c r="AF452" s="2" t="n">
        <f aca="false">INT(Z452)</f>
        <v>97</v>
      </c>
      <c r="AG452" s="2" t="n">
        <f aca="false">INT(AA452)</f>
        <v>64</v>
      </c>
      <c r="AH452" s="2" t="n">
        <f aca="false">INT(AB452)</f>
        <v>77</v>
      </c>
      <c r="AI452" s="2" t="n">
        <f aca="false">INT(AC452)</f>
        <v>79</v>
      </c>
      <c r="AJ452" s="2" t="n">
        <f aca="false">INT(AD452)</f>
        <v>113</v>
      </c>
      <c r="AK452" s="2" t="n">
        <f aca="false">Settings!$B$3-SUM(AE452:AJ452)</f>
        <v>3</v>
      </c>
      <c r="AL452" s="2" t="n">
        <f aca="false">ROUND(Y452-AE452,9)</f>
        <v>0.949725059</v>
      </c>
      <c r="AM452" s="2" t="n">
        <f aca="false">ROUND(Z452-AF452,9)</f>
        <v>0.40769835</v>
      </c>
      <c r="AN452" s="2" t="n">
        <f aca="false">ROUND(AA452-AG452,9)</f>
        <v>0.021995287</v>
      </c>
      <c r="AO452" s="2" t="n">
        <f aca="false">ROUND(AB452-AH452,9)</f>
        <v>0.769049489</v>
      </c>
      <c r="AP452" s="2" t="n">
        <f aca="false">ROUND(AC452-AI452,9)</f>
        <v>0.732914375</v>
      </c>
      <c r="AQ452" s="2" t="n">
        <f aca="false">ROUND(AD452-AJ452,9)</f>
        <v>0.118617439</v>
      </c>
    </row>
    <row r="453" customFormat="false" ht="15" hidden="false" customHeight="false" outlineLevel="0" collapsed="false">
      <c r="A453" s="2" t="n">
        <v>452</v>
      </c>
      <c r="B453" s="6" t="n">
        <v>10</v>
      </c>
      <c r="C453" s="6" t="n">
        <v>39</v>
      </c>
      <c r="D453" s="8" t="str">
        <f aca="false">INDEX(Bases!$B$2:$B$53,B453)</f>
        <v>Pichu</v>
      </c>
      <c r="E453" s="8" t="str">
        <f aca="false">INDEX(Bases!$B$2:$B$53,C453)</f>
        <v>Nosepass</v>
      </c>
      <c r="F453" s="2" t="str">
        <f aca="false">LEFT(D453,ROUNDUP(LEN(D453)/2,0))&amp;LOWER(MID(E453,ROUNDUP(LEN(E453)/2,0)+1,20))</f>
        <v>Picpass</v>
      </c>
      <c r="G453" s="8" t="str">
        <f aca="false">INDEX(Bases!$C$2:$C$53,B453)</f>
        <v>Electric</v>
      </c>
      <c r="H453" s="8" t="str">
        <f aca="false">IF(INDEX(Bases!$C$2:$C$53,C453)=G453,"",INDEX(Bases!$C$2:$C$53,C453))</f>
        <v>Rock</v>
      </c>
      <c r="I453" s="8" t="str">
        <f aca="false">IF(INDEX(Bases!$E$2:$E$53,B453)="","",INDEX(Bases!$E$2:$E$53,B453))</f>
        <v/>
      </c>
      <c r="J453" s="8" t="str">
        <f aca="false">IF(INDEX(Bases!$E$2:$E$53,C453)="","",INDEX(Bases!$E$2:$E$53,C453))</f>
        <v/>
      </c>
      <c r="K453" s="5"/>
      <c r="L453" s="2" t="n">
        <f aca="false">AE453+IF(SUMPRODUCT(--($AL453:$AQ453&gt;AL453))&lt;$AK453,1,0)</f>
        <v>41</v>
      </c>
      <c r="M453" s="2" t="n">
        <f aca="false">AF453+IF(SUMPRODUCT(--($AL453:$AQ453&gt;AM453))+SUMPRODUCT(--($AL453:AL453=AM453))&lt;$AK453,1,0)</f>
        <v>76</v>
      </c>
      <c r="N453" s="2" t="n">
        <f aca="false">AG453+IF(SUMPRODUCT(--($AL453:$AQ453&gt;AN453))+SUMPRODUCT(--($AL453:AM453=AN453))&lt;$AK453,1,0)</f>
        <v>118</v>
      </c>
      <c r="O453" s="2" t="n">
        <f aca="false">AH453+IF(SUMPRODUCT(--($AL453:$AQ453&gt;AO453))+SUMPRODUCT(--($AL453:AN453=AO453))&lt;$AK453,1,0)</f>
        <v>69</v>
      </c>
      <c r="P453" s="2" t="n">
        <f aca="false">AI453+IF(SUMPRODUCT(--($AL453:$AQ453&gt;AP453))+SUMPRODUCT(--($AL453:AO453=AP453))&lt;$AK453,1,0)</f>
        <v>97</v>
      </c>
      <c r="Q453" s="2" t="n">
        <f aca="false">AJ453+IF(SUMPRODUCT(--($AL453:$AQ453&gt;AQ453))+SUMPRODUCT(--($AL453:AP453=AQ453))&lt;$AK453,1,0)</f>
        <v>99</v>
      </c>
      <c r="R453" s="2" t="n">
        <f aca="false">SUM(L453:Q453)</f>
        <v>500</v>
      </c>
      <c r="S453" s="2" t="n">
        <f aca="false">Settings!$B$4*MAX(INDEX(Bases!$M$2:$M$53,B453),INDEX(Bases!$M$2:$M$53,C453))+Settings!$B$5*MIN(INDEX(Bases!$M$2:$M$53,B453),INDEX(Bases!$M$2:$M$53,C453))</f>
        <v>36.6666666666667</v>
      </c>
      <c r="T453" s="2" t="n">
        <f aca="false">Settings!$B$4*MAX(INDEX(Bases!$N$2:$N$53,B453),INDEX(Bases!$N$2:$N$53,C453))+Settings!$B$5*MIN(INDEX(Bases!$N$2:$N$53,B453),INDEX(Bases!$N$2:$N$53,C453))</f>
        <v>68</v>
      </c>
      <c r="U453" s="2" t="n">
        <f aca="false">Settings!$B$4*MAX(INDEX(Bases!$O$2:$O$53,B453),INDEX(Bases!$O$2:$O$53,C453))+Settings!$B$5*MIN(INDEX(Bases!$O$2:$O$53,B453),INDEX(Bases!$O$2:$O$53,C453))</f>
        <v>105.666666666667</v>
      </c>
      <c r="V453" s="2" t="n">
        <f aca="false">Settings!$B$4*MAX(INDEX(Bases!$P$2:$P$53,B453),INDEX(Bases!$P$2:$P$53,C453))+Settings!$B$5*MIN(INDEX(Bases!$P$2:$P$53,B453),INDEX(Bases!$P$2:$P$53,C453))</f>
        <v>62</v>
      </c>
      <c r="W453" s="2" t="n">
        <f aca="false">Settings!$B$4*MAX(INDEX(Bases!$Q$2:$Q$53,B453),INDEX(Bases!$Q$2:$Q$53,C453))+Settings!$B$5*MIN(INDEX(Bases!$Q$2:$Q$53,B453),INDEX(Bases!$Q$2:$Q$53,C453))</f>
        <v>86.6666666666667</v>
      </c>
      <c r="X453" s="2" t="n">
        <f aca="false">Settings!$B$4*MAX(INDEX(Bases!$R$2:$R$53,B453),INDEX(Bases!$R$2:$R$53,C453))+Settings!$B$5*MIN(INDEX(Bases!$R$2:$R$53,B453),INDEX(Bases!$R$2:$R$53,C453))</f>
        <v>88.6666666666667</v>
      </c>
      <c r="Y453" s="2" t="n">
        <f aca="false">S453*Settings!$B$3/SUM(S453:X453)</f>
        <v>40.9530900967982</v>
      </c>
      <c r="Z453" s="2" t="n">
        <f aca="false">T453*Settings!$B$3/SUM(S453:X453)</f>
        <v>75.9493670886076</v>
      </c>
      <c r="AA453" s="2" t="n">
        <f aca="false">U453*Settings!$B$3/SUM(S453:X453)</f>
        <v>118.019359642591</v>
      </c>
      <c r="AB453" s="2" t="n">
        <f aca="false">V453*Settings!$B$3/SUM(S453:X453)</f>
        <v>69.2479523454952</v>
      </c>
      <c r="AC453" s="2" t="n">
        <f aca="false">W453*Settings!$B$3/SUM(S453:X453)</f>
        <v>96.7982129560685</v>
      </c>
      <c r="AD453" s="2" t="n">
        <f aca="false">X453*Settings!$B$3/SUM(S453:X453)</f>
        <v>99.0320178704393</v>
      </c>
      <c r="AE453" s="2" t="n">
        <f aca="false">INT(Y453)</f>
        <v>40</v>
      </c>
      <c r="AF453" s="2" t="n">
        <f aca="false">INT(Z453)</f>
        <v>75</v>
      </c>
      <c r="AG453" s="2" t="n">
        <f aca="false">INT(AA453)</f>
        <v>118</v>
      </c>
      <c r="AH453" s="2" t="n">
        <f aca="false">INT(AB453)</f>
        <v>69</v>
      </c>
      <c r="AI453" s="2" t="n">
        <f aca="false">INT(AC453)</f>
        <v>96</v>
      </c>
      <c r="AJ453" s="2" t="n">
        <f aca="false">INT(AD453)</f>
        <v>99</v>
      </c>
      <c r="AK453" s="2" t="n">
        <f aca="false">Settings!$B$3-SUM(AE453:AJ453)</f>
        <v>3</v>
      </c>
      <c r="AL453" s="2" t="n">
        <f aca="false">ROUND(Y453-AE453,9)</f>
        <v>0.953090097</v>
      </c>
      <c r="AM453" s="2" t="n">
        <f aca="false">ROUND(Z453-AF453,9)</f>
        <v>0.949367089</v>
      </c>
      <c r="AN453" s="2" t="n">
        <f aca="false">ROUND(AA453-AG453,9)</f>
        <v>0.019359643</v>
      </c>
      <c r="AO453" s="2" t="n">
        <f aca="false">ROUND(AB453-AH453,9)</f>
        <v>0.247952345</v>
      </c>
      <c r="AP453" s="2" t="n">
        <f aca="false">ROUND(AC453-AI453,9)</f>
        <v>0.798212956</v>
      </c>
      <c r="AQ453" s="2" t="n">
        <f aca="false">ROUND(AD453-AJ453,9)</f>
        <v>0.03201787</v>
      </c>
    </row>
    <row r="454" customFormat="false" ht="15" hidden="false" customHeight="false" outlineLevel="0" collapsed="false">
      <c r="A454" s="2" t="n">
        <v>453</v>
      </c>
      <c r="B454" s="6" t="n">
        <v>10</v>
      </c>
      <c r="C454" s="6" t="n">
        <v>40</v>
      </c>
      <c r="D454" s="8" t="str">
        <f aca="false">INDEX(Bases!$B$2:$B$53,B454)</f>
        <v>Pichu</v>
      </c>
      <c r="E454" s="8" t="str">
        <f aca="false">INDEX(Bases!$B$2:$B$53,C454)</f>
        <v>Gastly</v>
      </c>
      <c r="F454" s="2" t="str">
        <f aca="false">LEFT(D454,ROUNDUP(LEN(D454)/2,0))&amp;LOWER(MID(E454,ROUNDUP(LEN(E454)/2,0)+1,20))</f>
        <v>Pictly</v>
      </c>
      <c r="G454" s="8" t="str">
        <f aca="false">INDEX(Bases!$C$2:$C$53,B454)</f>
        <v>Electric</v>
      </c>
      <c r="H454" s="8" t="str">
        <f aca="false">IF(INDEX(Bases!$C$2:$C$53,C454)=G454,"",INDEX(Bases!$C$2:$C$53,C454))</f>
        <v>Ghost</v>
      </c>
      <c r="I454" s="8" t="str">
        <f aca="false">IF(INDEX(Bases!$E$2:$E$53,B454)="","",INDEX(Bases!$E$2:$E$53,B454))</f>
        <v/>
      </c>
      <c r="J454" s="8" t="str">
        <f aca="false">IF(INDEX(Bases!$E$2:$E$53,C454)="","",INDEX(Bases!$E$2:$E$53,C454))</f>
        <v/>
      </c>
      <c r="K454" s="5"/>
      <c r="L454" s="2" t="n">
        <f aca="false">AE454+IF(SUMPRODUCT(--($AL454:$AQ454&gt;AL454))&lt;$AK454,1,0)</f>
        <v>46</v>
      </c>
      <c r="M454" s="2" t="n">
        <f aca="false">AF454+IF(SUMPRODUCT(--($AL454:$AQ454&gt;AM454))+SUMPRODUCT(--($AL454:AL454=AM454))&lt;$AK454,1,0)</f>
        <v>79</v>
      </c>
      <c r="N454" s="2" t="n">
        <f aca="false">AG454+IF(SUMPRODUCT(--($AL454:$AQ454&gt;AN454))+SUMPRODUCT(--($AL454:AM454=AN454))&lt;$AK454,1,0)</f>
        <v>42</v>
      </c>
      <c r="O454" s="2" t="n">
        <f aca="false">AH454+IF(SUMPRODUCT(--($AL454:$AQ454&gt;AO454))+SUMPRODUCT(--($AL454:AN454=AO454))&lt;$AK454,1,0)</f>
        <v>129</v>
      </c>
      <c r="P454" s="2" t="n">
        <f aca="false">AI454+IF(SUMPRODUCT(--($AL454:$AQ454&gt;AP454))+SUMPRODUCT(--($AL454:AO454=AP454))&lt;$AK454,1,0)</f>
        <v>71</v>
      </c>
      <c r="Q454" s="2" t="n">
        <f aca="false">AJ454+IF(SUMPRODUCT(--($AL454:$AQ454&gt;AQ454))+SUMPRODUCT(--($AL454:AP454=AQ454))&lt;$AK454,1,0)</f>
        <v>133</v>
      </c>
      <c r="R454" s="2" t="n">
        <f aca="false">SUM(L454:Q454)</f>
        <v>500</v>
      </c>
      <c r="S454" s="2" t="n">
        <f aca="false">Settings!$B$4*MAX(INDEX(Bases!$M$2:$M$53,B454),INDEX(Bases!$M$2:$M$53,C454))+Settings!$B$5*MIN(INDEX(Bases!$M$2:$M$53,B454),INDEX(Bases!$M$2:$M$53,C454))</f>
        <v>39</v>
      </c>
      <c r="T454" s="2" t="n">
        <f aca="false">Settings!$B$4*MAX(INDEX(Bases!$N$2:$N$53,B454),INDEX(Bases!$N$2:$N$53,C454))+Settings!$B$5*MIN(INDEX(Bases!$N$2:$N$53,B454),INDEX(Bases!$N$2:$N$53,C454))</f>
        <v>67</v>
      </c>
      <c r="U454" s="2" t="n">
        <f aca="false">Settings!$B$4*MAX(INDEX(Bases!$O$2:$O$53,B454),INDEX(Bases!$O$2:$O$53,C454))+Settings!$B$5*MIN(INDEX(Bases!$O$2:$O$53,B454),INDEX(Bases!$O$2:$O$53,C454))</f>
        <v>35.6666666666667</v>
      </c>
      <c r="V454" s="2" t="n">
        <f aca="false">Settings!$B$4*MAX(INDEX(Bases!$P$2:$P$53,B454),INDEX(Bases!$P$2:$P$53,C454))+Settings!$B$5*MIN(INDEX(Bases!$P$2:$P$53,B454),INDEX(Bases!$P$2:$P$53,C454))</f>
        <v>109</v>
      </c>
      <c r="W454" s="2" t="n">
        <f aca="false">Settings!$B$4*MAX(INDEX(Bases!$Q$2:$Q$53,B454),INDEX(Bases!$Q$2:$Q$53,C454))+Settings!$B$5*MIN(INDEX(Bases!$Q$2:$Q$53,B454),INDEX(Bases!$Q$2:$Q$53,C454))</f>
        <v>60.3333333333333</v>
      </c>
      <c r="X454" s="2" t="n">
        <f aca="false">Settings!$B$4*MAX(INDEX(Bases!$R$2:$R$53,B454),INDEX(Bases!$R$2:$R$53,C454))+Settings!$B$5*MIN(INDEX(Bases!$R$2:$R$53,B454),INDEX(Bases!$R$2:$R$53,C454))</f>
        <v>112.333333333333</v>
      </c>
      <c r="Y454" s="2" t="n">
        <f aca="false">S454*Settings!$B$3/SUM(S454:X454)</f>
        <v>46.0629921259842</v>
      </c>
      <c r="Z454" s="2" t="n">
        <f aca="false">T454*Settings!$B$3/SUM(S454:X454)</f>
        <v>79.1338582677165</v>
      </c>
      <c r="AA454" s="2" t="n">
        <f aca="false">U454*Settings!$B$3/SUM(S454:X454)</f>
        <v>42.1259842519685</v>
      </c>
      <c r="AB454" s="2" t="n">
        <f aca="false">V454*Settings!$B$3/SUM(S454:X454)</f>
        <v>128.740157480315</v>
      </c>
      <c r="AC454" s="2" t="n">
        <f aca="false">W454*Settings!$B$3/SUM(S454:X454)</f>
        <v>71.259842519685</v>
      </c>
      <c r="AD454" s="2" t="n">
        <f aca="false">X454*Settings!$B$3/SUM(S454:X454)</f>
        <v>132.677165354331</v>
      </c>
      <c r="AE454" s="2" t="n">
        <f aca="false">INT(Y454)</f>
        <v>46</v>
      </c>
      <c r="AF454" s="2" t="n">
        <f aca="false">INT(Z454)</f>
        <v>79</v>
      </c>
      <c r="AG454" s="2" t="n">
        <f aca="false">INT(AA454)</f>
        <v>42</v>
      </c>
      <c r="AH454" s="2" t="n">
        <f aca="false">INT(AB454)</f>
        <v>128</v>
      </c>
      <c r="AI454" s="2" t="n">
        <f aca="false">INT(AC454)</f>
        <v>71</v>
      </c>
      <c r="AJ454" s="2" t="n">
        <f aca="false">INT(AD454)</f>
        <v>132</v>
      </c>
      <c r="AK454" s="2" t="n">
        <f aca="false">Settings!$B$3-SUM(AE454:AJ454)</f>
        <v>2</v>
      </c>
      <c r="AL454" s="2" t="n">
        <f aca="false">ROUND(Y454-AE454,9)</f>
        <v>0.062992126</v>
      </c>
      <c r="AM454" s="2" t="n">
        <f aca="false">ROUND(Z454-AF454,9)</f>
        <v>0.133858268</v>
      </c>
      <c r="AN454" s="2" t="n">
        <f aca="false">ROUND(AA454-AG454,9)</f>
        <v>0.125984252</v>
      </c>
      <c r="AO454" s="2" t="n">
        <f aca="false">ROUND(AB454-AH454,9)</f>
        <v>0.74015748</v>
      </c>
      <c r="AP454" s="2" t="n">
        <f aca="false">ROUND(AC454-AI454,9)</f>
        <v>0.25984252</v>
      </c>
      <c r="AQ454" s="2" t="n">
        <f aca="false">ROUND(AD454-AJ454,9)</f>
        <v>0.677165354</v>
      </c>
    </row>
    <row r="455" customFormat="false" ht="15" hidden="false" customHeight="false" outlineLevel="0" collapsed="false">
      <c r="A455" s="2" t="n">
        <v>454</v>
      </c>
      <c r="B455" s="6" t="n">
        <v>10</v>
      </c>
      <c r="C455" s="6" t="n">
        <v>41</v>
      </c>
      <c r="D455" s="8" t="str">
        <f aca="false">INDEX(Bases!$B$2:$B$53,B455)</f>
        <v>Pichu</v>
      </c>
      <c r="E455" s="8" t="str">
        <f aca="false">INDEX(Bases!$B$2:$B$53,C455)</f>
        <v>Misdreavus</v>
      </c>
      <c r="F455" s="2" t="str">
        <f aca="false">LEFT(D455,ROUNDUP(LEN(D455)/2,0))&amp;LOWER(MID(E455,ROUNDUP(LEN(E455)/2,0)+1,20))</f>
        <v>Piceavus</v>
      </c>
      <c r="G455" s="8" t="str">
        <f aca="false">INDEX(Bases!$C$2:$C$53,B455)</f>
        <v>Electric</v>
      </c>
      <c r="H455" s="8" t="str">
        <f aca="false">IF(INDEX(Bases!$C$2:$C$53,C455)=G455,"",INDEX(Bases!$C$2:$C$53,C455))</f>
        <v>Ghost</v>
      </c>
      <c r="I455" s="8" t="str">
        <f aca="false">IF(INDEX(Bases!$E$2:$E$53,B455)="","",INDEX(Bases!$E$2:$E$53,B455))</f>
        <v/>
      </c>
      <c r="J455" s="8" t="str">
        <f aca="false">IF(INDEX(Bases!$E$2:$E$53,C455)="","",INDEX(Bases!$E$2:$E$53,C455))</f>
        <v/>
      </c>
      <c r="K455" s="5"/>
      <c r="L455" s="2" t="n">
        <f aca="false">AE455+IF(SUMPRODUCT(--($AL455:$AQ455&gt;AL455))&lt;$AK455,1,0)</f>
        <v>60</v>
      </c>
      <c r="M455" s="2" t="n">
        <f aca="false">AF455+IF(SUMPRODUCT(--($AL455:$AQ455&gt;AM455))+SUMPRODUCT(--($AL455:AL455=AM455))&lt;$AK455,1,0)</f>
        <v>83</v>
      </c>
      <c r="N455" s="2" t="n">
        <f aca="false">AG455+IF(SUMPRODUCT(--($AL455:$AQ455&gt;AN455))+SUMPRODUCT(--($AL455:AM455=AN455))&lt;$AK455,1,0)</f>
        <v>55</v>
      </c>
      <c r="O455" s="2" t="n">
        <f aca="false">AH455+IF(SUMPRODUCT(--($AL455:$AQ455&gt;AO455))+SUMPRODUCT(--($AL455:AN455=AO455))&lt;$AK455,1,0)</f>
        <v>89</v>
      </c>
      <c r="P455" s="2" t="n">
        <f aca="false">AI455+IF(SUMPRODUCT(--($AL455:$AQ455&gt;AP455))+SUMPRODUCT(--($AL455:AO455=AP455))&lt;$AK455,1,0)</f>
        <v>89</v>
      </c>
      <c r="Q455" s="2" t="n">
        <f aca="false">AJ455+IF(SUMPRODUCT(--($AL455:$AQ455&gt;AQ455))+SUMPRODUCT(--($AL455:AP455=AQ455))&lt;$AK455,1,0)</f>
        <v>124</v>
      </c>
      <c r="R455" s="2" t="n">
        <f aca="false">SUM(L455:Q455)</f>
        <v>500</v>
      </c>
      <c r="S455" s="2" t="n">
        <f aca="false">Settings!$B$4*MAX(INDEX(Bases!$M$2:$M$53,B455),INDEX(Bases!$M$2:$M$53,C455))+Settings!$B$5*MIN(INDEX(Bases!$M$2:$M$53,B455),INDEX(Bases!$M$2:$M$53,C455))</f>
        <v>50.3333333333333</v>
      </c>
      <c r="T455" s="2" t="n">
        <f aca="false">Settings!$B$4*MAX(INDEX(Bases!$N$2:$N$53,B455),INDEX(Bases!$N$2:$N$53,C455))+Settings!$B$5*MIN(INDEX(Bases!$N$2:$N$53,B455),INDEX(Bases!$N$2:$N$53,C455))</f>
        <v>70.3333333333333</v>
      </c>
      <c r="U455" s="2" t="n">
        <f aca="false">Settings!$B$4*MAX(INDEX(Bases!$O$2:$O$53,B455),INDEX(Bases!$O$2:$O$53,C455))+Settings!$B$5*MIN(INDEX(Bases!$O$2:$O$53,B455),INDEX(Bases!$O$2:$O$53,C455))</f>
        <v>46.3333333333333</v>
      </c>
      <c r="V455" s="2" t="n">
        <f aca="false">Settings!$B$4*MAX(INDEX(Bases!$P$2:$P$53,B455),INDEX(Bases!$P$2:$P$53,C455))+Settings!$B$5*MIN(INDEX(Bases!$P$2:$P$53,B455),INDEX(Bases!$P$2:$P$53,C455))</f>
        <v>75</v>
      </c>
      <c r="W455" s="2" t="n">
        <f aca="false">Settings!$B$4*MAX(INDEX(Bases!$Q$2:$Q$53,B455),INDEX(Bases!$Q$2:$Q$53,C455))+Settings!$B$5*MIN(INDEX(Bases!$Q$2:$Q$53,B455),INDEX(Bases!$Q$2:$Q$53,C455))</f>
        <v>74.6666666666667</v>
      </c>
      <c r="X455" s="2" t="n">
        <f aca="false">Settings!$B$4*MAX(INDEX(Bases!$R$2:$R$53,B455),INDEX(Bases!$R$2:$R$53,C455))+Settings!$B$5*MIN(INDEX(Bases!$R$2:$R$53,B455),INDEX(Bases!$R$2:$R$53,C455))</f>
        <v>104</v>
      </c>
      <c r="Y455" s="2" t="n">
        <f aca="false">S455*Settings!$B$3/SUM(S455:X455)</f>
        <v>59.8256735340729</v>
      </c>
      <c r="Z455" s="2" t="n">
        <f aca="false">T455*Settings!$B$3/SUM(S455:X455)</f>
        <v>83.5974643423138</v>
      </c>
      <c r="AA455" s="2" t="n">
        <f aca="false">U455*Settings!$B$3/SUM(S455:X455)</f>
        <v>55.0713153724247</v>
      </c>
      <c r="AB455" s="2" t="n">
        <f aca="false">V455*Settings!$B$3/SUM(S455:X455)</f>
        <v>89.1442155309033</v>
      </c>
      <c r="AC455" s="2" t="n">
        <f aca="false">W455*Settings!$B$3/SUM(S455:X455)</f>
        <v>88.7480190174327</v>
      </c>
      <c r="AD455" s="2" t="n">
        <f aca="false">X455*Settings!$B$3/SUM(S455:X455)</f>
        <v>123.613312202853</v>
      </c>
      <c r="AE455" s="2" t="n">
        <f aca="false">INT(Y455)</f>
        <v>59</v>
      </c>
      <c r="AF455" s="2" t="n">
        <f aca="false">INT(Z455)</f>
        <v>83</v>
      </c>
      <c r="AG455" s="2" t="n">
        <f aca="false">INT(AA455)</f>
        <v>55</v>
      </c>
      <c r="AH455" s="2" t="n">
        <f aca="false">INT(AB455)</f>
        <v>89</v>
      </c>
      <c r="AI455" s="2" t="n">
        <f aca="false">INT(AC455)</f>
        <v>88</v>
      </c>
      <c r="AJ455" s="2" t="n">
        <f aca="false">INT(AD455)</f>
        <v>123</v>
      </c>
      <c r="AK455" s="2" t="n">
        <f aca="false">Settings!$B$3-SUM(AE455:AJ455)</f>
        <v>3</v>
      </c>
      <c r="AL455" s="2" t="n">
        <f aca="false">ROUND(Y455-AE455,9)</f>
        <v>0.825673534</v>
      </c>
      <c r="AM455" s="2" t="n">
        <f aca="false">ROUND(Z455-AF455,9)</f>
        <v>0.597464342</v>
      </c>
      <c r="AN455" s="2" t="n">
        <f aca="false">ROUND(AA455-AG455,9)</f>
        <v>0.071315372</v>
      </c>
      <c r="AO455" s="2" t="n">
        <f aca="false">ROUND(AB455-AH455,9)</f>
        <v>0.144215531</v>
      </c>
      <c r="AP455" s="2" t="n">
        <f aca="false">ROUND(AC455-AI455,9)</f>
        <v>0.748019017</v>
      </c>
      <c r="AQ455" s="2" t="n">
        <f aca="false">ROUND(AD455-AJ455,9)</f>
        <v>0.613312203</v>
      </c>
    </row>
    <row r="456" customFormat="false" ht="15" hidden="false" customHeight="false" outlineLevel="0" collapsed="false">
      <c r="A456" s="2" t="n">
        <v>455</v>
      </c>
      <c r="B456" s="6" t="n">
        <v>10</v>
      </c>
      <c r="C456" s="6" t="n">
        <v>42</v>
      </c>
      <c r="D456" s="8" t="str">
        <f aca="false">INDEX(Bases!$B$2:$B$53,B456)</f>
        <v>Pichu</v>
      </c>
      <c r="E456" s="8" t="str">
        <f aca="false">INDEX(Bases!$B$2:$B$53,C456)</f>
        <v>Sableye</v>
      </c>
      <c r="F456" s="2" t="str">
        <f aca="false">LEFT(D456,ROUNDUP(LEN(D456)/2,0))&amp;LOWER(MID(E456,ROUNDUP(LEN(E456)/2,0)+1,20))</f>
        <v>Piceye</v>
      </c>
      <c r="G456" s="8" t="str">
        <f aca="false">INDEX(Bases!$C$2:$C$53,B456)</f>
        <v>Electric</v>
      </c>
      <c r="H456" s="8" t="str">
        <f aca="false">IF(INDEX(Bases!$C$2:$C$53,C456)=G456,"",INDEX(Bases!$C$2:$C$53,C456))</f>
        <v>Ghost</v>
      </c>
      <c r="I456" s="8" t="str">
        <f aca="false">IF(INDEX(Bases!$E$2:$E$53,B456)="","",INDEX(Bases!$E$2:$E$53,B456))</f>
        <v/>
      </c>
      <c r="J456" s="8" t="str">
        <f aca="false">IF(INDEX(Bases!$E$2:$E$53,C456)="","",INDEX(Bases!$E$2:$E$53,C456))</f>
        <v/>
      </c>
      <c r="K456" s="5"/>
      <c r="L456" s="2" t="n">
        <f aca="false">AE456+IF(SUMPRODUCT(--($AL456:$AQ456&gt;AL456))&lt;$AK456,1,0)</f>
        <v>57</v>
      </c>
      <c r="M456" s="2" t="n">
        <f aca="false">AF456+IF(SUMPRODUCT(--($AL456:$AQ456&gt;AM456))+SUMPRODUCT(--($AL456:AL456=AM456))&lt;$AK456,1,0)</f>
        <v>93</v>
      </c>
      <c r="N456" s="2" t="n">
        <f aca="false">AG456+IF(SUMPRODUCT(--($AL456:$AQ456&gt;AN456))+SUMPRODUCT(--($AL456:AM456=AN456))&lt;$AK456,1,0)</f>
        <v>74</v>
      </c>
      <c r="O456" s="2" t="n">
        <f aca="false">AH456+IF(SUMPRODUCT(--($AL456:$AQ456&gt;AO456))+SUMPRODUCT(--($AL456:AN456=AO456))&lt;$AK456,1,0)</f>
        <v>81</v>
      </c>
      <c r="P456" s="2" t="n">
        <f aca="false">AI456+IF(SUMPRODUCT(--($AL456:$AQ456&gt;AP456))+SUMPRODUCT(--($AL456:AO456=AP456))&lt;$AK456,1,0)</f>
        <v>81</v>
      </c>
      <c r="Q456" s="2" t="n">
        <f aca="false">AJ456+IF(SUMPRODUCT(--($AL456:$AQ456&gt;AQ456))+SUMPRODUCT(--($AL456:AP456=AQ456))&lt;$AK456,1,0)</f>
        <v>114</v>
      </c>
      <c r="R456" s="2" t="n">
        <f aca="false">SUM(L456:Q456)</f>
        <v>500</v>
      </c>
      <c r="S456" s="2" t="n">
        <f aca="false">Settings!$B$4*MAX(INDEX(Bases!$M$2:$M$53,B456),INDEX(Bases!$M$2:$M$53,C456))+Settings!$B$5*MIN(INDEX(Bases!$M$2:$M$53,B456),INDEX(Bases!$M$2:$M$53,C456))</f>
        <v>48.3333333333333</v>
      </c>
      <c r="T456" s="2" t="n">
        <f aca="false">Settings!$B$4*MAX(INDEX(Bases!$N$2:$N$53,B456),INDEX(Bases!$N$2:$N$53,C456))+Settings!$B$5*MIN(INDEX(Bases!$N$2:$N$53,B456),INDEX(Bases!$N$2:$N$53,C456))</f>
        <v>78.6666666666667</v>
      </c>
      <c r="U456" s="2" t="n">
        <f aca="false">Settings!$B$4*MAX(INDEX(Bases!$O$2:$O$53,B456),INDEX(Bases!$O$2:$O$53,C456))+Settings!$B$5*MIN(INDEX(Bases!$O$2:$O$53,B456),INDEX(Bases!$O$2:$O$53,C456))</f>
        <v>62.3333333333333</v>
      </c>
      <c r="V456" s="2" t="n">
        <f aca="false">Settings!$B$4*MAX(INDEX(Bases!$P$2:$P$53,B456),INDEX(Bases!$P$2:$P$53,C456))+Settings!$B$5*MIN(INDEX(Bases!$P$2:$P$53,B456),INDEX(Bases!$P$2:$P$53,C456))</f>
        <v>68.6666666666667</v>
      </c>
      <c r="W456" s="2" t="n">
        <f aca="false">Settings!$B$4*MAX(INDEX(Bases!$Q$2:$Q$53,B456),INDEX(Bases!$Q$2:$Q$53,C456))+Settings!$B$5*MIN(INDEX(Bases!$Q$2:$Q$53,B456),INDEX(Bases!$Q$2:$Q$53,C456))</f>
        <v>68</v>
      </c>
      <c r="X456" s="2" t="n">
        <f aca="false">Settings!$B$4*MAX(INDEX(Bases!$R$2:$R$53,B456),INDEX(Bases!$R$2:$R$53,C456))+Settings!$B$5*MIN(INDEX(Bases!$R$2:$R$53,B456),INDEX(Bases!$R$2:$R$53,C456))</f>
        <v>95.6666666666667</v>
      </c>
      <c r="Y456" s="2" t="n">
        <f aca="false">S456*Settings!$B$3/SUM(S456:X456)</f>
        <v>57.3122529644269</v>
      </c>
      <c r="Z456" s="2" t="n">
        <f aca="false">T456*Settings!$B$3/SUM(S456:X456)</f>
        <v>93.2806324110672</v>
      </c>
      <c r="AA456" s="2" t="n">
        <f aca="false">U456*Settings!$B$3/SUM(S456:X456)</f>
        <v>73.9130434782609</v>
      </c>
      <c r="AB456" s="2" t="n">
        <f aca="false">V456*Settings!$B$3/SUM(S456:X456)</f>
        <v>81.4229249011858</v>
      </c>
      <c r="AC456" s="2" t="n">
        <f aca="false">W456*Settings!$B$3/SUM(S456:X456)</f>
        <v>80.6324110671937</v>
      </c>
      <c r="AD456" s="2" t="n">
        <f aca="false">X456*Settings!$B$3/SUM(S456:X456)</f>
        <v>113.438735177866</v>
      </c>
      <c r="AE456" s="2" t="n">
        <f aca="false">INT(Y456)</f>
        <v>57</v>
      </c>
      <c r="AF456" s="2" t="n">
        <f aca="false">INT(Z456)</f>
        <v>93</v>
      </c>
      <c r="AG456" s="2" t="n">
        <f aca="false">INT(AA456)</f>
        <v>73</v>
      </c>
      <c r="AH456" s="2" t="n">
        <f aca="false">INT(AB456)</f>
        <v>81</v>
      </c>
      <c r="AI456" s="2" t="n">
        <f aca="false">INT(AC456)</f>
        <v>80</v>
      </c>
      <c r="AJ456" s="2" t="n">
        <f aca="false">INT(AD456)</f>
        <v>113</v>
      </c>
      <c r="AK456" s="2" t="n">
        <f aca="false">Settings!$B$3-SUM(AE456:AJ456)</f>
        <v>3</v>
      </c>
      <c r="AL456" s="2" t="n">
        <f aca="false">ROUND(Y456-AE456,9)</f>
        <v>0.312252964</v>
      </c>
      <c r="AM456" s="2" t="n">
        <f aca="false">ROUND(Z456-AF456,9)</f>
        <v>0.280632411</v>
      </c>
      <c r="AN456" s="2" t="n">
        <f aca="false">ROUND(AA456-AG456,9)</f>
        <v>0.913043478</v>
      </c>
      <c r="AO456" s="2" t="n">
        <f aca="false">ROUND(AB456-AH456,9)</f>
        <v>0.422924901</v>
      </c>
      <c r="AP456" s="2" t="n">
        <f aca="false">ROUND(AC456-AI456,9)</f>
        <v>0.632411067</v>
      </c>
      <c r="AQ456" s="2" t="n">
        <f aca="false">ROUND(AD456-AJ456,9)</f>
        <v>0.438735178</v>
      </c>
    </row>
    <row r="457" customFormat="false" ht="15" hidden="false" customHeight="false" outlineLevel="0" collapsed="false">
      <c r="A457" s="2" t="n">
        <v>456</v>
      </c>
      <c r="B457" s="6" t="n">
        <v>10</v>
      </c>
      <c r="C457" s="6" t="n">
        <v>43</v>
      </c>
      <c r="D457" s="8" t="str">
        <f aca="false">INDEX(Bases!$B$2:$B$53,B457)</f>
        <v>Pichu</v>
      </c>
      <c r="E457" s="8" t="str">
        <f aca="false">INDEX(Bases!$B$2:$B$53,C457)</f>
        <v>Dratini</v>
      </c>
      <c r="F457" s="2" t="str">
        <f aca="false">LEFT(D457,ROUNDUP(LEN(D457)/2,0))&amp;LOWER(MID(E457,ROUNDUP(LEN(E457)/2,0)+1,20))</f>
        <v>Picini</v>
      </c>
      <c r="G457" s="8" t="str">
        <f aca="false">INDEX(Bases!$C$2:$C$53,B457)</f>
        <v>Electric</v>
      </c>
      <c r="H457" s="8" t="str">
        <f aca="false">IF(INDEX(Bases!$C$2:$C$53,C457)=G457,"",INDEX(Bases!$C$2:$C$53,C457))</f>
        <v>Dragon</v>
      </c>
      <c r="I457" s="8" t="str">
        <f aca="false">IF(INDEX(Bases!$E$2:$E$53,B457)="","",INDEX(Bases!$E$2:$E$53,B457))</f>
        <v/>
      </c>
      <c r="J457" s="8" t="str">
        <f aca="false">IF(INDEX(Bases!$E$2:$E$53,C457)="","",INDEX(Bases!$E$2:$E$53,C457))</f>
        <v/>
      </c>
      <c r="K457" s="5"/>
      <c r="L457" s="2" t="n">
        <f aca="false">AE457+IF(SUMPRODUCT(--($AL457:$AQ457&gt;AL457))&lt;$AK457,1,0)</f>
        <v>59</v>
      </c>
      <c r="M457" s="2" t="n">
        <f aca="false">AF457+IF(SUMPRODUCT(--($AL457:$AQ457&gt;AM457))+SUMPRODUCT(--($AL457:AL457=AM457))&lt;$AK457,1,0)</f>
        <v>99</v>
      </c>
      <c r="N457" s="2" t="n">
        <f aca="false">AG457+IF(SUMPRODUCT(--($AL457:$AQ457&gt;AN457))+SUMPRODUCT(--($AL457:AM457=AN457))&lt;$AK457,1,0)</f>
        <v>59</v>
      </c>
      <c r="O457" s="2" t="n">
        <f aca="false">AH457+IF(SUMPRODUCT(--($AL457:$AQ457&gt;AO457))+SUMPRODUCT(--($AL457:AN457=AO457))&lt;$AK457,1,0)</f>
        <v>82</v>
      </c>
      <c r="P457" s="2" t="n">
        <f aca="false">AI457+IF(SUMPRODUCT(--($AL457:$AQ457&gt;AP457))+SUMPRODUCT(--($AL457:AO457=AP457))&lt;$AK457,1,0)</f>
        <v>81</v>
      </c>
      <c r="Q457" s="2" t="n">
        <f aca="false">AJ457+IF(SUMPRODUCT(--($AL457:$AQ457&gt;AQ457))+SUMPRODUCT(--($AL457:AP457=AQ457))&lt;$AK457,1,0)</f>
        <v>120</v>
      </c>
      <c r="R457" s="2" t="n">
        <f aca="false">SUM(L457:Q457)</f>
        <v>500</v>
      </c>
      <c r="S457" s="2" t="n">
        <f aca="false">Settings!$B$4*MAX(INDEX(Bases!$M$2:$M$53,B457),INDEX(Bases!$M$2:$M$53,C457))+Settings!$B$5*MIN(INDEX(Bases!$M$2:$M$53,B457),INDEX(Bases!$M$2:$M$53,C457))</f>
        <v>49.6666666666667</v>
      </c>
      <c r="T457" s="2" t="n">
        <f aca="false">Settings!$B$4*MAX(INDEX(Bases!$N$2:$N$53,B457),INDEX(Bases!$N$2:$N$53,C457))+Settings!$B$5*MIN(INDEX(Bases!$N$2:$N$53,B457),INDEX(Bases!$N$2:$N$53,C457))</f>
        <v>82.6666666666667</v>
      </c>
      <c r="U457" s="2" t="n">
        <f aca="false">Settings!$B$4*MAX(INDEX(Bases!$O$2:$O$53,B457),INDEX(Bases!$O$2:$O$53,C457))+Settings!$B$5*MIN(INDEX(Bases!$O$2:$O$53,B457),INDEX(Bases!$O$2:$O$53,C457))</f>
        <v>49.6666666666667</v>
      </c>
      <c r="V457" s="2" t="n">
        <f aca="false">Settings!$B$4*MAX(INDEX(Bases!$P$2:$P$53,B457),INDEX(Bases!$P$2:$P$53,C457))+Settings!$B$5*MIN(INDEX(Bases!$P$2:$P$53,B457),INDEX(Bases!$P$2:$P$53,C457))</f>
        <v>68.3333333333333</v>
      </c>
      <c r="W457" s="2" t="n">
        <f aca="false">Settings!$B$4*MAX(INDEX(Bases!$Q$2:$Q$53,B457),INDEX(Bases!$Q$2:$Q$53,C457))+Settings!$B$5*MIN(INDEX(Bases!$Q$2:$Q$53,B457),INDEX(Bases!$Q$2:$Q$53,C457))</f>
        <v>67.6666666666667</v>
      </c>
      <c r="X457" s="2" t="n">
        <f aca="false">Settings!$B$4*MAX(INDEX(Bases!$R$2:$R$53,B457),INDEX(Bases!$R$2:$R$53,C457))+Settings!$B$5*MIN(INDEX(Bases!$R$2:$R$53,B457),INDEX(Bases!$R$2:$R$53,C457))</f>
        <v>100</v>
      </c>
      <c r="Y457" s="2" t="n">
        <f aca="false">S457*Settings!$B$3/SUM(S457:X457)</f>
        <v>59.4098883572568</v>
      </c>
      <c r="Z457" s="2" t="n">
        <f aca="false">T457*Settings!$B$3/SUM(S457:X457)</f>
        <v>98.8835725677831</v>
      </c>
      <c r="AA457" s="2" t="n">
        <f aca="false">U457*Settings!$B$3/SUM(S457:X457)</f>
        <v>59.4098883572568</v>
      </c>
      <c r="AB457" s="2" t="n">
        <f aca="false">V457*Settings!$B$3/SUM(S457:X457)</f>
        <v>81.7384370015949</v>
      </c>
      <c r="AC457" s="2" t="n">
        <f aca="false">W457*Settings!$B$3/SUM(S457:X457)</f>
        <v>80.9409888357257</v>
      </c>
      <c r="AD457" s="2" t="n">
        <f aca="false">X457*Settings!$B$3/SUM(S457:X457)</f>
        <v>119.617224880383</v>
      </c>
      <c r="AE457" s="2" t="n">
        <f aca="false">INT(Y457)</f>
        <v>59</v>
      </c>
      <c r="AF457" s="2" t="n">
        <f aca="false">INT(Z457)</f>
        <v>98</v>
      </c>
      <c r="AG457" s="2" t="n">
        <f aca="false">INT(AA457)</f>
        <v>59</v>
      </c>
      <c r="AH457" s="2" t="n">
        <f aca="false">INT(AB457)</f>
        <v>81</v>
      </c>
      <c r="AI457" s="2" t="n">
        <f aca="false">INT(AC457)</f>
        <v>80</v>
      </c>
      <c r="AJ457" s="2" t="n">
        <f aca="false">INT(AD457)</f>
        <v>119</v>
      </c>
      <c r="AK457" s="2" t="n">
        <f aca="false">Settings!$B$3-SUM(AE457:AJ457)</f>
        <v>4</v>
      </c>
      <c r="AL457" s="2" t="n">
        <f aca="false">ROUND(Y457-AE457,9)</f>
        <v>0.409888357</v>
      </c>
      <c r="AM457" s="2" t="n">
        <f aca="false">ROUND(Z457-AF457,9)</f>
        <v>0.883572568</v>
      </c>
      <c r="AN457" s="2" t="n">
        <f aca="false">ROUND(AA457-AG457,9)</f>
        <v>0.409888357</v>
      </c>
      <c r="AO457" s="2" t="n">
        <f aca="false">ROUND(AB457-AH457,9)</f>
        <v>0.738437002</v>
      </c>
      <c r="AP457" s="2" t="n">
        <f aca="false">ROUND(AC457-AI457,9)</f>
        <v>0.940988836</v>
      </c>
      <c r="AQ457" s="2" t="n">
        <f aca="false">ROUND(AD457-AJ457,9)</f>
        <v>0.61722488</v>
      </c>
    </row>
    <row r="458" customFormat="false" ht="15" hidden="false" customHeight="false" outlineLevel="0" collapsed="false">
      <c r="A458" s="2" t="n">
        <v>457</v>
      </c>
      <c r="B458" s="6" t="n">
        <v>10</v>
      </c>
      <c r="C458" s="6" t="n">
        <v>44</v>
      </c>
      <c r="D458" s="8" t="str">
        <f aca="false">INDEX(Bases!$B$2:$B$53,B458)</f>
        <v>Pichu</v>
      </c>
      <c r="E458" s="8" t="str">
        <f aca="false">INDEX(Bases!$B$2:$B$53,C458)</f>
        <v>Bagon</v>
      </c>
      <c r="F458" s="2" t="str">
        <f aca="false">LEFT(D458,ROUNDUP(LEN(D458)/2,0))&amp;LOWER(MID(E458,ROUNDUP(LEN(E458)/2,0)+1,20))</f>
        <v>Picon</v>
      </c>
      <c r="G458" s="8" t="str">
        <f aca="false">INDEX(Bases!$C$2:$C$53,B458)</f>
        <v>Electric</v>
      </c>
      <c r="H458" s="8" t="str">
        <f aca="false">IF(INDEX(Bases!$C$2:$C$53,C458)=G458,"",INDEX(Bases!$C$2:$C$53,C458))</f>
        <v>Dragon</v>
      </c>
      <c r="I458" s="8" t="str">
        <f aca="false">IF(INDEX(Bases!$E$2:$E$53,B458)="","",INDEX(Bases!$E$2:$E$53,B458))</f>
        <v/>
      </c>
      <c r="J458" s="8" t="str">
        <f aca="false">IF(INDEX(Bases!$E$2:$E$53,C458)="","",INDEX(Bases!$E$2:$E$53,C458))</f>
        <v/>
      </c>
      <c r="K458" s="5"/>
      <c r="L458" s="2" t="n">
        <f aca="false">AE458+IF(SUMPRODUCT(--($AL458:$AQ458&gt;AL458))&lt;$AK458,1,0)</f>
        <v>62</v>
      </c>
      <c r="M458" s="2" t="n">
        <f aca="false">AF458+IF(SUMPRODUCT(--($AL458:$AQ458&gt;AM458))+SUMPRODUCT(--($AL458:AL458=AM458))&lt;$AK458,1,0)</f>
        <v>107</v>
      </c>
      <c r="N458" s="2" t="n">
        <f aca="false">AG458+IF(SUMPRODUCT(--($AL458:$AQ458&gt;AN458))+SUMPRODUCT(--($AL458:AM458=AN458))&lt;$AK458,1,0)</f>
        <v>73</v>
      </c>
      <c r="O458" s="2" t="n">
        <f aca="false">AH458+IF(SUMPRODUCT(--($AL458:$AQ458&gt;AO458))+SUMPRODUCT(--($AL458:AN458=AO458))&lt;$AK458,1,0)</f>
        <v>74</v>
      </c>
      <c r="P458" s="2" t="n">
        <f aca="false">AI458+IF(SUMPRODUCT(--($AL458:$AQ458&gt;AP458))+SUMPRODUCT(--($AL458:AO458=AP458))&lt;$AK458,1,0)</f>
        <v>68</v>
      </c>
      <c r="Q458" s="2" t="n">
        <f aca="false">AJ458+IF(SUMPRODUCT(--($AL458:$AQ458&gt;AQ458))+SUMPRODUCT(--($AL458:AP458=AQ458))&lt;$AK458,1,0)</f>
        <v>116</v>
      </c>
      <c r="R458" s="2" t="n">
        <f aca="false">SUM(L458:Q458)</f>
        <v>500</v>
      </c>
      <c r="S458" s="2" t="n">
        <f aca="false">Settings!$B$4*MAX(INDEX(Bases!$M$2:$M$53,B458),INDEX(Bases!$M$2:$M$53,C458))+Settings!$B$5*MIN(INDEX(Bases!$M$2:$M$53,B458),INDEX(Bases!$M$2:$M$53,C458))</f>
        <v>53</v>
      </c>
      <c r="T458" s="2" t="n">
        <f aca="false">Settings!$B$4*MAX(INDEX(Bases!$N$2:$N$53,B458),INDEX(Bases!$N$2:$N$53,C458))+Settings!$B$5*MIN(INDEX(Bases!$N$2:$N$53,B458),INDEX(Bases!$N$2:$N$53,C458))</f>
        <v>92.6666666666667</v>
      </c>
      <c r="U458" s="2" t="n">
        <f aca="false">Settings!$B$4*MAX(INDEX(Bases!$O$2:$O$53,B458),INDEX(Bases!$O$2:$O$53,C458))+Settings!$B$5*MIN(INDEX(Bases!$O$2:$O$53,B458),INDEX(Bases!$O$2:$O$53,C458))</f>
        <v>63</v>
      </c>
      <c r="V458" s="2" t="n">
        <f aca="false">Settings!$B$4*MAX(INDEX(Bases!$P$2:$P$53,B458),INDEX(Bases!$P$2:$P$53,C458))+Settings!$B$5*MIN(INDEX(Bases!$P$2:$P$53,B458),INDEX(Bases!$P$2:$P$53,C458))</f>
        <v>63.6666666666667</v>
      </c>
      <c r="W458" s="2" t="n">
        <f aca="false">Settings!$B$4*MAX(INDEX(Bases!$Q$2:$Q$53,B458),INDEX(Bases!$Q$2:$Q$53,C458))+Settings!$B$5*MIN(INDEX(Bases!$Q$2:$Q$53,B458),INDEX(Bases!$Q$2:$Q$53,C458))</f>
        <v>58.6666666666667</v>
      </c>
      <c r="X458" s="2" t="n">
        <f aca="false">Settings!$B$4*MAX(INDEX(Bases!$R$2:$R$53,B458),INDEX(Bases!$R$2:$R$53,C458))+Settings!$B$5*MIN(INDEX(Bases!$R$2:$R$53,B458),INDEX(Bases!$R$2:$R$53,C458))</f>
        <v>100.333333333333</v>
      </c>
      <c r="Y458" s="2" t="n">
        <f aca="false">S458*Settings!$B$3/SUM(S458:X458)</f>
        <v>61.4374034003091</v>
      </c>
      <c r="Z458" s="2" t="n">
        <f aca="false">T458*Settings!$B$3/SUM(S458:X458)</f>
        <v>107.41885625966</v>
      </c>
      <c r="AA458" s="2" t="n">
        <f aca="false">U458*Settings!$B$3/SUM(S458:X458)</f>
        <v>73.0293663060278</v>
      </c>
      <c r="AB458" s="2" t="n">
        <f aca="false">V458*Settings!$B$3/SUM(S458:X458)</f>
        <v>73.8021638330757</v>
      </c>
      <c r="AC458" s="2" t="n">
        <f aca="false">W458*Settings!$B$3/SUM(S458:X458)</f>
        <v>68.0061823802164</v>
      </c>
      <c r="AD458" s="2" t="n">
        <f aca="false">X458*Settings!$B$3/SUM(S458:X458)</f>
        <v>116.306027820711</v>
      </c>
      <c r="AE458" s="2" t="n">
        <f aca="false">INT(Y458)</f>
        <v>61</v>
      </c>
      <c r="AF458" s="2" t="n">
        <f aca="false">INT(Z458)</f>
        <v>107</v>
      </c>
      <c r="AG458" s="2" t="n">
        <f aca="false">INT(AA458)</f>
        <v>73</v>
      </c>
      <c r="AH458" s="2" t="n">
        <f aca="false">INT(AB458)</f>
        <v>73</v>
      </c>
      <c r="AI458" s="2" t="n">
        <f aca="false">INT(AC458)</f>
        <v>68</v>
      </c>
      <c r="AJ458" s="2" t="n">
        <f aca="false">INT(AD458)</f>
        <v>116</v>
      </c>
      <c r="AK458" s="2" t="n">
        <f aca="false">Settings!$B$3-SUM(AE458:AJ458)</f>
        <v>2</v>
      </c>
      <c r="AL458" s="2" t="n">
        <f aca="false">ROUND(Y458-AE458,9)</f>
        <v>0.4374034</v>
      </c>
      <c r="AM458" s="2" t="n">
        <f aca="false">ROUND(Z458-AF458,9)</f>
        <v>0.41885626</v>
      </c>
      <c r="AN458" s="2" t="n">
        <f aca="false">ROUND(AA458-AG458,9)</f>
        <v>0.029366306</v>
      </c>
      <c r="AO458" s="2" t="n">
        <f aca="false">ROUND(AB458-AH458,9)</f>
        <v>0.802163833</v>
      </c>
      <c r="AP458" s="2" t="n">
        <f aca="false">ROUND(AC458-AI458,9)</f>
        <v>0.00618238</v>
      </c>
      <c r="AQ458" s="2" t="n">
        <f aca="false">ROUND(AD458-AJ458,9)</f>
        <v>0.306027821</v>
      </c>
    </row>
    <row r="459" customFormat="false" ht="15" hidden="false" customHeight="false" outlineLevel="0" collapsed="false">
      <c r="A459" s="2" t="n">
        <v>458</v>
      </c>
      <c r="B459" s="6" t="n">
        <v>10</v>
      </c>
      <c r="C459" s="6" t="n">
        <v>45</v>
      </c>
      <c r="D459" s="8" t="str">
        <f aca="false">INDEX(Bases!$B$2:$B$53,B459)</f>
        <v>Pichu</v>
      </c>
      <c r="E459" s="8" t="str">
        <f aca="false">INDEX(Bases!$B$2:$B$53,C459)</f>
        <v>Sneasel</v>
      </c>
      <c r="F459" s="2" t="str">
        <f aca="false">LEFT(D459,ROUNDUP(LEN(D459)/2,0))&amp;LOWER(MID(E459,ROUNDUP(LEN(E459)/2,0)+1,20))</f>
        <v>Picsel</v>
      </c>
      <c r="G459" s="8" t="str">
        <f aca="false">INDEX(Bases!$C$2:$C$53,B459)</f>
        <v>Electric</v>
      </c>
      <c r="H459" s="8" t="str">
        <f aca="false">IF(INDEX(Bases!$C$2:$C$53,C459)=G459,"",INDEX(Bases!$C$2:$C$53,C459))</f>
        <v>Dark</v>
      </c>
      <c r="I459" s="8" t="str">
        <f aca="false">IF(INDEX(Bases!$E$2:$E$53,B459)="","",INDEX(Bases!$E$2:$E$53,B459))</f>
        <v/>
      </c>
      <c r="J459" s="8" t="str">
        <f aca="false">IF(INDEX(Bases!$E$2:$E$53,C459)="","",INDEX(Bases!$E$2:$E$53,C459))</f>
        <v/>
      </c>
      <c r="K459" s="5"/>
      <c r="L459" s="2" t="n">
        <f aca="false">AE459+IF(SUMPRODUCT(--($AL459:$AQ459&gt;AL459))&lt;$AK459,1,0)</f>
        <v>57</v>
      </c>
      <c r="M459" s="2" t="n">
        <f aca="false">AF459+IF(SUMPRODUCT(--($AL459:$AQ459&gt;AM459))+SUMPRODUCT(--($AL459:AL459=AM459))&lt;$AK459,1,0)</f>
        <v>102</v>
      </c>
      <c r="N459" s="2" t="n">
        <f aca="false">AG459+IF(SUMPRODUCT(--($AL459:$AQ459&gt;AN459))+SUMPRODUCT(--($AL459:AM459=AN459))&lt;$AK459,1,0)</f>
        <v>52</v>
      </c>
      <c r="O459" s="2" t="n">
        <f aca="false">AH459+IF(SUMPRODUCT(--($AL459:$AQ459&gt;AO459))+SUMPRODUCT(--($AL459:AN459=AO459))&lt;$AK459,1,0)</f>
        <v>69</v>
      </c>
      <c r="P459" s="2" t="n">
        <f aca="false">AI459+IF(SUMPRODUCT(--($AL459:$AQ459&gt;AP459))+SUMPRODUCT(--($AL459:AO459=AP459))&lt;$AK459,1,0)</f>
        <v>83</v>
      </c>
      <c r="Q459" s="2" t="n">
        <f aca="false">AJ459+IF(SUMPRODUCT(--($AL459:$AQ459&gt;AQ459))+SUMPRODUCT(--($AL459:AP459=AQ459))&lt;$AK459,1,0)</f>
        <v>137</v>
      </c>
      <c r="R459" s="2" t="n">
        <f aca="false">SUM(L459:Q459)</f>
        <v>500</v>
      </c>
      <c r="S459" s="2" t="n">
        <f aca="false">Settings!$B$4*MAX(INDEX(Bases!$M$2:$M$53,B459),INDEX(Bases!$M$2:$M$53,C459))+Settings!$B$5*MIN(INDEX(Bases!$M$2:$M$53,B459),INDEX(Bases!$M$2:$M$53,C459))</f>
        <v>47</v>
      </c>
      <c r="T459" s="2" t="n">
        <f aca="false">Settings!$B$4*MAX(INDEX(Bases!$N$2:$N$53,B459),INDEX(Bases!$N$2:$N$53,C459))+Settings!$B$5*MIN(INDEX(Bases!$N$2:$N$53,B459),INDEX(Bases!$N$2:$N$53,C459))</f>
        <v>84.6666666666667</v>
      </c>
      <c r="U459" s="2" t="n">
        <f aca="false">Settings!$B$4*MAX(INDEX(Bases!$O$2:$O$53,B459),INDEX(Bases!$O$2:$O$53,C459))+Settings!$B$5*MIN(INDEX(Bases!$O$2:$O$53,B459),INDEX(Bases!$O$2:$O$53,C459))</f>
        <v>43.6666666666667</v>
      </c>
      <c r="V459" s="2" t="n">
        <f aca="false">Settings!$B$4*MAX(INDEX(Bases!$P$2:$P$53,B459),INDEX(Bases!$P$2:$P$53,C459))+Settings!$B$5*MIN(INDEX(Bases!$P$2:$P$53,B459),INDEX(Bases!$P$2:$P$53,C459))</f>
        <v>57</v>
      </c>
      <c r="W459" s="2" t="n">
        <f aca="false">Settings!$B$4*MAX(INDEX(Bases!$Q$2:$Q$53,B459),INDEX(Bases!$Q$2:$Q$53,C459))+Settings!$B$5*MIN(INDEX(Bases!$Q$2:$Q$53,B459),INDEX(Bases!$Q$2:$Q$53,C459))</f>
        <v>69.3333333333333</v>
      </c>
      <c r="X459" s="2" t="n">
        <f aca="false">Settings!$B$4*MAX(INDEX(Bases!$R$2:$R$53,B459),INDEX(Bases!$R$2:$R$53,C459))+Settings!$B$5*MIN(INDEX(Bases!$R$2:$R$53,B459),INDEX(Bases!$R$2:$R$53,C459))</f>
        <v>113.666666666667</v>
      </c>
      <c r="Y459" s="2" t="n">
        <f aca="false">S459*Settings!$B$3/SUM(S459:X459)</f>
        <v>56.5810593900481</v>
      </c>
      <c r="Z459" s="2" t="n">
        <f aca="false">T459*Settings!$B$3/SUM(S459:X459)</f>
        <v>101.926163723917</v>
      </c>
      <c r="AA459" s="2" t="n">
        <f aca="false">U459*Settings!$B$3/SUM(S459:X459)</f>
        <v>52.5682182985554</v>
      </c>
      <c r="AB459" s="2" t="n">
        <f aca="false">V459*Settings!$B$3/SUM(S459:X459)</f>
        <v>68.6195826645265</v>
      </c>
      <c r="AC459" s="2" t="n">
        <f aca="false">W459*Settings!$B$3/SUM(S459:X459)</f>
        <v>83.4670947030497</v>
      </c>
      <c r="AD459" s="2" t="n">
        <f aca="false">X459*Settings!$B$3/SUM(S459:X459)</f>
        <v>136.837881219904</v>
      </c>
      <c r="AE459" s="2" t="n">
        <f aca="false">INT(Y459)</f>
        <v>56</v>
      </c>
      <c r="AF459" s="2" t="n">
        <f aca="false">INT(Z459)</f>
        <v>101</v>
      </c>
      <c r="AG459" s="2" t="n">
        <f aca="false">INT(AA459)</f>
        <v>52</v>
      </c>
      <c r="AH459" s="2" t="n">
        <f aca="false">INT(AB459)</f>
        <v>68</v>
      </c>
      <c r="AI459" s="2" t="n">
        <f aca="false">INT(AC459)</f>
        <v>83</v>
      </c>
      <c r="AJ459" s="2" t="n">
        <f aca="false">INT(AD459)</f>
        <v>136</v>
      </c>
      <c r="AK459" s="2" t="n">
        <f aca="false">Settings!$B$3-SUM(AE459:AJ459)</f>
        <v>4</v>
      </c>
      <c r="AL459" s="2" t="n">
        <f aca="false">ROUND(Y459-AE459,9)</f>
        <v>0.58105939</v>
      </c>
      <c r="AM459" s="2" t="n">
        <f aca="false">ROUND(Z459-AF459,9)</f>
        <v>0.926163724</v>
      </c>
      <c r="AN459" s="2" t="n">
        <f aca="false">ROUND(AA459-AG459,9)</f>
        <v>0.568218299</v>
      </c>
      <c r="AO459" s="2" t="n">
        <f aca="false">ROUND(AB459-AH459,9)</f>
        <v>0.619582665</v>
      </c>
      <c r="AP459" s="2" t="n">
        <f aca="false">ROUND(AC459-AI459,9)</f>
        <v>0.467094703</v>
      </c>
      <c r="AQ459" s="2" t="n">
        <f aca="false">ROUND(AD459-AJ459,9)</f>
        <v>0.83788122</v>
      </c>
    </row>
    <row r="460" customFormat="false" ht="15" hidden="false" customHeight="false" outlineLevel="0" collapsed="false">
      <c r="A460" s="2" t="n">
        <v>459</v>
      </c>
      <c r="B460" s="6" t="n">
        <v>10</v>
      </c>
      <c r="C460" s="6" t="n">
        <v>46</v>
      </c>
      <c r="D460" s="8" t="str">
        <f aca="false">INDEX(Bases!$B$2:$B$53,B460)</f>
        <v>Pichu</v>
      </c>
      <c r="E460" s="8" t="str">
        <f aca="false">INDEX(Bases!$B$2:$B$53,C460)</f>
        <v>Houndour</v>
      </c>
      <c r="F460" s="2" t="str">
        <f aca="false">LEFT(D460,ROUNDUP(LEN(D460)/2,0))&amp;LOWER(MID(E460,ROUNDUP(LEN(E460)/2,0)+1,20))</f>
        <v>Picdour</v>
      </c>
      <c r="G460" s="8" t="str">
        <f aca="false">INDEX(Bases!$C$2:$C$53,B460)</f>
        <v>Electric</v>
      </c>
      <c r="H460" s="8" t="str">
        <f aca="false">IF(INDEX(Bases!$C$2:$C$53,C460)=G460,"",INDEX(Bases!$C$2:$C$53,C460))</f>
        <v>Dark</v>
      </c>
      <c r="I460" s="8" t="str">
        <f aca="false">IF(INDEX(Bases!$E$2:$E$53,B460)="","",INDEX(Bases!$E$2:$E$53,B460))</f>
        <v/>
      </c>
      <c r="J460" s="8" t="str">
        <f aca="false">IF(INDEX(Bases!$E$2:$E$53,C460)="","",INDEX(Bases!$E$2:$E$53,C460))</f>
        <v/>
      </c>
      <c r="K460" s="5"/>
      <c r="L460" s="2" t="n">
        <f aca="false">AE460+IF(SUMPRODUCT(--($AL460:$AQ460&gt;AL460))&lt;$AK460,1,0)</f>
        <v>59</v>
      </c>
      <c r="M460" s="2" t="n">
        <f aca="false">AF460+IF(SUMPRODUCT(--($AL460:$AQ460&gt;AM460))+SUMPRODUCT(--($AL460:AL460=AM460))&lt;$AK460,1,0)</f>
        <v>92</v>
      </c>
      <c r="N460" s="2" t="n">
        <f aca="false">AG460+IF(SUMPRODUCT(--($AL460:$AQ460&gt;AN460))+SUMPRODUCT(--($AL460:AM460=AN460))&lt;$AK460,1,0)</f>
        <v>40</v>
      </c>
      <c r="O460" s="2" t="n">
        <f aca="false">AH460+IF(SUMPRODUCT(--($AL460:$AQ460&gt;AO460))+SUMPRODUCT(--($AL460:AN460=AO460))&lt;$AK460,1,0)</f>
        <v>105</v>
      </c>
      <c r="P460" s="2" t="n">
        <f aca="false">AI460+IF(SUMPRODUCT(--($AL460:$AQ460&gt;AP460))+SUMPRODUCT(--($AL460:AO460=AP460))&lt;$AK460,1,0)</f>
        <v>79</v>
      </c>
      <c r="Q460" s="2" t="n">
        <f aca="false">AJ460+IF(SUMPRODUCT(--($AL460:$AQ460&gt;AQ460))+SUMPRODUCT(--($AL460:AP460=AQ460))&lt;$AK460,1,0)</f>
        <v>125</v>
      </c>
      <c r="R460" s="2" t="n">
        <f aca="false">SUM(L460:Q460)</f>
        <v>500</v>
      </c>
      <c r="S460" s="2" t="n">
        <f aca="false">Settings!$B$4*MAX(INDEX(Bases!$M$2:$M$53,B460),INDEX(Bases!$M$2:$M$53,C460))+Settings!$B$5*MIN(INDEX(Bases!$M$2:$M$53,B460),INDEX(Bases!$M$2:$M$53,C460))</f>
        <v>49</v>
      </c>
      <c r="T460" s="2" t="n">
        <f aca="false">Settings!$B$4*MAX(INDEX(Bases!$N$2:$N$53,B460),INDEX(Bases!$N$2:$N$53,C460))+Settings!$B$5*MIN(INDEX(Bases!$N$2:$N$53,B460),INDEX(Bases!$N$2:$N$53,C460))</f>
        <v>76.3333333333333</v>
      </c>
      <c r="U460" s="2" t="n">
        <f aca="false">Settings!$B$4*MAX(INDEX(Bases!$O$2:$O$53,B460),INDEX(Bases!$O$2:$O$53,C460))+Settings!$B$5*MIN(INDEX(Bases!$O$2:$O$53,B460),INDEX(Bases!$O$2:$O$53,C460))</f>
        <v>33.6666666666667</v>
      </c>
      <c r="V460" s="2" t="n">
        <f aca="false">Settings!$B$4*MAX(INDEX(Bases!$P$2:$P$53,B460),INDEX(Bases!$P$2:$P$53,C460))+Settings!$B$5*MIN(INDEX(Bases!$P$2:$P$53,B460),INDEX(Bases!$P$2:$P$53,C460))</f>
        <v>87.6666666666667</v>
      </c>
      <c r="W460" s="2" t="n">
        <f aca="false">Settings!$B$4*MAX(INDEX(Bases!$Q$2:$Q$53,B460),INDEX(Bases!$Q$2:$Q$53,C460))+Settings!$B$5*MIN(INDEX(Bases!$Q$2:$Q$53,B460),INDEX(Bases!$Q$2:$Q$53,C460))</f>
        <v>65.6666666666667</v>
      </c>
      <c r="X460" s="2" t="n">
        <f aca="false">Settings!$B$4*MAX(INDEX(Bases!$R$2:$R$53,B460),INDEX(Bases!$R$2:$R$53,C460))+Settings!$B$5*MIN(INDEX(Bases!$R$2:$R$53,B460),INDEX(Bases!$R$2:$R$53,C460))</f>
        <v>104.333333333333</v>
      </c>
      <c r="Y460" s="2" t="n">
        <f aca="false">S460*Settings!$B$3/SUM(S460:X460)</f>
        <v>58.8</v>
      </c>
      <c r="Z460" s="2" t="n">
        <f aca="false">T460*Settings!$B$3/SUM(S460:X460)</f>
        <v>91.6</v>
      </c>
      <c r="AA460" s="2" t="n">
        <f aca="false">U460*Settings!$B$3/SUM(S460:X460)</f>
        <v>40.4</v>
      </c>
      <c r="AB460" s="2" t="n">
        <f aca="false">V460*Settings!$B$3/SUM(S460:X460)</f>
        <v>105.2</v>
      </c>
      <c r="AC460" s="2" t="n">
        <f aca="false">W460*Settings!$B$3/SUM(S460:X460)</f>
        <v>78.8</v>
      </c>
      <c r="AD460" s="2" t="n">
        <f aca="false">X460*Settings!$B$3/SUM(S460:X460)</f>
        <v>125.2</v>
      </c>
      <c r="AE460" s="2" t="n">
        <f aca="false">INT(Y460)</f>
        <v>58</v>
      </c>
      <c r="AF460" s="2" t="n">
        <f aca="false">INT(Z460)</f>
        <v>91</v>
      </c>
      <c r="AG460" s="2" t="n">
        <f aca="false">INT(AA460)</f>
        <v>40</v>
      </c>
      <c r="AH460" s="2" t="n">
        <f aca="false">INT(AB460)</f>
        <v>105</v>
      </c>
      <c r="AI460" s="2" t="n">
        <f aca="false">INT(AC460)</f>
        <v>78</v>
      </c>
      <c r="AJ460" s="2" t="n">
        <f aca="false">INT(AD460)</f>
        <v>125</v>
      </c>
      <c r="AK460" s="2" t="n">
        <f aca="false">Settings!$B$3-SUM(AE460:AJ460)</f>
        <v>3</v>
      </c>
      <c r="AL460" s="2" t="n">
        <f aca="false">ROUND(Y460-AE460,9)</f>
        <v>0.8</v>
      </c>
      <c r="AM460" s="2" t="n">
        <f aca="false">ROUND(Z460-AF460,9)</f>
        <v>0.6</v>
      </c>
      <c r="AN460" s="2" t="n">
        <f aca="false">ROUND(AA460-AG460,9)</f>
        <v>0.4</v>
      </c>
      <c r="AO460" s="2" t="n">
        <f aca="false">ROUND(AB460-AH460,9)</f>
        <v>0.2</v>
      </c>
      <c r="AP460" s="2" t="n">
        <f aca="false">ROUND(AC460-AI460,9)</f>
        <v>0.8</v>
      </c>
      <c r="AQ460" s="2" t="n">
        <f aca="false">ROUND(AD460-AJ460,9)</f>
        <v>0.2</v>
      </c>
    </row>
    <row r="461" customFormat="false" ht="15" hidden="false" customHeight="false" outlineLevel="0" collapsed="false">
      <c r="A461" s="2" t="n">
        <v>460</v>
      </c>
      <c r="B461" s="6" t="n">
        <v>10</v>
      </c>
      <c r="C461" s="6" t="n">
        <v>47</v>
      </c>
      <c r="D461" s="8" t="str">
        <f aca="false">INDEX(Bases!$B$2:$B$53,B461)</f>
        <v>Pichu</v>
      </c>
      <c r="E461" s="8" t="str">
        <f aca="false">INDEX(Bases!$B$2:$B$53,C461)</f>
        <v>Carvanha</v>
      </c>
      <c r="F461" s="2" t="str">
        <f aca="false">LEFT(D461,ROUNDUP(LEN(D461)/2,0))&amp;LOWER(MID(E461,ROUNDUP(LEN(E461)/2,0)+1,20))</f>
        <v>Picanha</v>
      </c>
      <c r="G461" s="8" t="str">
        <f aca="false">INDEX(Bases!$C$2:$C$53,B461)</f>
        <v>Electric</v>
      </c>
      <c r="H461" s="8" t="str">
        <f aca="false">IF(INDEX(Bases!$C$2:$C$53,C461)=G461,"",INDEX(Bases!$C$2:$C$53,C461))</f>
        <v>Dark</v>
      </c>
      <c r="I461" s="8" t="str">
        <f aca="false">IF(INDEX(Bases!$E$2:$E$53,B461)="","",INDEX(Bases!$E$2:$E$53,B461))</f>
        <v/>
      </c>
      <c r="J461" s="8" t="str">
        <f aca="false">IF(INDEX(Bases!$E$2:$E$53,C461)="","",INDEX(Bases!$E$2:$E$53,C461))</f>
        <v/>
      </c>
      <c r="K461" s="5"/>
      <c r="L461" s="2" t="n">
        <f aca="false">AE461+IF(SUMPRODUCT(--($AL461:$AQ461&gt;AL461))&lt;$AK461,1,0)</f>
        <v>62</v>
      </c>
      <c r="M461" s="2" t="n">
        <f aca="false">AF461+IF(SUMPRODUCT(--($AL461:$AQ461&gt;AM461))+SUMPRODUCT(--($AL461:AL461=AM461))&lt;$AK461,1,0)</f>
        <v>123</v>
      </c>
      <c r="N461" s="2" t="n">
        <f aca="false">AG461+IF(SUMPRODUCT(--($AL461:$AQ461&gt;AN461))+SUMPRODUCT(--($AL461:AM461=AN461))&lt;$AK461,1,0)</f>
        <v>33</v>
      </c>
      <c r="O461" s="2" t="n">
        <f aca="false">AH461+IF(SUMPRODUCT(--($AL461:$AQ461&gt;AO461))+SUMPRODUCT(--($AL461:AN461=AO461))&lt;$AK461,1,0)</f>
        <v>94</v>
      </c>
      <c r="P461" s="2" t="n">
        <f aca="false">AI461+IF(SUMPRODUCT(--($AL461:$AQ461&gt;AP461))+SUMPRODUCT(--($AL461:AO461=AP461))&lt;$AK461,1,0)</f>
        <v>63</v>
      </c>
      <c r="Q461" s="2" t="n">
        <f aca="false">AJ461+IF(SUMPRODUCT(--($AL461:$AQ461&gt;AQ461))+SUMPRODUCT(--($AL461:AP461=AQ461))&lt;$AK461,1,0)</f>
        <v>125</v>
      </c>
      <c r="R461" s="2" t="n">
        <f aca="false">SUM(L461:Q461)</f>
        <v>500</v>
      </c>
      <c r="S461" s="2" t="n">
        <f aca="false">Settings!$B$4*MAX(INDEX(Bases!$M$2:$M$53,B461),INDEX(Bases!$M$2:$M$53,C461))+Settings!$B$5*MIN(INDEX(Bases!$M$2:$M$53,B461),INDEX(Bases!$M$2:$M$53,C461))</f>
        <v>52.3333333333333</v>
      </c>
      <c r="T461" s="2" t="n">
        <f aca="false">Settings!$B$4*MAX(INDEX(Bases!$N$2:$N$53,B461),INDEX(Bases!$N$2:$N$53,C461))+Settings!$B$5*MIN(INDEX(Bases!$N$2:$N$53,B461),INDEX(Bases!$N$2:$N$53,C461))</f>
        <v>104.666666666667</v>
      </c>
      <c r="U461" s="2" t="n">
        <f aca="false">Settings!$B$4*MAX(INDEX(Bases!$O$2:$O$53,B461),INDEX(Bases!$O$2:$O$53,C461))+Settings!$B$5*MIN(INDEX(Bases!$O$2:$O$53,B461),INDEX(Bases!$O$2:$O$53,C461))</f>
        <v>28</v>
      </c>
      <c r="V461" s="2" t="n">
        <f aca="false">Settings!$B$4*MAX(INDEX(Bases!$P$2:$P$53,B461),INDEX(Bases!$P$2:$P$53,C461))+Settings!$B$5*MIN(INDEX(Bases!$P$2:$P$53,B461),INDEX(Bases!$P$2:$P$53,C461))</f>
        <v>80.3333333333333</v>
      </c>
      <c r="W461" s="2" t="n">
        <f aca="false">Settings!$B$4*MAX(INDEX(Bases!$Q$2:$Q$53,B461),INDEX(Bases!$Q$2:$Q$53,C461))+Settings!$B$5*MIN(INDEX(Bases!$Q$2:$Q$53,B461),INDEX(Bases!$Q$2:$Q$53,C461))</f>
        <v>54</v>
      </c>
      <c r="X461" s="2" t="n">
        <f aca="false">Settings!$B$4*MAX(INDEX(Bases!$R$2:$R$53,B461),INDEX(Bases!$R$2:$R$53,C461))+Settings!$B$5*MIN(INDEX(Bases!$R$2:$R$53,B461),INDEX(Bases!$R$2:$R$53,C461))</f>
        <v>106.333333333333</v>
      </c>
      <c r="Y461" s="2" t="n">
        <f aca="false">S461*Settings!$B$3/SUM(S461:X461)</f>
        <v>61.4722004698512</v>
      </c>
      <c r="Z461" s="2" t="n">
        <f aca="false">T461*Settings!$B$3/SUM(S461:X461)</f>
        <v>122.944400939702</v>
      </c>
      <c r="AA461" s="2" t="n">
        <f aca="false">U461*Settings!$B$3/SUM(S461:X461)</f>
        <v>32.8895849647612</v>
      </c>
      <c r="AB461" s="2" t="n">
        <f aca="false">V461*Settings!$B$3/SUM(S461:X461)</f>
        <v>94.3617854346124</v>
      </c>
      <c r="AC461" s="2" t="n">
        <f aca="false">W461*Settings!$B$3/SUM(S461:X461)</f>
        <v>63.4299138606108</v>
      </c>
      <c r="AD461" s="2" t="n">
        <f aca="false">X461*Settings!$B$3/SUM(S461:X461)</f>
        <v>124.902114330462</v>
      </c>
      <c r="AE461" s="2" t="n">
        <f aca="false">INT(Y461)</f>
        <v>61</v>
      </c>
      <c r="AF461" s="2" t="n">
        <f aca="false">INT(Z461)</f>
        <v>122</v>
      </c>
      <c r="AG461" s="2" t="n">
        <f aca="false">INT(AA461)</f>
        <v>32</v>
      </c>
      <c r="AH461" s="2" t="n">
        <f aca="false">INT(AB461)</f>
        <v>94</v>
      </c>
      <c r="AI461" s="2" t="n">
        <f aca="false">INT(AC461)</f>
        <v>63</v>
      </c>
      <c r="AJ461" s="2" t="n">
        <f aca="false">INT(AD461)</f>
        <v>124</v>
      </c>
      <c r="AK461" s="2" t="n">
        <f aca="false">Settings!$B$3-SUM(AE461:AJ461)</f>
        <v>4</v>
      </c>
      <c r="AL461" s="2" t="n">
        <f aca="false">ROUND(Y461-AE461,9)</f>
        <v>0.47220047</v>
      </c>
      <c r="AM461" s="2" t="n">
        <f aca="false">ROUND(Z461-AF461,9)</f>
        <v>0.94440094</v>
      </c>
      <c r="AN461" s="2" t="n">
        <f aca="false">ROUND(AA461-AG461,9)</f>
        <v>0.889584965</v>
      </c>
      <c r="AO461" s="2" t="n">
        <f aca="false">ROUND(AB461-AH461,9)</f>
        <v>0.361785435</v>
      </c>
      <c r="AP461" s="2" t="n">
        <f aca="false">ROUND(AC461-AI461,9)</f>
        <v>0.429913861</v>
      </c>
      <c r="AQ461" s="2" t="n">
        <f aca="false">ROUND(AD461-AJ461,9)</f>
        <v>0.90211433</v>
      </c>
    </row>
    <row r="462" customFormat="false" ht="15" hidden="false" customHeight="false" outlineLevel="0" collapsed="false">
      <c r="A462" s="2" t="n">
        <v>461</v>
      </c>
      <c r="B462" s="6" t="n">
        <v>10</v>
      </c>
      <c r="C462" s="6" t="n">
        <v>48</v>
      </c>
      <c r="D462" s="8" t="str">
        <f aca="false">INDEX(Bases!$B$2:$B$53,B462)</f>
        <v>Pichu</v>
      </c>
      <c r="E462" s="8" t="str">
        <f aca="false">INDEX(Bases!$B$2:$B$53,C462)</f>
        <v>Magnemite</v>
      </c>
      <c r="F462" s="2" t="str">
        <f aca="false">LEFT(D462,ROUNDUP(LEN(D462)/2,0))&amp;LOWER(MID(E462,ROUNDUP(LEN(E462)/2,0)+1,20))</f>
        <v>Picmite</v>
      </c>
      <c r="G462" s="8" t="str">
        <f aca="false">INDEX(Bases!$C$2:$C$53,B462)</f>
        <v>Electric</v>
      </c>
      <c r="H462" s="8" t="str">
        <f aca="false">IF(INDEX(Bases!$C$2:$C$53,C462)=G462,"",INDEX(Bases!$C$2:$C$53,C462))</f>
        <v>Steel</v>
      </c>
      <c r="I462" s="8" t="str">
        <f aca="false">IF(INDEX(Bases!$E$2:$E$53,B462)="","",INDEX(Bases!$E$2:$E$53,B462))</f>
        <v/>
      </c>
      <c r="J462" s="8" t="str">
        <f aca="false">IF(INDEX(Bases!$E$2:$E$53,C462)="","",INDEX(Bases!$E$2:$E$53,C462))</f>
        <v/>
      </c>
      <c r="K462" s="5"/>
      <c r="L462" s="2" t="n">
        <f aca="false">AE462+IF(SUMPRODUCT(--($AL462:$AQ462&gt;AL462))&lt;$AK462,1,0)</f>
        <v>42</v>
      </c>
      <c r="M462" s="2" t="n">
        <f aca="false">AF462+IF(SUMPRODUCT(--($AL462:$AQ462&gt;AM462))+SUMPRODUCT(--($AL462:AL462=AM462))&lt;$AK462,1,0)</f>
        <v>76</v>
      </c>
      <c r="N462" s="2" t="n">
        <f aca="false">AG462+IF(SUMPRODUCT(--($AL462:$AQ462&gt;AN462))+SUMPRODUCT(--($AL462:AM462=AN462))&lt;$AK462,1,0)</f>
        <v>77</v>
      </c>
      <c r="O462" s="2" t="n">
        <f aca="false">AH462+IF(SUMPRODUCT(--($AL462:$AQ462&gt;AO462))+SUMPRODUCT(--($AL462:AN462=AO462))&lt;$AK462,1,0)</f>
        <v>116</v>
      </c>
      <c r="P462" s="2" t="n">
        <f aca="false">AI462+IF(SUMPRODUCT(--($AL462:$AQ462&gt;AP462))+SUMPRODUCT(--($AL462:AO462=AP462))&lt;$AK462,1,0)</f>
        <v>78</v>
      </c>
      <c r="Q462" s="2" t="n">
        <f aca="false">AJ462+IF(SUMPRODUCT(--($AL462:$AQ462&gt;AQ462))+SUMPRODUCT(--($AL462:AP462=AQ462))&lt;$AK462,1,0)</f>
        <v>111</v>
      </c>
      <c r="R462" s="2" t="n">
        <f aca="false">SUM(L462:Q462)</f>
        <v>500</v>
      </c>
      <c r="S462" s="2" t="n">
        <f aca="false">Settings!$B$4*MAX(INDEX(Bases!$M$2:$M$53,B462),INDEX(Bases!$M$2:$M$53,C462))+Settings!$B$5*MIN(INDEX(Bases!$M$2:$M$53,B462),INDEX(Bases!$M$2:$M$53,C462))</f>
        <v>36.3333333333333</v>
      </c>
      <c r="T462" s="2" t="n">
        <f aca="false">Settings!$B$4*MAX(INDEX(Bases!$N$2:$N$53,B462),INDEX(Bases!$N$2:$N$53,C462))+Settings!$B$5*MIN(INDEX(Bases!$N$2:$N$53,B462),INDEX(Bases!$N$2:$N$53,C462))</f>
        <v>66.3333333333333</v>
      </c>
      <c r="U462" s="2" t="n">
        <f aca="false">Settings!$B$4*MAX(INDEX(Bases!$O$2:$O$53,B462),INDEX(Bases!$O$2:$O$53,C462))+Settings!$B$5*MIN(INDEX(Bases!$O$2:$O$53,B462),INDEX(Bases!$O$2:$O$53,C462))</f>
        <v>67</v>
      </c>
      <c r="V462" s="2" t="n">
        <f aca="false">Settings!$B$4*MAX(INDEX(Bases!$P$2:$P$53,B462),INDEX(Bases!$P$2:$P$53,C462))+Settings!$B$5*MIN(INDEX(Bases!$P$2:$P$53,B462),INDEX(Bases!$P$2:$P$53,C462))</f>
        <v>101</v>
      </c>
      <c r="W462" s="2" t="n">
        <f aca="false">Settings!$B$4*MAX(INDEX(Bases!$Q$2:$Q$53,B462),INDEX(Bases!$Q$2:$Q$53,C462))+Settings!$B$5*MIN(INDEX(Bases!$Q$2:$Q$53,B462),INDEX(Bases!$Q$2:$Q$53,C462))</f>
        <v>68</v>
      </c>
      <c r="X462" s="2" t="n">
        <f aca="false">Settings!$B$4*MAX(INDEX(Bases!$R$2:$R$53,B462),INDEX(Bases!$R$2:$R$53,C462))+Settings!$B$5*MIN(INDEX(Bases!$R$2:$R$53,B462),INDEX(Bases!$R$2:$R$53,C462))</f>
        <v>96.3333333333333</v>
      </c>
      <c r="Y462" s="2" t="n">
        <f aca="false">S462*Settings!$B$3/SUM(S462:X462)</f>
        <v>41.7624521072797</v>
      </c>
      <c r="Z462" s="2" t="n">
        <f aca="false">T462*Settings!$B$3/SUM(S462:X462)</f>
        <v>76.2452107279694</v>
      </c>
      <c r="AA462" s="2" t="n">
        <f aca="false">U462*Settings!$B$3/SUM(S462:X462)</f>
        <v>77.0114942528736</v>
      </c>
      <c r="AB462" s="2" t="n">
        <f aca="false">V462*Settings!$B$3/SUM(S462:X462)</f>
        <v>116.091954022989</v>
      </c>
      <c r="AC462" s="2" t="n">
        <f aca="false">W462*Settings!$B$3/SUM(S462:X462)</f>
        <v>78.1609195402299</v>
      </c>
      <c r="AD462" s="2" t="n">
        <f aca="false">X462*Settings!$B$3/SUM(S462:X462)</f>
        <v>110.727969348659</v>
      </c>
      <c r="AE462" s="2" t="n">
        <f aca="false">INT(Y462)</f>
        <v>41</v>
      </c>
      <c r="AF462" s="2" t="n">
        <f aca="false">INT(Z462)</f>
        <v>76</v>
      </c>
      <c r="AG462" s="2" t="n">
        <f aca="false">INT(AA462)</f>
        <v>77</v>
      </c>
      <c r="AH462" s="2" t="n">
        <f aca="false">INT(AB462)</f>
        <v>116</v>
      </c>
      <c r="AI462" s="2" t="n">
        <f aca="false">INT(AC462)</f>
        <v>78</v>
      </c>
      <c r="AJ462" s="2" t="n">
        <f aca="false">INT(AD462)</f>
        <v>110</v>
      </c>
      <c r="AK462" s="2" t="n">
        <f aca="false">Settings!$B$3-SUM(AE462:AJ462)</f>
        <v>2</v>
      </c>
      <c r="AL462" s="2" t="n">
        <f aca="false">ROUND(Y462-AE462,9)</f>
        <v>0.762452107</v>
      </c>
      <c r="AM462" s="2" t="n">
        <f aca="false">ROUND(Z462-AF462,9)</f>
        <v>0.245210728</v>
      </c>
      <c r="AN462" s="2" t="n">
        <f aca="false">ROUND(AA462-AG462,9)</f>
        <v>0.011494253</v>
      </c>
      <c r="AO462" s="2" t="n">
        <f aca="false">ROUND(AB462-AH462,9)</f>
        <v>0.091954023</v>
      </c>
      <c r="AP462" s="2" t="n">
        <f aca="false">ROUND(AC462-AI462,9)</f>
        <v>0.16091954</v>
      </c>
      <c r="AQ462" s="2" t="n">
        <f aca="false">ROUND(AD462-AJ462,9)</f>
        <v>0.727969349</v>
      </c>
    </row>
    <row r="463" customFormat="false" ht="15" hidden="false" customHeight="false" outlineLevel="0" collapsed="false">
      <c r="A463" s="2" t="n">
        <v>462</v>
      </c>
      <c r="B463" s="6" t="n">
        <v>10</v>
      </c>
      <c r="C463" s="6" t="n">
        <v>49</v>
      </c>
      <c r="D463" s="8" t="str">
        <f aca="false">INDEX(Bases!$B$2:$B$53,B463)</f>
        <v>Pichu</v>
      </c>
      <c r="E463" s="8" t="str">
        <f aca="false">INDEX(Bases!$B$2:$B$53,C463)</f>
        <v>Aron</v>
      </c>
      <c r="F463" s="2" t="str">
        <f aca="false">LEFT(D463,ROUNDUP(LEN(D463)/2,0))&amp;LOWER(MID(E463,ROUNDUP(LEN(E463)/2,0)+1,20))</f>
        <v>Picon</v>
      </c>
      <c r="G463" s="8" t="str">
        <f aca="false">INDEX(Bases!$C$2:$C$53,B463)</f>
        <v>Electric</v>
      </c>
      <c r="H463" s="8" t="str">
        <f aca="false">IF(INDEX(Bases!$C$2:$C$53,C463)=G463,"",INDEX(Bases!$C$2:$C$53,C463))</f>
        <v>Steel</v>
      </c>
      <c r="I463" s="8" t="str">
        <f aca="false">IF(INDEX(Bases!$E$2:$E$53,B463)="","",INDEX(Bases!$E$2:$E$53,B463))</f>
        <v/>
      </c>
      <c r="J463" s="8" t="str">
        <f aca="false">IF(INDEX(Bases!$E$2:$E$53,C463)="","",INDEX(Bases!$E$2:$E$53,C463))</f>
        <v/>
      </c>
      <c r="K463" s="5"/>
      <c r="L463" s="2" t="n">
        <f aca="false">AE463+IF(SUMPRODUCT(--($AL463:$AQ463&gt;AL463))&lt;$AK463,1,0)</f>
        <v>61</v>
      </c>
      <c r="M463" s="2" t="n">
        <f aca="false">AF463+IF(SUMPRODUCT(--($AL463:$AQ463&gt;AM463))+SUMPRODUCT(--($AL463:AL463=AM463))&lt;$AK463,1,0)</f>
        <v>94</v>
      </c>
      <c r="N463" s="2" t="n">
        <f aca="false">AG463+IF(SUMPRODUCT(--($AL463:$AQ463&gt;AN463))+SUMPRODUCT(--($AL463:AM463=AN463))&lt;$AK463,1,0)</f>
        <v>102</v>
      </c>
      <c r="O463" s="2" t="n">
        <f aca="false">AH463+IF(SUMPRODUCT(--($AL463:$AQ463&gt;AO463))+SUMPRODUCT(--($AL463:AN463=AO463))&lt;$AK463,1,0)</f>
        <v>71</v>
      </c>
      <c r="P463" s="2" t="n">
        <f aca="false">AI463+IF(SUMPRODUCT(--($AL463:$AQ463&gt;AP463))+SUMPRODUCT(--($AL463:AO463=AP463))&lt;$AK463,1,0)</f>
        <v>70</v>
      </c>
      <c r="Q463" s="2" t="n">
        <f aca="false">AJ463+IF(SUMPRODUCT(--($AL463:$AQ463&gt;AQ463))+SUMPRODUCT(--($AL463:AP463=AQ463))&lt;$AK463,1,0)</f>
        <v>102</v>
      </c>
      <c r="R463" s="2" t="n">
        <f aca="false">SUM(L463:Q463)</f>
        <v>500</v>
      </c>
      <c r="S463" s="2" t="n">
        <f aca="false">Settings!$B$4*MAX(INDEX(Bases!$M$2:$M$53,B463),INDEX(Bases!$M$2:$M$53,C463))+Settings!$B$5*MIN(INDEX(Bases!$M$2:$M$53,B463),INDEX(Bases!$M$2:$M$53,C463))</f>
        <v>53.6666666666667</v>
      </c>
      <c r="T463" s="2" t="n">
        <f aca="false">Settings!$B$4*MAX(INDEX(Bases!$N$2:$N$53,B463),INDEX(Bases!$N$2:$N$53,C463))+Settings!$B$5*MIN(INDEX(Bases!$N$2:$N$53,B463),INDEX(Bases!$N$2:$N$53,C463))</f>
        <v>82.6666666666667</v>
      </c>
      <c r="U463" s="2" t="n">
        <f aca="false">Settings!$B$4*MAX(INDEX(Bases!$O$2:$O$53,B463),INDEX(Bases!$O$2:$O$53,C463))+Settings!$B$5*MIN(INDEX(Bases!$O$2:$O$53,B463),INDEX(Bases!$O$2:$O$53,C463))</f>
        <v>90.3333333333333</v>
      </c>
      <c r="V463" s="2" t="n">
        <f aca="false">Settings!$B$4*MAX(INDEX(Bases!$P$2:$P$53,B463),INDEX(Bases!$P$2:$P$53,C463))+Settings!$B$5*MIN(INDEX(Bases!$P$2:$P$53,B463),INDEX(Bases!$P$2:$P$53,C463))</f>
        <v>62.3333333333333</v>
      </c>
      <c r="W463" s="2" t="n">
        <f aca="false">Settings!$B$4*MAX(INDEX(Bases!$Q$2:$Q$53,B463),INDEX(Bases!$Q$2:$Q$53,C463))+Settings!$B$5*MIN(INDEX(Bases!$Q$2:$Q$53,B463),INDEX(Bases!$Q$2:$Q$53,C463))</f>
        <v>61.3333333333333</v>
      </c>
      <c r="X463" s="2" t="n">
        <f aca="false">Settings!$B$4*MAX(INDEX(Bases!$R$2:$R$53,B463),INDEX(Bases!$R$2:$R$53,C463))+Settings!$B$5*MIN(INDEX(Bases!$R$2:$R$53,B463),INDEX(Bases!$R$2:$R$53,C463))</f>
        <v>90</v>
      </c>
      <c r="Y463" s="2" t="n">
        <f aca="false">S463*Settings!$B$3/SUM(S463:X463)</f>
        <v>60.9386828160485</v>
      </c>
      <c r="Z463" s="2" t="n">
        <f aca="false">T463*Settings!$B$3/SUM(S463:X463)</f>
        <v>93.8682816048448</v>
      </c>
      <c r="AA463" s="2" t="n">
        <f aca="false">U463*Settings!$B$3/SUM(S463:X463)</f>
        <v>102.573807721423</v>
      </c>
      <c r="AB463" s="2" t="n">
        <f aca="false">V463*Settings!$B$3/SUM(S463:X463)</f>
        <v>70.779712339137</v>
      </c>
      <c r="AC463" s="2" t="n">
        <f aca="false">W463*Settings!$B$3/SUM(S463:X463)</f>
        <v>69.6442089326268</v>
      </c>
      <c r="AD463" s="2" t="n">
        <f aca="false">X463*Settings!$B$3/SUM(S463:X463)</f>
        <v>102.19530658592</v>
      </c>
      <c r="AE463" s="2" t="n">
        <f aca="false">INT(Y463)</f>
        <v>60</v>
      </c>
      <c r="AF463" s="2" t="n">
        <f aca="false">INT(Z463)</f>
        <v>93</v>
      </c>
      <c r="AG463" s="2" t="n">
        <f aca="false">INT(AA463)</f>
        <v>102</v>
      </c>
      <c r="AH463" s="2" t="n">
        <f aca="false">INT(AB463)</f>
        <v>70</v>
      </c>
      <c r="AI463" s="2" t="n">
        <f aca="false">INT(AC463)</f>
        <v>69</v>
      </c>
      <c r="AJ463" s="2" t="n">
        <f aca="false">INT(AD463)</f>
        <v>102</v>
      </c>
      <c r="AK463" s="2" t="n">
        <f aca="false">Settings!$B$3-SUM(AE463:AJ463)</f>
        <v>4</v>
      </c>
      <c r="AL463" s="2" t="n">
        <f aca="false">ROUND(Y463-AE463,9)</f>
        <v>0.938682816</v>
      </c>
      <c r="AM463" s="2" t="n">
        <f aca="false">ROUND(Z463-AF463,9)</f>
        <v>0.868281605</v>
      </c>
      <c r="AN463" s="2" t="n">
        <f aca="false">ROUND(AA463-AG463,9)</f>
        <v>0.573807721</v>
      </c>
      <c r="AO463" s="2" t="n">
        <f aca="false">ROUND(AB463-AH463,9)</f>
        <v>0.779712339</v>
      </c>
      <c r="AP463" s="2" t="n">
        <f aca="false">ROUND(AC463-AI463,9)</f>
        <v>0.644208933</v>
      </c>
      <c r="AQ463" s="2" t="n">
        <f aca="false">ROUND(AD463-AJ463,9)</f>
        <v>0.195306586</v>
      </c>
    </row>
    <row r="464" customFormat="false" ht="15" hidden="false" customHeight="false" outlineLevel="0" collapsed="false">
      <c r="A464" s="2" t="n">
        <v>463</v>
      </c>
      <c r="B464" s="6" t="n">
        <v>10</v>
      </c>
      <c r="C464" s="6" t="n">
        <v>50</v>
      </c>
      <c r="D464" s="8" t="str">
        <f aca="false">INDEX(Bases!$B$2:$B$53,B464)</f>
        <v>Pichu</v>
      </c>
      <c r="E464" s="8" t="str">
        <f aca="false">INDEX(Bases!$B$2:$B$53,C464)</f>
        <v>Beldum</v>
      </c>
      <c r="F464" s="2" t="str">
        <f aca="false">LEFT(D464,ROUNDUP(LEN(D464)/2,0))&amp;LOWER(MID(E464,ROUNDUP(LEN(E464)/2,0)+1,20))</f>
        <v>Picdum</v>
      </c>
      <c r="G464" s="8" t="str">
        <f aca="false">INDEX(Bases!$C$2:$C$53,B464)</f>
        <v>Electric</v>
      </c>
      <c r="H464" s="8" t="str">
        <f aca="false">IF(INDEX(Bases!$C$2:$C$53,C464)=G464,"",INDEX(Bases!$C$2:$C$53,C464))</f>
        <v>Steel</v>
      </c>
      <c r="I464" s="8" t="str">
        <f aca="false">IF(INDEX(Bases!$E$2:$E$53,B464)="","",INDEX(Bases!$E$2:$E$53,B464))</f>
        <v/>
      </c>
      <c r="J464" s="8" t="str">
        <f aca="false">IF(INDEX(Bases!$E$2:$E$53,C464)="","",INDEX(Bases!$E$2:$E$53,C464))</f>
        <v/>
      </c>
      <c r="K464" s="5"/>
      <c r="L464" s="2" t="n">
        <f aca="false">AE464+IF(SUMPRODUCT(--($AL464:$AQ464&gt;AL464))&lt;$AK464,1,0)</f>
        <v>56</v>
      </c>
      <c r="M464" s="2" t="n">
        <f aca="false">AF464+IF(SUMPRODUCT(--($AL464:$AQ464&gt;AM464))+SUMPRODUCT(--($AL464:AL464=AM464))&lt;$AK464,1,0)</f>
        <v>88</v>
      </c>
      <c r="N464" s="2" t="n">
        <f aca="false">AG464+IF(SUMPRODUCT(--($AL464:$AQ464&gt;AN464))+SUMPRODUCT(--($AL464:AM464=AN464))&lt;$AK464,1,0)</f>
        <v>93</v>
      </c>
      <c r="O464" s="2" t="n">
        <f aca="false">AH464+IF(SUMPRODUCT(--($AL464:$AQ464&gt;AO464))+SUMPRODUCT(--($AL464:AN464=AO464))&lt;$AK464,1,0)</f>
        <v>71</v>
      </c>
      <c r="P464" s="2" t="n">
        <f aca="false">AI464+IF(SUMPRODUCT(--($AL464:$AQ464&gt;AP464))+SUMPRODUCT(--($AL464:AO464=AP464))&lt;$AK464,1,0)</f>
        <v>87</v>
      </c>
      <c r="Q464" s="2" t="n">
        <f aca="false">AJ464+IF(SUMPRODUCT(--($AL464:$AQ464&gt;AQ464))+SUMPRODUCT(--($AL464:AP464=AQ464))&lt;$AK464,1,0)</f>
        <v>105</v>
      </c>
      <c r="R464" s="2" t="n">
        <f aca="false">SUM(L464:Q464)</f>
        <v>500</v>
      </c>
      <c r="S464" s="2" t="n">
        <f aca="false">Settings!$B$4*MAX(INDEX(Bases!$M$2:$M$53,B464),INDEX(Bases!$M$2:$M$53,C464))+Settings!$B$5*MIN(INDEX(Bases!$M$2:$M$53,B464),INDEX(Bases!$M$2:$M$53,C464))</f>
        <v>48.3333333333333</v>
      </c>
      <c r="T464" s="2" t="n">
        <f aca="false">Settings!$B$4*MAX(INDEX(Bases!$N$2:$N$53,B464),INDEX(Bases!$N$2:$N$53,C464))+Settings!$B$5*MIN(INDEX(Bases!$N$2:$N$53,B464),INDEX(Bases!$N$2:$N$53,C464))</f>
        <v>76.3333333333333</v>
      </c>
      <c r="U464" s="2" t="n">
        <f aca="false">Settings!$B$4*MAX(INDEX(Bases!$O$2:$O$53,B464),INDEX(Bases!$O$2:$O$53,C464))+Settings!$B$5*MIN(INDEX(Bases!$O$2:$O$53,B464),INDEX(Bases!$O$2:$O$53,C464))</f>
        <v>81</v>
      </c>
      <c r="V464" s="2" t="n">
        <f aca="false">Settings!$B$4*MAX(INDEX(Bases!$P$2:$P$53,B464),INDEX(Bases!$P$2:$P$53,C464))+Settings!$B$5*MIN(INDEX(Bases!$P$2:$P$53,B464),INDEX(Bases!$P$2:$P$53,C464))</f>
        <v>61.6666666666667</v>
      </c>
      <c r="W464" s="2" t="n">
        <f aca="false">Settings!$B$4*MAX(INDEX(Bases!$Q$2:$Q$53,B464),INDEX(Bases!$Q$2:$Q$53,C464))+Settings!$B$5*MIN(INDEX(Bases!$Q$2:$Q$53,B464),INDEX(Bases!$Q$2:$Q$53,C464))</f>
        <v>76</v>
      </c>
      <c r="X464" s="2" t="n">
        <f aca="false">Settings!$B$4*MAX(INDEX(Bases!$R$2:$R$53,B464),INDEX(Bases!$R$2:$R$53,C464))+Settings!$B$5*MIN(INDEX(Bases!$R$2:$R$53,B464),INDEX(Bases!$R$2:$R$53,C464))</f>
        <v>91.3333333333333</v>
      </c>
      <c r="Y464" s="2" t="n">
        <f aca="false">S464*Settings!$B$3/SUM(S464:X464)</f>
        <v>55.5981595092024</v>
      </c>
      <c r="Z464" s="2" t="n">
        <f aca="false">T464*Settings!$B$3/SUM(S464:X464)</f>
        <v>87.8067484662577</v>
      </c>
      <c r="AA464" s="2" t="n">
        <f aca="false">U464*Settings!$B$3/SUM(S464:X464)</f>
        <v>93.1748466257669</v>
      </c>
      <c r="AB464" s="2" t="n">
        <f aca="false">V464*Settings!$B$3/SUM(S464:X464)</f>
        <v>70.9355828220859</v>
      </c>
      <c r="AC464" s="2" t="n">
        <f aca="false">W464*Settings!$B$3/SUM(S464:X464)</f>
        <v>87.4233128834356</v>
      </c>
      <c r="AD464" s="2" t="n">
        <f aca="false">X464*Settings!$B$3/SUM(S464:X464)</f>
        <v>105.061349693252</v>
      </c>
      <c r="AE464" s="2" t="n">
        <f aca="false">INT(Y464)</f>
        <v>55</v>
      </c>
      <c r="AF464" s="2" t="n">
        <f aca="false">INT(Z464)</f>
        <v>87</v>
      </c>
      <c r="AG464" s="2" t="n">
        <f aca="false">INT(AA464)</f>
        <v>93</v>
      </c>
      <c r="AH464" s="2" t="n">
        <f aca="false">INT(AB464)</f>
        <v>70</v>
      </c>
      <c r="AI464" s="2" t="n">
        <f aca="false">INT(AC464)</f>
        <v>87</v>
      </c>
      <c r="AJ464" s="2" t="n">
        <f aca="false">INT(AD464)</f>
        <v>105</v>
      </c>
      <c r="AK464" s="2" t="n">
        <f aca="false">Settings!$B$3-SUM(AE464:AJ464)</f>
        <v>3</v>
      </c>
      <c r="AL464" s="2" t="n">
        <f aca="false">ROUND(Y464-AE464,9)</f>
        <v>0.598159509</v>
      </c>
      <c r="AM464" s="2" t="n">
        <f aca="false">ROUND(Z464-AF464,9)</f>
        <v>0.806748466</v>
      </c>
      <c r="AN464" s="2" t="n">
        <f aca="false">ROUND(AA464-AG464,9)</f>
        <v>0.174846626</v>
      </c>
      <c r="AO464" s="2" t="n">
        <f aca="false">ROUND(AB464-AH464,9)</f>
        <v>0.935582822</v>
      </c>
      <c r="AP464" s="2" t="n">
        <f aca="false">ROUND(AC464-AI464,9)</f>
        <v>0.423312883</v>
      </c>
      <c r="AQ464" s="2" t="n">
        <f aca="false">ROUND(AD464-AJ464,9)</f>
        <v>0.061349693</v>
      </c>
    </row>
    <row r="465" customFormat="false" ht="15" hidden="false" customHeight="false" outlineLevel="0" collapsed="false">
      <c r="A465" s="2" t="n">
        <v>464</v>
      </c>
      <c r="B465" s="6" t="n">
        <v>10</v>
      </c>
      <c r="C465" s="6" t="n">
        <v>51</v>
      </c>
      <c r="D465" s="8" t="str">
        <f aca="false">INDEX(Bases!$B$2:$B$53,B465)</f>
        <v>Pichu</v>
      </c>
      <c r="E465" s="8" t="str">
        <f aca="false">INDEX(Bases!$B$2:$B$53,C465)</f>
        <v>Cleffa</v>
      </c>
      <c r="F465" s="2" t="str">
        <f aca="false">LEFT(D465,ROUNDUP(LEN(D465)/2,0))&amp;LOWER(MID(E465,ROUNDUP(LEN(E465)/2,0)+1,20))</f>
        <v>Picffa</v>
      </c>
      <c r="G465" s="8" t="str">
        <f aca="false">INDEX(Bases!$C$2:$C$53,B465)</f>
        <v>Electric</v>
      </c>
      <c r="H465" s="8" t="str">
        <f aca="false">IF(INDEX(Bases!$C$2:$C$53,C465)=G465,"",INDEX(Bases!$C$2:$C$53,C465))</f>
        <v>Fairy</v>
      </c>
      <c r="I465" s="8" t="str">
        <f aca="false">IF(INDEX(Bases!$E$2:$E$53,B465)="","",INDEX(Bases!$E$2:$E$53,B465))</f>
        <v/>
      </c>
      <c r="J465" s="8" t="str">
        <f aca="false">IF(INDEX(Bases!$E$2:$E$53,C465)="","",INDEX(Bases!$E$2:$E$53,C465))</f>
        <v/>
      </c>
      <c r="K465" s="5"/>
      <c r="L465" s="2" t="n">
        <f aca="false">AE465+IF(SUMPRODUCT(--($AL465:$AQ465&gt;AL465))&lt;$AK465,1,0)</f>
        <v>84</v>
      </c>
      <c r="M465" s="2" t="n">
        <f aca="false">AF465+IF(SUMPRODUCT(--($AL465:$AQ465&gt;AM465))+SUMPRODUCT(--($AL465:AL465=AM465))&lt;$AK465,1,0)</f>
        <v>76</v>
      </c>
      <c r="N465" s="2" t="n">
        <f aca="false">AG465+IF(SUMPRODUCT(--($AL465:$AQ465&gt;AN465))+SUMPRODUCT(--($AL465:AM465=AN465))&lt;$AK465,1,0)</f>
        <v>50</v>
      </c>
      <c r="O465" s="2" t="n">
        <f aca="false">AH465+IF(SUMPRODUCT(--($AL465:$AQ465&gt;AO465))+SUMPRODUCT(--($AL465:AN465=AO465))&lt;$AK465,1,0)</f>
        <v>89</v>
      </c>
      <c r="P465" s="2" t="n">
        <f aca="false">AI465+IF(SUMPRODUCT(--($AL465:$AQ465&gt;AP465))+SUMPRODUCT(--($AL465:AO465=AP465))&lt;$AK465,1,0)</f>
        <v>102</v>
      </c>
      <c r="Q465" s="2" t="n">
        <f aca="false">AJ465+IF(SUMPRODUCT(--($AL465:$AQ465&gt;AQ465))+SUMPRODUCT(--($AL465:AP465=AQ465))&lt;$AK465,1,0)</f>
        <v>99</v>
      </c>
      <c r="R465" s="2" t="n">
        <f aca="false">SUM(L465:Q465)</f>
        <v>500</v>
      </c>
      <c r="S465" s="2" t="n">
        <f aca="false">Settings!$B$4*MAX(INDEX(Bases!$M$2:$M$53,B465),INDEX(Bases!$M$2:$M$53,C465))+Settings!$B$5*MIN(INDEX(Bases!$M$2:$M$53,B465),INDEX(Bases!$M$2:$M$53,C465))</f>
        <v>74.3333333333333</v>
      </c>
      <c r="T465" s="2" t="n">
        <f aca="false">Settings!$B$4*MAX(INDEX(Bases!$N$2:$N$53,B465),INDEX(Bases!$N$2:$N$53,C465))+Settings!$B$5*MIN(INDEX(Bases!$N$2:$N$53,B465),INDEX(Bases!$N$2:$N$53,C465))</f>
        <v>67.3333333333333</v>
      </c>
      <c r="U465" s="2" t="n">
        <f aca="false">Settings!$B$4*MAX(INDEX(Bases!$O$2:$O$53,B465),INDEX(Bases!$O$2:$O$53,C465))+Settings!$B$5*MIN(INDEX(Bases!$O$2:$O$53,B465),INDEX(Bases!$O$2:$O$53,C465))</f>
        <v>43.6666666666667</v>
      </c>
      <c r="V465" s="2" t="n">
        <f aca="false">Settings!$B$4*MAX(INDEX(Bases!$P$2:$P$53,B465),INDEX(Bases!$P$2:$P$53,C465))+Settings!$B$5*MIN(INDEX(Bases!$P$2:$P$53,B465),INDEX(Bases!$P$2:$P$53,C465))</f>
        <v>78.3333333333333</v>
      </c>
      <c r="W465" s="2" t="n">
        <f aca="false">Settings!$B$4*MAX(INDEX(Bases!$Q$2:$Q$53,B465),INDEX(Bases!$Q$2:$Q$53,C465))+Settings!$B$5*MIN(INDEX(Bases!$Q$2:$Q$53,B465),INDEX(Bases!$Q$2:$Q$53,C465))</f>
        <v>90</v>
      </c>
      <c r="X465" s="2" t="n">
        <f aca="false">Settings!$B$4*MAX(INDEX(Bases!$R$2:$R$53,B465),INDEX(Bases!$R$2:$R$53,C465))+Settings!$B$5*MIN(INDEX(Bases!$R$2:$R$53,B465),INDEX(Bases!$R$2:$R$53,C465))</f>
        <v>87</v>
      </c>
      <c r="Y465" s="2" t="n">
        <f aca="false">S465*Settings!$B$3/SUM(S465:X465)</f>
        <v>84.3419062027231</v>
      </c>
      <c r="Z465" s="2" t="n">
        <f aca="false">T465*Settings!$B$3/SUM(S465:X465)</f>
        <v>76.3993948562784</v>
      </c>
      <c r="AA465" s="2" t="n">
        <f aca="false">U465*Settings!$B$3/SUM(S465:X465)</f>
        <v>49.5461422087746</v>
      </c>
      <c r="AB465" s="2" t="n">
        <f aca="false">V465*Settings!$B$3/SUM(S465:X465)</f>
        <v>88.8804841149773</v>
      </c>
      <c r="AC465" s="2" t="n">
        <f aca="false">W465*Settings!$B$3/SUM(S465:X465)</f>
        <v>102.118003025719</v>
      </c>
      <c r="AD465" s="2" t="n">
        <f aca="false">X465*Settings!$B$3/SUM(S465:X465)</f>
        <v>98.714069591528</v>
      </c>
      <c r="AE465" s="2" t="n">
        <f aca="false">INT(Y465)</f>
        <v>84</v>
      </c>
      <c r="AF465" s="2" t="n">
        <f aca="false">INT(Z465)</f>
        <v>76</v>
      </c>
      <c r="AG465" s="2" t="n">
        <f aca="false">INT(AA465)</f>
        <v>49</v>
      </c>
      <c r="AH465" s="2" t="n">
        <f aca="false">INT(AB465)</f>
        <v>88</v>
      </c>
      <c r="AI465" s="2" t="n">
        <f aca="false">INT(AC465)</f>
        <v>102</v>
      </c>
      <c r="AJ465" s="2" t="n">
        <f aca="false">INT(AD465)</f>
        <v>98</v>
      </c>
      <c r="AK465" s="2" t="n">
        <f aca="false">Settings!$B$3-SUM(AE465:AJ465)</f>
        <v>3</v>
      </c>
      <c r="AL465" s="2" t="n">
        <f aca="false">ROUND(Y465-AE465,9)</f>
        <v>0.341906203</v>
      </c>
      <c r="AM465" s="2" t="n">
        <f aca="false">ROUND(Z465-AF465,9)</f>
        <v>0.399394856</v>
      </c>
      <c r="AN465" s="2" t="n">
        <f aca="false">ROUND(AA465-AG465,9)</f>
        <v>0.546142209</v>
      </c>
      <c r="AO465" s="2" t="n">
        <f aca="false">ROUND(AB465-AH465,9)</f>
        <v>0.880484115</v>
      </c>
      <c r="AP465" s="2" t="n">
        <f aca="false">ROUND(AC465-AI465,9)</f>
        <v>0.118003026</v>
      </c>
      <c r="AQ465" s="2" t="n">
        <f aca="false">ROUND(AD465-AJ465,9)</f>
        <v>0.714069592</v>
      </c>
    </row>
    <row r="466" customFormat="false" ht="15" hidden="false" customHeight="false" outlineLevel="0" collapsed="false">
      <c r="A466" s="2" t="n">
        <v>465</v>
      </c>
      <c r="B466" s="6" t="n">
        <v>10</v>
      </c>
      <c r="C466" s="6" t="n">
        <v>52</v>
      </c>
      <c r="D466" s="8" t="str">
        <f aca="false">INDEX(Bases!$B$2:$B$53,B466)</f>
        <v>Pichu</v>
      </c>
      <c r="E466" s="8" t="str">
        <f aca="false">INDEX(Bases!$B$2:$B$53,C466)</f>
        <v>Togepi</v>
      </c>
      <c r="F466" s="2" t="str">
        <f aca="false">LEFT(D466,ROUNDUP(LEN(D466)/2,0))&amp;LOWER(MID(E466,ROUNDUP(LEN(E466)/2,0)+1,20))</f>
        <v>Picepi</v>
      </c>
      <c r="G466" s="8" t="str">
        <f aca="false">INDEX(Bases!$C$2:$C$53,B466)</f>
        <v>Electric</v>
      </c>
      <c r="H466" s="8" t="str">
        <f aca="false">IF(INDEX(Bases!$C$2:$C$53,C466)=G466,"",INDEX(Bases!$C$2:$C$53,C466))</f>
        <v>Fairy</v>
      </c>
      <c r="I466" s="8" t="str">
        <f aca="false">IF(INDEX(Bases!$E$2:$E$53,B466)="","",INDEX(Bases!$E$2:$E$53,B466))</f>
        <v/>
      </c>
      <c r="J466" s="8" t="str">
        <f aca="false">IF(INDEX(Bases!$E$2:$E$53,C466)="","",INDEX(Bases!$E$2:$E$53,C466))</f>
        <v/>
      </c>
      <c r="K466" s="5"/>
      <c r="L466" s="2" t="n">
        <f aca="false">AE466+IF(SUMPRODUCT(--($AL466:$AQ466&gt;AL466))&lt;$AK466,1,0)</f>
        <v>57</v>
      </c>
      <c r="M466" s="2" t="n">
        <f aca="false">AF466+IF(SUMPRODUCT(--($AL466:$AQ466&gt;AM466))+SUMPRODUCT(--($AL466:AL466=AM466))&lt;$AK466,1,0)</f>
        <v>71</v>
      </c>
      <c r="N466" s="2" t="n">
        <f aca="false">AG466+IF(SUMPRODUCT(--($AL466:$AQ466&gt;AN466))+SUMPRODUCT(--($AL466:AM466=AN466))&lt;$AK466,1,0)</f>
        <v>91</v>
      </c>
      <c r="O466" s="2" t="n">
        <f aca="false">AH466+IF(SUMPRODUCT(--($AL466:$AQ466&gt;AO466))+SUMPRODUCT(--($AL466:AN466=AO466))&lt;$AK466,1,0)</f>
        <v>76</v>
      </c>
      <c r="P466" s="2" t="n">
        <f aca="false">AI466+IF(SUMPRODUCT(--($AL466:$AQ466&gt;AP466))+SUMPRODUCT(--($AL466:AO466=AP466))&lt;$AK466,1,0)</f>
        <v>105</v>
      </c>
      <c r="Q466" s="2" t="n">
        <f aca="false">AJ466+IF(SUMPRODUCT(--($AL466:$AQ466&gt;AQ466))+SUMPRODUCT(--($AL466:AP466=AQ466))&lt;$AK466,1,0)</f>
        <v>100</v>
      </c>
      <c r="R466" s="2" t="n">
        <f aca="false">SUM(L466:Q466)</f>
        <v>500</v>
      </c>
      <c r="S466" s="2" t="n">
        <f aca="false">Settings!$B$4*MAX(INDEX(Bases!$M$2:$M$53,B466),INDEX(Bases!$M$2:$M$53,C466))+Settings!$B$5*MIN(INDEX(Bases!$M$2:$M$53,B466),INDEX(Bases!$M$2:$M$53,C466))</f>
        <v>51</v>
      </c>
      <c r="T466" s="2" t="n">
        <f aca="false">Settings!$B$4*MAX(INDEX(Bases!$N$2:$N$53,B466),INDEX(Bases!$N$2:$N$53,C466))+Settings!$B$5*MIN(INDEX(Bases!$N$2:$N$53,B466),INDEX(Bases!$N$2:$N$53,C466))</f>
        <v>63</v>
      </c>
      <c r="U466" s="2" t="n">
        <f aca="false">Settings!$B$4*MAX(INDEX(Bases!$O$2:$O$53,B466),INDEX(Bases!$O$2:$O$53,C466))+Settings!$B$5*MIN(INDEX(Bases!$O$2:$O$53,B466),INDEX(Bases!$O$2:$O$53,C466))</f>
        <v>80.3333333333333</v>
      </c>
      <c r="V466" s="2" t="n">
        <f aca="false">Settings!$B$4*MAX(INDEX(Bases!$P$2:$P$53,B466),INDEX(Bases!$P$2:$P$53,C466))+Settings!$B$5*MIN(INDEX(Bases!$P$2:$P$53,B466),INDEX(Bases!$P$2:$P$53,C466))</f>
        <v>67.6666666666667</v>
      </c>
      <c r="W466" s="2" t="n">
        <f aca="false">Settings!$B$4*MAX(INDEX(Bases!$Q$2:$Q$53,B466),INDEX(Bases!$Q$2:$Q$53,C466))+Settings!$B$5*MIN(INDEX(Bases!$Q$2:$Q$53,B466),INDEX(Bases!$Q$2:$Q$53,C466))</f>
        <v>93.3333333333333</v>
      </c>
      <c r="X466" s="2" t="n">
        <f aca="false">Settings!$B$4*MAX(INDEX(Bases!$R$2:$R$53,B466),INDEX(Bases!$R$2:$R$53,C466))+Settings!$B$5*MIN(INDEX(Bases!$R$2:$R$53,B466),INDEX(Bases!$R$2:$R$53,C466))</f>
        <v>89</v>
      </c>
      <c r="Y466" s="2" t="n">
        <f aca="false">S466*Settings!$B$3/SUM(S466:X466)</f>
        <v>57.3893473368342</v>
      </c>
      <c r="Z466" s="2" t="n">
        <f aca="false">T466*Settings!$B$3/SUM(S466:X466)</f>
        <v>70.8927231807952</v>
      </c>
      <c r="AA466" s="2" t="n">
        <f aca="false">U466*Settings!$B$3/SUM(S466:X466)</f>
        <v>90.39759939985</v>
      </c>
      <c r="AB466" s="2" t="n">
        <f aca="false">V466*Settings!$B$3/SUM(S466:X466)</f>
        <v>76.1440360090023</v>
      </c>
      <c r="AC466" s="2" t="n">
        <f aca="false">W466*Settings!$B$3/SUM(S466:X466)</f>
        <v>105.026256564141</v>
      </c>
      <c r="AD466" s="2" t="n">
        <f aca="false">X466*Settings!$B$3/SUM(S466:X466)</f>
        <v>100.150037509377</v>
      </c>
      <c r="AE466" s="2" t="n">
        <f aca="false">INT(Y466)</f>
        <v>57</v>
      </c>
      <c r="AF466" s="2" t="n">
        <f aca="false">INT(Z466)</f>
        <v>70</v>
      </c>
      <c r="AG466" s="2" t="n">
        <f aca="false">INT(AA466)</f>
        <v>90</v>
      </c>
      <c r="AH466" s="2" t="n">
        <f aca="false">INT(AB466)</f>
        <v>76</v>
      </c>
      <c r="AI466" s="2" t="n">
        <f aca="false">INT(AC466)</f>
        <v>105</v>
      </c>
      <c r="AJ466" s="2" t="n">
        <f aca="false">INT(AD466)</f>
        <v>100</v>
      </c>
      <c r="AK466" s="2" t="n">
        <f aca="false">Settings!$B$3-SUM(AE466:AJ466)</f>
        <v>2</v>
      </c>
      <c r="AL466" s="2" t="n">
        <f aca="false">ROUND(Y466-AE466,9)</f>
        <v>0.389347337</v>
      </c>
      <c r="AM466" s="2" t="n">
        <f aca="false">ROUND(Z466-AF466,9)</f>
        <v>0.892723181</v>
      </c>
      <c r="AN466" s="2" t="n">
        <f aca="false">ROUND(AA466-AG466,9)</f>
        <v>0.3975994</v>
      </c>
      <c r="AO466" s="2" t="n">
        <f aca="false">ROUND(AB466-AH466,9)</f>
        <v>0.144036009</v>
      </c>
      <c r="AP466" s="2" t="n">
        <f aca="false">ROUND(AC466-AI466,9)</f>
        <v>0.026256564</v>
      </c>
      <c r="AQ466" s="2" t="n">
        <f aca="false">ROUND(AD466-AJ466,9)</f>
        <v>0.150037509</v>
      </c>
    </row>
    <row r="467" customFormat="false" ht="15" hidden="false" customHeight="false" outlineLevel="0" collapsed="false">
      <c r="A467" s="2" t="n">
        <v>466</v>
      </c>
      <c r="B467" s="6" t="n">
        <v>11</v>
      </c>
      <c r="C467" s="6" t="n">
        <v>12</v>
      </c>
      <c r="D467" s="8" t="str">
        <f aca="false">INDEX(Bases!$B$2:$B$53,B467)</f>
        <v>Voltorb</v>
      </c>
      <c r="E467" s="8" t="str">
        <f aca="false">INDEX(Bases!$B$2:$B$53,C467)</f>
        <v>Mareep</v>
      </c>
      <c r="F467" s="2" t="str">
        <f aca="false">LEFT(D467,ROUNDUP(LEN(D467)/2,0))&amp;LOWER(MID(E467,ROUNDUP(LEN(E467)/2,0)+1,20))</f>
        <v>Volteep</v>
      </c>
      <c r="G467" s="8" t="str">
        <f aca="false">INDEX(Bases!$C$2:$C$53,B467)</f>
        <v>Electric</v>
      </c>
      <c r="H467" s="8" t="str">
        <f aca="false">IF(INDEX(Bases!$C$2:$C$53,C467)=G467,"",INDEX(Bases!$C$2:$C$53,C467))</f>
        <v/>
      </c>
      <c r="I467" s="8" t="str">
        <f aca="false">IF(INDEX(Bases!$E$2:$E$53,B467)="","",INDEX(Bases!$E$2:$E$53,B467))</f>
        <v/>
      </c>
      <c r="J467" s="8" t="str">
        <f aca="false">IF(INDEX(Bases!$E$2:$E$53,C467)="","",INDEX(Bases!$E$2:$E$53,C467))</f>
        <v/>
      </c>
      <c r="K467" s="5"/>
      <c r="L467" s="2" t="n">
        <f aca="false">AE467+IF(SUMPRODUCT(--($AL467:$AQ467&gt;AL467))&lt;$AK467,1,0)</f>
        <v>81</v>
      </c>
      <c r="M467" s="2" t="n">
        <f aca="false">AF467+IF(SUMPRODUCT(--($AL467:$AQ467&gt;AM467))+SUMPRODUCT(--($AL467:AL467=AM467))&lt;$AK467,1,0)</f>
        <v>59</v>
      </c>
      <c r="N467" s="2" t="n">
        <f aca="false">AG467+IF(SUMPRODUCT(--($AL467:$AQ467&gt;AN467))+SUMPRODUCT(--($AL467:AM467=AN467))&lt;$AK467,1,0)</f>
        <v>70</v>
      </c>
      <c r="O467" s="2" t="n">
        <f aca="false">AH467+IF(SUMPRODUCT(--($AL467:$AQ467&gt;AO467))+SUMPRODUCT(--($AL467:AN467=AO467))&lt;$AK467,1,0)</f>
        <v>99</v>
      </c>
      <c r="P467" s="2" t="n">
        <f aca="false">AI467+IF(SUMPRODUCT(--($AL467:$AQ467&gt;AP467))+SUMPRODUCT(--($AL467:AO467=AP467))&lt;$AK467,1,0)</f>
        <v>77</v>
      </c>
      <c r="Q467" s="2" t="n">
        <f aca="false">AJ467+IF(SUMPRODUCT(--($AL467:$AQ467&gt;AQ467))+SUMPRODUCT(--($AL467:AP467=AQ467))&lt;$AK467,1,0)</f>
        <v>114</v>
      </c>
      <c r="R467" s="2" t="n">
        <f aca="false">SUM(L467:Q467)</f>
        <v>500</v>
      </c>
      <c r="S467" s="2" t="n">
        <f aca="false">Settings!$B$4*MAX(INDEX(Bases!$M$2:$M$53,B467),INDEX(Bases!$M$2:$M$53,C467))+Settings!$B$5*MIN(INDEX(Bases!$M$2:$M$53,B467),INDEX(Bases!$M$2:$M$53,C467))</f>
        <v>68.6666666666667</v>
      </c>
      <c r="T467" s="2" t="n">
        <f aca="false">Settings!$B$4*MAX(INDEX(Bases!$N$2:$N$53,B467),INDEX(Bases!$N$2:$N$53,C467))+Settings!$B$5*MIN(INDEX(Bases!$N$2:$N$53,B467),INDEX(Bases!$N$2:$N$53,C467))</f>
        <v>50</v>
      </c>
      <c r="U467" s="2" t="n">
        <f aca="false">Settings!$B$4*MAX(INDEX(Bases!$O$2:$O$53,B467),INDEX(Bases!$O$2:$O$53,C467))+Settings!$B$5*MIN(INDEX(Bases!$O$2:$O$53,B467),INDEX(Bases!$O$2:$O$53,C467))</f>
        <v>59.6666666666667</v>
      </c>
      <c r="V467" s="2" t="n">
        <f aca="false">Settings!$B$4*MAX(INDEX(Bases!$P$2:$P$53,B467),INDEX(Bases!$P$2:$P$53,C467))+Settings!$B$5*MIN(INDEX(Bases!$P$2:$P$53,B467),INDEX(Bases!$P$2:$P$53,C467))</f>
        <v>84.3333333333333</v>
      </c>
      <c r="W467" s="2" t="n">
        <f aca="false">Settings!$B$4*MAX(INDEX(Bases!$Q$2:$Q$53,B467),INDEX(Bases!$Q$2:$Q$53,C467))+Settings!$B$5*MIN(INDEX(Bases!$Q$2:$Q$53,B467),INDEX(Bases!$Q$2:$Q$53,C467))</f>
        <v>66</v>
      </c>
      <c r="X467" s="2" t="n">
        <f aca="false">Settings!$B$4*MAX(INDEX(Bases!$R$2:$R$53,B467),INDEX(Bases!$R$2:$R$53,C467))+Settings!$B$5*MIN(INDEX(Bases!$R$2:$R$53,B467),INDEX(Bases!$R$2:$R$53,C467))</f>
        <v>97.3333333333333</v>
      </c>
      <c r="Y467" s="2" t="n">
        <f aca="false">S467*Settings!$B$3/SUM(S467:X467)</f>
        <v>80.5946791862285</v>
      </c>
      <c r="Z467" s="2" t="n">
        <f aca="false">T467*Settings!$B$3/SUM(S467:X467)</f>
        <v>58.6854460093897</v>
      </c>
      <c r="AA467" s="2" t="n">
        <f aca="false">U467*Settings!$B$3/SUM(S467:X467)</f>
        <v>70.0312989045384</v>
      </c>
      <c r="AB467" s="2" t="n">
        <f aca="false">V467*Settings!$B$3/SUM(S467:X467)</f>
        <v>98.9827856025039</v>
      </c>
      <c r="AC467" s="2" t="n">
        <f aca="false">W467*Settings!$B$3/SUM(S467:X467)</f>
        <v>77.4647887323944</v>
      </c>
      <c r="AD467" s="2" t="n">
        <f aca="false">X467*Settings!$B$3/SUM(S467:X467)</f>
        <v>114.241001564945</v>
      </c>
      <c r="AE467" s="2" t="n">
        <f aca="false">INT(Y467)</f>
        <v>80</v>
      </c>
      <c r="AF467" s="2" t="n">
        <f aca="false">INT(Z467)</f>
        <v>58</v>
      </c>
      <c r="AG467" s="2" t="n">
        <f aca="false">INT(AA467)</f>
        <v>70</v>
      </c>
      <c r="AH467" s="2" t="n">
        <f aca="false">INT(AB467)</f>
        <v>98</v>
      </c>
      <c r="AI467" s="2" t="n">
        <f aca="false">INT(AC467)</f>
        <v>77</v>
      </c>
      <c r="AJ467" s="2" t="n">
        <f aca="false">INT(AD467)</f>
        <v>114</v>
      </c>
      <c r="AK467" s="2" t="n">
        <f aca="false">Settings!$B$3-SUM(AE467:AJ467)</f>
        <v>3</v>
      </c>
      <c r="AL467" s="2" t="n">
        <f aca="false">ROUND(Y467-AE467,9)</f>
        <v>0.594679186</v>
      </c>
      <c r="AM467" s="2" t="n">
        <f aca="false">ROUND(Z467-AF467,9)</f>
        <v>0.685446009</v>
      </c>
      <c r="AN467" s="2" t="n">
        <f aca="false">ROUND(AA467-AG467,9)</f>
        <v>0.031298905</v>
      </c>
      <c r="AO467" s="2" t="n">
        <f aca="false">ROUND(AB467-AH467,9)</f>
        <v>0.982785603</v>
      </c>
      <c r="AP467" s="2" t="n">
        <f aca="false">ROUND(AC467-AI467,9)</f>
        <v>0.464788732</v>
      </c>
      <c r="AQ467" s="2" t="n">
        <f aca="false">ROUND(AD467-AJ467,9)</f>
        <v>0.241001565</v>
      </c>
    </row>
    <row r="468" customFormat="false" ht="15" hidden="false" customHeight="false" outlineLevel="0" collapsed="false">
      <c r="A468" s="2" t="n">
        <v>467</v>
      </c>
      <c r="B468" s="6" t="n">
        <v>11</v>
      </c>
      <c r="C468" s="6" t="n">
        <v>13</v>
      </c>
      <c r="D468" s="8" t="str">
        <f aca="false">INDEX(Bases!$B$2:$B$53,B468)</f>
        <v>Voltorb</v>
      </c>
      <c r="E468" s="8" t="str">
        <f aca="false">INDEX(Bases!$B$2:$B$53,C468)</f>
        <v>Bulbasaur</v>
      </c>
      <c r="F468" s="2" t="str">
        <f aca="false">LEFT(D468,ROUNDUP(LEN(D468)/2,0))&amp;LOWER(MID(E468,ROUNDUP(LEN(E468)/2,0)+1,20))</f>
        <v>Voltsaur</v>
      </c>
      <c r="G468" s="8" t="str">
        <f aca="false">INDEX(Bases!$C$2:$C$53,B468)</f>
        <v>Electric</v>
      </c>
      <c r="H468" s="8" t="str">
        <f aca="false">IF(INDEX(Bases!$C$2:$C$53,C468)=G468,"",INDEX(Bases!$C$2:$C$53,C468))</f>
        <v>Grass</v>
      </c>
      <c r="I468" s="8" t="str">
        <f aca="false">IF(INDEX(Bases!$E$2:$E$53,B468)="","",INDEX(Bases!$E$2:$E$53,B468))</f>
        <v/>
      </c>
      <c r="J468" s="8" t="str">
        <f aca="false">IF(INDEX(Bases!$E$2:$E$53,C468)="","",INDEX(Bases!$E$2:$E$53,C468))</f>
        <v/>
      </c>
      <c r="K468" s="5"/>
      <c r="L468" s="2" t="n">
        <f aca="false">AE468+IF(SUMPRODUCT(--($AL468:$AQ468&gt;AL468))&lt;$AK468,1,0)</f>
        <v>63</v>
      </c>
      <c r="M468" s="2" t="n">
        <f aca="false">AF468+IF(SUMPRODUCT(--($AL468:$AQ468&gt;AM468))+SUMPRODUCT(--($AL468:AL468=AM468))&lt;$AK468,1,0)</f>
        <v>63</v>
      </c>
      <c r="N468" s="2" t="n">
        <f aca="false">AG468+IF(SUMPRODUCT(--($AL468:$AQ468&gt;AN468))+SUMPRODUCT(--($AL468:AM468=AN468))&lt;$AK468,1,0)</f>
        <v>73</v>
      </c>
      <c r="O468" s="2" t="n">
        <f aca="false">AH468+IF(SUMPRODUCT(--($AL468:$AQ468&gt;AO468))+SUMPRODUCT(--($AL468:AN468=AO468))&lt;$AK468,1,0)</f>
        <v>92</v>
      </c>
      <c r="P468" s="2" t="n">
        <f aca="false">AI468+IF(SUMPRODUCT(--($AL468:$AQ468&gt;AP468))+SUMPRODUCT(--($AL468:AO468=AP468))&lt;$AK468,1,0)</f>
        <v>91</v>
      </c>
      <c r="Q468" s="2" t="n">
        <f aca="false">AJ468+IF(SUMPRODUCT(--($AL468:$AQ468&gt;AQ468))+SUMPRODUCT(--($AL468:AP468=AQ468))&lt;$AK468,1,0)</f>
        <v>118</v>
      </c>
      <c r="R468" s="2" t="n">
        <f aca="false">SUM(L468:Q468)</f>
        <v>500</v>
      </c>
      <c r="S468" s="2" t="n">
        <f aca="false">Settings!$B$4*MAX(INDEX(Bases!$M$2:$M$53,B468),INDEX(Bases!$M$2:$M$53,C468))+Settings!$B$5*MIN(INDEX(Bases!$M$2:$M$53,B468),INDEX(Bases!$M$2:$M$53,C468))</f>
        <v>53.3333333333333</v>
      </c>
      <c r="T468" s="2" t="n">
        <f aca="false">Settings!$B$4*MAX(INDEX(Bases!$N$2:$N$53,B468),INDEX(Bases!$N$2:$N$53,C468))+Settings!$B$5*MIN(INDEX(Bases!$N$2:$N$53,B468),INDEX(Bases!$N$2:$N$53,C468))</f>
        <v>53.3333333333333</v>
      </c>
      <c r="U468" s="2" t="n">
        <f aca="false">Settings!$B$4*MAX(INDEX(Bases!$O$2:$O$53,B468),INDEX(Bases!$O$2:$O$53,C468))+Settings!$B$5*MIN(INDEX(Bases!$O$2:$O$53,B468),INDEX(Bases!$O$2:$O$53,C468))</f>
        <v>61.6666666666667</v>
      </c>
      <c r="V468" s="2" t="n">
        <f aca="false">Settings!$B$4*MAX(INDEX(Bases!$P$2:$P$53,B468),INDEX(Bases!$P$2:$P$53,C468))+Settings!$B$5*MIN(INDEX(Bases!$P$2:$P$53,B468),INDEX(Bases!$P$2:$P$53,C468))</f>
        <v>77</v>
      </c>
      <c r="W468" s="2" t="n">
        <f aca="false">Settings!$B$4*MAX(INDEX(Bases!$Q$2:$Q$53,B468),INDEX(Bases!$Q$2:$Q$53,C468))+Settings!$B$5*MIN(INDEX(Bases!$Q$2:$Q$53,B468),INDEX(Bases!$Q$2:$Q$53,C468))</f>
        <v>77</v>
      </c>
      <c r="X468" s="2" t="n">
        <f aca="false">Settings!$B$4*MAX(INDEX(Bases!$R$2:$R$53,B468),INDEX(Bases!$R$2:$R$53,C468))+Settings!$B$5*MIN(INDEX(Bases!$R$2:$R$53,B468),INDEX(Bases!$R$2:$R$53,C468))</f>
        <v>99.3333333333333</v>
      </c>
      <c r="Y468" s="2" t="n">
        <f aca="false">S468*Settings!$B$3/SUM(S468:X468)</f>
        <v>63.2411067193676</v>
      </c>
      <c r="Z468" s="2" t="n">
        <f aca="false">T468*Settings!$B$3/SUM(S468:X468)</f>
        <v>63.2411067193676</v>
      </c>
      <c r="AA468" s="2" t="n">
        <f aca="false">U468*Settings!$B$3/SUM(S468:X468)</f>
        <v>73.1225296442688</v>
      </c>
      <c r="AB468" s="2" t="n">
        <f aca="false">V468*Settings!$B$3/SUM(S468:X468)</f>
        <v>91.304347826087</v>
      </c>
      <c r="AC468" s="2" t="n">
        <f aca="false">W468*Settings!$B$3/SUM(S468:X468)</f>
        <v>91.304347826087</v>
      </c>
      <c r="AD468" s="2" t="n">
        <f aca="false">X468*Settings!$B$3/SUM(S468:X468)</f>
        <v>117.786561264822</v>
      </c>
      <c r="AE468" s="2" t="n">
        <f aca="false">INT(Y468)</f>
        <v>63</v>
      </c>
      <c r="AF468" s="2" t="n">
        <f aca="false">INT(Z468)</f>
        <v>63</v>
      </c>
      <c r="AG468" s="2" t="n">
        <f aca="false">INT(AA468)</f>
        <v>73</v>
      </c>
      <c r="AH468" s="2" t="n">
        <f aca="false">INT(AB468)</f>
        <v>91</v>
      </c>
      <c r="AI468" s="2" t="n">
        <f aca="false">INT(AC468)</f>
        <v>91</v>
      </c>
      <c r="AJ468" s="2" t="n">
        <f aca="false">INT(AD468)</f>
        <v>117</v>
      </c>
      <c r="AK468" s="2" t="n">
        <f aca="false">Settings!$B$3-SUM(AE468:AJ468)</f>
        <v>2</v>
      </c>
      <c r="AL468" s="2" t="n">
        <f aca="false">ROUND(Y468-AE468,9)</f>
        <v>0.241106719</v>
      </c>
      <c r="AM468" s="2" t="n">
        <f aca="false">ROUND(Z468-AF468,9)</f>
        <v>0.241106719</v>
      </c>
      <c r="AN468" s="2" t="n">
        <f aca="false">ROUND(AA468-AG468,9)</f>
        <v>0.122529644</v>
      </c>
      <c r="AO468" s="2" t="n">
        <f aca="false">ROUND(AB468-AH468,9)</f>
        <v>0.304347826</v>
      </c>
      <c r="AP468" s="2" t="n">
        <f aca="false">ROUND(AC468-AI468,9)</f>
        <v>0.304347826</v>
      </c>
      <c r="AQ468" s="2" t="n">
        <f aca="false">ROUND(AD468-AJ468,9)</f>
        <v>0.786561265</v>
      </c>
    </row>
    <row r="469" customFormat="false" ht="15" hidden="false" customHeight="false" outlineLevel="0" collapsed="false">
      <c r="A469" s="2" t="n">
        <v>468</v>
      </c>
      <c r="B469" s="6" t="n">
        <v>11</v>
      </c>
      <c r="C469" s="6" t="n">
        <v>14</v>
      </c>
      <c r="D469" s="8" t="str">
        <f aca="false">INDEX(Bases!$B$2:$B$53,B469)</f>
        <v>Voltorb</v>
      </c>
      <c r="E469" s="8" t="str">
        <f aca="false">INDEX(Bases!$B$2:$B$53,C469)</f>
        <v>Celebi</v>
      </c>
      <c r="F469" s="2" t="str">
        <f aca="false">LEFT(D469,ROUNDUP(LEN(D469)/2,0))&amp;LOWER(MID(E469,ROUNDUP(LEN(E469)/2,0)+1,20))</f>
        <v>Voltebi</v>
      </c>
      <c r="G469" s="8" t="str">
        <f aca="false">INDEX(Bases!$C$2:$C$53,B469)</f>
        <v>Electric</v>
      </c>
      <c r="H469" s="8" t="str">
        <f aca="false">IF(INDEX(Bases!$C$2:$C$53,C469)=G469,"",INDEX(Bases!$C$2:$C$53,C469))</f>
        <v>Grass</v>
      </c>
      <c r="I469" s="8" t="str">
        <f aca="false">IF(INDEX(Bases!$E$2:$E$53,B469)="","",INDEX(Bases!$E$2:$E$53,B469))</f>
        <v/>
      </c>
      <c r="J469" s="8" t="str">
        <f aca="false">IF(INDEX(Bases!$E$2:$E$53,C469)="","",INDEX(Bases!$E$2:$E$53,C469))</f>
        <v/>
      </c>
      <c r="K469" s="5"/>
      <c r="L469" s="2" t="n">
        <f aca="false">AE469+IF(SUMPRODUCT(--($AL469:$AQ469&gt;AL469))&lt;$AK469,1,0)</f>
        <v>72</v>
      </c>
      <c r="M469" s="2" t="n">
        <f aca="false">AF469+IF(SUMPRODUCT(--($AL469:$AQ469&gt;AM469))+SUMPRODUCT(--($AL469:AL469=AM469))&lt;$AK469,1,0)</f>
        <v>68</v>
      </c>
      <c r="N469" s="2" t="n">
        <f aca="false">AG469+IF(SUMPRODUCT(--($AL469:$AQ469&gt;AN469))+SUMPRODUCT(--($AL469:AM469=AN469))&lt;$AK469,1,0)</f>
        <v>78</v>
      </c>
      <c r="O469" s="2" t="n">
        <f aca="false">AH469+IF(SUMPRODUCT(--($AL469:$AQ469&gt;AO469))+SUMPRODUCT(--($AL469:AN469=AO469))&lt;$AK469,1,0)</f>
        <v>80</v>
      </c>
      <c r="P469" s="2" t="n">
        <f aca="false">AI469+IF(SUMPRODUCT(--($AL469:$AQ469&gt;AP469))+SUMPRODUCT(--($AL469:AO469=AP469))&lt;$AK469,1,0)</f>
        <v>80</v>
      </c>
      <c r="Q469" s="2" t="n">
        <f aca="false">AJ469+IF(SUMPRODUCT(--($AL469:$AQ469&gt;AQ469))+SUMPRODUCT(--($AL469:AP469=AQ469))&lt;$AK469,1,0)</f>
        <v>122</v>
      </c>
      <c r="R469" s="2" t="n">
        <f aca="false">SUM(L469:Q469)</f>
        <v>500</v>
      </c>
      <c r="S469" s="2" t="n">
        <f aca="false">Settings!$B$4*MAX(INDEX(Bases!$M$2:$M$53,B469),INDEX(Bases!$M$2:$M$53,C469))+Settings!$B$5*MIN(INDEX(Bases!$M$2:$M$53,B469),INDEX(Bases!$M$2:$M$53,C469))</f>
        <v>60.6666666666667</v>
      </c>
      <c r="T469" s="2" t="n">
        <f aca="false">Settings!$B$4*MAX(INDEX(Bases!$N$2:$N$53,B469),INDEX(Bases!$N$2:$N$53,C469))+Settings!$B$5*MIN(INDEX(Bases!$N$2:$N$53,B469),INDEX(Bases!$N$2:$N$53,C469))</f>
        <v>56.6666666666667</v>
      </c>
      <c r="U469" s="2" t="n">
        <f aca="false">Settings!$B$4*MAX(INDEX(Bases!$O$2:$O$53,B469),INDEX(Bases!$O$2:$O$53,C469))+Settings!$B$5*MIN(INDEX(Bases!$O$2:$O$53,B469),INDEX(Bases!$O$2:$O$53,C469))</f>
        <v>65</v>
      </c>
      <c r="V469" s="2" t="n">
        <f aca="false">Settings!$B$4*MAX(INDEX(Bases!$P$2:$P$53,B469),INDEX(Bases!$P$2:$P$53,C469))+Settings!$B$5*MIN(INDEX(Bases!$P$2:$P$53,B469),INDEX(Bases!$P$2:$P$53,C469))</f>
        <v>67</v>
      </c>
      <c r="W469" s="2" t="n">
        <f aca="false">Settings!$B$4*MAX(INDEX(Bases!$Q$2:$Q$53,B469),INDEX(Bases!$Q$2:$Q$53,C469))+Settings!$B$5*MIN(INDEX(Bases!$Q$2:$Q$53,B469),INDEX(Bases!$Q$2:$Q$53,C469))</f>
        <v>66.6666666666667</v>
      </c>
      <c r="X469" s="2" t="n">
        <f aca="false">Settings!$B$4*MAX(INDEX(Bases!$R$2:$R$53,B469),INDEX(Bases!$R$2:$R$53,C469))+Settings!$B$5*MIN(INDEX(Bases!$R$2:$R$53,B469),INDEX(Bases!$R$2:$R$53,C469))</f>
        <v>102.666666666667</v>
      </c>
      <c r="Y469" s="2" t="n">
        <f aca="false">S469*Settings!$B$3/SUM(S469:X469)</f>
        <v>72.4522292993631</v>
      </c>
      <c r="Z469" s="2" t="n">
        <f aca="false">T469*Settings!$B$3/SUM(S469:X469)</f>
        <v>67.6751592356688</v>
      </c>
      <c r="AA469" s="2" t="n">
        <f aca="false">U469*Settings!$B$3/SUM(S469:X469)</f>
        <v>77.6273885350319</v>
      </c>
      <c r="AB469" s="2" t="n">
        <f aca="false">V469*Settings!$B$3/SUM(S469:X469)</f>
        <v>80.015923566879</v>
      </c>
      <c r="AC469" s="2" t="n">
        <f aca="false">W469*Settings!$B$3/SUM(S469:X469)</f>
        <v>79.6178343949045</v>
      </c>
      <c r="AD469" s="2" t="n">
        <f aca="false">X469*Settings!$B$3/SUM(S469:X469)</f>
        <v>122.611464968153</v>
      </c>
      <c r="AE469" s="2" t="n">
        <f aca="false">INT(Y469)</f>
        <v>72</v>
      </c>
      <c r="AF469" s="2" t="n">
        <f aca="false">INT(Z469)</f>
        <v>67</v>
      </c>
      <c r="AG469" s="2" t="n">
        <f aca="false">INT(AA469)</f>
        <v>77</v>
      </c>
      <c r="AH469" s="2" t="n">
        <f aca="false">INT(AB469)</f>
        <v>80</v>
      </c>
      <c r="AI469" s="2" t="n">
        <f aca="false">INT(AC469)</f>
        <v>79</v>
      </c>
      <c r="AJ469" s="2" t="n">
        <f aca="false">INT(AD469)</f>
        <v>122</v>
      </c>
      <c r="AK469" s="2" t="n">
        <f aca="false">Settings!$B$3-SUM(AE469:AJ469)</f>
        <v>3</v>
      </c>
      <c r="AL469" s="2" t="n">
        <f aca="false">ROUND(Y469-AE469,9)</f>
        <v>0.452229299</v>
      </c>
      <c r="AM469" s="2" t="n">
        <f aca="false">ROUND(Z469-AF469,9)</f>
        <v>0.675159236</v>
      </c>
      <c r="AN469" s="2" t="n">
        <f aca="false">ROUND(AA469-AG469,9)</f>
        <v>0.627388535</v>
      </c>
      <c r="AO469" s="2" t="n">
        <f aca="false">ROUND(AB469-AH469,9)</f>
        <v>0.015923567</v>
      </c>
      <c r="AP469" s="2" t="n">
        <f aca="false">ROUND(AC469-AI469,9)</f>
        <v>0.617834395</v>
      </c>
      <c r="AQ469" s="2" t="n">
        <f aca="false">ROUND(AD469-AJ469,9)</f>
        <v>0.611464968</v>
      </c>
    </row>
    <row r="470" customFormat="false" ht="15" hidden="false" customHeight="false" outlineLevel="0" collapsed="false">
      <c r="A470" s="2" t="n">
        <v>469</v>
      </c>
      <c r="B470" s="6" t="n">
        <v>11</v>
      </c>
      <c r="C470" s="6" t="n">
        <v>15</v>
      </c>
      <c r="D470" s="8" t="str">
        <f aca="false">INDEX(Bases!$B$2:$B$53,B470)</f>
        <v>Voltorb</v>
      </c>
      <c r="E470" s="8" t="str">
        <f aca="false">INDEX(Bases!$B$2:$B$53,C470)</f>
        <v>Shroomish</v>
      </c>
      <c r="F470" s="2" t="str">
        <f aca="false">LEFT(D470,ROUNDUP(LEN(D470)/2,0))&amp;LOWER(MID(E470,ROUNDUP(LEN(E470)/2,0)+1,20))</f>
        <v>Voltmish</v>
      </c>
      <c r="G470" s="8" t="str">
        <f aca="false">INDEX(Bases!$C$2:$C$53,B470)</f>
        <v>Electric</v>
      </c>
      <c r="H470" s="8" t="str">
        <f aca="false">IF(INDEX(Bases!$C$2:$C$53,C470)=G470,"",INDEX(Bases!$C$2:$C$53,C470))</f>
        <v>Grass</v>
      </c>
      <c r="I470" s="8" t="str">
        <f aca="false">IF(INDEX(Bases!$E$2:$E$53,B470)="","",INDEX(Bases!$E$2:$E$53,B470))</f>
        <v/>
      </c>
      <c r="J470" s="8" t="str">
        <f aca="false">IF(INDEX(Bases!$E$2:$E$53,C470)="","",INDEX(Bases!$E$2:$E$53,C470))</f>
        <v/>
      </c>
      <c r="K470" s="5"/>
      <c r="L470" s="2" t="n">
        <f aca="false">AE470+IF(SUMPRODUCT(--($AL470:$AQ470&gt;AL470))&lt;$AK470,1,0)</f>
        <v>82</v>
      </c>
      <c r="M470" s="2" t="n">
        <f aca="false">AF470+IF(SUMPRODUCT(--($AL470:$AQ470&gt;AM470))+SUMPRODUCT(--($AL470:AL470=AM470))&lt;$AK470,1,0)</f>
        <v>56</v>
      </c>
      <c r="N470" s="2" t="n">
        <f aca="false">AG470+IF(SUMPRODUCT(--($AL470:$AQ470&gt;AN470))+SUMPRODUCT(--($AL470:AM470=AN470))&lt;$AK470,1,0)</f>
        <v>87</v>
      </c>
      <c r="O470" s="2" t="n">
        <f aca="false">AH470+IF(SUMPRODUCT(--($AL470:$AQ470&gt;AO470))+SUMPRODUCT(--($AL470:AN470=AO470))&lt;$AK470,1,0)</f>
        <v>73</v>
      </c>
      <c r="P470" s="2" t="n">
        <f aca="false">AI470+IF(SUMPRODUCT(--($AL470:$AQ470&gt;AP470))+SUMPRODUCT(--($AL470:AO470=AP470))&lt;$AK470,1,0)</f>
        <v>89</v>
      </c>
      <c r="Q470" s="2" t="n">
        <f aca="false">AJ470+IF(SUMPRODUCT(--($AL470:$AQ470&gt;AQ470))+SUMPRODUCT(--($AL470:AP470=AQ470))&lt;$AK470,1,0)</f>
        <v>113</v>
      </c>
      <c r="R470" s="2" t="n">
        <f aca="false">SUM(L470:Q470)</f>
        <v>500</v>
      </c>
      <c r="S470" s="2" t="n">
        <f aca="false">Settings!$B$4*MAX(INDEX(Bases!$M$2:$M$53,B470),INDEX(Bases!$M$2:$M$53,C470))+Settings!$B$5*MIN(INDEX(Bases!$M$2:$M$53,B470),INDEX(Bases!$M$2:$M$53,C470))</f>
        <v>70.6666666666667</v>
      </c>
      <c r="T470" s="2" t="n">
        <f aca="false">Settings!$B$4*MAX(INDEX(Bases!$N$2:$N$53,B470),INDEX(Bases!$N$2:$N$53,C470))+Settings!$B$5*MIN(INDEX(Bases!$N$2:$N$53,B470),INDEX(Bases!$N$2:$N$53,C470))</f>
        <v>48</v>
      </c>
      <c r="U470" s="2" t="n">
        <f aca="false">Settings!$B$4*MAX(INDEX(Bases!$O$2:$O$53,B470),INDEX(Bases!$O$2:$O$53,C470))+Settings!$B$5*MIN(INDEX(Bases!$O$2:$O$53,B470),INDEX(Bases!$O$2:$O$53,C470))</f>
        <v>74.3333333333333</v>
      </c>
      <c r="V470" s="2" t="n">
        <f aca="false">Settings!$B$4*MAX(INDEX(Bases!$P$2:$P$53,B470),INDEX(Bases!$P$2:$P$53,C470))+Settings!$B$5*MIN(INDEX(Bases!$P$2:$P$53,B470),INDEX(Bases!$P$2:$P$53,C470))</f>
        <v>62.6666666666667</v>
      </c>
      <c r="W470" s="2" t="n">
        <f aca="false">Settings!$B$4*MAX(INDEX(Bases!$Q$2:$Q$53,B470),INDEX(Bases!$Q$2:$Q$53,C470))+Settings!$B$5*MIN(INDEX(Bases!$Q$2:$Q$53,B470),INDEX(Bases!$Q$2:$Q$53,C470))</f>
        <v>76.3333333333333</v>
      </c>
      <c r="X470" s="2" t="n">
        <f aca="false">Settings!$B$4*MAX(INDEX(Bases!$R$2:$R$53,B470),INDEX(Bases!$R$2:$R$53,C470))+Settings!$B$5*MIN(INDEX(Bases!$R$2:$R$53,B470),INDEX(Bases!$R$2:$R$53,C470))</f>
        <v>96.6666666666667</v>
      </c>
      <c r="Y470" s="2" t="n">
        <f aca="false">S470*Settings!$B$3/SUM(S470:X470)</f>
        <v>82.4261275272162</v>
      </c>
      <c r="Z470" s="2" t="n">
        <f aca="false">T470*Settings!$B$3/SUM(S470:X470)</f>
        <v>55.9875583203733</v>
      </c>
      <c r="AA470" s="2" t="n">
        <f aca="false">U470*Settings!$B$3/SUM(S470:X470)</f>
        <v>86.7029548989114</v>
      </c>
      <c r="AB470" s="2" t="n">
        <f aca="false">V470*Settings!$B$3/SUM(S470:X470)</f>
        <v>73.094867807154</v>
      </c>
      <c r="AC470" s="2" t="n">
        <f aca="false">W470*Settings!$B$3/SUM(S470:X470)</f>
        <v>89.0357698289269</v>
      </c>
      <c r="AD470" s="2" t="n">
        <f aca="false">X470*Settings!$B$3/SUM(S470:X470)</f>
        <v>112.752721617418</v>
      </c>
      <c r="AE470" s="2" t="n">
        <f aca="false">INT(Y470)</f>
        <v>82</v>
      </c>
      <c r="AF470" s="2" t="n">
        <f aca="false">INT(Z470)</f>
        <v>55</v>
      </c>
      <c r="AG470" s="2" t="n">
        <f aca="false">INT(AA470)</f>
        <v>86</v>
      </c>
      <c r="AH470" s="2" t="n">
        <f aca="false">INT(AB470)</f>
        <v>73</v>
      </c>
      <c r="AI470" s="2" t="n">
        <f aca="false">INT(AC470)</f>
        <v>89</v>
      </c>
      <c r="AJ470" s="2" t="n">
        <f aca="false">INT(AD470)</f>
        <v>112</v>
      </c>
      <c r="AK470" s="2" t="n">
        <f aca="false">Settings!$B$3-SUM(AE470:AJ470)</f>
        <v>3</v>
      </c>
      <c r="AL470" s="2" t="n">
        <f aca="false">ROUND(Y470-AE470,9)</f>
        <v>0.426127527</v>
      </c>
      <c r="AM470" s="2" t="n">
        <f aca="false">ROUND(Z470-AF470,9)</f>
        <v>0.98755832</v>
      </c>
      <c r="AN470" s="2" t="n">
        <f aca="false">ROUND(AA470-AG470,9)</f>
        <v>0.702954899</v>
      </c>
      <c r="AO470" s="2" t="n">
        <f aca="false">ROUND(AB470-AH470,9)</f>
        <v>0.094867807</v>
      </c>
      <c r="AP470" s="2" t="n">
        <f aca="false">ROUND(AC470-AI470,9)</f>
        <v>0.035769829</v>
      </c>
      <c r="AQ470" s="2" t="n">
        <f aca="false">ROUND(AD470-AJ470,9)</f>
        <v>0.752721617</v>
      </c>
    </row>
    <row r="471" customFormat="false" ht="15" hidden="false" customHeight="false" outlineLevel="0" collapsed="false">
      <c r="A471" s="2" t="n">
        <v>470</v>
      </c>
      <c r="B471" s="6" t="n">
        <v>11</v>
      </c>
      <c r="C471" s="6" t="n">
        <v>16</v>
      </c>
      <c r="D471" s="8" t="str">
        <f aca="false">INDEX(Bases!$B$2:$B$53,B471)</f>
        <v>Voltorb</v>
      </c>
      <c r="E471" s="8" t="str">
        <f aca="false">INDEX(Bases!$B$2:$B$53,C471)</f>
        <v>Swinub</v>
      </c>
      <c r="F471" s="2" t="str">
        <f aca="false">LEFT(D471,ROUNDUP(LEN(D471)/2,0))&amp;LOWER(MID(E471,ROUNDUP(LEN(E471)/2,0)+1,20))</f>
        <v>Voltnub</v>
      </c>
      <c r="G471" s="8" t="str">
        <f aca="false">INDEX(Bases!$C$2:$C$53,B471)</f>
        <v>Electric</v>
      </c>
      <c r="H471" s="8" t="str">
        <f aca="false">IF(INDEX(Bases!$C$2:$C$53,C471)=G471,"",INDEX(Bases!$C$2:$C$53,C471))</f>
        <v>Ice</v>
      </c>
      <c r="I471" s="8" t="str">
        <f aca="false">IF(INDEX(Bases!$E$2:$E$53,B471)="","",INDEX(Bases!$E$2:$E$53,B471))</f>
        <v/>
      </c>
      <c r="J471" s="8" t="str">
        <f aca="false">IF(INDEX(Bases!$E$2:$E$53,C471)="","",INDEX(Bases!$E$2:$E$53,C471))</f>
        <v/>
      </c>
      <c r="K471" s="5"/>
      <c r="L471" s="2" t="n">
        <f aca="false">AE471+IF(SUMPRODUCT(--($AL471:$AQ471&gt;AL471))&lt;$AK471,1,0)</f>
        <v>81</v>
      </c>
      <c r="M471" s="2" t="n">
        <f aca="false">AF471+IF(SUMPRODUCT(--($AL471:$AQ471&gt;AM471))+SUMPRODUCT(--($AL471:AL471=AM471))&lt;$AK471,1,0)</f>
        <v>77</v>
      </c>
      <c r="N471" s="2" t="n">
        <f aca="false">AG471+IF(SUMPRODUCT(--($AL471:$AQ471&gt;AN471))+SUMPRODUCT(--($AL471:AM471=AN471))&lt;$AK471,1,0)</f>
        <v>74</v>
      </c>
      <c r="O471" s="2" t="n">
        <f aca="false">AH471+IF(SUMPRODUCT(--($AL471:$AQ471&gt;AO471))+SUMPRODUCT(--($AL471:AN471=AO471))&lt;$AK471,1,0)</f>
        <v>71</v>
      </c>
      <c r="P471" s="2" t="n">
        <f aca="false">AI471+IF(SUMPRODUCT(--($AL471:$AQ471&gt;AP471))+SUMPRODUCT(--($AL471:AO471=AP471))&lt;$AK471,1,0)</f>
        <v>71</v>
      </c>
      <c r="Q471" s="2" t="n">
        <f aca="false">AJ471+IF(SUMPRODUCT(--($AL471:$AQ471&gt;AQ471))+SUMPRODUCT(--($AL471:AP471=AQ471))&lt;$AK471,1,0)</f>
        <v>126</v>
      </c>
      <c r="R471" s="2" t="n">
        <f aca="false">SUM(L471:Q471)</f>
        <v>500</v>
      </c>
      <c r="S471" s="2" t="n">
        <f aca="false">Settings!$B$4*MAX(INDEX(Bases!$M$2:$M$53,B471),INDEX(Bases!$M$2:$M$53,C471))+Settings!$B$5*MIN(INDEX(Bases!$M$2:$M$53,B471),INDEX(Bases!$M$2:$M$53,C471))</f>
        <v>69.3333333333333</v>
      </c>
      <c r="T471" s="2" t="n">
        <f aca="false">Settings!$B$4*MAX(INDEX(Bases!$N$2:$N$53,B471),INDEX(Bases!$N$2:$N$53,C471))+Settings!$B$5*MIN(INDEX(Bases!$N$2:$N$53,B471),INDEX(Bases!$N$2:$N$53,C471))</f>
        <v>65.3333333333333</v>
      </c>
      <c r="U471" s="2" t="n">
        <f aca="false">Settings!$B$4*MAX(INDEX(Bases!$O$2:$O$53,B471),INDEX(Bases!$O$2:$O$53,C471))+Settings!$B$5*MIN(INDEX(Bases!$O$2:$O$53,B471),INDEX(Bases!$O$2:$O$53,C471))</f>
        <v>63</v>
      </c>
      <c r="V471" s="2" t="n">
        <f aca="false">Settings!$B$4*MAX(INDEX(Bases!$P$2:$P$53,B471),INDEX(Bases!$P$2:$P$53,C471))+Settings!$B$5*MIN(INDEX(Bases!$P$2:$P$53,B471),INDEX(Bases!$P$2:$P$53,C471))</f>
        <v>60.6666666666667</v>
      </c>
      <c r="W471" s="2" t="n">
        <f aca="false">Settings!$B$4*MAX(INDEX(Bases!$Q$2:$Q$53,B471),INDEX(Bases!$Q$2:$Q$53,C471))+Settings!$B$5*MIN(INDEX(Bases!$Q$2:$Q$53,B471),INDEX(Bases!$Q$2:$Q$53,C471))</f>
        <v>60.6666666666667</v>
      </c>
      <c r="X471" s="2" t="n">
        <f aca="false">Settings!$B$4*MAX(INDEX(Bases!$R$2:$R$53,B471),INDEX(Bases!$R$2:$R$53,C471))+Settings!$B$5*MIN(INDEX(Bases!$R$2:$R$53,B471),INDEX(Bases!$R$2:$R$53,C471))</f>
        <v>107.333333333333</v>
      </c>
      <c r="Y471" s="2" t="n">
        <f aca="false">S471*Settings!$B$3/SUM(S471:X471)</f>
        <v>81.3135261923378</v>
      </c>
      <c r="Z471" s="2" t="n">
        <f aca="false">T471*Settings!$B$3/SUM(S471:X471)</f>
        <v>76.6223612197029</v>
      </c>
      <c r="AA471" s="2" t="n">
        <f aca="false">U471*Settings!$B$3/SUM(S471:X471)</f>
        <v>73.8858483189992</v>
      </c>
      <c r="AB471" s="2" t="n">
        <f aca="false">V471*Settings!$B$3/SUM(S471:X471)</f>
        <v>71.1493354182956</v>
      </c>
      <c r="AC471" s="2" t="n">
        <f aca="false">W471*Settings!$B$3/SUM(S471:X471)</f>
        <v>71.1493354182956</v>
      </c>
      <c r="AD471" s="2" t="n">
        <f aca="false">X471*Settings!$B$3/SUM(S471:X471)</f>
        <v>125.879593432369</v>
      </c>
      <c r="AE471" s="2" t="n">
        <f aca="false">INT(Y471)</f>
        <v>81</v>
      </c>
      <c r="AF471" s="2" t="n">
        <f aca="false">INT(Z471)</f>
        <v>76</v>
      </c>
      <c r="AG471" s="2" t="n">
        <f aca="false">INT(AA471)</f>
        <v>73</v>
      </c>
      <c r="AH471" s="2" t="n">
        <f aca="false">INT(AB471)</f>
        <v>71</v>
      </c>
      <c r="AI471" s="2" t="n">
        <f aca="false">INT(AC471)</f>
        <v>71</v>
      </c>
      <c r="AJ471" s="2" t="n">
        <f aca="false">INT(AD471)</f>
        <v>125</v>
      </c>
      <c r="AK471" s="2" t="n">
        <f aca="false">Settings!$B$3-SUM(AE471:AJ471)</f>
        <v>3</v>
      </c>
      <c r="AL471" s="2" t="n">
        <f aca="false">ROUND(Y471-AE471,9)</f>
        <v>0.313526192</v>
      </c>
      <c r="AM471" s="2" t="n">
        <f aca="false">ROUND(Z471-AF471,9)</f>
        <v>0.62236122</v>
      </c>
      <c r="AN471" s="2" t="n">
        <f aca="false">ROUND(AA471-AG471,9)</f>
        <v>0.885848319</v>
      </c>
      <c r="AO471" s="2" t="n">
        <f aca="false">ROUND(AB471-AH471,9)</f>
        <v>0.149335418</v>
      </c>
      <c r="AP471" s="2" t="n">
        <f aca="false">ROUND(AC471-AI471,9)</f>
        <v>0.149335418</v>
      </c>
      <c r="AQ471" s="2" t="n">
        <f aca="false">ROUND(AD471-AJ471,9)</f>
        <v>0.879593432</v>
      </c>
    </row>
    <row r="472" customFormat="false" ht="15" hidden="false" customHeight="false" outlineLevel="0" collapsed="false">
      <c r="A472" s="2" t="n">
        <v>471</v>
      </c>
      <c r="B472" s="6" t="n">
        <v>11</v>
      </c>
      <c r="C472" s="6" t="n">
        <v>17</v>
      </c>
      <c r="D472" s="8" t="str">
        <f aca="false">INDEX(Bases!$B$2:$B$53,B472)</f>
        <v>Voltorb</v>
      </c>
      <c r="E472" s="8" t="str">
        <f aca="false">INDEX(Bases!$B$2:$B$53,C472)</f>
        <v>Snorunt</v>
      </c>
      <c r="F472" s="2" t="str">
        <f aca="false">LEFT(D472,ROUNDUP(LEN(D472)/2,0))&amp;LOWER(MID(E472,ROUNDUP(LEN(E472)/2,0)+1,20))</f>
        <v>Voltunt</v>
      </c>
      <c r="G472" s="8" t="str">
        <f aca="false">INDEX(Bases!$C$2:$C$53,B472)</f>
        <v>Electric</v>
      </c>
      <c r="H472" s="8" t="str">
        <f aca="false">IF(INDEX(Bases!$C$2:$C$53,C472)=G472,"",INDEX(Bases!$C$2:$C$53,C472))</f>
        <v>Ice</v>
      </c>
      <c r="I472" s="8" t="str">
        <f aca="false">IF(INDEX(Bases!$E$2:$E$53,B472)="","",INDEX(Bases!$E$2:$E$53,B472))</f>
        <v/>
      </c>
      <c r="J472" s="8" t="str">
        <f aca="false">IF(INDEX(Bases!$E$2:$E$53,C472)="","",INDEX(Bases!$E$2:$E$53,C472))</f>
        <v/>
      </c>
      <c r="K472" s="5"/>
      <c r="L472" s="2" t="n">
        <f aca="false">AE472+IF(SUMPRODUCT(--($AL472:$AQ472&gt;AL472))&lt;$AK472,1,0)</f>
        <v>72</v>
      </c>
      <c r="M472" s="2" t="n">
        <f aca="false">AF472+IF(SUMPRODUCT(--($AL472:$AQ472&gt;AM472))+SUMPRODUCT(--($AL472:AL472=AM472))&lt;$AK472,1,0)</f>
        <v>68</v>
      </c>
      <c r="N472" s="2" t="n">
        <f aca="false">AG472+IF(SUMPRODUCT(--($AL472:$AQ472&gt;AN472))+SUMPRODUCT(--($AL472:AM472=AN472))&lt;$AK472,1,0)</f>
        <v>78</v>
      </c>
      <c r="O472" s="2" t="n">
        <f aca="false">AH472+IF(SUMPRODUCT(--($AL472:$AQ472&gt;AO472))+SUMPRODUCT(--($AL472:AN472=AO472))&lt;$AK472,1,0)</f>
        <v>80</v>
      </c>
      <c r="P472" s="2" t="n">
        <f aca="false">AI472+IF(SUMPRODUCT(--($AL472:$AQ472&gt;AP472))+SUMPRODUCT(--($AL472:AO472=AP472))&lt;$AK472,1,0)</f>
        <v>80</v>
      </c>
      <c r="Q472" s="2" t="n">
        <f aca="false">AJ472+IF(SUMPRODUCT(--($AL472:$AQ472&gt;AQ472))+SUMPRODUCT(--($AL472:AP472=AQ472))&lt;$AK472,1,0)</f>
        <v>122</v>
      </c>
      <c r="R472" s="2" t="n">
        <f aca="false">SUM(L472:Q472)</f>
        <v>500</v>
      </c>
      <c r="S472" s="2" t="n">
        <f aca="false">Settings!$B$4*MAX(INDEX(Bases!$M$2:$M$53,B472),INDEX(Bases!$M$2:$M$53,C472))+Settings!$B$5*MIN(INDEX(Bases!$M$2:$M$53,B472),INDEX(Bases!$M$2:$M$53,C472))</f>
        <v>60.6666666666667</v>
      </c>
      <c r="T472" s="2" t="n">
        <f aca="false">Settings!$B$4*MAX(INDEX(Bases!$N$2:$N$53,B472),INDEX(Bases!$N$2:$N$53,C472))+Settings!$B$5*MIN(INDEX(Bases!$N$2:$N$53,B472),INDEX(Bases!$N$2:$N$53,C472))</f>
        <v>56.6666666666667</v>
      </c>
      <c r="U472" s="2" t="n">
        <f aca="false">Settings!$B$4*MAX(INDEX(Bases!$O$2:$O$53,B472),INDEX(Bases!$O$2:$O$53,C472))+Settings!$B$5*MIN(INDEX(Bases!$O$2:$O$53,B472),INDEX(Bases!$O$2:$O$53,C472))</f>
        <v>65</v>
      </c>
      <c r="V472" s="2" t="n">
        <f aca="false">Settings!$B$4*MAX(INDEX(Bases!$P$2:$P$53,B472),INDEX(Bases!$P$2:$P$53,C472))+Settings!$B$5*MIN(INDEX(Bases!$P$2:$P$53,B472),INDEX(Bases!$P$2:$P$53,C472))</f>
        <v>67</v>
      </c>
      <c r="W472" s="2" t="n">
        <f aca="false">Settings!$B$4*MAX(INDEX(Bases!$Q$2:$Q$53,B472),INDEX(Bases!$Q$2:$Q$53,C472))+Settings!$B$5*MIN(INDEX(Bases!$Q$2:$Q$53,B472),INDEX(Bases!$Q$2:$Q$53,C472))</f>
        <v>66.6666666666667</v>
      </c>
      <c r="X472" s="2" t="n">
        <f aca="false">Settings!$B$4*MAX(INDEX(Bases!$R$2:$R$53,B472),INDEX(Bases!$R$2:$R$53,C472))+Settings!$B$5*MIN(INDEX(Bases!$R$2:$R$53,B472),INDEX(Bases!$R$2:$R$53,C472))</f>
        <v>102.666666666667</v>
      </c>
      <c r="Y472" s="2" t="n">
        <f aca="false">S472*Settings!$B$3/SUM(S472:X472)</f>
        <v>72.4522292993631</v>
      </c>
      <c r="Z472" s="2" t="n">
        <f aca="false">T472*Settings!$B$3/SUM(S472:X472)</f>
        <v>67.6751592356688</v>
      </c>
      <c r="AA472" s="2" t="n">
        <f aca="false">U472*Settings!$B$3/SUM(S472:X472)</f>
        <v>77.6273885350319</v>
      </c>
      <c r="AB472" s="2" t="n">
        <f aca="false">V472*Settings!$B$3/SUM(S472:X472)</f>
        <v>80.015923566879</v>
      </c>
      <c r="AC472" s="2" t="n">
        <f aca="false">W472*Settings!$B$3/SUM(S472:X472)</f>
        <v>79.6178343949045</v>
      </c>
      <c r="AD472" s="2" t="n">
        <f aca="false">X472*Settings!$B$3/SUM(S472:X472)</f>
        <v>122.611464968153</v>
      </c>
      <c r="AE472" s="2" t="n">
        <f aca="false">INT(Y472)</f>
        <v>72</v>
      </c>
      <c r="AF472" s="2" t="n">
        <f aca="false">INT(Z472)</f>
        <v>67</v>
      </c>
      <c r="AG472" s="2" t="n">
        <f aca="false">INT(AA472)</f>
        <v>77</v>
      </c>
      <c r="AH472" s="2" t="n">
        <f aca="false">INT(AB472)</f>
        <v>80</v>
      </c>
      <c r="AI472" s="2" t="n">
        <f aca="false">INT(AC472)</f>
        <v>79</v>
      </c>
      <c r="AJ472" s="2" t="n">
        <f aca="false">INT(AD472)</f>
        <v>122</v>
      </c>
      <c r="AK472" s="2" t="n">
        <f aca="false">Settings!$B$3-SUM(AE472:AJ472)</f>
        <v>3</v>
      </c>
      <c r="AL472" s="2" t="n">
        <f aca="false">ROUND(Y472-AE472,9)</f>
        <v>0.452229299</v>
      </c>
      <c r="AM472" s="2" t="n">
        <f aca="false">ROUND(Z472-AF472,9)</f>
        <v>0.675159236</v>
      </c>
      <c r="AN472" s="2" t="n">
        <f aca="false">ROUND(AA472-AG472,9)</f>
        <v>0.627388535</v>
      </c>
      <c r="AO472" s="2" t="n">
        <f aca="false">ROUND(AB472-AH472,9)</f>
        <v>0.015923567</v>
      </c>
      <c r="AP472" s="2" t="n">
        <f aca="false">ROUND(AC472-AI472,9)</f>
        <v>0.617834395</v>
      </c>
      <c r="AQ472" s="2" t="n">
        <f aca="false">ROUND(AD472-AJ472,9)</f>
        <v>0.611464968</v>
      </c>
    </row>
    <row r="473" customFormat="false" ht="15" hidden="false" customHeight="false" outlineLevel="0" collapsed="false">
      <c r="A473" s="2" t="n">
        <v>472</v>
      </c>
      <c r="B473" s="6" t="n">
        <v>11</v>
      </c>
      <c r="C473" s="6" t="n">
        <v>18</v>
      </c>
      <c r="D473" s="8" t="str">
        <f aca="false">INDEX(Bases!$B$2:$B$53,B473)</f>
        <v>Voltorb</v>
      </c>
      <c r="E473" s="8" t="str">
        <f aca="false">INDEX(Bases!$B$2:$B$53,C473)</f>
        <v>Spheal</v>
      </c>
      <c r="F473" s="2" t="str">
        <f aca="false">LEFT(D473,ROUNDUP(LEN(D473)/2,0))&amp;LOWER(MID(E473,ROUNDUP(LEN(E473)/2,0)+1,20))</f>
        <v>Volteal</v>
      </c>
      <c r="G473" s="8" t="str">
        <f aca="false">INDEX(Bases!$C$2:$C$53,B473)</f>
        <v>Electric</v>
      </c>
      <c r="H473" s="8" t="str">
        <f aca="false">IF(INDEX(Bases!$C$2:$C$53,C473)=G473,"",INDEX(Bases!$C$2:$C$53,C473))</f>
        <v>Ice</v>
      </c>
      <c r="I473" s="8" t="str">
        <f aca="false">IF(INDEX(Bases!$E$2:$E$53,B473)="","",INDEX(Bases!$E$2:$E$53,B473))</f>
        <v/>
      </c>
      <c r="J473" s="8" t="str">
        <f aca="false">IF(INDEX(Bases!$E$2:$E$53,C473)="","",INDEX(Bases!$E$2:$E$53,C473))</f>
        <v/>
      </c>
      <c r="K473" s="5"/>
      <c r="L473" s="2" t="n">
        <f aca="false">AE473+IF(SUMPRODUCT(--($AL473:$AQ473&gt;AL473))&lt;$AK473,1,0)</f>
        <v>94</v>
      </c>
      <c r="M473" s="2" t="n">
        <f aca="false">AF473+IF(SUMPRODUCT(--($AL473:$AQ473&gt;AM473))+SUMPRODUCT(--($AL473:AL473=AM473))&lt;$AK473,1,0)</f>
        <v>57</v>
      </c>
      <c r="N473" s="2" t="n">
        <f aca="false">AG473+IF(SUMPRODUCT(--($AL473:$AQ473&gt;AN473))+SUMPRODUCT(--($AL473:AM473=AN473))&lt;$AK473,1,0)</f>
        <v>77</v>
      </c>
      <c r="O473" s="2" t="n">
        <f aca="false">AH473+IF(SUMPRODUCT(--($AL473:$AQ473&gt;AO473))+SUMPRODUCT(--($AL473:AN473=AO473))&lt;$AK473,1,0)</f>
        <v>85</v>
      </c>
      <c r="P473" s="2" t="n">
        <f aca="false">AI473+IF(SUMPRODUCT(--($AL473:$AQ473&gt;AP473))+SUMPRODUCT(--($AL473:AO473=AP473))&lt;$AK473,1,0)</f>
        <v>80</v>
      </c>
      <c r="Q473" s="2" t="n">
        <f aca="false">AJ473+IF(SUMPRODUCT(--($AL473:$AQ473&gt;AQ473))+SUMPRODUCT(--($AL473:AP473=AQ473))&lt;$AK473,1,0)</f>
        <v>107</v>
      </c>
      <c r="R473" s="2" t="n">
        <f aca="false">SUM(L473:Q473)</f>
        <v>500</v>
      </c>
      <c r="S473" s="2" t="n">
        <f aca="false">Settings!$B$4*MAX(INDEX(Bases!$M$2:$M$53,B473),INDEX(Bases!$M$2:$M$53,C473))+Settings!$B$5*MIN(INDEX(Bases!$M$2:$M$53,B473),INDEX(Bases!$M$2:$M$53,C473))</f>
        <v>80.6666666666667</v>
      </c>
      <c r="T473" s="2" t="n">
        <f aca="false">Settings!$B$4*MAX(INDEX(Bases!$N$2:$N$53,B473),INDEX(Bases!$N$2:$N$53,C473))+Settings!$B$5*MIN(INDEX(Bases!$N$2:$N$53,B473),INDEX(Bases!$N$2:$N$53,C473))</f>
        <v>48.6666666666667</v>
      </c>
      <c r="U473" s="2" t="n">
        <f aca="false">Settings!$B$4*MAX(INDEX(Bases!$O$2:$O$53,B473),INDEX(Bases!$O$2:$O$53,C473))+Settings!$B$5*MIN(INDEX(Bases!$O$2:$O$53,B473),INDEX(Bases!$O$2:$O$53,C473))</f>
        <v>66.3333333333333</v>
      </c>
      <c r="V473" s="2" t="n">
        <f aca="false">Settings!$B$4*MAX(INDEX(Bases!$P$2:$P$53,B473),INDEX(Bases!$P$2:$P$53,C473))+Settings!$B$5*MIN(INDEX(Bases!$P$2:$P$53,B473),INDEX(Bases!$P$2:$P$53,C473))</f>
        <v>73</v>
      </c>
      <c r="W473" s="2" t="n">
        <f aca="false">Settings!$B$4*MAX(INDEX(Bases!$Q$2:$Q$53,B473),INDEX(Bases!$Q$2:$Q$53,C473))+Settings!$B$5*MIN(INDEX(Bases!$Q$2:$Q$53,B473),INDEX(Bases!$Q$2:$Q$53,C473))</f>
        <v>68.3333333333333</v>
      </c>
      <c r="X473" s="2" t="n">
        <f aca="false">Settings!$B$4*MAX(INDEX(Bases!$R$2:$R$53,B473),INDEX(Bases!$R$2:$R$53,C473))+Settings!$B$5*MIN(INDEX(Bases!$R$2:$R$53,B473),INDEX(Bases!$R$2:$R$53,C473))</f>
        <v>92</v>
      </c>
      <c r="Y473" s="2" t="n">
        <f aca="false">S473*Settings!$B$3/SUM(S473:X473)</f>
        <v>94.017094017094</v>
      </c>
      <c r="Z473" s="2" t="n">
        <f aca="false">T473*Settings!$B$3/SUM(S473:X473)</f>
        <v>56.7210567210567</v>
      </c>
      <c r="AA473" s="2" t="n">
        <f aca="false">U473*Settings!$B$3/SUM(S473:X473)</f>
        <v>77.3115773115773</v>
      </c>
      <c r="AB473" s="2" t="n">
        <f aca="false">V473*Settings!$B$3/SUM(S473:X473)</f>
        <v>85.0815850815851</v>
      </c>
      <c r="AC473" s="2" t="n">
        <f aca="false">W473*Settings!$B$3/SUM(S473:X473)</f>
        <v>79.6425796425797</v>
      </c>
      <c r="AD473" s="2" t="n">
        <f aca="false">X473*Settings!$B$3/SUM(S473:X473)</f>
        <v>107.226107226107</v>
      </c>
      <c r="AE473" s="2" t="n">
        <f aca="false">INT(Y473)</f>
        <v>94</v>
      </c>
      <c r="AF473" s="2" t="n">
        <f aca="false">INT(Z473)</f>
        <v>56</v>
      </c>
      <c r="AG473" s="2" t="n">
        <f aca="false">INT(AA473)</f>
        <v>77</v>
      </c>
      <c r="AH473" s="2" t="n">
        <f aca="false">INT(AB473)</f>
        <v>85</v>
      </c>
      <c r="AI473" s="2" t="n">
        <f aca="false">INT(AC473)</f>
        <v>79</v>
      </c>
      <c r="AJ473" s="2" t="n">
        <f aca="false">INT(AD473)</f>
        <v>107</v>
      </c>
      <c r="AK473" s="2" t="n">
        <f aca="false">Settings!$B$3-SUM(AE473:AJ473)</f>
        <v>2</v>
      </c>
      <c r="AL473" s="2" t="n">
        <f aca="false">ROUND(Y473-AE473,9)</f>
        <v>0.017094017</v>
      </c>
      <c r="AM473" s="2" t="n">
        <f aca="false">ROUND(Z473-AF473,9)</f>
        <v>0.721056721</v>
      </c>
      <c r="AN473" s="2" t="n">
        <f aca="false">ROUND(AA473-AG473,9)</f>
        <v>0.311577312</v>
      </c>
      <c r="AO473" s="2" t="n">
        <f aca="false">ROUND(AB473-AH473,9)</f>
        <v>0.081585082</v>
      </c>
      <c r="AP473" s="2" t="n">
        <f aca="false">ROUND(AC473-AI473,9)</f>
        <v>0.642579643</v>
      </c>
      <c r="AQ473" s="2" t="n">
        <f aca="false">ROUND(AD473-AJ473,9)</f>
        <v>0.226107226</v>
      </c>
    </row>
    <row r="474" customFormat="false" ht="15" hidden="false" customHeight="false" outlineLevel="0" collapsed="false">
      <c r="A474" s="2" t="n">
        <v>473</v>
      </c>
      <c r="B474" s="6" t="n">
        <v>11</v>
      </c>
      <c r="C474" s="6" t="n">
        <v>19</v>
      </c>
      <c r="D474" s="8" t="str">
        <f aca="false">INDEX(Bases!$B$2:$B$53,B474)</f>
        <v>Voltorb</v>
      </c>
      <c r="E474" s="8" t="str">
        <f aca="false">INDEX(Bases!$B$2:$B$53,C474)</f>
        <v>Mankey</v>
      </c>
      <c r="F474" s="2" t="str">
        <f aca="false">LEFT(D474,ROUNDUP(LEN(D474)/2,0))&amp;LOWER(MID(E474,ROUNDUP(LEN(E474)/2,0)+1,20))</f>
        <v>Voltkey</v>
      </c>
      <c r="G474" s="8" t="str">
        <f aca="false">INDEX(Bases!$C$2:$C$53,B474)</f>
        <v>Electric</v>
      </c>
      <c r="H474" s="8" t="str">
        <f aca="false">IF(INDEX(Bases!$C$2:$C$53,C474)=G474,"",INDEX(Bases!$C$2:$C$53,C474))</f>
        <v>Fighting</v>
      </c>
      <c r="I474" s="8" t="str">
        <f aca="false">IF(INDEX(Bases!$E$2:$E$53,B474)="","",INDEX(Bases!$E$2:$E$53,B474))</f>
        <v/>
      </c>
      <c r="J474" s="8" t="str">
        <f aca="false">IF(INDEX(Bases!$E$2:$E$53,C474)="","",INDEX(Bases!$E$2:$E$53,C474))</f>
        <v/>
      </c>
      <c r="K474" s="5"/>
      <c r="L474" s="2" t="n">
        <f aca="false">AE474+IF(SUMPRODUCT(--($AL474:$AQ474&gt;AL474))&lt;$AK474,1,0)</f>
        <v>60</v>
      </c>
      <c r="M474" s="2" t="n">
        <f aca="false">AF474+IF(SUMPRODUCT(--($AL474:$AQ474&gt;AM474))+SUMPRODUCT(--($AL474:AL474=AM474))&lt;$AK474,1,0)</f>
        <v>96</v>
      </c>
      <c r="N474" s="2" t="n">
        <f aca="false">AG474+IF(SUMPRODUCT(--($AL474:$AQ474&gt;AN474))+SUMPRODUCT(--($AL474:AM474=AN474))&lt;$AK474,1,0)</f>
        <v>66</v>
      </c>
      <c r="O474" s="2" t="n">
        <f aca="false">AH474+IF(SUMPRODUCT(--($AL474:$AQ474&gt;AO474))+SUMPRODUCT(--($AL474:AN474=AO474))&lt;$AK474,1,0)</f>
        <v>71</v>
      </c>
      <c r="P474" s="2" t="n">
        <f aca="false">AI474+IF(SUMPRODUCT(--($AL474:$AQ474&gt;AP474))+SUMPRODUCT(--($AL474:AO474=AP474))&lt;$AK474,1,0)</f>
        <v>76</v>
      </c>
      <c r="Q474" s="2" t="n">
        <f aca="false">AJ474+IF(SUMPRODUCT(--($AL474:$AQ474&gt;AQ474))+SUMPRODUCT(--($AL474:AP474=AQ474))&lt;$AK474,1,0)</f>
        <v>131</v>
      </c>
      <c r="R474" s="2" t="n">
        <f aca="false">SUM(L474:Q474)</f>
        <v>500</v>
      </c>
      <c r="S474" s="2" t="n">
        <f aca="false">Settings!$B$4*MAX(INDEX(Bases!$M$2:$M$53,B474),INDEX(Bases!$M$2:$M$53,C474))+Settings!$B$5*MIN(INDEX(Bases!$M$2:$M$53,B474),INDEX(Bases!$M$2:$M$53,C474))</f>
        <v>50.6666666666667</v>
      </c>
      <c r="T474" s="2" t="n">
        <f aca="false">Settings!$B$4*MAX(INDEX(Bases!$N$2:$N$53,B474),INDEX(Bases!$N$2:$N$53,C474))+Settings!$B$5*MIN(INDEX(Bases!$N$2:$N$53,B474),INDEX(Bases!$N$2:$N$53,C474))</f>
        <v>82</v>
      </c>
      <c r="U474" s="2" t="n">
        <f aca="false">Settings!$B$4*MAX(INDEX(Bases!$O$2:$O$53,B474),INDEX(Bases!$O$2:$O$53,C474))+Settings!$B$5*MIN(INDEX(Bases!$O$2:$O$53,B474),INDEX(Bases!$O$2:$O$53,C474))</f>
        <v>56</v>
      </c>
      <c r="V474" s="2" t="n">
        <f aca="false">Settings!$B$4*MAX(INDEX(Bases!$P$2:$P$53,B474),INDEX(Bases!$P$2:$P$53,C474))+Settings!$B$5*MIN(INDEX(Bases!$P$2:$P$53,B474),INDEX(Bases!$P$2:$P$53,C474))</f>
        <v>60</v>
      </c>
      <c r="W474" s="2" t="n">
        <f aca="false">Settings!$B$4*MAX(INDEX(Bases!$Q$2:$Q$53,B474),INDEX(Bases!$Q$2:$Q$53,C474))+Settings!$B$5*MIN(INDEX(Bases!$Q$2:$Q$53,B474),INDEX(Bases!$Q$2:$Q$53,C474))</f>
        <v>64.3333333333333</v>
      </c>
      <c r="X474" s="2" t="n">
        <f aca="false">Settings!$B$4*MAX(INDEX(Bases!$R$2:$R$53,B474),INDEX(Bases!$R$2:$R$53,C474))+Settings!$B$5*MIN(INDEX(Bases!$R$2:$R$53,B474),INDEX(Bases!$R$2:$R$53,C474))</f>
        <v>111.333333333333</v>
      </c>
      <c r="Y474" s="2" t="n">
        <f aca="false">S474*Settings!$B$3/SUM(S474:X474)</f>
        <v>59.7014925373134</v>
      </c>
      <c r="Z474" s="2" t="n">
        <f aca="false">T474*Settings!$B$3/SUM(S474:X474)</f>
        <v>96.6221523959152</v>
      </c>
      <c r="AA474" s="2" t="n">
        <f aca="false">U474*Settings!$B$3/SUM(S474:X474)</f>
        <v>65.9858601728201</v>
      </c>
      <c r="AB474" s="2" t="n">
        <f aca="false">V474*Settings!$B$3/SUM(S474:X474)</f>
        <v>70.6991358994501</v>
      </c>
      <c r="AC474" s="2" t="n">
        <f aca="false">W474*Settings!$B$3/SUM(S474:X474)</f>
        <v>75.8051846032993</v>
      </c>
      <c r="AD474" s="2" t="n">
        <f aca="false">X474*Settings!$B$3/SUM(S474:X474)</f>
        <v>131.186174391202</v>
      </c>
      <c r="AE474" s="2" t="n">
        <f aca="false">INT(Y474)</f>
        <v>59</v>
      </c>
      <c r="AF474" s="2" t="n">
        <f aca="false">INT(Z474)</f>
        <v>96</v>
      </c>
      <c r="AG474" s="2" t="n">
        <f aca="false">INT(AA474)</f>
        <v>65</v>
      </c>
      <c r="AH474" s="2" t="n">
        <f aca="false">INT(AB474)</f>
        <v>70</v>
      </c>
      <c r="AI474" s="2" t="n">
        <f aca="false">INT(AC474)</f>
        <v>75</v>
      </c>
      <c r="AJ474" s="2" t="n">
        <f aca="false">INT(AD474)</f>
        <v>131</v>
      </c>
      <c r="AK474" s="2" t="n">
        <f aca="false">Settings!$B$3-SUM(AE474:AJ474)</f>
        <v>4</v>
      </c>
      <c r="AL474" s="2" t="n">
        <f aca="false">ROUND(Y474-AE474,9)</f>
        <v>0.701492537</v>
      </c>
      <c r="AM474" s="2" t="n">
        <f aca="false">ROUND(Z474-AF474,9)</f>
        <v>0.622152396</v>
      </c>
      <c r="AN474" s="2" t="n">
        <f aca="false">ROUND(AA474-AG474,9)</f>
        <v>0.985860173</v>
      </c>
      <c r="AO474" s="2" t="n">
        <f aca="false">ROUND(AB474-AH474,9)</f>
        <v>0.699135899</v>
      </c>
      <c r="AP474" s="2" t="n">
        <f aca="false">ROUND(AC474-AI474,9)</f>
        <v>0.805184603</v>
      </c>
      <c r="AQ474" s="2" t="n">
        <f aca="false">ROUND(AD474-AJ474,9)</f>
        <v>0.186174391</v>
      </c>
    </row>
    <row r="475" customFormat="false" ht="15" hidden="false" customHeight="false" outlineLevel="0" collapsed="false">
      <c r="A475" s="2" t="n">
        <v>474</v>
      </c>
      <c r="B475" s="6" t="n">
        <v>11</v>
      </c>
      <c r="C475" s="6" t="n">
        <v>20</v>
      </c>
      <c r="D475" s="8" t="str">
        <f aca="false">INDEX(Bases!$B$2:$B$53,B475)</f>
        <v>Voltorb</v>
      </c>
      <c r="E475" s="8" t="str">
        <f aca="false">INDEX(Bases!$B$2:$B$53,C475)</f>
        <v>Tyrogue</v>
      </c>
      <c r="F475" s="2" t="str">
        <f aca="false">LEFT(D475,ROUNDUP(LEN(D475)/2,0))&amp;LOWER(MID(E475,ROUNDUP(LEN(E475)/2,0)+1,20))</f>
        <v>Voltgue</v>
      </c>
      <c r="G475" s="8" t="str">
        <f aca="false">INDEX(Bases!$C$2:$C$53,B475)</f>
        <v>Electric</v>
      </c>
      <c r="H475" s="8" t="str">
        <f aca="false">IF(INDEX(Bases!$C$2:$C$53,C475)=G475,"",INDEX(Bases!$C$2:$C$53,C475))</f>
        <v>Fighting</v>
      </c>
      <c r="I475" s="8" t="str">
        <f aca="false">IF(INDEX(Bases!$E$2:$E$53,B475)="","",INDEX(Bases!$E$2:$E$53,B475))</f>
        <v/>
      </c>
      <c r="J475" s="8" t="str">
        <f aca="false">IF(INDEX(Bases!$E$2:$E$53,C475)="","",INDEX(Bases!$E$2:$E$53,C475))</f>
        <v/>
      </c>
      <c r="K475" s="5"/>
      <c r="L475" s="2" t="n">
        <f aca="false">AE475+IF(SUMPRODUCT(--($AL475:$AQ475&gt;AL475))&lt;$AK475,1,0)</f>
        <v>72</v>
      </c>
      <c r="M475" s="2" t="n">
        <f aca="false">AF475+IF(SUMPRODUCT(--($AL475:$AQ475&gt;AM475))+SUMPRODUCT(--($AL475:AL475=AM475))&lt;$AK475,1,0)</f>
        <v>68</v>
      </c>
      <c r="N475" s="2" t="n">
        <f aca="false">AG475+IF(SUMPRODUCT(--($AL475:$AQ475&gt;AN475))+SUMPRODUCT(--($AL475:AM475=AN475))&lt;$AK475,1,0)</f>
        <v>78</v>
      </c>
      <c r="O475" s="2" t="n">
        <f aca="false">AH475+IF(SUMPRODUCT(--($AL475:$AQ475&gt;AO475))+SUMPRODUCT(--($AL475:AN475=AO475))&lt;$AK475,1,0)</f>
        <v>80</v>
      </c>
      <c r="P475" s="2" t="n">
        <f aca="false">AI475+IF(SUMPRODUCT(--($AL475:$AQ475&gt;AP475))+SUMPRODUCT(--($AL475:AO475=AP475))&lt;$AK475,1,0)</f>
        <v>80</v>
      </c>
      <c r="Q475" s="2" t="n">
        <f aca="false">AJ475+IF(SUMPRODUCT(--($AL475:$AQ475&gt;AQ475))+SUMPRODUCT(--($AL475:AP475=AQ475))&lt;$AK475,1,0)</f>
        <v>122</v>
      </c>
      <c r="R475" s="2" t="n">
        <f aca="false">SUM(L475:Q475)</f>
        <v>500</v>
      </c>
      <c r="S475" s="2" t="n">
        <f aca="false">Settings!$B$4*MAX(INDEX(Bases!$M$2:$M$53,B475),INDEX(Bases!$M$2:$M$53,C475))+Settings!$B$5*MIN(INDEX(Bases!$M$2:$M$53,B475),INDEX(Bases!$M$2:$M$53,C475))</f>
        <v>60.6666666666667</v>
      </c>
      <c r="T475" s="2" t="n">
        <f aca="false">Settings!$B$4*MAX(INDEX(Bases!$N$2:$N$53,B475),INDEX(Bases!$N$2:$N$53,C475))+Settings!$B$5*MIN(INDEX(Bases!$N$2:$N$53,B475),INDEX(Bases!$N$2:$N$53,C475))</f>
        <v>56.6666666666667</v>
      </c>
      <c r="U475" s="2" t="n">
        <f aca="false">Settings!$B$4*MAX(INDEX(Bases!$O$2:$O$53,B475),INDEX(Bases!$O$2:$O$53,C475))+Settings!$B$5*MIN(INDEX(Bases!$O$2:$O$53,B475),INDEX(Bases!$O$2:$O$53,C475))</f>
        <v>65</v>
      </c>
      <c r="V475" s="2" t="n">
        <f aca="false">Settings!$B$4*MAX(INDEX(Bases!$P$2:$P$53,B475),INDEX(Bases!$P$2:$P$53,C475))+Settings!$B$5*MIN(INDEX(Bases!$P$2:$P$53,B475),INDEX(Bases!$P$2:$P$53,C475))</f>
        <v>67</v>
      </c>
      <c r="W475" s="2" t="n">
        <f aca="false">Settings!$B$4*MAX(INDEX(Bases!$Q$2:$Q$53,B475),INDEX(Bases!$Q$2:$Q$53,C475))+Settings!$B$5*MIN(INDEX(Bases!$Q$2:$Q$53,B475),INDEX(Bases!$Q$2:$Q$53,C475))</f>
        <v>66.6666666666667</v>
      </c>
      <c r="X475" s="2" t="n">
        <f aca="false">Settings!$B$4*MAX(INDEX(Bases!$R$2:$R$53,B475),INDEX(Bases!$R$2:$R$53,C475))+Settings!$B$5*MIN(INDEX(Bases!$R$2:$R$53,B475),INDEX(Bases!$R$2:$R$53,C475))</f>
        <v>102.666666666667</v>
      </c>
      <c r="Y475" s="2" t="n">
        <f aca="false">S475*Settings!$B$3/SUM(S475:X475)</f>
        <v>72.4522292993631</v>
      </c>
      <c r="Z475" s="2" t="n">
        <f aca="false">T475*Settings!$B$3/SUM(S475:X475)</f>
        <v>67.6751592356688</v>
      </c>
      <c r="AA475" s="2" t="n">
        <f aca="false">U475*Settings!$B$3/SUM(S475:X475)</f>
        <v>77.6273885350319</v>
      </c>
      <c r="AB475" s="2" t="n">
        <f aca="false">V475*Settings!$B$3/SUM(S475:X475)</f>
        <v>80.015923566879</v>
      </c>
      <c r="AC475" s="2" t="n">
        <f aca="false">W475*Settings!$B$3/SUM(S475:X475)</f>
        <v>79.6178343949045</v>
      </c>
      <c r="AD475" s="2" t="n">
        <f aca="false">X475*Settings!$B$3/SUM(S475:X475)</f>
        <v>122.611464968153</v>
      </c>
      <c r="AE475" s="2" t="n">
        <f aca="false">INT(Y475)</f>
        <v>72</v>
      </c>
      <c r="AF475" s="2" t="n">
        <f aca="false">INT(Z475)</f>
        <v>67</v>
      </c>
      <c r="AG475" s="2" t="n">
        <f aca="false">INT(AA475)</f>
        <v>77</v>
      </c>
      <c r="AH475" s="2" t="n">
        <f aca="false">INT(AB475)</f>
        <v>80</v>
      </c>
      <c r="AI475" s="2" t="n">
        <f aca="false">INT(AC475)</f>
        <v>79</v>
      </c>
      <c r="AJ475" s="2" t="n">
        <f aca="false">INT(AD475)</f>
        <v>122</v>
      </c>
      <c r="AK475" s="2" t="n">
        <f aca="false">Settings!$B$3-SUM(AE475:AJ475)</f>
        <v>3</v>
      </c>
      <c r="AL475" s="2" t="n">
        <f aca="false">ROUND(Y475-AE475,9)</f>
        <v>0.452229299</v>
      </c>
      <c r="AM475" s="2" t="n">
        <f aca="false">ROUND(Z475-AF475,9)</f>
        <v>0.675159236</v>
      </c>
      <c r="AN475" s="2" t="n">
        <f aca="false">ROUND(AA475-AG475,9)</f>
        <v>0.627388535</v>
      </c>
      <c r="AO475" s="2" t="n">
        <f aca="false">ROUND(AB475-AH475,9)</f>
        <v>0.015923567</v>
      </c>
      <c r="AP475" s="2" t="n">
        <f aca="false">ROUND(AC475-AI475,9)</f>
        <v>0.617834395</v>
      </c>
      <c r="AQ475" s="2" t="n">
        <f aca="false">ROUND(AD475-AJ475,9)</f>
        <v>0.611464968</v>
      </c>
    </row>
    <row r="476" customFormat="false" ht="15" hidden="false" customHeight="false" outlineLevel="0" collapsed="false">
      <c r="A476" s="2" t="n">
        <v>475</v>
      </c>
      <c r="B476" s="6" t="n">
        <v>11</v>
      </c>
      <c r="C476" s="6" t="n">
        <v>21</v>
      </c>
      <c r="D476" s="8" t="str">
        <f aca="false">INDEX(Bases!$B$2:$B$53,B476)</f>
        <v>Voltorb</v>
      </c>
      <c r="E476" s="8" t="str">
        <f aca="false">INDEX(Bases!$B$2:$B$53,C476)</f>
        <v>Makuhita</v>
      </c>
      <c r="F476" s="2" t="str">
        <f aca="false">LEFT(D476,ROUNDUP(LEN(D476)/2,0))&amp;LOWER(MID(E476,ROUNDUP(LEN(E476)/2,0)+1,20))</f>
        <v>Volthita</v>
      </c>
      <c r="G476" s="8" t="str">
        <f aca="false">INDEX(Bases!$C$2:$C$53,B476)</f>
        <v>Electric</v>
      </c>
      <c r="H476" s="8" t="str">
        <f aca="false">IF(INDEX(Bases!$C$2:$C$53,C476)=G476,"",INDEX(Bases!$C$2:$C$53,C476))</f>
        <v>Fighting</v>
      </c>
      <c r="I476" s="8" t="str">
        <f aca="false">IF(INDEX(Bases!$E$2:$E$53,B476)="","",INDEX(Bases!$E$2:$E$53,B476))</f>
        <v/>
      </c>
      <c r="J476" s="8" t="str">
        <f aca="false">IF(INDEX(Bases!$E$2:$E$53,C476)="","",INDEX(Bases!$E$2:$E$53,C476))</f>
        <v/>
      </c>
      <c r="K476" s="5"/>
      <c r="L476" s="2" t="n">
        <f aca="false">AE476+IF(SUMPRODUCT(--($AL476:$AQ476&gt;AL476))&lt;$AK476,1,0)</f>
        <v>108</v>
      </c>
      <c r="M476" s="2" t="n">
        <f aca="false">AF476+IF(SUMPRODUCT(--($AL476:$AQ476&gt;AM476))+SUMPRODUCT(--($AL476:AL476=AM476))&lt;$AK476,1,0)</f>
        <v>89</v>
      </c>
      <c r="N476" s="2" t="n">
        <f aca="false">AG476+IF(SUMPRODUCT(--($AL476:$AQ476&gt;AN476))+SUMPRODUCT(--($AL476:AM476=AN476))&lt;$AK476,1,0)</f>
        <v>65</v>
      </c>
      <c r="O476" s="2" t="n">
        <f aca="false">AH476+IF(SUMPRODUCT(--($AL476:$AQ476&gt;AO476))+SUMPRODUCT(--($AL476:AN476=AO476))&lt;$AK476,1,0)</f>
        <v>63</v>
      </c>
      <c r="P476" s="2" t="n">
        <f aca="false">AI476+IF(SUMPRODUCT(--($AL476:$AQ476&gt;AP476))+SUMPRODUCT(--($AL476:AO476=AP476))&lt;$AK476,1,0)</f>
        <v>69</v>
      </c>
      <c r="Q476" s="2" t="n">
        <f aca="false">AJ476+IF(SUMPRODUCT(--($AL476:$AQ476&gt;AQ476))+SUMPRODUCT(--($AL476:AP476=AQ476))&lt;$AK476,1,0)</f>
        <v>106</v>
      </c>
      <c r="R476" s="2" t="n">
        <f aca="false">SUM(L476:Q476)</f>
        <v>500</v>
      </c>
      <c r="S476" s="2" t="n">
        <f aca="false">Settings!$B$4*MAX(INDEX(Bases!$M$2:$M$53,B476),INDEX(Bases!$M$2:$M$53,C476))+Settings!$B$5*MIN(INDEX(Bases!$M$2:$M$53,B476),INDEX(Bases!$M$2:$M$53,C476))</f>
        <v>96.6666666666667</v>
      </c>
      <c r="T476" s="2" t="n">
        <f aca="false">Settings!$B$4*MAX(INDEX(Bases!$N$2:$N$53,B476),INDEX(Bases!$N$2:$N$53,C476))+Settings!$B$5*MIN(INDEX(Bases!$N$2:$N$53,B476),INDEX(Bases!$N$2:$N$53,C476))</f>
        <v>79.3333333333333</v>
      </c>
      <c r="U476" s="2" t="n">
        <f aca="false">Settings!$B$4*MAX(INDEX(Bases!$O$2:$O$53,B476),INDEX(Bases!$O$2:$O$53,C476))+Settings!$B$5*MIN(INDEX(Bases!$O$2:$O$53,B476),INDEX(Bases!$O$2:$O$53,C476))</f>
        <v>57.6666666666667</v>
      </c>
      <c r="V476" s="2" t="n">
        <f aca="false">Settings!$B$4*MAX(INDEX(Bases!$P$2:$P$53,B476),INDEX(Bases!$P$2:$P$53,C476))+Settings!$B$5*MIN(INDEX(Bases!$P$2:$P$53,B476),INDEX(Bases!$P$2:$P$53,C476))</f>
        <v>56</v>
      </c>
      <c r="W476" s="2" t="n">
        <f aca="false">Settings!$B$4*MAX(INDEX(Bases!$Q$2:$Q$53,B476),INDEX(Bases!$Q$2:$Q$53,C476))+Settings!$B$5*MIN(INDEX(Bases!$Q$2:$Q$53,B476),INDEX(Bases!$Q$2:$Q$53,C476))</f>
        <v>61.6666666666667</v>
      </c>
      <c r="X476" s="2" t="n">
        <f aca="false">Settings!$B$4*MAX(INDEX(Bases!$R$2:$R$53,B476),INDEX(Bases!$R$2:$R$53,C476))+Settings!$B$5*MIN(INDEX(Bases!$R$2:$R$53,B476),INDEX(Bases!$R$2:$R$53,C476))</f>
        <v>94.6666666666667</v>
      </c>
      <c r="Y476" s="2" t="n">
        <f aca="false">S476*Settings!$B$3/SUM(S476:X476)</f>
        <v>108.370702541106</v>
      </c>
      <c r="Z476" s="2" t="n">
        <f aca="false">T476*Settings!$B$3/SUM(S476:X476)</f>
        <v>88.9387144992526</v>
      </c>
      <c r="AA476" s="2" t="n">
        <f aca="false">U476*Settings!$B$3/SUM(S476:X476)</f>
        <v>64.6487294469357</v>
      </c>
      <c r="AB476" s="2" t="n">
        <f aca="false">V476*Settings!$B$3/SUM(S476:X476)</f>
        <v>62.780269058296</v>
      </c>
      <c r="AC476" s="2" t="n">
        <f aca="false">W476*Settings!$B$3/SUM(S476:X476)</f>
        <v>69.1330343796712</v>
      </c>
      <c r="AD476" s="2" t="n">
        <f aca="false">X476*Settings!$B$3/SUM(S476:X476)</f>
        <v>106.128550074738</v>
      </c>
      <c r="AE476" s="2" t="n">
        <f aca="false">INT(Y476)</f>
        <v>108</v>
      </c>
      <c r="AF476" s="2" t="n">
        <f aca="false">INT(Z476)</f>
        <v>88</v>
      </c>
      <c r="AG476" s="2" t="n">
        <f aca="false">INT(AA476)</f>
        <v>64</v>
      </c>
      <c r="AH476" s="2" t="n">
        <f aca="false">INT(AB476)</f>
        <v>62</v>
      </c>
      <c r="AI476" s="2" t="n">
        <f aca="false">INT(AC476)</f>
        <v>69</v>
      </c>
      <c r="AJ476" s="2" t="n">
        <f aca="false">INT(AD476)</f>
        <v>106</v>
      </c>
      <c r="AK476" s="2" t="n">
        <f aca="false">Settings!$B$3-SUM(AE476:AJ476)</f>
        <v>3</v>
      </c>
      <c r="AL476" s="2" t="n">
        <f aca="false">ROUND(Y476-AE476,9)</f>
        <v>0.370702541</v>
      </c>
      <c r="AM476" s="2" t="n">
        <f aca="false">ROUND(Z476-AF476,9)</f>
        <v>0.938714499</v>
      </c>
      <c r="AN476" s="2" t="n">
        <f aca="false">ROUND(AA476-AG476,9)</f>
        <v>0.648729447</v>
      </c>
      <c r="AO476" s="2" t="n">
        <f aca="false">ROUND(AB476-AH476,9)</f>
        <v>0.780269058</v>
      </c>
      <c r="AP476" s="2" t="n">
        <f aca="false">ROUND(AC476-AI476,9)</f>
        <v>0.13303438</v>
      </c>
      <c r="AQ476" s="2" t="n">
        <f aca="false">ROUND(AD476-AJ476,9)</f>
        <v>0.128550075</v>
      </c>
    </row>
    <row r="477" customFormat="false" ht="15" hidden="false" customHeight="false" outlineLevel="0" collapsed="false">
      <c r="A477" s="2" t="n">
        <v>476</v>
      </c>
      <c r="B477" s="6" t="n">
        <v>11</v>
      </c>
      <c r="C477" s="6" t="n">
        <v>22</v>
      </c>
      <c r="D477" s="8" t="str">
        <f aca="false">INDEX(Bases!$B$2:$B$53,B477)</f>
        <v>Voltorb</v>
      </c>
      <c r="E477" s="8" t="str">
        <f aca="false">INDEX(Bases!$B$2:$B$53,C477)</f>
        <v>Ekans</v>
      </c>
      <c r="F477" s="2" t="str">
        <f aca="false">LEFT(D477,ROUNDUP(LEN(D477)/2,0))&amp;LOWER(MID(E477,ROUNDUP(LEN(E477)/2,0)+1,20))</f>
        <v>Voltns</v>
      </c>
      <c r="G477" s="8" t="str">
        <f aca="false">INDEX(Bases!$C$2:$C$53,B477)</f>
        <v>Electric</v>
      </c>
      <c r="H477" s="8" t="str">
        <f aca="false">IF(INDEX(Bases!$C$2:$C$53,C477)=G477,"",INDEX(Bases!$C$2:$C$53,C477))</f>
        <v>Poison</v>
      </c>
      <c r="I477" s="8" t="str">
        <f aca="false">IF(INDEX(Bases!$E$2:$E$53,B477)="","",INDEX(Bases!$E$2:$E$53,B477))</f>
        <v/>
      </c>
      <c r="J477" s="8" t="str">
        <f aca="false">IF(INDEX(Bases!$E$2:$E$53,C477)="","",INDEX(Bases!$E$2:$E$53,C477))</f>
        <v/>
      </c>
      <c r="K477" s="5"/>
      <c r="L477" s="2" t="n">
        <f aca="false">AE477+IF(SUMPRODUCT(--($AL477:$AQ477&gt;AL477))&lt;$AK477,1,0)</f>
        <v>58</v>
      </c>
      <c r="M477" s="2" t="n">
        <f aca="false">AF477+IF(SUMPRODUCT(--($AL477:$AQ477&gt;AM477))+SUMPRODUCT(--($AL477:AL477=AM477))&lt;$AK477,1,0)</f>
        <v>80</v>
      </c>
      <c r="N477" s="2" t="n">
        <f aca="false">AG477+IF(SUMPRODUCT(--($AL477:$AQ477&gt;AN477))+SUMPRODUCT(--($AL477:AM477=AN477))&lt;$AK477,1,0)</f>
        <v>73</v>
      </c>
      <c r="O477" s="2" t="n">
        <f aca="false">AH477+IF(SUMPRODUCT(--($AL477:$AQ477&gt;AO477))+SUMPRODUCT(--($AL477:AN477=AO477))&lt;$AK477,1,0)</f>
        <v>76</v>
      </c>
      <c r="P477" s="2" t="n">
        <f aca="false">AI477+IF(SUMPRODUCT(--($AL477:$AQ477&gt;AP477))+SUMPRODUCT(--($AL477:AO477=AP477))&lt;$AK477,1,0)</f>
        <v>86</v>
      </c>
      <c r="Q477" s="2" t="n">
        <f aca="false">AJ477+IF(SUMPRODUCT(--($AL477:$AQ477&gt;AQ477))+SUMPRODUCT(--($AL477:AP477=AQ477))&lt;$AK477,1,0)</f>
        <v>127</v>
      </c>
      <c r="R477" s="2" t="n">
        <f aca="false">SUM(L477:Q477)</f>
        <v>500</v>
      </c>
      <c r="S477" s="2" t="n">
        <f aca="false">Settings!$B$4*MAX(INDEX(Bases!$M$2:$M$53,B477),INDEX(Bases!$M$2:$M$53,C477))+Settings!$B$5*MIN(INDEX(Bases!$M$2:$M$53,B477),INDEX(Bases!$M$2:$M$53,C477))</f>
        <v>48.6666666666667</v>
      </c>
      <c r="T477" s="2" t="n">
        <f aca="false">Settings!$B$4*MAX(INDEX(Bases!$N$2:$N$53,B477),INDEX(Bases!$N$2:$N$53,C477))+Settings!$B$5*MIN(INDEX(Bases!$N$2:$N$53,B477),INDEX(Bases!$N$2:$N$53,C477))</f>
        <v>67.3333333333333</v>
      </c>
      <c r="U477" s="2" t="n">
        <f aca="false">Settings!$B$4*MAX(INDEX(Bases!$O$2:$O$53,B477),INDEX(Bases!$O$2:$O$53,C477))+Settings!$B$5*MIN(INDEX(Bases!$O$2:$O$53,B477),INDEX(Bases!$O$2:$O$53,C477))</f>
        <v>61</v>
      </c>
      <c r="V477" s="2" t="n">
        <f aca="false">Settings!$B$4*MAX(INDEX(Bases!$P$2:$P$53,B477),INDEX(Bases!$P$2:$P$53,C477))+Settings!$B$5*MIN(INDEX(Bases!$P$2:$P$53,B477),INDEX(Bases!$P$2:$P$53,C477))</f>
        <v>63.3333333333333</v>
      </c>
      <c r="W477" s="2" t="n">
        <f aca="false">Settings!$B$4*MAX(INDEX(Bases!$Q$2:$Q$53,B477),INDEX(Bases!$Q$2:$Q$53,C477))+Settings!$B$5*MIN(INDEX(Bases!$Q$2:$Q$53,B477),INDEX(Bases!$Q$2:$Q$53,C477))</f>
        <v>72.3333333333333</v>
      </c>
      <c r="X477" s="2" t="n">
        <f aca="false">Settings!$B$4*MAX(INDEX(Bases!$R$2:$R$53,B477),INDEX(Bases!$R$2:$R$53,C477))+Settings!$B$5*MIN(INDEX(Bases!$R$2:$R$53,B477),INDEX(Bases!$R$2:$R$53,C477))</f>
        <v>106</v>
      </c>
      <c r="Y477" s="2" t="n">
        <f aca="false">S477*Settings!$B$3/SUM(S477:X477)</f>
        <v>58.1210191082803</v>
      </c>
      <c r="Z477" s="2" t="n">
        <f aca="false">T477*Settings!$B$3/SUM(S477:X477)</f>
        <v>80.4140127388535</v>
      </c>
      <c r="AA477" s="2" t="n">
        <f aca="false">U477*Settings!$B$3/SUM(S477:X477)</f>
        <v>72.8503184713376</v>
      </c>
      <c r="AB477" s="2" t="n">
        <f aca="false">V477*Settings!$B$3/SUM(S477:X477)</f>
        <v>75.6369426751592</v>
      </c>
      <c r="AC477" s="2" t="n">
        <f aca="false">W477*Settings!$B$3/SUM(S477:X477)</f>
        <v>86.3853503184713</v>
      </c>
      <c r="AD477" s="2" t="n">
        <f aca="false">X477*Settings!$B$3/SUM(S477:X477)</f>
        <v>126.592356687898</v>
      </c>
      <c r="AE477" s="2" t="n">
        <f aca="false">INT(Y477)</f>
        <v>58</v>
      </c>
      <c r="AF477" s="2" t="n">
        <f aca="false">INT(Z477)</f>
        <v>80</v>
      </c>
      <c r="AG477" s="2" t="n">
        <f aca="false">INT(AA477)</f>
        <v>72</v>
      </c>
      <c r="AH477" s="2" t="n">
        <f aca="false">INT(AB477)</f>
        <v>75</v>
      </c>
      <c r="AI477" s="2" t="n">
        <f aca="false">INT(AC477)</f>
        <v>86</v>
      </c>
      <c r="AJ477" s="2" t="n">
        <f aca="false">INT(AD477)</f>
        <v>126</v>
      </c>
      <c r="AK477" s="2" t="n">
        <f aca="false">Settings!$B$3-SUM(AE477:AJ477)</f>
        <v>3</v>
      </c>
      <c r="AL477" s="2" t="n">
        <f aca="false">ROUND(Y477-AE477,9)</f>
        <v>0.121019108</v>
      </c>
      <c r="AM477" s="2" t="n">
        <f aca="false">ROUND(Z477-AF477,9)</f>
        <v>0.414012739</v>
      </c>
      <c r="AN477" s="2" t="n">
        <f aca="false">ROUND(AA477-AG477,9)</f>
        <v>0.850318471</v>
      </c>
      <c r="AO477" s="2" t="n">
        <f aca="false">ROUND(AB477-AH477,9)</f>
        <v>0.636942675</v>
      </c>
      <c r="AP477" s="2" t="n">
        <f aca="false">ROUND(AC477-AI477,9)</f>
        <v>0.385350318</v>
      </c>
      <c r="AQ477" s="2" t="n">
        <f aca="false">ROUND(AD477-AJ477,9)</f>
        <v>0.592356688</v>
      </c>
    </row>
    <row r="478" customFormat="false" ht="15" hidden="false" customHeight="false" outlineLevel="0" collapsed="false">
      <c r="A478" s="2" t="n">
        <v>477</v>
      </c>
      <c r="B478" s="6" t="n">
        <v>11</v>
      </c>
      <c r="C478" s="6" t="n">
        <v>23</v>
      </c>
      <c r="D478" s="8" t="str">
        <f aca="false">INDEX(Bases!$B$2:$B$53,B478)</f>
        <v>Voltorb</v>
      </c>
      <c r="E478" s="8" t="str">
        <f aca="false">INDEX(Bases!$B$2:$B$53,C478)</f>
        <v>Gulpin</v>
      </c>
      <c r="F478" s="2" t="str">
        <f aca="false">LEFT(D478,ROUNDUP(LEN(D478)/2,0))&amp;LOWER(MID(E478,ROUNDUP(LEN(E478)/2,0)+1,20))</f>
        <v>Voltpin</v>
      </c>
      <c r="G478" s="8" t="str">
        <f aca="false">INDEX(Bases!$C$2:$C$53,B478)</f>
        <v>Electric</v>
      </c>
      <c r="H478" s="8" t="str">
        <f aca="false">IF(INDEX(Bases!$C$2:$C$53,C478)=G478,"",INDEX(Bases!$C$2:$C$53,C478))</f>
        <v>Poison</v>
      </c>
      <c r="I478" s="8" t="str">
        <f aca="false">IF(INDEX(Bases!$E$2:$E$53,B478)="","",INDEX(Bases!$E$2:$E$53,B478))</f>
        <v/>
      </c>
      <c r="J478" s="8" t="str">
        <f aca="false">IF(INDEX(Bases!$E$2:$E$53,C478)="","",INDEX(Bases!$E$2:$E$53,C478))</f>
        <v/>
      </c>
      <c r="K478" s="5"/>
      <c r="L478" s="2" t="n">
        <f aca="false">AE478+IF(SUMPRODUCT(--($AL478:$AQ478&gt;AL478))&lt;$AK478,1,0)</f>
        <v>91</v>
      </c>
      <c r="M478" s="2" t="n">
        <f aca="false">AF478+IF(SUMPRODUCT(--($AL478:$AQ478&gt;AM478))+SUMPRODUCT(--($AL478:AL478=AM478))&lt;$AK478,1,0)</f>
        <v>59</v>
      </c>
      <c r="N478" s="2" t="n">
        <f aca="false">AG478+IF(SUMPRODUCT(--($AL478:$AQ478&gt;AN478))+SUMPRODUCT(--($AL478:AM478=AN478))&lt;$AK478,1,0)</f>
        <v>79</v>
      </c>
      <c r="O478" s="2" t="n">
        <f aca="false">AH478+IF(SUMPRODUCT(--($AL478:$AQ478&gt;AO478))+SUMPRODUCT(--($AL478:AN478=AO478))&lt;$AK478,1,0)</f>
        <v>75</v>
      </c>
      <c r="P478" s="2" t="n">
        <f aca="false">AI478+IF(SUMPRODUCT(--($AL478:$AQ478&gt;AP478))+SUMPRODUCT(--($AL478:AO478=AP478))&lt;$AK478,1,0)</f>
        <v>81</v>
      </c>
      <c r="Q478" s="2" t="n">
        <f aca="false">AJ478+IF(SUMPRODUCT(--($AL478:$AQ478&gt;AQ478))+SUMPRODUCT(--($AL478:AP478=AQ478))&lt;$AK478,1,0)</f>
        <v>115</v>
      </c>
      <c r="R478" s="2" t="n">
        <f aca="false">SUM(L478:Q478)</f>
        <v>500</v>
      </c>
      <c r="S478" s="2" t="n">
        <f aca="false">Settings!$B$4*MAX(INDEX(Bases!$M$2:$M$53,B478),INDEX(Bases!$M$2:$M$53,C478))+Settings!$B$5*MIN(INDEX(Bases!$M$2:$M$53,B478),INDEX(Bases!$M$2:$M$53,C478))</f>
        <v>78</v>
      </c>
      <c r="T478" s="2" t="n">
        <f aca="false">Settings!$B$4*MAX(INDEX(Bases!$N$2:$N$53,B478),INDEX(Bases!$N$2:$N$53,C478))+Settings!$B$5*MIN(INDEX(Bases!$N$2:$N$53,B478),INDEX(Bases!$N$2:$N$53,C478))</f>
        <v>50</v>
      </c>
      <c r="U478" s="2" t="n">
        <f aca="false">Settings!$B$4*MAX(INDEX(Bases!$O$2:$O$53,B478),INDEX(Bases!$O$2:$O$53,C478))+Settings!$B$5*MIN(INDEX(Bases!$O$2:$O$53,B478),INDEX(Bases!$O$2:$O$53,C478))</f>
        <v>67</v>
      </c>
      <c r="V478" s="2" t="n">
        <f aca="false">Settings!$B$4*MAX(INDEX(Bases!$P$2:$P$53,B478),INDEX(Bases!$P$2:$P$53,C478))+Settings!$B$5*MIN(INDEX(Bases!$P$2:$P$53,B478),INDEX(Bases!$P$2:$P$53,C478))</f>
        <v>63.6666666666667</v>
      </c>
      <c r="W478" s="2" t="n">
        <f aca="false">Settings!$B$4*MAX(INDEX(Bases!$Q$2:$Q$53,B478),INDEX(Bases!$Q$2:$Q$53,C478))+Settings!$B$5*MIN(INDEX(Bases!$Q$2:$Q$53,B478),INDEX(Bases!$Q$2:$Q$53,C478))</f>
        <v>69</v>
      </c>
      <c r="X478" s="2" t="n">
        <f aca="false">Settings!$B$4*MAX(INDEX(Bases!$R$2:$R$53,B478),INDEX(Bases!$R$2:$R$53,C478))+Settings!$B$5*MIN(INDEX(Bases!$R$2:$R$53,B478),INDEX(Bases!$R$2:$R$53,C478))</f>
        <v>98.3333333333333</v>
      </c>
      <c r="Y478" s="2" t="n">
        <f aca="false">S478*Settings!$B$3/SUM(S478:X478)</f>
        <v>91.5492957746479</v>
      </c>
      <c r="Z478" s="2" t="n">
        <f aca="false">T478*Settings!$B$3/SUM(S478:X478)</f>
        <v>58.6854460093897</v>
      </c>
      <c r="AA478" s="2" t="n">
        <f aca="false">U478*Settings!$B$3/SUM(S478:X478)</f>
        <v>78.6384976525822</v>
      </c>
      <c r="AB478" s="2" t="n">
        <f aca="false">V478*Settings!$B$3/SUM(S478:X478)</f>
        <v>74.7261345852895</v>
      </c>
      <c r="AC478" s="2" t="n">
        <f aca="false">W478*Settings!$B$3/SUM(S478:X478)</f>
        <v>80.9859154929577</v>
      </c>
      <c r="AD478" s="2" t="n">
        <f aca="false">X478*Settings!$B$3/SUM(S478:X478)</f>
        <v>115.414710485133</v>
      </c>
      <c r="AE478" s="2" t="n">
        <f aca="false">INT(Y478)</f>
        <v>91</v>
      </c>
      <c r="AF478" s="2" t="n">
        <f aca="false">INT(Z478)</f>
        <v>58</v>
      </c>
      <c r="AG478" s="2" t="n">
        <f aca="false">INT(AA478)</f>
        <v>78</v>
      </c>
      <c r="AH478" s="2" t="n">
        <f aca="false">INT(AB478)</f>
        <v>74</v>
      </c>
      <c r="AI478" s="2" t="n">
        <f aca="false">INT(AC478)</f>
        <v>80</v>
      </c>
      <c r="AJ478" s="2" t="n">
        <f aca="false">INT(AD478)</f>
        <v>115</v>
      </c>
      <c r="AK478" s="2" t="n">
        <f aca="false">Settings!$B$3-SUM(AE478:AJ478)</f>
        <v>4</v>
      </c>
      <c r="AL478" s="2" t="n">
        <f aca="false">ROUND(Y478-AE478,9)</f>
        <v>0.549295775</v>
      </c>
      <c r="AM478" s="2" t="n">
        <f aca="false">ROUND(Z478-AF478,9)</f>
        <v>0.685446009</v>
      </c>
      <c r="AN478" s="2" t="n">
        <f aca="false">ROUND(AA478-AG478,9)</f>
        <v>0.638497653</v>
      </c>
      <c r="AO478" s="2" t="n">
        <f aca="false">ROUND(AB478-AH478,9)</f>
        <v>0.726134585</v>
      </c>
      <c r="AP478" s="2" t="n">
        <f aca="false">ROUND(AC478-AI478,9)</f>
        <v>0.985915493</v>
      </c>
      <c r="AQ478" s="2" t="n">
        <f aca="false">ROUND(AD478-AJ478,9)</f>
        <v>0.414710485</v>
      </c>
    </row>
    <row r="479" customFormat="false" ht="15" hidden="false" customHeight="false" outlineLevel="0" collapsed="false">
      <c r="A479" s="2" t="n">
        <v>478</v>
      </c>
      <c r="B479" s="6" t="n">
        <v>11</v>
      </c>
      <c r="C479" s="6" t="n">
        <v>24</v>
      </c>
      <c r="D479" s="8" t="str">
        <f aca="false">INDEX(Bases!$B$2:$B$53,B479)</f>
        <v>Voltorb</v>
      </c>
      <c r="E479" s="8" t="str">
        <f aca="false">INDEX(Bases!$B$2:$B$53,C479)</f>
        <v>Koffing</v>
      </c>
      <c r="F479" s="2" t="str">
        <f aca="false">LEFT(D479,ROUNDUP(LEN(D479)/2,0))&amp;LOWER(MID(E479,ROUNDUP(LEN(E479)/2,0)+1,20))</f>
        <v>Volting</v>
      </c>
      <c r="G479" s="8" t="str">
        <f aca="false">INDEX(Bases!$C$2:$C$53,B479)</f>
        <v>Electric</v>
      </c>
      <c r="H479" s="8" t="str">
        <f aca="false">IF(INDEX(Bases!$C$2:$C$53,C479)=G479,"",INDEX(Bases!$C$2:$C$53,C479))</f>
        <v>Poison</v>
      </c>
      <c r="I479" s="8" t="str">
        <f aca="false">IF(INDEX(Bases!$E$2:$E$53,B479)="","",INDEX(Bases!$E$2:$E$53,B479))</f>
        <v/>
      </c>
      <c r="J479" s="8" t="str">
        <f aca="false">IF(INDEX(Bases!$E$2:$E$53,C479)="","",INDEX(Bases!$E$2:$E$53,C479))</f>
        <v/>
      </c>
      <c r="K479" s="5"/>
      <c r="L479" s="2" t="n">
        <f aca="false">AE479+IF(SUMPRODUCT(--($AL479:$AQ479&gt;AL479))&lt;$AK479,1,0)</f>
        <v>55</v>
      </c>
      <c r="M479" s="2" t="n">
        <f aca="false">AF479+IF(SUMPRODUCT(--($AL479:$AQ479&gt;AM479))+SUMPRODUCT(--($AL479:AL479=AM479))&lt;$AK479,1,0)</f>
        <v>73</v>
      </c>
      <c r="N479" s="2" t="n">
        <f aca="false">AG479+IF(SUMPRODUCT(--($AL479:$AQ479&gt;AN479))+SUMPRODUCT(--($AL479:AM479=AN479))&lt;$AK479,1,0)</f>
        <v>110</v>
      </c>
      <c r="O479" s="2" t="n">
        <f aca="false">AH479+IF(SUMPRODUCT(--($AL479:$AQ479&gt;AO479))+SUMPRODUCT(--($AL479:AN479=AO479))&lt;$AK479,1,0)</f>
        <v>81</v>
      </c>
      <c r="P479" s="2" t="n">
        <f aca="false">AI479+IF(SUMPRODUCT(--($AL479:$AQ479&gt;AP479))+SUMPRODUCT(--($AL479:AO479=AP479))&lt;$AK479,1,0)</f>
        <v>72</v>
      </c>
      <c r="Q479" s="2" t="n">
        <f aca="false">AJ479+IF(SUMPRODUCT(--($AL479:$AQ479&gt;AQ479))+SUMPRODUCT(--($AL479:AP479=AQ479))&lt;$AK479,1,0)</f>
        <v>109</v>
      </c>
      <c r="R479" s="2" t="n">
        <f aca="false">SUM(L479:Q479)</f>
        <v>500</v>
      </c>
      <c r="S479" s="2" t="n">
        <f aca="false">Settings!$B$4*MAX(INDEX(Bases!$M$2:$M$53,B479),INDEX(Bases!$M$2:$M$53,C479))+Settings!$B$5*MIN(INDEX(Bases!$M$2:$M$53,B479),INDEX(Bases!$M$2:$M$53,C479))</f>
        <v>47.6666666666667</v>
      </c>
      <c r="T479" s="2" t="n">
        <f aca="false">Settings!$B$4*MAX(INDEX(Bases!$N$2:$N$53,B479),INDEX(Bases!$N$2:$N$53,C479))+Settings!$B$5*MIN(INDEX(Bases!$N$2:$N$53,B479),INDEX(Bases!$N$2:$N$53,C479))</f>
        <v>62.6666666666667</v>
      </c>
      <c r="U479" s="2" t="n">
        <f aca="false">Settings!$B$4*MAX(INDEX(Bases!$O$2:$O$53,B479),INDEX(Bases!$O$2:$O$53,C479))+Settings!$B$5*MIN(INDEX(Bases!$O$2:$O$53,B479),INDEX(Bases!$O$2:$O$53,C479))</f>
        <v>95</v>
      </c>
      <c r="V479" s="2" t="n">
        <f aca="false">Settings!$B$4*MAX(INDEX(Bases!$P$2:$P$53,B479),INDEX(Bases!$P$2:$P$53,C479))+Settings!$B$5*MIN(INDEX(Bases!$P$2:$P$53,B479),INDEX(Bases!$P$2:$P$53,C479))</f>
        <v>69.6666666666667</v>
      </c>
      <c r="W479" s="2" t="n">
        <f aca="false">Settings!$B$4*MAX(INDEX(Bases!$Q$2:$Q$53,B479),INDEX(Bases!$Q$2:$Q$53,C479))+Settings!$B$5*MIN(INDEX(Bases!$Q$2:$Q$53,B479),INDEX(Bases!$Q$2:$Q$53,C479))</f>
        <v>62.3333333333333</v>
      </c>
      <c r="X479" s="2" t="n">
        <f aca="false">Settings!$B$4*MAX(INDEX(Bases!$R$2:$R$53,B479),INDEX(Bases!$R$2:$R$53,C479))+Settings!$B$5*MIN(INDEX(Bases!$R$2:$R$53,B479),INDEX(Bases!$R$2:$R$53,C479))</f>
        <v>94.3333333333333</v>
      </c>
      <c r="Y479" s="2" t="n">
        <f aca="false">S479*Settings!$B$3/SUM(S479:X479)</f>
        <v>55.2123552123552</v>
      </c>
      <c r="Z479" s="2" t="n">
        <f aca="false">T479*Settings!$B$3/SUM(S479:X479)</f>
        <v>72.5868725868726</v>
      </c>
      <c r="AA479" s="2" t="n">
        <f aca="false">U479*Settings!$B$3/SUM(S479:X479)</f>
        <v>110.03861003861</v>
      </c>
      <c r="AB479" s="2" t="n">
        <f aca="false">V479*Settings!$B$3/SUM(S479:X479)</f>
        <v>80.6949806949807</v>
      </c>
      <c r="AC479" s="2" t="n">
        <f aca="false">W479*Settings!$B$3/SUM(S479:X479)</f>
        <v>72.2007722007722</v>
      </c>
      <c r="AD479" s="2" t="n">
        <f aca="false">X479*Settings!$B$3/SUM(S479:X479)</f>
        <v>109.266409266409</v>
      </c>
      <c r="AE479" s="2" t="n">
        <f aca="false">INT(Y479)</f>
        <v>55</v>
      </c>
      <c r="AF479" s="2" t="n">
        <f aca="false">INT(Z479)</f>
        <v>72</v>
      </c>
      <c r="AG479" s="2" t="n">
        <f aca="false">INT(AA479)</f>
        <v>110</v>
      </c>
      <c r="AH479" s="2" t="n">
        <f aca="false">INT(AB479)</f>
        <v>80</v>
      </c>
      <c r="AI479" s="2" t="n">
        <f aca="false">INT(AC479)</f>
        <v>72</v>
      </c>
      <c r="AJ479" s="2" t="n">
        <f aca="false">INT(AD479)</f>
        <v>109</v>
      </c>
      <c r="AK479" s="2" t="n">
        <f aca="false">Settings!$B$3-SUM(AE479:AJ479)</f>
        <v>2</v>
      </c>
      <c r="AL479" s="2" t="n">
        <f aca="false">ROUND(Y479-AE479,9)</f>
        <v>0.212355212</v>
      </c>
      <c r="AM479" s="2" t="n">
        <f aca="false">ROUND(Z479-AF479,9)</f>
        <v>0.586872587</v>
      </c>
      <c r="AN479" s="2" t="n">
        <f aca="false">ROUND(AA479-AG479,9)</f>
        <v>0.038610039</v>
      </c>
      <c r="AO479" s="2" t="n">
        <f aca="false">ROUND(AB479-AH479,9)</f>
        <v>0.694980695</v>
      </c>
      <c r="AP479" s="2" t="n">
        <f aca="false">ROUND(AC479-AI479,9)</f>
        <v>0.200772201</v>
      </c>
      <c r="AQ479" s="2" t="n">
        <f aca="false">ROUND(AD479-AJ479,9)</f>
        <v>0.266409266</v>
      </c>
    </row>
    <row r="480" customFormat="false" ht="15" hidden="false" customHeight="false" outlineLevel="0" collapsed="false">
      <c r="A480" s="2" t="n">
        <v>479</v>
      </c>
      <c r="B480" s="6" t="n">
        <v>11</v>
      </c>
      <c r="C480" s="6" t="n">
        <v>25</v>
      </c>
      <c r="D480" s="8" t="str">
        <f aca="false">INDEX(Bases!$B$2:$B$53,B480)</f>
        <v>Voltorb</v>
      </c>
      <c r="E480" s="8" t="str">
        <f aca="false">INDEX(Bases!$B$2:$B$53,C480)</f>
        <v>Sandshrew</v>
      </c>
      <c r="F480" s="2" t="str">
        <f aca="false">LEFT(D480,ROUNDUP(LEN(D480)/2,0))&amp;LOWER(MID(E480,ROUNDUP(LEN(E480)/2,0)+1,20))</f>
        <v>Volthrew</v>
      </c>
      <c r="G480" s="8" t="str">
        <f aca="false">INDEX(Bases!$C$2:$C$53,B480)</f>
        <v>Electric</v>
      </c>
      <c r="H480" s="8" t="str">
        <f aca="false">IF(INDEX(Bases!$C$2:$C$53,C480)=G480,"",INDEX(Bases!$C$2:$C$53,C480))</f>
        <v>Ground</v>
      </c>
      <c r="I480" s="8" t="str">
        <f aca="false">IF(INDEX(Bases!$E$2:$E$53,B480)="","",INDEX(Bases!$E$2:$E$53,B480))</f>
        <v/>
      </c>
      <c r="J480" s="8" t="str">
        <f aca="false">IF(INDEX(Bases!$E$2:$E$53,C480)="","",INDEX(Bases!$E$2:$E$53,C480))</f>
        <v/>
      </c>
      <c r="K480" s="5"/>
      <c r="L480" s="2" t="n">
        <f aca="false">AE480+IF(SUMPRODUCT(--($AL480:$AQ480&gt;AL480))&lt;$AK480,1,0)</f>
        <v>68</v>
      </c>
      <c r="M480" s="2" t="n">
        <f aca="false">AF480+IF(SUMPRODUCT(--($AL480:$AQ480&gt;AM480))+SUMPRODUCT(--($AL480:AL480=AM480))&lt;$AK480,1,0)</f>
        <v>88</v>
      </c>
      <c r="N480" s="2" t="n">
        <f aca="false">AG480+IF(SUMPRODUCT(--($AL480:$AQ480&gt;AN480))+SUMPRODUCT(--($AL480:AM480=AN480))&lt;$AK480,1,0)</f>
        <v>108</v>
      </c>
      <c r="O480" s="2" t="n">
        <f aca="false">AH480+IF(SUMPRODUCT(--($AL480:$AQ480&gt;AO480))+SUMPRODUCT(--($AL480:AN480=AO480))&lt;$AK480,1,0)</f>
        <v>60</v>
      </c>
      <c r="P480" s="2" t="n">
        <f aca="false">AI480+IF(SUMPRODUCT(--($AL480:$AQ480&gt;AP480))+SUMPRODUCT(--($AL480:AO480=AP480))&lt;$AK480,1,0)</f>
        <v>65</v>
      </c>
      <c r="Q480" s="2" t="n">
        <f aca="false">AJ480+IF(SUMPRODUCT(--($AL480:$AQ480&gt;AQ480))+SUMPRODUCT(--($AL480:AP480=AQ480))&lt;$AK480,1,0)</f>
        <v>111</v>
      </c>
      <c r="R480" s="2" t="n">
        <f aca="false">SUM(L480:Q480)</f>
        <v>500</v>
      </c>
      <c r="S480" s="2" t="n">
        <f aca="false">Settings!$B$4*MAX(INDEX(Bases!$M$2:$M$53,B480),INDEX(Bases!$M$2:$M$53,C480))+Settings!$B$5*MIN(INDEX(Bases!$M$2:$M$53,B480),INDEX(Bases!$M$2:$M$53,C480))</f>
        <v>60.6666666666667</v>
      </c>
      <c r="T480" s="2" t="n">
        <f aca="false">Settings!$B$4*MAX(INDEX(Bases!$N$2:$N$53,B480),INDEX(Bases!$N$2:$N$53,C480))+Settings!$B$5*MIN(INDEX(Bases!$N$2:$N$53,B480),INDEX(Bases!$N$2:$N$53,C480))</f>
        <v>78.6666666666667</v>
      </c>
      <c r="U480" s="2" t="n">
        <f aca="false">Settings!$B$4*MAX(INDEX(Bases!$O$2:$O$53,B480),INDEX(Bases!$O$2:$O$53,C480))+Settings!$B$5*MIN(INDEX(Bases!$O$2:$O$53,B480),INDEX(Bases!$O$2:$O$53,C480))</f>
        <v>95.6666666666667</v>
      </c>
      <c r="V480" s="2" t="n">
        <f aca="false">Settings!$B$4*MAX(INDEX(Bases!$P$2:$P$53,B480),INDEX(Bases!$P$2:$P$53,C480))+Settings!$B$5*MIN(INDEX(Bases!$P$2:$P$53,B480),INDEX(Bases!$P$2:$P$53,C480))</f>
        <v>53.6666666666667</v>
      </c>
      <c r="W480" s="2" t="n">
        <f aca="false">Settings!$B$4*MAX(INDEX(Bases!$Q$2:$Q$53,B480),INDEX(Bases!$Q$2:$Q$53,C480))+Settings!$B$5*MIN(INDEX(Bases!$Q$2:$Q$53,B480),INDEX(Bases!$Q$2:$Q$53,C480))</f>
        <v>58</v>
      </c>
      <c r="X480" s="2" t="n">
        <f aca="false">Settings!$B$4*MAX(INDEX(Bases!$R$2:$R$53,B480),INDEX(Bases!$R$2:$R$53,C480))+Settings!$B$5*MIN(INDEX(Bases!$R$2:$R$53,B480),INDEX(Bases!$R$2:$R$53,C480))</f>
        <v>98.3333333333333</v>
      </c>
      <c r="Y480" s="2" t="n">
        <f aca="false">S480*Settings!$B$3/SUM(S480:X480)</f>
        <v>68.1647940074906</v>
      </c>
      <c r="Z480" s="2" t="n">
        <f aca="false">T480*Settings!$B$3/SUM(S480:X480)</f>
        <v>88.3895131086142</v>
      </c>
      <c r="AA480" s="2" t="n">
        <f aca="false">U480*Settings!$B$3/SUM(S480:X480)</f>
        <v>107.49063670412</v>
      </c>
      <c r="AB480" s="2" t="n">
        <f aca="false">V480*Settings!$B$3/SUM(S480:X480)</f>
        <v>60.2996254681648</v>
      </c>
      <c r="AC480" s="2" t="n">
        <f aca="false">W480*Settings!$B$3/SUM(S480:X480)</f>
        <v>65.1685393258427</v>
      </c>
      <c r="AD480" s="2" t="n">
        <f aca="false">X480*Settings!$B$3/SUM(S480:X480)</f>
        <v>110.486891385768</v>
      </c>
      <c r="AE480" s="2" t="n">
        <f aca="false">INT(Y480)</f>
        <v>68</v>
      </c>
      <c r="AF480" s="2" t="n">
        <f aca="false">INT(Z480)</f>
        <v>88</v>
      </c>
      <c r="AG480" s="2" t="n">
        <f aca="false">INT(AA480)</f>
        <v>107</v>
      </c>
      <c r="AH480" s="2" t="n">
        <f aca="false">INT(AB480)</f>
        <v>60</v>
      </c>
      <c r="AI480" s="2" t="n">
        <f aca="false">INT(AC480)</f>
        <v>65</v>
      </c>
      <c r="AJ480" s="2" t="n">
        <f aca="false">INT(AD480)</f>
        <v>110</v>
      </c>
      <c r="AK480" s="2" t="n">
        <f aca="false">Settings!$B$3-SUM(AE480:AJ480)</f>
        <v>2</v>
      </c>
      <c r="AL480" s="2" t="n">
        <f aca="false">ROUND(Y480-AE480,9)</f>
        <v>0.164794007</v>
      </c>
      <c r="AM480" s="2" t="n">
        <f aca="false">ROUND(Z480-AF480,9)</f>
        <v>0.389513109</v>
      </c>
      <c r="AN480" s="2" t="n">
        <f aca="false">ROUND(AA480-AG480,9)</f>
        <v>0.490636704</v>
      </c>
      <c r="AO480" s="2" t="n">
        <f aca="false">ROUND(AB480-AH480,9)</f>
        <v>0.299625468</v>
      </c>
      <c r="AP480" s="2" t="n">
        <f aca="false">ROUND(AC480-AI480,9)</f>
        <v>0.168539326</v>
      </c>
      <c r="AQ480" s="2" t="n">
        <f aca="false">ROUND(AD480-AJ480,9)</f>
        <v>0.486891386</v>
      </c>
    </row>
    <row r="481" customFormat="false" ht="15" hidden="false" customHeight="false" outlineLevel="0" collapsed="false">
      <c r="A481" s="2" t="n">
        <v>480</v>
      </c>
      <c r="B481" s="6" t="n">
        <v>11</v>
      </c>
      <c r="C481" s="6" t="n">
        <v>26</v>
      </c>
      <c r="D481" s="8" t="str">
        <f aca="false">INDEX(Bases!$B$2:$B$53,B481)</f>
        <v>Voltorb</v>
      </c>
      <c r="E481" s="8" t="str">
        <f aca="false">INDEX(Bases!$B$2:$B$53,C481)</f>
        <v>Phanpy</v>
      </c>
      <c r="F481" s="2" t="str">
        <f aca="false">LEFT(D481,ROUNDUP(LEN(D481)/2,0))&amp;LOWER(MID(E481,ROUNDUP(LEN(E481)/2,0)+1,20))</f>
        <v>Voltnpy</v>
      </c>
      <c r="G481" s="8" t="str">
        <f aca="false">INDEX(Bases!$C$2:$C$53,B481)</f>
        <v>Electric</v>
      </c>
      <c r="H481" s="8" t="str">
        <f aca="false">IF(INDEX(Bases!$C$2:$C$53,C481)=G481,"",INDEX(Bases!$C$2:$C$53,C481))</f>
        <v>Ground</v>
      </c>
      <c r="I481" s="8" t="str">
        <f aca="false">IF(INDEX(Bases!$E$2:$E$53,B481)="","",INDEX(Bases!$E$2:$E$53,B481))</f>
        <v/>
      </c>
      <c r="J481" s="8" t="str">
        <f aca="false">IF(INDEX(Bases!$E$2:$E$53,C481)="","",INDEX(Bases!$E$2:$E$53,C481))</f>
        <v/>
      </c>
      <c r="K481" s="5"/>
      <c r="L481" s="2" t="n">
        <f aca="false">AE481+IF(SUMPRODUCT(--($AL481:$AQ481&gt;AL481))&lt;$AK481,1,0)</f>
        <v>102</v>
      </c>
      <c r="M481" s="2" t="n">
        <f aca="false">AF481+IF(SUMPRODUCT(--($AL481:$AQ481&gt;AM481))+SUMPRODUCT(--($AL481:AL481=AM481))&lt;$AK481,1,0)</f>
        <v>69</v>
      </c>
      <c r="N481" s="2" t="n">
        <f aca="false">AG481+IF(SUMPRODUCT(--($AL481:$AQ481&gt;AN481))+SUMPRODUCT(--($AL481:AM481=AN481))&lt;$AK481,1,0)</f>
        <v>79</v>
      </c>
      <c r="O481" s="2" t="n">
        <f aca="false">AH481+IF(SUMPRODUCT(--($AL481:$AQ481&gt;AO481))+SUMPRODUCT(--($AL481:AN481=AO481))&lt;$AK481,1,0)</f>
        <v>70</v>
      </c>
      <c r="P481" s="2" t="n">
        <f aca="false">AI481+IF(SUMPRODUCT(--($AL481:$AQ481&gt;AP481))+SUMPRODUCT(--($AL481:AO481=AP481))&lt;$AK481,1,0)</f>
        <v>69</v>
      </c>
      <c r="Q481" s="2" t="n">
        <f aca="false">AJ481+IF(SUMPRODUCT(--($AL481:$AQ481&gt;AQ481))+SUMPRODUCT(--($AL481:AP481=AQ481))&lt;$AK481,1,0)</f>
        <v>111</v>
      </c>
      <c r="R481" s="2" t="n">
        <f aca="false">SUM(L481:Q481)</f>
        <v>500</v>
      </c>
      <c r="S481" s="2" t="n">
        <f aca="false">Settings!$B$4*MAX(INDEX(Bases!$M$2:$M$53,B481),INDEX(Bases!$M$2:$M$53,C481))+Settings!$B$5*MIN(INDEX(Bases!$M$2:$M$53,B481),INDEX(Bases!$M$2:$M$53,C481))</f>
        <v>88.6666666666667</v>
      </c>
      <c r="T481" s="2" t="n">
        <f aca="false">Settings!$B$4*MAX(INDEX(Bases!$N$2:$N$53,B481),INDEX(Bases!$N$2:$N$53,C481))+Settings!$B$5*MIN(INDEX(Bases!$N$2:$N$53,B481),INDEX(Bases!$N$2:$N$53,C481))</f>
        <v>60.6666666666667</v>
      </c>
      <c r="U481" s="2" t="n">
        <f aca="false">Settings!$B$4*MAX(INDEX(Bases!$O$2:$O$53,B481),INDEX(Bases!$O$2:$O$53,C481))+Settings!$B$5*MIN(INDEX(Bases!$O$2:$O$53,B481),INDEX(Bases!$O$2:$O$53,C481))</f>
        <v>69</v>
      </c>
      <c r="V481" s="2" t="n">
        <f aca="false">Settings!$B$4*MAX(INDEX(Bases!$P$2:$P$53,B481),INDEX(Bases!$P$2:$P$53,C481))+Settings!$B$5*MIN(INDEX(Bases!$P$2:$P$53,B481),INDEX(Bases!$P$2:$P$53,C481))</f>
        <v>61</v>
      </c>
      <c r="W481" s="2" t="n">
        <f aca="false">Settings!$B$4*MAX(INDEX(Bases!$Q$2:$Q$53,B481),INDEX(Bases!$Q$2:$Q$53,C481))+Settings!$B$5*MIN(INDEX(Bases!$Q$2:$Q$53,B481),INDEX(Bases!$Q$2:$Q$53,C481))</f>
        <v>60.6666666666667</v>
      </c>
      <c r="X481" s="2" t="n">
        <f aca="false">Settings!$B$4*MAX(INDEX(Bases!$R$2:$R$53,B481),INDEX(Bases!$R$2:$R$53,C481))+Settings!$B$5*MIN(INDEX(Bases!$R$2:$R$53,B481),INDEX(Bases!$R$2:$R$53,C481))</f>
        <v>96.6666666666667</v>
      </c>
      <c r="Y481" s="2" t="n">
        <f aca="false">S481*Settings!$B$3/SUM(S481:X481)</f>
        <v>101.526717557252</v>
      </c>
      <c r="Z481" s="2" t="n">
        <f aca="false">T481*Settings!$B$3/SUM(S481:X481)</f>
        <v>69.4656488549618</v>
      </c>
      <c r="AA481" s="2" t="n">
        <f aca="false">U481*Settings!$B$3/SUM(S481:X481)</f>
        <v>79.0076335877863</v>
      </c>
      <c r="AB481" s="2" t="n">
        <f aca="false">V481*Settings!$B$3/SUM(S481:X481)</f>
        <v>69.8473282442748</v>
      </c>
      <c r="AC481" s="2" t="n">
        <f aca="false">W481*Settings!$B$3/SUM(S481:X481)</f>
        <v>69.4656488549618</v>
      </c>
      <c r="AD481" s="2" t="n">
        <f aca="false">X481*Settings!$B$3/SUM(S481:X481)</f>
        <v>110.687022900763</v>
      </c>
      <c r="AE481" s="2" t="n">
        <f aca="false">INT(Y481)</f>
        <v>101</v>
      </c>
      <c r="AF481" s="2" t="n">
        <f aca="false">INT(Z481)</f>
        <v>69</v>
      </c>
      <c r="AG481" s="2" t="n">
        <f aca="false">INT(AA481)</f>
        <v>79</v>
      </c>
      <c r="AH481" s="2" t="n">
        <f aca="false">INT(AB481)</f>
        <v>69</v>
      </c>
      <c r="AI481" s="2" t="n">
        <f aca="false">INT(AC481)</f>
        <v>69</v>
      </c>
      <c r="AJ481" s="2" t="n">
        <f aca="false">INT(AD481)</f>
        <v>110</v>
      </c>
      <c r="AK481" s="2" t="n">
        <f aca="false">Settings!$B$3-SUM(AE481:AJ481)</f>
        <v>3</v>
      </c>
      <c r="AL481" s="2" t="n">
        <f aca="false">ROUND(Y481-AE481,9)</f>
        <v>0.526717557</v>
      </c>
      <c r="AM481" s="2" t="n">
        <f aca="false">ROUND(Z481-AF481,9)</f>
        <v>0.465648855</v>
      </c>
      <c r="AN481" s="2" t="n">
        <f aca="false">ROUND(AA481-AG481,9)</f>
        <v>0.007633588</v>
      </c>
      <c r="AO481" s="2" t="n">
        <f aca="false">ROUND(AB481-AH481,9)</f>
        <v>0.847328244</v>
      </c>
      <c r="AP481" s="2" t="n">
        <f aca="false">ROUND(AC481-AI481,9)</f>
        <v>0.465648855</v>
      </c>
      <c r="AQ481" s="2" t="n">
        <f aca="false">ROUND(AD481-AJ481,9)</f>
        <v>0.687022901</v>
      </c>
    </row>
    <row r="482" customFormat="false" ht="15" hidden="false" customHeight="false" outlineLevel="0" collapsed="false">
      <c r="A482" s="2" t="n">
        <v>481</v>
      </c>
      <c r="B482" s="6" t="n">
        <v>11</v>
      </c>
      <c r="C482" s="6" t="n">
        <v>27</v>
      </c>
      <c r="D482" s="8" t="str">
        <f aca="false">INDEX(Bases!$B$2:$B$53,B482)</f>
        <v>Voltorb</v>
      </c>
      <c r="E482" s="8" t="str">
        <f aca="false">INDEX(Bases!$B$2:$B$53,C482)</f>
        <v>Baltoy</v>
      </c>
      <c r="F482" s="2" t="str">
        <f aca="false">LEFT(D482,ROUNDUP(LEN(D482)/2,0))&amp;LOWER(MID(E482,ROUNDUP(LEN(E482)/2,0)+1,20))</f>
        <v>Volttoy</v>
      </c>
      <c r="G482" s="8" t="str">
        <f aca="false">INDEX(Bases!$C$2:$C$53,B482)</f>
        <v>Electric</v>
      </c>
      <c r="H482" s="8" t="str">
        <f aca="false">IF(INDEX(Bases!$C$2:$C$53,C482)=G482,"",INDEX(Bases!$C$2:$C$53,C482))</f>
        <v>Ground</v>
      </c>
      <c r="I482" s="8" t="str">
        <f aca="false">IF(INDEX(Bases!$E$2:$E$53,B482)="","",INDEX(Bases!$E$2:$E$53,B482))</f>
        <v/>
      </c>
      <c r="J482" s="8" t="str">
        <f aca="false">IF(INDEX(Bases!$E$2:$E$53,C482)="","",INDEX(Bases!$E$2:$E$53,C482))</f>
        <v/>
      </c>
      <c r="K482" s="5"/>
      <c r="L482" s="2" t="n">
        <f aca="false">AE482+IF(SUMPRODUCT(--($AL482:$AQ482&gt;AL482))&lt;$AK482,1,0)</f>
        <v>62</v>
      </c>
      <c r="M482" s="2" t="n">
        <f aca="false">AF482+IF(SUMPRODUCT(--($AL482:$AQ482&gt;AM482))+SUMPRODUCT(--($AL482:AL482=AM482))&lt;$AK482,1,0)</f>
        <v>57</v>
      </c>
      <c r="N482" s="2" t="n">
        <f aca="false">AG482+IF(SUMPRODUCT(--($AL482:$AQ482&gt;AN482))+SUMPRODUCT(--($AL482:AM482=AN482))&lt;$AK482,1,0)</f>
        <v>82</v>
      </c>
      <c r="O482" s="2" t="n">
        <f aca="false">AH482+IF(SUMPRODUCT(--($AL482:$AQ482&gt;AO482))+SUMPRODUCT(--($AL482:AN482=AO482))&lt;$AK482,1,0)</f>
        <v>74</v>
      </c>
      <c r="P482" s="2" t="n">
        <f aca="false">AI482+IF(SUMPRODUCT(--($AL482:$AQ482&gt;AP482))+SUMPRODUCT(--($AL482:AO482=AP482))&lt;$AK482,1,0)</f>
        <v>100</v>
      </c>
      <c r="Q482" s="2" t="n">
        <f aca="false">AJ482+IF(SUMPRODUCT(--($AL482:$AQ482&gt;AQ482))+SUMPRODUCT(--($AL482:AP482=AQ482))&lt;$AK482,1,0)</f>
        <v>125</v>
      </c>
      <c r="R482" s="2" t="n">
        <f aca="false">SUM(L482:Q482)</f>
        <v>500</v>
      </c>
      <c r="S482" s="2" t="n">
        <f aca="false">Settings!$B$4*MAX(INDEX(Bases!$M$2:$M$53,B482),INDEX(Bases!$M$2:$M$53,C482))+Settings!$B$5*MIN(INDEX(Bases!$M$2:$M$53,B482),INDEX(Bases!$M$2:$M$53,C482))</f>
        <v>52</v>
      </c>
      <c r="T482" s="2" t="n">
        <f aca="false">Settings!$B$4*MAX(INDEX(Bases!$N$2:$N$53,B482),INDEX(Bases!$N$2:$N$53,C482))+Settings!$B$5*MIN(INDEX(Bases!$N$2:$N$53,B482),INDEX(Bases!$N$2:$N$53,C482))</f>
        <v>48</v>
      </c>
      <c r="U482" s="2" t="n">
        <f aca="false">Settings!$B$4*MAX(INDEX(Bases!$O$2:$O$53,B482),INDEX(Bases!$O$2:$O$53,C482))+Settings!$B$5*MIN(INDEX(Bases!$O$2:$O$53,B482),INDEX(Bases!$O$2:$O$53,C482))</f>
        <v>69</v>
      </c>
      <c r="V482" s="2" t="n">
        <f aca="false">Settings!$B$4*MAX(INDEX(Bases!$P$2:$P$53,B482),INDEX(Bases!$P$2:$P$53,C482))+Settings!$B$5*MIN(INDEX(Bases!$P$2:$P$53,B482),INDEX(Bases!$P$2:$P$53,C482))</f>
        <v>62.3333333333333</v>
      </c>
      <c r="W482" s="2" t="n">
        <f aca="false">Settings!$B$4*MAX(INDEX(Bases!$Q$2:$Q$53,B482),INDEX(Bases!$Q$2:$Q$53,C482))+Settings!$B$5*MIN(INDEX(Bases!$Q$2:$Q$53,B482),INDEX(Bases!$Q$2:$Q$53,C482))</f>
        <v>84.3333333333333</v>
      </c>
      <c r="X482" s="2" t="n">
        <f aca="false">Settings!$B$4*MAX(INDEX(Bases!$R$2:$R$53,B482),INDEX(Bases!$R$2:$R$53,C482))+Settings!$B$5*MIN(INDEX(Bases!$R$2:$R$53,B482),INDEX(Bases!$R$2:$R$53,C482))</f>
        <v>105</v>
      </c>
      <c r="Y482" s="2" t="n">
        <f aca="false">S482*Settings!$B$3/SUM(S482:X482)</f>
        <v>61.8066561014263</v>
      </c>
      <c r="Z482" s="2" t="n">
        <f aca="false">T482*Settings!$B$3/SUM(S482:X482)</f>
        <v>57.0522979397781</v>
      </c>
      <c r="AA482" s="2" t="n">
        <f aca="false">U482*Settings!$B$3/SUM(S482:X482)</f>
        <v>82.0126782884311</v>
      </c>
      <c r="AB482" s="2" t="n">
        <f aca="false">V482*Settings!$B$3/SUM(S482:X482)</f>
        <v>74.0887480190174</v>
      </c>
      <c r="AC482" s="2" t="n">
        <f aca="false">W482*Settings!$B$3/SUM(S482:X482)</f>
        <v>100.237717908082</v>
      </c>
      <c r="AD482" s="2" t="n">
        <f aca="false">X482*Settings!$B$3/SUM(S482:X482)</f>
        <v>124.801901743265</v>
      </c>
      <c r="AE482" s="2" t="n">
        <f aca="false">INT(Y482)</f>
        <v>61</v>
      </c>
      <c r="AF482" s="2" t="n">
        <f aca="false">INT(Z482)</f>
        <v>57</v>
      </c>
      <c r="AG482" s="2" t="n">
        <f aca="false">INT(AA482)</f>
        <v>82</v>
      </c>
      <c r="AH482" s="2" t="n">
        <f aca="false">INT(AB482)</f>
        <v>74</v>
      </c>
      <c r="AI482" s="2" t="n">
        <f aca="false">INT(AC482)</f>
        <v>100</v>
      </c>
      <c r="AJ482" s="2" t="n">
        <f aca="false">INT(AD482)</f>
        <v>124</v>
      </c>
      <c r="AK482" s="2" t="n">
        <f aca="false">Settings!$B$3-SUM(AE482:AJ482)</f>
        <v>2</v>
      </c>
      <c r="AL482" s="2" t="n">
        <f aca="false">ROUND(Y482-AE482,9)</f>
        <v>0.806656101</v>
      </c>
      <c r="AM482" s="2" t="n">
        <f aca="false">ROUND(Z482-AF482,9)</f>
        <v>0.05229794</v>
      </c>
      <c r="AN482" s="2" t="n">
        <f aca="false">ROUND(AA482-AG482,9)</f>
        <v>0.012678288</v>
      </c>
      <c r="AO482" s="2" t="n">
        <f aca="false">ROUND(AB482-AH482,9)</f>
        <v>0.088748019</v>
      </c>
      <c r="AP482" s="2" t="n">
        <f aca="false">ROUND(AC482-AI482,9)</f>
        <v>0.237717908</v>
      </c>
      <c r="AQ482" s="2" t="n">
        <f aca="false">ROUND(AD482-AJ482,9)</f>
        <v>0.801901743</v>
      </c>
    </row>
    <row r="483" customFormat="false" ht="15" hidden="false" customHeight="false" outlineLevel="0" collapsed="false">
      <c r="A483" s="2" t="n">
        <v>482</v>
      </c>
      <c r="B483" s="6" t="n">
        <v>11</v>
      </c>
      <c r="C483" s="6" t="n">
        <v>28</v>
      </c>
      <c r="D483" s="8" t="str">
        <f aca="false">INDEX(Bases!$B$2:$B$53,B483)</f>
        <v>Voltorb</v>
      </c>
      <c r="E483" s="8" t="str">
        <f aca="false">INDEX(Bases!$B$2:$B$53,C483)</f>
        <v>Zubat</v>
      </c>
      <c r="F483" s="2" t="str">
        <f aca="false">LEFT(D483,ROUNDUP(LEN(D483)/2,0))&amp;LOWER(MID(E483,ROUNDUP(LEN(E483)/2,0)+1,20))</f>
        <v>Voltat</v>
      </c>
      <c r="G483" s="8" t="str">
        <f aca="false">INDEX(Bases!$C$2:$C$53,B483)</f>
        <v>Electric</v>
      </c>
      <c r="H483" s="8" t="str">
        <f aca="false">IF(INDEX(Bases!$C$2:$C$53,C483)=G483,"",INDEX(Bases!$C$2:$C$53,C483))</f>
        <v>Flying</v>
      </c>
      <c r="I483" s="8" t="str">
        <f aca="false">IF(INDEX(Bases!$E$2:$E$53,B483)="","",INDEX(Bases!$E$2:$E$53,B483))</f>
        <v/>
      </c>
      <c r="J483" s="8" t="str">
        <f aca="false">IF(INDEX(Bases!$E$2:$E$53,C483)="","",INDEX(Bases!$E$2:$E$53,C483))</f>
        <v/>
      </c>
      <c r="K483" s="5"/>
      <c r="L483" s="2" t="n">
        <f aca="false">AE483+IF(SUMPRODUCT(--($AL483:$AQ483&gt;AL483))&lt;$AK483,1,0)</f>
        <v>71</v>
      </c>
      <c r="M483" s="2" t="n">
        <f aca="false">AF483+IF(SUMPRODUCT(--($AL483:$AQ483&gt;AM483))+SUMPRODUCT(--($AL483:AL483=AM483))&lt;$AK483,1,0)</f>
        <v>73</v>
      </c>
      <c r="N483" s="2" t="n">
        <f aca="false">AG483+IF(SUMPRODUCT(--($AL483:$AQ483&gt;AN483))+SUMPRODUCT(--($AL483:AM483=AN483))&lt;$AK483,1,0)</f>
        <v>72</v>
      </c>
      <c r="O483" s="2" t="n">
        <f aca="false">AH483+IF(SUMPRODUCT(--($AL483:$AQ483&gt;AO483))+SUMPRODUCT(--($AL483:AN483=AO483))&lt;$AK483,1,0)</f>
        <v>73</v>
      </c>
      <c r="P483" s="2" t="n">
        <f aca="false">AI483+IF(SUMPRODUCT(--($AL483:$AQ483&gt;AP483))+SUMPRODUCT(--($AL483:AO483=AP483))&lt;$AK483,1,0)</f>
        <v>79</v>
      </c>
      <c r="Q483" s="2" t="n">
        <f aca="false">AJ483+IF(SUMPRODUCT(--($AL483:$AQ483&gt;AQ483))+SUMPRODUCT(--($AL483:AP483=AQ483))&lt;$AK483,1,0)</f>
        <v>132</v>
      </c>
      <c r="R483" s="2" t="n">
        <f aca="false">SUM(L483:Q483)</f>
        <v>500</v>
      </c>
      <c r="S483" s="2" t="n">
        <f aca="false">Settings!$B$4*MAX(INDEX(Bases!$M$2:$M$53,B483),INDEX(Bases!$M$2:$M$53,C483))+Settings!$B$5*MIN(INDEX(Bases!$M$2:$M$53,B483),INDEX(Bases!$M$2:$M$53,C483))</f>
        <v>59.3333333333333</v>
      </c>
      <c r="T483" s="2" t="n">
        <f aca="false">Settings!$B$4*MAX(INDEX(Bases!$N$2:$N$53,B483),INDEX(Bases!$N$2:$N$53,C483))+Settings!$B$5*MIN(INDEX(Bases!$N$2:$N$53,B483),INDEX(Bases!$N$2:$N$53,C483))</f>
        <v>61.3333333333333</v>
      </c>
      <c r="U483" s="2" t="n">
        <f aca="false">Settings!$B$4*MAX(INDEX(Bases!$O$2:$O$53,B483),INDEX(Bases!$O$2:$O$53,C483))+Settings!$B$5*MIN(INDEX(Bases!$O$2:$O$53,B483),INDEX(Bases!$O$2:$O$53,C483))</f>
        <v>59.6666666666667</v>
      </c>
      <c r="V483" s="2" t="n">
        <f aca="false">Settings!$B$4*MAX(INDEX(Bases!$P$2:$P$53,B483),INDEX(Bases!$P$2:$P$53,C483))+Settings!$B$5*MIN(INDEX(Bases!$P$2:$P$53,B483),INDEX(Bases!$P$2:$P$53,C483))</f>
        <v>61</v>
      </c>
      <c r="W483" s="2" t="n">
        <f aca="false">Settings!$B$4*MAX(INDEX(Bases!$Q$2:$Q$53,B483),INDEX(Bases!$Q$2:$Q$53,C483))+Settings!$B$5*MIN(INDEX(Bases!$Q$2:$Q$53,B483),INDEX(Bases!$Q$2:$Q$53,C483))</f>
        <v>66.3333333333333</v>
      </c>
      <c r="X483" s="2" t="n">
        <f aca="false">Settings!$B$4*MAX(INDEX(Bases!$R$2:$R$53,B483),INDEX(Bases!$R$2:$R$53,C483))+Settings!$B$5*MIN(INDEX(Bases!$R$2:$R$53,B483),INDEX(Bases!$R$2:$R$53,C483))</f>
        <v>110.666666666667</v>
      </c>
      <c r="Y483" s="2" t="n">
        <f aca="false">S483*Settings!$B$3/SUM(S483:X483)</f>
        <v>70.9163346613546</v>
      </c>
      <c r="Z483" s="2" t="n">
        <f aca="false">T483*Settings!$B$3/SUM(S483:X483)</f>
        <v>73.3067729083665</v>
      </c>
      <c r="AA483" s="2" t="n">
        <f aca="false">U483*Settings!$B$3/SUM(S483:X483)</f>
        <v>71.3147410358566</v>
      </c>
      <c r="AB483" s="2" t="n">
        <f aca="false">V483*Settings!$B$3/SUM(S483:X483)</f>
        <v>72.9083665338646</v>
      </c>
      <c r="AC483" s="2" t="n">
        <f aca="false">W483*Settings!$B$3/SUM(S483:X483)</f>
        <v>79.2828685258964</v>
      </c>
      <c r="AD483" s="2" t="n">
        <f aca="false">X483*Settings!$B$3/SUM(S483:X483)</f>
        <v>132.270916334661</v>
      </c>
      <c r="AE483" s="2" t="n">
        <f aca="false">INT(Y483)</f>
        <v>70</v>
      </c>
      <c r="AF483" s="2" t="n">
        <f aca="false">INT(Z483)</f>
        <v>73</v>
      </c>
      <c r="AG483" s="2" t="n">
        <f aca="false">INT(AA483)</f>
        <v>71</v>
      </c>
      <c r="AH483" s="2" t="n">
        <f aca="false">INT(AB483)</f>
        <v>72</v>
      </c>
      <c r="AI483" s="2" t="n">
        <f aca="false">INT(AC483)</f>
        <v>79</v>
      </c>
      <c r="AJ483" s="2" t="n">
        <f aca="false">INT(AD483)</f>
        <v>132</v>
      </c>
      <c r="AK483" s="2" t="n">
        <f aca="false">Settings!$B$3-SUM(AE483:AJ483)</f>
        <v>3</v>
      </c>
      <c r="AL483" s="2" t="n">
        <f aca="false">ROUND(Y483-AE483,9)</f>
        <v>0.916334661</v>
      </c>
      <c r="AM483" s="2" t="n">
        <f aca="false">ROUND(Z483-AF483,9)</f>
        <v>0.306772908</v>
      </c>
      <c r="AN483" s="2" t="n">
        <f aca="false">ROUND(AA483-AG483,9)</f>
        <v>0.314741036</v>
      </c>
      <c r="AO483" s="2" t="n">
        <f aca="false">ROUND(AB483-AH483,9)</f>
        <v>0.908366534</v>
      </c>
      <c r="AP483" s="2" t="n">
        <f aca="false">ROUND(AC483-AI483,9)</f>
        <v>0.282868526</v>
      </c>
      <c r="AQ483" s="2" t="n">
        <f aca="false">ROUND(AD483-AJ483,9)</f>
        <v>0.270916335</v>
      </c>
    </row>
    <row r="484" customFormat="false" ht="15" hidden="false" customHeight="false" outlineLevel="0" collapsed="false">
      <c r="A484" s="2" t="n">
        <v>483</v>
      </c>
      <c r="B484" s="6" t="n">
        <v>11</v>
      </c>
      <c r="C484" s="6" t="n">
        <v>29</v>
      </c>
      <c r="D484" s="8" t="str">
        <f aca="false">INDEX(Bases!$B$2:$B$53,B484)</f>
        <v>Voltorb</v>
      </c>
      <c r="E484" s="8" t="str">
        <f aca="false">INDEX(Bases!$B$2:$B$53,C484)</f>
        <v>Murkrow</v>
      </c>
      <c r="F484" s="2" t="str">
        <f aca="false">LEFT(D484,ROUNDUP(LEN(D484)/2,0))&amp;LOWER(MID(E484,ROUNDUP(LEN(E484)/2,0)+1,20))</f>
        <v>Voltrow</v>
      </c>
      <c r="G484" s="8" t="str">
        <f aca="false">INDEX(Bases!$C$2:$C$53,B484)</f>
        <v>Electric</v>
      </c>
      <c r="H484" s="8" t="str">
        <f aca="false">IF(INDEX(Bases!$C$2:$C$53,C484)=G484,"",INDEX(Bases!$C$2:$C$53,C484))</f>
        <v>Flying</v>
      </c>
      <c r="I484" s="8" t="str">
        <f aca="false">IF(INDEX(Bases!$E$2:$E$53,B484)="","",INDEX(Bases!$E$2:$E$53,B484))</f>
        <v/>
      </c>
      <c r="J484" s="8" t="str">
        <f aca="false">IF(INDEX(Bases!$E$2:$E$53,C484)="","",INDEX(Bases!$E$2:$E$53,C484))</f>
        <v/>
      </c>
      <c r="K484" s="5"/>
      <c r="L484" s="2" t="n">
        <f aca="false">AE484+IF(SUMPRODUCT(--($AL484:$AQ484&gt;AL484))&lt;$AK484,1,0)</f>
        <v>65</v>
      </c>
      <c r="M484" s="2" t="n">
        <f aca="false">AF484+IF(SUMPRODUCT(--($AL484:$AQ484&gt;AM484))+SUMPRODUCT(--($AL484:AL484=AM484))&lt;$AK484,1,0)</f>
        <v>80</v>
      </c>
      <c r="N484" s="2" t="n">
        <f aca="false">AG484+IF(SUMPRODUCT(--($AL484:$AQ484&gt;AN484))+SUMPRODUCT(--($AL484:AM484=AN484))&lt;$AK484,1,0)</f>
        <v>64</v>
      </c>
      <c r="O484" s="2" t="n">
        <f aca="false">AH484+IF(SUMPRODUCT(--($AL484:$AQ484&gt;AO484))+SUMPRODUCT(--($AL484:AN484=AO484))&lt;$AK484,1,0)</f>
        <v>92</v>
      </c>
      <c r="P484" s="2" t="n">
        <f aca="false">AI484+IF(SUMPRODUCT(--($AL484:$AQ484&gt;AP484))+SUMPRODUCT(--($AL484:AO484=AP484))&lt;$AK484,1,0)</f>
        <v>69</v>
      </c>
      <c r="Q484" s="2" t="n">
        <f aca="false">AJ484+IF(SUMPRODUCT(--($AL484:$AQ484&gt;AQ484))+SUMPRODUCT(--($AL484:AP484=AQ484))&lt;$AK484,1,0)</f>
        <v>130</v>
      </c>
      <c r="R484" s="2" t="n">
        <f aca="false">SUM(L484:Q484)</f>
        <v>500</v>
      </c>
      <c r="S484" s="2" t="n">
        <f aca="false">Settings!$B$4*MAX(INDEX(Bases!$M$2:$M$53,B484),INDEX(Bases!$M$2:$M$53,C484))+Settings!$B$5*MIN(INDEX(Bases!$M$2:$M$53,B484),INDEX(Bases!$M$2:$M$53,C484))</f>
        <v>55.3333333333333</v>
      </c>
      <c r="T484" s="2" t="n">
        <f aca="false">Settings!$B$4*MAX(INDEX(Bases!$N$2:$N$53,B484),INDEX(Bases!$N$2:$N$53,C484))+Settings!$B$5*MIN(INDEX(Bases!$N$2:$N$53,B484),INDEX(Bases!$N$2:$N$53,C484))</f>
        <v>68</v>
      </c>
      <c r="U484" s="2" t="n">
        <f aca="false">Settings!$B$4*MAX(INDEX(Bases!$O$2:$O$53,B484),INDEX(Bases!$O$2:$O$53,C484))+Settings!$B$5*MIN(INDEX(Bases!$O$2:$O$53,B484),INDEX(Bases!$O$2:$O$53,C484))</f>
        <v>54.6666666666667</v>
      </c>
      <c r="V484" s="2" t="n">
        <f aca="false">Settings!$B$4*MAX(INDEX(Bases!$P$2:$P$53,B484),INDEX(Bases!$P$2:$P$53,C484))+Settings!$B$5*MIN(INDEX(Bases!$P$2:$P$53,B484),INDEX(Bases!$P$2:$P$53,C484))</f>
        <v>78.3333333333333</v>
      </c>
      <c r="W484" s="2" t="n">
        <f aca="false">Settings!$B$4*MAX(INDEX(Bases!$Q$2:$Q$53,B484),INDEX(Bases!$Q$2:$Q$53,C484))+Settings!$B$5*MIN(INDEX(Bases!$Q$2:$Q$53,B484),INDEX(Bases!$Q$2:$Q$53,C484))</f>
        <v>58.3333333333333</v>
      </c>
      <c r="X484" s="2" t="n">
        <f aca="false">Settings!$B$4*MAX(INDEX(Bases!$R$2:$R$53,B484),INDEX(Bases!$R$2:$R$53,C484))+Settings!$B$5*MIN(INDEX(Bases!$R$2:$R$53,B484),INDEX(Bases!$R$2:$R$53,C484))</f>
        <v>110.666666666667</v>
      </c>
      <c r="Y484" s="2" t="n">
        <f aca="false">S484*Settings!$B$3/SUM(S484:X484)</f>
        <v>65.0470219435737</v>
      </c>
      <c r="Z484" s="2" t="n">
        <f aca="false">T484*Settings!$B$3/SUM(S484:X484)</f>
        <v>79.9373040752351</v>
      </c>
      <c r="AA484" s="2" t="n">
        <f aca="false">U484*Settings!$B$3/SUM(S484:X484)</f>
        <v>64.2633228840125</v>
      </c>
      <c r="AB484" s="2" t="n">
        <f aca="false">V484*Settings!$B$3/SUM(S484:X484)</f>
        <v>92.0846394984326</v>
      </c>
      <c r="AC484" s="2" t="n">
        <f aca="false">W484*Settings!$B$3/SUM(S484:X484)</f>
        <v>68.5736677115987</v>
      </c>
      <c r="AD484" s="2" t="n">
        <f aca="false">X484*Settings!$B$3/SUM(S484:X484)</f>
        <v>130.094043887147</v>
      </c>
      <c r="AE484" s="2" t="n">
        <f aca="false">INT(Y484)</f>
        <v>65</v>
      </c>
      <c r="AF484" s="2" t="n">
        <f aca="false">INT(Z484)</f>
        <v>79</v>
      </c>
      <c r="AG484" s="2" t="n">
        <f aca="false">INT(AA484)</f>
        <v>64</v>
      </c>
      <c r="AH484" s="2" t="n">
        <f aca="false">INT(AB484)</f>
        <v>92</v>
      </c>
      <c r="AI484" s="2" t="n">
        <f aca="false">INT(AC484)</f>
        <v>68</v>
      </c>
      <c r="AJ484" s="2" t="n">
        <f aca="false">INT(AD484)</f>
        <v>130</v>
      </c>
      <c r="AK484" s="2" t="n">
        <f aca="false">Settings!$B$3-SUM(AE484:AJ484)</f>
        <v>2</v>
      </c>
      <c r="AL484" s="2" t="n">
        <f aca="false">ROUND(Y484-AE484,9)</f>
        <v>0.047021944</v>
      </c>
      <c r="AM484" s="2" t="n">
        <f aca="false">ROUND(Z484-AF484,9)</f>
        <v>0.937304075</v>
      </c>
      <c r="AN484" s="2" t="n">
        <f aca="false">ROUND(AA484-AG484,9)</f>
        <v>0.263322884</v>
      </c>
      <c r="AO484" s="2" t="n">
        <f aca="false">ROUND(AB484-AH484,9)</f>
        <v>0.084639498</v>
      </c>
      <c r="AP484" s="2" t="n">
        <f aca="false">ROUND(AC484-AI484,9)</f>
        <v>0.573667712</v>
      </c>
      <c r="AQ484" s="2" t="n">
        <f aca="false">ROUND(AD484-AJ484,9)</f>
        <v>0.094043887</v>
      </c>
    </row>
    <row r="485" customFormat="false" ht="15" hidden="false" customHeight="false" outlineLevel="0" collapsed="false">
      <c r="A485" s="2" t="n">
        <v>484</v>
      </c>
      <c r="B485" s="6" t="n">
        <v>11</v>
      </c>
      <c r="C485" s="6" t="n">
        <v>30</v>
      </c>
      <c r="D485" s="8" t="str">
        <f aca="false">INDEX(Bases!$B$2:$B$53,B485)</f>
        <v>Voltorb</v>
      </c>
      <c r="E485" s="8" t="str">
        <f aca="false">INDEX(Bases!$B$2:$B$53,C485)</f>
        <v>Swablu</v>
      </c>
      <c r="F485" s="2" t="str">
        <f aca="false">LEFT(D485,ROUNDUP(LEN(D485)/2,0))&amp;LOWER(MID(E485,ROUNDUP(LEN(E485)/2,0)+1,20))</f>
        <v>Voltblu</v>
      </c>
      <c r="G485" s="8" t="str">
        <f aca="false">INDEX(Bases!$C$2:$C$53,B485)</f>
        <v>Electric</v>
      </c>
      <c r="H485" s="8" t="str">
        <f aca="false">IF(INDEX(Bases!$C$2:$C$53,C485)=G485,"",INDEX(Bases!$C$2:$C$53,C485))</f>
        <v>Flying</v>
      </c>
      <c r="I485" s="8" t="str">
        <f aca="false">IF(INDEX(Bases!$E$2:$E$53,B485)="","",INDEX(Bases!$E$2:$E$53,B485))</f>
        <v/>
      </c>
      <c r="J485" s="8" t="str">
        <f aca="false">IF(INDEX(Bases!$E$2:$E$53,C485)="","",INDEX(Bases!$E$2:$E$53,C485))</f>
        <v/>
      </c>
      <c r="K485" s="5"/>
      <c r="L485" s="2" t="n">
        <f aca="false">AE485+IF(SUMPRODUCT(--($AL485:$AQ485&gt;AL485))&lt;$AK485,1,0)</f>
        <v>64</v>
      </c>
      <c r="M485" s="2" t="n">
        <f aca="false">AF485+IF(SUMPRODUCT(--($AL485:$AQ485&gt;AM485))+SUMPRODUCT(--($AL485:AL485=AM485))&lt;$AK485,1,0)</f>
        <v>55</v>
      </c>
      <c r="N485" s="2" t="n">
        <f aca="false">AG485+IF(SUMPRODUCT(--($AL485:$AQ485&gt;AN485))+SUMPRODUCT(--($AL485:AM485=AN485))&lt;$AK485,1,0)</f>
        <v>85</v>
      </c>
      <c r="O485" s="2" t="n">
        <f aca="false">AH485+IF(SUMPRODUCT(--($AL485:$AQ485&gt;AO485))+SUMPRODUCT(--($AL485:AN485=AO485))&lt;$AK485,1,0)</f>
        <v>73</v>
      </c>
      <c r="P485" s="2" t="n">
        <f aca="false">AI485+IF(SUMPRODUCT(--($AL485:$AQ485&gt;AP485))+SUMPRODUCT(--($AL485:AO485=AP485))&lt;$AK485,1,0)</f>
        <v>103</v>
      </c>
      <c r="Q485" s="2" t="n">
        <f aca="false">AJ485+IF(SUMPRODUCT(--($AL485:$AQ485&gt;AQ485))+SUMPRODUCT(--($AL485:AP485=AQ485))&lt;$AK485,1,0)</f>
        <v>120</v>
      </c>
      <c r="R485" s="2" t="n">
        <f aca="false">SUM(L485:Q485)</f>
        <v>500</v>
      </c>
      <c r="S485" s="2" t="n">
        <f aca="false">Settings!$B$4*MAX(INDEX(Bases!$M$2:$M$53,B485),INDEX(Bases!$M$2:$M$53,C485))+Settings!$B$5*MIN(INDEX(Bases!$M$2:$M$53,B485),INDEX(Bases!$M$2:$M$53,C485))</f>
        <v>54.6666666666667</v>
      </c>
      <c r="T485" s="2" t="n">
        <f aca="false">Settings!$B$4*MAX(INDEX(Bases!$N$2:$N$53,B485),INDEX(Bases!$N$2:$N$53,C485))+Settings!$B$5*MIN(INDEX(Bases!$N$2:$N$53,B485),INDEX(Bases!$N$2:$N$53,C485))</f>
        <v>46.6666666666667</v>
      </c>
      <c r="U485" s="2" t="n">
        <f aca="false">Settings!$B$4*MAX(INDEX(Bases!$O$2:$O$53,B485),INDEX(Bases!$O$2:$O$53,C485))+Settings!$B$5*MIN(INDEX(Bases!$O$2:$O$53,B485),INDEX(Bases!$O$2:$O$53,C485))</f>
        <v>71.6666666666667</v>
      </c>
      <c r="V485" s="2" t="n">
        <f aca="false">Settings!$B$4*MAX(INDEX(Bases!$P$2:$P$53,B485),INDEX(Bases!$P$2:$P$53,C485))+Settings!$B$5*MIN(INDEX(Bases!$P$2:$P$53,B485),INDEX(Bases!$P$2:$P$53,C485))</f>
        <v>62</v>
      </c>
      <c r="W485" s="2" t="n">
        <f aca="false">Settings!$B$4*MAX(INDEX(Bases!$Q$2:$Q$53,B485),INDEX(Bases!$Q$2:$Q$53,C485))+Settings!$B$5*MIN(INDEX(Bases!$Q$2:$Q$53,B485),INDEX(Bases!$Q$2:$Q$53,C485))</f>
        <v>87</v>
      </c>
      <c r="X485" s="2" t="n">
        <f aca="false">Settings!$B$4*MAX(INDEX(Bases!$R$2:$R$53,B485),INDEX(Bases!$R$2:$R$53,C485))+Settings!$B$5*MIN(INDEX(Bases!$R$2:$R$53,B485),INDEX(Bases!$R$2:$R$53,C485))</f>
        <v>102</v>
      </c>
      <c r="Y485" s="2" t="n">
        <f aca="false">S485*Settings!$B$3/SUM(S485:X485)</f>
        <v>64.4654088050314</v>
      </c>
      <c r="Z485" s="2" t="n">
        <f aca="false">T485*Settings!$B$3/SUM(S485:X485)</f>
        <v>55.0314465408805</v>
      </c>
      <c r="AA485" s="2" t="n">
        <f aca="false">U485*Settings!$B$3/SUM(S485:X485)</f>
        <v>84.5125786163522</v>
      </c>
      <c r="AB485" s="2" t="n">
        <f aca="false">V485*Settings!$B$3/SUM(S485:X485)</f>
        <v>73.1132075471698</v>
      </c>
      <c r="AC485" s="2" t="n">
        <f aca="false">W485*Settings!$B$3/SUM(S485:X485)</f>
        <v>102.594339622642</v>
      </c>
      <c r="AD485" s="2" t="n">
        <f aca="false">X485*Settings!$B$3/SUM(S485:X485)</f>
        <v>120.283018867925</v>
      </c>
      <c r="AE485" s="2" t="n">
        <f aca="false">INT(Y485)</f>
        <v>64</v>
      </c>
      <c r="AF485" s="2" t="n">
        <f aca="false">INT(Z485)</f>
        <v>55</v>
      </c>
      <c r="AG485" s="2" t="n">
        <f aca="false">INT(AA485)</f>
        <v>84</v>
      </c>
      <c r="AH485" s="2" t="n">
        <f aca="false">INT(AB485)</f>
        <v>73</v>
      </c>
      <c r="AI485" s="2" t="n">
        <f aca="false">INT(AC485)</f>
        <v>102</v>
      </c>
      <c r="AJ485" s="2" t="n">
        <f aca="false">INT(AD485)</f>
        <v>120</v>
      </c>
      <c r="AK485" s="2" t="n">
        <f aca="false">Settings!$B$3-SUM(AE485:AJ485)</f>
        <v>2</v>
      </c>
      <c r="AL485" s="2" t="n">
        <f aca="false">ROUND(Y485-AE485,9)</f>
        <v>0.465408805</v>
      </c>
      <c r="AM485" s="2" t="n">
        <f aca="false">ROUND(Z485-AF485,9)</f>
        <v>0.031446541</v>
      </c>
      <c r="AN485" s="2" t="n">
        <f aca="false">ROUND(AA485-AG485,9)</f>
        <v>0.512578616</v>
      </c>
      <c r="AO485" s="2" t="n">
        <f aca="false">ROUND(AB485-AH485,9)</f>
        <v>0.113207547</v>
      </c>
      <c r="AP485" s="2" t="n">
        <f aca="false">ROUND(AC485-AI485,9)</f>
        <v>0.594339623</v>
      </c>
      <c r="AQ485" s="2" t="n">
        <f aca="false">ROUND(AD485-AJ485,9)</f>
        <v>0.283018868</v>
      </c>
    </row>
    <row r="486" customFormat="false" ht="15" hidden="false" customHeight="false" outlineLevel="0" collapsed="false">
      <c r="A486" s="2" t="n">
        <v>485</v>
      </c>
      <c r="B486" s="6" t="n">
        <v>11</v>
      </c>
      <c r="C486" s="6" t="n">
        <v>31</v>
      </c>
      <c r="D486" s="8" t="str">
        <f aca="false">INDEX(Bases!$B$2:$B$53,B486)</f>
        <v>Voltorb</v>
      </c>
      <c r="E486" s="8" t="str">
        <f aca="false">INDEX(Bases!$B$2:$B$53,C486)</f>
        <v>Mew</v>
      </c>
      <c r="F486" s="2" t="str">
        <f aca="false">LEFT(D486,ROUNDUP(LEN(D486)/2,0))&amp;LOWER(MID(E486,ROUNDUP(LEN(E486)/2,0)+1,20))</f>
        <v>Voltw</v>
      </c>
      <c r="G486" s="8" t="str">
        <f aca="false">INDEX(Bases!$C$2:$C$53,B486)</f>
        <v>Electric</v>
      </c>
      <c r="H486" s="8" t="str">
        <f aca="false">IF(INDEX(Bases!$C$2:$C$53,C486)=G486,"",INDEX(Bases!$C$2:$C$53,C486))</f>
        <v>Psychic</v>
      </c>
      <c r="I486" s="8" t="str">
        <f aca="false">IF(INDEX(Bases!$E$2:$E$53,B486)="","",INDEX(Bases!$E$2:$E$53,B486))</f>
        <v/>
      </c>
      <c r="J486" s="8" t="str">
        <f aca="false">IF(INDEX(Bases!$E$2:$E$53,C486)="","",INDEX(Bases!$E$2:$E$53,C486))</f>
        <v/>
      </c>
      <c r="K486" s="5"/>
      <c r="L486" s="2" t="n">
        <f aca="false">AE486+IF(SUMPRODUCT(--($AL486:$AQ486&gt;AL486))&lt;$AK486,1,0)</f>
        <v>72</v>
      </c>
      <c r="M486" s="2" t="n">
        <f aca="false">AF486+IF(SUMPRODUCT(--($AL486:$AQ486&gt;AM486))+SUMPRODUCT(--($AL486:AL486=AM486))&lt;$AK486,1,0)</f>
        <v>68</v>
      </c>
      <c r="N486" s="2" t="n">
        <f aca="false">AG486+IF(SUMPRODUCT(--($AL486:$AQ486&gt;AN486))+SUMPRODUCT(--($AL486:AM486=AN486))&lt;$AK486,1,0)</f>
        <v>78</v>
      </c>
      <c r="O486" s="2" t="n">
        <f aca="false">AH486+IF(SUMPRODUCT(--($AL486:$AQ486&gt;AO486))+SUMPRODUCT(--($AL486:AN486=AO486))&lt;$AK486,1,0)</f>
        <v>80</v>
      </c>
      <c r="P486" s="2" t="n">
        <f aca="false">AI486+IF(SUMPRODUCT(--($AL486:$AQ486&gt;AP486))+SUMPRODUCT(--($AL486:AO486=AP486))&lt;$AK486,1,0)</f>
        <v>80</v>
      </c>
      <c r="Q486" s="2" t="n">
        <f aca="false">AJ486+IF(SUMPRODUCT(--($AL486:$AQ486&gt;AQ486))+SUMPRODUCT(--($AL486:AP486=AQ486))&lt;$AK486,1,0)</f>
        <v>122</v>
      </c>
      <c r="R486" s="2" t="n">
        <f aca="false">SUM(L486:Q486)</f>
        <v>500</v>
      </c>
      <c r="S486" s="2" t="n">
        <f aca="false">Settings!$B$4*MAX(INDEX(Bases!$M$2:$M$53,B486),INDEX(Bases!$M$2:$M$53,C486))+Settings!$B$5*MIN(INDEX(Bases!$M$2:$M$53,B486),INDEX(Bases!$M$2:$M$53,C486))</f>
        <v>60.6666666666667</v>
      </c>
      <c r="T486" s="2" t="n">
        <f aca="false">Settings!$B$4*MAX(INDEX(Bases!$N$2:$N$53,B486),INDEX(Bases!$N$2:$N$53,C486))+Settings!$B$5*MIN(INDEX(Bases!$N$2:$N$53,B486),INDEX(Bases!$N$2:$N$53,C486))</f>
        <v>56.6666666666667</v>
      </c>
      <c r="U486" s="2" t="n">
        <f aca="false">Settings!$B$4*MAX(INDEX(Bases!$O$2:$O$53,B486),INDEX(Bases!$O$2:$O$53,C486))+Settings!$B$5*MIN(INDEX(Bases!$O$2:$O$53,B486),INDEX(Bases!$O$2:$O$53,C486))</f>
        <v>65</v>
      </c>
      <c r="V486" s="2" t="n">
        <f aca="false">Settings!$B$4*MAX(INDEX(Bases!$P$2:$P$53,B486),INDEX(Bases!$P$2:$P$53,C486))+Settings!$B$5*MIN(INDEX(Bases!$P$2:$P$53,B486),INDEX(Bases!$P$2:$P$53,C486))</f>
        <v>67</v>
      </c>
      <c r="W486" s="2" t="n">
        <f aca="false">Settings!$B$4*MAX(INDEX(Bases!$Q$2:$Q$53,B486),INDEX(Bases!$Q$2:$Q$53,C486))+Settings!$B$5*MIN(INDEX(Bases!$Q$2:$Q$53,B486),INDEX(Bases!$Q$2:$Q$53,C486))</f>
        <v>66.6666666666667</v>
      </c>
      <c r="X486" s="2" t="n">
        <f aca="false">Settings!$B$4*MAX(INDEX(Bases!$R$2:$R$53,B486),INDEX(Bases!$R$2:$R$53,C486))+Settings!$B$5*MIN(INDEX(Bases!$R$2:$R$53,B486),INDEX(Bases!$R$2:$R$53,C486))</f>
        <v>102.666666666667</v>
      </c>
      <c r="Y486" s="2" t="n">
        <f aca="false">S486*Settings!$B$3/SUM(S486:X486)</f>
        <v>72.4522292993631</v>
      </c>
      <c r="Z486" s="2" t="n">
        <f aca="false">T486*Settings!$B$3/SUM(S486:X486)</f>
        <v>67.6751592356688</v>
      </c>
      <c r="AA486" s="2" t="n">
        <f aca="false">U486*Settings!$B$3/SUM(S486:X486)</f>
        <v>77.6273885350319</v>
      </c>
      <c r="AB486" s="2" t="n">
        <f aca="false">V486*Settings!$B$3/SUM(S486:X486)</f>
        <v>80.015923566879</v>
      </c>
      <c r="AC486" s="2" t="n">
        <f aca="false">W486*Settings!$B$3/SUM(S486:X486)</f>
        <v>79.6178343949045</v>
      </c>
      <c r="AD486" s="2" t="n">
        <f aca="false">X486*Settings!$B$3/SUM(S486:X486)</f>
        <v>122.611464968153</v>
      </c>
      <c r="AE486" s="2" t="n">
        <f aca="false">INT(Y486)</f>
        <v>72</v>
      </c>
      <c r="AF486" s="2" t="n">
        <f aca="false">INT(Z486)</f>
        <v>67</v>
      </c>
      <c r="AG486" s="2" t="n">
        <f aca="false">INT(AA486)</f>
        <v>77</v>
      </c>
      <c r="AH486" s="2" t="n">
        <f aca="false">INT(AB486)</f>
        <v>80</v>
      </c>
      <c r="AI486" s="2" t="n">
        <f aca="false">INT(AC486)</f>
        <v>79</v>
      </c>
      <c r="AJ486" s="2" t="n">
        <f aca="false">INT(AD486)</f>
        <v>122</v>
      </c>
      <c r="AK486" s="2" t="n">
        <f aca="false">Settings!$B$3-SUM(AE486:AJ486)</f>
        <v>3</v>
      </c>
      <c r="AL486" s="2" t="n">
        <f aca="false">ROUND(Y486-AE486,9)</f>
        <v>0.452229299</v>
      </c>
      <c r="AM486" s="2" t="n">
        <f aca="false">ROUND(Z486-AF486,9)</f>
        <v>0.675159236</v>
      </c>
      <c r="AN486" s="2" t="n">
        <f aca="false">ROUND(AA486-AG486,9)</f>
        <v>0.627388535</v>
      </c>
      <c r="AO486" s="2" t="n">
        <f aca="false">ROUND(AB486-AH486,9)</f>
        <v>0.015923567</v>
      </c>
      <c r="AP486" s="2" t="n">
        <f aca="false">ROUND(AC486-AI486,9)</f>
        <v>0.617834395</v>
      </c>
      <c r="AQ486" s="2" t="n">
        <f aca="false">ROUND(AD486-AJ486,9)</f>
        <v>0.611464968</v>
      </c>
    </row>
    <row r="487" customFormat="false" ht="15" hidden="false" customHeight="false" outlineLevel="0" collapsed="false">
      <c r="A487" s="2" t="n">
        <v>486</v>
      </c>
      <c r="B487" s="6" t="n">
        <v>11</v>
      </c>
      <c r="C487" s="6" t="n">
        <v>32</v>
      </c>
      <c r="D487" s="8" t="str">
        <f aca="false">INDEX(Bases!$B$2:$B$53,B487)</f>
        <v>Voltorb</v>
      </c>
      <c r="E487" s="8" t="str">
        <f aca="false">INDEX(Bases!$B$2:$B$53,C487)</f>
        <v>Spoink</v>
      </c>
      <c r="F487" s="2" t="str">
        <f aca="false">LEFT(D487,ROUNDUP(LEN(D487)/2,0))&amp;LOWER(MID(E487,ROUNDUP(LEN(E487)/2,0)+1,20))</f>
        <v>Voltink</v>
      </c>
      <c r="G487" s="8" t="str">
        <f aca="false">INDEX(Bases!$C$2:$C$53,B487)</f>
        <v>Electric</v>
      </c>
      <c r="H487" s="8" t="str">
        <f aca="false">IF(INDEX(Bases!$C$2:$C$53,C487)=G487,"",INDEX(Bases!$C$2:$C$53,C487))</f>
        <v>Psychic</v>
      </c>
      <c r="I487" s="8" t="str">
        <f aca="false">IF(INDEX(Bases!$E$2:$E$53,B487)="","",INDEX(Bases!$E$2:$E$53,B487))</f>
        <v/>
      </c>
      <c r="J487" s="8" t="str">
        <f aca="false">IF(INDEX(Bases!$E$2:$E$53,C487)="","",INDEX(Bases!$E$2:$E$53,C487))</f>
        <v/>
      </c>
      <c r="K487" s="5"/>
      <c r="L487" s="2" t="n">
        <f aca="false">AE487+IF(SUMPRODUCT(--($AL487:$AQ487&gt;AL487))&lt;$AK487,1,0)</f>
        <v>76</v>
      </c>
      <c r="M487" s="2" t="n">
        <f aca="false">AF487+IF(SUMPRODUCT(--($AL487:$AQ487&gt;AM487))+SUMPRODUCT(--($AL487:AL487=AM487))&lt;$AK487,1,0)</f>
        <v>40</v>
      </c>
      <c r="N487" s="2" t="n">
        <f aca="false">AG487+IF(SUMPRODUCT(--($AL487:$AQ487&gt;AN487))+SUMPRODUCT(--($AL487:AM487=AN487))&lt;$AK487,1,0)</f>
        <v>64</v>
      </c>
      <c r="O487" s="2" t="n">
        <f aca="false">AH487+IF(SUMPRODUCT(--($AL487:$AQ487&gt;AO487))+SUMPRODUCT(--($AL487:AN487=AO487))&lt;$AK487,1,0)</f>
        <v>93</v>
      </c>
      <c r="P487" s="2" t="n">
        <f aca="false">AI487+IF(SUMPRODUCT(--($AL487:$AQ487&gt;AP487))+SUMPRODUCT(--($AL487:AO487=AP487))&lt;$AK487,1,0)</f>
        <v>103</v>
      </c>
      <c r="Q487" s="2" t="n">
        <f aca="false">AJ487+IF(SUMPRODUCT(--($AL487:$AQ487&gt;AQ487))+SUMPRODUCT(--($AL487:AP487=AQ487))&lt;$AK487,1,0)</f>
        <v>124</v>
      </c>
      <c r="R487" s="2" t="n">
        <f aca="false">SUM(L487:Q487)</f>
        <v>500</v>
      </c>
      <c r="S487" s="2" t="n">
        <f aca="false">Settings!$B$4*MAX(INDEX(Bases!$M$2:$M$53,B487),INDEX(Bases!$M$2:$M$53,C487))+Settings!$B$5*MIN(INDEX(Bases!$M$2:$M$53,B487),INDEX(Bases!$M$2:$M$53,C487))</f>
        <v>64.6666666666667</v>
      </c>
      <c r="T487" s="2" t="n">
        <f aca="false">Settings!$B$4*MAX(INDEX(Bases!$N$2:$N$53,B487),INDEX(Bases!$N$2:$N$53,C487))+Settings!$B$5*MIN(INDEX(Bases!$N$2:$N$53,B487),INDEX(Bases!$N$2:$N$53,C487))</f>
        <v>34</v>
      </c>
      <c r="U487" s="2" t="n">
        <f aca="false">Settings!$B$4*MAX(INDEX(Bases!$O$2:$O$53,B487),INDEX(Bases!$O$2:$O$53,C487))+Settings!$B$5*MIN(INDEX(Bases!$O$2:$O$53,B487),INDEX(Bases!$O$2:$O$53,C487))</f>
        <v>54.6666666666667</v>
      </c>
      <c r="V487" s="2" t="n">
        <f aca="false">Settings!$B$4*MAX(INDEX(Bases!$P$2:$P$53,B487),INDEX(Bases!$P$2:$P$53,C487))+Settings!$B$5*MIN(INDEX(Bases!$P$2:$P$53,B487),INDEX(Bases!$P$2:$P$53,C487))</f>
        <v>79</v>
      </c>
      <c r="W487" s="2" t="n">
        <f aca="false">Settings!$B$4*MAX(INDEX(Bases!$Q$2:$Q$53,B487),INDEX(Bases!$Q$2:$Q$53,C487))+Settings!$B$5*MIN(INDEX(Bases!$Q$2:$Q$53,B487),INDEX(Bases!$Q$2:$Q$53,C487))</f>
        <v>87</v>
      </c>
      <c r="X487" s="2" t="n">
        <f aca="false">Settings!$B$4*MAX(INDEX(Bases!$R$2:$R$53,B487),INDEX(Bases!$R$2:$R$53,C487))+Settings!$B$5*MIN(INDEX(Bases!$R$2:$R$53,B487),INDEX(Bases!$R$2:$R$53,C487))</f>
        <v>105</v>
      </c>
      <c r="Y487" s="2" t="n">
        <f aca="false">S487*Settings!$B$3/SUM(S487:X487)</f>
        <v>76.1979575805185</v>
      </c>
      <c r="Z487" s="2" t="n">
        <f aca="false">T487*Settings!$B$3/SUM(S487:X487)</f>
        <v>40.0628436763551</v>
      </c>
      <c r="AA487" s="2" t="n">
        <f aca="false">U487*Settings!$B$3/SUM(S487:X487)</f>
        <v>64.4147682639434</v>
      </c>
      <c r="AB487" s="2" t="n">
        <f aca="false">V487*Settings!$B$3/SUM(S487:X487)</f>
        <v>93.0871956009427</v>
      </c>
      <c r="AC487" s="2" t="n">
        <f aca="false">W487*Settings!$B$3/SUM(S487:X487)</f>
        <v>102.513747054203</v>
      </c>
      <c r="AD487" s="2" t="n">
        <f aca="false">X487*Settings!$B$3/SUM(S487:X487)</f>
        <v>123.723487824038</v>
      </c>
      <c r="AE487" s="2" t="n">
        <f aca="false">INT(Y487)</f>
        <v>76</v>
      </c>
      <c r="AF487" s="2" t="n">
        <f aca="false">INT(Z487)</f>
        <v>40</v>
      </c>
      <c r="AG487" s="2" t="n">
        <f aca="false">INT(AA487)</f>
        <v>64</v>
      </c>
      <c r="AH487" s="2" t="n">
        <f aca="false">INT(AB487)</f>
        <v>93</v>
      </c>
      <c r="AI487" s="2" t="n">
        <f aca="false">INT(AC487)</f>
        <v>102</v>
      </c>
      <c r="AJ487" s="2" t="n">
        <f aca="false">INT(AD487)</f>
        <v>123</v>
      </c>
      <c r="AK487" s="2" t="n">
        <f aca="false">Settings!$B$3-SUM(AE487:AJ487)</f>
        <v>2</v>
      </c>
      <c r="AL487" s="2" t="n">
        <f aca="false">ROUND(Y487-AE487,9)</f>
        <v>0.197957581</v>
      </c>
      <c r="AM487" s="2" t="n">
        <f aca="false">ROUND(Z487-AF487,9)</f>
        <v>0.062843676</v>
      </c>
      <c r="AN487" s="2" t="n">
        <f aca="false">ROUND(AA487-AG487,9)</f>
        <v>0.414768264</v>
      </c>
      <c r="AO487" s="2" t="n">
        <f aca="false">ROUND(AB487-AH487,9)</f>
        <v>0.087195601</v>
      </c>
      <c r="AP487" s="2" t="n">
        <f aca="false">ROUND(AC487-AI487,9)</f>
        <v>0.513747054</v>
      </c>
      <c r="AQ487" s="2" t="n">
        <f aca="false">ROUND(AD487-AJ487,9)</f>
        <v>0.723487824</v>
      </c>
    </row>
    <row r="488" customFormat="false" ht="15" hidden="false" customHeight="false" outlineLevel="0" collapsed="false">
      <c r="A488" s="2" t="n">
        <v>487</v>
      </c>
      <c r="B488" s="6" t="n">
        <v>11</v>
      </c>
      <c r="C488" s="6" t="n">
        <v>33</v>
      </c>
      <c r="D488" s="8" t="str">
        <f aca="false">INDEX(Bases!$B$2:$B$53,B488)</f>
        <v>Voltorb</v>
      </c>
      <c r="E488" s="8" t="str">
        <f aca="false">INDEX(Bases!$B$2:$B$53,C488)</f>
        <v>Jirachi</v>
      </c>
      <c r="F488" s="2" t="str">
        <f aca="false">LEFT(D488,ROUNDUP(LEN(D488)/2,0))&amp;LOWER(MID(E488,ROUNDUP(LEN(E488)/2,0)+1,20))</f>
        <v>Voltchi</v>
      </c>
      <c r="G488" s="8" t="str">
        <f aca="false">INDEX(Bases!$C$2:$C$53,B488)</f>
        <v>Electric</v>
      </c>
      <c r="H488" s="8" t="str">
        <f aca="false">IF(INDEX(Bases!$C$2:$C$53,C488)=G488,"",INDEX(Bases!$C$2:$C$53,C488))</f>
        <v>Psychic</v>
      </c>
      <c r="I488" s="8" t="str">
        <f aca="false">IF(INDEX(Bases!$E$2:$E$53,B488)="","",INDEX(Bases!$E$2:$E$53,B488))</f>
        <v/>
      </c>
      <c r="J488" s="8" t="str">
        <f aca="false">IF(INDEX(Bases!$E$2:$E$53,C488)="","",INDEX(Bases!$E$2:$E$53,C488))</f>
        <v/>
      </c>
      <c r="K488" s="5"/>
      <c r="L488" s="2" t="n">
        <f aca="false">AE488+IF(SUMPRODUCT(--($AL488:$AQ488&gt;AL488))&lt;$AK488,1,0)</f>
        <v>72</v>
      </c>
      <c r="M488" s="2" t="n">
        <f aca="false">AF488+IF(SUMPRODUCT(--($AL488:$AQ488&gt;AM488))+SUMPRODUCT(--($AL488:AL488=AM488))&lt;$AK488,1,0)</f>
        <v>68</v>
      </c>
      <c r="N488" s="2" t="n">
        <f aca="false">AG488+IF(SUMPRODUCT(--($AL488:$AQ488&gt;AN488))+SUMPRODUCT(--($AL488:AM488=AN488))&lt;$AK488,1,0)</f>
        <v>78</v>
      </c>
      <c r="O488" s="2" t="n">
        <f aca="false">AH488+IF(SUMPRODUCT(--($AL488:$AQ488&gt;AO488))+SUMPRODUCT(--($AL488:AN488=AO488))&lt;$AK488,1,0)</f>
        <v>80</v>
      </c>
      <c r="P488" s="2" t="n">
        <f aca="false">AI488+IF(SUMPRODUCT(--($AL488:$AQ488&gt;AP488))+SUMPRODUCT(--($AL488:AO488=AP488))&lt;$AK488,1,0)</f>
        <v>80</v>
      </c>
      <c r="Q488" s="2" t="n">
        <f aca="false">AJ488+IF(SUMPRODUCT(--($AL488:$AQ488&gt;AQ488))+SUMPRODUCT(--($AL488:AP488=AQ488))&lt;$AK488,1,0)</f>
        <v>122</v>
      </c>
      <c r="R488" s="2" t="n">
        <f aca="false">SUM(L488:Q488)</f>
        <v>500</v>
      </c>
      <c r="S488" s="2" t="n">
        <f aca="false">Settings!$B$4*MAX(INDEX(Bases!$M$2:$M$53,B488),INDEX(Bases!$M$2:$M$53,C488))+Settings!$B$5*MIN(INDEX(Bases!$M$2:$M$53,B488),INDEX(Bases!$M$2:$M$53,C488))</f>
        <v>60.6666666666667</v>
      </c>
      <c r="T488" s="2" t="n">
        <f aca="false">Settings!$B$4*MAX(INDEX(Bases!$N$2:$N$53,B488),INDEX(Bases!$N$2:$N$53,C488))+Settings!$B$5*MIN(INDEX(Bases!$N$2:$N$53,B488),INDEX(Bases!$N$2:$N$53,C488))</f>
        <v>56.6666666666667</v>
      </c>
      <c r="U488" s="2" t="n">
        <f aca="false">Settings!$B$4*MAX(INDEX(Bases!$O$2:$O$53,B488),INDEX(Bases!$O$2:$O$53,C488))+Settings!$B$5*MIN(INDEX(Bases!$O$2:$O$53,B488),INDEX(Bases!$O$2:$O$53,C488))</f>
        <v>65</v>
      </c>
      <c r="V488" s="2" t="n">
        <f aca="false">Settings!$B$4*MAX(INDEX(Bases!$P$2:$P$53,B488),INDEX(Bases!$P$2:$P$53,C488))+Settings!$B$5*MIN(INDEX(Bases!$P$2:$P$53,B488),INDEX(Bases!$P$2:$P$53,C488))</f>
        <v>67</v>
      </c>
      <c r="W488" s="2" t="n">
        <f aca="false">Settings!$B$4*MAX(INDEX(Bases!$Q$2:$Q$53,B488),INDEX(Bases!$Q$2:$Q$53,C488))+Settings!$B$5*MIN(INDEX(Bases!$Q$2:$Q$53,B488),INDEX(Bases!$Q$2:$Q$53,C488))</f>
        <v>66.6666666666667</v>
      </c>
      <c r="X488" s="2" t="n">
        <f aca="false">Settings!$B$4*MAX(INDEX(Bases!$R$2:$R$53,B488),INDEX(Bases!$R$2:$R$53,C488))+Settings!$B$5*MIN(INDEX(Bases!$R$2:$R$53,B488),INDEX(Bases!$R$2:$R$53,C488))</f>
        <v>102.666666666667</v>
      </c>
      <c r="Y488" s="2" t="n">
        <f aca="false">S488*Settings!$B$3/SUM(S488:X488)</f>
        <v>72.4522292993631</v>
      </c>
      <c r="Z488" s="2" t="n">
        <f aca="false">T488*Settings!$B$3/SUM(S488:X488)</f>
        <v>67.6751592356688</v>
      </c>
      <c r="AA488" s="2" t="n">
        <f aca="false">U488*Settings!$B$3/SUM(S488:X488)</f>
        <v>77.6273885350319</v>
      </c>
      <c r="AB488" s="2" t="n">
        <f aca="false">V488*Settings!$B$3/SUM(S488:X488)</f>
        <v>80.015923566879</v>
      </c>
      <c r="AC488" s="2" t="n">
        <f aca="false">W488*Settings!$B$3/SUM(S488:X488)</f>
        <v>79.6178343949045</v>
      </c>
      <c r="AD488" s="2" t="n">
        <f aca="false">X488*Settings!$B$3/SUM(S488:X488)</f>
        <v>122.611464968153</v>
      </c>
      <c r="AE488" s="2" t="n">
        <f aca="false">INT(Y488)</f>
        <v>72</v>
      </c>
      <c r="AF488" s="2" t="n">
        <f aca="false">INT(Z488)</f>
        <v>67</v>
      </c>
      <c r="AG488" s="2" t="n">
        <f aca="false">INT(AA488)</f>
        <v>77</v>
      </c>
      <c r="AH488" s="2" t="n">
        <f aca="false">INT(AB488)</f>
        <v>80</v>
      </c>
      <c r="AI488" s="2" t="n">
        <f aca="false">INT(AC488)</f>
        <v>79</v>
      </c>
      <c r="AJ488" s="2" t="n">
        <f aca="false">INT(AD488)</f>
        <v>122</v>
      </c>
      <c r="AK488" s="2" t="n">
        <f aca="false">Settings!$B$3-SUM(AE488:AJ488)</f>
        <v>3</v>
      </c>
      <c r="AL488" s="2" t="n">
        <f aca="false">ROUND(Y488-AE488,9)</f>
        <v>0.452229299</v>
      </c>
      <c r="AM488" s="2" t="n">
        <f aca="false">ROUND(Z488-AF488,9)</f>
        <v>0.675159236</v>
      </c>
      <c r="AN488" s="2" t="n">
        <f aca="false">ROUND(AA488-AG488,9)</f>
        <v>0.627388535</v>
      </c>
      <c r="AO488" s="2" t="n">
        <f aca="false">ROUND(AB488-AH488,9)</f>
        <v>0.015923567</v>
      </c>
      <c r="AP488" s="2" t="n">
        <f aca="false">ROUND(AC488-AI488,9)</f>
        <v>0.617834395</v>
      </c>
      <c r="AQ488" s="2" t="n">
        <f aca="false">ROUND(AD488-AJ488,9)</f>
        <v>0.611464968</v>
      </c>
    </row>
    <row r="489" customFormat="false" ht="15" hidden="false" customHeight="false" outlineLevel="0" collapsed="false">
      <c r="A489" s="2" t="n">
        <v>488</v>
      </c>
      <c r="B489" s="6" t="n">
        <v>11</v>
      </c>
      <c r="C489" s="6" t="n">
        <v>34</v>
      </c>
      <c r="D489" s="8" t="str">
        <f aca="false">INDEX(Bases!$B$2:$B$53,B489)</f>
        <v>Voltorb</v>
      </c>
      <c r="E489" s="8" t="str">
        <f aca="false">INDEX(Bases!$B$2:$B$53,C489)</f>
        <v>Paras</v>
      </c>
      <c r="F489" s="2" t="str">
        <f aca="false">LEFT(D489,ROUNDUP(LEN(D489)/2,0))&amp;LOWER(MID(E489,ROUNDUP(LEN(E489)/2,0)+1,20))</f>
        <v>Voltas</v>
      </c>
      <c r="G489" s="8" t="str">
        <f aca="false">INDEX(Bases!$C$2:$C$53,B489)</f>
        <v>Electric</v>
      </c>
      <c r="H489" s="8" t="str">
        <f aca="false">IF(INDEX(Bases!$C$2:$C$53,C489)=G489,"",INDEX(Bases!$C$2:$C$53,C489))</f>
        <v>Bug</v>
      </c>
      <c r="I489" s="8" t="str">
        <f aca="false">IF(INDEX(Bases!$E$2:$E$53,B489)="","",INDEX(Bases!$E$2:$E$53,B489))</f>
        <v/>
      </c>
      <c r="J489" s="8" t="str">
        <f aca="false">IF(INDEX(Bases!$E$2:$E$53,C489)="","",INDEX(Bases!$E$2:$E$53,C489))</f>
        <v/>
      </c>
      <c r="K489" s="5"/>
      <c r="L489" s="2" t="n">
        <f aca="false">AE489+IF(SUMPRODUCT(--($AL489:$AQ489&gt;AL489))&lt;$AK489,1,0)</f>
        <v>57</v>
      </c>
      <c r="M489" s="2" t="n">
        <f aca="false">AF489+IF(SUMPRODUCT(--($AL489:$AQ489&gt;AM489))+SUMPRODUCT(--($AL489:AL489=AM489))&lt;$AK489,1,0)</f>
        <v>91</v>
      </c>
      <c r="N489" s="2" t="n">
        <f aca="false">AG489+IF(SUMPRODUCT(--($AL489:$AQ489&gt;AN489))+SUMPRODUCT(--($AL489:AM489=AN489))&lt;$AK489,1,0)</f>
        <v>83</v>
      </c>
      <c r="O489" s="2" t="n">
        <f aca="false">AH489+IF(SUMPRODUCT(--($AL489:$AQ489&gt;AO489))+SUMPRODUCT(--($AL489:AN489=AO489))&lt;$AK489,1,0)</f>
        <v>76</v>
      </c>
      <c r="P489" s="2" t="n">
        <f aca="false">AI489+IF(SUMPRODUCT(--($AL489:$AQ489&gt;AP489))+SUMPRODUCT(--($AL489:AO489=AP489))&lt;$AK489,1,0)</f>
        <v>86</v>
      </c>
      <c r="Q489" s="2" t="n">
        <f aca="false">AJ489+IF(SUMPRODUCT(--($AL489:$AQ489&gt;AQ489))+SUMPRODUCT(--($AL489:AP489=AQ489))&lt;$AK489,1,0)</f>
        <v>107</v>
      </c>
      <c r="R489" s="2" t="n">
        <f aca="false">SUM(L489:Q489)</f>
        <v>500</v>
      </c>
      <c r="S489" s="2" t="n">
        <f aca="false">Settings!$B$4*MAX(INDEX(Bases!$M$2:$M$53,B489),INDEX(Bases!$M$2:$M$53,C489))+Settings!$B$5*MIN(INDEX(Bases!$M$2:$M$53,B489),INDEX(Bases!$M$2:$M$53,C489))</f>
        <v>48.6666666666667</v>
      </c>
      <c r="T489" s="2" t="n">
        <f aca="false">Settings!$B$4*MAX(INDEX(Bases!$N$2:$N$53,B489),INDEX(Bases!$N$2:$N$53,C489))+Settings!$B$5*MIN(INDEX(Bases!$N$2:$N$53,B489),INDEX(Bases!$N$2:$N$53,C489))</f>
        <v>78</v>
      </c>
      <c r="U489" s="2" t="n">
        <f aca="false">Settings!$B$4*MAX(INDEX(Bases!$O$2:$O$53,B489),INDEX(Bases!$O$2:$O$53,C489))+Settings!$B$5*MIN(INDEX(Bases!$O$2:$O$53,B489),INDEX(Bases!$O$2:$O$53,C489))</f>
        <v>71.6666666666667</v>
      </c>
      <c r="V489" s="2" t="n">
        <f aca="false">Settings!$B$4*MAX(INDEX(Bases!$P$2:$P$53,B489),INDEX(Bases!$P$2:$P$53,C489))+Settings!$B$5*MIN(INDEX(Bases!$P$2:$P$53,B489),INDEX(Bases!$P$2:$P$53,C489))</f>
        <v>65.6666666666667</v>
      </c>
      <c r="W489" s="2" t="n">
        <f aca="false">Settings!$B$4*MAX(INDEX(Bases!$Q$2:$Q$53,B489),INDEX(Bases!$Q$2:$Q$53,C489))+Settings!$B$5*MIN(INDEX(Bases!$Q$2:$Q$53,B489),INDEX(Bases!$Q$2:$Q$53,C489))</f>
        <v>73.6666666666667</v>
      </c>
      <c r="X489" s="2" t="n">
        <f aca="false">Settings!$B$4*MAX(INDEX(Bases!$R$2:$R$53,B489),INDEX(Bases!$R$2:$R$53,C489))+Settings!$B$5*MIN(INDEX(Bases!$R$2:$R$53,B489),INDEX(Bases!$R$2:$R$53,C489))</f>
        <v>92.3333333333333</v>
      </c>
      <c r="Y489" s="2" t="n">
        <f aca="false">S489*Settings!$B$3/SUM(S489:X489)</f>
        <v>56.5891472868217</v>
      </c>
      <c r="Z489" s="2" t="n">
        <f aca="false">T489*Settings!$B$3/SUM(S489:X489)</f>
        <v>90.6976744186047</v>
      </c>
      <c r="AA489" s="2" t="n">
        <f aca="false">U489*Settings!$B$3/SUM(S489:X489)</f>
        <v>83.3333333333333</v>
      </c>
      <c r="AB489" s="2" t="n">
        <f aca="false">V489*Settings!$B$3/SUM(S489:X489)</f>
        <v>76.3565891472868</v>
      </c>
      <c r="AC489" s="2" t="n">
        <f aca="false">W489*Settings!$B$3/SUM(S489:X489)</f>
        <v>85.6589147286822</v>
      </c>
      <c r="AD489" s="2" t="n">
        <f aca="false">X489*Settings!$B$3/SUM(S489:X489)</f>
        <v>107.364341085271</v>
      </c>
      <c r="AE489" s="2" t="n">
        <f aca="false">INT(Y489)</f>
        <v>56</v>
      </c>
      <c r="AF489" s="2" t="n">
        <f aca="false">INT(Z489)</f>
        <v>90</v>
      </c>
      <c r="AG489" s="2" t="n">
        <f aca="false">INT(AA489)</f>
        <v>83</v>
      </c>
      <c r="AH489" s="2" t="n">
        <f aca="false">INT(AB489)</f>
        <v>76</v>
      </c>
      <c r="AI489" s="2" t="n">
        <f aca="false">INT(AC489)</f>
        <v>85</v>
      </c>
      <c r="AJ489" s="2" t="n">
        <f aca="false">INT(AD489)</f>
        <v>107</v>
      </c>
      <c r="AK489" s="2" t="n">
        <f aca="false">Settings!$B$3-SUM(AE489:AJ489)</f>
        <v>3</v>
      </c>
      <c r="AL489" s="2" t="n">
        <f aca="false">ROUND(Y489-AE489,9)</f>
        <v>0.589147287</v>
      </c>
      <c r="AM489" s="2" t="n">
        <f aca="false">ROUND(Z489-AF489,9)</f>
        <v>0.697674419</v>
      </c>
      <c r="AN489" s="2" t="n">
        <f aca="false">ROUND(AA489-AG489,9)</f>
        <v>0.333333333</v>
      </c>
      <c r="AO489" s="2" t="n">
        <f aca="false">ROUND(AB489-AH489,9)</f>
        <v>0.356589147</v>
      </c>
      <c r="AP489" s="2" t="n">
        <f aca="false">ROUND(AC489-AI489,9)</f>
        <v>0.658914729</v>
      </c>
      <c r="AQ489" s="2" t="n">
        <f aca="false">ROUND(AD489-AJ489,9)</f>
        <v>0.364341085</v>
      </c>
    </row>
    <row r="490" customFormat="false" ht="15" hidden="false" customHeight="false" outlineLevel="0" collapsed="false">
      <c r="A490" s="2" t="n">
        <v>489</v>
      </c>
      <c r="B490" s="6" t="n">
        <v>11</v>
      </c>
      <c r="C490" s="6" t="n">
        <v>35</v>
      </c>
      <c r="D490" s="8" t="str">
        <f aca="false">INDEX(Bases!$B$2:$B$53,B490)</f>
        <v>Voltorb</v>
      </c>
      <c r="E490" s="8" t="str">
        <f aca="false">INDEX(Bases!$B$2:$B$53,C490)</f>
        <v>Pineco</v>
      </c>
      <c r="F490" s="2" t="str">
        <f aca="false">LEFT(D490,ROUNDUP(LEN(D490)/2,0))&amp;LOWER(MID(E490,ROUNDUP(LEN(E490)/2,0)+1,20))</f>
        <v>Volteco</v>
      </c>
      <c r="G490" s="8" t="str">
        <f aca="false">INDEX(Bases!$C$2:$C$53,B490)</f>
        <v>Electric</v>
      </c>
      <c r="H490" s="8" t="str">
        <f aca="false">IF(INDEX(Bases!$C$2:$C$53,C490)=G490,"",INDEX(Bases!$C$2:$C$53,C490))</f>
        <v>Bug</v>
      </c>
      <c r="I490" s="8" t="str">
        <f aca="false">IF(INDEX(Bases!$E$2:$E$53,B490)="","",INDEX(Bases!$E$2:$E$53,B490))</f>
        <v/>
      </c>
      <c r="J490" s="8" t="str">
        <f aca="false">IF(INDEX(Bases!$E$2:$E$53,C490)="","",INDEX(Bases!$E$2:$E$53,C490))</f>
        <v/>
      </c>
      <c r="K490" s="5"/>
      <c r="L490" s="2" t="n">
        <f aca="false">AE490+IF(SUMPRODUCT(--($AL490:$AQ490&gt;AL490))&lt;$AK490,1,0)</f>
        <v>70</v>
      </c>
      <c r="M490" s="2" t="n">
        <f aca="false">AF490+IF(SUMPRODUCT(--($AL490:$AQ490&gt;AM490))+SUMPRODUCT(--($AL490:AL490=AM490))&lt;$AK490,1,0)</f>
        <v>81</v>
      </c>
      <c r="N490" s="2" t="n">
        <f aca="false">AG490+IF(SUMPRODUCT(--($AL490:$AQ490&gt;AN490))+SUMPRODUCT(--($AL490:AM490=AN490))&lt;$AK490,1,0)</f>
        <v>115</v>
      </c>
      <c r="O490" s="2" t="n">
        <f aca="false">AH490+IF(SUMPRODUCT(--($AL490:$AQ490&gt;AO490))+SUMPRODUCT(--($AL490:AN490=AO490))&lt;$AK490,1,0)</f>
        <v>68</v>
      </c>
      <c r="P490" s="2" t="n">
        <f aca="false">AI490+IF(SUMPRODUCT(--($AL490:$AQ490&gt;AP490))+SUMPRODUCT(--($AL490:AO490=AP490))&lt;$AK490,1,0)</f>
        <v>68</v>
      </c>
      <c r="Q490" s="2" t="n">
        <f aca="false">AJ490+IF(SUMPRODUCT(--($AL490:$AQ490&gt;AQ490))+SUMPRODUCT(--($AL490:AP490=AQ490))&lt;$AK490,1,0)</f>
        <v>98</v>
      </c>
      <c r="R490" s="2" t="n">
        <f aca="false">SUM(L490:Q490)</f>
        <v>500</v>
      </c>
      <c r="S490" s="2" t="n">
        <f aca="false">Settings!$B$4*MAX(INDEX(Bases!$M$2:$M$53,B490),INDEX(Bases!$M$2:$M$53,C490))+Settings!$B$5*MIN(INDEX(Bases!$M$2:$M$53,B490),INDEX(Bases!$M$2:$M$53,C490))</f>
        <v>62</v>
      </c>
      <c r="T490" s="2" t="n">
        <f aca="false">Settings!$B$4*MAX(INDEX(Bases!$N$2:$N$53,B490),INDEX(Bases!$N$2:$N$53,C490))+Settings!$B$5*MIN(INDEX(Bases!$N$2:$N$53,B490),INDEX(Bases!$N$2:$N$53,C490))</f>
        <v>72</v>
      </c>
      <c r="U490" s="2" t="n">
        <f aca="false">Settings!$B$4*MAX(INDEX(Bases!$O$2:$O$53,B490),INDEX(Bases!$O$2:$O$53,C490))+Settings!$B$5*MIN(INDEX(Bases!$O$2:$O$53,B490),INDEX(Bases!$O$2:$O$53,C490))</f>
        <v>103</v>
      </c>
      <c r="V490" s="2" t="n">
        <f aca="false">Settings!$B$4*MAX(INDEX(Bases!$P$2:$P$53,B490),INDEX(Bases!$P$2:$P$53,C490))+Settings!$B$5*MIN(INDEX(Bases!$P$2:$P$53,B490),INDEX(Bases!$P$2:$P$53,C490))</f>
        <v>60.6666666666667</v>
      </c>
      <c r="W490" s="2" t="n">
        <f aca="false">Settings!$B$4*MAX(INDEX(Bases!$Q$2:$Q$53,B490),INDEX(Bases!$Q$2:$Q$53,C490))+Settings!$B$5*MIN(INDEX(Bases!$Q$2:$Q$53,B490),INDEX(Bases!$Q$2:$Q$53,C490))</f>
        <v>60.6666666666667</v>
      </c>
      <c r="X490" s="2" t="n">
        <f aca="false">Settings!$B$4*MAX(INDEX(Bases!$R$2:$R$53,B490),INDEX(Bases!$R$2:$R$53,C490))+Settings!$B$5*MIN(INDEX(Bases!$R$2:$R$53,B490),INDEX(Bases!$R$2:$R$53,C490))</f>
        <v>87.6666666666667</v>
      </c>
      <c r="Y490" s="2" t="n">
        <f aca="false">S490*Settings!$B$3/SUM(S490:X490)</f>
        <v>69.5067264573991</v>
      </c>
      <c r="Z490" s="2" t="n">
        <f aca="false">T490*Settings!$B$3/SUM(S490:X490)</f>
        <v>80.7174887892377</v>
      </c>
      <c r="AA490" s="2" t="n">
        <f aca="false">U490*Settings!$B$3/SUM(S490:X490)</f>
        <v>115.470852017937</v>
      </c>
      <c r="AB490" s="2" t="n">
        <f aca="false">V490*Settings!$B$3/SUM(S490:X490)</f>
        <v>68.0119581464873</v>
      </c>
      <c r="AC490" s="2" t="n">
        <f aca="false">W490*Settings!$B$3/SUM(S490:X490)</f>
        <v>68.0119581464873</v>
      </c>
      <c r="AD490" s="2" t="n">
        <f aca="false">X490*Settings!$B$3/SUM(S490:X490)</f>
        <v>98.2810164424514</v>
      </c>
      <c r="AE490" s="2" t="n">
        <f aca="false">INT(Y490)</f>
        <v>69</v>
      </c>
      <c r="AF490" s="2" t="n">
        <f aca="false">INT(Z490)</f>
        <v>80</v>
      </c>
      <c r="AG490" s="2" t="n">
        <f aca="false">INT(AA490)</f>
        <v>115</v>
      </c>
      <c r="AH490" s="2" t="n">
        <f aca="false">INT(AB490)</f>
        <v>68</v>
      </c>
      <c r="AI490" s="2" t="n">
        <f aca="false">INT(AC490)</f>
        <v>68</v>
      </c>
      <c r="AJ490" s="2" t="n">
        <f aca="false">INT(AD490)</f>
        <v>98</v>
      </c>
      <c r="AK490" s="2" t="n">
        <f aca="false">Settings!$B$3-SUM(AE490:AJ490)</f>
        <v>2</v>
      </c>
      <c r="AL490" s="2" t="n">
        <f aca="false">ROUND(Y490-AE490,9)</f>
        <v>0.506726457</v>
      </c>
      <c r="AM490" s="2" t="n">
        <f aca="false">ROUND(Z490-AF490,9)</f>
        <v>0.717488789</v>
      </c>
      <c r="AN490" s="2" t="n">
        <f aca="false">ROUND(AA490-AG490,9)</f>
        <v>0.470852018</v>
      </c>
      <c r="AO490" s="2" t="n">
        <f aca="false">ROUND(AB490-AH490,9)</f>
        <v>0.011958146</v>
      </c>
      <c r="AP490" s="2" t="n">
        <f aca="false">ROUND(AC490-AI490,9)</f>
        <v>0.011958146</v>
      </c>
      <c r="AQ490" s="2" t="n">
        <f aca="false">ROUND(AD490-AJ490,9)</f>
        <v>0.281016442</v>
      </c>
    </row>
    <row r="491" customFormat="false" ht="15" hidden="false" customHeight="false" outlineLevel="0" collapsed="false">
      <c r="A491" s="2" t="n">
        <v>490</v>
      </c>
      <c r="B491" s="6" t="n">
        <v>11</v>
      </c>
      <c r="C491" s="6" t="n">
        <v>36</v>
      </c>
      <c r="D491" s="8" t="str">
        <f aca="false">INDEX(Bases!$B$2:$B$53,B491)</f>
        <v>Voltorb</v>
      </c>
      <c r="E491" s="8" t="str">
        <f aca="false">INDEX(Bases!$B$2:$B$53,C491)</f>
        <v>Wurmple</v>
      </c>
      <c r="F491" s="2" t="str">
        <f aca="false">LEFT(D491,ROUNDUP(LEN(D491)/2,0))&amp;LOWER(MID(E491,ROUNDUP(LEN(E491)/2,0)+1,20))</f>
        <v>Voltple</v>
      </c>
      <c r="G491" s="8" t="str">
        <f aca="false">INDEX(Bases!$C$2:$C$53,B491)</f>
        <v>Electric</v>
      </c>
      <c r="H491" s="8" t="str">
        <f aca="false">IF(INDEX(Bases!$C$2:$C$53,C491)=G491,"",INDEX(Bases!$C$2:$C$53,C491))</f>
        <v>Bug</v>
      </c>
      <c r="I491" s="8" t="str">
        <f aca="false">IF(INDEX(Bases!$E$2:$E$53,B491)="","",INDEX(Bases!$E$2:$E$53,B491))</f>
        <v/>
      </c>
      <c r="J491" s="8" t="str">
        <f aca="false">IF(INDEX(Bases!$E$2:$E$53,C491)="","",INDEX(Bases!$E$2:$E$53,C491))</f>
        <v/>
      </c>
      <c r="K491" s="5"/>
      <c r="L491" s="2" t="n">
        <f aca="false">AE491+IF(SUMPRODUCT(--($AL491:$AQ491&gt;AL491))&lt;$AK491,1,0)</f>
        <v>88</v>
      </c>
      <c r="M491" s="2" t="n">
        <f aca="false">AF491+IF(SUMPRODUCT(--($AL491:$AQ491&gt;AM491))+SUMPRODUCT(--($AL491:AL491=AM491))&lt;$AK491,1,0)</f>
        <v>84</v>
      </c>
      <c r="N491" s="2" t="n">
        <f aca="false">AG491+IF(SUMPRODUCT(--($AL491:$AQ491&gt;AN491))+SUMPRODUCT(--($AL491:AM491=AN491))&lt;$AK491,1,0)</f>
        <v>78</v>
      </c>
      <c r="O491" s="2" t="n">
        <f aca="false">AH491+IF(SUMPRODUCT(--($AL491:$AQ491&gt;AO491))+SUMPRODUCT(--($AL491:AN491=AO491))&lt;$AK491,1,0)</f>
        <v>67</v>
      </c>
      <c r="P491" s="2" t="n">
        <f aca="false">AI491+IF(SUMPRODUCT(--($AL491:$AQ491&gt;AP491))+SUMPRODUCT(--($AL491:AO491=AP491))&lt;$AK491,1,0)</f>
        <v>75</v>
      </c>
      <c r="Q491" s="2" t="n">
        <f aca="false">AJ491+IF(SUMPRODUCT(--($AL491:$AQ491&gt;AQ491))+SUMPRODUCT(--($AL491:AP491=AQ491))&lt;$AK491,1,0)</f>
        <v>108</v>
      </c>
      <c r="R491" s="2" t="n">
        <f aca="false">SUM(L491:Q491)</f>
        <v>500</v>
      </c>
      <c r="S491" s="2" t="n">
        <f aca="false">Settings!$B$4*MAX(INDEX(Bases!$M$2:$M$53,B491),INDEX(Bases!$M$2:$M$53,C491))+Settings!$B$5*MIN(INDEX(Bases!$M$2:$M$53,B491),INDEX(Bases!$M$2:$M$53,C491))</f>
        <v>77.3333333333333</v>
      </c>
      <c r="T491" s="2" t="n">
        <f aca="false">Settings!$B$4*MAX(INDEX(Bases!$N$2:$N$53,B491),INDEX(Bases!$N$2:$N$53,C491))+Settings!$B$5*MIN(INDEX(Bases!$N$2:$N$53,B491),INDEX(Bases!$N$2:$N$53,C491))</f>
        <v>73.3333333333333</v>
      </c>
      <c r="U491" s="2" t="n">
        <f aca="false">Settings!$B$4*MAX(INDEX(Bases!$O$2:$O$53,B491),INDEX(Bases!$O$2:$O$53,C491))+Settings!$B$5*MIN(INDEX(Bases!$O$2:$O$53,B491),INDEX(Bases!$O$2:$O$53,C491))</f>
        <v>68.3333333333333</v>
      </c>
      <c r="V491" s="2" t="n">
        <f aca="false">Settings!$B$4*MAX(INDEX(Bases!$P$2:$P$53,B491),INDEX(Bases!$P$2:$P$53,C491))+Settings!$B$5*MIN(INDEX(Bases!$P$2:$P$53,B491),INDEX(Bases!$P$2:$P$53,C491))</f>
        <v>58.3333333333333</v>
      </c>
      <c r="W491" s="2" t="n">
        <f aca="false">Settings!$B$4*MAX(INDEX(Bases!$Q$2:$Q$53,B491),INDEX(Bases!$Q$2:$Q$53,C491))+Settings!$B$5*MIN(INDEX(Bases!$Q$2:$Q$53,B491),INDEX(Bases!$Q$2:$Q$53,C491))</f>
        <v>65.3333333333333</v>
      </c>
      <c r="X491" s="2" t="n">
        <f aca="false">Settings!$B$4*MAX(INDEX(Bases!$R$2:$R$53,B491),INDEX(Bases!$R$2:$R$53,C491))+Settings!$B$5*MIN(INDEX(Bases!$R$2:$R$53,B491),INDEX(Bases!$R$2:$R$53,C491))</f>
        <v>94.3333333333333</v>
      </c>
      <c r="Y491" s="2" t="n">
        <f aca="false">S491*Settings!$B$3/SUM(S491:X491)</f>
        <v>88.4820747520977</v>
      </c>
      <c r="Z491" s="2" t="n">
        <f aca="false">T491*Settings!$B$3/SUM(S491:X491)</f>
        <v>83.905415713196</v>
      </c>
      <c r="AA491" s="2" t="n">
        <f aca="false">U491*Settings!$B$3/SUM(S491:X491)</f>
        <v>78.1845919145691</v>
      </c>
      <c r="AB491" s="2" t="n">
        <f aca="false">V491*Settings!$B$3/SUM(S491:X491)</f>
        <v>66.742944317315</v>
      </c>
      <c r="AC491" s="2" t="n">
        <f aca="false">W491*Settings!$B$3/SUM(S491:X491)</f>
        <v>74.7520976353928</v>
      </c>
      <c r="AD491" s="2" t="n">
        <f aca="false">X491*Settings!$B$3/SUM(S491:X491)</f>
        <v>107.932875667429</v>
      </c>
      <c r="AE491" s="2" t="n">
        <f aca="false">INT(Y491)</f>
        <v>88</v>
      </c>
      <c r="AF491" s="2" t="n">
        <f aca="false">INT(Z491)</f>
        <v>83</v>
      </c>
      <c r="AG491" s="2" t="n">
        <f aca="false">INT(AA491)</f>
        <v>78</v>
      </c>
      <c r="AH491" s="2" t="n">
        <f aca="false">INT(AB491)</f>
        <v>66</v>
      </c>
      <c r="AI491" s="2" t="n">
        <f aca="false">INT(AC491)</f>
        <v>74</v>
      </c>
      <c r="AJ491" s="2" t="n">
        <f aca="false">INT(AD491)</f>
        <v>107</v>
      </c>
      <c r="AK491" s="2" t="n">
        <f aca="false">Settings!$B$3-SUM(AE491:AJ491)</f>
        <v>4</v>
      </c>
      <c r="AL491" s="2" t="n">
        <f aca="false">ROUND(Y491-AE491,9)</f>
        <v>0.482074752</v>
      </c>
      <c r="AM491" s="2" t="n">
        <f aca="false">ROUND(Z491-AF491,9)</f>
        <v>0.905415713</v>
      </c>
      <c r="AN491" s="2" t="n">
        <f aca="false">ROUND(AA491-AG491,9)</f>
        <v>0.184591915</v>
      </c>
      <c r="AO491" s="2" t="n">
        <f aca="false">ROUND(AB491-AH491,9)</f>
        <v>0.742944317</v>
      </c>
      <c r="AP491" s="2" t="n">
        <f aca="false">ROUND(AC491-AI491,9)</f>
        <v>0.752097635</v>
      </c>
      <c r="AQ491" s="2" t="n">
        <f aca="false">ROUND(AD491-AJ491,9)</f>
        <v>0.932875667</v>
      </c>
    </row>
    <row r="492" customFormat="false" ht="15" hidden="false" customHeight="false" outlineLevel="0" collapsed="false">
      <c r="A492" s="2" t="n">
        <v>491</v>
      </c>
      <c r="B492" s="6" t="n">
        <v>11</v>
      </c>
      <c r="C492" s="6" t="n">
        <v>37</v>
      </c>
      <c r="D492" s="8" t="str">
        <f aca="false">INDEX(Bases!$B$2:$B$53,B492)</f>
        <v>Voltorb</v>
      </c>
      <c r="E492" s="8" t="str">
        <f aca="false">INDEX(Bases!$B$2:$B$53,C492)</f>
        <v>Shuckle</v>
      </c>
      <c r="F492" s="2" t="str">
        <f aca="false">LEFT(D492,ROUNDUP(LEN(D492)/2,0))&amp;LOWER(MID(E492,ROUNDUP(LEN(E492)/2,0)+1,20))</f>
        <v>Voltkle</v>
      </c>
      <c r="G492" s="8" t="str">
        <f aca="false">INDEX(Bases!$C$2:$C$53,B492)</f>
        <v>Electric</v>
      </c>
      <c r="H492" s="8" t="str">
        <f aca="false">IF(INDEX(Bases!$C$2:$C$53,C492)=G492,"",INDEX(Bases!$C$2:$C$53,C492))</f>
        <v>Rock</v>
      </c>
      <c r="I492" s="8" t="str">
        <f aca="false">IF(INDEX(Bases!$E$2:$E$53,B492)="","",INDEX(Bases!$E$2:$E$53,B492))</f>
        <v/>
      </c>
      <c r="J492" s="8" t="str">
        <f aca="false">IF(INDEX(Bases!$E$2:$E$53,C492)="","",INDEX(Bases!$E$2:$E$53,C492))</f>
        <v/>
      </c>
      <c r="K492" s="5"/>
      <c r="L492" s="2" t="n">
        <f aca="false">AE492+IF(SUMPRODUCT(--($AL492:$AQ492&gt;AL492))&lt;$AK492,1,0)</f>
        <v>39</v>
      </c>
      <c r="M492" s="2" t="n">
        <f aca="false">AF492+IF(SUMPRODUCT(--($AL492:$AQ492&gt;AM492))+SUMPRODUCT(--($AL492:AL492=AM492))&lt;$AK492,1,0)</f>
        <v>28</v>
      </c>
      <c r="N492" s="2" t="n">
        <f aca="false">AG492+IF(SUMPRODUCT(--($AL492:$AQ492&gt;AN492))+SUMPRODUCT(--($AL492:AM492=AN492))&lt;$AK492,1,0)</f>
        <v>148</v>
      </c>
      <c r="O492" s="2" t="n">
        <f aca="false">AH492+IF(SUMPRODUCT(--($AL492:$AQ492&gt;AO492))+SUMPRODUCT(--($AL492:AN492=AO492))&lt;$AK492,1,0)</f>
        <v>49</v>
      </c>
      <c r="P492" s="2" t="n">
        <f aca="false">AI492+IF(SUMPRODUCT(--($AL492:$AQ492&gt;AP492))+SUMPRODUCT(--($AL492:AO492=AP492))&lt;$AK492,1,0)</f>
        <v>150</v>
      </c>
      <c r="Q492" s="2" t="n">
        <f aca="false">AJ492+IF(SUMPRODUCT(--($AL492:$AQ492&gt;AQ492))+SUMPRODUCT(--($AL492:AP492=AQ492))&lt;$AK492,1,0)</f>
        <v>86</v>
      </c>
      <c r="R492" s="2" t="n">
        <f aca="false">SUM(L492:Q492)</f>
        <v>500</v>
      </c>
      <c r="S492" s="2" t="n">
        <f aca="false">Settings!$B$4*MAX(INDEX(Bases!$M$2:$M$53,B492),INDEX(Bases!$M$2:$M$53,C492))+Settings!$B$5*MIN(INDEX(Bases!$M$2:$M$53,B492),INDEX(Bases!$M$2:$M$53,C492))</f>
        <v>37.3333333333333</v>
      </c>
      <c r="T492" s="2" t="n">
        <f aca="false">Settings!$B$4*MAX(INDEX(Bases!$N$2:$N$53,B492),INDEX(Bases!$N$2:$N$53,C492))+Settings!$B$5*MIN(INDEX(Bases!$N$2:$N$53,B492),INDEX(Bases!$N$2:$N$53,C492))</f>
        <v>26.6666666666667</v>
      </c>
      <c r="U492" s="2" t="n">
        <f aca="false">Settings!$B$4*MAX(INDEX(Bases!$O$2:$O$53,B492),INDEX(Bases!$O$2:$O$53,C492))+Settings!$B$5*MIN(INDEX(Bases!$O$2:$O$53,B492),INDEX(Bases!$O$2:$O$53,C492))</f>
        <v>141.666666666667</v>
      </c>
      <c r="V492" s="2" t="n">
        <f aca="false">Settings!$B$4*MAX(INDEX(Bases!$P$2:$P$53,B492),INDEX(Bases!$P$2:$P$53,C492))+Settings!$B$5*MIN(INDEX(Bases!$P$2:$P$53,B492),INDEX(Bases!$P$2:$P$53,C492))</f>
        <v>47.3333333333333</v>
      </c>
      <c r="W492" s="2" t="n">
        <f aca="false">Settings!$B$4*MAX(INDEX(Bases!$Q$2:$Q$53,B492),INDEX(Bases!$Q$2:$Q$53,C492))+Settings!$B$5*MIN(INDEX(Bases!$Q$2:$Q$53,B492),INDEX(Bases!$Q$2:$Q$53,C492))</f>
        <v>143.666666666667</v>
      </c>
      <c r="X492" s="2" t="n">
        <f aca="false">Settings!$B$4*MAX(INDEX(Bases!$R$2:$R$53,B492),INDEX(Bases!$R$2:$R$53,C492))+Settings!$B$5*MIN(INDEX(Bases!$R$2:$R$53,B492),INDEX(Bases!$R$2:$R$53,C492))</f>
        <v>82</v>
      </c>
      <c r="Y492" s="2" t="n">
        <f aca="false">S492*Settings!$B$3/SUM(S492:X492)</f>
        <v>38.9972144846797</v>
      </c>
      <c r="Z492" s="2" t="n">
        <f aca="false">T492*Settings!$B$3/SUM(S492:X492)</f>
        <v>27.8551532033426</v>
      </c>
      <c r="AA492" s="2" t="n">
        <f aca="false">U492*Settings!$B$3/SUM(S492:X492)</f>
        <v>147.980501392758</v>
      </c>
      <c r="AB492" s="2" t="n">
        <f aca="false">V492*Settings!$B$3/SUM(S492:X492)</f>
        <v>49.4428969359332</v>
      </c>
      <c r="AC492" s="2" t="n">
        <f aca="false">W492*Settings!$B$3/SUM(S492:X492)</f>
        <v>150.069637883008</v>
      </c>
      <c r="AD492" s="2" t="n">
        <f aca="false">X492*Settings!$B$3/SUM(S492:X492)</f>
        <v>85.6545961002785</v>
      </c>
      <c r="AE492" s="2" t="n">
        <f aca="false">INT(Y492)</f>
        <v>38</v>
      </c>
      <c r="AF492" s="2" t="n">
        <f aca="false">INT(Z492)</f>
        <v>27</v>
      </c>
      <c r="AG492" s="2" t="n">
        <f aca="false">INT(AA492)</f>
        <v>147</v>
      </c>
      <c r="AH492" s="2" t="n">
        <f aca="false">INT(AB492)</f>
        <v>49</v>
      </c>
      <c r="AI492" s="2" t="n">
        <f aca="false">INT(AC492)</f>
        <v>150</v>
      </c>
      <c r="AJ492" s="2" t="n">
        <f aca="false">INT(AD492)</f>
        <v>85</v>
      </c>
      <c r="AK492" s="2" t="n">
        <f aca="false">Settings!$B$3-SUM(AE492:AJ492)</f>
        <v>4</v>
      </c>
      <c r="AL492" s="2" t="n">
        <f aca="false">ROUND(Y492-AE492,9)</f>
        <v>0.997214485</v>
      </c>
      <c r="AM492" s="2" t="n">
        <f aca="false">ROUND(Z492-AF492,9)</f>
        <v>0.855153203</v>
      </c>
      <c r="AN492" s="2" t="n">
        <f aca="false">ROUND(AA492-AG492,9)</f>
        <v>0.980501393</v>
      </c>
      <c r="AO492" s="2" t="n">
        <f aca="false">ROUND(AB492-AH492,9)</f>
        <v>0.442896936</v>
      </c>
      <c r="AP492" s="2" t="n">
        <f aca="false">ROUND(AC492-AI492,9)</f>
        <v>0.069637883</v>
      </c>
      <c r="AQ492" s="2" t="n">
        <f aca="false">ROUND(AD492-AJ492,9)</f>
        <v>0.6545961</v>
      </c>
    </row>
    <row r="493" customFormat="false" ht="15" hidden="false" customHeight="false" outlineLevel="0" collapsed="false">
      <c r="A493" s="2" t="n">
        <v>492</v>
      </c>
      <c r="B493" s="6" t="n">
        <v>11</v>
      </c>
      <c r="C493" s="6" t="n">
        <v>38</v>
      </c>
      <c r="D493" s="8" t="str">
        <f aca="false">INDEX(Bases!$B$2:$B$53,B493)</f>
        <v>Voltorb</v>
      </c>
      <c r="E493" s="8" t="str">
        <f aca="false">INDEX(Bases!$B$2:$B$53,C493)</f>
        <v>Larvitar</v>
      </c>
      <c r="F493" s="2" t="str">
        <f aca="false">LEFT(D493,ROUNDUP(LEN(D493)/2,0))&amp;LOWER(MID(E493,ROUNDUP(LEN(E493)/2,0)+1,20))</f>
        <v>Voltitar</v>
      </c>
      <c r="G493" s="8" t="str">
        <f aca="false">INDEX(Bases!$C$2:$C$53,B493)</f>
        <v>Electric</v>
      </c>
      <c r="H493" s="8" t="str">
        <f aca="false">IF(INDEX(Bases!$C$2:$C$53,C493)=G493,"",INDEX(Bases!$C$2:$C$53,C493))</f>
        <v>Rock</v>
      </c>
      <c r="I493" s="8" t="str">
        <f aca="false">IF(INDEX(Bases!$E$2:$E$53,B493)="","",INDEX(Bases!$E$2:$E$53,B493))</f>
        <v/>
      </c>
      <c r="J493" s="8" t="str">
        <f aca="false">IF(INDEX(Bases!$E$2:$E$53,C493)="","",INDEX(Bases!$E$2:$E$53,C493))</f>
        <v/>
      </c>
      <c r="K493" s="5"/>
      <c r="L493" s="2" t="n">
        <f aca="false">AE493+IF(SUMPRODUCT(--($AL493:$AQ493&gt;AL493))&lt;$AK493,1,0)</f>
        <v>71</v>
      </c>
      <c r="M493" s="2" t="n">
        <f aca="false">AF493+IF(SUMPRODUCT(--($AL493:$AQ493&gt;AM493))+SUMPRODUCT(--($AL493:AL493=AM493))&lt;$AK493,1,0)</f>
        <v>81</v>
      </c>
      <c r="N493" s="2" t="n">
        <f aca="false">AG493+IF(SUMPRODUCT(--($AL493:$AQ493&gt;AN493))+SUMPRODUCT(--($AL493:AM493=AN493))&lt;$AK493,1,0)</f>
        <v>77</v>
      </c>
      <c r="O493" s="2" t="n">
        <f aca="false">AH493+IF(SUMPRODUCT(--($AL493:$AQ493&gt;AO493))+SUMPRODUCT(--($AL493:AN493=AO493))&lt;$AK493,1,0)</f>
        <v>76</v>
      </c>
      <c r="P493" s="2" t="n">
        <f aca="false">AI493+IF(SUMPRODUCT(--($AL493:$AQ493&gt;AP493))+SUMPRODUCT(--($AL493:AO493=AP493))&lt;$AK493,1,0)</f>
        <v>79</v>
      </c>
      <c r="Q493" s="2" t="n">
        <f aca="false">AJ493+IF(SUMPRODUCT(--($AL493:$AQ493&gt;AQ493))+SUMPRODUCT(--($AL493:AP493=AQ493))&lt;$AK493,1,0)</f>
        <v>116</v>
      </c>
      <c r="R493" s="2" t="n">
        <f aca="false">SUM(L493:Q493)</f>
        <v>500</v>
      </c>
      <c r="S493" s="2" t="n">
        <f aca="false">Settings!$B$4*MAX(INDEX(Bases!$M$2:$M$53,B493),INDEX(Bases!$M$2:$M$53,C493))+Settings!$B$5*MIN(INDEX(Bases!$M$2:$M$53,B493),INDEX(Bases!$M$2:$M$53,C493))</f>
        <v>60.6666666666667</v>
      </c>
      <c r="T493" s="2" t="n">
        <f aca="false">Settings!$B$4*MAX(INDEX(Bases!$N$2:$N$53,B493),INDEX(Bases!$N$2:$N$53,C493))+Settings!$B$5*MIN(INDEX(Bases!$N$2:$N$53,B493),INDEX(Bases!$N$2:$N$53,C493))</f>
        <v>68.6666666666667</v>
      </c>
      <c r="U493" s="2" t="n">
        <f aca="false">Settings!$B$4*MAX(INDEX(Bases!$O$2:$O$53,B493),INDEX(Bases!$O$2:$O$53,C493))+Settings!$B$5*MIN(INDEX(Bases!$O$2:$O$53,B493),INDEX(Bases!$O$2:$O$53,C493))</f>
        <v>65</v>
      </c>
      <c r="V493" s="2" t="n">
        <f aca="false">Settings!$B$4*MAX(INDEX(Bases!$P$2:$P$53,B493),INDEX(Bases!$P$2:$P$53,C493))+Settings!$B$5*MIN(INDEX(Bases!$P$2:$P$53,B493),INDEX(Bases!$P$2:$P$53,C493))</f>
        <v>64.6666666666667</v>
      </c>
      <c r="W493" s="2" t="n">
        <f aca="false">Settings!$B$4*MAX(INDEX(Bases!$Q$2:$Q$53,B493),INDEX(Bases!$Q$2:$Q$53,C493))+Settings!$B$5*MIN(INDEX(Bases!$Q$2:$Q$53,B493),INDEX(Bases!$Q$2:$Q$53,C493))</f>
        <v>67</v>
      </c>
      <c r="X493" s="2" t="n">
        <f aca="false">Settings!$B$4*MAX(INDEX(Bases!$R$2:$R$53,B493),INDEX(Bases!$R$2:$R$53,C493))+Settings!$B$5*MIN(INDEX(Bases!$R$2:$R$53,B493),INDEX(Bases!$R$2:$R$53,C493))</f>
        <v>98.6666666666667</v>
      </c>
      <c r="Y493" s="2" t="n">
        <f aca="false">S493*Settings!$B$3/SUM(S493:X493)</f>
        <v>71.4285714285714</v>
      </c>
      <c r="Z493" s="2" t="n">
        <f aca="false">T493*Settings!$B$3/SUM(S493:X493)</f>
        <v>80.8477237048666</v>
      </c>
      <c r="AA493" s="2" t="n">
        <f aca="false">U493*Settings!$B$3/SUM(S493:X493)</f>
        <v>76.530612244898</v>
      </c>
      <c r="AB493" s="2" t="n">
        <f aca="false">V493*Settings!$B$3/SUM(S493:X493)</f>
        <v>76.138147566719</v>
      </c>
      <c r="AC493" s="2" t="n">
        <f aca="false">W493*Settings!$B$3/SUM(S493:X493)</f>
        <v>78.8854003139717</v>
      </c>
      <c r="AD493" s="2" t="n">
        <f aca="false">X493*Settings!$B$3/SUM(S493:X493)</f>
        <v>116.169544740973</v>
      </c>
      <c r="AE493" s="2" t="n">
        <f aca="false">INT(Y493)</f>
        <v>71</v>
      </c>
      <c r="AF493" s="2" t="n">
        <f aca="false">INT(Z493)</f>
        <v>80</v>
      </c>
      <c r="AG493" s="2" t="n">
        <f aca="false">INT(AA493)</f>
        <v>76</v>
      </c>
      <c r="AH493" s="2" t="n">
        <f aca="false">INT(AB493)</f>
        <v>76</v>
      </c>
      <c r="AI493" s="2" t="n">
        <f aca="false">INT(AC493)</f>
        <v>78</v>
      </c>
      <c r="AJ493" s="2" t="n">
        <f aca="false">INT(AD493)</f>
        <v>116</v>
      </c>
      <c r="AK493" s="2" t="n">
        <f aca="false">Settings!$B$3-SUM(AE493:AJ493)</f>
        <v>3</v>
      </c>
      <c r="AL493" s="2" t="n">
        <f aca="false">ROUND(Y493-AE493,9)</f>
        <v>0.428571429</v>
      </c>
      <c r="AM493" s="2" t="n">
        <f aca="false">ROUND(Z493-AF493,9)</f>
        <v>0.847723705</v>
      </c>
      <c r="AN493" s="2" t="n">
        <f aca="false">ROUND(AA493-AG493,9)</f>
        <v>0.530612245</v>
      </c>
      <c r="AO493" s="2" t="n">
        <f aca="false">ROUND(AB493-AH493,9)</f>
        <v>0.138147567</v>
      </c>
      <c r="AP493" s="2" t="n">
        <f aca="false">ROUND(AC493-AI493,9)</f>
        <v>0.885400314</v>
      </c>
      <c r="AQ493" s="2" t="n">
        <f aca="false">ROUND(AD493-AJ493,9)</f>
        <v>0.169544741</v>
      </c>
    </row>
    <row r="494" customFormat="false" ht="15" hidden="false" customHeight="false" outlineLevel="0" collapsed="false">
      <c r="A494" s="2" t="n">
        <v>493</v>
      </c>
      <c r="B494" s="6" t="n">
        <v>11</v>
      </c>
      <c r="C494" s="6" t="n">
        <v>39</v>
      </c>
      <c r="D494" s="8" t="str">
        <f aca="false">INDEX(Bases!$B$2:$B$53,B494)</f>
        <v>Voltorb</v>
      </c>
      <c r="E494" s="8" t="str">
        <f aca="false">INDEX(Bases!$B$2:$B$53,C494)</f>
        <v>Nosepass</v>
      </c>
      <c r="F494" s="2" t="str">
        <f aca="false">LEFT(D494,ROUNDUP(LEN(D494)/2,0))&amp;LOWER(MID(E494,ROUNDUP(LEN(E494)/2,0)+1,20))</f>
        <v>Voltpass</v>
      </c>
      <c r="G494" s="8" t="str">
        <f aca="false">INDEX(Bases!$C$2:$C$53,B494)</f>
        <v>Electric</v>
      </c>
      <c r="H494" s="8" t="str">
        <f aca="false">IF(INDEX(Bases!$C$2:$C$53,C494)=G494,"",INDEX(Bases!$C$2:$C$53,C494))</f>
        <v>Rock</v>
      </c>
      <c r="I494" s="8" t="str">
        <f aca="false">IF(INDEX(Bases!$E$2:$E$53,B494)="","",INDEX(Bases!$E$2:$E$53,B494))</f>
        <v/>
      </c>
      <c r="J494" s="8" t="str">
        <f aca="false">IF(INDEX(Bases!$E$2:$E$53,C494)="","",INDEX(Bases!$E$2:$E$53,C494))</f>
        <v/>
      </c>
      <c r="K494" s="5"/>
      <c r="L494" s="2" t="n">
        <f aca="false">AE494+IF(SUMPRODUCT(--($AL494:$AQ494&gt;AL494))&lt;$AK494,1,0)</f>
        <v>48</v>
      </c>
      <c r="M494" s="2" t="n">
        <f aca="false">AF494+IF(SUMPRODUCT(--($AL494:$AQ494&gt;AM494))+SUMPRODUCT(--($AL494:AL494=AM494))&lt;$AK494,1,0)</f>
        <v>50</v>
      </c>
      <c r="N494" s="2" t="n">
        <f aca="false">AG494+IF(SUMPRODUCT(--($AL494:$AQ494&gt;AN494))+SUMPRODUCT(--($AL494:AM494=AN494))&lt;$AK494,1,0)</f>
        <v>132</v>
      </c>
      <c r="O494" s="2" t="n">
        <f aca="false">AH494+IF(SUMPRODUCT(--($AL494:$AQ494&gt;AO494))+SUMPRODUCT(--($AL494:AN494=AO494))&lt;$AK494,1,0)</f>
        <v>69</v>
      </c>
      <c r="P494" s="2" t="n">
        <f aca="false">AI494+IF(SUMPRODUCT(--($AL494:$AQ494&gt;AP494))+SUMPRODUCT(--($AL494:AO494=AP494))&lt;$AK494,1,0)</f>
        <v>98</v>
      </c>
      <c r="Q494" s="2" t="n">
        <f aca="false">AJ494+IF(SUMPRODUCT(--($AL494:$AQ494&gt;AQ494))+SUMPRODUCT(--($AL494:AP494=AQ494))&lt;$AK494,1,0)</f>
        <v>103</v>
      </c>
      <c r="R494" s="2" t="n">
        <f aca="false">SUM(L494:Q494)</f>
        <v>500</v>
      </c>
      <c r="S494" s="2" t="n">
        <f aca="false">Settings!$B$4*MAX(INDEX(Bases!$M$2:$M$53,B494),INDEX(Bases!$M$2:$M$53,C494))+Settings!$B$5*MIN(INDEX(Bases!$M$2:$M$53,B494),INDEX(Bases!$M$2:$M$53,C494))</f>
        <v>42.6666666666667</v>
      </c>
      <c r="T494" s="2" t="n">
        <f aca="false">Settings!$B$4*MAX(INDEX(Bases!$N$2:$N$53,B494),INDEX(Bases!$N$2:$N$53,C494))+Settings!$B$5*MIN(INDEX(Bases!$N$2:$N$53,B494),INDEX(Bases!$N$2:$N$53,C494))</f>
        <v>44</v>
      </c>
      <c r="U494" s="2" t="n">
        <f aca="false">Settings!$B$4*MAX(INDEX(Bases!$O$2:$O$53,B494),INDEX(Bases!$O$2:$O$53,C494))+Settings!$B$5*MIN(INDEX(Bases!$O$2:$O$53,B494),INDEX(Bases!$O$2:$O$53,C494))</f>
        <v>116.333333333333</v>
      </c>
      <c r="V494" s="2" t="n">
        <f aca="false">Settings!$B$4*MAX(INDEX(Bases!$P$2:$P$53,B494),INDEX(Bases!$P$2:$P$53,C494))+Settings!$B$5*MIN(INDEX(Bases!$P$2:$P$53,B494),INDEX(Bases!$P$2:$P$53,C494))</f>
        <v>60.6666666666667</v>
      </c>
      <c r="W494" s="2" t="n">
        <f aca="false">Settings!$B$4*MAX(INDEX(Bases!$Q$2:$Q$53,B494),INDEX(Bases!$Q$2:$Q$53,C494))+Settings!$B$5*MIN(INDEX(Bases!$Q$2:$Q$53,B494),INDEX(Bases!$Q$2:$Q$53,C494))</f>
        <v>86.3333333333333</v>
      </c>
      <c r="X494" s="2" t="n">
        <f aca="false">Settings!$B$4*MAX(INDEX(Bases!$R$2:$R$53,B494),INDEX(Bases!$R$2:$R$53,C494))+Settings!$B$5*MIN(INDEX(Bases!$R$2:$R$53,B494),INDEX(Bases!$R$2:$R$53,C494))</f>
        <v>91.3333333333333</v>
      </c>
      <c r="Y494" s="2" t="n">
        <f aca="false">S494*Settings!$B$3/SUM(S494:X494)</f>
        <v>48.3383685800604</v>
      </c>
      <c r="Z494" s="2" t="n">
        <f aca="false">T494*Settings!$B$3/SUM(S494:X494)</f>
        <v>49.8489425981873</v>
      </c>
      <c r="AA494" s="2" t="n">
        <f aca="false">U494*Settings!$B$3/SUM(S494:X494)</f>
        <v>131.797583081571</v>
      </c>
      <c r="AB494" s="2" t="n">
        <f aca="false">V494*Settings!$B$3/SUM(S494:X494)</f>
        <v>68.7311178247734</v>
      </c>
      <c r="AC494" s="2" t="n">
        <f aca="false">W494*Settings!$B$3/SUM(S494:X494)</f>
        <v>97.809667673716</v>
      </c>
      <c r="AD494" s="2" t="n">
        <f aca="false">X494*Settings!$B$3/SUM(S494:X494)</f>
        <v>103.474320241692</v>
      </c>
      <c r="AE494" s="2" t="n">
        <f aca="false">INT(Y494)</f>
        <v>48</v>
      </c>
      <c r="AF494" s="2" t="n">
        <f aca="false">INT(Z494)</f>
        <v>49</v>
      </c>
      <c r="AG494" s="2" t="n">
        <f aca="false">INT(AA494)</f>
        <v>131</v>
      </c>
      <c r="AH494" s="2" t="n">
        <f aca="false">INT(AB494)</f>
        <v>68</v>
      </c>
      <c r="AI494" s="2" t="n">
        <f aca="false">INT(AC494)</f>
        <v>97</v>
      </c>
      <c r="AJ494" s="2" t="n">
        <f aca="false">INT(AD494)</f>
        <v>103</v>
      </c>
      <c r="AK494" s="2" t="n">
        <f aca="false">Settings!$B$3-SUM(AE494:AJ494)</f>
        <v>4</v>
      </c>
      <c r="AL494" s="2" t="n">
        <f aca="false">ROUND(Y494-AE494,9)</f>
        <v>0.33836858</v>
      </c>
      <c r="AM494" s="2" t="n">
        <f aca="false">ROUND(Z494-AF494,9)</f>
        <v>0.848942598</v>
      </c>
      <c r="AN494" s="2" t="n">
        <f aca="false">ROUND(AA494-AG494,9)</f>
        <v>0.797583082</v>
      </c>
      <c r="AO494" s="2" t="n">
        <f aca="false">ROUND(AB494-AH494,9)</f>
        <v>0.731117825</v>
      </c>
      <c r="AP494" s="2" t="n">
        <f aca="false">ROUND(AC494-AI494,9)</f>
        <v>0.809667674</v>
      </c>
      <c r="AQ494" s="2" t="n">
        <f aca="false">ROUND(AD494-AJ494,9)</f>
        <v>0.474320242</v>
      </c>
    </row>
    <row r="495" customFormat="false" ht="15" hidden="false" customHeight="false" outlineLevel="0" collapsed="false">
      <c r="A495" s="2" t="n">
        <v>494</v>
      </c>
      <c r="B495" s="6" t="n">
        <v>11</v>
      </c>
      <c r="C495" s="6" t="n">
        <v>40</v>
      </c>
      <c r="D495" s="8" t="str">
        <f aca="false">INDEX(Bases!$B$2:$B$53,B495)</f>
        <v>Voltorb</v>
      </c>
      <c r="E495" s="8" t="str">
        <f aca="false">INDEX(Bases!$B$2:$B$53,C495)</f>
        <v>Gastly</v>
      </c>
      <c r="F495" s="2" t="str">
        <f aca="false">LEFT(D495,ROUNDUP(LEN(D495)/2,0))&amp;LOWER(MID(E495,ROUNDUP(LEN(E495)/2,0)+1,20))</f>
        <v>Volttly</v>
      </c>
      <c r="G495" s="8" t="str">
        <f aca="false">INDEX(Bases!$C$2:$C$53,B495)</f>
        <v>Electric</v>
      </c>
      <c r="H495" s="8" t="str">
        <f aca="false">IF(INDEX(Bases!$C$2:$C$53,C495)=G495,"",INDEX(Bases!$C$2:$C$53,C495))</f>
        <v>Ghost</v>
      </c>
      <c r="I495" s="8" t="str">
        <f aca="false">IF(INDEX(Bases!$E$2:$E$53,B495)="","",INDEX(Bases!$E$2:$E$53,B495))</f>
        <v/>
      </c>
      <c r="J495" s="8" t="str">
        <f aca="false">IF(INDEX(Bases!$E$2:$E$53,C495)="","",INDEX(Bases!$E$2:$E$53,C495))</f>
        <v/>
      </c>
      <c r="K495" s="5"/>
      <c r="L495" s="2" t="n">
        <f aca="false">AE495+IF(SUMPRODUCT(--($AL495:$AQ495&gt;AL495))&lt;$AK495,1,0)</f>
        <v>53</v>
      </c>
      <c r="M495" s="2" t="n">
        <f aca="false">AF495+IF(SUMPRODUCT(--($AL495:$AQ495&gt;AM495))+SUMPRODUCT(--($AL495:AL495=AM495))&lt;$AK495,1,0)</f>
        <v>50</v>
      </c>
      <c r="N495" s="2" t="n">
        <f aca="false">AG495+IF(SUMPRODUCT(--($AL495:$AQ495&gt;AN495))+SUMPRODUCT(--($AL495:AM495=AN495))&lt;$AK495,1,0)</f>
        <v>63</v>
      </c>
      <c r="O495" s="2" t="n">
        <f aca="false">AH495+IF(SUMPRODUCT(--($AL495:$AQ495&gt;AO495))+SUMPRODUCT(--($AL495:AN495=AO495))&lt;$AK495,1,0)</f>
        <v>128</v>
      </c>
      <c r="P495" s="2" t="n">
        <f aca="false">AI495+IF(SUMPRODUCT(--($AL495:$AQ495&gt;AP495))+SUMPRODUCT(--($AL495:AO495=AP495))&lt;$AK495,1,0)</f>
        <v>70</v>
      </c>
      <c r="Q495" s="2" t="n">
        <f aca="false">AJ495+IF(SUMPRODUCT(--($AL495:$AQ495&gt;AQ495))+SUMPRODUCT(--($AL495:AP495=AQ495))&lt;$AK495,1,0)</f>
        <v>136</v>
      </c>
      <c r="R495" s="2" t="n">
        <f aca="false">SUM(L495:Q495)</f>
        <v>500</v>
      </c>
      <c r="S495" s="2" t="n">
        <f aca="false">Settings!$B$4*MAX(INDEX(Bases!$M$2:$M$53,B495),INDEX(Bases!$M$2:$M$53,C495))+Settings!$B$5*MIN(INDEX(Bases!$M$2:$M$53,B495),INDEX(Bases!$M$2:$M$53,C495))</f>
        <v>45</v>
      </c>
      <c r="T495" s="2" t="n">
        <f aca="false">Settings!$B$4*MAX(INDEX(Bases!$N$2:$N$53,B495),INDEX(Bases!$N$2:$N$53,C495))+Settings!$B$5*MIN(INDEX(Bases!$N$2:$N$53,B495),INDEX(Bases!$N$2:$N$53,C495))</f>
        <v>42</v>
      </c>
      <c r="U495" s="2" t="n">
        <f aca="false">Settings!$B$4*MAX(INDEX(Bases!$O$2:$O$53,B495),INDEX(Bases!$O$2:$O$53,C495))+Settings!$B$5*MIN(INDEX(Bases!$O$2:$O$53,B495),INDEX(Bases!$O$2:$O$53,C495))</f>
        <v>53.6666666666667</v>
      </c>
      <c r="V495" s="2" t="n">
        <f aca="false">Settings!$B$4*MAX(INDEX(Bases!$P$2:$P$53,B495),INDEX(Bases!$P$2:$P$53,C495))+Settings!$B$5*MIN(INDEX(Bases!$P$2:$P$53,B495),INDEX(Bases!$P$2:$P$53,C495))</f>
        <v>108.333333333333</v>
      </c>
      <c r="W495" s="2" t="n">
        <f aca="false">Settings!$B$4*MAX(INDEX(Bases!$Q$2:$Q$53,B495),INDEX(Bases!$Q$2:$Q$53,C495))+Settings!$B$5*MIN(INDEX(Bases!$Q$2:$Q$53,B495),INDEX(Bases!$Q$2:$Q$53,C495))</f>
        <v>59.6666666666667</v>
      </c>
      <c r="X495" s="2" t="n">
        <f aca="false">Settings!$B$4*MAX(INDEX(Bases!$R$2:$R$53,B495),INDEX(Bases!$R$2:$R$53,C495))+Settings!$B$5*MIN(INDEX(Bases!$R$2:$R$53,B495),INDEX(Bases!$R$2:$R$53,C495))</f>
        <v>115</v>
      </c>
      <c r="Y495" s="2" t="n">
        <f aca="false">S495*Settings!$B$3/SUM(S495:X495)</f>
        <v>53.1077891424076</v>
      </c>
      <c r="Z495" s="2" t="n">
        <f aca="false">T495*Settings!$B$3/SUM(S495:X495)</f>
        <v>49.567269866247</v>
      </c>
      <c r="AA495" s="2" t="n">
        <f aca="false">U495*Settings!$B$3/SUM(S495:X495)</f>
        <v>63.3359559402046</v>
      </c>
      <c r="AB495" s="2" t="n">
        <f aca="false">V495*Settings!$B$3/SUM(S495:X495)</f>
        <v>127.852084972463</v>
      </c>
      <c r="AC495" s="2" t="n">
        <f aca="false">W495*Settings!$B$3/SUM(S495:X495)</f>
        <v>70.4169944925256</v>
      </c>
      <c r="AD495" s="2" t="n">
        <f aca="false">X495*Settings!$B$3/SUM(S495:X495)</f>
        <v>135.719905586153</v>
      </c>
      <c r="AE495" s="2" t="n">
        <f aca="false">INT(Y495)</f>
        <v>53</v>
      </c>
      <c r="AF495" s="2" t="n">
        <f aca="false">INT(Z495)</f>
        <v>49</v>
      </c>
      <c r="AG495" s="2" t="n">
        <f aca="false">INT(AA495)</f>
        <v>63</v>
      </c>
      <c r="AH495" s="2" t="n">
        <f aca="false">INT(AB495)</f>
        <v>127</v>
      </c>
      <c r="AI495" s="2" t="n">
        <f aca="false">INT(AC495)</f>
        <v>70</v>
      </c>
      <c r="AJ495" s="2" t="n">
        <f aca="false">INT(AD495)</f>
        <v>135</v>
      </c>
      <c r="AK495" s="2" t="n">
        <f aca="false">Settings!$B$3-SUM(AE495:AJ495)</f>
        <v>3</v>
      </c>
      <c r="AL495" s="2" t="n">
        <f aca="false">ROUND(Y495-AE495,9)</f>
        <v>0.107789142</v>
      </c>
      <c r="AM495" s="2" t="n">
        <f aca="false">ROUND(Z495-AF495,9)</f>
        <v>0.567269866</v>
      </c>
      <c r="AN495" s="2" t="n">
        <f aca="false">ROUND(AA495-AG495,9)</f>
        <v>0.33595594</v>
      </c>
      <c r="AO495" s="2" t="n">
        <f aca="false">ROUND(AB495-AH495,9)</f>
        <v>0.852084972</v>
      </c>
      <c r="AP495" s="2" t="n">
        <f aca="false">ROUND(AC495-AI495,9)</f>
        <v>0.416994493</v>
      </c>
      <c r="AQ495" s="2" t="n">
        <f aca="false">ROUND(AD495-AJ495,9)</f>
        <v>0.719905586</v>
      </c>
    </row>
    <row r="496" customFormat="false" ht="15" hidden="false" customHeight="false" outlineLevel="0" collapsed="false">
      <c r="A496" s="2" t="n">
        <v>495</v>
      </c>
      <c r="B496" s="6" t="n">
        <v>11</v>
      </c>
      <c r="C496" s="6" t="n">
        <v>41</v>
      </c>
      <c r="D496" s="8" t="str">
        <f aca="false">INDEX(Bases!$B$2:$B$53,B496)</f>
        <v>Voltorb</v>
      </c>
      <c r="E496" s="8" t="str">
        <f aca="false">INDEX(Bases!$B$2:$B$53,C496)</f>
        <v>Misdreavus</v>
      </c>
      <c r="F496" s="2" t="str">
        <f aca="false">LEFT(D496,ROUNDUP(LEN(D496)/2,0))&amp;LOWER(MID(E496,ROUNDUP(LEN(E496)/2,0)+1,20))</f>
        <v>Volteavus</v>
      </c>
      <c r="G496" s="8" t="str">
        <f aca="false">INDEX(Bases!$C$2:$C$53,B496)</f>
        <v>Electric</v>
      </c>
      <c r="H496" s="8" t="str">
        <f aca="false">IF(INDEX(Bases!$C$2:$C$53,C496)=G496,"",INDEX(Bases!$C$2:$C$53,C496))</f>
        <v>Ghost</v>
      </c>
      <c r="I496" s="8" t="str">
        <f aca="false">IF(INDEX(Bases!$E$2:$E$53,B496)="","",INDEX(Bases!$E$2:$E$53,B496))</f>
        <v/>
      </c>
      <c r="J496" s="8" t="str">
        <f aca="false">IF(INDEX(Bases!$E$2:$E$53,C496)="","",INDEX(Bases!$E$2:$E$53,C496))</f>
        <v/>
      </c>
      <c r="K496" s="5"/>
      <c r="L496" s="2" t="n">
        <f aca="false">AE496+IF(SUMPRODUCT(--($AL496:$AQ496&gt;AL496))&lt;$AK496,1,0)</f>
        <v>64</v>
      </c>
      <c r="M496" s="2" t="n">
        <f aca="false">AF496+IF(SUMPRODUCT(--($AL496:$AQ496&gt;AM496))+SUMPRODUCT(--($AL496:AL496=AM496))&lt;$AK496,1,0)</f>
        <v>59</v>
      </c>
      <c r="N496" s="2" t="n">
        <f aca="false">AG496+IF(SUMPRODUCT(--($AL496:$AQ496&gt;AN496))+SUMPRODUCT(--($AL496:AM496=AN496))&lt;$AK496,1,0)</f>
        <v>71</v>
      </c>
      <c r="O496" s="2" t="n">
        <f aca="false">AH496+IF(SUMPRODUCT(--($AL496:$AQ496&gt;AO496))+SUMPRODUCT(--($AL496:AN496=AO496))&lt;$AK496,1,0)</f>
        <v>89</v>
      </c>
      <c r="P496" s="2" t="n">
        <f aca="false">AI496+IF(SUMPRODUCT(--($AL496:$AQ496&gt;AP496))+SUMPRODUCT(--($AL496:AO496=AP496))&lt;$AK496,1,0)</f>
        <v>89</v>
      </c>
      <c r="Q496" s="2" t="n">
        <f aca="false">AJ496+IF(SUMPRODUCT(--($AL496:$AQ496&gt;AQ496))+SUMPRODUCT(--($AL496:AP496=AQ496))&lt;$AK496,1,0)</f>
        <v>128</v>
      </c>
      <c r="R496" s="2" t="n">
        <f aca="false">SUM(L496:Q496)</f>
        <v>500</v>
      </c>
      <c r="S496" s="2" t="n">
        <f aca="false">Settings!$B$4*MAX(INDEX(Bases!$M$2:$M$53,B496),INDEX(Bases!$M$2:$M$53,C496))+Settings!$B$5*MIN(INDEX(Bases!$M$2:$M$53,B496),INDEX(Bases!$M$2:$M$53,C496))</f>
        <v>53.3333333333333</v>
      </c>
      <c r="T496" s="2" t="n">
        <f aca="false">Settings!$B$4*MAX(INDEX(Bases!$N$2:$N$53,B496),INDEX(Bases!$N$2:$N$53,C496))+Settings!$B$5*MIN(INDEX(Bases!$N$2:$N$53,B496),INDEX(Bases!$N$2:$N$53,C496))</f>
        <v>48.6666666666667</v>
      </c>
      <c r="U496" s="2" t="n">
        <f aca="false">Settings!$B$4*MAX(INDEX(Bases!$O$2:$O$53,B496),INDEX(Bases!$O$2:$O$53,C496))+Settings!$B$5*MIN(INDEX(Bases!$O$2:$O$53,B496),INDEX(Bases!$O$2:$O$53,C496))</f>
        <v>59</v>
      </c>
      <c r="V496" s="2" t="n">
        <f aca="false">Settings!$B$4*MAX(INDEX(Bases!$P$2:$P$53,B496),INDEX(Bases!$P$2:$P$53,C496))+Settings!$B$5*MIN(INDEX(Bases!$P$2:$P$53,B496),INDEX(Bases!$P$2:$P$53,C496))</f>
        <v>74.3333333333333</v>
      </c>
      <c r="W496" s="2" t="n">
        <f aca="false">Settings!$B$4*MAX(INDEX(Bases!$Q$2:$Q$53,B496),INDEX(Bases!$Q$2:$Q$53,C496))+Settings!$B$5*MIN(INDEX(Bases!$Q$2:$Q$53,B496),INDEX(Bases!$Q$2:$Q$53,C496))</f>
        <v>74.3333333333333</v>
      </c>
      <c r="X496" s="2" t="n">
        <f aca="false">Settings!$B$4*MAX(INDEX(Bases!$R$2:$R$53,B496),INDEX(Bases!$R$2:$R$53,C496))+Settings!$B$5*MIN(INDEX(Bases!$R$2:$R$53,B496),INDEX(Bases!$R$2:$R$53,C496))</f>
        <v>106.666666666667</v>
      </c>
      <c r="Y496" s="2" t="n">
        <f aca="false">S496*Settings!$B$3/SUM(S496:X496)</f>
        <v>64.0512409927942</v>
      </c>
      <c r="Z496" s="2" t="n">
        <f aca="false">T496*Settings!$B$3/SUM(S496:X496)</f>
        <v>58.4467574059247</v>
      </c>
      <c r="AA496" s="2" t="n">
        <f aca="false">U496*Settings!$B$3/SUM(S496:X496)</f>
        <v>70.8566853482786</v>
      </c>
      <c r="AB496" s="2" t="n">
        <f aca="false">V496*Settings!$B$3/SUM(S496:X496)</f>
        <v>89.271417133707</v>
      </c>
      <c r="AC496" s="2" t="n">
        <f aca="false">W496*Settings!$B$3/SUM(S496:X496)</f>
        <v>89.271417133707</v>
      </c>
      <c r="AD496" s="2" t="n">
        <f aca="false">X496*Settings!$B$3/SUM(S496:X496)</f>
        <v>128.102481985588</v>
      </c>
      <c r="AE496" s="2" t="n">
        <f aca="false">INT(Y496)</f>
        <v>64</v>
      </c>
      <c r="AF496" s="2" t="n">
        <f aca="false">INT(Z496)</f>
        <v>58</v>
      </c>
      <c r="AG496" s="2" t="n">
        <f aca="false">INT(AA496)</f>
        <v>70</v>
      </c>
      <c r="AH496" s="2" t="n">
        <f aca="false">INT(AB496)</f>
        <v>89</v>
      </c>
      <c r="AI496" s="2" t="n">
        <f aca="false">INT(AC496)</f>
        <v>89</v>
      </c>
      <c r="AJ496" s="2" t="n">
        <f aca="false">INT(AD496)</f>
        <v>128</v>
      </c>
      <c r="AK496" s="2" t="n">
        <f aca="false">Settings!$B$3-SUM(AE496:AJ496)</f>
        <v>2</v>
      </c>
      <c r="AL496" s="2" t="n">
        <f aca="false">ROUND(Y496-AE496,9)</f>
        <v>0.051240993</v>
      </c>
      <c r="AM496" s="2" t="n">
        <f aca="false">ROUND(Z496-AF496,9)</f>
        <v>0.446757406</v>
      </c>
      <c r="AN496" s="2" t="n">
        <f aca="false">ROUND(AA496-AG496,9)</f>
        <v>0.856685348</v>
      </c>
      <c r="AO496" s="2" t="n">
        <f aca="false">ROUND(AB496-AH496,9)</f>
        <v>0.271417134</v>
      </c>
      <c r="AP496" s="2" t="n">
        <f aca="false">ROUND(AC496-AI496,9)</f>
        <v>0.271417134</v>
      </c>
      <c r="AQ496" s="2" t="n">
        <f aca="false">ROUND(AD496-AJ496,9)</f>
        <v>0.102481986</v>
      </c>
    </row>
    <row r="497" customFormat="false" ht="15" hidden="false" customHeight="false" outlineLevel="0" collapsed="false">
      <c r="A497" s="2" t="n">
        <v>496</v>
      </c>
      <c r="B497" s="6" t="n">
        <v>11</v>
      </c>
      <c r="C497" s="6" t="n">
        <v>42</v>
      </c>
      <c r="D497" s="8" t="str">
        <f aca="false">INDEX(Bases!$B$2:$B$53,B497)</f>
        <v>Voltorb</v>
      </c>
      <c r="E497" s="8" t="str">
        <f aca="false">INDEX(Bases!$B$2:$B$53,C497)</f>
        <v>Sableye</v>
      </c>
      <c r="F497" s="2" t="str">
        <f aca="false">LEFT(D497,ROUNDUP(LEN(D497)/2,0))&amp;LOWER(MID(E497,ROUNDUP(LEN(E497)/2,0)+1,20))</f>
        <v>Volteye</v>
      </c>
      <c r="G497" s="8" t="str">
        <f aca="false">INDEX(Bases!$C$2:$C$53,B497)</f>
        <v>Electric</v>
      </c>
      <c r="H497" s="8" t="str">
        <f aca="false">IF(INDEX(Bases!$C$2:$C$53,C497)=G497,"",INDEX(Bases!$C$2:$C$53,C497))</f>
        <v>Ghost</v>
      </c>
      <c r="I497" s="8" t="str">
        <f aca="false">IF(INDEX(Bases!$E$2:$E$53,B497)="","",INDEX(Bases!$E$2:$E$53,B497))</f>
        <v/>
      </c>
      <c r="J497" s="8" t="str">
        <f aca="false">IF(INDEX(Bases!$E$2:$E$53,C497)="","",INDEX(Bases!$E$2:$E$53,C497))</f>
        <v/>
      </c>
      <c r="K497" s="5"/>
      <c r="L497" s="2" t="n">
        <f aca="false">AE497+IF(SUMPRODUCT(--($AL497:$AQ497&gt;AL497))&lt;$AK497,1,0)</f>
        <v>61</v>
      </c>
      <c r="M497" s="2" t="n">
        <f aca="false">AF497+IF(SUMPRODUCT(--($AL497:$AQ497&gt;AM497))+SUMPRODUCT(--($AL497:AL497=AM497))&lt;$AK497,1,0)</f>
        <v>77</v>
      </c>
      <c r="N497" s="2" t="n">
        <f aca="false">AG497+IF(SUMPRODUCT(--($AL497:$AQ497&gt;AN497))+SUMPRODUCT(--($AL497:AM497=AN497))&lt;$AK497,1,0)</f>
        <v>86</v>
      </c>
      <c r="O497" s="2" t="n">
        <f aca="false">AH497+IF(SUMPRODUCT(--($AL497:$AQ497&gt;AO497))+SUMPRODUCT(--($AL497:AN497=AO497))&lt;$AK497,1,0)</f>
        <v>80</v>
      </c>
      <c r="P497" s="2" t="n">
        <f aca="false">AI497+IF(SUMPRODUCT(--($AL497:$AQ497&gt;AP497))+SUMPRODUCT(--($AL497:AO497=AP497))&lt;$AK497,1,0)</f>
        <v>80</v>
      </c>
      <c r="Q497" s="2" t="n">
        <f aca="false">AJ497+IF(SUMPRODUCT(--($AL497:$AQ497&gt;AQ497))+SUMPRODUCT(--($AL497:AP497=AQ497))&lt;$AK497,1,0)</f>
        <v>116</v>
      </c>
      <c r="R497" s="2" t="n">
        <f aca="false">SUM(L497:Q497)</f>
        <v>500</v>
      </c>
      <c r="S497" s="2" t="n">
        <f aca="false">Settings!$B$4*MAX(INDEX(Bases!$M$2:$M$53,B497),INDEX(Bases!$M$2:$M$53,C497))+Settings!$B$5*MIN(INDEX(Bases!$M$2:$M$53,B497),INDEX(Bases!$M$2:$M$53,C497))</f>
        <v>51.3333333333333</v>
      </c>
      <c r="T497" s="2" t="n">
        <f aca="false">Settings!$B$4*MAX(INDEX(Bases!$N$2:$N$53,B497),INDEX(Bases!$N$2:$N$53,C497))+Settings!$B$5*MIN(INDEX(Bases!$N$2:$N$53,B497),INDEX(Bases!$N$2:$N$53,C497))</f>
        <v>64.6666666666667</v>
      </c>
      <c r="U497" s="2" t="n">
        <f aca="false">Settings!$B$4*MAX(INDEX(Bases!$O$2:$O$53,B497),INDEX(Bases!$O$2:$O$53,C497))+Settings!$B$5*MIN(INDEX(Bases!$O$2:$O$53,B497),INDEX(Bases!$O$2:$O$53,C497))</f>
        <v>73</v>
      </c>
      <c r="V497" s="2" t="n">
        <f aca="false">Settings!$B$4*MAX(INDEX(Bases!$P$2:$P$53,B497),INDEX(Bases!$P$2:$P$53,C497))+Settings!$B$5*MIN(INDEX(Bases!$P$2:$P$53,B497),INDEX(Bases!$P$2:$P$53,C497))</f>
        <v>67.6666666666667</v>
      </c>
      <c r="W497" s="2" t="n">
        <f aca="false">Settings!$B$4*MAX(INDEX(Bases!$Q$2:$Q$53,B497),INDEX(Bases!$Q$2:$Q$53,C497))+Settings!$B$5*MIN(INDEX(Bases!$Q$2:$Q$53,B497),INDEX(Bases!$Q$2:$Q$53,C497))</f>
        <v>67.6666666666667</v>
      </c>
      <c r="X497" s="2" t="n">
        <f aca="false">Settings!$B$4*MAX(INDEX(Bases!$R$2:$R$53,B497),INDEX(Bases!$R$2:$R$53,C497))+Settings!$B$5*MIN(INDEX(Bases!$R$2:$R$53,B497),INDEX(Bases!$R$2:$R$53,C497))</f>
        <v>98.3333333333333</v>
      </c>
      <c r="Y497" s="2" t="n">
        <f aca="false">S497*Settings!$B$3/SUM(S497:X497)</f>
        <v>60.7255520504732</v>
      </c>
      <c r="Z497" s="2" t="n">
        <f aca="false">T497*Settings!$B$3/SUM(S497:X497)</f>
        <v>76.4984227129338</v>
      </c>
      <c r="AA497" s="2" t="n">
        <f aca="false">U497*Settings!$B$3/SUM(S497:X497)</f>
        <v>86.3564668769716</v>
      </c>
      <c r="AB497" s="2" t="n">
        <f aca="false">V497*Settings!$B$3/SUM(S497:X497)</f>
        <v>80.0473186119874</v>
      </c>
      <c r="AC497" s="2" t="n">
        <f aca="false">W497*Settings!$B$3/SUM(S497:X497)</f>
        <v>80.0473186119874</v>
      </c>
      <c r="AD497" s="2" t="n">
        <f aca="false">X497*Settings!$B$3/SUM(S497:X497)</f>
        <v>116.324921135647</v>
      </c>
      <c r="AE497" s="2" t="n">
        <f aca="false">INT(Y497)</f>
        <v>60</v>
      </c>
      <c r="AF497" s="2" t="n">
        <f aca="false">INT(Z497)</f>
        <v>76</v>
      </c>
      <c r="AG497" s="2" t="n">
        <f aca="false">INT(AA497)</f>
        <v>86</v>
      </c>
      <c r="AH497" s="2" t="n">
        <f aca="false">INT(AB497)</f>
        <v>80</v>
      </c>
      <c r="AI497" s="2" t="n">
        <f aca="false">INT(AC497)</f>
        <v>80</v>
      </c>
      <c r="AJ497" s="2" t="n">
        <f aca="false">INT(AD497)</f>
        <v>116</v>
      </c>
      <c r="AK497" s="2" t="n">
        <f aca="false">Settings!$B$3-SUM(AE497:AJ497)</f>
        <v>2</v>
      </c>
      <c r="AL497" s="2" t="n">
        <f aca="false">ROUND(Y497-AE497,9)</f>
        <v>0.72555205</v>
      </c>
      <c r="AM497" s="2" t="n">
        <f aca="false">ROUND(Z497-AF497,9)</f>
        <v>0.498422713</v>
      </c>
      <c r="AN497" s="2" t="n">
        <f aca="false">ROUND(AA497-AG497,9)</f>
        <v>0.356466877</v>
      </c>
      <c r="AO497" s="2" t="n">
        <f aca="false">ROUND(AB497-AH497,9)</f>
        <v>0.047318612</v>
      </c>
      <c r="AP497" s="2" t="n">
        <f aca="false">ROUND(AC497-AI497,9)</f>
        <v>0.047318612</v>
      </c>
      <c r="AQ497" s="2" t="n">
        <f aca="false">ROUND(AD497-AJ497,9)</f>
        <v>0.324921136</v>
      </c>
    </row>
    <row r="498" customFormat="false" ht="15" hidden="false" customHeight="false" outlineLevel="0" collapsed="false">
      <c r="A498" s="2" t="n">
        <v>497</v>
      </c>
      <c r="B498" s="6" t="n">
        <v>11</v>
      </c>
      <c r="C498" s="6" t="n">
        <v>43</v>
      </c>
      <c r="D498" s="8" t="str">
        <f aca="false">INDEX(Bases!$B$2:$B$53,B498)</f>
        <v>Voltorb</v>
      </c>
      <c r="E498" s="8" t="str">
        <f aca="false">INDEX(Bases!$B$2:$B$53,C498)</f>
        <v>Dratini</v>
      </c>
      <c r="F498" s="2" t="str">
        <f aca="false">LEFT(D498,ROUNDUP(LEN(D498)/2,0))&amp;LOWER(MID(E498,ROUNDUP(LEN(E498)/2,0)+1,20))</f>
        <v>Voltini</v>
      </c>
      <c r="G498" s="8" t="str">
        <f aca="false">INDEX(Bases!$C$2:$C$53,B498)</f>
        <v>Electric</v>
      </c>
      <c r="H498" s="8" t="str">
        <f aca="false">IF(INDEX(Bases!$C$2:$C$53,C498)=G498,"",INDEX(Bases!$C$2:$C$53,C498))</f>
        <v>Dragon</v>
      </c>
      <c r="I498" s="8" t="str">
        <f aca="false">IF(INDEX(Bases!$E$2:$E$53,B498)="","",INDEX(Bases!$E$2:$E$53,B498))</f>
        <v/>
      </c>
      <c r="J498" s="8" t="str">
        <f aca="false">IF(INDEX(Bases!$E$2:$E$53,C498)="","",INDEX(Bases!$E$2:$E$53,C498))</f>
        <v/>
      </c>
      <c r="K498" s="5"/>
      <c r="L498" s="2" t="n">
        <f aca="false">AE498+IF(SUMPRODUCT(--($AL498:$AQ498&gt;AL498))&lt;$AK498,1,0)</f>
        <v>63</v>
      </c>
      <c r="M498" s="2" t="n">
        <f aca="false">AF498+IF(SUMPRODUCT(--($AL498:$AQ498&gt;AM498))+SUMPRODUCT(--($AL498:AL498=AM498))&lt;$AK498,1,0)</f>
        <v>82</v>
      </c>
      <c r="N498" s="2" t="n">
        <f aca="false">AG498+IF(SUMPRODUCT(--($AL498:$AQ498&gt;AN498))+SUMPRODUCT(--($AL498:AM498=AN498))&lt;$AK498,1,0)</f>
        <v>72</v>
      </c>
      <c r="O498" s="2" t="n">
        <f aca="false">AH498+IF(SUMPRODUCT(--($AL498:$AQ498&gt;AO498))+SUMPRODUCT(--($AL498:AN498=AO498))&lt;$AK498,1,0)</f>
        <v>80</v>
      </c>
      <c r="P498" s="2" t="n">
        <f aca="false">AI498+IF(SUMPRODUCT(--($AL498:$AQ498&gt;AP498))+SUMPRODUCT(--($AL498:AO498=AP498))&lt;$AK498,1,0)</f>
        <v>80</v>
      </c>
      <c r="Q498" s="2" t="n">
        <f aca="false">AJ498+IF(SUMPRODUCT(--($AL498:$AQ498&gt;AQ498))+SUMPRODUCT(--($AL498:AP498=AQ498))&lt;$AK498,1,0)</f>
        <v>123</v>
      </c>
      <c r="R498" s="2" t="n">
        <f aca="false">SUM(L498:Q498)</f>
        <v>500</v>
      </c>
      <c r="S498" s="2" t="n">
        <f aca="false">Settings!$B$4*MAX(INDEX(Bases!$M$2:$M$53,B498),INDEX(Bases!$M$2:$M$53,C498))+Settings!$B$5*MIN(INDEX(Bases!$M$2:$M$53,B498),INDEX(Bases!$M$2:$M$53,C498))</f>
        <v>52.6666666666667</v>
      </c>
      <c r="T498" s="2" t="n">
        <f aca="false">Settings!$B$4*MAX(INDEX(Bases!$N$2:$N$53,B498),INDEX(Bases!$N$2:$N$53,C498))+Settings!$B$5*MIN(INDEX(Bases!$N$2:$N$53,B498),INDEX(Bases!$N$2:$N$53,C498))</f>
        <v>68.6666666666667</v>
      </c>
      <c r="U498" s="2" t="n">
        <f aca="false">Settings!$B$4*MAX(INDEX(Bases!$O$2:$O$53,B498),INDEX(Bases!$O$2:$O$53,C498))+Settings!$B$5*MIN(INDEX(Bases!$O$2:$O$53,B498),INDEX(Bases!$O$2:$O$53,C498))</f>
        <v>60.6666666666667</v>
      </c>
      <c r="V498" s="2" t="n">
        <f aca="false">Settings!$B$4*MAX(INDEX(Bases!$P$2:$P$53,B498),INDEX(Bases!$P$2:$P$53,C498))+Settings!$B$5*MIN(INDEX(Bases!$P$2:$P$53,B498),INDEX(Bases!$P$2:$P$53,C498))</f>
        <v>67</v>
      </c>
      <c r="W498" s="2" t="n">
        <f aca="false">Settings!$B$4*MAX(INDEX(Bases!$Q$2:$Q$53,B498),INDEX(Bases!$Q$2:$Q$53,C498))+Settings!$B$5*MIN(INDEX(Bases!$Q$2:$Q$53,B498),INDEX(Bases!$Q$2:$Q$53,C498))</f>
        <v>67</v>
      </c>
      <c r="X498" s="2" t="n">
        <f aca="false">Settings!$B$4*MAX(INDEX(Bases!$R$2:$R$53,B498),INDEX(Bases!$R$2:$R$53,C498))+Settings!$B$5*MIN(INDEX(Bases!$R$2:$R$53,B498),INDEX(Bases!$R$2:$R$53,C498))</f>
        <v>102.666666666667</v>
      </c>
      <c r="Y498" s="2" t="n">
        <f aca="false">S498*Settings!$B$3/SUM(S498:X498)</f>
        <v>62.8980891719745</v>
      </c>
      <c r="Z498" s="2" t="n">
        <f aca="false">T498*Settings!$B$3/SUM(S498:X498)</f>
        <v>82.0063694267516</v>
      </c>
      <c r="AA498" s="2" t="n">
        <f aca="false">U498*Settings!$B$3/SUM(S498:X498)</f>
        <v>72.4522292993631</v>
      </c>
      <c r="AB498" s="2" t="n">
        <f aca="false">V498*Settings!$B$3/SUM(S498:X498)</f>
        <v>80.015923566879</v>
      </c>
      <c r="AC498" s="2" t="n">
        <f aca="false">W498*Settings!$B$3/SUM(S498:X498)</f>
        <v>80.015923566879</v>
      </c>
      <c r="AD498" s="2" t="n">
        <f aca="false">X498*Settings!$B$3/SUM(S498:X498)</f>
        <v>122.611464968153</v>
      </c>
      <c r="AE498" s="2" t="n">
        <f aca="false">INT(Y498)</f>
        <v>62</v>
      </c>
      <c r="AF498" s="2" t="n">
        <f aca="false">INT(Z498)</f>
        <v>82</v>
      </c>
      <c r="AG498" s="2" t="n">
        <f aca="false">INT(AA498)</f>
        <v>72</v>
      </c>
      <c r="AH498" s="2" t="n">
        <f aca="false">INT(AB498)</f>
        <v>80</v>
      </c>
      <c r="AI498" s="2" t="n">
        <f aca="false">INT(AC498)</f>
        <v>80</v>
      </c>
      <c r="AJ498" s="2" t="n">
        <f aca="false">INT(AD498)</f>
        <v>122</v>
      </c>
      <c r="AK498" s="2" t="n">
        <f aca="false">Settings!$B$3-SUM(AE498:AJ498)</f>
        <v>2</v>
      </c>
      <c r="AL498" s="2" t="n">
        <f aca="false">ROUND(Y498-AE498,9)</f>
        <v>0.898089172</v>
      </c>
      <c r="AM498" s="2" t="n">
        <f aca="false">ROUND(Z498-AF498,9)</f>
        <v>0.006369427</v>
      </c>
      <c r="AN498" s="2" t="n">
        <f aca="false">ROUND(AA498-AG498,9)</f>
        <v>0.452229299</v>
      </c>
      <c r="AO498" s="2" t="n">
        <f aca="false">ROUND(AB498-AH498,9)</f>
        <v>0.015923567</v>
      </c>
      <c r="AP498" s="2" t="n">
        <f aca="false">ROUND(AC498-AI498,9)</f>
        <v>0.015923567</v>
      </c>
      <c r="AQ498" s="2" t="n">
        <f aca="false">ROUND(AD498-AJ498,9)</f>
        <v>0.611464968</v>
      </c>
    </row>
    <row r="499" customFormat="false" ht="15" hidden="false" customHeight="false" outlineLevel="0" collapsed="false">
      <c r="A499" s="2" t="n">
        <v>498</v>
      </c>
      <c r="B499" s="6" t="n">
        <v>11</v>
      </c>
      <c r="C499" s="6" t="n">
        <v>44</v>
      </c>
      <c r="D499" s="8" t="str">
        <f aca="false">INDEX(Bases!$B$2:$B$53,B499)</f>
        <v>Voltorb</v>
      </c>
      <c r="E499" s="8" t="str">
        <f aca="false">INDEX(Bases!$B$2:$B$53,C499)</f>
        <v>Bagon</v>
      </c>
      <c r="F499" s="2" t="str">
        <f aca="false">LEFT(D499,ROUNDUP(LEN(D499)/2,0))&amp;LOWER(MID(E499,ROUNDUP(LEN(E499)/2,0)+1,20))</f>
        <v>Volton</v>
      </c>
      <c r="G499" s="8" t="str">
        <f aca="false">INDEX(Bases!$C$2:$C$53,B499)</f>
        <v>Electric</v>
      </c>
      <c r="H499" s="8" t="str">
        <f aca="false">IF(INDEX(Bases!$C$2:$C$53,C499)=G499,"",INDEX(Bases!$C$2:$C$53,C499))</f>
        <v>Dragon</v>
      </c>
      <c r="I499" s="8" t="str">
        <f aca="false">IF(INDEX(Bases!$E$2:$E$53,B499)="","",INDEX(Bases!$E$2:$E$53,B499))</f>
        <v/>
      </c>
      <c r="J499" s="8" t="str">
        <f aca="false">IF(INDEX(Bases!$E$2:$E$53,C499)="","",INDEX(Bases!$E$2:$E$53,C499))</f>
        <v/>
      </c>
      <c r="K499" s="5"/>
      <c r="L499" s="2" t="n">
        <f aca="false">AE499+IF(SUMPRODUCT(--($AL499:$AQ499&gt;AL499))&lt;$AK499,1,0)</f>
        <v>65</v>
      </c>
      <c r="M499" s="2" t="n">
        <f aca="false">AF499+IF(SUMPRODUCT(--($AL499:$AQ499&gt;AM499))+SUMPRODUCT(--($AL499:AL499=AM499))&lt;$AK499,1,0)</f>
        <v>91</v>
      </c>
      <c r="N499" s="2" t="n">
        <f aca="false">AG499+IF(SUMPRODUCT(--($AL499:$AQ499&gt;AN499))+SUMPRODUCT(--($AL499:AM499=AN499))&lt;$AK499,1,0)</f>
        <v>86</v>
      </c>
      <c r="O499" s="2" t="n">
        <f aca="false">AH499+IF(SUMPRODUCT(--($AL499:$AQ499&gt;AO499))+SUMPRODUCT(--($AL499:AN499=AO499))&lt;$AK499,1,0)</f>
        <v>72</v>
      </c>
      <c r="P499" s="2" t="n">
        <f aca="false">AI499+IF(SUMPRODUCT(--($AL499:$AQ499&gt;AP499))+SUMPRODUCT(--($AL499:AO499=AP499))&lt;$AK499,1,0)</f>
        <v>67</v>
      </c>
      <c r="Q499" s="2" t="n">
        <f aca="false">AJ499+IF(SUMPRODUCT(--($AL499:$AQ499&gt;AQ499))+SUMPRODUCT(--($AL499:AP499=AQ499))&lt;$AK499,1,0)</f>
        <v>119</v>
      </c>
      <c r="R499" s="2" t="n">
        <f aca="false">SUM(L499:Q499)</f>
        <v>500</v>
      </c>
      <c r="S499" s="2" t="n">
        <f aca="false">Settings!$B$4*MAX(INDEX(Bases!$M$2:$M$53,B499),INDEX(Bases!$M$2:$M$53,C499))+Settings!$B$5*MIN(INDEX(Bases!$M$2:$M$53,B499),INDEX(Bases!$M$2:$M$53,C499))</f>
        <v>56</v>
      </c>
      <c r="T499" s="2" t="n">
        <f aca="false">Settings!$B$4*MAX(INDEX(Bases!$N$2:$N$53,B499),INDEX(Bases!$N$2:$N$53,C499))+Settings!$B$5*MIN(INDEX(Bases!$N$2:$N$53,B499),INDEX(Bases!$N$2:$N$53,C499))</f>
        <v>78.6666666666667</v>
      </c>
      <c r="U499" s="2" t="n">
        <f aca="false">Settings!$B$4*MAX(INDEX(Bases!$O$2:$O$53,B499),INDEX(Bases!$O$2:$O$53,C499))+Settings!$B$5*MIN(INDEX(Bases!$O$2:$O$53,B499),INDEX(Bases!$O$2:$O$53,C499))</f>
        <v>73.6666666666667</v>
      </c>
      <c r="V499" s="2" t="n">
        <f aca="false">Settings!$B$4*MAX(INDEX(Bases!$P$2:$P$53,B499),INDEX(Bases!$P$2:$P$53,C499))+Settings!$B$5*MIN(INDEX(Bases!$P$2:$P$53,B499),INDEX(Bases!$P$2:$P$53,C499))</f>
        <v>62.3333333333333</v>
      </c>
      <c r="W499" s="2" t="n">
        <f aca="false">Settings!$B$4*MAX(INDEX(Bases!$Q$2:$Q$53,B499),INDEX(Bases!$Q$2:$Q$53,C499))+Settings!$B$5*MIN(INDEX(Bases!$Q$2:$Q$53,B499),INDEX(Bases!$Q$2:$Q$53,C499))</f>
        <v>58</v>
      </c>
      <c r="X499" s="2" t="n">
        <f aca="false">Settings!$B$4*MAX(INDEX(Bases!$R$2:$R$53,B499),INDEX(Bases!$R$2:$R$53,C499))+Settings!$B$5*MIN(INDEX(Bases!$R$2:$R$53,B499),INDEX(Bases!$R$2:$R$53,C499))</f>
        <v>103</v>
      </c>
      <c r="Y499" s="2" t="n">
        <f aca="false">S499*Settings!$B$3/SUM(S499:X499)</f>
        <v>64.8648648648649</v>
      </c>
      <c r="Z499" s="2" t="n">
        <f aca="false">T499*Settings!$B$3/SUM(S499:X499)</f>
        <v>91.1196911196911</v>
      </c>
      <c r="AA499" s="2" t="n">
        <f aca="false">U499*Settings!$B$3/SUM(S499:X499)</f>
        <v>85.3281853281853</v>
      </c>
      <c r="AB499" s="2" t="n">
        <f aca="false">V499*Settings!$B$3/SUM(S499:X499)</f>
        <v>72.2007722007722</v>
      </c>
      <c r="AC499" s="2" t="n">
        <f aca="false">W499*Settings!$B$3/SUM(S499:X499)</f>
        <v>67.1814671814672</v>
      </c>
      <c r="AD499" s="2" t="n">
        <f aca="false">X499*Settings!$B$3/SUM(S499:X499)</f>
        <v>119.305019305019</v>
      </c>
      <c r="AE499" s="2" t="n">
        <f aca="false">INT(Y499)</f>
        <v>64</v>
      </c>
      <c r="AF499" s="2" t="n">
        <f aca="false">INT(Z499)</f>
        <v>91</v>
      </c>
      <c r="AG499" s="2" t="n">
        <f aca="false">INT(AA499)</f>
        <v>85</v>
      </c>
      <c r="AH499" s="2" t="n">
        <f aca="false">INT(AB499)</f>
        <v>72</v>
      </c>
      <c r="AI499" s="2" t="n">
        <f aca="false">INT(AC499)</f>
        <v>67</v>
      </c>
      <c r="AJ499" s="2" t="n">
        <f aca="false">INT(AD499)</f>
        <v>119</v>
      </c>
      <c r="AK499" s="2" t="n">
        <f aca="false">Settings!$B$3-SUM(AE499:AJ499)</f>
        <v>2</v>
      </c>
      <c r="AL499" s="2" t="n">
        <f aca="false">ROUND(Y499-AE499,9)</f>
        <v>0.864864865</v>
      </c>
      <c r="AM499" s="2" t="n">
        <f aca="false">ROUND(Z499-AF499,9)</f>
        <v>0.11969112</v>
      </c>
      <c r="AN499" s="2" t="n">
        <f aca="false">ROUND(AA499-AG499,9)</f>
        <v>0.328185328</v>
      </c>
      <c r="AO499" s="2" t="n">
        <f aca="false">ROUND(AB499-AH499,9)</f>
        <v>0.200772201</v>
      </c>
      <c r="AP499" s="2" t="n">
        <f aca="false">ROUND(AC499-AI499,9)</f>
        <v>0.181467181</v>
      </c>
      <c r="AQ499" s="2" t="n">
        <f aca="false">ROUND(AD499-AJ499,9)</f>
        <v>0.305019305</v>
      </c>
    </row>
    <row r="500" customFormat="false" ht="15" hidden="false" customHeight="false" outlineLevel="0" collapsed="false">
      <c r="A500" s="2" t="n">
        <v>499</v>
      </c>
      <c r="B500" s="6" t="n">
        <v>11</v>
      </c>
      <c r="C500" s="6" t="n">
        <v>45</v>
      </c>
      <c r="D500" s="8" t="str">
        <f aca="false">INDEX(Bases!$B$2:$B$53,B500)</f>
        <v>Voltorb</v>
      </c>
      <c r="E500" s="8" t="str">
        <f aca="false">INDEX(Bases!$B$2:$B$53,C500)</f>
        <v>Sneasel</v>
      </c>
      <c r="F500" s="2" t="str">
        <f aca="false">LEFT(D500,ROUNDUP(LEN(D500)/2,0))&amp;LOWER(MID(E500,ROUNDUP(LEN(E500)/2,0)+1,20))</f>
        <v>Voltsel</v>
      </c>
      <c r="G500" s="8" t="str">
        <f aca="false">INDEX(Bases!$C$2:$C$53,B500)</f>
        <v>Electric</v>
      </c>
      <c r="H500" s="8" t="str">
        <f aca="false">IF(INDEX(Bases!$C$2:$C$53,C500)=G500,"",INDEX(Bases!$C$2:$C$53,C500))</f>
        <v>Dark</v>
      </c>
      <c r="I500" s="8" t="str">
        <f aca="false">IF(INDEX(Bases!$E$2:$E$53,B500)="","",INDEX(Bases!$E$2:$E$53,B500))</f>
        <v/>
      </c>
      <c r="J500" s="8" t="str">
        <f aca="false">IF(INDEX(Bases!$E$2:$E$53,C500)="","",INDEX(Bases!$E$2:$E$53,C500))</f>
        <v/>
      </c>
      <c r="K500" s="5"/>
      <c r="L500" s="2" t="n">
        <f aca="false">AE500+IF(SUMPRODUCT(--($AL500:$AQ500&gt;AL500))&lt;$AK500,1,0)</f>
        <v>60</v>
      </c>
      <c r="M500" s="2" t="n">
        <f aca="false">AF500+IF(SUMPRODUCT(--($AL500:$AQ500&gt;AM500))+SUMPRODUCT(--($AL500:AL500=AM500))&lt;$AK500,1,0)</f>
        <v>84</v>
      </c>
      <c r="N500" s="2" t="n">
        <f aca="false">AG500+IF(SUMPRODUCT(--($AL500:$AQ500&gt;AN500))+SUMPRODUCT(--($AL500:AM500=AN500))&lt;$AK500,1,0)</f>
        <v>69</v>
      </c>
      <c r="O500" s="2" t="n">
        <f aca="false">AH500+IF(SUMPRODUCT(--($AL500:$AQ500&gt;AO500))+SUMPRODUCT(--($AL500:AN500=AO500))&lt;$AK500,1,0)</f>
        <v>66</v>
      </c>
      <c r="P500" s="2" t="n">
        <f aca="false">AI500+IF(SUMPRODUCT(--($AL500:$AQ500&gt;AP500))+SUMPRODUCT(--($AL500:AO500=AP500))&lt;$AK500,1,0)</f>
        <v>82</v>
      </c>
      <c r="Q500" s="2" t="n">
        <f aca="false">AJ500+IF(SUMPRODUCT(--($AL500:$AQ500&gt;AQ500))+SUMPRODUCT(--($AL500:AP500=AQ500))&lt;$AK500,1,0)</f>
        <v>139</v>
      </c>
      <c r="R500" s="2" t="n">
        <f aca="false">SUM(L500:Q500)</f>
        <v>500</v>
      </c>
      <c r="S500" s="2" t="n">
        <f aca="false">Settings!$B$4*MAX(INDEX(Bases!$M$2:$M$53,B500),INDEX(Bases!$M$2:$M$53,C500))+Settings!$B$5*MIN(INDEX(Bases!$M$2:$M$53,B500),INDEX(Bases!$M$2:$M$53,C500))</f>
        <v>50</v>
      </c>
      <c r="T500" s="2" t="n">
        <f aca="false">Settings!$B$4*MAX(INDEX(Bases!$N$2:$N$53,B500),INDEX(Bases!$N$2:$N$53,C500))+Settings!$B$5*MIN(INDEX(Bases!$N$2:$N$53,B500),INDEX(Bases!$N$2:$N$53,C500))</f>
        <v>70.6666666666667</v>
      </c>
      <c r="U500" s="2" t="n">
        <f aca="false">Settings!$B$4*MAX(INDEX(Bases!$O$2:$O$53,B500),INDEX(Bases!$O$2:$O$53,C500))+Settings!$B$5*MIN(INDEX(Bases!$O$2:$O$53,B500),INDEX(Bases!$O$2:$O$53,C500))</f>
        <v>57.6666666666667</v>
      </c>
      <c r="V500" s="2" t="n">
        <f aca="false">Settings!$B$4*MAX(INDEX(Bases!$P$2:$P$53,B500),INDEX(Bases!$P$2:$P$53,C500))+Settings!$B$5*MIN(INDEX(Bases!$P$2:$P$53,B500),INDEX(Bases!$P$2:$P$53,C500))</f>
        <v>55.6666666666667</v>
      </c>
      <c r="W500" s="2" t="n">
        <f aca="false">Settings!$B$4*MAX(INDEX(Bases!$Q$2:$Q$53,B500),INDEX(Bases!$Q$2:$Q$53,C500))+Settings!$B$5*MIN(INDEX(Bases!$Q$2:$Q$53,B500),INDEX(Bases!$Q$2:$Q$53,C500))</f>
        <v>69</v>
      </c>
      <c r="X500" s="2" t="n">
        <f aca="false">Settings!$B$4*MAX(INDEX(Bases!$R$2:$R$53,B500),INDEX(Bases!$R$2:$R$53,C500))+Settings!$B$5*MIN(INDEX(Bases!$R$2:$R$53,B500),INDEX(Bases!$R$2:$R$53,C500))</f>
        <v>116.333333333333</v>
      </c>
      <c r="Y500" s="2" t="n">
        <f aca="false">S500*Settings!$B$3/SUM(S500:X500)</f>
        <v>59.6184419713832</v>
      </c>
      <c r="Z500" s="2" t="n">
        <f aca="false">T500*Settings!$B$3/SUM(S500:X500)</f>
        <v>84.2607313195549</v>
      </c>
      <c r="AA500" s="2" t="n">
        <f aca="false">U500*Settings!$B$3/SUM(S500:X500)</f>
        <v>68.7599364069952</v>
      </c>
      <c r="AB500" s="2" t="n">
        <f aca="false">V500*Settings!$B$3/SUM(S500:X500)</f>
        <v>66.3751987281399</v>
      </c>
      <c r="AC500" s="2" t="n">
        <f aca="false">W500*Settings!$B$3/SUM(S500:X500)</f>
        <v>82.2734499205088</v>
      </c>
      <c r="AD500" s="2" t="n">
        <f aca="false">X500*Settings!$B$3/SUM(S500:X500)</f>
        <v>138.712241653418</v>
      </c>
      <c r="AE500" s="2" t="n">
        <f aca="false">INT(Y500)</f>
        <v>59</v>
      </c>
      <c r="AF500" s="2" t="n">
        <f aca="false">INT(Z500)</f>
        <v>84</v>
      </c>
      <c r="AG500" s="2" t="n">
        <f aca="false">INT(AA500)</f>
        <v>68</v>
      </c>
      <c r="AH500" s="2" t="n">
        <f aca="false">INT(AB500)</f>
        <v>66</v>
      </c>
      <c r="AI500" s="2" t="n">
        <f aca="false">INT(AC500)</f>
        <v>82</v>
      </c>
      <c r="AJ500" s="2" t="n">
        <f aca="false">INT(AD500)</f>
        <v>138</v>
      </c>
      <c r="AK500" s="2" t="n">
        <f aca="false">Settings!$B$3-SUM(AE500:AJ500)</f>
        <v>3</v>
      </c>
      <c r="AL500" s="2" t="n">
        <f aca="false">ROUND(Y500-AE500,9)</f>
        <v>0.618441971</v>
      </c>
      <c r="AM500" s="2" t="n">
        <f aca="false">ROUND(Z500-AF500,9)</f>
        <v>0.26073132</v>
      </c>
      <c r="AN500" s="2" t="n">
        <f aca="false">ROUND(AA500-AG500,9)</f>
        <v>0.759936407</v>
      </c>
      <c r="AO500" s="2" t="n">
        <f aca="false">ROUND(AB500-AH500,9)</f>
        <v>0.375198728</v>
      </c>
      <c r="AP500" s="2" t="n">
        <f aca="false">ROUND(AC500-AI500,9)</f>
        <v>0.273449921</v>
      </c>
      <c r="AQ500" s="2" t="n">
        <f aca="false">ROUND(AD500-AJ500,9)</f>
        <v>0.712241653</v>
      </c>
    </row>
    <row r="501" customFormat="false" ht="15" hidden="false" customHeight="false" outlineLevel="0" collapsed="false">
      <c r="A501" s="2" t="n">
        <v>500</v>
      </c>
      <c r="B501" s="6" t="n">
        <v>11</v>
      </c>
      <c r="C501" s="6" t="n">
        <v>46</v>
      </c>
      <c r="D501" s="8" t="str">
        <f aca="false">INDEX(Bases!$B$2:$B$53,B501)</f>
        <v>Voltorb</v>
      </c>
      <c r="E501" s="8" t="str">
        <f aca="false">INDEX(Bases!$B$2:$B$53,C501)</f>
        <v>Houndour</v>
      </c>
      <c r="F501" s="2" t="str">
        <f aca="false">LEFT(D501,ROUNDUP(LEN(D501)/2,0))&amp;LOWER(MID(E501,ROUNDUP(LEN(E501)/2,0)+1,20))</f>
        <v>Voltdour</v>
      </c>
      <c r="G501" s="8" t="str">
        <f aca="false">INDEX(Bases!$C$2:$C$53,B501)</f>
        <v>Electric</v>
      </c>
      <c r="H501" s="8" t="str">
        <f aca="false">IF(INDEX(Bases!$C$2:$C$53,C501)=G501,"",INDEX(Bases!$C$2:$C$53,C501))</f>
        <v>Dark</v>
      </c>
      <c r="I501" s="8" t="str">
        <f aca="false">IF(INDEX(Bases!$E$2:$E$53,B501)="","",INDEX(Bases!$E$2:$E$53,B501))</f>
        <v/>
      </c>
      <c r="J501" s="8" t="str">
        <f aca="false">IF(INDEX(Bases!$E$2:$E$53,C501)="","",INDEX(Bases!$E$2:$E$53,C501))</f>
        <v/>
      </c>
      <c r="K501" s="5"/>
      <c r="L501" s="2" t="n">
        <f aca="false">AE501+IF(SUMPRODUCT(--($AL501:$AQ501&gt;AL501))&lt;$AK501,1,0)</f>
        <v>61</v>
      </c>
      <c r="M501" s="2" t="n">
        <f aca="false">AF501+IF(SUMPRODUCT(--($AL501:$AQ501&gt;AM501))+SUMPRODUCT(--($AL501:AL501=AM501))&lt;$AK501,1,0)</f>
        <v>71</v>
      </c>
      <c r="N501" s="2" t="n">
        <f aca="false">AG501+IF(SUMPRODUCT(--($AL501:$AQ501&gt;AN501))+SUMPRODUCT(--($AL501:AM501=AN501))&lt;$AK501,1,0)</f>
        <v>62</v>
      </c>
      <c r="O501" s="2" t="n">
        <f aca="false">AH501+IF(SUMPRODUCT(--($AL501:$AQ501&gt;AO501))+SUMPRODUCT(--($AL501:AN501=AO501))&lt;$AK501,1,0)</f>
        <v>103</v>
      </c>
      <c r="P501" s="2" t="n">
        <f aca="false">AI501+IF(SUMPRODUCT(--($AL501:$AQ501&gt;AP501))+SUMPRODUCT(--($AL501:AO501=AP501))&lt;$AK501,1,0)</f>
        <v>77</v>
      </c>
      <c r="Q501" s="2" t="n">
        <f aca="false">AJ501+IF(SUMPRODUCT(--($AL501:$AQ501&gt;AQ501))+SUMPRODUCT(--($AL501:AP501=AQ501))&lt;$AK501,1,0)</f>
        <v>126</v>
      </c>
      <c r="R501" s="2" t="n">
        <f aca="false">SUM(L501:Q501)</f>
        <v>500</v>
      </c>
      <c r="S501" s="2" t="n">
        <f aca="false">Settings!$B$4*MAX(INDEX(Bases!$M$2:$M$53,B501),INDEX(Bases!$M$2:$M$53,C501))+Settings!$B$5*MIN(INDEX(Bases!$M$2:$M$53,B501),INDEX(Bases!$M$2:$M$53,C501))</f>
        <v>52</v>
      </c>
      <c r="T501" s="2" t="n">
        <f aca="false">Settings!$B$4*MAX(INDEX(Bases!$N$2:$N$53,B501),INDEX(Bases!$N$2:$N$53,C501))+Settings!$B$5*MIN(INDEX(Bases!$N$2:$N$53,B501),INDEX(Bases!$N$2:$N$53,C501))</f>
        <v>60.6666666666667</v>
      </c>
      <c r="U501" s="2" t="n">
        <f aca="false">Settings!$B$4*MAX(INDEX(Bases!$O$2:$O$53,B501),INDEX(Bases!$O$2:$O$53,C501))+Settings!$B$5*MIN(INDEX(Bases!$O$2:$O$53,B501),INDEX(Bases!$O$2:$O$53,C501))</f>
        <v>52.6666666666667</v>
      </c>
      <c r="V501" s="2" t="n">
        <f aca="false">Settings!$B$4*MAX(INDEX(Bases!$P$2:$P$53,B501),INDEX(Bases!$P$2:$P$53,C501))+Settings!$B$5*MIN(INDEX(Bases!$P$2:$P$53,B501),INDEX(Bases!$P$2:$P$53,C501))</f>
        <v>87</v>
      </c>
      <c r="W501" s="2" t="n">
        <f aca="false">Settings!$B$4*MAX(INDEX(Bases!$Q$2:$Q$53,B501),INDEX(Bases!$Q$2:$Q$53,C501))+Settings!$B$5*MIN(INDEX(Bases!$Q$2:$Q$53,B501),INDEX(Bases!$Q$2:$Q$53,C501))</f>
        <v>65</v>
      </c>
      <c r="X501" s="2" t="n">
        <f aca="false">Settings!$B$4*MAX(INDEX(Bases!$R$2:$R$53,B501),INDEX(Bases!$R$2:$R$53,C501))+Settings!$B$5*MIN(INDEX(Bases!$R$2:$R$53,B501),INDEX(Bases!$R$2:$R$53,C501))</f>
        <v>107</v>
      </c>
      <c r="Y501" s="2" t="n">
        <f aca="false">S501*Settings!$B$3/SUM(S501:X501)</f>
        <v>61.2725844461901</v>
      </c>
      <c r="Z501" s="2" t="n">
        <f aca="false">T501*Settings!$B$3/SUM(S501:X501)</f>
        <v>71.4846818538885</v>
      </c>
      <c r="AA501" s="2" t="n">
        <f aca="false">U501*Settings!$B$3/SUM(S501:X501)</f>
        <v>62.0581304006284</v>
      </c>
      <c r="AB501" s="2" t="n">
        <f aca="false">V501*Settings!$B$3/SUM(S501:X501)</f>
        <v>102.513747054203</v>
      </c>
      <c r="AC501" s="2" t="n">
        <f aca="false">W501*Settings!$B$3/SUM(S501:X501)</f>
        <v>76.5907305577376</v>
      </c>
      <c r="AD501" s="2" t="n">
        <f aca="false">X501*Settings!$B$3/SUM(S501:X501)</f>
        <v>126.080125687353</v>
      </c>
      <c r="AE501" s="2" t="n">
        <f aca="false">INT(Y501)</f>
        <v>61</v>
      </c>
      <c r="AF501" s="2" t="n">
        <f aca="false">INT(Z501)</f>
        <v>71</v>
      </c>
      <c r="AG501" s="2" t="n">
        <f aca="false">INT(AA501)</f>
        <v>62</v>
      </c>
      <c r="AH501" s="2" t="n">
        <f aca="false">INT(AB501)</f>
        <v>102</v>
      </c>
      <c r="AI501" s="2" t="n">
        <f aca="false">INT(AC501)</f>
        <v>76</v>
      </c>
      <c r="AJ501" s="2" t="n">
        <f aca="false">INT(AD501)</f>
        <v>126</v>
      </c>
      <c r="AK501" s="2" t="n">
        <f aca="false">Settings!$B$3-SUM(AE501:AJ501)</f>
        <v>2</v>
      </c>
      <c r="AL501" s="2" t="n">
        <f aca="false">ROUND(Y501-AE501,9)</f>
        <v>0.272584446</v>
      </c>
      <c r="AM501" s="2" t="n">
        <f aca="false">ROUND(Z501-AF501,9)</f>
        <v>0.484681854</v>
      </c>
      <c r="AN501" s="2" t="n">
        <f aca="false">ROUND(AA501-AG501,9)</f>
        <v>0.058130401</v>
      </c>
      <c r="AO501" s="2" t="n">
        <f aca="false">ROUND(AB501-AH501,9)</f>
        <v>0.513747054</v>
      </c>
      <c r="AP501" s="2" t="n">
        <f aca="false">ROUND(AC501-AI501,9)</f>
        <v>0.590730558</v>
      </c>
      <c r="AQ501" s="2" t="n">
        <f aca="false">ROUND(AD501-AJ501,9)</f>
        <v>0.080125687</v>
      </c>
    </row>
    <row r="502" customFormat="false" ht="15" hidden="false" customHeight="false" outlineLevel="0" collapsed="false">
      <c r="A502" s="2" t="n">
        <v>501</v>
      </c>
      <c r="B502" s="6" t="n">
        <v>11</v>
      </c>
      <c r="C502" s="6" t="n">
        <v>47</v>
      </c>
      <c r="D502" s="8" t="str">
        <f aca="false">INDEX(Bases!$B$2:$B$53,B502)</f>
        <v>Voltorb</v>
      </c>
      <c r="E502" s="8" t="str">
        <f aca="false">INDEX(Bases!$B$2:$B$53,C502)</f>
        <v>Carvanha</v>
      </c>
      <c r="F502" s="2" t="str">
        <f aca="false">LEFT(D502,ROUNDUP(LEN(D502)/2,0))&amp;LOWER(MID(E502,ROUNDUP(LEN(E502)/2,0)+1,20))</f>
        <v>Voltanha</v>
      </c>
      <c r="G502" s="8" t="str">
        <f aca="false">INDEX(Bases!$C$2:$C$53,B502)</f>
        <v>Electric</v>
      </c>
      <c r="H502" s="8" t="str">
        <f aca="false">IF(INDEX(Bases!$C$2:$C$53,C502)=G502,"",INDEX(Bases!$C$2:$C$53,C502))</f>
        <v>Dark</v>
      </c>
      <c r="I502" s="8" t="str">
        <f aca="false">IF(INDEX(Bases!$E$2:$E$53,B502)="","",INDEX(Bases!$E$2:$E$53,B502))</f>
        <v/>
      </c>
      <c r="J502" s="8" t="str">
        <f aca="false">IF(INDEX(Bases!$E$2:$E$53,C502)="","",INDEX(Bases!$E$2:$E$53,C502))</f>
        <v/>
      </c>
      <c r="K502" s="5"/>
      <c r="L502" s="2" t="n">
        <f aca="false">AE502+IF(SUMPRODUCT(--($AL502:$AQ502&gt;AL502))&lt;$AK502,1,0)</f>
        <v>63</v>
      </c>
      <c r="M502" s="2" t="n">
        <f aca="false">AF502+IF(SUMPRODUCT(--($AL502:$AQ502&gt;AM502))+SUMPRODUCT(--($AL502:AL502=AM502))&lt;$AK502,1,0)</f>
        <v>104</v>
      </c>
      <c r="N502" s="2" t="n">
        <f aca="false">AG502+IF(SUMPRODUCT(--($AL502:$AQ502&gt;AN502))+SUMPRODUCT(--($AL502:AM502=AN502))&lt;$AK502,1,0)</f>
        <v>56</v>
      </c>
      <c r="O502" s="2" t="n">
        <f aca="false">AH502+IF(SUMPRODUCT(--($AL502:$AQ502&gt;AO502))+SUMPRODUCT(--($AL502:AN502=AO502))&lt;$AK502,1,0)</f>
        <v>91</v>
      </c>
      <c r="P502" s="2" t="n">
        <f aca="false">AI502+IF(SUMPRODUCT(--($AL502:$AQ502&gt;AP502))+SUMPRODUCT(--($AL502:AO502=AP502))&lt;$AK502,1,0)</f>
        <v>61</v>
      </c>
      <c r="Q502" s="2" t="n">
        <f aca="false">AJ502+IF(SUMPRODUCT(--($AL502:$AQ502&gt;AQ502))+SUMPRODUCT(--($AL502:AP502=AQ502))&lt;$AK502,1,0)</f>
        <v>125</v>
      </c>
      <c r="R502" s="2" t="n">
        <f aca="false">SUM(L502:Q502)</f>
        <v>500</v>
      </c>
      <c r="S502" s="2" t="n">
        <f aca="false">Settings!$B$4*MAX(INDEX(Bases!$M$2:$M$53,B502),INDEX(Bases!$M$2:$M$53,C502))+Settings!$B$5*MIN(INDEX(Bases!$M$2:$M$53,B502),INDEX(Bases!$M$2:$M$53,C502))</f>
        <v>55.3333333333333</v>
      </c>
      <c r="T502" s="2" t="n">
        <f aca="false">Settings!$B$4*MAX(INDEX(Bases!$N$2:$N$53,B502),INDEX(Bases!$N$2:$N$53,C502))+Settings!$B$5*MIN(INDEX(Bases!$N$2:$N$53,B502),INDEX(Bases!$N$2:$N$53,C502))</f>
        <v>90.6666666666667</v>
      </c>
      <c r="U502" s="2" t="n">
        <f aca="false">Settings!$B$4*MAX(INDEX(Bases!$O$2:$O$53,B502),INDEX(Bases!$O$2:$O$53,C502))+Settings!$B$5*MIN(INDEX(Bases!$O$2:$O$53,B502),INDEX(Bases!$O$2:$O$53,C502))</f>
        <v>49.3333333333333</v>
      </c>
      <c r="V502" s="2" t="n">
        <f aca="false">Settings!$B$4*MAX(INDEX(Bases!$P$2:$P$53,B502),INDEX(Bases!$P$2:$P$53,C502))+Settings!$B$5*MIN(INDEX(Bases!$P$2:$P$53,B502),INDEX(Bases!$P$2:$P$53,C502))</f>
        <v>79.6666666666667</v>
      </c>
      <c r="W502" s="2" t="n">
        <f aca="false">Settings!$B$4*MAX(INDEX(Bases!$Q$2:$Q$53,B502),INDEX(Bases!$Q$2:$Q$53,C502))+Settings!$B$5*MIN(INDEX(Bases!$Q$2:$Q$53,B502),INDEX(Bases!$Q$2:$Q$53,C502))</f>
        <v>53.3333333333333</v>
      </c>
      <c r="X502" s="2" t="n">
        <f aca="false">Settings!$B$4*MAX(INDEX(Bases!$R$2:$R$53,B502),INDEX(Bases!$R$2:$R$53,C502))+Settings!$B$5*MIN(INDEX(Bases!$R$2:$R$53,B502),INDEX(Bases!$R$2:$R$53,C502))</f>
        <v>109</v>
      </c>
      <c r="Y502" s="2" t="n">
        <f aca="false">S502*Settings!$B$3/SUM(S502:X502)</f>
        <v>63.2621951219512</v>
      </c>
      <c r="Z502" s="2" t="n">
        <f aca="false">T502*Settings!$B$3/SUM(S502:X502)</f>
        <v>103.658536585366</v>
      </c>
      <c r="AA502" s="2" t="n">
        <f aca="false">U502*Settings!$B$3/SUM(S502:X502)</f>
        <v>56.4024390243902</v>
      </c>
      <c r="AB502" s="2" t="n">
        <f aca="false">V502*Settings!$B$3/SUM(S502:X502)</f>
        <v>91.0823170731707</v>
      </c>
      <c r="AC502" s="2" t="n">
        <f aca="false">W502*Settings!$B$3/SUM(S502:X502)</f>
        <v>60.9756097560976</v>
      </c>
      <c r="AD502" s="2" t="n">
        <f aca="false">X502*Settings!$B$3/SUM(S502:X502)</f>
        <v>124.618902439024</v>
      </c>
      <c r="AE502" s="2" t="n">
        <f aca="false">INT(Y502)</f>
        <v>63</v>
      </c>
      <c r="AF502" s="2" t="n">
        <f aca="false">INT(Z502)</f>
        <v>103</v>
      </c>
      <c r="AG502" s="2" t="n">
        <f aca="false">INT(AA502)</f>
        <v>56</v>
      </c>
      <c r="AH502" s="2" t="n">
        <f aca="false">INT(AB502)</f>
        <v>91</v>
      </c>
      <c r="AI502" s="2" t="n">
        <f aca="false">INT(AC502)</f>
        <v>60</v>
      </c>
      <c r="AJ502" s="2" t="n">
        <f aca="false">INT(AD502)</f>
        <v>124</v>
      </c>
      <c r="AK502" s="2" t="n">
        <f aca="false">Settings!$B$3-SUM(AE502:AJ502)</f>
        <v>3</v>
      </c>
      <c r="AL502" s="2" t="n">
        <f aca="false">ROUND(Y502-AE502,9)</f>
        <v>0.262195122</v>
      </c>
      <c r="AM502" s="2" t="n">
        <f aca="false">ROUND(Z502-AF502,9)</f>
        <v>0.658536585</v>
      </c>
      <c r="AN502" s="2" t="n">
        <f aca="false">ROUND(AA502-AG502,9)</f>
        <v>0.402439024</v>
      </c>
      <c r="AO502" s="2" t="n">
        <f aca="false">ROUND(AB502-AH502,9)</f>
        <v>0.082317073</v>
      </c>
      <c r="AP502" s="2" t="n">
        <f aca="false">ROUND(AC502-AI502,9)</f>
        <v>0.975609756</v>
      </c>
      <c r="AQ502" s="2" t="n">
        <f aca="false">ROUND(AD502-AJ502,9)</f>
        <v>0.618902439</v>
      </c>
    </row>
    <row r="503" customFormat="false" ht="15" hidden="false" customHeight="false" outlineLevel="0" collapsed="false">
      <c r="A503" s="2" t="n">
        <v>502</v>
      </c>
      <c r="B503" s="6" t="n">
        <v>11</v>
      </c>
      <c r="C503" s="6" t="n">
        <v>48</v>
      </c>
      <c r="D503" s="8" t="str">
        <f aca="false">INDEX(Bases!$B$2:$B$53,B503)</f>
        <v>Voltorb</v>
      </c>
      <c r="E503" s="8" t="str">
        <f aca="false">INDEX(Bases!$B$2:$B$53,C503)</f>
        <v>Magnemite</v>
      </c>
      <c r="F503" s="2" t="str">
        <f aca="false">LEFT(D503,ROUNDUP(LEN(D503)/2,0))&amp;LOWER(MID(E503,ROUNDUP(LEN(E503)/2,0)+1,20))</f>
        <v>Voltmite</v>
      </c>
      <c r="G503" s="8" t="str">
        <f aca="false">INDEX(Bases!$C$2:$C$53,B503)</f>
        <v>Electric</v>
      </c>
      <c r="H503" s="8" t="str">
        <f aca="false">IF(INDEX(Bases!$C$2:$C$53,C503)=G503,"",INDEX(Bases!$C$2:$C$53,C503))</f>
        <v>Steel</v>
      </c>
      <c r="I503" s="8" t="str">
        <f aca="false">IF(INDEX(Bases!$E$2:$E$53,B503)="","",INDEX(Bases!$E$2:$E$53,B503))</f>
        <v/>
      </c>
      <c r="J503" s="8" t="str">
        <f aca="false">IF(INDEX(Bases!$E$2:$E$53,C503)="","",INDEX(Bases!$E$2:$E$53,C503))</f>
        <v/>
      </c>
      <c r="K503" s="5"/>
      <c r="L503" s="2" t="n">
        <f aca="false">AE503+IF(SUMPRODUCT(--($AL503:$AQ503&gt;AL503))&lt;$AK503,1,0)</f>
        <v>49</v>
      </c>
      <c r="M503" s="2" t="n">
        <f aca="false">AF503+IF(SUMPRODUCT(--($AL503:$AQ503&gt;AM503))+SUMPRODUCT(--($AL503:AL503=AM503))&lt;$AK503,1,0)</f>
        <v>48</v>
      </c>
      <c r="N503" s="2" t="n">
        <f aca="false">AG503+IF(SUMPRODUCT(--($AL503:$AQ503&gt;AN503))+SUMPRODUCT(--($AL503:AM503=AN503))&lt;$AK503,1,0)</f>
        <v>91</v>
      </c>
      <c r="O503" s="2" t="n">
        <f aca="false">AH503+IF(SUMPRODUCT(--($AL503:$AQ503&gt;AO503))+SUMPRODUCT(--($AL503:AN503=AO503))&lt;$AK503,1,0)</f>
        <v>117</v>
      </c>
      <c r="P503" s="2" t="n">
        <f aca="false">AI503+IF(SUMPRODUCT(--($AL503:$AQ503&gt;AP503))+SUMPRODUCT(--($AL503:AO503=AP503))&lt;$AK503,1,0)</f>
        <v>79</v>
      </c>
      <c r="Q503" s="2" t="n">
        <f aca="false">AJ503+IF(SUMPRODUCT(--($AL503:$AQ503&gt;AQ503))+SUMPRODUCT(--($AL503:AP503=AQ503))&lt;$AK503,1,0)</f>
        <v>116</v>
      </c>
      <c r="R503" s="2" t="n">
        <f aca="false">SUM(L503:Q503)</f>
        <v>500</v>
      </c>
      <c r="S503" s="2" t="n">
        <f aca="false">Settings!$B$4*MAX(INDEX(Bases!$M$2:$M$53,B503),INDEX(Bases!$M$2:$M$53,C503))+Settings!$B$5*MIN(INDEX(Bases!$M$2:$M$53,B503),INDEX(Bases!$M$2:$M$53,C503))</f>
        <v>42.3333333333333</v>
      </c>
      <c r="T503" s="2" t="n">
        <f aca="false">Settings!$B$4*MAX(INDEX(Bases!$N$2:$N$53,B503),INDEX(Bases!$N$2:$N$53,C503))+Settings!$B$5*MIN(INDEX(Bases!$N$2:$N$53,B503),INDEX(Bases!$N$2:$N$53,C503))</f>
        <v>40.6666666666667</v>
      </c>
      <c r="U503" s="2" t="n">
        <f aca="false">Settings!$B$4*MAX(INDEX(Bases!$O$2:$O$53,B503),INDEX(Bases!$O$2:$O$53,C503))+Settings!$B$5*MIN(INDEX(Bases!$O$2:$O$53,B503),INDEX(Bases!$O$2:$O$53,C503))</f>
        <v>77.6666666666667</v>
      </c>
      <c r="V503" s="2" t="n">
        <f aca="false">Settings!$B$4*MAX(INDEX(Bases!$P$2:$P$53,B503),INDEX(Bases!$P$2:$P$53,C503))+Settings!$B$5*MIN(INDEX(Bases!$P$2:$P$53,B503),INDEX(Bases!$P$2:$P$53,C503))</f>
        <v>100.333333333333</v>
      </c>
      <c r="W503" s="2" t="n">
        <f aca="false">Settings!$B$4*MAX(INDEX(Bases!$Q$2:$Q$53,B503),INDEX(Bases!$Q$2:$Q$53,C503))+Settings!$B$5*MIN(INDEX(Bases!$Q$2:$Q$53,B503),INDEX(Bases!$Q$2:$Q$53,C503))</f>
        <v>67.6666666666667</v>
      </c>
      <c r="X503" s="2" t="n">
        <f aca="false">Settings!$B$4*MAX(INDEX(Bases!$R$2:$R$53,B503),INDEX(Bases!$R$2:$R$53,C503))+Settings!$B$5*MIN(INDEX(Bases!$R$2:$R$53,B503),INDEX(Bases!$R$2:$R$53,C503))</f>
        <v>99</v>
      </c>
      <c r="Y503" s="2" t="n">
        <f aca="false">S503*Settings!$B$3/SUM(S503:X503)</f>
        <v>49.4933749025721</v>
      </c>
      <c r="Z503" s="2" t="n">
        <f aca="false">T503*Settings!$B$3/SUM(S503:X503)</f>
        <v>47.5448168355417</v>
      </c>
      <c r="AA503" s="2" t="n">
        <f aca="false">U503*Settings!$B$3/SUM(S503:X503)</f>
        <v>90.8028059236165</v>
      </c>
      <c r="AB503" s="2" t="n">
        <f aca="false">V503*Settings!$B$3/SUM(S503:X503)</f>
        <v>117.30319563523</v>
      </c>
      <c r="AC503" s="2" t="n">
        <f aca="false">W503*Settings!$B$3/SUM(S503:X503)</f>
        <v>79.1114575214341</v>
      </c>
      <c r="AD503" s="2" t="n">
        <f aca="false">X503*Settings!$B$3/SUM(S503:X503)</f>
        <v>115.744349181606</v>
      </c>
      <c r="AE503" s="2" t="n">
        <f aca="false">INT(Y503)</f>
        <v>49</v>
      </c>
      <c r="AF503" s="2" t="n">
        <f aca="false">INT(Z503)</f>
        <v>47</v>
      </c>
      <c r="AG503" s="2" t="n">
        <f aca="false">INT(AA503)</f>
        <v>90</v>
      </c>
      <c r="AH503" s="2" t="n">
        <f aca="false">INT(AB503)</f>
        <v>117</v>
      </c>
      <c r="AI503" s="2" t="n">
        <f aca="false">INT(AC503)</f>
        <v>79</v>
      </c>
      <c r="AJ503" s="2" t="n">
        <f aca="false">INT(AD503)</f>
        <v>115</v>
      </c>
      <c r="AK503" s="2" t="n">
        <f aca="false">Settings!$B$3-SUM(AE503:AJ503)</f>
        <v>3</v>
      </c>
      <c r="AL503" s="2" t="n">
        <f aca="false">ROUND(Y503-AE503,9)</f>
        <v>0.493374903</v>
      </c>
      <c r="AM503" s="2" t="n">
        <f aca="false">ROUND(Z503-AF503,9)</f>
        <v>0.544816836</v>
      </c>
      <c r="AN503" s="2" t="n">
        <f aca="false">ROUND(AA503-AG503,9)</f>
        <v>0.802805924</v>
      </c>
      <c r="AO503" s="2" t="n">
        <f aca="false">ROUND(AB503-AH503,9)</f>
        <v>0.303195635</v>
      </c>
      <c r="AP503" s="2" t="n">
        <f aca="false">ROUND(AC503-AI503,9)</f>
        <v>0.111457521</v>
      </c>
      <c r="AQ503" s="2" t="n">
        <f aca="false">ROUND(AD503-AJ503,9)</f>
        <v>0.744349182</v>
      </c>
    </row>
    <row r="504" customFormat="false" ht="15" hidden="false" customHeight="false" outlineLevel="0" collapsed="false">
      <c r="A504" s="2" t="n">
        <v>503</v>
      </c>
      <c r="B504" s="6" t="n">
        <v>11</v>
      </c>
      <c r="C504" s="6" t="n">
        <v>49</v>
      </c>
      <c r="D504" s="8" t="str">
        <f aca="false">INDEX(Bases!$B$2:$B$53,B504)</f>
        <v>Voltorb</v>
      </c>
      <c r="E504" s="8" t="str">
        <f aca="false">INDEX(Bases!$B$2:$B$53,C504)</f>
        <v>Aron</v>
      </c>
      <c r="F504" s="2" t="str">
        <f aca="false">LEFT(D504,ROUNDUP(LEN(D504)/2,0))&amp;LOWER(MID(E504,ROUNDUP(LEN(E504)/2,0)+1,20))</f>
        <v>Volton</v>
      </c>
      <c r="G504" s="8" t="str">
        <f aca="false">INDEX(Bases!$C$2:$C$53,B504)</f>
        <v>Electric</v>
      </c>
      <c r="H504" s="8" t="str">
        <f aca="false">IF(INDEX(Bases!$C$2:$C$53,C504)=G504,"",INDEX(Bases!$C$2:$C$53,C504))</f>
        <v>Steel</v>
      </c>
      <c r="I504" s="8" t="str">
        <f aca="false">IF(INDEX(Bases!$E$2:$E$53,B504)="","",INDEX(Bases!$E$2:$E$53,B504))</f>
        <v/>
      </c>
      <c r="J504" s="8" t="str">
        <f aca="false">IF(INDEX(Bases!$E$2:$E$53,C504)="","",INDEX(Bases!$E$2:$E$53,C504))</f>
        <v/>
      </c>
      <c r="K504" s="5"/>
      <c r="L504" s="2" t="n">
        <f aca="false">AE504+IF(SUMPRODUCT(--($AL504:$AQ504&gt;AL504))&lt;$AK504,1,0)</f>
        <v>64</v>
      </c>
      <c r="M504" s="2" t="n">
        <f aca="false">AF504+IF(SUMPRODUCT(--($AL504:$AQ504&gt;AM504))+SUMPRODUCT(--($AL504:AL504=AM504))&lt;$AK504,1,0)</f>
        <v>78</v>
      </c>
      <c r="N504" s="2" t="n">
        <f aca="false">AG504+IF(SUMPRODUCT(--($AL504:$AQ504&gt;AN504))+SUMPRODUCT(--($AL504:AM504=AN504))&lt;$AK504,1,0)</f>
        <v>115</v>
      </c>
      <c r="O504" s="2" t="n">
        <f aca="false">AH504+IF(SUMPRODUCT(--($AL504:$AQ504&gt;AO504))+SUMPRODUCT(--($AL504:AN504=AO504))&lt;$AK504,1,0)</f>
        <v>69</v>
      </c>
      <c r="P504" s="2" t="n">
        <f aca="false">AI504+IF(SUMPRODUCT(--($AL504:$AQ504&gt;AP504))+SUMPRODUCT(--($AL504:AO504=AP504))&lt;$AK504,1,0)</f>
        <v>69</v>
      </c>
      <c r="Q504" s="2" t="n">
        <f aca="false">AJ504+IF(SUMPRODUCT(--($AL504:$AQ504&gt;AQ504))+SUMPRODUCT(--($AL504:AP504=AQ504))&lt;$AK504,1,0)</f>
        <v>105</v>
      </c>
      <c r="R504" s="2" t="n">
        <f aca="false">SUM(L504:Q504)</f>
        <v>500</v>
      </c>
      <c r="S504" s="2" t="n">
        <f aca="false">Settings!$B$4*MAX(INDEX(Bases!$M$2:$M$53,B504),INDEX(Bases!$M$2:$M$53,C504))+Settings!$B$5*MIN(INDEX(Bases!$M$2:$M$53,B504),INDEX(Bases!$M$2:$M$53,C504))</f>
        <v>56.6666666666667</v>
      </c>
      <c r="T504" s="2" t="n">
        <f aca="false">Settings!$B$4*MAX(INDEX(Bases!$N$2:$N$53,B504),INDEX(Bases!$N$2:$N$53,C504))+Settings!$B$5*MIN(INDEX(Bases!$N$2:$N$53,B504),INDEX(Bases!$N$2:$N$53,C504))</f>
        <v>68.6666666666667</v>
      </c>
      <c r="U504" s="2" t="n">
        <f aca="false">Settings!$B$4*MAX(INDEX(Bases!$O$2:$O$53,B504),INDEX(Bases!$O$2:$O$53,C504))+Settings!$B$5*MIN(INDEX(Bases!$O$2:$O$53,B504),INDEX(Bases!$O$2:$O$53,C504))</f>
        <v>101</v>
      </c>
      <c r="V504" s="2" t="n">
        <f aca="false">Settings!$B$4*MAX(INDEX(Bases!$P$2:$P$53,B504),INDEX(Bases!$P$2:$P$53,C504))+Settings!$B$5*MIN(INDEX(Bases!$P$2:$P$53,B504),INDEX(Bases!$P$2:$P$53,C504))</f>
        <v>61</v>
      </c>
      <c r="W504" s="2" t="n">
        <f aca="false">Settings!$B$4*MAX(INDEX(Bases!$Q$2:$Q$53,B504),INDEX(Bases!$Q$2:$Q$53,C504))+Settings!$B$5*MIN(INDEX(Bases!$Q$2:$Q$53,B504),INDEX(Bases!$Q$2:$Q$53,C504))</f>
        <v>60.6666666666667</v>
      </c>
      <c r="X504" s="2" t="n">
        <f aca="false">Settings!$B$4*MAX(INDEX(Bases!$R$2:$R$53,B504),INDEX(Bases!$R$2:$R$53,C504))+Settings!$B$5*MIN(INDEX(Bases!$R$2:$R$53,B504),INDEX(Bases!$R$2:$R$53,C504))</f>
        <v>92.6666666666667</v>
      </c>
      <c r="Y504" s="2" t="n">
        <f aca="false">S504*Settings!$B$3/SUM(S504:X504)</f>
        <v>64.2965204236006</v>
      </c>
      <c r="Z504" s="2" t="n">
        <f aca="false">T504*Settings!$B$3/SUM(S504:X504)</f>
        <v>77.9122541603631</v>
      </c>
      <c r="AA504" s="2" t="n">
        <f aca="false">U504*Settings!$B$3/SUM(S504:X504)</f>
        <v>114.599092284418</v>
      </c>
      <c r="AB504" s="2" t="n">
        <f aca="false">V504*Settings!$B$3/SUM(S504:X504)</f>
        <v>69.2133131618759</v>
      </c>
      <c r="AC504" s="2" t="n">
        <f aca="false">W504*Settings!$B$3/SUM(S504:X504)</f>
        <v>68.8350983358548</v>
      </c>
      <c r="AD504" s="2" t="n">
        <f aca="false">X504*Settings!$B$3/SUM(S504:X504)</f>
        <v>105.143721633888</v>
      </c>
      <c r="AE504" s="2" t="n">
        <f aca="false">INT(Y504)</f>
        <v>64</v>
      </c>
      <c r="AF504" s="2" t="n">
        <f aca="false">INT(Z504)</f>
        <v>77</v>
      </c>
      <c r="AG504" s="2" t="n">
        <f aca="false">INT(AA504)</f>
        <v>114</v>
      </c>
      <c r="AH504" s="2" t="n">
        <f aca="false">INT(AB504)</f>
        <v>69</v>
      </c>
      <c r="AI504" s="2" t="n">
        <f aca="false">INT(AC504)</f>
        <v>68</v>
      </c>
      <c r="AJ504" s="2" t="n">
        <f aca="false">INT(AD504)</f>
        <v>105</v>
      </c>
      <c r="AK504" s="2" t="n">
        <f aca="false">Settings!$B$3-SUM(AE504:AJ504)</f>
        <v>3</v>
      </c>
      <c r="AL504" s="2" t="n">
        <f aca="false">ROUND(Y504-AE504,9)</f>
        <v>0.296520424</v>
      </c>
      <c r="AM504" s="2" t="n">
        <f aca="false">ROUND(Z504-AF504,9)</f>
        <v>0.91225416</v>
      </c>
      <c r="AN504" s="2" t="n">
        <f aca="false">ROUND(AA504-AG504,9)</f>
        <v>0.599092284</v>
      </c>
      <c r="AO504" s="2" t="n">
        <f aca="false">ROUND(AB504-AH504,9)</f>
        <v>0.213313162</v>
      </c>
      <c r="AP504" s="2" t="n">
        <f aca="false">ROUND(AC504-AI504,9)</f>
        <v>0.835098336</v>
      </c>
      <c r="AQ504" s="2" t="n">
        <f aca="false">ROUND(AD504-AJ504,9)</f>
        <v>0.143721634</v>
      </c>
    </row>
    <row r="505" customFormat="false" ht="15" hidden="false" customHeight="false" outlineLevel="0" collapsed="false">
      <c r="A505" s="2" t="n">
        <v>504</v>
      </c>
      <c r="B505" s="6" t="n">
        <v>11</v>
      </c>
      <c r="C505" s="6" t="n">
        <v>50</v>
      </c>
      <c r="D505" s="8" t="str">
        <f aca="false">INDEX(Bases!$B$2:$B$53,B505)</f>
        <v>Voltorb</v>
      </c>
      <c r="E505" s="8" t="str">
        <f aca="false">INDEX(Bases!$B$2:$B$53,C505)</f>
        <v>Beldum</v>
      </c>
      <c r="F505" s="2" t="str">
        <f aca="false">LEFT(D505,ROUNDUP(LEN(D505)/2,0))&amp;LOWER(MID(E505,ROUNDUP(LEN(E505)/2,0)+1,20))</f>
        <v>Voltdum</v>
      </c>
      <c r="G505" s="8" t="str">
        <f aca="false">INDEX(Bases!$C$2:$C$53,B505)</f>
        <v>Electric</v>
      </c>
      <c r="H505" s="8" t="str">
        <f aca="false">IF(INDEX(Bases!$C$2:$C$53,C505)=G505,"",INDEX(Bases!$C$2:$C$53,C505))</f>
        <v>Steel</v>
      </c>
      <c r="I505" s="8" t="str">
        <f aca="false">IF(INDEX(Bases!$E$2:$E$53,B505)="","",INDEX(Bases!$E$2:$E$53,B505))</f>
        <v/>
      </c>
      <c r="J505" s="8" t="str">
        <f aca="false">IF(INDEX(Bases!$E$2:$E$53,C505)="","",INDEX(Bases!$E$2:$E$53,C505))</f>
        <v/>
      </c>
      <c r="K505" s="5"/>
      <c r="L505" s="2" t="n">
        <f aca="false">AE505+IF(SUMPRODUCT(--($AL505:$AQ505&gt;AL505))&lt;$AK505,1,0)</f>
        <v>59</v>
      </c>
      <c r="M505" s="2" t="n">
        <f aca="false">AF505+IF(SUMPRODUCT(--($AL505:$AQ505&gt;AM505))+SUMPRODUCT(--($AL505:AL505=AM505))&lt;$AK505,1,0)</f>
        <v>70</v>
      </c>
      <c r="N505" s="2" t="n">
        <f aca="false">AG505+IF(SUMPRODUCT(--($AL505:$AQ505&gt;AN505))+SUMPRODUCT(--($AL505:AM505=AN505))&lt;$AK505,1,0)</f>
        <v>106</v>
      </c>
      <c r="O505" s="2" t="n">
        <f aca="false">AH505+IF(SUMPRODUCT(--($AL505:$AQ505&gt;AO505))+SUMPRODUCT(--($AL505:AN505=AO505))&lt;$AK505,1,0)</f>
        <v>70</v>
      </c>
      <c r="P505" s="2" t="n">
        <f aca="false">AI505+IF(SUMPRODUCT(--($AL505:$AQ505&gt;AP505))+SUMPRODUCT(--($AL505:AO505=AP505))&lt;$AK505,1,0)</f>
        <v>87</v>
      </c>
      <c r="Q505" s="2" t="n">
        <f aca="false">AJ505+IF(SUMPRODUCT(--($AL505:$AQ505&gt;AQ505))+SUMPRODUCT(--($AL505:AP505=AQ505))&lt;$AK505,1,0)</f>
        <v>108</v>
      </c>
      <c r="R505" s="2" t="n">
        <f aca="false">SUM(L505:Q505)</f>
        <v>500</v>
      </c>
      <c r="S505" s="2" t="n">
        <f aca="false">Settings!$B$4*MAX(INDEX(Bases!$M$2:$M$53,B505),INDEX(Bases!$M$2:$M$53,C505))+Settings!$B$5*MIN(INDEX(Bases!$M$2:$M$53,B505),INDEX(Bases!$M$2:$M$53,C505))</f>
        <v>51.3333333333333</v>
      </c>
      <c r="T505" s="2" t="n">
        <f aca="false">Settings!$B$4*MAX(INDEX(Bases!$N$2:$N$53,B505),INDEX(Bases!$N$2:$N$53,C505))+Settings!$B$5*MIN(INDEX(Bases!$N$2:$N$53,B505),INDEX(Bases!$N$2:$N$53,C505))</f>
        <v>60.6666666666667</v>
      </c>
      <c r="U505" s="2" t="n">
        <f aca="false">Settings!$B$4*MAX(INDEX(Bases!$O$2:$O$53,B505),INDEX(Bases!$O$2:$O$53,C505))+Settings!$B$5*MIN(INDEX(Bases!$O$2:$O$53,B505),INDEX(Bases!$O$2:$O$53,C505))</f>
        <v>91.6666666666667</v>
      </c>
      <c r="V505" s="2" t="n">
        <f aca="false">Settings!$B$4*MAX(INDEX(Bases!$P$2:$P$53,B505),INDEX(Bases!$P$2:$P$53,C505))+Settings!$B$5*MIN(INDEX(Bases!$P$2:$P$53,B505),INDEX(Bases!$P$2:$P$53,C505))</f>
        <v>60.3333333333333</v>
      </c>
      <c r="W505" s="2" t="n">
        <f aca="false">Settings!$B$4*MAX(INDEX(Bases!$Q$2:$Q$53,B505),INDEX(Bases!$Q$2:$Q$53,C505))+Settings!$B$5*MIN(INDEX(Bases!$Q$2:$Q$53,B505),INDEX(Bases!$Q$2:$Q$53,C505))</f>
        <v>75.6666666666667</v>
      </c>
      <c r="X505" s="2" t="n">
        <f aca="false">Settings!$B$4*MAX(INDEX(Bases!$R$2:$R$53,B505),INDEX(Bases!$R$2:$R$53,C505))+Settings!$B$5*MIN(INDEX(Bases!$R$2:$R$53,B505),INDEX(Bases!$R$2:$R$53,C505))</f>
        <v>94</v>
      </c>
      <c r="Y505" s="2" t="n">
        <f aca="false">S505*Settings!$B$3/SUM(S505:X505)</f>
        <v>59.185242121445</v>
      </c>
      <c r="Z505" s="2" t="n">
        <f aca="false">T505*Settings!$B$3/SUM(S505:X505)</f>
        <v>69.9461952344351</v>
      </c>
      <c r="AA505" s="2" t="n">
        <f aca="false">U505*Settings!$B$3/SUM(S505:X505)</f>
        <v>105.687932359723</v>
      </c>
      <c r="AB505" s="2" t="n">
        <f aca="false">V505*Settings!$B$3/SUM(S505:X505)</f>
        <v>69.5618754803997</v>
      </c>
      <c r="AC505" s="2" t="n">
        <f aca="false">W505*Settings!$B$3/SUM(S505:X505)</f>
        <v>87.2405841660261</v>
      </c>
      <c r="AD505" s="2" t="n">
        <f aca="false">X505*Settings!$B$3/SUM(S505:X505)</f>
        <v>108.378170637971</v>
      </c>
      <c r="AE505" s="2" t="n">
        <f aca="false">INT(Y505)</f>
        <v>59</v>
      </c>
      <c r="AF505" s="2" t="n">
        <f aca="false">INT(Z505)</f>
        <v>69</v>
      </c>
      <c r="AG505" s="2" t="n">
        <f aca="false">INT(AA505)</f>
        <v>105</v>
      </c>
      <c r="AH505" s="2" t="n">
        <f aca="false">INT(AB505)</f>
        <v>69</v>
      </c>
      <c r="AI505" s="2" t="n">
        <f aca="false">INT(AC505)</f>
        <v>87</v>
      </c>
      <c r="AJ505" s="2" t="n">
        <f aca="false">INT(AD505)</f>
        <v>108</v>
      </c>
      <c r="AK505" s="2" t="n">
        <f aca="false">Settings!$B$3-SUM(AE505:AJ505)</f>
        <v>3</v>
      </c>
      <c r="AL505" s="2" t="n">
        <f aca="false">ROUND(Y505-AE505,9)</f>
        <v>0.185242121</v>
      </c>
      <c r="AM505" s="2" t="n">
        <f aca="false">ROUND(Z505-AF505,9)</f>
        <v>0.946195234</v>
      </c>
      <c r="AN505" s="2" t="n">
        <f aca="false">ROUND(AA505-AG505,9)</f>
        <v>0.68793236</v>
      </c>
      <c r="AO505" s="2" t="n">
        <f aca="false">ROUND(AB505-AH505,9)</f>
        <v>0.56187548</v>
      </c>
      <c r="AP505" s="2" t="n">
        <f aca="false">ROUND(AC505-AI505,9)</f>
        <v>0.240584166</v>
      </c>
      <c r="AQ505" s="2" t="n">
        <f aca="false">ROUND(AD505-AJ505,9)</f>
        <v>0.378170638</v>
      </c>
    </row>
    <row r="506" customFormat="false" ht="15" hidden="false" customHeight="false" outlineLevel="0" collapsed="false">
      <c r="A506" s="2" t="n">
        <v>505</v>
      </c>
      <c r="B506" s="6" t="n">
        <v>11</v>
      </c>
      <c r="C506" s="6" t="n">
        <v>51</v>
      </c>
      <c r="D506" s="8" t="str">
        <f aca="false">INDEX(Bases!$B$2:$B$53,B506)</f>
        <v>Voltorb</v>
      </c>
      <c r="E506" s="8" t="str">
        <f aca="false">INDEX(Bases!$B$2:$B$53,C506)</f>
        <v>Cleffa</v>
      </c>
      <c r="F506" s="2" t="str">
        <f aca="false">LEFT(D506,ROUNDUP(LEN(D506)/2,0))&amp;LOWER(MID(E506,ROUNDUP(LEN(E506)/2,0)+1,20))</f>
        <v>Voltffa</v>
      </c>
      <c r="G506" s="8" t="str">
        <f aca="false">INDEX(Bases!$C$2:$C$53,B506)</f>
        <v>Electric</v>
      </c>
      <c r="H506" s="8" t="str">
        <f aca="false">IF(INDEX(Bases!$C$2:$C$53,C506)=G506,"",INDEX(Bases!$C$2:$C$53,C506))</f>
        <v>Fairy</v>
      </c>
      <c r="I506" s="8" t="str">
        <f aca="false">IF(INDEX(Bases!$E$2:$E$53,B506)="","",INDEX(Bases!$E$2:$E$53,B506))</f>
        <v/>
      </c>
      <c r="J506" s="8" t="str">
        <f aca="false">IF(INDEX(Bases!$E$2:$E$53,C506)="","",INDEX(Bases!$E$2:$E$53,C506))</f>
        <v/>
      </c>
      <c r="K506" s="5"/>
      <c r="L506" s="2" t="n">
        <f aca="false">AE506+IF(SUMPRODUCT(--($AL506:$AQ506&gt;AL506))&lt;$AK506,1,0)</f>
        <v>89</v>
      </c>
      <c r="M506" s="2" t="n">
        <f aca="false">AF506+IF(SUMPRODUCT(--($AL506:$AQ506&gt;AM506))+SUMPRODUCT(--($AL506:AL506=AM506))&lt;$AK506,1,0)</f>
        <v>49</v>
      </c>
      <c r="N506" s="2" t="n">
        <f aca="false">AG506+IF(SUMPRODUCT(--($AL506:$AQ506&gt;AN506))+SUMPRODUCT(--($AL506:AM506=AN506))&lt;$AK506,1,0)</f>
        <v>66</v>
      </c>
      <c r="O506" s="2" t="n">
        <f aca="false">AH506+IF(SUMPRODUCT(--($AL506:$AQ506&gt;AO506))+SUMPRODUCT(--($AL506:AN506=AO506))&lt;$AK506,1,0)</f>
        <v>90</v>
      </c>
      <c r="P506" s="2" t="n">
        <f aca="false">AI506+IF(SUMPRODUCT(--($AL506:$AQ506&gt;AP506))+SUMPRODUCT(--($AL506:AO506=AP506))&lt;$AK506,1,0)</f>
        <v>103</v>
      </c>
      <c r="Q506" s="2" t="n">
        <f aca="false">AJ506+IF(SUMPRODUCT(--($AL506:$AQ506&gt;AQ506))+SUMPRODUCT(--($AL506:AP506=AQ506))&lt;$AK506,1,0)</f>
        <v>103</v>
      </c>
      <c r="R506" s="2" t="n">
        <f aca="false">SUM(L506:Q506)</f>
        <v>500</v>
      </c>
      <c r="S506" s="2" t="n">
        <f aca="false">Settings!$B$4*MAX(INDEX(Bases!$M$2:$M$53,B506),INDEX(Bases!$M$2:$M$53,C506))+Settings!$B$5*MIN(INDEX(Bases!$M$2:$M$53,B506),INDEX(Bases!$M$2:$M$53,C506))</f>
        <v>77.3333333333333</v>
      </c>
      <c r="T506" s="2" t="n">
        <f aca="false">Settings!$B$4*MAX(INDEX(Bases!$N$2:$N$53,B506),INDEX(Bases!$N$2:$N$53,C506))+Settings!$B$5*MIN(INDEX(Bases!$N$2:$N$53,B506),INDEX(Bases!$N$2:$N$53,C506))</f>
        <v>42.6666666666667</v>
      </c>
      <c r="U506" s="2" t="n">
        <f aca="false">Settings!$B$4*MAX(INDEX(Bases!$O$2:$O$53,B506),INDEX(Bases!$O$2:$O$53,C506))+Settings!$B$5*MIN(INDEX(Bases!$O$2:$O$53,B506),INDEX(Bases!$O$2:$O$53,C506))</f>
        <v>57.6666666666667</v>
      </c>
      <c r="V506" s="2" t="n">
        <f aca="false">Settings!$B$4*MAX(INDEX(Bases!$P$2:$P$53,B506),INDEX(Bases!$P$2:$P$53,C506))+Settings!$B$5*MIN(INDEX(Bases!$P$2:$P$53,B506),INDEX(Bases!$P$2:$P$53,C506))</f>
        <v>77.6666666666667</v>
      </c>
      <c r="W506" s="2" t="n">
        <f aca="false">Settings!$B$4*MAX(INDEX(Bases!$Q$2:$Q$53,B506),INDEX(Bases!$Q$2:$Q$53,C506))+Settings!$B$5*MIN(INDEX(Bases!$Q$2:$Q$53,B506),INDEX(Bases!$Q$2:$Q$53,C506))</f>
        <v>89.6666666666667</v>
      </c>
      <c r="X506" s="2" t="n">
        <f aca="false">Settings!$B$4*MAX(INDEX(Bases!$R$2:$R$53,B506),INDEX(Bases!$R$2:$R$53,C506))+Settings!$B$5*MIN(INDEX(Bases!$R$2:$R$53,B506),INDEX(Bases!$R$2:$R$53,C506))</f>
        <v>89.6666666666667</v>
      </c>
      <c r="Y506" s="2" t="n">
        <f aca="false">S506*Settings!$B$3/SUM(S506:X506)</f>
        <v>88.9570552147239</v>
      </c>
      <c r="Z506" s="2" t="n">
        <f aca="false">T506*Settings!$B$3/SUM(S506:X506)</f>
        <v>49.079754601227</v>
      </c>
      <c r="AA506" s="2" t="n">
        <f aca="false">U506*Settings!$B$3/SUM(S506:X506)</f>
        <v>66.3343558282209</v>
      </c>
      <c r="AB506" s="2" t="n">
        <f aca="false">V506*Settings!$B$3/SUM(S506:X506)</f>
        <v>89.340490797546</v>
      </c>
      <c r="AC506" s="2" t="n">
        <f aca="false">W506*Settings!$B$3/SUM(S506:X506)</f>
        <v>103.144171779141</v>
      </c>
      <c r="AD506" s="2" t="n">
        <f aca="false">X506*Settings!$B$3/SUM(S506:X506)</f>
        <v>103.144171779141</v>
      </c>
      <c r="AE506" s="2" t="n">
        <f aca="false">INT(Y506)</f>
        <v>88</v>
      </c>
      <c r="AF506" s="2" t="n">
        <f aca="false">INT(Z506)</f>
        <v>49</v>
      </c>
      <c r="AG506" s="2" t="n">
        <f aca="false">INT(AA506)</f>
        <v>66</v>
      </c>
      <c r="AH506" s="2" t="n">
        <f aca="false">INT(AB506)</f>
        <v>89</v>
      </c>
      <c r="AI506" s="2" t="n">
        <f aca="false">INT(AC506)</f>
        <v>103</v>
      </c>
      <c r="AJ506" s="2" t="n">
        <f aca="false">INT(AD506)</f>
        <v>103</v>
      </c>
      <c r="AK506" s="2" t="n">
        <f aca="false">Settings!$B$3-SUM(AE506:AJ506)</f>
        <v>2</v>
      </c>
      <c r="AL506" s="2" t="n">
        <f aca="false">ROUND(Y506-AE506,9)</f>
        <v>0.957055215</v>
      </c>
      <c r="AM506" s="2" t="n">
        <f aca="false">ROUND(Z506-AF506,9)</f>
        <v>0.079754601</v>
      </c>
      <c r="AN506" s="2" t="n">
        <f aca="false">ROUND(AA506-AG506,9)</f>
        <v>0.334355828</v>
      </c>
      <c r="AO506" s="2" t="n">
        <f aca="false">ROUND(AB506-AH506,9)</f>
        <v>0.340490798</v>
      </c>
      <c r="AP506" s="2" t="n">
        <f aca="false">ROUND(AC506-AI506,9)</f>
        <v>0.144171779</v>
      </c>
      <c r="AQ506" s="2" t="n">
        <f aca="false">ROUND(AD506-AJ506,9)</f>
        <v>0.144171779</v>
      </c>
    </row>
    <row r="507" customFormat="false" ht="15" hidden="false" customHeight="false" outlineLevel="0" collapsed="false">
      <c r="A507" s="2" t="n">
        <v>506</v>
      </c>
      <c r="B507" s="6" t="n">
        <v>11</v>
      </c>
      <c r="C507" s="6" t="n">
        <v>52</v>
      </c>
      <c r="D507" s="8" t="str">
        <f aca="false">INDEX(Bases!$B$2:$B$53,B507)</f>
        <v>Voltorb</v>
      </c>
      <c r="E507" s="8" t="str">
        <f aca="false">INDEX(Bases!$B$2:$B$53,C507)</f>
        <v>Togepi</v>
      </c>
      <c r="F507" s="2" t="str">
        <f aca="false">LEFT(D507,ROUNDUP(LEN(D507)/2,0))&amp;LOWER(MID(E507,ROUNDUP(LEN(E507)/2,0)+1,20))</f>
        <v>Voltepi</v>
      </c>
      <c r="G507" s="8" t="str">
        <f aca="false">INDEX(Bases!$C$2:$C$53,B507)</f>
        <v>Electric</v>
      </c>
      <c r="H507" s="8" t="str">
        <f aca="false">IF(INDEX(Bases!$C$2:$C$53,C507)=G507,"",INDEX(Bases!$C$2:$C$53,C507))</f>
        <v>Fairy</v>
      </c>
      <c r="I507" s="8" t="str">
        <f aca="false">IF(INDEX(Bases!$E$2:$E$53,B507)="","",INDEX(Bases!$E$2:$E$53,B507))</f>
        <v/>
      </c>
      <c r="J507" s="8" t="str">
        <f aca="false">IF(INDEX(Bases!$E$2:$E$53,C507)="","",INDEX(Bases!$E$2:$E$53,C507))</f>
        <v/>
      </c>
      <c r="K507" s="5"/>
      <c r="L507" s="2" t="n">
        <f aca="false">AE507+IF(SUMPRODUCT(--($AL507:$AQ507&gt;AL507))&lt;$AK507,1,0)</f>
        <v>63</v>
      </c>
      <c r="M507" s="2" t="n">
        <f aca="false">AF507+IF(SUMPRODUCT(--($AL507:$AQ507&gt;AM507))+SUMPRODUCT(--($AL507:AL507=AM507))&lt;$AK507,1,0)</f>
        <v>41</v>
      </c>
      <c r="N507" s="2" t="n">
        <f aca="false">AG507+IF(SUMPRODUCT(--($AL507:$AQ507&gt;AN507))+SUMPRODUCT(--($AL507:AM507=AN507))&lt;$AK507,1,0)</f>
        <v>105</v>
      </c>
      <c r="O507" s="2" t="n">
        <f aca="false">AH507+IF(SUMPRODUCT(--($AL507:$AQ507&gt;AO507))+SUMPRODUCT(--($AL507:AN507=AO507))&lt;$AK507,1,0)</f>
        <v>77</v>
      </c>
      <c r="P507" s="2" t="n">
        <f aca="false">AI507+IF(SUMPRODUCT(--($AL507:$AQ507&gt;AP507))+SUMPRODUCT(--($AL507:AO507=AP507))&lt;$AK507,1,0)</f>
        <v>108</v>
      </c>
      <c r="Q507" s="2" t="n">
        <f aca="false">AJ507+IF(SUMPRODUCT(--($AL507:$AQ507&gt;AQ507))+SUMPRODUCT(--($AL507:AP507=AQ507))&lt;$AK507,1,0)</f>
        <v>106</v>
      </c>
      <c r="R507" s="2" t="n">
        <f aca="false">SUM(L507:Q507)</f>
        <v>500</v>
      </c>
      <c r="S507" s="2" t="n">
        <f aca="false">Settings!$B$4*MAX(INDEX(Bases!$M$2:$M$53,B507),INDEX(Bases!$M$2:$M$53,C507))+Settings!$B$5*MIN(INDEX(Bases!$M$2:$M$53,B507),INDEX(Bases!$M$2:$M$53,C507))</f>
        <v>54</v>
      </c>
      <c r="T507" s="2" t="n">
        <f aca="false">Settings!$B$4*MAX(INDEX(Bases!$N$2:$N$53,B507),INDEX(Bases!$N$2:$N$53,C507))+Settings!$B$5*MIN(INDEX(Bases!$N$2:$N$53,B507),INDEX(Bases!$N$2:$N$53,C507))</f>
        <v>35</v>
      </c>
      <c r="U507" s="2" t="n">
        <f aca="false">Settings!$B$4*MAX(INDEX(Bases!$O$2:$O$53,B507),INDEX(Bases!$O$2:$O$53,C507))+Settings!$B$5*MIN(INDEX(Bases!$O$2:$O$53,B507),INDEX(Bases!$O$2:$O$53,C507))</f>
        <v>91</v>
      </c>
      <c r="V507" s="2" t="n">
        <f aca="false">Settings!$B$4*MAX(INDEX(Bases!$P$2:$P$53,B507),INDEX(Bases!$P$2:$P$53,C507))+Settings!$B$5*MIN(INDEX(Bases!$P$2:$P$53,B507),INDEX(Bases!$P$2:$P$53,C507))</f>
        <v>66.3333333333333</v>
      </c>
      <c r="W507" s="2" t="n">
        <f aca="false">Settings!$B$4*MAX(INDEX(Bases!$Q$2:$Q$53,B507),INDEX(Bases!$Q$2:$Q$53,C507))+Settings!$B$5*MIN(INDEX(Bases!$Q$2:$Q$53,B507),INDEX(Bases!$Q$2:$Q$53,C507))</f>
        <v>93</v>
      </c>
      <c r="X507" s="2" t="n">
        <f aca="false">Settings!$B$4*MAX(INDEX(Bases!$R$2:$R$53,B507),INDEX(Bases!$R$2:$R$53,C507))+Settings!$B$5*MIN(INDEX(Bases!$R$2:$R$53,B507),INDEX(Bases!$R$2:$R$53,C507))</f>
        <v>91.6666666666667</v>
      </c>
      <c r="Y507" s="2" t="n">
        <f aca="false">S507*Settings!$B$3/SUM(S507:X507)</f>
        <v>62.6450116009281</v>
      </c>
      <c r="Z507" s="2" t="n">
        <f aca="false">T507*Settings!$B$3/SUM(S507:X507)</f>
        <v>40.6032482598608</v>
      </c>
      <c r="AA507" s="2" t="n">
        <f aca="false">U507*Settings!$B$3/SUM(S507:X507)</f>
        <v>105.568445475638</v>
      </c>
      <c r="AB507" s="2" t="n">
        <f aca="false">V507*Settings!$B$3/SUM(S507:X507)</f>
        <v>76.9528228924981</v>
      </c>
      <c r="AC507" s="2" t="n">
        <f aca="false">W507*Settings!$B$3/SUM(S507:X507)</f>
        <v>107.888631090487</v>
      </c>
      <c r="AD507" s="2" t="n">
        <f aca="false">X507*Settings!$B$3/SUM(S507:X507)</f>
        <v>106.341840680588</v>
      </c>
      <c r="AE507" s="2" t="n">
        <f aca="false">INT(Y507)</f>
        <v>62</v>
      </c>
      <c r="AF507" s="2" t="n">
        <f aca="false">INT(Z507)</f>
        <v>40</v>
      </c>
      <c r="AG507" s="2" t="n">
        <f aca="false">INT(AA507)</f>
        <v>105</v>
      </c>
      <c r="AH507" s="2" t="n">
        <f aca="false">INT(AB507)</f>
        <v>76</v>
      </c>
      <c r="AI507" s="2" t="n">
        <f aca="false">INT(AC507)</f>
        <v>107</v>
      </c>
      <c r="AJ507" s="2" t="n">
        <f aca="false">INT(AD507)</f>
        <v>106</v>
      </c>
      <c r="AK507" s="2" t="n">
        <f aca="false">Settings!$B$3-SUM(AE507:AJ507)</f>
        <v>4</v>
      </c>
      <c r="AL507" s="2" t="n">
        <f aca="false">ROUND(Y507-AE507,9)</f>
        <v>0.645011601</v>
      </c>
      <c r="AM507" s="2" t="n">
        <f aca="false">ROUND(Z507-AF507,9)</f>
        <v>0.60324826</v>
      </c>
      <c r="AN507" s="2" t="n">
        <f aca="false">ROUND(AA507-AG507,9)</f>
        <v>0.568445476</v>
      </c>
      <c r="AO507" s="2" t="n">
        <f aca="false">ROUND(AB507-AH507,9)</f>
        <v>0.952822892</v>
      </c>
      <c r="AP507" s="2" t="n">
        <f aca="false">ROUND(AC507-AI507,9)</f>
        <v>0.88863109</v>
      </c>
      <c r="AQ507" s="2" t="n">
        <f aca="false">ROUND(AD507-AJ507,9)</f>
        <v>0.341840681</v>
      </c>
    </row>
    <row r="508" customFormat="false" ht="15" hidden="false" customHeight="false" outlineLevel="0" collapsed="false">
      <c r="A508" s="2" t="n">
        <v>507</v>
      </c>
      <c r="B508" s="6" t="n">
        <v>12</v>
      </c>
      <c r="C508" s="6" t="n">
        <v>13</v>
      </c>
      <c r="D508" s="8" t="str">
        <f aca="false">INDEX(Bases!$B$2:$B$53,B508)</f>
        <v>Mareep</v>
      </c>
      <c r="E508" s="8" t="str">
        <f aca="false">INDEX(Bases!$B$2:$B$53,C508)</f>
        <v>Bulbasaur</v>
      </c>
      <c r="F508" s="2" t="str">
        <f aca="false">LEFT(D508,ROUNDUP(LEN(D508)/2,0))&amp;LOWER(MID(E508,ROUNDUP(LEN(E508)/2,0)+1,20))</f>
        <v>Marsaur</v>
      </c>
      <c r="G508" s="8" t="str">
        <f aca="false">INDEX(Bases!$C$2:$C$53,B508)</f>
        <v>Electric</v>
      </c>
      <c r="H508" s="8" t="str">
        <f aca="false">IF(INDEX(Bases!$C$2:$C$53,C508)=G508,"",INDEX(Bases!$C$2:$C$53,C508))</f>
        <v>Grass</v>
      </c>
      <c r="I508" s="8" t="str">
        <f aca="false">IF(INDEX(Bases!$E$2:$E$53,B508)="","",INDEX(Bases!$E$2:$E$53,B508))</f>
        <v/>
      </c>
      <c r="J508" s="8" t="str">
        <f aca="false">IF(INDEX(Bases!$E$2:$E$53,C508)="","",INDEX(Bases!$E$2:$E$53,C508))</f>
        <v/>
      </c>
      <c r="K508" s="5"/>
      <c r="L508" s="2" t="n">
        <f aca="false">AE508+IF(SUMPRODUCT(--($AL508:$AQ508&gt;AL508))&lt;$AK508,1,0)</f>
        <v>87</v>
      </c>
      <c r="M508" s="2" t="n">
        <f aca="false">AF508+IF(SUMPRODUCT(--($AL508:$AQ508&gt;AM508))+SUMPRODUCT(--($AL508:AL508=AM508))&lt;$AK508,1,0)</f>
        <v>73</v>
      </c>
      <c r="N508" s="2" t="n">
        <f aca="false">AG508+IF(SUMPRODUCT(--($AL508:$AQ508&gt;AN508))+SUMPRODUCT(--($AL508:AM508=AN508))&lt;$AK508,1,0)</f>
        <v>73</v>
      </c>
      <c r="O508" s="2" t="n">
        <f aca="false">AH508+IF(SUMPRODUCT(--($AL508:$AQ508&gt;AO508))+SUMPRODUCT(--($AL508:AN508=AO508))&lt;$AK508,1,0)</f>
        <v>109</v>
      </c>
      <c r="P508" s="2" t="n">
        <f aca="false">AI508+IF(SUMPRODUCT(--($AL508:$AQ508&gt;AP508))+SUMPRODUCT(--($AL508:AO508=AP508))&lt;$AK508,1,0)</f>
        <v>92</v>
      </c>
      <c r="Q508" s="2" t="n">
        <f aca="false">AJ508+IF(SUMPRODUCT(--($AL508:$AQ508&gt;AQ508))+SUMPRODUCT(--($AL508:AP508=AQ508))&lt;$AK508,1,0)</f>
        <v>66</v>
      </c>
      <c r="R508" s="2" t="n">
        <f aca="false">SUM(L508:Q508)</f>
        <v>500</v>
      </c>
      <c r="S508" s="2" t="n">
        <f aca="false">Settings!$B$4*MAX(INDEX(Bases!$M$2:$M$53,B508),INDEX(Bases!$M$2:$M$53,C508))+Settings!$B$5*MIN(INDEX(Bases!$M$2:$M$53,B508),INDEX(Bases!$M$2:$M$53,C508))</f>
        <v>71.3333333333333</v>
      </c>
      <c r="T508" s="2" t="n">
        <f aca="false">Settings!$B$4*MAX(INDEX(Bases!$N$2:$N$53,B508),INDEX(Bases!$N$2:$N$53,C508))+Settings!$B$5*MIN(INDEX(Bases!$N$2:$N$53,B508),INDEX(Bases!$N$2:$N$53,C508))</f>
        <v>60.3333333333333</v>
      </c>
      <c r="U508" s="2" t="n">
        <f aca="false">Settings!$B$4*MAX(INDEX(Bases!$O$2:$O$53,B508),INDEX(Bases!$O$2:$O$53,C508))+Settings!$B$5*MIN(INDEX(Bases!$O$2:$O$53,B508),INDEX(Bases!$O$2:$O$53,C508))</f>
        <v>60.3333333333333</v>
      </c>
      <c r="V508" s="2" t="n">
        <f aca="false">Settings!$B$4*MAX(INDEX(Bases!$P$2:$P$53,B508),INDEX(Bases!$P$2:$P$53,C508))+Settings!$B$5*MIN(INDEX(Bases!$P$2:$P$53,B508),INDEX(Bases!$P$2:$P$53,C508))</f>
        <v>89.3333333333333</v>
      </c>
      <c r="W508" s="2" t="n">
        <f aca="false">Settings!$B$4*MAX(INDEX(Bases!$Q$2:$Q$53,B508),INDEX(Bases!$Q$2:$Q$53,C508))+Settings!$B$5*MIN(INDEX(Bases!$Q$2:$Q$53,B508),INDEX(Bases!$Q$2:$Q$53,C508))</f>
        <v>76</v>
      </c>
      <c r="X508" s="2" t="n">
        <f aca="false">Settings!$B$4*MAX(INDEX(Bases!$R$2:$R$53,B508),INDEX(Bases!$R$2:$R$53,C508))+Settings!$B$5*MIN(INDEX(Bases!$R$2:$R$53,B508),INDEX(Bases!$R$2:$R$53,C508))</f>
        <v>54</v>
      </c>
      <c r="Y508" s="2" t="n">
        <f aca="false">S508*Settings!$B$3/SUM(S508:X508)</f>
        <v>86.709886547812</v>
      </c>
      <c r="Z508" s="2" t="n">
        <f aca="false">T508*Settings!$B$3/SUM(S508:X508)</f>
        <v>73.3387358184765</v>
      </c>
      <c r="AA508" s="2" t="n">
        <f aca="false">U508*Settings!$B$3/SUM(S508:X508)</f>
        <v>73.3387358184765</v>
      </c>
      <c r="AB508" s="2" t="n">
        <f aca="false">V508*Settings!$B$3/SUM(S508:X508)</f>
        <v>108.589951377634</v>
      </c>
      <c r="AC508" s="2" t="n">
        <f aca="false">W508*Settings!$B$3/SUM(S508:X508)</f>
        <v>92.3824959481362</v>
      </c>
      <c r="AD508" s="2" t="n">
        <f aca="false">X508*Settings!$B$3/SUM(S508:X508)</f>
        <v>65.6401944894652</v>
      </c>
      <c r="AE508" s="2" t="n">
        <f aca="false">INT(Y508)</f>
        <v>86</v>
      </c>
      <c r="AF508" s="2" t="n">
        <f aca="false">INT(Z508)</f>
        <v>73</v>
      </c>
      <c r="AG508" s="2" t="n">
        <f aca="false">INT(AA508)</f>
        <v>73</v>
      </c>
      <c r="AH508" s="2" t="n">
        <f aca="false">INT(AB508)</f>
        <v>108</v>
      </c>
      <c r="AI508" s="2" t="n">
        <f aca="false">INT(AC508)</f>
        <v>92</v>
      </c>
      <c r="AJ508" s="2" t="n">
        <f aca="false">INT(AD508)</f>
        <v>65</v>
      </c>
      <c r="AK508" s="2" t="n">
        <f aca="false">Settings!$B$3-SUM(AE508:AJ508)</f>
        <v>3</v>
      </c>
      <c r="AL508" s="2" t="n">
        <f aca="false">ROUND(Y508-AE508,9)</f>
        <v>0.709886548</v>
      </c>
      <c r="AM508" s="2" t="n">
        <f aca="false">ROUND(Z508-AF508,9)</f>
        <v>0.338735818</v>
      </c>
      <c r="AN508" s="2" t="n">
        <f aca="false">ROUND(AA508-AG508,9)</f>
        <v>0.338735818</v>
      </c>
      <c r="AO508" s="2" t="n">
        <f aca="false">ROUND(AB508-AH508,9)</f>
        <v>0.589951378</v>
      </c>
      <c r="AP508" s="2" t="n">
        <f aca="false">ROUND(AC508-AI508,9)</f>
        <v>0.382495948</v>
      </c>
      <c r="AQ508" s="2" t="n">
        <f aca="false">ROUND(AD508-AJ508,9)</f>
        <v>0.640194489</v>
      </c>
    </row>
    <row r="509" customFormat="false" ht="15" hidden="false" customHeight="false" outlineLevel="0" collapsed="false">
      <c r="A509" s="2" t="n">
        <v>508</v>
      </c>
      <c r="B509" s="6" t="n">
        <v>12</v>
      </c>
      <c r="C509" s="6" t="n">
        <v>14</v>
      </c>
      <c r="D509" s="8" t="str">
        <f aca="false">INDEX(Bases!$B$2:$B$53,B509)</f>
        <v>Mareep</v>
      </c>
      <c r="E509" s="8" t="str">
        <f aca="false">INDEX(Bases!$B$2:$B$53,C509)</f>
        <v>Celebi</v>
      </c>
      <c r="F509" s="2" t="str">
        <f aca="false">LEFT(D509,ROUNDUP(LEN(D509)/2,0))&amp;LOWER(MID(E509,ROUNDUP(LEN(E509)/2,0)+1,20))</f>
        <v>Marebi</v>
      </c>
      <c r="G509" s="8" t="str">
        <f aca="false">INDEX(Bases!$C$2:$C$53,B509)</f>
        <v>Electric</v>
      </c>
      <c r="H509" s="8" t="str">
        <f aca="false">IF(INDEX(Bases!$C$2:$C$53,C509)=G509,"",INDEX(Bases!$C$2:$C$53,C509))</f>
        <v>Grass</v>
      </c>
      <c r="I509" s="8" t="str">
        <f aca="false">IF(INDEX(Bases!$E$2:$E$53,B509)="","",INDEX(Bases!$E$2:$E$53,B509))</f>
        <v/>
      </c>
      <c r="J509" s="8" t="str">
        <f aca="false">IF(INDEX(Bases!$E$2:$E$53,C509)="","",INDEX(Bases!$E$2:$E$53,C509))</f>
        <v/>
      </c>
      <c r="K509" s="5"/>
      <c r="L509" s="2" t="n">
        <f aca="false">AE509+IF(SUMPRODUCT(--($AL509:$AQ509&gt;AL509))&lt;$AK509,1,0)</f>
        <v>91</v>
      </c>
      <c r="M509" s="2" t="n">
        <f aca="false">AF509+IF(SUMPRODUCT(--($AL509:$AQ509&gt;AM509))+SUMPRODUCT(--($AL509:AL509=AM509))&lt;$AK509,1,0)</f>
        <v>77</v>
      </c>
      <c r="N509" s="2" t="n">
        <f aca="false">AG509+IF(SUMPRODUCT(--($AL509:$AQ509&gt;AN509))+SUMPRODUCT(--($AL509:AM509=AN509))&lt;$AK509,1,0)</f>
        <v>77</v>
      </c>
      <c r="O509" s="2" t="n">
        <f aca="false">AH509+IF(SUMPRODUCT(--($AL509:$AQ509&gt;AO509))+SUMPRODUCT(--($AL509:AN509=AO509))&lt;$AK509,1,0)</f>
        <v>102</v>
      </c>
      <c r="P509" s="2" t="n">
        <f aca="false">AI509+IF(SUMPRODUCT(--($AL509:$AQ509&gt;AP509))+SUMPRODUCT(--($AL509:AO509=AP509))&lt;$AK509,1,0)</f>
        <v>79</v>
      </c>
      <c r="Q509" s="2" t="n">
        <f aca="false">AJ509+IF(SUMPRODUCT(--($AL509:$AQ509&gt;AQ509))+SUMPRODUCT(--($AL509:AP509=AQ509))&lt;$AK509,1,0)</f>
        <v>74</v>
      </c>
      <c r="R509" s="2" t="n">
        <f aca="false">SUM(L509:Q509)</f>
        <v>500</v>
      </c>
      <c r="S509" s="2" t="n">
        <f aca="false">Settings!$B$4*MAX(INDEX(Bases!$M$2:$M$53,B509),INDEX(Bases!$M$2:$M$53,C509))+Settings!$B$5*MIN(INDEX(Bases!$M$2:$M$53,B509),INDEX(Bases!$M$2:$M$53,C509))</f>
        <v>75</v>
      </c>
      <c r="T509" s="2" t="n">
        <f aca="false">Settings!$B$4*MAX(INDEX(Bases!$N$2:$N$53,B509),INDEX(Bases!$N$2:$N$53,C509))+Settings!$B$5*MIN(INDEX(Bases!$N$2:$N$53,B509),INDEX(Bases!$N$2:$N$53,C509))</f>
        <v>63.6666666666667</v>
      </c>
      <c r="U509" s="2" t="n">
        <f aca="false">Settings!$B$4*MAX(INDEX(Bases!$O$2:$O$53,B509),INDEX(Bases!$O$2:$O$53,C509))+Settings!$B$5*MIN(INDEX(Bases!$O$2:$O$53,B509),INDEX(Bases!$O$2:$O$53,C509))</f>
        <v>63.6666666666667</v>
      </c>
      <c r="V509" s="2" t="n">
        <f aca="false">Settings!$B$4*MAX(INDEX(Bases!$P$2:$P$53,B509),INDEX(Bases!$P$2:$P$53,C509))+Settings!$B$5*MIN(INDEX(Bases!$P$2:$P$53,B509),INDEX(Bases!$P$2:$P$53,C509))</f>
        <v>84.3333333333333</v>
      </c>
      <c r="W509" s="2" t="n">
        <f aca="false">Settings!$B$4*MAX(INDEX(Bases!$Q$2:$Q$53,B509),INDEX(Bases!$Q$2:$Q$53,C509))+Settings!$B$5*MIN(INDEX(Bases!$Q$2:$Q$53,B509),INDEX(Bases!$Q$2:$Q$53,C509))</f>
        <v>65.3333333333333</v>
      </c>
      <c r="X509" s="2" t="n">
        <f aca="false">Settings!$B$4*MAX(INDEX(Bases!$R$2:$R$53,B509),INDEX(Bases!$R$2:$R$53,C509))+Settings!$B$5*MIN(INDEX(Bases!$R$2:$R$53,B509),INDEX(Bases!$R$2:$R$53,C509))</f>
        <v>60.6666666666667</v>
      </c>
      <c r="Y509" s="2" t="n">
        <f aca="false">S509*Settings!$B$3/SUM(S509:X509)</f>
        <v>90.8723747980614</v>
      </c>
      <c r="Z509" s="2" t="n">
        <f aca="false">T509*Settings!$B$3/SUM(S509:X509)</f>
        <v>77.140549273021</v>
      </c>
      <c r="AA509" s="2" t="n">
        <f aca="false">U509*Settings!$B$3/SUM(S509:X509)</f>
        <v>77.140549273021</v>
      </c>
      <c r="AB509" s="2" t="n">
        <f aca="false">V509*Settings!$B$3/SUM(S509:X509)</f>
        <v>102.180936995153</v>
      </c>
      <c r="AC509" s="2" t="n">
        <f aca="false">W509*Settings!$B$3/SUM(S509:X509)</f>
        <v>79.1599353796446</v>
      </c>
      <c r="AD509" s="2" t="n">
        <f aca="false">X509*Settings!$B$3/SUM(S509:X509)</f>
        <v>73.5056542810985</v>
      </c>
      <c r="AE509" s="2" t="n">
        <f aca="false">INT(Y509)</f>
        <v>90</v>
      </c>
      <c r="AF509" s="2" t="n">
        <f aca="false">INT(Z509)</f>
        <v>77</v>
      </c>
      <c r="AG509" s="2" t="n">
        <f aca="false">INT(AA509)</f>
        <v>77</v>
      </c>
      <c r="AH509" s="2" t="n">
        <f aca="false">INT(AB509)</f>
        <v>102</v>
      </c>
      <c r="AI509" s="2" t="n">
        <f aca="false">INT(AC509)</f>
        <v>79</v>
      </c>
      <c r="AJ509" s="2" t="n">
        <f aca="false">INT(AD509)</f>
        <v>73</v>
      </c>
      <c r="AK509" s="2" t="n">
        <f aca="false">Settings!$B$3-SUM(AE509:AJ509)</f>
        <v>2</v>
      </c>
      <c r="AL509" s="2" t="n">
        <f aca="false">ROUND(Y509-AE509,9)</f>
        <v>0.872374798</v>
      </c>
      <c r="AM509" s="2" t="n">
        <f aca="false">ROUND(Z509-AF509,9)</f>
        <v>0.140549273</v>
      </c>
      <c r="AN509" s="2" t="n">
        <f aca="false">ROUND(AA509-AG509,9)</f>
        <v>0.140549273</v>
      </c>
      <c r="AO509" s="2" t="n">
        <f aca="false">ROUND(AB509-AH509,9)</f>
        <v>0.180936995</v>
      </c>
      <c r="AP509" s="2" t="n">
        <f aca="false">ROUND(AC509-AI509,9)</f>
        <v>0.15993538</v>
      </c>
      <c r="AQ509" s="2" t="n">
        <f aca="false">ROUND(AD509-AJ509,9)</f>
        <v>0.505654281</v>
      </c>
    </row>
    <row r="510" customFormat="false" ht="15" hidden="false" customHeight="false" outlineLevel="0" collapsed="false">
      <c r="A510" s="2" t="n">
        <v>509</v>
      </c>
      <c r="B510" s="6" t="n">
        <v>12</v>
      </c>
      <c r="C510" s="6" t="n">
        <v>15</v>
      </c>
      <c r="D510" s="8" t="str">
        <f aca="false">INDEX(Bases!$B$2:$B$53,B510)</f>
        <v>Mareep</v>
      </c>
      <c r="E510" s="8" t="str">
        <f aca="false">INDEX(Bases!$B$2:$B$53,C510)</f>
        <v>Shroomish</v>
      </c>
      <c r="F510" s="2" t="str">
        <f aca="false">LEFT(D510,ROUNDUP(LEN(D510)/2,0))&amp;LOWER(MID(E510,ROUNDUP(LEN(E510)/2,0)+1,20))</f>
        <v>Marmish</v>
      </c>
      <c r="G510" s="8" t="str">
        <f aca="false">INDEX(Bases!$C$2:$C$53,B510)</f>
        <v>Electric</v>
      </c>
      <c r="H510" s="8" t="str">
        <f aca="false">IF(INDEX(Bases!$C$2:$C$53,C510)=G510,"",INDEX(Bases!$C$2:$C$53,C510))</f>
        <v>Grass</v>
      </c>
      <c r="I510" s="8" t="str">
        <f aca="false">IF(INDEX(Bases!$E$2:$E$53,B510)="","",INDEX(Bases!$E$2:$E$53,B510))</f>
        <v/>
      </c>
      <c r="J510" s="8" t="str">
        <f aca="false">IF(INDEX(Bases!$E$2:$E$53,C510)="","",INDEX(Bases!$E$2:$E$53,C510))</f>
        <v/>
      </c>
      <c r="K510" s="5"/>
      <c r="L510" s="2" t="n">
        <f aca="false">AE510+IF(SUMPRODUCT(--($AL510:$AQ510&gt;AL510))&lt;$AK510,1,0)</f>
        <v>98</v>
      </c>
      <c r="M510" s="2" t="n">
        <f aca="false">AF510+IF(SUMPRODUCT(--($AL510:$AQ510&gt;AM510))+SUMPRODUCT(--($AL510:AL510=AM510))&lt;$AK510,1,0)</f>
        <v>68</v>
      </c>
      <c r="N510" s="2" t="n">
        <f aca="false">AG510+IF(SUMPRODUCT(--($AL510:$AQ510&gt;AN510))+SUMPRODUCT(--($AL510:AM510=AN510))&lt;$AK510,1,0)</f>
        <v>88</v>
      </c>
      <c r="O510" s="2" t="n">
        <f aca="false">AH510+IF(SUMPRODUCT(--($AL510:$AQ510&gt;AO510))+SUMPRODUCT(--($AL510:AN510=AO510))&lt;$AK510,1,0)</f>
        <v>96</v>
      </c>
      <c r="P510" s="2" t="n">
        <f aca="false">AI510+IF(SUMPRODUCT(--($AL510:$AQ510&gt;AP510))+SUMPRODUCT(--($AL510:AO510=AP510))&lt;$AK510,1,0)</f>
        <v>91</v>
      </c>
      <c r="Q510" s="2" t="n">
        <f aca="false">AJ510+IF(SUMPRODUCT(--($AL510:$AQ510&gt;AQ510))+SUMPRODUCT(--($AL510:AP510=AQ510))&lt;$AK510,1,0)</f>
        <v>59</v>
      </c>
      <c r="R510" s="2" t="n">
        <f aca="false">SUM(L510:Q510)</f>
        <v>500</v>
      </c>
      <c r="S510" s="2" t="n">
        <f aca="false">Settings!$B$4*MAX(INDEX(Bases!$M$2:$M$53,B510),INDEX(Bases!$M$2:$M$53,C510))+Settings!$B$5*MIN(INDEX(Bases!$M$2:$M$53,B510),INDEX(Bases!$M$2:$M$53,C510))</f>
        <v>81</v>
      </c>
      <c r="T510" s="2" t="n">
        <f aca="false">Settings!$B$4*MAX(INDEX(Bases!$N$2:$N$53,B510),INDEX(Bases!$N$2:$N$53,C510))+Settings!$B$5*MIN(INDEX(Bases!$N$2:$N$53,B510),INDEX(Bases!$N$2:$N$53,C510))</f>
        <v>56</v>
      </c>
      <c r="U510" s="2" t="n">
        <f aca="false">Settings!$B$4*MAX(INDEX(Bases!$O$2:$O$53,B510),INDEX(Bases!$O$2:$O$53,C510))+Settings!$B$5*MIN(INDEX(Bases!$O$2:$O$53,B510),INDEX(Bases!$O$2:$O$53,C510))</f>
        <v>73</v>
      </c>
      <c r="V510" s="2" t="n">
        <f aca="false">Settings!$B$4*MAX(INDEX(Bases!$P$2:$P$53,B510),INDEX(Bases!$P$2:$P$53,C510))+Settings!$B$5*MIN(INDEX(Bases!$P$2:$P$53,B510),INDEX(Bases!$P$2:$P$53,C510))</f>
        <v>80</v>
      </c>
      <c r="W510" s="2" t="n">
        <f aca="false">Settings!$B$4*MAX(INDEX(Bases!$Q$2:$Q$53,B510),INDEX(Bases!$Q$2:$Q$53,C510))+Settings!$B$5*MIN(INDEX(Bases!$Q$2:$Q$53,B510),INDEX(Bases!$Q$2:$Q$53,C510))</f>
        <v>75.3333333333333</v>
      </c>
      <c r="X510" s="2" t="n">
        <f aca="false">Settings!$B$4*MAX(INDEX(Bases!$R$2:$R$53,B510),INDEX(Bases!$R$2:$R$53,C510))+Settings!$B$5*MIN(INDEX(Bases!$R$2:$R$53,B510),INDEX(Bases!$R$2:$R$53,C510))</f>
        <v>49.3333333333333</v>
      </c>
      <c r="Y510" s="2" t="n">
        <f aca="false">S510*Settings!$B$3/SUM(S510:X510)</f>
        <v>97.6688102893891</v>
      </c>
      <c r="Z510" s="2" t="n">
        <f aca="false">T510*Settings!$B$3/SUM(S510:X510)</f>
        <v>67.524115755627</v>
      </c>
      <c r="AA510" s="2" t="n">
        <f aca="false">U510*Settings!$B$3/SUM(S510:X510)</f>
        <v>88.0225080385852</v>
      </c>
      <c r="AB510" s="2" t="n">
        <f aca="false">V510*Settings!$B$3/SUM(S510:X510)</f>
        <v>96.4630225080386</v>
      </c>
      <c r="AC510" s="2" t="n">
        <f aca="false">W510*Settings!$B$3/SUM(S510:X510)</f>
        <v>90.8360128617363</v>
      </c>
      <c r="AD510" s="2" t="n">
        <f aca="false">X510*Settings!$B$3/SUM(S510:X510)</f>
        <v>59.4855305466238</v>
      </c>
      <c r="AE510" s="2" t="n">
        <f aca="false">INT(Y510)</f>
        <v>97</v>
      </c>
      <c r="AF510" s="2" t="n">
        <f aca="false">INT(Z510)</f>
        <v>67</v>
      </c>
      <c r="AG510" s="2" t="n">
        <f aca="false">INT(AA510)</f>
        <v>88</v>
      </c>
      <c r="AH510" s="2" t="n">
        <f aca="false">INT(AB510)</f>
        <v>96</v>
      </c>
      <c r="AI510" s="2" t="n">
        <f aca="false">INT(AC510)</f>
        <v>90</v>
      </c>
      <c r="AJ510" s="2" t="n">
        <f aca="false">INT(AD510)</f>
        <v>59</v>
      </c>
      <c r="AK510" s="2" t="n">
        <f aca="false">Settings!$B$3-SUM(AE510:AJ510)</f>
        <v>3</v>
      </c>
      <c r="AL510" s="2" t="n">
        <f aca="false">ROUND(Y510-AE510,9)</f>
        <v>0.668810289</v>
      </c>
      <c r="AM510" s="2" t="n">
        <f aca="false">ROUND(Z510-AF510,9)</f>
        <v>0.524115756</v>
      </c>
      <c r="AN510" s="2" t="n">
        <f aca="false">ROUND(AA510-AG510,9)</f>
        <v>0.022508039</v>
      </c>
      <c r="AO510" s="2" t="n">
        <f aca="false">ROUND(AB510-AH510,9)</f>
        <v>0.463022508</v>
      </c>
      <c r="AP510" s="2" t="n">
        <f aca="false">ROUND(AC510-AI510,9)</f>
        <v>0.836012862</v>
      </c>
      <c r="AQ510" s="2" t="n">
        <f aca="false">ROUND(AD510-AJ510,9)</f>
        <v>0.485530547</v>
      </c>
    </row>
    <row r="511" customFormat="false" ht="15" hidden="false" customHeight="false" outlineLevel="0" collapsed="false">
      <c r="A511" s="2" t="n">
        <v>510</v>
      </c>
      <c r="B511" s="6" t="n">
        <v>12</v>
      </c>
      <c r="C511" s="6" t="n">
        <v>16</v>
      </c>
      <c r="D511" s="8" t="str">
        <f aca="false">INDEX(Bases!$B$2:$B$53,B511)</f>
        <v>Mareep</v>
      </c>
      <c r="E511" s="8" t="str">
        <f aca="false">INDEX(Bases!$B$2:$B$53,C511)</f>
        <v>Swinub</v>
      </c>
      <c r="F511" s="2" t="str">
        <f aca="false">LEFT(D511,ROUNDUP(LEN(D511)/2,0))&amp;LOWER(MID(E511,ROUNDUP(LEN(E511)/2,0)+1,20))</f>
        <v>Marnub</v>
      </c>
      <c r="G511" s="8" t="str">
        <f aca="false">INDEX(Bases!$C$2:$C$53,B511)</f>
        <v>Electric</v>
      </c>
      <c r="H511" s="8" t="str">
        <f aca="false">IF(INDEX(Bases!$C$2:$C$53,C511)=G511,"",INDEX(Bases!$C$2:$C$53,C511))</f>
        <v>Ice</v>
      </c>
      <c r="I511" s="8" t="str">
        <f aca="false">IF(INDEX(Bases!$E$2:$E$53,B511)="","",INDEX(Bases!$E$2:$E$53,B511))</f>
        <v/>
      </c>
      <c r="J511" s="8" t="str">
        <f aca="false">IF(INDEX(Bases!$E$2:$E$53,C511)="","",INDEX(Bases!$E$2:$E$53,C511))</f>
        <v/>
      </c>
      <c r="K511" s="5"/>
      <c r="L511" s="2" t="n">
        <f aca="false">AE511+IF(SUMPRODUCT(--($AL511:$AQ511&gt;AL511))&lt;$AK511,1,0)</f>
        <v>95</v>
      </c>
      <c r="M511" s="2" t="n">
        <f aca="false">AF511+IF(SUMPRODUCT(--($AL511:$AQ511&gt;AM511))+SUMPRODUCT(--($AL511:AL511=AM511))&lt;$AK511,1,0)</f>
        <v>86</v>
      </c>
      <c r="N511" s="2" t="n">
        <f aca="false">AG511+IF(SUMPRODUCT(--($AL511:$AQ511&gt;AN511))+SUMPRODUCT(--($AL511:AM511=AN511))&lt;$AK511,1,0)</f>
        <v>73</v>
      </c>
      <c r="O511" s="2" t="n">
        <f aca="false">AH511+IF(SUMPRODUCT(--($AL511:$AQ511&gt;AO511))+SUMPRODUCT(--($AL511:AN511=AO511))&lt;$AK511,1,0)</f>
        <v>93</v>
      </c>
      <c r="P511" s="2" t="n">
        <f aca="false">AI511+IF(SUMPRODUCT(--($AL511:$AQ511&gt;AP511))+SUMPRODUCT(--($AL511:AO511=AP511))&lt;$AK511,1,0)</f>
        <v>70</v>
      </c>
      <c r="Q511" s="2" t="n">
        <f aca="false">AJ511+IF(SUMPRODUCT(--($AL511:$AQ511&gt;AQ511))+SUMPRODUCT(--($AL511:AP511=AQ511))&lt;$AK511,1,0)</f>
        <v>83</v>
      </c>
      <c r="R511" s="2" t="n">
        <f aca="false">SUM(L511:Q511)</f>
        <v>500</v>
      </c>
      <c r="S511" s="2" t="n">
        <f aca="false">Settings!$B$4*MAX(INDEX(Bases!$M$2:$M$53,B511),INDEX(Bases!$M$2:$M$53,C511))+Settings!$B$5*MIN(INDEX(Bases!$M$2:$M$53,B511),INDEX(Bases!$M$2:$M$53,C511))</f>
        <v>79.6666666666667</v>
      </c>
      <c r="T511" s="2" t="n">
        <f aca="false">Settings!$B$4*MAX(INDEX(Bases!$N$2:$N$53,B511),INDEX(Bases!$N$2:$N$53,C511))+Settings!$B$5*MIN(INDEX(Bases!$N$2:$N$53,B511),INDEX(Bases!$N$2:$N$53,C511))</f>
        <v>72.3333333333333</v>
      </c>
      <c r="U511" s="2" t="n">
        <f aca="false">Settings!$B$4*MAX(INDEX(Bases!$O$2:$O$53,B511),INDEX(Bases!$O$2:$O$53,C511))+Settings!$B$5*MIN(INDEX(Bases!$O$2:$O$53,B511),INDEX(Bases!$O$2:$O$53,C511))</f>
        <v>61.6666666666667</v>
      </c>
      <c r="V511" s="2" t="n">
        <f aca="false">Settings!$B$4*MAX(INDEX(Bases!$P$2:$P$53,B511),INDEX(Bases!$P$2:$P$53,C511))+Settings!$B$5*MIN(INDEX(Bases!$P$2:$P$53,B511),INDEX(Bases!$P$2:$P$53,C511))</f>
        <v>78</v>
      </c>
      <c r="W511" s="2" t="n">
        <f aca="false">Settings!$B$4*MAX(INDEX(Bases!$Q$2:$Q$53,B511),INDEX(Bases!$Q$2:$Q$53,C511))+Settings!$B$5*MIN(INDEX(Bases!$Q$2:$Q$53,B511),INDEX(Bases!$Q$2:$Q$53,C511))</f>
        <v>58.6666666666667</v>
      </c>
      <c r="X511" s="2" t="n">
        <f aca="false">Settings!$B$4*MAX(INDEX(Bases!$R$2:$R$53,B511),INDEX(Bases!$R$2:$R$53,C511))+Settings!$B$5*MIN(INDEX(Bases!$R$2:$R$53,B511),INDEX(Bases!$R$2:$R$53,C511))</f>
        <v>70</v>
      </c>
      <c r="Y511" s="2" t="n">
        <f aca="false">S511*Settings!$B$3/SUM(S511:X511)</f>
        <v>94.7660586835845</v>
      </c>
      <c r="Z511" s="2" t="n">
        <f aca="false">T511*Settings!$B$3/SUM(S511:X511)</f>
        <v>86.0428231562252</v>
      </c>
      <c r="AA511" s="2" t="n">
        <f aca="false">U511*Settings!$B$3/SUM(S511:X511)</f>
        <v>73.3544805709754</v>
      </c>
      <c r="AB511" s="2" t="n">
        <f aca="false">V511*Settings!$B$3/SUM(S511:X511)</f>
        <v>92.7835051546392</v>
      </c>
      <c r="AC511" s="2" t="n">
        <f aca="false">W511*Settings!$B$3/SUM(S511:X511)</f>
        <v>69.7858842188739</v>
      </c>
      <c r="AD511" s="2" t="n">
        <f aca="false">X511*Settings!$B$3/SUM(S511:X511)</f>
        <v>83.2672482157018</v>
      </c>
      <c r="AE511" s="2" t="n">
        <f aca="false">INT(Y511)</f>
        <v>94</v>
      </c>
      <c r="AF511" s="2" t="n">
        <f aca="false">INT(Z511)</f>
        <v>86</v>
      </c>
      <c r="AG511" s="2" t="n">
        <f aca="false">INT(AA511)</f>
        <v>73</v>
      </c>
      <c r="AH511" s="2" t="n">
        <f aca="false">INT(AB511)</f>
        <v>92</v>
      </c>
      <c r="AI511" s="2" t="n">
        <f aca="false">INT(AC511)</f>
        <v>69</v>
      </c>
      <c r="AJ511" s="2" t="n">
        <f aca="false">INT(AD511)</f>
        <v>83</v>
      </c>
      <c r="AK511" s="2" t="n">
        <f aca="false">Settings!$B$3-SUM(AE511:AJ511)</f>
        <v>3</v>
      </c>
      <c r="AL511" s="2" t="n">
        <f aca="false">ROUND(Y511-AE511,9)</f>
        <v>0.766058684</v>
      </c>
      <c r="AM511" s="2" t="n">
        <f aca="false">ROUND(Z511-AF511,9)</f>
        <v>0.042823156</v>
      </c>
      <c r="AN511" s="2" t="n">
        <f aca="false">ROUND(AA511-AG511,9)</f>
        <v>0.354480571</v>
      </c>
      <c r="AO511" s="2" t="n">
        <f aca="false">ROUND(AB511-AH511,9)</f>
        <v>0.783505155</v>
      </c>
      <c r="AP511" s="2" t="n">
        <f aca="false">ROUND(AC511-AI511,9)</f>
        <v>0.785884219</v>
      </c>
      <c r="AQ511" s="2" t="n">
        <f aca="false">ROUND(AD511-AJ511,9)</f>
        <v>0.267248216</v>
      </c>
    </row>
    <row r="512" customFormat="false" ht="15" hidden="false" customHeight="false" outlineLevel="0" collapsed="false">
      <c r="A512" s="2" t="n">
        <v>511</v>
      </c>
      <c r="B512" s="6" t="n">
        <v>12</v>
      </c>
      <c r="C512" s="6" t="n">
        <v>17</v>
      </c>
      <c r="D512" s="8" t="str">
        <f aca="false">INDEX(Bases!$B$2:$B$53,B512)</f>
        <v>Mareep</v>
      </c>
      <c r="E512" s="8" t="str">
        <f aca="false">INDEX(Bases!$B$2:$B$53,C512)</f>
        <v>Snorunt</v>
      </c>
      <c r="F512" s="2" t="str">
        <f aca="false">LEFT(D512,ROUNDUP(LEN(D512)/2,0))&amp;LOWER(MID(E512,ROUNDUP(LEN(E512)/2,0)+1,20))</f>
        <v>Marunt</v>
      </c>
      <c r="G512" s="8" t="str">
        <f aca="false">INDEX(Bases!$C$2:$C$53,B512)</f>
        <v>Electric</v>
      </c>
      <c r="H512" s="8" t="str">
        <f aca="false">IF(INDEX(Bases!$C$2:$C$53,C512)=G512,"",INDEX(Bases!$C$2:$C$53,C512))</f>
        <v>Ice</v>
      </c>
      <c r="I512" s="8" t="str">
        <f aca="false">IF(INDEX(Bases!$E$2:$E$53,B512)="","",INDEX(Bases!$E$2:$E$53,B512))</f>
        <v/>
      </c>
      <c r="J512" s="8" t="str">
        <f aca="false">IF(INDEX(Bases!$E$2:$E$53,C512)="","",INDEX(Bases!$E$2:$E$53,C512))</f>
        <v/>
      </c>
      <c r="K512" s="5"/>
      <c r="L512" s="2" t="n">
        <f aca="false">AE512+IF(SUMPRODUCT(--($AL512:$AQ512&gt;AL512))&lt;$AK512,1,0)</f>
        <v>91</v>
      </c>
      <c r="M512" s="2" t="n">
        <f aca="false">AF512+IF(SUMPRODUCT(--($AL512:$AQ512&gt;AM512))+SUMPRODUCT(--($AL512:AL512=AM512))&lt;$AK512,1,0)</f>
        <v>77</v>
      </c>
      <c r="N512" s="2" t="n">
        <f aca="false">AG512+IF(SUMPRODUCT(--($AL512:$AQ512&gt;AN512))+SUMPRODUCT(--($AL512:AM512=AN512))&lt;$AK512,1,0)</f>
        <v>77</v>
      </c>
      <c r="O512" s="2" t="n">
        <f aca="false">AH512+IF(SUMPRODUCT(--($AL512:$AQ512&gt;AO512))+SUMPRODUCT(--($AL512:AN512=AO512))&lt;$AK512,1,0)</f>
        <v>102</v>
      </c>
      <c r="P512" s="2" t="n">
        <f aca="false">AI512+IF(SUMPRODUCT(--($AL512:$AQ512&gt;AP512))+SUMPRODUCT(--($AL512:AO512=AP512))&lt;$AK512,1,0)</f>
        <v>79</v>
      </c>
      <c r="Q512" s="2" t="n">
        <f aca="false">AJ512+IF(SUMPRODUCT(--($AL512:$AQ512&gt;AQ512))+SUMPRODUCT(--($AL512:AP512=AQ512))&lt;$AK512,1,0)</f>
        <v>74</v>
      </c>
      <c r="R512" s="2" t="n">
        <f aca="false">SUM(L512:Q512)</f>
        <v>500</v>
      </c>
      <c r="S512" s="2" t="n">
        <f aca="false">Settings!$B$4*MAX(INDEX(Bases!$M$2:$M$53,B512),INDEX(Bases!$M$2:$M$53,C512))+Settings!$B$5*MIN(INDEX(Bases!$M$2:$M$53,B512),INDEX(Bases!$M$2:$M$53,C512))</f>
        <v>75</v>
      </c>
      <c r="T512" s="2" t="n">
        <f aca="false">Settings!$B$4*MAX(INDEX(Bases!$N$2:$N$53,B512),INDEX(Bases!$N$2:$N$53,C512))+Settings!$B$5*MIN(INDEX(Bases!$N$2:$N$53,B512),INDEX(Bases!$N$2:$N$53,C512))</f>
        <v>63.6666666666667</v>
      </c>
      <c r="U512" s="2" t="n">
        <f aca="false">Settings!$B$4*MAX(INDEX(Bases!$O$2:$O$53,B512),INDEX(Bases!$O$2:$O$53,C512))+Settings!$B$5*MIN(INDEX(Bases!$O$2:$O$53,B512),INDEX(Bases!$O$2:$O$53,C512))</f>
        <v>63.6666666666667</v>
      </c>
      <c r="V512" s="2" t="n">
        <f aca="false">Settings!$B$4*MAX(INDEX(Bases!$P$2:$P$53,B512),INDEX(Bases!$P$2:$P$53,C512))+Settings!$B$5*MIN(INDEX(Bases!$P$2:$P$53,B512),INDEX(Bases!$P$2:$P$53,C512))</f>
        <v>84.3333333333333</v>
      </c>
      <c r="W512" s="2" t="n">
        <f aca="false">Settings!$B$4*MAX(INDEX(Bases!$Q$2:$Q$53,B512),INDEX(Bases!$Q$2:$Q$53,C512))+Settings!$B$5*MIN(INDEX(Bases!$Q$2:$Q$53,B512),INDEX(Bases!$Q$2:$Q$53,C512))</f>
        <v>65.3333333333333</v>
      </c>
      <c r="X512" s="2" t="n">
        <f aca="false">Settings!$B$4*MAX(INDEX(Bases!$R$2:$R$53,B512),INDEX(Bases!$R$2:$R$53,C512))+Settings!$B$5*MIN(INDEX(Bases!$R$2:$R$53,B512),INDEX(Bases!$R$2:$R$53,C512))</f>
        <v>60.6666666666667</v>
      </c>
      <c r="Y512" s="2" t="n">
        <f aca="false">S512*Settings!$B$3/SUM(S512:X512)</f>
        <v>90.8723747980614</v>
      </c>
      <c r="Z512" s="2" t="n">
        <f aca="false">T512*Settings!$B$3/SUM(S512:X512)</f>
        <v>77.140549273021</v>
      </c>
      <c r="AA512" s="2" t="n">
        <f aca="false">U512*Settings!$B$3/SUM(S512:X512)</f>
        <v>77.140549273021</v>
      </c>
      <c r="AB512" s="2" t="n">
        <f aca="false">V512*Settings!$B$3/SUM(S512:X512)</f>
        <v>102.180936995153</v>
      </c>
      <c r="AC512" s="2" t="n">
        <f aca="false">W512*Settings!$B$3/SUM(S512:X512)</f>
        <v>79.1599353796446</v>
      </c>
      <c r="AD512" s="2" t="n">
        <f aca="false">X512*Settings!$B$3/SUM(S512:X512)</f>
        <v>73.5056542810985</v>
      </c>
      <c r="AE512" s="2" t="n">
        <f aca="false">INT(Y512)</f>
        <v>90</v>
      </c>
      <c r="AF512" s="2" t="n">
        <f aca="false">INT(Z512)</f>
        <v>77</v>
      </c>
      <c r="AG512" s="2" t="n">
        <f aca="false">INT(AA512)</f>
        <v>77</v>
      </c>
      <c r="AH512" s="2" t="n">
        <f aca="false">INT(AB512)</f>
        <v>102</v>
      </c>
      <c r="AI512" s="2" t="n">
        <f aca="false">INT(AC512)</f>
        <v>79</v>
      </c>
      <c r="AJ512" s="2" t="n">
        <f aca="false">INT(AD512)</f>
        <v>73</v>
      </c>
      <c r="AK512" s="2" t="n">
        <f aca="false">Settings!$B$3-SUM(AE512:AJ512)</f>
        <v>2</v>
      </c>
      <c r="AL512" s="2" t="n">
        <f aca="false">ROUND(Y512-AE512,9)</f>
        <v>0.872374798</v>
      </c>
      <c r="AM512" s="2" t="n">
        <f aca="false">ROUND(Z512-AF512,9)</f>
        <v>0.140549273</v>
      </c>
      <c r="AN512" s="2" t="n">
        <f aca="false">ROUND(AA512-AG512,9)</f>
        <v>0.140549273</v>
      </c>
      <c r="AO512" s="2" t="n">
        <f aca="false">ROUND(AB512-AH512,9)</f>
        <v>0.180936995</v>
      </c>
      <c r="AP512" s="2" t="n">
        <f aca="false">ROUND(AC512-AI512,9)</f>
        <v>0.15993538</v>
      </c>
      <c r="AQ512" s="2" t="n">
        <f aca="false">ROUND(AD512-AJ512,9)</f>
        <v>0.505654281</v>
      </c>
    </row>
    <row r="513" customFormat="false" ht="15" hidden="false" customHeight="false" outlineLevel="0" collapsed="false">
      <c r="A513" s="2" t="n">
        <v>512</v>
      </c>
      <c r="B513" s="6" t="n">
        <v>12</v>
      </c>
      <c r="C513" s="6" t="n">
        <v>18</v>
      </c>
      <c r="D513" s="8" t="str">
        <f aca="false">INDEX(Bases!$B$2:$B$53,B513)</f>
        <v>Mareep</v>
      </c>
      <c r="E513" s="8" t="str">
        <f aca="false">INDEX(Bases!$B$2:$B$53,C513)</f>
        <v>Spheal</v>
      </c>
      <c r="F513" s="2" t="str">
        <f aca="false">LEFT(D513,ROUNDUP(LEN(D513)/2,0))&amp;LOWER(MID(E513,ROUNDUP(LEN(E513)/2,0)+1,20))</f>
        <v>Mareal</v>
      </c>
      <c r="G513" s="8" t="str">
        <f aca="false">INDEX(Bases!$C$2:$C$53,B513)</f>
        <v>Electric</v>
      </c>
      <c r="H513" s="8" t="str">
        <f aca="false">IF(INDEX(Bases!$C$2:$C$53,C513)=G513,"",INDEX(Bases!$C$2:$C$53,C513))</f>
        <v>Ice</v>
      </c>
      <c r="I513" s="8" t="str">
        <f aca="false">IF(INDEX(Bases!$E$2:$E$53,B513)="","",INDEX(Bases!$E$2:$E$53,B513))</f>
        <v/>
      </c>
      <c r="J513" s="8" t="str">
        <f aca="false">IF(INDEX(Bases!$E$2:$E$53,C513)="","",INDEX(Bases!$E$2:$E$53,C513))</f>
        <v/>
      </c>
      <c r="K513" s="5"/>
      <c r="L513" s="2" t="n">
        <f aca="false">AE513+IF(SUMPRODUCT(--($AL513:$AQ513&gt;AL513))&lt;$AK513,1,0)</f>
        <v>111</v>
      </c>
      <c r="M513" s="2" t="n">
        <f aca="false">AF513+IF(SUMPRODUCT(--($AL513:$AQ513&gt;AM513))+SUMPRODUCT(--($AL513:AL513=AM513))&lt;$AK513,1,0)</f>
        <v>68</v>
      </c>
      <c r="N513" s="2" t="n">
        <f aca="false">AG513+IF(SUMPRODUCT(--($AL513:$AQ513&gt;AN513))+SUMPRODUCT(--($AL513:AM513=AN513))&lt;$AK513,1,0)</f>
        <v>79</v>
      </c>
      <c r="O513" s="2" t="n">
        <f aca="false">AH513+IF(SUMPRODUCT(--($AL513:$AQ513&gt;AO513))+SUMPRODUCT(--($AL513:AN513=AO513))&lt;$AK513,1,0)</f>
        <v>106</v>
      </c>
      <c r="P513" s="2" t="n">
        <f aca="false">AI513+IF(SUMPRODUCT(--($AL513:$AQ513&gt;AP513))+SUMPRODUCT(--($AL513:AO513=AP513))&lt;$AK513,1,0)</f>
        <v>82</v>
      </c>
      <c r="Q513" s="2" t="n">
        <f aca="false">AJ513+IF(SUMPRODUCT(--($AL513:$AQ513&gt;AQ513))+SUMPRODUCT(--($AL513:AP513=AQ513))&lt;$AK513,1,0)</f>
        <v>54</v>
      </c>
      <c r="R513" s="2" t="n">
        <f aca="false">SUM(L513:Q513)</f>
        <v>500</v>
      </c>
      <c r="S513" s="2" t="n">
        <f aca="false">Settings!$B$4*MAX(INDEX(Bases!$M$2:$M$53,B513),INDEX(Bases!$M$2:$M$53,C513))+Settings!$B$5*MIN(INDEX(Bases!$M$2:$M$53,B513),INDEX(Bases!$M$2:$M$53,C513))</f>
        <v>91</v>
      </c>
      <c r="T513" s="2" t="n">
        <f aca="false">Settings!$B$4*MAX(INDEX(Bases!$N$2:$N$53,B513),INDEX(Bases!$N$2:$N$53,C513))+Settings!$B$5*MIN(INDEX(Bases!$N$2:$N$53,B513),INDEX(Bases!$N$2:$N$53,C513))</f>
        <v>56.3333333333333</v>
      </c>
      <c r="U513" s="2" t="n">
        <f aca="false">Settings!$B$4*MAX(INDEX(Bases!$O$2:$O$53,B513),INDEX(Bases!$O$2:$O$53,C513))+Settings!$B$5*MIN(INDEX(Bases!$O$2:$O$53,B513),INDEX(Bases!$O$2:$O$53,C513))</f>
        <v>65</v>
      </c>
      <c r="V513" s="2" t="n">
        <f aca="false">Settings!$B$4*MAX(INDEX(Bases!$P$2:$P$53,B513),INDEX(Bases!$P$2:$P$53,C513))+Settings!$B$5*MIN(INDEX(Bases!$P$2:$P$53,B513),INDEX(Bases!$P$2:$P$53,C513))</f>
        <v>87.3333333333333</v>
      </c>
      <c r="W513" s="2" t="n">
        <f aca="false">Settings!$B$4*MAX(INDEX(Bases!$Q$2:$Q$53,B513),INDEX(Bases!$Q$2:$Q$53,C513))+Settings!$B$5*MIN(INDEX(Bases!$Q$2:$Q$53,B513),INDEX(Bases!$Q$2:$Q$53,C513))</f>
        <v>67.3333333333333</v>
      </c>
      <c r="X513" s="2" t="n">
        <f aca="false">Settings!$B$4*MAX(INDEX(Bases!$R$2:$R$53,B513),INDEX(Bases!$R$2:$R$53,C513))+Settings!$B$5*MIN(INDEX(Bases!$R$2:$R$53,B513),INDEX(Bases!$R$2:$R$53,C513))</f>
        <v>44.6666666666667</v>
      </c>
      <c r="Y513" s="2" t="n">
        <f aca="false">S513*Settings!$B$3/SUM(S513:X513)</f>
        <v>110.526315789474</v>
      </c>
      <c r="Z513" s="2" t="n">
        <f aca="false">T513*Settings!$B$3/SUM(S513:X513)</f>
        <v>68.421052631579</v>
      </c>
      <c r="AA513" s="2" t="n">
        <f aca="false">U513*Settings!$B$3/SUM(S513:X513)</f>
        <v>78.9473684210526</v>
      </c>
      <c r="AB513" s="2" t="n">
        <f aca="false">V513*Settings!$B$3/SUM(S513:X513)</f>
        <v>106.072874493927</v>
      </c>
      <c r="AC513" s="2" t="n">
        <f aca="false">W513*Settings!$B$3/SUM(S513:X513)</f>
        <v>81.7813765182186</v>
      </c>
      <c r="AD513" s="2" t="n">
        <f aca="false">X513*Settings!$B$3/SUM(S513:X513)</f>
        <v>54.251012145749</v>
      </c>
      <c r="AE513" s="2" t="n">
        <f aca="false">INT(Y513)</f>
        <v>110</v>
      </c>
      <c r="AF513" s="2" t="n">
        <f aca="false">INT(Z513)</f>
        <v>68</v>
      </c>
      <c r="AG513" s="2" t="n">
        <f aca="false">INT(AA513)</f>
        <v>78</v>
      </c>
      <c r="AH513" s="2" t="n">
        <f aca="false">INT(AB513)</f>
        <v>106</v>
      </c>
      <c r="AI513" s="2" t="n">
        <f aca="false">INT(AC513)</f>
        <v>81</v>
      </c>
      <c r="AJ513" s="2" t="n">
        <f aca="false">INT(AD513)</f>
        <v>54</v>
      </c>
      <c r="AK513" s="2" t="n">
        <f aca="false">Settings!$B$3-SUM(AE513:AJ513)</f>
        <v>3</v>
      </c>
      <c r="AL513" s="2" t="n">
        <f aca="false">ROUND(Y513-AE513,9)</f>
        <v>0.526315789</v>
      </c>
      <c r="AM513" s="2" t="n">
        <f aca="false">ROUND(Z513-AF513,9)</f>
        <v>0.421052632</v>
      </c>
      <c r="AN513" s="2" t="n">
        <f aca="false">ROUND(AA513-AG513,9)</f>
        <v>0.947368421</v>
      </c>
      <c r="AO513" s="2" t="n">
        <f aca="false">ROUND(AB513-AH513,9)</f>
        <v>0.072874494</v>
      </c>
      <c r="AP513" s="2" t="n">
        <f aca="false">ROUND(AC513-AI513,9)</f>
        <v>0.781376518</v>
      </c>
      <c r="AQ513" s="2" t="n">
        <f aca="false">ROUND(AD513-AJ513,9)</f>
        <v>0.251012146</v>
      </c>
    </row>
    <row r="514" customFormat="false" ht="15" hidden="false" customHeight="false" outlineLevel="0" collapsed="false">
      <c r="A514" s="2" t="n">
        <v>513</v>
      </c>
      <c r="B514" s="6" t="n">
        <v>12</v>
      </c>
      <c r="C514" s="6" t="n">
        <v>19</v>
      </c>
      <c r="D514" s="8" t="str">
        <f aca="false">INDEX(Bases!$B$2:$B$53,B514)</f>
        <v>Mareep</v>
      </c>
      <c r="E514" s="8" t="str">
        <f aca="false">INDEX(Bases!$B$2:$B$53,C514)</f>
        <v>Mankey</v>
      </c>
      <c r="F514" s="2" t="str">
        <f aca="false">LEFT(D514,ROUNDUP(LEN(D514)/2,0))&amp;LOWER(MID(E514,ROUNDUP(LEN(E514)/2,0)+1,20))</f>
        <v>Markey</v>
      </c>
      <c r="G514" s="8" t="str">
        <f aca="false">INDEX(Bases!$C$2:$C$53,B514)</f>
        <v>Electric</v>
      </c>
      <c r="H514" s="8" t="str">
        <f aca="false">IF(INDEX(Bases!$C$2:$C$53,C514)=G514,"",INDEX(Bases!$C$2:$C$53,C514))</f>
        <v>Fighting</v>
      </c>
      <c r="I514" s="8" t="str">
        <f aca="false">IF(INDEX(Bases!$E$2:$E$53,B514)="","",INDEX(Bases!$E$2:$E$53,B514))</f>
        <v/>
      </c>
      <c r="J514" s="8" t="str">
        <f aca="false">IF(INDEX(Bases!$E$2:$E$53,C514)="","",INDEX(Bases!$E$2:$E$53,C514))</f>
        <v/>
      </c>
      <c r="K514" s="5"/>
      <c r="L514" s="2" t="n">
        <f aca="false">AE514+IF(SUMPRODUCT(--($AL514:$AQ514&gt;AL514))&lt;$AK514,1,0)</f>
        <v>81</v>
      </c>
      <c r="M514" s="2" t="n">
        <f aca="false">AF514+IF(SUMPRODUCT(--($AL514:$AQ514&gt;AM514))+SUMPRODUCT(--($AL514:AL514=AM514))&lt;$AK514,1,0)</f>
        <v>104</v>
      </c>
      <c r="N514" s="2" t="n">
        <f aca="false">AG514+IF(SUMPRODUCT(--($AL514:$AQ514&gt;AN514))+SUMPRODUCT(--($AL514:AM514=AN514))&lt;$AK514,1,0)</f>
        <v>62</v>
      </c>
      <c r="O514" s="2" t="n">
        <f aca="false">AH514+IF(SUMPRODUCT(--($AL514:$AQ514&gt;AO514))+SUMPRODUCT(--($AL514:AN514=AO514))&lt;$AK514,1,0)</f>
        <v>90</v>
      </c>
      <c r="P514" s="2" t="n">
        <f aca="false">AI514+IF(SUMPRODUCT(--($AL514:$AQ514&gt;AP514))+SUMPRODUCT(--($AL514:AO514=AP514))&lt;$AK514,1,0)</f>
        <v>72</v>
      </c>
      <c r="Q514" s="2" t="n">
        <f aca="false">AJ514+IF(SUMPRODUCT(--($AL514:$AQ514&gt;AQ514))+SUMPRODUCT(--($AL514:AP514=AQ514))&lt;$AK514,1,0)</f>
        <v>91</v>
      </c>
      <c r="R514" s="2" t="n">
        <f aca="false">SUM(L514:Q514)</f>
        <v>500</v>
      </c>
      <c r="S514" s="2" t="n">
        <f aca="false">Settings!$B$4*MAX(INDEX(Bases!$M$2:$M$53,B514),INDEX(Bases!$M$2:$M$53,C514))+Settings!$B$5*MIN(INDEX(Bases!$M$2:$M$53,B514),INDEX(Bases!$M$2:$M$53,C514))</f>
        <v>70</v>
      </c>
      <c r="T514" s="2" t="n">
        <f aca="false">Settings!$B$4*MAX(INDEX(Bases!$N$2:$N$53,B514),INDEX(Bases!$N$2:$N$53,C514))+Settings!$B$5*MIN(INDEX(Bases!$N$2:$N$53,B514),INDEX(Bases!$N$2:$N$53,C514))</f>
        <v>89</v>
      </c>
      <c r="U514" s="2" t="n">
        <f aca="false">Settings!$B$4*MAX(INDEX(Bases!$O$2:$O$53,B514),INDEX(Bases!$O$2:$O$53,C514))+Settings!$B$5*MIN(INDEX(Bases!$O$2:$O$53,B514),INDEX(Bases!$O$2:$O$53,C514))</f>
        <v>53.3333333333333</v>
      </c>
      <c r="V514" s="2" t="n">
        <f aca="false">Settings!$B$4*MAX(INDEX(Bases!$P$2:$P$53,B514),INDEX(Bases!$P$2:$P$53,C514))+Settings!$B$5*MIN(INDEX(Bases!$P$2:$P$53,B514),INDEX(Bases!$P$2:$P$53,C514))</f>
        <v>77.3333333333333</v>
      </c>
      <c r="W514" s="2" t="n">
        <f aca="false">Settings!$B$4*MAX(INDEX(Bases!$Q$2:$Q$53,B514),INDEX(Bases!$Q$2:$Q$53,C514))+Settings!$B$5*MIN(INDEX(Bases!$Q$2:$Q$53,B514),INDEX(Bases!$Q$2:$Q$53,C514))</f>
        <v>62.3333333333333</v>
      </c>
      <c r="X514" s="2" t="n">
        <f aca="false">Settings!$B$4*MAX(INDEX(Bases!$R$2:$R$53,B514),INDEX(Bases!$R$2:$R$53,C514))+Settings!$B$5*MIN(INDEX(Bases!$R$2:$R$53,B514),INDEX(Bases!$R$2:$R$53,C514))</f>
        <v>78</v>
      </c>
      <c r="Y514" s="2" t="n">
        <f aca="false">S514*Settings!$B$3/SUM(S514:X514)</f>
        <v>81.3953488372093</v>
      </c>
      <c r="Z514" s="2" t="n">
        <f aca="false">T514*Settings!$B$3/SUM(S514:X514)</f>
        <v>103.488372093023</v>
      </c>
      <c r="AA514" s="2" t="n">
        <f aca="false">U514*Settings!$B$3/SUM(S514:X514)</f>
        <v>62.015503875969</v>
      </c>
      <c r="AB514" s="2" t="n">
        <f aca="false">V514*Settings!$B$3/SUM(S514:X514)</f>
        <v>89.9224806201551</v>
      </c>
      <c r="AC514" s="2" t="n">
        <f aca="false">W514*Settings!$B$3/SUM(S514:X514)</f>
        <v>72.4806201550388</v>
      </c>
      <c r="AD514" s="2" t="n">
        <f aca="false">X514*Settings!$B$3/SUM(S514:X514)</f>
        <v>90.6976744186047</v>
      </c>
      <c r="AE514" s="2" t="n">
        <f aca="false">INT(Y514)</f>
        <v>81</v>
      </c>
      <c r="AF514" s="2" t="n">
        <f aca="false">INT(Z514)</f>
        <v>103</v>
      </c>
      <c r="AG514" s="2" t="n">
        <f aca="false">INT(AA514)</f>
        <v>62</v>
      </c>
      <c r="AH514" s="2" t="n">
        <f aca="false">INT(AB514)</f>
        <v>89</v>
      </c>
      <c r="AI514" s="2" t="n">
        <f aca="false">INT(AC514)</f>
        <v>72</v>
      </c>
      <c r="AJ514" s="2" t="n">
        <f aca="false">INT(AD514)</f>
        <v>90</v>
      </c>
      <c r="AK514" s="2" t="n">
        <f aca="false">Settings!$B$3-SUM(AE514:AJ514)</f>
        <v>3</v>
      </c>
      <c r="AL514" s="2" t="n">
        <f aca="false">ROUND(Y514-AE514,9)</f>
        <v>0.395348837</v>
      </c>
      <c r="AM514" s="2" t="n">
        <f aca="false">ROUND(Z514-AF514,9)</f>
        <v>0.488372093</v>
      </c>
      <c r="AN514" s="2" t="n">
        <f aca="false">ROUND(AA514-AG514,9)</f>
        <v>0.015503876</v>
      </c>
      <c r="AO514" s="2" t="n">
        <f aca="false">ROUND(AB514-AH514,9)</f>
        <v>0.92248062</v>
      </c>
      <c r="AP514" s="2" t="n">
        <f aca="false">ROUND(AC514-AI514,9)</f>
        <v>0.480620155</v>
      </c>
      <c r="AQ514" s="2" t="n">
        <f aca="false">ROUND(AD514-AJ514,9)</f>
        <v>0.697674419</v>
      </c>
    </row>
    <row r="515" customFormat="false" ht="15" hidden="false" customHeight="false" outlineLevel="0" collapsed="false">
      <c r="A515" s="2" t="n">
        <v>514</v>
      </c>
      <c r="B515" s="6" t="n">
        <v>12</v>
      </c>
      <c r="C515" s="6" t="n">
        <v>20</v>
      </c>
      <c r="D515" s="8" t="str">
        <f aca="false">INDEX(Bases!$B$2:$B$53,B515)</f>
        <v>Mareep</v>
      </c>
      <c r="E515" s="8" t="str">
        <f aca="false">INDEX(Bases!$B$2:$B$53,C515)</f>
        <v>Tyrogue</v>
      </c>
      <c r="F515" s="2" t="str">
        <f aca="false">LEFT(D515,ROUNDUP(LEN(D515)/2,0))&amp;LOWER(MID(E515,ROUNDUP(LEN(E515)/2,0)+1,20))</f>
        <v>Margue</v>
      </c>
      <c r="G515" s="8" t="str">
        <f aca="false">INDEX(Bases!$C$2:$C$53,B515)</f>
        <v>Electric</v>
      </c>
      <c r="H515" s="8" t="str">
        <f aca="false">IF(INDEX(Bases!$C$2:$C$53,C515)=G515,"",INDEX(Bases!$C$2:$C$53,C515))</f>
        <v>Fighting</v>
      </c>
      <c r="I515" s="8" t="str">
        <f aca="false">IF(INDEX(Bases!$E$2:$E$53,B515)="","",INDEX(Bases!$E$2:$E$53,B515))</f>
        <v/>
      </c>
      <c r="J515" s="8" t="str">
        <f aca="false">IF(INDEX(Bases!$E$2:$E$53,C515)="","",INDEX(Bases!$E$2:$E$53,C515))</f>
        <v/>
      </c>
      <c r="K515" s="5"/>
      <c r="L515" s="2" t="n">
        <f aca="false">AE515+IF(SUMPRODUCT(--($AL515:$AQ515&gt;AL515))&lt;$AK515,1,0)</f>
        <v>91</v>
      </c>
      <c r="M515" s="2" t="n">
        <f aca="false">AF515+IF(SUMPRODUCT(--($AL515:$AQ515&gt;AM515))+SUMPRODUCT(--($AL515:AL515=AM515))&lt;$AK515,1,0)</f>
        <v>77</v>
      </c>
      <c r="N515" s="2" t="n">
        <f aca="false">AG515+IF(SUMPRODUCT(--($AL515:$AQ515&gt;AN515))+SUMPRODUCT(--($AL515:AM515=AN515))&lt;$AK515,1,0)</f>
        <v>77</v>
      </c>
      <c r="O515" s="2" t="n">
        <f aca="false">AH515+IF(SUMPRODUCT(--($AL515:$AQ515&gt;AO515))+SUMPRODUCT(--($AL515:AN515=AO515))&lt;$AK515,1,0)</f>
        <v>102</v>
      </c>
      <c r="P515" s="2" t="n">
        <f aca="false">AI515+IF(SUMPRODUCT(--($AL515:$AQ515&gt;AP515))+SUMPRODUCT(--($AL515:AO515=AP515))&lt;$AK515,1,0)</f>
        <v>79</v>
      </c>
      <c r="Q515" s="2" t="n">
        <f aca="false">AJ515+IF(SUMPRODUCT(--($AL515:$AQ515&gt;AQ515))+SUMPRODUCT(--($AL515:AP515=AQ515))&lt;$AK515,1,0)</f>
        <v>74</v>
      </c>
      <c r="R515" s="2" t="n">
        <f aca="false">SUM(L515:Q515)</f>
        <v>500</v>
      </c>
      <c r="S515" s="2" t="n">
        <f aca="false">Settings!$B$4*MAX(INDEX(Bases!$M$2:$M$53,B515),INDEX(Bases!$M$2:$M$53,C515))+Settings!$B$5*MIN(INDEX(Bases!$M$2:$M$53,B515),INDEX(Bases!$M$2:$M$53,C515))</f>
        <v>75</v>
      </c>
      <c r="T515" s="2" t="n">
        <f aca="false">Settings!$B$4*MAX(INDEX(Bases!$N$2:$N$53,B515),INDEX(Bases!$N$2:$N$53,C515))+Settings!$B$5*MIN(INDEX(Bases!$N$2:$N$53,B515),INDEX(Bases!$N$2:$N$53,C515))</f>
        <v>63.6666666666667</v>
      </c>
      <c r="U515" s="2" t="n">
        <f aca="false">Settings!$B$4*MAX(INDEX(Bases!$O$2:$O$53,B515),INDEX(Bases!$O$2:$O$53,C515))+Settings!$B$5*MIN(INDEX(Bases!$O$2:$O$53,B515),INDEX(Bases!$O$2:$O$53,C515))</f>
        <v>63.6666666666667</v>
      </c>
      <c r="V515" s="2" t="n">
        <f aca="false">Settings!$B$4*MAX(INDEX(Bases!$P$2:$P$53,B515),INDEX(Bases!$P$2:$P$53,C515))+Settings!$B$5*MIN(INDEX(Bases!$P$2:$P$53,B515),INDEX(Bases!$P$2:$P$53,C515))</f>
        <v>84.3333333333333</v>
      </c>
      <c r="W515" s="2" t="n">
        <f aca="false">Settings!$B$4*MAX(INDEX(Bases!$Q$2:$Q$53,B515),INDEX(Bases!$Q$2:$Q$53,C515))+Settings!$B$5*MIN(INDEX(Bases!$Q$2:$Q$53,B515),INDEX(Bases!$Q$2:$Q$53,C515))</f>
        <v>65.3333333333333</v>
      </c>
      <c r="X515" s="2" t="n">
        <f aca="false">Settings!$B$4*MAX(INDEX(Bases!$R$2:$R$53,B515),INDEX(Bases!$R$2:$R$53,C515))+Settings!$B$5*MIN(INDEX(Bases!$R$2:$R$53,B515),INDEX(Bases!$R$2:$R$53,C515))</f>
        <v>60.6666666666667</v>
      </c>
      <c r="Y515" s="2" t="n">
        <f aca="false">S515*Settings!$B$3/SUM(S515:X515)</f>
        <v>90.8723747980614</v>
      </c>
      <c r="Z515" s="2" t="n">
        <f aca="false">T515*Settings!$B$3/SUM(S515:X515)</f>
        <v>77.140549273021</v>
      </c>
      <c r="AA515" s="2" t="n">
        <f aca="false">U515*Settings!$B$3/SUM(S515:X515)</f>
        <v>77.140549273021</v>
      </c>
      <c r="AB515" s="2" t="n">
        <f aca="false">V515*Settings!$B$3/SUM(S515:X515)</f>
        <v>102.180936995153</v>
      </c>
      <c r="AC515" s="2" t="n">
        <f aca="false">W515*Settings!$B$3/SUM(S515:X515)</f>
        <v>79.1599353796446</v>
      </c>
      <c r="AD515" s="2" t="n">
        <f aca="false">X515*Settings!$B$3/SUM(S515:X515)</f>
        <v>73.5056542810985</v>
      </c>
      <c r="AE515" s="2" t="n">
        <f aca="false">INT(Y515)</f>
        <v>90</v>
      </c>
      <c r="AF515" s="2" t="n">
        <f aca="false">INT(Z515)</f>
        <v>77</v>
      </c>
      <c r="AG515" s="2" t="n">
        <f aca="false">INT(AA515)</f>
        <v>77</v>
      </c>
      <c r="AH515" s="2" t="n">
        <f aca="false">INT(AB515)</f>
        <v>102</v>
      </c>
      <c r="AI515" s="2" t="n">
        <f aca="false">INT(AC515)</f>
        <v>79</v>
      </c>
      <c r="AJ515" s="2" t="n">
        <f aca="false">INT(AD515)</f>
        <v>73</v>
      </c>
      <c r="AK515" s="2" t="n">
        <f aca="false">Settings!$B$3-SUM(AE515:AJ515)</f>
        <v>2</v>
      </c>
      <c r="AL515" s="2" t="n">
        <f aca="false">ROUND(Y515-AE515,9)</f>
        <v>0.872374798</v>
      </c>
      <c r="AM515" s="2" t="n">
        <f aca="false">ROUND(Z515-AF515,9)</f>
        <v>0.140549273</v>
      </c>
      <c r="AN515" s="2" t="n">
        <f aca="false">ROUND(AA515-AG515,9)</f>
        <v>0.140549273</v>
      </c>
      <c r="AO515" s="2" t="n">
        <f aca="false">ROUND(AB515-AH515,9)</f>
        <v>0.180936995</v>
      </c>
      <c r="AP515" s="2" t="n">
        <f aca="false">ROUND(AC515-AI515,9)</f>
        <v>0.15993538</v>
      </c>
      <c r="AQ515" s="2" t="n">
        <f aca="false">ROUND(AD515-AJ515,9)</f>
        <v>0.505654281</v>
      </c>
    </row>
    <row r="516" customFormat="false" ht="15" hidden="false" customHeight="false" outlineLevel="0" collapsed="false">
      <c r="A516" s="2" t="n">
        <v>515</v>
      </c>
      <c r="B516" s="6" t="n">
        <v>12</v>
      </c>
      <c r="C516" s="6" t="n">
        <v>21</v>
      </c>
      <c r="D516" s="8" t="str">
        <f aca="false">INDEX(Bases!$B$2:$B$53,B516)</f>
        <v>Mareep</v>
      </c>
      <c r="E516" s="8" t="str">
        <f aca="false">INDEX(Bases!$B$2:$B$53,C516)</f>
        <v>Makuhita</v>
      </c>
      <c r="F516" s="2" t="str">
        <f aca="false">LEFT(D516,ROUNDUP(LEN(D516)/2,0))&amp;LOWER(MID(E516,ROUNDUP(LEN(E516)/2,0)+1,20))</f>
        <v>Marhita</v>
      </c>
      <c r="G516" s="8" t="str">
        <f aca="false">INDEX(Bases!$C$2:$C$53,B516)</f>
        <v>Electric</v>
      </c>
      <c r="H516" s="8" t="str">
        <f aca="false">IF(INDEX(Bases!$C$2:$C$53,C516)=G516,"",INDEX(Bases!$C$2:$C$53,C516))</f>
        <v>Fighting</v>
      </c>
      <c r="I516" s="8" t="str">
        <f aca="false">IF(INDEX(Bases!$E$2:$E$53,B516)="","",INDEX(Bases!$E$2:$E$53,B516))</f>
        <v/>
      </c>
      <c r="J516" s="8" t="str">
        <f aca="false">IF(INDEX(Bases!$E$2:$E$53,C516)="","",INDEX(Bases!$E$2:$E$53,C516))</f>
        <v/>
      </c>
      <c r="K516" s="5"/>
      <c r="L516" s="2" t="n">
        <f aca="false">AE516+IF(SUMPRODUCT(--($AL516:$AQ516&gt;AL516))&lt;$AK516,1,0)</f>
        <v>125</v>
      </c>
      <c r="M516" s="2" t="n">
        <f aca="false">AF516+IF(SUMPRODUCT(--($AL516:$AQ516&gt;AM516))+SUMPRODUCT(--($AL516:AL516=AM516))&lt;$AK516,1,0)</f>
        <v>101</v>
      </c>
      <c r="N516" s="2" t="n">
        <f aca="false">AG516+IF(SUMPRODUCT(--($AL516:$AQ516&gt;AN516))+SUMPRODUCT(--($AL516:AM516=AN516))&lt;$AK516,1,0)</f>
        <v>64</v>
      </c>
      <c r="O516" s="2" t="n">
        <f aca="false">AH516+IF(SUMPRODUCT(--($AL516:$AQ516&gt;AO516))+SUMPRODUCT(--($AL516:AN516=AO516))&lt;$AK516,1,0)</f>
        <v>85</v>
      </c>
      <c r="P516" s="2" t="n">
        <f aca="false">AI516+IF(SUMPRODUCT(--($AL516:$AQ516&gt;AP516))+SUMPRODUCT(--($AL516:AO516=AP516))&lt;$AK516,1,0)</f>
        <v>70</v>
      </c>
      <c r="Q516" s="2" t="n">
        <f aca="false">AJ516+IF(SUMPRODUCT(--($AL516:$AQ516&gt;AQ516))+SUMPRODUCT(--($AL516:AP516=AQ516))&lt;$AK516,1,0)</f>
        <v>55</v>
      </c>
      <c r="R516" s="2" t="n">
        <f aca="false">SUM(L516:Q516)</f>
        <v>500</v>
      </c>
      <c r="S516" s="2" t="n">
        <f aca="false">Settings!$B$4*MAX(INDEX(Bases!$M$2:$M$53,B516),INDEX(Bases!$M$2:$M$53,C516))+Settings!$B$5*MIN(INDEX(Bases!$M$2:$M$53,B516),INDEX(Bases!$M$2:$M$53,C516))</f>
        <v>107</v>
      </c>
      <c r="T516" s="2" t="n">
        <f aca="false">Settings!$B$4*MAX(INDEX(Bases!$N$2:$N$53,B516),INDEX(Bases!$N$2:$N$53,C516))+Settings!$B$5*MIN(INDEX(Bases!$N$2:$N$53,B516),INDEX(Bases!$N$2:$N$53,C516))</f>
        <v>86.3333333333333</v>
      </c>
      <c r="U516" s="2" t="n">
        <f aca="false">Settings!$B$4*MAX(INDEX(Bases!$O$2:$O$53,B516),INDEX(Bases!$O$2:$O$53,C516))+Settings!$B$5*MIN(INDEX(Bases!$O$2:$O$53,B516),INDEX(Bases!$O$2:$O$53,C516))</f>
        <v>55</v>
      </c>
      <c r="V516" s="2" t="n">
        <f aca="false">Settings!$B$4*MAX(INDEX(Bases!$P$2:$P$53,B516),INDEX(Bases!$P$2:$P$53,C516))+Settings!$B$5*MIN(INDEX(Bases!$P$2:$P$53,B516),INDEX(Bases!$P$2:$P$53,C516))</f>
        <v>73.3333333333333</v>
      </c>
      <c r="W516" s="2" t="n">
        <f aca="false">Settings!$B$4*MAX(INDEX(Bases!$Q$2:$Q$53,B516),INDEX(Bases!$Q$2:$Q$53,C516))+Settings!$B$5*MIN(INDEX(Bases!$Q$2:$Q$53,B516),INDEX(Bases!$Q$2:$Q$53,C516))</f>
        <v>59.6666666666667</v>
      </c>
      <c r="X516" s="2" t="n">
        <f aca="false">Settings!$B$4*MAX(INDEX(Bases!$R$2:$R$53,B516),INDEX(Bases!$R$2:$R$53,C516))+Settings!$B$5*MIN(INDEX(Bases!$R$2:$R$53,B516),INDEX(Bases!$R$2:$R$53,C516))</f>
        <v>47.3333333333333</v>
      </c>
      <c r="Y516" s="2" t="n">
        <f aca="false">S516*Settings!$B$3/SUM(S516:X516)</f>
        <v>124.805598755832</v>
      </c>
      <c r="Z516" s="2" t="n">
        <f aca="false">T516*Settings!$B$3/SUM(S516:X516)</f>
        <v>100.699844479005</v>
      </c>
      <c r="AA516" s="2" t="n">
        <f aca="false">U516*Settings!$B$3/SUM(S516:X516)</f>
        <v>64.1524105754277</v>
      </c>
      <c r="AB516" s="2" t="n">
        <f aca="false">V516*Settings!$B$3/SUM(S516:X516)</f>
        <v>85.5365474339036</v>
      </c>
      <c r="AC516" s="2" t="n">
        <f aca="false">W516*Settings!$B$3/SUM(S516:X516)</f>
        <v>69.5956454121307</v>
      </c>
      <c r="AD516" s="2" t="n">
        <f aca="false">X516*Settings!$B$3/SUM(S516:X516)</f>
        <v>55.2099533437014</v>
      </c>
      <c r="AE516" s="2" t="n">
        <f aca="false">INT(Y516)</f>
        <v>124</v>
      </c>
      <c r="AF516" s="2" t="n">
        <f aca="false">INT(Z516)</f>
        <v>100</v>
      </c>
      <c r="AG516" s="2" t="n">
        <f aca="false">INT(AA516)</f>
        <v>64</v>
      </c>
      <c r="AH516" s="2" t="n">
        <f aca="false">INT(AB516)</f>
        <v>85</v>
      </c>
      <c r="AI516" s="2" t="n">
        <f aca="false">INT(AC516)</f>
        <v>69</v>
      </c>
      <c r="AJ516" s="2" t="n">
        <f aca="false">INT(AD516)</f>
        <v>55</v>
      </c>
      <c r="AK516" s="2" t="n">
        <f aca="false">Settings!$B$3-SUM(AE516:AJ516)</f>
        <v>3</v>
      </c>
      <c r="AL516" s="2" t="n">
        <f aca="false">ROUND(Y516-AE516,9)</f>
        <v>0.805598756</v>
      </c>
      <c r="AM516" s="2" t="n">
        <f aca="false">ROUND(Z516-AF516,9)</f>
        <v>0.699844479</v>
      </c>
      <c r="AN516" s="2" t="n">
        <f aca="false">ROUND(AA516-AG516,9)</f>
        <v>0.152410575</v>
      </c>
      <c r="AO516" s="2" t="n">
        <f aca="false">ROUND(AB516-AH516,9)</f>
        <v>0.536547434</v>
      </c>
      <c r="AP516" s="2" t="n">
        <f aca="false">ROUND(AC516-AI516,9)</f>
        <v>0.595645412</v>
      </c>
      <c r="AQ516" s="2" t="n">
        <f aca="false">ROUND(AD516-AJ516,9)</f>
        <v>0.209953344</v>
      </c>
    </row>
    <row r="517" customFormat="false" ht="15" hidden="false" customHeight="false" outlineLevel="0" collapsed="false">
      <c r="A517" s="2" t="n">
        <v>516</v>
      </c>
      <c r="B517" s="6" t="n">
        <v>12</v>
      </c>
      <c r="C517" s="6" t="n">
        <v>22</v>
      </c>
      <c r="D517" s="8" t="str">
        <f aca="false">INDEX(Bases!$B$2:$B$53,B517)</f>
        <v>Mareep</v>
      </c>
      <c r="E517" s="8" t="str">
        <f aca="false">INDEX(Bases!$B$2:$B$53,C517)</f>
        <v>Ekans</v>
      </c>
      <c r="F517" s="2" t="str">
        <f aca="false">LEFT(D517,ROUNDUP(LEN(D517)/2,0))&amp;LOWER(MID(E517,ROUNDUP(LEN(E517)/2,0)+1,20))</f>
        <v>Marns</v>
      </c>
      <c r="G517" s="8" t="str">
        <f aca="false">INDEX(Bases!$C$2:$C$53,B517)</f>
        <v>Electric</v>
      </c>
      <c r="H517" s="8" t="str">
        <f aca="false">IF(INDEX(Bases!$C$2:$C$53,C517)=G517,"",INDEX(Bases!$C$2:$C$53,C517))</f>
        <v>Poison</v>
      </c>
      <c r="I517" s="8" t="str">
        <f aca="false">IF(INDEX(Bases!$E$2:$E$53,B517)="","",INDEX(Bases!$E$2:$E$53,B517))</f>
        <v/>
      </c>
      <c r="J517" s="8" t="str">
        <f aca="false">IF(INDEX(Bases!$E$2:$E$53,C517)="","",INDEX(Bases!$E$2:$E$53,C517))</f>
        <v/>
      </c>
      <c r="K517" s="5"/>
      <c r="L517" s="2" t="n">
        <f aca="false">AE517+IF(SUMPRODUCT(--($AL517:$AQ517&gt;AL517))&lt;$AK517,1,0)</f>
        <v>82</v>
      </c>
      <c r="M517" s="2" t="n">
        <f aca="false">AF517+IF(SUMPRODUCT(--($AL517:$AQ517&gt;AM517))+SUMPRODUCT(--($AL517:AL517=AM517))&lt;$AK517,1,0)</f>
        <v>88</v>
      </c>
      <c r="N517" s="2" t="n">
        <f aca="false">AG517+IF(SUMPRODUCT(--($AL517:$AQ517&gt;AN517))+SUMPRODUCT(--($AL517:AM517=AN517))&lt;$AK517,1,0)</f>
        <v>71</v>
      </c>
      <c r="O517" s="2" t="n">
        <f aca="false">AH517+IF(SUMPRODUCT(--($AL517:$AQ517&gt;AO517))+SUMPRODUCT(--($AL517:AN517=AO517))&lt;$AK517,1,0)</f>
        <v>95</v>
      </c>
      <c r="P517" s="2" t="n">
        <f aca="false">AI517+IF(SUMPRODUCT(--($AL517:$AQ517&gt;AP517))+SUMPRODUCT(--($AL517:AO517=AP517))&lt;$AK517,1,0)</f>
        <v>84</v>
      </c>
      <c r="Q517" s="2" t="n">
        <f aca="false">AJ517+IF(SUMPRODUCT(--($AL517:$AQ517&gt;AQ517))+SUMPRODUCT(--($AL517:AP517=AQ517))&lt;$AK517,1,0)</f>
        <v>80</v>
      </c>
      <c r="R517" s="2" t="n">
        <f aca="false">SUM(L517:Q517)</f>
        <v>500</v>
      </c>
      <c r="S517" s="2" t="n">
        <f aca="false">Settings!$B$4*MAX(INDEX(Bases!$M$2:$M$53,B517),INDEX(Bases!$M$2:$M$53,C517))+Settings!$B$5*MIN(INDEX(Bases!$M$2:$M$53,B517),INDEX(Bases!$M$2:$M$53,C517))</f>
        <v>69</v>
      </c>
      <c r="T517" s="2" t="n">
        <f aca="false">Settings!$B$4*MAX(INDEX(Bases!$N$2:$N$53,B517),INDEX(Bases!$N$2:$N$53,C517))+Settings!$B$5*MIN(INDEX(Bases!$N$2:$N$53,B517),INDEX(Bases!$N$2:$N$53,C517))</f>
        <v>74.3333333333333</v>
      </c>
      <c r="U517" s="2" t="n">
        <f aca="false">Settings!$B$4*MAX(INDEX(Bases!$O$2:$O$53,B517),INDEX(Bases!$O$2:$O$53,C517))+Settings!$B$5*MIN(INDEX(Bases!$O$2:$O$53,B517),INDEX(Bases!$O$2:$O$53,C517))</f>
        <v>59.6666666666667</v>
      </c>
      <c r="V517" s="2" t="n">
        <f aca="false">Settings!$B$4*MAX(INDEX(Bases!$P$2:$P$53,B517),INDEX(Bases!$P$2:$P$53,C517))+Settings!$B$5*MIN(INDEX(Bases!$P$2:$P$53,B517),INDEX(Bases!$P$2:$P$53,C517))</f>
        <v>80.6666666666667</v>
      </c>
      <c r="W517" s="2" t="n">
        <f aca="false">Settings!$B$4*MAX(INDEX(Bases!$Q$2:$Q$53,B517),INDEX(Bases!$Q$2:$Q$53,C517))+Settings!$B$5*MIN(INDEX(Bases!$Q$2:$Q$53,B517),INDEX(Bases!$Q$2:$Q$53,C517))</f>
        <v>71.3333333333333</v>
      </c>
      <c r="X517" s="2" t="n">
        <f aca="false">Settings!$B$4*MAX(INDEX(Bases!$R$2:$R$53,B517),INDEX(Bases!$R$2:$R$53,C517))+Settings!$B$5*MIN(INDEX(Bases!$R$2:$R$53,B517),INDEX(Bases!$R$2:$R$53,C517))</f>
        <v>67.3333333333333</v>
      </c>
      <c r="Y517" s="2" t="n">
        <f aca="false">S517*Settings!$B$3/SUM(S517:X517)</f>
        <v>81.6890292028414</v>
      </c>
      <c r="Z517" s="2" t="n">
        <f aca="false">T517*Settings!$B$3/SUM(S517:X517)</f>
        <v>88.0031570639305</v>
      </c>
      <c r="AA517" s="2" t="n">
        <f aca="false">U517*Settings!$B$3/SUM(S517:X517)</f>
        <v>70.6393054459353</v>
      </c>
      <c r="AB517" s="2" t="n">
        <f aca="false">V517*Settings!$B$3/SUM(S517:X517)</f>
        <v>95.501183898974</v>
      </c>
      <c r="AC517" s="2" t="n">
        <f aca="false">W517*Settings!$B$3/SUM(S517:X517)</f>
        <v>84.4514601420679</v>
      </c>
      <c r="AD517" s="2" t="n">
        <f aca="false">X517*Settings!$B$3/SUM(S517:X517)</f>
        <v>79.715864246251</v>
      </c>
      <c r="AE517" s="2" t="n">
        <f aca="false">INT(Y517)</f>
        <v>81</v>
      </c>
      <c r="AF517" s="2" t="n">
        <f aca="false">INT(Z517)</f>
        <v>88</v>
      </c>
      <c r="AG517" s="2" t="n">
        <f aca="false">INT(AA517)</f>
        <v>70</v>
      </c>
      <c r="AH517" s="2" t="n">
        <f aca="false">INT(AB517)</f>
        <v>95</v>
      </c>
      <c r="AI517" s="2" t="n">
        <f aca="false">INT(AC517)</f>
        <v>84</v>
      </c>
      <c r="AJ517" s="2" t="n">
        <f aca="false">INT(AD517)</f>
        <v>79</v>
      </c>
      <c r="AK517" s="2" t="n">
        <f aca="false">Settings!$B$3-SUM(AE517:AJ517)</f>
        <v>3</v>
      </c>
      <c r="AL517" s="2" t="n">
        <f aca="false">ROUND(Y517-AE517,9)</f>
        <v>0.689029203</v>
      </c>
      <c r="AM517" s="2" t="n">
        <f aca="false">ROUND(Z517-AF517,9)</f>
        <v>0.003157064</v>
      </c>
      <c r="AN517" s="2" t="n">
        <f aca="false">ROUND(AA517-AG517,9)</f>
        <v>0.639305446</v>
      </c>
      <c r="AO517" s="2" t="n">
        <f aca="false">ROUND(AB517-AH517,9)</f>
        <v>0.501183899</v>
      </c>
      <c r="AP517" s="2" t="n">
        <f aca="false">ROUND(AC517-AI517,9)</f>
        <v>0.451460142</v>
      </c>
      <c r="AQ517" s="2" t="n">
        <f aca="false">ROUND(AD517-AJ517,9)</f>
        <v>0.715864246</v>
      </c>
    </row>
    <row r="518" customFormat="false" ht="15" hidden="false" customHeight="false" outlineLevel="0" collapsed="false">
      <c r="A518" s="2" t="n">
        <v>517</v>
      </c>
      <c r="B518" s="6" t="n">
        <v>12</v>
      </c>
      <c r="C518" s="6" t="n">
        <v>23</v>
      </c>
      <c r="D518" s="8" t="str">
        <f aca="false">INDEX(Bases!$B$2:$B$53,B518)</f>
        <v>Mareep</v>
      </c>
      <c r="E518" s="8" t="str">
        <f aca="false">INDEX(Bases!$B$2:$B$53,C518)</f>
        <v>Gulpin</v>
      </c>
      <c r="F518" s="2" t="str">
        <f aca="false">LEFT(D518,ROUNDUP(LEN(D518)/2,0))&amp;LOWER(MID(E518,ROUNDUP(LEN(E518)/2,0)+1,20))</f>
        <v>Marpin</v>
      </c>
      <c r="G518" s="8" t="str">
        <f aca="false">INDEX(Bases!$C$2:$C$53,B518)</f>
        <v>Electric</v>
      </c>
      <c r="H518" s="8" t="str">
        <f aca="false">IF(INDEX(Bases!$C$2:$C$53,C518)=G518,"",INDEX(Bases!$C$2:$C$53,C518))</f>
        <v>Poison</v>
      </c>
      <c r="I518" s="8" t="str">
        <f aca="false">IF(INDEX(Bases!$E$2:$E$53,B518)="","",INDEX(Bases!$E$2:$E$53,B518))</f>
        <v/>
      </c>
      <c r="J518" s="8" t="str">
        <f aca="false">IF(INDEX(Bases!$E$2:$E$53,C518)="","",INDEX(Bases!$E$2:$E$53,C518))</f>
        <v/>
      </c>
      <c r="K518" s="5"/>
      <c r="L518" s="2" t="n">
        <f aca="false">AE518+IF(SUMPRODUCT(--($AL518:$AQ518&gt;AL518))&lt;$AK518,1,0)</f>
        <v>107</v>
      </c>
      <c r="M518" s="2" t="n">
        <f aca="false">AF518+IF(SUMPRODUCT(--($AL518:$AQ518&gt;AM518))+SUMPRODUCT(--($AL518:AL518=AM518))&lt;$AK518,1,0)</f>
        <v>69</v>
      </c>
      <c r="N518" s="2" t="n">
        <f aca="false">AG518+IF(SUMPRODUCT(--($AL518:$AQ518&gt;AN518))+SUMPRODUCT(--($AL518:AM518=AN518))&lt;$AK518,1,0)</f>
        <v>80</v>
      </c>
      <c r="O518" s="2" t="n">
        <f aca="false">AH518+IF(SUMPRODUCT(--($AL518:$AQ518&gt;AO518))+SUMPRODUCT(--($AL518:AN518=AO518))&lt;$AK518,1,0)</f>
        <v>98</v>
      </c>
      <c r="P518" s="2" t="n">
        <f aca="false">AI518+IF(SUMPRODUCT(--($AL518:$AQ518&gt;AP518))+SUMPRODUCT(--($AL518:AO518=AP518))&lt;$AK518,1,0)</f>
        <v>83</v>
      </c>
      <c r="Q518" s="2" t="n">
        <f aca="false">AJ518+IF(SUMPRODUCT(--($AL518:$AQ518&gt;AQ518))+SUMPRODUCT(--($AL518:AP518=AQ518))&lt;$AK518,1,0)</f>
        <v>63</v>
      </c>
      <c r="R518" s="2" t="n">
        <f aca="false">SUM(L518:Q518)</f>
        <v>500</v>
      </c>
      <c r="S518" s="2" t="n">
        <f aca="false">Settings!$B$4*MAX(INDEX(Bases!$M$2:$M$53,B518),INDEX(Bases!$M$2:$M$53,C518))+Settings!$B$5*MIN(INDEX(Bases!$M$2:$M$53,B518),INDEX(Bases!$M$2:$M$53,C518))</f>
        <v>88.3333333333333</v>
      </c>
      <c r="T518" s="2" t="n">
        <f aca="false">Settings!$B$4*MAX(INDEX(Bases!$N$2:$N$53,B518),INDEX(Bases!$N$2:$N$53,C518))+Settings!$B$5*MIN(INDEX(Bases!$N$2:$N$53,B518),INDEX(Bases!$N$2:$N$53,C518))</f>
        <v>57</v>
      </c>
      <c r="U518" s="2" t="n">
        <f aca="false">Settings!$B$4*MAX(INDEX(Bases!$O$2:$O$53,B518),INDEX(Bases!$O$2:$O$53,C518))+Settings!$B$5*MIN(INDEX(Bases!$O$2:$O$53,B518),INDEX(Bases!$O$2:$O$53,C518))</f>
        <v>65.6666666666667</v>
      </c>
      <c r="V518" s="2" t="n">
        <f aca="false">Settings!$B$4*MAX(INDEX(Bases!$P$2:$P$53,B518),INDEX(Bases!$P$2:$P$53,C518))+Settings!$B$5*MIN(INDEX(Bases!$P$2:$P$53,B518),INDEX(Bases!$P$2:$P$53,C518))</f>
        <v>81</v>
      </c>
      <c r="W518" s="2" t="n">
        <f aca="false">Settings!$B$4*MAX(INDEX(Bases!$Q$2:$Q$53,B518),INDEX(Bases!$Q$2:$Q$53,C518))+Settings!$B$5*MIN(INDEX(Bases!$Q$2:$Q$53,B518),INDEX(Bases!$Q$2:$Q$53,C518))</f>
        <v>68</v>
      </c>
      <c r="X518" s="2" t="n">
        <f aca="false">Settings!$B$4*MAX(INDEX(Bases!$R$2:$R$53,B518),INDEX(Bases!$R$2:$R$53,C518))+Settings!$B$5*MIN(INDEX(Bases!$R$2:$R$53,B518),INDEX(Bases!$R$2:$R$53,C518))</f>
        <v>52</v>
      </c>
      <c r="Y518" s="2" t="n">
        <f aca="false">S518*Settings!$B$3/SUM(S518:X518)</f>
        <v>107.200647249191</v>
      </c>
      <c r="Z518" s="2" t="n">
        <f aca="false">T518*Settings!$B$3/SUM(S518:X518)</f>
        <v>69.1747572815534</v>
      </c>
      <c r="AA518" s="2" t="n">
        <f aca="false">U518*Settings!$B$3/SUM(S518:X518)</f>
        <v>79.6925566343042</v>
      </c>
      <c r="AB518" s="2" t="n">
        <f aca="false">V518*Settings!$B$3/SUM(S518:X518)</f>
        <v>98.3009708737864</v>
      </c>
      <c r="AC518" s="2" t="n">
        <f aca="false">W518*Settings!$B$3/SUM(S518:X518)</f>
        <v>82.5242718446602</v>
      </c>
      <c r="AD518" s="2" t="n">
        <f aca="false">X518*Settings!$B$3/SUM(S518:X518)</f>
        <v>63.1067961165049</v>
      </c>
      <c r="AE518" s="2" t="n">
        <f aca="false">INT(Y518)</f>
        <v>107</v>
      </c>
      <c r="AF518" s="2" t="n">
        <f aca="false">INT(Z518)</f>
        <v>69</v>
      </c>
      <c r="AG518" s="2" t="n">
        <f aca="false">INT(AA518)</f>
        <v>79</v>
      </c>
      <c r="AH518" s="2" t="n">
        <f aca="false">INT(AB518)</f>
        <v>98</v>
      </c>
      <c r="AI518" s="2" t="n">
        <f aca="false">INT(AC518)</f>
        <v>82</v>
      </c>
      <c r="AJ518" s="2" t="n">
        <f aca="false">INT(AD518)</f>
        <v>63</v>
      </c>
      <c r="AK518" s="2" t="n">
        <f aca="false">Settings!$B$3-SUM(AE518:AJ518)</f>
        <v>2</v>
      </c>
      <c r="AL518" s="2" t="n">
        <f aca="false">ROUND(Y518-AE518,9)</f>
        <v>0.200647249</v>
      </c>
      <c r="AM518" s="2" t="n">
        <f aca="false">ROUND(Z518-AF518,9)</f>
        <v>0.174757282</v>
      </c>
      <c r="AN518" s="2" t="n">
        <f aca="false">ROUND(AA518-AG518,9)</f>
        <v>0.692556634</v>
      </c>
      <c r="AO518" s="2" t="n">
        <f aca="false">ROUND(AB518-AH518,9)</f>
        <v>0.300970874</v>
      </c>
      <c r="AP518" s="2" t="n">
        <f aca="false">ROUND(AC518-AI518,9)</f>
        <v>0.524271845</v>
      </c>
      <c r="AQ518" s="2" t="n">
        <f aca="false">ROUND(AD518-AJ518,9)</f>
        <v>0.106796117</v>
      </c>
    </row>
    <row r="519" customFormat="false" ht="15" hidden="false" customHeight="false" outlineLevel="0" collapsed="false">
      <c r="A519" s="2" t="n">
        <v>518</v>
      </c>
      <c r="B519" s="6" t="n">
        <v>12</v>
      </c>
      <c r="C519" s="6" t="n">
        <v>24</v>
      </c>
      <c r="D519" s="8" t="str">
        <f aca="false">INDEX(Bases!$B$2:$B$53,B519)</f>
        <v>Mareep</v>
      </c>
      <c r="E519" s="8" t="str">
        <f aca="false">INDEX(Bases!$B$2:$B$53,C519)</f>
        <v>Koffing</v>
      </c>
      <c r="F519" s="2" t="str">
        <f aca="false">LEFT(D519,ROUNDUP(LEN(D519)/2,0))&amp;LOWER(MID(E519,ROUNDUP(LEN(E519)/2,0)+1,20))</f>
        <v>Maring</v>
      </c>
      <c r="G519" s="8" t="str">
        <f aca="false">INDEX(Bases!$C$2:$C$53,B519)</f>
        <v>Electric</v>
      </c>
      <c r="H519" s="8" t="str">
        <f aca="false">IF(INDEX(Bases!$C$2:$C$53,C519)=G519,"",INDEX(Bases!$C$2:$C$53,C519))</f>
        <v>Poison</v>
      </c>
      <c r="I519" s="8" t="str">
        <f aca="false">IF(INDEX(Bases!$E$2:$E$53,B519)="","",INDEX(Bases!$E$2:$E$53,B519))</f>
        <v/>
      </c>
      <c r="J519" s="8" t="str">
        <f aca="false">IF(INDEX(Bases!$E$2:$E$53,C519)="","",INDEX(Bases!$E$2:$E$53,C519))</f>
        <v/>
      </c>
      <c r="K519" s="5"/>
      <c r="L519" s="2" t="n">
        <f aca="false">AE519+IF(SUMPRODUCT(--($AL519:$AQ519&gt;AL519))&lt;$AK519,1,0)</f>
        <v>81</v>
      </c>
      <c r="M519" s="2" t="n">
        <f aca="false">AF519+IF(SUMPRODUCT(--($AL519:$AQ519&gt;AM519))+SUMPRODUCT(--($AL519:AL519=AM519))&lt;$AK519,1,0)</f>
        <v>82</v>
      </c>
      <c r="N519" s="2" t="n">
        <f aca="false">AG519+IF(SUMPRODUCT(--($AL519:$AQ519&gt;AN519))+SUMPRODUCT(--($AL519:AM519=AN519))&lt;$AK519,1,0)</f>
        <v>110</v>
      </c>
      <c r="O519" s="2" t="n">
        <f aca="false">AH519+IF(SUMPRODUCT(--($AL519:$AQ519&gt;AO519))+SUMPRODUCT(--($AL519:AN519=AO519))&lt;$AK519,1,0)</f>
        <v>101</v>
      </c>
      <c r="P519" s="2" t="n">
        <f aca="false">AI519+IF(SUMPRODUCT(--($AL519:$AQ519&gt;AP519))+SUMPRODUCT(--($AL519:AO519=AP519))&lt;$AK519,1,0)</f>
        <v>71</v>
      </c>
      <c r="Q519" s="2" t="n">
        <f aca="false">AJ519+IF(SUMPRODUCT(--($AL519:$AQ519&gt;AQ519))+SUMPRODUCT(--($AL519:AP519=AQ519))&lt;$AK519,1,0)</f>
        <v>55</v>
      </c>
      <c r="R519" s="2" t="n">
        <f aca="false">SUM(L519:Q519)</f>
        <v>500</v>
      </c>
      <c r="S519" s="2" t="n">
        <f aca="false">Settings!$B$4*MAX(INDEX(Bases!$M$2:$M$53,B519),INDEX(Bases!$M$2:$M$53,C519))+Settings!$B$5*MIN(INDEX(Bases!$M$2:$M$53,B519),INDEX(Bases!$M$2:$M$53,C519))</f>
        <v>68.3333333333333</v>
      </c>
      <c r="T519" s="2" t="n">
        <f aca="false">Settings!$B$4*MAX(INDEX(Bases!$N$2:$N$53,B519),INDEX(Bases!$N$2:$N$53,C519))+Settings!$B$5*MIN(INDEX(Bases!$N$2:$N$53,B519),INDEX(Bases!$N$2:$N$53,C519))</f>
        <v>69.6666666666667</v>
      </c>
      <c r="U519" s="2" t="n">
        <f aca="false">Settings!$B$4*MAX(INDEX(Bases!$O$2:$O$53,B519),INDEX(Bases!$O$2:$O$53,C519))+Settings!$B$5*MIN(INDEX(Bases!$O$2:$O$53,B519),INDEX(Bases!$O$2:$O$53,C519))</f>
        <v>93.6666666666667</v>
      </c>
      <c r="V519" s="2" t="n">
        <f aca="false">Settings!$B$4*MAX(INDEX(Bases!$P$2:$P$53,B519),INDEX(Bases!$P$2:$P$53,C519))+Settings!$B$5*MIN(INDEX(Bases!$P$2:$P$53,B519),INDEX(Bases!$P$2:$P$53,C519))</f>
        <v>85.6666666666667</v>
      </c>
      <c r="W519" s="2" t="n">
        <f aca="false">Settings!$B$4*MAX(INDEX(Bases!$Q$2:$Q$53,B519),INDEX(Bases!$Q$2:$Q$53,C519))+Settings!$B$5*MIN(INDEX(Bases!$Q$2:$Q$53,B519),INDEX(Bases!$Q$2:$Q$53,C519))</f>
        <v>60.3333333333333</v>
      </c>
      <c r="X519" s="2" t="n">
        <f aca="false">Settings!$B$4*MAX(INDEX(Bases!$R$2:$R$53,B519),INDEX(Bases!$R$2:$R$53,C519))+Settings!$B$5*MIN(INDEX(Bases!$R$2:$R$53,B519),INDEX(Bases!$R$2:$R$53,C519))</f>
        <v>47</v>
      </c>
      <c r="Y519" s="2" t="n">
        <f aca="false">S519*Settings!$B$3/SUM(S519:X519)</f>
        <v>80.4552590266876</v>
      </c>
      <c r="Z519" s="2" t="n">
        <f aca="false">T519*Settings!$B$3/SUM(S519:X519)</f>
        <v>82.0251177394035</v>
      </c>
      <c r="AA519" s="2" t="n">
        <f aca="false">U519*Settings!$B$3/SUM(S519:X519)</f>
        <v>110.282574568289</v>
      </c>
      <c r="AB519" s="2" t="n">
        <f aca="false">V519*Settings!$B$3/SUM(S519:X519)</f>
        <v>100.863422291994</v>
      </c>
      <c r="AC519" s="2" t="n">
        <f aca="false">W519*Settings!$B$3/SUM(S519:X519)</f>
        <v>71.0361067503925</v>
      </c>
      <c r="AD519" s="2" t="n">
        <f aca="false">X519*Settings!$B$3/SUM(S519:X519)</f>
        <v>55.3375196232339</v>
      </c>
      <c r="AE519" s="2" t="n">
        <f aca="false">INT(Y519)</f>
        <v>80</v>
      </c>
      <c r="AF519" s="2" t="n">
        <f aca="false">INT(Z519)</f>
        <v>82</v>
      </c>
      <c r="AG519" s="2" t="n">
        <f aca="false">INT(AA519)</f>
        <v>110</v>
      </c>
      <c r="AH519" s="2" t="n">
        <f aca="false">INT(AB519)</f>
        <v>100</v>
      </c>
      <c r="AI519" s="2" t="n">
        <f aca="false">INT(AC519)</f>
        <v>71</v>
      </c>
      <c r="AJ519" s="2" t="n">
        <f aca="false">INT(AD519)</f>
        <v>55</v>
      </c>
      <c r="AK519" s="2" t="n">
        <f aca="false">Settings!$B$3-SUM(AE519:AJ519)</f>
        <v>2</v>
      </c>
      <c r="AL519" s="2" t="n">
        <f aca="false">ROUND(Y519-AE519,9)</f>
        <v>0.455259027</v>
      </c>
      <c r="AM519" s="2" t="n">
        <f aca="false">ROUND(Z519-AF519,9)</f>
        <v>0.025117739</v>
      </c>
      <c r="AN519" s="2" t="n">
        <f aca="false">ROUND(AA519-AG519,9)</f>
        <v>0.282574568</v>
      </c>
      <c r="AO519" s="2" t="n">
        <f aca="false">ROUND(AB519-AH519,9)</f>
        <v>0.863422292</v>
      </c>
      <c r="AP519" s="2" t="n">
        <f aca="false">ROUND(AC519-AI519,9)</f>
        <v>0.03610675</v>
      </c>
      <c r="AQ519" s="2" t="n">
        <f aca="false">ROUND(AD519-AJ519,9)</f>
        <v>0.337519623</v>
      </c>
    </row>
    <row r="520" customFormat="false" ht="15" hidden="false" customHeight="false" outlineLevel="0" collapsed="false">
      <c r="A520" s="2" t="n">
        <v>519</v>
      </c>
      <c r="B520" s="6" t="n">
        <v>12</v>
      </c>
      <c r="C520" s="6" t="n">
        <v>25</v>
      </c>
      <c r="D520" s="8" t="str">
        <f aca="false">INDEX(Bases!$B$2:$B$53,B520)</f>
        <v>Mareep</v>
      </c>
      <c r="E520" s="8" t="str">
        <f aca="false">INDEX(Bases!$B$2:$B$53,C520)</f>
        <v>Sandshrew</v>
      </c>
      <c r="F520" s="2" t="str">
        <f aca="false">LEFT(D520,ROUNDUP(LEN(D520)/2,0))&amp;LOWER(MID(E520,ROUNDUP(LEN(E520)/2,0)+1,20))</f>
        <v>Marhrew</v>
      </c>
      <c r="G520" s="8" t="str">
        <f aca="false">INDEX(Bases!$C$2:$C$53,B520)</f>
        <v>Electric</v>
      </c>
      <c r="H520" s="8" t="str">
        <f aca="false">IF(INDEX(Bases!$C$2:$C$53,C520)=G520,"",INDEX(Bases!$C$2:$C$53,C520))</f>
        <v>Ground</v>
      </c>
      <c r="I520" s="8" t="str">
        <f aca="false">IF(INDEX(Bases!$E$2:$E$53,B520)="","",INDEX(Bases!$E$2:$E$53,B520))</f>
        <v/>
      </c>
      <c r="J520" s="8" t="str">
        <f aca="false">IF(INDEX(Bases!$E$2:$E$53,C520)="","",INDEX(Bases!$E$2:$E$53,C520))</f>
        <v/>
      </c>
      <c r="K520" s="5"/>
      <c r="L520" s="2" t="n">
        <f aca="false">AE520+IF(SUMPRODUCT(--($AL520:$AQ520&gt;AL520))&lt;$AK520,1,0)</f>
        <v>86</v>
      </c>
      <c r="M520" s="2" t="n">
        <f aca="false">AF520+IF(SUMPRODUCT(--($AL520:$AQ520&gt;AM520))+SUMPRODUCT(--($AL520:AL520=AM520))&lt;$AK520,1,0)</f>
        <v>99</v>
      </c>
      <c r="N520" s="2" t="n">
        <f aca="false">AG520+IF(SUMPRODUCT(--($AL520:$AQ520&gt;AN520))+SUMPRODUCT(--($AL520:AM520=AN520))&lt;$AK520,1,0)</f>
        <v>109</v>
      </c>
      <c r="O520" s="2" t="n">
        <f aca="false">AH520+IF(SUMPRODUCT(--($AL520:$AQ520&gt;AO520))+SUMPRODUCT(--($AL520:AN520=AO520))&lt;$AK520,1,0)</f>
        <v>82</v>
      </c>
      <c r="P520" s="2" t="n">
        <f aca="false">AI520+IF(SUMPRODUCT(--($AL520:$AQ520&gt;AP520))+SUMPRODUCT(--($AL520:AO520=AP520))&lt;$AK520,1,0)</f>
        <v>64</v>
      </c>
      <c r="Q520" s="2" t="n">
        <f aca="false">AJ520+IF(SUMPRODUCT(--($AL520:$AQ520&gt;AQ520))+SUMPRODUCT(--($AL520:AP520=AQ520))&lt;$AK520,1,0)</f>
        <v>60</v>
      </c>
      <c r="R520" s="2" t="n">
        <f aca="false">SUM(L520:Q520)</f>
        <v>500</v>
      </c>
      <c r="S520" s="2" t="n">
        <f aca="false">Settings!$B$4*MAX(INDEX(Bases!$M$2:$M$53,B520),INDEX(Bases!$M$2:$M$53,C520))+Settings!$B$5*MIN(INDEX(Bases!$M$2:$M$53,B520),INDEX(Bases!$M$2:$M$53,C520))</f>
        <v>75</v>
      </c>
      <c r="T520" s="2" t="n">
        <f aca="false">Settings!$B$4*MAX(INDEX(Bases!$N$2:$N$53,B520),INDEX(Bases!$N$2:$N$53,C520))+Settings!$B$5*MIN(INDEX(Bases!$N$2:$N$53,B520),INDEX(Bases!$N$2:$N$53,C520))</f>
        <v>85.6666666666667</v>
      </c>
      <c r="U520" s="2" t="n">
        <f aca="false">Settings!$B$4*MAX(INDEX(Bases!$O$2:$O$53,B520),INDEX(Bases!$O$2:$O$53,C520))+Settings!$B$5*MIN(INDEX(Bases!$O$2:$O$53,B520),INDEX(Bases!$O$2:$O$53,C520))</f>
        <v>94.3333333333333</v>
      </c>
      <c r="V520" s="2" t="n">
        <f aca="false">Settings!$B$4*MAX(INDEX(Bases!$P$2:$P$53,B520),INDEX(Bases!$P$2:$P$53,C520))+Settings!$B$5*MIN(INDEX(Bases!$P$2:$P$53,B520),INDEX(Bases!$P$2:$P$53,C520))</f>
        <v>71</v>
      </c>
      <c r="W520" s="2" t="n">
        <f aca="false">Settings!$B$4*MAX(INDEX(Bases!$Q$2:$Q$53,B520),INDEX(Bases!$Q$2:$Q$53,C520))+Settings!$B$5*MIN(INDEX(Bases!$Q$2:$Q$53,B520),INDEX(Bases!$Q$2:$Q$53,C520))</f>
        <v>56</v>
      </c>
      <c r="X520" s="2" t="n">
        <f aca="false">Settings!$B$4*MAX(INDEX(Bases!$R$2:$R$53,B520),INDEX(Bases!$R$2:$R$53,C520))+Settings!$B$5*MIN(INDEX(Bases!$R$2:$R$53,B520),INDEX(Bases!$R$2:$R$53,C520))</f>
        <v>52</v>
      </c>
      <c r="Y520" s="2" t="n">
        <f aca="false">S520*Settings!$B$3/SUM(S520:X520)</f>
        <v>86.4055299539171</v>
      </c>
      <c r="Z520" s="2" t="n">
        <f aca="false">T520*Settings!$B$3/SUM(S520:X520)</f>
        <v>98.6943164362519</v>
      </c>
      <c r="AA520" s="2" t="n">
        <f aca="false">U520*Settings!$B$3/SUM(S520:X520)</f>
        <v>108.678955453149</v>
      </c>
      <c r="AB520" s="2" t="n">
        <f aca="false">V520*Settings!$B$3/SUM(S520:X520)</f>
        <v>81.7972350230415</v>
      </c>
      <c r="AC520" s="2" t="n">
        <f aca="false">W520*Settings!$B$3/SUM(S520:X520)</f>
        <v>64.5161290322581</v>
      </c>
      <c r="AD520" s="2" t="n">
        <f aca="false">X520*Settings!$B$3/SUM(S520:X520)</f>
        <v>59.9078341013825</v>
      </c>
      <c r="AE520" s="2" t="n">
        <f aca="false">INT(Y520)</f>
        <v>86</v>
      </c>
      <c r="AF520" s="2" t="n">
        <f aca="false">INT(Z520)</f>
        <v>98</v>
      </c>
      <c r="AG520" s="2" t="n">
        <f aca="false">INT(AA520)</f>
        <v>108</v>
      </c>
      <c r="AH520" s="2" t="n">
        <f aca="false">INT(AB520)</f>
        <v>81</v>
      </c>
      <c r="AI520" s="2" t="n">
        <f aca="false">INT(AC520)</f>
        <v>64</v>
      </c>
      <c r="AJ520" s="2" t="n">
        <f aca="false">INT(AD520)</f>
        <v>59</v>
      </c>
      <c r="AK520" s="2" t="n">
        <f aca="false">Settings!$B$3-SUM(AE520:AJ520)</f>
        <v>4</v>
      </c>
      <c r="AL520" s="2" t="n">
        <f aca="false">ROUND(Y520-AE520,9)</f>
        <v>0.405529954</v>
      </c>
      <c r="AM520" s="2" t="n">
        <f aca="false">ROUND(Z520-AF520,9)</f>
        <v>0.694316436</v>
      </c>
      <c r="AN520" s="2" t="n">
        <f aca="false">ROUND(AA520-AG520,9)</f>
        <v>0.678955453</v>
      </c>
      <c r="AO520" s="2" t="n">
        <f aca="false">ROUND(AB520-AH520,9)</f>
        <v>0.797235023</v>
      </c>
      <c r="AP520" s="2" t="n">
        <f aca="false">ROUND(AC520-AI520,9)</f>
        <v>0.516129032</v>
      </c>
      <c r="AQ520" s="2" t="n">
        <f aca="false">ROUND(AD520-AJ520,9)</f>
        <v>0.907834101</v>
      </c>
    </row>
    <row r="521" customFormat="false" ht="15" hidden="false" customHeight="false" outlineLevel="0" collapsed="false">
      <c r="A521" s="2" t="n">
        <v>520</v>
      </c>
      <c r="B521" s="6" t="n">
        <v>12</v>
      </c>
      <c r="C521" s="6" t="n">
        <v>26</v>
      </c>
      <c r="D521" s="8" t="str">
        <f aca="false">INDEX(Bases!$B$2:$B$53,B521)</f>
        <v>Mareep</v>
      </c>
      <c r="E521" s="8" t="str">
        <f aca="false">INDEX(Bases!$B$2:$B$53,C521)</f>
        <v>Phanpy</v>
      </c>
      <c r="F521" s="2" t="str">
        <f aca="false">LEFT(D521,ROUNDUP(LEN(D521)/2,0))&amp;LOWER(MID(E521,ROUNDUP(LEN(E521)/2,0)+1,20))</f>
        <v>Marnpy</v>
      </c>
      <c r="G521" s="8" t="str">
        <f aca="false">INDEX(Bases!$C$2:$C$53,B521)</f>
        <v>Electric</v>
      </c>
      <c r="H521" s="8" t="str">
        <f aca="false">IF(INDEX(Bases!$C$2:$C$53,C521)=G521,"",INDEX(Bases!$C$2:$C$53,C521))</f>
        <v>Ground</v>
      </c>
      <c r="I521" s="8" t="str">
        <f aca="false">IF(INDEX(Bases!$E$2:$E$53,B521)="","",INDEX(Bases!$E$2:$E$53,B521))</f>
        <v/>
      </c>
      <c r="J521" s="8" t="str">
        <f aca="false">IF(INDEX(Bases!$E$2:$E$53,C521)="","",INDEX(Bases!$E$2:$E$53,C521))</f>
        <v/>
      </c>
      <c r="K521" s="5"/>
      <c r="L521" s="2" t="n">
        <f aca="false">AE521+IF(SUMPRODUCT(--($AL521:$AQ521&gt;AL521))&lt;$AK521,1,0)</f>
        <v>118</v>
      </c>
      <c r="M521" s="2" t="n">
        <f aca="false">AF521+IF(SUMPRODUCT(--($AL521:$AQ521&gt;AM521))+SUMPRODUCT(--($AL521:AL521=AM521))&lt;$AK521,1,0)</f>
        <v>80</v>
      </c>
      <c r="N521" s="2" t="n">
        <f aca="false">AG521+IF(SUMPRODUCT(--($AL521:$AQ521&gt;AN521))+SUMPRODUCT(--($AL521:AM521=AN521))&lt;$AK521,1,0)</f>
        <v>80</v>
      </c>
      <c r="O521" s="2" t="n">
        <f aca="false">AH521+IF(SUMPRODUCT(--($AL521:$AQ521&gt;AO521))+SUMPRODUCT(--($AL521:AN521=AO521))&lt;$AK521,1,0)</f>
        <v>93</v>
      </c>
      <c r="P521" s="2" t="n">
        <f aca="false">AI521+IF(SUMPRODUCT(--($AL521:$AQ521&gt;AP521))+SUMPRODUCT(--($AL521:AO521=AP521))&lt;$AK521,1,0)</f>
        <v>70</v>
      </c>
      <c r="Q521" s="2" t="n">
        <f aca="false">AJ521+IF(SUMPRODUCT(--($AL521:$AQ521&gt;AQ521))+SUMPRODUCT(--($AL521:AP521=AQ521))&lt;$AK521,1,0)</f>
        <v>59</v>
      </c>
      <c r="R521" s="2" t="n">
        <f aca="false">SUM(L521:Q521)</f>
        <v>500</v>
      </c>
      <c r="S521" s="2" t="n">
        <f aca="false">Settings!$B$4*MAX(INDEX(Bases!$M$2:$M$53,B521),INDEX(Bases!$M$2:$M$53,C521))+Settings!$B$5*MIN(INDEX(Bases!$M$2:$M$53,B521),INDEX(Bases!$M$2:$M$53,C521))</f>
        <v>99</v>
      </c>
      <c r="T521" s="2" t="n">
        <f aca="false">Settings!$B$4*MAX(INDEX(Bases!$N$2:$N$53,B521),INDEX(Bases!$N$2:$N$53,C521))+Settings!$B$5*MIN(INDEX(Bases!$N$2:$N$53,B521),INDEX(Bases!$N$2:$N$53,C521))</f>
        <v>67.6666666666667</v>
      </c>
      <c r="U521" s="2" t="n">
        <f aca="false">Settings!$B$4*MAX(INDEX(Bases!$O$2:$O$53,B521),INDEX(Bases!$O$2:$O$53,C521))+Settings!$B$5*MIN(INDEX(Bases!$O$2:$O$53,B521),INDEX(Bases!$O$2:$O$53,C521))</f>
        <v>67.6666666666667</v>
      </c>
      <c r="V521" s="2" t="n">
        <f aca="false">Settings!$B$4*MAX(INDEX(Bases!$P$2:$P$53,B521),INDEX(Bases!$P$2:$P$53,C521))+Settings!$B$5*MIN(INDEX(Bases!$P$2:$P$53,B521),INDEX(Bases!$P$2:$P$53,C521))</f>
        <v>78.3333333333333</v>
      </c>
      <c r="W521" s="2" t="n">
        <f aca="false">Settings!$B$4*MAX(INDEX(Bases!$Q$2:$Q$53,B521),INDEX(Bases!$Q$2:$Q$53,C521))+Settings!$B$5*MIN(INDEX(Bases!$Q$2:$Q$53,B521),INDEX(Bases!$Q$2:$Q$53,C521))</f>
        <v>58.6666666666667</v>
      </c>
      <c r="X521" s="2" t="n">
        <f aca="false">Settings!$B$4*MAX(INDEX(Bases!$R$2:$R$53,B521),INDEX(Bases!$R$2:$R$53,C521))+Settings!$B$5*MIN(INDEX(Bases!$R$2:$R$53,B521),INDEX(Bases!$R$2:$R$53,C521))</f>
        <v>49.3333333333333</v>
      </c>
      <c r="Y521" s="2" t="n">
        <f aca="false">S521*Settings!$B$3/SUM(S521:X521)</f>
        <v>117.670364500792</v>
      </c>
      <c r="Z521" s="2" t="n">
        <f aca="false">T521*Settings!$B$3/SUM(S521:X521)</f>
        <v>80.4278922345483</v>
      </c>
      <c r="AA521" s="2" t="n">
        <f aca="false">U521*Settings!$B$3/SUM(S521:X521)</f>
        <v>80.4278922345483</v>
      </c>
      <c r="AB521" s="2" t="n">
        <f aca="false">V521*Settings!$B$3/SUM(S521:X521)</f>
        <v>93.1061806656102</v>
      </c>
      <c r="AC521" s="2" t="n">
        <f aca="false">W521*Settings!$B$3/SUM(S521:X521)</f>
        <v>69.7305863708399</v>
      </c>
      <c r="AD521" s="2" t="n">
        <f aca="false">X521*Settings!$B$3/SUM(S521:X521)</f>
        <v>58.6370839936608</v>
      </c>
      <c r="AE521" s="2" t="n">
        <f aca="false">INT(Y521)</f>
        <v>117</v>
      </c>
      <c r="AF521" s="2" t="n">
        <f aca="false">INT(Z521)</f>
        <v>80</v>
      </c>
      <c r="AG521" s="2" t="n">
        <f aca="false">INT(AA521)</f>
        <v>80</v>
      </c>
      <c r="AH521" s="2" t="n">
        <f aca="false">INT(AB521)</f>
        <v>93</v>
      </c>
      <c r="AI521" s="2" t="n">
        <f aca="false">INT(AC521)</f>
        <v>69</v>
      </c>
      <c r="AJ521" s="2" t="n">
        <f aca="false">INT(AD521)</f>
        <v>58</v>
      </c>
      <c r="AK521" s="2" t="n">
        <f aca="false">Settings!$B$3-SUM(AE521:AJ521)</f>
        <v>3</v>
      </c>
      <c r="AL521" s="2" t="n">
        <f aca="false">ROUND(Y521-AE521,9)</f>
        <v>0.670364501</v>
      </c>
      <c r="AM521" s="2" t="n">
        <f aca="false">ROUND(Z521-AF521,9)</f>
        <v>0.427892235</v>
      </c>
      <c r="AN521" s="2" t="n">
        <f aca="false">ROUND(AA521-AG521,9)</f>
        <v>0.427892235</v>
      </c>
      <c r="AO521" s="2" t="n">
        <f aca="false">ROUND(AB521-AH521,9)</f>
        <v>0.106180666</v>
      </c>
      <c r="AP521" s="2" t="n">
        <f aca="false">ROUND(AC521-AI521,9)</f>
        <v>0.730586371</v>
      </c>
      <c r="AQ521" s="2" t="n">
        <f aca="false">ROUND(AD521-AJ521,9)</f>
        <v>0.637083994</v>
      </c>
    </row>
    <row r="522" customFormat="false" ht="15" hidden="false" customHeight="false" outlineLevel="0" collapsed="false">
      <c r="A522" s="2" t="n">
        <v>521</v>
      </c>
      <c r="B522" s="6" t="n">
        <v>12</v>
      </c>
      <c r="C522" s="6" t="n">
        <v>27</v>
      </c>
      <c r="D522" s="8" t="str">
        <f aca="false">INDEX(Bases!$B$2:$B$53,B522)</f>
        <v>Mareep</v>
      </c>
      <c r="E522" s="8" t="str">
        <f aca="false">INDEX(Bases!$B$2:$B$53,C522)</f>
        <v>Baltoy</v>
      </c>
      <c r="F522" s="2" t="str">
        <f aca="false">LEFT(D522,ROUNDUP(LEN(D522)/2,0))&amp;LOWER(MID(E522,ROUNDUP(LEN(E522)/2,0)+1,20))</f>
        <v>Martoy</v>
      </c>
      <c r="G522" s="8" t="str">
        <f aca="false">INDEX(Bases!$C$2:$C$53,B522)</f>
        <v>Electric</v>
      </c>
      <c r="H522" s="8" t="str">
        <f aca="false">IF(INDEX(Bases!$C$2:$C$53,C522)=G522,"",INDEX(Bases!$C$2:$C$53,C522))</f>
        <v>Ground</v>
      </c>
      <c r="I522" s="8" t="str">
        <f aca="false">IF(INDEX(Bases!$E$2:$E$53,B522)="","",INDEX(Bases!$E$2:$E$53,B522))</f>
        <v/>
      </c>
      <c r="J522" s="8" t="str">
        <f aca="false">IF(INDEX(Bases!$E$2:$E$53,C522)="","",INDEX(Bases!$E$2:$E$53,C522))</f>
        <v/>
      </c>
      <c r="K522" s="5"/>
      <c r="L522" s="2" t="n">
        <f aca="false">AE522+IF(SUMPRODUCT(--($AL522:$AQ522&gt;AL522))&lt;$AK522,1,0)</f>
        <v>84</v>
      </c>
      <c r="M522" s="2" t="n">
        <f aca="false">AF522+IF(SUMPRODUCT(--($AL522:$AQ522&gt;AM522))+SUMPRODUCT(--($AL522:AL522=AM522))&lt;$AK522,1,0)</f>
        <v>66</v>
      </c>
      <c r="N522" s="2" t="n">
        <f aca="false">AG522+IF(SUMPRODUCT(--($AL522:$AQ522&gt;AN522))+SUMPRODUCT(--($AL522:AM522=AN522))&lt;$AK522,1,0)</f>
        <v>80</v>
      </c>
      <c r="O522" s="2" t="n">
        <f aca="false">AH522+IF(SUMPRODUCT(--($AL522:$AQ522&gt;AO522))+SUMPRODUCT(--($AL522:AN522=AO522))&lt;$AK522,1,0)</f>
        <v>94</v>
      </c>
      <c r="P522" s="2" t="n">
        <f aca="false">AI522+IF(SUMPRODUCT(--($AL522:$AQ522&gt;AP522))+SUMPRODUCT(--($AL522:AO522=AP522))&lt;$AK522,1,0)</f>
        <v>99</v>
      </c>
      <c r="Q522" s="2" t="n">
        <f aca="false">AJ522+IF(SUMPRODUCT(--($AL522:$AQ522&gt;AQ522))+SUMPRODUCT(--($AL522:AP522=AQ522))&lt;$AK522,1,0)</f>
        <v>77</v>
      </c>
      <c r="R522" s="2" t="n">
        <f aca="false">SUM(L522:Q522)</f>
        <v>500</v>
      </c>
      <c r="S522" s="2" t="n">
        <f aca="false">Settings!$B$4*MAX(INDEX(Bases!$M$2:$M$53,B522),INDEX(Bases!$M$2:$M$53,C522))+Settings!$B$5*MIN(INDEX(Bases!$M$2:$M$53,B522),INDEX(Bases!$M$2:$M$53,C522))</f>
        <v>70.6666666666667</v>
      </c>
      <c r="T522" s="2" t="n">
        <f aca="false">Settings!$B$4*MAX(INDEX(Bases!$N$2:$N$53,B522),INDEX(Bases!$N$2:$N$53,C522))+Settings!$B$5*MIN(INDEX(Bases!$N$2:$N$53,B522),INDEX(Bases!$N$2:$N$53,C522))</f>
        <v>56</v>
      </c>
      <c r="U522" s="2" t="n">
        <f aca="false">Settings!$B$4*MAX(INDEX(Bases!$O$2:$O$53,B522),INDEX(Bases!$O$2:$O$53,C522))+Settings!$B$5*MIN(INDEX(Bases!$O$2:$O$53,B522),INDEX(Bases!$O$2:$O$53,C522))</f>
        <v>67.6666666666667</v>
      </c>
      <c r="V522" s="2" t="n">
        <f aca="false">Settings!$B$4*MAX(INDEX(Bases!$P$2:$P$53,B522),INDEX(Bases!$P$2:$P$53,C522))+Settings!$B$5*MIN(INDEX(Bases!$P$2:$P$53,B522),INDEX(Bases!$P$2:$P$53,C522))</f>
        <v>79.6666666666667</v>
      </c>
      <c r="W522" s="2" t="n">
        <f aca="false">Settings!$B$4*MAX(INDEX(Bases!$Q$2:$Q$53,B522),INDEX(Bases!$Q$2:$Q$53,C522))+Settings!$B$5*MIN(INDEX(Bases!$Q$2:$Q$53,B522),INDEX(Bases!$Q$2:$Q$53,C522))</f>
        <v>83.3333333333333</v>
      </c>
      <c r="X522" s="2" t="n">
        <f aca="false">Settings!$B$4*MAX(INDEX(Bases!$R$2:$R$53,B522),INDEX(Bases!$R$2:$R$53,C522))+Settings!$B$5*MIN(INDEX(Bases!$R$2:$R$53,B522),INDEX(Bases!$R$2:$R$53,C522))</f>
        <v>65.3333333333333</v>
      </c>
      <c r="Y522" s="2" t="n">
        <f aca="false">S522*Settings!$B$3/SUM(S522:X522)</f>
        <v>83.596214511041</v>
      </c>
      <c r="Z522" s="2" t="n">
        <f aca="false">T522*Settings!$B$3/SUM(S522:X522)</f>
        <v>66.2460567823344</v>
      </c>
      <c r="AA522" s="2" t="n">
        <f aca="false">U522*Settings!$B$3/SUM(S522:X522)</f>
        <v>80.0473186119874</v>
      </c>
      <c r="AB522" s="2" t="n">
        <f aca="false">V522*Settings!$B$3/SUM(S522:X522)</f>
        <v>94.2429022082019</v>
      </c>
      <c r="AC522" s="2" t="n">
        <f aca="false">W522*Settings!$B$3/SUM(S522:X522)</f>
        <v>98.5804416403786</v>
      </c>
      <c r="AD522" s="2" t="n">
        <f aca="false">X522*Settings!$B$3/SUM(S522:X522)</f>
        <v>77.2870662460568</v>
      </c>
      <c r="AE522" s="2" t="n">
        <f aca="false">INT(Y522)</f>
        <v>83</v>
      </c>
      <c r="AF522" s="2" t="n">
        <f aca="false">INT(Z522)</f>
        <v>66</v>
      </c>
      <c r="AG522" s="2" t="n">
        <f aca="false">INT(AA522)</f>
        <v>80</v>
      </c>
      <c r="AH522" s="2" t="n">
        <f aca="false">INT(AB522)</f>
        <v>94</v>
      </c>
      <c r="AI522" s="2" t="n">
        <f aca="false">INT(AC522)</f>
        <v>98</v>
      </c>
      <c r="AJ522" s="2" t="n">
        <f aca="false">INT(AD522)</f>
        <v>77</v>
      </c>
      <c r="AK522" s="2" t="n">
        <f aca="false">Settings!$B$3-SUM(AE522:AJ522)</f>
        <v>2</v>
      </c>
      <c r="AL522" s="2" t="n">
        <f aca="false">ROUND(Y522-AE522,9)</f>
        <v>0.596214511</v>
      </c>
      <c r="AM522" s="2" t="n">
        <f aca="false">ROUND(Z522-AF522,9)</f>
        <v>0.246056782</v>
      </c>
      <c r="AN522" s="2" t="n">
        <f aca="false">ROUND(AA522-AG522,9)</f>
        <v>0.047318612</v>
      </c>
      <c r="AO522" s="2" t="n">
        <f aca="false">ROUND(AB522-AH522,9)</f>
        <v>0.242902208</v>
      </c>
      <c r="AP522" s="2" t="n">
        <f aca="false">ROUND(AC522-AI522,9)</f>
        <v>0.58044164</v>
      </c>
      <c r="AQ522" s="2" t="n">
        <f aca="false">ROUND(AD522-AJ522,9)</f>
        <v>0.287066246</v>
      </c>
    </row>
    <row r="523" customFormat="false" ht="15" hidden="false" customHeight="false" outlineLevel="0" collapsed="false">
      <c r="A523" s="2" t="n">
        <v>522</v>
      </c>
      <c r="B523" s="6" t="n">
        <v>12</v>
      </c>
      <c r="C523" s="6" t="n">
        <v>28</v>
      </c>
      <c r="D523" s="8" t="str">
        <f aca="false">INDEX(Bases!$B$2:$B$53,B523)</f>
        <v>Mareep</v>
      </c>
      <c r="E523" s="8" t="str">
        <f aca="false">INDEX(Bases!$B$2:$B$53,C523)</f>
        <v>Zubat</v>
      </c>
      <c r="F523" s="2" t="str">
        <f aca="false">LEFT(D523,ROUNDUP(LEN(D523)/2,0))&amp;LOWER(MID(E523,ROUNDUP(LEN(E523)/2,0)+1,20))</f>
        <v>Marat</v>
      </c>
      <c r="G523" s="8" t="str">
        <f aca="false">INDEX(Bases!$C$2:$C$53,B523)</f>
        <v>Electric</v>
      </c>
      <c r="H523" s="8" t="str">
        <f aca="false">IF(INDEX(Bases!$C$2:$C$53,C523)=G523,"",INDEX(Bases!$C$2:$C$53,C523))</f>
        <v>Flying</v>
      </c>
      <c r="I523" s="8" t="str">
        <f aca="false">IF(INDEX(Bases!$E$2:$E$53,B523)="","",INDEX(Bases!$E$2:$E$53,B523))</f>
        <v/>
      </c>
      <c r="J523" s="8" t="str">
        <f aca="false">IF(INDEX(Bases!$E$2:$E$53,C523)="","",INDEX(Bases!$E$2:$E$53,C523))</f>
        <v/>
      </c>
      <c r="K523" s="5"/>
      <c r="L523" s="2" t="n">
        <f aca="false">AE523+IF(SUMPRODUCT(--($AL523:$AQ523&gt;AL523))&lt;$AK523,1,0)</f>
        <v>89</v>
      </c>
      <c r="M523" s="2" t="n">
        <f aca="false">AF523+IF(SUMPRODUCT(--($AL523:$AQ523&gt;AM523))+SUMPRODUCT(--($AL523:AL523=AM523))&lt;$AK523,1,0)</f>
        <v>82</v>
      </c>
      <c r="N523" s="2" t="n">
        <f aca="false">AG523+IF(SUMPRODUCT(--($AL523:$AQ523&gt;AN523))+SUMPRODUCT(--($AL523:AM523=AN523))&lt;$AK523,1,0)</f>
        <v>68</v>
      </c>
      <c r="O523" s="2" t="n">
        <f aca="false">AH523+IF(SUMPRODUCT(--($AL523:$AQ523&gt;AO523))+SUMPRODUCT(--($AL523:AN523=AO523))&lt;$AK523,1,0)</f>
        <v>93</v>
      </c>
      <c r="P523" s="2" t="n">
        <f aca="false">AI523+IF(SUMPRODUCT(--($AL523:$AQ523&gt;AP523))+SUMPRODUCT(--($AL523:AO523=AP523))&lt;$AK523,1,0)</f>
        <v>77</v>
      </c>
      <c r="Q523" s="2" t="n">
        <f aca="false">AJ523+IF(SUMPRODUCT(--($AL523:$AQ523&gt;AQ523))+SUMPRODUCT(--($AL523:AP523=AQ523))&lt;$AK523,1,0)</f>
        <v>91</v>
      </c>
      <c r="R523" s="2" t="n">
        <f aca="false">SUM(L523:Q523)</f>
        <v>500</v>
      </c>
      <c r="S523" s="2" t="n">
        <f aca="false">Settings!$B$4*MAX(INDEX(Bases!$M$2:$M$53,B523),INDEX(Bases!$M$2:$M$53,C523))+Settings!$B$5*MIN(INDEX(Bases!$M$2:$M$53,B523),INDEX(Bases!$M$2:$M$53,C523))</f>
        <v>74.3333333333333</v>
      </c>
      <c r="T523" s="2" t="n">
        <f aca="false">Settings!$B$4*MAX(INDEX(Bases!$N$2:$N$53,B523),INDEX(Bases!$N$2:$N$53,C523))+Settings!$B$5*MIN(INDEX(Bases!$N$2:$N$53,B523),INDEX(Bases!$N$2:$N$53,C523))</f>
        <v>68.3333333333333</v>
      </c>
      <c r="U523" s="2" t="n">
        <f aca="false">Settings!$B$4*MAX(INDEX(Bases!$O$2:$O$53,B523),INDEX(Bases!$O$2:$O$53,C523))+Settings!$B$5*MIN(INDEX(Bases!$O$2:$O$53,B523),INDEX(Bases!$O$2:$O$53,C523))</f>
        <v>57</v>
      </c>
      <c r="V523" s="2" t="n">
        <f aca="false">Settings!$B$4*MAX(INDEX(Bases!$P$2:$P$53,B523),INDEX(Bases!$P$2:$P$53,C523))+Settings!$B$5*MIN(INDEX(Bases!$P$2:$P$53,B523),INDEX(Bases!$P$2:$P$53,C523))</f>
        <v>78.3333333333333</v>
      </c>
      <c r="W523" s="2" t="n">
        <f aca="false">Settings!$B$4*MAX(INDEX(Bases!$Q$2:$Q$53,B523),INDEX(Bases!$Q$2:$Q$53,C523))+Settings!$B$5*MIN(INDEX(Bases!$Q$2:$Q$53,B523),INDEX(Bases!$Q$2:$Q$53,C523))</f>
        <v>64.6666666666667</v>
      </c>
      <c r="X523" s="2" t="n">
        <f aca="false">Settings!$B$4*MAX(INDEX(Bases!$R$2:$R$53,B523),INDEX(Bases!$R$2:$R$53,C523))+Settings!$B$5*MIN(INDEX(Bases!$R$2:$R$53,B523),INDEX(Bases!$R$2:$R$53,C523))</f>
        <v>76.6666666666667</v>
      </c>
      <c r="Y523" s="2" t="n">
        <f aca="false">S523*Settings!$B$3/SUM(S523:X523)</f>
        <v>88.6327503974563</v>
      </c>
      <c r="Z523" s="2" t="n">
        <f aca="false">T523*Settings!$B$3/SUM(S523:X523)</f>
        <v>81.4785373608903</v>
      </c>
      <c r="AA523" s="2" t="n">
        <f aca="false">U523*Settings!$B$3/SUM(S523:X523)</f>
        <v>67.9650238473768</v>
      </c>
      <c r="AB523" s="2" t="n">
        <f aca="false">V523*Settings!$B$3/SUM(S523:X523)</f>
        <v>93.402225755167</v>
      </c>
      <c r="AC523" s="2" t="n">
        <f aca="false">W523*Settings!$B$3/SUM(S523:X523)</f>
        <v>77.1065182829889</v>
      </c>
      <c r="AD523" s="2" t="n">
        <f aca="false">X523*Settings!$B$3/SUM(S523:X523)</f>
        <v>91.4149443561208</v>
      </c>
      <c r="AE523" s="2" t="n">
        <f aca="false">INT(Y523)</f>
        <v>88</v>
      </c>
      <c r="AF523" s="2" t="n">
        <f aca="false">INT(Z523)</f>
        <v>81</v>
      </c>
      <c r="AG523" s="2" t="n">
        <f aca="false">INT(AA523)</f>
        <v>67</v>
      </c>
      <c r="AH523" s="2" t="n">
        <f aca="false">INT(AB523)</f>
        <v>93</v>
      </c>
      <c r="AI523" s="2" t="n">
        <f aca="false">INT(AC523)</f>
        <v>77</v>
      </c>
      <c r="AJ523" s="2" t="n">
        <f aca="false">INT(AD523)</f>
        <v>91</v>
      </c>
      <c r="AK523" s="2" t="n">
        <f aca="false">Settings!$B$3-SUM(AE523:AJ523)</f>
        <v>3</v>
      </c>
      <c r="AL523" s="2" t="n">
        <f aca="false">ROUND(Y523-AE523,9)</f>
        <v>0.632750397</v>
      </c>
      <c r="AM523" s="2" t="n">
        <f aca="false">ROUND(Z523-AF523,9)</f>
        <v>0.478537361</v>
      </c>
      <c r="AN523" s="2" t="n">
        <f aca="false">ROUND(AA523-AG523,9)</f>
        <v>0.965023847</v>
      </c>
      <c r="AO523" s="2" t="n">
        <f aca="false">ROUND(AB523-AH523,9)</f>
        <v>0.402225755</v>
      </c>
      <c r="AP523" s="2" t="n">
        <f aca="false">ROUND(AC523-AI523,9)</f>
        <v>0.106518283</v>
      </c>
      <c r="AQ523" s="2" t="n">
        <f aca="false">ROUND(AD523-AJ523,9)</f>
        <v>0.414944356</v>
      </c>
    </row>
    <row r="524" customFormat="false" ht="15" hidden="false" customHeight="false" outlineLevel="0" collapsed="false">
      <c r="A524" s="2" t="n">
        <v>523</v>
      </c>
      <c r="B524" s="6" t="n">
        <v>12</v>
      </c>
      <c r="C524" s="6" t="n">
        <v>29</v>
      </c>
      <c r="D524" s="8" t="str">
        <f aca="false">INDEX(Bases!$B$2:$B$53,B524)</f>
        <v>Mareep</v>
      </c>
      <c r="E524" s="8" t="str">
        <f aca="false">INDEX(Bases!$B$2:$B$53,C524)</f>
        <v>Murkrow</v>
      </c>
      <c r="F524" s="2" t="str">
        <f aca="false">LEFT(D524,ROUNDUP(LEN(D524)/2,0))&amp;LOWER(MID(E524,ROUNDUP(LEN(E524)/2,0)+1,20))</f>
        <v>Marrow</v>
      </c>
      <c r="G524" s="8" t="str">
        <f aca="false">INDEX(Bases!$C$2:$C$53,B524)</f>
        <v>Electric</v>
      </c>
      <c r="H524" s="8" t="str">
        <f aca="false">IF(INDEX(Bases!$C$2:$C$53,C524)=G524,"",INDEX(Bases!$C$2:$C$53,C524))</f>
        <v>Flying</v>
      </c>
      <c r="I524" s="8" t="str">
        <f aca="false">IF(INDEX(Bases!$E$2:$E$53,B524)="","",INDEX(Bases!$E$2:$E$53,B524))</f>
        <v/>
      </c>
      <c r="J524" s="8" t="str">
        <f aca="false">IF(INDEX(Bases!$E$2:$E$53,C524)="","",INDEX(Bases!$E$2:$E$53,C524))</f>
        <v/>
      </c>
      <c r="K524" s="5"/>
      <c r="L524" s="2" t="n">
        <f aca="false">AE524+IF(SUMPRODUCT(--($AL524:$AQ524&gt;AL524))&lt;$AK524,1,0)</f>
        <v>86</v>
      </c>
      <c r="M524" s="2" t="n">
        <f aca="false">AF524+IF(SUMPRODUCT(--($AL524:$AQ524&gt;AM524))+SUMPRODUCT(--($AL524:AL524=AM524))&lt;$AK524,1,0)</f>
        <v>89</v>
      </c>
      <c r="N524" s="2" t="n">
        <f aca="false">AG524+IF(SUMPRODUCT(--($AL524:$AQ524&gt;AN524))+SUMPRODUCT(--($AL524:AM524=AN524))&lt;$AK524,1,0)</f>
        <v>61</v>
      </c>
      <c r="O524" s="2" t="n">
        <f aca="false">AH524+IF(SUMPRODUCT(--($AL524:$AQ524&gt;AO524))+SUMPRODUCT(--($AL524:AN524=AO524))&lt;$AK524,1,0)</f>
        <v>106</v>
      </c>
      <c r="P524" s="2" t="n">
        <f aca="false">AI524+IF(SUMPRODUCT(--($AL524:$AQ524&gt;AP524))+SUMPRODUCT(--($AL524:AO524=AP524))&lt;$AK524,1,0)</f>
        <v>67</v>
      </c>
      <c r="Q524" s="2" t="n">
        <f aca="false">AJ524+IF(SUMPRODUCT(--($AL524:$AQ524&gt;AQ524))+SUMPRODUCT(--($AL524:AP524=AQ524))&lt;$AK524,1,0)</f>
        <v>91</v>
      </c>
      <c r="R524" s="2" t="n">
        <f aca="false">SUM(L524:Q524)</f>
        <v>500</v>
      </c>
      <c r="S524" s="2" t="n">
        <f aca="false">Settings!$B$4*MAX(INDEX(Bases!$M$2:$M$53,B524),INDEX(Bases!$M$2:$M$53,C524))+Settings!$B$5*MIN(INDEX(Bases!$M$2:$M$53,B524),INDEX(Bases!$M$2:$M$53,C524))</f>
        <v>72.3333333333333</v>
      </c>
      <c r="T524" s="2" t="n">
        <f aca="false">Settings!$B$4*MAX(INDEX(Bases!$N$2:$N$53,B524),INDEX(Bases!$N$2:$N$53,C524))+Settings!$B$5*MIN(INDEX(Bases!$N$2:$N$53,B524),INDEX(Bases!$N$2:$N$53,C524))</f>
        <v>75</v>
      </c>
      <c r="U524" s="2" t="n">
        <f aca="false">Settings!$B$4*MAX(INDEX(Bases!$O$2:$O$53,B524),INDEX(Bases!$O$2:$O$53,C524))+Settings!$B$5*MIN(INDEX(Bases!$O$2:$O$53,B524),INDEX(Bases!$O$2:$O$53,C524))</f>
        <v>52</v>
      </c>
      <c r="V524" s="2" t="n">
        <f aca="false">Settings!$B$4*MAX(INDEX(Bases!$P$2:$P$53,B524),INDEX(Bases!$P$2:$P$53,C524))+Settings!$B$5*MIN(INDEX(Bases!$P$2:$P$53,B524),INDEX(Bases!$P$2:$P$53,C524))</f>
        <v>90</v>
      </c>
      <c r="W524" s="2" t="n">
        <f aca="false">Settings!$B$4*MAX(INDEX(Bases!$Q$2:$Q$53,B524),INDEX(Bases!$Q$2:$Q$53,C524))+Settings!$B$5*MIN(INDEX(Bases!$Q$2:$Q$53,B524),INDEX(Bases!$Q$2:$Q$53,C524))</f>
        <v>56.3333333333333</v>
      </c>
      <c r="X524" s="2" t="n">
        <f aca="false">Settings!$B$4*MAX(INDEX(Bases!$R$2:$R$53,B524),INDEX(Bases!$R$2:$R$53,C524))+Settings!$B$5*MIN(INDEX(Bases!$R$2:$R$53,B524),INDEX(Bases!$R$2:$R$53,C524))</f>
        <v>76.6666666666667</v>
      </c>
      <c r="Y524" s="2" t="n">
        <f aca="false">S524*Settings!$B$3/SUM(S524:X524)</f>
        <v>85.6353591160221</v>
      </c>
      <c r="Z524" s="2" t="n">
        <f aca="false">T524*Settings!$B$3/SUM(S524:X524)</f>
        <v>88.7924230465667</v>
      </c>
      <c r="AA524" s="2" t="n">
        <f aca="false">U524*Settings!$B$3/SUM(S524:X524)</f>
        <v>61.5627466456196</v>
      </c>
      <c r="AB524" s="2" t="n">
        <f aca="false">V524*Settings!$B$3/SUM(S524:X524)</f>
        <v>106.55090765588</v>
      </c>
      <c r="AC524" s="2" t="n">
        <f aca="false">W524*Settings!$B$3/SUM(S524:X524)</f>
        <v>66.6929755327545</v>
      </c>
      <c r="AD524" s="2" t="n">
        <f aca="false">X524*Settings!$B$3/SUM(S524:X524)</f>
        <v>90.7655880031571</v>
      </c>
      <c r="AE524" s="2" t="n">
        <f aca="false">INT(Y524)</f>
        <v>85</v>
      </c>
      <c r="AF524" s="2" t="n">
        <f aca="false">INT(Z524)</f>
        <v>88</v>
      </c>
      <c r="AG524" s="2" t="n">
        <f aca="false">INT(AA524)</f>
        <v>61</v>
      </c>
      <c r="AH524" s="2" t="n">
        <f aca="false">INT(AB524)</f>
        <v>106</v>
      </c>
      <c r="AI524" s="2" t="n">
        <f aca="false">INT(AC524)</f>
        <v>66</v>
      </c>
      <c r="AJ524" s="2" t="n">
        <f aca="false">INT(AD524)</f>
        <v>90</v>
      </c>
      <c r="AK524" s="2" t="n">
        <f aca="false">Settings!$B$3-SUM(AE524:AJ524)</f>
        <v>4</v>
      </c>
      <c r="AL524" s="2" t="n">
        <f aca="false">ROUND(Y524-AE524,9)</f>
        <v>0.635359116</v>
      </c>
      <c r="AM524" s="2" t="n">
        <f aca="false">ROUND(Z524-AF524,9)</f>
        <v>0.792423047</v>
      </c>
      <c r="AN524" s="2" t="n">
        <f aca="false">ROUND(AA524-AG524,9)</f>
        <v>0.562746646</v>
      </c>
      <c r="AO524" s="2" t="n">
        <f aca="false">ROUND(AB524-AH524,9)</f>
        <v>0.550907656</v>
      </c>
      <c r="AP524" s="2" t="n">
        <f aca="false">ROUND(AC524-AI524,9)</f>
        <v>0.692975533</v>
      </c>
      <c r="AQ524" s="2" t="n">
        <f aca="false">ROUND(AD524-AJ524,9)</f>
        <v>0.765588003</v>
      </c>
    </row>
    <row r="525" customFormat="false" ht="15" hidden="false" customHeight="false" outlineLevel="0" collapsed="false">
      <c r="A525" s="2" t="n">
        <v>524</v>
      </c>
      <c r="B525" s="6" t="n">
        <v>12</v>
      </c>
      <c r="C525" s="6" t="n">
        <v>30</v>
      </c>
      <c r="D525" s="8" t="str">
        <f aca="false">INDEX(Bases!$B$2:$B$53,B525)</f>
        <v>Mareep</v>
      </c>
      <c r="E525" s="8" t="str">
        <f aca="false">INDEX(Bases!$B$2:$B$53,C525)</f>
        <v>Swablu</v>
      </c>
      <c r="F525" s="2" t="str">
        <f aca="false">LEFT(D525,ROUNDUP(LEN(D525)/2,0))&amp;LOWER(MID(E525,ROUNDUP(LEN(E525)/2,0)+1,20))</f>
        <v>Marblu</v>
      </c>
      <c r="G525" s="8" t="str">
        <f aca="false">INDEX(Bases!$C$2:$C$53,B525)</f>
        <v>Electric</v>
      </c>
      <c r="H525" s="8" t="str">
        <f aca="false">IF(INDEX(Bases!$C$2:$C$53,C525)=G525,"",INDEX(Bases!$C$2:$C$53,C525))</f>
        <v>Flying</v>
      </c>
      <c r="I525" s="8" t="str">
        <f aca="false">IF(INDEX(Bases!$E$2:$E$53,B525)="","",INDEX(Bases!$E$2:$E$53,B525))</f>
        <v/>
      </c>
      <c r="J525" s="8" t="str">
        <f aca="false">IF(INDEX(Bases!$E$2:$E$53,C525)="","",INDEX(Bases!$E$2:$E$53,C525))</f>
        <v/>
      </c>
      <c r="K525" s="5"/>
      <c r="L525" s="2" t="n">
        <f aca="false">AE525+IF(SUMPRODUCT(--($AL525:$AQ525&gt;AL525))&lt;$AK525,1,0)</f>
        <v>85</v>
      </c>
      <c r="M525" s="2" t="n">
        <f aca="false">AF525+IF(SUMPRODUCT(--($AL525:$AQ525&gt;AM525))+SUMPRODUCT(--($AL525:AL525=AM525))&lt;$AK525,1,0)</f>
        <v>66</v>
      </c>
      <c r="N525" s="2" t="n">
        <f aca="false">AG525+IF(SUMPRODUCT(--($AL525:$AQ525&gt;AN525))+SUMPRODUCT(--($AL525:AM525=AN525))&lt;$AK525,1,0)</f>
        <v>83</v>
      </c>
      <c r="O525" s="2" t="n">
        <f aca="false">AH525+IF(SUMPRODUCT(--($AL525:$AQ525&gt;AO525))+SUMPRODUCT(--($AL525:AN525=AO525))&lt;$AK525,1,0)</f>
        <v>94</v>
      </c>
      <c r="P525" s="2" t="n">
        <f aca="false">AI525+IF(SUMPRODUCT(--($AL525:$AQ525&gt;AP525))+SUMPRODUCT(--($AL525:AO525=AP525))&lt;$AK525,1,0)</f>
        <v>102</v>
      </c>
      <c r="Q525" s="2" t="n">
        <f aca="false">AJ525+IF(SUMPRODUCT(--($AL525:$AQ525&gt;AQ525))+SUMPRODUCT(--($AL525:AP525=AQ525))&lt;$AK525,1,0)</f>
        <v>70</v>
      </c>
      <c r="R525" s="2" t="n">
        <f aca="false">SUM(L525:Q525)</f>
        <v>500</v>
      </c>
      <c r="S525" s="2" t="n">
        <f aca="false">Settings!$B$4*MAX(INDEX(Bases!$M$2:$M$53,B525),INDEX(Bases!$M$2:$M$53,C525))+Settings!$B$5*MIN(INDEX(Bases!$M$2:$M$53,B525),INDEX(Bases!$M$2:$M$53,C525))</f>
        <v>72</v>
      </c>
      <c r="T525" s="2" t="n">
        <f aca="false">Settings!$B$4*MAX(INDEX(Bases!$N$2:$N$53,B525),INDEX(Bases!$N$2:$N$53,C525))+Settings!$B$5*MIN(INDEX(Bases!$N$2:$N$53,B525),INDEX(Bases!$N$2:$N$53,C525))</f>
        <v>55.3333333333333</v>
      </c>
      <c r="U525" s="2" t="n">
        <f aca="false">Settings!$B$4*MAX(INDEX(Bases!$O$2:$O$53,B525),INDEX(Bases!$O$2:$O$53,C525))+Settings!$B$5*MIN(INDEX(Bases!$O$2:$O$53,B525),INDEX(Bases!$O$2:$O$53,C525))</f>
        <v>70.3333333333333</v>
      </c>
      <c r="V525" s="2" t="n">
        <f aca="false">Settings!$B$4*MAX(INDEX(Bases!$P$2:$P$53,B525),INDEX(Bases!$P$2:$P$53,C525))+Settings!$B$5*MIN(INDEX(Bases!$P$2:$P$53,B525),INDEX(Bases!$P$2:$P$53,C525))</f>
        <v>79.3333333333333</v>
      </c>
      <c r="W525" s="2" t="n">
        <f aca="false">Settings!$B$4*MAX(INDEX(Bases!$Q$2:$Q$53,B525),INDEX(Bases!$Q$2:$Q$53,C525))+Settings!$B$5*MIN(INDEX(Bases!$Q$2:$Q$53,B525),INDEX(Bases!$Q$2:$Q$53,C525))</f>
        <v>86</v>
      </c>
      <c r="X525" s="2" t="n">
        <f aca="false">Settings!$B$4*MAX(INDEX(Bases!$R$2:$R$53,B525),INDEX(Bases!$R$2:$R$53,C525))+Settings!$B$5*MIN(INDEX(Bases!$R$2:$R$53,B525),INDEX(Bases!$R$2:$R$53,C525))</f>
        <v>59.3333333333333</v>
      </c>
      <c r="Y525" s="2" t="n">
        <f aca="false">S525*Settings!$B$3/SUM(S525:X525)</f>
        <v>85.240726124704</v>
      </c>
      <c r="Z525" s="2" t="n">
        <f aca="false">T525*Settings!$B$3/SUM(S525:X525)</f>
        <v>65.5090765588003</v>
      </c>
      <c r="AA525" s="2" t="n">
        <f aca="false">U525*Settings!$B$3/SUM(S525:X525)</f>
        <v>83.2675611681137</v>
      </c>
      <c r="AB525" s="2" t="n">
        <f aca="false">V525*Settings!$B$3/SUM(S525:X525)</f>
        <v>93.9226519337017</v>
      </c>
      <c r="AC525" s="2" t="n">
        <f aca="false">W525*Settings!$B$3/SUM(S525:X525)</f>
        <v>101.815311760063</v>
      </c>
      <c r="AD525" s="2" t="n">
        <f aca="false">X525*Settings!$B$3/SUM(S525:X525)</f>
        <v>70.2446724546172</v>
      </c>
      <c r="AE525" s="2" t="n">
        <f aca="false">INT(Y525)</f>
        <v>85</v>
      </c>
      <c r="AF525" s="2" t="n">
        <f aca="false">INT(Z525)</f>
        <v>65</v>
      </c>
      <c r="AG525" s="2" t="n">
        <f aca="false">INT(AA525)</f>
        <v>83</v>
      </c>
      <c r="AH525" s="2" t="n">
        <f aca="false">INT(AB525)</f>
        <v>93</v>
      </c>
      <c r="AI525" s="2" t="n">
        <f aca="false">INT(AC525)</f>
        <v>101</v>
      </c>
      <c r="AJ525" s="2" t="n">
        <f aca="false">INT(AD525)</f>
        <v>70</v>
      </c>
      <c r="AK525" s="2" t="n">
        <f aca="false">Settings!$B$3-SUM(AE525:AJ525)</f>
        <v>3</v>
      </c>
      <c r="AL525" s="2" t="n">
        <f aca="false">ROUND(Y525-AE525,9)</f>
        <v>0.240726125</v>
      </c>
      <c r="AM525" s="2" t="n">
        <f aca="false">ROUND(Z525-AF525,9)</f>
        <v>0.509076559</v>
      </c>
      <c r="AN525" s="2" t="n">
        <f aca="false">ROUND(AA525-AG525,9)</f>
        <v>0.267561168</v>
      </c>
      <c r="AO525" s="2" t="n">
        <f aca="false">ROUND(AB525-AH525,9)</f>
        <v>0.922651934</v>
      </c>
      <c r="AP525" s="2" t="n">
        <f aca="false">ROUND(AC525-AI525,9)</f>
        <v>0.81531176</v>
      </c>
      <c r="AQ525" s="2" t="n">
        <f aca="false">ROUND(AD525-AJ525,9)</f>
        <v>0.244672455</v>
      </c>
    </row>
    <row r="526" customFormat="false" ht="15" hidden="false" customHeight="false" outlineLevel="0" collapsed="false">
      <c r="A526" s="2" t="n">
        <v>525</v>
      </c>
      <c r="B526" s="6" t="n">
        <v>12</v>
      </c>
      <c r="C526" s="6" t="n">
        <v>31</v>
      </c>
      <c r="D526" s="8" t="str">
        <f aca="false">INDEX(Bases!$B$2:$B$53,B526)</f>
        <v>Mareep</v>
      </c>
      <c r="E526" s="8" t="str">
        <f aca="false">INDEX(Bases!$B$2:$B$53,C526)</f>
        <v>Mew</v>
      </c>
      <c r="F526" s="2" t="str">
        <f aca="false">LEFT(D526,ROUNDUP(LEN(D526)/2,0))&amp;LOWER(MID(E526,ROUNDUP(LEN(E526)/2,0)+1,20))</f>
        <v>Marw</v>
      </c>
      <c r="G526" s="8" t="str">
        <f aca="false">INDEX(Bases!$C$2:$C$53,B526)</f>
        <v>Electric</v>
      </c>
      <c r="H526" s="8" t="str">
        <f aca="false">IF(INDEX(Bases!$C$2:$C$53,C526)=G526,"",INDEX(Bases!$C$2:$C$53,C526))</f>
        <v>Psychic</v>
      </c>
      <c r="I526" s="8" t="str">
        <f aca="false">IF(INDEX(Bases!$E$2:$E$53,B526)="","",INDEX(Bases!$E$2:$E$53,B526))</f>
        <v/>
      </c>
      <c r="J526" s="8" t="str">
        <f aca="false">IF(INDEX(Bases!$E$2:$E$53,C526)="","",INDEX(Bases!$E$2:$E$53,C526))</f>
        <v/>
      </c>
      <c r="K526" s="5"/>
      <c r="L526" s="2" t="n">
        <f aca="false">AE526+IF(SUMPRODUCT(--($AL526:$AQ526&gt;AL526))&lt;$AK526,1,0)</f>
        <v>91</v>
      </c>
      <c r="M526" s="2" t="n">
        <f aca="false">AF526+IF(SUMPRODUCT(--($AL526:$AQ526&gt;AM526))+SUMPRODUCT(--($AL526:AL526=AM526))&lt;$AK526,1,0)</f>
        <v>77</v>
      </c>
      <c r="N526" s="2" t="n">
        <f aca="false">AG526+IF(SUMPRODUCT(--($AL526:$AQ526&gt;AN526))+SUMPRODUCT(--($AL526:AM526=AN526))&lt;$AK526,1,0)</f>
        <v>77</v>
      </c>
      <c r="O526" s="2" t="n">
        <f aca="false">AH526+IF(SUMPRODUCT(--($AL526:$AQ526&gt;AO526))+SUMPRODUCT(--($AL526:AN526=AO526))&lt;$AK526,1,0)</f>
        <v>102</v>
      </c>
      <c r="P526" s="2" t="n">
        <f aca="false">AI526+IF(SUMPRODUCT(--($AL526:$AQ526&gt;AP526))+SUMPRODUCT(--($AL526:AO526=AP526))&lt;$AK526,1,0)</f>
        <v>79</v>
      </c>
      <c r="Q526" s="2" t="n">
        <f aca="false">AJ526+IF(SUMPRODUCT(--($AL526:$AQ526&gt;AQ526))+SUMPRODUCT(--($AL526:AP526=AQ526))&lt;$AK526,1,0)</f>
        <v>74</v>
      </c>
      <c r="R526" s="2" t="n">
        <f aca="false">SUM(L526:Q526)</f>
        <v>500</v>
      </c>
      <c r="S526" s="2" t="n">
        <f aca="false">Settings!$B$4*MAX(INDEX(Bases!$M$2:$M$53,B526),INDEX(Bases!$M$2:$M$53,C526))+Settings!$B$5*MIN(INDEX(Bases!$M$2:$M$53,B526),INDEX(Bases!$M$2:$M$53,C526))</f>
        <v>75</v>
      </c>
      <c r="T526" s="2" t="n">
        <f aca="false">Settings!$B$4*MAX(INDEX(Bases!$N$2:$N$53,B526),INDEX(Bases!$N$2:$N$53,C526))+Settings!$B$5*MIN(INDEX(Bases!$N$2:$N$53,B526),INDEX(Bases!$N$2:$N$53,C526))</f>
        <v>63.6666666666667</v>
      </c>
      <c r="U526" s="2" t="n">
        <f aca="false">Settings!$B$4*MAX(INDEX(Bases!$O$2:$O$53,B526),INDEX(Bases!$O$2:$O$53,C526))+Settings!$B$5*MIN(INDEX(Bases!$O$2:$O$53,B526),INDEX(Bases!$O$2:$O$53,C526))</f>
        <v>63.6666666666667</v>
      </c>
      <c r="V526" s="2" t="n">
        <f aca="false">Settings!$B$4*MAX(INDEX(Bases!$P$2:$P$53,B526),INDEX(Bases!$P$2:$P$53,C526))+Settings!$B$5*MIN(INDEX(Bases!$P$2:$P$53,B526),INDEX(Bases!$P$2:$P$53,C526))</f>
        <v>84.3333333333333</v>
      </c>
      <c r="W526" s="2" t="n">
        <f aca="false">Settings!$B$4*MAX(INDEX(Bases!$Q$2:$Q$53,B526),INDEX(Bases!$Q$2:$Q$53,C526))+Settings!$B$5*MIN(INDEX(Bases!$Q$2:$Q$53,B526),INDEX(Bases!$Q$2:$Q$53,C526))</f>
        <v>65.3333333333333</v>
      </c>
      <c r="X526" s="2" t="n">
        <f aca="false">Settings!$B$4*MAX(INDEX(Bases!$R$2:$R$53,B526),INDEX(Bases!$R$2:$R$53,C526))+Settings!$B$5*MIN(INDEX(Bases!$R$2:$R$53,B526),INDEX(Bases!$R$2:$R$53,C526))</f>
        <v>60.6666666666667</v>
      </c>
      <c r="Y526" s="2" t="n">
        <f aca="false">S526*Settings!$B$3/SUM(S526:X526)</f>
        <v>90.8723747980614</v>
      </c>
      <c r="Z526" s="2" t="n">
        <f aca="false">T526*Settings!$B$3/SUM(S526:X526)</f>
        <v>77.140549273021</v>
      </c>
      <c r="AA526" s="2" t="n">
        <f aca="false">U526*Settings!$B$3/SUM(S526:X526)</f>
        <v>77.140549273021</v>
      </c>
      <c r="AB526" s="2" t="n">
        <f aca="false">V526*Settings!$B$3/SUM(S526:X526)</f>
        <v>102.180936995153</v>
      </c>
      <c r="AC526" s="2" t="n">
        <f aca="false">W526*Settings!$B$3/SUM(S526:X526)</f>
        <v>79.1599353796446</v>
      </c>
      <c r="AD526" s="2" t="n">
        <f aca="false">X526*Settings!$B$3/SUM(S526:X526)</f>
        <v>73.5056542810985</v>
      </c>
      <c r="AE526" s="2" t="n">
        <f aca="false">INT(Y526)</f>
        <v>90</v>
      </c>
      <c r="AF526" s="2" t="n">
        <f aca="false">INT(Z526)</f>
        <v>77</v>
      </c>
      <c r="AG526" s="2" t="n">
        <f aca="false">INT(AA526)</f>
        <v>77</v>
      </c>
      <c r="AH526" s="2" t="n">
        <f aca="false">INT(AB526)</f>
        <v>102</v>
      </c>
      <c r="AI526" s="2" t="n">
        <f aca="false">INT(AC526)</f>
        <v>79</v>
      </c>
      <c r="AJ526" s="2" t="n">
        <f aca="false">INT(AD526)</f>
        <v>73</v>
      </c>
      <c r="AK526" s="2" t="n">
        <f aca="false">Settings!$B$3-SUM(AE526:AJ526)</f>
        <v>2</v>
      </c>
      <c r="AL526" s="2" t="n">
        <f aca="false">ROUND(Y526-AE526,9)</f>
        <v>0.872374798</v>
      </c>
      <c r="AM526" s="2" t="n">
        <f aca="false">ROUND(Z526-AF526,9)</f>
        <v>0.140549273</v>
      </c>
      <c r="AN526" s="2" t="n">
        <f aca="false">ROUND(AA526-AG526,9)</f>
        <v>0.140549273</v>
      </c>
      <c r="AO526" s="2" t="n">
        <f aca="false">ROUND(AB526-AH526,9)</f>
        <v>0.180936995</v>
      </c>
      <c r="AP526" s="2" t="n">
        <f aca="false">ROUND(AC526-AI526,9)</f>
        <v>0.15993538</v>
      </c>
      <c r="AQ526" s="2" t="n">
        <f aca="false">ROUND(AD526-AJ526,9)</f>
        <v>0.505654281</v>
      </c>
    </row>
    <row r="527" customFormat="false" ht="15" hidden="false" customHeight="false" outlineLevel="0" collapsed="false">
      <c r="A527" s="2" t="n">
        <v>526</v>
      </c>
      <c r="B527" s="6" t="n">
        <v>12</v>
      </c>
      <c r="C527" s="6" t="n">
        <v>32</v>
      </c>
      <c r="D527" s="8" t="str">
        <f aca="false">INDEX(Bases!$B$2:$B$53,B527)</f>
        <v>Mareep</v>
      </c>
      <c r="E527" s="8" t="str">
        <f aca="false">INDEX(Bases!$B$2:$B$53,C527)</f>
        <v>Spoink</v>
      </c>
      <c r="F527" s="2" t="str">
        <f aca="false">LEFT(D527,ROUNDUP(LEN(D527)/2,0))&amp;LOWER(MID(E527,ROUNDUP(LEN(E527)/2,0)+1,20))</f>
        <v>Marink</v>
      </c>
      <c r="G527" s="8" t="str">
        <f aca="false">INDEX(Bases!$C$2:$C$53,B527)</f>
        <v>Electric</v>
      </c>
      <c r="H527" s="8" t="str">
        <f aca="false">IF(INDEX(Bases!$C$2:$C$53,C527)=G527,"",INDEX(Bases!$C$2:$C$53,C527))</f>
        <v>Psychic</v>
      </c>
      <c r="I527" s="8" t="str">
        <f aca="false">IF(INDEX(Bases!$E$2:$E$53,B527)="","",INDEX(Bases!$E$2:$E$53,B527))</f>
        <v/>
      </c>
      <c r="J527" s="8" t="str">
        <f aca="false">IF(INDEX(Bases!$E$2:$E$53,C527)="","",INDEX(Bases!$E$2:$E$53,C527))</f>
        <v/>
      </c>
      <c r="K527" s="5"/>
      <c r="L527" s="2" t="n">
        <f aca="false">AE527+IF(SUMPRODUCT(--($AL527:$AQ527&gt;AL527))&lt;$AK527,1,0)</f>
        <v>92</v>
      </c>
      <c r="M527" s="2" t="n">
        <f aca="false">AF527+IF(SUMPRODUCT(--($AL527:$AQ527&gt;AM527))+SUMPRODUCT(--($AL527:AL527=AM527))&lt;$AK527,1,0)</f>
        <v>57</v>
      </c>
      <c r="N527" s="2" t="n">
        <f aca="false">AG527+IF(SUMPRODUCT(--($AL527:$AQ527&gt;AN527))+SUMPRODUCT(--($AL527:AM527=AN527))&lt;$AK527,1,0)</f>
        <v>62</v>
      </c>
      <c r="O527" s="2" t="n">
        <f aca="false">AH527+IF(SUMPRODUCT(--($AL527:$AQ527&gt;AO527))+SUMPRODUCT(--($AL527:AN527=AO527))&lt;$AK527,1,0)</f>
        <v>108</v>
      </c>
      <c r="P527" s="2" t="n">
        <f aca="false">AI527+IF(SUMPRODUCT(--($AL527:$AQ527&gt;AP527))+SUMPRODUCT(--($AL527:AO527=AP527))&lt;$AK527,1,0)</f>
        <v>103</v>
      </c>
      <c r="Q527" s="2" t="n">
        <f aca="false">AJ527+IF(SUMPRODUCT(--($AL527:$AQ527&gt;AQ527))+SUMPRODUCT(--($AL527:AP527=AQ527))&lt;$AK527,1,0)</f>
        <v>78</v>
      </c>
      <c r="R527" s="2" t="n">
        <f aca="false">SUM(L527:Q527)</f>
        <v>500</v>
      </c>
      <c r="S527" s="2" t="n">
        <f aca="false">Settings!$B$4*MAX(INDEX(Bases!$M$2:$M$53,B527),INDEX(Bases!$M$2:$M$53,C527))+Settings!$B$5*MIN(INDEX(Bases!$M$2:$M$53,B527),INDEX(Bases!$M$2:$M$53,C527))</f>
        <v>77</v>
      </c>
      <c r="T527" s="2" t="n">
        <f aca="false">Settings!$B$4*MAX(INDEX(Bases!$N$2:$N$53,B527),INDEX(Bases!$N$2:$N$53,C527))+Settings!$B$5*MIN(INDEX(Bases!$N$2:$N$53,B527),INDEX(Bases!$N$2:$N$53,C527))</f>
        <v>48</v>
      </c>
      <c r="U527" s="2" t="n">
        <f aca="false">Settings!$B$4*MAX(INDEX(Bases!$O$2:$O$53,B527),INDEX(Bases!$O$2:$O$53,C527))+Settings!$B$5*MIN(INDEX(Bases!$O$2:$O$53,B527),INDEX(Bases!$O$2:$O$53,C527))</f>
        <v>52</v>
      </c>
      <c r="V527" s="2" t="n">
        <f aca="false">Settings!$B$4*MAX(INDEX(Bases!$P$2:$P$53,B527),INDEX(Bases!$P$2:$P$53,C527))+Settings!$B$5*MIN(INDEX(Bases!$P$2:$P$53,B527),INDEX(Bases!$P$2:$P$53,C527))</f>
        <v>90.3333333333333</v>
      </c>
      <c r="W527" s="2" t="n">
        <f aca="false">Settings!$B$4*MAX(INDEX(Bases!$Q$2:$Q$53,B527),INDEX(Bases!$Q$2:$Q$53,C527))+Settings!$B$5*MIN(INDEX(Bases!$Q$2:$Q$53,B527),INDEX(Bases!$Q$2:$Q$53,C527))</f>
        <v>86</v>
      </c>
      <c r="X527" s="2" t="n">
        <f aca="false">Settings!$B$4*MAX(INDEX(Bases!$R$2:$R$53,B527),INDEX(Bases!$R$2:$R$53,C527))+Settings!$B$5*MIN(INDEX(Bases!$R$2:$R$53,B527),INDEX(Bases!$R$2:$R$53,C527))</f>
        <v>65.3333333333333</v>
      </c>
      <c r="Y527" s="2" t="n">
        <f aca="false">S527*Settings!$B$3/SUM(S527:X527)</f>
        <v>91.9585987261146</v>
      </c>
      <c r="Z527" s="2" t="n">
        <f aca="false">T527*Settings!$B$3/SUM(S527:X527)</f>
        <v>57.3248407643312</v>
      </c>
      <c r="AA527" s="2" t="n">
        <f aca="false">U527*Settings!$B$3/SUM(S527:X527)</f>
        <v>62.1019108280255</v>
      </c>
      <c r="AB527" s="2" t="n">
        <f aca="false">V527*Settings!$B$3/SUM(S527:X527)</f>
        <v>107.882165605096</v>
      </c>
      <c r="AC527" s="2" t="n">
        <f aca="false">W527*Settings!$B$3/SUM(S527:X527)</f>
        <v>102.707006369427</v>
      </c>
      <c r="AD527" s="2" t="n">
        <f aca="false">X527*Settings!$B$3/SUM(S527:X527)</f>
        <v>78.0254777070064</v>
      </c>
      <c r="AE527" s="2" t="n">
        <f aca="false">INT(Y527)</f>
        <v>91</v>
      </c>
      <c r="AF527" s="2" t="n">
        <f aca="false">INT(Z527)</f>
        <v>57</v>
      </c>
      <c r="AG527" s="2" t="n">
        <f aca="false">INT(AA527)</f>
        <v>62</v>
      </c>
      <c r="AH527" s="2" t="n">
        <f aca="false">INT(AB527)</f>
        <v>107</v>
      </c>
      <c r="AI527" s="2" t="n">
        <f aca="false">INT(AC527)</f>
        <v>102</v>
      </c>
      <c r="AJ527" s="2" t="n">
        <f aca="false">INT(AD527)</f>
        <v>78</v>
      </c>
      <c r="AK527" s="2" t="n">
        <f aca="false">Settings!$B$3-SUM(AE527:AJ527)</f>
        <v>3</v>
      </c>
      <c r="AL527" s="2" t="n">
        <f aca="false">ROUND(Y527-AE527,9)</f>
        <v>0.958598726</v>
      </c>
      <c r="AM527" s="2" t="n">
        <f aca="false">ROUND(Z527-AF527,9)</f>
        <v>0.324840764</v>
      </c>
      <c r="AN527" s="2" t="n">
        <f aca="false">ROUND(AA527-AG527,9)</f>
        <v>0.101910828</v>
      </c>
      <c r="AO527" s="2" t="n">
        <f aca="false">ROUND(AB527-AH527,9)</f>
        <v>0.882165605</v>
      </c>
      <c r="AP527" s="2" t="n">
        <f aca="false">ROUND(AC527-AI527,9)</f>
        <v>0.707006369</v>
      </c>
      <c r="AQ527" s="2" t="n">
        <f aca="false">ROUND(AD527-AJ527,9)</f>
        <v>0.025477707</v>
      </c>
    </row>
    <row r="528" customFormat="false" ht="15" hidden="false" customHeight="false" outlineLevel="0" collapsed="false">
      <c r="A528" s="2" t="n">
        <v>527</v>
      </c>
      <c r="B528" s="6" t="n">
        <v>12</v>
      </c>
      <c r="C528" s="6" t="n">
        <v>33</v>
      </c>
      <c r="D528" s="8" t="str">
        <f aca="false">INDEX(Bases!$B$2:$B$53,B528)</f>
        <v>Mareep</v>
      </c>
      <c r="E528" s="8" t="str">
        <f aca="false">INDEX(Bases!$B$2:$B$53,C528)</f>
        <v>Jirachi</v>
      </c>
      <c r="F528" s="2" t="str">
        <f aca="false">LEFT(D528,ROUNDUP(LEN(D528)/2,0))&amp;LOWER(MID(E528,ROUNDUP(LEN(E528)/2,0)+1,20))</f>
        <v>Marchi</v>
      </c>
      <c r="G528" s="8" t="str">
        <f aca="false">INDEX(Bases!$C$2:$C$53,B528)</f>
        <v>Electric</v>
      </c>
      <c r="H528" s="8" t="str">
        <f aca="false">IF(INDEX(Bases!$C$2:$C$53,C528)=G528,"",INDEX(Bases!$C$2:$C$53,C528))</f>
        <v>Psychic</v>
      </c>
      <c r="I528" s="8" t="str">
        <f aca="false">IF(INDEX(Bases!$E$2:$E$53,B528)="","",INDEX(Bases!$E$2:$E$53,B528))</f>
        <v/>
      </c>
      <c r="J528" s="8" t="str">
        <f aca="false">IF(INDEX(Bases!$E$2:$E$53,C528)="","",INDEX(Bases!$E$2:$E$53,C528))</f>
        <v/>
      </c>
      <c r="K528" s="5"/>
      <c r="L528" s="2" t="n">
        <f aca="false">AE528+IF(SUMPRODUCT(--($AL528:$AQ528&gt;AL528))&lt;$AK528,1,0)</f>
        <v>91</v>
      </c>
      <c r="M528" s="2" t="n">
        <f aca="false">AF528+IF(SUMPRODUCT(--($AL528:$AQ528&gt;AM528))+SUMPRODUCT(--($AL528:AL528=AM528))&lt;$AK528,1,0)</f>
        <v>77</v>
      </c>
      <c r="N528" s="2" t="n">
        <f aca="false">AG528+IF(SUMPRODUCT(--($AL528:$AQ528&gt;AN528))+SUMPRODUCT(--($AL528:AM528=AN528))&lt;$AK528,1,0)</f>
        <v>77</v>
      </c>
      <c r="O528" s="2" t="n">
        <f aca="false">AH528+IF(SUMPRODUCT(--($AL528:$AQ528&gt;AO528))+SUMPRODUCT(--($AL528:AN528=AO528))&lt;$AK528,1,0)</f>
        <v>102</v>
      </c>
      <c r="P528" s="2" t="n">
        <f aca="false">AI528+IF(SUMPRODUCT(--($AL528:$AQ528&gt;AP528))+SUMPRODUCT(--($AL528:AO528=AP528))&lt;$AK528,1,0)</f>
        <v>79</v>
      </c>
      <c r="Q528" s="2" t="n">
        <f aca="false">AJ528+IF(SUMPRODUCT(--($AL528:$AQ528&gt;AQ528))+SUMPRODUCT(--($AL528:AP528=AQ528))&lt;$AK528,1,0)</f>
        <v>74</v>
      </c>
      <c r="R528" s="2" t="n">
        <f aca="false">SUM(L528:Q528)</f>
        <v>500</v>
      </c>
      <c r="S528" s="2" t="n">
        <f aca="false">Settings!$B$4*MAX(INDEX(Bases!$M$2:$M$53,B528),INDEX(Bases!$M$2:$M$53,C528))+Settings!$B$5*MIN(INDEX(Bases!$M$2:$M$53,B528),INDEX(Bases!$M$2:$M$53,C528))</f>
        <v>75</v>
      </c>
      <c r="T528" s="2" t="n">
        <f aca="false">Settings!$B$4*MAX(INDEX(Bases!$N$2:$N$53,B528),INDEX(Bases!$N$2:$N$53,C528))+Settings!$B$5*MIN(INDEX(Bases!$N$2:$N$53,B528),INDEX(Bases!$N$2:$N$53,C528))</f>
        <v>63.6666666666667</v>
      </c>
      <c r="U528" s="2" t="n">
        <f aca="false">Settings!$B$4*MAX(INDEX(Bases!$O$2:$O$53,B528),INDEX(Bases!$O$2:$O$53,C528))+Settings!$B$5*MIN(INDEX(Bases!$O$2:$O$53,B528),INDEX(Bases!$O$2:$O$53,C528))</f>
        <v>63.6666666666667</v>
      </c>
      <c r="V528" s="2" t="n">
        <f aca="false">Settings!$B$4*MAX(INDEX(Bases!$P$2:$P$53,B528),INDEX(Bases!$P$2:$P$53,C528))+Settings!$B$5*MIN(INDEX(Bases!$P$2:$P$53,B528),INDEX(Bases!$P$2:$P$53,C528))</f>
        <v>84.3333333333333</v>
      </c>
      <c r="W528" s="2" t="n">
        <f aca="false">Settings!$B$4*MAX(INDEX(Bases!$Q$2:$Q$53,B528),INDEX(Bases!$Q$2:$Q$53,C528))+Settings!$B$5*MIN(INDEX(Bases!$Q$2:$Q$53,B528),INDEX(Bases!$Q$2:$Q$53,C528))</f>
        <v>65.3333333333333</v>
      </c>
      <c r="X528" s="2" t="n">
        <f aca="false">Settings!$B$4*MAX(INDEX(Bases!$R$2:$R$53,B528),INDEX(Bases!$R$2:$R$53,C528))+Settings!$B$5*MIN(INDEX(Bases!$R$2:$R$53,B528),INDEX(Bases!$R$2:$R$53,C528))</f>
        <v>60.6666666666667</v>
      </c>
      <c r="Y528" s="2" t="n">
        <f aca="false">S528*Settings!$B$3/SUM(S528:X528)</f>
        <v>90.8723747980614</v>
      </c>
      <c r="Z528" s="2" t="n">
        <f aca="false">T528*Settings!$B$3/SUM(S528:X528)</f>
        <v>77.140549273021</v>
      </c>
      <c r="AA528" s="2" t="n">
        <f aca="false">U528*Settings!$B$3/SUM(S528:X528)</f>
        <v>77.140549273021</v>
      </c>
      <c r="AB528" s="2" t="n">
        <f aca="false">V528*Settings!$B$3/SUM(S528:X528)</f>
        <v>102.180936995153</v>
      </c>
      <c r="AC528" s="2" t="n">
        <f aca="false">W528*Settings!$B$3/SUM(S528:X528)</f>
        <v>79.1599353796446</v>
      </c>
      <c r="AD528" s="2" t="n">
        <f aca="false">X528*Settings!$B$3/SUM(S528:X528)</f>
        <v>73.5056542810985</v>
      </c>
      <c r="AE528" s="2" t="n">
        <f aca="false">INT(Y528)</f>
        <v>90</v>
      </c>
      <c r="AF528" s="2" t="n">
        <f aca="false">INT(Z528)</f>
        <v>77</v>
      </c>
      <c r="AG528" s="2" t="n">
        <f aca="false">INT(AA528)</f>
        <v>77</v>
      </c>
      <c r="AH528" s="2" t="n">
        <f aca="false">INT(AB528)</f>
        <v>102</v>
      </c>
      <c r="AI528" s="2" t="n">
        <f aca="false">INT(AC528)</f>
        <v>79</v>
      </c>
      <c r="AJ528" s="2" t="n">
        <f aca="false">INT(AD528)</f>
        <v>73</v>
      </c>
      <c r="AK528" s="2" t="n">
        <f aca="false">Settings!$B$3-SUM(AE528:AJ528)</f>
        <v>2</v>
      </c>
      <c r="AL528" s="2" t="n">
        <f aca="false">ROUND(Y528-AE528,9)</f>
        <v>0.872374798</v>
      </c>
      <c r="AM528" s="2" t="n">
        <f aca="false">ROUND(Z528-AF528,9)</f>
        <v>0.140549273</v>
      </c>
      <c r="AN528" s="2" t="n">
        <f aca="false">ROUND(AA528-AG528,9)</f>
        <v>0.140549273</v>
      </c>
      <c r="AO528" s="2" t="n">
        <f aca="false">ROUND(AB528-AH528,9)</f>
        <v>0.180936995</v>
      </c>
      <c r="AP528" s="2" t="n">
        <f aca="false">ROUND(AC528-AI528,9)</f>
        <v>0.15993538</v>
      </c>
      <c r="AQ528" s="2" t="n">
        <f aca="false">ROUND(AD528-AJ528,9)</f>
        <v>0.505654281</v>
      </c>
    </row>
    <row r="529" customFormat="false" ht="15" hidden="false" customHeight="false" outlineLevel="0" collapsed="false">
      <c r="A529" s="2" t="n">
        <v>528</v>
      </c>
      <c r="B529" s="6" t="n">
        <v>12</v>
      </c>
      <c r="C529" s="6" t="n">
        <v>34</v>
      </c>
      <c r="D529" s="8" t="str">
        <f aca="false">INDEX(Bases!$B$2:$B$53,B529)</f>
        <v>Mareep</v>
      </c>
      <c r="E529" s="8" t="str">
        <f aca="false">INDEX(Bases!$B$2:$B$53,C529)</f>
        <v>Paras</v>
      </c>
      <c r="F529" s="2" t="str">
        <f aca="false">LEFT(D529,ROUNDUP(LEN(D529)/2,0))&amp;LOWER(MID(E529,ROUNDUP(LEN(E529)/2,0)+1,20))</f>
        <v>Maras</v>
      </c>
      <c r="G529" s="8" t="str">
        <f aca="false">INDEX(Bases!$C$2:$C$53,B529)</f>
        <v>Electric</v>
      </c>
      <c r="H529" s="8" t="str">
        <f aca="false">IF(INDEX(Bases!$C$2:$C$53,C529)=G529,"",INDEX(Bases!$C$2:$C$53,C529))</f>
        <v>Bug</v>
      </c>
      <c r="I529" s="8" t="str">
        <f aca="false">IF(INDEX(Bases!$E$2:$E$53,B529)="","",INDEX(Bases!$E$2:$E$53,B529))</f>
        <v/>
      </c>
      <c r="J529" s="8" t="str">
        <f aca="false">IF(INDEX(Bases!$E$2:$E$53,C529)="","",INDEX(Bases!$E$2:$E$53,C529))</f>
        <v/>
      </c>
      <c r="K529" s="5"/>
      <c r="L529" s="2" t="n">
        <f aca="false">AE529+IF(SUMPRODUCT(--($AL529:$AQ529&gt;AL529))&lt;$AK529,1,0)</f>
        <v>81</v>
      </c>
      <c r="M529" s="2" t="n">
        <f aca="false">AF529+IF(SUMPRODUCT(--($AL529:$AQ529&gt;AM529))+SUMPRODUCT(--($AL529:AL529=AM529))&lt;$AK529,1,0)</f>
        <v>100</v>
      </c>
      <c r="N529" s="2" t="n">
        <f aca="false">AG529+IF(SUMPRODUCT(--($AL529:$AQ529&gt;AN529))+SUMPRODUCT(--($AL529:AM529=AN529))&lt;$AK529,1,0)</f>
        <v>83</v>
      </c>
      <c r="O529" s="2" t="n">
        <f aca="false">AH529+IF(SUMPRODUCT(--($AL529:$AQ529&gt;AO529))+SUMPRODUCT(--($AL529:AN529=AO529))&lt;$AK529,1,0)</f>
        <v>98</v>
      </c>
      <c r="P529" s="2" t="n">
        <f aca="false">AI529+IF(SUMPRODUCT(--($AL529:$AQ529&gt;AP529))+SUMPRODUCT(--($AL529:AO529=AP529))&lt;$AK529,1,0)</f>
        <v>85</v>
      </c>
      <c r="Q529" s="2" t="n">
        <f aca="false">AJ529+IF(SUMPRODUCT(--($AL529:$AQ529&gt;AQ529))+SUMPRODUCT(--($AL529:AP529=AQ529))&lt;$AK529,1,0)</f>
        <v>53</v>
      </c>
      <c r="R529" s="2" t="n">
        <f aca="false">SUM(L529:Q529)</f>
        <v>500</v>
      </c>
      <c r="S529" s="2" t="n">
        <f aca="false">Settings!$B$4*MAX(INDEX(Bases!$M$2:$M$53,B529),INDEX(Bases!$M$2:$M$53,C529))+Settings!$B$5*MIN(INDEX(Bases!$M$2:$M$53,B529),INDEX(Bases!$M$2:$M$53,C529))</f>
        <v>69</v>
      </c>
      <c r="T529" s="2" t="n">
        <f aca="false">Settings!$B$4*MAX(INDEX(Bases!$N$2:$N$53,B529),INDEX(Bases!$N$2:$N$53,C529))+Settings!$B$5*MIN(INDEX(Bases!$N$2:$N$53,B529),INDEX(Bases!$N$2:$N$53,C529))</f>
        <v>85</v>
      </c>
      <c r="U529" s="2" t="n">
        <f aca="false">Settings!$B$4*MAX(INDEX(Bases!$O$2:$O$53,B529),INDEX(Bases!$O$2:$O$53,C529))+Settings!$B$5*MIN(INDEX(Bases!$O$2:$O$53,B529),INDEX(Bases!$O$2:$O$53,C529))</f>
        <v>70.3333333333333</v>
      </c>
      <c r="V529" s="2" t="n">
        <f aca="false">Settings!$B$4*MAX(INDEX(Bases!$P$2:$P$53,B529),INDEX(Bases!$P$2:$P$53,C529))+Settings!$B$5*MIN(INDEX(Bases!$P$2:$P$53,B529),INDEX(Bases!$P$2:$P$53,C529))</f>
        <v>83</v>
      </c>
      <c r="W529" s="2" t="n">
        <f aca="false">Settings!$B$4*MAX(INDEX(Bases!$Q$2:$Q$53,B529),INDEX(Bases!$Q$2:$Q$53,C529))+Settings!$B$5*MIN(INDEX(Bases!$Q$2:$Q$53,B529),INDEX(Bases!$Q$2:$Q$53,C529))</f>
        <v>72.6666666666667</v>
      </c>
      <c r="X529" s="2" t="n">
        <f aca="false">Settings!$B$4*MAX(INDEX(Bases!$R$2:$R$53,B529),INDEX(Bases!$R$2:$R$53,C529))+Settings!$B$5*MIN(INDEX(Bases!$R$2:$R$53,B529),INDEX(Bases!$R$2:$R$53,C529))</f>
        <v>45</v>
      </c>
      <c r="Y529" s="2" t="n">
        <f aca="false">S529*Settings!$B$3/SUM(S529:X529)</f>
        <v>81.1764705882353</v>
      </c>
      <c r="Z529" s="2" t="n">
        <f aca="false">T529*Settings!$B$3/SUM(S529:X529)</f>
        <v>100</v>
      </c>
      <c r="AA529" s="2" t="n">
        <f aca="false">U529*Settings!$B$3/SUM(S529:X529)</f>
        <v>82.7450980392157</v>
      </c>
      <c r="AB529" s="2" t="n">
        <f aca="false">V529*Settings!$B$3/SUM(S529:X529)</f>
        <v>97.6470588235294</v>
      </c>
      <c r="AC529" s="2" t="n">
        <f aca="false">W529*Settings!$B$3/SUM(S529:X529)</f>
        <v>85.4901960784314</v>
      </c>
      <c r="AD529" s="2" t="n">
        <f aca="false">X529*Settings!$B$3/SUM(S529:X529)</f>
        <v>52.9411764705882</v>
      </c>
      <c r="AE529" s="2" t="n">
        <f aca="false">INT(Y529)</f>
        <v>81</v>
      </c>
      <c r="AF529" s="2" t="n">
        <f aca="false">INT(Z529)</f>
        <v>100</v>
      </c>
      <c r="AG529" s="2" t="n">
        <f aca="false">INT(AA529)</f>
        <v>82</v>
      </c>
      <c r="AH529" s="2" t="n">
        <f aca="false">INT(AB529)</f>
        <v>97</v>
      </c>
      <c r="AI529" s="2" t="n">
        <f aca="false">INT(AC529)</f>
        <v>85</v>
      </c>
      <c r="AJ529" s="2" t="n">
        <f aca="false">INT(AD529)</f>
        <v>52</v>
      </c>
      <c r="AK529" s="2" t="n">
        <f aca="false">Settings!$B$3-SUM(AE529:AJ529)</f>
        <v>3</v>
      </c>
      <c r="AL529" s="2" t="n">
        <f aca="false">ROUND(Y529-AE529,9)</f>
        <v>0.176470588</v>
      </c>
      <c r="AM529" s="2" t="n">
        <f aca="false">ROUND(Z529-AF529,9)</f>
        <v>0</v>
      </c>
      <c r="AN529" s="2" t="n">
        <f aca="false">ROUND(AA529-AG529,9)</f>
        <v>0.745098039</v>
      </c>
      <c r="AO529" s="2" t="n">
        <f aca="false">ROUND(AB529-AH529,9)</f>
        <v>0.647058824</v>
      </c>
      <c r="AP529" s="2" t="n">
        <f aca="false">ROUND(AC529-AI529,9)</f>
        <v>0.490196078</v>
      </c>
      <c r="AQ529" s="2" t="n">
        <f aca="false">ROUND(AD529-AJ529,9)</f>
        <v>0.941176471</v>
      </c>
    </row>
    <row r="530" customFormat="false" ht="15" hidden="false" customHeight="false" outlineLevel="0" collapsed="false">
      <c r="A530" s="2" t="n">
        <v>529</v>
      </c>
      <c r="B530" s="6" t="n">
        <v>12</v>
      </c>
      <c r="C530" s="6" t="n">
        <v>35</v>
      </c>
      <c r="D530" s="8" t="str">
        <f aca="false">INDEX(Bases!$B$2:$B$53,B530)</f>
        <v>Mareep</v>
      </c>
      <c r="E530" s="8" t="str">
        <f aca="false">INDEX(Bases!$B$2:$B$53,C530)</f>
        <v>Pineco</v>
      </c>
      <c r="F530" s="2" t="str">
        <f aca="false">LEFT(D530,ROUNDUP(LEN(D530)/2,0))&amp;LOWER(MID(E530,ROUNDUP(LEN(E530)/2,0)+1,20))</f>
        <v>Mareco</v>
      </c>
      <c r="G530" s="8" t="str">
        <f aca="false">INDEX(Bases!$C$2:$C$53,B530)</f>
        <v>Electric</v>
      </c>
      <c r="H530" s="8" t="str">
        <f aca="false">IF(INDEX(Bases!$C$2:$C$53,C530)=G530,"",INDEX(Bases!$C$2:$C$53,C530))</f>
        <v>Bug</v>
      </c>
      <c r="I530" s="8" t="str">
        <f aca="false">IF(INDEX(Bases!$E$2:$E$53,B530)="","",INDEX(Bases!$E$2:$E$53,B530))</f>
        <v/>
      </c>
      <c r="J530" s="8" t="str">
        <f aca="false">IF(INDEX(Bases!$E$2:$E$53,C530)="","",INDEX(Bases!$E$2:$E$53,C530))</f>
        <v/>
      </c>
      <c r="K530" s="5"/>
      <c r="L530" s="2" t="n">
        <f aca="false">AE530+IF(SUMPRODUCT(--($AL530:$AQ530&gt;AL530))&lt;$AK530,1,0)</f>
        <v>87</v>
      </c>
      <c r="M530" s="2" t="n">
        <f aca="false">AF530+IF(SUMPRODUCT(--($AL530:$AQ530&gt;AM530))+SUMPRODUCT(--($AL530:AL530=AM530))&lt;$AK530,1,0)</f>
        <v>91</v>
      </c>
      <c r="N530" s="2" t="n">
        <f aca="false">AG530+IF(SUMPRODUCT(--($AL530:$AQ530&gt;AN530))+SUMPRODUCT(--($AL530:AM530=AN530))&lt;$AK530,1,0)</f>
        <v>117</v>
      </c>
      <c r="O530" s="2" t="n">
        <f aca="false">AH530+IF(SUMPRODUCT(--($AL530:$AQ530&gt;AO530))+SUMPRODUCT(--($AL530:AN530=AO530))&lt;$AK530,1,0)</f>
        <v>90</v>
      </c>
      <c r="P530" s="2" t="n">
        <f aca="false">AI530+IF(SUMPRODUCT(--($AL530:$AQ530&gt;AP530))+SUMPRODUCT(--($AL530:AO530=AP530))&lt;$AK530,1,0)</f>
        <v>68</v>
      </c>
      <c r="Q530" s="2" t="n">
        <f aca="false">AJ530+IF(SUMPRODUCT(--($AL530:$AQ530&gt;AQ530))+SUMPRODUCT(--($AL530:AP530=AQ530))&lt;$AK530,1,0)</f>
        <v>47</v>
      </c>
      <c r="R530" s="2" t="n">
        <f aca="false">SUM(L530:Q530)</f>
        <v>500</v>
      </c>
      <c r="S530" s="2" t="n">
        <f aca="false">Settings!$B$4*MAX(INDEX(Bases!$M$2:$M$53,B530),INDEX(Bases!$M$2:$M$53,C530))+Settings!$B$5*MIN(INDEX(Bases!$M$2:$M$53,B530),INDEX(Bases!$M$2:$M$53,C530))</f>
        <v>75.6666666666667</v>
      </c>
      <c r="T530" s="2" t="n">
        <f aca="false">Settings!$B$4*MAX(INDEX(Bases!$N$2:$N$53,B530),INDEX(Bases!$N$2:$N$53,C530))+Settings!$B$5*MIN(INDEX(Bases!$N$2:$N$53,B530),INDEX(Bases!$N$2:$N$53,C530))</f>
        <v>79</v>
      </c>
      <c r="U530" s="2" t="n">
        <f aca="false">Settings!$B$4*MAX(INDEX(Bases!$O$2:$O$53,B530),INDEX(Bases!$O$2:$O$53,C530))+Settings!$B$5*MIN(INDEX(Bases!$O$2:$O$53,B530),INDEX(Bases!$O$2:$O$53,C530))</f>
        <v>101.666666666667</v>
      </c>
      <c r="V530" s="2" t="n">
        <f aca="false">Settings!$B$4*MAX(INDEX(Bases!$P$2:$P$53,B530),INDEX(Bases!$P$2:$P$53,C530))+Settings!$B$5*MIN(INDEX(Bases!$P$2:$P$53,B530),INDEX(Bases!$P$2:$P$53,C530))</f>
        <v>78</v>
      </c>
      <c r="W530" s="2" t="n">
        <f aca="false">Settings!$B$4*MAX(INDEX(Bases!$Q$2:$Q$53,B530),INDEX(Bases!$Q$2:$Q$53,C530))+Settings!$B$5*MIN(INDEX(Bases!$Q$2:$Q$53,B530),INDEX(Bases!$Q$2:$Q$53,C530))</f>
        <v>58.6666666666667</v>
      </c>
      <c r="X530" s="2" t="n">
        <f aca="false">Settings!$B$4*MAX(INDEX(Bases!$R$2:$R$53,B530),INDEX(Bases!$R$2:$R$53,C530))+Settings!$B$5*MIN(INDEX(Bases!$R$2:$R$53,B530),INDEX(Bases!$R$2:$R$53,C530))</f>
        <v>40.3333333333333</v>
      </c>
      <c r="Y530" s="2" t="n">
        <f aca="false">S530*Settings!$B$3/SUM(S530:X530)</f>
        <v>87.3076923076923</v>
      </c>
      <c r="Z530" s="2" t="n">
        <f aca="false">T530*Settings!$B$3/SUM(S530:X530)</f>
        <v>91.1538461538462</v>
      </c>
      <c r="AA530" s="2" t="n">
        <f aca="false">U530*Settings!$B$3/SUM(S530:X530)</f>
        <v>117.307692307692</v>
      </c>
      <c r="AB530" s="2" t="n">
        <f aca="false">V530*Settings!$B$3/SUM(S530:X530)</f>
        <v>90</v>
      </c>
      <c r="AC530" s="2" t="n">
        <f aca="false">W530*Settings!$B$3/SUM(S530:X530)</f>
        <v>67.6923076923077</v>
      </c>
      <c r="AD530" s="2" t="n">
        <f aca="false">X530*Settings!$B$3/SUM(S530:X530)</f>
        <v>46.5384615384615</v>
      </c>
      <c r="AE530" s="2" t="n">
        <f aca="false">INT(Y530)</f>
        <v>87</v>
      </c>
      <c r="AF530" s="2" t="n">
        <f aca="false">INT(Z530)</f>
        <v>91</v>
      </c>
      <c r="AG530" s="2" t="n">
        <f aca="false">INT(AA530)</f>
        <v>117</v>
      </c>
      <c r="AH530" s="2" t="n">
        <f aca="false">INT(AB530)</f>
        <v>90</v>
      </c>
      <c r="AI530" s="2" t="n">
        <f aca="false">INT(AC530)</f>
        <v>67</v>
      </c>
      <c r="AJ530" s="2" t="n">
        <f aca="false">INT(AD530)</f>
        <v>46</v>
      </c>
      <c r="AK530" s="2" t="n">
        <f aca="false">Settings!$B$3-SUM(AE530:AJ530)</f>
        <v>2</v>
      </c>
      <c r="AL530" s="2" t="n">
        <f aca="false">ROUND(Y530-AE530,9)</f>
        <v>0.307692308</v>
      </c>
      <c r="AM530" s="2" t="n">
        <f aca="false">ROUND(Z530-AF530,9)</f>
        <v>0.153846154</v>
      </c>
      <c r="AN530" s="2" t="n">
        <f aca="false">ROUND(AA530-AG530,9)</f>
        <v>0.307692308</v>
      </c>
      <c r="AO530" s="2" t="n">
        <f aca="false">ROUND(AB530-AH530,9)</f>
        <v>0</v>
      </c>
      <c r="AP530" s="2" t="n">
        <f aca="false">ROUND(AC530-AI530,9)</f>
        <v>0.692307692</v>
      </c>
      <c r="AQ530" s="2" t="n">
        <f aca="false">ROUND(AD530-AJ530,9)</f>
        <v>0.538461538</v>
      </c>
    </row>
    <row r="531" customFormat="false" ht="15" hidden="false" customHeight="false" outlineLevel="0" collapsed="false">
      <c r="A531" s="2" t="n">
        <v>530</v>
      </c>
      <c r="B531" s="6" t="n">
        <v>12</v>
      </c>
      <c r="C531" s="6" t="n">
        <v>36</v>
      </c>
      <c r="D531" s="8" t="str">
        <f aca="false">INDEX(Bases!$B$2:$B$53,B531)</f>
        <v>Mareep</v>
      </c>
      <c r="E531" s="8" t="str">
        <f aca="false">INDEX(Bases!$B$2:$B$53,C531)</f>
        <v>Wurmple</v>
      </c>
      <c r="F531" s="2" t="str">
        <f aca="false">LEFT(D531,ROUNDUP(LEN(D531)/2,0))&amp;LOWER(MID(E531,ROUNDUP(LEN(E531)/2,0)+1,20))</f>
        <v>Marple</v>
      </c>
      <c r="G531" s="8" t="str">
        <f aca="false">INDEX(Bases!$C$2:$C$53,B531)</f>
        <v>Electric</v>
      </c>
      <c r="H531" s="8" t="str">
        <f aca="false">IF(INDEX(Bases!$C$2:$C$53,C531)=G531,"",INDEX(Bases!$C$2:$C$53,C531))</f>
        <v>Bug</v>
      </c>
      <c r="I531" s="8" t="str">
        <f aca="false">IF(INDEX(Bases!$E$2:$E$53,B531)="","",INDEX(Bases!$E$2:$E$53,B531))</f>
        <v/>
      </c>
      <c r="J531" s="8" t="str">
        <f aca="false">IF(INDEX(Bases!$E$2:$E$53,C531)="","",INDEX(Bases!$E$2:$E$53,C531))</f>
        <v/>
      </c>
      <c r="K531" s="5"/>
      <c r="L531" s="2" t="n">
        <f aca="false">AE531+IF(SUMPRODUCT(--($AL531:$AQ531&gt;AL531))&lt;$AK531,1,0)</f>
        <v>104</v>
      </c>
      <c r="M531" s="2" t="n">
        <f aca="false">AF531+IF(SUMPRODUCT(--($AL531:$AQ531&gt;AM531))+SUMPRODUCT(--($AL531:AL531=AM531))&lt;$AK531,1,0)</f>
        <v>95</v>
      </c>
      <c r="N531" s="2" t="n">
        <f aca="false">AG531+IF(SUMPRODUCT(--($AL531:$AQ531&gt;AN531))+SUMPRODUCT(--($AL531:AM531=AN531))&lt;$AK531,1,0)</f>
        <v>80</v>
      </c>
      <c r="O531" s="2" t="n">
        <f aca="false">AH531+IF(SUMPRODUCT(--($AL531:$AQ531&gt;AO531))+SUMPRODUCT(--($AL531:AN531=AO531))&lt;$AK531,1,0)</f>
        <v>90</v>
      </c>
      <c r="P531" s="2" t="n">
        <f aca="false">AI531+IF(SUMPRODUCT(--($AL531:$AQ531&gt;AP531))+SUMPRODUCT(--($AL531:AO531=AP531))&lt;$AK531,1,0)</f>
        <v>75</v>
      </c>
      <c r="Q531" s="2" t="n">
        <f aca="false">AJ531+IF(SUMPRODUCT(--($AL531:$AQ531&gt;AQ531))+SUMPRODUCT(--($AL531:AP531=AQ531))&lt;$AK531,1,0)</f>
        <v>56</v>
      </c>
      <c r="R531" s="2" t="n">
        <f aca="false">SUM(L531:Q531)</f>
        <v>500</v>
      </c>
      <c r="S531" s="2" t="n">
        <f aca="false">Settings!$B$4*MAX(INDEX(Bases!$M$2:$M$53,B531),INDEX(Bases!$M$2:$M$53,C531))+Settings!$B$5*MIN(INDEX(Bases!$M$2:$M$53,B531),INDEX(Bases!$M$2:$M$53,C531))</f>
        <v>87.6666666666667</v>
      </c>
      <c r="T531" s="2" t="n">
        <f aca="false">Settings!$B$4*MAX(INDEX(Bases!$N$2:$N$53,B531),INDEX(Bases!$N$2:$N$53,C531))+Settings!$B$5*MIN(INDEX(Bases!$N$2:$N$53,B531),INDEX(Bases!$N$2:$N$53,C531))</f>
        <v>80.3333333333333</v>
      </c>
      <c r="U531" s="2" t="n">
        <f aca="false">Settings!$B$4*MAX(INDEX(Bases!$O$2:$O$53,B531),INDEX(Bases!$O$2:$O$53,C531))+Settings!$B$5*MIN(INDEX(Bases!$O$2:$O$53,B531),INDEX(Bases!$O$2:$O$53,C531))</f>
        <v>67</v>
      </c>
      <c r="V531" s="2" t="n">
        <f aca="false">Settings!$B$4*MAX(INDEX(Bases!$P$2:$P$53,B531),INDEX(Bases!$P$2:$P$53,C531))+Settings!$B$5*MIN(INDEX(Bases!$P$2:$P$53,B531),INDEX(Bases!$P$2:$P$53,C531))</f>
        <v>75.6666666666667</v>
      </c>
      <c r="W531" s="2" t="n">
        <f aca="false">Settings!$B$4*MAX(INDEX(Bases!$Q$2:$Q$53,B531),INDEX(Bases!$Q$2:$Q$53,C531))+Settings!$B$5*MIN(INDEX(Bases!$Q$2:$Q$53,B531),INDEX(Bases!$Q$2:$Q$53,C531))</f>
        <v>63.3333333333333</v>
      </c>
      <c r="X531" s="2" t="n">
        <f aca="false">Settings!$B$4*MAX(INDEX(Bases!$R$2:$R$53,B531),INDEX(Bases!$R$2:$R$53,C531))+Settings!$B$5*MIN(INDEX(Bases!$R$2:$R$53,B531),INDEX(Bases!$R$2:$R$53,C531))</f>
        <v>47</v>
      </c>
      <c r="Y531" s="2" t="n">
        <f aca="false">S531*Settings!$B$3/SUM(S531:X531)</f>
        <v>104.117181314331</v>
      </c>
      <c r="Z531" s="2" t="n">
        <f aca="false">T531*Settings!$B$3/SUM(S531:X531)</f>
        <v>95.4077593032462</v>
      </c>
      <c r="AA531" s="2" t="n">
        <f aca="false">U531*Settings!$B$3/SUM(S531:X531)</f>
        <v>79.5724465558195</v>
      </c>
      <c r="AB531" s="2" t="n">
        <f aca="false">V531*Settings!$B$3/SUM(S531:X531)</f>
        <v>89.8653998416469</v>
      </c>
      <c r="AC531" s="2" t="n">
        <f aca="false">W531*Settings!$B$3/SUM(S531:X531)</f>
        <v>75.2177355502771</v>
      </c>
      <c r="AD531" s="2" t="n">
        <f aca="false">X531*Settings!$B$3/SUM(S531:X531)</f>
        <v>55.8194774346793</v>
      </c>
      <c r="AE531" s="2" t="n">
        <f aca="false">INT(Y531)</f>
        <v>104</v>
      </c>
      <c r="AF531" s="2" t="n">
        <f aca="false">INT(Z531)</f>
        <v>95</v>
      </c>
      <c r="AG531" s="2" t="n">
        <f aca="false">INT(AA531)</f>
        <v>79</v>
      </c>
      <c r="AH531" s="2" t="n">
        <f aca="false">INT(AB531)</f>
        <v>89</v>
      </c>
      <c r="AI531" s="2" t="n">
        <f aca="false">INT(AC531)</f>
        <v>75</v>
      </c>
      <c r="AJ531" s="2" t="n">
        <f aca="false">INT(AD531)</f>
        <v>55</v>
      </c>
      <c r="AK531" s="2" t="n">
        <f aca="false">Settings!$B$3-SUM(AE531:AJ531)</f>
        <v>3</v>
      </c>
      <c r="AL531" s="2" t="n">
        <f aca="false">ROUND(Y531-AE531,9)</f>
        <v>0.117181314</v>
      </c>
      <c r="AM531" s="2" t="n">
        <f aca="false">ROUND(Z531-AF531,9)</f>
        <v>0.407759303</v>
      </c>
      <c r="AN531" s="2" t="n">
        <f aca="false">ROUND(AA531-AG531,9)</f>
        <v>0.572446556</v>
      </c>
      <c r="AO531" s="2" t="n">
        <f aca="false">ROUND(AB531-AH531,9)</f>
        <v>0.865399842</v>
      </c>
      <c r="AP531" s="2" t="n">
        <f aca="false">ROUND(AC531-AI531,9)</f>
        <v>0.21773555</v>
      </c>
      <c r="AQ531" s="2" t="n">
        <f aca="false">ROUND(AD531-AJ531,9)</f>
        <v>0.819477435</v>
      </c>
    </row>
    <row r="532" customFormat="false" ht="15" hidden="false" customHeight="false" outlineLevel="0" collapsed="false">
      <c r="A532" s="2" t="n">
        <v>531</v>
      </c>
      <c r="B532" s="6" t="n">
        <v>12</v>
      </c>
      <c r="C532" s="6" t="n">
        <v>37</v>
      </c>
      <c r="D532" s="8" t="str">
        <f aca="false">INDEX(Bases!$B$2:$B$53,B532)</f>
        <v>Mareep</v>
      </c>
      <c r="E532" s="8" t="str">
        <f aca="false">INDEX(Bases!$B$2:$B$53,C532)</f>
        <v>Shuckle</v>
      </c>
      <c r="F532" s="2" t="str">
        <f aca="false">LEFT(D532,ROUNDUP(LEN(D532)/2,0))&amp;LOWER(MID(E532,ROUNDUP(LEN(E532)/2,0)+1,20))</f>
        <v>Markle</v>
      </c>
      <c r="G532" s="8" t="str">
        <f aca="false">INDEX(Bases!$C$2:$C$53,B532)</f>
        <v>Electric</v>
      </c>
      <c r="H532" s="8" t="str">
        <f aca="false">IF(INDEX(Bases!$C$2:$C$53,C532)=G532,"",INDEX(Bases!$C$2:$C$53,C532))</f>
        <v>Rock</v>
      </c>
      <c r="I532" s="8" t="str">
        <f aca="false">IF(INDEX(Bases!$E$2:$E$53,B532)="","",INDEX(Bases!$E$2:$E$53,B532))</f>
        <v/>
      </c>
      <c r="J532" s="8" t="str">
        <f aca="false">IF(INDEX(Bases!$E$2:$E$53,C532)="","",INDEX(Bases!$E$2:$E$53,C532))</f>
        <v/>
      </c>
      <c r="K532" s="5"/>
      <c r="L532" s="2" t="n">
        <f aca="false">AE532+IF(SUMPRODUCT(--($AL532:$AQ532&gt;AL532))&lt;$AK532,1,0)</f>
        <v>60</v>
      </c>
      <c r="M532" s="2" t="n">
        <f aca="false">AF532+IF(SUMPRODUCT(--($AL532:$AQ532&gt;AM532))+SUMPRODUCT(--($AL532:AL532=AM532))&lt;$AK532,1,0)</f>
        <v>42</v>
      </c>
      <c r="N532" s="2" t="n">
        <f aca="false">AG532+IF(SUMPRODUCT(--($AL532:$AQ532&gt;AN532))+SUMPRODUCT(--($AL532:AM532=AN532))&lt;$AK532,1,0)</f>
        <v>146</v>
      </c>
      <c r="O532" s="2" t="n">
        <f aca="false">AH532+IF(SUMPRODUCT(--($AL532:$AQ532&gt;AO532))+SUMPRODUCT(--($AL532:AN532=AO532))&lt;$AK532,1,0)</f>
        <v>67</v>
      </c>
      <c r="P532" s="2" t="n">
        <f aca="false">AI532+IF(SUMPRODUCT(--($AL532:$AQ532&gt;AP532))+SUMPRODUCT(--($AL532:AO532=AP532))&lt;$AK532,1,0)</f>
        <v>149</v>
      </c>
      <c r="Q532" s="2" t="n">
        <f aca="false">AJ532+IF(SUMPRODUCT(--($AL532:$AQ532&gt;AQ532))+SUMPRODUCT(--($AL532:AP532=AQ532))&lt;$AK532,1,0)</f>
        <v>36</v>
      </c>
      <c r="R532" s="2" t="n">
        <f aca="false">SUM(L532:Q532)</f>
        <v>500</v>
      </c>
      <c r="S532" s="2" t="n">
        <f aca="false">Settings!$B$4*MAX(INDEX(Bases!$M$2:$M$53,B532),INDEX(Bases!$M$2:$M$53,C532))+Settings!$B$5*MIN(INDEX(Bases!$M$2:$M$53,B532),INDEX(Bases!$M$2:$M$53,C532))</f>
        <v>58</v>
      </c>
      <c r="T532" s="2" t="n">
        <f aca="false">Settings!$B$4*MAX(INDEX(Bases!$N$2:$N$53,B532),INDEX(Bases!$N$2:$N$53,C532))+Settings!$B$5*MIN(INDEX(Bases!$N$2:$N$53,B532),INDEX(Bases!$N$2:$N$53,C532))</f>
        <v>40.6666666666667</v>
      </c>
      <c r="U532" s="2" t="n">
        <f aca="false">Settings!$B$4*MAX(INDEX(Bases!$O$2:$O$53,B532),INDEX(Bases!$O$2:$O$53,C532))+Settings!$B$5*MIN(INDEX(Bases!$O$2:$O$53,B532),INDEX(Bases!$O$2:$O$53,C532))</f>
        <v>140.333333333333</v>
      </c>
      <c r="V532" s="2" t="n">
        <f aca="false">Settings!$B$4*MAX(INDEX(Bases!$P$2:$P$53,B532),INDEX(Bases!$P$2:$P$53,C532))+Settings!$B$5*MIN(INDEX(Bases!$P$2:$P$53,B532),INDEX(Bases!$P$2:$P$53,C532))</f>
        <v>64.6666666666667</v>
      </c>
      <c r="W532" s="2" t="n">
        <f aca="false">Settings!$B$4*MAX(INDEX(Bases!$Q$2:$Q$53,B532),INDEX(Bases!$Q$2:$Q$53,C532))+Settings!$B$5*MIN(INDEX(Bases!$Q$2:$Q$53,B532),INDEX(Bases!$Q$2:$Q$53,C532))</f>
        <v>142.666666666667</v>
      </c>
      <c r="X532" s="2" t="n">
        <f aca="false">Settings!$B$4*MAX(INDEX(Bases!$R$2:$R$53,B532),INDEX(Bases!$R$2:$R$53,C532))+Settings!$B$5*MIN(INDEX(Bases!$R$2:$R$53,B532),INDEX(Bases!$R$2:$R$53,C532))</f>
        <v>34.6666666666667</v>
      </c>
      <c r="Y532" s="2" t="n">
        <f aca="false">S532*Settings!$B$3/SUM(S532:X532)</f>
        <v>60.2910602910603</v>
      </c>
      <c r="Z532" s="2" t="n">
        <f aca="false">T532*Settings!$B$3/SUM(S532:X532)</f>
        <v>42.2730422730423</v>
      </c>
      <c r="AA532" s="2" t="n">
        <f aca="false">U532*Settings!$B$3/SUM(S532:X532)</f>
        <v>145.876645876646</v>
      </c>
      <c r="AB532" s="2" t="n">
        <f aca="false">V532*Settings!$B$3/SUM(S532:X532)</f>
        <v>67.2210672210672</v>
      </c>
      <c r="AC532" s="2" t="n">
        <f aca="false">W532*Settings!$B$3/SUM(S532:X532)</f>
        <v>148.302148302148</v>
      </c>
      <c r="AD532" s="2" t="n">
        <f aca="false">X532*Settings!$B$3/SUM(S532:X532)</f>
        <v>36.036036036036</v>
      </c>
      <c r="AE532" s="2" t="n">
        <f aca="false">INT(Y532)</f>
        <v>60</v>
      </c>
      <c r="AF532" s="2" t="n">
        <f aca="false">INT(Z532)</f>
        <v>42</v>
      </c>
      <c r="AG532" s="2" t="n">
        <f aca="false">INT(AA532)</f>
        <v>145</v>
      </c>
      <c r="AH532" s="2" t="n">
        <f aca="false">INT(AB532)</f>
        <v>67</v>
      </c>
      <c r="AI532" s="2" t="n">
        <f aca="false">INT(AC532)</f>
        <v>148</v>
      </c>
      <c r="AJ532" s="2" t="n">
        <f aca="false">INT(AD532)</f>
        <v>36</v>
      </c>
      <c r="AK532" s="2" t="n">
        <f aca="false">Settings!$B$3-SUM(AE532:AJ532)</f>
        <v>2</v>
      </c>
      <c r="AL532" s="2" t="n">
        <f aca="false">ROUND(Y532-AE532,9)</f>
        <v>0.291060291</v>
      </c>
      <c r="AM532" s="2" t="n">
        <f aca="false">ROUND(Z532-AF532,9)</f>
        <v>0.273042273</v>
      </c>
      <c r="AN532" s="2" t="n">
        <f aca="false">ROUND(AA532-AG532,9)</f>
        <v>0.876645877</v>
      </c>
      <c r="AO532" s="2" t="n">
        <f aca="false">ROUND(AB532-AH532,9)</f>
        <v>0.221067221</v>
      </c>
      <c r="AP532" s="2" t="n">
        <f aca="false">ROUND(AC532-AI532,9)</f>
        <v>0.302148302</v>
      </c>
      <c r="AQ532" s="2" t="n">
        <f aca="false">ROUND(AD532-AJ532,9)</f>
        <v>0.036036036</v>
      </c>
    </row>
    <row r="533" customFormat="false" ht="15" hidden="false" customHeight="false" outlineLevel="0" collapsed="false">
      <c r="A533" s="2" t="n">
        <v>532</v>
      </c>
      <c r="B533" s="6" t="n">
        <v>12</v>
      </c>
      <c r="C533" s="6" t="n">
        <v>38</v>
      </c>
      <c r="D533" s="8" t="str">
        <f aca="false">INDEX(Bases!$B$2:$B$53,B533)</f>
        <v>Mareep</v>
      </c>
      <c r="E533" s="8" t="str">
        <f aca="false">INDEX(Bases!$B$2:$B$53,C533)</f>
        <v>Larvitar</v>
      </c>
      <c r="F533" s="2" t="str">
        <f aca="false">LEFT(D533,ROUNDUP(LEN(D533)/2,0))&amp;LOWER(MID(E533,ROUNDUP(LEN(E533)/2,0)+1,20))</f>
        <v>Maritar</v>
      </c>
      <c r="G533" s="8" t="str">
        <f aca="false">INDEX(Bases!$C$2:$C$53,B533)</f>
        <v>Electric</v>
      </c>
      <c r="H533" s="8" t="str">
        <f aca="false">IF(INDEX(Bases!$C$2:$C$53,C533)=G533,"",INDEX(Bases!$C$2:$C$53,C533))</f>
        <v>Rock</v>
      </c>
      <c r="I533" s="8" t="str">
        <f aca="false">IF(INDEX(Bases!$E$2:$E$53,B533)="","",INDEX(Bases!$E$2:$E$53,B533))</f>
        <v/>
      </c>
      <c r="J533" s="8" t="str">
        <f aca="false">IF(INDEX(Bases!$E$2:$E$53,C533)="","",INDEX(Bases!$E$2:$E$53,C533))</f>
        <v/>
      </c>
      <c r="K533" s="5"/>
      <c r="L533" s="2" t="n">
        <f aca="false">AE533+IF(SUMPRODUCT(--($AL533:$AQ533&gt;AL533))&lt;$AK533,1,0)</f>
        <v>90</v>
      </c>
      <c r="M533" s="2" t="n">
        <f aca="false">AF533+IF(SUMPRODUCT(--($AL533:$AQ533&gt;AM533))+SUMPRODUCT(--($AL533:AL533=AM533))&lt;$AK533,1,0)</f>
        <v>91</v>
      </c>
      <c r="N533" s="2" t="n">
        <f aca="false">AG533+IF(SUMPRODUCT(--($AL533:$AQ533&gt;AN533))+SUMPRODUCT(--($AL533:AM533=AN533))&lt;$AK533,1,0)</f>
        <v>77</v>
      </c>
      <c r="O533" s="2" t="n">
        <f aca="false">AH533+IF(SUMPRODUCT(--($AL533:$AQ533&gt;AO533))+SUMPRODUCT(--($AL533:AN533=AO533))&lt;$AK533,1,0)</f>
        <v>99</v>
      </c>
      <c r="P533" s="2" t="n">
        <f aca="false">AI533+IF(SUMPRODUCT(--($AL533:$AQ533&gt;AP533))+SUMPRODUCT(--($AL533:AO533=AP533))&lt;$AK533,1,0)</f>
        <v>80</v>
      </c>
      <c r="Q533" s="2" t="n">
        <f aca="false">AJ533+IF(SUMPRODUCT(--($AL533:$AQ533&gt;AQ533))+SUMPRODUCT(--($AL533:AP533=AQ533))&lt;$AK533,1,0)</f>
        <v>63</v>
      </c>
      <c r="R533" s="2" t="n">
        <f aca="false">SUM(L533:Q533)</f>
        <v>500</v>
      </c>
      <c r="S533" s="2" t="n">
        <f aca="false">Settings!$B$4*MAX(INDEX(Bases!$M$2:$M$53,B533),INDEX(Bases!$M$2:$M$53,C533))+Settings!$B$5*MIN(INDEX(Bases!$M$2:$M$53,B533),INDEX(Bases!$M$2:$M$53,C533))</f>
        <v>75</v>
      </c>
      <c r="T533" s="2" t="n">
        <f aca="false">Settings!$B$4*MAX(INDEX(Bases!$N$2:$N$53,B533),INDEX(Bases!$N$2:$N$53,C533))+Settings!$B$5*MIN(INDEX(Bases!$N$2:$N$53,B533),INDEX(Bases!$N$2:$N$53,C533))</f>
        <v>75.6666666666667</v>
      </c>
      <c r="U533" s="2" t="n">
        <f aca="false">Settings!$B$4*MAX(INDEX(Bases!$O$2:$O$53,B533),INDEX(Bases!$O$2:$O$53,C533))+Settings!$B$5*MIN(INDEX(Bases!$O$2:$O$53,B533),INDEX(Bases!$O$2:$O$53,C533))</f>
        <v>63.6666666666667</v>
      </c>
      <c r="V533" s="2" t="n">
        <f aca="false">Settings!$B$4*MAX(INDEX(Bases!$P$2:$P$53,B533),INDEX(Bases!$P$2:$P$53,C533))+Settings!$B$5*MIN(INDEX(Bases!$P$2:$P$53,B533),INDEX(Bases!$P$2:$P$53,C533))</f>
        <v>82</v>
      </c>
      <c r="W533" s="2" t="n">
        <f aca="false">Settings!$B$4*MAX(INDEX(Bases!$Q$2:$Q$53,B533),INDEX(Bases!$Q$2:$Q$53,C533))+Settings!$B$5*MIN(INDEX(Bases!$Q$2:$Q$53,B533),INDEX(Bases!$Q$2:$Q$53,C533))</f>
        <v>66</v>
      </c>
      <c r="X533" s="2" t="n">
        <f aca="false">Settings!$B$4*MAX(INDEX(Bases!$R$2:$R$53,B533),INDEX(Bases!$R$2:$R$53,C533))+Settings!$B$5*MIN(INDEX(Bases!$R$2:$R$53,B533),INDEX(Bases!$R$2:$R$53,C533))</f>
        <v>52.6666666666667</v>
      </c>
      <c r="Y533" s="2" t="n">
        <f aca="false">S533*Settings!$B$3/SUM(S533:X533)</f>
        <v>90.3614457831325</v>
      </c>
      <c r="Z533" s="2" t="n">
        <f aca="false">T533*Settings!$B$3/SUM(S533:X533)</f>
        <v>91.1646586345381</v>
      </c>
      <c r="AA533" s="2" t="n">
        <f aca="false">U533*Settings!$B$3/SUM(S533:X533)</f>
        <v>76.7068273092369</v>
      </c>
      <c r="AB533" s="2" t="n">
        <f aca="false">V533*Settings!$B$3/SUM(S533:X533)</f>
        <v>98.7951807228916</v>
      </c>
      <c r="AC533" s="2" t="n">
        <f aca="false">W533*Settings!$B$3/SUM(S533:X533)</f>
        <v>79.5180722891566</v>
      </c>
      <c r="AD533" s="2" t="n">
        <f aca="false">X533*Settings!$B$3/SUM(S533:X533)</f>
        <v>63.4538152610442</v>
      </c>
      <c r="AE533" s="2" t="n">
        <f aca="false">INT(Y533)</f>
        <v>90</v>
      </c>
      <c r="AF533" s="2" t="n">
        <f aca="false">INT(Z533)</f>
        <v>91</v>
      </c>
      <c r="AG533" s="2" t="n">
        <f aca="false">INT(AA533)</f>
        <v>76</v>
      </c>
      <c r="AH533" s="2" t="n">
        <f aca="false">INT(AB533)</f>
        <v>98</v>
      </c>
      <c r="AI533" s="2" t="n">
        <f aca="false">INT(AC533)</f>
        <v>79</v>
      </c>
      <c r="AJ533" s="2" t="n">
        <f aca="false">INT(AD533)</f>
        <v>63</v>
      </c>
      <c r="AK533" s="2" t="n">
        <f aca="false">Settings!$B$3-SUM(AE533:AJ533)</f>
        <v>3</v>
      </c>
      <c r="AL533" s="2" t="n">
        <f aca="false">ROUND(Y533-AE533,9)</f>
        <v>0.361445783</v>
      </c>
      <c r="AM533" s="2" t="n">
        <f aca="false">ROUND(Z533-AF533,9)</f>
        <v>0.164658635</v>
      </c>
      <c r="AN533" s="2" t="n">
        <f aca="false">ROUND(AA533-AG533,9)</f>
        <v>0.706827309</v>
      </c>
      <c r="AO533" s="2" t="n">
        <f aca="false">ROUND(AB533-AH533,9)</f>
        <v>0.795180723</v>
      </c>
      <c r="AP533" s="2" t="n">
        <f aca="false">ROUND(AC533-AI533,9)</f>
        <v>0.518072289</v>
      </c>
      <c r="AQ533" s="2" t="n">
        <f aca="false">ROUND(AD533-AJ533,9)</f>
        <v>0.453815261</v>
      </c>
    </row>
    <row r="534" customFormat="false" ht="15" hidden="false" customHeight="false" outlineLevel="0" collapsed="false">
      <c r="A534" s="2" t="n">
        <v>533</v>
      </c>
      <c r="B534" s="6" t="n">
        <v>12</v>
      </c>
      <c r="C534" s="6" t="n">
        <v>39</v>
      </c>
      <c r="D534" s="8" t="str">
        <f aca="false">INDEX(Bases!$B$2:$B$53,B534)</f>
        <v>Mareep</v>
      </c>
      <c r="E534" s="8" t="str">
        <f aca="false">INDEX(Bases!$B$2:$B$53,C534)</f>
        <v>Nosepass</v>
      </c>
      <c r="F534" s="2" t="str">
        <f aca="false">LEFT(D534,ROUNDUP(LEN(D534)/2,0))&amp;LOWER(MID(E534,ROUNDUP(LEN(E534)/2,0)+1,20))</f>
        <v>Marpass</v>
      </c>
      <c r="G534" s="8" t="str">
        <f aca="false">INDEX(Bases!$C$2:$C$53,B534)</f>
        <v>Electric</v>
      </c>
      <c r="H534" s="8" t="str">
        <f aca="false">IF(INDEX(Bases!$C$2:$C$53,C534)=G534,"",INDEX(Bases!$C$2:$C$53,C534))</f>
        <v>Rock</v>
      </c>
      <c r="I534" s="8" t="str">
        <f aca="false">IF(INDEX(Bases!$E$2:$E$53,B534)="","",INDEX(Bases!$E$2:$E$53,B534))</f>
        <v/>
      </c>
      <c r="J534" s="8" t="str">
        <f aca="false">IF(INDEX(Bases!$E$2:$E$53,C534)="","",INDEX(Bases!$E$2:$E$53,C534))</f>
        <v/>
      </c>
      <c r="K534" s="5"/>
      <c r="L534" s="2" t="n">
        <f aca="false">AE534+IF(SUMPRODUCT(--($AL534:$AQ534&gt;AL534))&lt;$AK534,1,0)</f>
        <v>72</v>
      </c>
      <c r="M534" s="2" t="n">
        <f aca="false">AF534+IF(SUMPRODUCT(--($AL534:$AQ534&gt;AM534))+SUMPRODUCT(--($AL534:AL534=AM534))&lt;$AK534,1,0)</f>
        <v>61</v>
      </c>
      <c r="N534" s="2" t="n">
        <f aca="false">AG534+IF(SUMPRODUCT(--($AL534:$AQ534&gt;AN534))+SUMPRODUCT(--($AL534:AM534=AN534))&lt;$AK534,1,0)</f>
        <v>131</v>
      </c>
      <c r="O534" s="2" t="n">
        <f aca="false">AH534+IF(SUMPRODUCT(--($AL534:$AQ534&gt;AO534))+SUMPRODUCT(--($AL534:AN534=AO534))&lt;$AK534,1,0)</f>
        <v>89</v>
      </c>
      <c r="P534" s="2" t="n">
        <f aca="false">AI534+IF(SUMPRODUCT(--($AL534:$AQ534&gt;AP534))+SUMPRODUCT(--($AL534:AO534=AP534))&lt;$AK534,1,0)</f>
        <v>97</v>
      </c>
      <c r="Q534" s="2" t="n">
        <f aca="false">AJ534+IF(SUMPRODUCT(--($AL534:$AQ534&gt;AQ534))+SUMPRODUCT(--($AL534:AP534=AQ534))&lt;$AK534,1,0)</f>
        <v>50</v>
      </c>
      <c r="R534" s="2" t="n">
        <f aca="false">SUM(L534:Q534)</f>
        <v>500</v>
      </c>
      <c r="S534" s="2" t="n">
        <f aca="false">Settings!$B$4*MAX(INDEX(Bases!$M$2:$M$53,B534),INDEX(Bases!$M$2:$M$53,C534))+Settings!$B$5*MIN(INDEX(Bases!$M$2:$M$53,B534),INDEX(Bases!$M$2:$M$53,C534))</f>
        <v>63.3333333333333</v>
      </c>
      <c r="T534" s="2" t="n">
        <f aca="false">Settings!$B$4*MAX(INDEX(Bases!$N$2:$N$53,B534),INDEX(Bases!$N$2:$N$53,C534))+Settings!$B$5*MIN(INDEX(Bases!$N$2:$N$53,B534),INDEX(Bases!$N$2:$N$53,C534))</f>
        <v>54</v>
      </c>
      <c r="U534" s="2" t="n">
        <f aca="false">Settings!$B$4*MAX(INDEX(Bases!$O$2:$O$53,B534),INDEX(Bases!$O$2:$O$53,C534))+Settings!$B$5*MIN(INDEX(Bases!$O$2:$O$53,B534),INDEX(Bases!$O$2:$O$53,C534))</f>
        <v>115</v>
      </c>
      <c r="V534" s="2" t="n">
        <f aca="false">Settings!$B$4*MAX(INDEX(Bases!$P$2:$P$53,B534),INDEX(Bases!$P$2:$P$53,C534))+Settings!$B$5*MIN(INDEX(Bases!$P$2:$P$53,B534),INDEX(Bases!$P$2:$P$53,C534))</f>
        <v>78</v>
      </c>
      <c r="W534" s="2" t="n">
        <f aca="false">Settings!$B$4*MAX(INDEX(Bases!$Q$2:$Q$53,B534),INDEX(Bases!$Q$2:$Q$53,C534))+Settings!$B$5*MIN(INDEX(Bases!$Q$2:$Q$53,B534),INDEX(Bases!$Q$2:$Q$53,C534))</f>
        <v>85.3333333333333</v>
      </c>
      <c r="X534" s="2" t="n">
        <f aca="false">Settings!$B$4*MAX(INDEX(Bases!$R$2:$R$53,B534),INDEX(Bases!$R$2:$R$53,C534))+Settings!$B$5*MIN(INDEX(Bases!$R$2:$R$53,B534),INDEX(Bases!$R$2:$R$53,C534))</f>
        <v>44</v>
      </c>
      <c r="Y534" s="2" t="n">
        <f aca="false">S534*Settings!$B$3/SUM(S534:X534)</f>
        <v>72.0242608036391</v>
      </c>
      <c r="Z534" s="2" t="n">
        <f aca="false">T534*Settings!$B$3/SUM(S534:X534)</f>
        <v>61.4101592115239</v>
      </c>
      <c r="AA534" s="2" t="n">
        <f aca="false">U534*Settings!$B$3/SUM(S534:X534)</f>
        <v>130.780894617134</v>
      </c>
      <c r="AB534" s="2" t="n">
        <f aca="false">V534*Settings!$B$3/SUM(S534:X534)</f>
        <v>88.7035633055345</v>
      </c>
      <c r="AC534" s="2" t="n">
        <f aca="false">W534*Settings!$B$3/SUM(S534:X534)</f>
        <v>97.0432145564822</v>
      </c>
      <c r="AD534" s="2" t="n">
        <f aca="false">X534*Settings!$B$3/SUM(S534:X534)</f>
        <v>50.0379075056861</v>
      </c>
      <c r="AE534" s="2" t="n">
        <f aca="false">INT(Y534)</f>
        <v>72</v>
      </c>
      <c r="AF534" s="2" t="n">
        <f aca="false">INT(Z534)</f>
        <v>61</v>
      </c>
      <c r="AG534" s="2" t="n">
        <f aca="false">INT(AA534)</f>
        <v>130</v>
      </c>
      <c r="AH534" s="2" t="n">
        <f aca="false">INT(AB534)</f>
        <v>88</v>
      </c>
      <c r="AI534" s="2" t="n">
        <f aca="false">INT(AC534)</f>
        <v>97</v>
      </c>
      <c r="AJ534" s="2" t="n">
        <f aca="false">INT(AD534)</f>
        <v>50</v>
      </c>
      <c r="AK534" s="2" t="n">
        <f aca="false">Settings!$B$3-SUM(AE534:AJ534)</f>
        <v>2</v>
      </c>
      <c r="AL534" s="2" t="n">
        <f aca="false">ROUND(Y534-AE534,9)</f>
        <v>0.024260804</v>
      </c>
      <c r="AM534" s="2" t="n">
        <f aca="false">ROUND(Z534-AF534,9)</f>
        <v>0.410159212</v>
      </c>
      <c r="AN534" s="2" t="n">
        <f aca="false">ROUND(AA534-AG534,9)</f>
        <v>0.780894617</v>
      </c>
      <c r="AO534" s="2" t="n">
        <f aca="false">ROUND(AB534-AH534,9)</f>
        <v>0.703563306</v>
      </c>
      <c r="AP534" s="2" t="n">
        <f aca="false">ROUND(AC534-AI534,9)</f>
        <v>0.043214556</v>
      </c>
      <c r="AQ534" s="2" t="n">
        <f aca="false">ROUND(AD534-AJ534,9)</f>
        <v>0.037907506</v>
      </c>
    </row>
    <row r="535" customFormat="false" ht="15" hidden="false" customHeight="false" outlineLevel="0" collapsed="false">
      <c r="A535" s="2" t="n">
        <v>534</v>
      </c>
      <c r="B535" s="6" t="n">
        <v>12</v>
      </c>
      <c r="C535" s="6" t="n">
        <v>40</v>
      </c>
      <c r="D535" s="8" t="str">
        <f aca="false">INDEX(Bases!$B$2:$B$53,B535)</f>
        <v>Mareep</v>
      </c>
      <c r="E535" s="8" t="str">
        <f aca="false">INDEX(Bases!$B$2:$B$53,C535)</f>
        <v>Gastly</v>
      </c>
      <c r="F535" s="2" t="str">
        <f aca="false">LEFT(D535,ROUNDUP(LEN(D535)/2,0))&amp;LOWER(MID(E535,ROUNDUP(LEN(E535)/2,0)+1,20))</f>
        <v>Martly</v>
      </c>
      <c r="G535" s="8" t="str">
        <f aca="false">INDEX(Bases!$C$2:$C$53,B535)</f>
        <v>Electric</v>
      </c>
      <c r="H535" s="8" t="str">
        <f aca="false">IF(INDEX(Bases!$C$2:$C$53,C535)=G535,"",INDEX(Bases!$C$2:$C$53,C535))</f>
        <v>Ghost</v>
      </c>
      <c r="I535" s="8" t="str">
        <f aca="false">IF(INDEX(Bases!$E$2:$E$53,B535)="","",INDEX(Bases!$E$2:$E$53,B535))</f>
        <v/>
      </c>
      <c r="J535" s="8" t="str">
        <f aca="false">IF(INDEX(Bases!$E$2:$E$53,C535)="","",INDEX(Bases!$E$2:$E$53,C535))</f>
        <v/>
      </c>
      <c r="K535" s="5"/>
      <c r="L535" s="2" t="n">
        <f aca="false">AE535+IF(SUMPRODUCT(--($AL535:$AQ535&gt;AL535))&lt;$AK535,1,0)</f>
        <v>77</v>
      </c>
      <c r="M535" s="2" t="n">
        <f aca="false">AF535+IF(SUMPRODUCT(--($AL535:$AQ535&gt;AM535))+SUMPRODUCT(--($AL535:AL535=AM535))&lt;$AK535,1,0)</f>
        <v>62</v>
      </c>
      <c r="N535" s="2" t="n">
        <f aca="false">AG535+IF(SUMPRODUCT(--($AL535:$AQ535&gt;AN535))+SUMPRODUCT(--($AL535:AM535=AN535))&lt;$AK535,1,0)</f>
        <v>59</v>
      </c>
      <c r="O535" s="2" t="n">
        <f aca="false">AH535+IF(SUMPRODUCT(--($AL535:$AQ535&gt;AO535))+SUMPRODUCT(--($AL535:AN535=AO535))&lt;$AK535,1,0)</f>
        <v>136</v>
      </c>
      <c r="P535" s="2" t="n">
        <f aca="false">AI535+IF(SUMPRODUCT(--($AL535:$AQ535&gt;AP535))+SUMPRODUCT(--($AL535:AO535=AP535))&lt;$AK535,1,0)</f>
        <v>67</v>
      </c>
      <c r="Q535" s="2" t="n">
        <f aca="false">AJ535+IF(SUMPRODUCT(--($AL535:$AQ535&gt;AQ535))+SUMPRODUCT(--($AL535:AP535=AQ535))&lt;$AK535,1,0)</f>
        <v>99</v>
      </c>
      <c r="R535" s="2" t="n">
        <f aca="false">SUM(L535:Q535)</f>
        <v>500</v>
      </c>
      <c r="S535" s="2" t="n">
        <f aca="false">Settings!$B$4*MAX(INDEX(Bases!$M$2:$M$53,B535),INDEX(Bases!$M$2:$M$53,C535))+Settings!$B$5*MIN(INDEX(Bases!$M$2:$M$53,B535),INDEX(Bases!$M$2:$M$53,C535))</f>
        <v>65.6666666666667</v>
      </c>
      <c r="T535" s="2" t="n">
        <f aca="false">Settings!$B$4*MAX(INDEX(Bases!$N$2:$N$53,B535),INDEX(Bases!$N$2:$N$53,C535))+Settings!$B$5*MIN(INDEX(Bases!$N$2:$N$53,B535),INDEX(Bases!$N$2:$N$53,C535))</f>
        <v>53</v>
      </c>
      <c r="U535" s="2" t="n">
        <f aca="false">Settings!$B$4*MAX(INDEX(Bases!$O$2:$O$53,B535),INDEX(Bases!$O$2:$O$53,C535))+Settings!$B$5*MIN(INDEX(Bases!$O$2:$O$53,B535),INDEX(Bases!$O$2:$O$53,C535))</f>
        <v>51</v>
      </c>
      <c r="V535" s="2" t="n">
        <f aca="false">Settings!$B$4*MAX(INDEX(Bases!$P$2:$P$53,B535),INDEX(Bases!$P$2:$P$53,C535))+Settings!$B$5*MIN(INDEX(Bases!$P$2:$P$53,B535),INDEX(Bases!$P$2:$P$53,C535))</f>
        <v>117</v>
      </c>
      <c r="W535" s="2" t="n">
        <f aca="false">Settings!$B$4*MAX(INDEX(Bases!$Q$2:$Q$53,B535),INDEX(Bases!$Q$2:$Q$53,C535))+Settings!$B$5*MIN(INDEX(Bases!$Q$2:$Q$53,B535),INDEX(Bases!$Q$2:$Q$53,C535))</f>
        <v>57.6666666666667</v>
      </c>
      <c r="X535" s="2" t="n">
        <f aca="false">Settings!$B$4*MAX(INDEX(Bases!$R$2:$R$53,B535),INDEX(Bases!$R$2:$R$53,C535))+Settings!$B$5*MIN(INDEX(Bases!$R$2:$R$53,B535),INDEX(Bases!$R$2:$R$53,C535))</f>
        <v>85.3333333333333</v>
      </c>
      <c r="Y535" s="2" t="n">
        <f aca="false">S535*Settings!$B$3/SUM(S535:X535)</f>
        <v>76.4158262218774</v>
      </c>
      <c r="Z535" s="2" t="n">
        <f aca="false">T535*Settings!$B$3/SUM(S535:X535)</f>
        <v>61.6757176105508</v>
      </c>
      <c r="AA535" s="2" t="n">
        <f aca="false">U535*Settings!$B$3/SUM(S535:X535)</f>
        <v>59.3483320403414</v>
      </c>
      <c r="AB535" s="2" t="n">
        <f aca="false">V535*Settings!$B$3/SUM(S535:X535)</f>
        <v>136.152055857254</v>
      </c>
      <c r="AC535" s="2" t="n">
        <f aca="false">W535*Settings!$B$3/SUM(S535:X535)</f>
        <v>67.1062839410396</v>
      </c>
      <c r="AD535" s="2" t="n">
        <f aca="false">X535*Settings!$B$3/SUM(S535:X535)</f>
        <v>99.3017843289372</v>
      </c>
      <c r="AE535" s="2" t="n">
        <f aca="false">INT(Y535)</f>
        <v>76</v>
      </c>
      <c r="AF535" s="2" t="n">
        <f aca="false">INT(Z535)</f>
        <v>61</v>
      </c>
      <c r="AG535" s="2" t="n">
        <f aca="false">INT(AA535)</f>
        <v>59</v>
      </c>
      <c r="AH535" s="2" t="n">
        <f aca="false">INT(AB535)</f>
        <v>136</v>
      </c>
      <c r="AI535" s="2" t="n">
        <f aca="false">INT(AC535)</f>
        <v>67</v>
      </c>
      <c r="AJ535" s="2" t="n">
        <f aca="false">INT(AD535)</f>
        <v>99</v>
      </c>
      <c r="AK535" s="2" t="n">
        <f aca="false">Settings!$B$3-SUM(AE535:AJ535)</f>
        <v>2</v>
      </c>
      <c r="AL535" s="2" t="n">
        <f aca="false">ROUND(Y535-AE535,9)</f>
        <v>0.415826222</v>
      </c>
      <c r="AM535" s="2" t="n">
        <f aca="false">ROUND(Z535-AF535,9)</f>
        <v>0.675717611</v>
      </c>
      <c r="AN535" s="2" t="n">
        <f aca="false">ROUND(AA535-AG535,9)</f>
        <v>0.34833204</v>
      </c>
      <c r="AO535" s="2" t="n">
        <f aca="false">ROUND(AB535-AH535,9)</f>
        <v>0.152055857</v>
      </c>
      <c r="AP535" s="2" t="n">
        <f aca="false">ROUND(AC535-AI535,9)</f>
        <v>0.106283941</v>
      </c>
      <c r="AQ535" s="2" t="n">
        <f aca="false">ROUND(AD535-AJ535,9)</f>
        <v>0.301784329</v>
      </c>
    </row>
    <row r="536" customFormat="false" ht="15" hidden="false" customHeight="false" outlineLevel="0" collapsed="false">
      <c r="A536" s="2" t="n">
        <v>535</v>
      </c>
      <c r="B536" s="6" t="n">
        <v>12</v>
      </c>
      <c r="C536" s="6" t="n">
        <v>41</v>
      </c>
      <c r="D536" s="8" t="str">
        <f aca="false">INDEX(Bases!$B$2:$B$53,B536)</f>
        <v>Mareep</v>
      </c>
      <c r="E536" s="8" t="str">
        <f aca="false">INDEX(Bases!$B$2:$B$53,C536)</f>
        <v>Misdreavus</v>
      </c>
      <c r="F536" s="2" t="str">
        <f aca="false">LEFT(D536,ROUNDUP(LEN(D536)/2,0))&amp;LOWER(MID(E536,ROUNDUP(LEN(E536)/2,0)+1,20))</f>
        <v>Mareavus</v>
      </c>
      <c r="G536" s="8" t="str">
        <f aca="false">INDEX(Bases!$C$2:$C$53,B536)</f>
        <v>Electric</v>
      </c>
      <c r="H536" s="8" t="str">
        <f aca="false">IF(INDEX(Bases!$C$2:$C$53,C536)=G536,"",INDEX(Bases!$C$2:$C$53,C536))</f>
        <v>Ghost</v>
      </c>
      <c r="I536" s="8" t="str">
        <f aca="false">IF(INDEX(Bases!$E$2:$E$53,B536)="","",INDEX(Bases!$E$2:$E$53,B536))</f>
        <v/>
      </c>
      <c r="J536" s="8" t="str">
        <f aca="false">IF(INDEX(Bases!$E$2:$E$53,C536)="","",INDEX(Bases!$E$2:$E$53,C536))</f>
        <v/>
      </c>
      <c r="K536" s="5"/>
      <c r="L536" s="2" t="n">
        <f aca="false">AE536+IF(SUMPRODUCT(--($AL536:$AQ536&gt;AL536))&lt;$AK536,1,0)</f>
        <v>86</v>
      </c>
      <c r="M536" s="2" t="n">
        <f aca="false">AF536+IF(SUMPRODUCT(--($AL536:$AQ536&gt;AM536))+SUMPRODUCT(--($AL536:AL536=AM536))&lt;$AK536,1,0)</f>
        <v>68</v>
      </c>
      <c r="N536" s="2" t="n">
        <f aca="false">AG536+IF(SUMPRODUCT(--($AL536:$AQ536&gt;AN536))+SUMPRODUCT(--($AL536:AM536=AN536))&lt;$AK536,1,0)</f>
        <v>68</v>
      </c>
      <c r="O536" s="2" t="n">
        <f aca="false">AH536+IF(SUMPRODUCT(--($AL536:$AQ536&gt;AO536))+SUMPRODUCT(--($AL536:AN536=AO536))&lt;$AK536,1,0)</f>
        <v>106</v>
      </c>
      <c r="P536" s="2" t="n">
        <f aca="false">AI536+IF(SUMPRODUCT(--($AL536:$AQ536&gt;AP536))+SUMPRODUCT(--($AL536:AO536=AP536))&lt;$AK536,1,0)</f>
        <v>89</v>
      </c>
      <c r="Q536" s="2" t="n">
        <f aca="false">AJ536+IF(SUMPRODUCT(--($AL536:$AQ536&gt;AQ536))+SUMPRODUCT(--($AL536:AP536=AQ536))&lt;$AK536,1,0)</f>
        <v>83</v>
      </c>
      <c r="R536" s="2" t="n">
        <f aca="false">SUM(L536:Q536)</f>
        <v>500</v>
      </c>
      <c r="S536" s="2" t="n">
        <f aca="false">Settings!$B$4*MAX(INDEX(Bases!$M$2:$M$53,B536),INDEX(Bases!$M$2:$M$53,C536))+Settings!$B$5*MIN(INDEX(Bases!$M$2:$M$53,B536),INDEX(Bases!$M$2:$M$53,C536))</f>
        <v>71.3333333333333</v>
      </c>
      <c r="T536" s="2" t="n">
        <f aca="false">Settings!$B$4*MAX(INDEX(Bases!$N$2:$N$53,B536),INDEX(Bases!$N$2:$N$53,C536))+Settings!$B$5*MIN(INDEX(Bases!$N$2:$N$53,B536),INDEX(Bases!$N$2:$N$53,C536))</f>
        <v>56.3333333333333</v>
      </c>
      <c r="U536" s="2" t="n">
        <f aca="false">Settings!$B$4*MAX(INDEX(Bases!$O$2:$O$53,B536),INDEX(Bases!$O$2:$O$53,C536))+Settings!$B$5*MIN(INDEX(Bases!$O$2:$O$53,B536),INDEX(Bases!$O$2:$O$53,C536))</f>
        <v>56.3333333333333</v>
      </c>
      <c r="V536" s="2" t="n">
        <f aca="false">Settings!$B$4*MAX(INDEX(Bases!$P$2:$P$53,B536),INDEX(Bases!$P$2:$P$53,C536))+Settings!$B$5*MIN(INDEX(Bases!$P$2:$P$53,B536),INDEX(Bases!$P$2:$P$53,C536))</f>
        <v>88</v>
      </c>
      <c r="W536" s="2" t="n">
        <f aca="false">Settings!$B$4*MAX(INDEX(Bases!$Q$2:$Q$53,B536),INDEX(Bases!$Q$2:$Q$53,C536))+Settings!$B$5*MIN(INDEX(Bases!$Q$2:$Q$53,B536),INDEX(Bases!$Q$2:$Q$53,C536))</f>
        <v>73.3333333333333</v>
      </c>
      <c r="X536" s="2" t="n">
        <f aca="false">Settings!$B$4*MAX(INDEX(Bases!$R$2:$R$53,B536),INDEX(Bases!$R$2:$R$53,C536))+Settings!$B$5*MIN(INDEX(Bases!$R$2:$R$53,B536),INDEX(Bases!$R$2:$R$53,C536))</f>
        <v>68.6666666666667</v>
      </c>
      <c r="Y536" s="2" t="n">
        <f aca="false">S536*Settings!$B$3/SUM(S536:X536)</f>
        <v>86.1513687600644</v>
      </c>
      <c r="Z536" s="2" t="n">
        <f aca="false">T536*Settings!$B$3/SUM(S536:X536)</f>
        <v>68.0354267310789</v>
      </c>
      <c r="AA536" s="2" t="n">
        <f aca="false">U536*Settings!$B$3/SUM(S536:X536)</f>
        <v>68.0354267310789</v>
      </c>
      <c r="AB536" s="2" t="n">
        <f aca="false">V536*Settings!$B$3/SUM(S536:X536)</f>
        <v>106.280193236715</v>
      </c>
      <c r="AC536" s="2" t="n">
        <f aca="false">W536*Settings!$B$3/SUM(S536:X536)</f>
        <v>88.5668276972625</v>
      </c>
      <c r="AD536" s="2" t="n">
        <f aca="false">X536*Settings!$B$3/SUM(S536:X536)</f>
        <v>82.9307568438003</v>
      </c>
      <c r="AE536" s="2" t="n">
        <f aca="false">INT(Y536)</f>
        <v>86</v>
      </c>
      <c r="AF536" s="2" t="n">
        <f aca="false">INT(Z536)</f>
        <v>68</v>
      </c>
      <c r="AG536" s="2" t="n">
        <f aca="false">INT(AA536)</f>
        <v>68</v>
      </c>
      <c r="AH536" s="2" t="n">
        <f aca="false">INT(AB536)</f>
        <v>106</v>
      </c>
      <c r="AI536" s="2" t="n">
        <f aca="false">INT(AC536)</f>
        <v>88</v>
      </c>
      <c r="AJ536" s="2" t="n">
        <f aca="false">INT(AD536)</f>
        <v>82</v>
      </c>
      <c r="AK536" s="2" t="n">
        <f aca="false">Settings!$B$3-SUM(AE536:AJ536)</f>
        <v>2</v>
      </c>
      <c r="AL536" s="2" t="n">
        <f aca="false">ROUND(Y536-AE536,9)</f>
        <v>0.15136876</v>
      </c>
      <c r="AM536" s="2" t="n">
        <f aca="false">ROUND(Z536-AF536,9)</f>
        <v>0.035426731</v>
      </c>
      <c r="AN536" s="2" t="n">
        <f aca="false">ROUND(AA536-AG536,9)</f>
        <v>0.035426731</v>
      </c>
      <c r="AO536" s="2" t="n">
        <f aca="false">ROUND(AB536-AH536,9)</f>
        <v>0.280193237</v>
      </c>
      <c r="AP536" s="2" t="n">
        <f aca="false">ROUND(AC536-AI536,9)</f>
        <v>0.566827697</v>
      </c>
      <c r="AQ536" s="2" t="n">
        <f aca="false">ROUND(AD536-AJ536,9)</f>
        <v>0.930756844</v>
      </c>
    </row>
    <row r="537" customFormat="false" ht="15" hidden="false" customHeight="false" outlineLevel="0" collapsed="false">
      <c r="A537" s="2" t="n">
        <v>536</v>
      </c>
      <c r="B537" s="6" t="n">
        <v>12</v>
      </c>
      <c r="C537" s="6" t="n">
        <v>42</v>
      </c>
      <c r="D537" s="8" t="str">
        <f aca="false">INDEX(Bases!$B$2:$B$53,B537)</f>
        <v>Mareep</v>
      </c>
      <c r="E537" s="8" t="str">
        <f aca="false">INDEX(Bases!$B$2:$B$53,C537)</f>
        <v>Sableye</v>
      </c>
      <c r="F537" s="2" t="str">
        <f aca="false">LEFT(D537,ROUNDUP(LEN(D537)/2,0))&amp;LOWER(MID(E537,ROUNDUP(LEN(E537)/2,0)+1,20))</f>
        <v>Mareye</v>
      </c>
      <c r="G537" s="8" t="str">
        <f aca="false">INDEX(Bases!$C$2:$C$53,B537)</f>
        <v>Electric</v>
      </c>
      <c r="H537" s="8" t="str">
        <f aca="false">IF(INDEX(Bases!$C$2:$C$53,C537)=G537,"",INDEX(Bases!$C$2:$C$53,C537))</f>
        <v>Ghost</v>
      </c>
      <c r="I537" s="8" t="str">
        <f aca="false">IF(INDEX(Bases!$E$2:$E$53,B537)="","",INDEX(Bases!$E$2:$E$53,B537))</f>
        <v/>
      </c>
      <c r="J537" s="8" t="str">
        <f aca="false">IF(INDEX(Bases!$E$2:$E$53,C537)="","",INDEX(Bases!$E$2:$E$53,C537))</f>
        <v/>
      </c>
      <c r="K537" s="5"/>
      <c r="L537" s="2" t="n">
        <f aca="false">AE537+IF(SUMPRODUCT(--($AL537:$AQ537&gt;AL537))&lt;$AK537,1,0)</f>
        <v>84</v>
      </c>
      <c r="M537" s="2" t="n">
        <f aca="false">AF537+IF(SUMPRODUCT(--($AL537:$AQ537&gt;AM537))+SUMPRODUCT(--($AL537:AL537=AM537))&lt;$AK537,1,0)</f>
        <v>86</v>
      </c>
      <c r="N537" s="2" t="n">
        <f aca="false">AG537+IF(SUMPRODUCT(--($AL537:$AQ537&gt;AN537))+SUMPRODUCT(--($AL537:AM537=AN537))&lt;$AK537,1,0)</f>
        <v>86</v>
      </c>
      <c r="O537" s="2" t="n">
        <f aca="false">AH537+IF(SUMPRODUCT(--($AL537:$AQ537&gt;AO537))+SUMPRODUCT(--($AL537:AN537=AO537))&lt;$AK537,1,0)</f>
        <v>102</v>
      </c>
      <c r="P537" s="2" t="n">
        <f aca="false">AI537+IF(SUMPRODUCT(--($AL537:$AQ537&gt;AP537))+SUMPRODUCT(--($AL537:AO537=AP537))&lt;$AK537,1,0)</f>
        <v>80</v>
      </c>
      <c r="Q537" s="2" t="n">
        <f aca="false">AJ537+IF(SUMPRODUCT(--($AL537:$AQ537&gt;AQ537))+SUMPRODUCT(--($AL537:AP537=AQ537))&lt;$AK537,1,0)</f>
        <v>62</v>
      </c>
      <c r="R537" s="2" t="n">
        <f aca="false">SUM(L537:Q537)</f>
        <v>500</v>
      </c>
      <c r="S537" s="2" t="n">
        <f aca="false">Settings!$B$4*MAX(INDEX(Bases!$M$2:$M$53,B537),INDEX(Bases!$M$2:$M$53,C537))+Settings!$B$5*MIN(INDEX(Bases!$M$2:$M$53,B537),INDEX(Bases!$M$2:$M$53,C537))</f>
        <v>70.3333333333333</v>
      </c>
      <c r="T537" s="2" t="n">
        <f aca="false">Settings!$B$4*MAX(INDEX(Bases!$N$2:$N$53,B537),INDEX(Bases!$N$2:$N$53,C537))+Settings!$B$5*MIN(INDEX(Bases!$N$2:$N$53,B537),INDEX(Bases!$N$2:$N$53,C537))</f>
        <v>71.6666666666667</v>
      </c>
      <c r="U537" s="2" t="n">
        <f aca="false">Settings!$B$4*MAX(INDEX(Bases!$O$2:$O$53,B537),INDEX(Bases!$O$2:$O$53,C537))+Settings!$B$5*MIN(INDEX(Bases!$O$2:$O$53,B537),INDEX(Bases!$O$2:$O$53,C537))</f>
        <v>71.6666666666667</v>
      </c>
      <c r="V537" s="2" t="n">
        <f aca="false">Settings!$B$4*MAX(INDEX(Bases!$P$2:$P$53,B537),INDEX(Bases!$P$2:$P$53,C537))+Settings!$B$5*MIN(INDEX(Bases!$P$2:$P$53,B537),INDEX(Bases!$P$2:$P$53,C537))</f>
        <v>84.6666666666667</v>
      </c>
      <c r="W537" s="2" t="n">
        <f aca="false">Settings!$B$4*MAX(INDEX(Bases!$Q$2:$Q$53,B537),INDEX(Bases!$Q$2:$Q$53,C537))+Settings!$B$5*MIN(INDEX(Bases!$Q$2:$Q$53,B537),INDEX(Bases!$Q$2:$Q$53,C537))</f>
        <v>66.6666666666667</v>
      </c>
      <c r="X537" s="2" t="n">
        <f aca="false">Settings!$B$4*MAX(INDEX(Bases!$R$2:$R$53,B537),INDEX(Bases!$R$2:$R$53,C537))+Settings!$B$5*MIN(INDEX(Bases!$R$2:$R$53,B537),INDEX(Bases!$R$2:$R$53,C537))</f>
        <v>52</v>
      </c>
      <c r="Y537" s="2" t="n">
        <f aca="false">S537*Settings!$B$3/SUM(S537:X537)</f>
        <v>84.3325339728217</v>
      </c>
      <c r="Z537" s="2" t="n">
        <f aca="false">T537*Settings!$B$3/SUM(S537:X537)</f>
        <v>85.9312549960032</v>
      </c>
      <c r="AA537" s="2" t="n">
        <f aca="false">U537*Settings!$B$3/SUM(S537:X537)</f>
        <v>85.9312549960032</v>
      </c>
      <c r="AB537" s="2" t="n">
        <f aca="false">V537*Settings!$B$3/SUM(S537:X537)</f>
        <v>101.518784972022</v>
      </c>
      <c r="AC537" s="2" t="n">
        <f aca="false">W537*Settings!$B$3/SUM(S537:X537)</f>
        <v>79.9360511590727</v>
      </c>
      <c r="AD537" s="2" t="n">
        <f aca="false">X537*Settings!$B$3/SUM(S537:X537)</f>
        <v>62.3501199040767</v>
      </c>
      <c r="AE537" s="2" t="n">
        <f aca="false">INT(Y537)</f>
        <v>84</v>
      </c>
      <c r="AF537" s="2" t="n">
        <f aca="false">INT(Z537)</f>
        <v>85</v>
      </c>
      <c r="AG537" s="2" t="n">
        <f aca="false">INT(AA537)</f>
        <v>85</v>
      </c>
      <c r="AH537" s="2" t="n">
        <f aca="false">INT(AB537)</f>
        <v>101</v>
      </c>
      <c r="AI537" s="2" t="n">
        <f aca="false">INT(AC537)</f>
        <v>79</v>
      </c>
      <c r="AJ537" s="2" t="n">
        <f aca="false">INT(AD537)</f>
        <v>62</v>
      </c>
      <c r="AK537" s="2" t="n">
        <f aca="false">Settings!$B$3-SUM(AE537:AJ537)</f>
        <v>4</v>
      </c>
      <c r="AL537" s="2" t="n">
        <f aca="false">ROUND(Y537-AE537,9)</f>
        <v>0.332533973</v>
      </c>
      <c r="AM537" s="2" t="n">
        <f aca="false">ROUND(Z537-AF537,9)</f>
        <v>0.931254996</v>
      </c>
      <c r="AN537" s="2" t="n">
        <f aca="false">ROUND(AA537-AG537,9)</f>
        <v>0.931254996</v>
      </c>
      <c r="AO537" s="2" t="n">
        <f aca="false">ROUND(AB537-AH537,9)</f>
        <v>0.518784972</v>
      </c>
      <c r="AP537" s="2" t="n">
        <f aca="false">ROUND(AC537-AI537,9)</f>
        <v>0.936051159</v>
      </c>
      <c r="AQ537" s="2" t="n">
        <f aca="false">ROUND(AD537-AJ537,9)</f>
        <v>0.350119904</v>
      </c>
    </row>
    <row r="538" customFormat="false" ht="15" hidden="false" customHeight="false" outlineLevel="0" collapsed="false">
      <c r="A538" s="2" t="n">
        <v>537</v>
      </c>
      <c r="B538" s="6" t="n">
        <v>12</v>
      </c>
      <c r="C538" s="6" t="n">
        <v>43</v>
      </c>
      <c r="D538" s="8" t="str">
        <f aca="false">INDEX(Bases!$B$2:$B$53,B538)</f>
        <v>Mareep</v>
      </c>
      <c r="E538" s="8" t="str">
        <f aca="false">INDEX(Bases!$B$2:$B$53,C538)</f>
        <v>Dratini</v>
      </c>
      <c r="F538" s="2" t="str">
        <f aca="false">LEFT(D538,ROUNDUP(LEN(D538)/2,0))&amp;LOWER(MID(E538,ROUNDUP(LEN(E538)/2,0)+1,20))</f>
        <v>Marini</v>
      </c>
      <c r="G538" s="8" t="str">
        <f aca="false">INDEX(Bases!$C$2:$C$53,B538)</f>
        <v>Electric</v>
      </c>
      <c r="H538" s="8" t="str">
        <f aca="false">IF(INDEX(Bases!$C$2:$C$53,C538)=G538,"",INDEX(Bases!$C$2:$C$53,C538))</f>
        <v>Dragon</v>
      </c>
      <c r="I538" s="8" t="str">
        <f aca="false">IF(INDEX(Bases!$E$2:$E$53,B538)="","",INDEX(Bases!$E$2:$E$53,B538))</f>
        <v/>
      </c>
      <c r="J538" s="8" t="str">
        <f aca="false">IF(INDEX(Bases!$E$2:$E$53,C538)="","",INDEX(Bases!$E$2:$E$53,C538))</f>
        <v/>
      </c>
      <c r="K538" s="5"/>
      <c r="L538" s="2" t="n">
        <f aca="false">AE538+IF(SUMPRODUCT(--($AL538:$AQ538&gt;AL538))&lt;$AK538,1,0)</f>
        <v>85</v>
      </c>
      <c r="M538" s="2" t="n">
        <f aca="false">AF538+IF(SUMPRODUCT(--($AL538:$AQ538&gt;AM538))+SUMPRODUCT(--($AL538:AL538=AM538))&lt;$AK538,1,0)</f>
        <v>91</v>
      </c>
      <c r="N538" s="2" t="n">
        <f aca="false">AG538+IF(SUMPRODUCT(--($AL538:$AQ538&gt;AN538))+SUMPRODUCT(--($AL538:AM538=AN538))&lt;$AK538,1,0)</f>
        <v>71</v>
      </c>
      <c r="O538" s="2" t="n">
        <f aca="false">AH538+IF(SUMPRODUCT(--($AL538:$AQ538&gt;AO538))+SUMPRODUCT(--($AL538:AN538=AO538))&lt;$AK538,1,0)</f>
        <v>101</v>
      </c>
      <c r="P538" s="2" t="n">
        <f aca="false">AI538+IF(SUMPRODUCT(--($AL538:$AQ538&gt;AP538))+SUMPRODUCT(--($AL538:AO538=AP538))&lt;$AK538,1,0)</f>
        <v>79</v>
      </c>
      <c r="Q538" s="2" t="n">
        <f aca="false">AJ538+IF(SUMPRODUCT(--($AL538:$AQ538&gt;AQ538))+SUMPRODUCT(--($AL538:AP538=AQ538))&lt;$AK538,1,0)</f>
        <v>73</v>
      </c>
      <c r="R538" s="2" t="n">
        <f aca="false">SUM(L538:Q538)</f>
        <v>500</v>
      </c>
      <c r="S538" s="2" t="n">
        <f aca="false">Settings!$B$4*MAX(INDEX(Bases!$M$2:$M$53,B538),INDEX(Bases!$M$2:$M$53,C538))+Settings!$B$5*MIN(INDEX(Bases!$M$2:$M$53,B538),INDEX(Bases!$M$2:$M$53,C538))</f>
        <v>71</v>
      </c>
      <c r="T538" s="2" t="n">
        <f aca="false">Settings!$B$4*MAX(INDEX(Bases!$N$2:$N$53,B538),INDEX(Bases!$N$2:$N$53,C538))+Settings!$B$5*MIN(INDEX(Bases!$N$2:$N$53,B538),INDEX(Bases!$N$2:$N$53,C538))</f>
        <v>75.6666666666667</v>
      </c>
      <c r="U538" s="2" t="n">
        <f aca="false">Settings!$B$4*MAX(INDEX(Bases!$O$2:$O$53,B538),INDEX(Bases!$O$2:$O$53,C538))+Settings!$B$5*MIN(INDEX(Bases!$O$2:$O$53,B538),INDEX(Bases!$O$2:$O$53,C538))</f>
        <v>59</v>
      </c>
      <c r="V538" s="2" t="n">
        <f aca="false">Settings!$B$4*MAX(INDEX(Bases!$P$2:$P$53,B538),INDEX(Bases!$P$2:$P$53,C538))+Settings!$B$5*MIN(INDEX(Bases!$P$2:$P$53,B538),INDEX(Bases!$P$2:$P$53,C538))</f>
        <v>84.3333333333333</v>
      </c>
      <c r="W538" s="2" t="n">
        <f aca="false">Settings!$B$4*MAX(INDEX(Bases!$Q$2:$Q$53,B538),INDEX(Bases!$Q$2:$Q$53,C538))+Settings!$B$5*MIN(INDEX(Bases!$Q$2:$Q$53,B538),INDEX(Bases!$Q$2:$Q$53,C538))</f>
        <v>66</v>
      </c>
      <c r="X538" s="2" t="n">
        <f aca="false">Settings!$B$4*MAX(INDEX(Bases!$R$2:$R$53,B538),INDEX(Bases!$R$2:$R$53,C538))+Settings!$B$5*MIN(INDEX(Bases!$R$2:$R$53,B538),INDEX(Bases!$R$2:$R$53,C538))</f>
        <v>60.6666666666667</v>
      </c>
      <c r="Y538" s="2" t="n">
        <f aca="false">S538*Settings!$B$3/SUM(S538:X538)</f>
        <v>85.2</v>
      </c>
      <c r="Z538" s="2" t="n">
        <f aca="false">T538*Settings!$B$3/SUM(S538:X538)</f>
        <v>90.8</v>
      </c>
      <c r="AA538" s="2" t="n">
        <f aca="false">U538*Settings!$B$3/SUM(S538:X538)</f>
        <v>70.8</v>
      </c>
      <c r="AB538" s="2" t="n">
        <f aca="false">V538*Settings!$B$3/SUM(S538:X538)</f>
        <v>101.2</v>
      </c>
      <c r="AC538" s="2" t="n">
        <f aca="false">W538*Settings!$B$3/SUM(S538:X538)</f>
        <v>79.2</v>
      </c>
      <c r="AD538" s="2" t="n">
        <f aca="false">X538*Settings!$B$3/SUM(S538:X538)</f>
        <v>72.8</v>
      </c>
      <c r="AE538" s="2" t="n">
        <f aca="false">INT(Y538)</f>
        <v>85</v>
      </c>
      <c r="AF538" s="2" t="n">
        <f aca="false">INT(Z538)</f>
        <v>90</v>
      </c>
      <c r="AG538" s="2" t="n">
        <f aca="false">INT(AA538)</f>
        <v>70</v>
      </c>
      <c r="AH538" s="2" t="n">
        <f aca="false">INT(AB538)</f>
        <v>101</v>
      </c>
      <c r="AI538" s="2" t="n">
        <f aca="false">INT(AC538)</f>
        <v>79</v>
      </c>
      <c r="AJ538" s="2" t="n">
        <f aca="false">INT(AD538)</f>
        <v>72</v>
      </c>
      <c r="AK538" s="2" t="n">
        <f aca="false">Settings!$B$3-SUM(AE538:AJ538)</f>
        <v>3</v>
      </c>
      <c r="AL538" s="2" t="n">
        <f aca="false">ROUND(Y538-AE538,9)</f>
        <v>0.2</v>
      </c>
      <c r="AM538" s="2" t="n">
        <f aca="false">ROUND(Z538-AF538,9)</f>
        <v>0.8</v>
      </c>
      <c r="AN538" s="2" t="n">
        <f aca="false">ROUND(AA538-AG538,9)</f>
        <v>0.8</v>
      </c>
      <c r="AO538" s="2" t="n">
        <f aca="false">ROUND(AB538-AH538,9)</f>
        <v>0.2</v>
      </c>
      <c r="AP538" s="2" t="n">
        <f aca="false">ROUND(AC538-AI538,9)</f>
        <v>0.2</v>
      </c>
      <c r="AQ538" s="2" t="n">
        <f aca="false">ROUND(AD538-AJ538,9)</f>
        <v>0.8</v>
      </c>
    </row>
    <row r="539" customFormat="false" ht="15" hidden="false" customHeight="false" outlineLevel="0" collapsed="false">
      <c r="A539" s="2" t="n">
        <v>538</v>
      </c>
      <c r="B539" s="6" t="n">
        <v>12</v>
      </c>
      <c r="C539" s="6" t="n">
        <v>44</v>
      </c>
      <c r="D539" s="8" t="str">
        <f aca="false">INDEX(Bases!$B$2:$B$53,B539)</f>
        <v>Mareep</v>
      </c>
      <c r="E539" s="8" t="str">
        <f aca="false">INDEX(Bases!$B$2:$B$53,C539)</f>
        <v>Bagon</v>
      </c>
      <c r="F539" s="2" t="str">
        <f aca="false">LEFT(D539,ROUNDUP(LEN(D539)/2,0))&amp;LOWER(MID(E539,ROUNDUP(LEN(E539)/2,0)+1,20))</f>
        <v>Maron</v>
      </c>
      <c r="G539" s="8" t="str">
        <f aca="false">INDEX(Bases!$C$2:$C$53,B539)</f>
        <v>Electric</v>
      </c>
      <c r="H539" s="8" t="str">
        <f aca="false">IF(INDEX(Bases!$C$2:$C$53,C539)=G539,"",INDEX(Bases!$C$2:$C$53,C539))</f>
        <v>Dragon</v>
      </c>
      <c r="I539" s="8" t="str">
        <f aca="false">IF(INDEX(Bases!$E$2:$E$53,B539)="","",INDEX(Bases!$E$2:$E$53,B539))</f>
        <v/>
      </c>
      <c r="J539" s="8" t="str">
        <f aca="false">IF(INDEX(Bases!$E$2:$E$53,C539)="","",INDEX(Bases!$E$2:$E$53,C539))</f>
        <v/>
      </c>
      <c r="K539" s="5"/>
      <c r="L539" s="2" t="n">
        <f aca="false">AE539+IF(SUMPRODUCT(--($AL539:$AQ539&gt;AL539))&lt;$AK539,1,0)</f>
        <v>85</v>
      </c>
      <c r="M539" s="2" t="n">
        <f aca="false">AF539+IF(SUMPRODUCT(--($AL539:$AQ539&gt;AM539))+SUMPRODUCT(--($AL539:AL539=AM539))&lt;$AK539,1,0)</f>
        <v>100</v>
      </c>
      <c r="N539" s="2" t="n">
        <f aca="false">AG539+IF(SUMPRODUCT(--($AL539:$AQ539&gt;AN539))+SUMPRODUCT(--($AL539:AM539=AN539))&lt;$AK539,1,0)</f>
        <v>85</v>
      </c>
      <c r="O539" s="2" t="n">
        <f aca="false">AH539+IF(SUMPRODUCT(--($AL539:$AQ539&gt;AO539))+SUMPRODUCT(--($AL539:AN539=AO539))&lt;$AK539,1,0)</f>
        <v>93</v>
      </c>
      <c r="P539" s="2" t="n">
        <f aca="false">AI539+IF(SUMPRODUCT(--($AL539:$AQ539&gt;AP539))+SUMPRODUCT(--($AL539:AO539=AP539))&lt;$AK539,1,0)</f>
        <v>65</v>
      </c>
      <c r="Q539" s="2" t="n">
        <f aca="false">AJ539+IF(SUMPRODUCT(--($AL539:$AQ539&gt;AQ539))+SUMPRODUCT(--($AL539:AP539=AQ539))&lt;$AK539,1,0)</f>
        <v>72</v>
      </c>
      <c r="R539" s="2" t="n">
        <f aca="false">SUM(L539:Q539)</f>
        <v>500</v>
      </c>
      <c r="S539" s="2" t="n">
        <f aca="false">Settings!$B$4*MAX(INDEX(Bases!$M$2:$M$53,B539),INDEX(Bases!$M$2:$M$53,C539))+Settings!$B$5*MIN(INDEX(Bases!$M$2:$M$53,B539),INDEX(Bases!$M$2:$M$53,C539))</f>
        <v>72.6666666666667</v>
      </c>
      <c r="T539" s="2" t="n">
        <f aca="false">Settings!$B$4*MAX(INDEX(Bases!$N$2:$N$53,B539),INDEX(Bases!$N$2:$N$53,C539))+Settings!$B$5*MIN(INDEX(Bases!$N$2:$N$53,B539),INDEX(Bases!$N$2:$N$53,C539))</f>
        <v>85.6666666666667</v>
      </c>
      <c r="U539" s="2" t="n">
        <f aca="false">Settings!$B$4*MAX(INDEX(Bases!$O$2:$O$53,B539),INDEX(Bases!$O$2:$O$53,C539))+Settings!$B$5*MIN(INDEX(Bases!$O$2:$O$53,B539),INDEX(Bases!$O$2:$O$53,C539))</f>
        <v>72.3333333333333</v>
      </c>
      <c r="V539" s="2" t="n">
        <f aca="false">Settings!$B$4*MAX(INDEX(Bases!$P$2:$P$53,B539),INDEX(Bases!$P$2:$P$53,C539))+Settings!$B$5*MIN(INDEX(Bases!$P$2:$P$53,B539),INDEX(Bases!$P$2:$P$53,C539))</f>
        <v>79.6666666666667</v>
      </c>
      <c r="W539" s="2" t="n">
        <f aca="false">Settings!$B$4*MAX(INDEX(Bases!$Q$2:$Q$53,B539),INDEX(Bases!$Q$2:$Q$53,C539))+Settings!$B$5*MIN(INDEX(Bases!$Q$2:$Q$53,B539),INDEX(Bases!$Q$2:$Q$53,C539))</f>
        <v>56</v>
      </c>
      <c r="X539" s="2" t="n">
        <f aca="false">Settings!$B$4*MAX(INDEX(Bases!$R$2:$R$53,B539),INDEX(Bases!$R$2:$R$53,C539))+Settings!$B$5*MIN(INDEX(Bases!$R$2:$R$53,B539),INDEX(Bases!$R$2:$R$53,C539))</f>
        <v>61.3333333333333</v>
      </c>
      <c r="Y539" s="2" t="n">
        <f aca="false">S539*Settings!$B$3/SUM(S539:X539)</f>
        <v>84.9571317225254</v>
      </c>
      <c r="Z539" s="2" t="n">
        <f aca="false">T539*Settings!$B$3/SUM(S539:X539)</f>
        <v>100.155884645362</v>
      </c>
      <c r="AA539" s="2" t="n">
        <f aca="false">U539*Settings!$B$3/SUM(S539:X539)</f>
        <v>84.5674201091193</v>
      </c>
      <c r="AB539" s="2" t="n">
        <f aca="false">V539*Settings!$B$3/SUM(S539:X539)</f>
        <v>93.141075604053</v>
      </c>
      <c r="AC539" s="2" t="n">
        <f aca="false">W539*Settings!$B$3/SUM(S539:X539)</f>
        <v>65.4715510522214</v>
      </c>
      <c r="AD539" s="2" t="n">
        <f aca="false">X539*Settings!$B$3/SUM(S539:X539)</f>
        <v>71.7069368667186</v>
      </c>
      <c r="AE539" s="2" t="n">
        <f aca="false">INT(Y539)</f>
        <v>84</v>
      </c>
      <c r="AF539" s="2" t="n">
        <f aca="false">INT(Z539)</f>
        <v>100</v>
      </c>
      <c r="AG539" s="2" t="n">
        <f aca="false">INT(AA539)</f>
        <v>84</v>
      </c>
      <c r="AH539" s="2" t="n">
        <f aca="false">INT(AB539)</f>
        <v>93</v>
      </c>
      <c r="AI539" s="2" t="n">
        <f aca="false">INT(AC539)</f>
        <v>65</v>
      </c>
      <c r="AJ539" s="2" t="n">
        <f aca="false">INT(AD539)</f>
        <v>71</v>
      </c>
      <c r="AK539" s="2" t="n">
        <f aca="false">Settings!$B$3-SUM(AE539:AJ539)</f>
        <v>3</v>
      </c>
      <c r="AL539" s="2" t="n">
        <f aca="false">ROUND(Y539-AE539,9)</f>
        <v>0.957131723</v>
      </c>
      <c r="AM539" s="2" t="n">
        <f aca="false">ROUND(Z539-AF539,9)</f>
        <v>0.155884645</v>
      </c>
      <c r="AN539" s="2" t="n">
        <f aca="false">ROUND(AA539-AG539,9)</f>
        <v>0.567420109</v>
      </c>
      <c r="AO539" s="2" t="n">
        <f aca="false">ROUND(AB539-AH539,9)</f>
        <v>0.141075604</v>
      </c>
      <c r="AP539" s="2" t="n">
        <f aca="false">ROUND(AC539-AI539,9)</f>
        <v>0.471551052</v>
      </c>
      <c r="AQ539" s="2" t="n">
        <f aca="false">ROUND(AD539-AJ539,9)</f>
        <v>0.706936867</v>
      </c>
    </row>
    <row r="540" customFormat="false" ht="15" hidden="false" customHeight="false" outlineLevel="0" collapsed="false">
      <c r="A540" s="2" t="n">
        <v>539</v>
      </c>
      <c r="B540" s="6" t="n">
        <v>12</v>
      </c>
      <c r="C540" s="6" t="n">
        <v>45</v>
      </c>
      <c r="D540" s="8" t="str">
        <f aca="false">INDEX(Bases!$B$2:$B$53,B540)</f>
        <v>Mareep</v>
      </c>
      <c r="E540" s="8" t="str">
        <f aca="false">INDEX(Bases!$B$2:$B$53,C540)</f>
        <v>Sneasel</v>
      </c>
      <c r="F540" s="2" t="str">
        <f aca="false">LEFT(D540,ROUNDUP(LEN(D540)/2,0))&amp;LOWER(MID(E540,ROUNDUP(LEN(E540)/2,0)+1,20))</f>
        <v>Marsel</v>
      </c>
      <c r="G540" s="8" t="str">
        <f aca="false">INDEX(Bases!$C$2:$C$53,B540)</f>
        <v>Electric</v>
      </c>
      <c r="H540" s="8" t="str">
        <f aca="false">IF(INDEX(Bases!$C$2:$C$53,C540)=G540,"",INDEX(Bases!$C$2:$C$53,C540))</f>
        <v>Dark</v>
      </c>
      <c r="I540" s="8" t="str">
        <f aca="false">IF(INDEX(Bases!$E$2:$E$53,B540)="","",INDEX(Bases!$E$2:$E$53,B540))</f>
        <v/>
      </c>
      <c r="J540" s="8" t="str">
        <f aca="false">IF(INDEX(Bases!$E$2:$E$53,C540)="","",INDEX(Bases!$E$2:$E$53,C540))</f>
        <v/>
      </c>
      <c r="K540" s="5"/>
      <c r="L540" s="2" t="n">
        <f aca="false">AE540+IF(SUMPRODUCT(--($AL540:$AQ540&gt;AL540))&lt;$AK540,1,0)</f>
        <v>81</v>
      </c>
      <c r="M540" s="2" t="n">
        <f aca="false">AF540+IF(SUMPRODUCT(--($AL540:$AQ540&gt;AM540))+SUMPRODUCT(--($AL540:AL540=AM540))&lt;$AK540,1,0)</f>
        <v>90</v>
      </c>
      <c r="N540" s="2" t="n">
        <f aca="false">AG540+IF(SUMPRODUCT(--($AL540:$AQ540&gt;AN540))+SUMPRODUCT(--($AL540:AM540=AN540))&lt;$AK540,1,0)</f>
        <v>64</v>
      </c>
      <c r="O540" s="2" t="n">
        <f aca="false">AH540+IF(SUMPRODUCT(--($AL540:$AQ540&gt;AO540))+SUMPRODUCT(--($AL540:AN540=AO540))&lt;$AK540,1,0)</f>
        <v>84</v>
      </c>
      <c r="P540" s="2" t="n">
        <f aca="false">AI540+IF(SUMPRODUCT(--($AL540:$AQ540&gt;AP540))+SUMPRODUCT(--($AL540:AO540=AP540))&lt;$AK540,1,0)</f>
        <v>79</v>
      </c>
      <c r="Q540" s="2" t="n">
        <f aca="false">AJ540+IF(SUMPRODUCT(--($AL540:$AQ540&gt;AQ540))+SUMPRODUCT(--($AL540:AP540=AQ540))&lt;$AK540,1,0)</f>
        <v>102</v>
      </c>
      <c r="R540" s="2" t="n">
        <f aca="false">SUM(L540:Q540)</f>
        <v>500</v>
      </c>
      <c r="S540" s="2" t="n">
        <f aca="false">Settings!$B$4*MAX(INDEX(Bases!$M$2:$M$53,B540),INDEX(Bases!$M$2:$M$53,C540))+Settings!$B$5*MIN(INDEX(Bases!$M$2:$M$53,B540),INDEX(Bases!$M$2:$M$53,C540))</f>
        <v>69.6666666666667</v>
      </c>
      <c r="T540" s="2" t="n">
        <f aca="false">Settings!$B$4*MAX(INDEX(Bases!$N$2:$N$53,B540),INDEX(Bases!$N$2:$N$53,C540))+Settings!$B$5*MIN(INDEX(Bases!$N$2:$N$53,B540),INDEX(Bases!$N$2:$N$53,C540))</f>
        <v>77.6666666666667</v>
      </c>
      <c r="U540" s="2" t="n">
        <f aca="false">Settings!$B$4*MAX(INDEX(Bases!$O$2:$O$53,B540),INDEX(Bases!$O$2:$O$53,C540))+Settings!$B$5*MIN(INDEX(Bases!$O$2:$O$53,B540),INDEX(Bases!$O$2:$O$53,C540))</f>
        <v>55</v>
      </c>
      <c r="V540" s="2" t="n">
        <f aca="false">Settings!$B$4*MAX(INDEX(Bases!$P$2:$P$53,B540),INDEX(Bases!$P$2:$P$53,C540))+Settings!$B$5*MIN(INDEX(Bases!$P$2:$P$53,B540),INDEX(Bases!$P$2:$P$53,C540))</f>
        <v>73</v>
      </c>
      <c r="W540" s="2" t="n">
        <f aca="false">Settings!$B$4*MAX(INDEX(Bases!$Q$2:$Q$53,B540),INDEX(Bases!$Q$2:$Q$53,C540))+Settings!$B$5*MIN(INDEX(Bases!$Q$2:$Q$53,B540),INDEX(Bases!$Q$2:$Q$53,C540))</f>
        <v>68</v>
      </c>
      <c r="X540" s="2" t="n">
        <f aca="false">Settings!$B$4*MAX(INDEX(Bases!$R$2:$R$53,B540),INDEX(Bases!$R$2:$R$53,C540))+Settings!$B$5*MIN(INDEX(Bases!$R$2:$R$53,B540),INDEX(Bases!$R$2:$R$53,C540))</f>
        <v>88</v>
      </c>
      <c r="Y540" s="2" t="n">
        <f aca="false">S540*Settings!$B$3/SUM(S540:X540)</f>
        <v>80.757341576507</v>
      </c>
      <c r="Z540" s="2" t="n">
        <f aca="false">T540*Settings!$B$3/SUM(S540:X540)</f>
        <v>90.0309119010819</v>
      </c>
      <c r="AA540" s="2" t="n">
        <f aca="false">U540*Settings!$B$3/SUM(S540:X540)</f>
        <v>63.7557959814529</v>
      </c>
      <c r="AB540" s="2" t="n">
        <f aca="false">V540*Settings!$B$3/SUM(S540:X540)</f>
        <v>84.6213292117465</v>
      </c>
      <c r="AC540" s="2" t="n">
        <f aca="false">W540*Settings!$B$3/SUM(S540:X540)</f>
        <v>78.8253477588872</v>
      </c>
      <c r="AD540" s="2" t="n">
        <f aca="false">X540*Settings!$B$3/SUM(S540:X540)</f>
        <v>102.009273570325</v>
      </c>
      <c r="AE540" s="2" t="n">
        <f aca="false">INT(Y540)</f>
        <v>80</v>
      </c>
      <c r="AF540" s="2" t="n">
        <f aca="false">INT(Z540)</f>
        <v>90</v>
      </c>
      <c r="AG540" s="2" t="n">
        <f aca="false">INT(AA540)</f>
        <v>63</v>
      </c>
      <c r="AH540" s="2" t="n">
        <f aca="false">INT(AB540)</f>
        <v>84</v>
      </c>
      <c r="AI540" s="2" t="n">
        <f aca="false">INT(AC540)</f>
        <v>78</v>
      </c>
      <c r="AJ540" s="2" t="n">
        <f aca="false">INT(AD540)</f>
        <v>102</v>
      </c>
      <c r="AK540" s="2" t="n">
        <f aca="false">Settings!$B$3-SUM(AE540:AJ540)</f>
        <v>3</v>
      </c>
      <c r="AL540" s="2" t="n">
        <f aca="false">ROUND(Y540-AE540,9)</f>
        <v>0.757341577</v>
      </c>
      <c r="AM540" s="2" t="n">
        <f aca="false">ROUND(Z540-AF540,9)</f>
        <v>0.030911901</v>
      </c>
      <c r="AN540" s="2" t="n">
        <f aca="false">ROUND(AA540-AG540,9)</f>
        <v>0.755795981</v>
      </c>
      <c r="AO540" s="2" t="n">
        <f aca="false">ROUND(AB540-AH540,9)</f>
        <v>0.621329212</v>
      </c>
      <c r="AP540" s="2" t="n">
        <f aca="false">ROUND(AC540-AI540,9)</f>
        <v>0.825347759</v>
      </c>
      <c r="AQ540" s="2" t="n">
        <f aca="false">ROUND(AD540-AJ540,9)</f>
        <v>0.00927357</v>
      </c>
    </row>
    <row r="541" customFormat="false" ht="15" hidden="false" customHeight="false" outlineLevel="0" collapsed="false">
      <c r="A541" s="2" t="n">
        <v>540</v>
      </c>
      <c r="B541" s="6" t="n">
        <v>12</v>
      </c>
      <c r="C541" s="6" t="n">
        <v>46</v>
      </c>
      <c r="D541" s="8" t="str">
        <f aca="false">INDEX(Bases!$B$2:$B$53,B541)</f>
        <v>Mareep</v>
      </c>
      <c r="E541" s="8" t="str">
        <f aca="false">INDEX(Bases!$B$2:$B$53,C541)</f>
        <v>Houndour</v>
      </c>
      <c r="F541" s="2" t="str">
        <f aca="false">LEFT(D541,ROUNDUP(LEN(D541)/2,0))&amp;LOWER(MID(E541,ROUNDUP(LEN(E541)/2,0)+1,20))</f>
        <v>Mardour</v>
      </c>
      <c r="G541" s="8" t="str">
        <f aca="false">INDEX(Bases!$C$2:$C$53,B541)</f>
        <v>Electric</v>
      </c>
      <c r="H541" s="8" t="str">
        <f aca="false">IF(INDEX(Bases!$C$2:$C$53,C541)=G541,"",INDEX(Bases!$C$2:$C$53,C541))</f>
        <v>Dark</v>
      </c>
      <c r="I541" s="8" t="str">
        <f aca="false">IF(INDEX(Bases!$E$2:$E$53,B541)="","",INDEX(Bases!$E$2:$E$53,B541))</f>
        <v/>
      </c>
      <c r="J541" s="8" t="str">
        <f aca="false">IF(INDEX(Bases!$E$2:$E$53,C541)="","",INDEX(Bases!$E$2:$E$53,C541))</f>
        <v/>
      </c>
      <c r="K541" s="5"/>
      <c r="L541" s="2" t="n">
        <f aca="false">AE541+IF(SUMPRODUCT(--($AL541:$AQ541&gt;AL541))&lt;$AK541,1,0)</f>
        <v>85</v>
      </c>
      <c r="M541" s="2" t="n">
        <f aca="false">AF541+IF(SUMPRODUCT(--($AL541:$AQ541&gt;AM541))+SUMPRODUCT(--($AL541:AL541=AM541))&lt;$AK541,1,0)</f>
        <v>81</v>
      </c>
      <c r="N541" s="2" t="n">
        <f aca="false">AG541+IF(SUMPRODUCT(--($AL541:$AQ541&gt;AN541))+SUMPRODUCT(--($AL541:AM541=AN541))&lt;$AK541,1,0)</f>
        <v>60</v>
      </c>
      <c r="O541" s="2" t="n">
        <f aca="false">AH541+IF(SUMPRODUCT(--($AL541:$AQ541&gt;AO541))+SUMPRODUCT(--($AL541:AN541=AO541))&lt;$AK541,1,0)</f>
        <v>115</v>
      </c>
      <c r="P541" s="2" t="n">
        <f aca="false">AI541+IF(SUMPRODUCT(--($AL541:$AQ541&gt;AP541))+SUMPRODUCT(--($AL541:AO541=AP541))&lt;$AK541,1,0)</f>
        <v>76</v>
      </c>
      <c r="Q541" s="2" t="n">
        <f aca="false">AJ541+IF(SUMPRODUCT(--($AL541:$AQ541&gt;AQ541))+SUMPRODUCT(--($AL541:AP541=AQ541))&lt;$AK541,1,0)</f>
        <v>83</v>
      </c>
      <c r="R541" s="2" t="n">
        <f aca="false">SUM(L541:Q541)</f>
        <v>500</v>
      </c>
      <c r="S541" s="2" t="n">
        <f aca="false">Settings!$B$4*MAX(INDEX(Bases!$M$2:$M$53,B541),INDEX(Bases!$M$2:$M$53,C541))+Settings!$B$5*MIN(INDEX(Bases!$M$2:$M$53,B541),INDEX(Bases!$M$2:$M$53,C541))</f>
        <v>70.6666666666667</v>
      </c>
      <c r="T541" s="2" t="n">
        <f aca="false">Settings!$B$4*MAX(INDEX(Bases!$N$2:$N$53,B541),INDEX(Bases!$N$2:$N$53,C541))+Settings!$B$5*MIN(INDEX(Bases!$N$2:$N$53,B541),INDEX(Bases!$N$2:$N$53,C541))</f>
        <v>67.6666666666667</v>
      </c>
      <c r="U541" s="2" t="n">
        <f aca="false">Settings!$B$4*MAX(INDEX(Bases!$O$2:$O$53,B541),INDEX(Bases!$O$2:$O$53,C541))+Settings!$B$5*MIN(INDEX(Bases!$O$2:$O$53,B541),INDEX(Bases!$O$2:$O$53,C541))</f>
        <v>50</v>
      </c>
      <c r="V541" s="2" t="n">
        <f aca="false">Settings!$B$4*MAX(INDEX(Bases!$P$2:$P$53,B541),INDEX(Bases!$P$2:$P$53,C541))+Settings!$B$5*MIN(INDEX(Bases!$P$2:$P$53,B541),INDEX(Bases!$P$2:$P$53,C541))</f>
        <v>95.6666666666667</v>
      </c>
      <c r="W541" s="2" t="n">
        <f aca="false">Settings!$B$4*MAX(INDEX(Bases!$Q$2:$Q$53,B541),INDEX(Bases!$Q$2:$Q$53,C541))+Settings!$B$5*MIN(INDEX(Bases!$Q$2:$Q$53,B541),INDEX(Bases!$Q$2:$Q$53,C541))</f>
        <v>63</v>
      </c>
      <c r="X541" s="2" t="n">
        <f aca="false">Settings!$B$4*MAX(INDEX(Bases!$R$2:$R$53,B541),INDEX(Bases!$R$2:$R$53,C541))+Settings!$B$5*MIN(INDEX(Bases!$R$2:$R$53,B541),INDEX(Bases!$R$2:$R$53,C541))</f>
        <v>69.3333333333333</v>
      </c>
      <c r="Y541" s="2" t="n">
        <f aca="false">S541*Settings!$B$3/SUM(S541:X541)</f>
        <v>84.8678943154524</v>
      </c>
      <c r="Z541" s="2" t="n">
        <f aca="false">T541*Settings!$B$3/SUM(S541:X541)</f>
        <v>81.2650120096077</v>
      </c>
      <c r="AA541" s="2" t="n">
        <f aca="false">U541*Settings!$B$3/SUM(S541:X541)</f>
        <v>60.0480384307446</v>
      </c>
      <c r="AB541" s="2" t="n">
        <f aca="false">V541*Settings!$B$3/SUM(S541:X541)</f>
        <v>114.891913530825</v>
      </c>
      <c r="AC541" s="2" t="n">
        <f aca="false">W541*Settings!$B$3/SUM(S541:X541)</f>
        <v>75.6605284227382</v>
      </c>
      <c r="AD541" s="2" t="n">
        <f aca="false">X541*Settings!$B$3/SUM(S541:X541)</f>
        <v>83.2666132906325</v>
      </c>
      <c r="AE541" s="2" t="n">
        <f aca="false">INT(Y541)</f>
        <v>84</v>
      </c>
      <c r="AF541" s="2" t="n">
        <f aca="false">INT(Z541)</f>
        <v>81</v>
      </c>
      <c r="AG541" s="2" t="n">
        <f aca="false">INT(AA541)</f>
        <v>60</v>
      </c>
      <c r="AH541" s="2" t="n">
        <f aca="false">INT(AB541)</f>
        <v>114</v>
      </c>
      <c r="AI541" s="2" t="n">
        <f aca="false">INT(AC541)</f>
        <v>75</v>
      </c>
      <c r="AJ541" s="2" t="n">
        <f aca="false">INT(AD541)</f>
        <v>83</v>
      </c>
      <c r="AK541" s="2" t="n">
        <f aca="false">Settings!$B$3-SUM(AE541:AJ541)</f>
        <v>3</v>
      </c>
      <c r="AL541" s="2" t="n">
        <f aca="false">ROUND(Y541-AE541,9)</f>
        <v>0.867894315</v>
      </c>
      <c r="AM541" s="2" t="n">
        <f aca="false">ROUND(Z541-AF541,9)</f>
        <v>0.26501201</v>
      </c>
      <c r="AN541" s="2" t="n">
        <f aca="false">ROUND(AA541-AG541,9)</f>
        <v>0.048038431</v>
      </c>
      <c r="AO541" s="2" t="n">
        <f aca="false">ROUND(AB541-AH541,9)</f>
        <v>0.891913531</v>
      </c>
      <c r="AP541" s="2" t="n">
        <f aca="false">ROUND(AC541-AI541,9)</f>
        <v>0.660528423</v>
      </c>
      <c r="AQ541" s="2" t="n">
        <f aca="false">ROUND(AD541-AJ541,9)</f>
        <v>0.266613291</v>
      </c>
    </row>
    <row r="542" customFormat="false" ht="15" hidden="false" customHeight="false" outlineLevel="0" collapsed="false">
      <c r="A542" s="2" t="n">
        <v>541</v>
      </c>
      <c r="B542" s="6" t="n">
        <v>12</v>
      </c>
      <c r="C542" s="6" t="n">
        <v>47</v>
      </c>
      <c r="D542" s="8" t="str">
        <f aca="false">INDEX(Bases!$B$2:$B$53,B542)</f>
        <v>Mareep</v>
      </c>
      <c r="E542" s="8" t="str">
        <f aca="false">INDEX(Bases!$B$2:$B$53,C542)</f>
        <v>Carvanha</v>
      </c>
      <c r="F542" s="2" t="str">
        <f aca="false">LEFT(D542,ROUNDUP(LEN(D542)/2,0))&amp;LOWER(MID(E542,ROUNDUP(LEN(E542)/2,0)+1,20))</f>
        <v>Maranha</v>
      </c>
      <c r="G542" s="8" t="str">
        <f aca="false">INDEX(Bases!$C$2:$C$53,B542)</f>
        <v>Electric</v>
      </c>
      <c r="H542" s="8" t="str">
        <f aca="false">IF(INDEX(Bases!$C$2:$C$53,C542)=G542,"",INDEX(Bases!$C$2:$C$53,C542))</f>
        <v>Dark</v>
      </c>
      <c r="I542" s="8" t="str">
        <f aca="false">IF(INDEX(Bases!$E$2:$E$53,B542)="","",INDEX(Bases!$E$2:$E$53,B542))</f>
        <v/>
      </c>
      <c r="J542" s="8" t="str">
        <f aca="false">IF(INDEX(Bases!$E$2:$E$53,C542)="","",INDEX(Bases!$E$2:$E$53,C542))</f>
        <v/>
      </c>
      <c r="K542" s="5"/>
      <c r="L542" s="2" t="n">
        <f aca="false">AE542+IF(SUMPRODUCT(--($AL542:$AQ542&gt;AL542))&lt;$AK542,1,0)</f>
        <v>84</v>
      </c>
      <c r="M542" s="2" t="n">
        <f aca="false">AF542+IF(SUMPRODUCT(--($AL542:$AQ542&gt;AM542))+SUMPRODUCT(--($AL542:AL542=AM542))&lt;$AK542,1,0)</f>
        <v>113</v>
      </c>
      <c r="N542" s="2" t="n">
        <f aca="false">AG542+IF(SUMPRODUCT(--($AL542:$AQ542&gt;AN542))+SUMPRODUCT(--($AL542:AM542=AN542))&lt;$AK542,1,0)</f>
        <v>54</v>
      </c>
      <c r="O542" s="2" t="n">
        <f aca="false">AH542+IF(SUMPRODUCT(--($AL542:$AQ542&gt;AO542))+SUMPRODUCT(--($AL542:AN542=AO542))&lt;$AK542,1,0)</f>
        <v>105</v>
      </c>
      <c r="P542" s="2" t="n">
        <f aca="false">AI542+IF(SUMPRODUCT(--($AL542:$AQ542&gt;AP542))+SUMPRODUCT(--($AL542:AO542=AP542))&lt;$AK542,1,0)</f>
        <v>59</v>
      </c>
      <c r="Q542" s="2" t="n">
        <f aca="false">AJ542+IF(SUMPRODUCT(--($AL542:$AQ542&gt;AQ542))+SUMPRODUCT(--($AL542:AP542=AQ542))&lt;$AK542,1,0)</f>
        <v>85</v>
      </c>
      <c r="R542" s="2" t="n">
        <f aca="false">SUM(L542:Q542)</f>
        <v>500</v>
      </c>
      <c r="S542" s="2" t="n">
        <f aca="false">Settings!$B$4*MAX(INDEX(Bases!$M$2:$M$53,B542),INDEX(Bases!$M$2:$M$53,C542))+Settings!$B$5*MIN(INDEX(Bases!$M$2:$M$53,B542),INDEX(Bases!$M$2:$M$53,C542))</f>
        <v>72.3333333333333</v>
      </c>
      <c r="T542" s="2" t="n">
        <f aca="false">Settings!$B$4*MAX(INDEX(Bases!$N$2:$N$53,B542),INDEX(Bases!$N$2:$N$53,C542))+Settings!$B$5*MIN(INDEX(Bases!$N$2:$N$53,B542),INDEX(Bases!$N$2:$N$53,C542))</f>
        <v>97.6666666666667</v>
      </c>
      <c r="U542" s="2" t="n">
        <f aca="false">Settings!$B$4*MAX(INDEX(Bases!$O$2:$O$53,B542),INDEX(Bases!$O$2:$O$53,C542))+Settings!$B$5*MIN(INDEX(Bases!$O$2:$O$53,B542),INDEX(Bases!$O$2:$O$53,C542))</f>
        <v>46.6666666666667</v>
      </c>
      <c r="V542" s="2" t="n">
        <f aca="false">Settings!$B$4*MAX(INDEX(Bases!$P$2:$P$53,B542),INDEX(Bases!$P$2:$P$53,C542))+Settings!$B$5*MIN(INDEX(Bases!$P$2:$P$53,B542),INDEX(Bases!$P$2:$P$53,C542))</f>
        <v>90.6666666666667</v>
      </c>
      <c r="W542" s="2" t="n">
        <f aca="false">Settings!$B$4*MAX(INDEX(Bases!$Q$2:$Q$53,B542),INDEX(Bases!$Q$2:$Q$53,C542))+Settings!$B$5*MIN(INDEX(Bases!$Q$2:$Q$53,B542),INDEX(Bases!$Q$2:$Q$53,C542))</f>
        <v>51.3333333333333</v>
      </c>
      <c r="X542" s="2" t="n">
        <f aca="false">Settings!$B$4*MAX(INDEX(Bases!$R$2:$R$53,B542),INDEX(Bases!$R$2:$R$53,C542))+Settings!$B$5*MIN(INDEX(Bases!$R$2:$R$53,B542),INDEX(Bases!$R$2:$R$53,C542))</f>
        <v>73.3333333333333</v>
      </c>
      <c r="Y542" s="2" t="n">
        <f aca="false">S542*Settings!$B$3/SUM(S542:X542)</f>
        <v>83.7191358024691</v>
      </c>
      <c r="Z542" s="2" t="n">
        <f aca="false">T542*Settings!$B$3/SUM(S542:X542)</f>
        <v>113.04012345679</v>
      </c>
      <c r="AA542" s="2" t="n">
        <f aca="false">U542*Settings!$B$3/SUM(S542:X542)</f>
        <v>54.0123456790124</v>
      </c>
      <c r="AB542" s="2" t="n">
        <f aca="false">V542*Settings!$B$3/SUM(S542:X542)</f>
        <v>104.938271604938</v>
      </c>
      <c r="AC542" s="2" t="n">
        <f aca="false">W542*Settings!$B$3/SUM(S542:X542)</f>
        <v>59.4135802469136</v>
      </c>
      <c r="AD542" s="2" t="n">
        <f aca="false">X542*Settings!$B$3/SUM(S542:X542)</f>
        <v>84.8765432098765</v>
      </c>
      <c r="AE542" s="2" t="n">
        <f aca="false">INT(Y542)</f>
        <v>83</v>
      </c>
      <c r="AF542" s="2" t="n">
        <f aca="false">INT(Z542)</f>
        <v>113</v>
      </c>
      <c r="AG542" s="2" t="n">
        <f aca="false">INT(AA542)</f>
        <v>54</v>
      </c>
      <c r="AH542" s="2" t="n">
        <f aca="false">INT(AB542)</f>
        <v>104</v>
      </c>
      <c r="AI542" s="2" t="n">
        <f aca="false">INT(AC542)</f>
        <v>59</v>
      </c>
      <c r="AJ542" s="2" t="n">
        <f aca="false">INT(AD542)</f>
        <v>84</v>
      </c>
      <c r="AK542" s="2" t="n">
        <f aca="false">Settings!$B$3-SUM(AE542:AJ542)</f>
        <v>3</v>
      </c>
      <c r="AL542" s="2" t="n">
        <f aca="false">ROUND(Y542-AE542,9)</f>
        <v>0.719135802</v>
      </c>
      <c r="AM542" s="2" t="n">
        <f aca="false">ROUND(Z542-AF542,9)</f>
        <v>0.040123457</v>
      </c>
      <c r="AN542" s="2" t="n">
        <f aca="false">ROUND(AA542-AG542,9)</f>
        <v>0.012345679</v>
      </c>
      <c r="AO542" s="2" t="n">
        <f aca="false">ROUND(AB542-AH542,9)</f>
        <v>0.938271605</v>
      </c>
      <c r="AP542" s="2" t="n">
        <f aca="false">ROUND(AC542-AI542,9)</f>
        <v>0.413580247</v>
      </c>
      <c r="AQ542" s="2" t="n">
        <f aca="false">ROUND(AD542-AJ542,9)</f>
        <v>0.87654321</v>
      </c>
    </row>
    <row r="543" customFormat="false" ht="15" hidden="false" customHeight="false" outlineLevel="0" collapsed="false">
      <c r="A543" s="2" t="n">
        <v>542</v>
      </c>
      <c r="B543" s="6" t="n">
        <v>12</v>
      </c>
      <c r="C543" s="6" t="n">
        <v>48</v>
      </c>
      <c r="D543" s="8" t="str">
        <f aca="false">INDEX(Bases!$B$2:$B$53,B543)</f>
        <v>Mareep</v>
      </c>
      <c r="E543" s="8" t="str">
        <f aca="false">INDEX(Bases!$B$2:$B$53,C543)</f>
        <v>Magnemite</v>
      </c>
      <c r="F543" s="2" t="str">
        <f aca="false">LEFT(D543,ROUNDUP(LEN(D543)/2,0))&amp;LOWER(MID(E543,ROUNDUP(LEN(E543)/2,0)+1,20))</f>
        <v>Marmite</v>
      </c>
      <c r="G543" s="8" t="str">
        <f aca="false">INDEX(Bases!$C$2:$C$53,B543)</f>
        <v>Electric</v>
      </c>
      <c r="H543" s="8" t="str">
        <f aca="false">IF(INDEX(Bases!$C$2:$C$53,C543)=G543,"",INDEX(Bases!$C$2:$C$53,C543))</f>
        <v>Steel</v>
      </c>
      <c r="I543" s="8" t="str">
        <f aca="false">IF(INDEX(Bases!$E$2:$E$53,B543)="","",INDEX(Bases!$E$2:$E$53,B543))</f>
        <v/>
      </c>
      <c r="J543" s="8" t="str">
        <f aca="false">IF(INDEX(Bases!$E$2:$E$53,C543)="","",INDEX(Bases!$E$2:$E$53,C543))</f>
        <v/>
      </c>
      <c r="K543" s="5"/>
      <c r="L543" s="2" t="n">
        <f aca="false">AE543+IF(SUMPRODUCT(--($AL543:$AQ543&gt;AL543))&lt;$AK543,1,0)</f>
        <v>75</v>
      </c>
      <c r="M543" s="2" t="n">
        <f aca="false">AF543+IF(SUMPRODUCT(--($AL543:$AQ543&gt;AM543))+SUMPRODUCT(--($AL543:AL543=AM543))&lt;$AK543,1,0)</f>
        <v>62</v>
      </c>
      <c r="N543" s="2" t="n">
        <f aca="false">AG543+IF(SUMPRODUCT(--($AL543:$AQ543&gt;AN543))+SUMPRODUCT(--($AL543:AM543=AN543))&lt;$AK543,1,0)</f>
        <v>91</v>
      </c>
      <c r="O543" s="2" t="n">
        <f aca="false">AH543+IF(SUMPRODUCT(--($AL543:$AQ543&gt;AO543))+SUMPRODUCT(--($AL543:AN543=AO543))&lt;$AK543,1,0)</f>
        <v>130</v>
      </c>
      <c r="P543" s="2" t="n">
        <f aca="false">AI543+IF(SUMPRODUCT(--($AL543:$AQ543&gt;AP543))+SUMPRODUCT(--($AL543:AO543=AP543))&lt;$AK543,1,0)</f>
        <v>79</v>
      </c>
      <c r="Q543" s="2" t="n">
        <f aca="false">AJ543+IF(SUMPRODUCT(--($AL543:$AQ543&gt;AQ543))+SUMPRODUCT(--($AL543:AP543=AQ543))&lt;$AK543,1,0)</f>
        <v>63</v>
      </c>
      <c r="R543" s="2" t="n">
        <f aca="false">SUM(L543:Q543)</f>
        <v>500</v>
      </c>
      <c r="S543" s="2" t="n">
        <f aca="false">Settings!$B$4*MAX(INDEX(Bases!$M$2:$M$53,B543),INDEX(Bases!$M$2:$M$53,C543))+Settings!$B$5*MIN(INDEX(Bases!$M$2:$M$53,B543),INDEX(Bases!$M$2:$M$53,C543))</f>
        <v>63</v>
      </c>
      <c r="T543" s="2" t="n">
        <f aca="false">Settings!$B$4*MAX(INDEX(Bases!$N$2:$N$53,B543),INDEX(Bases!$N$2:$N$53,C543))+Settings!$B$5*MIN(INDEX(Bases!$N$2:$N$53,B543),INDEX(Bases!$N$2:$N$53,C543))</f>
        <v>52.3333333333333</v>
      </c>
      <c r="U543" s="2" t="n">
        <f aca="false">Settings!$B$4*MAX(INDEX(Bases!$O$2:$O$53,B543),INDEX(Bases!$O$2:$O$53,C543))+Settings!$B$5*MIN(INDEX(Bases!$O$2:$O$53,B543),INDEX(Bases!$O$2:$O$53,C543))</f>
        <v>76.3333333333333</v>
      </c>
      <c r="V543" s="2" t="n">
        <f aca="false">Settings!$B$4*MAX(INDEX(Bases!$P$2:$P$53,B543),INDEX(Bases!$P$2:$P$53,C543))+Settings!$B$5*MIN(INDEX(Bases!$P$2:$P$53,B543),INDEX(Bases!$P$2:$P$53,C543))</f>
        <v>109</v>
      </c>
      <c r="W543" s="2" t="n">
        <f aca="false">Settings!$B$4*MAX(INDEX(Bases!$Q$2:$Q$53,B543),INDEX(Bases!$Q$2:$Q$53,C543))+Settings!$B$5*MIN(INDEX(Bases!$Q$2:$Q$53,B543),INDEX(Bases!$Q$2:$Q$53,C543))</f>
        <v>66.6666666666667</v>
      </c>
      <c r="X543" s="2" t="n">
        <f aca="false">Settings!$B$4*MAX(INDEX(Bases!$R$2:$R$53,B543),INDEX(Bases!$R$2:$R$53,C543))+Settings!$B$5*MIN(INDEX(Bases!$R$2:$R$53,B543),INDEX(Bases!$R$2:$R$53,C543))</f>
        <v>53.3333333333333</v>
      </c>
      <c r="Y543" s="2" t="n">
        <f aca="false">S543*Settings!$B$3/SUM(S543:X543)</f>
        <v>74.8811410459588</v>
      </c>
      <c r="Z543" s="2" t="n">
        <f aca="false">T543*Settings!$B$3/SUM(S543:X543)</f>
        <v>62.202852614897</v>
      </c>
      <c r="AA543" s="2" t="n">
        <f aca="false">U543*Settings!$B$3/SUM(S543:X543)</f>
        <v>90.7290015847861</v>
      </c>
      <c r="AB543" s="2" t="n">
        <f aca="false">V543*Settings!$B$3/SUM(S543:X543)</f>
        <v>129.556259904913</v>
      </c>
      <c r="AC543" s="2" t="n">
        <f aca="false">W543*Settings!$B$3/SUM(S543:X543)</f>
        <v>79.2393026941363</v>
      </c>
      <c r="AD543" s="2" t="n">
        <f aca="false">X543*Settings!$B$3/SUM(S543:X543)</f>
        <v>63.391442155309</v>
      </c>
      <c r="AE543" s="2" t="n">
        <f aca="false">INT(Y543)</f>
        <v>74</v>
      </c>
      <c r="AF543" s="2" t="n">
        <f aca="false">INT(Z543)</f>
        <v>62</v>
      </c>
      <c r="AG543" s="2" t="n">
        <f aca="false">INT(AA543)</f>
        <v>90</v>
      </c>
      <c r="AH543" s="2" t="n">
        <f aca="false">INT(AB543)</f>
        <v>129</v>
      </c>
      <c r="AI543" s="2" t="n">
        <f aca="false">INT(AC543)</f>
        <v>79</v>
      </c>
      <c r="AJ543" s="2" t="n">
        <f aca="false">INT(AD543)</f>
        <v>63</v>
      </c>
      <c r="AK543" s="2" t="n">
        <f aca="false">Settings!$B$3-SUM(AE543:AJ543)</f>
        <v>3</v>
      </c>
      <c r="AL543" s="2" t="n">
        <f aca="false">ROUND(Y543-AE543,9)</f>
        <v>0.881141046</v>
      </c>
      <c r="AM543" s="2" t="n">
        <f aca="false">ROUND(Z543-AF543,9)</f>
        <v>0.202852615</v>
      </c>
      <c r="AN543" s="2" t="n">
        <f aca="false">ROUND(AA543-AG543,9)</f>
        <v>0.729001585</v>
      </c>
      <c r="AO543" s="2" t="n">
        <f aca="false">ROUND(AB543-AH543,9)</f>
        <v>0.556259905</v>
      </c>
      <c r="AP543" s="2" t="n">
        <f aca="false">ROUND(AC543-AI543,9)</f>
        <v>0.239302694</v>
      </c>
      <c r="AQ543" s="2" t="n">
        <f aca="false">ROUND(AD543-AJ543,9)</f>
        <v>0.391442155</v>
      </c>
    </row>
    <row r="544" customFormat="false" ht="15" hidden="false" customHeight="false" outlineLevel="0" collapsed="false">
      <c r="A544" s="2" t="n">
        <v>543</v>
      </c>
      <c r="B544" s="6" t="n">
        <v>12</v>
      </c>
      <c r="C544" s="6" t="n">
        <v>49</v>
      </c>
      <c r="D544" s="8" t="str">
        <f aca="false">INDEX(Bases!$B$2:$B$53,B544)</f>
        <v>Mareep</v>
      </c>
      <c r="E544" s="8" t="str">
        <f aca="false">INDEX(Bases!$B$2:$B$53,C544)</f>
        <v>Aron</v>
      </c>
      <c r="F544" s="2" t="str">
        <f aca="false">LEFT(D544,ROUNDUP(LEN(D544)/2,0))&amp;LOWER(MID(E544,ROUNDUP(LEN(E544)/2,0)+1,20))</f>
        <v>Maron</v>
      </c>
      <c r="G544" s="8" t="str">
        <f aca="false">INDEX(Bases!$C$2:$C$53,B544)</f>
        <v>Electric</v>
      </c>
      <c r="H544" s="8" t="str">
        <f aca="false">IF(INDEX(Bases!$C$2:$C$53,C544)=G544,"",INDEX(Bases!$C$2:$C$53,C544))</f>
        <v>Steel</v>
      </c>
      <c r="I544" s="8" t="str">
        <f aca="false">IF(INDEX(Bases!$E$2:$E$53,B544)="","",INDEX(Bases!$E$2:$E$53,B544))</f>
        <v/>
      </c>
      <c r="J544" s="8" t="str">
        <f aca="false">IF(INDEX(Bases!$E$2:$E$53,C544)="","",INDEX(Bases!$E$2:$E$53,C544))</f>
        <v/>
      </c>
      <c r="K544" s="5"/>
      <c r="L544" s="2" t="n">
        <f aca="false">AE544+IF(SUMPRODUCT(--($AL544:$AQ544&gt;AL544))&lt;$AK544,1,0)</f>
        <v>85</v>
      </c>
      <c r="M544" s="2" t="n">
        <f aca="false">AF544+IF(SUMPRODUCT(--($AL544:$AQ544&gt;AM544))+SUMPRODUCT(--($AL544:AL544=AM544))&lt;$AK544,1,0)</f>
        <v>88</v>
      </c>
      <c r="N544" s="2" t="n">
        <f aca="false">AG544+IF(SUMPRODUCT(--($AL544:$AQ544&gt;AN544))+SUMPRODUCT(--($AL544:AM544=AN544))&lt;$AK544,1,0)</f>
        <v>116</v>
      </c>
      <c r="O544" s="2" t="n">
        <f aca="false">AH544+IF(SUMPRODUCT(--($AL544:$AQ544&gt;AO544))+SUMPRODUCT(--($AL544:AN544=AO544))&lt;$AK544,1,0)</f>
        <v>91</v>
      </c>
      <c r="P544" s="2" t="n">
        <f aca="false">AI544+IF(SUMPRODUCT(--($AL544:$AQ544&gt;AP544))+SUMPRODUCT(--($AL544:AO544=AP544))&lt;$AK544,1,0)</f>
        <v>68</v>
      </c>
      <c r="Q544" s="2" t="n">
        <f aca="false">AJ544+IF(SUMPRODUCT(--($AL544:$AQ544&gt;AQ544))+SUMPRODUCT(--($AL544:AP544=AQ544))&lt;$AK544,1,0)</f>
        <v>52</v>
      </c>
      <c r="R544" s="2" t="n">
        <f aca="false">SUM(L544:Q544)</f>
        <v>500</v>
      </c>
      <c r="S544" s="2" t="n">
        <f aca="false">Settings!$B$4*MAX(INDEX(Bases!$M$2:$M$53,B544),INDEX(Bases!$M$2:$M$53,C544))+Settings!$B$5*MIN(INDEX(Bases!$M$2:$M$53,B544),INDEX(Bases!$M$2:$M$53,C544))</f>
        <v>73</v>
      </c>
      <c r="T544" s="2" t="n">
        <f aca="false">Settings!$B$4*MAX(INDEX(Bases!$N$2:$N$53,B544),INDEX(Bases!$N$2:$N$53,C544))+Settings!$B$5*MIN(INDEX(Bases!$N$2:$N$53,B544),INDEX(Bases!$N$2:$N$53,C544))</f>
        <v>75.6666666666667</v>
      </c>
      <c r="U544" s="2" t="n">
        <f aca="false">Settings!$B$4*MAX(INDEX(Bases!$O$2:$O$53,B544),INDEX(Bases!$O$2:$O$53,C544))+Settings!$B$5*MIN(INDEX(Bases!$O$2:$O$53,B544),INDEX(Bases!$O$2:$O$53,C544))</f>
        <v>99.6666666666667</v>
      </c>
      <c r="V544" s="2" t="n">
        <f aca="false">Settings!$B$4*MAX(INDEX(Bases!$P$2:$P$53,B544),INDEX(Bases!$P$2:$P$53,C544))+Settings!$B$5*MIN(INDEX(Bases!$P$2:$P$53,B544),INDEX(Bases!$P$2:$P$53,C544))</f>
        <v>78.3333333333333</v>
      </c>
      <c r="W544" s="2" t="n">
        <f aca="false">Settings!$B$4*MAX(INDEX(Bases!$Q$2:$Q$53,B544),INDEX(Bases!$Q$2:$Q$53,C544))+Settings!$B$5*MIN(INDEX(Bases!$Q$2:$Q$53,B544),INDEX(Bases!$Q$2:$Q$53,C544))</f>
        <v>58.6666666666667</v>
      </c>
      <c r="X544" s="2" t="n">
        <f aca="false">Settings!$B$4*MAX(INDEX(Bases!$R$2:$R$53,B544),INDEX(Bases!$R$2:$R$53,C544))+Settings!$B$5*MIN(INDEX(Bases!$R$2:$R$53,B544),INDEX(Bases!$R$2:$R$53,C544))</f>
        <v>45.3333333333333</v>
      </c>
      <c r="Y544" s="2" t="n">
        <f aca="false">S544*Settings!$B$3/SUM(S544:X544)</f>
        <v>84.7523219814242</v>
      </c>
      <c r="Z544" s="2" t="n">
        <f aca="false">T544*Settings!$B$3/SUM(S544:X544)</f>
        <v>87.8482972136223</v>
      </c>
      <c r="AA544" s="2" t="n">
        <f aca="false">U544*Settings!$B$3/SUM(S544:X544)</f>
        <v>115.712074303406</v>
      </c>
      <c r="AB544" s="2" t="n">
        <f aca="false">V544*Settings!$B$3/SUM(S544:X544)</f>
        <v>90.9442724458205</v>
      </c>
      <c r="AC544" s="2" t="n">
        <f aca="false">W544*Settings!$B$3/SUM(S544:X544)</f>
        <v>68.1114551083591</v>
      </c>
      <c r="AD544" s="2" t="n">
        <f aca="false">X544*Settings!$B$3/SUM(S544:X544)</f>
        <v>52.6315789473684</v>
      </c>
      <c r="AE544" s="2" t="n">
        <f aca="false">INT(Y544)</f>
        <v>84</v>
      </c>
      <c r="AF544" s="2" t="n">
        <f aca="false">INT(Z544)</f>
        <v>87</v>
      </c>
      <c r="AG544" s="2" t="n">
        <f aca="false">INT(AA544)</f>
        <v>115</v>
      </c>
      <c r="AH544" s="2" t="n">
        <f aca="false">INT(AB544)</f>
        <v>90</v>
      </c>
      <c r="AI544" s="2" t="n">
        <f aca="false">INT(AC544)</f>
        <v>68</v>
      </c>
      <c r="AJ544" s="2" t="n">
        <f aca="false">INT(AD544)</f>
        <v>52</v>
      </c>
      <c r="AK544" s="2" t="n">
        <f aca="false">Settings!$B$3-SUM(AE544:AJ544)</f>
        <v>4</v>
      </c>
      <c r="AL544" s="2" t="n">
        <f aca="false">ROUND(Y544-AE544,9)</f>
        <v>0.752321981</v>
      </c>
      <c r="AM544" s="2" t="n">
        <f aca="false">ROUND(Z544-AF544,9)</f>
        <v>0.848297214</v>
      </c>
      <c r="AN544" s="2" t="n">
        <f aca="false">ROUND(AA544-AG544,9)</f>
        <v>0.712074303</v>
      </c>
      <c r="AO544" s="2" t="n">
        <f aca="false">ROUND(AB544-AH544,9)</f>
        <v>0.944272446</v>
      </c>
      <c r="AP544" s="2" t="n">
        <f aca="false">ROUND(AC544-AI544,9)</f>
        <v>0.111455108</v>
      </c>
      <c r="AQ544" s="2" t="n">
        <f aca="false">ROUND(AD544-AJ544,9)</f>
        <v>0.631578947</v>
      </c>
    </row>
    <row r="545" customFormat="false" ht="15" hidden="false" customHeight="false" outlineLevel="0" collapsed="false">
      <c r="A545" s="2" t="n">
        <v>544</v>
      </c>
      <c r="B545" s="6" t="n">
        <v>12</v>
      </c>
      <c r="C545" s="6" t="n">
        <v>50</v>
      </c>
      <c r="D545" s="8" t="str">
        <f aca="false">INDEX(Bases!$B$2:$B$53,B545)</f>
        <v>Mareep</v>
      </c>
      <c r="E545" s="8" t="str">
        <f aca="false">INDEX(Bases!$B$2:$B$53,C545)</f>
        <v>Beldum</v>
      </c>
      <c r="F545" s="2" t="str">
        <f aca="false">LEFT(D545,ROUNDUP(LEN(D545)/2,0))&amp;LOWER(MID(E545,ROUNDUP(LEN(E545)/2,0)+1,20))</f>
        <v>Mardum</v>
      </c>
      <c r="G545" s="8" t="str">
        <f aca="false">INDEX(Bases!$C$2:$C$53,B545)</f>
        <v>Electric</v>
      </c>
      <c r="H545" s="8" t="str">
        <f aca="false">IF(INDEX(Bases!$C$2:$C$53,C545)=G545,"",INDEX(Bases!$C$2:$C$53,C545))</f>
        <v>Steel</v>
      </c>
      <c r="I545" s="8" t="str">
        <f aca="false">IF(INDEX(Bases!$E$2:$E$53,B545)="","",INDEX(Bases!$E$2:$E$53,B545))</f>
        <v/>
      </c>
      <c r="J545" s="8" t="str">
        <f aca="false">IF(INDEX(Bases!$E$2:$E$53,C545)="","",INDEX(Bases!$E$2:$E$53,C545))</f>
        <v/>
      </c>
      <c r="K545" s="5"/>
      <c r="L545" s="2" t="n">
        <f aca="false">AE545+IF(SUMPRODUCT(--($AL545:$AQ545&gt;AL545))&lt;$AK545,1,0)</f>
        <v>82</v>
      </c>
      <c r="M545" s="2" t="n">
        <f aca="false">AF545+IF(SUMPRODUCT(--($AL545:$AQ545&gt;AM545))+SUMPRODUCT(--($AL545:AL545=AM545))&lt;$AK545,1,0)</f>
        <v>79</v>
      </c>
      <c r="N545" s="2" t="n">
        <f aca="false">AG545+IF(SUMPRODUCT(--($AL545:$AQ545&gt;AN545))+SUMPRODUCT(--($AL545:AM545=AN545))&lt;$AK545,1,0)</f>
        <v>106</v>
      </c>
      <c r="O545" s="2" t="n">
        <f aca="false">AH545+IF(SUMPRODUCT(--($AL545:$AQ545&gt;AO545))+SUMPRODUCT(--($AL545:AN545=AO545))&lt;$AK545,1,0)</f>
        <v>91</v>
      </c>
      <c r="P545" s="2" t="n">
        <f aca="false">AI545+IF(SUMPRODUCT(--($AL545:$AQ545&gt;AP545))+SUMPRODUCT(--($AL545:AO545=AP545))&lt;$AK545,1,0)</f>
        <v>87</v>
      </c>
      <c r="Q545" s="2" t="n">
        <f aca="false">AJ545+IF(SUMPRODUCT(--($AL545:$AQ545&gt;AQ545))+SUMPRODUCT(--($AL545:AP545=AQ545))&lt;$AK545,1,0)</f>
        <v>55</v>
      </c>
      <c r="R545" s="2" t="n">
        <f aca="false">SUM(L545:Q545)</f>
        <v>500</v>
      </c>
      <c r="S545" s="2" t="n">
        <f aca="false">Settings!$B$4*MAX(INDEX(Bases!$M$2:$M$53,B545),INDEX(Bases!$M$2:$M$53,C545))+Settings!$B$5*MIN(INDEX(Bases!$M$2:$M$53,B545),INDEX(Bases!$M$2:$M$53,C545))</f>
        <v>70.3333333333333</v>
      </c>
      <c r="T545" s="2" t="n">
        <f aca="false">Settings!$B$4*MAX(INDEX(Bases!$N$2:$N$53,B545),INDEX(Bases!$N$2:$N$53,C545))+Settings!$B$5*MIN(INDEX(Bases!$N$2:$N$53,B545),INDEX(Bases!$N$2:$N$53,C545))</f>
        <v>67.6666666666667</v>
      </c>
      <c r="U545" s="2" t="n">
        <f aca="false">Settings!$B$4*MAX(INDEX(Bases!$O$2:$O$53,B545),INDEX(Bases!$O$2:$O$53,C545))+Settings!$B$5*MIN(INDEX(Bases!$O$2:$O$53,B545),INDEX(Bases!$O$2:$O$53,C545))</f>
        <v>90.3333333333333</v>
      </c>
      <c r="V545" s="2" t="n">
        <f aca="false">Settings!$B$4*MAX(INDEX(Bases!$P$2:$P$53,B545),INDEX(Bases!$P$2:$P$53,C545))+Settings!$B$5*MIN(INDEX(Bases!$P$2:$P$53,B545),INDEX(Bases!$P$2:$P$53,C545))</f>
        <v>77.6666666666667</v>
      </c>
      <c r="W545" s="2" t="n">
        <f aca="false">Settings!$B$4*MAX(INDEX(Bases!$Q$2:$Q$53,B545),INDEX(Bases!$Q$2:$Q$53,C545))+Settings!$B$5*MIN(INDEX(Bases!$Q$2:$Q$53,B545),INDEX(Bases!$Q$2:$Q$53,C545))</f>
        <v>74.6666666666667</v>
      </c>
      <c r="X545" s="2" t="n">
        <f aca="false">Settings!$B$4*MAX(INDEX(Bases!$R$2:$R$53,B545),INDEX(Bases!$R$2:$R$53,C545))+Settings!$B$5*MIN(INDEX(Bases!$R$2:$R$53,B545),INDEX(Bases!$R$2:$R$53,C545))</f>
        <v>46.6666666666667</v>
      </c>
      <c r="Y545" s="2" t="n">
        <f aca="false">S545*Settings!$B$3/SUM(S545:X545)</f>
        <v>82.2932917316693</v>
      </c>
      <c r="Z545" s="2" t="n">
        <f aca="false">T545*Settings!$B$3/SUM(S545:X545)</f>
        <v>79.1731669266771</v>
      </c>
      <c r="AA545" s="2" t="n">
        <f aca="false">U545*Settings!$B$3/SUM(S545:X545)</f>
        <v>105.694227769111</v>
      </c>
      <c r="AB545" s="2" t="n">
        <f aca="false">V545*Settings!$B$3/SUM(S545:X545)</f>
        <v>90.8736349453978</v>
      </c>
      <c r="AC545" s="2" t="n">
        <f aca="false">W545*Settings!$B$3/SUM(S545:X545)</f>
        <v>87.3634945397816</v>
      </c>
      <c r="AD545" s="2" t="n">
        <f aca="false">X545*Settings!$B$3/SUM(S545:X545)</f>
        <v>54.6021840873635</v>
      </c>
      <c r="AE545" s="2" t="n">
        <f aca="false">INT(Y545)</f>
        <v>82</v>
      </c>
      <c r="AF545" s="2" t="n">
        <f aca="false">INT(Z545)</f>
        <v>79</v>
      </c>
      <c r="AG545" s="2" t="n">
        <f aca="false">INT(AA545)</f>
        <v>105</v>
      </c>
      <c r="AH545" s="2" t="n">
        <f aca="false">INT(AB545)</f>
        <v>90</v>
      </c>
      <c r="AI545" s="2" t="n">
        <f aca="false">INT(AC545)</f>
        <v>87</v>
      </c>
      <c r="AJ545" s="2" t="n">
        <f aca="false">INT(AD545)</f>
        <v>54</v>
      </c>
      <c r="AK545" s="2" t="n">
        <f aca="false">Settings!$B$3-SUM(AE545:AJ545)</f>
        <v>3</v>
      </c>
      <c r="AL545" s="2" t="n">
        <f aca="false">ROUND(Y545-AE545,9)</f>
        <v>0.293291732</v>
      </c>
      <c r="AM545" s="2" t="n">
        <f aca="false">ROUND(Z545-AF545,9)</f>
        <v>0.173166927</v>
      </c>
      <c r="AN545" s="2" t="n">
        <f aca="false">ROUND(AA545-AG545,9)</f>
        <v>0.694227769</v>
      </c>
      <c r="AO545" s="2" t="n">
        <f aca="false">ROUND(AB545-AH545,9)</f>
        <v>0.873634945</v>
      </c>
      <c r="AP545" s="2" t="n">
        <f aca="false">ROUND(AC545-AI545,9)</f>
        <v>0.36349454</v>
      </c>
      <c r="AQ545" s="2" t="n">
        <f aca="false">ROUND(AD545-AJ545,9)</f>
        <v>0.602184087</v>
      </c>
    </row>
    <row r="546" customFormat="false" ht="15" hidden="false" customHeight="false" outlineLevel="0" collapsed="false">
      <c r="A546" s="2" t="n">
        <v>545</v>
      </c>
      <c r="B546" s="6" t="n">
        <v>12</v>
      </c>
      <c r="C546" s="6" t="n">
        <v>51</v>
      </c>
      <c r="D546" s="8" t="str">
        <f aca="false">INDEX(Bases!$B$2:$B$53,B546)</f>
        <v>Mareep</v>
      </c>
      <c r="E546" s="8" t="str">
        <f aca="false">INDEX(Bases!$B$2:$B$53,C546)</f>
        <v>Cleffa</v>
      </c>
      <c r="F546" s="2" t="str">
        <f aca="false">LEFT(D546,ROUNDUP(LEN(D546)/2,0))&amp;LOWER(MID(E546,ROUNDUP(LEN(E546)/2,0)+1,20))</f>
        <v>Marffa</v>
      </c>
      <c r="G546" s="8" t="str">
        <f aca="false">INDEX(Bases!$C$2:$C$53,B546)</f>
        <v>Electric</v>
      </c>
      <c r="H546" s="8" t="str">
        <f aca="false">IF(INDEX(Bases!$C$2:$C$53,C546)=G546,"",INDEX(Bases!$C$2:$C$53,C546))</f>
        <v>Fairy</v>
      </c>
      <c r="I546" s="8" t="str">
        <f aca="false">IF(INDEX(Bases!$E$2:$E$53,B546)="","",INDEX(Bases!$E$2:$E$53,B546))</f>
        <v/>
      </c>
      <c r="J546" s="8" t="str">
        <f aca="false">IF(INDEX(Bases!$E$2:$E$53,C546)="","",INDEX(Bases!$E$2:$E$53,C546))</f>
        <v/>
      </c>
      <c r="K546" s="5"/>
      <c r="L546" s="2" t="n">
        <f aca="false">AE546+IF(SUMPRODUCT(--($AL546:$AQ546&gt;AL546))&lt;$AK546,1,0)</f>
        <v>105</v>
      </c>
      <c r="M546" s="2" t="n">
        <f aca="false">AF546+IF(SUMPRODUCT(--($AL546:$AQ546&gt;AM546))+SUMPRODUCT(--($AL546:AL546=AM546))&lt;$AK546,1,0)</f>
        <v>64</v>
      </c>
      <c r="N546" s="2" t="n">
        <f aca="false">AG546+IF(SUMPRODUCT(--($AL546:$AQ546&gt;AN546))+SUMPRODUCT(--($AL546:AM546=AN546))&lt;$AK546,1,0)</f>
        <v>66</v>
      </c>
      <c r="O546" s="2" t="n">
        <f aca="false">AH546+IF(SUMPRODUCT(--($AL546:$AQ546&gt;AO546))+SUMPRODUCT(--($AL546:AN546=AO546))&lt;$AK546,1,0)</f>
        <v>108</v>
      </c>
      <c r="P546" s="2" t="n">
        <f aca="false">AI546+IF(SUMPRODUCT(--($AL546:$AQ546&gt;AP546))+SUMPRODUCT(--($AL546:AO546=AP546))&lt;$AK546,1,0)</f>
        <v>106</v>
      </c>
      <c r="Q546" s="2" t="n">
        <f aca="false">AJ546+IF(SUMPRODUCT(--($AL546:$AQ546&gt;AQ546))+SUMPRODUCT(--($AL546:AP546=AQ546))&lt;$AK546,1,0)</f>
        <v>51</v>
      </c>
      <c r="R546" s="2" t="n">
        <f aca="false">SUM(L546:Q546)</f>
        <v>500</v>
      </c>
      <c r="S546" s="2" t="n">
        <f aca="false">Settings!$B$4*MAX(INDEX(Bases!$M$2:$M$53,B546),INDEX(Bases!$M$2:$M$53,C546))+Settings!$B$5*MIN(INDEX(Bases!$M$2:$M$53,B546),INDEX(Bases!$M$2:$M$53,C546))</f>
        <v>87.6666666666667</v>
      </c>
      <c r="T546" s="2" t="n">
        <f aca="false">Settings!$B$4*MAX(INDEX(Bases!$N$2:$N$53,B546),INDEX(Bases!$N$2:$N$53,C546))+Settings!$B$5*MIN(INDEX(Bases!$N$2:$N$53,B546),INDEX(Bases!$N$2:$N$53,C546))</f>
        <v>53.3333333333333</v>
      </c>
      <c r="U546" s="2" t="n">
        <f aca="false">Settings!$B$4*MAX(INDEX(Bases!$O$2:$O$53,B546),INDEX(Bases!$O$2:$O$53,C546))+Settings!$B$5*MIN(INDEX(Bases!$O$2:$O$53,B546),INDEX(Bases!$O$2:$O$53,C546))</f>
        <v>55</v>
      </c>
      <c r="V546" s="2" t="n">
        <f aca="false">Settings!$B$4*MAX(INDEX(Bases!$P$2:$P$53,B546),INDEX(Bases!$P$2:$P$53,C546))+Settings!$B$5*MIN(INDEX(Bases!$P$2:$P$53,B546),INDEX(Bases!$P$2:$P$53,C546))</f>
        <v>89.6666666666667</v>
      </c>
      <c r="W546" s="2" t="n">
        <f aca="false">Settings!$B$4*MAX(INDEX(Bases!$Q$2:$Q$53,B546),INDEX(Bases!$Q$2:$Q$53,C546))+Settings!$B$5*MIN(INDEX(Bases!$Q$2:$Q$53,B546),INDEX(Bases!$Q$2:$Q$53,C546))</f>
        <v>88.6666666666667</v>
      </c>
      <c r="X546" s="2" t="n">
        <f aca="false">Settings!$B$4*MAX(INDEX(Bases!$R$2:$R$53,B546),INDEX(Bases!$R$2:$R$53,C546))+Settings!$B$5*MIN(INDEX(Bases!$R$2:$R$53,B546),INDEX(Bases!$R$2:$R$53,C546))</f>
        <v>42.3333333333333</v>
      </c>
      <c r="Y546" s="2" t="n">
        <f aca="false">S546*Settings!$B$3/SUM(S546:X546)</f>
        <v>105.2</v>
      </c>
      <c r="Z546" s="2" t="n">
        <f aca="false">T546*Settings!$B$3/SUM(S546:X546)</f>
        <v>64</v>
      </c>
      <c r="AA546" s="2" t="n">
        <f aca="false">U546*Settings!$B$3/SUM(S546:X546)</f>
        <v>66</v>
      </c>
      <c r="AB546" s="2" t="n">
        <f aca="false">V546*Settings!$B$3/SUM(S546:X546)</f>
        <v>107.6</v>
      </c>
      <c r="AC546" s="2" t="n">
        <f aca="false">W546*Settings!$B$3/SUM(S546:X546)</f>
        <v>106.4</v>
      </c>
      <c r="AD546" s="2" t="n">
        <f aca="false">X546*Settings!$B$3/SUM(S546:X546)</f>
        <v>50.8</v>
      </c>
      <c r="AE546" s="2" t="n">
        <f aca="false">INT(Y546)</f>
        <v>105</v>
      </c>
      <c r="AF546" s="2" t="n">
        <f aca="false">INT(Z546)</f>
        <v>64</v>
      </c>
      <c r="AG546" s="2" t="n">
        <f aca="false">INT(AA546)</f>
        <v>66</v>
      </c>
      <c r="AH546" s="2" t="n">
        <f aca="false">INT(AB546)</f>
        <v>107</v>
      </c>
      <c r="AI546" s="2" t="n">
        <f aca="false">INT(AC546)</f>
        <v>106</v>
      </c>
      <c r="AJ546" s="2" t="n">
        <f aca="false">INT(AD546)</f>
        <v>50</v>
      </c>
      <c r="AK546" s="2" t="n">
        <f aca="false">Settings!$B$3-SUM(AE546:AJ546)</f>
        <v>2</v>
      </c>
      <c r="AL546" s="2" t="n">
        <f aca="false">ROUND(Y546-AE546,9)</f>
        <v>0.2</v>
      </c>
      <c r="AM546" s="2" t="n">
        <f aca="false">ROUND(Z546-AF546,9)</f>
        <v>0</v>
      </c>
      <c r="AN546" s="2" t="n">
        <f aca="false">ROUND(AA546-AG546,9)</f>
        <v>0</v>
      </c>
      <c r="AO546" s="2" t="n">
        <f aca="false">ROUND(AB546-AH546,9)</f>
        <v>0.6</v>
      </c>
      <c r="AP546" s="2" t="n">
        <f aca="false">ROUND(AC546-AI546,9)</f>
        <v>0.4</v>
      </c>
      <c r="AQ546" s="2" t="n">
        <f aca="false">ROUND(AD546-AJ546,9)</f>
        <v>0.8</v>
      </c>
    </row>
    <row r="547" customFormat="false" ht="15" hidden="false" customHeight="false" outlineLevel="0" collapsed="false">
      <c r="A547" s="2" t="n">
        <v>546</v>
      </c>
      <c r="B547" s="6" t="n">
        <v>12</v>
      </c>
      <c r="C547" s="6" t="n">
        <v>52</v>
      </c>
      <c r="D547" s="8" t="str">
        <f aca="false">INDEX(Bases!$B$2:$B$53,B547)</f>
        <v>Mareep</v>
      </c>
      <c r="E547" s="8" t="str">
        <f aca="false">INDEX(Bases!$B$2:$B$53,C547)</f>
        <v>Togepi</v>
      </c>
      <c r="F547" s="2" t="str">
        <f aca="false">LEFT(D547,ROUNDUP(LEN(D547)/2,0))&amp;LOWER(MID(E547,ROUNDUP(LEN(E547)/2,0)+1,20))</f>
        <v>Marepi</v>
      </c>
      <c r="G547" s="8" t="str">
        <f aca="false">INDEX(Bases!$C$2:$C$53,B547)</f>
        <v>Electric</v>
      </c>
      <c r="H547" s="8" t="str">
        <f aca="false">IF(INDEX(Bases!$C$2:$C$53,C547)=G547,"",INDEX(Bases!$C$2:$C$53,C547))</f>
        <v>Fairy</v>
      </c>
      <c r="I547" s="8" t="str">
        <f aca="false">IF(INDEX(Bases!$E$2:$E$53,B547)="","",INDEX(Bases!$E$2:$E$53,B547))</f>
        <v/>
      </c>
      <c r="J547" s="8" t="str">
        <f aca="false">IF(INDEX(Bases!$E$2:$E$53,C547)="","",INDEX(Bases!$E$2:$E$53,C547))</f>
        <v/>
      </c>
      <c r="K547" s="5"/>
      <c r="L547" s="2" t="n">
        <f aca="false">AE547+IF(SUMPRODUCT(--($AL547:$AQ547&gt;AL547))&lt;$AK547,1,0)</f>
        <v>83</v>
      </c>
      <c r="M547" s="2" t="n">
        <f aca="false">AF547+IF(SUMPRODUCT(--($AL547:$AQ547&gt;AM547))+SUMPRODUCT(--($AL547:AL547=AM547))&lt;$AK547,1,0)</f>
        <v>57</v>
      </c>
      <c r="N547" s="2" t="n">
        <f aca="false">AG547+IF(SUMPRODUCT(--($AL547:$AQ547&gt;AN547))+SUMPRODUCT(--($AL547:AM547=AN547))&lt;$AK547,1,0)</f>
        <v>104</v>
      </c>
      <c r="O547" s="2" t="n">
        <f aca="false">AH547+IF(SUMPRODUCT(--($AL547:$AQ547&gt;AO547))+SUMPRODUCT(--($AL547:AN547=AO547))&lt;$AK547,1,0)</f>
        <v>97</v>
      </c>
      <c r="P547" s="2" t="n">
        <f aca="false">AI547+IF(SUMPRODUCT(--($AL547:$AQ547&gt;AP547))+SUMPRODUCT(--($AL547:AO547=AP547))&lt;$AK547,1,0)</f>
        <v>107</v>
      </c>
      <c r="Q547" s="2" t="n">
        <f aca="false">AJ547+IF(SUMPRODUCT(--($AL547:$AQ547&gt;AQ547))+SUMPRODUCT(--($AL547:AP547=AQ547))&lt;$AK547,1,0)</f>
        <v>52</v>
      </c>
      <c r="R547" s="2" t="n">
        <f aca="false">SUM(L547:Q547)</f>
        <v>500</v>
      </c>
      <c r="S547" s="2" t="n">
        <f aca="false">Settings!$B$4*MAX(INDEX(Bases!$M$2:$M$53,B547),INDEX(Bases!$M$2:$M$53,C547))+Settings!$B$5*MIN(INDEX(Bases!$M$2:$M$53,B547),INDEX(Bases!$M$2:$M$53,C547))</f>
        <v>71.6666666666667</v>
      </c>
      <c r="T547" s="2" t="n">
        <f aca="false">Settings!$B$4*MAX(INDEX(Bases!$N$2:$N$53,B547),INDEX(Bases!$N$2:$N$53,C547))+Settings!$B$5*MIN(INDEX(Bases!$N$2:$N$53,B547),INDEX(Bases!$N$2:$N$53,C547))</f>
        <v>49</v>
      </c>
      <c r="U547" s="2" t="n">
        <f aca="false">Settings!$B$4*MAX(INDEX(Bases!$O$2:$O$53,B547),INDEX(Bases!$O$2:$O$53,C547))+Settings!$B$5*MIN(INDEX(Bases!$O$2:$O$53,B547),INDEX(Bases!$O$2:$O$53,C547))</f>
        <v>89.6666666666667</v>
      </c>
      <c r="V547" s="2" t="n">
        <f aca="false">Settings!$B$4*MAX(INDEX(Bases!$P$2:$P$53,B547),INDEX(Bases!$P$2:$P$53,C547))+Settings!$B$5*MIN(INDEX(Bases!$P$2:$P$53,B547),INDEX(Bases!$P$2:$P$53,C547))</f>
        <v>83.6666666666667</v>
      </c>
      <c r="W547" s="2" t="n">
        <f aca="false">Settings!$B$4*MAX(INDEX(Bases!$Q$2:$Q$53,B547),INDEX(Bases!$Q$2:$Q$53,C547))+Settings!$B$5*MIN(INDEX(Bases!$Q$2:$Q$53,B547),INDEX(Bases!$Q$2:$Q$53,C547))</f>
        <v>92</v>
      </c>
      <c r="X547" s="2" t="n">
        <f aca="false">Settings!$B$4*MAX(INDEX(Bases!$R$2:$R$53,B547),INDEX(Bases!$R$2:$R$53,C547))+Settings!$B$5*MIN(INDEX(Bases!$R$2:$R$53,B547),INDEX(Bases!$R$2:$R$53,C547))</f>
        <v>44.3333333333333</v>
      </c>
      <c r="Y547" s="2" t="n">
        <f aca="false">S547*Settings!$B$3/SUM(S547:X547)</f>
        <v>83.2687838884586</v>
      </c>
      <c r="Z547" s="2" t="n">
        <f aca="false">T547*Settings!$B$3/SUM(S547:X547)</f>
        <v>56.9326103795507</v>
      </c>
      <c r="AA547" s="2" t="n">
        <f aca="false">U547*Settings!$B$3/SUM(S547:X547)</f>
        <v>104.182804027885</v>
      </c>
      <c r="AB547" s="2" t="n">
        <f aca="false">V547*Settings!$B$3/SUM(S547:X547)</f>
        <v>97.2114639814098</v>
      </c>
      <c r="AC547" s="2" t="n">
        <f aca="false">W547*Settings!$B$3/SUM(S547:X547)</f>
        <v>106.893880712626</v>
      </c>
      <c r="AD547" s="2" t="n">
        <f aca="false">X547*Settings!$B$3/SUM(S547:X547)</f>
        <v>51.5104570100697</v>
      </c>
      <c r="AE547" s="2" t="n">
        <f aca="false">INT(Y547)</f>
        <v>83</v>
      </c>
      <c r="AF547" s="2" t="n">
        <f aca="false">INT(Z547)</f>
        <v>56</v>
      </c>
      <c r="AG547" s="2" t="n">
        <f aca="false">INT(AA547)</f>
        <v>104</v>
      </c>
      <c r="AH547" s="2" t="n">
        <f aca="false">INT(AB547)</f>
        <v>97</v>
      </c>
      <c r="AI547" s="2" t="n">
        <f aca="false">INT(AC547)</f>
        <v>106</v>
      </c>
      <c r="AJ547" s="2" t="n">
        <f aca="false">INT(AD547)</f>
        <v>51</v>
      </c>
      <c r="AK547" s="2" t="n">
        <f aca="false">Settings!$B$3-SUM(AE547:AJ547)</f>
        <v>3</v>
      </c>
      <c r="AL547" s="2" t="n">
        <f aca="false">ROUND(Y547-AE547,9)</f>
        <v>0.268783888</v>
      </c>
      <c r="AM547" s="2" t="n">
        <f aca="false">ROUND(Z547-AF547,9)</f>
        <v>0.93261038</v>
      </c>
      <c r="AN547" s="2" t="n">
        <f aca="false">ROUND(AA547-AG547,9)</f>
        <v>0.182804028</v>
      </c>
      <c r="AO547" s="2" t="n">
        <f aca="false">ROUND(AB547-AH547,9)</f>
        <v>0.211463981</v>
      </c>
      <c r="AP547" s="2" t="n">
        <f aca="false">ROUND(AC547-AI547,9)</f>
        <v>0.893880713</v>
      </c>
      <c r="AQ547" s="2" t="n">
        <f aca="false">ROUND(AD547-AJ547,9)</f>
        <v>0.51045701</v>
      </c>
    </row>
    <row r="548" customFormat="false" ht="15" hidden="false" customHeight="false" outlineLevel="0" collapsed="false">
      <c r="A548" s="2" t="n">
        <v>547</v>
      </c>
      <c r="B548" s="6" t="n">
        <v>13</v>
      </c>
      <c r="C548" s="6" t="n">
        <v>14</v>
      </c>
      <c r="D548" s="8" t="str">
        <f aca="false">INDEX(Bases!$B$2:$B$53,B548)</f>
        <v>Bulbasaur</v>
      </c>
      <c r="E548" s="8" t="str">
        <f aca="false">INDEX(Bases!$B$2:$B$53,C548)</f>
        <v>Celebi</v>
      </c>
      <c r="F548" s="2" t="str">
        <f aca="false">LEFT(D548,ROUNDUP(LEN(D548)/2,0))&amp;LOWER(MID(E548,ROUNDUP(LEN(E548)/2,0)+1,20))</f>
        <v>Bulbaebi</v>
      </c>
      <c r="G548" s="8" t="str">
        <f aca="false">INDEX(Bases!$C$2:$C$53,B548)</f>
        <v>Grass</v>
      </c>
      <c r="H548" s="8" t="str">
        <f aca="false">IF(INDEX(Bases!$C$2:$C$53,C548)=G548,"",INDEX(Bases!$C$2:$C$53,C548))</f>
        <v/>
      </c>
      <c r="I548" s="8" t="str">
        <f aca="false">IF(INDEX(Bases!$E$2:$E$53,B548)="","",INDEX(Bases!$E$2:$E$53,B548))</f>
        <v/>
      </c>
      <c r="J548" s="8" t="str">
        <f aca="false">IF(INDEX(Bases!$E$2:$E$53,C548)="","",INDEX(Bases!$E$2:$E$53,C548))</f>
        <v/>
      </c>
      <c r="K548" s="5"/>
      <c r="L548" s="2" t="n">
        <f aca="false">AE548+IF(SUMPRODUCT(--($AL548:$AQ548&gt;AL548))&lt;$AK548,1,0)</f>
        <v>77</v>
      </c>
      <c r="M548" s="2" t="n">
        <f aca="false">AF548+IF(SUMPRODUCT(--($AL548:$AQ548&gt;AM548))+SUMPRODUCT(--($AL548:AL548=AM548))&lt;$AK548,1,0)</f>
        <v>80</v>
      </c>
      <c r="N548" s="2" t="n">
        <f aca="false">AG548+IF(SUMPRODUCT(--($AL548:$AQ548&gt;AN548))+SUMPRODUCT(--($AL548:AM548=AN548))&lt;$AK548,1,0)</f>
        <v>80</v>
      </c>
      <c r="O548" s="2" t="n">
        <f aca="false">AH548+IF(SUMPRODUCT(--($AL548:$AQ548&gt;AO548))+SUMPRODUCT(--($AL548:AN548=AO548))&lt;$AK548,1,0)</f>
        <v>94</v>
      </c>
      <c r="P548" s="2" t="n">
        <f aca="false">AI548+IF(SUMPRODUCT(--($AL548:$AQ548&gt;AP548))+SUMPRODUCT(--($AL548:AO548=AP548))&lt;$AK548,1,0)</f>
        <v>93</v>
      </c>
      <c r="Q548" s="2" t="n">
        <f aca="false">AJ548+IF(SUMPRODUCT(--($AL548:$AQ548&gt;AQ548))+SUMPRODUCT(--($AL548:AP548=AQ548))&lt;$AK548,1,0)</f>
        <v>76</v>
      </c>
      <c r="R548" s="2" t="n">
        <f aca="false">SUM(L548:Q548)</f>
        <v>500</v>
      </c>
      <c r="S548" s="2" t="n">
        <f aca="false">Settings!$B$4*MAX(INDEX(Bases!$M$2:$M$53,B548),INDEX(Bases!$M$2:$M$53,C548))+Settings!$B$5*MIN(INDEX(Bases!$M$2:$M$53,B548),INDEX(Bases!$M$2:$M$53,C548))</f>
        <v>63.3333333333333</v>
      </c>
      <c r="T548" s="2" t="n">
        <f aca="false">Settings!$B$4*MAX(INDEX(Bases!$N$2:$N$53,B548),INDEX(Bases!$N$2:$N$53,C548))+Settings!$B$5*MIN(INDEX(Bases!$N$2:$N$53,B548),INDEX(Bases!$N$2:$N$53,C548))</f>
        <v>65.3333333333333</v>
      </c>
      <c r="U548" s="2" t="n">
        <f aca="false">Settings!$B$4*MAX(INDEX(Bases!$O$2:$O$53,B548),INDEX(Bases!$O$2:$O$53,C548))+Settings!$B$5*MIN(INDEX(Bases!$O$2:$O$53,B548),INDEX(Bases!$O$2:$O$53,C548))</f>
        <v>65.3333333333333</v>
      </c>
      <c r="V548" s="2" t="n">
        <f aca="false">Settings!$B$4*MAX(INDEX(Bases!$P$2:$P$53,B548),INDEX(Bases!$P$2:$P$53,C548))+Settings!$B$5*MIN(INDEX(Bases!$P$2:$P$53,B548),INDEX(Bases!$P$2:$P$53,C548))</f>
        <v>77</v>
      </c>
      <c r="W548" s="2" t="n">
        <f aca="false">Settings!$B$4*MAX(INDEX(Bases!$Q$2:$Q$53,B548),INDEX(Bases!$Q$2:$Q$53,C548))+Settings!$B$5*MIN(INDEX(Bases!$Q$2:$Q$53,B548),INDEX(Bases!$Q$2:$Q$53,C548))</f>
        <v>76.6666666666667</v>
      </c>
      <c r="X548" s="2" t="n">
        <f aca="false">Settings!$B$4*MAX(INDEX(Bases!$R$2:$R$53,B548),INDEX(Bases!$R$2:$R$53,C548))+Settings!$B$5*MIN(INDEX(Bases!$R$2:$R$53,B548),INDEX(Bases!$R$2:$R$53,C548))</f>
        <v>62.6666666666667</v>
      </c>
      <c r="Y548" s="2" t="n">
        <f aca="false">S548*Settings!$B$3/SUM(S548:X548)</f>
        <v>77.1730300568643</v>
      </c>
      <c r="Z548" s="2" t="n">
        <f aca="false">T548*Settings!$B$3/SUM(S548:X548)</f>
        <v>79.6100731112916</v>
      </c>
      <c r="AA548" s="2" t="n">
        <f aca="false">U548*Settings!$B$3/SUM(S548:X548)</f>
        <v>79.6100731112916</v>
      </c>
      <c r="AB548" s="2" t="n">
        <f aca="false">V548*Settings!$B$3/SUM(S548:X548)</f>
        <v>93.8261575954509</v>
      </c>
      <c r="AC548" s="2" t="n">
        <f aca="false">W548*Settings!$B$3/SUM(S548:X548)</f>
        <v>93.4199837530463</v>
      </c>
      <c r="AD548" s="2" t="n">
        <f aca="false">X548*Settings!$B$3/SUM(S548:X548)</f>
        <v>76.3606823720553</v>
      </c>
      <c r="AE548" s="2" t="n">
        <f aca="false">INT(Y548)</f>
        <v>77</v>
      </c>
      <c r="AF548" s="2" t="n">
        <f aca="false">INT(Z548)</f>
        <v>79</v>
      </c>
      <c r="AG548" s="2" t="n">
        <f aca="false">INT(AA548)</f>
        <v>79</v>
      </c>
      <c r="AH548" s="2" t="n">
        <f aca="false">INT(AB548)</f>
        <v>93</v>
      </c>
      <c r="AI548" s="2" t="n">
        <f aca="false">INT(AC548)</f>
        <v>93</v>
      </c>
      <c r="AJ548" s="2" t="n">
        <f aca="false">INT(AD548)</f>
        <v>76</v>
      </c>
      <c r="AK548" s="2" t="n">
        <f aca="false">Settings!$B$3-SUM(AE548:AJ548)</f>
        <v>3</v>
      </c>
      <c r="AL548" s="2" t="n">
        <f aca="false">ROUND(Y548-AE548,9)</f>
        <v>0.173030057</v>
      </c>
      <c r="AM548" s="2" t="n">
        <f aca="false">ROUND(Z548-AF548,9)</f>
        <v>0.610073111</v>
      </c>
      <c r="AN548" s="2" t="n">
        <f aca="false">ROUND(AA548-AG548,9)</f>
        <v>0.610073111</v>
      </c>
      <c r="AO548" s="2" t="n">
        <f aca="false">ROUND(AB548-AH548,9)</f>
        <v>0.826157595</v>
      </c>
      <c r="AP548" s="2" t="n">
        <f aca="false">ROUND(AC548-AI548,9)</f>
        <v>0.419983753</v>
      </c>
      <c r="AQ548" s="2" t="n">
        <f aca="false">ROUND(AD548-AJ548,9)</f>
        <v>0.360682372</v>
      </c>
    </row>
    <row r="549" customFormat="false" ht="15" hidden="false" customHeight="false" outlineLevel="0" collapsed="false">
      <c r="A549" s="2" t="n">
        <v>548</v>
      </c>
      <c r="B549" s="6" t="n">
        <v>13</v>
      </c>
      <c r="C549" s="6" t="n">
        <v>15</v>
      </c>
      <c r="D549" s="8" t="str">
        <f aca="false">INDEX(Bases!$B$2:$B$53,B549)</f>
        <v>Bulbasaur</v>
      </c>
      <c r="E549" s="8" t="str">
        <f aca="false">INDEX(Bases!$B$2:$B$53,C549)</f>
        <v>Shroomish</v>
      </c>
      <c r="F549" s="2" t="str">
        <f aca="false">LEFT(D549,ROUNDUP(LEN(D549)/2,0))&amp;LOWER(MID(E549,ROUNDUP(LEN(E549)/2,0)+1,20))</f>
        <v>Bulbamish</v>
      </c>
      <c r="G549" s="8" t="str">
        <f aca="false">INDEX(Bases!$C$2:$C$53,B549)</f>
        <v>Grass</v>
      </c>
      <c r="H549" s="8" t="str">
        <f aca="false">IF(INDEX(Bases!$C$2:$C$53,C549)=G549,"",INDEX(Bases!$C$2:$C$53,C549))</f>
        <v/>
      </c>
      <c r="I549" s="8" t="str">
        <f aca="false">IF(INDEX(Bases!$E$2:$E$53,B549)="","",INDEX(Bases!$E$2:$E$53,B549))</f>
        <v/>
      </c>
      <c r="J549" s="8" t="str">
        <f aca="false">IF(INDEX(Bases!$E$2:$E$53,C549)="","",INDEX(Bases!$E$2:$E$53,C549))</f>
        <v/>
      </c>
      <c r="K549" s="5"/>
      <c r="L549" s="2" t="n">
        <f aca="false">AE549+IF(SUMPRODUCT(--($AL549:$AQ549&gt;AL549))&lt;$AK549,1,0)</f>
        <v>88</v>
      </c>
      <c r="M549" s="2" t="n">
        <f aca="false">AF549+IF(SUMPRODUCT(--($AL549:$AQ549&gt;AM549))+SUMPRODUCT(--($AL549:AL549=AM549))&lt;$AK549,1,0)</f>
        <v>72</v>
      </c>
      <c r="N549" s="2" t="n">
        <f aca="false">AG549+IF(SUMPRODUCT(--($AL549:$AQ549&gt;AN549))+SUMPRODUCT(--($AL549:AM549=AN549))&lt;$AK549,1,0)</f>
        <v>90</v>
      </c>
      <c r="O549" s="2" t="n">
        <f aca="false">AH549+IF(SUMPRODUCT(--($AL549:$AQ549&gt;AO549))+SUMPRODUCT(--($AL549:AN549=AO549))&lt;$AK549,1,0)</f>
        <v>88</v>
      </c>
      <c r="P549" s="2" t="n">
        <f aca="false">AI549+IF(SUMPRODUCT(--($AL549:$AQ549&gt;AP549))+SUMPRODUCT(--($AL549:AO549=AP549))&lt;$AK549,1,0)</f>
        <v>98</v>
      </c>
      <c r="Q549" s="2" t="n">
        <f aca="false">AJ549+IF(SUMPRODUCT(--($AL549:$AQ549&gt;AQ549))+SUMPRODUCT(--($AL549:AP549=AQ549))&lt;$AK549,1,0)</f>
        <v>64</v>
      </c>
      <c r="R549" s="2" t="n">
        <f aca="false">SUM(L549:Q549)</f>
        <v>500</v>
      </c>
      <c r="S549" s="2" t="n">
        <f aca="false">Settings!$B$4*MAX(INDEX(Bases!$M$2:$M$53,B549),INDEX(Bases!$M$2:$M$53,C549))+Settings!$B$5*MIN(INDEX(Bases!$M$2:$M$53,B549),INDEX(Bases!$M$2:$M$53,C549))</f>
        <v>73.3333333333333</v>
      </c>
      <c r="T549" s="2" t="n">
        <f aca="false">Settings!$B$4*MAX(INDEX(Bases!$N$2:$N$53,B549),INDEX(Bases!$N$2:$N$53,C549))+Settings!$B$5*MIN(INDEX(Bases!$N$2:$N$53,B549),INDEX(Bases!$N$2:$N$53,C549))</f>
        <v>59.3333333333333</v>
      </c>
      <c r="U549" s="2" t="n">
        <f aca="false">Settings!$B$4*MAX(INDEX(Bases!$O$2:$O$53,B549),INDEX(Bases!$O$2:$O$53,C549))+Settings!$B$5*MIN(INDEX(Bases!$O$2:$O$53,B549),INDEX(Bases!$O$2:$O$53,C549))</f>
        <v>74.6666666666667</v>
      </c>
      <c r="V549" s="2" t="n">
        <f aca="false">Settings!$B$4*MAX(INDEX(Bases!$P$2:$P$53,B549),INDEX(Bases!$P$2:$P$53,C549))+Settings!$B$5*MIN(INDEX(Bases!$P$2:$P$53,B549),INDEX(Bases!$P$2:$P$53,C549))</f>
        <v>72.6666666666667</v>
      </c>
      <c r="W549" s="2" t="n">
        <f aca="false">Settings!$B$4*MAX(INDEX(Bases!$Q$2:$Q$53,B549),INDEX(Bases!$Q$2:$Q$53,C549))+Settings!$B$5*MIN(INDEX(Bases!$Q$2:$Q$53,B549),INDEX(Bases!$Q$2:$Q$53,C549))</f>
        <v>81.6666666666667</v>
      </c>
      <c r="X549" s="2" t="n">
        <f aca="false">Settings!$B$4*MAX(INDEX(Bases!$R$2:$R$53,B549),INDEX(Bases!$R$2:$R$53,C549))+Settings!$B$5*MIN(INDEX(Bases!$R$2:$R$53,B549),INDEX(Bases!$R$2:$R$53,C549))</f>
        <v>53.3333333333333</v>
      </c>
      <c r="Y549" s="2" t="n">
        <f aca="false">S549*Settings!$B$3/SUM(S549:X549)</f>
        <v>88.3534136546185</v>
      </c>
      <c r="Z549" s="2" t="n">
        <f aca="false">T549*Settings!$B$3/SUM(S549:X549)</f>
        <v>71.4859437751004</v>
      </c>
      <c r="AA549" s="2" t="n">
        <f aca="false">U549*Settings!$B$3/SUM(S549:X549)</f>
        <v>89.9598393574297</v>
      </c>
      <c r="AB549" s="2" t="n">
        <f aca="false">V549*Settings!$B$3/SUM(S549:X549)</f>
        <v>87.5502008032129</v>
      </c>
      <c r="AC549" s="2" t="n">
        <f aca="false">W549*Settings!$B$3/SUM(S549:X549)</f>
        <v>98.3935742971888</v>
      </c>
      <c r="AD549" s="2" t="n">
        <f aca="false">X549*Settings!$B$3/SUM(S549:X549)</f>
        <v>64.2570281124498</v>
      </c>
      <c r="AE549" s="2" t="n">
        <f aca="false">INT(Y549)</f>
        <v>88</v>
      </c>
      <c r="AF549" s="2" t="n">
        <f aca="false">INT(Z549)</f>
        <v>71</v>
      </c>
      <c r="AG549" s="2" t="n">
        <f aca="false">INT(AA549)</f>
        <v>89</v>
      </c>
      <c r="AH549" s="2" t="n">
        <f aca="false">INT(AB549)</f>
        <v>87</v>
      </c>
      <c r="AI549" s="2" t="n">
        <f aca="false">INT(AC549)</f>
        <v>98</v>
      </c>
      <c r="AJ549" s="2" t="n">
        <f aca="false">INT(AD549)</f>
        <v>64</v>
      </c>
      <c r="AK549" s="2" t="n">
        <f aca="false">Settings!$B$3-SUM(AE549:AJ549)</f>
        <v>3</v>
      </c>
      <c r="AL549" s="2" t="n">
        <f aca="false">ROUND(Y549-AE549,9)</f>
        <v>0.353413655</v>
      </c>
      <c r="AM549" s="2" t="n">
        <f aca="false">ROUND(Z549-AF549,9)</f>
        <v>0.485943775</v>
      </c>
      <c r="AN549" s="2" t="n">
        <f aca="false">ROUND(AA549-AG549,9)</f>
        <v>0.959839357</v>
      </c>
      <c r="AO549" s="2" t="n">
        <f aca="false">ROUND(AB549-AH549,9)</f>
        <v>0.550200803</v>
      </c>
      <c r="AP549" s="2" t="n">
        <f aca="false">ROUND(AC549-AI549,9)</f>
        <v>0.393574297</v>
      </c>
      <c r="AQ549" s="2" t="n">
        <f aca="false">ROUND(AD549-AJ549,9)</f>
        <v>0.257028112</v>
      </c>
    </row>
    <row r="550" customFormat="false" ht="15" hidden="false" customHeight="false" outlineLevel="0" collapsed="false">
      <c r="A550" s="2" t="n">
        <v>549</v>
      </c>
      <c r="B550" s="6" t="n">
        <v>13</v>
      </c>
      <c r="C550" s="6" t="n">
        <v>16</v>
      </c>
      <c r="D550" s="8" t="str">
        <f aca="false">INDEX(Bases!$B$2:$B$53,B550)</f>
        <v>Bulbasaur</v>
      </c>
      <c r="E550" s="8" t="str">
        <f aca="false">INDEX(Bases!$B$2:$B$53,C550)</f>
        <v>Swinub</v>
      </c>
      <c r="F550" s="2" t="str">
        <f aca="false">LEFT(D550,ROUNDUP(LEN(D550)/2,0))&amp;LOWER(MID(E550,ROUNDUP(LEN(E550)/2,0)+1,20))</f>
        <v>Bulbanub</v>
      </c>
      <c r="G550" s="8" t="str">
        <f aca="false">INDEX(Bases!$C$2:$C$53,B550)</f>
        <v>Grass</v>
      </c>
      <c r="H550" s="8" t="str">
        <f aca="false">IF(INDEX(Bases!$C$2:$C$53,C550)=G550,"",INDEX(Bases!$C$2:$C$53,C550))</f>
        <v>Ice</v>
      </c>
      <c r="I550" s="8" t="str">
        <f aca="false">IF(INDEX(Bases!$E$2:$E$53,B550)="","",INDEX(Bases!$E$2:$E$53,B550))</f>
        <v/>
      </c>
      <c r="J550" s="8" t="str">
        <f aca="false">IF(INDEX(Bases!$E$2:$E$53,C550)="","",INDEX(Bases!$E$2:$E$53,C550))</f>
        <v/>
      </c>
      <c r="K550" s="5"/>
      <c r="L550" s="2" t="n">
        <f aca="false">AE550+IF(SUMPRODUCT(--($AL550:$AQ550&gt;AL550))&lt;$AK550,1,0)</f>
        <v>85</v>
      </c>
      <c r="M550" s="2" t="n">
        <f aca="false">AF550+IF(SUMPRODUCT(--($AL550:$AQ550&gt;AM550))+SUMPRODUCT(--($AL550:AL550=AM550))&lt;$AK550,1,0)</f>
        <v>87</v>
      </c>
      <c r="N550" s="2" t="n">
        <f aca="false">AG550+IF(SUMPRODUCT(--($AL550:$AQ550&gt;AN550))+SUMPRODUCT(--($AL550:AM550=AN550))&lt;$AK550,1,0)</f>
        <v>75</v>
      </c>
      <c r="O550" s="2" t="n">
        <f aca="false">AH550+IF(SUMPRODUCT(--($AL550:$AQ550&gt;AO550))+SUMPRODUCT(--($AL550:AN550=AO550))&lt;$AK550,1,0)</f>
        <v>84</v>
      </c>
      <c r="P550" s="2" t="n">
        <f aca="false">AI550+IF(SUMPRODUCT(--($AL550:$AQ550&gt;AP550))+SUMPRODUCT(--($AL550:AO550=AP550))&lt;$AK550,1,0)</f>
        <v>84</v>
      </c>
      <c r="Q550" s="2" t="n">
        <f aca="false">AJ550+IF(SUMPRODUCT(--($AL550:$AQ550&gt;AQ550))+SUMPRODUCT(--($AL550:AP550=AQ550))&lt;$AK550,1,0)</f>
        <v>85</v>
      </c>
      <c r="R550" s="2" t="n">
        <f aca="false">SUM(L550:Q550)</f>
        <v>500</v>
      </c>
      <c r="S550" s="2" t="n">
        <f aca="false">Settings!$B$4*MAX(INDEX(Bases!$M$2:$M$53,B550),INDEX(Bases!$M$2:$M$53,C550))+Settings!$B$5*MIN(INDEX(Bases!$M$2:$M$53,B550),INDEX(Bases!$M$2:$M$53,C550))</f>
        <v>72</v>
      </c>
      <c r="T550" s="2" t="n">
        <f aca="false">Settings!$B$4*MAX(INDEX(Bases!$N$2:$N$53,B550),INDEX(Bases!$N$2:$N$53,C550))+Settings!$B$5*MIN(INDEX(Bases!$N$2:$N$53,B550),INDEX(Bases!$N$2:$N$53,C550))</f>
        <v>74</v>
      </c>
      <c r="U550" s="2" t="n">
        <f aca="false">Settings!$B$4*MAX(INDEX(Bases!$O$2:$O$53,B550),INDEX(Bases!$O$2:$O$53,C550))+Settings!$B$5*MIN(INDEX(Bases!$O$2:$O$53,B550),INDEX(Bases!$O$2:$O$53,C550))</f>
        <v>63.3333333333333</v>
      </c>
      <c r="V550" s="2" t="n">
        <f aca="false">Settings!$B$4*MAX(INDEX(Bases!$P$2:$P$53,B550),INDEX(Bases!$P$2:$P$53,C550))+Settings!$B$5*MIN(INDEX(Bases!$P$2:$P$53,B550),INDEX(Bases!$P$2:$P$53,C550))</f>
        <v>70.6666666666667</v>
      </c>
      <c r="W550" s="2" t="n">
        <f aca="false">Settings!$B$4*MAX(INDEX(Bases!$Q$2:$Q$53,B550),INDEX(Bases!$Q$2:$Q$53,C550))+Settings!$B$5*MIN(INDEX(Bases!$Q$2:$Q$53,B550),INDEX(Bases!$Q$2:$Q$53,C550))</f>
        <v>70.6666666666667</v>
      </c>
      <c r="X550" s="2" t="n">
        <f aca="false">Settings!$B$4*MAX(INDEX(Bases!$R$2:$R$53,B550),INDEX(Bases!$R$2:$R$53,C550))+Settings!$B$5*MIN(INDEX(Bases!$R$2:$R$53,B550),INDEX(Bases!$R$2:$R$53,C550))</f>
        <v>72</v>
      </c>
      <c r="Y550" s="2" t="n">
        <f aca="false">S550*Settings!$B$3/SUM(S550:X550)</f>
        <v>85.1735015772871</v>
      </c>
      <c r="Z550" s="2" t="n">
        <f aca="false">T550*Settings!$B$3/SUM(S550:X550)</f>
        <v>87.5394321766562</v>
      </c>
      <c r="AA550" s="2" t="n">
        <f aca="false">U550*Settings!$B$3/SUM(S550:X550)</f>
        <v>74.9211356466877</v>
      </c>
      <c r="AB550" s="2" t="n">
        <f aca="false">V550*Settings!$B$3/SUM(S550:X550)</f>
        <v>83.596214511041</v>
      </c>
      <c r="AC550" s="2" t="n">
        <f aca="false">W550*Settings!$B$3/SUM(S550:X550)</f>
        <v>83.596214511041</v>
      </c>
      <c r="AD550" s="2" t="n">
        <f aca="false">X550*Settings!$B$3/SUM(S550:X550)</f>
        <v>85.1735015772871</v>
      </c>
      <c r="AE550" s="2" t="n">
        <f aca="false">INT(Y550)</f>
        <v>85</v>
      </c>
      <c r="AF550" s="2" t="n">
        <f aca="false">INT(Z550)</f>
        <v>87</v>
      </c>
      <c r="AG550" s="2" t="n">
        <f aca="false">INT(AA550)</f>
        <v>74</v>
      </c>
      <c r="AH550" s="2" t="n">
        <f aca="false">INT(AB550)</f>
        <v>83</v>
      </c>
      <c r="AI550" s="2" t="n">
        <f aca="false">INT(AC550)</f>
        <v>83</v>
      </c>
      <c r="AJ550" s="2" t="n">
        <f aca="false">INT(AD550)</f>
        <v>85</v>
      </c>
      <c r="AK550" s="2" t="n">
        <f aca="false">Settings!$B$3-SUM(AE550:AJ550)</f>
        <v>3</v>
      </c>
      <c r="AL550" s="2" t="n">
        <f aca="false">ROUND(Y550-AE550,9)</f>
        <v>0.173501577</v>
      </c>
      <c r="AM550" s="2" t="n">
        <f aca="false">ROUND(Z550-AF550,9)</f>
        <v>0.539432177</v>
      </c>
      <c r="AN550" s="2" t="n">
        <f aca="false">ROUND(AA550-AG550,9)</f>
        <v>0.921135647</v>
      </c>
      <c r="AO550" s="2" t="n">
        <f aca="false">ROUND(AB550-AH550,9)</f>
        <v>0.596214511</v>
      </c>
      <c r="AP550" s="2" t="n">
        <f aca="false">ROUND(AC550-AI550,9)</f>
        <v>0.596214511</v>
      </c>
      <c r="AQ550" s="2" t="n">
        <f aca="false">ROUND(AD550-AJ550,9)</f>
        <v>0.173501577</v>
      </c>
    </row>
    <row r="551" customFormat="false" ht="15" hidden="false" customHeight="false" outlineLevel="0" collapsed="false">
      <c r="A551" s="2" t="n">
        <v>550</v>
      </c>
      <c r="B551" s="6" t="n">
        <v>13</v>
      </c>
      <c r="C551" s="6" t="n">
        <v>17</v>
      </c>
      <c r="D551" s="8" t="str">
        <f aca="false">INDEX(Bases!$B$2:$B$53,B551)</f>
        <v>Bulbasaur</v>
      </c>
      <c r="E551" s="8" t="str">
        <f aca="false">INDEX(Bases!$B$2:$B$53,C551)</f>
        <v>Snorunt</v>
      </c>
      <c r="F551" s="2" t="str">
        <f aca="false">LEFT(D551,ROUNDUP(LEN(D551)/2,0))&amp;LOWER(MID(E551,ROUNDUP(LEN(E551)/2,0)+1,20))</f>
        <v>Bulbaunt</v>
      </c>
      <c r="G551" s="8" t="str">
        <f aca="false">INDEX(Bases!$C$2:$C$53,B551)</f>
        <v>Grass</v>
      </c>
      <c r="H551" s="8" t="str">
        <f aca="false">IF(INDEX(Bases!$C$2:$C$53,C551)=G551,"",INDEX(Bases!$C$2:$C$53,C551))</f>
        <v>Ice</v>
      </c>
      <c r="I551" s="8" t="str">
        <f aca="false">IF(INDEX(Bases!$E$2:$E$53,B551)="","",INDEX(Bases!$E$2:$E$53,B551))</f>
        <v/>
      </c>
      <c r="J551" s="8" t="str">
        <f aca="false">IF(INDEX(Bases!$E$2:$E$53,C551)="","",INDEX(Bases!$E$2:$E$53,C551))</f>
        <v/>
      </c>
      <c r="K551" s="5"/>
      <c r="L551" s="2" t="n">
        <f aca="false">AE551+IF(SUMPRODUCT(--($AL551:$AQ551&gt;AL551))&lt;$AK551,1,0)</f>
        <v>77</v>
      </c>
      <c r="M551" s="2" t="n">
        <f aca="false">AF551+IF(SUMPRODUCT(--($AL551:$AQ551&gt;AM551))+SUMPRODUCT(--($AL551:AL551=AM551))&lt;$AK551,1,0)</f>
        <v>80</v>
      </c>
      <c r="N551" s="2" t="n">
        <f aca="false">AG551+IF(SUMPRODUCT(--($AL551:$AQ551&gt;AN551))+SUMPRODUCT(--($AL551:AM551=AN551))&lt;$AK551,1,0)</f>
        <v>80</v>
      </c>
      <c r="O551" s="2" t="n">
        <f aca="false">AH551+IF(SUMPRODUCT(--($AL551:$AQ551&gt;AO551))+SUMPRODUCT(--($AL551:AN551=AO551))&lt;$AK551,1,0)</f>
        <v>94</v>
      </c>
      <c r="P551" s="2" t="n">
        <f aca="false">AI551+IF(SUMPRODUCT(--($AL551:$AQ551&gt;AP551))+SUMPRODUCT(--($AL551:AO551=AP551))&lt;$AK551,1,0)</f>
        <v>93</v>
      </c>
      <c r="Q551" s="2" t="n">
        <f aca="false">AJ551+IF(SUMPRODUCT(--($AL551:$AQ551&gt;AQ551))+SUMPRODUCT(--($AL551:AP551=AQ551))&lt;$AK551,1,0)</f>
        <v>76</v>
      </c>
      <c r="R551" s="2" t="n">
        <f aca="false">SUM(L551:Q551)</f>
        <v>500</v>
      </c>
      <c r="S551" s="2" t="n">
        <f aca="false">Settings!$B$4*MAX(INDEX(Bases!$M$2:$M$53,B551),INDEX(Bases!$M$2:$M$53,C551))+Settings!$B$5*MIN(INDEX(Bases!$M$2:$M$53,B551),INDEX(Bases!$M$2:$M$53,C551))</f>
        <v>63.3333333333333</v>
      </c>
      <c r="T551" s="2" t="n">
        <f aca="false">Settings!$B$4*MAX(INDEX(Bases!$N$2:$N$53,B551),INDEX(Bases!$N$2:$N$53,C551))+Settings!$B$5*MIN(INDEX(Bases!$N$2:$N$53,B551),INDEX(Bases!$N$2:$N$53,C551))</f>
        <v>65.3333333333333</v>
      </c>
      <c r="U551" s="2" t="n">
        <f aca="false">Settings!$B$4*MAX(INDEX(Bases!$O$2:$O$53,B551),INDEX(Bases!$O$2:$O$53,C551))+Settings!$B$5*MIN(INDEX(Bases!$O$2:$O$53,B551),INDEX(Bases!$O$2:$O$53,C551))</f>
        <v>65.3333333333333</v>
      </c>
      <c r="V551" s="2" t="n">
        <f aca="false">Settings!$B$4*MAX(INDEX(Bases!$P$2:$P$53,B551),INDEX(Bases!$P$2:$P$53,C551))+Settings!$B$5*MIN(INDEX(Bases!$P$2:$P$53,B551),INDEX(Bases!$P$2:$P$53,C551))</f>
        <v>77</v>
      </c>
      <c r="W551" s="2" t="n">
        <f aca="false">Settings!$B$4*MAX(INDEX(Bases!$Q$2:$Q$53,B551),INDEX(Bases!$Q$2:$Q$53,C551))+Settings!$B$5*MIN(INDEX(Bases!$Q$2:$Q$53,B551),INDEX(Bases!$Q$2:$Q$53,C551))</f>
        <v>76.6666666666667</v>
      </c>
      <c r="X551" s="2" t="n">
        <f aca="false">Settings!$B$4*MAX(INDEX(Bases!$R$2:$R$53,B551),INDEX(Bases!$R$2:$R$53,C551))+Settings!$B$5*MIN(INDEX(Bases!$R$2:$R$53,B551),INDEX(Bases!$R$2:$R$53,C551))</f>
        <v>62.6666666666667</v>
      </c>
      <c r="Y551" s="2" t="n">
        <f aca="false">S551*Settings!$B$3/SUM(S551:X551)</f>
        <v>77.1730300568643</v>
      </c>
      <c r="Z551" s="2" t="n">
        <f aca="false">T551*Settings!$B$3/SUM(S551:X551)</f>
        <v>79.6100731112916</v>
      </c>
      <c r="AA551" s="2" t="n">
        <f aca="false">U551*Settings!$B$3/SUM(S551:X551)</f>
        <v>79.6100731112916</v>
      </c>
      <c r="AB551" s="2" t="n">
        <f aca="false">V551*Settings!$B$3/SUM(S551:X551)</f>
        <v>93.8261575954509</v>
      </c>
      <c r="AC551" s="2" t="n">
        <f aca="false">W551*Settings!$B$3/SUM(S551:X551)</f>
        <v>93.4199837530463</v>
      </c>
      <c r="AD551" s="2" t="n">
        <f aca="false">X551*Settings!$B$3/SUM(S551:X551)</f>
        <v>76.3606823720553</v>
      </c>
      <c r="AE551" s="2" t="n">
        <f aca="false">INT(Y551)</f>
        <v>77</v>
      </c>
      <c r="AF551" s="2" t="n">
        <f aca="false">INT(Z551)</f>
        <v>79</v>
      </c>
      <c r="AG551" s="2" t="n">
        <f aca="false">INT(AA551)</f>
        <v>79</v>
      </c>
      <c r="AH551" s="2" t="n">
        <f aca="false">INT(AB551)</f>
        <v>93</v>
      </c>
      <c r="AI551" s="2" t="n">
        <f aca="false">INT(AC551)</f>
        <v>93</v>
      </c>
      <c r="AJ551" s="2" t="n">
        <f aca="false">INT(AD551)</f>
        <v>76</v>
      </c>
      <c r="AK551" s="2" t="n">
        <f aca="false">Settings!$B$3-SUM(AE551:AJ551)</f>
        <v>3</v>
      </c>
      <c r="AL551" s="2" t="n">
        <f aca="false">ROUND(Y551-AE551,9)</f>
        <v>0.173030057</v>
      </c>
      <c r="AM551" s="2" t="n">
        <f aca="false">ROUND(Z551-AF551,9)</f>
        <v>0.610073111</v>
      </c>
      <c r="AN551" s="2" t="n">
        <f aca="false">ROUND(AA551-AG551,9)</f>
        <v>0.610073111</v>
      </c>
      <c r="AO551" s="2" t="n">
        <f aca="false">ROUND(AB551-AH551,9)</f>
        <v>0.826157595</v>
      </c>
      <c r="AP551" s="2" t="n">
        <f aca="false">ROUND(AC551-AI551,9)</f>
        <v>0.419983753</v>
      </c>
      <c r="AQ551" s="2" t="n">
        <f aca="false">ROUND(AD551-AJ551,9)</f>
        <v>0.360682372</v>
      </c>
    </row>
    <row r="552" customFormat="false" ht="15" hidden="false" customHeight="false" outlineLevel="0" collapsed="false">
      <c r="A552" s="2" t="n">
        <v>551</v>
      </c>
      <c r="B552" s="6" t="n">
        <v>13</v>
      </c>
      <c r="C552" s="6" t="n">
        <v>18</v>
      </c>
      <c r="D552" s="8" t="str">
        <f aca="false">INDEX(Bases!$B$2:$B$53,B552)</f>
        <v>Bulbasaur</v>
      </c>
      <c r="E552" s="8" t="str">
        <f aca="false">INDEX(Bases!$B$2:$B$53,C552)</f>
        <v>Spheal</v>
      </c>
      <c r="F552" s="2" t="str">
        <f aca="false">LEFT(D552,ROUNDUP(LEN(D552)/2,0))&amp;LOWER(MID(E552,ROUNDUP(LEN(E552)/2,0)+1,20))</f>
        <v>Bulbaeal</v>
      </c>
      <c r="G552" s="8" t="str">
        <f aca="false">INDEX(Bases!$C$2:$C$53,B552)</f>
        <v>Grass</v>
      </c>
      <c r="H552" s="8" t="str">
        <f aca="false">IF(INDEX(Bases!$C$2:$C$53,C552)=G552,"",INDEX(Bases!$C$2:$C$53,C552))</f>
        <v>Ice</v>
      </c>
      <c r="I552" s="8" t="str">
        <f aca="false">IF(INDEX(Bases!$E$2:$E$53,B552)="","",INDEX(Bases!$E$2:$E$53,B552))</f>
        <v/>
      </c>
      <c r="J552" s="8" t="str">
        <f aca="false">IF(INDEX(Bases!$E$2:$E$53,C552)="","",INDEX(Bases!$E$2:$E$53,C552))</f>
        <v/>
      </c>
      <c r="K552" s="5"/>
      <c r="L552" s="2" t="n">
        <f aca="false">AE552+IF(SUMPRODUCT(--($AL552:$AQ552&gt;AL552))&lt;$AK552,1,0)</f>
        <v>100</v>
      </c>
      <c r="M552" s="2" t="n">
        <f aca="false">AF552+IF(SUMPRODUCT(--($AL552:$AQ552&gt;AM552))+SUMPRODUCT(--($AL552:AL552=AM552))&lt;$AK552,1,0)</f>
        <v>72</v>
      </c>
      <c r="N552" s="2" t="n">
        <f aca="false">AG552+IF(SUMPRODUCT(--($AL552:$AQ552&gt;AN552))+SUMPRODUCT(--($AL552:AM552=AN552))&lt;$AK552,1,0)</f>
        <v>80</v>
      </c>
      <c r="O552" s="2" t="n">
        <f aca="false">AH552+IF(SUMPRODUCT(--($AL552:$AQ552&gt;AO552))+SUMPRODUCT(--($AL552:AN552=AO552))&lt;$AK552,1,0)</f>
        <v>96</v>
      </c>
      <c r="P552" s="2" t="n">
        <f aca="false">AI552+IF(SUMPRODUCT(--($AL552:$AQ552&gt;AP552))+SUMPRODUCT(--($AL552:AO552=AP552))&lt;$AK552,1,0)</f>
        <v>93</v>
      </c>
      <c r="Q552" s="2" t="n">
        <f aca="false">AJ552+IF(SUMPRODUCT(--($AL552:$AQ552&gt;AQ552))+SUMPRODUCT(--($AL552:AP552=AQ552))&lt;$AK552,1,0)</f>
        <v>59</v>
      </c>
      <c r="R552" s="2" t="n">
        <f aca="false">SUM(L552:Q552)</f>
        <v>500</v>
      </c>
      <c r="S552" s="2" t="n">
        <f aca="false">Settings!$B$4*MAX(INDEX(Bases!$M$2:$M$53,B552),INDEX(Bases!$M$2:$M$53,C552))+Settings!$B$5*MIN(INDEX(Bases!$M$2:$M$53,B552),INDEX(Bases!$M$2:$M$53,C552))</f>
        <v>83.3333333333333</v>
      </c>
      <c r="T552" s="2" t="n">
        <f aca="false">Settings!$B$4*MAX(INDEX(Bases!$N$2:$N$53,B552),INDEX(Bases!$N$2:$N$53,C552))+Settings!$B$5*MIN(INDEX(Bases!$N$2:$N$53,B552),INDEX(Bases!$N$2:$N$53,C552))</f>
        <v>59.6666666666667</v>
      </c>
      <c r="U552" s="2" t="n">
        <f aca="false">Settings!$B$4*MAX(INDEX(Bases!$O$2:$O$53,B552),INDEX(Bases!$O$2:$O$53,C552))+Settings!$B$5*MIN(INDEX(Bases!$O$2:$O$53,B552),INDEX(Bases!$O$2:$O$53,C552))</f>
        <v>66.6666666666667</v>
      </c>
      <c r="V552" s="2" t="n">
        <f aca="false">Settings!$B$4*MAX(INDEX(Bases!$P$2:$P$53,B552),INDEX(Bases!$P$2:$P$53,C552))+Settings!$B$5*MIN(INDEX(Bases!$P$2:$P$53,B552),INDEX(Bases!$P$2:$P$53,C552))</f>
        <v>80</v>
      </c>
      <c r="W552" s="2" t="n">
        <f aca="false">Settings!$B$4*MAX(INDEX(Bases!$Q$2:$Q$53,B552),INDEX(Bases!$Q$2:$Q$53,C552))+Settings!$B$5*MIN(INDEX(Bases!$Q$2:$Q$53,B552),INDEX(Bases!$Q$2:$Q$53,C552))</f>
        <v>77.6666666666667</v>
      </c>
      <c r="X552" s="2" t="n">
        <f aca="false">Settings!$B$4*MAX(INDEX(Bases!$R$2:$R$53,B552),INDEX(Bases!$R$2:$R$53,C552))+Settings!$B$5*MIN(INDEX(Bases!$R$2:$R$53,B552),INDEX(Bases!$R$2:$R$53,C552))</f>
        <v>48.6666666666667</v>
      </c>
      <c r="Y552" s="2" t="n">
        <f aca="false">S552*Settings!$B$3/SUM(S552:X552)</f>
        <v>100.160256410256</v>
      </c>
      <c r="Z552" s="2" t="n">
        <f aca="false">T552*Settings!$B$3/SUM(S552:X552)</f>
        <v>71.7147435897436</v>
      </c>
      <c r="AA552" s="2" t="n">
        <f aca="false">U552*Settings!$B$3/SUM(S552:X552)</f>
        <v>80.1282051282051</v>
      </c>
      <c r="AB552" s="2" t="n">
        <f aca="false">V552*Settings!$B$3/SUM(S552:X552)</f>
        <v>96.1538461538462</v>
      </c>
      <c r="AC552" s="2" t="n">
        <f aca="false">W552*Settings!$B$3/SUM(S552:X552)</f>
        <v>93.349358974359</v>
      </c>
      <c r="AD552" s="2" t="n">
        <f aca="false">X552*Settings!$B$3/SUM(S552:X552)</f>
        <v>58.4935897435897</v>
      </c>
      <c r="AE552" s="2" t="n">
        <f aca="false">INT(Y552)</f>
        <v>100</v>
      </c>
      <c r="AF552" s="2" t="n">
        <f aca="false">INT(Z552)</f>
        <v>71</v>
      </c>
      <c r="AG552" s="2" t="n">
        <f aca="false">INT(AA552)</f>
        <v>80</v>
      </c>
      <c r="AH552" s="2" t="n">
        <f aca="false">INT(AB552)</f>
        <v>96</v>
      </c>
      <c r="AI552" s="2" t="n">
        <f aca="false">INT(AC552)</f>
        <v>93</v>
      </c>
      <c r="AJ552" s="2" t="n">
        <f aca="false">INT(AD552)</f>
        <v>58</v>
      </c>
      <c r="AK552" s="2" t="n">
        <f aca="false">Settings!$B$3-SUM(AE552:AJ552)</f>
        <v>2</v>
      </c>
      <c r="AL552" s="2" t="n">
        <f aca="false">ROUND(Y552-AE552,9)</f>
        <v>0.16025641</v>
      </c>
      <c r="AM552" s="2" t="n">
        <f aca="false">ROUND(Z552-AF552,9)</f>
        <v>0.71474359</v>
      </c>
      <c r="AN552" s="2" t="n">
        <f aca="false">ROUND(AA552-AG552,9)</f>
        <v>0.128205128</v>
      </c>
      <c r="AO552" s="2" t="n">
        <f aca="false">ROUND(AB552-AH552,9)</f>
        <v>0.153846154</v>
      </c>
      <c r="AP552" s="2" t="n">
        <f aca="false">ROUND(AC552-AI552,9)</f>
        <v>0.349358974</v>
      </c>
      <c r="AQ552" s="2" t="n">
        <f aca="false">ROUND(AD552-AJ552,9)</f>
        <v>0.493589744</v>
      </c>
    </row>
    <row r="553" customFormat="false" ht="15" hidden="false" customHeight="false" outlineLevel="0" collapsed="false">
      <c r="A553" s="2" t="n">
        <v>552</v>
      </c>
      <c r="B553" s="6" t="n">
        <v>13</v>
      </c>
      <c r="C553" s="6" t="n">
        <v>19</v>
      </c>
      <c r="D553" s="8" t="str">
        <f aca="false">INDEX(Bases!$B$2:$B$53,B553)</f>
        <v>Bulbasaur</v>
      </c>
      <c r="E553" s="8" t="str">
        <f aca="false">INDEX(Bases!$B$2:$B$53,C553)</f>
        <v>Mankey</v>
      </c>
      <c r="F553" s="2" t="str">
        <f aca="false">LEFT(D553,ROUNDUP(LEN(D553)/2,0))&amp;LOWER(MID(E553,ROUNDUP(LEN(E553)/2,0)+1,20))</f>
        <v>Bulbakey</v>
      </c>
      <c r="G553" s="8" t="str">
        <f aca="false">INDEX(Bases!$C$2:$C$53,B553)</f>
        <v>Grass</v>
      </c>
      <c r="H553" s="8" t="str">
        <f aca="false">IF(INDEX(Bases!$C$2:$C$53,C553)=G553,"",INDEX(Bases!$C$2:$C$53,C553))</f>
        <v>Fighting</v>
      </c>
      <c r="I553" s="8" t="str">
        <f aca="false">IF(INDEX(Bases!$E$2:$E$53,B553)="","",INDEX(Bases!$E$2:$E$53,B553))</f>
        <v/>
      </c>
      <c r="J553" s="8" t="str">
        <f aca="false">IF(INDEX(Bases!$E$2:$E$53,C553)="","",INDEX(Bases!$E$2:$E$53,C553))</f>
        <v/>
      </c>
      <c r="K553" s="5"/>
      <c r="L553" s="2" t="n">
        <f aca="false">AE553+IF(SUMPRODUCT(--($AL553:$AQ553&gt;AL553))&lt;$AK553,1,0)</f>
        <v>64</v>
      </c>
      <c r="M553" s="2" t="n">
        <f aca="false">AF553+IF(SUMPRODUCT(--($AL553:$AQ553&gt;AM553))+SUMPRODUCT(--($AL553:AL553=AM553))&lt;$AK553,1,0)</f>
        <v>106</v>
      </c>
      <c r="N553" s="2" t="n">
        <f aca="false">AG553+IF(SUMPRODUCT(--($AL553:$AQ553&gt;AN553))+SUMPRODUCT(--($AL553:AM553=AN553))&lt;$AK553,1,0)</f>
        <v>67</v>
      </c>
      <c r="O553" s="2" t="n">
        <f aca="false">AH553+IF(SUMPRODUCT(--($AL553:$AQ553&gt;AO553))+SUMPRODUCT(--($AL553:AN553=AO553))&lt;$AK553,1,0)</f>
        <v>82</v>
      </c>
      <c r="P553" s="2" t="n">
        <f aca="false">AI553+IF(SUMPRODUCT(--($AL553:$AQ553&gt;AP553))+SUMPRODUCT(--($AL553:AO553=AP553))&lt;$AK553,1,0)</f>
        <v>87</v>
      </c>
      <c r="Q553" s="2" t="n">
        <f aca="false">AJ553+IF(SUMPRODUCT(--($AL553:$AQ553&gt;AQ553))+SUMPRODUCT(--($AL553:AP553=AQ553))&lt;$AK553,1,0)</f>
        <v>94</v>
      </c>
      <c r="R553" s="2" t="n">
        <f aca="false">SUM(L553:Q553)</f>
        <v>500</v>
      </c>
      <c r="S553" s="2" t="n">
        <f aca="false">Settings!$B$4*MAX(INDEX(Bases!$M$2:$M$53,B553),INDEX(Bases!$M$2:$M$53,C553))+Settings!$B$5*MIN(INDEX(Bases!$M$2:$M$53,B553),INDEX(Bases!$M$2:$M$53,C553))</f>
        <v>54.6666666666667</v>
      </c>
      <c r="T553" s="2" t="n">
        <f aca="false">Settings!$B$4*MAX(INDEX(Bases!$N$2:$N$53,B553),INDEX(Bases!$N$2:$N$53,C553))+Settings!$B$5*MIN(INDEX(Bases!$N$2:$N$53,B553),INDEX(Bases!$N$2:$N$53,C553))</f>
        <v>90.6666666666667</v>
      </c>
      <c r="U553" s="2" t="n">
        <f aca="false">Settings!$B$4*MAX(INDEX(Bases!$O$2:$O$53,B553),INDEX(Bases!$O$2:$O$53,C553))+Settings!$B$5*MIN(INDEX(Bases!$O$2:$O$53,B553),INDEX(Bases!$O$2:$O$53,C553))</f>
        <v>56.6666666666667</v>
      </c>
      <c r="V553" s="2" t="n">
        <f aca="false">Settings!$B$4*MAX(INDEX(Bases!$P$2:$P$53,B553),INDEX(Bases!$P$2:$P$53,C553))+Settings!$B$5*MIN(INDEX(Bases!$P$2:$P$53,B553),INDEX(Bases!$P$2:$P$53,C553))</f>
        <v>70</v>
      </c>
      <c r="W553" s="2" t="n">
        <f aca="false">Settings!$B$4*MAX(INDEX(Bases!$Q$2:$Q$53,B553),INDEX(Bases!$Q$2:$Q$53,C553))+Settings!$B$5*MIN(INDEX(Bases!$Q$2:$Q$53,B553),INDEX(Bases!$Q$2:$Q$53,C553))</f>
        <v>74.3333333333333</v>
      </c>
      <c r="X553" s="2" t="n">
        <f aca="false">Settings!$B$4*MAX(INDEX(Bases!$R$2:$R$53,B553),INDEX(Bases!$R$2:$R$53,C553))+Settings!$B$5*MIN(INDEX(Bases!$R$2:$R$53,B553),INDEX(Bases!$R$2:$R$53,C553))</f>
        <v>80</v>
      </c>
      <c r="Y553" s="2" t="n">
        <f aca="false">S553*Settings!$B$3/SUM(S553:X553)</f>
        <v>64.1125879593432</v>
      </c>
      <c r="Z553" s="2" t="n">
        <f aca="false">T553*Settings!$B$3/SUM(S553:X553)</f>
        <v>106.333072713057</v>
      </c>
      <c r="AA553" s="2" t="n">
        <f aca="false">U553*Settings!$B$3/SUM(S553:X553)</f>
        <v>66.4581704456607</v>
      </c>
      <c r="AB553" s="2" t="n">
        <f aca="false">V553*Settings!$B$3/SUM(S553:X553)</f>
        <v>82.0953870211102</v>
      </c>
      <c r="AC553" s="2" t="n">
        <f aca="false">W553*Settings!$B$3/SUM(S553:X553)</f>
        <v>87.1774824081314</v>
      </c>
      <c r="AD553" s="2" t="n">
        <f aca="false">X553*Settings!$B$3/SUM(S553:X553)</f>
        <v>93.8232994526974</v>
      </c>
      <c r="AE553" s="2" t="n">
        <f aca="false">INT(Y553)</f>
        <v>64</v>
      </c>
      <c r="AF553" s="2" t="n">
        <f aca="false">INT(Z553)</f>
        <v>106</v>
      </c>
      <c r="AG553" s="2" t="n">
        <f aca="false">INT(AA553)</f>
        <v>66</v>
      </c>
      <c r="AH553" s="2" t="n">
        <f aca="false">INT(AB553)</f>
        <v>82</v>
      </c>
      <c r="AI553" s="2" t="n">
        <f aca="false">INT(AC553)</f>
        <v>87</v>
      </c>
      <c r="AJ553" s="2" t="n">
        <f aca="false">INT(AD553)</f>
        <v>93</v>
      </c>
      <c r="AK553" s="2" t="n">
        <f aca="false">Settings!$B$3-SUM(AE553:AJ553)</f>
        <v>2</v>
      </c>
      <c r="AL553" s="2" t="n">
        <f aca="false">ROUND(Y553-AE553,9)</f>
        <v>0.112587959</v>
      </c>
      <c r="AM553" s="2" t="n">
        <f aca="false">ROUND(Z553-AF553,9)</f>
        <v>0.333072713</v>
      </c>
      <c r="AN553" s="2" t="n">
        <f aca="false">ROUND(AA553-AG553,9)</f>
        <v>0.458170446</v>
      </c>
      <c r="AO553" s="2" t="n">
        <f aca="false">ROUND(AB553-AH553,9)</f>
        <v>0.095387021</v>
      </c>
      <c r="AP553" s="2" t="n">
        <f aca="false">ROUND(AC553-AI553,9)</f>
        <v>0.177482408</v>
      </c>
      <c r="AQ553" s="2" t="n">
        <f aca="false">ROUND(AD553-AJ553,9)</f>
        <v>0.823299453</v>
      </c>
    </row>
    <row r="554" customFormat="false" ht="15" hidden="false" customHeight="false" outlineLevel="0" collapsed="false">
      <c r="A554" s="2" t="n">
        <v>553</v>
      </c>
      <c r="B554" s="6" t="n">
        <v>13</v>
      </c>
      <c r="C554" s="6" t="n">
        <v>20</v>
      </c>
      <c r="D554" s="8" t="str">
        <f aca="false">INDEX(Bases!$B$2:$B$53,B554)</f>
        <v>Bulbasaur</v>
      </c>
      <c r="E554" s="8" t="str">
        <f aca="false">INDEX(Bases!$B$2:$B$53,C554)</f>
        <v>Tyrogue</v>
      </c>
      <c r="F554" s="2" t="str">
        <f aca="false">LEFT(D554,ROUNDUP(LEN(D554)/2,0))&amp;LOWER(MID(E554,ROUNDUP(LEN(E554)/2,0)+1,20))</f>
        <v>Bulbague</v>
      </c>
      <c r="G554" s="8" t="str">
        <f aca="false">INDEX(Bases!$C$2:$C$53,B554)</f>
        <v>Grass</v>
      </c>
      <c r="H554" s="8" t="str">
        <f aca="false">IF(INDEX(Bases!$C$2:$C$53,C554)=G554,"",INDEX(Bases!$C$2:$C$53,C554))</f>
        <v>Fighting</v>
      </c>
      <c r="I554" s="8" t="str">
        <f aca="false">IF(INDEX(Bases!$E$2:$E$53,B554)="","",INDEX(Bases!$E$2:$E$53,B554))</f>
        <v/>
      </c>
      <c r="J554" s="8" t="str">
        <f aca="false">IF(INDEX(Bases!$E$2:$E$53,C554)="","",INDEX(Bases!$E$2:$E$53,C554))</f>
        <v/>
      </c>
      <c r="K554" s="5"/>
      <c r="L554" s="2" t="n">
        <f aca="false">AE554+IF(SUMPRODUCT(--($AL554:$AQ554&gt;AL554))&lt;$AK554,1,0)</f>
        <v>77</v>
      </c>
      <c r="M554" s="2" t="n">
        <f aca="false">AF554+IF(SUMPRODUCT(--($AL554:$AQ554&gt;AM554))+SUMPRODUCT(--($AL554:AL554=AM554))&lt;$AK554,1,0)</f>
        <v>80</v>
      </c>
      <c r="N554" s="2" t="n">
        <f aca="false">AG554+IF(SUMPRODUCT(--($AL554:$AQ554&gt;AN554))+SUMPRODUCT(--($AL554:AM554=AN554))&lt;$AK554,1,0)</f>
        <v>80</v>
      </c>
      <c r="O554" s="2" t="n">
        <f aca="false">AH554+IF(SUMPRODUCT(--($AL554:$AQ554&gt;AO554))+SUMPRODUCT(--($AL554:AN554=AO554))&lt;$AK554,1,0)</f>
        <v>94</v>
      </c>
      <c r="P554" s="2" t="n">
        <f aca="false">AI554+IF(SUMPRODUCT(--($AL554:$AQ554&gt;AP554))+SUMPRODUCT(--($AL554:AO554=AP554))&lt;$AK554,1,0)</f>
        <v>93</v>
      </c>
      <c r="Q554" s="2" t="n">
        <f aca="false">AJ554+IF(SUMPRODUCT(--($AL554:$AQ554&gt;AQ554))+SUMPRODUCT(--($AL554:AP554=AQ554))&lt;$AK554,1,0)</f>
        <v>76</v>
      </c>
      <c r="R554" s="2" t="n">
        <f aca="false">SUM(L554:Q554)</f>
        <v>500</v>
      </c>
      <c r="S554" s="2" t="n">
        <f aca="false">Settings!$B$4*MAX(INDEX(Bases!$M$2:$M$53,B554),INDEX(Bases!$M$2:$M$53,C554))+Settings!$B$5*MIN(INDEX(Bases!$M$2:$M$53,B554),INDEX(Bases!$M$2:$M$53,C554))</f>
        <v>63.3333333333333</v>
      </c>
      <c r="T554" s="2" t="n">
        <f aca="false">Settings!$B$4*MAX(INDEX(Bases!$N$2:$N$53,B554),INDEX(Bases!$N$2:$N$53,C554))+Settings!$B$5*MIN(INDEX(Bases!$N$2:$N$53,B554),INDEX(Bases!$N$2:$N$53,C554))</f>
        <v>65.3333333333333</v>
      </c>
      <c r="U554" s="2" t="n">
        <f aca="false">Settings!$B$4*MAX(INDEX(Bases!$O$2:$O$53,B554),INDEX(Bases!$O$2:$O$53,C554))+Settings!$B$5*MIN(INDEX(Bases!$O$2:$O$53,B554),INDEX(Bases!$O$2:$O$53,C554))</f>
        <v>65.3333333333333</v>
      </c>
      <c r="V554" s="2" t="n">
        <f aca="false">Settings!$B$4*MAX(INDEX(Bases!$P$2:$P$53,B554),INDEX(Bases!$P$2:$P$53,C554))+Settings!$B$5*MIN(INDEX(Bases!$P$2:$P$53,B554),INDEX(Bases!$P$2:$P$53,C554))</f>
        <v>77</v>
      </c>
      <c r="W554" s="2" t="n">
        <f aca="false">Settings!$B$4*MAX(INDEX(Bases!$Q$2:$Q$53,B554),INDEX(Bases!$Q$2:$Q$53,C554))+Settings!$B$5*MIN(INDEX(Bases!$Q$2:$Q$53,B554),INDEX(Bases!$Q$2:$Q$53,C554))</f>
        <v>76.6666666666667</v>
      </c>
      <c r="X554" s="2" t="n">
        <f aca="false">Settings!$B$4*MAX(INDEX(Bases!$R$2:$R$53,B554),INDEX(Bases!$R$2:$R$53,C554))+Settings!$B$5*MIN(INDEX(Bases!$R$2:$R$53,B554),INDEX(Bases!$R$2:$R$53,C554))</f>
        <v>62.6666666666667</v>
      </c>
      <c r="Y554" s="2" t="n">
        <f aca="false">S554*Settings!$B$3/SUM(S554:X554)</f>
        <v>77.1730300568643</v>
      </c>
      <c r="Z554" s="2" t="n">
        <f aca="false">T554*Settings!$B$3/SUM(S554:X554)</f>
        <v>79.6100731112916</v>
      </c>
      <c r="AA554" s="2" t="n">
        <f aca="false">U554*Settings!$B$3/SUM(S554:X554)</f>
        <v>79.6100731112916</v>
      </c>
      <c r="AB554" s="2" t="n">
        <f aca="false">V554*Settings!$B$3/SUM(S554:X554)</f>
        <v>93.8261575954509</v>
      </c>
      <c r="AC554" s="2" t="n">
        <f aca="false">W554*Settings!$B$3/SUM(S554:X554)</f>
        <v>93.4199837530463</v>
      </c>
      <c r="AD554" s="2" t="n">
        <f aca="false">X554*Settings!$B$3/SUM(S554:X554)</f>
        <v>76.3606823720553</v>
      </c>
      <c r="AE554" s="2" t="n">
        <f aca="false">INT(Y554)</f>
        <v>77</v>
      </c>
      <c r="AF554" s="2" t="n">
        <f aca="false">INT(Z554)</f>
        <v>79</v>
      </c>
      <c r="AG554" s="2" t="n">
        <f aca="false">INT(AA554)</f>
        <v>79</v>
      </c>
      <c r="AH554" s="2" t="n">
        <f aca="false">INT(AB554)</f>
        <v>93</v>
      </c>
      <c r="AI554" s="2" t="n">
        <f aca="false">INT(AC554)</f>
        <v>93</v>
      </c>
      <c r="AJ554" s="2" t="n">
        <f aca="false">INT(AD554)</f>
        <v>76</v>
      </c>
      <c r="AK554" s="2" t="n">
        <f aca="false">Settings!$B$3-SUM(AE554:AJ554)</f>
        <v>3</v>
      </c>
      <c r="AL554" s="2" t="n">
        <f aca="false">ROUND(Y554-AE554,9)</f>
        <v>0.173030057</v>
      </c>
      <c r="AM554" s="2" t="n">
        <f aca="false">ROUND(Z554-AF554,9)</f>
        <v>0.610073111</v>
      </c>
      <c r="AN554" s="2" t="n">
        <f aca="false">ROUND(AA554-AG554,9)</f>
        <v>0.610073111</v>
      </c>
      <c r="AO554" s="2" t="n">
        <f aca="false">ROUND(AB554-AH554,9)</f>
        <v>0.826157595</v>
      </c>
      <c r="AP554" s="2" t="n">
        <f aca="false">ROUND(AC554-AI554,9)</f>
        <v>0.419983753</v>
      </c>
      <c r="AQ554" s="2" t="n">
        <f aca="false">ROUND(AD554-AJ554,9)</f>
        <v>0.360682372</v>
      </c>
    </row>
    <row r="555" customFormat="false" ht="15" hidden="false" customHeight="false" outlineLevel="0" collapsed="false">
      <c r="A555" s="2" t="n">
        <v>554</v>
      </c>
      <c r="B555" s="6" t="n">
        <v>13</v>
      </c>
      <c r="C555" s="6" t="n">
        <v>21</v>
      </c>
      <c r="D555" s="8" t="str">
        <f aca="false">INDEX(Bases!$B$2:$B$53,B555)</f>
        <v>Bulbasaur</v>
      </c>
      <c r="E555" s="8" t="str">
        <f aca="false">INDEX(Bases!$B$2:$B$53,C555)</f>
        <v>Makuhita</v>
      </c>
      <c r="F555" s="2" t="str">
        <f aca="false">LEFT(D555,ROUNDUP(LEN(D555)/2,0))&amp;LOWER(MID(E555,ROUNDUP(LEN(E555)/2,0)+1,20))</f>
        <v>Bulbahita</v>
      </c>
      <c r="G555" s="8" t="str">
        <f aca="false">INDEX(Bases!$C$2:$C$53,B555)</f>
        <v>Grass</v>
      </c>
      <c r="H555" s="8" t="str">
        <f aca="false">IF(INDEX(Bases!$C$2:$C$53,C555)=G555,"",INDEX(Bases!$C$2:$C$53,C555))</f>
        <v>Fighting</v>
      </c>
      <c r="I555" s="8" t="str">
        <f aca="false">IF(INDEX(Bases!$E$2:$E$53,B555)="","",INDEX(Bases!$E$2:$E$53,B555))</f>
        <v/>
      </c>
      <c r="J555" s="8" t="str">
        <f aca="false">IF(INDEX(Bases!$E$2:$E$53,C555)="","",INDEX(Bases!$E$2:$E$53,C555))</f>
        <v/>
      </c>
      <c r="K555" s="5"/>
      <c r="L555" s="2" t="n">
        <f aca="false">AE555+IF(SUMPRODUCT(--($AL555:$AQ555&gt;AL555))&lt;$AK555,1,0)</f>
        <v>114</v>
      </c>
      <c r="M555" s="2" t="n">
        <f aca="false">AF555+IF(SUMPRODUCT(--($AL555:$AQ555&gt;AM555))+SUMPRODUCT(--($AL555:AL555=AM555))&lt;$AK555,1,0)</f>
        <v>101</v>
      </c>
      <c r="N555" s="2" t="n">
        <f aca="false">AG555+IF(SUMPRODUCT(--($AL555:$AQ555&gt;AN555))+SUMPRODUCT(--($AL555:AM555=AN555))&lt;$AK555,1,0)</f>
        <v>67</v>
      </c>
      <c r="O555" s="2" t="n">
        <f aca="false">AH555+IF(SUMPRODUCT(--($AL555:$AQ555&gt;AO555))+SUMPRODUCT(--($AL555:AN555=AO555))&lt;$AK555,1,0)</f>
        <v>76</v>
      </c>
      <c r="P555" s="2" t="n">
        <f aca="false">AI555+IF(SUMPRODUCT(--($AL555:$AQ555&gt;AP555))+SUMPRODUCT(--($AL555:AO555=AP555))&lt;$AK555,1,0)</f>
        <v>83</v>
      </c>
      <c r="Q555" s="2" t="n">
        <f aca="false">AJ555+IF(SUMPRODUCT(--($AL555:$AQ555&gt;AQ555))+SUMPRODUCT(--($AL555:AP555=AQ555))&lt;$AK555,1,0)</f>
        <v>59</v>
      </c>
      <c r="R555" s="2" t="n">
        <f aca="false">SUM(L555:Q555)</f>
        <v>500</v>
      </c>
      <c r="S555" s="2" t="n">
        <f aca="false">Settings!$B$4*MAX(INDEX(Bases!$M$2:$M$53,B555),INDEX(Bases!$M$2:$M$53,C555))+Settings!$B$5*MIN(INDEX(Bases!$M$2:$M$53,B555),INDEX(Bases!$M$2:$M$53,C555))</f>
        <v>99.3333333333333</v>
      </c>
      <c r="T555" s="2" t="n">
        <f aca="false">Settings!$B$4*MAX(INDEX(Bases!$N$2:$N$53,B555),INDEX(Bases!$N$2:$N$53,C555))+Settings!$B$5*MIN(INDEX(Bases!$N$2:$N$53,B555),INDEX(Bases!$N$2:$N$53,C555))</f>
        <v>88</v>
      </c>
      <c r="U555" s="2" t="n">
        <f aca="false">Settings!$B$4*MAX(INDEX(Bases!$O$2:$O$53,B555),INDEX(Bases!$O$2:$O$53,C555))+Settings!$B$5*MIN(INDEX(Bases!$O$2:$O$53,B555),INDEX(Bases!$O$2:$O$53,C555))</f>
        <v>58.3333333333333</v>
      </c>
      <c r="V555" s="2" t="n">
        <f aca="false">Settings!$B$4*MAX(INDEX(Bases!$P$2:$P$53,B555),INDEX(Bases!$P$2:$P$53,C555))+Settings!$B$5*MIN(INDEX(Bases!$P$2:$P$53,B555),INDEX(Bases!$P$2:$P$53,C555))</f>
        <v>66</v>
      </c>
      <c r="W555" s="2" t="n">
        <f aca="false">Settings!$B$4*MAX(INDEX(Bases!$Q$2:$Q$53,B555),INDEX(Bases!$Q$2:$Q$53,C555))+Settings!$B$5*MIN(INDEX(Bases!$Q$2:$Q$53,B555),INDEX(Bases!$Q$2:$Q$53,C555))</f>
        <v>71.6666666666667</v>
      </c>
      <c r="X555" s="2" t="n">
        <f aca="false">Settings!$B$4*MAX(INDEX(Bases!$R$2:$R$53,B555),INDEX(Bases!$R$2:$R$53,C555))+Settings!$B$5*MIN(INDEX(Bases!$R$2:$R$53,B555),INDEX(Bases!$R$2:$R$53,C555))</f>
        <v>51.3333333333333</v>
      </c>
      <c r="Y555" s="2" t="n">
        <f aca="false">S555*Settings!$B$3/SUM(S555:X555)</f>
        <v>114.263803680982</v>
      </c>
      <c r="Z555" s="2" t="n">
        <f aca="false">T555*Settings!$B$3/SUM(S555:X555)</f>
        <v>101.226993865031</v>
      </c>
      <c r="AA555" s="2" t="n">
        <f aca="false">U555*Settings!$B$3/SUM(S555:X555)</f>
        <v>67.101226993865</v>
      </c>
      <c r="AB555" s="2" t="n">
        <f aca="false">V555*Settings!$B$3/SUM(S555:X555)</f>
        <v>75.920245398773</v>
      </c>
      <c r="AC555" s="2" t="n">
        <f aca="false">W555*Settings!$B$3/SUM(S555:X555)</f>
        <v>82.4386503067485</v>
      </c>
      <c r="AD555" s="2" t="n">
        <f aca="false">X555*Settings!$B$3/SUM(S555:X555)</f>
        <v>59.0490797546012</v>
      </c>
      <c r="AE555" s="2" t="n">
        <f aca="false">INT(Y555)</f>
        <v>114</v>
      </c>
      <c r="AF555" s="2" t="n">
        <f aca="false">INT(Z555)</f>
        <v>101</v>
      </c>
      <c r="AG555" s="2" t="n">
        <f aca="false">INT(AA555)</f>
        <v>67</v>
      </c>
      <c r="AH555" s="2" t="n">
        <f aca="false">INT(AB555)</f>
        <v>75</v>
      </c>
      <c r="AI555" s="2" t="n">
        <f aca="false">INT(AC555)</f>
        <v>82</v>
      </c>
      <c r="AJ555" s="2" t="n">
        <f aca="false">INT(AD555)</f>
        <v>59</v>
      </c>
      <c r="AK555" s="2" t="n">
        <f aca="false">Settings!$B$3-SUM(AE555:AJ555)</f>
        <v>2</v>
      </c>
      <c r="AL555" s="2" t="n">
        <f aca="false">ROUND(Y555-AE555,9)</f>
        <v>0.263803681</v>
      </c>
      <c r="AM555" s="2" t="n">
        <f aca="false">ROUND(Z555-AF555,9)</f>
        <v>0.226993865</v>
      </c>
      <c r="AN555" s="2" t="n">
        <f aca="false">ROUND(AA555-AG555,9)</f>
        <v>0.101226994</v>
      </c>
      <c r="AO555" s="2" t="n">
        <f aca="false">ROUND(AB555-AH555,9)</f>
        <v>0.920245399</v>
      </c>
      <c r="AP555" s="2" t="n">
        <f aca="false">ROUND(AC555-AI555,9)</f>
        <v>0.438650307</v>
      </c>
      <c r="AQ555" s="2" t="n">
        <f aca="false">ROUND(AD555-AJ555,9)</f>
        <v>0.049079755</v>
      </c>
    </row>
    <row r="556" customFormat="false" ht="15" hidden="false" customHeight="false" outlineLevel="0" collapsed="false">
      <c r="A556" s="2" t="n">
        <v>555</v>
      </c>
      <c r="B556" s="6" t="n">
        <v>13</v>
      </c>
      <c r="C556" s="6" t="n">
        <v>22</v>
      </c>
      <c r="D556" s="8" t="str">
        <f aca="false">INDEX(Bases!$B$2:$B$53,B556)</f>
        <v>Bulbasaur</v>
      </c>
      <c r="E556" s="8" t="str">
        <f aca="false">INDEX(Bases!$B$2:$B$53,C556)</f>
        <v>Ekans</v>
      </c>
      <c r="F556" s="2" t="str">
        <f aca="false">LEFT(D556,ROUNDUP(LEN(D556)/2,0))&amp;LOWER(MID(E556,ROUNDUP(LEN(E556)/2,0)+1,20))</f>
        <v>Bulbans</v>
      </c>
      <c r="G556" s="8" t="str">
        <f aca="false">INDEX(Bases!$C$2:$C$53,B556)</f>
        <v>Grass</v>
      </c>
      <c r="H556" s="8" t="str">
        <f aca="false">IF(INDEX(Bases!$C$2:$C$53,C556)=G556,"",INDEX(Bases!$C$2:$C$53,C556))</f>
        <v>Poison</v>
      </c>
      <c r="I556" s="8" t="str">
        <f aca="false">IF(INDEX(Bases!$E$2:$E$53,B556)="","",INDEX(Bases!$E$2:$E$53,B556))</f>
        <v/>
      </c>
      <c r="J556" s="8" t="str">
        <f aca="false">IF(INDEX(Bases!$E$2:$E$53,C556)="","",INDEX(Bases!$E$2:$E$53,C556))</f>
        <v/>
      </c>
      <c r="K556" s="5"/>
      <c r="L556" s="2" t="n">
        <f aca="false">AE556+IF(SUMPRODUCT(--($AL556:$AQ556&gt;AL556))&lt;$AK556,1,0)</f>
        <v>65</v>
      </c>
      <c r="M556" s="2" t="n">
        <f aca="false">AF556+IF(SUMPRODUCT(--($AL556:$AQ556&gt;AM556))+SUMPRODUCT(--($AL556:AL556=AM556))&lt;$AK556,1,0)</f>
        <v>92</v>
      </c>
      <c r="N556" s="2" t="n">
        <f aca="false">AG556+IF(SUMPRODUCT(--($AL556:$AQ556&gt;AN556))+SUMPRODUCT(--($AL556:AM556=AN556))&lt;$AK556,1,0)</f>
        <v>74</v>
      </c>
      <c r="O556" s="2" t="n">
        <f aca="false">AH556+IF(SUMPRODUCT(--($AL556:$AQ556&gt;AO556))+SUMPRODUCT(--($AL556:AN556=AO556))&lt;$AK556,1,0)</f>
        <v>89</v>
      </c>
      <c r="P556" s="2" t="n">
        <f aca="false">AI556+IF(SUMPRODUCT(--($AL556:$AQ556&gt;AP556))+SUMPRODUCT(--($AL556:AO556=AP556))&lt;$AK556,1,0)</f>
        <v>96</v>
      </c>
      <c r="Q556" s="2" t="n">
        <f aca="false">AJ556+IF(SUMPRODUCT(--($AL556:$AQ556&gt;AQ556))+SUMPRODUCT(--($AL556:AP556=AQ556))&lt;$AK556,1,0)</f>
        <v>84</v>
      </c>
      <c r="R556" s="2" t="n">
        <f aca="false">SUM(L556:Q556)</f>
        <v>500</v>
      </c>
      <c r="S556" s="2" t="n">
        <f aca="false">Settings!$B$4*MAX(INDEX(Bases!$M$2:$M$53,B556),INDEX(Bases!$M$2:$M$53,C556))+Settings!$B$5*MIN(INDEX(Bases!$M$2:$M$53,B556),INDEX(Bases!$M$2:$M$53,C556))</f>
        <v>53.6666666666667</v>
      </c>
      <c r="T556" s="2" t="n">
        <f aca="false">Settings!$B$4*MAX(INDEX(Bases!$N$2:$N$53,B556),INDEX(Bases!$N$2:$N$53,C556))+Settings!$B$5*MIN(INDEX(Bases!$N$2:$N$53,B556),INDEX(Bases!$N$2:$N$53,C556))</f>
        <v>76</v>
      </c>
      <c r="U556" s="2" t="n">
        <f aca="false">Settings!$B$4*MAX(INDEX(Bases!$O$2:$O$53,B556),INDEX(Bases!$O$2:$O$53,C556))+Settings!$B$5*MIN(INDEX(Bases!$O$2:$O$53,B556),INDEX(Bases!$O$2:$O$53,C556))</f>
        <v>61.6666666666667</v>
      </c>
      <c r="V556" s="2" t="n">
        <f aca="false">Settings!$B$4*MAX(INDEX(Bases!$P$2:$P$53,B556),INDEX(Bases!$P$2:$P$53,C556))+Settings!$B$5*MIN(INDEX(Bases!$P$2:$P$53,B556),INDEX(Bases!$P$2:$P$53,C556))</f>
        <v>73.3333333333333</v>
      </c>
      <c r="W556" s="2" t="n">
        <f aca="false">Settings!$B$4*MAX(INDEX(Bases!$Q$2:$Q$53,B556),INDEX(Bases!$Q$2:$Q$53,C556))+Settings!$B$5*MIN(INDEX(Bases!$Q$2:$Q$53,B556),INDEX(Bases!$Q$2:$Q$53,C556))</f>
        <v>79.6666666666667</v>
      </c>
      <c r="X556" s="2" t="n">
        <f aca="false">Settings!$B$4*MAX(INDEX(Bases!$R$2:$R$53,B556),INDEX(Bases!$R$2:$R$53,C556))+Settings!$B$5*MIN(INDEX(Bases!$R$2:$R$53,B556),INDEX(Bases!$R$2:$R$53,C556))</f>
        <v>69.3333333333333</v>
      </c>
      <c r="Y556" s="2" t="n">
        <f aca="false">S556*Settings!$B$3/SUM(S556:X556)</f>
        <v>64.867042707494</v>
      </c>
      <c r="Z556" s="2" t="n">
        <f aca="false">T556*Settings!$B$3/SUM(S556:X556)</f>
        <v>91.8614020950846</v>
      </c>
      <c r="AA556" s="2" t="n">
        <f aca="false">U556*Settings!$B$3/SUM(S556:X556)</f>
        <v>74.5366639806608</v>
      </c>
      <c r="AB556" s="2" t="n">
        <f aca="false">V556*Settings!$B$3/SUM(S556:X556)</f>
        <v>88.638195004029</v>
      </c>
      <c r="AC556" s="2" t="n">
        <f aca="false">W556*Settings!$B$3/SUM(S556:X556)</f>
        <v>96.2933118452861</v>
      </c>
      <c r="AD556" s="2" t="n">
        <f aca="false">X556*Settings!$B$3/SUM(S556:X556)</f>
        <v>83.8033843674456</v>
      </c>
      <c r="AE556" s="2" t="n">
        <f aca="false">INT(Y556)</f>
        <v>64</v>
      </c>
      <c r="AF556" s="2" t="n">
        <f aca="false">INT(Z556)</f>
        <v>91</v>
      </c>
      <c r="AG556" s="2" t="n">
        <f aca="false">INT(AA556)</f>
        <v>74</v>
      </c>
      <c r="AH556" s="2" t="n">
        <f aca="false">INT(AB556)</f>
        <v>88</v>
      </c>
      <c r="AI556" s="2" t="n">
        <f aca="false">INT(AC556)</f>
        <v>96</v>
      </c>
      <c r="AJ556" s="2" t="n">
        <f aca="false">INT(AD556)</f>
        <v>83</v>
      </c>
      <c r="AK556" s="2" t="n">
        <f aca="false">Settings!$B$3-SUM(AE556:AJ556)</f>
        <v>4</v>
      </c>
      <c r="AL556" s="2" t="n">
        <f aca="false">ROUND(Y556-AE556,9)</f>
        <v>0.867042707</v>
      </c>
      <c r="AM556" s="2" t="n">
        <f aca="false">ROUND(Z556-AF556,9)</f>
        <v>0.861402095</v>
      </c>
      <c r="AN556" s="2" t="n">
        <f aca="false">ROUND(AA556-AG556,9)</f>
        <v>0.536663981</v>
      </c>
      <c r="AO556" s="2" t="n">
        <f aca="false">ROUND(AB556-AH556,9)</f>
        <v>0.638195004</v>
      </c>
      <c r="AP556" s="2" t="n">
        <f aca="false">ROUND(AC556-AI556,9)</f>
        <v>0.293311845</v>
      </c>
      <c r="AQ556" s="2" t="n">
        <f aca="false">ROUND(AD556-AJ556,9)</f>
        <v>0.803384367</v>
      </c>
    </row>
    <row r="557" customFormat="false" ht="15" hidden="false" customHeight="false" outlineLevel="0" collapsed="false">
      <c r="A557" s="2" t="n">
        <v>556</v>
      </c>
      <c r="B557" s="6" t="n">
        <v>13</v>
      </c>
      <c r="C557" s="6" t="n">
        <v>23</v>
      </c>
      <c r="D557" s="8" t="str">
        <f aca="false">INDEX(Bases!$B$2:$B$53,B557)</f>
        <v>Bulbasaur</v>
      </c>
      <c r="E557" s="8" t="str">
        <f aca="false">INDEX(Bases!$B$2:$B$53,C557)</f>
        <v>Gulpin</v>
      </c>
      <c r="F557" s="2" t="str">
        <f aca="false">LEFT(D557,ROUNDUP(LEN(D557)/2,0))&amp;LOWER(MID(E557,ROUNDUP(LEN(E557)/2,0)+1,20))</f>
        <v>Bulbapin</v>
      </c>
      <c r="G557" s="8" t="str">
        <f aca="false">INDEX(Bases!$C$2:$C$53,B557)</f>
        <v>Grass</v>
      </c>
      <c r="H557" s="8" t="str">
        <f aca="false">IF(INDEX(Bases!$C$2:$C$53,C557)=G557,"",INDEX(Bases!$C$2:$C$53,C557))</f>
        <v>Poison</v>
      </c>
      <c r="I557" s="8" t="str">
        <f aca="false">IF(INDEX(Bases!$E$2:$E$53,B557)="","",INDEX(Bases!$E$2:$E$53,B557))</f>
        <v/>
      </c>
      <c r="J557" s="8" t="str">
        <f aca="false">IF(INDEX(Bases!$E$2:$E$53,C557)="","",INDEX(Bases!$E$2:$E$53,C557))</f>
        <v/>
      </c>
      <c r="K557" s="5"/>
      <c r="L557" s="2" t="n">
        <f aca="false">AE557+IF(SUMPRODUCT(--($AL557:$AQ557&gt;AL557))&lt;$AK557,1,0)</f>
        <v>97</v>
      </c>
      <c r="M557" s="2" t="n">
        <f aca="false">AF557+IF(SUMPRODUCT(--($AL557:$AQ557&gt;AM557))+SUMPRODUCT(--($AL557:AL557=AM557))&lt;$AK557,1,0)</f>
        <v>73</v>
      </c>
      <c r="N557" s="2" t="n">
        <f aca="false">AG557+IF(SUMPRODUCT(--($AL557:$AQ557&gt;AN557))+SUMPRODUCT(--($AL557:AM557=AN557))&lt;$AK557,1,0)</f>
        <v>81</v>
      </c>
      <c r="O557" s="2" t="n">
        <f aca="false">AH557+IF(SUMPRODUCT(--($AL557:$AQ557&gt;AO557))+SUMPRODUCT(--($AL557:AN557=AO557))&lt;$AK557,1,0)</f>
        <v>89</v>
      </c>
      <c r="P557" s="2" t="n">
        <f aca="false">AI557+IF(SUMPRODUCT(--($AL557:$AQ557&gt;AP557))+SUMPRODUCT(--($AL557:AO557=AP557))&lt;$AK557,1,0)</f>
        <v>94</v>
      </c>
      <c r="Q557" s="2" t="n">
        <f aca="false">AJ557+IF(SUMPRODUCT(--($AL557:$AQ557&gt;AQ557))+SUMPRODUCT(--($AL557:AP557=AQ557))&lt;$AK557,1,0)</f>
        <v>66</v>
      </c>
      <c r="R557" s="2" t="n">
        <f aca="false">SUM(L557:Q557)</f>
        <v>500</v>
      </c>
      <c r="S557" s="2" t="n">
        <f aca="false">Settings!$B$4*MAX(INDEX(Bases!$M$2:$M$53,B557),INDEX(Bases!$M$2:$M$53,C557))+Settings!$B$5*MIN(INDEX(Bases!$M$2:$M$53,B557),INDEX(Bases!$M$2:$M$53,C557))</f>
        <v>80.6666666666667</v>
      </c>
      <c r="T557" s="2" t="n">
        <f aca="false">Settings!$B$4*MAX(INDEX(Bases!$N$2:$N$53,B557),INDEX(Bases!$N$2:$N$53,C557))+Settings!$B$5*MIN(INDEX(Bases!$N$2:$N$53,B557),INDEX(Bases!$N$2:$N$53,C557))</f>
        <v>60.3333333333333</v>
      </c>
      <c r="U557" s="2" t="n">
        <f aca="false">Settings!$B$4*MAX(INDEX(Bases!$O$2:$O$53,B557),INDEX(Bases!$O$2:$O$53,C557))+Settings!$B$5*MIN(INDEX(Bases!$O$2:$O$53,B557),INDEX(Bases!$O$2:$O$53,C557))</f>
        <v>67.3333333333333</v>
      </c>
      <c r="V557" s="2" t="n">
        <f aca="false">Settings!$B$4*MAX(INDEX(Bases!$P$2:$P$53,B557),INDEX(Bases!$P$2:$P$53,C557))+Settings!$B$5*MIN(INDEX(Bases!$P$2:$P$53,B557),INDEX(Bases!$P$2:$P$53,C557))</f>
        <v>73.6666666666667</v>
      </c>
      <c r="W557" s="2" t="n">
        <f aca="false">Settings!$B$4*MAX(INDEX(Bases!$Q$2:$Q$53,B557),INDEX(Bases!$Q$2:$Q$53,C557))+Settings!$B$5*MIN(INDEX(Bases!$Q$2:$Q$53,B557),INDEX(Bases!$Q$2:$Q$53,C557))</f>
        <v>78</v>
      </c>
      <c r="X557" s="2" t="n">
        <f aca="false">Settings!$B$4*MAX(INDEX(Bases!$R$2:$R$53,B557),INDEX(Bases!$R$2:$R$53,C557))+Settings!$B$5*MIN(INDEX(Bases!$R$2:$R$53,B557),INDEX(Bases!$R$2:$R$53,C557))</f>
        <v>55</v>
      </c>
      <c r="Y557" s="2" t="n">
        <f aca="false">S557*Settings!$B$3/SUM(S557:X557)</f>
        <v>97.1887550200803</v>
      </c>
      <c r="Z557" s="2" t="n">
        <f aca="false">T557*Settings!$B$3/SUM(S557:X557)</f>
        <v>72.6907630522088</v>
      </c>
      <c r="AA557" s="2" t="n">
        <f aca="false">U557*Settings!$B$3/SUM(S557:X557)</f>
        <v>81.1244979919679</v>
      </c>
      <c r="AB557" s="2" t="n">
        <f aca="false">V557*Settings!$B$3/SUM(S557:X557)</f>
        <v>88.7550200803213</v>
      </c>
      <c r="AC557" s="2" t="n">
        <f aca="false">W557*Settings!$B$3/SUM(S557:X557)</f>
        <v>93.9759036144578</v>
      </c>
      <c r="AD557" s="2" t="n">
        <f aca="false">X557*Settings!$B$3/SUM(S557:X557)</f>
        <v>66.2650602409639</v>
      </c>
      <c r="AE557" s="2" t="n">
        <f aca="false">INT(Y557)</f>
        <v>97</v>
      </c>
      <c r="AF557" s="2" t="n">
        <f aca="false">INT(Z557)</f>
        <v>72</v>
      </c>
      <c r="AG557" s="2" t="n">
        <f aca="false">INT(AA557)</f>
        <v>81</v>
      </c>
      <c r="AH557" s="2" t="n">
        <f aca="false">INT(AB557)</f>
        <v>88</v>
      </c>
      <c r="AI557" s="2" t="n">
        <f aca="false">INT(AC557)</f>
        <v>93</v>
      </c>
      <c r="AJ557" s="2" t="n">
        <f aca="false">INT(AD557)</f>
        <v>66</v>
      </c>
      <c r="AK557" s="2" t="n">
        <f aca="false">Settings!$B$3-SUM(AE557:AJ557)</f>
        <v>3</v>
      </c>
      <c r="AL557" s="2" t="n">
        <f aca="false">ROUND(Y557-AE557,9)</f>
        <v>0.18875502</v>
      </c>
      <c r="AM557" s="2" t="n">
        <f aca="false">ROUND(Z557-AF557,9)</f>
        <v>0.690763052</v>
      </c>
      <c r="AN557" s="2" t="n">
        <f aca="false">ROUND(AA557-AG557,9)</f>
        <v>0.124497992</v>
      </c>
      <c r="AO557" s="2" t="n">
        <f aca="false">ROUND(AB557-AH557,9)</f>
        <v>0.75502008</v>
      </c>
      <c r="AP557" s="2" t="n">
        <f aca="false">ROUND(AC557-AI557,9)</f>
        <v>0.975903614</v>
      </c>
      <c r="AQ557" s="2" t="n">
        <f aca="false">ROUND(AD557-AJ557,9)</f>
        <v>0.265060241</v>
      </c>
    </row>
    <row r="558" customFormat="false" ht="15" hidden="false" customHeight="false" outlineLevel="0" collapsed="false">
      <c r="A558" s="2" t="n">
        <v>557</v>
      </c>
      <c r="B558" s="6" t="n">
        <v>13</v>
      </c>
      <c r="C558" s="6" t="n">
        <v>24</v>
      </c>
      <c r="D558" s="8" t="str">
        <f aca="false">INDEX(Bases!$B$2:$B$53,B558)</f>
        <v>Bulbasaur</v>
      </c>
      <c r="E558" s="8" t="str">
        <f aca="false">INDEX(Bases!$B$2:$B$53,C558)</f>
        <v>Koffing</v>
      </c>
      <c r="F558" s="2" t="str">
        <f aca="false">LEFT(D558,ROUNDUP(LEN(D558)/2,0))&amp;LOWER(MID(E558,ROUNDUP(LEN(E558)/2,0)+1,20))</f>
        <v>Bulbaing</v>
      </c>
      <c r="G558" s="8" t="str">
        <f aca="false">INDEX(Bases!$C$2:$C$53,B558)</f>
        <v>Grass</v>
      </c>
      <c r="H558" s="8" t="str">
        <f aca="false">IF(INDEX(Bases!$C$2:$C$53,C558)=G558,"",INDEX(Bases!$C$2:$C$53,C558))</f>
        <v>Poison</v>
      </c>
      <c r="I558" s="8" t="str">
        <f aca="false">IF(INDEX(Bases!$E$2:$E$53,B558)="","",INDEX(Bases!$E$2:$E$53,B558))</f>
        <v/>
      </c>
      <c r="J558" s="8" t="str">
        <f aca="false">IF(INDEX(Bases!$E$2:$E$53,C558)="","",INDEX(Bases!$E$2:$E$53,C558))</f>
        <v/>
      </c>
      <c r="K558" s="5"/>
      <c r="L558" s="2" t="n">
        <f aca="false">AE558+IF(SUMPRODUCT(--($AL558:$AQ558&gt;AL558))&lt;$AK558,1,0)</f>
        <v>63</v>
      </c>
      <c r="M558" s="2" t="n">
        <f aca="false">AF558+IF(SUMPRODUCT(--($AL558:$AQ558&gt;AM558))+SUMPRODUCT(--($AL558:AL558=AM558))&lt;$AK558,1,0)</f>
        <v>85</v>
      </c>
      <c r="N558" s="2" t="n">
        <f aca="false">AG558+IF(SUMPRODUCT(--($AL558:$AQ558&gt;AN558))+SUMPRODUCT(--($AL558:AM558=AN558))&lt;$AK558,1,0)</f>
        <v>113</v>
      </c>
      <c r="O558" s="2" t="n">
        <f aca="false">AH558+IF(SUMPRODUCT(--($AL558:$AQ558&gt;AO558))+SUMPRODUCT(--($AL558:AN558=AO558))&lt;$AK558,1,0)</f>
        <v>93</v>
      </c>
      <c r="P558" s="2" t="n">
        <f aca="false">AI558+IF(SUMPRODUCT(--($AL558:$AQ558&gt;AP558))+SUMPRODUCT(--($AL558:AO558=AP558))&lt;$AK558,1,0)</f>
        <v>86</v>
      </c>
      <c r="Q558" s="2" t="n">
        <f aca="false">AJ558+IF(SUMPRODUCT(--($AL558:$AQ558&gt;AQ558))+SUMPRODUCT(--($AL558:AP558=AQ558))&lt;$AK558,1,0)</f>
        <v>60</v>
      </c>
      <c r="R558" s="2" t="n">
        <f aca="false">SUM(L558:Q558)</f>
        <v>500</v>
      </c>
      <c r="S558" s="2" t="n">
        <f aca="false">Settings!$B$4*MAX(INDEX(Bases!$M$2:$M$53,B558),INDEX(Bases!$M$2:$M$53,C558))+Settings!$B$5*MIN(INDEX(Bases!$M$2:$M$53,B558),INDEX(Bases!$M$2:$M$53,C558))</f>
        <v>53</v>
      </c>
      <c r="T558" s="2" t="n">
        <f aca="false">Settings!$B$4*MAX(INDEX(Bases!$N$2:$N$53,B558),INDEX(Bases!$N$2:$N$53,C558))+Settings!$B$5*MIN(INDEX(Bases!$N$2:$N$53,B558),INDEX(Bases!$N$2:$N$53,C558))</f>
        <v>71.3333333333333</v>
      </c>
      <c r="U558" s="2" t="n">
        <f aca="false">Settings!$B$4*MAX(INDEX(Bases!$O$2:$O$53,B558),INDEX(Bases!$O$2:$O$53,C558))+Settings!$B$5*MIN(INDEX(Bases!$O$2:$O$53,B558),INDEX(Bases!$O$2:$O$53,C558))</f>
        <v>95.3333333333333</v>
      </c>
      <c r="V558" s="2" t="n">
        <f aca="false">Settings!$B$4*MAX(INDEX(Bases!$P$2:$P$53,B558),INDEX(Bases!$P$2:$P$53,C558))+Settings!$B$5*MIN(INDEX(Bases!$P$2:$P$53,B558),INDEX(Bases!$P$2:$P$53,C558))</f>
        <v>78.3333333333333</v>
      </c>
      <c r="W558" s="2" t="n">
        <f aca="false">Settings!$B$4*MAX(INDEX(Bases!$Q$2:$Q$53,B558),INDEX(Bases!$Q$2:$Q$53,C558))+Settings!$B$5*MIN(INDEX(Bases!$Q$2:$Q$53,B558),INDEX(Bases!$Q$2:$Q$53,C558))</f>
        <v>72.3333333333333</v>
      </c>
      <c r="X558" s="2" t="n">
        <f aca="false">Settings!$B$4*MAX(INDEX(Bases!$R$2:$R$53,B558),INDEX(Bases!$R$2:$R$53,C558))+Settings!$B$5*MIN(INDEX(Bases!$R$2:$R$53,B558),INDEX(Bases!$R$2:$R$53,C558))</f>
        <v>51</v>
      </c>
      <c r="Y558" s="2" t="n">
        <f aca="false">S558*Settings!$B$3/SUM(S558:X558)</f>
        <v>62.8955696202532</v>
      </c>
      <c r="Z558" s="2" t="n">
        <f aca="false">T558*Settings!$B$3/SUM(S558:X558)</f>
        <v>84.6518987341772</v>
      </c>
      <c r="AA558" s="2" t="n">
        <f aca="false">U558*Settings!$B$3/SUM(S558:X558)</f>
        <v>113.132911392405</v>
      </c>
      <c r="AB558" s="2" t="n">
        <f aca="false">V558*Settings!$B$3/SUM(S558:X558)</f>
        <v>92.9588607594937</v>
      </c>
      <c r="AC558" s="2" t="n">
        <f aca="false">W558*Settings!$B$3/SUM(S558:X558)</f>
        <v>85.8386075949367</v>
      </c>
      <c r="AD558" s="2" t="n">
        <f aca="false">X558*Settings!$B$3/SUM(S558:X558)</f>
        <v>60.5221518987342</v>
      </c>
      <c r="AE558" s="2" t="n">
        <f aca="false">INT(Y558)</f>
        <v>62</v>
      </c>
      <c r="AF558" s="2" t="n">
        <f aca="false">INT(Z558)</f>
        <v>84</v>
      </c>
      <c r="AG558" s="2" t="n">
        <f aca="false">INT(AA558)</f>
        <v>113</v>
      </c>
      <c r="AH558" s="2" t="n">
        <f aca="false">INT(AB558)</f>
        <v>92</v>
      </c>
      <c r="AI558" s="2" t="n">
        <f aca="false">INT(AC558)</f>
        <v>85</v>
      </c>
      <c r="AJ558" s="2" t="n">
        <f aca="false">INT(AD558)</f>
        <v>60</v>
      </c>
      <c r="AK558" s="2" t="n">
        <f aca="false">Settings!$B$3-SUM(AE558:AJ558)</f>
        <v>4</v>
      </c>
      <c r="AL558" s="2" t="n">
        <f aca="false">ROUND(Y558-AE558,9)</f>
        <v>0.89556962</v>
      </c>
      <c r="AM558" s="2" t="n">
        <f aca="false">ROUND(Z558-AF558,9)</f>
        <v>0.651898734</v>
      </c>
      <c r="AN558" s="2" t="n">
        <f aca="false">ROUND(AA558-AG558,9)</f>
        <v>0.132911392</v>
      </c>
      <c r="AO558" s="2" t="n">
        <f aca="false">ROUND(AB558-AH558,9)</f>
        <v>0.958860759</v>
      </c>
      <c r="AP558" s="2" t="n">
        <f aca="false">ROUND(AC558-AI558,9)</f>
        <v>0.838607595</v>
      </c>
      <c r="AQ558" s="2" t="n">
        <f aca="false">ROUND(AD558-AJ558,9)</f>
        <v>0.522151899</v>
      </c>
    </row>
    <row r="559" customFormat="false" ht="15" hidden="false" customHeight="false" outlineLevel="0" collapsed="false">
      <c r="A559" s="2" t="n">
        <v>558</v>
      </c>
      <c r="B559" s="6" t="n">
        <v>13</v>
      </c>
      <c r="C559" s="6" t="n">
        <v>25</v>
      </c>
      <c r="D559" s="8" t="str">
        <f aca="false">INDEX(Bases!$B$2:$B$53,B559)</f>
        <v>Bulbasaur</v>
      </c>
      <c r="E559" s="8" t="str">
        <f aca="false">INDEX(Bases!$B$2:$B$53,C559)</f>
        <v>Sandshrew</v>
      </c>
      <c r="F559" s="2" t="str">
        <f aca="false">LEFT(D559,ROUNDUP(LEN(D559)/2,0))&amp;LOWER(MID(E559,ROUNDUP(LEN(E559)/2,0)+1,20))</f>
        <v>Bulbahrew</v>
      </c>
      <c r="G559" s="8" t="str">
        <f aca="false">INDEX(Bases!$C$2:$C$53,B559)</f>
        <v>Grass</v>
      </c>
      <c r="H559" s="8" t="str">
        <f aca="false">IF(INDEX(Bases!$C$2:$C$53,C559)=G559,"",INDEX(Bases!$C$2:$C$53,C559))</f>
        <v>Ground</v>
      </c>
      <c r="I559" s="8" t="str">
        <f aca="false">IF(INDEX(Bases!$E$2:$E$53,B559)="","",INDEX(Bases!$E$2:$E$53,B559))</f>
        <v/>
      </c>
      <c r="J559" s="8" t="str">
        <f aca="false">IF(INDEX(Bases!$E$2:$E$53,C559)="","",INDEX(Bases!$E$2:$E$53,C559))</f>
        <v/>
      </c>
      <c r="K559" s="5"/>
      <c r="L559" s="2" t="n">
        <f aca="false">AE559+IF(SUMPRODUCT(--($AL559:$AQ559&gt;AL559))&lt;$AK559,1,0)</f>
        <v>73</v>
      </c>
      <c r="M559" s="2" t="n">
        <f aca="false">AF559+IF(SUMPRODUCT(--($AL559:$AQ559&gt;AM559))+SUMPRODUCT(--($AL559:AL559=AM559))&lt;$AK559,1,0)</f>
        <v>101</v>
      </c>
      <c r="N559" s="2" t="n">
        <f aca="false">AG559+IF(SUMPRODUCT(--($AL559:$AQ559&gt;AN559))+SUMPRODUCT(--($AL559:AM559=AN559))&lt;$AK559,1,0)</f>
        <v>111</v>
      </c>
      <c r="O559" s="2" t="n">
        <f aca="false">AH559+IF(SUMPRODUCT(--($AL559:$AQ559&gt;AO559))+SUMPRODUCT(--($AL559:AN559=AO559))&lt;$AK559,1,0)</f>
        <v>74</v>
      </c>
      <c r="P559" s="2" t="n">
        <f aca="false">AI559+IF(SUMPRODUCT(--($AL559:$AQ559&gt;AP559))+SUMPRODUCT(--($AL559:AO559=AP559))&lt;$AK559,1,0)</f>
        <v>78</v>
      </c>
      <c r="Q559" s="2" t="n">
        <f aca="false">AJ559+IF(SUMPRODUCT(--($AL559:$AQ559&gt;AQ559))+SUMPRODUCT(--($AL559:AP559=AQ559))&lt;$AK559,1,0)</f>
        <v>63</v>
      </c>
      <c r="R559" s="2" t="n">
        <f aca="false">SUM(L559:Q559)</f>
        <v>500</v>
      </c>
      <c r="S559" s="2" t="n">
        <f aca="false">Settings!$B$4*MAX(INDEX(Bases!$M$2:$M$53,B559),INDEX(Bases!$M$2:$M$53,C559))+Settings!$B$5*MIN(INDEX(Bases!$M$2:$M$53,B559),INDEX(Bases!$M$2:$M$53,C559))</f>
        <v>63.3333333333333</v>
      </c>
      <c r="T559" s="2" t="n">
        <f aca="false">Settings!$B$4*MAX(INDEX(Bases!$N$2:$N$53,B559),INDEX(Bases!$N$2:$N$53,C559))+Settings!$B$5*MIN(INDEX(Bases!$N$2:$N$53,B559),INDEX(Bases!$N$2:$N$53,C559))</f>
        <v>87.3333333333333</v>
      </c>
      <c r="U559" s="2" t="n">
        <f aca="false">Settings!$B$4*MAX(INDEX(Bases!$O$2:$O$53,B559),INDEX(Bases!$O$2:$O$53,C559))+Settings!$B$5*MIN(INDEX(Bases!$O$2:$O$53,B559),INDEX(Bases!$O$2:$O$53,C559))</f>
        <v>96</v>
      </c>
      <c r="V559" s="2" t="n">
        <f aca="false">Settings!$B$4*MAX(INDEX(Bases!$P$2:$P$53,B559),INDEX(Bases!$P$2:$P$53,C559))+Settings!$B$5*MIN(INDEX(Bases!$P$2:$P$53,B559),INDEX(Bases!$P$2:$P$53,C559))</f>
        <v>63.6666666666667</v>
      </c>
      <c r="W559" s="2" t="n">
        <f aca="false">Settings!$B$4*MAX(INDEX(Bases!$Q$2:$Q$53,B559),INDEX(Bases!$Q$2:$Q$53,C559))+Settings!$B$5*MIN(INDEX(Bases!$Q$2:$Q$53,B559),INDEX(Bases!$Q$2:$Q$53,C559))</f>
        <v>68</v>
      </c>
      <c r="X559" s="2" t="n">
        <f aca="false">Settings!$B$4*MAX(INDEX(Bases!$R$2:$R$53,B559),INDEX(Bases!$R$2:$R$53,C559))+Settings!$B$5*MIN(INDEX(Bases!$R$2:$R$53,B559),INDEX(Bases!$R$2:$R$53,C559))</f>
        <v>55</v>
      </c>
      <c r="Y559" s="2" t="n">
        <f aca="false">S559*Settings!$B$3/SUM(S559:X559)</f>
        <v>73.0769230769231</v>
      </c>
      <c r="Z559" s="2" t="n">
        <f aca="false">T559*Settings!$B$3/SUM(S559:X559)</f>
        <v>100.769230769231</v>
      </c>
      <c r="AA559" s="2" t="n">
        <f aca="false">U559*Settings!$B$3/SUM(S559:X559)</f>
        <v>110.769230769231</v>
      </c>
      <c r="AB559" s="2" t="n">
        <f aca="false">V559*Settings!$B$3/SUM(S559:X559)</f>
        <v>73.4615384615385</v>
      </c>
      <c r="AC559" s="2" t="n">
        <f aca="false">W559*Settings!$B$3/SUM(S559:X559)</f>
        <v>78.4615384615385</v>
      </c>
      <c r="AD559" s="2" t="n">
        <f aca="false">X559*Settings!$B$3/SUM(S559:X559)</f>
        <v>63.4615384615385</v>
      </c>
      <c r="AE559" s="2" t="n">
        <f aca="false">INT(Y559)</f>
        <v>73</v>
      </c>
      <c r="AF559" s="2" t="n">
        <f aca="false">INT(Z559)</f>
        <v>100</v>
      </c>
      <c r="AG559" s="2" t="n">
        <f aca="false">INT(AA559)</f>
        <v>110</v>
      </c>
      <c r="AH559" s="2" t="n">
        <f aca="false">INT(AB559)</f>
        <v>73</v>
      </c>
      <c r="AI559" s="2" t="n">
        <f aca="false">INT(AC559)</f>
        <v>78</v>
      </c>
      <c r="AJ559" s="2" t="n">
        <f aca="false">INT(AD559)</f>
        <v>63</v>
      </c>
      <c r="AK559" s="2" t="n">
        <f aca="false">Settings!$B$3-SUM(AE559:AJ559)</f>
        <v>3</v>
      </c>
      <c r="AL559" s="2" t="n">
        <f aca="false">ROUND(Y559-AE559,9)</f>
        <v>0.076923077</v>
      </c>
      <c r="AM559" s="2" t="n">
        <f aca="false">ROUND(Z559-AF559,9)</f>
        <v>0.769230769</v>
      </c>
      <c r="AN559" s="2" t="n">
        <f aca="false">ROUND(AA559-AG559,9)</f>
        <v>0.769230769</v>
      </c>
      <c r="AO559" s="2" t="n">
        <f aca="false">ROUND(AB559-AH559,9)</f>
        <v>0.461538462</v>
      </c>
      <c r="AP559" s="2" t="n">
        <f aca="false">ROUND(AC559-AI559,9)</f>
        <v>0.461538462</v>
      </c>
      <c r="AQ559" s="2" t="n">
        <f aca="false">ROUND(AD559-AJ559,9)</f>
        <v>0.461538462</v>
      </c>
    </row>
    <row r="560" customFormat="false" ht="15" hidden="false" customHeight="false" outlineLevel="0" collapsed="false">
      <c r="A560" s="2" t="n">
        <v>559</v>
      </c>
      <c r="B560" s="6" t="n">
        <v>13</v>
      </c>
      <c r="C560" s="6" t="n">
        <v>26</v>
      </c>
      <c r="D560" s="8" t="str">
        <f aca="false">INDEX(Bases!$B$2:$B$53,B560)</f>
        <v>Bulbasaur</v>
      </c>
      <c r="E560" s="8" t="str">
        <f aca="false">INDEX(Bases!$B$2:$B$53,C560)</f>
        <v>Phanpy</v>
      </c>
      <c r="F560" s="2" t="str">
        <f aca="false">LEFT(D560,ROUNDUP(LEN(D560)/2,0))&amp;LOWER(MID(E560,ROUNDUP(LEN(E560)/2,0)+1,20))</f>
        <v>Bulbanpy</v>
      </c>
      <c r="G560" s="8" t="str">
        <f aca="false">INDEX(Bases!$C$2:$C$53,B560)</f>
        <v>Grass</v>
      </c>
      <c r="H560" s="8" t="str">
        <f aca="false">IF(INDEX(Bases!$C$2:$C$53,C560)=G560,"",INDEX(Bases!$C$2:$C$53,C560))</f>
        <v>Ground</v>
      </c>
      <c r="I560" s="8" t="str">
        <f aca="false">IF(INDEX(Bases!$E$2:$E$53,B560)="","",INDEX(Bases!$E$2:$E$53,B560))</f>
        <v/>
      </c>
      <c r="J560" s="8" t="str">
        <f aca="false">IF(INDEX(Bases!$E$2:$E$53,C560)="","",INDEX(Bases!$E$2:$E$53,C560))</f>
        <v/>
      </c>
      <c r="K560" s="5"/>
      <c r="L560" s="2" t="n">
        <f aca="false">AE560+IF(SUMPRODUCT(--($AL560:$AQ560&gt;AL560))&lt;$AK560,1,0)</f>
        <v>107</v>
      </c>
      <c r="M560" s="2" t="n">
        <f aca="false">AF560+IF(SUMPRODUCT(--($AL560:$AQ560&gt;AM560))+SUMPRODUCT(--($AL560:AL560=AM560))&lt;$AK560,1,0)</f>
        <v>82</v>
      </c>
      <c r="N560" s="2" t="n">
        <f aca="false">AG560+IF(SUMPRODUCT(--($AL560:$AQ560&gt;AN560))+SUMPRODUCT(--($AL560:AM560=AN560))&lt;$AK560,1,0)</f>
        <v>82</v>
      </c>
      <c r="O560" s="2" t="n">
        <f aca="false">AH560+IF(SUMPRODUCT(--($AL560:$AQ560&gt;AO560))+SUMPRODUCT(--($AL560:AN560=AO560))&lt;$AK560,1,0)</f>
        <v>83</v>
      </c>
      <c r="P560" s="2" t="n">
        <f aca="false">AI560+IF(SUMPRODUCT(--($AL560:$AQ560&gt;AP560))+SUMPRODUCT(--($AL560:AO560=AP560))&lt;$AK560,1,0)</f>
        <v>83</v>
      </c>
      <c r="Q560" s="2" t="n">
        <f aca="false">AJ560+IF(SUMPRODUCT(--($AL560:$AQ560&gt;AQ560))+SUMPRODUCT(--($AL560:AP560=AQ560))&lt;$AK560,1,0)</f>
        <v>63</v>
      </c>
      <c r="R560" s="2" t="n">
        <f aca="false">SUM(L560:Q560)</f>
        <v>500</v>
      </c>
      <c r="S560" s="2" t="n">
        <f aca="false">Settings!$B$4*MAX(INDEX(Bases!$M$2:$M$53,B560),INDEX(Bases!$M$2:$M$53,C560))+Settings!$B$5*MIN(INDEX(Bases!$M$2:$M$53,B560),INDEX(Bases!$M$2:$M$53,C560))</f>
        <v>91.3333333333333</v>
      </c>
      <c r="T560" s="2" t="n">
        <f aca="false">Settings!$B$4*MAX(INDEX(Bases!$N$2:$N$53,B560),INDEX(Bases!$N$2:$N$53,C560))+Settings!$B$5*MIN(INDEX(Bases!$N$2:$N$53,B560),INDEX(Bases!$N$2:$N$53,C560))</f>
        <v>69.3333333333333</v>
      </c>
      <c r="U560" s="2" t="n">
        <f aca="false">Settings!$B$4*MAX(INDEX(Bases!$O$2:$O$53,B560),INDEX(Bases!$O$2:$O$53,C560))+Settings!$B$5*MIN(INDEX(Bases!$O$2:$O$53,B560),INDEX(Bases!$O$2:$O$53,C560))</f>
        <v>69.3333333333333</v>
      </c>
      <c r="V560" s="2" t="n">
        <f aca="false">Settings!$B$4*MAX(INDEX(Bases!$P$2:$P$53,B560),INDEX(Bases!$P$2:$P$53,C560))+Settings!$B$5*MIN(INDEX(Bases!$P$2:$P$53,B560),INDEX(Bases!$P$2:$P$53,C560))</f>
        <v>71</v>
      </c>
      <c r="W560" s="2" t="n">
        <f aca="false">Settings!$B$4*MAX(INDEX(Bases!$Q$2:$Q$53,B560),INDEX(Bases!$Q$2:$Q$53,C560))+Settings!$B$5*MIN(INDEX(Bases!$Q$2:$Q$53,B560),INDEX(Bases!$Q$2:$Q$53,C560))</f>
        <v>70.6666666666667</v>
      </c>
      <c r="X560" s="2" t="n">
        <f aca="false">Settings!$B$4*MAX(INDEX(Bases!$R$2:$R$53,B560),INDEX(Bases!$R$2:$R$53,C560))+Settings!$B$5*MIN(INDEX(Bases!$R$2:$R$53,B560),INDEX(Bases!$R$2:$R$53,C560))</f>
        <v>53.3333333333333</v>
      </c>
      <c r="Y560" s="2" t="n">
        <f aca="false">S560*Settings!$B$3/SUM(S560:X560)</f>
        <v>107.450980392157</v>
      </c>
      <c r="Z560" s="2" t="n">
        <f aca="false">T560*Settings!$B$3/SUM(S560:X560)</f>
        <v>81.5686274509804</v>
      </c>
      <c r="AA560" s="2" t="n">
        <f aca="false">U560*Settings!$B$3/SUM(S560:X560)</f>
        <v>81.5686274509804</v>
      </c>
      <c r="AB560" s="2" t="n">
        <f aca="false">V560*Settings!$B$3/SUM(S560:X560)</f>
        <v>83.5294117647059</v>
      </c>
      <c r="AC560" s="2" t="n">
        <f aca="false">W560*Settings!$B$3/SUM(S560:X560)</f>
        <v>83.1372549019608</v>
      </c>
      <c r="AD560" s="2" t="n">
        <f aca="false">X560*Settings!$B$3/SUM(S560:X560)</f>
        <v>62.7450980392157</v>
      </c>
      <c r="AE560" s="2" t="n">
        <f aca="false">INT(Y560)</f>
        <v>107</v>
      </c>
      <c r="AF560" s="2" t="n">
        <f aca="false">INT(Z560)</f>
        <v>81</v>
      </c>
      <c r="AG560" s="2" t="n">
        <f aca="false">INT(AA560)</f>
        <v>81</v>
      </c>
      <c r="AH560" s="2" t="n">
        <f aca="false">INT(AB560)</f>
        <v>83</v>
      </c>
      <c r="AI560" s="2" t="n">
        <f aca="false">INT(AC560)</f>
        <v>83</v>
      </c>
      <c r="AJ560" s="2" t="n">
        <f aca="false">INT(AD560)</f>
        <v>62</v>
      </c>
      <c r="AK560" s="2" t="n">
        <f aca="false">Settings!$B$3-SUM(AE560:AJ560)</f>
        <v>3</v>
      </c>
      <c r="AL560" s="2" t="n">
        <f aca="false">ROUND(Y560-AE560,9)</f>
        <v>0.450980392</v>
      </c>
      <c r="AM560" s="2" t="n">
        <f aca="false">ROUND(Z560-AF560,9)</f>
        <v>0.568627451</v>
      </c>
      <c r="AN560" s="2" t="n">
        <f aca="false">ROUND(AA560-AG560,9)</f>
        <v>0.568627451</v>
      </c>
      <c r="AO560" s="2" t="n">
        <f aca="false">ROUND(AB560-AH560,9)</f>
        <v>0.529411765</v>
      </c>
      <c r="AP560" s="2" t="n">
        <f aca="false">ROUND(AC560-AI560,9)</f>
        <v>0.137254902</v>
      </c>
      <c r="AQ560" s="2" t="n">
        <f aca="false">ROUND(AD560-AJ560,9)</f>
        <v>0.745098039</v>
      </c>
    </row>
    <row r="561" customFormat="false" ht="15" hidden="false" customHeight="false" outlineLevel="0" collapsed="false">
      <c r="A561" s="2" t="n">
        <v>560</v>
      </c>
      <c r="B561" s="6" t="n">
        <v>13</v>
      </c>
      <c r="C561" s="6" t="n">
        <v>27</v>
      </c>
      <c r="D561" s="8" t="str">
        <f aca="false">INDEX(Bases!$B$2:$B$53,B561)</f>
        <v>Bulbasaur</v>
      </c>
      <c r="E561" s="8" t="str">
        <f aca="false">INDEX(Bases!$B$2:$B$53,C561)</f>
        <v>Baltoy</v>
      </c>
      <c r="F561" s="2" t="str">
        <f aca="false">LEFT(D561,ROUNDUP(LEN(D561)/2,0))&amp;LOWER(MID(E561,ROUNDUP(LEN(E561)/2,0)+1,20))</f>
        <v>Bulbatoy</v>
      </c>
      <c r="G561" s="8" t="str">
        <f aca="false">INDEX(Bases!$C$2:$C$53,B561)</f>
        <v>Grass</v>
      </c>
      <c r="H561" s="8" t="str">
        <f aca="false">IF(INDEX(Bases!$C$2:$C$53,C561)=G561,"",INDEX(Bases!$C$2:$C$53,C561))</f>
        <v>Ground</v>
      </c>
      <c r="I561" s="8" t="str">
        <f aca="false">IF(INDEX(Bases!$E$2:$E$53,B561)="","",INDEX(Bases!$E$2:$E$53,B561))</f>
        <v/>
      </c>
      <c r="J561" s="8" t="str">
        <f aca="false">IF(INDEX(Bases!$E$2:$E$53,C561)="","",INDEX(Bases!$E$2:$E$53,C561))</f>
        <v/>
      </c>
      <c r="K561" s="5"/>
      <c r="L561" s="2" t="n">
        <f aca="false">AE561+IF(SUMPRODUCT(--($AL561:$AQ561&gt;AL561))&lt;$AK561,1,0)</f>
        <v>67</v>
      </c>
      <c r="M561" s="2" t="n">
        <f aca="false">AF561+IF(SUMPRODUCT(--($AL561:$AQ561&gt;AM561))+SUMPRODUCT(--($AL561:AL561=AM561))&lt;$AK561,1,0)</f>
        <v>72</v>
      </c>
      <c r="N561" s="2" t="n">
        <f aca="false">AG561+IF(SUMPRODUCT(--($AL561:$AQ561&gt;AN561))+SUMPRODUCT(--($AL561:AM561=AN561))&lt;$AK561,1,0)</f>
        <v>84</v>
      </c>
      <c r="O561" s="2" t="n">
        <f aca="false">AH561+IF(SUMPRODUCT(--($AL561:$AQ561&gt;AO561))+SUMPRODUCT(--($AL561:AN561=AO561))&lt;$AK561,1,0)</f>
        <v>88</v>
      </c>
      <c r="P561" s="2" t="n">
        <f aca="false">AI561+IF(SUMPRODUCT(--($AL561:$AQ561&gt;AP561))+SUMPRODUCT(--($AL561:AO561=AP561))&lt;$AK561,1,0)</f>
        <v>108</v>
      </c>
      <c r="Q561" s="2" t="n">
        <f aca="false">AJ561+IF(SUMPRODUCT(--($AL561:$AQ561&gt;AQ561))+SUMPRODUCT(--($AL561:AP561=AQ561))&lt;$AK561,1,0)</f>
        <v>81</v>
      </c>
      <c r="R561" s="2" t="n">
        <f aca="false">SUM(L561:Q561)</f>
        <v>500</v>
      </c>
      <c r="S561" s="2" t="n">
        <f aca="false">Settings!$B$4*MAX(INDEX(Bases!$M$2:$M$53,B561),INDEX(Bases!$M$2:$M$53,C561))+Settings!$B$5*MIN(INDEX(Bases!$M$2:$M$53,B561),INDEX(Bases!$M$2:$M$53,C561))</f>
        <v>55.3333333333333</v>
      </c>
      <c r="T561" s="2" t="n">
        <f aca="false">Settings!$B$4*MAX(INDEX(Bases!$N$2:$N$53,B561),INDEX(Bases!$N$2:$N$53,C561))+Settings!$B$5*MIN(INDEX(Bases!$N$2:$N$53,B561),INDEX(Bases!$N$2:$N$53,C561))</f>
        <v>59.3333333333333</v>
      </c>
      <c r="U561" s="2" t="n">
        <f aca="false">Settings!$B$4*MAX(INDEX(Bases!$O$2:$O$53,B561),INDEX(Bases!$O$2:$O$53,C561))+Settings!$B$5*MIN(INDEX(Bases!$O$2:$O$53,B561),INDEX(Bases!$O$2:$O$53,C561))</f>
        <v>69.3333333333333</v>
      </c>
      <c r="V561" s="2" t="n">
        <f aca="false">Settings!$B$4*MAX(INDEX(Bases!$P$2:$P$53,B561),INDEX(Bases!$P$2:$P$53,C561))+Settings!$B$5*MIN(INDEX(Bases!$P$2:$P$53,B561),INDEX(Bases!$P$2:$P$53,C561))</f>
        <v>72.3333333333333</v>
      </c>
      <c r="W561" s="2" t="n">
        <f aca="false">Settings!$B$4*MAX(INDEX(Bases!$Q$2:$Q$53,B561),INDEX(Bases!$Q$2:$Q$53,C561))+Settings!$B$5*MIN(INDEX(Bases!$Q$2:$Q$53,B561),INDEX(Bases!$Q$2:$Q$53,C561))</f>
        <v>89.3333333333333</v>
      </c>
      <c r="X561" s="2" t="n">
        <f aca="false">Settings!$B$4*MAX(INDEX(Bases!$R$2:$R$53,B561),INDEX(Bases!$R$2:$R$53,C561))+Settings!$B$5*MIN(INDEX(Bases!$R$2:$R$53,B561),INDEX(Bases!$R$2:$R$53,C561))</f>
        <v>67.3333333333333</v>
      </c>
      <c r="Y561" s="2" t="n">
        <f aca="false">S561*Settings!$B$3/SUM(S561:X561)</f>
        <v>66.9895076674738</v>
      </c>
      <c r="Z561" s="2" t="n">
        <f aca="false">T561*Settings!$B$3/SUM(S561:X561)</f>
        <v>71.8321226795803</v>
      </c>
      <c r="AA561" s="2" t="n">
        <f aca="false">U561*Settings!$B$3/SUM(S561:X561)</f>
        <v>83.9386602098467</v>
      </c>
      <c r="AB561" s="2" t="n">
        <f aca="false">V561*Settings!$B$3/SUM(S561:X561)</f>
        <v>87.5706214689266</v>
      </c>
      <c r="AC561" s="2" t="n">
        <f aca="false">W561*Settings!$B$3/SUM(S561:X561)</f>
        <v>108.151735270379</v>
      </c>
      <c r="AD561" s="2" t="n">
        <f aca="false">X561*Settings!$B$3/SUM(S561:X561)</f>
        <v>81.5173527037934</v>
      </c>
      <c r="AE561" s="2" t="n">
        <f aca="false">INT(Y561)</f>
        <v>66</v>
      </c>
      <c r="AF561" s="2" t="n">
        <f aca="false">INT(Z561)</f>
        <v>71</v>
      </c>
      <c r="AG561" s="2" t="n">
        <f aca="false">INT(AA561)</f>
        <v>83</v>
      </c>
      <c r="AH561" s="2" t="n">
        <f aca="false">INT(AB561)</f>
        <v>87</v>
      </c>
      <c r="AI561" s="2" t="n">
        <f aca="false">INT(AC561)</f>
        <v>108</v>
      </c>
      <c r="AJ561" s="2" t="n">
        <f aca="false">INT(AD561)</f>
        <v>81</v>
      </c>
      <c r="AK561" s="2" t="n">
        <f aca="false">Settings!$B$3-SUM(AE561:AJ561)</f>
        <v>4</v>
      </c>
      <c r="AL561" s="2" t="n">
        <f aca="false">ROUND(Y561-AE561,9)</f>
        <v>0.989507667</v>
      </c>
      <c r="AM561" s="2" t="n">
        <f aca="false">ROUND(Z561-AF561,9)</f>
        <v>0.83212268</v>
      </c>
      <c r="AN561" s="2" t="n">
        <f aca="false">ROUND(AA561-AG561,9)</f>
        <v>0.93866021</v>
      </c>
      <c r="AO561" s="2" t="n">
        <f aca="false">ROUND(AB561-AH561,9)</f>
        <v>0.570621469</v>
      </c>
      <c r="AP561" s="2" t="n">
        <f aca="false">ROUND(AC561-AI561,9)</f>
        <v>0.15173527</v>
      </c>
      <c r="AQ561" s="2" t="n">
        <f aca="false">ROUND(AD561-AJ561,9)</f>
        <v>0.517352704</v>
      </c>
    </row>
    <row r="562" customFormat="false" ht="15" hidden="false" customHeight="false" outlineLevel="0" collapsed="false">
      <c r="A562" s="2" t="n">
        <v>561</v>
      </c>
      <c r="B562" s="6" t="n">
        <v>13</v>
      </c>
      <c r="C562" s="6" t="n">
        <v>28</v>
      </c>
      <c r="D562" s="8" t="str">
        <f aca="false">INDEX(Bases!$B$2:$B$53,B562)</f>
        <v>Bulbasaur</v>
      </c>
      <c r="E562" s="8" t="str">
        <f aca="false">INDEX(Bases!$B$2:$B$53,C562)</f>
        <v>Zubat</v>
      </c>
      <c r="F562" s="2" t="str">
        <f aca="false">LEFT(D562,ROUNDUP(LEN(D562)/2,0))&amp;LOWER(MID(E562,ROUNDUP(LEN(E562)/2,0)+1,20))</f>
        <v>Bulbaat</v>
      </c>
      <c r="G562" s="8" t="str">
        <f aca="false">INDEX(Bases!$C$2:$C$53,B562)</f>
        <v>Grass</v>
      </c>
      <c r="H562" s="8" t="str">
        <f aca="false">IF(INDEX(Bases!$C$2:$C$53,C562)=G562,"",INDEX(Bases!$C$2:$C$53,C562))</f>
        <v>Flying</v>
      </c>
      <c r="I562" s="8" t="str">
        <f aca="false">IF(INDEX(Bases!$E$2:$E$53,B562)="","",INDEX(Bases!$E$2:$E$53,B562))</f>
        <v/>
      </c>
      <c r="J562" s="8" t="str">
        <f aca="false">IF(INDEX(Bases!$E$2:$E$53,C562)="","",INDEX(Bases!$E$2:$E$53,C562))</f>
        <v/>
      </c>
      <c r="K562" s="5"/>
      <c r="L562" s="2" t="n">
        <f aca="false">AE562+IF(SUMPRODUCT(--($AL562:$AQ562&gt;AL562))&lt;$AK562,1,0)</f>
        <v>74</v>
      </c>
      <c r="M562" s="2" t="n">
        <f aca="false">AF562+IF(SUMPRODUCT(--($AL562:$AQ562&gt;AM562))+SUMPRODUCT(--($AL562:AL562=AM562))&lt;$AK562,1,0)</f>
        <v>84</v>
      </c>
      <c r="N562" s="2" t="n">
        <f aca="false">AG562+IF(SUMPRODUCT(--($AL562:$AQ562&gt;AN562))+SUMPRODUCT(--($AL562:AM562=AN562))&lt;$AK562,1,0)</f>
        <v>72</v>
      </c>
      <c r="O562" s="2" t="n">
        <f aca="false">AH562+IF(SUMPRODUCT(--($AL562:$AQ562&gt;AO562))+SUMPRODUCT(--($AL562:AN562=AO562))&lt;$AK562,1,0)</f>
        <v>85</v>
      </c>
      <c r="P562" s="2" t="n">
        <f aca="false">AI562+IF(SUMPRODUCT(--($AL562:$AQ562&gt;AP562))+SUMPRODUCT(--($AL562:AO562=AP562))&lt;$AK562,1,0)</f>
        <v>91</v>
      </c>
      <c r="Q562" s="2" t="n">
        <f aca="false">AJ562+IF(SUMPRODUCT(--($AL562:$AQ562&gt;AQ562))+SUMPRODUCT(--($AL562:AP562=AQ562))&lt;$AK562,1,0)</f>
        <v>94</v>
      </c>
      <c r="R562" s="2" t="n">
        <f aca="false">SUM(L562:Q562)</f>
        <v>500</v>
      </c>
      <c r="S562" s="2" t="n">
        <f aca="false">Settings!$B$4*MAX(INDEX(Bases!$M$2:$M$53,B562),INDEX(Bases!$M$2:$M$53,C562))+Settings!$B$5*MIN(INDEX(Bases!$M$2:$M$53,B562),INDEX(Bases!$M$2:$M$53,C562))</f>
        <v>62</v>
      </c>
      <c r="T562" s="2" t="n">
        <f aca="false">Settings!$B$4*MAX(INDEX(Bases!$N$2:$N$53,B562),INDEX(Bases!$N$2:$N$53,C562))+Settings!$B$5*MIN(INDEX(Bases!$N$2:$N$53,B562),INDEX(Bases!$N$2:$N$53,C562))</f>
        <v>70</v>
      </c>
      <c r="U562" s="2" t="n">
        <f aca="false">Settings!$B$4*MAX(INDEX(Bases!$O$2:$O$53,B562),INDEX(Bases!$O$2:$O$53,C562))+Settings!$B$5*MIN(INDEX(Bases!$O$2:$O$53,B562),INDEX(Bases!$O$2:$O$53,C562))</f>
        <v>60.3333333333333</v>
      </c>
      <c r="V562" s="2" t="n">
        <f aca="false">Settings!$B$4*MAX(INDEX(Bases!$P$2:$P$53,B562),INDEX(Bases!$P$2:$P$53,C562))+Settings!$B$5*MIN(INDEX(Bases!$P$2:$P$53,B562),INDEX(Bases!$P$2:$P$53,C562))</f>
        <v>71</v>
      </c>
      <c r="W562" s="2" t="n">
        <f aca="false">Settings!$B$4*MAX(INDEX(Bases!$Q$2:$Q$53,B562),INDEX(Bases!$Q$2:$Q$53,C562))+Settings!$B$5*MIN(INDEX(Bases!$Q$2:$Q$53,B562),INDEX(Bases!$Q$2:$Q$53,C562))</f>
        <v>76.3333333333333</v>
      </c>
      <c r="X562" s="2" t="n">
        <f aca="false">Settings!$B$4*MAX(INDEX(Bases!$R$2:$R$53,B562),INDEX(Bases!$R$2:$R$53,C562))+Settings!$B$5*MIN(INDEX(Bases!$R$2:$R$53,B562),INDEX(Bases!$R$2:$R$53,C562))</f>
        <v>78.6666666666667</v>
      </c>
      <c r="Y562" s="2" t="n">
        <f aca="false">S562*Settings!$B$3/SUM(S562:X562)</f>
        <v>74.1035856573705</v>
      </c>
      <c r="Z562" s="2" t="n">
        <f aca="false">T562*Settings!$B$3/SUM(S562:X562)</f>
        <v>83.6653386454183</v>
      </c>
      <c r="AA562" s="2" t="n">
        <f aca="false">U562*Settings!$B$3/SUM(S562:X562)</f>
        <v>72.1115537848606</v>
      </c>
      <c r="AB562" s="2" t="n">
        <f aca="false">V562*Settings!$B$3/SUM(S562:X562)</f>
        <v>84.8605577689243</v>
      </c>
      <c r="AC562" s="2" t="n">
        <f aca="false">W562*Settings!$B$3/SUM(S562:X562)</f>
        <v>91.2350597609562</v>
      </c>
      <c r="AD562" s="2" t="n">
        <f aca="false">X562*Settings!$B$3/SUM(S562:X562)</f>
        <v>94.0239043824701</v>
      </c>
      <c r="AE562" s="2" t="n">
        <f aca="false">INT(Y562)</f>
        <v>74</v>
      </c>
      <c r="AF562" s="2" t="n">
        <f aca="false">INT(Z562)</f>
        <v>83</v>
      </c>
      <c r="AG562" s="2" t="n">
        <f aca="false">INT(AA562)</f>
        <v>72</v>
      </c>
      <c r="AH562" s="2" t="n">
        <f aca="false">INT(AB562)</f>
        <v>84</v>
      </c>
      <c r="AI562" s="2" t="n">
        <f aca="false">INT(AC562)</f>
        <v>91</v>
      </c>
      <c r="AJ562" s="2" t="n">
        <f aca="false">INT(AD562)</f>
        <v>94</v>
      </c>
      <c r="AK562" s="2" t="n">
        <f aca="false">Settings!$B$3-SUM(AE562:AJ562)</f>
        <v>2</v>
      </c>
      <c r="AL562" s="2" t="n">
        <f aca="false">ROUND(Y562-AE562,9)</f>
        <v>0.103585657</v>
      </c>
      <c r="AM562" s="2" t="n">
        <f aca="false">ROUND(Z562-AF562,9)</f>
        <v>0.665338645</v>
      </c>
      <c r="AN562" s="2" t="n">
        <f aca="false">ROUND(AA562-AG562,9)</f>
        <v>0.111553785</v>
      </c>
      <c r="AO562" s="2" t="n">
        <f aca="false">ROUND(AB562-AH562,9)</f>
        <v>0.860557769</v>
      </c>
      <c r="AP562" s="2" t="n">
        <f aca="false">ROUND(AC562-AI562,9)</f>
        <v>0.235059761</v>
      </c>
      <c r="AQ562" s="2" t="n">
        <f aca="false">ROUND(AD562-AJ562,9)</f>
        <v>0.023904382</v>
      </c>
    </row>
    <row r="563" customFormat="false" ht="15" hidden="false" customHeight="false" outlineLevel="0" collapsed="false">
      <c r="A563" s="2" t="n">
        <v>562</v>
      </c>
      <c r="B563" s="6" t="n">
        <v>13</v>
      </c>
      <c r="C563" s="6" t="n">
        <v>29</v>
      </c>
      <c r="D563" s="8" t="str">
        <f aca="false">INDEX(Bases!$B$2:$B$53,B563)</f>
        <v>Bulbasaur</v>
      </c>
      <c r="E563" s="8" t="str">
        <f aca="false">INDEX(Bases!$B$2:$B$53,C563)</f>
        <v>Murkrow</v>
      </c>
      <c r="F563" s="2" t="str">
        <f aca="false">LEFT(D563,ROUNDUP(LEN(D563)/2,0))&amp;LOWER(MID(E563,ROUNDUP(LEN(E563)/2,0)+1,20))</f>
        <v>Bulbarow</v>
      </c>
      <c r="G563" s="8" t="str">
        <f aca="false">INDEX(Bases!$C$2:$C$53,B563)</f>
        <v>Grass</v>
      </c>
      <c r="H563" s="8" t="str">
        <f aca="false">IF(INDEX(Bases!$C$2:$C$53,C563)=G563,"",INDEX(Bases!$C$2:$C$53,C563))</f>
        <v>Flying</v>
      </c>
      <c r="I563" s="8" t="str">
        <f aca="false">IF(INDEX(Bases!$E$2:$E$53,B563)="","",INDEX(Bases!$E$2:$E$53,B563))</f>
        <v/>
      </c>
      <c r="J563" s="8" t="str">
        <f aca="false">IF(INDEX(Bases!$E$2:$E$53,C563)="","",INDEX(Bases!$E$2:$E$53,C563))</f>
        <v/>
      </c>
      <c r="K563" s="5"/>
      <c r="L563" s="2" t="n">
        <f aca="false">AE563+IF(SUMPRODUCT(--($AL563:$AQ563&gt;AL563))&lt;$AK563,1,0)</f>
        <v>69</v>
      </c>
      <c r="M563" s="2" t="n">
        <f aca="false">AF563+IF(SUMPRODUCT(--($AL563:$AQ563&gt;AM563))+SUMPRODUCT(--($AL563:AL563=AM563))&lt;$AK563,1,0)</f>
        <v>91</v>
      </c>
      <c r="N563" s="2" t="n">
        <f aca="false">AG563+IF(SUMPRODUCT(--($AL563:$AQ563&gt;AN563))+SUMPRODUCT(--($AL563:AM563=AN563))&lt;$AK563,1,0)</f>
        <v>66</v>
      </c>
      <c r="O563" s="2" t="n">
        <f aca="false">AH563+IF(SUMPRODUCT(--($AL563:$AQ563&gt;AO563))+SUMPRODUCT(--($AL563:AN563=AO563))&lt;$AK563,1,0)</f>
        <v>99</v>
      </c>
      <c r="P563" s="2" t="n">
        <f aca="false">AI563+IF(SUMPRODUCT(--($AL563:$AQ563&gt;AP563))+SUMPRODUCT(--($AL563:AO563=AP563))&lt;$AK563,1,0)</f>
        <v>81</v>
      </c>
      <c r="Q563" s="2" t="n">
        <f aca="false">AJ563+IF(SUMPRODUCT(--($AL563:$AQ563&gt;AQ563))+SUMPRODUCT(--($AL563:AP563=AQ563))&lt;$AK563,1,0)</f>
        <v>94</v>
      </c>
      <c r="R563" s="2" t="n">
        <f aca="false">SUM(L563:Q563)</f>
        <v>500</v>
      </c>
      <c r="S563" s="2" t="n">
        <f aca="false">Settings!$B$4*MAX(INDEX(Bases!$M$2:$M$53,B563),INDEX(Bases!$M$2:$M$53,C563))+Settings!$B$5*MIN(INDEX(Bases!$M$2:$M$53,B563),INDEX(Bases!$M$2:$M$53,C563))</f>
        <v>58</v>
      </c>
      <c r="T563" s="2" t="n">
        <f aca="false">Settings!$B$4*MAX(INDEX(Bases!$N$2:$N$53,B563),INDEX(Bases!$N$2:$N$53,C563))+Settings!$B$5*MIN(INDEX(Bases!$N$2:$N$53,B563),INDEX(Bases!$N$2:$N$53,C563))</f>
        <v>76.6666666666667</v>
      </c>
      <c r="U563" s="2" t="n">
        <f aca="false">Settings!$B$4*MAX(INDEX(Bases!$O$2:$O$53,B563),INDEX(Bases!$O$2:$O$53,C563))+Settings!$B$5*MIN(INDEX(Bases!$O$2:$O$53,B563),INDEX(Bases!$O$2:$O$53,C563))</f>
        <v>55.3333333333333</v>
      </c>
      <c r="V563" s="2" t="n">
        <f aca="false">Settings!$B$4*MAX(INDEX(Bases!$P$2:$P$53,B563),INDEX(Bases!$P$2:$P$53,C563))+Settings!$B$5*MIN(INDEX(Bases!$P$2:$P$53,B563),INDEX(Bases!$P$2:$P$53,C563))</f>
        <v>83.3333333333333</v>
      </c>
      <c r="W563" s="2" t="n">
        <f aca="false">Settings!$B$4*MAX(INDEX(Bases!$Q$2:$Q$53,B563),INDEX(Bases!$Q$2:$Q$53,C563))+Settings!$B$5*MIN(INDEX(Bases!$Q$2:$Q$53,B563),INDEX(Bases!$Q$2:$Q$53,C563))</f>
        <v>68.3333333333333</v>
      </c>
      <c r="X563" s="2" t="n">
        <f aca="false">Settings!$B$4*MAX(INDEX(Bases!$R$2:$R$53,B563),INDEX(Bases!$R$2:$R$53,C563))+Settings!$B$5*MIN(INDEX(Bases!$R$2:$R$53,B563),INDEX(Bases!$R$2:$R$53,C563))</f>
        <v>78.6666666666667</v>
      </c>
      <c r="Y563" s="2" t="n">
        <f aca="false">S563*Settings!$B$3/SUM(S563:X563)</f>
        <v>68.9928628072958</v>
      </c>
      <c r="Z563" s="2" t="n">
        <f aca="false">T563*Settings!$B$3/SUM(S563:X563)</f>
        <v>91.197462331483</v>
      </c>
      <c r="AA563" s="2" t="n">
        <f aca="false">U563*Settings!$B$3/SUM(S563:X563)</f>
        <v>65.8207771609833</v>
      </c>
      <c r="AB563" s="2" t="n">
        <f aca="false">V563*Settings!$B$3/SUM(S563:X563)</f>
        <v>99.1276764472641</v>
      </c>
      <c r="AC563" s="2" t="n">
        <f aca="false">W563*Settings!$B$3/SUM(S563:X563)</f>
        <v>81.2846946867565</v>
      </c>
      <c r="AD563" s="2" t="n">
        <f aca="false">X563*Settings!$B$3/SUM(S563:X563)</f>
        <v>93.5765265662173</v>
      </c>
      <c r="AE563" s="2" t="n">
        <f aca="false">INT(Y563)</f>
        <v>68</v>
      </c>
      <c r="AF563" s="2" t="n">
        <f aca="false">INT(Z563)</f>
        <v>91</v>
      </c>
      <c r="AG563" s="2" t="n">
        <f aca="false">INT(AA563)</f>
        <v>65</v>
      </c>
      <c r="AH563" s="2" t="n">
        <f aca="false">INT(AB563)</f>
        <v>99</v>
      </c>
      <c r="AI563" s="2" t="n">
        <f aca="false">INT(AC563)</f>
        <v>81</v>
      </c>
      <c r="AJ563" s="2" t="n">
        <f aca="false">INT(AD563)</f>
        <v>93</v>
      </c>
      <c r="AK563" s="2" t="n">
        <f aca="false">Settings!$B$3-SUM(AE563:AJ563)</f>
        <v>3</v>
      </c>
      <c r="AL563" s="2" t="n">
        <f aca="false">ROUND(Y563-AE563,9)</f>
        <v>0.992862807</v>
      </c>
      <c r="AM563" s="2" t="n">
        <f aca="false">ROUND(Z563-AF563,9)</f>
        <v>0.197462331</v>
      </c>
      <c r="AN563" s="2" t="n">
        <f aca="false">ROUND(AA563-AG563,9)</f>
        <v>0.820777161</v>
      </c>
      <c r="AO563" s="2" t="n">
        <f aca="false">ROUND(AB563-AH563,9)</f>
        <v>0.127676447</v>
      </c>
      <c r="AP563" s="2" t="n">
        <f aca="false">ROUND(AC563-AI563,9)</f>
        <v>0.284694687</v>
      </c>
      <c r="AQ563" s="2" t="n">
        <f aca="false">ROUND(AD563-AJ563,9)</f>
        <v>0.576526566</v>
      </c>
    </row>
    <row r="564" customFormat="false" ht="15" hidden="false" customHeight="false" outlineLevel="0" collapsed="false">
      <c r="A564" s="2" t="n">
        <v>563</v>
      </c>
      <c r="B564" s="6" t="n">
        <v>13</v>
      </c>
      <c r="C564" s="6" t="n">
        <v>30</v>
      </c>
      <c r="D564" s="8" t="str">
        <f aca="false">INDEX(Bases!$B$2:$B$53,B564)</f>
        <v>Bulbasaur</v>
      </c>
      <c r="E564" s="8" t="str">
        <f aca="false">INDEX(Bases!$B$2:$B$53,C564)</f>
        <v>Swablu</v>
      </c>
      <c r="F564" s="2" t="str">
        <f aca="false">LEFT(D564,ROUNDUP(LEN(D564)/2,0))&amp;LOWER(MID(E564,ROUNDUP(LEN(E564)/2,0)+1,20))</f>
        <v>Bulbablu</v>
      </c>
      <c r="G564" s="8" t="str">
        <f aca="false">INDEX(Bases!$C$2:$C$53,B564)</f>
        <v>Grass</v>
      </c>
      <c r="H564" s="8" t="str">
        <f aca="false">IF(INDEX(Bases!$C$2:$C$53,C564)=G564,"",INDEX(Bases!$C$2:$C$53,C564))</f>
        <v>Flying</v>
      </c>
      <c r="I564" s="8" t="str">
        <f aca="false">IF(INDEX(Bases!$E$2:$E$53,B564)="","",INDEX(Bases!$E$2:$E$53,B564))</f>
        <v/>
      </c>
      <c r="J564" s="8" t="str">
        <f aca="false">IF(INDEX(Bases!$E$2:$E$53,C564)="","",INDEX(Bases!$E$2:$E$53,C564))</f>
        <v/>
      </c>
      <c r="K564" s="5"/>
      <c r="L564" s="2" t="n">
        <f aca="false">AE564+IF(SUMPRODUCT(--($AL564:$AQ564&gt;AL564))&lt;$AK564,1,0)</f>
        <v>70</v>
      </c>
      <c r="M564" s="2" t="n">
        <f aca="false">AF564+IF(SUMPRODUCT(--($AL564:$AQ564&gt;AM564))+SUMPRODUCT(--($AL564:AL564=AM564))&lt;$AK564,1,0)</f>
        <v>71</v>
      </c>
      <c r="N564" s="2" t="n">
        <f aca="false">AG564+IF(SUMPRODUCT(--($AL564:$AQ564&gt;AN564))+SUMPRODUCT(--($AL564:AM564=AN564))&lt;$AK564,1,0)</f>
        <v>87</v>
      </c>
      <c r="O564" s="2" t="n">
        <f aca="false">AH564+IF(SUMPRODUCT(--($AL564:$AQ564&gt;AO564))+SUMPRODUCT(--($AL564:AN564=AO564))&lt;$AK564,1,0)</f>
        <v>87</v>
      </c>
      <c r="P564" s="2" t="n">
        <f aca="false">AI564+IF(SUMPRODUCT(--($AL564:$AQ564&gt;AP564))+SUMPRODUCT(--($AL564:AO564=AP564))&lt;$AK564,1,0)</f>
        <v>111</v>
      </c>
      <c r="Q564" s="2" t="n">
        <f aca="false">AJ564+IF(SUMPRODUCT(--($AL564:$AQ564&gt;AQ564))+SUMPRODUCT(--($AL564:AP564=AQ564))&lt;$AK564,1,0)</f>
        <v>74</v>
      </c>
      <c r="R564" s="2" t="n">
        <f aca="false">SUM(L564:Q564)</f>
        <v>500</v>
      </c>
      <c r="S564" s="2" t="n">
        <f aca="false">Settings!$B$4*MAX(INDEX(Bases!$M$2:$M$53,B564),INDEX(Bases!$M$2:$M$53,C564))+Settings!$B$5*MIN(INDEX(Bases!$M$2:$M$53,B564),INDEX(Bases!$M$2:$M$53,C564))</f>
        <v>57.3333333333333</v>
      </c>
      <c r="T564" s="2" t="n">
        <f aca="false">Settings!$B$4*MAX(INDEX(Bases!$N$2:$N$53,B564),INDEX(Bases!$N$2:$N$53,C564))+Settings!$B$5*MIN(INDEX(Bases!$N$2:$N$53,B564),INDEX(Bases!$N$2:$N$53,C564))</f>
        <v>58.6666666666667</v>
      </c>
      <c r="U564" s="2" t="n">
        <f aca="false">Settings!$B$4*MAX(INDEX(Bases!$O$2:$O$53,B564),INDEX(Bases!$O$2:$O$53,C564))+Settings!$B$5*MIN(INDEX(Bases!$O$2:$O$53,B564),INDEX(Bases!$O$2:$O$53,C564))</f>
        <v>72</v>
      </c>
      <c r="V564" s="2" t="n">
        <f aca="false">Settings!$B$4*MAX(INDEX(Bases!$P$2:$P$53,B564),INDEX(Bases!$P$2:$P$53,C564))+Settings!$B$5*MIN(INDEX(Bases!$P$2:$P$53,B564),INDEX(Bases!$P$2:$P$53,C564))</f>
        <v>72</v>
      </c>
      <c r="W564" s="2" t="n">
        <f aca="false">Settings!$B$4*MAX(INDEX(Bases!$Q$2:$Q$53,B564),INDEX(Bases!$Q$2:$Q$53,C564))+Settings!$B$5*MIN(INDEX(Bases!$Q$2:$Q$53,B564),INDEX(Bases!$Q$2:$Q$53,C564))</f>
        <v>92</v>
      </c>
      <c r="X564" s="2" t="n">
        <f aca="false">Settings!$B$4*MAX(INDEX(Bases!$R$2:$R$53,B564),INDEX(Bases!$R$2:$R$53,C564))+Settings!$B$5*MIN(INDEX(Bases!$R$2:$R$53,B564),INDEX(Bases!$R$2:$R$53,C564))</f>
        <v>61.3333333333333</v>
      </c>
      <c r="Y564" s="2" t="n">
        <f aca="false">S564*Settings!$B$3/SUM(S564:X564)</f>
        <v>69.3548387096774</v>
      </c>
      <c r="Z564" s="2" t="n">
        <f aca="false">T564*Settings!$B$3/SUM(S564:X564)</f>
        <v>70.9677419354839</v>
      </c>
      <c r="AA564" s="2" t="n">
        <f aca="false">U564*Settings!$B$3/SUM(S564:X564)</f>
        <v>87.0967741935484</v>
      </c>
      <c r="AB564" s="2" t="n">
        <f aca="false">V564*Settings!$B$3/SUM(S564:X564)</f>
        <v>87.0967741935484</v>
      </c>
      <c r="AC564" s="2" t="n">
        <f aca="false">W564*Settings!$B$3/SUM(S564:X564)</f>
        <v>111.290322580645</v>
      </c>
      <c r="AD564" s="2" t="n">
        <f aca="false">X564*Settings!$B$3/SUM(S564:X564)</f>
        <v>74.1935483870968</v>
      </c>
      <c r="AE564" s="2" t="n">
        <f aca="false">INT(Y564)</f>
        <v>69</v>
      </c>
      <c r="AF564" s="2" t="n">
        <f aca="false">INT(Z564)</f>
        <v>70</v>
      </c>
      <c r="AG564" s="2" t="n">
        <f aca="false">INT(AA564)</f>
        <v>87</v>
      </c>
      <c r="AH564" s="2" t="n">
        <f aca="false">INT(AB564)</f>
        <v>87</v>
      </c>
      <c r="AI564" s="2" t="n">
        <f aca="false">INT(AC564)</f>
        <v>111</v>
      </c>
      <c r="AJ564" s="2" t="n">
        <f aca="false">INT(AD564)</f>
        <v>74</v>
      </c>
      <c r="AK564" s="2" t="n">
        <f aca="false">Settings!$B$3-SUM(AE564:AJ564)</f>
        <v>2</v>
      </c>
      <c r="AL564" s="2" t="n">
        <f aca="false">ROUND(Y564-AE564,9)</f>
        <v>0.35483871</v>
      </c>
      <c r="AM564" s="2" t="n">
        <f aca="false">ROUND(Z564-AF564,9)</f>
        <v>0.967741935</v>
      </c>
      <c r="AN564" s="2" t="n">
        <f aca="false">ROUND(AA564-AG564,9)</f>
        <v>0.096774194</v>
      </c>
      <c r="AO564" s="2" t="n">
        <f aca="false">ROUND(AB564-AH564,9)</f>
        <v>0.096774194</v>
      </c>
      <c r="AP564" s="2" t="n">
        <f aca="false">ROUND(AC564-AI564,9)</f>
        <v>0.290322581</v>
      </c>
      <c r="AQ564" s="2" t="n">
        <f aca="false">ROUND(AD564-AJ564,9)</f>
        <v>0.193548387</v>
      </c>
    </row>
    <row r="565" customFormat="false" ht="15" hidden="false" customHeight="false" outlineLevel="0" collapsed="false">
      <c r="A565" s="2" t="n">
        <v>564</v>
      </c>
      <c r="B565" s="6" t="n">
        <v>13</v>
      </c>
      <c r="C565" s="6" t="n">
        <v>31</v>
      </c>
      <c r="D565" s="8" t="str">
        <f aca="false">INDEX(Bases!$B$2:$B$53,B565)</f>
        <v>Bulbasaur</v>
      </c>
      <c r="E565" s="8" t="str">
        <f aca="false">INDEX(Bases!$B$2:$B$53,C565)</f>
        <v>Mew</v>
      </c>
      <c r="F565" s="2" t="str">
        <f aca="false">LEFT(D565,ROUNDUP(LEN(D565)/2,0))&amp;LOWER(MID(E565,ROUNDUP(LEN(E565)/2,0)+1,20))</f>
        <v>Bulbaw</v>
      </c>
      <c r="G565" s="8" t="str">
        <f aca="false">INDEX(Bases!$C$2:$C$53,B565)</f>
        <v>Grass</v>
      </c>
      <c r="H565" s="8" t="str">
        <f aca="false">IF(INDEX(Bases!$C$2:$C$53,C565)=G565,"",INDEX(Bases!$C$2:$C$53,C565))</f>
        <v>Psychic</v>
      </c>
      <c r="I565" s="8" t="str">
        <f aca="false">IF(INDEX(Bases!$E$2:$E$53,B565)="","",INDEX(Bases!$E$2:$E$53,B565))</f>
        <v/>
      </c>
      <c r="J565" s="8" t="str">
        <f aca="false">IF(INDEX(Bases!$E$2:$E$53,C565)="","",INDEX(Bases!$E$2:$E$53,C565))</f>
        <v/>
      </c>
      <c r="K565" s="5"/>
      <c r="L565" s="2" t="n">
        <f aca="false">AE565+IF(SUMPRODUCT(--($AL565:$AQ565&gt;AL565))&lt;$AK565,1,0)</f>
        <v>77</v>
      </c>
      <c r="M565" s="2" t="n">
        <f aca="false">AF565+IF(SUMPRODUCT(--($AL565:$AQ565&gt;AM565))+SUMPRODUCT(--($AL565:AL565=AM565))&lt;$AK565,1,0)</f>
        <v>80</v>
      </c>
      <c r="N565" s="2" t="n">
        <f aca="false">AG565+IF(SUMPRODUCT(--($AL565:$AQ565&gt;AN565))+SUMPRODUCT(--($AL565:AM565=AN565))&lt;$AK565,1,0)</f>
        <v>80</v>
      </c>
      <c r="O565" s="2" t="n">
        <f aca="false">AH565+IF(SUMPRODUCT(--($AL565:$AQ565&gt;AO565))+SUMPRODUCT(--($AL565:AN565=AO565))&lt;$AK565,1,0)</f>
        <v>94</v>
      </c>
      <c r="P565" s="2" t="n">
        <f aca="false">AI565+IF(SUMPRODUCT(--($AL565:$AQ565&gt;AP565))+SUMPRODUCT(--($AL565:AO565=AP565))&lt;$AK565,1,0)</f>
        <v>93</v>
      </c>
      <c r="Q565" s="2" t="n">
        <f aca="false">AJ565+IF(SUMPRODUCT(--($AL565:$AQ565&gt;AQ565))+SUMPRODUCT(--($AL565:AP565=AQ565))&lt;$AK565,1,0)</f>
        <v>76</v>
      </c>
      <c r="R565" s="2" t="n">
        <f aca="false">SUM(L565:Q565)</f>
        <v>500</v>
      </c>
      <c r="S565" s="2" t="n">
        <f aca="false">Settings!$B$4*MAX(INDEX(Bases!$M$2:$M$53,B565),INDEX(Bases!$M$2:$M$53,C565))+Settings!$B$5*MIN(INDEX(Bases!$M$2:$M$53,B565),INDEX(Bases!$M$2:$M$53,C565))</f>
        <v>63.3333333333333</v>
      </c>
      <c r="T565" s="2" t="n">
        <f aca="false">Settings!$B$4*MAX(INDEX(Bases!$N$2:$N$53,B565),INDEX(Bases!$N$2:$N$53,C565))+Settings!$B$5*MIN(INDEX(Bases!$N$2:$N$53,B565),INDEX(Bases!$N$2:$N$53,C565))</f>
        <v>65.3333333333333</v>
      </c>
      <c r="U565" s="2" t="n">
        <f aca="false">Settings!$B$4*MAX(INDEX(Bases!$O$2:$O$53,B565),INDEX(Bases!$O$2:$O$53,C565))+Settings!$B$5*MIN(INDEX(Bases!$O$2:$O$53,B565),INDEX(Bases!$O$2:$O$53,C565))</f>
        <v>65.3333333333333</v>
      </c>
      <c r="V565" s="2" t="n">
        <f aca="false">Settings!$B$4*MAX(INDEX(Bases!$P$2:$P$53,B565),INDEX(Bases!$P$2:$P$53,C565))+Settings!$B$5*MIN(INDEX(Bases!$P$2:$P$53,B565),INDEX(Bases!$P$2:$P$53,C565))</f>
        <v>77</v>
      </c>
      <c r="W565" s="2" t="n">
        <f aca="false">Settings!$B$4*MAX(INDEX(Bases!$Q$2:$Q$53,B565),INDEX(Bases!$Q$2:$Q$53,C565))+Settings!$B$5*MIN(INDEX(Bases!$Q$2:$Q$53,B565),INDEX(Bases!$Q$2:$Q$53,C565))</f>
        <v>76.6666666666667</v>
      </c>
      <c r="X565" s="2" t="n">
        <f aca="false">Settings!$B$4*MAX(INDEX(Bases!$R$2:$R$53,B565),INDEX(Bases!$R$2:$R$53,C565))+Settings!$B$5*MIN(INDEX(Bases!$R$2:$R$53,B565),INDEX(Bases!$R$2:$R$53,C565))</f>
        <v>62.6666666666667</v>
      </c>
      <c r="Y565" s="2" t="n">
        <f aca="false">S565*Settings!$B$3/SUM(S565:X565)</f>
        <v>77.1730300568643</v>
      </c>
      <c r="Z565" s="2" t="n">
        <f aca="false">T565*Settings!$B$3/SUM(S565:X565)</f>
        <v>79.6100731112916</v>
      </c>
      <c r="AA565" s="2" t="n">
        <f aca="false">U565*Settings!$B$3/SUM(S565:X565)</f>
        <v>79.6100731112916</v>
      </c>
      <c r="AB565" s="2" t="n">
        <f aca="false">V565*Settings!$B$3/SUM(S565:X565)</f>
        <v>93.8261575954509</v>
      </c>
      <c r="AC565" s="2" t="n">
        <f aca="false">W565*Settings!$B$3/SUM(S565:X565)</f>
        <v>93.4199837530463</v>
      </c>
      <c r="AD565" s="2" t="n">
        <f aca="false">X565*Settings!$B$3/SUM(S565:X565)</f>
        <v>76.3606823720553</v>
      </c>
      <c r="AE565" s="2" t="n">
        <f aca="false">INT(Y565)</f>
        <v>77</v>
      </c>
      <c r="AF565" s="2" t="n">
        <f aca="false">INT(Z565)</f>
        <v>79</v>
      </c>
      <c r="AG565" s="2" t="n">
        <f aca="false">INT(AA565)</f>
        <v>79</v>
      </c>
      <c r="AH565" s="2" t="n">
        <f aca="false">INT(AB565)</f>
        <v>93</v>
      </c>
      <c r="AI565" s="2" t="n">
        <f aca="false">INT(AC565)</f>
        <v>93</v>
      </c>
      <c r="AJ565" s="2" t="n">
        <f aca="false">INT(AD565)</f>
        <v>76</v>
      </c>
      <c r="AK565" s="2" t="n">
        <f aca="false">Settings!$B$3-SUM(AE565:AJ565)</f>
        <v>3</v>
      </c>
      <c r="AL565" s="2" t="n">
        <f aca="false">ROUND(Y565-AE565,9)</f>
        <v>0.173030057</v>
      </c>
      <c r="AM565" s="2" t="n">
        <f aca="false">ROUND(Z565-AF565,9)</f>
        <v>0.610073111</v>
      </c>
      <c r="AN565" s="2" t="n">
        <f aca="false">ROUND(AA565-AG565,9)</f>
        <v>0.610073111</v>
      </c>
      <c r="AO565" s="2" t="n">
        <f aca="false">ROUND(AB565-AH565,9)</f>
        <v>0.826157595</v>
      </c>
      <c r="AP565" s="2" t="n">
        <f aca="false">ROUND(AC565-AI565,9)</f>
        <v>0.419983753</v>
      </c>
      <c r="AQ565" s="2" t="n">
        <f aca="false">ROUND(AD565-AJ565,9)</f>
        <v>0.360682372</v>
      </c>
    </row>
    <row r="566" customFormat="false" ht="15" hidden="false" customHeight="false" outlineLevel="0" collapsed="false">
      <c r="A566" s="2" t="n">
        <v>565</v>
      </c>
      <c r="B566" s="6" t="n">
        <v>13</v>
      </c>
      <c r="C566" s="6" t="n">
        <v>32</v>
      </c>
      <c r="D566" s="8" t="str">
        <f aca="false">INDEX(Bases!$B$2:$B$53,B566)</f>
        <v>Bulbasaur</v>
      </c>
      <c r="E566" s="8" t="str">
        <f aca="false">INDEX(Bases!$B$2:$B$53,C566)</f>
        <v>Spoink</v>
      </c>
      <c r="F566" s="2" t="str">
        <f aca="false">LEFT(D566,ROUNDUP(LEN(D566)/2,0))&amp;LOWER(MID(E566,ROUNDUP(LEN(E566)/2,0)+1,20))</f>
        <v>Bulbaink</v>
      </c>
      <c r="G566" s="8" t="str">
        <f aca="false">INDEX(Bases!$C$2:$C$53,B566)</f>
        <v>Grass</v>
      </c>
      <c r="H566" s="8" t="str">
        <f aca="false">IF(INDEX(Bases!$C$2:$C$53,C566)=G566,"",INDEX(Bases!$C$2:$C$53,C566))</f>
        <v>Psychic</v>
      </c>
      <c r="I566" s="8" t="str">
        <f aca="false">IF(INDEX(Bases!$E$2:$E$53,B566)="","",INDEX(Bases!$E$2:$E$53,B566))</f>
        <v/>
      </c>
      <c r="J566" s="8" t="str">
        <f aca="false">IF(INDEX(Bases!$E$2:$E$53,C566)="","",INDEX(Bases!$E$2:$E$53,C566))</f>
        <v/>
      </c>
      <c r="K566" s="5"/>
      <c r="L566" s="2" t="n">
        <f aca="false">AE566+IF(SUMPRODUCT(--($AL566:$AQ566&gt;AL566))&lt;$AK566,1,0)</f>
        <v>81</v>
      </c>
      <c r="M566" s="2" t="n">
        <f aca="false">AF566+IF(SUMPRODUCT(--($AL566:$AQ566&gt;AM566))+SUMPRODUCT(--($AL566:AL566=AM566))&lt;$AK566,1,0)</f>
        <v>61</v>
      </c>
      <c r="N566" s="2" t="n">
        <f aca="false">AG566+IF(SUMPRODUCT(--($AL566:$AQ566&gt;AN566))+SUMPRODUCT(--($AL566:AM566=AN566))&lt;$AK566,1,0)</f>
        <v>66</v>
      </c>
      <c r="O566" s="2" t="n">
        <f aca="false">AH566+IF(SUMPRODUCT(--($AL566:$AQ566&gt;AO566))+SUMPRODUCT(--($AL566:AN566=AO566))&lt;$AK566,1,0)</f>
        <v>101</v>
      </c>
      <c r="P566" s="2" t="n">
        <f aca="false">AI566+IF(SUMPRODUCT(--($AL566:$AQ566&gt;AP566))+SUMPRODUCT(--($AL566:AO566=AP566))&lt;$AK566,1,0)</f>
        <v>110</v>
      </c>
      <c r="Q566" s="2" t="n">
        <f aca="false">AJ566+IF(SUMPRODUCT(--($AL566:$AQ566&gt;AQ566))+SUMPRODUCT(--($AL566:AP566=AQ566))&lt;$AK566,1,0)</f>
        <v>81</v>
      </c>
      <c r="R566" s="2" t="n">
        <f aca="false">SUM(L566:Q566)</f>
        <v>500</v>
      </c>
      <c r="S566" s="2" t="n">
        <f aca="false">Settings!$B$4*MAX(INDEX(Bases!$M$2:$M$53,B566),INDEX(Bases!$M$2:$M$53,C566))+Settings!$B$5*MIN(INDEX(Bases!$M$2:$M$53,B566),INDEX(Bases!$M$2:$M$53,C566))</f>
        <v>67.3333333333333</v>
      </c>
      <c r="T566" s="2" t="n">
        <f aca="false">Settings!$B$4*MAX(INDEX(Bases!$N$2:$N$53,B566),INDEX(Bases!$N$2:$N$53,C566))+Settings!$B$5*MIN(INDEX(Bases!$N$2:$N$53,B566),INDEX(Bases!$N$2:$N$53,C566))</f>
        <v>51.3333333333333</v>
      </c>
      <c r="U566" s="2" t="n">
        <f aca="false">Settings!$B$4*MAX(INDEX(Bases!$O$2:$O$53,B566),INDEX(Bases!$O$2:$O$53,C566))+Settings!$B$5*MIN(INDEX(Bases!$O$2:$O$53,B566),INDEX(Bases!$O$2:$O$53,C566))</f>
        <v>55.3333333333333</v>
      </c>
      <c r="V566" s="2" t="n">
        <f aca="false">Settings!$B$4*MAX(INDEX(Bases!$P$2:$P$53,B566),INDEX(Bases!$P$2:$P$53,C566))+Settings!$B$5*MIN(INDEX(Bases!$P$2:$P$53,B566),INDEX(Bases!$P$2:$P$53,C566))</f>
        <v>84</v>
      </c>
      <c r="W566" s="2" t="n">
        <f aca="false">Settings!$B$4*MAX(INDEX(Bases!$Q$2:$Q$53,B566),INDEX(Bases!$Q$2:$Q$53,C566))+Settings!$B$5*MIN(INDEX(Bases!$Q$2:$Q$53,B566),INDEX(Bases!$Q$2:$Q$53,C566))</f>
        <v>92</v>
      </c>
      <c r="X566" s="2" t="n">
        <f aca="false">Settings!$B$4*MAX(INDEX(Bases!$R$2:$R$53,B566),INDEX(Bases!$R$2:$R$53,C566))+Settings!$B$5*MIN(INDEX(Bases!$R$2:$R$53,B566),INDEX(Bases!$R$2:$R$53,C566))</f>
        <v>67.3333333333333</v>
      </c>
      <c r="Y566" s="2" t="n">
        <f aca="false">S566*Settings!$B$3/SUM(S566:X566)</f>
        <v>80.6709265175719</v>
      </c>
      <c r="Z566" s="2" t="n">
        <f aca="false">T566*Settings!$B$3/SUM(S566:X566)</f>
        <v>61.5015974440895</v>
      </c>
      <c r="AA566" s="2" t="n">
        <f aca="false">U566*Settings!$B$3/SUM(S566:X566)</f>
        <v>66.2939297124601</v>
      </c>
      <c r="AB566" s="2" t="n">
        <f aca="false">V566*Settings!$B$3/SUM(S566:X566)</f>
        <v>100.638977635783</v>
      </c>
      <c r="AC566" s="2" t="n">
        <f aca="false">W566*Settings!$B$3/SUM(S566:X566)</f>
        <v>110.223642172524</v>
      </c>
      <c r="AD566" s="2" t="n">
        <f aca="false">X566*Settings!$B$3/SUM(S566:X566)</f>
        <v>80.6709265175719</v>
      </c>
      <c r="AE566" s="2" t="n">
        <f aca="false">INT(Y566)</f>
        <v>80</v>
      </c>
      <c r="AF566" s="2" t="n">
        <f aca="false">INT(Z566)</f>
        <v>61</v>
      </c>
      <c r="AG566" s="2" t="n">
        <f aca="false">INT(AA566)</f>
        <v>66</v>
      </c>
      <c r="AH566" s="2" t="n">
        <f aca="false">INT(AB566)</f>
        <v>100</v>
      </c>
      <c r="AI566" s="2" t="n">
        <f aca="false">INT(AC566)</f>
        <v>110</v>
      </c>
      <c r="AJ566" s="2" t="n">
        <f aca="false">INT(AD566)</f>
        <v>80</v>
      </c>
      <c r="AK566" s="2" t="n">
        <f aca="false">Settings!$B$3-SUM(AE566:AJ566)</f>
        <v>3</v>
      </c>
      <c r="AL566" s="2" t="n">
        <f aca="false">ROUND(Y566-AE566,9)</f>
        <v>0.670926518</v>
      </c>
      <c r="AM566" s="2" t="n">
        <f aca="false">ROUND(Z566-AF566,9)</f>
        <v>0.501597444</v>
      </c>
      <c r="AN566" s="2" t="n">
        <f aca="false">ROUND(AA566-AG566,9)</f>
        <v>0.293929712</v>
      </c>
      <c r="AO566" s="2" t="n">
        <f aca="false">ROUND(AB566-AH566,9)</f>
        <v>0.638977636</v>
      </c>
      <c r="AP566" s="2" t="n">
        <f aca="false">ROUND(AC566-AI566,9)</f>
        <v>0.223642173</v>
      </c>
      <c r="AQ566" s="2" t="n">
        <f aca="false">ROUND(AD566-AJ566,9)</f>
        <v>0.670926518</v>
      </c>
    </row>
    <row r="567" customFormat="false" ht="15" hidden="false" customHeight="false" outlineLevel="0" collapsed="false">
      <c r="A567" s="2" t="n">
        <v>566</v>
      </c>
      <c r="B567" s="6" t="n">
        <v>13</v>
      </c>
      <c r="C567" s="6" t="n">
        <v>33</v>
      </c>
      <c r="D567" s="8" t="str">
        <f aca="false">INDEX(Bases!$B$2:$B$53,B567)</f>
        <v>Bulbasaur</v>
      </c>
      <c r="E567" s="8" t="str">
        <f aca="false">INDEX(Bases!$B$2:$B$53,C567)</f>
        <v>Jirachi</v>
      </c>
      <c r="F567" s="2" t="str">
        <f aca="false">LEFT(D567,ROUNDUP(LEN(D567)/2,0))&amp;LOWER(MID(E567,ROUNDUP(LEN(E567)/2,0)+1,20))</f>
        <v>Bulbachi</v>
      </c>
      <c r="G567" s="8" t="str">
        <f aca="false">INDEX(Bases!$C$2:$C$53,B567)</f>
        <v>Grass</v>
      </c>
      <c r="H567" s="8" t="str">
        <f aca="false">IF(INDEX(Bases!$C$2:$C$53,C567)=G567,"",INDEX(Bases!$C$2:$C$53,C567))</f>
        <v>Psychic</v>
      </c>
      <c r="I567" s="8" t="str">
        <f aca="false">IF(INDEX(Bases!$E$2:$E$53,B567)="","",INDEX(Bases!$E$2:$E$53,B567))</f>
        <v/>
      </c>
      <c r="J567" s="8" t="str">
        <f aca="false">IF(INDEX(Bases!$E$2:$E$53,C567)="","",INDEX(Bases!$E$2:$E$53,C567))</f>
        <v/>
      </c>
      <c r="K567" s="5"/>
      <c r="L567" s="2" t="n">
        <f aca="false">AE567+IF(SUMPRODUCT(--($AL567:$AQ567&gt;AL567))&lt;$AK567,1,0)</f>
        <v>77</v>
      </c>
      <c r="M567" s="2" t="n">
        <f aca="false">AF567+IF(SUMPRODUCT(--($AL567:$AQ567&gt;AM567))+SUMPRODUCT(--($AL567:AL567=AM567))&lt;$AK567,1,0)</f>
        <v>80</v>
      </c>
      <c r="N567" s="2" t="n">
        <f aca="false">AG567+IF(SUMPRODUCT(--($AL567:$AQ567&gt;AN567))+SUMPRODUCT(--($AL567:AM567=AN567))&lt;$AK567,1,0)</f>
        <v>80</v>
      </c>
      <c r="O567" s="2" t="n">
        <f aca="false">AH567+IF(SUMPRODUCT(--($AL567:$AQ567&gt;AO567))+SUMPRODUCT(--($AL567:AN567=AO567))&lt;$AK567,1,0)</f>
        <v>94</v>
      </c>
      <c r="P567" s="2" t="n">
        <f aca="false">AI567+IF(SUMPRODUCT(--($AL567:$AQ567&gt;AP567))+SUMPRODUCT(--($AL567:AO567=AP567))&lt;$AK567,1,0)</f>
        <v>93</v>
      </c>
      <c r="Q567" s="2" t="n">
        <f aca="false">AJ567+IF(SUMPRODUCT(--($AL567:$AQ567&gt;AQ567))+SUMPRODUCT(--($AL567:AP567=AQ567))&lt;$AK567,1,0)</f>
        <v>76</v>
      </c>
      <c r="R567" s="2" t="n">
        <f aca="false">SUM(L567:Q567)</f>
        <v>500</v>
      </c>
      <c r="S567" s="2" t="n">
        <f aca="false">Settings!$B$4*MAX(INDEX(Bases!$M$2:$M$53,B567),INDEX(Bases!$M$2:$M$53,C567))+Settings!$B$5*MIN(INDEX(Bases!$M$2:$M$53,B567),INDEX(Bases!$M$2:$M$53,C567))</f>
        <v>63.3333333333333</v>
      </c>
      <c r="T567" s="2" t="n">
        <f aca="false">Settings!$B$4*MAX(INDEX(Bases!$N$2:$N$53,B567),INDEX(Bases!$N$2:$N$53,C567))+Settings!$B$5*MIN(INDEX(Bases!$N$2:$N$53,B567),INDEX(Bases!$N$2:$N$53,C567))</f>
        <v>65.3333333333333</v>
      </c>
      <c r="U567" s="2" t="n">
        <f aca="false">Settings!$B$4*MAX(INDEX(Bases!$O$2:$O$53,B567),INDEX(Bases!$O$2:$O$53,C567))+Settings!$B$5*MIN(INDEX(Bases!$O$2:$O$53,B567),INDEX(Bases!$O$2:$O$53,C567))</f>
        <v>65.3333333333333</v>
      </c>
      <c r="V567" s="2" t="n">
        <f aca="false">Settings!$B$4*MAX(INDEX(Bases!$P$2:$P$53,B567),INDEX(Bases!$P$2:$P$53,C567))+Settings!$B$5*MIN(INDEX(Bases!$P$2:$P$53,B567),INDEX(Bases!$P$2:$P$53,C567))</f>
        <v>77</v>
      </c>
      <c r="W567" s="2" t="n">
        <f aca="false">Settings!$B$4*MAX(INDEX(Bases!$Q$2:$Q$53,B567),INDEX(Bases!$Q$2:$Q$53,C567))+Settings!$B$5*MIN(INDEX(Bases!$Q$2:$Q$53,B567),INDEX(Bases!$Q$2:$Q$53,C567))</f>
        <v>76.6666666666667</v>
      </c>
      <c r="X567" s="2" t="n">
        <f aca="false">Settings!$B$4*MAX(INDEX(Bases!$R$2:$R$53,B567),INDEX(Bases!$R$2:$R$53,C567))+Settings!$B$5*MIN(INDEX(Bases!$R$2:$R$53,B567),INDEX(Bases!$R$2:$R$53,C567))</f>
        <v>62.6666666666667</v>
      </c>
      <c r="Y567" s="2" t="n">
        <f aca="false">S567*Settings!$B$3/SUM(S567:X567)</f>
        <v>77.1730300568643</v>
      </c>
      <c r="Z567" s="2" t="n">
        <f aca="false">T567*Settings!$B$3/SUM(S567:X567)</f>
        <v>79.6100731112916</v>
      </c>
      <c r="AA567" s="2" t="n">
        <f aca="false">U567*Settings!$B$3/SUM(S567:X567)</f>
        <v>79.6100731112916</v>
      </c>
      <c r="AB567" s="2" t="n">
        <f aca="false">V567*Settings!$B$3/SUM(S567:X567)</f>
        <v>93.8261575954509</v>
      </c>
      <c r="AC567" s="2" t="n">
        <f aca="false">W567*Settings!$B$3/SUM(S567:X567)</f>
        <v>93.4199837530463</v>
      </c>
      <c r="AD567" s="2" t="n">
        <f aca="false">X567*Settings!$B$3/SUM(S567:X567)</f>
        <v>76.3606823720553</v>
      </c>
      <c r="AE567" s="2" t="n">
        <f aca="false">INT(Y567)</f>
        <v>77</v>
      </c>
      <c r="AF567" s="2" t="n">
        <f aca="false">INT(Z567)</f>
        <v>79</v>
      </c>
      <c r="AG567" s="2" t="n">
        <f aca="false">INT(AA567)</f>
        <v>79</v>
      </c>
      <c r="AH567" s="2" t="n">
        <f aca="false">INT(AB567)</f>
        <v>93</v>
      </c>
      <c r="AI567" s="2" t="n">
        <f aca="false">INT(AC567)</f>
        <v>93</v>
      </c>
      <c r="AJ567" s="2" t="n">
        <f aca="false">INT(AD567)</f>
        <v>76</v>
      </c>
      <c r="AK567" s="2" t="n">
        <f aca="false">Settings!$B$3-SUM(AE567:AJ567)</f>
        <v>3</v>
      </c>
      <c r="AL567" s="2" t="n">
        <f aca="false">ROUND(Y567-AE567,9)</f>
        <v>0.173030057</v>
      </c>
      <c r="AM567" s="2" t="n">
        <f aca="false">ROUND(Z567-AF567,9)</f>
        <v>0.610073111</v>
      </c>
      <c r="AN567" s="2" t="n">
        <f aca="false">ROUND(AA567-AG567,9)</f>
        <v>0.610073111</v>
      </c>
      <c r="AO567" s="2" t="n">
        <f aca="false">ROUND(AB567-AH567,9)</f>
        <v>0.826157595</v>
      </c>
      <c r="AP567" s="2" t="n">
        <f aca="false">ROUND(AC567-AI567,9)</f>
        <v>0.419983753</v>
      </c>
      <c r="AQ567" s="2" t="n">
        <f aca="false">ROUND(AD567-AJ567,9)</f>
        <v>0.360682372</v>
      </c>
    </row>
    <row r="568" customFormat="false" ht="15" hidden="false" customHeight="false" outlineLevel="0" collapsed="false">
      <c r="A568" s="2" t="n">
        <v>567</v>
      </c>
      <c r="B568" s="6" t="n">
        <v>13</v>
      </c>
      <c r="C568" s="6" t="n">
        <v>34</v>
      </c>
      <c r="D568" s="8" t="str">
        <f aca="false">INDEX(Bases!$B$2:$B$53,B568)</f>
        <v>Bulbasaur</v>
      </c>
      <c r="E568" s="8" t="str">
        <f aca="false">INDEX(Bases!$B$2:$B$53,C568)</f>
        <v>Paras</v>
      </c>
      <c r="F568" s="2" t="str">
        <f aca="false">LEFT(D568,ROUNDUP(LEN(D568)/2,0))&amp;LOWER(MID(E568,ROUNDUP(LEN(E568)/2,0)+1,20))</f>
        <v>Bulbaas</v>
      </c>
      <c r="G568" s="8" t="str">
        <f aca="false">INDEX(Bases!$C$2:$C$53,B568)</f>
        <v>Grass</v>
      </c>
      <c r="H568" s="8" t="str">
        <f aca="false">IF(INDEX(Bases!$C$2:$C$53,C568)=G568,"",INDEX(Bases!$C$2:$C$53,C568))</f>
        <v>Bug</v>
      </c>
      <c r="I568" s="8" t="str">
        <f aca="false">IF(INDEX(Bases!$E$2:$E$53,B568)="","",INDEX(Bases!$E$2:$E$53,B568))</f>
        <v/>
      </c>
      <c r="J568" s="8" t="str">
        <f aca="false">IF(INDEX(Bases!$E$2:$E$53,C568)="","",INDEX(Bases!$E$2:$E$53,C568))</f>
        <v/>
      </c>
      <c r="K568" s="5"/>
      <c r="L568" s="2" t="n">
        <f aca="false">AE568+IF(SUMPRODUCT(--($AL568:$AQ568&gt;AL568))&lt;$AK568,1,0)</f>
        <v>64</v>
      </c>
      <c r="M568" s="2" t="n">
        <f aca="false">AF568+IF(SUMPRODUCT(--($AL568:$AQ568&gt;AM568))+SUMPRODUCT(--($AL568:AL568=AM568))&lt;$AK568,1,0)</f>
        <v>104</v>
      </c>
      <c r="N568" s="2" t="n">
        <f aca="false">AG568+IF(SUMPRODUCT(--($AL568:$AQ568&gt;AN568))+SUMPRODUCT(--($AL568:AM568=AN568))&lt;$AK568,1,0)</f>
        <v>86</v>
      </c>
      <c r="O568" s="2" t="n">
        <f aca="false">AH568+IF(SUMPRODUCT(--($AL568:$AQ568&gt;AO568))+SUMPRODUCT(--($AL568:AN568=AO568))&lt;$AK568,1,0)</f>
        <v>91</v>
      </c>
      <c r="P568" s="2" t="n">
        <f aca="false">AI568+IF(SUMPRODUCT(--($AL568:$AQ568&gt;AP568))+SUMPRODUCT(--($AL568:AO568=AP568))&lt;$AK568,1,0)</f>
        <v>96</v>
      </c>
      <c r="Q568" s="2" t="n">
        <f aca="false">AJ568+IF(SUMPRODUCT(--($AL568:$AQ568&gt;AQ568))+SUMPRODUCT(--($AL568:AP568=AQ568))&lt;$AK568,1,0)</f>
        <v>59</v>
      </c>
      <c r="R568" s="2" t="n">
        <f aca="false">SUM(L568:Q568)</f>
        <v>500</v>
      </c>
      <c r="S568" s="2" t="n">
        <f aca="false">Settings!$B$4*MAX(INDEX(Bases!$M$2:$M$53,B568),INDEX(Bases!$M$2:$M$53,C568))+Settings!$B$5*MIN(INDEX(Bases!$M$2:$M$53,B568),INDEX(Bases!$M$2:$M$53,C568))</f>
        <v>53.6666666666667</v>
      </c>
      <c r="T568" s="2" t="n">
        <f aca="false">Settings!$B$4*MAX(INDEX(Bases!$N$2:$N$53,B568),INDEX(Bases!$N$2:$N$53,C568))+Settings!$B$5*MIN(INDEX(Bases!$N$2:$N$53,B568),INDEX(Bases!$N$2:$N$53,C568))</f>
        <v>86.6666666666667</v>
      </c>
      <c r="U568" s="2" t="n">
        <f aca="false">Settings!$B$4*MAX(INDEX(Bases!$O$2:$O$53,B568),INDEX(Bases!$O$2:$O$53,C568))+Settings!$B$5*MIN(INDEX(Bases!$O$2:$O$53,B568),INDEX(Bases!$O$2:$O$53,C568))</f>
        <v>72</v>
      </c>
      <c r="V568" s="2" t="n">
        <f aca="false">Settings!$B$4*MAX(INDEX(Bases!$P$2:$P$53,B568),INDEX(Bases!$P$2:$P$53,C568))+Settings!$B$5*MIN(INDEX(Bases!$P$2:$P$53,B568),INDEX(Bases!$P$2:$P$53,C568))</f>
        <v>75.6666666666667</v>
      </c>
      <c r="W568" s="2" t="n">
        <f aca="false">Settings!$B$4*MAX(INDEX(Bases!$Q$2:$Q$53,B568),INDEX(Bases!$Q$2:$Q$53,C568))+Settings!$B$5*MIN(INDEX(Bases!$Q$2:$Q$53,B568),INDEX(Bases!$Q$2:$Q$53,C568))</f>
        <v>80.3333333333333</v>
      </c>
      <c r="X568" s="2" t="n">
        <f aca="false">Settings!$B$4*MAX(INDEX(Bases!$R$2:$R$53,B568),INDEX(Bases!$R$2:$R$53,C568))+Settings!$B$5*MIN(INDEX(Bases!$R$2:$R$53,B568),INDEX(Bases!$R$2:$R$53,C568))</f>
        <v>49</v>
      </c>
      <c r="Y568" s="2" t="n">
        <f aca="false">S568*Settings!$B$3/SUM(S568:X568)</f>
        <v>64.297124600639</v>
      </c>
      <c r="Z568" s="2" t="n">
        <f aca="false">T568*Settings!$B$3/SUM(S568:X568)</f>
        <v>103.833865814697</v>
      </c>
      <c r="AA568" s="2" t="n">
        <f aca="false">U568*Settings!$B$3/SUM(S568:X568)</f>
        <v>86.2619808306709</v>
      </c>
      <c r="AB568" s="2" t="n">
        <f aca="false">V568*Settings!$B$3/SUM(S568:X568)</f>
        <v>90.6549520766773</v>
      </c>
      <c r="AC568" s="2" t="n">
        <f aca="false">W568*Settings!$B$3/SUM(S568:X568)</f>
        <v>96.2460063897764</v>
      </c>
      <c r="AD568" s="2" t="n">
        <f aca="false">X568*Settings!$B$3/SUM(S568:X568)</f>
        <v>58.7060702875399</v>
      </c>
      <c r="AE568" s="2" t="n">
        <f aca="false">INT(Y568)</f>
        <v>64</v>
      </c>
      <c r="AF568" s="2" t="n">
        <f aca="false">INT(Z568)</f>
        <v>103</v>
      </c>
      <c r="AG568" s="2" t="n">
        <f aca="false">INT(AA568)</f>
        <v>86</v>
      </c>
      <c r="AH568" s="2" t="n">
        <f aca="false">INT(AB568)</f>
        <v>90</v>
      </c>
      <c r="AI568" s="2" t="n">
        <f aca="false">INT(AC568)</f>
        <v>96</v>
      </c>
      <c r="AJ568" s="2" t="n">
        <f aca="false">INT(AD568)</f>
        <v>58</v>
      </c>
      <c r="AK568" s="2" t="n">
        <f aca="false">Settings!$B$3-SUM(AE568:AJ568)</f>
        <v>3</v>
      </c>
      <c r="AL568" s="2" t="n">
        <f aca="false">ROUND(Y568-AE568,9)</f>
        <v>0.297124601</v>
      </c>
      <c r="AM568" s="2" t="n">
        <f aca="false">ROUND(Z568-AF568,9)</f>
        <v>0.833865815</v>
      </c>
      <c r="AN568" s="2" t="n">
        <f aca="false">ROUND(AA568-AG568,9)</f>
        <v>0.261980831</v>
      </c>
      <c r="AO568" s="2" t="n">
        <f aca="false">ROUND(AB568-AH568,9)</f>
        <v>0.654952077</v>
      </c>
      <c r="AP568" s="2" t="n">
        <f aca="false">ROUND(AC568-AI568,9)</f>
        <v>0.24600639</v>
      </c>
      <c r="AQ568" s="2" t="n">
        <f aca="false">ROUND(AD568-AJ568,9)</f>
        <v>0.706070288</v>
      </c>
    </row>
    <row r="569" customFormat="false" ht="15" hidden="false" customHeight="false" outlineLevel="0" collapsed="false">
      <c r="A569" s="2" t="n">
        <v>568</v>
      </c>
      <c r="B569" s="6" t="n">
        <v>13</v>
      </c>
      <c r="C569" s="6" t="n">
        <v>35</v>
      </c>
      <c r="D569" s="8" t="str">
        <f aca="false">INDEX(Bases!$B$2:$B$53,B569)</f>
        <v>Bulbasaur</v>
      </c>
      <c r="E569" s="8" t="str">
        <f aca="false">INDEX(Bases!$B$2:$B$53,C569)</f>
        <v>Pineco</v>
      </c>
      <c r="F569" s="2" t="str">
        <f aca="false">LEFT(D569,ROUNDUP(LEN(D569)/2,0))&amp;LOWER(MID(E569,ROUNDUP(LEN(E569)/2,0)+1,20))</f>
        <v>Bulbaeco</v>
      </c>
      <c r="G569" s="8" t="str">
        <f aca="false">INDEX(Bases!$C$2:$C$53,B569)</f>
        <v>Grass</v>
      </c>
      <c r="H569" s="8" t="str">
        <f aca="false">IF(INDEX(Bases!$C$2:$C$53,C569)=G569,"",INDEX(Bases!$C$2:$C$53,C569))</f>
        <v>Bug</v>
      </c>
      <c r="I569" s="8" t="str">
        <f aca="false">IF(INDEX(Bases!$E$2:$E$53,B569)="","",INDEX(Bases!$E$2:$E$53,B569))</f>
        <v/>
      </c>
      <c r="J569" s="8" t="str">
        <f aca="false">IF(INDEX(Bases!$E$2:$E$53,C569)="","",INDEX(Bases!$E$2:$E$53,C569))</f>
        <v/>
      </c>
      <c r="K569" s="5"/>
      <c r="L569" s="2" t="n">
        <f aca="false">AE569+IF(SUMPRODUCT(--($AL569:$AQ569&gt;AL569))&lt;$AK569,1,0)</f>
        <v>75</v>
      </c>
      <c r="M569" s="2" t="n">
        <f aca="false">AF569+IF(SUMPRODUCT(--($AL569:$AQ569&gt;AM569))+SUMPRODUCT(--($AL569:AL569=AM569))&lt;$AK569,1,0)</f>
        <v>93</v>
      </c>
      <c r="N569" s="2" t="n">
        <f aca="false">AG569+IF(SUMPRODUCT(--($AL569:$AQ569&gt;AN569))+SUMPRODUCT(--($AL569:AM569=AN569))&lt;$AK569,1,0)</f>
        <v>119</v>
      </c>
      <c r="O569" s="2" t="n">
        <f aca="false">AH569+IF(SUMPRODUCT(--($AL569:$AQ569&gt;AO569))+SUMPRODUCT(--($AL569:AN569=AO569))&lt;$AK569,1,0)</f>
        <v>81</v>
      </c>
      <c r="P569" s="2" t="n">
        <f aca="false">AI569+IF(SUMPRODUCT(--($AL569:$AQ569&gt;AP569))+SUMPRODUCT(--($AL569:AO569=AP569))&lt;$AK569,1,0)</f>
        <v>81</v>
      </c>
      <c r="Q569" s="2" t="n">
        <f aca="false">AJ569+IF(SUMPRODUCT(--($AL569:$AQ569&gt;AQ569))+SUMPRODUCT(--($AL569:AP569=AQ569))&lt;$AK569,1,0)</f>
        <v>51</v>
      </c>
      <c r="R569" s="2" t="n">
        <f aca="false">SUM(L569:Q569)</f>
        <v>500</v>
      </c>
      <c r="S569" s="2" t="n">
        <f aca="false">Settings!$B$4*MAX(INDEX(Bases!$M$2:$M$53,B569),INDEX(Bases!$M$2:$M$53,C569))+Settings!$B$5*MIN(INDEX(Bases!$M$2:$M$53,B569),INDEX(Bases!$M$2:$M$53,C569))</f>
        <v>64.6666666666667</v>
      </c>
      <c r="T569" s="2" t="n">
        <f aca="false">Settings!$B$4*MAX(INDEX(Bases!$N$2:$N$53,B569),INDEX(Bases!$N$2:$N$53,C569))+Settings!$B$5*MIN(INDEX(Bases!$N$2:$N$53,B569),INDEX(Bases!$N$2:$N$53,C569))</f>
        <v>80.6666666666667</v>
      </c>
      <c r="U569" s="2" t="n">
        <f aca="false">Settings!$B$4*MAX(INDEX(Bases!$O$2:$O$53,B569),INDEX(Bases!$O$2:$O$53,C569))+Settings!$B$5*MIN(INDEX(Bases!$O$2:$O$53,B569),INDEX(Bases!$O$2:$O$53,C569))</f>
        <v>103.333333333333</v>
      </c>
      <c r="V569" s="2" t="n">
        <f aca="false">Settings!$B$4*MAX(INDEX(Bases!$P$2:$P$53,B569),INDEX(Bases!$P$2:$P$53,C569))+Settings!$B$5*MIN(INDEX(Bases!$P$2:$P$53,B569),INDEX(Bases!$P$2:$P$53,C569))</f>
        <v>70.6666666666667</v>
      </c>
      <c r="W569" s="2" t="n">
        <f aca="false">Settings!$B$4*MAX(INDEX(Bases!$Q$2:$Q$53,B569),INDEX(Bases!$Q$2:$Q$53,C569))+Settings!$B$5*MIN(INDEX(Bases!$Q$2:$Q$53,B569),INDEX(Bases!$Q$2:$Q$53,C569))</f>
        <v>70.6666666666667</v>
      </c>
      <c r="X569" s="2" t="n">
        <f aca="false">Settings!$B$4*MAX(INDEX(Bases!$R$2:$R$53,B569),INDEX(Bases!$R$2:$R$53,C569))+Settings!$B$5*MIN(INDEX(Bases!$R$2:$R$53,B569),INDEX(Bases!$R$2:$R$53,C569))</f>
        <v>44.3333333333333</v>
      </c>
      <c r="Y569" s="2" t="n">
        <f aca="false">S569*Settings!$B$3/SUM(S569:X569)</f>
        <v>74.4435917114352</v>
      </c>
      <c r="Z569" s="2" t="n">
        <f aca="false">T569*Settings!$B$3/SUM(S569:X569)</f>
        <v>92.8626247122026</v>
      </c>
      <c r="AA569" s="2" t="n">
        <f aca="false">U569*Settings!$B$3/SUM(S569:X569)</f>
        <v>118.956254796623</v>
      </c>
      <c r="AB569" s="2" t="n">
        <f aca="false">V569*Settings!$B$3/SUM(S569:X569)</f>
        <v>81.3507290867229</v>
      </c>
      <c r="AC569" s="2" t="n">
        <f aca="false">W569*Settings!$B$3/SUM(S569:X569)</f>
        <v>81.3507290867229</v>
      </c>
      <c r="AD569" s="2" t="n">
        <f aca="false">X569*Settings!$B$3/SUM(S569:X569)</f>
        <v>51.0360706062932</v>
      </c>
      <c r="AE569" s="2" t="n">
        <f aca="false">INT(Y569)</f>
        <v>74</v>
      </c>
      <c r="AF569" s="2" t="n">
        <f aca="false">INT(Z569)</f>
        <v>92</v>
      </c>
      <c r="AG569" s="2" t="n">
        <f aca="false">INT(AA569)</f>
        <v>118</v>
      </c>
      <c r="AH569" s="2" t="n">
        <f aca="false">INT(AB569)</f>
        <v>81</v>
      </c>
      <c r="AI569" s="2" t="n">
        <f aca="false">INT(AC569)</f>
        <v>81</v>
      </c>
      <c r="AJ569" s="2" t="n">
        <f aca="false">INT(AD569)</f>
        <v>51</v>
      </c>
      <c r="AK569" s="2" t="n">
        <f aca="false">Settings!$B$3-SUM(AE569:AJ569)</f>
        <v>3</v>
      </c>
      <c r="AL569" s="2" t="n">
        <f aca="false">ROUND(Y569-AE569,9)</f>
        <v>0.443591711</v>
      </c>
      <c r="AM569" s="2" t="n">
        <f aca="false">ROUND(Z569-AF569,9)</f>
        <v>0.862624712</v>
      </c>
      <c r="AN569" s="2" t="n">
        <f aca="false">ROUND(AA569-AG569,9)</f>
        <v>0.956254797</v>
      </c>
      <c r="AO569" s="2" t="n">
        <f aca="false">ROUND(AB569-AH569,9)</f>
        <v>0.350729087</v>
      </c>
      <c r="AP569" s="2" t="n">
        <f aca="false">ROUND(AC569-AI569,9)</f>
        <v>0.350729087</v>
      </c>
      <c r="AQ569" s="2" t="n">
        <f aca="false">ROUND(AD569-AJ569,9)</f>
        <v>0.036070606</v>
      </c>
    </row>
    <row r="570" customFormat="false" ht="15" hidden="false" customHeight="false" outlineLevel="0" collapsed="false">
      <c r="A570" s="2" t="n">
        <v>569</v>
      </c>
      <c r="B570" s="6" t="n">
        <v>13</v>
      </c>
      <c r="C570" s="6" t="n">
        <v>36</v>
      </c>
      <c r="D570" s="8" t="str">
        <f aca="false">INDEX(Bases!$B$2:$B$53,B570)</f>
        <v>Bulbasaur</v>
      </c>
      <c r="E570" s="8" t="str">
        <f aca="false">INDEX(Bases!$B$2:$B$53,C570)</f>
        <v>Wurmple</v>
      </c>
      <c r="F570" s="2" t="str">
        <f aca="false">LEFT(D570,ROUNDUP(LEN(D570)/2,0))&amp;LOWER(MID(E570,ROUNDUP(LEN(E570)/2,0)+1,20))</f>
        <v>Bulbaple</v>
      </c>
      <c r="G570" s="8" t="str">
        <f aca="false">INDEX(Bases!$C$2:$C$53,B570)</f>
        <v>Grass</v>
      </c>
      <c r="H570" s="8" t="str">
        <f aca="false">IF(INDEX(Bases!$C$2:$C$53,C570)=G570,"",INDEX(Bases!$C$2:$C$53,C570))</f>
        <v>Bug</v>
      </c>
      <c r="I570" s="8" t="str">
        <f aca="false">IF(INDEX(Bases!$E$2:$E$53,B570)="","",INDEX(Bases!$E$2:$E$53,B570))</f>
        <v/>
      </c>
      <c r="J570" s="8" t="str">
        <f aca="false">IF(INDEX(Bases!$E$2:$E$53,C570)="","",INDEX(Bases!$E$2:$E$53,C570))</f>
        <v/>
      </c>
      <c r="K570" s="5"/>
      <c r="L570" s="2" t="n">
        <f aca="false">AE570+IF(SUMPRODUCT(--($AL570:$AQ570&gt;AL570))&lt;$AK570,1,0)</f>
        <v>94</v>
      </c>
      <c r="M570" s="2" t="n">
        <f aca="false">AF570+IF(SUMPRODUCT(--($AL570:$AQ570&gt;AM570))+SUMPRODUCT(--($AL570:AL570=AM570))&lt;$AK570,1,0)</f>
        <v>96</v>
      </c>
      <c r="N570" s="2" t="n">
        <f aca="false">AG570+IF(SUMPRODUCT(--($AL570:$AQ570&gt;AN570))+SUMPRODUCT(--($AL570:AM570=AN570))&lt;$AK570,1,0)</f>
        <v>81</v>
      </c>
      <c r="O570" s="2" t="n">
        <f aca="false">AH570+IF(SUMPRODUCT(--($AL570:$AQ570&gt;AO570))+SUMPRODUCT(--($AL570:AN570=AO570))&lt;$AK570,1,0)</f>
        <v>80</v>
      </c>
      <c r="P570" s="2" t="n">
        <f aca="false">AI570+IF(SUMPRODUCT(--($AL570:$AQ570&gt;AP570))+SUMPRODUCT(--($AL570:AO570=AP570))&lt;$AK570,1,0)</f>
        <v>89</v>
      </c>
      <c r="Q570" s="2" t="n">
        <f aca="false">AJ570+IF(SUMPRODUCT(--($AL570:$AQ570&gt;AQ570))+SUMPRODUCT(--($AL570:AP570=AQ570))&lt;$AK570,1,0)</f>
        <v>60</v>
      </c>
      <c r="R570" s="2" t="n">
        <f aca="false">SUM(L570:Q570)</f>
        <v>500</v>
      </c>
      <c r="S570" s="2" t="n">
        <f aca="false">Settings!$B$4*MAX(INDEX(Bases!$M$2:$M$53,B570),INDEX(Bases!$M$2:$M$53,C570))+Settings!$B$5*MIN(INDEX(Bases!$M$2:$M$53,B570),INDEX(Bases!$M$2:$M$53,C570))</f>
        <v>80</v>
      </c>
      <c r="T570" s="2" t="n">
        <f aca="false">Settings!$B$4*MAX(INDEX(Bases!$N$2:$N$53,B570),INDEX(Bases!$N$2:$N$53,C570))+Settings!$B$5*MIN(INDEX(Bases!$N$2:$N$53,B570),INDEX(Bases!$N$2:$N$53,C570))</f>
        <v>82</v>
      </c>
      <c r="U570" s="2" t="n">
        <f aca="false">Settings!$B$4*MAX(INDEX(Bases!$O$2:$O$53,B570),INDEX(Bases!$O$2:$O$53,C570))+Settings!$B$5*MIN(INDEX(Bases!$O$2:$O$53,B570),INDEX(Bases!$O$2:$O$53,C570))</f>
        <v>68.6666666666667</v>
      </c>
      <c r="V570" s="2" t="n">
        <f aca="false">Settings!$B$4*MAX(INDEX(Bases!$P$2:$P$53,B570),INDEX(Bases!$P$2:$P$53,C570))+Settings!$B$5*MIN(INDEX(Bases!$P$2:$P$53,B570),INDEX(Bases!$P$2:$P$53,C570))</f>
        <v>68.3333333333333</v>
      </c>
      <c r="W570" s="2" t="n">
        <f aca="false">Settings!$B$4*MAX(INDEX(Bases!$Q$2:$Q$53,B570),INDEX(Bases!$Q$2:$Q$53,C570))+Settings!$B$5*MIN(INDEX(Bases!$Q$2:$Q$53,B570),INDEX(Bases!$Q$2:$Q$53,C570))</f>
        <v>75.3333333333333</v>
      </c>
      <c r="X570" s="2" t="n">
        <f aca="false">Settings!$B$4*MAX(INDEX(Bases!$R$2:$R$53,B570),INDEX(Bases!$R$2:$R$53,C570))+Settings!$B$5*MIN(INDEX(Bases!$R$2:$R$53,B570),INDEX(Bases!$R$2:$R$53,C570))</f>
        <v>51</v>
      </c>
      <c r="Y570" s="2" t="n">
        <f aca="false">S570*Settings!$B$3/SUM(S570:X570)</f>
        <v>94.0438871473354</v>
      </c>
      <c r="Z570" s="2" t="n">
        <f aca="false">T570*Settings!$B$3/SUM(S570:X570)</f>
        <v>96.3949843260188</v>
      </c>
      <c r="AA570" s="2" t="n">
        <f aca="false">U570*Settings!$B$3/SUM(S570:X570)</f>
        <v>80.7210031347963</v>
      </c>
      <c r="AB570" s="2" t="n">
        <f aca="false">V570*Settings!$B$3/SUM(S570:X570)</f>
        <v>80.3291536050157</v>
      </c>
      <c r="AC570" s="2" t="n">
        <f aca="false">W570*Settings!$B$3/SUM(S570:X570)</f>
        <v>88.5579937304075</v>
      </c>
      <c r="AD570" s="2" t="n">
        <f aca="false">X570*Settings!$B$3/SUM(S570:X570)</f>
        <v>59.9529780564263</v>
      </c>
      <c r="AE570" s="2" t="n">
        <f aca="false">INT(Y570)</f>
        <v>94</v>
      </c>
      <c r="AF570" s="2" t="n">
        <f aca="false">INT(Z570)</f>
        <v>96</v>
      </c>
      <c r="AG570" s="2" t="n">
        <f aca="false">INT(AA570)</f>
        <v>80</v>
      </c>
      <c r="AH570" s="2" t="n">
        <f aca="false">INT(AB570)</f>
        <v>80</v>
      </c>
      <c r="AI570" s="2" t="n">
        <f aca="false">INT(AC570)</f>
        <v>88</v>
      </c>
      <c r="AJ570" s="2" t="n">
        <f aca="false">INT(AD570)</f>
        <v>59</v>
      </c>
      <c r="AK570" s="2" t="n">
        <f aca="false">Settings!$B$3-SUM(AE570:AJ570)</f>
        <v>3</v>
      </c>
      <c r="AL570" s="2" t="n">
        <f aca="false">ROUND(Y570-AE570,9)</f>
        <v>0.043887147</v>
      </c>
      <c r="AM570" s="2" t="n">
        <f aca="false">ROUND(Z570-AF570,9)</f>
        <v>0.394984326</v>
      </c>
      <c r="AN570" s="2" t="n">
        <f aca="false">ROUND(AA570-AG570,9)</f>
        <v>0.721003135</v>
      </c>
      <c r="AO570" s="2" t="n">
        <f aca="false">ROUND(AB570-AH570,9)</f>
        <v>0.329153605</v>
      </c>
      <c r="AP570" s="2" t="n">
        <f aca="false">ROUND(AC570-AI570,9)</f>
        <v>0.55799373</v>
      </c>
      <c r="AQ570" s="2" t="n">
        <f aca="false">ROUND(AD570-AJ570,9)</f>
        <v>0.952978056</v>
      </c>
    </row>
    <row r="571" customFormat="false" ht="15" hidden="false" customHeight="false" outlineLevel="0" collapsed="false">
      <c r="A571" s="2" t="n">
        <v>570</v>
      </c>
      <c r="B571" s="6" t="n">
        <v>13</v>
      </c>
      <c r="C571" s="6" t="n">
        <v>37</v>
      </c>
      <c r="D571" s="8" t="str">
        <f aca="false">INDEX(Bases!$B$2:$B$53,B571)</f>
        <v>Bulbasaur</v>
      </c>
      <c r="E571" s="8" t="str">
        <f aca="false">INDEX(Bases!$B$2:$B$53,C571)</f>
        <v>Shuckle</v>
      </c>
      <c r="F571" s="2" t="str">
        <f aca="false">LEFT(D571,ROUNDUP(LEN(D571)/2,0))&amp;LOWER(MID(E571,ROUNDUP(LEN(E571)/2,0)+1,20))</f>
        <v>Bulbakle</v>
      </c>
      <c r="G571" s="8" t="str">
        <f aca="false">INDEX(Bases!$C$2:$C$53,B571)</f>
        <v>Grass</v>
      </c>
      <c r="H571" s="8" t="str">
        <f aca="false">IF(INDEX(Bases!$C$2:$C$53,C571)=G571,"",INDEX(Bases!$C$2:$C$53,C571))</f>
        <v>Rock</v>
      </c>
      <c r="I571" s="8" t="str">
        <f aca="false">IF(INDEX(Bases!$E$2:$E$53,B571)="","",INDEX(Bases!$E$2:$E$53,B571))</f>
        <v/>
      </c>
      <c r="J571" s="8" t="str">
        <f aca="false">IF(INDEX(Bases!$E$2:$E$53,C571)="","",INDEX(Bases!$E$2:$E$53,C571))</f>
        <v/>
      </c>
      <c r="K571" s="5"/>
      <c r="L571" s="2" t="n">
        <f aca="false">AE571+IF(SUMPRODUCT(--($AL571:$AQ571&gt;AL571))&lt;$AK571,1,0)</f>
        <v>45</v>
      </c>
      <c r="M571" s="2" t="n">
        <f aca="false">AF571+IF(SUMPRODUCT(--($AL571:$AQ571&gt;AM571))+SUMPRODUCT(--($AL571:AL571=AM571))&lt;$AK571,1,0)</f>
        <v>46</v>
      </c>
      <c r="N571" s="2" t="n">
        <f aca="false">AG571+IF(SUMPRODUCT(--($AL571:$AQ571&gt;AN571))+SUMPRODUCT(--($AL571:AM571=AN571))&lt;$AK571,1,0)</f>
        <v>150</v>
      </c>
      <c r="O571" s="2" t="n">
        <f aca="false">AH571+IF(SUMPRODUCT(--($AL571:$AQ571&gt;AO571))+SUMPRODUCT(--($AL571:AN571=AO571))&lt;$AK571,1,0)</f>
        <v>61</v>
      </c>
      <c r="P571" s="2" t="n">
        <f aca="false">AI571+IF(SUMPRODUCT(--($AL571:$AQ571&gt;AP571))+SUMPRODUCT(--($AL571:AO571=AP571))&lt;$AK571,1,0)</f>
        <v>157</v>
      </c>
      <c r="Q571" s="2" t="n">
        <f aca="false">AJ571+IF(SUMPRODUCT(--($AL571:$AQ571&gt;AQ571))+SUMPRODUCT(--($AL571:AP571=AQ571))&lt;$AK571,1,0)</f>
        <v>41</v>
      </c>
      <c r="R571" s="2" t="n">
        <f aca="false">SUM(L571:Q571)</f>
        <v>500</v>
      </c>
      <c r="S571" s="2" t="n">
        <f aca="false">Settings!$B$4*MAX(INDEX(Bases!$M$2:$M$53,B571),INDEX(Bases!$M$2:$M$53,C571))+Settings!$B$5*MIN(INDEX(Bases!$M$2:$M$53,B571),INDEX(Bases!$M$2:$M$53,C571))</f>
        <v>42.6666666666667</v>
      </c>
      <c r="T571" s="2" t="n">
        <f aca="false">Settings!$B$4*MAX(INDEX(Bases!$N$2:$N$53,B571),INDEX(Bases!$N$2:$N$53,C571))+Settings!$B$5*MIN(INDEX(Bases!$N$2:$N$53,B571),INDEX(Bases!$N$2:$N$53,C571))</f>
        <v>44</v>
      </c>
      <c r="U571" s="2" t="n">
        <f aca="false">Settings!$B$4*MAX(INDEX(Bases!$O$2:$O$53,B571),INDEX(Bases!$O$2:$O$53,C571))+Settings!$B$5*MIN(INDEX(Bases!$O$2:$O$53,B571),INDEX(Bases!$O$2:$O$53,C571))</f>
        <v>142</v>
      </c>
      <c r="V571" s="2" t="n">
        <f aca="false">Settings!$B$4*MAX(INDEX(Bases!$P$2:$P$53,B571),INDEX(Bases!$P$2:$P$53,C571))+Settings!$B$5*MIN(INDEX(Bases!$P$2:$P$53,B571),INDEX(Bases!$P$2:$P$53,C571))</f>
        <v>57.3333333333333</v>
      </c>
      <c r="W571" s="2" t="n">
        <f aca="false">Settings!$B$4*MAX(INDEX(Bases!$Q$2:$Q$53,B571),INDEX(Bases!$Q$2:$Q$53,C571))+Settings!$B$5*MIN(INDEX(Bases!$Q$2:$Q$53,B571),INDEX(Bases!$Q$2:$Q$53,C571))</f>
        <v>148.666666666667</v>
      </c>
      <c r="X571" s="2" t="n">
        <f aca="false">Settings!$B$4*MAX(INDEX(Bases!$R$2:$R$53,B571),INDEX(Bases!$R$2:$R$53,C571))+Settings!$B$5*MIN(INDEX(Bases!$R$2:$R$53,B571),INDEX(Bases!$R$2:$R$53,C571))</f>
        <v>38.6666666666667</v>
      </c>
      <c r="Y571" s="2" t="n">
        <f aca="false">S571*Settings!$B$3/SUM(S571:X571)</f>
        <v>45.0704225352113</v>
      </c>
      <c r="Z571" s="2" t="n">
        <f aca="false">T571*Settings!$B$3/SUM(S571:X571)</f>
        <v>46.4788732394366</v>
      </c>
      <c r="AA571" s="2" t="n">
        <f aca="false">U571*Settings!$B$3/SUM(S571:X571)</f>
        <v>150</v>
      </c>
      <c r="AB571" s="2" t="n">
        <f aca="false">V571*Settings!$B$3/SUM(S571:X571)</f>
        <v>60.5633802816901</v>
      </c>
      <c r="AC571" s="2" t="n">
        <f aca="false">W571*Settings!$B$3/SUM(S571:X571)</f>
        <v>157.042253521127</v>
      </c>
      <c r="AD571" s="2" t="n">
        <f aca="false">X571*Settings!$B$3/SUM(S571:X571)</f>
        <v>40.8450704225352</v>
      </c>
      <c r="AE571" s="2" t="n">
        <f aca="false">INT(Y571)</f>
        <v>45</v>
      </c>
      <c r="AF571" s="2" t="n">
        <f aca="false">INT(Z571)</f>
        <v>46</v>
      </c>
      <c r="AG571" s="2" t="n">
        <f aca="false">INT(AA571)</f>
        <v>150</v>
      </c>
      <c r="AH571" s="2" t="n">
        <f aca="false">INT(AB571)</f>
        <v>60</v>
      </c>
      <c r="AI571" s="2" t="n">
        <f aca="false">INT(AC571)</f>
        <v>157</v>
      </c>
      <c r="AJ571" s="2" t="n">
        <f aca="false">INT(AD571)</f>
        <v>40</v>
      </c>
      <c r="AK571" s="2" t="n">
        <f aca="false">Settings!$B$3-SUM(AE571:AJ571)</f>
        <v>2</v>
      </c>
      <c r="AL571" s="2" t="n">
        <f aca="false">ROUND(Y571-AE571,9)</f>
        <v>0.070422535</v>
      </c>
      <c r="AM571" s="2" t="n">
        <f aca="false">ROUND(Z571-AF571,9)</f>
        <v>0.478873239</v>
      </c>
      <c r="AN571" s="2" t="n">
        <f aca="false">ROUND(AA571-AG571,9)</f>
        <v>0</v>
      </c>
      <c r="AO571" s="2" t="n">
        <f aca="false">ROUND(AB571-AH571,9)</f>
        <v>0.563380282</v>
      </c>
      <c r="AP571" s="2" t="n">
        <f aca="false">ROUND(AC571-AI571,9)</f>
        <v>0.042253521</v>
      </c>
      <c r="AQ571" s="2" t="n">
        <f aca="false">ROUND(AD571-AJ571,9)</f>
        <v>0.845070423</v>
      </c>
    </row>
    <row r="572" customFormat="false" ht="15" hidden="false" customHeight="false" outlineLevel="0" collapsed="false">
      <c r="A572" s="2" t="n">
        <v>571</v>
      </c>
      <c r="B572" s="6" t="n">
        <v>13</v>
      </c>
      <c r="C572" s="6" t="n">
        <v>38</v>
      </c>
      <c r="D572" s="8" t="str">
        <f aca="false">INDEX(Bases!$B$2:$B$53,B572)</f>
        <v>Bulbasaur</v>
      </c>
      <c r="E572" s="8" t="str">
        <f aca="false">INDEX(Bases!$B$2:$B$53,C572)</f>
        <v>Larvitar</v>
      </c>
      <c r="F572" s="2" t="str">
        <f aca="false">LEFT(D572,ROUNDUP(LEN(D572)/2,0))&amp;LOWER(MID(E572,ROUNDUP(LEN(E572)/2,0)+1,20))</f>
        <v>Bulbaitar</v>
      </c>
      <c r="G572" s="8" t="str">
        <f aca="false">INDEX(Bases!$C$2:$C$53,B572)</f>
        <v>Grass</v>
      </c>
      <c r="H572" s="8" t="str">
        <f aca="false">IF(INDEX(Bases!$C$2:$C$53,C572)=G572,"",INDEX(Bases!$C$2:$C$53,C572))</f>
        <v>Rock</v>
      </c>
      <c r="I572" s="8" t="str">
        <f aca="false">IF(INDEX(Bases!$E$2:$E$53,B572)="","",INDEX(Bases!$E$2:$E$53,B572))</f>
        <v/>
      </c>
      <c r="J572" s="8" t="str">
        <f aca="false">IF(INDEX(Bases!$E$2:$E$53,C572)="","",INDEX(Bases!$E$2:$E$53,C572))</f>
        <v/>
      </c>
      <c r="K572" s="5"/>
      <c r="L572" s="2" t="n">
        <f aca="false">AE572+IF(SUMPRODUCT(--($AL572:$AQ572&gt;AL572))&lt;$AK572,1,0)</f>
        <v>77</v>
      </c>
      <c r="M572" s="2" t="n">
        <f aca="false">AF572+IF(SUMPRODUCT(--($AL572:$AQ572&gt;AM572))+SUMPRODUCT(--($AL572:AL572=AM572))&lt;$AK572,1,0)</f>
        <v>94</v>
      </c>
      <c r="N572" s="2" t="n">
        <f aca="false">AG572+IF(SUMPRODUCT(--($AL572:$AQ572&gt;AN572))+SUMPRODUCT(--($AL572:AM572=AN572))&lt;$AK572,1,0)</f>
        <v>79</v>
      </c>
      <c r="O572" s="2" t="n">
        <f aca="false">AH572+IF(SUMPRODUCT(--($AL572:$AQ572&gt;AO572))+SUMPRODUCT(--($AL572:AN572=AO572))&lt;$AK572,1,0)</f>
        <v>90</v>
      </c>
      <c r="P572" s="2" t="n">
        <f aca="false">AI572+IF(SUMPRODUCT(--($AL572:$AQ572&gt;AP572))+SUMPRODUCT(--($AL572:AO572=AP572))&lt;$AK572,1,0)</f>
        <v>93</v>
      </c>
      <c r="Q572" s="2" t="n">
        <f aca="false">AJ572+IF(SUMPRODUCT(--($AL572:$AQ572&gt;AQ572))+SUMPRODUCT(--($AL572:AP572=AQ572))&lt;$AK572,1,0)</f>
        <v>67</v>
      </c>
      <c r="R572" s="2" t="n">
        <f aca="false">SUM(L572:Q572)</f>
        <v>500</v>
      </c>
      <c r="S572" s="2" t="n">
        <f aca="false">Settings!$B$4*MAX(INDEX(Bases!$M$2:$M$53,B572),INDEX(Bases!$M$2:$M$53,C572))+Settings!$B$5*MIN(INDEX(Bases!$M$2:$M$53,B572),INDEX(Bases!$M$2:$M$53,C572))</f>
        <v>63.3333333333333</v>
      </c>
      <c r="T572" s="2" t="n">
        <f aca="false">Settings!$B$4*MAX(INDEX(Bases!$N$2:$N$53,B572),INDEX(Bases!$N$2:$N$53,C572))+Settings!$B$5*MIN(INDEX(Bases!$N$2:$N$53,B572),INDEX(Bases!$N$2:$N$53,C572))</f>
        <v>77.3333333333333</v>
      </c>
      <c r="U572" s="2" t="n">
        <f aca="false">Settings!$B$4*MAX(INDEX(Bases!$O$2:$O$53,B572),INDEX(Bases!$O$2:$O$53,C572))+Settings!$B$5*MIN(INDEX(Bases!$O$2:$O$53,B572),INDEX(Bases!$O$2:$O$53,C572))</f>
        <v>65.3333333333333</v>
      </c>
      <c r="V572" s="2" t="n">
        <f aca="false">Settings!$B$4*MAX(INDEX(Bases!$P$2:$P$53,B572),INDEX(Bases!$P$2:$P$53,C572))+Settings!$B$5*MIN(INDEX(Bases!$P$2:$P$53,B572),INDEX(Bases!$P$2:$P$53,C572))</f>
        <v>74.6666666666667</v>
      </c>
      <c r="W572" s="2" t="n">
        <f aca="false">Settings!$B$4*MAX(INDEX(Bases!$Q$2:$Q$53,B572),INDEX(Bases!$Q$2:$Q$53,C572))+Settings!$B$5*MIN(INDEX(Bases!$Q$2:$Q$53,B572),INDEX(Bases!$Q$2:$Q$53,C572))</f>
        <v>77</v>
      </c>
      <c r="X572" s="2" t="n">
        <f aca="false">Settings!$B$4*MAX(INDEX(Bases!$R$2:$R$53,B572),INDEX(Bases!$R$2:$R$53,C572))+Settings!$B$5*MIN(INDEX(Bases!$R$2:$R$53,B572),INDEX(Bases!$R$2:$R$53,C572))</f>
        <v>55.3333333333333</v>
      </c>
      <c r="Y572" s="2" t="n">
        <f aca="false">S572*Settings!$B$3/SUM(S572:X572)</f>
        <v>76.6747376916868</v>
      </c>
      <c r="Z572" s="2" t="n">
        <f aca="false">T572*Settings!$B$3/SUM(S572:X572)</f>
        <v>93.6238902340597</v>
      </c>
      <c r="AA572" s="2" t="n">
        <f aca="false">U572*Settings!$B$3/SUM(S572:X572)</f>
        <v>79.0960451977401</v>
      </c>
      <c r="AB572" s="2" t="n">
        <f aca="false">V572*Settings!$B$3/SUM(S572:X572)</f>
        <v>90.3954802259887</v>
      </c>
      <c r="AC572" s="2" t="n">
        <f aca="false">W572*Settings!$B$3/SUM(S572:X572)</f>
        <v>93.2203389830509</v>
      </c>
      <c r="AD572" s="2" t="n">
        <f aca="false">X572*Settings!$B$3/SUM(S572:X572)</f>
        <v>66.9895076674738</v>
      </c>
      <c r="AE572" s="2" t="n">
        <f aca="false">INT(Y572)</f>
        <v>76</v>
      </c>
      <c r="AF572" s="2" t="n">
        <f aca="false">INT(Z572)</f>
        <v>93</v>
      </c>
      <c r="AG572" s="2" t="n">
        <f aca="false">INT(AA572)</f>
        <v>79</v>
      </c>
      <c r="AH572" s="2" t="n">
        <f aca="false">INT(AB572)</f>
        <v>90</v>
      </c>
      <c r="AI572" s="2" t="n">
        <f aca="false">INT(AC572)</f>
        <v>93</v>
      </c>
      <c r="AJ572" s="2" t="n">
        <f aca="false">INT(AD572)</f>
        <v>66</v>
      </c>
      <c r="AK572" s="2" t="n">
        <f aca="false">Settings!$B$3-SUM(AE572:AJ572)</f>
        <v>3</v>
      </c>
      <c r="AL572" s="2" t="n">
        <f aca="false">ROUND(Y572-AE572,9)</f>
        <v>0.674737692</v>
      </c>
      <c r="AM572" s="2" t="n">
        <f aca="false">ROUND(Z572-AF572,9)</f>
        <v>0.623890234</v>
      </c>
      <c r="AN572" s="2" t="n">
        <f aca="false">ROUND(AA572-AG572,9)</f>
        <v>0.096045198</v>
      </c>
      <c r="AO572" s="2" t="n">
        <f aca="false">ROUND(AB572-AH572,9)</f>
        <v>0.395480226</v>
      </c>
      <c r="AP572" s="2" t="n">
        <f aca="false">ROUND(AC572-AI572,9)</f>
        <v>0.220338983</v>
      </c>
      <c r="AQ572" s="2" t="n">
        <f aca="false">ROUND(AD572-AJ572,9)</f>
        <v>0.989507667</v>
      </c>
    </row>
    <row r="573" customFormat="false" ht="15" hidden="false" customHeight="false" outlineLevel="0" collapsed="false">
      <c r="A573" s="2" t="n">
        <v>572</v>
      </c>
      <c r="B573" s="6" t="n">
        <v>13</v>
      </c>
      <c r="C573" s="6" t="n">
        <v>39</v>
      </c>
      <c r="D573" s="8" t="str">
        <f aca="false">INDEX(Bases!$B$2:$B$53,B573)</f>
        <v>Bulbasaur</v>
      </c>
      <c r="E573" s="8" t="str">
        <f aca="false">INDEX(Bases!$B$2:$B$53,C573)</f>
        <v>Nosepass</v>
      </c>
      <c r="F573" s="2" t="str">
        <f aca="false">LEFT(D573,ROUNDUP(LEN(D573)/2,0))&amp;LOWER(MID(E573,ROUNDUP(LEN(E573)/2,0)+1,20))</f>
        <v>Bulbapass</v>
      </c>
      <c r="G573" s="8" t="str">
        <f aca="false">INDEX(Bases!$C$2:$C$53,B573)</f>
        <v>Grass</v>
      </c>
      <c r="H573" s="8" t="str">
        <f aca="false">IF(INDEX(Bases!$C$2:$C$53,C573)=G573,"",INDEX(Bases!$C$2:$C$53,C573))</f>
        <v>Rock</v>
      </c>
      <c r="I573" s="8" t="str">
        <f aca="false">IF(INDEX(Bases!$E$2:$E$53,B573)="","",INDEX(Bases!$E$2:$E$53,B573))</f>
        <v/>
      </c>
      <c r="J573" s="8" t="str">
        <f aca="false">IF(INDEX(Bases!$E$2:$E$53,C573)="","",INDEX(Bases!$E$2:$E$53,C573))</f>
        <v/>
      </c>
      <c r="K573" s="5"/>
      <c r="L573" s="2" t="n">
        <f aca="false">AE573+IF(SUMPRODUCT(--($AL573:$AQ573&gt;AL573))&lt;$AK573,1,0)</f>
        <v>56</v>
      </c>
      <c r="M573" s="2" t="n">
        <f aca="false">AF573+IF(SUMPRODUCT(--($AL573:$AQ573&gt;AM573))+SUMPRODUCT(--($AL573:AL573=AM573))&lt;$AK573,1,0)</f>
        <v>66</v>
      </c>
      <c r="N573" s="2" t="n">
        <f aca="false">AG573+IF(SUMPRODUCT(--($AL573:$AQ573&gt;AN573))+SUMPRODUCT(--($AL573:AM573=AN573))&lt;$AK573,1,0)</f>
        <v>135</v>
      </c>
      <c r="O573" s="2" t="n">
        <f aca="false">AH573+IF(SUMPRODUCT(--($AL573:$AQ573&gt;AO573))+SUMPRODUCT(--($AL573:AN573=AO573))&lt;$AK573,1,0)</f>
        <v>82</v>
      </c>
      <c r="P573" s="2" t="n">
        <f aca="false">AI573+IF(SUMPRODUCT(--($AL573:$AQ573&gt;AP573))+SUMPRODUCT(--($AL573:AO573=AP573))&lt;$AK573,1,0)</f>
        <v>106</v>
      </c>
      <c r="Q573" s="2" t="n">
        <f aca="false">AJ573+IF(SUMPRODUCT(--($AL573:$AQ573&gt;AQ573))+SUMPRODUCT(--($AL573:AP573=AQ573))&lt;$AK573,1,0)</f>
        <v>55</v>
      </c>
      <c r="R573" s="2" t="n">
        <f aca="false">SUM(L573:Q573)</f>
        <v>500</v>
      </c>
      <c r="S573" s="2" t="n">
        <f aca="false">Settings!$B$4*MAX(INDEX(Bases!$M$2:$M$53,B573),INDEX(Bases!$M$2:$M$53,C573))+Settings!$B$5*MIN(INDEX(Bases!$M$2:$M$53,B573),INDEX(Bases!$M$2:$M$53,C573))</f>
        <v>48</v>
      </c>
      <c r="T573" s="2" t="n">
        <f aca="false">Settings!$B$4*MAX(INDEX(Bases!$N$2:$N$53,B573),INDEX(Bases!$N$2:$N$53,C573))+Settings!$B$5*MIN(INDEX(Bases!$N$2:$N$53,B573),INDEX(Bases!$N$2:$N$53,C573))</f>
        <v>57.3333333333333</v>
      </c>
      <c r="U573" s="2" t="n">
        <f aca="false">Settings!$B$4*MAX(INDEX(Bases!$O$2:$O$53,B573),INDEX(Bases!$O$2:$O$53,C573))+Settings!$B$5*MIN(INDEX(Bases!$O$2:$O$53,B573),INDEX(Bases!$O$2:$O$53,C573))</f>
        <v>116.666666666667</v>
      </c>
      <c r="V573" s="2" t="n">
        <f aca="false">Settings!$B$4*MAX(INDEX(Bases!$P$2:$P$53,B573),INDEX(Bases!$P$2:$P$53,C573))+Settings!$B$5*MIN(INDEX(Bases!$P$2:$P$53,B573),INDEX(Bases!$P$2:$P$53,C573))</f>
        <v>70.6666666666667</v>
      </c>
      <c r="W573" s="2" t="n">
        <f aca="false">Settings!$B$4*MAX(INDEX(Bases!$Q$2:$Q$53,B573),INDEX(Bases!$Q$2:$Q$53,C573))+Settings!$B$5*MIN(INDEX(Bases!$Q$2:$Q$53,B573),INDEX(Bases!$Q$2:$Q$53,C573))</f>
        <v>91.3333333333333</v>
      </c>
      <c r="X573" s="2" t="n">
        <f aca="false">Settings!$B$4*MAX(INDEX(Bases!$R$2:$R$53,B573),INDEX(Bases!$R$2:$R$53,C573))+Settings!$B$5*MIN(INDEX(Bases!$R$2:$R$53,B573),INDEX(Bases!$R$2:$R$53,C573))</f>
        <v>48</v>
      </c>
      <c r="Y573" s="2" t="n">
        <f aca="false">S573*Settings!$B$3/SUM(S573:X573)</f>
        <v>55.5555555555556</v>
      </c>
      <c r="Z573" s="2" t="n">
        <f aca="false">T573*Settings!$B$3/SUM(S573:X573)</f>
        <v>66.358024691358</v>
      </c>
      <c r="AA573" s="2" t="n">
        <f aca="false">U573*Settings!$B$3/SUM(S573:X573)</f>
        <v>135.030864197531</v>
      </c>
      <c r="AB573" s="2" t="n">
        <f aca="false">V573*Settings!$B$3/SUM(S573:X573)</f>
        <v>81.7901234567901</v>
      </c>
      <c r="AC573" s="2" t="n">
        <f aca="false">W573*Settings!$B$3/SUM(S573:X573)</f>
        <v>105.70987654321</v>
      </c>
      <c r="AD573" s="2" t="n">
        <f aca="false">X573*Settings!$B$3/SUM(S573:X573)</f>
        <v>55.5555555555556</v>
      </c>
      <c r="AE573" s="2" t="n">
        <f aca="false">INT(Y573)</f>
        <v>55</v>
      </c>
      <c r="AF573" s="2" t="n">
        <f aca="false">INT(Z573)</f>
        <v>66</v>
      </c>
      <c r="AG573" s="2" t="n">
        <f aca="false">INT(AA573)</f>
        <v>135</v>
      </c>
      <c r="AH573" s="2" t="n">
        <f aca="false">INT(AB573)</f>
        <v>81</v>
      </c>
      <c r="AI573" s="2" t="n">
        <f aca="false">INT(AC573)</f>
        <v>105</v>
      </c>
      <c r="AJ573" s="2" t="n">
        <f aca="false">INT(AD573)</f>
        <v>55</v>
      </c>
      <c r="AK573" s="2" t="n">
        <f aca="false">Settings!$B$3-SUM(AE573:AJ573)</f>
        <v>3</v>
      </c>
      <c r="AL573" s="2" t="n">
        <f aca="false">ROUND(Y573-AE573,9)</f>
        <v>0.555555556</v>
      </c>
      <c r="AM573" s="2" t="n">
        <f aca="false">ROUND(Z573-AF573,9)</f>
        <v>0.358024691</v>
      </c>
      <c r="AN573" s="2" t="n">
        <f aca="false">ROUND(AA573-AG573,9)</f>
        <v>0.030864198</v>
      </c>
      <c r="AO573" s="2" t="n">
        <f aca="false">ROUND(AB573-AH573,9)</f>
        <v>0.790123457</v>
      </c>
      <c r="AP573" s="2" t="n">
        <f aca="false">ROUND(AC573-AI573,9)</f>
        <v>0.709876543</v>
      </c>
      <c r="AQ573" s="2" t="n">
        <f aca="false">ROUND(AD573-AJ573,9)</f>
        <v>0.555555556</v>
      </c>
    </row>
    <row r="574" customFormat="false" ht="15" hidden="false" customHeight="false" outlineLevel="0" collapsed="false">
      <c r="A574" s="2" t="n">
        <v>573</v>
      </c>
      <c r="B574" s="6" t="n">
        <v>13</v>
      </c>
      <c r="C574" s="6" t="n">
        <v>40</v>
      </c>
      <c r="D574" s="8" t="str">
        <f aca="false">INDEX(Bases!$B$2:$B$53,B574)</f>
        <v>Bulbasaur</v>
      </c>
      <c r="E574" s="8" t="str">
        <f aca="false">INDEX(Bases!$B$2:$B$53,C574)</f>
        <v>Gastly</v>
      </c>
      <c r="F574" s="2" t="str">
        <f aca="false">LEFT(D574,ROUNDUP(LEN(D574)/2,0))&amp;LOWER(MID(E574,ROUNDUP(LEN(E574)/2,0)+1,20))</f>
        <v>Bulbatly</v>
      </c>
      <c r="G574" s="8" t="str">
        <f aca="false">INDEX(Bases!$C$2:$C$53,B574)</f>
        <v>Grass</v>
      </c>
      <c r="H574" s="8" t="str">
        <f aca="false">IF(INDEX(Bases!$C$2:$C$53,C574)=G574,"",INDEX(Bases!$C$2:$C$53,C574))</f>
        <v>Ghost</v>
      </c>
      <c r="I574" s="8" t="str">
        <f aca="false">IF(INDEX(Bases!$E$2:$E$53,B574)="","",INDEX(Bases!$E$2:$E$53,B574))</f>
        <v/>
      </c>
      <c r="J574" s="8" t="str">
        <f aca="false">IF(INDEX(Bases!$E$2:$E$53,C574)="","",INDEX(Bases!$E$2:$E$53,C574))</f>
        <v/>
      </c>
      <c r="K574" s="5"/>
      <c r="L574" s="2" t="n">
        <f aca="false">AE574+IF(SUMPRODUCT(--($AL574:$AQ574&gt;AL574))&lt;$AK574,1,0)</f>
        <v>58</v>
      </c>
      <c r="M574" s="2" t="n">
        <f aca="false">AF574+IF(SUMPRODUCT(--($AL574:$AQ574&gt;AM574))+SUMPRODUCT(--($AL574:AL574=AM574))&lt;$AK574,1,0)</f>
        <v>65</v>
      </c>
      <c r="N574" s="2" t="n">
        <f aca="false">AG574+IF(SUMPRODUCT(--($AL574:$AQ574&gt;AN574))+SUMPRODUCT(--($AL574:AM574=AN574))&lt;$AK574,1,0)</f>
        <v>63</v>
      </c>
      <c r="O574" s="2" t="n">
        <f aca="false">AH574+IF(SUMPRODUCT(--($AL574:$AQ574&gt;AO574))+SUMPRODUCT(--($AL574:AN574=AO574))&lt;$AK574,1,0)</f>
        <v>132</v>
      </c>
      <c r="P574" s="2" t="n">
        <f aca="false">AI574+IF(SUMPRODUCT(--($AL574:$AQ574&gt;AP574))+SUMPRODUCT(--($AL574:AO574=AP574))&lt;$AK574,1,0)</f>
        <v>81</v>
      </c>
      <c r="Q574" s="2" t="n">
        <f aca="false">AJ574+IF(SUMPRODUCT(--($AL574:$AQ574&gt;AQ574))+SUMPRODUCT(--($AL574:AP574=AQ574))&lt;$AK574,1,0)</f>
        <v>101</v>
      </c>
      <c r="R574" s="2" t="n">
        <f aca="false">SUM(L574:Q574)</f>
        <v>500</v>
      </c>
      <c r="S574" s="2" t="n">
        <f aca="false">Settings!$B$4*MAX(INDEX(Bases!$M$2:$M$53,B574),INDEX(Bases!$M$2:$M$53,C574))+Settings!$B$5*MIN(INDEX(Bases!$M$2:$M$53,B574),INDEX(Bases!$M$2:$M$53,C574))</f>
        <v>50.3333333333333</v>
      </c>
      <c r="T574" s="2" t="n">
        <f aca="false">Settings!$B$4*MAX(INDEX(Bases!$N$2:$N$53,B574),INDEX(Bases!$N$2:$N$53,C574))+Settings!$B$5*MIN(INDEX(Bases!$N$2:$N$53,B574),INDEX(Bases!$N$2:$N$53,C574))</f>
        <v>56.3333333333333</v>
      </c>
      <c r="U574" s="2" t="n">
        <f aca="false">Settings!$B$4*MAX(INDEX(Bases!$O$2:$O$53,B574),INDEX(Bases!$O$2:$O$53,C574))+Settings!$B$5*MIN(INDEX(Bases!$O$2:$O$53,B574),INDEX(Bases!$O$2:$O$53,C574))</f>
        <v>54.3333333333333</v>
      </c>
      <c r="V574" s="2" t="n">
        <f aca="false">Settings!$B$4*MAX(INDEX(Bases!$P$2:$P$53,B574),INDEX(Bases!$P$2:$P$53,C574))+Settings!$B$5*MIN(INDEX(Bases!$P$2:$P$53,B574),INDEX(Bases!$P$2:$P$53,C574))</f>
        <v>113.333333333333</v>
      </c>
      <c r="W574" s="2" t="n">
        <f aca="false">Settings!$B$4*MAX(INDEX(Bases!$Q$2:$Q$53,B574),INDEX(Bases!$Q$2:$Q$53,C574))+Settings!$B$5*MIN(INDEX(Bases!$Q$2:$Q$53,B574),INDEX(Bases!$Q$2:$Q$53,C574))</f>
        <v>69.6666666666667</v>
      </c>
      <c r="X574" s="2" t="n">
        <f aca="false">Settings!$B$4*MAX(INDEX(Bases!$R$2:$R$53,B574),INDEX(Bases!$R$2:$R$53,C574))+Settings!$B$5*MIN(INDEX(Bases!$R$2:$R$53,B574),INDEX(Bases!$R$2:$R$53,C574))</f>
        <v>87.3333333333333</v>
      </c>
      <c r="Y574" s="2" t="n">
        <f aca="false">S574*Settings!$B$3/SUM(S574:X574)</f>
        <v>58.3462132921175</v>
      </c>
      <c r="Z574" s="2" t="n">
        <f aca="false">T574*Settings!$B$3/SUM(S574:X574)</f>
        <v>65.3013910355487</v>
      </c>
      <c r="AA574" s="2" t="n">
        <f aca="false">U574*Settings!$B$3/SUM(S574:X574)</f>
        <v>62.9829984544049</v>
      </c>
      <c r="AB574" s="2" t="n">
        <f aca="false">V574*Settings!$B$3/SUM(S574:X574)</f>
        <v>131.375579598145</v>
      </c>
      <c r="AC574" s="2" t="n">
        <f aca="false">W574*Settings!$B$3/SUM(S574:X574)</f>
        <v>80.757341576507</v>
      </c>
      <c r="AD574" s="2" t="n">
        <f aca="false">X574*Settings!$B$3/SUM(S574:X574)</f>
        <v>101.236476043277</v>
      </c>
      <c r="AE574" s="2" t="n">
        <f aca="false">INT(Y574)</f>
        <v>58</v>
      </c>
      <c r="AF574" s="2" t="n">
        <f aca="false">INT(Z574)</f>
        <v>65</v>
      </c>
      <c r="AG574" s="2" t="n">
        <f aca="false">INT(AA574)</f>
        <v>62</v>
      </c>
      <c r="AH574" s="2" t="n">
        <f aca="false">INT(AB574)</f>
        <v>131</v>
      </c>
      <c r="AI574" s="2" t="n">
        <f aca="false">INT(AC574)</f>
        <v>80</v>
      </c>
      <c r="AJ574" s="2" t="n">
        <f aca="false">INT(AD574)</f>
        <v>101</v>
      </c>
      <c r="AK574" s="2" t="n">
        <f aca="false">Settings!$B$3-SUM(AE574:AJ574)</f>
        <v>3</v>
      </c>
      <c r="AL574" s="2" t="n">
        <f aca="false">ROUND(Y574-AE574,9)</f>
        <v>0.346213292</v>
      </c>
      <c r="AM574" s="2" t="n">
        <f aca="false">ROUND(Z574-AF574,9)</f>
        <v>0.301391036</v>
      </c>
      <c r="AN574" s="2" t="n">
        <f aca="false">ROUND(AA574-AG574,9)</f>
        <v>0.982998454</v>
      </c>
      <c r="AO574" s="2" t="n">
        <f aca="false">ROUND(AB574-AH574,9)</f>
        <v>0.375579598</v>
      </c>
      <c r="AP574" s="2" t="n">
        <f aca="false">ROUND(AC574-AI574,9)</f>
        <v>0.757341577</v>
      </c>
      <c r="AQ574" s="2" t="n">
        <f aca="false">ROUND(AD574-AJ574,9)</f>
        <v>0.236476043</v>
      </c>
    </row>
    <row r="575" customFormat="false" ht="15" hidden="false" customHeight="false" outlineLevel="0" collapsed="false">
      <c r="A575" s="2" t="n">
        <v>574</v>
      </c>
      <c r="B575" s="6" t="n">
        <v>13</v>
      </c>
      <c r="C575" s="6" t="n">
        <v>41</v>
      </c>
      <c r="D575" s="8" t="str">
        <f aca="false">INDEX(Bases!$B$2:$B$53,B575)</f>
        <v>Bulbasaur</v>
      </c>
      <c r="E575" s="8" t="str">
        <f aca="false">INDEX(Bases!$B$2:$B$53,C575)</f>
        <v>Misdreavus</v>
      </c>
      <c r="F575" s="2" t="str">
        <f aca="false">LEFT(D575,ROUNDUP(LEN(D575)/2,0))&amp;LOWER(MID(E575,ROUNDUP(LEN(E575)/2,0)+1,20))</f>
        <v>Bulbaeavus</v>
      </c>
      <c r="G575" s="8" t="str">
        <f aca="false">INDEX(Bases!$C$2:$C$53,B575)</f>
        <v>Grass</v>
      </c>
      <c r="H575" s="8" t="str">
        <f aca="false">IF(INDEX(Bases!$C$2:$C$53,C575)=G575,"",INDEX(Bases!$C$2:$C$53,C575))</f>
        <v>Ghost</v>
      </c>
      <c r="I575" s="8" t="str">
        <f aca="false">IF(INDEX(Bases!$E$2:$E$53,B575)="","",INDEX(Bases!$E$2:$E$53,B575))</f>
        <v/>
      </c>
      <c r="J575" s="8" t="str">
        <f aca="false">IF(INDEX(Bases!$E$2:$E$53,C575)="","",INDEX(Bases!$E$2:$E$53,C575))</f>
        <v/>
      </c>
      <c r="K575" s="5"/>
      <c r="L575" s="2" t="n">
        <f aca="false">AE575+IF(SUMPRODUCT(--($AL575:$AQ575&gt;AL575))&lt;$AK575,1,0)</f>
        <v>69</v>
      </c>
      <c r="M575" s="2" t="n">
        <f aca="false">AF575+IF(SUMPRODUCT(--($AL575:$AQ575&gt;AM575))+SUMPRODUCT(--($AL575:AL575=AM575))&lt;$AK575,1,0)</f>
        <v>73</v>
      </c>
      <c r="N575" s="2" t="n">
        <f aca="false">AG575+IF(SUMPRODUCT(--($AL575:$AQ575&gt;AN575))+SUMPRODUCT(--($AL575:AM575=AN575))&lt;$AK575,1,0)</f>
        <v>73</v>
      </c>
      <c r="O575" s="2" t="n">
        <f aca="false">AH575+IF(SUMPRODUCT(--($AL575:$AQ575&gt;AO575))+SUMPRODUCT(--($AL575:AN575=AO575))&lt;$AK575,1,0)</f>
        <v>99</v>
      </c>
      <c r="P575" s="2" t="n">
        <f aca="false">AI575+IF(SUMPRODUCT(--($AL575:$AQ575&gt;AP575))+SUMPRODUCT(--($AL575:AO575=AP575))&lt;$AK575,1,0)</f>
        <v>99</v>
      </c>
      <c r="Q575" s="2" t="n">
        <f aca="false">AJ575+IF(SUMPRODUCT(--($AL575:$AQ575&gt;AQ575))+SUMPRODUCT(--($AL575:AP575=AQ575))&lt;$AK575,1,0)</f>
        <v>87</v>
      </c>
      <c r="R575" s="2" t="n">
        <f aca="false">SUM(L575:Q575)</f>
        <v>500</v>
      </c>
      <c r="S575" s="2" t="n">
        <f aca="false">Settings!$B$4*MAX(INDEX(Bases!$M$2:$M$53,B575),INDEX(Bases!$M$2:$M$53,C575))+Settings!$B$5*MIN(INDEX(Bases!$M$2:$M$53,B575),INDEX(Bases!$M$2:$M$53,C575))</f>
        <v>56</v>
      </c>
      <c r="T575" s="2" t="n">
        <f aca="false">Settings!$B$4*MAX(INDEX(Bases!$N$2:$N$53,B575),INDEX(Bases!$N$2:$N$53,C575))+Settings!$B$5*MIN(INDEX(Bases!$N$2:$N$53,B575),INDEX(Bases!$N$2:$N$53,C575))</f>
        <v>59.6666666666667</v>
      </c>
      <c r="U575" s="2" t="n">
        <f aca="false">Settings!$B$4*MAX(INDEX(Bases!$O$2:$O$53,B575),INDEX(Bases!$O$2:$O$53,C575))+Settings!$B$5*MIN(INDEX(Bases!$O$2:$O$53,B575),INDEX(Bases!$O$2:$O$53,C575))</f>
        <v>59.6666666666667</v>
      </c>
      <c r="V575" s="2" t="n">
        <f aca="false">Settings!$B$4*MAX(INDEX(Bases!$P$2:$P$53,B575),INDEX(Bases!$P$2:$P$53,C575))+Settings!$B$5*MIN(INDEX(Bases!$P$2:$P$53,B575),INDEX(Bases!$P$2:$P$53,C575))</f>
        <v>80.6666666666667</v>
      </c>
      <c r="W575" s="2" t="n">
        <f aca="false">Settings!$B$4*MAX(INDEX(Bases!$Q$2:$Q$53,B575),INDEX(Bases!$Q$2:$Q$53,C575))+Settings!$B$5*MIN(INDEX(Bases!$Q$2:$Q$53,B575),INDEX(Bases!$Q$2:$Q$53,C575))</f>
        <v>80.6666666666667</v>
      </c>
      <c r="X575" s="2" t="n">
        <f aca="false">Settings!$B$4*MAX(INDEX(Bases!$R$2:$R$53,B575),INDEX(Bases!$R$2:$R$53,C575))+Settings!$B$5*MIN(INDEX(Bases!$R$2:$R$53,B575),INDEX(Bases!$R$2:$R$53,C575))</f>
        <v>70.6666666666667</v>
      </c>
      <c r="Y575" s="2" t="n">
        <f aca="false">S575*Settings!$B$3/SUM(S575:X575)</f>
        <v>68.7397708674304</v>
      </c>
      <c r="Z575" s="2" t="n">
        <f aca="false">T575*Settings!$B$3/SUM(S575:X575)</f>
        <v>73.240589198036</v>
      </c>
      <c r="AA575" s="2" t="n">
        <f aca="false">U575*Settings!$B$3/SUM(S575:X575)</f>
        <v>73.240589198036</v>
      </c>
      <c r="AB575" s="2" t="n">
        <f aca="false">V575*Settings!$B$3/SUM(S575:X575)</f>
        <v>99.0180032733224</v>
      </c>
      <c r="AC575" s="2" t="n">
        <f aca="false">W575*Settings!$B$3/SUM(S575:X575)</f>
        <v>99.0180032733224</v>
      </c>
      <c r="AD575" s="2" t="n">
        <f aca="false">X575*Settings!$B$3/SUM(S575:X575)</f>
        <v>86.7430441898527</v>
      </c>
      <c r="AE575" s="2" t="n">
        <f aca="false">INT(Y575)</f>
        <v>68</v>
      </c>
      <c r="AF575" s="2" t="n">
        <f aca="false">INT(Z575)</f>
        <v>73</v>
      </c>
      <c r="AG575" s="2" t="n">
        <f aca="false">INT(AA575)</f>
        <v>73</v>
      </c>
      <c r="AH575" s="2" t="n">
        <f aca="false">INT(AB575)</f>
        <v>99</v>
      </c>
      <c r="AI575" s="2" t="n">
        <f aca="false">INT(AC575)</f>
        <v>99</v>
      </c>
      <c r="AJ575" s="2" t="n">
        <f aca="false">INT(AD575)</f>
        <v>86</v>
      </c>
      <c r="AK575" s="2" t="n">
        <f aca="false">Settings!$B$3-SUM(AE575:AJ575)</f>
        <v>2</v>
      </c>
      <c r="AL575" s="2" t="n">
        <f aca="false">ROUND(Y575-AE575,9)</f>
        <v>0.739770867</v>
      </c>
      <c r="AM575" s="2" t="n">
        <f aca="false">ROUND(Z575-AF575,9)</f>
        <v>0.240589198</v>
      </c>
      <c r="AN575" s="2" t="n">
        <f aca="false">ROUND(AA575-AG575,9)</f>
        <v>0.240589198</v>
      </c>
      <c r="AO575" s="2" t="n">
        <f aca="false">ROUND(AB575-AH575,9)</f>
        <v>0.018003273</v>
      </c>
      <c r="AP575" s="2" t="n">
        <f aca="false">ROUND(AC575-AI575,9)</f>
        <v>0.018003273</v>
      </c>
      <c r="AQ575" s="2" t="n">
        <f aca="false">ROUND(AD575-AJ575,9)</f>
        <v>0.74304419</v>
      </c>
    </row>
    <row r="576" customFormat="false" ht="15" hidden="false" customHeight="false" outlineLevel="0" collapsed="false">
      <c r="A576" s="2" t="n">
        <v>575</v>
      </c>
      <c r="B576" s="6" t="n">
        <v>13</v>
      </c>
      <c r="C576" s="6" t="n">
        <v>42</v>
      </c>
      <c r="D576" s="8" t="str">
        <f aca="false">INDEX(Bases!$B$2:$B$53,B576)</f>
        <v>Bulbasaur</v>
      </c>
      <c r="E576" s="8" t="str">
        <f aca="false">INDEX(Bases!$B$2:$B$53,C576)</f>
        <v>Sableye</v>
      </c>
      <c r="F576" s="2" t="str">
        <f aca="false">LEFT(D576,ROUNDUP(LEN(D576)/2,0))&amp;LOWER(MID(E576,ROUNDUP(LEN(E576)/2,0)+1,20))</f>
        <v>Bulbaeye</v>
      </c>
      <c r="G576" s="8" t="str">
        <f aca="false">INDEX(Bases!$C$2:$C$53,B576)</f>
        <v>Grass</v>
      </c>
      <c r="H576" s="8" t="str">
        <f aca="false">IF(INDEX(Bases!$C$2:$C$53,C576)=G576,"",INDEX(Bases!$C$2:$C$53,C576))</f>
        <v>Ghost</v>
      </c>
      <c r="I576" s="8" t="str">
        <f aca="false">IF(INDEX(Bases!$E$2:$E$53,B576)="","",INDEX(Bases!$E$2:$E$53,B576))</f>
        <v/>
      </c>
      <c r="J576" s="8" t="str">
        <f aca="false">IF(INDEX(Bases!$E$2:$E$53,C576)="","",INDEX(Bases!$E$2:$E$53,C576))</f>
        <v/>
      </c>
      <c r="K576" s="5"/>
      <c r="L576" s="2" t="n">
        <f aca="false">AE576+IF(SUMPRODUCT(--($AL576:$AQ576&gt;AL576))&lt;$AK576,1,0)</f>
        <v>67</v>
      </c>
      <c r="M576" s="2" t="n">
        <f aca="false">AF576+IF(SUMPRODUCT(--($AL576:$AQ576&gt;AM576))+SUMPRODUCT(--($AL576:AL576=AM576))&lt;$AK576,1,0)</f>
        <v>89</v>
      </c>
      <c r="N576" s="2" t="n">
        <f aca="false">AG576+IF(SUMPRODUCT(--($AL576:$AQ576&gt;AN576))+SUMPRODUCT(--($AL576:AM576=AN576))&lt;$AK576,1,0)</f>
        <v>89</v>
      </c>
      <c r="O576" s="2" t="n">
        <f aca="false">AH576+IF(SUMPRODUCT(--($AL576:$AQ576&gt;AO576))+SUMPRODUCT(--($AL576:AN576=AO576))&lt;$AK576,1,0)</f>
        <v>94</v>
      </c>
      <c r="P576" s="2" t="n">
        <f aca="false">AI576+IF(SUMPRODUCT(--($AL576:$AQ576&gt;AP576))+SUMPRODUCT(--($AL576:AO576=AP576))&lt;$AK576,1,0)</f>
        <v>94</v>
      </c>
      <c r="Q576" s="2" t="n">
        <f aca="false">AJ576+IF(SUMPRODUCT(--($AL576:$AQ576&gt;AQ576))+SUMPRODUCT(--($AL576:AP576=AQ576))&lt;$AK576,1,0)</f>
        <v>67</v>
      </c>
      <c r="R576" s="2" t="n">
        <f aca="false">SUM(L576:Q576)</f>
        <v>500</v>
      </c>
      <c r="S576" s="2" t="n">
        <f aca="false">Settings!$B$4*MAX(INDEX(Bases!$M$2:$M$53,B576),INDEX(Bases!$M$2:$M$53,C576))+Settings!$B$5*MIN(INDEX(Bases!$M$2:$M$53,B576),INDEX(Bases!$M$2:$M$53,C576))</f>
        <v>55</v>
      </c>
      <c r="T576" s="2" t="n">
        <f aca="false">Settings!$B$4*MAX(INDEX(Bases!$N$2:$N$53,B576),INDEX(Bases!$N$2:$N$53,C576))+Settings!$B$5*MIN(INDEX(Bases!$N$2:$N$53,B576),INDEX(Bases!$N$2:$N$53,C576))</f>
        <v>73.3333333333333</v>
      </c>
      <c r="U576" s="2" t="n">
        <f aca="false">Settings!$B$4*MAX(INDEX(Bases!$O$2:$O$53,B576),INDEX(Bases!$O$2:$O$53,C576))+Settings!$B$5*MIN(INDEX(Bases!$O$2:$O$53,B576),INDEX(Bases!$O$2:$O$53,C576))</f>
        <v>73.3333333333333</v>
      </c>
      <c r="V576" s="2" t="n">
        <f aca="false">Settings!$B$4*MAX(INDEX(Bases!$P$2:$P$53,B576),INDEX(Bases!$P$2:$P$53,C576))+Settings!$B$5*MIN(INDEX(Bases!$P$2:$P$53,B576),INDEX(Bases!$P$2:$P$53,C576))</f>
        <v>77.3333333333333</v>
      </c>
      <c r="W576" s="2" t="n">
        <f aca="false">Settings!$B$4*MAX(INDEX(Bases!$Q$2:$Q$53,B576),INDEX(Bases!$Q$2:$Q$53,C576))+Settings!$B$5*MIN(INDEX(Bases!$Q$2:$Q$53,B576),INDEX(Bases!$Q$2:$Q$53,C576))</f>
        <v>77.3333333333333</v>
      </c>
      <c r="X576" s="2" t="n">
        <f aca="false">Settings!$B$4*MAX(INDEX(Bases!$R$2:$R$53,B576),INDEX(Bases!$R$2:$R$53,C576))+Settings!$B$5*MIN(INDEX(Bases!$R$2:$R$53,B576),INDEX(Bases!$R$2:$R$53,C576))</f>
        <v>55</v>
      </c>
      <c r="Y576" s="2" t="n">
        <f aca="false">S576*Settings!$B$3/SUM(S576:X576)</f>
        <v>66.8557536466775</v>
      </c>
      <c r="Z576" s="2" t="n">
        <f aca="false">T576*Settings!$B$3/SUM(S576:X576)</f>
        <v>89.1410048622366</v>
      </c>
      <c r="AA576" s="2" t="n">
        <f aca="false">U576*Settings!$B$3/SUM(S576:X576)</f>
        <v>89.1410048622366</v>
      </c>
      <c r="AB576" s="2" t="n">
        <f aca="false">V576*Settings!$B$3/SUM(S576:X576)</f>
        <v>94.0032414910859</v>
      </c>
      <c r="AC576" s="2" t="n">
        <f aca="false">W576*Settings!$B$3/SUM(S576:X576)</f>
        <v>94.0032414910859</v>
      </c>
      <c r="AD576" s="2" t="n">
        <f aca="false">X576*Settings!$B$3/SUM(S576:X576)</f>
        <v>66.8557536466775</v>
      </c>
      <c r="AE576" s="2" t="n">
        <f aca="false">INT(Y576)</f>
        <v>66</v>
      </c>
      <c r="AF576" s="2" t="n">
        <f aca="false">INT(Z576)</f>
        <v>89</v>
      </c>
      <c r="AG576" s="2" t="n">
        <f aca="false">INT(AA576)</f>
        <v>89</v>
      </c>
      <c r="AH576" s="2" t="n">
        <f aca="false">INT(AB576)</f>
        <v>94</v>
      </c>
      <c r="AI576" s="2" t="n">
        <f aca="false">INT(AC576)</f>
        <v>94</v>
      </c>
      <c r="AJ576" s="2" t="n">
        <f aca="false">INT(AD576)</f>
        <v>66</v>
      </c>
      <c r="AK576" s="2" t="n">
        <f aca="false">Settings!$B$3-SUM(AE576:AJ576)</f>
        <v>2</v>
      </c>
      <c r="AL576" s="2" t="n">
        <f aca="false">ROUND(Y576-AE576,9)</f>
        <v>0.855753647</v>
      </c>
      <c r="AM576" s="2" t="n">
        <f aca="false">ROUND(Z576-AF576,9)</f>
        <v>0.141004862</v>
      </c>
      <c r="AN576" s="2" t="n">
        <f aca="false">ROUND(AA576-AG576,9)</f>
        <v>0.141004862</v>
      </c>
      <c r="AO576" s="2" t="n">
        <f aca="false">ROUND(AB576-AH576,9)</f>
        <v>0.003241491</v>
      </c>
      <c r="AP576" s="2" t="n">
        <f aca="false">ROUND(AC576-AI576,9)</f>
        <v>0.003241491</v>
      </c>
      <c r="AQ576" s="2" t="n">
        <f aca="false">ROUND(AD576-AJ576,9)</f>
        <v>0.855753647</v>
      </c>
    </row>
    <row r="577" customFormat="false" ht="15" hidden="false" customHeight="false" outlineLevel="0" collapsed="false">
      <c r="A577" s="2" t="n">
        <v>576</v>
      </c>
      <c r="B577" s="6" t="n">
        <v>13</v>
      </c>
      <c r="C577" s="6" t="n">
        <v>43</v>
      </c>
      <c r="D577" s="8" t="str">
        <f aca="false">INDEX(Bases!$B$2:$B$53,B577)</f>
        <v>Bulbasaur</v>
      </c>
      <c r="E577" s="8" t="str">
        <f aca="false">INDEX(Bases!$B$2:$B$53,C577)</f>
        <v>Dratini</v>
      </c>
      <c r="F577" s="2" t="str">
        <f aca="false">LEFT(D577,ROUNDUP(LEN(D577)/2,0))&amp;LOWER(MID(E577,ROUNDUP(LEN(E577)/2,0)+1,20))</f>
        <v>Bulbaini</v>
      </c>
      <c r="G577" s="8" t="str">
        <f aca="false">INDEX(Bases!$C$2:$C$53,B577)</f>
        <v>Grass</v>
      </c>
      <c r="H577" s="8" t="str">
        <f aca="false">IF(INDEX(Bases!$C$2:$C$53,C577)=G577,"",INDEX(Bases!$C$2:$C$53,C577))</f>
        <v>Dragon</v>
      </c>
      <c r="I577" s="8" t="str">
        <f aca="false">IF(INDEX(Bases!$E$2:$E$53,B577)="","",INDEX(Bases!$E$2:$E$53,B577))</f>
        <v/>
      </c>
      <c r="J577" s="8" t="str">
        <f aca="false">IF(INDEX(Bases!$E$2:$E$53,C577)="","",INDEX(Bases!$E$2:$E$53,C577))</f>
        <v/>
      </c>
      <c r="K577" s="5"/>
      <c r="L577" s="2" t="n">
        <f aca="false">AE577+IF(SUMPRODUCT(--($AL577:$AQ577&gt;AL577))&lt;$AK577,1,0)</f>
        <v>68</v>
      </c>
      <c r="M577" s="2" t="n">
        <f aca="false">AF577+IF(SUMPRODUCT(--($AL577:$AQ577&gt;AM577))+SUMPRODUCT(--($AL577:AL577=AM577))&lt;$AK577,1,0)</f>
        <v>94</v>
      </c>
      <c r="N577" s="2" t="n">
        <f aca="false">AG577+IF(SUMPRODUCT(--($AL577:$AQ577&gt;AN577))+SUMPRODUCT(--($AL577:AM577=AN577))&lt;$AK577,1,0)</f>
        <v>74</v>
      </c>
      <c r="O577" s="2" t="n">
        <f aca="false">AH577+IF(SUMPRODUCT(--($AL577:$AQ577&gt;AO577))+SUMPRODUCT(--($AL577:AN577=AO577))&lt;$AK577,1,0)</f>
        <v>94</v>
      </c>
      <c r="P577" s="2" t="n">
        <f aca="false">AI577+IF(SUMPRODUCT(--($AL577:$AQ577&gt;AP577))+SUMPRODUCT(--($AL577:AO577=AP577))&lt;$AK577,1,0)</f>
        <v>94</v>
      </c>
      <c r="Q577" s="2" t="n">
        <f aca="false">AJ577+IF(SUMPRODUCT(--($AL577:$AQ577&gt;AQ577))+SUMPRODUCT(--($AL577:AP577=AQ577))&lt;$AK577,1,0)</f>
        <v>76</v>
      </c>
      <c r="R577" s="2" t="n">
        <f aca="false">SUM(L577:Q577)</f>
        <v>500</v>
      </c>
      <c r="S577" s="2" t="n">
        <f aca="false">Settings!$B$4*MAX(INDEX(Bases!$M$2:$M$53,B577),INDEX(Bases!$M$2:$M$53,C577))+Settings!$B$5*MIN(INDEX(Bases!$M$2:$M$53,B577),INDEX(Bases!$M$2:$M$53,C577))</f>
        <v>55.6666666666667</v>
      </c>
      <c r="T577" s="2" t="n">
        <f aca="false">Settings!$B$4*MAX(INDEX(Bases!$N$2:$N$53,B577),INDEX(Bases!$N$2:$N$53,C577))+Settings!$B$5*MIN(INDEX(Bases!$N$2:$N$53,B577),INDEX(Bases!$N$2:$N$53,C577))</f>
        <v>77.3333333333333</v>
      </c>
      <c r="U577" s="2" t="n">
        <f aca="false">Settings!$B$4*MAX(INDEX(Bases!$O$2:$O$53,B577),INDEX(Bases!$O$2:$O$53,C577))+Settings!$B$5*MIN(INDEX(Bases!$O$2:$O$53,B577),INDEX(Bases!$O$2:$O$53,C577))</f>
        <v>61.3333333333333</v>
      </c>
      <c r="V577" s="2" t="n">
        <f aca="false">Settings!$B$4*MAX(INDEX(Bases!$P$2:$P$53,B577),INDEX(Bases!$P$2:$P$53,C577))+Settings!$B$5*MIN(INDEX(Bases!$P$2:$P$53,B577),INDEX(Bases!$P$2:$P$53,C577))</f>
        <v>77</v>
      </c>
      <c r="W577" s="2" t="n">
        <f aca="false">Settings!$B$4*MAX(INDEX(Bases!$Q$2:$Q$53,B577),INDEX(Bases!$Q$2:$Q$53,C577))+Settings!$B$5*MIN(INDEX(Bases!$Q$2:$Q$53,B577),INDEX(Bases!$Q$2:$Q$53,C577))</f>
        <v>77</v>
      </c>
      <c r="X577" s="2" t="n">
        <f aca="false">Settings!$B$4*MAX(INDEX(Bases!$R$2:$R$53,B577),INDEX(Bases!$R$2:$R$53,C577))+Settings!$B$5*MIN(INDEX(Bases!$R$2:$R$53,B577),INDEX(Bases!$R$2:$R$53,C577))</f>
        <v>62.6666666666667</v>
      </c>
      <c r="Y577" s="2" t="n">
        <f aca="false">S577*Settings!$B$3/SUM(S577:X577)</f>
        <v>67.7210056772101</v>
      </c>
      <c r="Z577" s="2" t="n">
        <f aca="false">T577*Settings!$B$3/SUM(S577:X577)</f>
        <v>94.0794809407948</v>
      </c>
      <c r="AA577" s="2" t="n">
        <f aca="false">U577*Settings!$B$3/SUM(S577:X577)</f>
        <v>74.6147607461476</v>
      </c>
      <c r="AB577" s="2" t="n">
        <f aca="false">V577*Settings!$B$3/SUM(S577:X577)</f>
        <v>93.6739659367397</v>
      </c>
      <c r="AC577" s="2" t="n">
        <f aca="false">W577*Settings!$B$3/SUM(S577:X577)</f>
        <v>93.6739659367397</v>
      </c>
      <c r="AD577" s="2" t="n">
        <f aca="false">X577*Settings!$B$3/SUM(S577:X577)</f>
        <v>76.2368207623682</v>
      </c>
      <c r="AE577" s="2" t="n">
        <f aca="false">INT(Y577)</f>
        <v>67</v>
      </c>
      <c r="AF577" s="2" t="n">
        <f aca="false">INT(Z577)</f>
        <v>94</v>
      </c>
      <c r="AG577" s="2" t="n">
        <f aca="false">INT(AA577)</f>
        <v>74</v>
      </c>
      <c r="AH577" s="2" t="n">
        <f aca="false">INT(AB577)</f>
        <v>93</v>
      </c>
      <c r="AI577" s="2" t="n">
        <f aca="false">INT(AC577)</f>
        <v>93</v>
      </c>
      <c r="AJ577" s="2" t="n">
        <f aca="false">INT(AD577)</f>
        <v>76</v>
      </c>
      <c r="AK577" s="2" t="n">
        <f aca="false">Settings!$B$3-SUM(AE577:AJ577)</f>
        <v>3</v>
      </c>
      <c r="AL577" s="2" t="n">
        <f aca="false">ROUND(Y577-AE577,9)</f>
        <v>0.721005677</v>
      </c>
      <c r="AM577" s="2" t="n">
        <f aca="false">ROUND(Z577-AF577,9)</f>
        <v>0.079480941</v>
      </c>
      <c r="AN577" s="2" t="n">
        <f aca="false">ROUND(AA577-AG577,9)</f>
        <v>0.614760746</v>
      </c>
      <c r="AO577" s="2" t="n">
        <f aca="false">ROUND(AB577-AH577,9)</f>
        <v>0.673965937</v>
      </c>
      <c r="AP577" s="2" t="n">
        <f aca="false">ROUND(AC577-AI577,9)</f>
        <v>0.673965937</v>
      </c>
      <c r="AQ577" s="2" t="n">
        <f aca="false">ROUND(AD577-AJ577,9)</f>
        <v>0.236820762</v>
      </c>
    </row>
    <row r="578" customFormat="false" ht="15" hidden="false" customHeight="false" outlineLevel="0" collapsed="false">
      <c r="A578" s="2" t="n">
        <v>577</v>
      </c>
      <c r="B578" s="6" t="n">
        <v>13</v>
      </c>
      <c r="C578" s="6" t="n">
        <v>44</v>
      </c>
      <c r="D578" s="8" t="str">
        <f aca="false">INDEX(Bases!$B$2:$B$53,B578)</f>
        <v>Bulbasaur</v>
      </c>
      <c r="E578" s="8" t="str">
        <f aca="false">INDEX(Bases!$B$2:$B$53,C578)</f>
        <v>Bagon</v>
      </c>
      <c r="F578" s="2" t="str">
        <f aca="false">LEFT(D578,ROUNDUP(LEN(D578)/2,0))&amp;LOWER(MID(E578,ROUNDUP(LEN(E578)/2,0)+1,20))</f>
        <v>Bulbaon</v>
      </c>
      <c r="G578" s="8" t="str">
        <f aca="false">INDEX(Bases!$C$2:$C$53,B578)</f>
        <v>Grass</v>
      </c>
      <c r="H578" s="8" t="str">
        <f aca="false">IF(INDEX(Bases!$C$2:$C$53,C578)=G578,"",INDEX(Bases!$C$2:$C$53,C578))</f>
        <v>Dragon</v>
      </c>
      <c r="I578" s="8" t="str">
        <f aca="false">IF(INDEX(Bases!$E$2:$E$53,B578)="","",INDEX(Bases!$E$2:$E$53,B578))</f>
        <v/>
      </c>
      <c r="J578" s="8" t="str">
        <f aca="false">IF(INDEX(Bases!$E$2:$E$53,C578)="","",INDEX(Bases!$E$2:$E$53,C578))</f>
        <v/>
      </c>
      <c r="K578" s="5"/>
      <c r="L578" s="2" t="n">
        <f aca="false">AE578+IF(SUMPRODUCT(--($AL578:$AQ578&gt;AL578))&lt;$AK578,1,0)</f>
        <v>69</v>
      </c>
      <c r="M578" s="2" t="n">
        <f aca="false">AF578+IF(SUMPRODUCT(--($AL578:$AQ578&gt;AM578))+SUMPRODUCT(--($AL578:AL578=AM578))&lt;$AK578,1,0)</f>
        <v>103</v>
      </c>
      <c r="N578" s="2" t="n">
        <f aca="false">AG578+IF(SUMPRODUCT(--($AL578:$AQ578&gt;AN578))+SUMPRODUCT(--($AL578:AM578=AN578))&lt;$AK578,1,0)</f>
        <v>87</v>
      </c>
      <c r="O578" s="2" t="n">
        <f aca="false">AH578+IF(SUMPRODUCT(--($AL578:$AQ578&gt;AO578))+SUMPRODUCT(--($AL578:AN578=AO578))&lt;$AK578,1,0)</f>
        <v>86</v>
      </c>
      <c r="P578" s="2" t="n">
        <f aca="false">AI578+IF(SUMPRODUCT(--($AL578:$AQ578&gt;AP578))+SUMPRODUCT(--($AL578:AO578=AP578))&lt;$AK578,1,0)</f>
        <v>80</v>
      </c>
      <c r="Q578" s="2" t="n">
        <f aca="false">AJ578+IF(SUMPRODUCT(--($AL578:$AQ578&gt;AQ578))+SUMPRODUCT(--($AL578:AP578=AQ578))&lt;$AK578,1,0)</f>
        <v>75</v>
      </c>
      <c r="R578" s="2" t="n">
        <f aca="false">SUM(L578:Q578)</f>
        <v>500</v>
      </c>
      <c r="S578" s="2" t="n">
        <f aca="false">Settings!$B$4*MAX(INDEX(Bases!$M$2:$M$53,B578),INDEX(Bases!$M$2:$M$53,C578))+Settings!$B$5*MIN(INDEX(Bases!$M$2:$M$53,B578),INDEX(Bases!$M$2:$M$53,C578))</f>
        <v>58.6666666666667</v>
      </c>
      <c r="T578" s="2" t="n">
        <f aca="false">Settings!$B$4*MAX(INDEX(Bases!$N$2:$N$53,B578),INDEX(Bases!$N$2:$N$53,C578))+Settings!$B$5*MIN(INDEX(Bases!$N$2:$N$53,B578),INDEX(Bases!$N$2:$N$53,C578))</f>
        <v>87.3333333333333</v>
      </c>
      <c r="U578" s="2" t="n">
        <f aca="false">Settings!$B$4*MAX(INDEX(Bases!$O$2:$O$53,B578),INDEX(Bases!$O$2:$O$53,C578))+Settings!$B$5*MIN(INDEX(Bases!$O$2:$O$53,B578),INDEX(Bases!$O$2:$O$53,C578))</f>
        <v>74</v>
      </c>
      <c r="V578" s="2" t="n">
        <f aca="false">Settings!$B$4*MAX(INDEX(Bases!$P$2:$P$53,B578),INDEX(Bases!$P$2:$P$53,C578))+Settings!$B$5*MIN(INDEX(Bases!$P$2:$P$53,B578),INDEX(Bases!$P$2:$P$53,C578))</f>
        <v>72.3333333333333</v>
      </c>
      <c r="W578" s="2" t="n">
        <f aca="false">Settings!$B$4*MAX(INDEX(Bases!$Q$2:$Q$53,B578),INDEX(Bases!$Q$2:$Q$53,C578))+Settings!$B$5*MIN(INDEX(Bases!$Q$2:$Q$53,B578),INDEX(Bases!$Q$2:$Q$53,C578))</f>
        <v>68</v>
      </c>
      <c r="X578" s="2" t="n">
        <f aca="false">Settings!$B$4*MAX(INDEX(Bases!$R$2:$R$53,B578),INDEX(Bases!$R$2:$R$53,C578))+Settings!$B$5*MIN(INDEX(Bases!$R$2:$R$53,B578),INDEX(Bases!$R$2:$R$53,C578))</f>
        <v>63.3333333333333</v>
      </c>
      <c r="Y578" s="2" t="n">
        <f aca="false">S578*Settings!$B$3/SUM(S578:X578)</f>
        <v>69.2368214004721</v>
      </c>
      <c r="Z578" s="2" t="n">
        <f aca="false">T578*Settings!$B$3/SUM(S578:X578)</f>
        <v>103.068450039339</v>
      </c>
      <c r="AA578" s="2" t="n">
        <f aca="false">U578*Settings!$B$3/SUM(S578:X578)</f>
        <v>87.3328088119591</v>
      </c>
      <c r="AB578" s="2" t="n">
        <f aca="false">V578*Settings!$B$3/SUM(S578:X578)</f>
        <v>85.3658536585366</v>
      </c>
      <c r="AC578" s="2" t="n">
        <f aca="false">W578*Settings!$B$3/SUM(S578:X578)</f>
        <v>80.2517702596381</v>
      </c>
      <c r="AD578" s="2" t="n">
        <f aca="false">X578*Settings!$B$3/SUM(S578:X578)</f>
        <v>74.7442958300551</v>
      </c>
      <c r="AE578" s="2" t="n">
        <f aca="false">INT(Y578)</f>
        <v>69</v>
      </c>
      <c r="AF578" s="2" t="n">
        <f aca="false">INT(Z578)</f>
        <v>103</v>
      </c>
      <c r="AG578" s="2" t="n">
        <f aca="false">INT(AA578)</f>
        <v>87</v>
      </c>
      <c r="AH578" s="2" t="n">
        <f aca="false">INT(AB578)</f>
        <v>85</v>
      </c>
      <c r="AI578" s="2" t="n">
        <f aca="false">INT(AC578)</f>
        <v>80</v>
      </c>
      <c r="AJ578" s="2" t="n">
        <f aca="false">INT(AD578)</f>
        <v>74</v>
      </c>
      <c r="AK578" s="2" t="n">
        <f aca="false">Settings!$B$3-SUM(AE578:AJ578)</f>
        <v>2</v>
      </c>
      <c r="AL578" s="2" t="n">
        <f aca="false">ROUND(Y578-AE578,9)</f>
        <v>0.2368214</v>
      </c>
      <c r="AM578" s="2" t="n">
        <f aca="false">ROUND(Z578-AF578,9)</f>
        <v>0.068450039</v>
      </c>
      <c r="AN578" s="2" t="n">
        <f aca="false">ROUND(AA578-AG578,9)</f>
        <v>0.332808812</v>
      </c>
      <c r="AO578" s="2" t="n">
        <f aca="false">ROUND(AB578-AH578,9)</f>
        <v>0.365853659</v>
      </c>
      <c r="AP578" s="2" t="n">
        <f aca="false">ROUND(AC578-AI578,9)</f>
        <v>0.25177026</v>
      </c>
      <c r="AQ578" s="2" t="n">
        <f aca="false">ROUND(AD578-AJ578,9)</f>
        <v>0.74429583</v>
      </c>
    </row>
    <row r="579" customFormat="false" ht="15" hidden="false" customHeight="false" outlineLevel="0" collapsed="false">
      <c r="A579" s="2" t="n">
        <v>578</v>
      </c>
      <c r="B579" s="6" t="n">
        <v>13</v>
      </c>
      <c r="C579" s="6" t="n">
        <v>45</v>
      </c>
      <c r="D579" s="8" t="str">
        <f aca="false">INDEX(Bases!$B$2:$B$53,B579)</f>
        <v>Bulbasaur</v>
      </c>
      <c r="E579" s="8" t="str">
        <f aca="false">INDEX(Bases!$B$2:$B$53,C579)</f>
        <v>Sneasel</v>
      </c>
      <c r="F579" s="2" t="str">
        <f aca="false">LEFT(D579,ROUNDUP(LEN(D579)/2,0))&amp;LOWER(MID(E579,ROUNDUP(LEN(E579)/2,0)+1,20))</f>
        <v>Bulbasel</v>
      </c>
      <c r="G579" s="8" t="str">
        <f aca="false">INDEX(Bases!$C$2:$C$53,B579)</f>
        <v>Grass</v>
      </c>
      <c r="H579" s="8" t="str">
        <f aca="false">IF(INDEX(Bases!$C$2:$C$53,C579)=G579,"",INDEX(Bases!$C$2:$C$53,C579))</f>
        <v>Dark</v>
      </c>
      <c r="I579" s="8" t="str">
        <f aca="false">IF(INDEX(Bases!$E$2:$E$53,B579)="","",INDEX(Bases!$E$2:$E$53,B579))</f>
        <v/>
      </c>
      <c r="J579" s="8" t="str">
        <f aca="false">IF(INDEX(Bases!$E$2:$E$53,C579)="","",INDEX(Bases!$E$2:$E$53,C579))</f>
        <v/>
      </c>
      <c r="K579" s="5"/>
      <c r="L579" s="2" t="n">
        <f aca="false">AE579+IF(SUMPRODUCT(--($AL579:$AQ579&gt;AL579))&lt;$AK579,1,0)</f>
        <v>64</v>
      </c>
      <c r="M579" s="2" t="n">
        <f aca="false">AF579+IF(SUMPRODUCT(--($AL579:$AQ579&gt;AM579))+SUMPRODUCT(--($AL579:AL579=AM579))&lt;$AK579,1,0)</f>
        <v>93</v>
      </c>
      <c r="N579" s="2" t="n">
        <f aca="false">AG579+IF(SUMPRODUCT(--($AL579:$AQ579&gt;AN579))+SUMPRODUCT(--($AL579:AM579=AN579))&lt;$AK579,1,0)</f>
        <v>68</v>
      </c>
      <c r="O579" s="2" t="n">
        <f aca="false">AH579+IF(SUMPRODUCT(--($AL579:$AQ579&gt;AO579))+SUMPRODUCT(--($AL579:AN579=AO579))&lt;$AK579,1,0)</f>
        <v>77</v>
      </c>
      <c r="P579" s="2" t="n">
        <f aca="false">AI579+IF(SUMPRODUCT(--($AL579:$AQ579&gt;AP579))+SUMPRODUCT(--($AL579:AO579=AP579))&lt;$AK579,1,0)</f>
        <v>92</v>
      </c>
      <c r="Q579" s="2" t="n">
        <f aca="false">AJ579+IF(SUMPRODUCT(--($AL579:$AQ579&gt;AQ579))+SUMPRODUCT(--($AL579:AP579=AQ579))&lt;$AK579,1,0)</f>
        <v>106</v>
      </c>
      <c r="R579" s="2" t="n">
        <f aca="false">SUM(L579:Q579)</f>
        <v>500</v>
      </c>
      <c r="S579" s="2" t="n">
        <f aca="false">Settings!$B$4*MAX(INDEX(Bases!$M$2:$M$53,B579),INDEX(Bases!$M$2:$M$53,C579))+Settings!$B$5*MIN(INDEX(Bases!$M$2:$M$53,B579),INDEX(Bases!$M$2:$M$53,C579))</f>
        <v>54.3333333333333</v>
      </c>
      <c r="T579" s="2" t="n">
        <f aca="false">Settings!$B$4*MAX(INDEX(Bases!$N$2:$N$53,B579),INDEX(Bases!$N$2:$N$53,C579))+Settings!$B$5*MIN(INDEX(Bases!$N$2:$N$53,B579),INDEX(Bases!$N$2:$N$53,C579))</f>
        <v>79.3333333333333</v>
      </c>
      <c r="U579" s="2" t="n">
        <f aca="false">Settings!$B$4*MAX(INDEX(Bases!$O$2:$O$53,B579),INDEX(Bases!$O$2:$O$53,C579))+Settings!$B$5*MIN(INDEX(Bases!$O$2:$O$53,B579),INDEX(Bases!$O$2:$O$53,C579))</f>
        <v>58.3333333333333</v>
      </c>
      <c r="V579" s="2" t="n">
        <f aca="false">Settings!$B$4*MAX(INDEX(Bases!$P$2:$P$53,B579),INDEX(Bases!$P$2:$P$53,C579))+Settings!$B$5*MIN(INDEX(Bases!$P$2:$P$53,B579),INDEX(Bases!$P$2:$P$53,C579))</f>
        <v>65.6666666666667</v>
      </c>
      <c r="W579" s="2" t="n">
        <f aca="false">Settings!$B$4*MAX(INDEX(Bases!$Q$2:$Q$53,B579),INDEX(Bases!$Q$2:$Q$53,C579))+Settings!$B$5*MIN(INDEX(Bases!$Q$2:$Q$53,B579),INDEX(Bases!$Q$2:$Q$53,C579))</f>
        <v>78</v>
      </c>
      <c r="X579" s="2" t="n">
        <f aca="false">Settings!$B$4*MAX(INDEX(Bases!$R$2:$R$53,B579),INDEX(Bases!$R$2:$R$53,C579))+Settings!$B$5*MIN(INDEX(Bases!$R$2:$R$53,B579),INDEX(Bases!$R$2:$R$53,C579))</f>
        <v>90</v>
      </c>
      <c r="Y579" s="2" t="n">
        <f aca="false">S579*Settings!$B$3/SUM(S579:X579)</f>
        <v>63.8214565387627</v>
      </c>
      <c r="Z579" s="2" t="n">
        <f aca="false">T579*Settings!$B$3/SUM(S579:X579)</f>
        <v>93.1871574001566</v>
      </c>
      <c r="AA579" s="2" t="n">
        <f aca="false">U579*Settings!$B$3/SUM(S579:X579)</f>
        <v>68.5199686765858</v>
      </c>
      <c r="AB579" s="2" t="n">
        <f aca="false">V579*Settings!$B$3/SUM(S579:X579)</f>
        <v>77.133907595928</v>
      </c>
      <c r="AC579" s="2" t="n">
        <f aca="false">W579*Settings!$B$3/SUM(S579:X579)</f>
        <v>91.620986687549</v>
      </c>
      <c r="AD579" s="2" t="n">
        <f aca="false">X579*Settings!$B$3/SUM(S579:X579)</f>
        <v>105.716523101018</v>
      </c>
      <c r="AE579" s="2" t="n">
        <f aca="false">INT(Y579)</f>
        <v>63</v>
      </c>
      <c r="AF579" s="2" t="n">
        <f aca="false">INT(Z579)</f>
        <v>93</v>
      </c>
      <c r="AG579" s="2" t="n">
        <f aca="false">INT(AA579)</f>
        <v>68</v>
      </c>
      <c r="AH579" s="2" t="n">
        <f aca="false">INT(AB579)</f>
        <v>77</v>
      </c>
      <c r="AI579" s="2" t="n">
        <f aca="false">INT(AC579)</f>
        <v>91</v>
      </c>
      <c r="AJ579" s="2" t="n">
        <f aca="false">INT(AD579)</f>
        <v>105</v>
      </c>
      <c r="AK579" s="2" t="n">
        <f aca="false">Settings!$B$3-SUM(AE579:AJ579)</f>
        <v>3</v>
      </c>
      <c r="AL579" s="2" t="n">
        <f aca="false">ROUND(Y579-AE579,9)</f>
        <v>0.821456539</v>
      </c>
      <c r="AM579" s="2" t="n">
        <f aca="false">ROUND(Z579-AF579,9)</f>
        <v>0.1871574</v>
      </c>
      <c r="AN579" s="2" t="n">
        <f aca="false">ROUND(AA579-AG579,9)</f>
        <v>0.519968677</v>
      </c>
      <c r="AO579" s="2" t="n">
        <f aca="false">ROUND(AB579-AH579,9)</f>
        <v>0.133907596</v>
      </c>
      <c r="AP579" s="2" t="n">
        <f aca="false">ROUND(AC579-AI579,9)</f>
        <v>0.620986688</v>
      </c>
      <c r="AQ579" s="2" t="n">
        <f aca="false">ROUND(AD579-AJ579,9)</f>
        <v>0.716523101</v>
      </c>
    </row>
    <row r="580" customFormat="false" ht="15" hidden="false" customHeight="false" outlineLevel="0" collapsed="false">
      <c r="A580" s="2" t="n">
        <v>579</v>
      </c>
      <c r="B580" s="6" t="n">
        <v>13</v>
      </c>
      <c r="C580" s="6" t="n">
        <v>46</v>
      </c>
      <c r="D580" s="8" t="str">
        <f aca="false">INDEX(Bases!$B$2:$B$53,B580)</f>
        <v>Bulbasaur</v>
      </c>
      <c r="E580" s="8" t="str">
        <f aca="false">INDEX(Bases!$B$2:$B$53,C580)</f>
        <v>Houndour</v>
      </c>
      <c r="F580" s="2" t="str">
        <f aca="false">LEFT(D580,ROUNDUP(LEN(D580)/2,0))&amp;LOWER(MID(E580,ROUNDUP(LEN(E580)/2,0)+1,20))</f>
        <v>Bulbadour</v>
      </c>
      <c r="G580" s="8" t="str">
        <f aca="false">INDEX(Bases!$C$2:$C$53,B580)</f>
        <v>Grass</v>
      </c>
      <c r="H580" s="8" t="str">
        <f aca="false">IF(INDEX(Bases!$C$2:$C$53,C580)=G580,"",INDEX(Bases!$C$2:$C$53,C580))</f>
        <v>Dark</v>
      </c>
      <c r="I580" s="8" t="str">
        <f aca="false">IF(INDEX(Bases!$E$2:$E$53,B580)="","",INDEX(Bases!$E$2:$E$53,B580))</f>
        <v/>
      </c>
      <c r="J580" s="8" t="str">
        <f aca="false">IF(INDEX(Bases!$E$2:$E$53,C580)="","",INDEX(Bases!$E$2:$E$53,C580))</f>
        <v/>
      </c>
      <c r="K580" s="5"/>
      <c r="L580" s="2" t="n">
        <f aca="false">AE580+IF(SUMPRODUCT(--($AL580:$AQ580&gt;AL580))&lt;$AK580,1,0)</f>
        <v>66</v>
      </c>
      <c r="M580" s="2" t="n">
        <f aca="false">AF580+IF(SUMPRODUCT(--($AL580:$AQ580&gt;AM580))+SUMPRODUCT(--($AL580:AL580=AM580))&lt;$AK580,1,0)</f>
        <v>83</v>
      </c>
      <c r="N580" s="2" t="n">
        <f aca="false">AG580+IF(SUMPRODUCT(--($AL580:$AQ580&gt;AN580))+SUMPRODUCT(--($AL580:AM580=AN580))&lt;$AK580,1,0)</f>
        <v>64</v>
      </c>
      <c r="O580" s="2" t="n">
        <f aca="false">AH580+IF(SUMPRODUCT(--($AL580:$AQ580&gt;AO580))+SUMPRODUCT(--($AL580:AN580=AO580))&lt;$AK580,1,0)</f>
        <v>111</v>
      </c>
      <c r="P580" s="2" t="n">
        <f aca="false">AI580+IF(SUMPRODUCT(--($AL580:$AQ580&gt;AP580))+SUMPRODUCT(--($AL580:AO580=AP580))&lt;$AK580,1,0)</f>
        <v>90</v>
      </c>
      <c r="Q580" s="2" t="n">
        <f aca="false">AJ580+IF(SUMPRODUCT(--($AL580:$AQ580&gt;AQ580))+SUMPRODUCT(--($AL580:AP580=AQ580))&lt;$AK580,1,0)</f>
        <v>86</v>
      </c>
      <c r="R580" s="2" t="n">
        <f aca="false">SUM(L580:Q580)</f>
        <v>500</v>
      </c>
      <c r="S580" s="2" t="n">
        <f aca="false">Settings!$B$4*MAX(INDEX(Bases!$M$2:$M$53,B580),INDEX(Bases!$M$2:$M$53,C580))+Settings!$B$5*MIN(INDEX(Bases!$M$2:$M$53,B580),INDEX(Bases!$M$2:$M$53,C580))</f>
        <v>55.3333333333333</v>
      </c>
      <c r="T580" s="2" t="n">
        <f aca="false">Settings!$B$4*MAX(INDEX(Bases!$N$2:$N$53,B580),INDEX(Bases!$N$2:$N$53,C580))+Settings!$B$5*MIN(INDEX(Bases!$N$2:$N$53,B580),INDEX(Bases!$N$2:$N$53,C580))</f>
        <v>69.3333333333333</v>
      </c>
      <c r="U580" s="2" t="n">
        <f aca="false">Settings!$B$4*MAX(INDEX(Bases!$O$2:$O$53,B580),INDEX(Bases!$O$2:$O$53,C580))+Settings!$B$5*MIN(INDEX(Bases!$O$2:$O$53,B580),INDEX(Bases!$O$2:$O$53,C580))</f>
        <v>53.3333333333333</v>
      </c>
      <c r="V580" s="2" t="n">
        <f aca="false">Settings!$B$4*MAX(INDEX(Bases!$P$2:$P$53,B580),INDEX(Bases!$P$2:$P$53,C580))+Settings!$B$5*MIN(INDEX(Bases!$P$2:$P$53,B580),INDEX(Bases!$P$2:$P$53,C580))</f>
        <v>92</v>
      </c>
      <c r="W580" s="2" t="n">
        <f aca="false">Settings!$B$4*MAX(INDEX(Bases!$Q$2:$Q$53,B580),INDEX(Bases!$Q$2:$Q$53,C580))+Settings!$B$5*MIN(INDEX(Bases!$Q$2:$Q$53,B580),INDEX(Bases!$Q$2:$Q$53,C580))</f>
        <v>75</v>
      </c>
      <c r="X580" s="2" t="n">
        <f aca="false">Settings!$B$4*MAX(INDEX(Bases!$R$2:$R$53,B580),INDEX(Bases!$R$2:$R$53,C580))+Settings!$B$5*MIN(INDEX(Bases!$R$2:$R$53,B580),INDEX(Bases!$R$2:$R$53,C580))</f>
        <v>71.3333333333333</v>
      </c>
      <c r="Y580" s="2" t="n">
        <f aca="false">S580*Settings!$B$3/SUM(S580:X580)</f>
        <v>66.453162530024</v>
      </c>
      <c r="Z580" s="2" t="n">
        <f aca="false">T580*Settings!$B$3/SUM(S580:X580)</f>
        <v>83.2666132906325</v>
      </c>
      <c r="AA580" s="2" t="n">
        <f aca="false">U580*Settings!$B$3/SUM(S580:X580)</f>
        <v>64.0512409927942</v>
      </c>
      <c r="AB580" s="2" t="n">
        <f aca="false">V580*Settings!$B$3/SUM(S580:X580)</f>
        <v>110.48839071257</v>
      </c>
      <c r="AC580" s="2" t="n">
        <f aca="false">W580*Settings!$B$3/SUM(S580:X580)</f>
        <v>90.0720576461169</v>
      </c>
      <c r="AD580" s="2" t="n">
        <f aca="false">X580*Settings!$B$3/SUM(S580:X580)</f>
        <v>85.6685348278623</v>
      </c>
      <c r="AE580" s="2" t="n">
        <f aca="false">INT(Y580)</f>
        <v>66</v>
      </c>
      <c r="AF580" s="2" t="n">
        <f aca="false">INT(Z580)</f>
        <v>83</v>
      </c>
      <c r="AG580" s="2" t="n">
        <f aca="false">INT(AA580)</f>
        <v>64</v>
      </c>
      <c r="AH580" s="2" t="n">
        <f aca="false">INT(AB580)</f>
        <v>110</v>
      </c>
      <c r="AI580" s="2" t="n">
        <f aca="false">INT(AC580)</f>
        <v>90</v>
      </c>
      <c r="AJ580" s="2" t="n">
        <f aca="false">INT(AD580)</f>
        <v>85</v>
      </c>
      <c r="AK580" s="2" t="n">
        <f aca="false">Settings!$B$3-SUM(AE580:AJ580)</f>
        <v>2</v>
      </c>
      <c r="AL580" s="2" t="n">
        <f aca="false">ROUND(Y580-AE580,9)</f>
        <v>0.45316253</v>
      </c>
      <c r="AM580" s="2" t="n">
        <f aca="false">ROUND(Z580-AF580,9)</f>
        <v>0.266613291</v>
      </c>
      <c r="AN580" s="2" t="n">
        <f aca="false">ROUND(AA580-AG580,9)</f>
        <v>0.051240993</v>
      </c>
      <c r="AO580" s="2" t="n">
        <f aca="false">ROUND(AB580-AH580,9)</f>
        <v>0.488390713</v>
      </c>
      <c r="AP580" s="2" t="n">
        <f aca="false">ROUND(AC580-AI580,9)</f>
        <v>0.072057646</v>
      </c>
      <c r="AQ580" s="2" t="n">
        <f aca="false">ROUND(AD580-AJ580,9)</f>
        <v>0.668534828</v>
      </c>
    </row>
    <row r="581" customFormat="false" ht="15" hidden="false" customHeight="false" outlineLevel="0" collapsed="false">
      <c r="A581" s="2" t="n">
        <v>580</v>
      </c>
      <c r="B581" s="6" t="n">
        <v>13</v>
      </c>
      <c r="C581" s="6" t="n">
        <v>47</v>
      </c>
      <c r="D581" s="8" t="str">
        <f aca="false">INDEX(Bases!$B$2:$B$53,B581)</f>
        <v>Bulbasaur</v>
      </c>
      <c r="E581" s="8" t="str">
        <f aca="false">INDEX(Bases!$B$2:$B$53,C581)</f>
        <v>Carvanha</v>
      </c>
      <c r="F581" s="2" t="str">
        <f aca="false">LEFT(D581,ROUNDUP(LEN(D581)/2,0))&amp;LOWER(MID(E581,ROUNDUP(LEN(E581)/2,0)+1,20))</f>
        <v>Bulbaanha</v>
      </c>
      <c r="G581" s="8" t="str">
        <f aca="false">INDEX(Bases!$C$2:$C$53,B581)</f>
        <v>Grass</v>
      </c>
      <c r="H581" s="8" t="str">
        <f aca="false">IF(INDEX(Bases!$C$2:$C$53,C581)=G581,"",INDEX(Bases!$C$2:$C$53,C581))</f>
        <v>Dark</v>
      </c>
      <c r="I581" s="8" t="str">
        <f aca="false">IF(INDEX(Bases!$E$2:$E$53,B581)="","",INDEX(Bases!$E$2:$E$53,B581))</f>
        <v/>
      </c>
      <c r="J581" s="8" t="str">
        <f aca="false">IF(INDEX(Bases!$E$2:$E$53,C581)="","",INDEX(Bases!$E$2:$E$53,C581))</f>
        <v/>
      </c>
      <c r="K581" s="5"/>
      <c r="L581" s="2" t="n">
        <f aca="false">AE581+IF(SUMPRODUCT(--($AL581:$AQ581&gt;AL581))&lt;$AK581,1,0)</f>
        <v>67</v>
      </c>
      <c r="M581" s="2" t="n">
        <f aca="false">AF581+IF(SUMPRODUCT(--($AL581:$AQ581&gt;AM581))+SUMPRODUCT(--($AL581:AL581=AM581))&lt;$AK581,1,0)</f>
        <v>115</v>
      </c>
      <c r="N581" s="2" t="n">
        <f aca="false">AG581+IF(SUMPRODUCT(--($AL581:$AQ581&gt;AN581))+SUMPRODUCT(--($AL581:AM581=AN581))&lt;$AK581,1,0)</f>
        <v>58</v>
      </c>
      <c r="O581" s="2" t="n">
        <f aca="false">AH581+IF(SUMPRODUCT(--($AL581:$AQ581&gt;AO581))+SUMPRODUCT(--($AL581:AN581=AO581))&lt;$AK581,1,0)</f>
        <v>98</v>
      </c>
      <c r="P581" s="2" t="n">
        <f aca="false">AI581+IF(SUMPRODUCT(--($AL581:$AQ581&gt;AP581))+SUMPRODUCT(--($AL581:AO581=AP581))&lt;$AK581,1,0)</f>
        <v>74</v>
      </c>
      <c r="Q581" s="2" t="n">
        <f aca="false">AJ581+IF(SUMPRODUCT(--($AL581:$AQ581&gt;AQ581))+SUMPRODUCT(--($AL581:AP581=AQ581))&lt;$AK581,1,0)</f>
        <v>88</v>
      </c>
      <c r="R581" s="2" t="n">
        <f aca="false">SUM(L581:Q581)</f>
        <v>500</v>
      </c>
      <c r="S581" s="2" t="n">
        <f aca="false">Settings!$B$4*MAX(INDEX(Bases!$M$2:$M$53,B581),INDEX(Bases!$M$2:$M$53,C581))+Settings!$B$5*MIN(INDEX(Bases!$M$2:$M$53,B581),INDEX(Bases!$M$2:$M$53,C581))</f>
        <v>58</v>
      </c>
      <c r="T581" s="2" t="n">
        <f aca="false">Settings!$B$4*MAX(INDEX(Bases!$N$2:$N$53,B581),INDEX(Bases!$N$2:$N$53,C581))+Settings!$B$5*MIN(INDEX(Bases!$N$2:$N$53,B581),INDEX(Bases!$N$2:$N$53,C581))</f>
        <v>99.3333333333333</v>
      </c>
      <c r="U581" s="2" t="n">
        <f aca="false">Settings!$B$4*MAX(INDEX(Bases!$O$2:$O$53,B581),INDEX(Bases!$O$2:$O$53,C581))+Settings!$B$5*MIN(INDEX(Bases!$O$2:$O$53,B581),INDEX(Bases!$O$2:$O$53,C581))</f>
        <v>50</v>
      </c>
      <c r="V581" s="2" t="n">
        <f aca="false">Settings!$B$4*MAX(INDEX(Bases!$P$2:$P$53,B581),INDEX(Bases!$P$2:$P$53,C581))+Settings!$B$5*MIN(INDEX(Bases!$P$2:$P$53,B581),INDEX(Bases!$P$2:$P$53,C581))</f>
        <v>84.6666666666667</v>
      </c>
      <c r="W581" s="2" t="n">
        <f aca="false">Settings!$B$4*MAX(INDEX(Bases!$Q$2:$Q$53,B581),INDEX(Bases!$Q$2:$Q$53,C581))+Settings!$B$5*MIN(INDEX(Bases!$Q$2:$Q$53,B581),INDEX(Bases!$Q$2:$Q$53,C581))</f>
        <v>63.3333333333333</v>
      </c>
      <c r="X581" s="2" t="n">
        <f aca="false">Settings!$B$4*MAX(INDEX(Bases!$R$2:$R$53,B581),INDEX(Bases!$R$2:$R$53,C581))+Settings!$B$5*MIN(INDEX(Bases!$R$2:$R$53,B581),INDEX(Bases!$R$2:$R$53,C581))</f>
        <v>75.3333333333333</v>
      </c>
      <c r="Y581" s="2" t="n">
        <f aca="false">S581*Settings!$B$3/SUM(S581:X581)</f>
        <v>67.3374613003096</v>
      </c>
      <c r="Z581" s="2" t="n">
        <f aca="false">T581*Settings!$B$3/SUM(S581:X581)</f>
        <v>115.325077399381</v>
      </c>
      <c r="AA581" s="2" t="n">
        <f aca="false">U581*Settings!$B$3/SUM(S581:X581)</f>
        <v>58.0495356037152</v>
      </c>
      <c r="AB581" s="2" t="n">
        <f aca="false">V581*Settings!$B$3/SUM(S581:X581)</f>
        <v>98.297213622291</v>
      </c>
      <c r="AC581" s="2" t="n">
        <f aca="false">W581*Settings!$B$3/SUM(S581:X581)</f>
        <v>73.5294117647059</v>
      </c>
      <c r="AD581" s="2" t="n">
        <f aca="false">X581*Settings!$B$3/SUM(S581:X581)</f>
        <v>87.4613003095975</v>
      </c>
      <c r="AE581" s="2" t="n">
        <f aca="false">INT(Y581)</f>
        <v>67</v>
      </c>
      <c r="AF581" s="2" t="n">
        <f aca="false">INT(Z581)</f>
        <v>115</v>
      </c>
      <c r="AG581" s="2" t="n">
        <f aca="false">INT(AA581)</f>
        <v>58</v>
      </c>
      <c r="AH581" s="2" t="n">
        <f aca="false">INT(AB581)</f>
        <v>98</v>
      </c>
      <c r="AI581" s="2" t="n">
        <f aca="false">INT(AC581)</f>
        <v>73</v>
      </c>
      <c r="AJ581" s="2" t="n">
        <f aca="false">INT(AD581)</f>
        <v>87</v>
      </c>
      <c r="AK581" s="2" t="n">
        <f aca="false">Settings!$B$3-SUM(AE581:AJ581)</f>
        <v>2</v>
      </c>
      <c r="AL581" s="2" t="n">
        <f aca="false">ROUND(Y581-AE581,9)</f>
        <v>0.3374613</v>
      </c>
      <c r="AM581" s="2" t="n">
        <f aca="false">ROUND(Z581-AF581,9)</f>
        <v>0.325077399</v>
      </c>
      <c r="AN581" s="2" t="n">
        <f aca="false">ROUND(AA581-AG581,9)</f>
        <v>0.049535604</v>
      </c>
      <c r="AO581" s="2" t="n">
        <f aca="false">ROUND(AB581-AH581,9)</f>
        <v>0.297213622</v>
      </c>
      <c r="AP581" s="2" t="n">
        <f aca="false">ROUND(AC581-AI581,9)</f>
        <v>0.529411765</v>
      </c>
      <c r="AQ581" s="2" t="n">
        <f aca="false">ROUND(AD581-AJ581,9)</f>
        <v>0.46130031</v>
      </c>
    </row>
    <row r="582" customFormat="false" ht="15" hidden="false" customHeight="false" outlineLevel="0" collapsed="false">
      <c r="A582" s="2" t="n">
        <v>581</v>
      </c>
      <c r="B582" s="6" t="n">
        <v>13</v>
      </c>
      <c r="C582" s="6" t="n">
        <v>48</v>
      </c>
      <c r="D582" s="8" t="str">
        <f aca="false">INDEX(Bases!$B$2:$B$53,B582)</f>
        <v>Bulbasaur</v>
      </c>
      <c r="E582" s="8" t="str">
        <f aca="false">INDEX(Bases!$B$2:$B$53,C582)</f>
        <v>Magnemite</v>
      </c>
      <c r="F582" s="2" t="str">
        <f aca="false">LEFT(D582,ROUNDUP(LEN(D582)/2,0))&amp;LOWER(MID(E582,ROUNDUP(LEN(E582)/2,0)+1,20))</f>
        <v>Bulbamite</v>
      </c>
      <c r="G582" s="8" t="str">
        <f aca="false">INDEX(Bases!$C$2:$C$53,B582)</f>
        <v>Grass</v>
      </c>
      <c r="H582" s="8" t="str">
        <f aca="false">IF(INDEX(Bases!$C$2:$C$53,C582)=G582,"",INDEX(Bases!$C$2:$C$53,C582))</f>
        <v>Steel</v>
      </c>
      <c r="I582" s="8" t="str">
        <f aca="false">IF(INDEX(Bases!$E$2:$E$53,B582)="","",INDEX(Bases!$E$2:$E$53,B582))</f>
        <v/>
      </c>
      <c r="J582" s="8" t="str">
        <f aca="false">IF(INDEX(Bases!$E$2:$E$53,C582)="","",INDEX(Bases!$E$2:$E$53,C582))</f>
        <v/>
      </c>
      <c r="K582" s="5"/>
      <c r="L582" s="2" t="n">
        <f aca="false">AE582+IF(SUMPRODUCT(--($AL582:$AQ582&gt;AL582))&lt;$AK582,1,0)</f>
        <v>57</v>
      </c>
      <c r="M582" s="2" t="n">
        <f aca="false">AF582+IF(SUMPRODUCT(--($AL582:$AQ582&gt;AM582))+SUMPRODUCT(--($AL582:AL582=AM582))&lt;$AK582,1,0)</f>
        <v>66</v>
      </c>
      <c r="N582" s="2" t="n">
        <f aca="false">AG582+IF(SUMPRODUCT(--($AL582:$AQ582&gt;AN582))+SUMPRODUCT(--($AL582:AM582=AN582))&lt;$AK582,1,0)</f>
        <v>93</v>
      </c>
      <c r="O582" s="2" t="n">
        <f aca="false">AH582+IF(SUMPRODUCT(--($AL582:$AQ582&gt;AO582))+SUMPRODUCT(--($AL582:AN582=AO582))&lt;$AK582,1,0)</f>
        <v>126</v>
      </c>
      <c r="P582" s="2" t="n">
        <f aca="false">AI582+IF(SUMPRODUCT(--($AL582:$AQ582&gt;AP582))+SUMPRODUCT(--($AL582:AO582=AP582))&lt;$AK582,1,0)</f>
        <v>92</v>
      </c>
      <c r="Q582" s="2" t="n">
        <f aca="false">AJ582+IF(SUMPRODUCT(--($AL582:$AQ582&gt;AQ582))+SUMPRODUCT(--($AL582:AP582=AQ582))&lt;$AK582,1,0)</f>
        <v>66</v>
      </c>
      <c r="R582" s="2" t="n">
        <f aca="false">SUM(L582:Q582)</f>
        <v>500</v>
      </c>
      <c r="S582" s="2" t="n">
        <f aca="false">Settings!$B$4*MAX(INDEX(Bases!$M$2:$M$53,B582),INDEX(Bases!$M$2:$M$53,C582))+Settings!$B$5*MIN(INDEX(Bases!$M$2:$M$53,B582),INDEX(Bases!$M$2:$M$53,C582))</f>
        <v>47.6666666666667</v>
      </c>
      <c r="T582" s="2" t="n">
        <f aca="false">Settings!$B$4*MAX(INDEX(Bases!$N$2:$N$53,B582),INDEX(Bases!$N$2:$N$53,C582))+Settings!$B$5*MIN(INDEX(Bases!$N$2:$N$53,B582),INDEX(Bases!$N$2:$N$53,C582))</f>
        <v>55.6666666666667</v>
      </c>
      <c r="U582" s="2" t="n">
        <f aca="false">Settings!$B$4*MAX(INDEX(Bases!$O$2:$O$53,B582),INDEX(Bases!$O$2:$O$53,C582))+Settings!$B$5*MIN(INDEX(Bases!$O$2:$O$53,B582),INDEX(Bases!$O$2:$O$53,C582))</f>
        <v>78</v>
      </c>
      <c r="V582" s="2" t="n">
        <f aca="false">Settings!$B$4*MAX(INDEX(Bases!$P$2:$P$53,B582),INDEX(Bases!$P$2:$P$53,C582))+Settings!$B$5*MIN(INDEX(Bases!$P$2:$P$53,B582),INDEX(Bases!$P$2:$P$53,C582))</f>
        <v>105.333333333333</v>
      </c>
      <c r="W582" s="2" t="n">
        <f aca="false">Settings!$B$4*MAX(INDEX(Bases!$Q$2:$Q$53,B582),INDEX(Bases!$Q$2:$Q$53,C582))+Settings!$B$5*MIN(INDEX(Bases!$Q$2:$Q$53,B582),INDEX(Bases!$Q$2:$Q$53,C582))</f>
        <v>77.3333333333333</v>
      </c>
      <c r="X582" s="2" t="n">
        <f aca="false">Settings!$B$4*MAX(INDEX(Bases!$R$2:$R$53,B582),INDEX(Bases!$R$2:$R$53,C582))+Settings!$B$5*MIN(INDEX(Bases!$R$2:$R$53,B582),INDEX(Bases!$R$2:$R$53,C582))</f>
        <v>55.6666666666667</v>
      </c>
      <c r="Y582" s="2" t="n">
        <f aca="false">S582*Settings!$B$3/SUM(S582:X582)</f>
        <v>56.791104050834</v>
      </c>
      <c r="Z582" s="2" t="n">
        <f aca="false">T582*Settings!$B$3/SUM(S582:X582)</f>
        <v>66.3224781572677</v>
      </c>
      <c r="AA582" s="2" t="n">
        <f aca="false">U582*Settings!$B$3/SUM(S582:X582)</f>
        <v>92.9308975377284</v>
      </c>
      <c r="AB582" s="2" t="n">
        <f aca="false">V582*Settings!$B$3/SUM(S582:X582)</f>
        <v>125.49642573471</v>
      </c>
      <c r="AC582" s="2" t="n">
        <f aca="false">W582*Settings!$B$3/SUM(S582:X582)</f>
        <v>92.1366163621922</v>
      </c>
      <c r="AD582" s="2" t="n">
        <f aca="false">X582*Settings!$B$3/SUM(S582:X582)</f>
        <v>66.3224781572677</v>
      </c>
      <c r="AE582" s="2" t="n">
        <f aca="false">INT(Y582)</f>
        <v>56</v>
      </c>
      <c r="AF582" s="2" t="n">
        <f aca="false">INT(Z582)</f>
        <v>66</v>
      </c>
      <c r="AG582" s="2" t="n">
        <f aca="false">INT(AA582)</f>
        <v>92</v>
      </c>
      <c r="AH582" s="2" t="n">
        <f aca="false">INT(AB582)</f>
        <v>125</v>
      </c>
      <c r="AI582" s="2" t="n">
        <f aca="false">INT(AC582)</f>
        <v>92</v>
      </c>
      <c r="AJ582" s="2" t="n">
        <f aca="false">INT(AD582)</f>
        <v>66</v>
      </c>
      <c r="AK582" s="2" t="n">
        <f aca="false">Settings!$B$3-SUM(AE582:AJ582)</f>
        <v>3</v>
      </c>
      <c r="AL582" s="2" t="n">
        <f aca="false">ROUND(Y582-AE582,9)</f>
        <v>0.791104051</v>
      </c>
      <c r="AM582" s="2" t="n">
        <f aca="false">ROUND(Z582-AF582,9)</f>
        <v>0.322478157</v>
      </c>
      <c r="AN582" s="2" t="n">
        <f aca="false">ROUND(AA582-AG582,9)</f>
        <v>0.930897538</v>
      </c>
      <c r="AO582" s="2" t="n">
        <f aca="false">ROUND(AB582-AH582,9)</f>
        <v>0.496425735</v>
      </c>
      <c r="AP582" s="2" t="n">
        <f aca="false">ROUND(AC582-AI582,9)</f>
        <v>0.136616362</v>
      </c>
      <c r="AQ582" s="2" t="n">
        <f aca="false">ROUND(AD582-AJ582,9)</f>
        <v>0.322478157</v>
      </c>
    </row>
    <row r="583" customFormat="false" ht="15" hidden="false" customHeight="false" outlineLevel="0" collapsed="false">
      <c r="A583" s="2" t="n">
        <v>582</v>
      </c>
      <c r="B583" s="6" t="n">
        <v>13</v>
      </c>
      <c r="C583" s="6" t="n">
        <v>49</v>
      </c>
      <c r="D583" s="8" t="str">
        <f aca="false">INDEX(Bases!$B$2:$B$53,B583)</f>
        <v>Bulbasaur</v>
      </c>
      <c r="E583" s="8" t="str">
        <f aca="false">INDEX(Bases!$B$2:$B$53,C583)</f>
        <v>Aron</v>
      </c>
      <c r="F583" s="2" t="str">
        <f aca="false">LEFT(D583,ROUNDUP(LEN(D583)/2,0))&amp;LOWER(MID(E583,ROUNDUP(LEN(E583)/2,0)+1,20))</f>
        <v>Bulbaon</v>
      </c>
      <c r="G583" s="8" t="str">
        <f aca="false">INDEX(Bases!$C$2:$C$53,B583)</f>
        <v>Grass</v>
      </c>
      <c r="H583" s="8" t="str">
        <f aca="false">IF(INDEX(Bases!$C$2:$C$53,C583)=G583,"",INDEX(Bases!$C$2:$C$53,C583))</f>
        <v>Steel</v>
      </c>
      <c r="I583" s="8" t="str">
        <f aca="false">IF(INDEX(Bases!$E$2:$E$53,B583)="","",INDEX(Bases!$E$2:$E$53,B583))</f>
        <v/>
      </c>
      <c r="J583" s="8" t="str">
        <f aca="false">IF(INDEX(Bases!$E$2:$E$53,C583)="","",INDEX(Bases!$E$2:$E$53,C583))</f>
        <v/>
      </c>
      <c r="K583" s="5"/>
      <c r="L583" s="2" t="n">
        <f aca="false">AE583+IF(SUMPRODUCT(--($AL583:$AQ583&gt;AL583))&lt;$AK583,1,0)</f>
        <v>69</v>
      </c>
      <c r="M583" s="2" t="n">
        <f aca="false">AF583+IF(SUMPRODUCT(--($AL583:$AQ583&gt;AM583))+SUMPRODUCT(--($AL583:AL583=AM583))&lt;$AK583,1,0)</f>
        <v>90</v>
      </c>
      <c r="N583" s="2" t="n">
        <f aca="false">AG583+IF(SUMPRODUCT(--($AL583:$AQ583&gt;AN583))+SUMPRODUCT(--($AL583:AM583=AN583))&lt;$AK583,1,0)</f>
        <v>118</v>
      </c>
      <c r="O583" s="2" t="n">
        <f aca="false">AH583+IF(SUMPRODUCT(--($AL583:$AQ583&gt;AO583))+SUMPRODUCT(--($AL583:AN583=AO583))&lt;$AK583,1,0)</f>
        <v>83</v>
      </c>
      <c r="P583" s="2" t="n">
        <f aca="false">AI583+IF(SUMPRODUCT(--($AL583:$AQ583&gt;AP583))+SUMPRODUCT(--($AL583:AO583=AP583))&lt;$AK583,1,0)</f>
        <v>82</v>
      </c>
      <c r="Q583" s="2" t="n">
        <f aca="false">AJ583+IF(SUMPRODUCT(--($AL583:$AQ583&gt;AQ583))+SUMPRODUCT(--($AL583:AP583=AQ583))&lt;$AK583,1,0)</f>
        <v>58</v>
      </c>
      <c r="R583" s="2" t="n">
        <f aca="false">SUM(L583:Q583)</f>
        <v>500</v>
      </c>
      <c r="S583" s="2" t="n">
        <f aca="false">Settings!$B$4*MAX(INDEX(Bases!$M$2:$M$53,B583),INDEX(Bases!$M$2:$M$53,C583))+Settings!$B$5*MIN(INDEX(Bases!$M$2:$M$53,B583),INDEX(Bases!$M$2:$M$53,C583))</f>
        <v>59.3333333333333</v>
      </c>
      <c r="T583" s="2" t="n">
        <f aca="false">Settings!$B$4*MAX(INDEX(Bases!$N$2:$N$53,B583),INDEX(Bases!$N$2:$N$53,C583))+Settings!$B$5*MIN(INDEX(Bases!$N$2:$N$53,B583),INDEX(Bases!$N$2:$N$53,C583))</f>
        <v>77.3333333333333</v>
      </c>
      <c r="U583" s="2" t="n">
        <f aca="false">Settings!$B$4*MAX(INDEX(Bases!$O$2:$O$53,B583),INDEX(Bases!$O$2:$O$53,C583))+Settings!$B$5*MIN(INDEX(Bases!$O$2:$O$53,B583),INDEX(Bases!$O$2:$O$53,C583))</f>
        <v>101.333333333333</v>
      </c>
      <c r="V583" s="2" t="n">
        <f aca="false">Settings!$B$4*MAX(INDEX(Bases!$P$2:$P$53,B583),INDEX(Bases!$P$2:$P$53,C583))+Settings!$B$5*MIN(INDEX(Bases!$P$2:$P$53,B583),INDEX(Bases!$P$2:$P$53,C583))</f>
        <v>71</v>
      </c>
      <c r="W583" s="2" t="n">
        <f aca="false">Settings!$B$4*MAX(INDEX(Bases!$Q$2:$Q$53,B583),INDEX(Bases!$Q$2:$Q$53,C583))+Settings!$B$5*MIN(INDEX(Bases!$Q$2:$Q$53,B583),INDEX(Bases!$Q$2:$Q$53,C583))</f>
        <v>70.6666666666667</v>
      </c>
      <c r="X583" s="2" t="n">
        <f aca="false">Settings!$B$4*MAX(INDEX(Bases!$R$2:$R$53,B583),INDEX(Bases!$R$2:$R$53,C583))+Settings!$B$5*MIN(INDEX(Bases!$R$2:$R$53,B583),INDEX(Bases!$R$2:$R$53,C583))</f>
        <v>49.3333333333333</v>
      </c>
      <c r="Y583" s="2" t="n">
        <f aca="false">S583*Settings!$B$3/SUM(S583:X583)</f>
        <v>69.1530691530692</v>
      </c>
      <c r="Z583" s="2" t="n">
        <f aca="false">T583*Settings!$B$3/SUM(S583:X583)</f>
        <v>90.1320901320901</v>
      </c>
      <c r="AA583" s="2" t="n">
        <f aca="false">U583*Settings!$B$3/SUM(S583:X583)</f>
        <v>118.104118104118</v>
      </c>
      <c r="AB583" s="2" t="n">
        <f aca="false">V583*Settings!$B$3/SUM(S583:X583)</f>
        <v>82.7505827505828</v>
      </c>
      <c r="AC583" s="2" t="n">
        <f aca="false">W583*Settings!$B$3/SUM(S583:X583)</f>
        <v>82.3620823620824</v>
      </c>
      <c r="AD583" s="2" t="n">
        <f aca="false">X583*Settings!$B$3/SUM(S583:X583)</f>
        <v>57.4980574980575</v>
      </c>
      <c r="AE583" s="2" t="n">
        <f aca="false">INT(Y583)</f>
        <v>69</v>
      </c>
      <c r="AF583" s="2" t="n">
        <f aca="false">INT(Z583)</f>
        <v>90</v>
      </c>
      <c r="AG583" s="2" t="n">
        <f aca="false">INT(AA583)</f>
        <v>118</v>
      </c>
      <c r="AH583" s="2" t="n">
        <f aca="false">INT(AB583)</f>
        <v>82</v>
      </c>
      <c r="AI583" s="2" t="n">
        <f aca="false">INT(AC583)</f>
        <v>82</v>
      </c>
      <c r="AJ583" s="2" t="n">
        <f aca="false">INT(AD583)</f>
        <v>57</v>
      </c>
      <c r="AK583" s="2" t="n">
        <f aca="false">Settings!$B$3-SUM(AE583:AJ583)</f>
        <v>2</v>
      </c>
      <c r="AL583" s="2" t="n">
        <f aca="false">ROUND(Y583-AE583,9)</f>
        <v>0.153069153</v>
      </c>
      <c r="AM583" s="2" t="n">
        <f aca="false">ROUND(Z583-AF583,9)</f>
        <v>0.132090132</v>
      </c>
      <c r="AN583" s="2" t="n">
        <f aca="false">ROUND(AA583-AG583,9)</f>
        <v>0.104118104</v>
      </c>
      <c r="AO583" s="2" t="n">
        <f aca="false">ROUND(AB583-AH583,9)</f>
        <v>0.750582751</v>
      </c>
      <c r="AP583" s="2" t="n">
        <f aca="false">ROUND(AC583-AI583,9)</f>
        <v>0.362082362</v>
      </c>
      <c r="AQ583" s="2" t="n">
        <f aca="false">ROUND(AD583-AJ583,9)</f>
        <v>0.498057498</v>
      </c>
    </row>
    <row r="584" customFormat="false" ht="15" hidden="false" customHeight="false" outlineLevel="0" collapsed="false">
      <c r="A584" s="2" t="n">
        <v>583</v>
      </c>
      <c r="B584" s="6" t="n">
        <v>13</v>
      </c>
      <c r="C584" s="6" t="n">
        <v>50</v>
      </c>
      <c r="D584" s="8" t="str">
        <f aca="false">INDEX(Bases!$B$2:$B$53,B584)</f>
        <v>Bulbasaur</v>
      </c>
      <c r="E584" s="8" t="str">
        <f aca="false">INDEX(Bases!$B$2:$B$53,C584)</f>
        <v>Beldum</v>
      </c>
      <c r="F584" s="2" t="str">
        <f aca="false">LEFT(D584,ROUNDUP(LEN(D584)/2,0))&amp;LOWER(MID(E584,ROUNDUP(LEN(E584)/2,0)+1,20))</f>
        <v>Bulbadum</v>
      </c>
      <c r="G584" s="8" t="str">
        <f aca="false">INDEX(Bases!$C$2:$C$53,B584)</f>
        <v>Grass</v>
      </c>
      <c r="H584" s="8" t="str">
        <f aca="false">IF(INDEX(Bases!$C$2:$C$53,C584)=G584,"",INDEX(Bases!$C$2:$C$53,C584))</f>
        <v>Steel</v>
      </c>
      <c r="I584" s="8" t="str">
        <f aca="false">IF(INDEX(Bases!$E$2:$E$53,B584)="","",INDEX(Bases!$E$2:$E$53,B584))</f>
        <v/>
      </c>
      <c r="J584" s="8" t="str">
        <f aca="false">IF(INDEX(Bases!$E$2:$E$53,C584)="","",INDEX(Bases!$E$2:$E$53,C584))</f>
        <v/>
      </c>
      <c r="K584" s="5"/>
      <c r="L584" s="2" t="n">
        <f aca="false">AE584+IF(SUMPRODUCT(--($AL584:$AQ584&gt;AL584))&lt;$AK584,1,0)</f>
        <v>66</v>
      </c>
      <c r="M584" s="2" t="n">
        <f aca="false">AF584+IF(SUMPRODUCT(--($AL584:$AQ584&gt;AM584))+SUMPRODUCT(--($AL584:AL584=AM584))&lt;$AK584,1,0)</f>
        <v>83</v>
      </c>
      <c r="N584" s="2" t="n">
        <f aca="false">AG584+IF(SUMPRODUCT(--($AL584:$AQ584&gt;AN584))+SUMPRODUCT(--($AL584:AM584=AN584))&lt;$AK584,1,0)</f>
        <v>110</v>
      </c>
      <c r="O584" s="2" t="n">
        <f aca="false">AH584+IF(SUMPRODUCT(--($AL584:$AQ584&gt;AO584))+SUMPRODUCT(--($AL584:AN584=AO584))&lt;$AK584,1,0)</f>
        <v>84</v>
      </c>
      <c r="P584" s="2" t="n">
        <f aca="false">AI584+IF(SUMPRODUCT(--($AL584:$AQ584&gt;AP584))+SUMPRODUCT(--($AL584:AO584=AP584))&lt;$AK584,1,0)</f>
        <v>97</v>
      </c>
      <c r="Q584" s="2" t="n">
        <f aca="false">AJ584+IF(SUMPRODUCT(--($AL584:$AQ584&gt;AQ584))+SUMPRODUCT(--($AL584:AP584=AQ584))&lt;$AK584,1,0)</f>
        <v>60</v>
      </c>
      <c r="R584" s="2" t="n">
        <f aca="false">SUM(L584:Q584)</f>
        <v>500</v>
      </c>
      <c r="S584" s="2" t="n">
        <f aca="false">Settings!$B$4*MAX(INDEX(Bases!$M$2:$M$53,B584),INDEX(Bases!$M$2:$M$53,C584))+Settings!$B$5*MIN(INDEX(Bases!$M$2:$M$53,B584),INDEX(Bases!$M$2:$M$53,C584))</f>
        <v>55</v>
      </c>
      <c r="T584" s="2" t="n">
        <f aca="false">Settings!$B$4*MAX(INDEX(Bases!$N$2:$N$53,B584),INDEX(Bases!$N$2:$N$53,C584))+Settings!$B$5*MIN(INDEX(Bases!$N$2:$N$53,B584),INDEX(Bases!$N$2:$N$53,C584))</f>
        <v>69.3333333333333</v>
      </c>
      <c r="U584" s="2" t="n">
        <f aca="false">Settings!$B$4*MAX(INDEX(Bases!$O$2:$O$53,B584),INDEX(Bases!$O$2:$O$53,C584))+Settings!$B$5*MIN(INDEX(Bases!$O$2:$O$53,B584),INDEX(Bases!$O$2:$O$53,C584))</f>
        <v>92</v>
      </c>
      <c r="V584" s="2" t="n">
        <f aca="false">Settings!$B$4*MAX(INDEX(Bases!$P$2:$P$53,B584),INDEX(Bases!$P$2:$P$53,C584))+Settings!$B$5*MIN(INDEX(Bases!$P$2:$P$53,B584),INDEX(Bases!$P$2:$P$53,C584))</f>
        <v>70.3333333333333</v>
      </c>
      <c r="W584" s="2" t="n">
        <f aca="false">Settings!$B$4*MAX(INDEX(Bases!$Q$2:$Q$53,B584),INDEX(Bases!$Q$2:$Q$53,C584))+Settings!$B$5*MIN(INDEX(Bases!$Q$2:$Q$53,B584),INDEX(Bases!$Q$2:$Q$53,C584))</f>
        <v>81.3333333333333</v>
      </c>
      <c r="X584" s="2" t="n">
        <f aca="false">Settings!$B$4*MAX(INDEX(Bases!$R$2:$R$53,B584),INDEX(Bases!$R$2:$R$53,C584))+Settings!$B$5*MIN(INDEX(Bases!$R$2:$R$53,B584),INDEX(Bases!$R$2:$R$53,C584))</f>
        <v>50.6666666666667</v>
      </c>
      <c r="Y584" s="2" t="n">
        <f aca="false">S584*Settings!$B$3/SUM(S584:X584)</f>
        <v>65.6847133757962</v>
      </c>
      <c r="Z584" s="2" t="n">
        <f aca="false">T584*Settings!$B$3/SUM(S584:X584)</f>
        <v>82.8025477707006</v>
      </c>
      <c r="AA584" s="2" t="n">
        <f aca="false">U584*Settings!$B$3/SUM(S584:X584)</f>
        <v>109.872611464968</v>
      </c>
      <c r="AB584" s="2" t="n">
        <f aca="false">V584*Settings!$B$3/SUM(S584:X584)</f>
        <v>83.9968152866242</v>
      </c>
      <c r="AC584" s="2" t="n">
        <f aca="false">W584*Settings!$B$3/SUM(S584:X584)</f>
        <v>97.1337579617835</v>
      </c>
      <c r="AD584" s="2" t="n">
        <f aca="false">X584*Settings!$B$3/SUM(S584:X584)</f>
        <v>60.5095541401274</v>
      </c>
      <c r="AE584" s="2" t="n">
        <f aca="false">INT(Y584)</f>
        <v>65</v>
      </c>
      <c r="AF584" s="2" t="n">
        <f aca="false">INT(Z584)</f>
        <v>82</v>
      </c>
      <c r="AG584" s="2" t="n">
        <f aca="false">INT(AA584)</f>
        <v>109</v>
      </c>
      <c r="AH584" s="2" t="n">
        <f aca="false">INT(AB584)</f>
        <v>83</v>
      </c>
      <c r="AI584" s="2" t="n">
        <f aca="false">INT(AC584)</f>
        <v>97</v>
      </c>
      <c r="AJ584" s="2" t="n">
        <f aca="false">INT(AD584)</f>
        <v>60</v>
      </c>
      <c r="AK584" s="2" t="n">
        <f aca="false">Settings!$B$3-SUM(AE584:AJ584)</f>
        <v>4</v>
      </c>
      <c r="AL584" s="2" t="n">
        <f aca="false">ROUND(Y584-AE584,9)</f>
        <v>0.684713376</v>
      </c>
      <c r="AM584" s="2" t="n">
        <f aca="false">ROUND(Z584-AF584,9)</f>
        <v>0.802547771</v>
      </c>
      <c r="AN584" s="2" t="n">
        <f aca="false">ROUND(AA584-AG584,9)</f>
        <v>0.872611465</v>
      </c>
      <c r="AO584" s="2" t="n">
        <f aca="false">ROUND(AB584-AH584,9)</f>
        <v>0.996815287</v>
      </c>
      <c r="AP584" s="2" t="n">
        <f aca="false">ROUND(AC584-AI584,9)</f>
        <v>0.133757962</v>
      </c>
      <c r="AQ584" s="2" t="n">
        <f aca="false">ROUND(AD584-AJ584,9)</f>
        <v>0.50955414</v>
      </c>
    </row>
    <row r="585" customFormat="false" ht="15" hidden="false" customHeight="false" outlineLevel="0" collapsed="false">
      <c r="A585" s="2" t="n">
        <v>584</v>
      </c>
      <c r="B585" s="6" t="n">
        <v>13</v>
      </c>
      <c r="C585" s="6" t="n">
        <v>51</v>
      </c>
      <c r="D585" s="8" t="str">
        <f aca="false">INDEX(Bases!$B$2:$B$53,B585)</f>
        <v>Bulbasaur</v>
      </c>
      <c r="E585" s="8" t="str">
        <f aca="false">INDEX(Bases!$B$2:$B$53,C585)</f>
        <v>Cleffa</v>
      </c>
      <c r="F585" s="2" t="str">
        <f aca="false">LEFT(D585,ROUNDUP(LEN(D585)/2,0))&amp;LOWER(MID(E585,ROUNDUP(LEN(E585)/2,0)+1,20))</f>
        <v>Bulbaffa</v>
      </c>
      <c r="G585" s="8" t="str">
        <f aca="false">INDEX(Bases!$C$2:$C$53,B585)</f>
        <v>Grass</v>
      </c>
      <c r="H585" s="8" t="str">
        <f aca="false">IF(INDEX(Bases!$C$2:$C$53,C585)=G585,"",INDEX(Bases!$C$2:$C$53,C585))</f>
        <v>Fairy</v>
      </c>
      <c r="I585" s="8" t="str">
        <f aca="false">IF(INDEX(Bases!$E$2:$E$53,B585)="","",INDEX(Bases!$E$2:$E$53,B585))</f>
        <v/>
      </c>
      <c r="J585" s="8" t="str">
        <f aca="false">IF(INDEX(Bases!$E$2:$E$53,C585)="","",INDEX(Bases!$E$2:$E$53,C585))</f>
        <v/>
      </c>
      <c r="K585" s="5"/>
      <c r="L585" s="2" t="n">
        <f aca="false">AE585+IF(SUMPRODUCT(--($AL585:$AQ585&gt;AL585))&lt;$AK585,1,0)</f>
        <v>95</v>
      </c>
      <c r="M585" s="2" t="n">
        <f aca="false">AF585+IF(SUMPRODUCT(--($AL585:$AQ585&gt;AM585))+SUMPRODUCT(--($AL585:AL585=AM585))&lt;$AK585,1,0)</f>
        <v>68</v>
      </c>
      <c r="N585" s="2" t="n">
        <f aca="false">AG585+IF(SUMPRODUCT(--($AL585:$AQ585&gt;AN585))+SUMPRODUCT(--($AL585:AM585=AN585))&lt;$AK585,1,0)</f>
        <v>70</v>
      </c>
      <c r="O585" s="2" t="n">
        <f aca="false">AH585+IF(SUMPRODUCT(--($AL585:$AQ585&gt;AO585))+SUMPRODUCT(--($AL585:AN585=AO585))&lt;$AK585,1,0)</f>
        <v>99</v>
      </c>
      <c r="P585" s="2" t="n">
        <f aca="false">AI585+IF(SUMPRODUCT(--($AL585:$AQ585&gt;AP585))+SUMPRODUCT(--($AL585:AO585=AP585))&lt;$AK585,1,0)</f>
        <v>113</v>
      </c>
      <c r="Q585" s="2" t="n">
        <f aca="false">AJ585+IF(SUMPRODUCT(--($AL585:$AQ585&gt;AQ585))+SUMPRODUCT(--($AL585:AP585=AQ585))&lt;$AK585,1,0)</f>
        <v>55</v>
      </c>
      <c r="R585" s="2" t="n">
        <f aca="false">SUM(L585:Q585)</f>
        <v>500</v>
      </c>
      <c r="S585" s="2" t="n">
        <f aca="false">Settings!$B$4*MAX(INDEX(Bases!$M$2:$M$53,B585),INDEX(Bases!$M$2:$M$53,C585))+Settings!$B$5*MIN(INDEX(Bases!$M$2:$M$53,B585),INDEX(Bases!$M$2:$M$53,C585))</f>
        <v>80</v>
      </c>
      <c r="T585" s="2" t="n">
        <f aca="false">Settings!$B$4*MAX(INDEX(Bases!$N$2:$N$53,B585),INDEX(Bases!$N$2:$N$53,C585))+Settings!$B$5*MIN(INDEX(Bases!$N$2:$N$53,B585),INDEX(Bases!$N$2:$N$53,C585))</f>
        <v>56.6666666666667</v>
      </c>
      <c r="U585" s="2" t="n">
        <f aca="false">Settings!$B$4*MAX(INDEX(Bases!$O$2:$O$53,B585),INDEX(Bases!$O$2:$O$53,C585))+Settings!$B$5*MIN(INDEX(Bases!$O$2:$O$53,B585),INDEX(Bases!$O$2:$O$53,C585))</f>
        <v>58.3333333333333</v>
      </c>
      <c r="V585" s="2" t="n">
        <f aca="false">Settings!$B$4*MAX(INDEX(Bases!$P$2:$P$53,B585),INDEX(Bases!$P$2:$P$53,C585))+Settings!$B$5*MIN(INDEX(Bases!$P$2:$P$53,B585),INDEX(Bases!$P$2:$P$53,C585))</f>
        <v>82.6666666666667</v>
      </c>
      <c r="W585" s="2" t="n">
        <f aca="false">Settings!$B$4*MAX(INDEX(Bases!$Q$2:$Q$53,B585),INDEX(Bases!$Q$2:$Q$53,C585))+Settings!$B$5*MIN(INDEX(Bases!$Q$2:$Q$53,B585),INDEX(Bases!$Q$2:$Q$53,C585))</f>
        <v>94.6666666666667</v>
      </c>
      <c r="X585" s="2" t="n">
        <f aca="false">Settings!$B$4*MAX(INDEX(Bases!$R$2:$R$53,B585),INDEX(Bases!$R$2:$R$53,C585))+Settings!$B$5*MIN(INDEX(Bases!$R$2:$R$53,B585),INDEX(Bases!$R$2:$R$53,C585))</f>
        <v>46.3333333333333</v>
      </c>
      <c r="Y585" s="2" t="n">
        <f aca="false">S585*Settings!$B$3/SUM(S585:X585)</f>
        <v>95.5414012738854</v>
      </c>
      <c r="Z585" s="2" t="n">
        <f aca="false">T585*Settings!$B$3/SUM(S585:X585)</f>
        <v>67.6751592356688</v>
      </c>
      <c r="AA585" s="2" t="n">
        <f aca="false">U585*Settings!$B$3/SUM(S585:X585)</f>
        <v>69.6656050955414</v>
      </c>
      <c r="AB585" s="2" t="n">
        <f aca="false">V585*Settings!$B$3/SUM(S585:X585)</f>
        <v>98.7261146496815</v>
      </c>
      <c r="AC585" s="2" t="n">
        <f aca="false">W585*Settings!$B$3/SUM(S585:X585)</f>
        <v>113.057324840764</v>
      </c>
      <c r="AD585" s="2" t="n">
        <f aca="false">X585*Settings!$B$3/SUM(S585:X585)</f>
        <v>55.3343949044586</v>
      </c>
      <c r="AE585" s="2" t="n">
        <f aca="false">INT(Y585)</f>
        <v>95</v>
      </c>
      <c r="AF585" s="2" t="n">
        <f aca="false">INT(Z585)</f>
        <v>67</v>
      </c>
      <c r="AG585" s="2" t="n">
        <f aca="false">INT(AA585)</f>
        <v>69</v>
      </c>
      <c r="AH585" s="2" t="n">
        <f aca="false">INT(AB585)</f>
        <v>98</v>
      </c>
      <c r="AI585" s="2" t="n">
        <f aca="false">INT(AC585)</f>
        <v>113</v>
      </c>
      <c r="AJ585" s="2" t="n">
        <f aca="false">INT(AD585)</f>
        <v>55</v>
      </c>
      <c r="AK585" s="2" t="n">
        <f aca="false">Settings!$B$3-SUM(AE585:AJ585)</f>
        <v>3</v>
      </c>
      <c r="AL585" s="2" t="n">
        <f aca="false">ROUND(Y585-AE585,9)</f>
        <v>0.541401274</v>
      </c>
      <c r="AM585" s="2" t="n">
        <f aca="false">ROUND(Z585-AF585,9)</f>
        <v>0.675159236</v>
      </c>
      <c r="AN585" s="2" t="n">
        <f aca="false">ROUND(AA585-AG585,9)</f>
        <v>0.665605096</v>
      </c>
      <c r="AO585" s="2" t="n">
        <f aca="false">ROUND(AB585-AH585,9)</f>
        <v>0.72611465</v>
      </c>
      <c r="AP585" s="2" t="n">
        <f aca="false">ROUND(AC585-AI585,9)</f>
        <v>0.057324841</v>
      </c>
      <c r="AQ585" s="2" t="n">
        <f aca="false">ROUND(AD585-AJ585,9)</f>
        <v>0.334394904</v>
      </c>
    </row>
    <row r="586" customFormat="false" ht="15" hidden="false" customHeight="false" outlineLevel="0" collapsed="false">
      <c r="A586" s="2" t="n">
        <v>585</v>
      </c>
      <c r="B586" s="6" t="n">
        <v>13</v>
      </c>
      <c r="C586" s="6" t="n">
        <v>52</v>
      </c>
      <c r="D586" s="8" t="str">
        <f aca="false">INDEX(Bases!$B$2:$B$53,B586)</f>
        <v>Bulbasaur</v>
      </c>
      <c r="E586" s="8" t="str">
        <f aca="false">INDEX(Bases!$B$2:$B$53,C586)</f>
        <v>Togepi</v>
      </c>
      <c r="F586" s="2" t="str">
        <f aca="false">LEFT(D586,ROUNDUP(LEN(D586)/2,0))&amp;LOWER(MID(E586,ROUNDUP(LEN(E586)/2,0)+1,20))</f>
        <v>Bulbaepi</v>
      </c>
      <c r="G586" s="8" t="str">
        <f aca="false">INDEX(Bases!$C$2:$C$53,B586)</f>
        <v>Grass</v>
      </c>
      <c r="H586" s="8" t="str">
        <f aca="false">IF(INDEX(Bases!$C$2:$C$53,C586)=G586,"",INDEX(Bases!$C$2:$C$53,C586))</f>
        <v>Fairy</v>
      </c>
      <c r="I586" s="8" t="str">
        <f aca="false">IF(INDEX(Bases!$E$2:$E$53,B586)="","",INDEX(Bases!$E$2:$E$53,B586))</f>
        <v/>
      </c>
      <c r="J586" s="8" t="str">
        <f aca="false">IF(INDEX(Bases!$E$2:$E$53,C586)="","",INDEX(Bases!$E$2:$E$53,C586))</f>
        <v/>
      </c>
      <c r="K586" s="5"/>
      <c r="L586" s="2" t="n">
        <f aca="false">AE586+IF(SUMPRODUCT(--($AL586:$AQ586&gt;AL586))&lt;$AK586,1,0)</f>
        <v>67</v>
      </c>
      <c r="M586" s="2" t="n">
        <f aca="false">AF586+IF(SUMPRODUCT(--($AL586:$AQ586&gt;AM586))+SUMPRODUCT(--($AL586:AL586=AM586))&lt;$AK586,1,0)</f>
        <v>62</v>
      </c>
      <c r="N586" s="2" t="n">
        <f aca="false">AG586+IF(SUMPRODUCT(--($AL586:$AQ586&gt;AN586))+SUMPRODUCT(--($AL586:AM586=AN586))&lt;$AK586,1,0)</f>
        <v>108</v>
      </c>
      <c r="O586" s="2" t="n">
        <f aca="false">AH586+IF(SUMPRODUCT(--($AL586:$AQ586&gt;AO586))+SUMPRODUCT(--($AL586:AN586=AO586))&lt;$AK586,1,0)</f>
        <v>90</v>
      </c>
      <c r="P586" s="2" t="n">
        <f aca="false">AI586+IF(SUMPRODUCT(--($AL586:$AQ586&gt;AP586))+SUMPRODUCT(--($AL586:AO586=AP586))&lt;$AK586,1,0)</f>
        <v>116</v>
      </c>
      <c r="Q586" s="2" t="n">
        <f aca="false">AJ586+IF(SUMPRODUCT(--($AL586:$AQ586&gt;AQ586))+SUMPRODUCT(--($AL586:AP586=AQ586))&lt;$AK586,1,0)</f>
        <v>57</v>
      </c>
      <c r="R586" s="2" t="n">
        <f aca="false">SUM(L586:Q586)</f>
        <v>500</v>
      </c>
      <c r="S586" s="2" t="n">
        <f aca="false">Settings!$B$4*MAX(INDEX(Bases!$M$2:$M$53,B586),INDEX(Bases!$M$2:$M$53,C586))+Settings!$B$5*MIN(INDEX(Bases!$M$2:$M$53,B586),INDEX(Bases!$M$2:$M$53,C586))</f>
        <v>56.6666666666667</v>
      </c>
      <c r="T586" s="2" t="n">
        <f aca="false">Settings!$B$4*MAX(INDEX(Bases!$N$2:$N$53,B586),INDEX(Bases!$N$2:$N$53,C586))+Settings!$B$5*MIN(INDEX(Bases!$N$2:$N$53,B586),INDEX(Bases!$N$2:$N$53,C586))</f>
        <v>52.3333333333333</v>
      </c>
      <c r="U586" s="2" t="n">
        <f aca="false">Settings!$B$4*MAX(INDEX(Bases!$O$2:$O$53,B586),INDEX(Bases!$O$2:$O$53,C586))+Settings!$B$5*MIN(INDEX(Bases!$O$2:$O$53,B586),INDEX(Bases!$O$2:$O$53,C586))</f>
        <v>91.3333333333333</v>
      </c>
      <c r="V586" s="2" t="n">
        <f aca="false">Settings!$B$4*MAX(INDEX(Bases!$P$2:$P$53,B586),INDEX(Bases!$P$2:$P$53,C586))+Settings!$B$5*MIN(INDEX(Bases!$P$2:$P$53,B586),INDEX(Bases!$P$2:$P$53,C586))</f>
        <v>76.3333333333333</v>
      </c>
      <c r="W586" s="2" t="n">
        <f aca="false">Settings!$B$4*MAX(INDEX(Bases!$Q$2:$Q$53,B586),INDEX(Bases!$Q$2:$Q$53,C586))+Settings!$B$5*MIN(INDEX(Bases!$Q$2:$Q$53,B586),INDEX(Bases!$Q$2:$Q$53,C586))</f>
        <v>98</v>
      </c>
      <c r="X586" s="2" t="n">
        <f aca="false">Settings!$B$4*MAX(INDEX(Bases!$R$2:$R$53,B586),INDEX(Bases!$R$2:$R$53,C586))+Settings!$B$5*MIN(INDEX(Bases!$R$2:$R$53,B586),INDEX(Bases!$R$2:$R$53,C586))</f>
        <v>48.3333333333333</v>
      </c>
      <c r="Y586" s="2" t="n">
        <f aca="false">S586*Settings!$B$3/SUM(S586:X586)</f>
        <v>66.9818754925138</v>
      </c>
      <c r="Z586" s="2" t="n">
        <f aca="false">T586*Settings!$B$3/SUM(S586:X586)</f>
        <v>61.859732072498</v>
      </c>
      <c r="AA586" s="2" t="n">
        <f aca="false">U586*Settings!$B$3/SUM(S586:X586)</f>
        <v>107.95902285264</v>
      </c>
      <c r="AB586" s="2" t="n">
        <f aca="false">V586*Settings!$B$3/SUM(S586:X586)</f>
        <v>90.2285263987392</v>
      </c>
      <c r="AC586" s="2" t="n">
        <f aca="false">W586*Settings!$B$3/SUM(S586:X586)</f>
        <v>115.839243498818</v>
      </c>
      <c r="AD586" s="2" t="n">
        <f aca="false">X586*Settings!$B$3/SUM(S586:X586)</f>
        <v>57.1315996847912</v>
      </c>
      <c r="AE586" s="2" t="n">
        <f aca="false">INT(Y586)</f>
        <v>66</v>
      </c>
      <c r="AF586" s="2" t="n">
        <f aca="false">INT(Z586)</f>
        <v>61</v>
      </c>
      <c r="AG586" s="2" t="n">
        <f aca="false">INT(AA586)</f>
        <v>107</v>
      </c>
      <c r="AH586" s="2" t="n">
        <f aca="false">INT(AB586)</f>
        <v>90</v>
      </c>
      <c r="AI586" s="2" t="n">
        <f aca="false">INT(AC586)</f>
        <v>115</v>
      </c>
      <c r="AJ586" s="2" t="n">
        <f aca="false">INT(AD586)</f>
        <v>57</v>
      </c>
      <c r="AK586" s="2" t="n">
        <f aca="false">Settings!$B$3-SUM(AE586:AJ586)</f>
        <v>4</v>
      </c>
      <c r="AL586" s="2" t="n">
        <f aca="false">ROUND(Y586-AE586,9)</f>
        <v>0.981875493</v>
      </c>
      <c r="AM586" s="2" t="n">
        <f aca="false">ROUND(Z586-AF586,9)</f>
        <v>0.859732072</v>
      </c>
      <c r="AN586" s="2" t="n">
        <f aca="false">ROUND(AA586-AG586,9)</f>
        <v>0.959022853</v>
      </c>
      <c r="AO586" s="2" t="n">
        <f aca="false">ROUND(AB586-AH586,9)</f>
        <v>0.228526399</v>
      </c>
      <c r="AP586" s="2" t="n">
        <f aca="false">ROUND(AC586-AI586,9)</f>
        <v>0.839243499</v>
      </c>
      <c r="AQ586" s="2" t="n">
        <f aca="false">ROUND(AD586-AJ586,9)</f>
        <v>0.131599685</v>
      </c>
    </row>
    <row r="587" customFormat="false" ht="15" hidden="false" customHeight="false" outlineLevel="0" collapsed="false">
      <c r="A587" s="2" t="n">
        <v>586</v>
      </c>
      <c r="B587" s="6" t="n">
        <v>14</v>
      </c>
      <c r="C587" s="6" t="n">
        <v>15</v>
      </c>
      <c r="D587" s="8" t="str">
        <f aca="false">INDEX(Bases!$B$2:$B$53,B587)</f>
        <v>Celebi</v>
      </c>
      <c r="E587" s="8" t="str">
        <f aca="false">INDEX(Bases!$B$2:$B$53,C587)</f>
        <v>Shroomish</v>
      </c>
      <c r="F587" s="2" t="str">
        <f aca="false">LEFT(D587,ROUNDUP(LEN(D587)/2,0))&amp;LOWER(MID(E587,ROUNDUP(LEN(E587)/2,0)+1,20))</f>
        <v>Celmish</v>
      </c>
      <c r="G587" s="8" t="str">
        <f aca="false">INDEX(Bases!$C$2:$C$53,B587)</f>
        <v>Grass</v>
      </c>
      <c r="H587" s="8" t="str">
        <f aca="false">IF(INDEX(Bases!$C$2:$C$53,C587)=G587,"",INDEX(Bases!$C$2:$C$53,C587))</f>
        <v/>
      </c>
      <c r="I587" s="8" t="str">
        <f aca="false">IF(INDEX(Bases!$E$2:$E$53,B587)="","",INDEX(Bases!$E$2:$E$53,B587))</f>
        <v/>
      </c>
      <c r="J587" s="8" t="str">
        <f aca="false">IF(INDEX(Bases!$E$2:$E$53,C587)="","",INDEX(Bases!$E$2:$E$53,C587))</f>
        <v/>
      </c>
      <c r="K587" s="5"/>
      <c r="L587" s="2" t="n">
        <f aca="false">AE587+IF(SUMPRODUCT(--($AL587:$AQ587&gt;AL587))&lt;$AK587,1,0)</f>
        <v>93</v>
      </c>
      <c r="M587" s="2" t="n">
        <f aca="false">AF587+IF(SUMPRODUCT(--($AL587:$AQ587&gt;AM587))+SUMPRODUCT(--($AL587:AL587=AM587))&lt;$AK587,1,0)</f>
        <v>76</v>
      </c>
      <c r="N587" s="2" t="n">
        <f aca="false">AG587+IF(SUMPRODUCT(--($AL587:$AQ587&gt;AN587))+SUMPRODUCT(--($AL587:AM587=AN587))&lt;$AK587,1,0)</f>
        <v>92</v>
      </c>
      <c r="O587" s="2" t="n">
        <f aca="false">AH587+IF(SUMPRODUCT(--($AL587:$AQ587&gt;AO587))+SUMPRODUCT(--($AL587:AN587=AO587))&lt;$AK587,1,0)</f>
        <v>75</v>
      </c>
      <c r="P587" s="2" t="n">
        <f aca="false">AI587+IF(SUMPRODUCT(--($AL587:$AQ587&gt;AP587))+SUMPRODUCT(--($AL587:AO587=AP587))&lt;$AK587,1,0)</f>
        <v>92</v>
      </c>
      <c r="Q587" s="2" t="n">
        <f aca="false">AJ587+IF(SUMPRODUCT(--($AL587:$AQ587&gt;AQ587))+SUMPRODUCT(--($AL587:AP587=AQ587))&lt;$AK587,1,0)</f>
        <v>72</v>
      </c>
      <c r="R587" s="2" t="n">
        <f aca="false">SUM(L587:Q587)</f>
        <v>500</v>
      </c>
      <c r="S587" s="2" t="n">
        <f aca="false">Settings!$B$4*MAX(INDEX(Bases!$M$2:$M$53,B587),INDEX(Bases!$M$2:$M$53,C587))+Settings!$B$5*MIN(INDEX(Bases!$M$2:$M$53,B587),INDEX(Bases!$M$2:$M$53,C587))</f>
        <v>77</v>
      </c>
      <c r="T587" s="2" t="n">
        <f aca="false">Settings!$B$4*MAX(INDEX(Bases!$N$2:$N$53,B587),INDEX(Bases!$N$2:$N$53,C587))+Settings!$B$5*MIN(INDEX(Bases!$N$2:$N$53,B587),INDEX(Bases!$N$2:$N$53,C587))</f>
        <v>62.6666666666667</v>
      </c>
      <c r="U587" s="2" t="n">
        <f aca="false">Settings!$B$4*MAX(INDEX(Bases!$O$2:$O$53,B587),INDEX(Bases!$O$2:$O$53,C587))+Settings!$B$5*MIN(INDEX(Bases!$O$2:$O$53,B587),INDEX(Bases!$O$2:$O$53,C587))</f>
        <v>76.3333333333333</v>
      </c>
      <c r="V587" s="2" t="n">
        <f aca="false">Settings!$B$4*MAX(INDEX(Bases!$P$2:$P$53,B587),INDEX(Bases!$P$2:$P$53,C587))+Settings!$B$5*MIN(INDEX(Bases!$P$2:$P$53,B587),INDEX(Bases!$P$2:$P$53,C587))</f>
        <v>62.6666666666667</v>
      </c>
      <c r="W587" s="2" t="n">
        <f aca="false">Settings!$B$4*MAX(INDEX(Bases!$Q$2:$Q$53,B587),INDEX(Bases!$Q$2:$Q$53,C587))+Settings!$B$5*MIN(INDEX(Bases!$Q$2:$Q$53,B587),INDEX(Bases!$Q$2:$Q$53,C587))</f>
        <v>76</v>
      </c>
      <c r="X587" s="2" t="n">
        <f aca="false">Settings!$B$4*MAX(INDEX(Bases!$R$2:$R$53,B587),INDEX(Bases!$R$2:$R$53,C587))+Settings!$B$5*MIN(INDEX(Bases!$R$2:$R$53,B587),INDEX(Bases!$R$2:$R$53,C587))</f>
        <v>60</v>
      </c>
      <c r="Y587" s="2" t="n">
        <f aca="false">S587*Settings!$B$3/SUM(S587:X587)</f>
        <v>92.8456591639871</v>
      </c>
      <c r="Z587" s="2" t="n">
        <f aca="false">T587*Settings!$B$3/SUM(S587:X587)</f>
        <v>75.5627009646302</v>
      </c>
      <c r="AA587" s="2" t="n">
        <f aca="false">U587*Settings!$B$3/SUM(S587:X587)</f>
        <v>92.0418006430868</v>
      </c>
      <c r="AB587" s="2" t="n">
        <f aca="false">V587*Settings!$B$3/SUM(S587:X587)</f>
        <v>75.5627009646302</v>
      </c>
      <c r="AC587" s="2" t="n">
        <f aca="false">W587*Settings!$B$3/SUM(S587:X587)</f>
        <v>91.6398713826367</v>
      </c>
      <c r="AD587" s="2" t="n">
        <f aca="false">X587*Settings!$B$3/SUM(S587:X587)</f>
        <v>72.3472668810289</v>
      </c>
      <c r="AE587" s="2" t="n">
        <f aca="false">INT(Y587)</f>
        <v>92</v>
      </c>
      <c r="AF587" s="2" t="n">
        <f aca="false">INT(Z587)</f>
        <v>75</v>
      </c>
      <c r="AG587" s="2" t="n">
        <f aca="false">INT(AA587)</f>
        <v>92</v>
      </c>
      <c r="AH587" s="2" t="n">
        <f aca="false">INT(AB587)</f>
        <v>75</v>
      </c>
      <c r="AI587" s="2" t="n">
        <f aca="false">INT(AC587)</f>
        <v>91</v>
      </c>
      <c r="AJ587" s="2" t="n">
        <f aca="false">INT(AD587)</f>
        <v>72</v>
      </c>
      <c r="AK587" s="2" t="n">
        <f aca="false">Settings!$B$3-SUM(AE587:AJ587)</f>
        <v>3</v>
      </c>
      <c r="AL587" s="2" t="n">
        <f aca="false">ROUND(Y587-AE587,9)</f>
        <v>0.845659164</v>
      </c>
      <c r="AM587" s="2" t="n">
        <f aca="false">ROUND(Z587-AF587,9)</f>
        <v>0.562700965</v>
      </c>
      <c r="AN587" s="2" t="n">
        <f aca="false">ROUND(AA587-AG587,9)</f>
        <v>0.041800643</v>
      </c>
      <c r="AO587" s="2" t="n">
        <f aca="false">ROUND(AB587-AH587,9)</f>
        <v>0.562700965</v>
      </c>
      <c r="AP587" s="2" t="n">
        <f aca="false">ROUND(AC587-AI587,9)</f>
        <v>0.639871383</v>
      </c>
      <c r="AQ587" s="2" t="n">
        <f aca="false">ROUND(AD587-AJ587,9)</f>
        <v>0.347266881</v>
      </c>
    </row>
    <row r="588" customFormat="false" ht="15" hidden="false" customHeight="false" outlineLevel="0" collapsed="false">
      <c r="A588" s="2" t="n">
        <v>587</v>
      </c>
      <c r="B588" s="6" t="n">
        <v>14</v>
      </c>
      <c r="C588" s="6" t="n">
        <v>16</v>
      </c>
      <c r="D588" s="8" t="str">
        <f aca="false">INDEX(Bases!$B$2:$B$53,B588)</f>
        <v>Celebi</v>
      </c>
      <c r="E588" s="8" t="str">
        <f aca="false">INDEX(Bases!$B$2:$B$53,C588)</f>
        <v>Swinub</v>
      </c>
      <c r="F588" s="2" t="str">
        <f aca="false">LEFT(D588,ROUNDUP(LEN(D588)/2,0))&amp;LOWER(MID(E588,ROUNDUP(LEN(E588)/2,0)+1,20))</f>
        <v>Celnub</v>
      </c>
      <c r="G588" s="8" t="str">
        <f aca="false">INDEX(Bases!$C$2:$C$53,B588)</f>
        <v>Grass</v>
      </c>
      <c r="H588" s="8" t="str">
        <f aca="false">IF(INDEX(Bases!$C$2:$C$53,C588)=G588,"",INDEX(Bases!$C$2:$C$53,C588))</f>
        <v>Ice</v>
      </c>
      <c r="I588" s="8" t="str">
        <f aca="false">IF(INDEX(Bases!$E$2:$E$53,B588)="","",INDEX(Bases!$E$2:$E$53,B588))</f>
        <v/>
      </c>
      <c r="J588" s="8" t="str">
        <f aca="false">IF(INDEX(Bases!$E$2:$E$53,C588)="","",INDEX(Bases!$E$2:$E$53,C588))</f>
        <v/>
      </c>
      <c r="K588" s="5"/>
      <c r="L588" s="2" t="n">
        <f aca="false">AE588+IF(SUMPRODUCT(--($AL588:$AQ588&gt;AL588))&lt;$AK588,1,0)</f>
        <v>92</v>
      </c>
      <c r="M588" s="2" t="n">
        <f aca="false">AF588+IF(SUMPRODUCT(--($AL588:$AQ588&gt;AM588))+SUMPRODUCT(--($AL588:AL588=AM588))&lt;$AK588,1,0)</f>
        <v>91</v>
      </c>
      <c r="N588" s="2" t="n">
        <f aca="false">AG588+IF(SUMPRODUCT(--($AL588:$AQ588&gt;AN588))+SUMPRODUCT(--($AL588:AM588=AN588))&lt;$AK588,1,0)</f>
        <v>80</v>
      </c>
      <c r="O588" s="2" t="n">
        <f aca="false">AH588+IF(SUMPRODUCT(--($AL588:$AQ588&gt;AO588))+SUMPRODUCT(--($AL588:AN588=AO588))&lt;$AK588,1,0)</f>
        <v>73</v>
      </c>
      <c r="P588" s="2" t="n">
        <f aca="false">AI588+IF(SUMPRODUCT(--($AL588:$AQ588&gt;AP588))+SUMPRODUCT(--($AL588:AO588=AP588))&lt;$AK588,1,0)</f>
        <v>73</v>
      </c>
      <c r="Q588" s="2" t="n">
        <f aca="false">AJ588+IF(SUMPRODUCT(--($AL588:$AQ588&gt;AQ588))+SUMPRODUCT(--($AL588:AP588=AQ588))&lt;$AK588,1,0)</f>
        <v>91</v>
      </c>
      <c r="R588" s="2" t="n">
        <f aca="false">SUM(L588:Q588)</f>
        <v>500</v>
      </c>
      <c r="S588" s="2" t="n">
        <f aca="false">Settings!$B$4*MAX(INDEX(Bases!$M$2:$M$53,B588),INDEX(Bases!$M$2:$M$53,C588))+Settings!$B$5*MIN(INDEX(Bases!$M$2:$M$53,B588),INDEX(Bases!$M$2:$M$53,C588))</f>
        <v>75.6666666666667</v>
      </c>
      <c r="T588" s="2" t="n">
        <f aca="false">Settings!$B$4*MAX(INDEX(Bases!$N$2:$N$53,B588),INDEX(Bases!$N$2:$N$53,C588))+Settings!$B$5*MIN(INDEX(Bases!$N$2:$N$53,B588),INDEX(Bases!$N$2:$N$53,C588))</f>
        <v>75.6666666666667</v>
      </c>
      <c r="U588" s="2" t="n">
        <f aca="false">Settings!$B$4*MAX(INDEX(Bases!$O$2:$O$53,B588),INDEX(Bases!$O$2:$O$53,C588))+Settings!$B$5*MIN(INDEX(Bases!$O$2:$O$53,B588),INDEX(Bases!$O$2:$O$53,C588))</f>
        <v>66</v>
      </c>
      <c r="V588" s="2" t="n">
        <f aca="false">Settings!$B$4*MAX(INDEX(Bases!$P$2:$P$53,B588),INDEX(Bases!$P$2:$P$53,C588))+Settings!$B$5*MIN(INDEX(Bases!$P$2:$P$53,B588),INDEX(Bases!$P$2:$P$53,C588))</f>
        <v>60.6666666666667</v>
      </c>
      <c r="W588" s="2" t="n">
        <f aca="false">Settings!$B$4*MAX(INDEX(Bases!$Q$2:$Q$53,B588),INDEX(Bases!$Q$2:$Q$53,C588))+Settings!$B$5*MIN(INDEX(Bases!$Q$2:$Q$53,B588),INDEX(Bases!$Q$2:$Q$53,C588))</f>
        <v>60</v>
      </c>
      <c r="X588" s="2" t="n">
        <f aca="false">Settings!$B$4*MAX(INDEX(Bases!$R$2:$R$53,B588),INDEX(Bases!$R$2:$R$53,C588))+Settings!$B$5*MIN(INDEX(Bases!$R$2:$R$53,B588),INDEX(Bases!$R$2:$R$53,C588))</f>
        <v>75.3333333333333</v>
      </c>
      <c r="Y588" s="2" t="n">
        <f aca="false">S588*Settings!$B$3/SUM(S588:X588)</f>
        <v>91.5322580645161</v>
      </c>
      <c r="Z588" s="2" t="n">
        <f aca="false">T588*Settings!$B$3/SUM(S588:X588)</f>
        <v>91.5322580645161</v>
      </c>
      <c r="AA588" s="2" t="n">
        <f aca="false">U588*Settings!$B$3/SUM(S588:X588)</f>
        <v>79.8387096774194</v>
      </c>
      <c r="AB588" s="2" t="n">
        <f aca="false">V588*Settings!$B$3/SUM(S588:X588)</f>
        <v>73.3870967741936</v>
      </c>
      <c r="AC588" s="2" t="n">
        <f aca="false">W588*Settings!$B$3/SUM(S588:X588)</f>
        <v>72.5806451612903</v>
      </c>
      <c r="AD588" s="2" t="n">
        <f aca="false">X588*Settings!$B$3/SUM(S588:X588)</f>
        <v>91.1290322580645</v>
      </c>
      <c r="AE588" s="2" t="n">
        <f aca="false">INT(Y588)</f>
        <v>91</v>
      </c>
      <c r="AF588" s="2" t="n">
        <f aca="false">INT(Z588)</f>
        <v>91</v>
      </c>
      <c r="AG588" s="2" t="n">
        <f aca="false">INT(AA588)</f>
        <v>79</v>
      </c>
      <c r="AH588" s="2" t="n">
        <f aca="false">INT(AB588)</f>
        <v>73</v>
      </c>
      <c r="AI588" s="2" t="n">
        <f aca="false">INT(AC588)</f>
        <v>72</v>
      </c>
      <c r="AJ588" s="2" t="n">
        <f aca="false">INT(AD588)</f>
        <v>91</v>
      </c>
      <c r="AK588" s="2" t="n">
        <f aca="false">Settings!$B$3-SUM(AE588:AJ588)</f>
        <v>3</v>
      </c>
      <c r="AL588" s="2" t="n">
        <f aca="false">ROUND(Y588-AE588,9)</f>
        <v>0.532258065</v>
      </c>
      <c r="AM588" s="2" t="n">
        <f aca="false">ROUND(Z588-AF588,9)</f>
        <v>0.532258065</v>
      </c>
      <c r="AN588" s="2" t="n">
        <f aca="false">ROUND(AA588-AG588,9)</f>
        <v>0.838709677</v>
      </c>
      <c r="AO588" s="2" t="n">
        <f aca="false">ROUND(AB588-AH588,9)</f>
        <v>0.387096774</v>
      </c>
      <c r="AP588" s="2" t="n">
        <f aca="false">ROUND(AC588-AI588,9)</f>
        <v>0.580645161</v>
      </c>
      <c r="AQ588" s="2" t="n">
        <f aca="false">ROUND(AD588-AJ588,9)</f>
        <v>0.129032258</v>
      </c>
    </row>
    <row r="589" customFormat="false" ht="15" hidden="false" customHeight="false" outlineLevel="0" collapsed="false">
      <c r="A589" s="2" t="n">
        <v>588</v>
      </c>
      <c r="B589" s="6" t="n">
        <v>14</v>
      </c>
      <c r="C589" s="6" t="n">
        <v>17</v>
      </c>
      <c r="D589" s="8" t="str">
        <f aca="false">INDEX(Bases!$B$2:$B$53,B589)</f>
        <v>Celebi</v>
      </c>
      <c r="E589" s="8" t="str">
        <f aca="false">INDEX(Bases!$B$2:$B$53,C589)</f>
        <v>Snorunt</v>
      </c>
      <c r="F589" s="2" t="str">
        <f aca="false">LEFT(D589,ROUNDUP(LEN(D589)/2,0))&amp;LOWER(MID(E589,ROUNDUP(LEN(E589)/2,0)+1,20))</f>
        <v>Celunt</v>
      </c>
      <c r="G589" s="8" t="str">
        <f aca="false">INDEX(Bases!$C$2:$C$53,B589)</f>
        <v>Grass</v>
      </c>
      <c r="H589" s="8" t="str">
        <f aca="false">IF(INDEX(Bases!$C$2:$C$53,C589)=G589,"",INDEX(Bases!$C$2:$C$53,C589))</f>
        <v>Ice</v>
      </c>
      <c r="I589" s="8" t="str">
        <f aca="false">IF(INDEX(Bases!$E$2:$E$53,B589)="","",INDEX(Bases!$E$2:$E$53,B589))</f>
        <v/>
      </c>
      <c r="J589" s="8" t="str">
        <f aca="false">IF(INDEX(Bases!$E$2:$E$53,C589)="","",INDEX(Bases!$E$2:$E$53,C589))</f>
        <v/>
      </c>
      <c r="K589" s="5"/>
      <c r="L589" s="2" t="n">
        <f aca="false">AE589+IF(SUMPRODUCT(--($AL589:$AQ589&gt;AL589))&lt;$AK589,1,0)</f>
        <v>84</v>
      </c>
      <c r="M589" s="2" t="n">
        <f aca="false">AF589+IF(SUMPRODUCT(--($AL589:$AQ589&gt;AM589))+SUMPRODUCT(--($AL589:AL589=AM589))&lt;$AK589,1,0)</f>
        <v>84</v>
      </c>
      <c r="N589" s="2" t="n">
        <f aca="false">AG589+IF(SUMPRODUCT(--($AL589:$AQ589&gt;AN589))+SUMPRODUCT(--($AL589:AM589=AN589))&lt;$AK589,1,0)</f>
        <v>84</v>
      </c>
      <c r="O589" s="2" t="n">
        <f aca="false">AH589+IF(SUMPRODUCT(--($AL589:$AQ589&gt;AO589))+SUMPRODUCT(--($AL589:AN589=AO589))&lt;$AK589,1,0)</f>
        <v>84</v>
      </c>
      <c r="P589" s="2" t="n">
        <f aca="false">AI589+IF(SUMPRODUCT(--($AL589:$AQ589&gt;AP589))+SUMPRODUCT(--($AL589:AO589=AP589))&lt;$AK589,1,0)</f>
        <v>82</v>
      </c>
      <c r="Q589" s="2" t="n">
        <f aca="false">AJ589+IF(SUMPRODUCT(--($AL589:$AQ589&gt;AQ589))+SUMPRODUCT(--($AL589:AP589=AQ589))&lt;$AK589,1,0)</f>
        <v>82</v>
      </c>
      <c r="R589" s="2" t="n">
        <f aca="false">SUM(L589:Q589)</f>
        <v>500</v>
      </c>
      <c r="S589" s="2" t="n">
        <f aca="false">Settings!$B$4*MAX(INDEX(Bases!$M$2:$M$53,B589),INDEX(Bases!$M$2:$M$53,C589))+Settings!$B$5*MIN(INDEX(Bases!$M$2:$M$53,B589),INDEX(Bases!$M$2:$M$53,C589))</f>
        <v>67</v>
      </c>
      <c r="T589" s="2" t="n">
        <f aca="false">Settings!$B$4*MAX(INDEX(Bases!$N$2:$N$53,B589),INDEX(Bases!$N$2:$N$53,C589))+Settings!$B$5*MIN(INDEX(Bases!$N$2:$N$53,B589),INDEX(Bases!$N$2:$N$53,C589))</f>
        <v>67</v>
      </c>
      <c r="U589" s="2" t="n">
        <f aca="false">Settings!$B$4*MAX(INDEX(Bases!$O$2:$O$53,B589),INDEX(Bases!$O$2:$O$53,C589))+Settings!$B$5*MIN(INDEX(Bases!$O$2:$O$53,B589),INDEX(Bases!$O$2:$O$53,C589))</f>
        <v>67</v>
      </c>
      <c r="V589" s="2" t="n">
        <f aca="false">Settings!$B$4*MAX(INDEX(Bases!$P$2:$P$53,B589),INDEX(Bases!$P$2:$P$53,C589))+Settings!$B$5*MIN(INDEX(Bases!$P$2:$P$53,B589),INDEX(Bases!$P$2:$P$53,C589))</f>
        <v>67</v>
      </c>
      <c r="W589" s="2" t="n">
        <f aca="false">Settings!$B$4*MAX(INDEX(Bases!$Q$2:$Q$53,B589),INDEX(Bases!$Q$2:$Q$53,C589))+Settings!$B$5*MIN(INDEX(Bases!$Q$2:$Q$53,B589),INDEX(Bases!$Q$2:$Q$53,C589))</f>
        <v>66</v>
      </c>
      <c r="X589" s="2" t="n">
        <f aca="false">Settings!$B$4*MAX(INDEX(Bases!$R$2:$R$53,B589),INDEX(Bases!$R$2:$R$53,C589))+Settings!$B$5*MIN(INDEX(Bases!$R$2:$R$53,B589),INDEX(Bases!$R$2:$R$53,C589))</f>
        <v>66</v>
      </c>
      <c r="Y589" s="2" t="n">
        <f aca="false">S589*Settings!$B$3/SUM(S589:X589)</f>
        <v>83.75</v>
      </c>
      <c r="Z589" s="2" t="n">
        <f aca="false">T589*Settings!$B$3/SUM(S589:X589)</f>
        <v>83.75</v>
      </c>
      <c r="AA589" s="2" t="n">
        <f aca="false">U589*Settings!$B$3/SUM(S589:X589)</f>
        <v>83.75</v>
      </c>
      <c r="AB589" s="2" t="n">
        <f aca="false">V589*Settings!$B$3/SUM(S589:X589)</f>
        <v>83.75</v>
      </c>
      <c r="AC589" s="2" t="n">
        <f aca="false">W589*Settings!$B$3/SUM(S589:X589)</f>
        <v>82.5</v>
      </c>
      <c r="AD589" s="2" t="n">
        <f aca="false">X589*Settings!$B$3/SUM(S589:X589)</f>
        <v>82.5</v>
      </c>
      <c r="AE589" s="2" t="n">
        <f aca="false">INT(Y589)</f>
        <v>83</v>
      </c>
      <c r="AF589" s="2" t="n">
        <f aca="false">INT(Z589)</f>
        <v>83</v>
      </c>
      <c r="AG589" s="2" t="n">
        <f aca="false">INT(AA589)</f>
        <v>83</v>
      </c>
      <c r="AH589" s="2" t="n">
        <f aca="false">INT(AB589)</f>
        <v>83</v>
      </c>
      <c r="AI589" s="2" t="n">
        <f aca="false">INT(AC589)</f>
        <v>82</v>
      </c>
      <c r="AJ589" s="2" t="n">
        <f aca="false">INT(AD589)</f>
        <v>82</v>
      </c>
      <c r="AK589" s="2" t="n">
        <f aca="false">Settings!$B$3-SUM(AE589:AJ589)</f>
        <v>4</v>
      </c>
      <c r="AL589" s="2" t="n">
        <f aca="false">ROUND(Y589-AE589,9)</f>
        <v>0.75</v>
      </c>
      <c r="AM589" s="2" t="n">
        <f aca="false">ROUND(Z589-AF589,9)</f>
        <v>0.75</v>
      </c>
      <c r="AN589" s="2" t="n">
        <f aca="false">ROUND(AA589-AG589,9)</f>
        <v>0.75</v>
      </c>
      <c r="AO589" s="2" t="n">
        <f aca="false">ROUND(AB589-AH589,9)</f>
        <v>0.75</v>
      </c>
      <c r="AP589" s="2" t="n">
        <f aca="false">ROUND(AC589-AI589,9)</f>
        <v>0.5</v>
      </c>
      <c r="AQ589" s="2" t="n">
        <f aca="false">ROUND(AD589-AJ589,9)</f>
        <v>0.5</v>
      </c>
    </row>
    <row r="590" customFormat="false" ht="15" hidden="false" customHeight="false" outlineLevel="0" collapsed="false">
      <c r="A590" s="2" t="n">
        <v>589</v>
      </c>
      <c r="B590" s="6" t="n">
        <v>14</v>
      </c>
      <c r="C590" s="6" t="n">
        <v>18</v>
      </c>
      <c r="D590" s="8" t="str">
        <f aca="false">INDEX(Bases!$B$2:$B$53,B590)</f>
        <v>Celebi</v>
      </c>
      <c r="E590" s="8" t="str">
        <f aca="false">INDEX(Bases!$B$2:$B$53,C590)</f>
        <v>Spheal</v>
      </c>
      <c r="F590" s="2" t="str">
        <f aca="false">LEFT(D590,ROUNDUP(LEN(D590)/2,0))&amp;LOWER(MID(E590,ROUNDUP(LEN(E590)/2,0)+1,20))</f>
        <v>Celeal</v>
      </c>
      <c r="G590" s="8" t="str">
        <f aca="false">INDEX(Bases!$C$2:$C$53,B590)</f>
        <v>Grass</v>
      </c>
      <c r="H590" s="8" t="str">
        <f aca="false">IF(INDEX(Bases!$C$2:$C$53,C590)=G590,"",INDEX(Bases!$C$2:$C$53,C590))</f>
        <v>Ice</v>
      </c>
      <c r="I590" s="8" t="str">
        <f aca="false">IF(INDEX(Bases!$E$2:$E$53,B590)="","",INDEX(Bases!$E$2:$E$53,B590))</f>
        <v/>
      </c>
      <c r="J590" s="8" t="str">
        <f aca="false">IF(INDEX(Bases!$E$2:$E$53,C590)="","",INDEX(Bases!$E$2:$E$53,C590))</f>
        <v/>
      </c>
      <c r="K590" s="5"/>
      <c r="L590" s="2" t="n">
        <f aca="false">AE590+IF(SUMPRODUCT(--($AL590:$AQ590&gt;AL590))&lt;$AK590,1,0)</f>
        <v>105</v>
      </c>
      <c r="M590" s="2" t="n">
        <f aca="false">AF590+IF(SUMPRODUCT(--($AL590:$AQ590&gt;AM590))+SUMPRODUCT(--($AL590:AL590=AM590))&lt;$AK590,1,0)</f>
        <v>76</v>
      </c>
      <c r="N590" s="2" t="n">
        <f aca="false">AG590+IF(SUMPRODUCT(--($AL590:$AQ590&gt;AN590))+SUMPRODUCT(--($AL590:AM590=AN590))&lt;$AK590,1,0)</f>
        <v>82</v>
      </c>
      <c r="O590" s="2" t="n">
        <f aca="false">AH590+IF(SUMPRODUCT(--($AL590:$AQ590&gt;AO590))+SUMPRODUCT(--($AL590:AN590=AO590))&lt;$AK590,1,0)</f>
        <v>88</v>
      </c>
      <c r="P590" s="2" t="n">
        <f aca="false">AI590+IF(SUMPRODUCT(--($AL590:$AQ590&gt;AP590))+SUMPRODUCT(--($AL590:AO590=AP590))&lt;$AK590,1,0)</f>
        <v>82</v>
      </c>
      <c r="Q590" s="2" t="n">
        <f aca="false">AJ590+IF(SUMPRODUCT(--($AL590:$AQ590&gt;AQ590))+SUMPRODUCT(--($AL590:AP590=AQ590))&lt;$AK590,1,0)</f>
        <v>67</v>
      </c>
      <c r="R590" s="2" t="n">
        <f aca="false">SUM(L590:Q590)</f>
        <v>500</v>
      </c>
      <c r="S590" s="2" t="n">
        <f aca="false">Settings!$B$4*MAX(INDEX(Bases!$M$2:$M$53,B590),INDEX(Bases!$M$2:$M$53,C590))+Settings!$B$5*MIN(INDEX(Bases!$M$2:$M$53,B590),INDEX(Bases!$M$2:$M$53,C590))</f>
        <v>87</v>
      </c>
      <c r="T590" s="2" t="n">
        <f aca="false">Settings!$B$4*MAX(INDEX(Bases!$N$2:$N$53,B590),INDEX(Bases!$N$2:$N$53,C590))+Settings!$B$5*MIN(INDEX(Bases!$N$2:$N$53,B590),INDEX(Bases!$N$2:$N$53,C590))</f>
        <v>63</v>
      </c>
      <c r="U590" s="2" t="n">
        <f aca="false">Settings!$B$4*MAX(INDEX(Bases!$O$2:$O$53,B590),INDEX(Bases!$O$2:$O$53,C590))+Settings!$B$5*MIN(INDEX(Bases!$O$2:$O$53,B590),INDEX(Bases!$O$2:$O$53,C590))</f>
        <v>68.3333333333333</v>
      </c>
      <c r="V590" s="2" t="n">
        <f aca="false">Settings!$B$4*MAX(INDEX(Bases!$P$2:$P$53,B590),INDEX(Bases!$P$2:$P$53,C590))+Settings!$B$5*MIN(INDEX(Bases!$P$2:$P$53,B590),INDEX(Bases!$P$2:$P$53,C590))</f>
        <v>73</v>
      </c>
      <c r="W590" s="2" t="n">
        <f aca="false">Settings!$B$4*MAX(INDEX(Bases!$Q$2:$Q$53,B590),INDEX(Bases!$Q$2:$Q$53,C590))+Settings!$B$5*MIN(INDEX(Bases!$Q$2:$Q$53,B590),INDEX(Bases!$Q$2:$Q$53,C590))</f>
        <v>68</v>
      </c>
      <c r="X590" s="2" t="n">
        <f aca="false">Settings!$B$4*MAX(INDEX(Bases!$R$2:$R$53,B590),INDEX(Bases!$R$2:$R$53,C590))+Settings!$B$5*MIN(INDEX(Bases!$R$2:$R$53,B590),INDEX(Bases!$R$2:$R$53,C590))</f>
        <v>55.3333333333333</v>
      </c>
      <c r="Y590" s="2" t="n">
        <f aca="false">S590*Settings!$B$3/SUM(S590:X590)</f>
        <v>104.903536977492</v>
      </c>
      <c r="Z590" s="2" t="n">
        <f aca="false">T590*Settings!$B$3/SUM(S590:X590)</f>
        <v>75.9646302250804</v>
      </c>
      <c r="AA590" s="2" t="n">
        <f aca="false">U590*Settings!$B$3/SUM(S590:X590)</f>
        <v>82.395498392283</v>
      </c>
      <c r="AB590" s="2" t="n">
        <f aca="false">V590*Settings!$B$3/SUM(S590:X590)</f>
        <v>88.0225080385852</v>
      </c>
      <c r="AC590" s="2" t="n">
        <f aca="false">W590*Settings!$B$3/SUM(S590:X590)</f>
        <v>81.9935691318328</v>
      </c>
      <c r="AD590" s="2" t="n">
        <f aca="false">X590*Settings!$B$3/SUM(S590:X590)</f>
        <v>66.7202572347267</v>
      </c>
      <c r="AE590" s="2" t="n">
        <f aca="false">INT(Y590)</f>
        <v>104</v>
      </c>
      <c r="AF590" s="2" t="n">
        <f aca="false">INT(Z590)</f>
        <v>75</v>
      </c>
      <c r="AG590" s="2" t="n">
        <f aca="false">INT(AA590)</f>
        <v>82</v>
      </c>
      <c r="AH590" s="2" t="n">
        <f aca="false">INT(AB590)</f>
        <v>88</v>
      </c>
      <c r="AI590" s="2" t="n">
        <f aca="false">INT(AC590)</f>
        <v>81</v>
      </c>
      <c r="AJ590" s="2" t="n">
        <f aca="false">INT(AD590)</f>
        <v>66</v>
      </c>
      <c r="AK590" s="2" t="n">
        <f aca="false">Settings!$B$3-SUM(AE590:AJ590)</f>
        <v>4</v>
      </c>
      <c r="AL590" s="2" t="n">
        <f aca="false">ROUND(Y590-AE590,9)</f>
        <v>0.903536977</v>
      </c>
      <c r="AM590" s="2" t="n">
        <f aca="false">ROUND(Z590-AF590,9)</f>
        <v>0.964630225</v>
      </c>
      <c r="AN590" s="2" t="n">
        <f aca="false">ROUND(AA590-AG590,9)</f>
        <v>0.395498392</v>
      </c>
      <c r="AO590" s="2" t="n">
        <f aca="false">ROUND(AB590-AH590,9)</f>
        <v>0.022508039</v>
      </c>
      <c r="AP590" s="2" t="n">
        <f aca="false">ROUND(AC590-AI590,9)</f>
        <v>0.993569132</v>
      </c>
      <c r="AQ590" s="2" t="n">
        <f aca="false">ROUND(AD590-AJ590,9)</f>
        <v>0.720257235</v>
      </c>
    </row>
    <row r="591" customFormat="false" ht="15" hidden="false" customHeight="false" outlineLevel="0" collapsed="false">
      <c r="A591" s="2" t="n">
        <v>590</v>
      </c>
      <c r="B591" s="6" t="n">
        <v>14</v>
      </c>
      <c r="C591" s="6" t="n">
        <v>19</v>
      </c>
      <c r="D591" s="8" t="str">
        <f aca="false">INDEX(Bases!$B$2:$B$53,B591)</f>
        <v>Celebi</v>
      </c>
      <c r="E591" s="8" t="str">
        <f aca="false">INDEX(Bases!$B$2:$B$53,C591)</f>
        <v>Mankey</v>
      </c>
      <c r="F591" s="2" t="str">
        <f aca="false">LEFT(D591,ROUNDUP(LEN(D591)/2,0))&amp;LOWER(MID(E591,ROUNDUP(LEN(E591)/2,0)+1,20))</f>
        <v>Celkey</v>
      </c>
      <c r="G591" s="8" t="str">
        <f aca="false">INDEX(Bases!$C$2:$C$53,B591)</f>
        <v>Grass</v>
      </c>
      <c r="H591" s="8" t="str">
        <f aca="false">IF(INDEX(Bases!$C$2:$C$53,C591)=G591,"",INDEX(Bases!$C$2:$C$53,C591))</f>
        <v>Fighting</v>
      </c>
      <c r="I591" s="8" t="str">
        <f aca="false">IF(INDEX(Bases!$E$2:$E$53,B591)="","",INDEX(Bases!$E$2:$E$53,B591))</f>
        <v/>
      </c>
      <c r="J591" s="8" t="str">
        <f aca="false">IF(INDEX(Bases!$E$2:$E$53,C591)="","",INDEX(Bases!$E$2:$E$53,C591))</f>
        <v/>
      </c>
      <c r="K591" s="5"/>
      <c r="L591" s="2" t="n">
        <f aca="false">AE591+IF(SUMPRODUCT(--($AL591:$AQ591&gt;AL591))&lt;$AK591,1,0)</f>
        <v>74</v>
      </c>
      <c r="M591" s="2" t="n">
        <f aca="false">AF591+IF(SUMPRODUCT(--($AL591:$AQ591&gt;AM591))+SUMPRODUCT(--($AL591:AL591=AM591))&lt;$AK591,1,0)</f>
        <v>110</v>
      </c>
      <c r="N591" s="2" t="n">
        <f aca="false">AG591+IF(SUMPRODUCT(--($AL591:$AQ591&gt;AN591))+SUMPRODUCT(--($AL591:AM591=AN591))&lt;$AK591,1,0)</f>
        <v>71</v>
      </c>
      <c r="O591" s="2" t="n">
        <f aca="false">AH591+IF(SUMPRODUCT(--($AL591:$AQ591&gt;AO591))+SUMPRODUCT(--($AL591:AN591=AO591))&lt;$AK591,1,0)</f>
        <v>71</v>
      </c>
      <c r="P591" s="2" t="n">
        <f aca="false">AI591+IF(SUMPRODUCT(--($AL591:$AQ591&gt;AP591))+SUMPRODUCT(--($AL591:AO591=AP591))&lt;$AK591,1,0)</f>
        <v>75</v>
      </c>
      <c r="Q591" s="2" t="n">
        <f aca="false">AJ591+IF(SUMPRODUCT(--($AL591:$AQ591&gt;AQ591))+SUMPRODUCT(--($AL591:AP591=AQ591))&lt;$AK591,1,0)</f>
        <v>99</v>
      </c>
      <c r="R591" s="2" t="n">
        <f aca="false">SUM(L591:Q591)</f>
        <v>500</v>
      </c>
      <c r="S591" s="2" t="n">
        <f aca="false">Settings!$B$4*MAX(INDEX(Bases!$M$2:$M$53,B591),INDEX(Bases!$M$2:$M$53,C591))+Settings!$B$5*MIN(INDEX(Bases!$M$2:$M$53,B591),INDEX(Bases!$M$2:$M$53,C591))</f>
        <v>62</v>
      </c>
      <c r="T591" s="2" t="n">
        <f aca="false">Settings!$B$4*MAX(INDEX(Bases!$N$2:$N$53,B591),INDEX(Bases!$N$2:$N$53,C591))+Settings!$B$5*MIN(INDEX(Bases!$N$2:$N$53,B591),INDEX(Bases!$N$2:$N$53,C591))</f>
        <v>92.3333333333333</v>
      </c>
      <c r="U591" s="2" t="n">
        <f aca="false">Settings!$B$4*MAX(INDEX(Bases!$O$2:$O$53,B591),INDEX(Bases!$O$2:$O$53,C591))+Settings!$B$5*MIN(INDEX(Bases!$O$2:$O$53,B591),INDEX(Bases!$O$2:$O$53,C591))</f>
        <v>60</v>
      </c>
      <c r="V591" s="2" t="n">
        <f aca="false">Settings!$B$4*MAX(INDEX(Bases!$P$2:$P$53,B591),INDEX(Bases!$P$2:$P$53,C591))+Settings!$B$5*MIN(INDEX(Bases!$P$2:$P$53,B591),INDEX(Bases!$P$2:$P$53,C591))</f>
        <v>60</v>
      </c>
      <c r="W591" s="2" t="n">
        <f aca="false">Settings!$B$4*MAX(INDEX(Bases!$Q$2:$Q$53,B591),INDEX(Bases!$Q$2:$Q$53,C591))+Settings!$B$5*MIN(INDEX(Bases!$Q$2:$Q$53,B591),INDEX(Bases!$Q$2:$Q$53,C591))</f>
        <v>63.6666666666667</v>
      </c>
      <c r="X591" s="2" t="n">
        <f aca="false">Settings!$B$4*MAX(INDEX(Bases!$R$2:$R$53,B591),INDEX(Bases!$R$2:$R$53,C591))+Settings!$B$5*MIN(INDEX(Bases!$R$2:$R$53,B591),INDEX(Bases!$R$2:$R$53,C591))</f>
        <v>83.3333333333333</v>
      </c>
      <c r="Y591" s="2" t="n">
        <f aca="false">S591*Settings!$B$3/SUM(S591:X591)</f>
        <v>73.5759493670886</v>
      </c>
      <c r="Z591" s="2" t="n">
        <f aca="false">T591*Settings!$B$3/SUM(S591:X591)</f>
        <v>109.572784810127</v>
      </c>
      <c r="AA591" s="2" t="n">
        <f aca="false">U591*Settings!$B$3/SUM(S591:X591)</f>
        <v>71.2025316455696</v>
      </c>
      <c r="AB591" s="2" t="n">
        <f aca="false">V591*Settings!$B$3/SUM(S591:X591)</f>
        <v>71.2025316455696</v>
      </c>
      <c r="AC591" s="2" t="n">
        <f aca="false">W591*Settings!$B$3/SUM(S591:X591)</f>
        <v>75.5537974683545</v>
      </c>
      <c r="AD591" s="2" t="n">
        <f aca="false">X591*Settings!$B$3/SUM(S591:X591)</f>
        <v>98.8924050632911</v>
      </c>
      <c r="AE591" s="2" t="n">
        <f aca="false">INT(Y591)</f>
        <v>73</v>
      </c>
      <c r="AF591" s="2" t="n">
        <f aca="false">INT(Z591)</f>
        <v>109</v>
      </c>
      <c r="AG591" s="2" t="n">
        <f aca="false">INT(AA591)</f>
        <v>71</v>
      </c>
      <c r="AH591" s="2" t="n">
        <f aca="false">INT(AB591)</f>
        <v>71</v>
      </c>
      <c r="AI591" s="2" t="n">
        <f aca="false">INT(AC591)</f>
        <v>75</v>
      </c>
      <c r="AJ591" s="2" t="n">
        <f aca="false">INT(AD591)</f>
        <v>98</v>
      </c>
      <c r="AK591" s="2" t="n">
        <f aca="false">Settings!$B$3-SUM(AE591:AJ591)</f>
        <v>3</v>
      </c>
      <c r="AL591" s="2" t="n">
        <f aca="false">ROUND(Y591-AE591,9)</f>
        <v>0.575949367</v>
      </c>
      <c r="AM591" s="2" t="n">
        <f aca="false">ROUND(Z591-AF591,9)</f>
        <v>0.57278481</v>
      </c>
      <c r="AN591" s="2" t="n">
        <f aca="false">ROUND(AA591-AG591,9)</f>
        <v>0.202531646</v>
      </c>
      <c r="AO591" s="2" t="n">
        <f aca="false">ROUND(AB591-AH591,9)</f>
        <v>0.202531646</v>
      </c>
      <c r="AP591" s="2" t="n">
        <f aca="false">ROUND(AC591-AI591,9)</f>
        <v>0.553797468</v>
      </c>
      <c r="AQ591" s="2" t="n">
        <f aca="false">ROUND(AD591-AJ591,9)</f>
        <v>0.892405063</v>
      </c>
    </row>
    <row r="592" customFormat="false" ht="15" hidden="false" customHeight="false" outlineLevel="0" collapsed="false">
      <c r="A592" s="2" t="n">
        <v>591</v>
      </c>
      <c r="B592" s="6" t="n">
        <v>14</v>
      </c>
      <c r="C592" s="6" t="n">
        <v>20</v>
      </c>
      <c r="D592" s="8" t="str">
        <f aca="false">INDEX(Bases!$B$2:$B$53,B592)</f>
        <v>Celebi</v>
      </c>
      <c r="E592" s="8" t="str">
        <f aca="false">INDEX(Bases!$B$2:$B$53,C592)</f>
        <v>Tyrogue</v>
      </c>
      <c r="F592" s="2" t="str">
        <f aca="false">LEFT(D592,ROUNDUP(LEN(D592)/2,0))&amp;LOWER(MID(E592,ROUNDUP(LEN(E592)/2,0)+1,20))</f>
        <v>Celgue</v>
      </c>
      <c r="G592" s="8" t="str">
        <f aca="false">INDEX(Bases!$C$2:$C$53,B592)</f>
        <v>Grass</v>
      </c>
      <c r="H592" s="8" t="str">
        <f aca="false">IF(INDEX(Bases!$C$2:$C$53,C592)=G592,"",INDEX(Bases!$C$2:$C$53,C592))</f>
        <v>Fighting</v>
      </c>
      <c r="I592" s="8" t="str">
        <f aca="false">IF(INDEX(Bases!$E$2:$E$53,B592)="","",INDEX(Bases!$E$2:$E$53,B592))</f>
        <v/>
      </c>
      <c r="J592" s="8" t="str">
        <f aca="false">IF(INDEX(Bases!$E$2:$E$53,C592)="","",INDEX(Bases!$E$2:$E$53,C592))</f>
        <v/>
      </c>
      <c r="K592" s="5"/>
      <c r="L592" s="2" t="n">
        <f aca="false">AE592+IF(SUMPRODUCT(--($AL592:$AQ592&gt;AL592))&lt;$AK592,1,0)</f>
        <v>84</v>
      </c>
      <c r="M592" s="2" t="n">
        <f aca="false">AF592+IF(SUMPRODUCT(--($AL592:$AQ592&gt;AM592))+SUMPRODUCT(--($AL592:AL592=AM592))&lt;$AK592,1,0)</f>
        <v>84</v>
      </c>
      <c r="N592" s="2" t="n">
        <f aca="false">AG592+IF(SUMPRODUCT(--($AL592:$AQ592&gt;AN592))+SUMPRODUCT(--($AL592:AM592=AN592))&lt;$AK592,1,0)</f>
        <v>84</v>
      </c>
      <c r="O592" s="2" t="n">
        <f aca="false">AH592+IF(SUMPRODUCT(--($AL592:$AQ592&gt;AO592))+SUMPRODUCT(--($AL592:AN592=AO592))&lt;$AK592,1,0)</f>
        <v>84</v>
      </c>
      <c r="P592" s="2" t="n">
        <f aca="false">AI592+IF(SUMPRODUCT(--($AL592:$AQ592&gt;AP592))+SUMPRODUCT(--($AL592:AO592=AP592))&lt;$AK592,1,0)</f>
        <v>82</v>
      </c>
      <c r="Q592" s="2" t="n">
        <f aca="false">AJ592+IF(SUMPRODUCT(--($AL592:$AQ592&gt;AQ592))+SUMPRODUCT(--($AL592:AP592=AQ592))&lt;$AK592,1,0)</f>
        <v>82</v>
      </c>
      <c r="R592" s="2" t="n">
        <f aca="false">SUM(L592:Q592)</f>
        <v>500</v>
      </c>
      <c r="S592" s="2" t="n">
        <f aca="false">Settings!$B$4*MAX(INDEX(Bases!$M$2:$M$53,B592),INDEX(Bases!$M$2:$M$53,C592))+Settings!$B$5*MIN(INDEX(Bases!$M$2:$M$53,B592),INDEX(Bases!$M$2:$M$53,C592))</f>
        <v>67</v>
      </c>
      <c r="T592" s="2" t="n">
        <f aca="false">Settings!$B$4*MAX(INDEX(Bases!$N$2:$N$53,B592),INDEX(Bases!$N$2:$N$53,C592))+Settings!$B$5*MIN(INDEX(Bases!$N$2:$N$53,B592),INDEX(Bases!$N$2:$N$53,C592))</f>
        <v>67</v>
      </c>
      <c r="U592" s="2" t="n">
        <f aca="false">Settings!$B$4*MAX(INDEX(Bases!$O$2:$O$53,B592),INDEX(Bases!$O$2:$O$53,C592))+Settings!$B$5*MIN(INDEX(Bases!$O$2:$O$53,B592),INDEX(Bases!$O$2:$O$53,C592))</f>
        <v>67</v>
      </c>
      <c r="V592" s="2" t="n">
        <f aca="false">Settings!$B$4*MAX(INDEX(Bases!$P$2:$P$53,B592),INDEX(Bases!$P$2:$P$53,C592))+Settings!$B$5*MIN(INDEX(Bases!$P$2:$P$53,B592),INDEX(Bases!$P$2:$P$53,C592))</f>
        <v>67</v>
      </c>
      <c r="W592" s="2" t="n">
        <f aca="false">Settings!$B$4*MAX(INDEX(Bases!$Q$2:$Q$53,B592),INDEX(Bases!$Q$2:$Q$53,C592))+Settings!$B$5*MIN(INDEX(Bases!$Q$2:$Q$53,B592),INDEX(Bases!$Q$2:$Q$53,C592))</f>
        <v>66</v>
      </c>
      <c r="X592" s="2" t="n">
        <f aca="false">Settings!$B$4*MAX(INDEX(Bases!$R$2:$R$53,B592),INDEX(Bases!$R$2:$R$53,C592))+Settings!$B$5*MIN(INDEX(Bases!$R$2:$R$53,B592),INDEX(Bases!$R$2:$R$53,C592))</f>
        <v>66</v>
      </c>
      <c r="Y592" s="2" t="n">
        <f aca="false">S592*Settings!$B$3/SUM(S592:X592)</f>
        <v>83.75</v>
      </c>
      <c r="Z592" s="2" t="n">
        <f aca="false">T592*Settings!$B$3/SUM(S592:X592)</f>
        <v>83.75</v>
      </c>
      <c r="AA592" s="2" t="n">
        <f aca="false">U592*Settings!$B$3/SUM(S592:X592)</f>
        <v>83.75</v>
      </c>
      <c r="AB592" s="2" t="n">
        <f aca="false">V592*Settings!$B$3/SUM(S592:X592)</f>
        <v>83.75</v>
      </c>
      <c r="AC592" s="2" t="n">
        <f aca="false">W592*Settings!$B$3/SUM(S592:X592)</f>
        <v>82.5</v>
      </c>
      <c r="AD592" s="2" t="n">
        <f aca="false">X592*Settings!$B$3/SUM(S592:X592)</f>
        <v>82.5</v>
      </c>
      <c r="AE592" s="2" t="n">
        <f aca="false">INT(Y592)</f>
        <v>83</v>
      </c>
      <c r="AF592" s="2" t="n">
        <f aca="false">INT(Z592)</f>
        <v>83</v>
      </c>
      <c r="AG592" s="2" t="n">
        <f aca="false">INT(AA592)</f>
        <v>83</v>
      </c>
      <c r="AH592" s="2" t="n">
        <f aca="false">INT(AB592)</f>
        <v>83</v>
      </c>
      <c r="AI592" s="2" t="n">
        <f aca="false">INT(AC592)</f>
        <v>82</v>
      </c>
      <c r="AJ592" s="2" t="n">
        <f aca="false">INT(AD592)</f>
        <v>82</v>
      </c>
      <c r="AK592" s="2" t="n">
        <f aca="false">Settings!$B$3-SUM(AE592:AJ592)</f>
        <v>4</v>
      </c>
      <c r="AL592" s="2" t="n">
        <f aca="false">ROUND(Y592-AE592,9)</f>
        <v>0.75</v>
      </c>
      <c r="AM592" s="2" t="n">
        <f aca="false">ROUND(Z592-AF592,9)</f>
        <v>0.75</v>
      </c>
      <c r="AN592" s="2" t="n">
        <f aca="false">ROUND(AA592-AG592,9)</f>
        <v>0.75</v>
      </c>
      <c r="AO592" s="2" t="n">
        <f aca="false">ROUND(AB592-AH592,9)</f>
        <v>0.75</v>
      </c>
      <c r="AP592" s="2" t="n">
        <f aca="false">ROUND(AC592-AI592,9)</f>
        <v>0.5</v>
      </c>
      <c r="AQ592" s="2" t="n">
        <f aca="false">ROUND(AD592-AJ592,9)</f>
        <v>0.5</v>
      </c>
    </row>
    <row r="593" customFormat="false" ht="15" hidden="false" customHeight="false" outlineLevel="0" collapsed="false">
      <c r="A593" s="2" t="n">
        <v>592</v>
      </c>
      <c r="B593" s="6" t="n">
        <v>14</v>
      </c>
      <c r="C593" s="6" t="n">
        <v>21</v>
      </c>
      <c r="D593" s="8" t="str">
        <f aca="false">INDEX(Bases!$B$2:$B$53,B593)</f>
        <v>Celebi</v>
      </c>
      <c r="E593" s="8" t="str">
        <f aca="false">INDEX(Bases!$B$2:$B$53,C593)</f>
        <v>Makuhita</v>
      </c>
      <c r="F593" s="2" t="str">
        <f aca="false">LEFT(D593,ROUNDUP(LEN(D593)/2,0))&amp;LOWER(MID(E593,ROUNDUP(LEN(E593)/2,0)+1,20))</f>
        <v>Celhita</v>
      </c>
      <c r="G593" s="8" t="str">
        <f aca="false">INDEX(Bases!$C$2:$C$53,B593)</f>
        <v>Grass</v>
      </c>
      <c r="H593" s="8" t="str">
        <f aca="false">IF(INDEX(Bases!$C$2:$C$53,C593)=G593,"",INDEX(Bases!$C$2:$C$53,C593))</f>
        <v>Fighting</v>
      </c>
      <c r="I593" s="8" t="str">
        <f aca="false">IF(INDEX(Bases!$E$2:$E$53,B593)="","",INDEX(Bases!$E$2:$E$53,B593))</f>
        <v/>
      </c>
      <c r="J593" s="8" t="str">
        <f aca="false">IF(INDEX(Bases!$E$2:$E$53,C593)="","",INDEX(Bases!$E$2:$E$53,C593))</f>
        <v/>
      </c>
      <c r="K593" s="5"/>
      <c r="L593" s="2" t="n">
        <f aca="false">AE593+IF(SUMPRODUCT(--($AL593:$AQ593&gt;AL593))&lt;$AK593,1,0)</f>
        <v>120</v>
      </c>
      <c r="M593" s="2" t="n">
        <f aca="false">AF593+IF(SUMPRODUCT(--($AL593:$AQ593&gt;AM593))+SUMPRODUCT(--($AL593:AL593=AM593))&lt;$AK593,1,0)</f>
        <v>104</v>
      </c>
      <c r="N593" s="2" t="n">
        <f aca="false">AG593+IF(SUMPRODUCT(--($AL593:$AQ593&gt;AN593))+SUMPRODUCT(--($AL593:AM593=AN593))&lt;$AK593,1,0)</f>
        <v>72</v>
      </c>
      <c r="O593" s="2" t="n">
        <f aca="false">AH593+IF(SUMPRODUCT(--($AL593:$AQ593&gt;AO593))+SUMPRODUCT(--($AL593:AN593=AO593))&lt;$AK593,1,0)</f>
        <v>65</v>
      </c>
      <c r="P593" s="2" t="n">
        <f aca="false">AI593+IF(SUMPRODUCT(--($AL593:$AQ593&gt;AP593))+SUMPRODUCT(--($AL593:AO593=AP593))&lt;$AK593,1,0)</f>
        <v>71</v>
      </c>
      <c r="Q593" s="2" t="n">
        <f aca="false">AJ593+IF(SUMPRODUCT(--($AL593:$AQ593&gt;AQ593))+SUMPRODUCT(--($AL593:AP593=AQ593))&lt;$AK593,1,0)</f>
        <v>68</v>
      </c>
      <c r="R593" s="2" t="n">
        <f aca="false">SUM(L593:Q593)</f>
        <v>500</v>
      </c>
      <c r="S593" s="2" t="n">
        <f aca="false">Settings!$B$4*MAX(INDEX(Bases!$M$2:$M$53,B593),INDEX(Bases!$M$2:$M$53,C593))+Settings!$B$5*MIN(INDEX(Bases!$M$2:$M$53,B593),INDEX(Bases!$M$2:$M$53,C593))</f>
        <v>103</v>
      </c>
      <c r="T593" s="2" t="n">
        <f aca="false">Settings!$B$4*MAX(INDEX(Bases!$N$2:$N$53,B593),INDEX(Bases!$N$2:$N$53,C593))+Settings!$B$5*MIN(INDEX(Bases!$N$2:$N$53,B593),INDEX(Bases!$N$2:$N$53,C593))</f>
        <v>89.6666666666667</v>
      </c>
      <c r="U593" s="2" t="n">
        <f aca="false">Settings!$B$4*MAX(INDEX(Bases!$O$2:$O$53,B593),INDEX(Bases!$O$2:$O$53,C593))+Settings!$B$5*MIN(INDEX(Bases!$O$2:$O$53,B593),INDEX(Bases!$O$2:$O$53,C593))</f>
        <v>61.6666666666667</v>
      </c>
      <c r="V593" s="2" t="n">
        <f aca="false">Settings!$B$4*MAX(INDEX(Bases!$P$2:$P$53,B593),INDEX(Bases!$P$2:$P$53,C593))+Settings!$B$5*MIN(INDEX(Bases!$P$2:$P$53,B593),INDEX(Bases!$P$2:$P$53,C593))</f>
        <v>56</v>
      </c>
      <c r="W593" s="2" t="n">
        <f aca="false">Settings!$B$4*MAX(INDEX(Bases!$Q$2:$Q$53,B593),INDEX(Bases!$Q$2:$Q$53,C593))+Settings!$B$5*MIN(INDEX(Bases!$Q$2:$Q$53,B593),INDEX(Bases!$Q$2:$Q$53,C593))</f>
        <v>61</v>
      </c>
      <c r="X593" s="2" t="n">
        <f aca="false">Settings!$B$4*MAX(INDEX(Bases!$R$2:$R$53,B593),INDEX(Bases!$R$2:$R$53,C593))+Settings!$B$5*MIN(INDEX(Bases!$R$2:$R$53,B593),INDEX(Bases!$R$2:$R$53,C593))</f>
        <v>58</v>
      </c>
      <c r="Y593" s="2" t="n">
        <f aca="false">S593*Settings!$B$3/SUM(S593:X593)</f>
        <v>119.953416149068</v>
      </c>
      <c r="Z593" s="2" t="n">
        <f aca="false">T593*Settings!$B$3/SUM(S593:X593)</f>
        <v>104.425465838509</v>
      </c>
      <c r="AA593" s="2" t="n">
        <f aca="false">U593*Settings!$B$3/SUM(S593:X593)</f>
        <v>71.8167701863354</v>
      </c>
      <c r="AB593" s="2" t="n">
        <f aca="false">V593*Settings!$B$3/SUM(S593:X593)</f>
        <v>65.2173913043478</v>
      </c>
      <c r="AC593" s="2" t="n">
        <f aca="false">W593*Settings!$B$3/SUM(S593:X593)</f>
        <v>71.0403726708075</v>
      </c>
      <c r="AD593" s="2" t="n">
        <f aca="false">X593*Settings!$B$3/SUM(S593:X593)</f>
        <v>67.5465838509317</v>
      </c>
      <c r="AE593" s="2" t="n">
        <f aca="false">INT(Y593)</f>
        <v>119</v>
      </c>
      <c r="AF593" s="2" t="n">
        <f aca="false">INT(Z593)</f>
        <v>104</v>
      </c>
      <c r="AG593" s="2" t="n">
        <f aca="false">INT(AA593)</f>
        <v>71</v>
      </c>
      <c r="AH593" s="2" t="n">
        <f aca="false">INT(AB593)</f>
        <v>65</v>
      </c>
      <c r="AI593" s="2" t="n">
        <f aca="false">INT(AC593)</f>
        <v>71</v>
      </c>
      <c r="AJ593" s="2" t="n">
        <f aca="false">INT(AD593)</f>
        <v>67</v>
      </c>
      <c r="AK593" s="2" t="n">
        <f aca="false">Settings!$B$3-SUM(AE593:AJ593)</f>
        <v>3</v>
      </c>
      <c r="AL593" s="2" t="n">
        <f aca="false">ROUND(Y593-AE593,9)</f>
        <v>0.953416149</v>
      </c>
      <c r="AM593" s="2" t="n">
        <f aca="false">ROUND(Z593-AF593,9)</f>
        <v>0.425465839</v>
      </c>
      <c r="AN593" s="2" t="n">
        <f aca="false">ROUND(AA593-AG593,9)</f>
        <v>0.816770186</v>
      </c>
      <c r="AO593" s="2" t="n">
        <f aca="false">ROUND(AB593-AH593,9)</f>
        <v>0.217391304</v>
      </c>
      <c r="AP593" s="2" t="n">
        <f aca="false">ROUND(AC593-AI593,9)</f>
        <v>0.040372671</v>
      </c>
      <c r="AQ593" s="2" t="n">
        <f aca="false">ROUND(AD593-AJ593,9)</f>
        <v>0.546583851</v>
      </c>
    </row>
    <row r="594" customFormat="false" ht="15" hidden="false" customHeight="false" outlineLevel="0" collapsed="false">
      <c r="A594" s="2" t="n">
        <v>593</v>
      </c>
      <c r="B594" s="6" t="n">
        <v>14</v>
      </c>
      <c r="C594" s="6" t="n">
        <v>22</v>
      </c>
      <c r="D594" s="8" t="str">
        <f aca="false">INDEX(Bases!$B$2:$B$53,B594)</f>
        <v>Celebi</v>
      </c>
      <c r="E594" s="8" t="str">
        <f aca="false">INDEX(Bases!$B$2:$B$53,C594)</f>
        <v>Ekans</v>
      </c>
      <c r="F594" s="2" t="str">
        <f aca="false">LEFT(D594,ROUNDUP(LEN(D594)/2,0))&amp;LOWER(MID(E594,ROUNDUP(LEN(E594)/2,0)+1,20))</f>
        <v>Celns</v>
      </c>
      <c r="G594" s="8" t="str">
        <f aca="false">INDEX(Bases!$C$2:$C$53,B594)</f>
        <v>Grass</v>
      </c>
      <c r="H594" s="8" t="str">
        <f aca="false">IF(INDEX(Bases!$C$2:$C$53,C594)=G594,"",INDEX(Bases!$C$2:$C$53,C594))</f>
        <v>Poison</v>
      </c>
      <c r="I594" s="8" t="str">
        <f aca="false">IF(INDEX(Bases!$E$2:$E$53,B594)="","",INDEX(Bases!$E$2:$E$53,B594))</f>
        <v/>
      </c>
      <c r="J594" s="8" t="str">
        <f aca="false">IF(INDEX(Bases!$E$2:$E$53,C594)="","",INDEX(Bases!$E$2:$E$53,C594))</f>
        <v/>
      </c>
      <c r="K594" s="5"/>
      <c r="L594" s="2" t="n">
        <f aca="false">AE594+IF(SUMPRODUCT(--($AL594:$AQ594&gt;AL594))&lt;$AK594,1,0)</f>
        <v>74</v>
      </c>
      <c r="M594" s="2" t="n">
        <f aca="false">AF594+IF(SUMPRODUCT(--($AL594:$AQ594&gt;AM594))+SUMPRODUCT(--($AL594:AL594=AM594))&lt;$AK594,1,0)</f>
        <v>94</v>
      </c>
      <c r="N594" s="2" t="n">
        <f aca="false">AG594+IF(SUMPRODUCT(--($AL594:$AQ594&gt;AN594))+SUMPRODUCT(--($AL594:AM594=AN594))&lt;$AK594,1,0)</f>
        <v>79</v>
      </c>
      <c r="O594" s="2" t="n">
        <f aca="false">AH594+IF(SUMPRODUCT(--($AL594:$AQ594&gt;AO594))+SUMPRODUCT(--($AL594:AN594=AO594))&lt;$AK594,1,0)</f>
        <v>77</v>
      </c>
      <c r="P594" s="2" t="n">
        <f aca="false">AI594+IF(SUMPRODUCT(--($AL594:$AQ594&gt;AP594))+SUMPRODUCT(--($AL594:AO594=AP594))&lt;$AK594,1,0)</f>
        <v>88</v>
      </c>
      <c r="Q594" s="2" t="n">
        <f aca="false">AJ594+IF(SUMPRODUCT(--($AL594:$AQ594&gt;AQ594))+SUMPRODUCT(--($AL594:AP594=AQ594))&lt;$AK594,1,0)</f>
        <v>88</v>
      </c>
      <c r="R594" s="2" t="n">
        <f aca="false">SUM(L594:Q594)</f>
        <v>500</v>
      </c>
      <c r="S594" s="2" t="n">
        <f aca="false">Settings!$B$4*MAX(INDEX(Bases!$M$2:$M$53,B594),INDEX(Bases!$M$2:$M$53,C594))+Settings!$B$5*MIN(INDEX(Bases!$M$2:$M$53,B594),INDEX(Bases!$M$2:$M$53,C594))</f>
        <v>61</v>
      </c>
      <c r="T594" s="2" t="n">
        <f aca="false">Settings!$B$4*MAX(INDEX(Bases!$N$2:$N$53,B594),INDEX(Bases!$N$2:$N$53,C594))+Settings!$B$5*MIN(INDEX(Bases!$N$2:$N$53,B594),INDEX(Bases!$N$2:$N$53,C594))</f>
        <v>77.6666666666667</v>
      </c>
      <c r="U594" s="2" t="n">
        <f aca="false">Settings!$B$4*MAX(INDEX(Bases!$O$2:$O$53,B594),INDEX(Bases!$O$2:$O$53,C594))+Settings!$B$5*MIN(INDEX(Bases!$O$2:$O$53,B594),INDEX(Bases!$O$2:$O$53,C594))</f>
        <v>65</v>
      </c>
      <c r="V594" s="2" t="n">
        <f aca="false">Settings!$B$4*MAX(INDEX(Bases!$P$2:$P$53,B594),INDEX(Bases!$P$2:$P$53,C594))+Settings!$B$5*MIN(INDEX(Bases!$P$2:$P$53,B594),INDEX(Bases!$P$2:$P$53,C594))</f>
        <v>63.3333333333333</v>
      </c>
      <c r="W594" s="2" t="n">
        <f aca="false">Settings!$B$4*MAX(INDEX(Bases!$Q$2:$Q$53,B594),INDEX(Bases!$Q$2:$Q$53,C594))+Settings!$B$5*MIN(INDEX(Bases!$Q$2:$Q$53,B594),INDEX(Bases!$Q$2:$Q$53,C594))</f>
        <v>72</v>
      </c>
      <c r="X594" s="2" t="n">
        <f aca="false">Settings!$B$4*MAX(INDEX(Bases!$R$2:$R$53,B594),INDEX(Bases!$R$2:$R$53,C594))+Settings!$B$5*MIN(INDEX(Bases!$R$2:$R$53,B594),INDEX(Bases!$R$2:$R$53,C594))</f>
        <v>72.6666666666667</v>
      </c>
      <c r="Y594" s="2" t="n">
        <f aca="false">S594*Settings!$B$3/SUM(S594:X594)</f>
        <v>74.0890688259109</v>
      </c>
      <c r="Z594" s="2" t="n">
        <f aca="false">T594*Settings!$B$3/SUM(S594:X594)</f>
        <v>94.331983805668</v>
      </c>
      <c r="AA594" s="2" t="n">
        <f aca="false">U594*Settings!$B$3/SUM(S594:X594)</f>
        <v>78.9473684210526</v>
      </c>
      <c r="AB594" s="2" t="n">
        <f aca="false">V594*Settings!$B$3/SUM(S594:X594)</f>
        <v>76.9230769230769</v>
      </c>
      <c r="AC594" s="2" t="n">
        <f aca="false">W594*Settings!$B$3/SUM(S594:X594)</f>
        <v>87.4493927125506</v>
      </c>
      <c r="AD594" s="2" t="n">
        <f aca="false">X594*Settings!$B$3/SUM(S594:X594)</f>
        <v>88.2591093117409</v>
      </c>
      <c r="AE594" s="2" t="n">
        <f aca="false">INT(Y594)</f>
        <v>74</v>
      </c>
      <c r="AF594" s="2" t="n">
        <f aca="false">INT(Z594)</f>
        <v>94</v>
      </c>
      <c r="AG594" s="2" t="n">
        <f aca="false">INT(AA594)</f>
        <v>78</v>
      </c>
      <c r="AH594" s="2" t="n">
        <f aca="false">INT(AB594)</f>
        <v>76</v>
      </c>
      <c r="AI594" s="2" t="n">
        <f aca="false">INT(AC594)</f>
        <v>87</v>
      </c>
      <c r="AJ594" s="2" t="n">
        <f aca="false">INT(AD594)</f>
        <v>88</v>
      </c>
      <c r="AK594" s="2" t="n">
        <f aca="false">Settings!$B$3-SUM(AE594:AJ594)</f>
        <v>3</v>
      </c>
      <c r="AL594" s="2" t="n">
        <f aca="false">ROUND(Y594-AE594,9)</f>
        <v>0.089068826</v>
      </c>
      <c r="AM594" s="2" t="n">
        <f aca="false">ROUND(Z594-AF594,9)</f>
        <v>0.331983806</v>
      </c>
      <c r="AN594" s="2" t="n">
        <f aca="false">ROUND(AA594-AG594,9)</f>
        <v>0.947368421</v>
      </c>
      <c r="AO594" s="2" t="n">
        <f aca="false">ROUND(AB594-AH594,9)</f>
        <v>0.923076923</v>
      </c>
      <c r="AP594" s="2" t="n">
        <f aca="false">ROUND(AC594-AI594,9)</f>
        <v>0.449392713</v>
      </c>
      <c r="AQ594" s="2" t="n">
        <f aca="false">ROUND(AD594-AJ594,9)</f>
        <v>0.259109312</v>
      </c>
    </row>
    <row r="595" customFormat="false" ht="15" hidden="false" customHeight="false" outlineLevel="0" collapsed="false">
      <c r="A595" s="2" t="n">
        <v>594</v>
      </c>
      <c r="B595" s="6" t="n">
        <v>14</v>
      </c>
      <c r="C595" s="6" t="n">
        <v>23</v>
      </c>
      <c r="D595" s="8" t="str">
        <f aca="false">INDEX(Bases!$B$2:$B$53,B595)</f>
        <v>Celebi</v>
      </c>
      <c r="E595" s="8" t="str">
        <f aca="false">INDEX(Bases!$B$2:$B$53,C595)</f>
        <v>Gulpin</v>
      </c>
      <c r="F595" s="2" t="str">
        <f aca="false">LEFT(D595,ROUNDUP(LEN(D595)/2,0))&amp;LOWER(MID(E595,ROUNDUP(LEN(E595)/2,0)+1,20))</f>
        <v>Celpin</v>
      </c>
      <c r="G595" s="8" t="str">
        <f aca="false">INDEX(Bases!$C$2:$C$53,B595)</f>
        <v>Grass</v>
      </c>
      <c r="H595" s="8" t="str">
        <f aca="false">IF(INDEX(Bases!$C$2:$C$53,C595)=G595,"",INDEX(Bases!$C$2:$C$53,C595))</f>
        <v>Poison</v>
      </c>
      <c r="I595" s="8" t="str">
        <f aca="false">IF(INDEX(Bases!$E$2:$E$53,B595)="","",INDEX(Bases!$E$2:$E$53,B595))</f>
        <v/>
      </c>
      <c r="J595" s="8" t="str">
        <f aca="false">IF(INDEX(Bases!$E$2:$E$53,C595)="","",INDEX(Bases!$E$2:$E$53,C595))</f>
        <v/>
      </c>
      <c r="K595" s="5"/>
      <c r="L595" s="2" t="n">
        <f aca="false">AE595+IF(SUMPRODUCT(--($AL595:$AQ595&gt;AL595))&lt;$AK595,1,0)</f>
        <v>103</v>
      </c>
      <c r="M595" s="2" t="n">
        <f aca="false">AF595+IF(SUMPRODUCT(--($AL595:$AQ595&gt;AM595))+SUMPRODUCT(--($AL595:AL595=AM595))&lt;$AK595,1,0)</f>
        <v>77</v>
      </c>
      <c r="N595" s="2" t="n">
        <f aca="false">AG595+IF(SUMPRODUCT(--($AL595:$AQ595&gt;AN595))+SUMPRODUCT(--($AL595:AM595=AN595))&lt;$AK595,1,0)</f>
        <v>84</v>
      </c>
      <c r="O595" s="2" t="n">
        <f aca="false">AH595+IF(SUMPRODUCT(--($AL595:$AQ595&gt;AO595))+SUMPRODUCT(--($AL595:AN595=AO595))&lt;$AK595,1,0)</f>
        <v>77</v>
      </c>
      <c r="P595" s="2" t="n">
        <f aca="false">AI595+IF(SUMPRODUCT(--($AL595:$AQ595&gt;AP595))+SUMPRODUCT(--($AL595:AO595=AP595))&lt;$AK595,1,0)</f>
        <v>84</v>
      </c>
      <c r="Q595" s="2" t="n">
        <f aca="false">AJ595+IF(SUMPRODUCT(--($AL595:$AQ595&gt;AQ595))+SUMPRODUCT(--($AL595:AP595=AQ595))&lt;$AK595,1,0)</f>
        <v>75</v>
      </c>
      <c r="R595" s="2" t="n">
        <f aca="false">SUM(L595:Q595)</f>
        <v>500</v>
      </c>
      <c r="S595" s="2" t="n">
        <f aca="false">Settings!$B$4*MAX(INDEX(Bases!$M$2:$M$53,B595),INDEX(Bases!$M$2:$M$53,C595))+Settings!$B$5*MIN(INDEX(Bases!$M$2:$M$53,B595),INDEX(Bases!$M$2:$M$53,C595))</f>
        <v>84.3333333333333</v>
      </c>
      <c r="T595" s="2" t="n">
        <f aca="false">Settings!$B$4*MAX(INDEX(Bases!$N$2:$N$53,B595),INDEX(Bases!$N$2:$N$53,C595))+Settings!$B$5*MIN(INDEX(Bases!$N$2:$N$53,B595),INDEX(Bases!$N$2:$N$53,C595))</f>
        <v>63.6666666666667</v>
      </c>
      <c r="U595" s="2" t="n">
        <f aca="false">Settings!$B$4*MAX(INDEX(Bases!$O$2:$O$53,B595),INDEX(Bases!$O$2:$O$53,C595))+Settings!$B$5*MIN(INDEX(Bases!$O$2:$O$53,B595),INDEX(Bases!$O$2:$O$53,C595))</f>
        <v>69</v>
      </c>
      <c r="V595" s="2" t="n">
        <f aca="false">Settings!$B$4*MAX(INDEX(Bases!$P$2:$P$53,B595),INDEX(Bases!$P$2:$P$53,C595))+Settings!$B$5*MIN(INDEX(Bases!$P$2:$P$53,B595),INDEX(Bases!$P$2:$P$53,C595))</f>
        <v>63.6666666666667</v>
      </c>
      <c r="W595" s="2" t="n">
        <f aca="false">Settings!$B$4*MAX(INDEX(Bases!$Q$2:$Q$53,B595),INDEX(Bases!$Q$2:$Q$53,C595))+Settings!$B$5*MIN(INDEX(Bases!$Q$2:$Q$53,B595),INDEX(Bases!$Q$2:$Q$53,C595))</f>
        <v>68.6666666666667</v>
      </c>
      <c r="X595" s="2" t="n">
        <f aca="false">Settings!$B$4*MAX(INDEX(Bases!$R$2:$R$53,B595),INDEX(Bases!$R$2:$R$53,C595))+Settings!$B$5*MIN(INDEX(Bases!$R$2:$R$53,B595),INDEX(Bases!$R$2:$R$53,C595))</f>
        <v>61.6666666666667</v>
      </c>
      <c r="Y595" s="2" t="n">
        <f aca="false">S595*Settings!$B$3/SUM(S595:X595)</f>
        <v>102.595296025953</v>
      </c>
      <c r="Z595" s="2" t="n">
        <f aca="false">T595*Settings!$B$3/SUM(S595:X595)</f>
        <v>77.4533657745337</v>
      </c>
      <c r="AA595" s="2" t="n">
        <f aca="false">U595*Settings!$B$3/SUM(S595:X595)</f>
        <v>83.941605839416</v>
      </c>
      <c r="AB595" s="2" t="n">
        <f aca="false">V595*Settings!$B$3/SUM(S595:X595)</f>
        <v>77.4533657745337</v>
      </c>
      <c r="AC595" s="2" t="n">
        <f aca="false">W595*Settings!$B$3/SUM(S595:X595)</f>
        <v>83.5360908353609</v>
      </c>
      <c r="AD595" s="2" t="n">
        <f aca="false">X595*Settings!$B$3/SUM(S595:X595)</f>
        <v>75.0202757502028</v>
      </c>
      <c r="AE595" s="2" t="n">
        <f aca="false">INT(Y595)</f>
        <v>102</v>
      </c>
      <c r="AF595" s="2" t="n">
        <f aca="false">INT(Z595)</f>
        <v>77</v>
      </c>
      <c r="AG595" s="2" t="n">
        <f aca="false">INT(AA595)</f>
        <v>83</v>
      </c>
      <c r="AH595" s="2" t="n">
        <f aca="false">INT(AB595)</f>
        <v>77</v>
      </c>
      <c r="AI595" s="2" t="n">
        <f aca="false">INT(AC595)</f>
        <v>83</v>
      </c>
      <c r="AJ595" s="2" t="n">
        <f aca="false">INT(AD595)</f>
        <v>75</v>
      </c>
      <c r="AK595" s="2" t="n">
        <f aca="false">Settings!$B$3-SUM(AE595:AJ595)</f>
        <v>3</v>
      </c>
      <c r="AL595" s="2" t="n">
        <f aca="false">ROUND(Y595-AE595,9)</f>
        <v>0.595296026</v>
      </c>
      <c r="AM595" s="2" t="n">
        <f aca="false">ROUND(Z595-AF595,9)</f>
        <v>0.453365775</v>
      </c>
      <c r="AN595" s="2" t="n">
        <f aca="false">ROUND(AA595-AG595,9)</f>
        <v>0.941605839</v>
      </c>
      <c r="AO595" s="2" t="n">
        <f aca="false">ROUND(AB595-AH595,9)</f>
        <v>0.453365775</v>
      </c>
      <c r="AP595" s="2" t="n">
        <f aca="false">ROUND(AC595-AI595,9)</f>
        <v>0.536090835</v>
      </c>
      <c r="AQ595" s="2" t="n">
        <f aca="false">ROUND(AD595-AJ595,9)</f>
        <v>0.02027575</v>
      </c>
    </row>
    <row r="596" customFormat="false" ht="15" hidden="false" customHeight="false" outlineLevel="0" collapsed="false">
      <c r="A596" s="2" t="n">
        <v>595</v>
      </c>
      <c r="B596" s="6" t="n">
        <v>14</v>
      </c>
      <c r="C596" s="6" t="n">
        <v>24</v>
      </c>
      <c r="D596" s="8" t="str">
        <f aca="false">INDEX(Bases!$B$2:$B$53,B596)</f>
        <v>Celebi</v>
      </c>
      <c r="E596" s="8" t="str">
        <f aca="false">INDEX(Bases!$B$2:$B$53,C596)</f>
        <v>Koffing</v>
      </c>
      <c r="F596" s="2" t="str">
        <f aca="false">LEFT(D596,ROUNDUP(LEN(D596)/2,0))&amp;LOWER(MID(E596,ROUNDUP(LEN(E596)/2,0)+1,20))</f>
        <v>Celing</v>
      </c>
      <c r="G596" s="8" t="str">
        <f aca="false">INDEX(Bases!$C$2:$C$53,B596)</f>
        <v>Grass</v>
      </c>
      <c r="H596" s="8" t="str">
        <f aca="false">IF(INDEX(Bases!$C$2:$C$53,C596)=G596,"",INDEX(Bases!$C$2:$C$53,C596))</f>
        <v>Poison</v>
      </c>
      <c r="I596" s="8" t="str">
        <f aca="false">IF(INDEX(Bases!$E$2:$E$53,B596)="","",INDEX(Bases!$E$2:$E$53,B596))</f>
        <v/>
      </c>
      <c r="J596" s="8" t="str">
        <f aca="false">IF(INDEX(Bases!$E$2:$E$53,C596)="","",INDEX(Bases!$E$2:$E$53,C596))</f>
        <v/>
      </c>
      <c r="K596" s="5"/>
      <c r="L596" s="2" t="n">
        <f aca="false">AE596+IF(SUMPRODUCT(--($AL596:$AQ596&gt;AL596))&lt;$AK596,1,0)</f>
        <v>72</v>
      </c>
      <c r="M596" s="2" t="n">
        <f aca="false">AF596+IF(SUMPRODUCT(--($AL596:$AQ596&gt;AM596))+SUMPRODUCT(--($AL596:AL596=AM596))&lt;$AK596,1,0)</f>
        <v>87</v>
      </c>
      <c r="N596" s="2" t="n">
        <f aca="false">AG596+IF(SUMPRODUCT(--($AL596:$AQ596&gt;AN596))+SUMPRODUCT(--($AL596:AM596=AN596))&lt;$AK596,1,0)</f>
        <v>116</v>
      </c>
      <c r="O596" s="2" t="n">
        <f aca="false">AH596+IF(SUMPRODUCT(--($AL596:$AQ596&gt;AO596))+SUMPRODUCT(--($AL596:AN596=AO596))&lt;$AK596,1,0)</f>
        <v>83</v>
      </c>
      <c r="P596" s="2" t="n">
        <f aca="false">AI596+IF(SUMPRODUCT(--($AL596:$AQ596&gt;AP596))+SUMPRODUCT(--($AL596:AO596=AP596))&lt;$AK596,1,0)</f>
        <v>73</v>
      </c>
      <c r="Q596" s="2" t="n">
        <f aca="false">AJ596+IF(SUMPRODUCT(--($AL596:$AQ596&gt;AQ596))+SUMPRODUCT(--($AL596:AP596=AQ596))&lt;$AK596,1,0)</f>
        <v>69</v>
      </c>
      <c r="R596" s="2" t="n">
        <f aca="false">SUM(L596:Q596)</f>
        <v>500</v>
      </c>
      <c r="S596" s="2" t="n">
        <f aca="false">Settings!$B$4*MAX(INDEX(Bases!$M$2:$M$53,B596),INDEX(Bases!$M$2:$M$53,C596))+Settings!$B$5*MIN(INDEX(Bases!$M$2:$M$53,B596),INDEX(Bases!$M$2:$M$53,C596))</f>
        <v>60.3333333333333</v>
      </c>
      <c r="T596" s="2" t="n">
        <f aca="false">Settings!$B$4*MAX(INDEX(Bases!$N$2:$N$53,B596),INDEX(Bases!$N$2:$N$53,C596))+Settings!$B$5*MIN(INDEX(Bases!$N$2:$N$53,B596),INDEX(Bases!$N$2:$N$53,C596))</f>
        <v>73</v>
      </c>
      <c r="U596" s="2" t="n">
        <f aca="false">Settings!$B$4*MAX(INDEX(Bases!$O$2:$O$53,B596),INDEX(Bases!$O$2:$O$53,C596))+Settings!$B$5*MIN(INDEX(Bases!$O$2:$O$53,B596),INDEX(Bases!$O$2:$O$53,C596))</f>
        <v>97</v>
      </c>
      <c r="V596" s="2" t="n">
        <f aca="false">Settings!$B$4*MAX(INDEX(Bases!$P$2:$P$53,B596),INDEX(Bases!$P$2:$P$53,C596))+Settings!$B$5*MIN(INDEX(Bases!$P$2:$P$53,B596),INDEX(Bases!$P$2:$P$53,C596))</f>
        <v>69.6666666666667</v>
      </c>
      <c r="W596" s="2" t="n">
        <f aca="false">Settings!$B$4*MAX(INDEX(Bases!$Q$2:$Q$53,B596),INDEX(Bases!$Q$2:$Q$53,C596))+Settings!$B$5*MIN(INDEX(Bases!$Q$2:$Q$53,B596),INDEX(Bases!$Q$2:$Q$53,C596))</f>
        <v>61.6666666666667</v>
      </c>
      <c r="X596" s="2" t="n">
        <f aca="false">Settings!$B$4*MAX(INDEX(Bases!$R$2:$R$53,B596),INDEX(Bases!$R$2:$R$53,C596))+Settings!$B$5*MIN(INDEX(Bases!$R$2:$R$53,B596),INDEX(Bases!$R$2:$R$53,C596))</f>
        <v>57.6666666666667</v>
      </c>
      <c r="Y596" s="2" t="n">
        <f aca="false">S596*Settings!$B$3/SUM(S596:X596)</f>
        <v>71.939586645469</v>
      </c>
      <c r="Z596" s="2" t="n">
        <f aca="false">T596*Settings!$B$3/SUM(S596:X596)</f>
        <v>87.0429252782194</v>
      </c>
      <c r="AA596" s="2" t="n">
        <f aca="false">U596*Settings!$B$3/SUM(S596:X596)</f>
        <v>115.659777424483</v>
      </c>
      <c r="AB596" s="2" t="n">
        <f aca="false">V596*Settings!$B$3/SUM(S596:X596)</f>
        <v>83.0683624801272</v>
      </c>
      <c r="AC596" s="2" t="n">
        <f aca="false">W596*Settings!$B$3/SUM(S596:X596)</f>
        <v>73.5294117647059</v>
      </c>
      <c r="AD596" s="2" t="n">
        <f aca="false">X596*Settings!$B$3/SUM(S596:X596)</f>
        <v>68.7599364069952</v>
      </c>
      <c r="AE596" s="2" t="n">
        <f aca="false">INT(Y596)</f>
        <v>71</v>
      </c>
      <c r="AF596" s="2" t="n">
        <f aca="false">INT(Z596)</f>
        <v>87</v>
      </c>
      <c r="AG596" s="2" t="n">
        <f aca="false">INT(AA596)</f>
        <v>115</v>
      </c>
      <c r="AH596" s="2" t="n">
        <f aca="false">INT(AB596)</f>
        <v>83</v>
      </c>
      <c r="AI596" s="2" t="n">
        <f aca="false">INT(AC596)</f>
        <v>73</v>
      </c>
      <c r="AJ596" s="2" t="n">
        <f aca="false">INT(AD596)</f>
        <v>68</v>
      </c>
      <c r="AK596" s="2" t="n">
        <f aca="false">Settings!$B$3-SUM(AE596:AJ596)</f>
        <v>3</v>
      </c>
      <c r="AL596" s="2" t="n">
        <f aca="false">ROUND(Y596-AE596,9)</f>
        <v>0.939586645</v>
      </c>
      <c r="AM596" s="2" t="n">
        <f aca="false">ROUND(Z596-AF596,9)</f>
        <v>0.042925278</v>
      </c>
      <c r="AN596" s="2" t="n">
        <f aca="false">ROUND(AA596-AG596,9)</f>
        <v>0.659777424</v>
      </c>
      <c r="AO596" s="2" t="n">
        <f aca="false">ROUND(AB596-AH596,9)</f>
        <v>0.06836248</v>
      </c>
      <c r="AP596" s="2" t="n">
        <f aca="false">ROUND(AC596-AI596,9)</f>
        <v>0.529411765</v>
      </c>
      <c r="AQ596" s="2" t="n">
        <f aca="false">ROUND(AD596-AJ596,9)</f>
        <v>0.759936407</v>
      </c>
    </row>
    <row r="597" customFormat="false" ht="15" hidden="false" customHeight="false" outlineLevel="0" collapsed="false">
      <c r="A597" s="2" t="n">
        <v>596</v>
      </c>
      <c r="B597" s="6" t="n">
        <v>14</v>
      </c>
      <c r="C597" s="6" t="n">
        <v>25</v>
      </c>
      <c r="D597" s="8" t="str">
        <f aca="false">INDEX(Bases!$B$2:$B$53,B597)</f>
        <v>Celebi</v>
      </c>
      <c r="E597" s="8" t="str">
        <f aca="false">INDEX(Bases!$B$2:$B$53,C597)</f>
        <v>Sandshrew</v>
      </c>
      <c r="F597" s="2" t="str">
        <f aca="false">LEFT(D597,ROUNDUP(LEN(D597)/2,0))&amp;LOWER(MID(E597,ROUNDUP(LEN(E597)/2,0)+1,20))</f>
        <v>Celhrew</v>
      </c>
      <c r="G597" s="8" t="str">
        <f aca="false">INDEX(Bases!$C$2:$C$53,B597)</f>
        <v>Grass</v>
      </c>
      <c r="H597" s="8" t="str">
        <f aca="false">IF(INDEX(Bases!$C$2:$C$53,C597)=G597,"",INDEX(Bases!$C$2:$C$53,C597))</f>
        <v>Ground</v>
      </c>
      <c r="I597" s="8" t="str">
        <f aca="false">IF(INDEX(Bases!$E$2:$E$53,B597)="","",INDEX(Bases!$E$2:$E$53,B597))</f>
        <v/>
      </c>
      <c r="J597" s="8" t="str">
        <f aca="false">IF(INDEX(Bases!$E$2:$E$53,C597)="","",INDEX(Bases!$E$2:$E$53,C597))</f>
        <v/>
      </c>
      <c r="K597" s="5"/>
      <c r="L597" s="2" t="n">
        <f aca="false">AE597+IF(SUMPRODUCT(--($AL597:$AQ597&gt;AL597))&lt;$AK597,1,0)</f>
        <v>79</v>
      </c>
      <c r="M597" s="2" t="n">
        <f aca="false">AF597+IF(SUMPRODUCT(--($AL597:$AQ597&gt;AM597))+SUMPRODUCT(--($AL597:AL597=AM597))&lt;$AK597,1,0)</f>
        <v>104</v>
      </c>
      <c r="N597" s="2" t="n">
        <f aca="false">AG597+IF(SUMPRODUCT(--($AL597:$AQ597&gt;AN597))+SUMPRODUCT(--($AL597:AM597=AN597))&lt;$AK597,1,0)</f>
        <v>115</v>
      </c>
      <c r="O597" s="2" t="n">
        <f aca="false">AH597+IF(SUMPRODUCT(--($AL597:$AQ597&gt;AO597))+SUMPRODUCT(--($AL597:AN597=AO597))&lt;$AK597,1,0)</f>
        <v>63</v>
      </c>
      <c r="P597" s="2" t="n">
        <f aca="false">AI597+IF(SUMPRODUCT(--($AL597:$AQ597&gt;AP597))+SUMPRODUCT(--($AL597:AO597=AP597))&lt;$AK597,1,0)</f>
        <v>67</v>
      </c>
      <c r="Q597" s="2" t="n">
        <f aca="false">AJ597+IF(SUMPRODUCT(--($AL597:$AQ597&gt;AQ597))+SUMPRODUCT(--($AL597:AP597=AQ597))&lt;$AK597,1,0)</f>
        <v>72</v>
      </c>
      <c r="R597" s="2" t="n">
        <f aca="false">SUM(L597:Q597)</f>
        <v>500</v>
      </c>
      <c r="S597" s="2" t="n">
        <f aca="false">Settings!$B$4*MAX(INDEX(Bases!$M$2:$M$53,B597),INDEX(Bases!$M$2:$M$53,C597))+Settings!$B$5*MIN(INDEX(Bases!$M$2:$M$53,B597),INDEX(Bases!$M$2:$M$53,C597))</f>
        <v>67</v>
      </c>
      <c r="T597" s="2" t="n">
        <f aca="false">Settings!$B$4*MAX(INDEX(Bases!$N$2:$N$53,B597),INDEX(Bases!$N$2:$N$53,C597))+Settings!$B$5*MIN(INDEX(Bases!$N$2:$N$53,B597),INDEX(Bases!$N$2:$N$53,C597))</f>
        <v>89</v>
      </c>
      <c r="U597" s="2" t="n">
        <f aca="false">Settings!$B$4*MAX(INDEX(Bases!$O$2:$O$53,B597),INDEX(Bases!$O$2:$O$53,C597))+Settings!$B$5*MIN(INDEX(Bases!$O$2:$O$53,B597),INDEX(Bases!$O$2:$O$53,C597))</f>
        <v>97.6666666666667</v>
      </c>
      <c r="V597" s="2" t="n">
        <f aca="false">Settings!$B$4*MAX(INDEX(Bases!$P$2:$P$53,B597),INDEX(Bases!$P$2:$P$53,C597))+Settings!$B$5*MIN(INDEX(Bases!$P$2:$P$53,B597),INDEX(Bases!$P$2:$P$53,C597))</f>
        <v>53.6666666666667</v>
      </c>
      <c r="W597" s="2" t="n">
        <f aca="false">Settings!$B$4*MAX(INDEX(Bases!$Q$2:$Q$53,B597),INDEX(Bases!$Q$2:$Q$53,C597))+Settings!$B$5*MIN(INDEX(Bases!$Q$2:$Q$53,B597),INDEX(Bases!$Q$2:$Q$53,C597))</f>
        <v>57.3333333333333</v>
      </c>
      <c r="X597" s="2" t="n">
        <f aca="false">Settings!$B$4*MAX(INDEX(Bases!$R$2:$R$53,B597),INDEX(Bases!$R$2:$R$53,C597))+Settings!$B$5*MIN(INDEX(Bases!$R$2:$R$53,B597),INDEX(Bases!$R$2:$R$53,C597))</f>
        <v>61.6666666666667</v>
      </c>
      <c r="Y597" s="2" t="n">
        <f aca="false">S597*Settings!$B$3/SUM(S597:X597)</f>
        <v>78.5770132916341</v>
      </c>
      <c r="Z597" s="2" t="n">
        <f aca="false">T597*Settings!$B$3/SUM(S597:X597)</f>
        <v>104.378420641126</v>
      </c>
      <c r="AA597" s="2" t="n">
        <f aca="false">U597*Settings!$B$3/SUM(S597:X597)</f>
        <v>114.542611415168</v>
      </c>
      <c r="AB597" s="2" t="n">
        <f aca="false">V597*Settings!$B$3/SUM(S597:X597)</f>
        <v>62.9397967161845</v>
      </c>
      <c r="AC597" s="2" t="n">
        <f aca="false">W597*Settings!$B$3/SUM(S597:X597)</f>
        <v>67.2400312744332</v>
      </c>
      <c r="AD597" s="2" t="n">
        <f aca="false">X597*Settings!$B$3/SUM(S597:X597)</f>
        <v>72.3221266614543</v>
      </c>
      <c r="AE597" s="2" t="n">
        <f aca="false">INT(Y597)</f>
        <v>78</v>
      </c>
      <c r="AF597" s="2" t="n">
        <f aca="false">INT(Z597)</f>
        <v>104</v>
      </c>
      <c r="AG597" s="2" t="n">
        <f aca="false">INT(AA597)</f>
        <v>114</v>
      </c>
      <c r="AH597" s="2" t="n">
        <f aca="false">INT(AB597)</f>
        <v>62</v>
      </c>
      <c r="AI597" s="2" t="n">
        <f aca="false">INT(AC597)</f>
        <v>67</v>
      </c>
      <c r="AJ597" s="2" t="n">
        <f aca="false">INT(AD597)</f>
        <v>72</v>
      </c>
      <c r="AK597" s="2" t="n">
        <f aca="false">Settings!$B$3-SUM(AE597:AJ597)</f>
        <v>3</v>
      </c>
      <c r="AL597" s="2" t="n">
        <f aca="false">ROUND(Y597-AE597,9)</f>
        <v>0.577013292</v>
      </c>
      <c r="AM597" s="2" t="n">
        <f aca="false">ROUND(Z597-AF597,9)</f>
        <v>0.378420641</v>
      </c>
      <c r="AN597" s="2" t="n">
        <f aca="false">ROUND(AA597-AG597,9)</f>
        <v>0.542611415</v>
      </c>
      <c r="AO597" s="2" t="n">
        <f aca="false">ROUND(AB597-AH597,9)</f>
        <v>0.939796716</v>
      </c>
      <c r="AP597" s="2" t="n">
        <f aca="false">ROUND(AC597-AI597,9)</f>
        <v>0.240031274</v>
      </c>
      <c r="AQ597" s="2" t="n">
        <f aca="false">ROUND(AD597-AJ597,9)</f>
        <v>0.322126661</v>
      </c>
    </row>
    <row r="598" customFormat="false" ht="15" hidden="false" customHeight="false" outlineLevel="0" collapsed="false">
      <c r="A598" s="2" t="n">
        <v>597</v>
      </c>
      <c r="B598" s="6" t="n">
        <v>14</v>
      </c>
      <c r="C598" s="6" t="n">
        <v>26</v>
      </c>
      <c r="D598" s="8" t="str">
        <f aca="false">INDEX(Bases!$B$2:$B$53,B598)</f>
        <v>Celebi</v>
      </c>
      <c r="E598" s="8" t="str">
        <f aca="false">INDEX(Bases!$B$2:$B$53,C598)</f>
        <v>Phanpy</v>
      </c>
      <c r="F598" s="2" t="str">
        <f aca="false">LEFT(D598,ROUNDUP(LEN(D598)/2,0))&amp;LOWER(MID(E598,ROUNDUP(LEN(E598)/2,0)+1,20))</f>
        <v>Celnpy</v>
      </c>
      <c r="G598" s="8" t="str">
        <f aca="false">INDEX(Bases!$C$2:$C$53,B598)</f>
        <v>Grass</v>
      </c>
      <c r="H598" s="8" t="str">
        <f aca="false">IF(INDEX(Bases!$C$2:$C$53,C598)=G598,"",INDEX(Bases!$C$2:$C$53,C598))</f>
        <v>Ground</v>
      </c>
      <c r="I598" s="8" t="str">
        <f aca="false">IF(INDEX(Bases!$E$2:$E$53,B598)="","",INDEX(Bases!$E$2:$E$53,B598))</f>
        <v/>
      </c>
      <c r="J598" s="8" t="str">
        <f aca="false">IF(INDEX(Bases!$E$2:$E$53,C598)="","",INDEX(Bases!$E$2:$E$53,C598))</f>
        <v/>
      </c>
      <c r="K598" s="5"/>
      <c r="L598" s="2" t="n">
        <f aca="false">AE598+IF(SUMPRODUCT(--($AL598:$AQ598&gt;AL598))&lt;$AK598,1,0)</f>
        <v>113</v>
      </c>
      <c r="M598" s="2" t="n">
        <f aca="false">AF598+IF(SUMPRODUCT(--($AL598:$AQ598&gt;AM598))+SUMPRODUCT(--($AL598:AL598=AM598))&lt;$AK598,1,0)</f>
        <v>85</v>
      </c>
      <c r="N598" s="2" t="n">
        <f aca="false">AG598+IF(SUMPRODUCT(--($AL598:$AQ598&gt;AN598))+SUMPRODUCT(--($AL598:AM598=AN598))&lt;$AK598,1,0)</f>
        <v>85</v>
      </c>
      <c r="O598" s="2" t="n">
        <f aca="false">AH598+IF(SUMPRODUCT(--($AL598:$AQ598&gt;AO598))+SUMPRODUCT(--($AL598:AN598=AO598))&lt;$AK598,1,0)</f>
        <v>73</v>
      </c>
      <c r="P598" s="2" t="n">
        <f aca="false">AI598+IF(SUMPRODUCT(--($AL598:$AQ598&gt;AP598))+SUMPRODUCT(--($AL598:AO598=AP598))&lt;$AK598,1,0)</f>
        <v>72</v>
      </c>
      <c r="Q598" s="2" t="n">
        <f aca="false">AJ598+IF(SUMPRODUCT(--($AL598:$AQ598&gt;AQ598))+SUMPRODUCT(--($AL598:AP598=AQ598))&lt;$AK598,1,0)</f>
        <v>72</v>
      </c>
      <c r="R598" s="2" t="n">
        <f aca="false">SUM(L598:Q598)</f>
        <v>500</v>
      </c>
      <c r="S598" s="2" t="n">
        <f aca="false">Settings!$B$4*MAX(INDEX(Bases!$M$2:$M$53,B598),INDEX(Bases!$M$2:$M$53,C598))+Settings!$B$5*MIN(INDEX(Bases!$M$2:$M$53,B598),INDEX(Bases!$M$2:$M$53,C598))</f>
        <v>95</v>
      </c>
      <c r="T598" s="2" t="n">
        <f aca="false">Settings!$B$4*MAX(INDEX(Bases!$N$2:$N$53,B598),INDEX(Bases!$N$2:$N$53,C598))+Settings!$B$5*MIN(INDEX(Bases!$N$2:$N$53,B598),INDEX(Bases!$N$2:$N$53,C598))</f>
        <v>71</v>
      </c>
      <c r="U598" s="2" t="n">
        <f aca="false">Settings!$B$4*MAX(INDEX(Bases!$O$2:$O$53,B598),INDEX(Bases!$O$2:$O$53,C598))+Settings!$B$5*MIN(INDEX(Bases!$O$2:$O$53,B598),INDEX(Bases!$O$2:$O$53,C598))</f>
        <v>71</v>
      </c>
      <c r="V598" s="2" t="n">
        <f aca="false">Settings!$B$4*MAX(INDEX(Bases!$P$2:$P$53,B598),INDEX(Bases!$P$2:$P$53,C598))+Settings!$B$5*MIN(INDEX(Bases!$P$2:$P$53,B598),INDEX(Bases!$P$2:$P$53,C598))</f>
        <v>61</v>
      </c>
      <c r="W598" s="2" t="n">
        <f aca="false">Settings!$B$4*MAX(INDEX(Bases!$Q$2:$Q$53,B598),INDEX(Bases!$Q$2:$Q$53,C598))+Settings!$B$5*MIN(INDEX(Bases!$Q$2:$Q$53,B598),INDEX(Bases!$Q$2:$Q$53,C598))</f>
        <v>60</v>
      </c>
      <c r="X598" s="2" t="n">
        <f aca="false">Settings!$B$4*MAX(INDEX(Bases!$R$2:$R$53,B598),INDEX(Bases!$R$2:$R$53,C598))+Settings!$B$5*MIN(INDEX(Bases!$R$2:$R$53,B598),INDEX(Bases!$R$2:$R$53,C598))</f>
        <v>60</v>
      </c>
      <c r="Y598" s="2" t="n">
        <f aca="false">S598*Settings!$B$3/SUM(S598:X598)</f>
        <v>113.636363636364</v>
      </c>
      <c r="Z598" s="2" t="n">
        <f aca="false">T598*Settings!$B$3/SUM(S598:X598)</f>
        <v>84.9282296650718</v>
      </c>
      <c r="AA598" s="2" t="n">
        <f aca="false">U598*Settings!$B$3/SUM(S598:X598)</f>
        <v>84.9282296650718</v>
      </c>
      <c r="AB598" s="2" t="n">
        <f aca="false">V598*Settings!$B$3/SUM(S598:X598)</f>
        <v>72.9665071770335</v>
      </c>
      <c r="AC598" s="2" t="n">
        <f aca="false">W598*Settings!$B$3/SUM(S598:X598)</f>
        <v>71.7703349282297</v>
      </c>
      <c r="AD598" s="2" t="n">
        <f aca="false">X598*Settings!$B$3/SUM(S598:X598)</f>
        <v>71.7703349282297</v>
      </c>
      <c r="AE598" s="2" t="n">
        <f aca="false">INT(Y598)</f>
        <v>113</v>
      </c>
      <c r="AF598" s="2" t="n">
        <f aca="false">INT(Z598)</f>
        <v>84</v>
      </c>
      <c r="AG598" s="2" t="n">
        <f aca="false">INT(AA598)</f>
        <v>84</v>
      </c>
      <c r="AH598" s="2" t="n">
        <f aca="false">INT(AB598)</f>
        <v>72</v>
      </c>
      <c r="AI598" s="2" t="n">
        <f aca="false">INT(AC598)</f>
        <v>71</v>
      </c>
      <c r="AJ598" s="2" t="n">
        <f aca="false">INT(AD598)</f>
        <v>71</v>
      </c>
      <c r="AK598" s="2" t="n">
        <f aca="false">Settings!$B$3-SUM(AE598:AJ598)</f>
        <v>5</v>
      </c>
      <c r="AL598" s="2" t="n">
        <f aca="false">ROUND(Y598-AE598,9)</f>
        <v>0.636363636</v>
      </c>
      <c r="AM598" s="2" t="n">
        <f aca="false">ROUND(Z598-AF598,9)</f>
        <v>0.928229665</v>
      </c>
      <c r="AN598" s="2" t="n">
        <f aca="false">ROUND(AA598-AG598,9)</f>
        <v>0.928229665</v>
      </c>
      <c r="AO598" s="2" t="n">
        <f aca="false">ROUND(AB598-AH598,9)</f>
        <v>0.966507177</v>
      </c>
      <c r="AP598" s="2" t="n">
        <f aca="false">ROUND(AC598-AI598,9)</f>
        <v>0.770334928</v>
      </c>
      <c r="AQ598" s="2" t="n">
        <f aca="false">ROUND(AD598-AJ598,9)</f>
        <v>0.770334928</v>
      </c>
    </row>
    <row r="599" customFormat="false" ht="15" hidden="false" customHeight="false" outlineLevel="0" collapsed="false">
      <c r="A599" s="2" t="n">
        <v>598</v>
      </c>
      <c r="B599" s="6" t="n">
        <v>14</v>
      </c>
      <c r="C599" s="6" t="n">
        <v>27</v>
      </c>
      <c r="D599" s="8" t="str">
        <f aca="false">INDEX(Bases!$B$2:$B$53,B599)</f>
        <v>Celebi</v>
      </c>
      <c r="E599" s="8" t="str">
        <f aca="false">INDEX(Bases!$B$2:$B$53,C599)</f>
        <v>Baltoy</v>
      </c>
      <c r="F599" s="2" t="str">
        <f aca="false">LEFT(D599,ROUNDUP(LEN(D599)/2,0))&amp;LOWER(MID(E599,ROUNDUP(LEN(E599)/2,0)+1,20))</f>
        <v>Celtoy</v>
      </c>
      <c r="G599" s="8" t="str">
        <f aca="false">INDEX(Bases!$C$2:$C$53,B599)</f>
        <v>Grass</v>
      </c>
      <c r="H599" s="8" t="str">
        <f aca="false">IF(INDEX(Bases!$C$2:$C$53,C599)=G599,"",INDEX(Bases!$C$2:$C$53,C599))</f>
        <v>Ground</v>
      </c>
      <c r="I599" s="8" t="str">
        <f aca="false">IF(INDEX(Bases!$E$2:$E$53,B599)="","",INDEX(Bases!$E$2:$E$53,B599))</f>
        <v/>
      </c>
      <c r="J599" s="8" t="str">
        <f aca="false">IF(INDEX(Bases!$E$2:$E$53,C599)="","",INDEX(Bases!$E$2:$E$53,C599))</f>
        <v/>
      </c>
      <c r="K599" s="5"/>
      <c r="L599" s="2" t="n">
        <f aca="false">AE599+IF(SUMPRODUCT(--($AL599:$AQ599&gt;AL599))&lt;$AK599,1,0)</f>
        <v>76</v>
      </c>
      <c r="M599" s="2" t="n">
        <f aca="false">AF599+IF(SUMPRODUCT(--($AL599:$AQ599&gt;AM599))+SUMPRODUCT(--($AL599:AL599=AM599))&lt;$AK599,1,0)</f>
        <v>76</v>
      </c>
      <c r="N599" s="2" t="n">
        <f aca="false">AG599+IF(SUMPRODUCT(--($AL599:$AQ599&gt;AN599))+SUMPRODUCT(--($AL599:AM599=AN599))&lt;$AK599,1,0)</f>
        <v>86</v>
      </c>
      <c r="O599" s="2" t="n">
        <f aca="false">AH599+IF(SUMPRODUCT(--($AL599:$AQ599&gt;AO599))+SUMPRODUCT(--($AL599:AN599=AO599))&lt;$AK599,1,0)</f>
        <v>75</v>
      </c>
      <c r="P599" s="2" t="n">
        <f aca="false">AI599+IF(SUMPRODUCT(--($AL599:$AQ599&gt;AP599))+SUMPRODUCT(--($AL599:AO599=AP599))&lt;$AK599,1,0)</f>
        <v>102</v>
      </c>
      <c r="Q599" s="2" t="n">
        <f aca="false">AJ599+IF(SUMPRODUCT(--($AL599:$AQ599&gt;AQ599))+SUMPRODUCT(--($AL599:AP599=AQ599))&lt;$AK599,1,0)</f>
        <v>85</v>
      </c>
      <c r="R599" s="2" t="n">
        <f aca="false">SUM(L599:Q599)</f>
        <v>500</v>
      </c>
      <c r="S599" s="2" t="n">
        <f aca="false">Settings!$B$4*MAX(INDEX(Bases!$M$2:$M$53,B599),INDEX(Bases!$M$2:$M$53,C599))+Settings!$B$5*MIN(INDEX(Bases!$M$2:$M$53,B599),INDEX(Bases!$M$2:$M$53,C599))</f>
        <v>62.6666666666667</v>
      </c>
      <c r="T599" s="2" t="n">
        <f aca="false">Settings!$B$4*MAX(INDEX(Bases!$N$2:$N$53,B599),INDEX(Bases!$N$2:$N$53,C599))+Settings!$B$5*MIN(INDEX(Bases!$N$2:$N$53,B599),INDEX(Bases!$N$2:$N$53,C599))</f>
        <v>62.6666666666667</v>
      </c>
      <c r="U599" s="2" t="n">
        <f aca="false">Settings!$B$4*MAX(INDEX(Bases!$O$2:$O$53,B599),INDEX(Bases!$O$2:$O$53,C599))+Settings!$B$5*MIN(INDEX(Bases!$O$2:$O$53,B599),INDEX(Bases!$O$2:$O$53,C599))</f>
        <v>71</v>
      </c>
      <c r="V599" s="2" t="n">
        <f aca="false">Settings!$B$4*MAX(INDEX(Bases!$P$2:$P$53,B599),INDEX(Bases!$P$2:$P$53,C599))+Settings!$B$5*MIN(INDEX(Bases!$P$2:$P$53,B599),INDEX(Bases!$P$2:$P$53,C599))</f>
        <v>62.3333333333333</v>
      </c>
      <c r="W599" s="2" t="n">
        <f aca="false">Settings!$B$4*MAX(INDEX(Bases!$Q$2:$Q$53,B599),INDEX(Bases!$Q$2:$Q$53,C599))+Settings!$B$5*MIN(INDEX(Bases!$Q$2:$Q$53,B599),INDEX(Bases!$Q$2:$Q$53,C599))</f>
        <v>84</v>
      </c>
      <c r="X599" s="2" t="n">
        <f aca="false">Settings!$B$4*MAX(INDEX(Bases!$R$2:$R$53,B599),INDEX(Bases!$R$2:$R$53,C599))+Settings!$B$5*MIN(INDEX(Bases!$R$2:$R$53,B599),INDEX(Bases!$R$2:$R$53,C599))</f>
        <v>70.6666666666667</v>
      </c>
      <c r="Y599" s="2" t="n">
        <f aca="false">S599*Settings!$B$3/SUM(S599:X599)</f>
        <v>75.8064516129032</v>
      </c>
      <c r="Z599" s="2" t="n">
        <f aca="false">T599*Settings!$B$3/SUM(S599:X599)</f>
        <v>75.8064516129032</v>
      </c>
      <c r="AA599" s="2" t="n">
        <f aca="false">U599*Settings!$B$3/SUM(S599:X599)</f>
        <v>85.8870967741935</v>
      </c>
      <c r="AB599" s="2" t="n">
        <f aca="false">V599*Settings!$B$3/SUM(S599:X599)</f>
        <v>75.4032258064516</v>
      </c>
      <c r="AC599" s="2" t="n">
        <f aca="false">W599*Settings!$B$3/SUM(S599:X599)</f>
        <v>101.612903225806</v>
      </c>
      <c r="AD599" s="2" t="n">
        <f aca="false">X599*Settings!$B$3/SUM(S599:X599)</f>
        <v>85.4838709677419</v>
      </c>
      <c r="AE599" s="2" t="n">
        <f aca="false">INT(Y599)</f>
        <v>75</v>
      </c>
      <c r="AF599" s="2" t="n">
        <f aca="false">INT(Z599)</f>
        <v>75</v>
      </c>
      <c r="AG599" s="2" t="n">
        <f aca="false">INT(AA599)</f>
        <v>85</v>
      </c>
      <c r="AH599" s="2" t="n">
        <f aca="false">INT(AB599)</f>
        <v>75</v>
      </c>
      <c r="AI599" s="2" t="n">
        <f aca="false">INT(AC599)</f>
        <v>101</v>
      </c>
      <c r="AJ599" s="2" t="n">
        <f aca="false">INT(AD599)</f>
        <v>85</v>
      </c>
      <c r="AK599" s="2" t="n">
        <f aca="false">Settings!$B$3-SUM(AE599:AJ599)</f>
        <v>4</v>
      </c>
      <c r="AL599" s="2" t="n">
        <f aca="false">ROUND(Y599-AE599,9)</f>
        <v>0.806451613</v>
      </c>
      <c r="AM599" s="2" t="n">
        <f aca="false">ROUND(Z599-AF599,9)</f>
        <v>0.806451613</v>
      </c>
      <c r="AN599" s="2" t="n">
        <f aca="false">ROUND(AA599-AG599,9)</f>
        <v>0.887096774</v>
      </c>
      <c r="AO599" s="2" t="n">
        <f aca="false">ROUND(AB599-AH599,9)</f>
        <v>0.403225806</v>
      </c>
      <c r="AP599" s="2" t="n">
        <f aca="false">ROUND(AC599-AI599,9)</f>
        <v>0.612903226</v>
      </c>
      <c r="AQ599" s="2" t="n">
        <f aca="false">ROUND(AD599-AJ599,9)</f>
        <v>0.483870968</v>
      </c>
    </row>
    <row r="600" customFormat="false" ht="15" hidden="false" customHeight="false" outlineLevel="0" collapsed="false">
      <c r="A600" s="2" t="n">
        <v>599</v>
      </c>
      <c r="B600" s="6" t="n">
        <v>14</v>
      </c>
      <c r="C600" s="6" t="n">
        <v>28</v>
      </c>
      <c r="D600" s="8" t="str">
        <f aca="false">INDEX(Bases!$B$2:$B$53,B600)</f>
        <v>Celebi</v>
      </c>
      <c r="E600" s="8" t="str">
        <f aca="false">INDEX(Bases!$B$2:$B$53,C600)</f>
        <v>Zubat</v>
      </c>
      <c r="F600" s="2" t="str">
        <f aca="false">LEFT(D600,ROUNDUP(LEN(D600)/2,0))&amp;LOWER(MID(E600,ROUNDUP(LEN(E600)/2,0)+1,20))</f>
        <v>Celat</v>
      </c>
      <c r="G600" s="8" t="str">
        <f aca="false">INDEX(Bases!$C$2:$C$53,B600)</f>
        <v>Grass</v>
      </c>
      <c r="H600" s="8" t="str">
        <f aca="false">IF(INDEX(Bases!$C$2:$C$53,C600)=G600,"",INDEX(Bases!$C$2:$C$53,C600))</f>
        <v>Flying</v>
      </c>
      <c r="I600" s="8" t="str">
        <f aca="false">IF(INDEX(Bases!$E$2:$E$53,B600)="","",INDEX(Bases!$E$2:$E$53,B600))</f>
        <v/>
      </c>
      <c r="J600" s="8" t="str">
        <f aca="false">IF(INDEX(Bases!$E$2:$E$53,C600)="","",INDEX(Bases!$E$2:$E$53,C600))</f>
        <v/>
      </c>
      <c r="K600" s="5"/>
      <c r="L600" s="2" t="n">
        <f aca="false">AE600+IF(SUMPRODUCT(--($AL600:$AQ600&gt;AL600))&lt;$AK600,1,0)</f>
        <v>81</v>
      </c>
      <c r="M600" s="2" t="n">
        <f aca="false">AF600+IF(SUMPRODUCT(--($AL600:$AQ600&gt;AM600))+SUMPRODUCT(--($AL600:AL600=AM600))&lt;$AK600,1,0)</f>
        <v>87</v>
      </c>
      <c r="N600" s="2" t="n">
        <f aca="false">AG600+IF(SUMPRODUCT(--($AL600:$AQ600&gt;AN600))+SUMPRODUCT(--($AL600:AM600=AN600))&lt;$AK600,1,0)</f>
        <v>78</v>
      </c>
      <c r="O600" s="2" t="n">
        <f aca="false">AH600+IF(SUMPRODUCT(--($AL600:$AQ600&gt;AO600))+SUMPRODUCT(--($AL600:AN600=AO600))&lt;$AK600,1,0)</f>
        <v>74</v>
      </c>
      <c r="P600" s="2" t="n">
        <f aca="false">AI600+IF(SUMPRODUCT(--($AL600:$AQ600&gt;AP600))+SUMPRODUCT(--($AL600:AO600=AP600))&lt;$AK600,1,0)</f>
        <v>80</v>
      </c>
      <c r="Q600" s="2" t="n">
        <f aca="false">AJ600+IF(SUMPRODUCT(--($AL600:$AQ600&gt;AQ600))+SUMPRODUCT(--($AL600:AP600=AQ600))&lt;$AK600,1,0)</f>
        <v>100</v>
      </c>
      <c r="R600" s="2" t="n">
        <f aca="false">SUM(L600:Q600)</f>
        <v>500</v>
      </c>
      <c r="S600" s="2" t="n">
        <f aca="false">Settings!$B$4*MAX(INDEX(Bases!$M$2:$M$53,B600),INDEX(Bases!$M$2:$M$53,C600))+Settings!$B$5*MIN(INDEX(Bases!$M$2:$M$53,B600),INDEX(Bases!$M$2:$M$53,C600))</f>
        <v>66.3333333333333</v>
      </c>
      <c r="T600" s="2" t="n">
        <f aca="false">Settings!$B$4*MAX(INDEX(Bases!$N$2:$N$53,B600),INDEX(Bases!$N$2:$N$53,C600))+Settings!$B$5*MIN(INDEX(Bases!$N$2:$N$53,B600),INDEX(Bases!$N$2:$N$53,C600))</f>
        <v>71.6666666666667</v>
      </c>
      <c r="U600" s="2" t="n">
        <f aca="false">Settings!$B$4*MAX(INDEX(Bases!$O$2:$O$53,B600),INDEX(Bases!$O$2:$O$53,C600))+Settings!$B$5*MIN(INDEX(Bases!$O$2:$O$53,B600),INDEX(Bases!$O$2:$O$53,C600))</f>
        <v>63.6666666666667</v>
      </c>
      <c r="V600" s="2" t="n">
        <f aca="false">Settings!$B$4*MAX(INDEX(Bases!$P$2:$P$53,B600),INDEX(Bases!$P$2:$P$53,C600))+Settings!$B$5*MIN(INDEX(Bases!$P$2:$P$53,B600),INDEX(Bases!$P$2:$P$53,C600))</f>
        <v>61</v>
      </c>
      <c r="W600" s="2" t="n">
        <f aca="false">Settings!$B$4*MAX(INDEX(Bases!$Q$2:$Q$53,B600),INDEX(Bases!$Q$2:$Q$53,C600))+Settings!$B$5*MIN(INDEX(Bases!$Q$2:$Q$53,B600),INDEX(Bases!$Q$2:$Q$53,C600))</f>
        <v>65.6666666666667</v>
      </c>
      <c r="X600" s="2" t="n">
        <f aca="false">Settings!$B$4*MAX(INDEX(Bases!$R$2:$R$53,B600),INDEX(Bases!$R$2:$R$53,C600))+Settings!$B$5*MIN(INDEX(Bases!$R$2:$R$53,B600),INDEX(Bases!$R$2:$R$53,C600))</f>
        <v>82</v>
      </c>
      <c r="Y600" s="2" t="n">
        <f aca="false">S600*Settings!$B$3/SUM(S600:X600)</f>
        <v>80.8285946385053</v>
      </c>
      <c r="Z600" s="2" t="n">
        <f aca="false">T600*Settings!$B$3/SUM(S600:X600)</f>
        <v>87.3273761169781</v>
      </c>
      <c r="AA600" s="2" t="n">
        <f aca="false">U600*Settings!$B$3/SUM(S600:X600)</f>
        <v>77.5792038992689</v>
      </c>
      <c r="AB600" s="2" t="n">
        <f aca="false">V600*Settings!$B$3/SUM(S600:X600)</f>
        <v>74.3298131600325</v>
      </c>
      <c r="AC600" s="2" t="n">
        <f aca="false">W600*Settings!$B$3/SUM(S600:X600)</f>
        <v>80.0162469536962</v>
      </c>
      <c r="AD600" s="2" t="n">
        <f aca="false">X600*Settings!$B$3/SUM(S600:X600)</f>
        <v>99.9187652315191</v>
      </c>
      <c r="AE600" s="2" t="n">
        <f aca="false">INT(Y600)</f>
        <v>80</v>
      </c>
      <c r="AF600" s="2" t="n">
        <f aca="false">INT(Z600)</f>
        <v>87</v>
      </c>
      <c r="AG600" s="2" t="n">
        <f aca="false">INT(AA600)</f>
        <v>77</v>
      </c>
      <c r="AH600" s="2" t="n">
        <f aca="false">INT(AB600)</f>
        <v>74</v>
      </c>
      <c r="AI600" s="2" t="n">
        <f aca="false">INT(AC600)</f>
        <v>80</v>
      </c>
      <c r="AJ600" s="2" t="n">
        <f aca="false">INT(AD600)</f>
        <v>99</v>
      </c>
      <c r="AK600" s="2" t="n">
        <f aca="false">Settings!$B$3-SUM(AE600:AJ600)</f>
        <v>3</v>
      </c>
      <c r="AL600" s="2" t="n">
        <f aca="false">ROUND(Y600-AE600,9)</f>
        <v>0.828594639</v>
      </c>
      <c r="AM600" s="2" t="n">
        <f aca="false">ROUND(Z600-AF600,9)</f>
        <v>0.327376117</v>
      </c>
      <c r="AN600" s="2" t="n">
        <f aca="false">ROUND(AA600-AG600,9)</f>
        <v>0.579203899</v>
      </c>
      <c r="AO600" s="2" t="n">
        <f aca="false">ROUND(AB600-AH600,9)</f>
        <v>0.32981316</v>
      </c>
      <c r="AP600" s="2" t="n">
        <f aca="false">ROUND(AC600-AI600,9)</f>
        <v>0.016246954</v>
      </c>
      <c r="AQ600" s="2" t="n">
        <f aca="false">ROUND(AD600-AJ600,9)</f>
        <v>0.918765232</v>
      </c>
    </row>
    <row r="601" customFormat="false" ht="15" hidden="false" customHeight="false" outlineLevel="0" collapsed="false">
      <c r="A601" s="2" t="n">
        <v>600</v>
      </c>
      <c r="B601" s="6" t="n">
        <v>14</v>
      </c>
      <c r="C601" s="6" t="n">
        <v>29</v>
      </c>
      <c r="D601" s="8" t="str">
        <f aca="false">INDEX(Bases!$B$2:$B$53,B601)</f>
        <v>Celebi</v>
      </c>
      <c r="E601" s="8" t="str">
        <f aca="false">INDEX(Bases!$B$2:$B$53,C601)</f>
        <v>Murkrow</v>
      </c>
      <c r="F601" s="2" t="str">
        <f aca="false">LEFT(D601,ROUNDUP(LEN(D601)/2,0))&amp;LOWER(MID(E601,ROUNDUP(LEN(E601)/2,0)+1,20))</f>
        <v>Celrow</v>
      </c>
      <c r="G601" s="8" t="str">
        <f aca="false">INDEX(Bases!$C$2:$C$53,B601)</f>
        <v>Grass</v>
      </c>
      <c r="H601" s="8" t="str">
        <f aca="false">IF(INDEX(Bases!$C$2:$C$53,C601)=G601,"",INDEX(Bases!$C$2:$C$53,C601))</f>
        <v>Flying</v>
      </c>
      <c r="I601" s="8" t="str">
        <f aca="false">IF(INDEX(Bases!$E$2:$E$53,B601)="","",INDEX(Bases!$E$2:$E$53,B601))</f>
        <v/>
      </c>
      <c r="J601" s="8" t="str">
        <f aca="false">IF(INDEX(Bases!$E$2:$E$53,C601)="","",INDEX(Bases!$E$2:$E$53,C601))</f>
        <v/>
      </c>
      <c r="K601" s="5"/>
      <c r="L601" s="2" t="n">
        <f aca="false">AE601+IF(SUMPRODUCT(--($AL601:$AQ601&gt;AL601))&lt;$AK601,1,0)</f>
        <v>77</v>
      </c>
      <c r="M601" s="2" t="n">
        <f aca="false">AF601+IF(SUMPRODUCT(--($AL601:$AQ601&gt;AM601))+SUMPRODUCT(--($AL601:AL601=AM601))&lt;$AK601,1,0)</f>
        <v>93</v>
      </c>
      <c r="N601" s="2" t="n">
        <f aca="false">AG601+IF(SUMPRODUCT(--($AL601:$AQ601&gt;AN601))+SUMPRODUCT(--($AL601:AM601=AN601))&lt;$AK601,1,0)</f>
        <v>70</v>
      </c>
      <c r="O601" s="2" t="n">
        <f aca="false">AH601+IF(SUMPRODUCT(--($AL601:$AQ601&gt;AO601))+SUMPRODUCT(--($AL601:AN601=AO601))&lt;$AK601,1,0)</f>
        <v>93</v>
      </c>
      <c r="P601" s="2" t="n">
        <f aca="false">AI601+IF(SUMPRODUCT(--($AL601:$AQ601&gt;AP601))+SUMPRODUCT(--($AL601:AO601=AP601))&lt;$AK601,1,0)</f>
        <v>69</v>
      </c>
      <c r="Q601" s="2" t="n">
        <f aca="false">AJ601+IF(SUMPRODUCT(--($AL601:$AQ601&gt;AQ601))+SUMPRODUCT(--($AL601:AP601=AQ601))&lt;$AK601,1,0)</f>
        <v>98</v>
      </c>
      <c r="R601" s="2" t="n">
        <f aca="false">SUM(L601:Q601)</f>
        <v>500</v>
      </c>
      <c r="S601" s="2" t="n">
        <f aca="false">Settings!$B$4*MAX(INDEX(Bases!$M$2:$M$53,B601),INDEX(Bases!$M$2:$M$53,C601))+Settings!$B$5*MIN(INDEX(Bases!$M$2:$M$53,B601),INDEX(Bases!$M$2:$M$53,C601))</f>
        <v>64.3333333333333</v>
      </c>
      <c r="T601" s="2" t="n">
        <f aca="false">Settings!$B$4*MAX(INDEX(Bases!$N$2:$N$53,B601),INDEX(Bases!$N$2:$N$53,C601))+Settings!$B$5*MIN(INDEX(Bases!$N$2:$N$53,B601),INDEX(Bases!$N$2:$N$53,C601))</f>
        <v>78.3333333333333</v>
      </c>
      <c r="U601" s="2" t="n">
        <f aca="false">Settings!$B$4*MAX(INDEX(Bases!$O$2:$O$53,B601),INDEX(Bases!$O$2:$O$53,C601))+Settings!$B$5*MIN(INDEX(Bases!$O$2:$O$53,B601),INDEX(Bases!$O$2:$O$53,C601))</f>
        <v>58.6666666666667</v>
      </c>
      <c r="V601" s="2" t="n">
        <f aca="false">Settings!$B$4*MAX(INDEX(Bases!$P$2:$P$53,B601),INDEX(Bases!$P$2:$P$53,C601))+Settings!$B$5*MIN(INDEX(Bases!$P$2:$P$53,B601),INDEX(Bases!$P$2:$P$53,C601))</f>
        <v>78.3333333333333</v>
      </c>
      <c r="W601" s="2" t="n">
        <f aca="false">Settings!$B$4*MAX(INDEX(Bases!$Q$2:$Q$53,B601),INDEX(Bases!$Q$2:$Q$53,C601))+Settings!$B$5*MIN(INDEX(Bases!$Q$2:$Q$53,B601),INDEX(Bases!$Q$2:$Q$53,C601))</f>
        <v>57.6666666666667</v>
      </c>
      <c r="X601" s="2" t="n">
        <f aca="false">Settings!$B$4*MAX(INDEX(Bases!$R$2:$R$53,B601),INDEX(Bases!$R$2:$R$53,C601))+Settings!$B$5*MIN(INDEX(Bases!$R$2:$R$53,B601),INDEX(Bases!$R$2:$R$53,C601))</f>
        <v>82</v>
      </c>
      <c r="Y601" s="2" t="n">
        <f aca="false">S601*Settings!$B$3/SUM(S601:X601)</f>
        <v>76.7090620031796</v>
      </c>
      <c r="Z601" s="2" t="n">
        <f aca="false">T601*Settings!$B$3/SUM(S601:X601)</f>
        <v>93.4022257551669</v>
      </c>
      <c r="AA601" s="2" t="n">
        <f aca="false">U601*Settings!$B$3/SUM(S601:X601)</f>
        <v>69.9523052464229</v>
      </c>
      <c r="AB601" s="2" t="n">
        <f aca="false">V601*Settings!$B$3/SUM(S601:X601)</f>
        <v>93.4022257551669</v>
      </c>
      <c r="AC601" s="2" t="n">
        <f aca="false">W601*Settings!$B$3/SUM(S601:X601)</f>
        <v>68.7599364069952</v>
      </c>
      <c r="AD601" s="2" t="n">
        <f aca="false">X601*Settings!$B$3/SUM(S601:X601)</f>
        <v>97.7742448330684</v>
      </c>
      <c r="AE601" s="2" t="n">
        <f aca="false">INT(Y601)</f>
        <v>76</v>
      </c>
      <c r="AF601" s="2" t="n">
        <f aca="false">INT(Z601)</f>
        <v>93</v>
      </c>
      <c r="AG601" s="2" t="n">
        <f aca="false">INT(AA601)</f>
        <v>69</v>
      </c>
      <c r="AH601" s="2" t="n">
        <f aca="false">INT(AB601)</f>
        <v>93</v>
      </c>
      <c r="AI601" s="2" t="n">
        <f aca="false">INT(AC601)</f>
        <v>68</v>
      </c>
      <c r="AJ601" s="2" t="n">
        <f aca="false">INT(AD601)</f>
        <v>97</v>
      </c>
      <c r="AK601" s="2" t="n">
        <f aca="false">Settings!$B$3-SUM(AE601:AJ601)</f>
        <v>4</v>
      </c>
      <c r="AL601" s="2" t="n">
        <f aca="false">ROUND(Y601-AE601,9)</f>
        <v>0.709062003</v>
      </c>
      <c r="AM601" s="2" t="n">
        <f aca="false">ROUND(Z601-AF601,9)</f>
        <v>0.402225755</v>
      </c>
      <c r="AN601" s="2" t="n">
        <f aca="false">ROUND(AA601-AG601,9)</f>
        <v>0.952305246</v>
      </c>
      <c r="AO601" s="2" t="n">
        <f aca="false">ROUND(AB601-AH601,9)</f>
        <v>0.402225755</v>
      </c>
      <c r="AP601" s="2" t="n">
        <f aca="false">ROUND(AC601-AI601,9)</f>
        <v>0.759936407</v>
      </c>
      <c r="AQ601" s="2" t="n">
        <f aca="false">ROUND(AD601-AJ601,9)</f>
        <v>0.774244833</v>
      </c>
    </row>
    <row r="602" customFormat="false" ht="15" hidden="false" customHeight="false" outlineLevel="0" collapsed="false">
      <c r="A602" s="2" t="n">
        <v>601</v>
      </c>
      <c r="B602" s="6" t="n">
        <v>14</v>
      </c>
      <c r="C602" s="6" t="n">
        <v>30</v>
      </c>
      <c r="D602" s="8" t="str">
        <f aca="false">INDEX(Bases!$B$2:$B$53,B602)</f>
        <v>Celebi</v>
      </c>
      <c r="E602" s="8" t="str">
        <f aca="false">INDEX(Bases!$B$2:$B$53,C602)</f>
        <v>Swablu</v>
      </c>
      <c r="F602" s="2" t="str">
        <f aca="false">LEFT(D602,ROUNDUP(LEN(D602)/2,0))&amp;LOWER(MID(E602,ROUNDUP(LEN(E602)/2,0)+1,20))</f>
        <v>Celblu</v>
      </c>
      <c r="G602" s="8" t="str">
        <f aca="false">INDEX(Bases!$C$2:$C$53,B602)</f>
        <v>Grass</v>
      </c>
      <c r="H602" s="8" t="str">
        <f aca="false">IF(INDEX(Bases!$C$2:$C$53,C602)=G602,"",INDEX(Bases!$C$2:$C$53,C602))</f>
        <v>Flying</v>
      </c>
      <c r="I602" s="8" t="str">
        <f aca="false">IF(INDEX(Bases!$E$2:$E$53,B602)="","",INDEX(Bases!$E$2:$E$53,B602))</f>
        <v/>
      </c>
      <c r="J602" s="8" t="str">
        <f aca="false">IF(INDEX(Bases!$E$2:$E$53,C602)="","",INDEX(Bases!$E$2:$E$53,C602))</f>
        <v/>
      </c>
      <c r="K602" s="5"/>
      <c r="L602" s="2" t="n">
        <f aca="false">AE602+IF(SUMPRODUCT(--($AL602:$AQ602&gt;AL602))&lt;$AK602,1,0)</f>
        <v>77</v>
      </c>
      <c r="M602" s="2" t="n">
        <f aca="false">AF602+IF(SUMPRODUCT(--($AL602:$AQ602&gt;AM602))+SUMPRODUCT(--($AL602:AL602=AM602))&lt;$AK602,1,0)</f>
        <v>75</v>
      </c>
      <c r="N602" s="2" t="n">
        <f aca="false">AG602+IF(SUMPRODUCT(--($AL602:$AQ602&gt;AN602))+SUMPRODUCT(--($AL602:AM602=AN602))&lt;$AK602,1,0)</f>
        <v>89</v>
      </c>
      <c r="O602" s="2" t="n">
        <f aca="false">AH602+IF(SUMPRODUCT(--($AL602:$AQ602&gt;AO602))+SUMPRODUCT(--($AL602:AN602=AO602))&lt;$AK602,1,0)</f>
        <v>75</v>
      </c>
      <c r="P602" s="2" t="n">
        <f aca="false">AI602+IF(SUMPRODUCT(--($AL602:$AQ602&gt;AP602))+SUMPRODUCT(--($AL602:AO602=AP602))&lt;$AK602,1,0)</f>
        <v>105</v>
      </c>
      <c r="Q602" s="2" t="n">
        <f aca="false">AJ602+IF(SUMPRODUCT(--($AL602:$AQ602&gt;AQ602))+SUMPRODUCT(--($AL602:AP602=AQ602))&lt;$AK602,1,0)</f>
        <v>79</v>
      </c>
      <c r="R602" s="2" t="n">
        <f aca="false">SUM(L602:Q602)</f>
        <v>500</v>
      </c>
      <c r="S602" s="2" t="n">
        <f aca="false">Settings!$B$4*MAX(INDEX(Bases!$M$2:$M$53,B602),INDEX(Bases!$M$2:$M$53,C602))+Settings!$B$5*MIN(INDEX(Bases!$M$2:$M$53,B602),INDEX(Bases!$M$2:$M$53,C602))</f>
        <v>64</v>
      </c>
      <c r="T602" s="2" t="n">
        <f aca="false">Settings!$B$4*MAX(INDEX(Bases!$N$2:$N$53,B602),INDEX(Bases!$N$2:$N$53,C602))+Settings!$B$5*MIN(INDEX(Bases!$N$2:$N$53,B602),INDEX(Bases!$N$2:$N$53,C602))</f>
        <v>62</v>
      </c>
      <c r="U602" s="2" t="n">
        <f aca="false">Settings!$B$4*MAX(INDEX(Bases!$O$2:$O$53,B602),INDEX(Bases!$O$2:$O$53,C602))+Settings!$B$5*MIN(INDEX(Bases!$O$2:$O$53,B602),INDEX(Bases!$O$2:$O$53,C602))</f>
        <v>73.6666666666667</v>
      </c>
      <c r="V602" s="2" t="n">
        <f aca="false">Settings!$B$4*MAX(INDEX(Bases!$P$2:$P$53,B602),INDEX(Bases!$P$2:$P$53,C602))+Settings!$B$5*MIN(INDEX(Bases!$P$2:$P$53,B602),INDEX(Bases!$P$2:$P$53,C602))</f>
        <v>62</v>
      </c>
      <c r="W602" s="2" t="n">
        <f aca="false">Settings!$B$4*MAX(INDEX(Bases!$Q$2:$Q$53,B602),INDEX(Bases!$Q$2:$Q$53,C602))+Settings!$B$5*MIN(INDEX(Bases!$Q$2:$Q$53,B602),INDEX(Bases!$Q$2:$Q$53,C602))</f>
        <v>86.6666666666667</v>
      </c>
      <c r="X602" s="2" t="n">
        <f aca="false">Settings!$B$4*MAX(INDEX(Bases!$R$2:$R$53,B602),INDEX(Bases!$R$2:$R$53,C602))+Settings!$B$5*MIN(INDEX(Bases!$R$2:$R$53,B602),INDEX(Bases!$R$2:$R$53,C602))</f>
        <v>65.3333333333333</v>
      </c>
      <c r="Y602" s="2" t="n">
        <f aca="false">S602*Settings!$B$3/SUM(S602:X602)</f>
        <v>77.3569701853344</v>
      </c>
      <c r="Z602" s="2" t="n">
        <f aca="false">T602*Settings!$B$3/SUM(S602:X602)</f>
        <v>74.9395648670427</v>
      </c>
      <c r="AA602" s="2" t="n">
        <f aca="false">U602*Settings!$B$3/SUM(S602:X602)</f>
        <v>89.041095890411</v>
      </c>
      <c r="AB602" s="2" t="n">
        <f aca="false">V602*Settings!$B$3/SUM(S602:X602)</f>
        <v>74.9395648670427</v>
      </c>
      <c r="AC602" s="2" t="n">
        <f aca="false">W602*Settings!$B$3/SUM(S602:X602)</f>
        <v>104.754230459307</v>
      </c>
      <c r="AD602" s="2" t="n">
        <f aca="false">X602*Settings!$B$3/SUM(S602:X602)</f>
        <v>78.9685737308622</v>
      </c>
      <c r="AE602" s="2" t="n">
        <f aca="false">INT(Y602)</f>
        <v>77</v>
      </c>
      <c r="AF602" s="2" t="n">
        <f aca="false">INT(Z602)</f>
        <v>74</v>
      </c>
      <c r="AG602" s="2" t="n">
        <f aca="false">INT(AA602)</f>
        <v>89</v>
      </c>
      <c r="AH602" s="2" t="n">
        <f aca="false">INT(AB602)</f>
        <v>74</v>
      </c>
      <c r="AI602" s="2" t="n">
        <f aca="false">INT(AC602)</f>
        <v>104</v>
      </c>
      <c r="AJ602" s="2" t="n">
        <f aca="false">INT(AD602)</f>
        <v>78</v>
      </c>
      <c r="AK602" s="2" t="n">
        <f aca="false">Settings!$B$3-SUM(AE602:AJ602)</f>
        <v>4</v>
      </c>
      <c r="AL602" s="2" t="n">
        <f aca="false">ROUND(Y602-AE602,9)</f>
        <v>0.356970185</v>
      </c>
      <c r="AM602" s="2" t="n">
        <f aca="false">ROUND(Z602-AF602,9)</f>
        <v>0.939564867</v>
      </c>
      <c r="AN602" s="2" t="n">
        <f aca="false">ROUND(AA602-AG602,9)</f>
        <v>0.04109589</v>
      </c>
      <c r="AO602" s="2" t="n">
        <f aca="false">ROUND(AB602-AH602,9)</f>
        <v>0.939564867</v>
      </c>
      <c r="AP602" s="2" t="n">
        <f aca="false">ROUND(AC602-AI602,9)</f>
        <v>0.754230459</v>
      </c>
      <c r="AQ602" s="2" t="n">
        <f aca="false">ROUND(AD602-AJ602,9)</f>
        <v>0.968573731</v>
      </c>
    </row>
    <row r="603" customFormat="false" ht="15" hidden="false" customHeight="false" outlineLevel="0" collapsed="false">
      <c r="A603" s="2" t="n">
        <v>602</v>
      </c>
      <c r="B603" s="6" t="n">
        <v>14</v>
      </c>
      <c r="C603" s="6" t="n">
        <v>31</v>
      </c>
      <c r="D603" s="8" t="str">
        <f aca="false">INDEX(Bases!$B$2:$B$53,B603)</f>
        <v>Celebi</v>
      </c>
      <c r="E603" s="8" t="str">
        <f aca="false">INDEX(Bases!$B$2:$B$53,C603)</f>
        <v>Mew</v>
      </c>
      <c r="F603" s="2" t="str">
        <f aca="false">LEFT(D603,ROUNDUP(LEN(D603)/2,0))&amp;LOWER(MID(E603,ROUNDUP(LEN(E603)/2,0)+1,20))</f>
        <v>Celw</v>
      </c>
      <c r="G603" s="8" t="str">
        <f aca="false">INDEX(Bases!$C$2:$C$53,B603)</f>
        <v>Grass</v>
      </c>
      <c r="H603" s="8" t="str">
        <f aca="false">IF(INDEX(Bases!$C$2:$C$53,C603)=G603,"",INDEX(Bases!$C$2:$C$53,C603))</f>
        <v>Psychic</v>
      </c>
      <c r="I603" s="8" t="str">
        <f aca="false">IF(INDEX(Bases!$E$2:$E$53,B603)="","",INDEX(Bases!$E$2:$E$53,B603))</f>
        <v/>
      </c>
      <c r="J603" s="8" t="str">
        <f aca="false">IF(INDEX(Bases!$E$2:$E$53,C603)="","",INDEX(Bases!$E$2:$E$53,C603))</f>
        <v/>
      </c>
      <c r="K603" s="5"/>
      <c r="L603" s="2" t="n">
        <f aca="false">AE603+IF(SUMPRODUCT(--($AL603:$AQ603&gt;AL603))&lt;$AK603,1,0)</f>
        <v>84</v>
      </c>
      <c r="M603" s="2" t="n">
        <f aca="false">AF603+IF(SUMPRODUCT(--($AL603:$AQ603&gt;AM603))+SUMPRODUCT(--($AL603:AL603=AM603))&lt;$AK603,1,0)</f>
        <v>84</v>
      </c>
      <c r="N603" s="2" t="n">
        <f aca="false">AG603+IF(SUMPRODUCT(--($AL603:$AQ603&gt;AN603))+SUMPRODUCT(--($AL603:AM603=AN603))&lt;$AK603,1,0)</f>
        <v>84</v>
      </c>
      <c r="O603" s="2" t="n">
        <f aca="false">AH603+IF(SUMPRODUCT(--($AL603:$AQ603&gt;AO603))+SUMPRODUCT(--($AL603:AN603=AO603))&lt;$AK603,1,0)</f>
        <v>84</v>
      </c>
      <c r="P603" s="2" t="n">
        <f aca="false">AI603+IF(SUMPRODUCT(--($AL603:$AQ603&gt;AP603))+SUMPRODUCT(--($AL603:AO603=AP603))&lt;$AK603,1,0)</f>
        <v>82</v>
      </c>
      <c r="Q603" s="2" t="n">
        <f aca="false">AJ603+IF(SUMPRODUCT(--($AL603:$AQ603&gt;AQ603))+SUMPRODUCT(--($AL603:AP603=AQ603))&lt;$AK603,1,0)</f>
        <v>82</v>
      </c>
      <c r="R603" s="2" t="n">
        <f aca="false">SUM(L603:Q603)</f>
        <v>500</v>
      </c>
      <c r="S603" s="2" t="n">
        <f aca="false">Settings!$B$4*MAX(INDEX(Bases!$M$2:$M$53,B603),INDEX(Bases!$M$2:$M$53,C603))+Settings!$B$5*MIN(INDEX(Bases!$M$2:$M$53,B603),INDEX(Bases!$M$2:$M$53,C603))</f>
        <v>67</v>
      </c>
      <c r="T603" s="2" t="n">
        <f aca="false">Settings!$B$4*MAX(INDEX(Bases!$N$2:$N$53,B603),INDEX(Bases!$N$2:$N$53,C603))+Settings!$B$5*MIN(INDEX(Bases!$N$2:$N$53,B603),INDEX(Bases!$N$2:$N$53,C603))</f>
        <v>67</v>
      </c>
      <c r="U603" s="2" t="n">
        <f aca="false">Settings!$B$4*MAX(INDEX(Bases!$O$2:$O$53,B603),INDEX(Bases!$O$2:$O$53,C603))+Settings!$B$5*MIN(INDEX(Bases!$O$2:$O$53,B603),INDEX(Bases!$O$2:$O$53,C603))</f>
        <v>67</v>
      </c>
      <c r="V603" s="2" t="n">
        <f aca="false">Settings!$B$4*MAX(INDEX(Bases!$P$2:$P$53,B603),INDEX(Bases!$P$2:$P$53,C603))+Settings!$B$5*MIN(INDEX(Bases!$P$2:$P$53,B603),INDEX(Bases!$P$2:$P$53,C603))</f>
        <v>67</v>
      </c>
      <c r="W603" s="2" t="n">
        <f aca="false">Settings!$B$4*MAX(INDEX(Bases!$Q$2:$Q$53,B603),INDEX(Bases!$Q$2:$Q$53,C603))+Settings!$B$5*MIN(INDEX(Bases!$Q$2:$Q$53,B603),INDEX(Bases!$Q$2:$Q$53,C603))</f>
        <v>66</v>
      </c>
      <c r="X603" s="2" t="n">
        <f aca="false">Settings!$B$4*MAX(INDEX(Bases!$R$2:$R$53,B603),INDEX(Bases!$R$2:$R$53,C603))+Settings!$B$5*MIN(INDEX(Bases!$R$2:$R$53,B603),INDEX(Bases!$R$2:$R$53,C603))</f>
        <v>66</v>
      </c>
      <c r="Y603" s="2" t="n">
        <f aca="false">S603*Settings!$B$3/SUM(S603:X603)</f>
        <v>83.75</v>
      </c>
      <c r="Z603" s="2" t="n">
        <f aca="false">T603*Settings!$B$3/SUM(S603:X603)</f>
        <v>83.75</v>
      </c>
      <c r="AA603" s="2" t="n">
        <f aca="false">U603*Settings!$B$3/SUM(S603:X603)</f>
        <v>83.75</v>
      </c>
      <c r="AB603" s="2" t="n">
        <f aca="false">V603*Settings!$B$3/SUM(S603:X603)</f>
        <v>83.75</v>
      </c>
      <c r="AC603" s="2" t="n">
        <f aca="false">W603*Settings!$B$3/SUM(S603:X603)</f>
        <v>82.5</v>
      </c>
      <c r="AD603" s="2" t="n">
        <f aca="false">X603*Settings!$B$3/SUM(S603:X603)</f>
        <v>82.5</v>
      </c>
      <c r="AE603" s="2" t="n">
        <f aca="false">INT(Y603)</f>
        <v>83</v>
      </c>
      <c r="AF603" s="2" t="n">
        <f aca="false">INT(Z603)</f>
        <v>83</v>
      </c>
      <c r="AG603" s="2" t="n">
        <f aca="false">INT(AA603)</f>
        <v>83</v>
      </c>
      <c r="AH603" s="2" t="n">
        <f aca="false">INT(AB603)</f>
        <v>83</v>
      </c>
      <c r="AI603" s="2" t="n">
        <f aca="false">INT(AC603)</f>
        <v>82</v>
      </c>
      <c r="AJ603" s="2" t="n">
        <f aca="false">INT(AD603)</f>
        <v>82</v>
      </c>
      <c r="AK603" s="2" t="n">
        <f aca="false">Settings!$B$3-SUM(AE603:AJ603)</f>
        <v>4</v>
      </c>
      <c r="AL603" s="2" t="n">
        <f aca="false">ROUND(Y603-AE603,9)</f>
        <v>0.75</v>
      </c>
      <c r="AM603" s="2" t="n">
        <f aca="false">ROUND(Z603-AF603,9)</f>
        <v>0.75</v>
      </c>
      <c r="AN603" s="2" t="n">
        <f aca="false">ROUND(AA603-AG603,9)</f>
        <v>0.75</v>
      </c>
      <c r="AO603" s="2" t="n">
        <f aca="false">ROUND(AB603-AH603,9)</f>
        <v>0.75</v>
      </c>
      <c r="AP603" s="2" t="n">
        <f aca="false">ROUND(AC603-AI603,9)</f>
        <v>0.5</v>
      </c>
      <c r="AQ603" s="2" t="n">
        <f aca="false">ROUND(AD603-AJ603,9)</f>
        <v>0.5</v>
      </c>
    </row>
    <row r="604" customFormat="false" ht="15" hidden="false" customHeight="false" outlineLevel="0" collapsed="false">
      <c r="A604" s="2" t="n">
        <v>603</v>
      </c>
      <c r="B604" s="6" t="n">
        <v>14</v>
      </c>
      <c r="C604" s="6" t="n">
        <v>32</v>
      </c>
      <c r="D604" s="8" t="str">
        <f aca="false">INDEX(Bases!$B$2:$B$53,B604)</f>
        <v>Celebi</v>
      </c>
      <c r="E604" s="8" t="str">
        <f aca="false">INDEX(Bases!$B$2:$B$53,C604)</f>
        <v>Spoink</v>
      </c>
      <c r="F604" s="2" t="str">
        <f aca="false">LEFT(D604,ROUNDUP(LEN(D604)/2,0))&amp;LOWER(MID(E604,ROUNDUP(LEN(E604)/2,0)+1,20))</f>
        <v>Celink</v>
      </c>
      <c r="G604" s="8" t="str">
        <f aca="false">INDEX(Bases!$C$2:$C$53,B604)</f>
        <v>Grass</v>
      </c>
      <c r="H604" s="8" t="str">
        <f aca="false">IF(INDEX(Bases!$C$2:$C$53,C604)=G604,"",INDEX(Bases!$C$2:$C$53,C604))</f>
        <v>Psychic</v>
      </c>
      <c r="I604" s="8" t="str">
        <f aca="false">IF(INDEX(Bases!$E$2:$E$53,B604)="","",INDEX(Bases!$E$2:$E$53,B604))</f>
        <v/>
      </c>
      <c r="J604" s="8" t="str">
        <f aca="false">IF(INDEX(Bases!$E$2:$E$53,C604)="","",INDEX(Bases!$E$2:$E$53,C604))</f>
        <v/>
      </c>
      <c r="K604" s="5"/>
      <c r="L604" s="2" t="n">
        <f aca="false">AE604+IF(SUMPRODUCT(--($AL604:$AQ604&gt;AL604))&lt;$AK604,1,0)</f>
        <v>84</v>
      </c>
      <c r="M604" s="2" t="n">
        <f aca="false">AF604+IF(SUMPRODUCT(--($AL604:$AQ604&gt;AM604))+SUMPRODUCT(--($AL604:AL604=AM604))&lt;$AK604,1,0)</f>
        <v>65</v>
      </c>
      <c r="N604" s="2" t="n">
        <f aca="false">AG604+IF(SUMPRODUCT(--($AL604:$AQ604&gt;AN604))+SUMPRODUCT(--($AL604:AM604=AN604))&lt;$AK604,1,0)</f>
        <v>70</v>
      </c>
      <c r="O604" s="2" t="n">
        <f aca="false">AH604+IF(SUMPRODUCT(--($AL604:$AQ604&gt;AO604))+SUMPRODUCT(--($AL604:AN604=AO604))&lt;$AK604,1,0)</f>
        <v>94</v>
      </c>
      <c r="P604" s="2" t="n">
        <f aca="false">AI604+IF(SUMPRODUCT(--($AL604:$AQ604&gt;AP604))+SUMPRODUCT(--($AL604:AO604=AP604))&lt;$AK604,1,0)</f>
        <v>103</v>
      </c>
      <c r="Q604" s="2" t="n">
        <f aca="false">AJ604+IF(SUMPRODUCT(--($AL604:$AQ604&gt;AQ604))+SUMPRODUCT(--($AL604:AP604=AQ604))&lt;$AK604,1,0)</f>
        <v>84</v>
      </c>
      <c r="R604" s="2" t="n">
        <f aca="false">SUM(L604:Q604)</f>
        <v>500</v>
      </c>
      <c r="S604" s="2" t="n">
        <f aca="false">Settings!$B$4*MAX(INDEX(Bases!$M$2:$M$53,B604),INDEX(Bases!$M$2:$M$53,C604))+Settings!$B$5*MIN(INDEX(Bases!$M$2:$M$53,B604),INDEX(Bases!$M$2:$M$53,C604))</f>
        <v>71</v>
      </c>
      <c r="T604" s="2" t="n">
        <f aca="false">Settings!$B$4*MAX(INDEX(Bases!$N$2:$N$53,B604),INDEX(Bases!$N$2:$N$53,C604))+Settings!$B$5*MIN(INDEX(Bases!$N$2:$N$53,B604),INDEX(Bases!$N$2:$N$53,C604))</f>
        <v>54.6666666666667</v>
      </c>
      <c r="U604" s="2" t="n">
        <f aca="false">Settings!$B$4*MAX(INDEX(Bases!$O$2:$O$53,B604),INDEX(Bases!$O$2:$O$53,C604))+Settings!$B$5*MIN(INDEX(Bases!$O$2:$O$53,B604),INDEX(Bases!$O$2:$O$53,C604))</f>
        <v>58.6666666666667</v>
      </c>
      <c r="V604" s="2" t="n">
        <f aca="false">Settings!$B$4*MAX(INDEX(Bases!$P$2:$P$53,B604),INDEX(Bases!$P$2:$P$53,C604))+Settings!$B$5*MIN(INDEX(Bases!$P$2:$P$53,B604),INDEX(Bases!$P$2:$P$53,C604))</f>
        <v>79</v>
      </c>
      <c r="W604" s="2" t="n">
        <f aca="false">Settings!$B$4*MAX(INDEX(Bases!$Q$2:$Q$53,B604),INDEX(Bases!$Q$2:$Q$53,C604))+Settings!$B$5*MIN(INDEX(Bases!$Q$2:$Q$53,B604),INDEX(Bases!$Q$2:$Q$53,C604))</f>
        <v>86.6666666666667</v>
      </c>
      <c r="X604" s="2" t="n">
        <f aca="false">Settings!$B$4*MAX(INDEX(Bases!$R$2:$R$53,B604),INDEX(Bases!$R$2:$R$53,C604))+Settings!$B$5*MIN(INDEX(Bases!$R$2:$R$53,B604),INDEX(Bases!$R$2:$R$53,C604))</f>
        <v>70.6666666666667</v>
      </c>
      <c r="Y604" s="2" t="n">
        <f aca="false">S604*Settings!$B$3/SUM(S604:X604)</f>
        <v>84.3898573692552</v>
      </c>
      <c r="Z604" s="2" t="n">
        <f aca="false">T604*Settings!$B$3/SUM(S604:X604)</f>
        <v>64.9762282091918</v>
      </c>
      <c r="AA604" s="2" t="n">
        <f aca="false">U604*Settings!$B$3/SUM(S604:X604)</f>
        <v>69.7305863708399</v>
      </c>
      <c r="AB604" s="2" t="n">
        <f aca="false">V604*Settings!$B$3/SUM(S604:X604)</f>
        <v>93.8985736925515</v>
      </c>
      <c r="AC604" s="2" t="n">
        <f aca="false">W604*Settings!$B$3/SUM(S604:X604)</f>
        <v>103.011093502377</v>
      </c>
      <c r="AD604" s="2" t="n">
        <f aca="false">X604*Settings!$B$3/SUM(S604:X604)</f>
        <v>83.9936608557845</v>
      </c>
      <c r="AE604" s="2" t="n">
        <f aca="false">INT(Y604)</f>
        <v>84</v>
      </c>
      <c r="AF604" s="2" t="n">
        <f aca="false">INT(Z604)</f>
        <v>64</v>
      </c>
      <c r="AG604" s="2" t="n">
        <f aca="false">INT(AA604)</f>
        <v>69</v>
      </c>
      <c r="AH604" s="2" t="n">
        <f aca="false">INT(AB604)</f>
        <v>93</v>
      </c>
      <c r="AI604" s="2" t="n">
        <f aca="false">INT(AC604)</f>
        <v>103</v>
      </c>
      <c r="AJ604" s="2" t="n">
        <f aca="false">INT(AD604)</f>
        <v>83</v>
      </c>
      <c r="AK604" s="2" t="n">
        <f aca="false">Settings!$B$3-SUM(AE604:AJ604)</f>
        <v>4</v>
      </c>
      <c r="AL604" s="2" t="n">
        <f aca="false">ROUND(Y604-AE604,9)</f>
        <v>0.389857369</v>
      </c>
      <c r="AM604" s="2" t="n">
        <f aca="false">ROUND(Z604-AF604,9)</f>
        <v>0.976228209</v>
      </c>
      <c r="AN604" s="2" t="n">
        <f aca="false">ROUND(AA604-AG604,9)</f>
        <v>0.730586371</v>
      </c>
      <c r="AO604" s="2" t="n">
        <f aca="false">ROUND(AB604-AH604,9)</f>
        <v>0.898573693</v>
      </c>
      <c r="AP604" s="2" t="n">
        <f aca="false">ROUND(AC604-AI604,9)</f>
        <v>0.011093502</v>
      </c>
      <c r="AQ604" s="2" t="n">
        <f aca="false">ROUND(AD604-AJ604,9)</f>
        <v>0.993660856</v>
      </c>
    </row>
    <row r="605" customFormat="false" ht="15" hidden="false" customHeight="false" outlineLevel="0" collapsed="false">
      <c r="A605" s="2" t="n">
        <v>604</v>
      </c>
      <c r="B605" s="6" t="n">
        <v>14</v>
      </c>
      <c r="C605" s="6" t="n">
        <v>33</v>
      </c>
      <c r="D605" s="8" t="str">
        <f aca="false">INDEX(Bases!$B$2:$B$53,B605)</f>
        <v>Celebi</v>
      </c>
      <c r="E605" s="8" t="str">
        <f aca="false">INDEX(Bases!$B$2:$B$53,C605)</f>
        <v>Jirachi</v>
      </c>
      <c r="F605" s="2" t="str">
        <f aca="false">LEFT(D605,ROUNDUP(LEN(D605)/2,0))&amp;LOWER(MID(E605,ROUNDUP(LEN(E605)/2,0)+1,20))</f>
        <v>Celchi</v>
      </c>
      <c r="G605" s="8" t="str">
        <f aca="false">INDEX(Bases!$C$2:$C$53,B605)</f>
        <v>Grass</v>
      </c>
      <c r="H605" s="8" t="str">
        <f aca="false">IF(INDEX(Bases!$C$2:$C$53,C605)=G605,"",INDEX(Bases!$C$2:$C$53,C605))</f>
        <v>Psychic</v>
      </c>
      <c r="I605" s="8" t="str">
        <f aca="false">IF(INDEX(Bases!$E$2:$E$53,B605)="","",INDEX(Bases!$E$2:$E$53,B605))</f>
        <v/>
      </c>
      <c r="J605" s="8" t="str">
        <f aca="false">IF(INDEX(Bases!$E$2:$E$53,C605)="","",INDEX(Bases!$E$2:$E$53,C605))</f>
        <v/>
      </c>
      <c r="K605" s="5"/>
      <c r="L605" s="2" t="n">
        <f aca="false">AE605+IF(SUMPRODUCT(--($AL605:$AQ605&gt;AL605))&lt;$AK605,1,0)</f>
        <v>84</v>
      </c>
      <c r="M605" s="2" t="n">
        <f aca="false">AF605+IF(SUMPRODUCT(--($AL605:$AQ605&gt;AM605))+SUMPRODUCT(--($AL605:AL605=AM605))&lt;$AK605,1,0)</f>
        <v>84</v>
      </c>
      <c r="N605" s="2" t="n">
        <f aca="false">AG605+IF(SUMPRODUCT(--($AL605:$AQ605&gt;AN605))+SUMPRODUCT(--($AL605:AM605=AN605))&lt;$AK605,1,0)</f>
        <v>84</v>
      </c>
      <c r="O605" s="2" t="n">
        <f aca="false">AH605+IF(SUMPRODUCT(--($AL605:$AQ605&gt;AO605))+SUMPRODUCT(--($AL605:AN605=AO605))&lt;$AK605,1,0)</f>
        <v>84</v>
      </c>
      <c r="P605" s="2" t="n">
        <f aca="false">AI605+IF(SUMPRODUCT(--($AL605:$AQ605&gt;AP605))+SUMPRODUCT(--($AL605:AO605=AP605))&lt;$AK605,1,0)</f>
        <v>82</v>
      </c>
      <c r="Q605" s="2" t="n">
        <f aca="false">AJ605+IF(SUMPRODUCT(--($AL605:$AQ605&gt;AQ605))+SUMPRODUCT(--($AL605:AP605=AQ605))&lt;$AK605,1,0)</f>
        <v>82</v>
      </c>
      <c r="R605" s="2" t="n">
        <f aca="false">SUM(L605:Q605)</f>
        <v>500</v>
      </c>
      <c r="S605" s="2" t="n">
        <f aca="false">Settings!$B$4*MAX(INDEX(Bases!$M$2:$M$53,B605),INDEX(Bases!$M$2:$M$53,C605))+Settings!$B$5*MIN(INDEX(Bases!$M$2:$M$53,B605),INDEX(Bases!$M$2:$M$53,C605))</f>
        <v>67</v>
      </c>
      <c r="T605" s="2" t="n">
        <f aca="false">Settings!$B$4*MAX(INDEX(Bases!$N$2:$N$53,B605),INDEX(Bases!$N$2:$N$53,C605))+Settings!$B$5*MIN(INDEX(Bases!$N$2:$N$53,B605),INDEX(Bases!$N$2:$N$53,C605))</f>
        <v>67</v>
      </c>
      <c r="U605" s="2" t="n">
        <f aca="false">Settings!$B$4*MAX(INDEX(Bases!$O$2:$O$53,B605),INDEX(Bases!$O$2:$O$53,C605))+Settings!$B$5*MIN(INDEX(Bases!$O$2:$O$53,B605),INDEX(Bases!$O$2:$O$53,C605))</f>
        <v>67</v>
      </c>
      <c r="V605" s="2" t="n">
        <f aca="false">Settings!$B$4*MAX(INDEX(Bases!$P$2:$P$53,B605),INDEX(Bases!$P$2:$P$53,C605))+Settings!$B$5*MIN(INDEX(Bases!$P$2:$P$53,B605),INDEX(Bases!$P$2:$P$53,C605))</f>
        <v>67</v>
      </c>
      <c r="W605" s="2" t="n">
        <f aca="false">Settings!$B$4*MAX(INDEX(Bases!$Q$2:$Q$53,B605),INDEX(Bases!$Q$2:$Q$53,C605))+Settings!$B$5*MIN(INDEX(Bases!$Q$2:$Q$53,B605),INDEX(Bases!$Q$2:$Q$53,C605))</f>
        <v>66</v>
      </c>
      <c r="X605" s="2" t="n">
        <f aca="false">Settings!$B$4*MAX(INDEX(Bases!$R$2:$R$53,B605),INDEX(Bases!$R$2:$R$53,C605))+Settings!$B$5*MIN(INDEX(Bases!$R$2:$R$53,B605),INDEX(Bases!$R$2:$R$53,C605))</f>
        <v>66</v>
      </c>
      <c r="Y605" s="2" t="n">
        <f aca="false">S605*Settings!$B$3/SUM(S605:X605)</f>
        <v>83.75</v>
      </c>
      <c r="Z605" s="2" t="n">
        <f aca="false">T605*Settings!$B$3/SUM(S605:X605)</f>
        <v>83.75</v>
      </c>
      <c r="AA605" s="2" t="n">
        <f aca="false">U605*Settings!$B$3/SUM(S605:X605)</f>
        <v>83.75</v>
      </c>
      <c r="AB605" s="2" t="n">
        <f aca="false">V605*Settings!$B$3/SUM(S605:X605)</f>
        <v>83.75</v>
      </c>
      <c r="AC605" s="2" t="n">
        <f aca="false">W605*Settings!$B$3/SUM(S605:X605)</f>
        <v>82.5</v>
      </c>
      <c r="AD605" s="2" t="n">
        <f aca="false">X605*Settings!$B$3/SUM(S605:X605)</f>
        <v>82.5</v>
      </c>
      <c r="AE605" s="2" t="n">
        <f aca="false">INT(Y605)</f>
        <v>83</v>
      </c>
      <c r="AF605" s="2" t="n">
        <f aca="false">INT(Z605)</f>
        <v>83</v>
      </c>
      <c r="AG605" s="2" t="n">
        <f aca="false">INT(AA605)</f>
        <v>83</v>
      </c>
      <c r="AH605" s="2" t="n">
        <f aca="false">INT(AB605)</f>
        <v>83</v>
      </c>
      <c r="AI605" s="2" t="n">
        <f aca="false">INT(AC605)</f>
        <v>82</v>
      </c>
      <c r="AJ605" s="2" t="n">
        <f aca="false">INT(AD605)</f>
        <v>82</v>
      </c>
      <c r="AK605" s="2" t="n">
        <f aca="false">Settings!$B$3-SUM(AE605:AJ605)</f>
        <v>4</v>
      </c>
      <c r="AL605" s="2" t="n">
        <f aca="false">ROUND(Y605-AE605,9)</f>
        <v>0.75</v>
      </c>
      <c r="AM605" s="2" t="n">
        <f aca="false">ROUND(Z605-AF605,9)</f>
        <v>0.75</v>
      </c>
      <c r="AN605" s="2" t="n">
        <f aca="false">ROUND(AA605-AG605,9)</f>
        <v>0.75</v>
      </c>
      <c r="AO605" s="2" t="n">
        <f aca="false">ROUND(AB605-AH605,9)</f>
        <v>0.75</v>
      </c>
      <c r="AP605" s="2" t="n">
        <f aca="false">ROUND(AC605-AI605,9)</f>
        <v>0.5</v>
      </c>
      <c r="AQ605" s="2" t="n">
        <f aca="false">ROUND(AD605-AJ605,9)</f>
        <v>0.5</v>
      </c>
    </row>
    <row r="606" customFormat="false" ht="15" hidden="false" customHeight="false" outlineLevel="0" collapsed="false">
      <c r="A606" s="2" t="n">
        <v>605</v>
      </c>
      <c r="B606" s="6" t="n">
        <v>14</v>
      </c>
      <c r="C606" s="6" t="n">
        <v>34</v>
      </c>
      <c r="D606" s="8" t="str">
        <f aca="false">INDEX(Bases!$B$2:$B$53,B606)</f>
        <v>Celebi</v>
      </c>
      <c r="E606" s="8" t="str">
        <f aca="false">INDEX(Bases!$B$2:$B$53,C606)</f>
        <v>Paras</v>
      </c>
      <c r="F606" s="2" t="str">
        <f aca="false">LEFT(D606,ROUNDUP(LEN(D606)/2,0))&amp;LOWER(MID(E606,ROUNDUP(LEN(E606)/2,0)+1,20))</f>
        <v>Celas</v>
      </c>
      <c r="G606" s="8" t="str">
        <f aca="false">INDEX(Bases!$C$2:$C$53,B606)</f>
        <v>Grass</v>
      </c>
      <c r="H606" s="8" t="str">
        <f aca="false">IF(INDEX(Bases!$C$2:$C$53,C606)=G606,"",INDEX(Bases!$C$2:$C$53,C606))</f>
        <v>Bug</v>
      </c>
      <c r="I606" s="8" t="str">
        <f aca="false">IF(INDEX(Bases!$E$2:$E$53,B606)="","",INDEX(Bases!$E$2:$E$53,B606))</f>
        <v/>
      </c>
      <c r="J606" s="8" t="str">
        <f aca="false">IF(INDEX(Bases!$E$2:$E$53,C606)="","",INDEX(Bases!$E$2:$E$53,C606))</f>
        <v/>
      </c>
      <c r="K606" s="5"/>
      <c r="L606" s="2" t="n">
        <f aca="false">AE606+IF(SUMPRODUCT(--($AL606:$AQ606&gt;AL606))&lt;$AK606,1,0)</f>
        <v>73</v>
      </c>
      <c r="M606" s="2" t="n">
        <f aca="false">AF606+IF(SUMPRODUCT(--($AL606:$AQ606&gt;AM606))+SUMPRODUCT(--($AL606:AL606=AM606))&lt;$AK606,1,0)</f>
        <v>106</v>
      </c>
      <c r="N606" s="2" t="n">
        <f aca="false">AG606+IF(SUMPRODUCT(--($AL606:$AQ606&gt;AN606))+SUMPRODUCT(--($AL606:AM606=AN606))&lt;$AK606,1,0)</f>
        <v>88</v>
      </c>
      <c r="O606" s="2" t="n">
        <f aca="false">AH606+IF(SUMPRODUCT(--($AL606:$AQ606&gt;AO606))+SUMPRODUCT(--($AL606:AN606=AO606))&lt;$AK606,1,0)</f>
        <v>78</v>
      </c>
      <c r="P606" s="2" t="n">
        <f aca="false">AI606+IF(SUMPRODUCT(--($AL606:$AQ606&gt;AP606))+SUMPRODUCT(--($AL606:AO606=AP606))&lt;$AK606,1,0)</f>
        <v>88</v>
      </c>
      <c r="Q606" s="2" t="n">
        <f aca="false">AJ606+IF(SUMPRODUCT(--($AL606:$AQ606&gt;AQ606))+SUMPRODUCT(--($AL606:AP606=AQ606))&lt;$AK606,1,0)</f>
        <v>67</v>
      </c>
      <c r="R606" s="2" t="n">
        <f aca="false">SUM(L606:Q606)</f>
        <v>500</v>
      </c>
      <c r="S606" s="2" t="n">
        <f aca="false">Settings!$B$4*MAX(INDEX(Bases!$M$2:$M$53,B606),INDEX(Bases!$M$2:$M$53,C606))+Settings!$B$5*MIN(INDEX(Bases!$M$2:$M$53,B606),INDEX(Bases!$M$2:$M$53,C606))</f>
        <v>61</v>
      </c>
      <c r="T606" s="2" t="n">
        <f aca="false">Settings!$B$4*MAX(INDEX(Bases!$N$2:$N$53,B606),INDEX(Bases!$N$2:$N$53,C606))+Settings!$B$5*MIN(INDEX(Bases!$N$2:$N$53,B606),INDEX(Bases!$N$2:$N$53,C606))</f>
        <v>88.3333333333333</v>
      </c>
      <c r="U606" s="2" t="n">
        <f aca="false">Settings!$B$4*MAX(INDEX(Bases!$O$2:$O$53,B606),INDEX(Bases!$O$2:$O$53,C606))+Settings!$B$5*MIN(INDEX(Bases!$O$2:$O$53,B606),INDEX(Bases!$O$2:$O$53,C606))</f>
        <v>73.6666666666667</v>
      </c>
      <c r="V606" s="2" t="n">
        <f aca="false">Settings!$B$4*MAX(INDEX(Bases!$P$2:$P$53,B606),INDEX(Bases!$P$2:$P$53,C606))+Settings!$B$5*MIN(INDEX(Bases!$P$2:$P$53,B606),INDEX(Bases!$P$2:$P$53,C606))</f>
        <v>65.6666666666667</v>
      </c>
      <c r="W606" s="2" t="n">
        <f aca="false">Settings!$B$4*MAX(INDEX(Bases!$Q$2:$Q$53,B606),INDEX(Bases!$Q$2:$Q$53,C606))+Settings!$B$5*MIN(INDEX(Bases!$Q$2:$Q$53,B606),INDEX(Bases!$Q$2:$Q$53,C606))</f>
        <v>73.3333333333333</v>
      </c>
      <c r="X606" s="2" t="n">
        <f aca="false">Settings!$B$4*MAX(INDEX(Bases!$R$2:$R$53,B606),INDEX(Bases!$R$2:$R$53,C606))+Settings!$B$5*MIN(INDEX(Bases!$R$2:$R$53,B606),INDEX(Bases!$R$2:$R$53,C606))</f>
        <v>55.6666666666667</v>
      </c>
      <c r="Y606" s="2" t="n">
        <f aca="false">S606*Settings!$B$3/SUM(S606:X606)</f>
        <v>73.024740622506</v>
      </c>
      <c r="Z606" s="2" t="n">
        <f aca="false">T606*Settings!$B$3/SUM(S606:X606)</f>
        <v>105.746209098164</v>
      </c>
      <c r="AA606" s="2" t="n">
        <f aca="false">U606*Settings!$B$3/SUM(S606:X606)</f>
        <v>88.1883479648843</v>
      </c>
      <c r="AB606" s="2" t="n">
        <f aca="false">V606*Settings!$B$3/SUM(S606:X606)</f>
        <v>78.6113328012769</v>
      </c>
      <c r="AC606" s="2" t="n">
        <f aca="false">W606*Settings!$B$3/SUM(S606:X606)</f>
        <v>87.7893056664006</v>
      </c>
      <c r="AD606" s="2" t="n">
        <f aca="false">X606*Settings!$B$3/SUM(S606:X606)</f>
        <v>66.6400638467678</v>
      </c>
      <c r="AE606" s="2" t="n">
        <f aca="false">INT(Y606)</f>
        <v>73</v>
      </c>
      <c r="AF606" s="2" t="n">
        <f aca="false">INT(Z606)</f>
        <v>105</v>
      </c>
      <c r="AG606" s="2" t="n">
        <f aca="false">INT(AA606)</f>
        <v>88</v>
      </c>
      <c r="AH606" s="2" t="n">
        <f aca="false">INT(AB606)</f>
        <v>78</v>
      </c>
      <c r="AI606" s="2" t="n">
        <f aca="false">INT(AC606)</f>
        <v>87</v>
      </c>
      <c r="AJ606" s="2" t="n">
        <f aca="false">INT(AD606)</f>
        <v>66</v>
      </c>
      <c r="AK606" s="2" t="n">
        <f aca="false">Settings!$B$3-SUM(AE606:AJ606)</f>
        <v>3</v>
      </c>
      <c r="AL606" s="2" t="n">
        <f aca="false">ROUND(Y606-AE606,9)</f>
        <v>0.024740623</v>
      </c>
      <c r="AM606" s="2" t="n">
        <f aca="false">ROUND(Z606-AF606,9)</f>
        <v>0.746209098</v>
      </c>
      <c r="AN606" s="2" t="n">
        <f aca="false">ROUND(AA606-AG606,9)</f>
        <v>0.188347965</v>
      </c>
      <c r="AO606" s="2" t="n">
        <f aca="false">ROUND(AB606-AH606,9)</f>
        <v>0.611332801</v>
      </c>
      <c r="AP606" s="2" t="n">
        <f aca="false">ROUND(AC606-AI606,9)</f>
        <v>0.789305666</v>
      </c>
      <c r="AQ606" s="2" t="n">
        <f aca="false">ROUND(AD606-AJ606,9)</f>
        <v>0.640063847</v>
      </c>
    </row>
    <row r="607" customFormat="false" ht="15" hidden="false" customHeight="false" outlineLevel="0" collapsed="false">
      <c r="A607" s="2" t="n">
        <v>606</v>
      </c>
      <c r="B607" s="6" t="n">
        <v>14</v>
      </c>
      <c r="C607" s="6" t="n">
        <v>35</v>
      </c>
      <c r="D607" s="8" t="str">
        <f aca="false">INDEX(Bases!$B$2:$B$53,B607)</f>
        <v>Celebi</v>
      </c>
      <c r="E607" s="8" t="str">
        <f aca="false">INDEX(Bases!$B$2:$B$53,C607)</f>
        <v>Pineco</v>
      </c>
      <c r="F607" s="2" t="str">
        <f aca="false">LEFT(D607,ROUNDUP(LEN(D607)/2,0))&amp;LOWER(MID(E607,ROUNDUP(LEN(E607)/2,0)+1,20))</f>
        <v>Celeco</v>
      </c>
      <c r="G607" s="8" t="str">
        <f aca="false">INDEX(Bases!$C$2:$C$53,B607)</f>
        <v>Grass</v>
      </c>
      <c r="H607" s="8" t="str">
        <f aca="false">IF(INDEX(Bases!$C$2:$C$53,C607)=G607,"",INDEX(Bases!$C$2:$C$53,C607))</f>
        <v>Bug</v>
      </c>
      <c r="I607" s="8" t="str">
        <f aca="false">IF(INDEX(Bases!$E$2:$E$53,B607)="","",INDEX(Bases!$E$2:$E$53,B607))</f>
        <v/>
      </c>
      <c r="J607" s="8" t="str">
        <f aca="false">IF(INDEX(Bases!$E$2:$E$53,C607)="","",INDEX(Bases!$E$2:$E$53,C607))</f>
        <v/>
      </c>
      <c r="K607" s="5"/>
      <c r="L607" s="2" t="n">
        <f aca="false">AE607+IF(SUMPRODUCT(--($AL607:$AQ607&gt;AL607))&lt;$AK607,1,0)</f>
        <v>80</v>
      </c>
      <c r="M607" s="2" t="n">
        <f aca="false">AF607+IF(SUMPRODUCT(--($AL607:$AQ607&gt;AM607))+SUMPRODUCT(--($AL607:AL607=AM607))&lt;$AK607,1,0)</f>
        <v>96</v>
      </c>
      <c r="N607" s="2" t="n">
        <f aca="false">AG607+IF(SUMPRODUCT(--($AL607:$AQ607&gt;AN607))+SUMPRODUCT(--($AL607:AM607=AN607))&lt;$AK607,1,0)</f>
        <v>123</v>
      </c>
      <c r="O607" s="2" t="n">
        <f aca="false">AH607+IF(SUMPRODUCT(--($AL607:$AQ607&gt;AO607))+SUMPRODUCT(--($AL607:AN607=AO607))&lt;$AK607,1,0)</f>
        <v>71</v>
      </c>
      <c r="P607" s="2" t="n">
        <f aca="false">AI607+IF(SUMPRODUCT(--($AL607:$AQ607&gt;AP607))+SUMPRODUCT(--($AL607:AO607=AP607))&lt;$AK607,1,0)</f>
        <v>70</v>
      </c>
      <c r="Q607" s="2" t="n">
        <f aca="false">AJ607+IF(SUMPRODUCT(--($AL607:$AQ607&gt;AQ607))+SUMPRODUCT(--($AL607:AP607=AQ607))&lt;$AK607,1,0)</f>
        <v>60</v>
      </c>
      <c r="R607" s="2" t="n">
        <f aca="false">SUM(L607:Q607)</f>
        <v>500</v>
      </c>
      <c r="S607" s="2" t="n">
        <f aca="false">Settings!$B$4*MAX(INDEX(Bases!$M$2:$M$53,B607),INDEX(Bases!$M$2:$M$53,C607))+Settings!$B$5*MIN(INDEX(Bases!$M$2:$M$53,B607),INDEX(Bases!$M$2:$M$53,C607))</f>
        <v>68.3333333333333</v>
      </c>
      <c r="T607" s="2" t="n">
        <f aca="false">Settings!$B$4*MAX(INDEX(Bases!$N$2:$N$53,B607),INDEX(Bases!$N$2:$N$53,C607))+Settings!$B$5*MIN(INDEX(Bases!$N$2:$N$53,B607),INDEX(Bases!$N$2:$N$53,C607))</f>
        <v>82.3333333333333</v>
      </c>
      <c r="U607" s="2" t="n">
        <f aca="false">Settings!$B$4*MAX(INDEX(Bases!$O$2:$O$53,B607),INDEX(Bases!$O$2:$O$53,C607))+Settings!$B$5*MIN(INDEX(Bases!$O$2:$O$53,B607),INDEX(Bases!$O$2:$O$53,C607))</f>
        <v>105</v>
      </c>
      <c r="V607" s="2" t="n">
        <f aca="false">Settings!$B$4*MAX(INDEX(Bases!$P$2:$P$53,B607),INDEX(Bases!$P$2:$P$53,C607))+Settings!$B$5*MIN(INDEX(Bases!$P$2:$P$53,B607),INDEX(Bases!$P$2:$P$53,C607))</f>
        <v>60.6666666666667</v>
      </c>
      <c r="W607" s="2" t="n">
        <f aca="false">Settings!$B$4*MAX(INDEX(Bases!$Q$2:$Q$53,B607),INDEX(Bases!$Q$2:$Q$53,C607))+Settings!$B$5*MIN(INDEX(Bases!$Q$2:$Q$53,B607),INDEX(Bases!$Q$2:$Q$53,C607))</f>
        <v>60</v>
      </c>
      <c r="X607" s="2" t="n">
        <f aca="false">Settings!$B$4*MAX(INDEX(Bases!$R$2:$R$53,B607),INDEX(Bases!$R$2:$R$53,C607))+Settings!$B$5*MIN(INDEX(Bases!$R$2:$R$53,B607),INDEX(Bases!$R$2:$R$53,C607))</f>
        <v>51</v>
      </c>
      <c r="Y607" s="2" t="n">
        <f aca="false">S607*Settings!$B$3/SUM(S607:X607)</f>
        <v>79.9531981279251</v>
      </c>
      <c r="Z607" s="2" t="n">
        <f aca="false">T607*Settings!$B$3/SUM(S607:X607)</f>
        <v>96.3338533541342</v>
      </c>
      <c r="AA607" s="2" t="n">
        <f aca="false">U607*Settings!$B$3/SUM(S607:X607)</f>
        <v>122.854914196568</v>
      </c>
      <c r="AB607" s="2" t="n">
        <f aca="false">V607*Settings!$B$3/SUM(S607:X607)</f>
        <v>70.9828393135725</v>
      </c>
      <c r="AC607" s="2" t="n">
        <f aca="false">W607*Settings!$B$3/SUM(S607:X607)</f>
        <v>70.2028081123245</v>
      </c>
      <c r="AD607" s="2" t="n">
        <f aca="false">X607*Settings!$B$3/SUM(S607:X607)</f>
        <v>59.6723868954758</v>
      </c>
      <c r="AE607" s="2" t="n">
        <f aca="false">INT(Y607)</f>
        <v>79</v>
      </c>
      <c r="AF607" s="2" t="n">
        <f aca="false">INT(Z607)</f>
        <v>96</v>
      </c>
      <c r="AG607" s="2" t="n">
        <f aca="false">INT(AA607)</f>
        <v>122</v>
      </c>
      <c r="AH607" s="2" t="n">
        <f aca="false">INT(AB607)</f>
        <v>70</v>
      </c>
      <c r="AI607" s="2" t="n">
        <f aca="false">INT(AC607)</f>
        <v>70</v>
      </c>
      <c r="AJ607" s="2" t="n">
        <f aca="false">INT(AD607)</f>
        <v>59</v>
      </c>
      <c r="AK607" s="2" t="n">
        <f aca="false">Settings!$B$3-SUM(AE607:AJ607)</f>
        <v>4</v>
      </c>
      <c r="AL607" s="2" t="n">
        <f aca="false">ROUND(Y607-AE607,9)</f>
        <v>0.953198128</v>
      </c>
      <c r="AM607" s="2" t="n">
        <f aca="false">ROUND(Z607-AF607,9)</f>
        <v>0.333853354</v>
      </c>
      <c r="AN607" s="2" t="n">
        <f aca="false">ROUND(AA607-AG607,9)</f>
        <v>0.854914197</v>
      </c>
      <c r="AO607" s="2" t="n">
        <f aca="false">ROUND(AB607-AH607,9)</f>
        <v>0.982839314</v>
      </c>
      <c r="AP607" s="2" t="n">
        <f aca="false">ROUND(AC607-AI607,9)</f>
        <v>0.202808112</v>
      </c>
      <c r="AQ607" s="2" t="n">
        <f aca="false">ROUND(AD607-AJ607,9)</f>
        <v>0.672386895</v>
      </c>
    </row>
    <row r="608" customFormat="false" ht="15" hidden="false" customHeight="false" outlineLevel="0" collapsed="false">
      <c r="A608" s="2" t="n">
        <v>607</v>
      </c>
      <c r="B608" s="6" t="n">
        <v>14</v>
      </c>
      <c r="C608" s="6" t="n">
        <v>36</v>
      </c>
      <c r="D608" s="8" t="str">
        <f aca="false">INDEX(Bases!$B$2:$B$53,B608)</f>
        <v>Celebi</v>
      </c>
      <c r="E608" s="8" t="str">
        <f aca="false">INDEX(Bases!$B$2:$B$53,C608)</f>
        <v>Wurmple</v>
      </c>
      <c r="F608" s="2" t="str">
        <f aca="false">LEFT(D608,ROUNDUP(LEN(D608)/2,0))&amp;LOWER(MID(E608,ROUNDUP(LEN(E608)/2,0)+1,20))</f>
        <v>Celple</v>
      </c>
      <c r="G608" s="8" t="str">
        <f aca="false">INDEX(Bases!$C$2:$C$53,B608)</f>
        <v>Grass</v>
      </c>
      <c r="H608" s="8" t="str">
        <f aca="false">IF(INDEX(Bases!$C$2:$C$53,C608)=G608,"",INDEX(Bases!$C$2:$C$53,C608))</f>
        <v>Bug</v>
      </c>
      <c r="I608" s="8" t="str">
        <f aca="false">IF(INDEX(Bases!$E$2:$E$53,B608)="","",INDEX(Bases!$E$2:$E$53,B608))</f>
        <v/>
      </c>
      <c r="J608" s="8" t="str">
        <f aca="false">IF(INDEX(Bases!$E$2:$E$53,C608)="","",INDEX(Bases!$E$2:$E$53,C608))</f>
        <v/>
      </c>
      <c r="K608" s="5"/>
      <c r="L608" s="2" t="n">
        <f aca="false">AE608+IF(SUMPRODUCT(--($AL608:$AQ608&gt;AL608))&lt;$AK608,1,0)</f>
        <v>100</v>
      </c>
      <c r="M608" s="2" t="n">
        <f aca="false">AF608+IF(SUMPRODUCT(--($AL608:$AQ608&gt;AM608))+SUMPRODUCT(--($AL608:AL608=AM608))&lt;$AK608,1,0)</f>
        <v>100</v>
      </c>
      <c r="N608" s="2" t="n">
        <f aca="false">AG608+IF(SUMPRODUCT(--($AL608:$AQ608&gt;AN608))+SUMPRODUCT(--($AL608:AM608=AN608))&lt;$AK608,1,0)</f>
        <v>84</v>
      </c>
      <c r="O608" s="2" t="n">
        <f aca="false">AH608+IF(SUMPRODUCT(--($AL608:$AQ608&gt;AO608))+SUMPRODUCT(--($AL608:AN608=AO608))&lt;$AK608,1,0)</f>
        <v>70</v>
      </c>
      <c r="P608" s="2" t="n">
        <f aca="false">AI608+IF(SUMPRODUCT(--($AL608:$AQ608&gt;AP608))+SUMPRODUCT(--($AL608:AO608=AP608))&lt;$AK608,1,0)</f>
        <v>77</v>
      </c>
      <c r="Q608" s="2" t="n">
        <f aca="false">AJ608+IF(SUMPRODUCT(--($AL608:$AQ608&gt;AQ608))+SUMPRODUCT(--($AL608:AP608=AQ608))&lt;$AK608,1,0)</f>
        <v>69</v>
      </c>
      <c r="R608" s="2" t="n">
        <f aca="false">SUM(L608:Q608)</f>
        <v>500</v>
      </c>
      <c r="S608" s="2" t="n">
        <f aca="false">Settings!$B$4*MAX(INDEX(Bases!$M$2:$M$53,B608),INDEX(Bases!$M$2:$M$53,C608))+Settings!$B$5*MIN(INDEX(Bases!$M$2:$M$53,B608),INDEX(Bases!$M$2:$M$53,C608))</f>
        <v>83.6666666666667</v>
      </c>
      <c r="T608" s="2" t="n">
        <f aca="false">Settings!$B$4*MAX(INDEX(Bases!$N$2:$N$53,B608),INDEX(Bases!$N$2:$N$53,C608))+Settings!$B$5*MIN(INDEX(Bases!$N$2:$N$53,B608),INDEX(Bases!$N$2:$N$53,C608))</f>
        <v>83.6666666666667</v>
      </c>
      <c r="U608" s="2" t="n">
        <f aca="false">Settings!$B$4*MAX(INDEX(Bases!$O$2:$O$53,B608),INDEX(Bases!$O$2:$O$53,C608))+Settings!$B$5*MIN(INDEX(Bases!$O$2:$O$53,B608),INDEX(Bases!$O$2:$O$53,C608))</f>
        <v>70.3333333333333</v>
      </c>
      <c r="V608" s="2" t="n">
        <f aca="false">Settings!$B$4*MAX(INDEX(Bases!$P$2:$P$53,B608),INDEX(Bases!$P$2:$P$53,C608))+Settings!$B$5*MIN(INDEX(Bases!$P$2:$P$53,B608),INDEX(Bases!$P$2:$P$53,C608))</f>
        <v>58.3333333333333</v>
      </c>
      <c r="W608" s="2" t="n">
        <f aca="false">Settings!$B$4*MAX(INDEX(Bases!$Q$2:$Q$53,B608),INDEX(Bases!$Q$2:$Q$53,C608))+Settings!$B$5*MIN(INDEX(Bases!$Q$2:$Q$53,B608),INDEX(Bases!$Q$2:$Q$53,C608))</f>
        <v>64.6666666666667</v>
      </c>
      <c r="X608" s="2" t="n">
        <f aca="false">Settings!$B$4*MAX(INDEX(Bases!$R$2:$R$53,B608),INDEX(Bases!$R$2:$R$53,C608))+Settings!$B$5*MIN(INDEX(Bases!$R$2:$R$53,B608),INDEX(Bases!$R$2:$R$53,C608))</f>
        <v>57.6666666666667</v>
      </c>
      <c r="Y608" s="2" t="n">
        <f aca="false">S608*Settings!$B$3/SUM(S608:X608)</f>
        <v>100</v>
      </c>
      <c r="Z608" s="2" t="n">
        <f aca="false">T608*Settings!$B$3/SUM(S608:X608)</f>
        <v>100</v>
      </c>
      <c r="AA608" s="2" t="n">
        <f aca="false">U608*Settings!$B$3/SUM(S608:X608)</f>
        <v>84.0637450199203</v>
      </c>
      <c r="AB608" s="2" t="n">
        <f aca="false">V608*Settings!$B$3/SUM(S608:X608)</f>
        <v>69.7211155378486</v>
      </c>
      <c r="AC608" s="2" t="n">
        <f aca="false">W608*Settings!$B$3/SUM(S608:X608)</f>
        <v>77.2908366533865</v>
      </c>
      <c r="AD608" s="2" t="n">
        <f aca="false">X608*Settings!$B$3/SUM(S608:X608)</f>
        <v>68.9243027888446</v>
      </c>
      <c r="AE608" s="2" t="n">
        <f aca="false">INT(Y608)</f>
        <v>100</v>
      </c>
      <c r="AF608" s="2" t="n">
        <f aca="false">INT(Z608)</f>
        <v>100</v>
      </c>
      <c r="AG608" s="2" t="n">
        <f aca="false">INT(AA608)</f>
        <v>84</v>
      </c>
      <c r="AH608" s="2" t="n">
        <f aca="false">INT(AB608)</f>
        <v>69</v>
      </c>
      <c r="AI608" s="2" t="n">
        <f aca="false">INT(AC608)</f>
        <v>77</v>
      </c>
      <c r="AJ608" s="2" t="n">
        <f aca="false">INT(AD608)</f>
        <v>68</v>
      </c>
      <c r="AK608" s="2" t="n">
        <f aca="false">Settings!$B$3-SUM(AE608:AJ608)</f>
        <v>2</v>
      </c>
      <c r="AL608" s="2" t="n">
        <f aca="false">ROUND(Y608-AE608,9)</f>
        <v>0</v>
      </c>
      <c r="AM608" s="2" t="n">
        <f aca="false">ROUND(Z608-AF608,9)</f>
        <v>0</v>
      </c>
      <c r="AN608" s="2" t="n">
        <f aca="false">ROUND(AA608-AG608,9)</f>
        <v>0.06374502</v>
      </c>
      <c r="AO608" s="2" t="n">
        <f aca="false">ROUND(AB608-AH608,9)</f>
        <v>0.721115538</v>
      </c>
      <c r="AP608" s="2" t="n">
        <f aca="false">ROUND(AC608-AI608,9)</f>
        <v>0.290836653</v>
      </c>
      <c r="AQ608" s="2" t="n">
        <f aca="false">ROUND(AD608-AJ608,9)</f>
        <v>0.924302789</v>
      </c>
    </row>
    <row r="609" customFormat="false" ht="15" hidden="false" customHeight="false" outlineLevel="0" collapsed="false">
      <c r="A609" s="2" t="n">
        <v>608</v>
      </c>
      <c r="B609" s="6" t="n">
        <v>14</v>
      </c>
      <c r="C609" s="6" t="n">
        <v>37</v>
      </c>
      <c r="D609" s="8" t="str">
        <f aca="false">INDEX(Bases!$B$2:$B$53,B609)</f>
        <v>Celebi</v>
      </c>
      <c r="E609" s="8" t="str">
        <f aca="false">INDEX(Bases!$B$2:$B$53,C609)</f>
        <v>Shuckle</v>
      </c>
      <c r="F609" s="2" t="str">
        <f aca="false">LEFT(D609,ROUNDUP(LEN(D609)/2,0))&amp;LOWER(MID(E609,ROUNDUP(LEN(E609)/2,0)+1,20))</f>
        <v>Celkle</v>
      </c>
      <c r="G609" s="8" t="str">
        <f aca="false">INDEX(Bases!$C$2:$C$53,B609)</f>
        <v>Grass</v>
      </c>
      <c r="H609" s="8" t="str">
        <f aca="false">IF(INDEX(Bases!$C$2:$C$53,C609)=G609,"",INDEX(Bases!$C$2:$C$53,C609))</f>
        <v>Rock</v>
      </c>
      <c r="I609" s="8" t="str">
        <f aca="false">IF(INDEX(Bases!$E$2:$E$53,B609)="","",INDEX(Bases!$E$2:$E$53,B609))</f>
        <v/>
      </c>
      <c r="J609" s="8" t="str">
        <f aca="false">IF(INDEX(Bases!$E$2:$E$53,C609)="","",INDEX(Bases!$E$2:$E$53,C609))</f>
        <v/>
      </c>
      <c r="K609" s="5"/>
      <c r="L609" s="2" t="n">
        <f aca="false">AE609+IF(SUMPRODUCT(--($AL609:$AQ609&gt;AL609))&lt;$AK609,1,0)</f>
        <v>52</v>
      </c>
      <c r="M609" s="2" t="n">
        <f aca="false">AF609+IF(SUMPRODUCT(--($AL609:$AQ609&gt;AM609))+SUMPRODUCT(--($AL609:AL609=AM609))&lt;$AK609,1,0)</f>
        <v>50</v>
      </c>
      <c r="N609" s="2" t="n">
        <f aca="false">AG609+IF(SUMPRODUCT(--($AL609:$AQ609&gt;AN609))+SUMPRODUCT(--($AL609:AM609=AN609))&lt;$AK609,1,0)</f>
        <v>151</v>
      </c>
      <c r="O609" s="2" t="n">
        <f aca="false">AH609+IF(SUMPRODUCT(--($AL609:$AQ609&gt;AO609))+SUMPRODUCT(--($AL609:AN609=AO609))&lt;$AK609,1,0)</f>
        <v>50</v>
      </c>
      <c r="P609" s="2" t="n">
        <f aca="false">AI609+IF(SUMPRODUCT(--($AL609:$AQ609&gt;AP609))+SUMPRODUCT(--($AL609:AO609=AP609))&lt;$AK609,1,0)</f>
        <v>150</v>
      </c>
      <c r="Q609" s="2" t="n">
        <f aca="false">AJ609+IF(SUMPRODUCT(--($AL609:$AQ609&gt;AQ609))+SUMPRODUCT(--($AL609:AP609=AQ609))&lt;$AK609,1,0)</f>
        <v>47</v>
      </c>
      <c r="R609" s="2" t="n">
        <f aca="false">SUM(L609:Q609)</f>
        <v>500</v>
      </c>
      <c r="S609" s="2" t="n">
        <f aca="false">Settings!$B$4*MAX(INDEX(Bases!$M$2:$M$53,B609),INDEX(Bases!$M$2:$M$53,C609))+Settings!$B$5*MIN(INDEX(Bases!$M$2:$M$53,B609),INDEX(Bases!$M$2:$M$53,C609))</f>
        <v>50</v>
      </c>
      <c r="T609" s="2" t="n">
        <f aca="false">Settings!$B$4*MAX(INDEX(Bases!$N$2:$N$53,B609),INDEX(Bases!$N$2:$N$53,C609))+Settings!$B$5*MIN(INDEX(Bases!$N$2:$N$53,B609),INDEX(Bases!$N$2:$N$53,C609))</f>
        <v>47.3333333333333</v>
      </c>
      <c r="U609" s="2" t="n">
        <f aca="false">Settings!$B$4*MAX(INDEX(Bases!$O$2:$O$53,B609),INDEX(Bases!$O$2:$O$53,C609))+Settings!$B$5*MIN(INDEX(Bases!$O$2:$O$53,B609),INDEX(Bases!$O$2:$O$53,C609))</f>
        <v>143.666666666667</v>
      </c>
      <c r="V609" s="2" t="n">
        <f aca="false">Settings!$B$4*MAX(INDEX(Bases!$P$2:$P$53,B609),INDEX(Bases!$P$2:$P$53,C609))+Settings!$B$5*MIN(INDEX(Bases!$P$2:$P$53,B609),INDEX(Bases!$P$2:$P$53,C609))</f>
        <v>47.3333333333333</v>
      </c>
      <c r="W609" s="2" t="n">
        <f aca="false">Settings!$B$4*MAX(INDEX(Bases!$Q$2:$Q$53,B609),INDEX(Bases!$Q$2:$Q$53,C609))+Settings!$B$5*MIN(INDEX(Bases!$Q$2:$Q$53,B609),INDEX(Bases!$Q$2:$Q$53,C609))</f>
        <v>143.333333333333</v>
      </c>
      <c r="X609" s="2" t="n">
        <f aca="false">Settings!$B$4*MAX(INDEX(Bases!$R$2:$R$53,B609),INDEX(Bases!$R$2:$R$53,C609))+Settings!$B$5*MIN(INDEX(Bases!$R$2:$R$53,B609),INDEX(Bases!$R$2:$R$53,C609))</f>
        <v>45.3333333333333</v>
      </c>
      <c r="Y609" s="2" t="n">
        <f aca="false">S609*Settings!$B$3/SUM(S609:X609)</f>
        <v>52.4109014675053</v>
      </c>
      <c r="Z609" s="2" t="n">
        <f aca="false">T609*Settings!$B$3/SUM(S609:X609)</f>
        <v>49.6156533892383</v>
      </c>
      <c r="AA609" s="2" t="n">
        <f aca="false">U609*Settings!$B$3/SUM(S609:X609)</f>
        <v>150.593990216632</v>
      </c>
      <c r="AB609" s="2" t="n">
        <f aca="false">V609*Settings!$B$3/SUM(S609:X609)</f>
        <v>49.6156533892383</v>
      </c>
      <c r="AC609" s="2" t="n">
        <f aca="false">W609*Settings!$B$3/SUM(S609:X609)</f>
        <v>150.244584206848</v>
      </c>
      <c r="AD609" s="2" t="n">
        <f aca="false">X609*Settings!$B$3/SUM(S609:X609)</f>
        <v>47.5192173305381</v>
      </c>
      <c r="AE609" s="2" t="n">
        <f aca="false">INT(Y609)</f>
        <v>52</v>
      </c>
      <c r="AF609" s="2" t="n">
        <f aca="false">INT(Z609)</f>
        <v>49</v>
      </c>
      <c r="AG609" s="2" t="n">
        <f aca="false">INT(AA609)</f>
        <v>150</v>
      </c>
      <c r="AH609" s="2" t="n">
        <f aca="false">INT(AB609)</f>
        <v>49</v>
      </c>
      <c r="AI609" s="2" t="n">
        <f aca="false">INT(AC609)</f>
        <v>150</v>
      </c>
      <c r="AJ609" s="2" t="n">
        <f aca="false">INT(AD609)</f>
        <v>47</v>
      </c>
      <c r="AK609" s="2" t="n">
        <f aca="false">Settings!$B$3-SUM(AE609:AJ609)</f>
        <v>3</v>
      </c>
      <c r="AL609" s="2" t="n">
        <f aca="false">ROUND(Y609-AE609,9)</f>
        <v>0.410901468</v>
      </c>
      <c r="AM609" s="2" t="n">
        <f aca="false">ROUND(Z609-AF609,9)</f>
        <v>0.615653389</v>
      </c>
      <c r="AN609" s="2" t="n">
        <f aca="false">ROUND(AA609-AG609,9)</f>
        <v>0.593990217</v>
      </c>
      <c r="AO609" s="2" t="n">
        <f aca="false">ROUND(AB609-AH609,9)</f>
        <v>0.615653389</v>
      </c>
      <c r="AP609" s="2" t="n">
        <f aca="false">ROUND(AC609-AI609,9)</f>
        <v>0.244584207</v>
      </c>
      <c r="AQ609" s="2" t="n">
        <f aca="false">ROUND(AD609-AJ609,9)</f>
        <v>0.519217331</v>
      </c>
    </row>
    <row r="610" customFormat="false" ht="15" hidden="false" customHeight="false" outlineLevel="0" collapsed="false">
      <c r="A610" s="2" t="n">
        <v>609</v>
      </c>
      <c r="B610" s="6" t="n">
        <v>14</v>
      </c>
      <c r="C610" s="6" t="n">
        <v>38</v>
      </c>
      <c r="D610" s="8" t="str">
        <f aca="false">INDEX(Bases!$B$2:$B$53,B610)</f>
        <v>Celebi</v>
      </c>
      <c r="E610" s="8" t="str">
        <f aca="false">INDEX(Bases!$B$2:$B$53,C610)</f>
        <v>Larvitar</v>
      </c>
      <c r="F610" s="2" t="str">
        <f aca="false">LEFT(D610,ROUNDUP(LEN(D610)/2,0))&amp;LOWER(MID(E610,ROUNDUP(LEN(E610)/2,0)+1,20))</f>
        <v>Celitar</v>
      </c>
      <c r="G610" s="8" t="str">
        <f aca="false">INDEX(Bases!$C$2:$C$53,B610)</f>
        <v>Grass</v>
      </c>
      <c r="H610" s="8" t="str">
        <f aca="false">IF(INDEX(Bases!$C$2:$C$53,C610)=G610,"",INDEX(Bases!$C$2:$C$53,C610))</f>
        <v>Rock</v>
      </c>
      <c r="I610" s="8" t="str">
        <f aca="false">IF(INDEX(Bases!$E$2:$E$53,B610)="","",INDEX(Bases!$E$2:$E$53,B610))</f>
        <v/>
      </c>
      <c r="J610" s="8" t="str">
        <f aca="false">IF(INDEX(Bases!$E$2:$E$53,C610)="","",INDEX(Bases!$E$2:$E$53,C610))</f>
        <v/>
      </c>
      <c r="K610" s="5"/>
      <c r="L610" s="2" t="n">
        <f aca="false">AE610+IF(SUMPRODUCT(--($AL610:$AQ610&gt;AL610))&lt;$AK610,1,0)</f>
        <v>83</v>
      </c>
      <c r="M610" s="2" t="n">
        <f aca="false">AF610+IF(SUMPRODUCT(--($AL610:$AQ610&gt;AM610))+SUMPRODUCT(--($AL610:AL610=AM610))&lt;$AK610,1,0)</f>
        <v>97</v>
      </c>
      <c r="N610" s="2" t="n">
        <f aca="false">AG610+IF(SUMPRODUCT(--($AL610:$AQ610&gt;AN610))+SUMPRODUCT(--($AL610:AM610=AN610))&lt;$AK610,1,0)</f>
        <v>82</v>
      </c>
      <c r="O610" s="2" t="n">
        <f aca="false">AH610+IF(SUMPRODUCT(--($AL610:$AQ610&gt;AO610))+SUMPRODUCT(--($AL610:AN610=AO610))&lt;$AK610,1,0)</f>
        <v>80</v>
      </c>
      <c r="P610" s="2" t="n">
        <f aca="false">AI610+IF(SUMPRODUCT(--($AL610:$AQ610&gt;AP610))+SUMPRODUCT(--($AL610:AO610=AP610))&lt;$AK610,1,0)</f>
        <v>82</v>
      </c>
      <c r="Q610" s="2" t="n">
        <f aca="false">AJ610+IF(SUMPRODUCT(--($AL610:$AQ610&gt;AQ610))+SUMPRODUCT(--($AL610:AP610=AQ610))&lt;$AK610,1,0)</f>
        <v>76</v>
      </c>
      <c r="R610" s="2" t="n">
        <f aca="false">SUM(L610:Q610)</f>
        <v>500</v>
      </c>
      <c r="S610" s="2" t="n">
        <f aca="false">Settings!$B$4*MAX(INDEX(Bases!$M$2:$M$53,B610),INDEX(Bases!$M$2:$M$53,C610))+Settings!$B$5*MIN(INDEX(Bases!$M$2:$M$53,B610),INDEX(Bases!$M$2:$M$53,C610))</f>
        <v>67</v>
      </c>
      <c r="T610" s="2" t="n">
        <f aca="false">Settings!$B$4*MAX(INDEX(Bases!$N$2:$N$53,B610),INDEX(Bases!$N$2:$N$53,C610))+Settings!$B$5*MIN(INDEX(Bases!$N$2:$N$53,B610),INDEX(Bases!$N$2:$N$53,C610))</f>
        <v>79</v>
      </c>
      <c r="U610" s="2" t="n">
        <f aca="false">Settings!$B$4*MAX(INDEX(Bases!$O$2:$O$53,B610),INDEX(Bases!$O$2:$O$53,C610))+Settings!$B$5*MIN(INDEX(Bases!$O$2:$O$53,B610),INDEX(Bases!$O$2:$O$53,C610))</f>
        <v>67</v>
      </c>
      <c r="V610" s="2" t="n">
        <f aca="false">Settings!$B$4*MAX(INDEX(Bases!$P$2:$P$53,B610),INDEX(Bases!$P$2:$P$53,C610))+Settings!$B$5*MIN(INDEX(Bases!$P$2:$P$53,B610),INDEX(Bases!$P$2:$P$53,C610))</f>
        <v>64.6666666666667</v>
      </c>
      <c r="W610" s="2" t="n">
        <f aca="false">Settings!$B$4*MAX(INDEX(Bases!$Q$2:$Q$53,B610),INDEX(Bases!$Q$2:$Q$53,C610))+Settings!$B$5*MIN(INDEX(Bases!$Q$2:$Q$53,B610),INDEX(Bases!$Q$2:$Q$53,C610))</f>
        <v>66.6666666666667</v>
      </c>
      <c r="X610" s="2" t="n">
        <f aca="false">Settings!$B$4*MAX(INDEX(Bases!$R$2:$R$53,B610),INDEX(Bases!$R$2:$R$53,C610))+Settings!$B$5*MIN(INDEX(Bases!$R$2:$R$53,B610),INDEX(Bases!$R$2:$R$53,C610))</f>
        <v>62</v>
      </c>
      <c r="Y610" s="2" t="n">
        <f aca="false">S610*Settings!$B$3/SUM(S610:X610)</f>
        <v>82.4446267432322</v>
      </c>
      <c r="Z610" s="2" t="n">
        <f aca="false">T610*Settings!$B$3/SUM(S610:X610)</f>
        <v>97.2108285479902</v>
      </c>
      <c r="AA610" s="2" t="n">
        <f aca="false">U610*Settings!$B$3/SUM(S610:X610)</f>
        <v>82.4446267432322</v>
      </c>
      <c r="AB610" s="2" t="n">
        <f aca="false">V610*Settings!$B$3/SUM(S610:X610)</f>
        <v>79.5734208367514</v>
      </c>
      <c r="AC610" s="2" t="n">
        <f aca="false">W610*Settings!$B$3/SUM(S610:X610)</f>
        <v>82.0344544708778</v>
      </c>
      <c r="AD610" s="2" t="n">
        <f aca="false">X610*Settings!$B$3/SUM(S610:X610)</f>
        <v>76.2920426579163</v>
      </c>
      <c r="AE610" s="2" t="n">
        <f aca="false">INT(Y610)</f>
        <v>82</v>
      </c>
      <c r="AF610" s="2" t="n">
        <f aca="false">INT(Z610)</f>
        <v>97</v>
      </c>
      <c r="AG610" s="2" t="n">
        <f aca="false">INT(AA610)</f>
        <v>82</v>
      </c>
      <c r="AH610" s="2" t="n">
        <f aca="false">INT(AB610)</f>
        <v>79</v>
      </c>
      <c r="AI610" s="2" t="n">
        <f aca="false">INT(AC610)</f>
        <v>82</v>
      </c>
      <c r="AJ610" s="2" t="n">
        <f aca="false">INT(AD610)</f>
        <v>76</v>
      </c>
      <c r="AK610" s="2" t="n">
        <f aca="false">Settings!$B$3-SUM(AE610:AJ610)</f>
        <v>2</v>
      </c>
      <c r="AL610" s="2" t="n">
        <f aca="false">ROUND(Y610-AE610,9)</f>
        <v>0.444626743</v>
      </c>
      <c r="AM610" s="2" t="n">
        <f aca="false">ROUND(Z610-AF610,9)</f>
        <v>0.210828548</v>
      </c>
      <c r="AN610" s="2" t="n">
        <f aca="false">ROUND(AA610-AG610,9)</f>
        <v>0.444626743</v>
      </c>
      <c r="AO610" s="2" t="n">
        <f aca="false">ROUND(AB610-AH610,9)</f>
        <v>0.573420837</v>
      </c>
      <c r="AP610" s="2" t="n">
        <f aca="false">ROUND(AC610-AI610,9)</f>
        <v>0.034454471</v>
      </c>
      <c r="AQ610" s="2" t="n">
        <f aca="false">ROUND(AD610-AJ610,9)</f>
        <v>0.292042658</v>
      </c>
    </row>
    <row r="611" customFormat="false" ht="15" hidden="false" customHeight="false" outlineLevel="0" collapsed="false">
      <c r="A611" s="2" t="n">
        <v>610</v>
      </c>
      <c r="B611" s="6" t="n">
        <v>14</v>
      </c>
      <c r="C611" s="6" t="n">
        <v>39</v>
      </c>
      <c r="D611" s="8" t="str">
        <f aca="false">INDEX(Bases!$B$2:$B$53,B611)</f>
        <v>Celebi</v>
      </c>
      <c r="E611" s="8" t="str">
        <f aca="false">INDEX(Bases!$B$2:$B$53,C611)</f>
        <v>Nosepass</v>
      </c>
      <c r="F611" s="2" t="str">
        <f aca="false">LEFT(D611,ROUNDUP(LEN(D611)/2,0))&amp;LOWER(MID(E611,ROUNDUP(LEN(E611)/2,0)+1,20))</f>
        <v>Celpass</v>
      </c>
      <c r="G611" s="8" t="str">
        <f aca="false">INDEX(Bases!$C$2:$C$53,B611)</f>
        <v>Grass</v>
      </c>
      <c r="H611" s="8" t="str">
        <f aca="false">IF(INDEX(Bases!$C$2:$C$53,C611)=G611,"",INDEX(Bases!$C$2:$C$53,C611))</f>
        <v>Rock</v>
      </c>
      <c r="I611" s="8" t="str">
        <f aca="false">IF(INDEX(Bases!$E$2:$E$53,B611)="","",INDEX(Bases!$E$2:$E$53,B611))</f>
        <v/>
      </c>
      <c r="J611" s="8" t="str">
        <f aca="false">IF(INDEX(Bases!$E$2:$E$53,C611)="","",INDEX(Bases!$E$2:$E$53,C611))</f>
        <v/>
      </c>
      <c r="K611" s="5"/>
      <c r="L611" s="2" t="n">
        <f aca="false">AE611+IF(SUMPRODUCT(--($AL611:$AQ611&gt;AL611))&lt;$AK611,1,0)</f>
        <v>63</v>
      </c>
      <c r="M611" s="2" t="n">
        <f aca="false">AF611+IF(SUMPRODUCT(--($AL611:$AQ611&gt;AM611))+SUMPRODUCT(--($AL611:AL611=AM611))&lt;$AK611,1,0)</f>
        <v>70</v>
      </c>
      <c r="N611" s="2" t="n">
        <f aca="false">AG611+IF(SUMPRODUCT(--($AL611:$AQ611&gt;AN611))+SUMPRODUCT(--($AL611:AM611=AN611))&lt;$AK611,1,0)</f>
        <v>136</v>
      </c>
      <c r="O611" s="2" t="n">
        <f aca="false">AH611+IF(SUMPRODUCT(--($AL611:$AQ611&gt;AO611))+SUMPRODUCT(--($AL611:AN611=AO611))&lt;$AK611,1,0)</f>
        <v>69</v>
      </c>
      <c r="P611" s="2" t="n">
        <f aca="false">AI611+IF(SUMPRODUCT(--($AL611:$AQ611&gt;AP611))+SUMPRODUCT(--($AL611:AO611=AP611))&lt;$AK611,1,0)</f>
        <v>99</v>
      </c>
      <c r="Q611" s="2" t="n">
        <f aca="false">AJ611+IF(SUMPRODUCT(--($AL611:$AQ611&gt;AQ611))+SUMPRODUCT(--($AL611:AP611=AQ611))&lt;$AK611,1,0)</f>
        <v>63</v>
      </c>
      <c r="R611" s="2" t="n">
        <f aca="false">SUM(L611:Q611)</f>
        <v>500</v>
      </c>
      <c r="S611" s="2" t="n">
        <f aca="false">Settings!$B$4*MAX(INDEX(Bases!$M$2:$M$53,B611),INDEX(Bases!$M$2:$M$53,C611))+Settings!$B$5*MIN(INDEX(Bases!$M$2:$M$53,B611),INDEX(Bases!$M$2:$M$53,C611))</f>
        <v>55.3333333333333</v>
      </c>
      <c r="T611" s="2" t="n">
        <f aca="false">Settings!$B$4*MAX(INDEX(Bases!$N$2:$N$53,B611),INDEX(Bases!$N$2:$N$53,C611))+Settings!$B$5*MIN(INDEX(Bases!$N$2:$N$53,B611),INDEX(Bases!$N$2:$N$53,C611))</f>
        <v>60.6666666666667</v>
      </c>
      <c r="U611" s="2" t="n">
        <f aca="false">Settings!$B$4*MAX(INDEX(Bases!$O$2:$O$53,B611),INDEX(Bases!$O$2:$O$53,C611))+Settings!$B$5*MIN(INDEX(Bases!$O$2:$O$53,B611),INDEX(Bases!$O$2:$O$53,C611))</f>
        <v>118.333333333333</v>
      </c>
      <c r="V611" s="2" t="n">
        <f aca="false">Settings!$B$4*MAX(INDEX(Bases!$P$2:$P$53,B611),INDEX(Bases!$P$2:$P$53,C611))+Settings!$B$5*MIN(INDEX(Bases!$P$2:$P$53,B611),INDEX(Bases!$P$2:$P$53,C611))</f>
        <v>60.6666666666667</v>
      </c>
      <c r="W611" s="2" t="n">
        <f aca="false">Settings!$B$4*MAX(INDEX(Bases!$Q$2:$Q$53,B611),INDEX(Bases!$Q$2:$Q$53,C611))+Settings!$B$5*MIN(INDEX(Bases!$Q$2:$Q$53,B611),INDEX(Bases!$Q$2:$Q$53,C611))</f>
        <v>86</v>
      </c>
      <c r="X611" s="2" t="n">
        <f aca="false">Settings!$B$4*MAX(INDEX(Bases!$R$2:$R$53,B611),INDEX(Bases!$R$2:$R$53,C611))+Settings!$B$5*MIN(INDEX(Bases!$R$2:$R$53,B611),INDEX(Bases!$R$2:$R$53,C611))</f>
        <v>54.6666666666667</v>
      </c>
      <c r="Y611" s="2" t="n">
        <f aca="false">S611*Settings!$B$3/SUM(S611:X611)</f>
        <v>63.504208110176</v>
      </c>
      <c r="Z611" s="2" t="n">
        <f aca="false">T611*Settings!$B$3/SUM(S611:X611)</f>
        <v>69.6250956388676</v>
      </c>
      <c r="AA611" s="2" t="n">
        <f aca="false">U611*Settings!$B$3/SUM(S611:X611)</f>
        <v>135.807192042846</v>
      </c>
      <c r="AB611" s="2" t="n">
        <f aca="false">V611*Settings!$B$3/SUM(S611:X611)</f>
        <v>69.6250956388676</v>
      </c>
      <c r="AC611" s="2" t="n">
        <f aca="false">W611*Settings!$B$3/SUM(S611:X611)</f>
        <v>98.699311400153</v>
      </c>
      <c r="AD611" s="2" t="n">
        <f aca="false">X611*Settings!$B$3/SUM(S611:X611)</f>
        <v>62.7390971690895</v>
      </c>
      <c r="AE611" s="2" t="n">
        <f aca="false">INT(Y611)</f>
        <v>63</v>
      </c>
      <c r="AF611" s="2" t="n">
        <f aca="false">INT(Z611)</f>
        <v>69</v>
      </c>
      <c r="AG611" s="2" t="n">
        <f aca="false">INT(AA611)</f>
        <v>135</v>
      </c>
      <c r="AH611" s="2" t="n">
        <f aca="false">INT(AB611)</f>
        <v>69</v>
      </c>
      <c r="AI611" s="2" t="n">
        <f aca="false">INT(AC611)</f>
        <v>98</v>
      </c>
      <c r="AJ611" s="2" t="n">
        <f aca="false">INT(AD611)</f>
        <v>62</v>
      </c>
      <c r="AK611" s="2" t="n">
        <f aca="false">Settings!$B$3-SUM(AE611:AJ611)</f>
        <v>4</v>
      </c>
      <c r="AL611" s="2" t="n">
        <f aca="false">ROUND(Y611-AE611,9)</f>
        <v>0.50420811</v>
      </c>
      <c r="AM611" s="2" t="n">
        <f aca="false">ROUND(Z611-AF611,9)</f>
        <v>0.625095639</v>
      </c>
      <c r="AN611" s="2" t="n">
        <f aca="false">ROUND(AA611-AG611,9)</f>
        <v>0.807192043</v>
      </c>
      <c r="AO611" s="2" t="n">
        <f aca="false">ROUND(AB611-AH611,9)</f>
        <v>0.625095639</v>
      </c>
      <c r="AP611" s="2" t="n">
        <f aca="false">ROUND(AC611-AI611,9)</f>
        <v>0.6993114</v>
      </c>
      <c r="AQ611" s="2" t="n">
        <f aca="false">ROUND(AD611-AJ611,9)</f>
        <v>0.739097169</v>
      </c>
    </row>
    <row r="612" customFormat="false" ht="15" hidden="false" customHeight="false" outlineLevel="0" collapsed="false">
      <c r="A612" s="2" t="n">
        <v>611</v>
      </c>
      <c r="B612" s="6" t="n">
        <v>14</v>
      </c>
      <c r="C612" s="6" t="n">
        <v>40</v>
      </c>
      <c r="D612" s="8" t="str">
        <f aca="false">INDEX(Bases!$B$2:$B$53,B612)</f>
        <v>Celebi</v>
      </c>
      <c r="E612" s="8" t="str">
        <f aca="false">INDEX(Bases!$B$2:$B$53,C612)</f>
        <v>Gastly</v>
      </c>
      <c r="F612" s="2" t="str">
        <f aca="false">LEFT(D612,ROUNDUP(LEN(D612)/2,0))&amp;LOWER(MID(E612,ROUNDUP(LEN(E612)/2,0)+1,20))</f>
        <v>Celtly</v>
      </c>
      <c r="G612" s="8" t="str">
        <f aca="false">INDEX(Bases!$C$2:$C$53,B612)</f>
        <v>Grass</v>
      </c>
      <c r="H612" s="8" t="str">
        <f aca="false">IF(INDEX(Bases!$C$2:$C$53,C612)=G612,"",INDEX(Bases!$C$2:$C$53,C612))</f>
        <v>Ghost</v>
      </c>
      <c r="I612" s="8" t="str">
        <f aca="false">IF(INDEX(Bases!$E$2:$E$53,B612)="","",INDEX(Bases!$E$2:$E$53,B612))</f>
        <v/>
      </c>
      <c r="J612" s="8" t="str">
        <f aca="false">IF(INDEX(Bases!$E$2:$E$53,C612)="","",INDEX(Bases!$E$2:$E$53,C612))</f>
        <v/>
      </c>
      <c r="K612" s="5"/>
      <c r="L612" s="2" t="n">
        <f aca="false">AE612+IF(SUMPRODUCT(--($AL612:$AQ612&gt;AL612))&lt;$AK612,1,0)</f>
        <v>67</v>
      </c>
      <c r="M612" s="2" t="n">
        <f aca="false">AF612+IF(SUMPRODUCT(--($AL612:$AQ612&gt;AM612))+SUMPRODUCT(--($AL612:AL612=AM612))&lt;$AK612,1,0)</f>
        <v>69</v>
      </c>
      <c r="N612" s="2" t="n">
        <f aca="false">AG612+IF(SUMPRODUCT(--($AL612:$AQ612&gt;AN612))+SUMPRODUCT(--($AL612:AM612=AN612))&lt;$AK612,1,0)</f>
        <v>66</v>
      </c>
      <c r="O612" s="2" t="n">
        <f aca="false">AH612+IF(SUMPRODUCT(--($AL612:$AQ612&gt;AO612))+SUMPRODUCT(--($AL612:AN612=AO612))&lt;$AK612,1,0)</f>
        <v>125</v>
      </c>
      <c r="P612" s="2" t="n">
        <f aca="false">AI612+IF(SUMPRODUCT(--($AL612:$AQ612&gt;AP612))+SUMPRODUCT(--($AL612:AO612=AP612))&lt;$AK612,1,0)</f>
        <v>68</v>
      </c>
      <c r="Q612" s="2" t="n">
        <f aca="false">AJ612+IF(SUMPRODUCT(--($AL612:$AQ612&gt;AQ612))+SUMPRODUCT(--($AL612:AP612=AQ612))&lt;$AK612,1,0)</f>
        <v>105</v>
      </c>
      <c r="R612" s="2" t="n">
        <f aca="false">SUM(L612:Q612)</f>
        <v>500</v>
      </c>
      <c r="S612" s="2" t="n">
        <f aca="false">Settings!$B$4*MAX(INDEX(Bases!$M$2:$M$53,B612),INDEX(Bases!$M$2:$M$53,C612))+Settings!$B$5*MIN(INDEX(Bases!$M$2:$M$53,B612),INDEX(Bases!$M$2:$M$53,C612))</f>
        <v>57.6666666666667</v>
      </c>
      <c r="T612" s="2" t="n">
        <f aca="false">Settings!$B$4*MAX(INDEX(Bases!$N$2:$N$53,B612),INDEX(Bases!$N$2:$N$53,C612))+Settings!$B$5*MIN(INDEX(Bases!$N$2:$N$53,B612),INDEX(Bases!$N$2:$N$53,C612))</f>
        <v>59.6666666666667</v>
      </c>
      <c r="U612" s="2" t="n">
        <f aca="false">Settings!$B$4*MAX(INDEX(Bases!$O$2:$O$53,B612),INDEX(Bases!$O$2:$O$53,C612))+Settings!$B$5*MIN(INDEX(Bases!$O$2:$O$53,B612),INDEX(Bases!$O$2:$O$53,C612))</f>
        <v>57.6666666666667</v>
      </c>
      <c r="V612" s="2" t="n">
        <f aca="false">Settings!$B$4*MAX(INDEX(Bases!$P$2:$P$53,B612),INDEX(Bases!$P$2:$P$53,C612))+Settings!$B$5*MIN(INDEX(Bases!$P$2:$P$53,B612),INDEX(Bases!$P$2:$P$53,C612))</f>
        <v>108.333333333333</v>
      </c>
      <c r="W612" s="2" t="n">
        <f aca="false">Settings!$B$4*MAX(INDEX(Bases!$Q$2:$Q$53,B612),INDEX(Bases!$Q$2:$Q$53,C612))+Settings!$B$5*MIN(INDEX(Bases!$Q$2:$Q$53,B612),INDEX(Bases!$Q$2:$Q$53,C612))</f>
        <v>59</v>
      </c>
      <c r="X612" s="2" t="n">
        <f aca="false">Settings!$B$4*MAX(INDEX(Bases!$R$2:$R$53,B612),INDEX(Bases!$R$2:$R$53,C612))+Settings!$B$5*MIN(INDEX(Bases!$R$2:$R$53,B612),INDEX(Bases!$R$2:$R$53,C612))</f>
        <v>90.6666666666667</v>
      </c>
      <c r="Y612" s="2" t="n">
        <f aca="false">S612*Settings!$B$3/SUM(S612:X612)</f>
        <v>66.5896843725943</v>
      </c>
      <c r="Z612" s="2" t="n">
        <f aca="false">T612*Settings!$B$3/SUM(S612:X612)</f>
        <v>68.8991531947652</v>
      </c>
      <c r="AA612" s="2" t="n">
        <f aca="false">U612*Settings!$B$3/SUM(S612:X612)</f>
        <v>66.5896843725943</v>
      </c>
      <c r="AB612" s="2" t="n">
        <f aca="false">V612*Settings!$B$3/SUM(S612:X612)</f>
        <v>125.09622786759</v>
      </c>
      <c r="AC612" s="2" t="n">
        <f aca="false">W612*Settings!$B$3/SUM(S612:X612)</f>
        <v>68.1293302540416</v>
      </c>
      <c r="AD612" s="2" t="n">
        <f aca="false">X612*Settings!$B$3/SUM(S612:X612)</f>
        <v>104.695919938414</v>
      </c>
      <c r="AE612" s="2" t="n">
        <f aca="false">INT(Y612)</f>
        <v>66</v>
      </c>
      <c r="AF612" s="2" t="n">
        <f aca="false">INT(Z612)</f>
        <v>68</v>
      </c>
      <c r="AG612" s="2" t="n">
        <f aca="false">INT(AA612)</f>
        <v>66</v>
      </c>
      <c r="AH612" s="2" t="n">
        <f aca="false">INT(AB612)</f>
        <v>125</v>
      </c>
      <c r="AI612" s="2" t="n">
        <f aca="false">INT(AC612)</f>
        <v>68</v>
      </c>
      <c r="AJ612" s="2" t="n">
        <f aca="false">INT(AD612)</f>
        <v>104</v>
      </c>
      <c r="AK612" s="2" t="n">
        <f aca="false">Settings!$B$3-SUM(AE612:AJ612)</f>
        <v>3</v>
      </c>
      <c r="AL612" s="2" t="n">
        <f aca="false">ROUND(Y612-AE612,9)</f>
        <v>0.589684373</v>
      </c>
      <c r="AM612" s="2" t="n">
        <f aca="false">ROUND(Z612-AF612,9)</f>
        <v>0.899153195</v>
      </c>
      <c r="AN612" s="2" t="n">
        <f aca="false">ROUND(AA612-AG612,9)</f>
        <v>0.589684373</v>
      </c>
      <c r="AO612" s="2" t="n">
        <f aca="false">ROUND(AB612-AH612,9)</f>
        <v>0.096227868</v>
      </c>
      <c r="AP612" s="2" t="n">
        <f aca="false">ROUND(AC612-AI612,9)</f>
        <v>0.129330254</v>
      </c>
      <c r="AQ612" s="2" t="n">
        <f aca="false">ROUND(AD612-AJ612,9)</f>
        <v>0.695919938</v>
      </c>
    </row>
    <row r="613" customFormat="false" ht="15" hidden="false" customHeight="false" outlineLevel="0" collapsed="false">
      <c r="A613" s="2" t="n">
        <v>612</v>
      </c>
      <c r="B613" s="6" t="n">
        <v>14</v>
      </c>
      <c r="C613" s="6" t="n">
        <v>41</v>
      </c>
      <c r="D613" s="8" t="str">
        <f aca="false">INDEX(Bases!$B$2:$B$53,B613)</f>
        <v>Celebi</v>
      </c>
      <c r="E613" s="8" t="str">
        <f aca="false">INDEX(Bases!$B$2:$B$53,C613)</f>
        <v>Misdreavus</v>
      </c>
      <c r="F613" s="2" t="str">
        <f aca="false">LEFT(D613,ROUNDUP(LEN(D613)/2,0))&amp;LOWER(MID(E613,ROUNDUP(LEN(E613)/2,0)+1,20))</f>
        <v>Celeavus</v>
      </c>
      <c r="G613" s="8" t="str">
        <f aca="false">INDEX(Bases!$C$2:$C$53,B613)</f>
        <v>Grass</v>
      </c>
      <c r="H613" s="8" t="str">
        <f aca="false">IF(INDEX(Bases!$C$2:$C$53,C613)=G613,"",INDEX(Bases!$C$2:$C$53,C613))</f>
        <v>Ghost</v>
      </c>
      <c r="I613" s="8" t="str">
        <f aca="false">IF(INDEX(Bases!$E$2:$E$53,B613)="","",INDEX(Bases!$E$2:$E$53,B613))</f>
        <v/>
      </c>
      <c r="J613" s="8" t="str">
        <f aca="false">IF(INDEX(Bases!$E$2:$E$53,C613)="","",INDEX(Bases!$E$2:$E$53,C613))</f>
        <v/>
      </c>
      <c r="K613" s="5"/>
      <c r="L613" s="2" t="n">
        <f aca="false">AE613+IF(SUMPRODUCT(--($AL613:$AQ613&gt;AL613))&lt;$AK613,1,0)</f>
        <v>77</v>
      </c>
      <c r="M613" s="2" t="n">
        <f aca="false">AF613+IF(SUMPRODUCT(--($AL613:$AQ613&gt;AM613))+SUMPRODUCT(--($AL613:AL613=AM613))&lt;$AK613,1,0)</f>
        <v>77</v>
      </c>
      <c r="N613" s="2" t="n">
        <f aca="false">AG613+IF(SUMPRODUCT(--($AL613:$AQ613&gt;AN613))+SUMPRODUCT(--($AL613:AM613=AN613))&lt;$AK613,1,0)</f>
        <v>76</v>
      </c>
      <c r="O613" s="2" t="n">
        <f aca="false">AH613+IF(SUMPRODUCT(--($AL613:$AQ613&gt;AO613))+SUMPRODUCT(--($AL613:AN613=AO613))&lt;$AK613,1,0)</f>
        <v>90</v>
      </c>
      <c r="P613" s="2" t="n">
        <f aca="false">AI613+IF(SUMPRODUCT(--($AL613:$AQ613&gt;AP613))+SUMPRODUCT(--($AL613:AO613=AP613))&lt;$AK613,1,0)</f>
        <v>90</v>
      </c>
      <c r="Q613" s="2" t="n">
        <f aca="false">AJ613+IF(SUMPRODUCT(--($AL613:$AQ613&gt;AQ613))+SUMPRODUCT(--($AL613:AP613=AQ613))&lt;$AK613,1,0)</f>
        <v>90</v>
      </c>
      <c r="R613" s="2" t="n">
        <f aca="false">SUM(L613:Q613)</f>
        <v>500</v>
      </c>
      <c r="S613" s="2" t="n">
        <f aca="false">Settings!$B$4*MAX(INDEX(Bases!$M$2:$M$53,B613),INDEX(Bases!$M$2:$M$53,C613))+Settings!$B$5*MIN(INDEX(Bases!$M$2:$M$53,B613),INDEX(Bases!$M$2:$M$53,C613))</f>
        <v>63.3333333333333</v>
      </c>
      <c r="T613" s="2" t="n">
        <f aca="false">Settings!$B$4*MAX(INDEX(Bases!$N$2:$N$53,B613),INDEX(Bases!$N$2:$N$53,C613))+Settings!$B$5*MIN(INDEX(Bases!$N$2:$N$53,B613),INDEX(Bases!$N$2:$N$53,C613))</f>
        <v>63</v>
      </c>
      <c r="U613" s="2" t="n">
        <f aca="false">Settings!$B$4*MAX(INDEX(Bases!$O$2:$O$53,B613),INDEX(Bases!$O$2:$O$53,C613))+Settings!$B$5*MIN(INDEX(Bases!$O$2:$O$53,B613),INDEX(Bases!$O$2:$O$53,C613))</f>
        <v>63</v>
      </c>
      <c r="V613" s="2" t="n">
        <f aca="false">Settings!$B$4*MAX(INDEX(Bases!$P$2:$P$53,B613),INDEX(Bases!$P$2:$P$53,C613))+Settings!$B$5*MIN(INDEX(Bases!$P$2:$P$53,B613),INDEX(Bases!$P$2:$P$53,C613))</f>
        <v>74.3333333333333</v>
      </c>
      <c r="W613" s="2" t="n">
        <f aca="false">Settings!$B$4*MAX(INDEX(Bases!$Q$2:$Q$53,B613),INDEX(Bases!$Q$2:$Q$53,C613))+Settings!$B$5*MIN(INDEX(Bases!$Q$2:$Q$53,B613),INDEX(Bases!$Q$2:$Q$53,C613))</f>
        <v>74</v>
      </c>
      <c r="X613" s="2" t="n">
        <f aca="false">Settings!$B$4*MAX(INDEX(Bases!$R$2:$R$53,B613),INDEX(Bases!$R$2:$R$53,C613))+Settings!$B$5*MIN(INDEX(Bases!$R$2:$R$53,B613),INDEX(Bases!$R$2:$R$53,C613))</f>
        <v>74</v>
      </c>
      <c r="Y613" s="2" t="n">
        <f aca="false">S613*Settings!$B$3/SUM(S613:X613)</f>
        <v>76.9230769230769</v>
      </c>
      <c r="Z613" s="2" t="n">
        <f aca="false">T613*Settings!$B$3/SUM(S613:X613)</f>
        <v>76.5182186234818</v>
      </c>
      <c r="AA613" s="2" t="n">
        <f aca="false">U613*Settings!$B$3/SUM(S613:X613)</f>
        <v>76.5182186234818</v>
      </c>
      <c r="AB613" s="2" t="n">
        <f aca="false">V613*Settings!$B$3/SUM(S613:X613)</f>
        <v>90.2834008097166</v>
      </c>
      <c r="AC613" s="2" t="n">
        <f aca="false">W613*Settings!$B$3/SUM(S613:X613)</f>
        <v>89.8785425101215</v>
      </c>
      <c r="AD613" s="2" t="n">
        <f aca="false">X613*Settings!$B$3/SUM(S613:X613)</f>
        <v>89.8785425101215</v>
      </c>
      <c r="AE613" s="2" t="n">
        <f aca="false">INT(Y613)</f>
        <v>76</v>
      </c>
      <c r="AF613" s="2" t="n">
        <f aca="false">INT(Z613)</f>
        <v>76</v>
      </c>
      <c r="AG613" s="2" t="n">
        <f aca="false">INT(AA613)</f>
        <v>76</v>
      </c>
      <c r="AH613" s="2" t="n">
        <f aca="false">INT(AB613)</f>
        <v>90</v>
      </c>
      <c r="AI613" s="2" t="n">
        <f aca="false">INT(AC613)</f>
        <v>89</v>
      </c>
      <c r="AJ613" s="2" t="n">
        <f aca="false">INT(AD613)</f>
        <v>89</v>
      </c>
      <c r="AK613" s="2" t="n">
        <f aca="false">Settings!$B$3-SUM(AE613:AJ613)</f>
        <v>4</v>
      </c>
      <c r="AL613" s="2" t="n">
        <f aca="false">ROUND(Y613-AE613,9)</f>
        <v>0.923076923</v>
      </c>
      <c r="AM613" s="2" t="n">
        <f aca="false">ROUND(Z613-AF613,9)</f>
        <v>0.518218623</v>
      </c>
      <c r="AN613" s="2" t="n">
        <f aca="false">ROUND(AA613-AG613,9)</f>
        <v>0.518218623</v>
      </c>
      <c r="AO613" s="2" t="n">
        <f aca="false">ROUND(AB613-AH613,9)</f>
        <v>0.28340081</v>
      </c>
      <c r="AP613" s="2" t="n">
        <f aca="false">ROUND(AC613-AI613,9)</f>
        <v>0.87854251</v>
      </c>
      <c r="AQ613" s="2" t="n">
        <f aca="false">ROUND(AD613-AJ613,9)</f>
        <v>0.87854251</v>
      </c>
    </row>
    <row r="614" customFormat="false" ht="15" hidden="false" customHeight="false" outlineLevel="0" collapsed="false">
      <c r="A614" s="2" t="n">
        <v>613</v>
      </c>
      <c r="B614" s="6" t="n">
        <v>14</v>
      </c>
      <c r="C614" s="6" t="n">
        <v>42</v>
      </c>
      <c r="D614" s="8" t="str">
        <f aca="false">INDEX(Bases!$B$2:$B$53,B614)</f>
        <v>Celebi</v>
      </c>
      <c r="E614" s="8" t="str">
        <f aca="false">INDEX(Bases!$B$2:$B$53,C614)</f>
        <v>Sableye</v>
      </c>
      <c r="F614" s="2" t="str">
        <f aca="false">LEFT(D614,ROUNDUP(LEN(D614)/2,0))&amp;LOWER(MID(E614,ROUNDUP(LEN(E614)/2,0)+1,20))</f>
        <v>Celeye</v>
      </c>
      <c r="G614" s="8" t="str">
        <f aca="false">INDEX(Bases!$C$2:$C$53,B614)</f>
        <v>Grass</v>
      </c>
      <c r="H614" s="8" t="str">
        <f aca="false">IF(INDEX(Bases!$C$2:$C$53,C614)=G614,"",INDEX(Bases!$C$2:$C$53,C614))</f>
        <v>Ghost</v>
      </c>
      <c r="I614" s="8" t="str">
        <f aca="false">IF(INDEX(Bases!$E$2:$E$53,B614)="","",INDEX(Bases!$E$2:$E$53,B614))</f>
        <v/>
      </c>
      <c r="J614" s="8" t="str">
        <f aca="false">IF(INDEX(Bases!$E$2:$E$53,C614)="","",INDEX(Bases!$E$2:$E$53,C614))</f>
        <v/>
      </c>
      <c r="K614" s="5"/>
      <c r="L614" s="2" t="n">
        <f aca="false">AE614+IF(SUMPRODUCT(--($AL614:$AQ614&gt;AL614))&lt;$AK614,1,0)</f>
        <v>76</v>
      </c>
      <c r="M614" s="2" t="n">
        <f aca="false">AF614+IF(SUMPRODUCT(--($AL614:$AQ614&gt;AM614))+SUMPRODUCT(--($AL614:AL614=AM614))&lt;$AK614,1,0)</f>
        <v>92</v>
      </c>
      <c r="N614" s="2" t="n">
        <f aca="false">AG614+IF(SUMPRODUCT(--($AL614:$AQ614&gt;AN614))+SUMPRODUCT(--($AL614:AM614=AN614))&lt;$AK614,1,0)</f>
        <v>92</v>
      </c>
      <c r="O614" s="2" t="n">
        <f aca="false">AH614+IF(SUMPRODUCT(--($AL614:$AQ614&gt;AO614))+SUMPRODUCT(--($AL614:AN614=AO614))&lt;$AK614,1,0)</f>
        <v>83</v>
      </c>
      <c r="P614" s="2" t="n">
        <f aca="false">AI614+IF(SUMPRODUCT(--($AL614:$AQ614&gt;AP614))+SUMPRODUCT(--($AL614:AO614=AP614))&lt;$AK614,1,0)</f>
        <v>82</v>
      </c>
      <c r="Q614" s="2" t="n">
        <f aca="false">AJ614+IF(SUMPRODUCT(--($AL614:$AQ614&gt;AQ614))+SUMPRODUCT(--($AL614:AP614=AQ614))&lt;$AK614,1,0)</f>
        <v>75</v>
      </c>
      <c r="R614" s="2" t="n">
        <f aca="false">SUM(L614:Q614)</f>
        <v>500</v>
      </c>
      <c r="S614" s="2" t="n">
        <f aca="false">Settings!$B$4*MAX(INDEX(Bases!$M$2:$M$53,B614),INDEX(Bases!$M$2:$M$53,C614))+Settings!$B$5*MIN(INDEX(Bases!$M$2:$M$53,B614),INDEX(Bases!$M$2:$M$53,C614))</f>
        <v>62.3333333333333</v>
      </c>
      <c r="T614" s="2" t="n">
        <f aca="false">Settings!$B$4*MAX(INDEX(Bases!$N$2:$N$53,B614),INDEX(Bases!$N$2:$N$53,C614))+Settings!$B$5*MIN(INDEX(Bases!$N$2:$N$53,B614),INDEX(Bases!$N$2:$N$53,C614))</f>
        <v>75</v>
      </c>
      <c r="U614" s="2" t="n">
        <f aca="false">Settings!$B$4*MAX(INDEX(Bases!$O$2:$O$53,B614),INDEX(Bases!$O$2:$O$53,C614))+Settings!$B$5*MIN(INDEX(Bases!$O$2:$O$53,B614),INDEX(Bases!$O$2:$O$53,C614))</f>
        <v>75</v>
      </c>
      <c r="V614" s="2" t="n">
        <f aca="false">Settings!$B$4*MAX(INDEX(Bases!$P$2:$P$53,B614),INDEX(Bases!$P$2:$P$53,C614))+Settings!$B$5*MIN(INDEX(Bases!$P$2:$P$53,B614),INDEX(Bases!$P$2:$P$53,C614))</f>
        <v>67.6666666666667</v>
      </c>
      <c r="W614" s="2" t="n">
        <f aca="false">Settings!$B$4*MAX(INDEX(Bases!$Q$2:$Q$53,B614),INDEX(Bases!$Q$2:$Q$53,C614))+Settings!$B$5*MIN(INDEX(Bases!$Q$2:$Q$53,B614),INDEX(Bases!$Q$2:$Q$53,C614))</f>
        <v>67.3333333333333</v>
      </c>
      <c r="X614" s="2" t="n">
        <f aca="false">Settings!$B$4*MAX(INDEX(Bases!$R$2:$R$53,B614),INDEX(Bases!$R$2:$R$53,C614))+Settings!$B$5*MIN(INDEX(Bases!$R$2:$R$53,B614),INDEX(Bases!$R$2:$R$53,C614))</f>
        <v>61.6666666666667</v>
      </c>
      <c r="Y614" s="2" t="n">
        <f aca="false">S614*Settings!$B$3/SUM(S614:X614)</f>
        <v>76.2021189894051</v>
      </c>
      <c r="Z614" s="2" t="n">
        <f aca="false">T614*Settings!$B$3/SUM(S614:X614)</f>
        <v>91.6870415647922</v>
      </c>
      <c r="AA614" s="2" t="n">
        <f aca="false">U614*Settings!$B$3/SUM(S614:X614)</f>
        <v>91.6870415647922</v>
      </c>
      <c r="AB614" s="2" t="n">
        <f aca="false">V614*Settings!$B$3/SUM(S614:X614)</f>
        <v>82.722086389568</v>
      </c>
      <c r="AC614" s="2" t="n">
        <f aca="false">W614*Settings!$B$3/SUM(S614:X614)</f>
        <v>82.3145884270579</v>
      </c>
      <c r="AD614" s="2" t="n">
        <f aca="false">X614*Settings!$B$3/SUM(S614:X614)</f>
        <v>75.3871230643847</v>
      </c>
      <c r="AE614" s="2" t="n">
        <f aca="false">INT(Y614)</f>
        <v>76</v>
      </c>
      <c r="AF614" s="2" t="n">
        <f aca="false">INT(Z614)</f>
        <v>91</v>
      </c>
      <c r="AG614" s="2" t="n">
        <f aca="false">INT(AA614)</f>
        <v>91</v>
      </c>
      <c r="AH614" s="2" t="n">
        <f aca="false">INT(AB614)</f>
        <v>82</v>
      </c>
      <c r="AI614" s="2" t="n">
        <f aca="false">INT(AC614)</f>
        <v>82</v>
      </c>
      <c r="AJ614" s="2" t="n">
        <f aca="false">INT(AD614)</f>
        <v>75</v>
      </c>
      <c r="AK614" s="2" t="n">
        <f aca="false">Settings!$B$3-SUM(AE614:AJ614)</f>
        <v>3</v>
      </c>
      <c r="AL614" s="2" t="n">
        <f aca="false">ROUND(Y614-AE614,9)</f>
        <v>0.202118989</v>
      </c>
      <c r="AM614" s="2" t="n">
        <f aca="false">ROUND(Z614-AF614,9)</f>
        <v>0.687041565</v>
      </c>
      <c r="AN614" s="2" t="n">
        <f aca="false">ROUND(AA614-AG614,9)</f>
        <v>0.687041565</v>
      </c>
      <c r="AO614" s="2" t="n">
        <f aca="false">ROUND(AB614-AH614,9)</f>
        <v>0.72208639</v>
      </c>
      <c r="AP614" s="2" t="n">
        <f aca="false">ROUND(AC614-AI614,9)</f>
        <v>0.314588427</v>
      </c>
      <c r="AQ614" s="2" t="n">
        <f aca="false">ROUND(AD614-AJ614,9)</f>
        <v>0.387123064</v>
      </c>
    </row>
    <row r="615" customFormat="false" ht="15" hidden="false" customHeight="false" outlineLevel="0" collapsed="false">
      <c r="A615" s="2" t="n">
        <v>614</v>
      </c>
      <c r="B615" s="6" t="n">
        <v>14</v>
      </c>
      <c r="C615" s="6" t="n">
        <v>43</v>
      </c>
      <c r="D615" s="8" t="str">
        <f aca="false">INDEX(Bases!$B$2:$B$53,B615)</f>
        <v>Celebi</v>
      </c>
      <c r="E615" s="8" t="str">
        <f aca="false">INDEX(Bases!$B$2:$B$53,C615)</f>
        <v>Dratini</v>
      </c>
      <c r="F615" s="2" t="str">
        <f aca="false">LEFT(D615,ROUNDUP(LEN(D615)/2,0))&amp;LOWER(MID(E615,ROUNDUP(LEN(E615)/2,0)+1,20))</f>
        <v>Celini</v>
      </c>
      <c r="G615" s="8" t="str">
        <f aca="false">INDEX(Bases!$C$2:$C$53,B615)</f>
        <v>Grass</v>
      </c>
      <c r="H615" s="8" t="str">
        <f aca="false">IF(INDEX(Bases!$C$2:$C$53,C615)=G615,"",INDEX(Bases!$C$2:$C$53,C615))</f>
        <v>Dragon</v>
      </c>
      <c r="I615" s="8" t="str">
        <f aca="false">IF(INDEX(Bases!$E$2:$E$53,B615)="","",INDEX(Bases!$E$2:$E$53,B615))</f>
        <v/>
      </c>
      <c r="J615" s="8" t="str">
        <f aca="false">IF(INDEX(Bases!$E$2:$E$53,C615)="","",INDEX(Bases!$E$2:$E$53,C615))</f>
        <v/>
      </c>
      <c r="K615" s="5"/>
      <c r="L615" s="2" t="n">
        <f aca="false">AE615+IF(SUMPRODUCT(--($AL615:$AQ615&gt;AL615))&lt;$AK615,1,0)</f>
        <v>78</v>
      </c>
      <c r="M615" s="2" t="n">
        <f aca="false">AF615+IF(SUMPRODUCT(--($AL615:$AQ615&gt;AM615))+SUMPRODUCT(--($AL615:AL615=AM615))&lt;$AK615,1,0)</f>
        <v>97</v>
      </c>
      <c r="N615" s="2" t="n">
        <f aca="false">AG615+IF(SUMPRODUCT(--($AL615:$AQ615&gt;AN615))+SUMPRODUCT(--($AL615:AM615=AN615))&lt;$AK615,1,0)</f>
        <v>80</v>
      </c>
      <c r="O615" s="2" t="n">
        <f aca="false">AH615+IF(SUMPRODUCT(--($AL615:$AQ615&gt;AO615))+SUMPRODUCT(--($AL615:AN615=AO615))&lt;$AK615,1,0)</f>
        <v>82</v>
      </c>
      <c r="P615" s="2" t="n">
        <f aca="false">AI615+IF(SUMPRODUCT(--($AL615:$AQ615&gt;AP615))+SUMPRODUCT(--($AL615:AO615=AP615))&lt;$AK615,1,0)</f>
        <v>82</v>
      </c>
      <c r="Q615" s="2" t="n">
        <f aca="false">AJ615+IF(SUMPRODUCT(--($AL615:$AQ615&gt;AQ615))+SUMPRODUCT(--($AL615:AP615=AQ615))&lt;$AK615,1,0)</f>
        <v>81</v>
      </c>
      <c r="R615" s="2" t="n">
        <f aca="false">SUM(L615:Q615)</f>
        <v>500</v>
      </c>
      <c r="S615" s="2" t="n">
        <f aca="false">Settings!$B$4*MAX(INDEX(Bases!$M$2:$M$53,B615),INDEX(Bases!$M$2:$M$53,C615))+Settings!$B$5*MIN(INDEX(Bases!$M$2:$M$53,B615),INDEX(Bases!$M$2:$M$53,C615))</f>
        <v>63</v>
      </c>
      <c r="T615" s="2" t="n">
        <f aca="false">Settings!$B$4*MAX(INDEX(Bases!$N$2:$N$53,B615),INDEX(Bases!$N$2:$N$53,C615))+Settings!$B$5*MIN(INDEX(Bases!$N$2:$N$53,B615),INDEX(Bases!$N$2:$N$53,C615))</f>
        <v>79</v>
      </c>
      <c r="U615" s="2" t="n">
        <f aca="false">Settings!$B$4*MAX(INDEX(Bases!$O$2:$O$53,B615),INDEX(Bases!$O$2:$O$53,C615))+Settings!$B$5*MIN(INDEX(Bases!$O$2:$O$53,B615),INDEX(Bases!$O$2:$O$53,C615))</f>
        <v>64.6666666666667</v>
      </c>
      <c r="V615" s="2" t="n">
        <f aca="false">Settings!$B$4*MAX(INDEX(Bases!$P$2:$P$53,B615),INDEX(Bases!$P$2:$P$53,C615))+Settings!$B$5*MIN(INDEX(Bases!$P$2:$P$53,B615),INDEX(Bases!$P$2:$P$53,C615))</f>
        <v>67</v>
      </c>
      <c r="W615" s="2" t="n">
        <f aca="false">Settings!$B$4*MAX(INDEX(Bases!$Q$2:$Q$53,B615),INDEX(Bases!$Q$2:$Q$53,C615))+Settings!$B$5*MIN(INDEX(Bases!$Q$2:$Q$53,B615),INDEX(Bases!$Q$2:$Q$53,C615))</f>
        <v>66.6666666666667</v>
      </c>
      <c r="X615" s="2" t="n">
        <f aca="false">Settings!$B$4*MAX(INDEX(Bases!$R$2:$R$53,B615),INDEX(Bases!$R$2:$R$53,C615))+Settings!$B$5*MIN(INDEX(Bases!$R$2:$R$53,B615),INDEX(Bases!$R$2:$R$53,C615))</f>
        <v>66</v>
      </c>
      <c r="Y615" s="2" t="n">
        <f aca="false">S615*Settings!$B$3/SUM(S615:X615)</f>
        <v>77.5225594749795</v>
      </c>
      <c r="Z615" s="2" t="n">
        <f aca="false">T615*Settings!$B$3/SUM(S615:X615)</f>
        <v>97.2108285479902</v>
      </c>
      <c r="AA615" s="2" t="n">
        <f aca="false">U615*Settings!$B$3/SUM(S615:X615)</f>
        <v>79.5734208367514</v>
      </c>
      <c r="AB615" s="2" t="n">
        <f aca="false">V615*Settings!$B$3/SUM(S615:X615)</f>
        <v>82.4446267432322</v>
      </c>
      <c r="AC615" s="2" t="n">
        <f aca="false">W615*Settings!$B$3/SUM(S615:X615)</f>
        <v>82.0344544708778</v>
      </c>
      <c r="AD615" s="2" t="n">
        <f aca="false">X615*Settings!$B$3/SUM(S615:X615)</f>
        <v>81.214109926169</v>
      </c>
      <c r="AE615" s="2" t="n">
        <f aca="false">INT(Y615)</f>
        <v>77</v>
      </c>
      <c r="AF615" s="2" t="n">
        <f aca="false">INT(Z615)</f>
        <v>97</v>
      </c>
      <c r="AG615" s="2" t="n">
        <f aca="false">INT(AA615)</f>
        <v>79</v>
      </c>
      <c r="AH615" s="2" t="n">
        <f aca="false">INT(AB615)</f>
        <v>82</v>
      </c>
      <c r="AI615" s="2" t="n">
        <f aca="false">INT(AC615)</f>
        <v>82</v>
      </c>
      <c r="AJ615" s="2" t="n">
        <f aca="false">INT(AD615)</f>
        <v>81</v>
      </c>
      <c r="AK615" s="2" t="n">
        <f aca="false">Settings!$B$3-SUM(AE615:AJ615)</f>
        <v>2</v>
      </c>
      <c r="AL615" s="2" t="n">
        <f aca="false">ROUND(Y615-AE615,9)</f>
        <v>0.522559475</v>
      </c>
      <c r="AM615" s="2" t="n">
        <f aca="false">ROUND(Z615-AF615,9)</f>
        <v>0.210828548</v>
      </c>
      <c r="AN615" s="2" t="n">
        <f aca="false">ROUND(AA615-AG615,9)</f>
        <v>0.573420837</v>
      </c>
      <c r="AO615" s="2" t="n">
        <f aca="false">ROUND(AB615-AH615,9)</f>
        <v>0.444626743</v>
      </c>
      <c r="AP615" s="2" t="n">
        <f aca="false">ROUND(AC615-AI615,9)</f>
        <v>0.034454471</v>
      </c>
      <c r="AQ615" s="2" t="n">
        <f aca="false">ROUND(AD615-AJ615,9)</f>
        <v>0.214109926</v>
      </c>
    </row>
    <row r="616" customFormat="false" ht="15" hidden="false" customHeight="false" outlineLevel="0" collapsed="false">
      <c r="A616" s="2" t="n">
        <v>615</v>
      </c>
      <c r="B616" s="6" t="n">
        <v>14</v>
      </c>
      <c r="C616" s="6" t="n">
        <v>44</v>
      </c>
      <c r="D616" s="8" t="str">
        <f aca="false">INDEX(Bases!$B$2:$B$53,B616)</f>
        <v>Celebi</v>
      </c>
      <c r="E616" s="8" t="str">
        <f aca="false">INDEX(Bases!$B$2:$B$53,C616)</f>
        <v>Bagon</v>
      </c>
      <c r="F616" s="2" t="str">
        <f aca="false">LEFT(D616,ROUNDUP(LEN(D616)/2,0))&amp;LOWER(MID(E616,ROUNDUP(LEN(E616)/2,0)+1,20))</f>
        <v>Celon</v>
      </c>
      <c r="G616" s="8" t="str">
        <f aca="false">INDEX(Bases!$C$2:$C$53,B616)</f>
        <v>Grass</v>
      </c>
      <c r="H616" s="8" t="str">
        <f aca="false">IF(INDEX(Bases!$C$2:$C$53,C616)=G616,"",INDEX(Bases!$C$2:$C$53,C616))</f>
        <v>Dragon</v>
      </c>
      <c r="I616" s="8" t="str">
        <f aca="false">IF(INDEX(Bases!$E$2:$E$53,B616)="","",INDEX(Bases!$E$2:$E$53,B616))</f>
        <v/>
      </c>
      <c r="J616" s="8" t="str">
        <f aca="false">IF(INDEX(Bases!$E$2:$E$53,C616)="","",INDEX(Bases!$E$2:$E$53,C616))</f>
        <v/>
      </c>
      <c r="K616" s="5"/>
      <c r="L616" s="2" t="n">
        <f aca="false">AE616+IF(SUMPRODUCT(--($AL616:$AQ616&gt;AL616))&lt;$AK616,1,0)</f>
        <v>78</v>
      </c>
      <c r="M616" s="2" t="n">
        <f aca="false">AF616+IF(SUMPRODUCT(--($AL616:$AQ616&gt;AM616))+SUMPRODUCT(--($AL616:AL616=AM616))&lt;$AK616,1,0)</f>
        <v>107</v>
      </c>
      <c r="N616" s="2" t="n">
        <f aca="false">AG616+IF(SUMPRODUCT(--($AL616:$AQ616&gt;AN616))+SUMPRODUCT(--($AL616:AM616=AN616))&lt;$AK616,1,0)</f>
        <v>91</v>
      </c>
      <c r="O616" s="2" t="n">
        <f aca="false">AH616+IF(SUMPRODUCT(--($AL616:$AQ616&gt;AO616))+SUMPRODUCT(--($AL616:AN616=AO616))&lt;$AK616,1,0)</f>
        <v>75</v>
      </c>
      <c r="P616" s="2" t="n">
        <f aca="false">AI616+IF(SUMPRODUCT(--($AL616:$AQ616&gt;AP616))+SUMPRODUCT(--($AL616:AO616=AP616))&lt;$AK616,1,0)</f>
        <v>69</v>
      </c>
      <c r="Q616" s="2" t="n">
        <f aca="false">AJ616+IF(SUMPRODUCT(--($AL616:$AQ616&gt;AQ616))+SUMPRODUCT(--($AL616:AP616=AQ616))&lt;$AK616,1,0)</f>
        <v>80</v>
      </c>
      <c r="R616" s="2" t="n">
        <f aca="false">SUM(L616:Q616)</f>
        <v>500</v>
      </c>
      <c r="S616" s="2" t="n">
        <f aca="false">Settings!$B$4*MAX(INDEX(Bases!$M$2:$M$53,B616),INDEX(Bases!$M$2:$M$53,C616))+Settings!$B$5*MIN(INDEX(Bases!$M$2:$M$53,B616),INDEX(Bases!$M$2:$M$53,C616))</f>
        <v>64.6666666666667</v>
      </c>
      <c r="T616" s="2" t="n">
        <f aca="false">Settings!$B$4*MAX(INDEX(Bases!$N$2:$N$53,B616),INDEX(Bases!$N$2:$N$53,C616))+Settings!$B$5*MIN(INDEX(Bases!$N$2:$N$53,B616),INDEX(Bases!$N$2:$N$53,C616))</f>
        <v>89</v>
      </c>
      <c r="U616" s="2" t="n">
        <f aca="false">Settings!$B$4*MAX(INDEX(Bases!$O$2:$O$53,B616),INDEX(Bases!$O$2:$O$53,C616))+Settings!$B$5*MIN(INDEX(Bases!$O$2:$O$53,B616),INDEX(Bases!$O$2:$O$53,C616))</f>
        <v>75.6666666666667</v>
      </c>
      <c r="V616" s="2" t="n">
        <f aca="false">Settings!$B$4*MAX(INDEX(Bases!$P$2:$P$53,B616),INDEX(Bases!$P$2:$P$53,C616))+Settings!$B$5*MIN(INDEX(Bases!$P$2:$P$53,B616),INDEX(Bases!$P$2:$P$53,C616))</f>
        <v>62.3333333333333</v>
      </c>
      <c r="W616" s="2" t="n">
        <f aca="false">Settings!$B$4*MAX(INDEX(Bases!$Q$2:$Q$53,B616),INDEX(Bases!$Q$2:$Q$53,C616))+Settings!$B$5*MIN(INDEX(Bases!$Q$2:$Q$53,B616),INDEX(Bases!$Q$2:$Q$53,C616))</f>
        <v>57.3333333333333</v>
      </c>
      <c r="X616" s="2" t="n">
        <f aca="false">Settings!$B$4*MAX(INDEX(Bases!$R$2:$R$53,B616),INDEX(Bases!$R$2:$R$53,C616))+Settings!$B$5*MIN(INDEX(Bases!$R$2:$R$53,B616),INDEX(Bases!$R$2:$R$53,C616))</f>
        <v>66.6666666666667</v>
      </c>
      <c r="Y616" s="2" t="n">
        <f aca="false">S616*Settings!$B$3/SUM(S616:X616)</f>
        <v>77.7866880513232</v>
      </c>
      <c r="Z616" s="2" t="n">
        <f aca="false">T616*Settings!$B$3/SUM(S616:X616)</f>
        <v>107.056936647955</v>
      </c>
      <c r="AA616" s="2" t="n">
        <f aca="false">U616*Settings!$B$3/SUM(S616:X616)</f>
        <v>91.018444266239</v>
      </c>
      <c r="AB616" s="2" t="n">
        <f aca="false">V616*Settings!$B$3/SUM(S616:X616)</f>
        <v>74.9799518845229</v>
      </c>
      <c r="AC616" s="2" t="n">
        <f aca="false">W616*Settings!$B$3/SUM(S616:X616)</f>
        <v>68.9655172413793</v>
      </c>
      <c r="AD616" s="2" t="n">
        <f aca="false">X616*Settings!$B$3/SUM(S616:X616)</f>
        <v>80.1924619085806</v>
      </c>
      <c r="AE616" s="2" t="n">
        <f aca="false">INT(Y616)</f>
        <v>77</v>
      </c>
      <c r="AF616" s="2" t="n">
        <f aca="false">INT(Z616)</f>
        <v>107</v>
      </c>
      <c r="AG616" s="2" t="n">
        <f aca="false">INT(AA616)</f>
        <v>91</v>
      </c>
      <c r="AH616" s="2" t="n">
        <f aca="false">INT(AB616)</f>
        <v>74</v>
      </c>
      <c r="AI616" s="2" t="n">
        <f aca="false">INT(AC616)</f>
        <v>68</v>
      </c>
      <c r="AJ616" s="2" t="n">
        <f aca="false">INT(AD616)</f>
        <v>80</v>
      </c>
      <c r="AK616" s="2" t="n">
        <f aca="false">Settings!$B$3-SUM(AE616:AJ616)</f>
        <v>3</v>
      </c>
      <c r="AL616" s="2" t="n">
        <f aca="false">ROUND(Y616-AE616,9)</f>
        <v>0.786688051</v>
      </c>
      <c r="AM616" s="2" t="n">
        <f aca="false">ROUND(Z616-AF616,9)</f>
        <v>0.056936648</v>
      </c>
      <c r="AN616" s="2" t="n">
        <f aca="false">ROUND(AA616-AG616,9)</f>
        <v>0.018444266</v>
      </c>
      <c r="AO616" s="2" t="n">
        <f aca="false">ROUND(AB616-AH616,9)</f>
        <v>0.979951885</v>
      </c>
      <c r="AP616" s="2" t="n">
        <f aca="false">ROUND(AC616-AI616,9)</f>
        <v>0.965517241</v>
      </c>
      <c r="AQ616" s="2" t="n">
        <f aca="false">ROUND(AD616-AJ616,9)</f>
        <v>0.192461909</v>
      </c>
    </row>
    <row r="617" customFormat="false" ht="15" hidden="false" customHeight="false" outlineLevel="0" collapsed="false">
      <c r="A617" s="2" t="n">
        <v>616</v>
      </c>
      <c r="B617" s="6" t="n">
        <v>14</v>
      </c>
      <c r="C617" s="6" t="n">
        <v>45</v>
      </c>
      <c r="D617" s="8" t="str">
        <f aca="false">INDEX(Bases!$B$2:$B$53,B617)</f>
        <v>Celebi</v>
      </c>
      <c r="E617" s="8" t="str">
        <f aca="false">INDEX(Bases!$B$2:$B$53,C617)</f>
        <v>Sneasel</v>
      </c>
      <c r="F617" s="2" t="str">
        <f aca="false">LEFT(D617,ROUNDUP(LEN(D617)/2,0))&amp;LOWER(MID(E617,ROUNDUP(LEN(E617)/2,0)+1,20))</f>
        <v>Celsel</v>
      </c>
      <c r="G617" s="8" t="str">
        <f aca="false">INDEX(Bases!$C$2:$C$53,B617)</f>
        <v>Grass</v>
      </c>
      <c r="H617" s="8" t="str">
        <f aca="false">IF(INDEX(Bases!$C$2:$C$53,C617)=G617,"",INDEX(Bases!$C$2:$C$53,C617))</f>
        <v>Dark</v>
      </c>
      <c r="I617" s="8" t="str">
        <f aca="false">IF(INDEX(Bases!$E$2:$E$53,B617)="","",INDEX(Bases!$E$2:$E$53,B617))</f>
        <v/>
      </c>
      <c r="J617" s="8" t="str">
        <f aca="false">IF(INDEX(Bases!$E$2:$E$53,C617)="","",INDEX(Bases!$E$2:$E$53,C617))</f>
        <v/>
      </c>
      <c r="K617" s="5"/>
      <c r="L617" s="2" t="n">
        <f aca="false">AE617+IF(SUMPRODUCT(--($AL617:$AQ617&gt;AL617))&lt;$AK617,1,0)</f>
        <v>73</v>
      </c>
      <c r="M617" s="2" t="n">
        <f aca="false">AF617+IF(SUMPRODUCT(--($AL617:$AQ617&gt;AM617))+SUMPRODUCT(--($AL617:AL617=AM617))&lt;$AK617,1,0)</f>
        <v>96</v>
      </c>
      <c r="N617" s="2" t="n">
        <f aca="false">AG617+IF(SUMPRODUCT(--($AL617:$AQ617&gt;AN617))+SUMPRODUCT(--($AL617:AM617=AN617))&lt;$AK617,1,0)</f>
        <v>73</v>
      </c>
      <c r="O617" s="2" t="n">
        <f aca="false">AH617+IF(SUMPRODUCT(--($AL617:$AQ617&gt;AO617))+SUMPRODUCT(--($AL617:AN617=AO617))&lt;$AK617,1,0)</f>
        <v>66</v>
      </c>
      <c r="P617" s="2" t="n">
        <f aca="false">AI617+IF(SUMPRODUCT(--($AL617:$AQ617&gt;AP617))+SUMPRODUCT(--($AL617:AO617=AP617))&lt;$AK617,1,0)</f>
        <v>81</v>
      </c>
      <c r="Q617" s="2" t="n">
        <f aca="false">AJ617+IF(SUMPRODUCT(--($AL617:$AQ617&gt;AQ617))+SUMPRODUCT(--($AL617:AP617=AQ617))&lt;$AK617,1,0)</f>
        <v>111</v>
      </c>
      <c r="R617" s="2" t="n">
        <f aca="false">SUM(L617:Q617)</f>
        <v>500</v>
      </c>
      <c r="S617" s="2" t="n">
        <f aca="false">Settings!$B$4*MAX(INDEX(Bases!$M$2:$M$53,B617),INDEX(Bases!$M$2:$M$53,C617))+Settings!$B$5*MIN(INDEX(Bases!$M$2:$M$53,B617),INDEX(Bases!$M$2:$M$53,C617))</f>
        <v>61.6666666666667</v>
      </c>
      <c r="T617" s="2" t="n">
        <f aca="false">Settings!$B$4*MAX(INDEX(Bases!$N$2:$N$53,B617),INDEX(Bases!$N$2:$N$53,C617))+Settings!$B$5*MIN(INDEX(Bases!$N$2:$N$53,B617),INDEX(Bases!$N$2:$N$53,C617))</f>
        <v>81</v>
      </c>
      <c r="U617" s="2" t="n">
        <f aca="false">Settings!$B$4*MAX(INDEX(Bases!$O$2:$O$53,B617),INDEX(Bases!$O$2:$O$53,C617))+Settings!$B$5*MIN(INDEX(Bases!$O$2:$O$53,B617),INDEX(Bases!$O$2:$O$53,C617))</f>
        <v>61.6666666666667</v>
      </c>
      <c r="V617" s="2" t="n">
        <f aca="false">Settings!$B$4*MAX(INDEX(Bases!$P$2:$P$53,B617),INDEX(Bases!$P$2:$P$53,C617))+Settings!$B$5*MIN(INDEX(Bases!$P$2:$P$53,B617),INDEX(Bases!$P$2:$P$53,C617))</f>
        <v>55.6666666666667</v>
      </c>
      <c r="W617" s="2" t="n">
        <f aca="false">Settings!$B$4*MAX(INDEX(Bases!$Q$2:$Q$53,B617),INDEX(Bases!$Q$2:$Q$53,C617))+Settings!$B$5*MIN(INDEX(Bases!$Q$2:$Q$53,B617),INDEX(Bases!$Q$2:$Q$53,C617))</f>
        <v>68.6666666666667</v>
      </c>
      <c r="X617" s="2" t="n">
        <f aca="false">Settings!$B$4*MAX(INDEX(Bases!$R$2:$R$53,B617),INDEX(Bases!$R$2:$R$53,C617))+Settings!$B$5*MIN(INDEX(Bases!$R$2:$R$53,B617),INDEX(Bases!$R$2:$R$53,C617))</f>
        <v>93.3333333333333</v>
      </c>
      <c r="Y617" s="2" t="n">
        <f aca="false">S617*Settings!$B$3/SUM(S617:X617)</f>
        <v>73.0647709320695</v>
      </c>
      <c r="Z617" s="2" t="n">
        <f aca="false">T617*Settings!$B$3/SUM(S617:X617)</f>
        <v>95.9715639810427</v>
      </c>
      <c r="AA617" s="2" t="n">
        <f aca="false">U617*Settings!$B$3/SUM(S617:X617)</f>
        <v>73.0647709320695</v>
      </c>
      <c r="AB617" s="2" t="n">
        <f aca="false">V617*Settings!$B$3/SUM(S617:X617)</f>
        <v>65.955766192733</v>
      </c>
      <c r="AC617" s="2" t="n">
        <f aca="false">W617*Settings!$B$3/SUM(S617:X617)</f>
        <v>81.3586097946288</v>
      </c>
      <c r="AD617" s="2" t="n">
        <f aca="false">X617*Settings!$B$3/SUM(S617:X617)</f>
        <v>110.584518167457</v>
      </c>
      <c r="AE617" s="2" t="n">
        <f aca="false">INT(Y617)</f>
        <v>73</v>
      </c>
      <c r="AF617" s="2" t="n">
        <f aca="false">INT(Z617)</f>
        <v>95</v>
      </c>
      <c r="AG617" s="2" t="n">
        <f aca="false">INT(AA617)</f>
        <v>73</v>
      </c>
      <c r="AH617" s="2" t="n">
        <f aca="false">INT(AB617)</f>
        <v>65</v>
      </c>
      <c r="AI617" s="2" t="n">
        <f aca="false">INT(AC617)</f>
        <v>81</v>
      </c>
      <c r="AJ617" s="2" t="n">
        <f aca="false">INT(AD617)</f>
        <v>110</v>
      </c>
      <c r="AK617" s="2" t="n">
        <f aca="false">Settings!$B$3-SUM(AE617:AJ617)</f>
        <v>3</v>
      </c>
      <c r="AL617" s="2" t="n">
        <f aca="false">ROUND(Y617-AE617,9)</f>
        <v>0.064770932</v>
      </c>
      <c r="AM617" s="2" t="n">
        <f aca="false">ROUND(Z617-AF617,9)</f>
        <v>0.971563981</v>
      </c>
      <c r="AN617" s="2" t="n">
        <f aca="false">ROUND(AA617-AG617,9)</f>
        <v>0.064770932</v>
      </c>
      <c r="AO617" s="2" t="n">
        <f aca="false">ROUND(AB617-AH617,9)</f>
        <v>0.955766193</v>
      </c>
      <c r="AP617" s="2" t="n">
        <f aca="false">ROUND(AC617-AI617,9)</f>
        <v>0.358609795</v>
      </c>
      <c r="AQ617" s="2" t="n">
        <f aca="false">ROUND(AD617-AJ617,9)</f>
        <v>0.584518167</v>
      </c>
    </row>
    <row r="618" customFormat="false" ht="15" hidden="false" customHeight="false" outlineLevel="0" collapsed="false">
      <c r="A618" s="2" t="n">
        <v>617</v>
      </c>
      <c r="B618" s="6" t="n">
        <v>14</v>
      </c>
      <c r="C618" s="6" t="n">
        <v>46</v>
      </c>
      <c r="D618" s="8" t="str">
        <f aca="false">INDEX(Bases!$B$2:$B$53,B618)</f>
        <v>Celebi</v>
      </c>
      <c r="E618" s="8" t="str">
        <f aca="false">INDEX(Bases!$B$2:$B$53,C618)</f>
        <v>Houndour</v>
      </c>
      <c r="F618" s="2" t="str">
        <f aca="false">LEFT(D618,ROUNDUP(LEN(D618)/2,0))&amp;LOWER(MID(E618,ROUNDUP(LEN(E618)/2,0)+1,20))</f>
        <v>Celdour</v>
      </c>
      <c r="G618" s="8" t="str">
        <f aca="false">INDEX(Bases!$C$2:$C$53,B618)</f>
        <v>Grass</v>
      </c>
      <c r="H618" s="8" t="str">
        <f aca="false">IF(INDEX(Bases!$C$2:$C$53,C618)=G618,"",INDEX(Bases!$C$2:$C$53,C618))</f>
        <v>Dark</v>
      </c>
      <c r="I618" s="8" t="str">
        <f aca="false">IF(INDEX(Bases!$E$2:$E$53,B618)="","",INDEX(Bases!$E$2:$E$53,B618))</f>
        <v/>
      </c>
      <c r="J618" s="8" t="str">
        <f aca="false">IF(INDEX(Bases!$E$2:$E$53,C618)="","",INDEX(Bases!$E$2:$E$53,C618))</f>
        <v/>
      </c>
      <c r="K618" s="5"/>
      <c r="L618" s="2" t="n">
        <f aca="false">AE618+IF(SUMPRODUCT(--($AL618:$AQ618&gt;AL618))&lt;$AK618,1,0)</f>
        <v>75</v>
      </c>
      <c r="M618" s="2" t="n">
        <f aca="false">AF618+IF(SUMPRODUCT(--($AL618:$AQ618&gt;AM618))+SUMPRODUCT(--($AL618:AL618=AM618))&lt;$AK618,1,0)</f>
        <v>85</v>
      </c>
      <c r="N618" s="2" t="n">
        <f aca="false">AG618+IF(SUMPRODUCT(--($AL618:$AQ618&gt;AN618))+SUMPRODUCT(--($AL618:AM618=AN618))&lt;$AK618,1,0)</f>
        <v>68</v>
      </c>
      <c r="O618" s="2" t="n">
        <f aca="false">AH618+IF(SUMPRODUCT(--($AL618:$AQ618&gt;AO618))+SUMPRODUCT(--($AL618:AN618=AO618))&lt;$AK618,1,0)</f>
        <v>105</v>
      </c>
      <c r="P618" s="2" t="n">
        <f aca="false">AI618+IF(SUMPRODUCT(--($AL618:$AQ618&gt;AP618))+SUMPRODUCT(--($AL618:AO618=AP618))&lt;$AK618,1,0)</f>
        <v>77</v>
      </c>
      <c r="Q618" s="2" t="n">
        <f aca="false">AJ618+IF(SUMPRODUCT(--($AL618:$AQ618&gt;AQ618))+SUMPRODUCT(--($AL618:AP618=AQ618))&lt;$AK618,1,0)</f>
        <v>90</v>
      </c>
      <c r="R618" s="2" t="n">
        <f aca="false">SUM(L618:Q618)</f>
        <v>500</v>
      </c>
      <c r="S618" s="2" t="n">
        <f aca="false">Settings!$B$4*MAX(INDEX(Bases!$M$2:$M$53,B618),INDEX(Bases!$M$2:$M$53,C618))+Settings!$B$5*MIN(INDEX(Bases!$M$2:$M$53,B618),INDEX(Bases!$M$2:$M$53,C618))</f>
        <v>62.6666666666667</v>
      </c>
      <c r="T618" s="2" t="n">
        <f aca="false">Settings!$B$4*MAX(INDEX(Bases!$N$2:$N$53,B618),INDEX(Bases!$N$2:$N$53,C618))+Settings!$B$5*MIN(INDEX(Bases!$N$2:$N$53,B618),INDEX(Bases!$N$2:$N$53,C618))</f>
        <v>71</v>
      </c>
      <c r="U618" s="2" t="n">
        <f aca="false">Settings!$B$4*MAX(INDEX(Bases!$O$2:$O$53,B618),INDEX(Bases!$O$2:$O$53,C618))+Settings!$B$5*MIN(INDEX(Bases!$O$2:$O$53,B618),INDEX(Bases!$O$2:$O$53,C618))</f>
        <v>56.6666666666667</v>
      </c>
      <c r="V618" s="2" t="n">
        <f aca="false">Settings!$B$4*MAX(INDEX(Bases!$P$2:$P$53,B618),INDEX(Bases!$P$2:$P$53,C618))+Settings!$B$5*MIN(INDEX(Bases!$P$2:$P$53,B618),INDEX(Bases!$P$2:$P$53,C618))</f>
        <v>87</v>
      </c>
      <c r="W618" s="2" t="n">
        <f aca="false">Settings!$B$4*MAX(INDEX(Bases!$Q$2:$Q$53,B618),INDEX(Bases!$Q$2:$Q$53,C618))+Settings!$B$5*MIN(INDEX(Bases!$Q$2:$Q$53,B618),INDEX(Bases!$Q$2:$Q$53,C618))</f>
        <v>64.3333333333333</v>
      </c>
      <c r="X618" s="2" t="n">
        <f aca="false">Settings!$B$4*MAX(INDEX(Bases!$R$2:$R$53,B618),INDEX(Bases!$R$2:$R$53,C618))+Settings!$B$5*MIN(INDEX(Bases!$R$2:$R$53,B618),INDEX(Bases!$R$2:$R$53,C618))</f>
        <v>74.6666666666667</v>
      </c>
      <c r="Y618" s="2" t="n">
        <f aca="false">S618*Settings!$B$3/SUM(S618:X618)</f>
        <v>75.2602081665332</v>
      </c>
      <c r="Z618" s="2" t="n">
        <f aca="false">T618*Settings!$B$3/SUM(S618:X618)</f>
        <v>85.2682145716573</v>
      </c>
      <c r="AA618" s="2" t="n">
        <f aca="false">U618*Settings!$B$3/SUM(S618:X618)</f>
        <v>68.0544435548439</v>
      </c>
      <c r="AB618" s="2" t="n">
        <f aca="false">V618*Settings!$B$3/SUM(S618:X618)</f>
        <v>104.483586869496</v>
      </c>
      <c r="AC618" s="2" t="n">
        <f aca="false">W618*Settings!$B$3/SUM(S618:X618)</f>
        <v>77.2618094475581</v>
      </c>
      <c r="AD618" s="2" t="n">
        <f aca="false">X618*Settings!$B$3/SUM(S618:X618)</f>
        <v>89.6717373899119</v>
      </c>
      <c r="AE618" s="2" t="n">
        <f aca="false">INT(Y618)</f>
        <v>75</v>
      </c>
      <c r="AF618" s="2" t="n">
        <f aca="false">INT(Z618)</f>
        <v>85</v>
      </c>
      <c r="AG618" s="2" t="n">
        <f aca="false">INT(AA618)</f>
        <v>68</v>
      </c>
      <c r="AH618" s="2" t="n">
        <f aca="false">INT(AB618)</f>
        <v>104</v>
      </c>
      <c r="AI618" s="2" t="n">
        <f aca="false">INT(AC618)</f>
        <v>77</v>
      </c>
      <c r="AJ618" s="2" t="n">
        <f aca="false">INT(AD618)</f>
        <v>89</v>
      </c>
      <c r="AK618" s="2" t="n">
        <f aca="false">Settings!$B$3-SUM(AE618:AJ618)</f>
        <v>2</v>
      </c>
      <c r="AL618" s="2" t="n">
        <f aca="false">ROUND(Y618-AE618,9)</f>
        <v>0.260208167</v>
      </c>
      <c r="AM618" s="2" t="n">
        <f aca="false">ROUND(Z618-AF618,9)</f>
        <v>0.268214572</v>
      </c>
      <c r="AN618" s="2" t="n">
        <f aca="false">ROUND(AA618-AG618,9)</f>
        <v>0.054443555</v>
      </c>
      <c r="AO618" s="2" t="n">
        <f aca="false">ROUND(AB618-AH618,9)</f>
        <v>0.483586869</v>
      </c>
      <c r="AP618" s="2" t="n">
        <f aca="false">ROUND(AC618-AI618,9)</f>
        <v>0.261809448</v>
      </c>
      <c r="AQ618" s="2" t="n">
        <f aca="false">ROUND(AD618-AJ618,9)</f>
        <v>0.67173739</v>
      </c>
    </row>
    <row r="619" customFormat="false" ht="15" hidden="false" customHeight="false" outlineLevel="0" collapsed="false">
      <c r="A619" s="2" t="n">
        <v>618</v>
      </c>
      <c r="B619" s="6" t="n">
        <v>14</v>
      </c>
      <c r="C619" s="6" t="n">
        <v>47</v>
      </c>
      <c r="D619" s="8" t="str">
        <f aca="false">INDEX(Bases!$B$2:$B$53,B619)</f>
        <v>Celebi</v>
      </c>
      <c r="E619" s="8" t="str">
        <f aca="false">INDEX(Bases!$B$2:$B$53,C619)</f>
        <v>Carvanha</v>
      </c>
      <c r="F619" s="2" t="str">
        <f aca="false">LEFT(D619,ROUNDUP(LEN(D619)/2,0))&amp;LOWER(MID(E619,ROUNDUP(LEN(E619)/2,0)+1,20))</f>
        <v>Celanha</v>
      </c>
      <c r="G619" s="8" t="str">
        <f aca="false">INDEX(Bases!$C$2:$C$53,B619)</f>
        <v>Grass</v>
      </c>
      <c r="H619" s="8" t="str">
        <f aca="false">IF(INDEX(Bases!$C$2:$C$53,C619)=G619,"",INDEX(Bases!$C$2:$C$53,C619))</f>
        <v>Dark</v>
      </c>
      <c r="I619" s="8" t="str">
        <f aca="false">IF(INDEX(Bases!$E$2:$E$53,B619)="","",INDEX(Bases!$E$2:$E$53,B619))</f>
        <v/>
      </c>
      <c r="J619" s="8" t="str">
        <f aca="false">IF(INDEX(Bases!$E$2:$E$53,C619)="","",INDEX(Bases!$E$2:$E$53,C619))</f>
        <v/>
      </c>
      <c r="K619" s="5"/>
      <c r="L619" s="2" t="n">
        <f aca="false">AE619+IF(SUMPRODUCT(--($AL619:$AQ619&gt;AL619))&lt;$AK619,1,0)</f>
        <v>75</v>
      </c>
      <c r="M619" s="2" t="n">
        <f aca="false">AF619+IF(SUMPRODUCT(--($AL619:$AQ619&gt;AM619))+SUMPRODUCT(--($AL619:AL619=AM619))&lt;$AK619,1,0)</f>
        <v>117</v>
      </c>
      <c r="N619" s="2" t="n">
        <f aca="false">AG619+IF(SUMPRODUCT(--($AL619:$AQ619&gt;AN619))+SUMPRODUCT(--($AL619:AM619=AN619))&lt;$AK619,1,0)</f>
        <v>62</v>
      </c>
      <c r="O619" s="2" t="n">
        <f aca="false">AH619+IF(SUMPRODUCT(--($AL619:$AQ619&gt;AO619))+SUMPRODUCT(--($AL619:AN619=AO619))&lt;$AK619,1,0)</f>
        <v>93</v>
      </c>
      <c r="P619" s="2" t="n">
        <f aca="false">AI619+IF(SUMPRODUCT(--($AL619:$AQ619&gt;AP619))+SUMPRODUCT(--($AL619:AO619=AP619))&lt;$AK619,1,0)</f>
        <v>61</v>
      </c>
      <c r="Q619" s="2" t="n">
        <f aca="false">AJ619+IF(SUMPRODUCT(--($AL619:$AQ619&gt;AQ619))+SUMPRODUCT(--($AL619:AP619=AQ619))&lt;$AK619,1,0)</f>
        <v>92</v>
      </c>
      <c r="R619" s="2" t="n">
        <f aca="false">SUM(L619:Q619)</f>
        <v>500</v>
      </c>
      <c r="S619" s="2" t="n">
        <f aca="false">Settings!$B$4*MAX(INDEX(Bases!$M$2:$M$53,B619),INDEX(Bases!$M$2:$M$53,C619))+Settings!$B$5*MIN(INDEX(Bases!$M$2:$M$53,B619),INDEX(Bases!$M$2:$M$53,C619))</f>
        <v>64.3333333333333</v>
      </c>
      <c r="T619" s="2" t="n">
        <f aca="false">Settings!$B$4*MAX(INDEX(Bases!$N$2:$N$53,B619),INDEX(Bases!$N$2:$N$53,C619))+Settings!$B$5*MIN(INDEX(Bases!$N$2:$N$53,B619),INDEX(Bases!$N$2:$N$53,C619))</f>
        <v>101</v>
      </c>
      <c r="U619" s="2" t="n">
        <f aca="false">Settings!$B$4*MAX(INDEX(Bases!$O$2:$O$53,B619),INDEX(Bases!$O$2:$O$53,C619))+Settings!$B$5*MIN(INDEX(Bases!$O$2:$O$53,B619),INDEX(Bases!$O$2:$O$53,C619))</f>
        <v>53.3333333333333</v>
      </c>
      <c r="V619" s="2" t="n">
        <f aca="false">Settings!$B$4*MAX(INDEX(Bases!$P$2:$P$53,B619),INDEX(Bases!$P$2:$P$53,C619))+Settings!$B$5*MIN(INDEX(Bases!$P$2:$P$53,B619),INDEX(Bases!$P$2:$P$53,C619))</f>
        <v>79.6666666666667</v>
      </c>
      <c r="W619" s="2" t="n">
        <f aca="false">Settings!$B$4*MAX(INDEX(Bases!$Q$2:$Q$53,B619),INDEX(Bases!$Q$2:$Q$53,C619))+Settings!$B$5*MIN(INDEX(Bases!$Q$2:$Q$53,B619),INDEX(Bases!$Q$2:$Q$53,C619))</f>
        <v>52.6666666666667</v>
      </c>
      <c r="X619" s="2" t="n">
        <f aca="false">Settings!$B$4*MAX(INDEX(Bases!$R$2:$R$53,B619),INDEX(Bases!$R$2:$R$53,C619))+Settings!$B$5*MIN(INDEX(Bases!$R$2:$R$53,B619),INDEX(Bases!$R$2:$R$53,C619))</f>
        <v>78.6666666666667</v>
      </c>
      <c r="Y619" s="2" t="n">
        <f aca="false">S619*Settings!$B$3/SUM(S619:X619)</f>
        <v>74.8642358417378</v>
      </c>
      <c r="Z619" s="2" t="n">
        <f aca="false">T619*Settings!$B$3/SUM(S619:X619)</f>
        <v>117.532971295578</v>
      </c>
      <c r="AA619" s="2" t="n">
        <f aca="false">U619*Settings!$B$3/SUM(S619:X619)</f>
        <v>62.0636152055857</v>
      </c>
      <c r="AB619" s="2" t="n">
        <f aca="false">V619*Settings!$B$3/SUM(S619:X619)</f>
        <v>92.7075252133437</v>
      </c>
      <c r="AC619" s="2" t="n">
        <f aca="false">W619*Settings!$B$3/SUM(S619:X619)</f>
        <v>61.2878200155159</v>
      </c>
      <c r="AD619" s="2" t="n">
        <f aca="false">X619*Settings!$B$3/SUM(S619:X619)</f>
        <v>91.5438324282389</v>
      </c>
      <c r="AE619" s="2" t="n">
        <f aca="false">INT(Y619)</f>
        <v>74</v>
      </c>
      <c r="AF619" s="2" t="n">
        <f aca="false">INT(Z619)</f>
        <v>117</v>
      </c>
      <c r="AG619" s="2" t="n">
        <f aca="false">INT(AA619)</f>
        <v>62</v>
      </c>
      <c r="AH619" s="2" t="n">
        <f aca="false">INT(AB619)</f>
        <v>92</v>
      </c>
      <c r="AI619" s="2" t="n">
        <f aca="false">INT(AC619)</f>
        <v>61</v>
      </c>
      <c r="AJ619" s="2" t="n">
        <f aca="false">INT(AD619)</f>
        <v>91</v>
      </c>
      <c r="AK619" s="2" t="n">
        <f aca="false">Settings!$B$3-SUM(AE619:AJ619)</f>
        <v>3</v>
      </c>
      <c r="AL619" s="2" t="n">
        <f aca="false">ROUND(Y619-AE619,9)</f>
        <v>0.864235842</v>
      </c>
      <c r="AM619" s="2" t="n">
        <f aca="false">ROUND(Z619-AF619,9)</f>
        <v>0.532971296</v>
      </c>
      <c r="AN619" s="2" t="n">
        <f aca="false">ROUND(AA619-AG619,9)</f>
        <v>0.063615206</v>
      </c>
      <c r="AO619" s="2" t="n">
        <f aca="false">ROUND(AB619-AH619,9)</f>
        <v>0.707525213</v>
      </c>
      <c r="AP619" s="2" t="n">
        <f aca="false">ROUND(AC619-AI619,9)</f>
        <v>0.287820016</v>
      </c>
      <c r="AQ619" s="2" t="n">
        <f aca="false">ROUND(AD619-AJ619,9)</f>
        <v>0.543832428</v>
      </c>
    </row>
    <row r="620" customFormat="false" ht="15" hidden="false" customHeight="false" outlineLevel="0" collapsed="false">
      <c r="A620" s="2" t="n">
        <v>619</v>
      </c>
      <c r="B620" s="6" t="n">
        <v>14</v>
      </c>
      <c r="C620" s="6" t="n">
        <v>48</v>
      </c>
      <c r="D620" s="8" t="str">
        <f aca="false">INDEX(Bases!$B$2:$B$53,B620)</f>
        <v>Celebi</v>
      </c>
      <c r="E620" s="8" t="str">
        <f aca="false">INDEX(Bases!$B$2:$B$53,C620)</f>
        <v>Magnemite</v>
      </c>
      <c r="F620" s="2" t="str">
        <f aca="false">LEFT(D620,ROUNDUP(LEN(D620)/2,0))&amp;LOWER(MID(E620,ROUNDUP(LEN(E620)/2,0)+1,20))</f>
        <v>Celmite</v>
      </c>
      <c r="G620" s="8" t="str">
        <f aca="false">INDEX(Bases!$C$2:$C$53,B620)</f>
        <v>Grass</v>
      </c>
      <c r="H620" s="8" t="str">
        <f aca="false">IF(INDEX(Bases!$C$2:$C$53,C620)=G620,"",INDEX(Bases!$C$2:$C$53,C620))</f>
        <v>Steel</v>
      </c>
      <c r="I620" s="8" t="str">
        <f aca="false">IF(INDEX(Bases!$E$2:$E$53,B620)="","",INDEX(Bases!$E$2:$E$53,B620))</f>
        <v/>
      </c>
      <c r="J620" s="8" t="str">
        <f aca="false">IF(INDEX(Bases!$E$2:$E$53,C620)="","",INDEX(Bases!$E$2:$E$53,C620))</f>
        <v/>
      </c>
      <c r="K620" s="5"/>
      <c r="L620" s="2" t="n">
        <f aca="false">AE620+IF(SUMPRODUCT(--($AL620:$AQ620&gt;AL620))&lt;$AK620,1,0)</f>
        <v>65</v>
      </c>
      <c r="M620" s="2" t="n">
        <f aca="false">AF620+IF(SUMPRODUCT(--($AL620:$AQ620&gt;AM620))+SUMPRODUCT(--($AL620:AL620=AM620))&lt;$AK620,1,0)</f>
        <v>70</v>
      </c>
      <c r="N620" s="2" t="n">
        <f aca="false">AG620+IF(SUMPRODUCT(--($AL620:$AQ620&gt;AN620))+SUMPRODUCT(--($AL620:AM620=AN620))&lt;$AK620,1,0)</f>
        <v>94</v>
      </c>
      <c r="O620" s="2" t="n">
        <f aca="false">AH620+IF(SUMPRODUCT(--($AL620:$AQ620&gt;AO620))+SUMPRODUCT(--($AL620:AN620=AO620))&lt;$AK620,1,0)</f>
        <v>118</v>
      </c>
      <c r="P620" s="2" t="n">
        <f aca="false">AI620+IF(SUMPRODUCT(--($AL620:$AQ620&gt;AP620))+SUMPRODUCT(--($AL620:AO620=AP620))&lt;$AK620,1,0)</f>
        <v>79</v>
      </c>
      <c r="Q620" s="2" t="n">
        <f aca="false">AJ620+IF(SUMPRODUCT(--($AL620:$AQ620&gt;AQ620))+SUMPRODUCT(--($AL620:AP620=AQ620))&lt;$AK620,1,0)</f>
        <v>74</v>
      </c>
      <c r="R620" s="2" t="n">
        <f aca="false">SUM(L620:Q620)</f>
        <v>500</v>
      </c>
      <c r="S620" s="2" t="n">
        <f aca="false">Settings!$B$4*MAX(INDEX(Bases!$M$2:$M$53,B620),INDEX(Bases!$M$2:$M$53,C620))+Settings!$B$5*MIN(INDEX(Bases!$M$2:$M$53,B620),INDEX(Bases!$M$2:$M$53,C620))</f>
        <v>55</v>
      </c>
      <c r="T620" s="2" t="n">
        <f aca="false">Settings!$B$4*MAX(INDEX(Bases!$N$2:$N$53,B620),INDEX(Bases!$N$2:$N$53,C620))+Settings!$B$5*MIN(INDEX(Bases!$N$2:$N$53,B620),INDEX(Bases!$N$2:$N$53,C620))</f>
        <v>59</v>
      </c>
      <c r="U620" s="2" t="n">
        <f aca="false">Settings!$B$4*MAX(INDEX(Bases!$O$2:$O$53,B620),INDEX(Bases!$O$2:$O$53,C620))+Settings!$B$5*MIN(INDEX(Bases!$O$2:$O$53,B620),INDEX(Bases!$O$2:$O$53,C620))</f>
        <v>79.6666666666667</v>
      </c>
      <c r="V620" s="2" t="n">
        <f aca="false">Settings!$B$4*MAX(INDEX(Bases!$P$2:$P$53,B620),INDEX(Bases!$P$2:$P$53,C620))+Settings!$B$5*MIN(INDEX(Bases!$P$2:$P$53,B620),INDEX(Bases!$P$2:$P$53,C620))</f>
        <v>100.333333333333</v>
      </c>
      <c r="W620" s="2" t="n">
        <f aca="false">Settings!$B$4*MAX(INDEX(Bases!$Q$2:$Q$53,B620),INDEX(Bases!$Q$2:$Q$53,C620))+Settings!$B$5*MIN(INDEX(Bases!$Q$2:$Q$53,B620),INDEX(Bases!$Q$2:$Q$53,C620))</f>
        <v>67.3333333333333</v>
      </c>
      <c r="X620" s="2" t="n">
        <f aca="false">Settings!$B$4*MAX(INDEX(Bases!$R$2:$R$53,B620),INDEX(Bases!$R$2:$R$53,C620))+Settings!$B$5*MIN(INDEX(Bases!$R$2:$R$53,B620),INDEX(Bases!$R$2:$R$53,C620))</f>
        <v>62.3333333333333</v>
      </c>
      <c r="Y620" s="2" t="n">
        <f aca="false">S620*Settings!$B$3/SUM(S620:X620)</f>
        <v>64.9095200629426</v>
      </c>
      <c r="Z620" s="2" t="n">
        <f aca="false">T620*Settings!$B$3/SUM(S620:X620)</f>
        <v>69.6302124311566</v>
      </c>
      <c r="AA620" s="2" t="n">
        <f aca="false">U620*Settings!$B$3/SUM(S620:X620)</f>
        <v>94.0204563335956</v>
      </c>
      <c r="AB620" s="2" t="n">
        <f aca="false">V620*Settings!$B$3/SUM(S620:X620)</f>
        <v>118.410700236035</v>
      </c>
      <c r="AC620" s="2" t="n">
        <f aca="false">W620*Settings!$B$3/SUM(S620:X620)</f>
        <v>79.4649881982691</v>
      </c>
      <c r="AD620" s="2" t="n">
        <f aca="false">X620*Settings!$B$3/SUM(S620:X620)</f>
        <v>73.5641227380016</v>
      </c>
      <c r="AE620" s="2" t="n">
        <f aca="false">INT(Y620)</f>
        <v>64</v>
      </c>
      <c r="AF620" s="2" t="n">
        <f aca="false">INT(Z620)</f>
        <v>69</v>
      </c>
      <c r="AG620" s="2" t="n">
        <f aca="false">INT(AA620)</f>
        <v>94</v>
      </c>
      <c r="AH620" s="2" t="n">
        <f aca="false">INT(AB620)</f>
        <v>118</v>
      </c>
      <c r="AI620" s="2" t="n">
        <f aca="false">INT(AC620)</f>
        <v>79</v>
      </c>
      <c r="AJ620" s="2" t="n">
        <f aca="false">INT(AD620)</f>
        <v>73</v>
      </c>
      <c r="AK620" s="2" t="n">
        <f aca="false">Settings!$B$3-SUM(AE620:AJ620)</f>
        <v>3</v>
      </c>
      <c r="AL620" s="2" t="n">
        <f aca="false">ROUND(Y620-AE620,9)</f>
        <v>0.909520063</v>
      </c>
      <c r="AM620" s="2" t="n">
        <f aca="false">ROUND(Z620-AF620,9)</f>
        <v>0.630212431</v>
      </c>
      <c r="AN620" s="2" t="n">
        <f aca="false">ROUND(AA620-AG620,9)</f>
        <v>0.020456334</v>
      </c>
      <c r="AO620" s="2" t="n">
        <f aca="false">ROUND(AB620-AH620,9)</f>
        <v>0.410700236</v>
      </c>
      <c r="AP620" s="2" t="n">
        <f aca="false">ROUND(AC620-AI620,9)</f>
        <v>0.464988198</v>
      </c>
      <c r="AQ620" s="2" t="n">
        <f aca="false">ROUND(AD620-AJ620,9)</f>
        <v>0.564122738</v>
      </c>
    </row>
    <row r="621" customFormat="false" ht="15" hidden="false" customHeight="false" outlineLevel="0" collapsed="false">
      <c r="A621" s="2" t="n">
        <v>620</v>
      </c>
      <c r="B621" s="6" t="n">
        <v>14</v>
      </c>
      <c r="C621" s="6" t="n">
        <v>49</v>
      </c>
      <c r="D621" s="8" t="str">
        <f aca="false">INDEX(Bases!$B$2:$B$53,B621)</f>
        <v>Celebi</v>
      </c>
      <c r="E621" s="8" t="str">
        <f aca="false">INDEX(Bases!$B$2:$B$53,C621)</f>
        <v>Aron</v>
      </c>
      <c r="F621" s="2" t="str">
        <f aca="false">LEFT(D621,ROUNDUP(LEN(D621)/2,0))&amp;LOWER(MID(E621,ROUNDUP(LEN(E621)/2,0)+1,20))</f>
        <v>Celon</v>
      </c>
      <c r="G621" s="8" t="str">
        <f aca="false">INDEX(Bases!$C$2:$C$53,B621)</f>
        <v>Grass</v>
      </c>
      <c r="H621" s="8" t="str">
        <f aca="false">IF(INDEX(Bases!$C$2:$C$53,C621)=G621,"",INDEX(Bases!$C$2:$C$53,C621))</f>
        <v>Steel</v>
      </c>
      <c r="I621" s="8" t="str">
        <f aca="false">IF(INDEX(Bases!$E$2:$E$53,B621)="","",INDEX(Bases!$E$2:$E$53,B621))</f>
        <v/>
      </c>
      <c r="J621" s="8" t="str">
        <f aca="false">IF(INDEX(Bases!$E$2:$E$53,C621)="","",INDEX(Bases!$E$2:$E$53,C621))</f>
        <v/>
      </c>
      <c r="K621" s="5"/>
      <c r="L621" s="2" t="n">
        <f aca="false">AE621+IF(SUMPRODUCT(--($AL621:$AQ621&gt;AL621))&lt;$AK621,1,0)</f>
        <v>77</v>
      </c>
      <c r="M621" s="2" t="n">
        <f aca="false">AF621+IF(SUMPRODUCT(--($AL621:$AQ621&gt;AM621))+SUMPRODUCT(--($AL621:AL621=AM621))&lt;$AK621,1,0)</f>
        <v>93</v>
      </c>
      <c r="N621" s="2" t="n">
        <f aca="false">AG621+IF(SUMPRODUCT(--($AL621:$AQ621&gt;AN621))+SUMPRODUCT(--($AL621:AM621=AN621))&lt;$AK621,1,0)</f>
        <v>121</v>
      </c>
      <c r="O621" s="2" t="n">
        <f aca="false">AH621+IF(SUMPRODUCT(--($AL621:$AQ621&gt;AO621))+SUMPRODUCT(--($AL621:AN621=AO621))&lt;$AK621,1,0)</f>
        <v>72</v>
      </c>
      <c r="P621" s="2" t="n">
        <f aca="false">AI621+IF(SUMPRODUCT(--($AL621:$AQ621&gt;AP621))+SUMPRODUCT(--($AL621:AO621=AP621))&lt;$AK621,1,0)</f>
        <v>71</v>
      </c>
      <c r="Q621" s="2" t="n">
        <f aca="false">AJ621+IF(SUMPRODUCT(--($AL621:$AQ621&gt;AQ621))+SUMPRODUCT(--($AL621:AP621=AQ621))&lt;$AK621,1,0)</f>
        <v>66</v>
      </c>
      <c r="R621" s="2" t="n">
        <f aca="false">SUM(L621:Q621)</f>
        <v>500</v>
      </c>
      <c r="S621" s="2" t="n">
        <f aca="false">Settings!$B$4*MAX(INDEX(Bases!$M$2:$M$53,B621),INDEX(Bases!$M$2:$M$53,C621))+Settings!$B$5*MIN(INDEX(Bases!$M$2:$M$53,B621),INDEX(Bases!$M$2:$M$53,C621))</f>
        <v>65</v>
      </c>
      <c r="T621" s="2" t="n">
        <f aca="false">Settings!$B$4*MAX(INDEX(Bases!$N$2:$N$53,B621),INDEX(Bases!$N$2:$N$53,C621))+Settings!$B$5*MIN(INDEX(Bases!$N$2:$N$53,B621),INDEX(Bases!$N$2:$N$53,C621))</f>
        <v>79</v>
      </c>
      <c r="U621" s="2" t="n">
        <f aca="false">Settings!$B$4*MAX(INDEX(Bases!$O$2:$O$53,B621),INDEX(Bases!$O$2:$O$53,C621))+Settings!$B$5*MIN(INDEX(Bases!$O$2:$O$53,B621),INDEX(Bases!$O$2:$O$53,C621))</f>
        <v>103</v>
      </c>
      <c r="V621" s="2" t="n">
        <f aca="false">Settings!$B$4*MAX(INDEX(Bases!$P$2:$P$53,B621),INDEX(Bases!$P$2:$P$53,C621))+Settings!$B$5*MIN(INDEX(Bases!$P$2:$P$53,B621),INDEX(Bases!$P$2:$P$53,C621))</f>
        <v>61</v>
      </c>
      <c r="W621" s="2" t="n">
        <f aca="false">Settings!$B$4*MAX(INDEX(Bases!$Q$2:$Q$53,B621),INDEX(Bases!$Q$2:$Q$53,C621))+Settings!$B$5*MIN(INDEX(Bases!$Q$2:$Q$53,B621),INDEX(Bases!$Q$2:$Q$53,C621))</f>
        <v>60</v>
      </c>
      <c r="X621" s="2" t="n">
        <f aca="false">Settings!$B$4*MAX(INDEX(Bases!$R$2:$R$53,B621),INDEX(Bases!$R$2:$R$53,C621))+Settings!$B$5*MIN(INDEX(Bases!$R$2:$R$53,B621),INDEX(Bases!$R$2:$R$53,C621))</f>
        <v>56</v>
      </c>
      <c r="Y621" s="2" t="n">
        <f aca="false">S621*Settings!$B$3/SUM(S621:X621)</f>
        <v>76.6509433962264</v>
      </c>
      <c r="Z621" s="2" t="n">
        <f aca="false">T621*Settings!$B$3/SUM(S621:X621)</f>
        <v>93.1603773584906</v>
      </c>
      <c r="AA621" s="2" t="n">
        <f aca="false">U621*Settings!$B$3/SUM(S621:X621)</f>
        <v>121.462264150943</v>
      </c>
      <c r="AB621" s="2" t="n">
        <f aca="false">V621*Settings!$B$3/SUM(S621:X621)</f>
        <v>71.933962264151</v>
      </c>
      <c r="AC621" s="2" t="n">
        <f aca="false">W621*Settings!$B$3/SUM(S621:X621)</f>
        <v>70.7547169811321</v>
      </c>
      <c r="AD621" s="2" t="n">
        <f aca="false">X621*Settings!$B$3/SUM(S621:X621)</f>
        <v>66.0377358490566</v>
      </c>
      <c r="AE621" s="2" t="n">
        <f aca="false">INT(Y621)</f>
        <v>76</v>
      </c>
      <c r="AF621" s="2" t="n">
        <f aca="false">INT(Z621)</f>
        <v>93</v>
      </c>
      <c r="AG621" s="2" t="n">
        <f aca="false">INT(AA621)</f>
        <v>121</v>
      </c>
      <c r="AH621" s="2" t="n">
        <f aca="false">INT(AB621)</f>
        <v>71</v>
      </c>
      <c r="AI621" s="2" t="n">
        <f aca="false">INT(AC621)</f>
        <v>70</v>
      </c>
      <c r="AJ621" s="2" t="n">
        <f aca="false">INT(AD621)</f>
        <v>66</v>
      </c>
      <c r="AK621" s="2" t="n">
        <f aca="false">Settings!$B$3-SUM(AE621:AJ621)</f>
        <v>3</v>
      </c>
      <c r="AL621" s="2" t="n">
        <f aca="false">ROUND(Y621-AE621,9)</f>
        <v>0.650943396</v>
      </c>
      <c r="AM621" s="2" t="n">
        <f aca="false">ROUND(Z621-AF621,9)</f>
        <v>0.160377358</v>
      </c>
      <c r="AN621" s="2" t="n">
        <f aca="false">ROUND(AA621-AG621,9)</f>
        <v>0.462264151</v>
      </c>
      <c r="AO621" s="2" t="n">
        <f aca="false">ROUND(AB621-AH621,9)</f>
        <v>0.933962264</v>
      </c>
      <c r="AP621" s="2" t="n">
        <f aca="false">ROUND(AC621-AI621,9)</f>
        <v>0.754716981</v>
      </c>
      <c r="AQ621" s="2" t="n">
        <f aca="false">ROUND(AD621-AJ621,9)</f>
        <v>0.037735849</v>
      </c>
    </row>
    <row r="622" customFormat="false" ht="15" hidden="false" customHeight="false" outlineLevel="0" collapsed="false">
      <c r="A622" s="2" t="n">
        <v>621</v>
      </c>
      <c r="B622" s="6" t="n">
        <v>14</v>
      </c>
      <c r="C622" s="6" t="n">
        <v>50</v>
      </c>
      <c r="D622" s="8" t="str">
        <f aca="false">INDEX(Bases!$B$2:$B$53,B622)</f>
        <v>Celebi</v>
      </c>
      <c r="E622" s="8" t="str">
        <f aca="false">INDEX(Bases!$B$2:$B$53,C622)</f>
        <v>Beldum</v>
      </c>
      <c r="F622" s="2" t="str">
        <f aca="false">LEFT(D622,ROUNDUP(LEN(D622)/2,0))&amp;LOWER(MID(E622,ROUNDUP(LEN(E622)/2,0)+1,20))</f>
        <v>Celdum</v>
      </c>
      <c r="G622" s="8" t="str">
        <f aca="false">INDEX(Bases!$C$2:$C$53,B622)</f>
        <v>Grass</v>
      </c>
      <c r="H622" s="8" t="str">
        <f aca="false">IF(INDEX(Bases!$C$2:$C$53,C622)=G622,"",INDEX(Bases!$C$2:$C$53,C622))</f>
        <v>Steel</v>
      </c>
      <c r="I622" s="8" t="str">
        <f aca="false">IF(INDEX(Bases!$E$2:$E$53,B622)="","",INDEX(Bases!$E$2:$E$53,B622))</f>
        <v/>
      </c>
      <c r="J622" s="8" t="str">
        <f aca="false">IF(INDEX(Bases!$E$2:$E$53,C622)="","",INDEX(Bases!$E$2:$E$53,C622))</f>
        <v/>
      </c>
      <c r="K622" s="5"/>
      <c r="L622" s="2" t="n">
        <f aca="false">AE622+IF(SUMPRODUCT(--($AL622:$AQ622&gt;AL622))&lt;$AK622,1,0)</f>
        <v>74</v>
      </c>
      <c r="M622" s="2" t="n">
        <f aca="false">AF622+IF(SUMPRODUCT(--($AL622:$AQ622&gt;AM622))+SUMPRODUCT(--($AL622:AL622=AM622))&lt;$AK622,1,0)</f>
        <v>85</v>
      </c>
      <c r="N622" s="2" t="n">
        <f aca="false">AG622+IF(SUMPRODUCT(--($AL622:$AQ622&gt;AN622))+SUMPRODUCT(--($AL622:AM622=AN622))&lt;$AK622,1,0)</f>
        <v>111</v>
      </c>
      <c r="O622" s="2" t="n">
        <f aca="false">AH622+IF(SUMPRODUCT(--($AL622:$AQ622&gt;AO622))+SUMPRODUCT(--($AL622:AN622=AO622))&lt;$AK622,1,0)</f>
        <v>72</v>
      </c>
      <c r="P622" s="2" t="n">
        <f aca="false">AI622+IF(SUMPRODUCT(--($AL622:$AQ622&gt;AP622))+SUMPRODUCT(--($AL622:AO622=AP622))&lt;$AK622,1,0)</f>
        <v>90</v>
      </c>
      <c r="Q622" s="2" t="n">
        <f aca="false">AJ622+IF(SUMPRODUCT(--($AL622:$AQ622&gt;AQ622))+SUMPRODUCT(--($AL622:AP622=AQ622))&lt;$AK622,1,0)</f>
        <v>68</v>
      </c>
      <c r="R622" s="2" t="n">
        <f aca="false">SUM(L622:Q622)</f>
        <v>500</v>
      </c>
      <c r="S622" s="2" t="n">
        <f aca="false">Settings!$B$4*MAX(INDEX(Bases!$M$2:$M$53,B622),INDEX(Bases!$M$2:$M$53,C622))+Settings!$B$5*MIN(INDEX(Bases!$M$2:$M$53,B622),INDEX(Bases!$M$2:$M$53,C622))</f>
        <v>62.3333333333333</v>
      </c>
      <c r="T622" s="2" t="n">
        <f aca="false">Settings!$B$4*MAX(INDEX(Bases!$N$2:$N$53,B622),INDEX(Bases!$N$2:$N$53,C622))+Settings!$B$5*MIN(INDEX(Bases!$N$2:$N$53,B622),INDEX(Bases!$N$2:$N$53,C622))</f>
        <v>71</v>
      </c>
      <c r="U622" s="2" t="n">
        <f aca="false">Settings!$B$4*MAX(INDEX(Bases!$O$2:$O$53,B622),INDEX(Bases!$O$2:$O$53,C622))+Settings!$B$5*MIN(INDEX(Bases!$O$2:$O$53,B622),INDEX(Bases!$O$2:$O$53,C622))</f>
        <v>93.6666666666667</v>
      </c>
      <c r="V622" s="2" t="n">
        <f aca="false">Settings!$B$4*MAX(INDEX(Bases!$P$2:$P$53,B622),INDEX(Bases!$P$2:$P$53,C622))+Settings!$B$5*MIN(INDEX(Bases!$P$2:$P$53,B622),INDEX(Bases!$P$2:$P$53,C622))</f>
        <v>60.3333333333333</v>
      </c>
      <c r="W622" s="2" t="n">
        <f aca="false">Settings!$B$4*MAX(INDEX(Bases!$Q$2:$Q$53,B622),INDEX(Bases!$Q$2:$Q$53,C622))+Settings!$B$5*MIN(INDEX(Bases!$Q$2:$Q$53,B622),INDEX(Bases!$Q$2:$Q$53,C622))</f>
        <v>75.3333333333333</v>
      </c>
      <c r="X622" s="2" t="n">
        <f aca="false">Settings!$B$4*MAX(INDEX(Bases!$R$2:$R$53,B622),INDEX(Bases!$R$2:$R$53,C622))+Settings!$B$5*MIN(INDEX(Bases!$R$2:$R$53,B622),INDEX(Bases!$R$2:$R$53,C622))</f>
        <v>57.3333333333333</v>
      </c>
      <c r="Y622" s="2" t="n">
        <f aca="false">S622*Settings!$B$3/SUM(S622:X622)</f>
        <v>74.2063492063492</v>
      </c>
      <c r="Z622" s="2" t="n">
        <f aca="false">T622*Settings!$B$3/SUM(S622:X622)</f>
        <v>84.5238095238095</v>
      </c>
      <c r="AA622" s="2" t="n">
        <f aca="false">U622*Settings!$B$3/SUM(S622:X622)</f>
        <v>111.507936507937</v>
      </c>
      <c r="AB622" s="2" t="n">
        <f aca="false">V622*Settings!$B$3/SUM(S622:X622)</f>
        <v>71.8253968253968</v>
      </c>
      <c r="AC622" s="2" t="n">
        <f aca="false">W622*Settings!$B$3/SUM(S622:X622)</f>
        <v>89.6825396825397</v>
      </c>
      <c r="AD622" s="2" t="n">
        <f aca="false">X622*Settings!$B$3/SUM(S622:X622)</f>
        <v>68.2539682539683</v>
      </c>
      <c r="AE622" s="2" t="n">
        <f aca="false">INT(Y622)</f>
        <v>74</v>
      </c>
      <c r="AF622" s="2" t="n">
        <f aca="false">INT(Z622)</f>
        <v>84</v>
      </c>
      <c r="AG622" s="2" t="n">
        <f aca="false">INT(AA622)</f>
        <v>111</v>
      </c>
      <c r="AH622" s="2" t="n">
        <f aca="false">INT(AB622)</f>
        <v>71</v>
      </c>
      <c r="AI622" s="2" t="n">
        <f aca="false">INT(AC622)</f>
        <v>89</v>
      </c>
      <c r="AJ622" s="2" t="n">
        <f aca="false">INT(AD622)</f>
        <v>68</v>
      </c>
      <c r="AK622" s="2" t="n">
        <f aca="false">Settings!$B$3-SUM(AE622:AJ622)</f>
        <v>3</v>
      </c>
      <c r="AL622" s="2" t="n">
        <f aca="false">ROUND(Y622-AE622,9)</f>
        <v>0.206349206</v>
      </c>
      <c r="AM622" s="2" t="n">
        <f aca="false">ROUND(Z622-AF622,9)</f>
        <v>0.523809524</v>
      </c>
      <c r="AN622" s="2" t="n">
        <f aca="false">ROUND(AA622-AG622,9)</f>
        <v>0.507936508</v>
      </c>
      <c r="AO622" s="2" t="n">
        <f aca="false">ROUND(AB622-AH622,9)</f>
        <v>0.825396825</v>
      </c>
      <c r="AP622" s="2" t="n">
        <f aca="false">ROUND(AC622-AI622,9)</f>
        <v>0.682539683</v>
      </c>
      <c r="AQ622" s="2" t="n">
        <f aca="false">ROUND(AD622-AJ622,9)</f>
        <v>0.253968254</v>
      </c>
    </row>
    <row r="623" customFormat="false" ht="15" hidden="false" customHeight="false" outlineLevel="0" collapsed="false">
      <c r="A623" s="2" t="n">
        <v>622</v>
      </c>
      <c r="B623" s="6" t="n">
        <v>14</v>
      </c>
      <c r="C623" s="6" t="n">
        <v>51</v>
      </c>
      <c r="D623" s="8" t="str">
        <f aca="false">INDEX(Bases!$B$2:$B$53,B623)</f>
        <v>Celebi</v>
      </c>
      <c r="E623" s="8" t="str">
        <f aca="false">INDEX(Bases!$B$2:$B$53,C623)</f>
        <v>Cleffa</v>
      </c>
      <c r="F623" s="2" t="str">
        <f aca="false">LEFT(D623,ROUNDUP(LEN(D623)/2,0))&amp;LOWER(MID(E623,ROUNDUP(LEN(E623)/2,0)+1,20))</f>
        <v>Celffa</v>
      </c>
      <c r="G623" s="8" t="str">
        <f aca="false">INDEX(Bases!$C$2:$C$53,B623)</f>
        <v>Grass</v>
      </c>
      <c r="H623" s="8" t="str">
        <f aca="false">IF(INDEX(Bases!$C$2:$C$53,C623)=G623,"",INDEX(Bases!$C$2:$C$53,C623))</f>
        <v>Fairy</v>
      </c>
      <c r="I623" s="8" t="str">
        <f aca="false">IF(INDEX(Bases!$E$2:$E$53,B623)="","",INDEX(Bases!$E$2:$E$53,B623))</f>
        <v/>
      </c>
      <c r="J623" s="8" t="str">
        <f aca="false">IF(INDEX(Bases!$E$2:$E$53,C623)="","",INDEX(Bases!$E$2:$E$53,C623))</f>
        <v/>
      </c>
      <c r="K623" s="5"/>
      <c r="L623" s="2" t="n">
        <f aca="false">AE623+IF(SUMPRODUCT(--($AL623:$AQ623&gt;AL623))&lt;$AK623,1,0)</f>
        <v>98</v>
      </c>
      <c r="M623" s="2" t="n">
        <f aca="false">AF623+IF(SUMPRODUCT(--($AL623:$AQ623&gt;AM623))+SUMPRODUCT(--($AL623:AL623=AM623))&lt;$AK623,1,0)</f>
        <v>71</v>
      </c>
      <c r="N623" s="2" t="n">
        <f aca="false">AG623+IF(SUMPRODUCT(--($AL623:$AQ623&gt;AN623))+SUMPRODUCT(--($AL623:AM623=AN623))&lt;$AK623,1,0)</f>
        <v>73</v>
      </c>
      <c r="O623" s="2" t="n">
        <f aca="false">AH623+IF(SUMPRODUCT(--($AL623:$AQ623&gt;AO623))+SUMPRODUCT(--($AL623:AN623=AO623))&lt;$AK623,1,0)</f>
        <v>91</v>
      </c>
      <c r="P623" s="2" t="n">
        <f aca="false">AI623+IF(SUMPRODUCT(--($AL623:$AQ623&gt;AP623))+SUMPRODUCT(--($AL623:AO623=AP623))&lt;$AK623,1,0)</f>
        <v>105</v>
      </c>
      <c r="Q623" s="2" t="n">
        <f aca="false">AJ623+IF(SUMPRODUCT(--($AL623:$AQ623&gt;AQ623))+SUMPRODUCT(--($AL623:AP623=AQ623))&lt;$AK623,1,0)</f>
        <v>62</v>
      </c>
      <c r="R623" s="2" t="n">
        <f aca="false">SUM(L623:Q623)</f>
        <v>500</v>
      </c>
      <c r="S623" s="2" t="n">
        <f aca="false">Settings!$B$4*MAX(INDEX(Bases!$M$2:$M$53,B623),INDEX(Bases!$M$2:$M$53,C623))+Settings!$B$5*MIN(INDEX(Bases!$M$2:$M$53,B623),INDEX(Bases!$M$2:$M$53,C623))</f>
        <v>83.6666666666667</v>
      </c>
      <c r="T623" s="2" t="n">
        <f aca="false">Settings!$B$4*MAX(INDEX(Bases!$N$2:$N$53,B623),INDEX(Bases!$N$2:$N$53,C623))+Settings!$B$5*MIN(INDEX(Bases!$N$2:$N$53,B623),INDEX(Bases!$N$2:$N$53,C623))</f>
        <v>60</v>
      </c>
      <c r="U623" s="2" t="n">
        <f aca="false">Settings!$B$4*MAX(INDEX(Bases!$O$2:$O$53,B623),INDEX(Bases!$O$2:$O$53,C623))+Settings!$B$5*MIN(INDEX(Bases!$O$2:$O$53,B623),INDEX(Bases!$O$2:$O$53,C623))</f>
        <v>61.6666666666667</v>
      </c>
      <c r="V623" s="2" t="n">
        <f aca="false">Settings!$B$4*MAX(INDEX(Bases!$P$2:$P$53,B623),INDEX(Bases!$P$2:$P$53,C623))+Settings!$B$5*MIN(INDEX(Bases!$P$2:$P$53,B623),INDEX(Bases!$P$2:$P$53,C623))</f>
        <v>77.6666666666667</v>
      </c>
      <c r="W623" s="2" t="n">
        <f aca="false">Settings!$B$4*MAX(INDEX(Bases!$Q$2:$Q$53,B623),INDEX(Bases!$Q$2:$Q$53,C623))+Settings!$B$5*MIN(INDEX(Bases!$Q$2:$Q$53,B623),INDEX(Bases!$Q$2:$Q$53,C623))</f>
        <v>89.3333333333333</v>
      </c>
      <c r="X623" s="2" t="n">
        <f aca="false">Settings!$B$4*MAX(INDEX(Bases!$R$2:$R$53,B623),INDEX(Bases!$R$2:$R$53,C623))+Settings!$B$5*MIN(INDEX(Bases!$R$2:$R$53,B623),INDEX(Bases!$R$2:$R$53,C623))</f>
        <v>53</v>
      </c>
      <c r="Y623" s="2" t="n">
        <f aca="false">S623*Settings!$B$3/SUM(S623:X623)</f>
        <v>98.3542319749216</v>
      </c>
      <c r="Z623" s="2" t="n">
        <f aca="false">T623*Settings!$B$3/SUM(S623:X623)</f>
        <v>70.5329153605016</v>
      </c>
      <c r="AA623" s="2" t="n">
        <f aca="false">U623*Settings!$B$3/SUM(S623:X623)</f>
        <v>72.4921630094044</v>
      </c>
      <c r="AB623" s="2" t="n">
        <f aca="false">V623*Settings!$B$3/SUM(S623:X623)</f>
        <v>91.3009404388715</v>
      </c>
      <c r="AC623" s="2" t="n">
        <f aca="false">W623*Settings!$B$3/SUM(S623:X623)</f>
        <v>105.015673981191</v>
      </c>
      <c r="AD623" s="2" t="n">
        <f aca="false">X623*Settings!$B$3/SUM(S623:X623)</f>
        <v>62.3040752351097</v>
      </c>
      <c r="AE623" s="2" t="n">
        <f aca="false">INT(Y623)</f>
        <v>98</v>
      </c>
      <c r="AF623" s="2" t="n">
        <f aca="false">INT(Z623)</f>
        <v>70</v>
      </c>
      <c r="AG623" s="2" t="n">
        <f aca="false">INT(AA623)</f>
        <v>72</v>
      </c>
      <c r="AH623" s="2" t="n">
        <f aca="false">INT(AB623)</f>
        <v>91</v>
      </c>
      <c r="AI623" s="2" t="n">
        <f aca="false">INT(AC623)</f>
        <v>105</v>
      </c>
      <c r="AJ623" s="2" t="n">
        <f aca="false">INT(AD623)</f>
        <v>62</v>
      </c>
      <c r="AK623" s="2" t="n">
        <f aca="false">Settings!$B$3-SUM(AE623:AJ623)</f>
        <v>2</v>
      </c>
      <c r="AL623" s="2" t="n">
        <f aca="false">ROUND(Y623-AE623,9)</f>
        <v>0.354231975</v>
      </c>
      <c r="AM623" s="2" t="n">
        <f aca="false">ROUND(Z623-AF623,9)</f>
        <v>0.532915361</v>
      </c>
      <c r="AN623" s="2" t="n">
        <f aca="false">ROUND(AA623-AG623,9)</f>
        <v>0.492163009</v>
      </c>
      <c r="AO623" s="2" t="n">
        <f aca="false">ROUND(AB623-AH623,9)</f>
        <v>0.300940439</v>
      </c>
      <c r="AP623" s="2" t="n">
        <f aca="false">ROUND(AC623-AI623,9)</f>
        <v>0.015673981</v>
      </c>
      <c r="AQ623" s="2" t="n">
        <f aca="false">ROUND(AD623-AJ623,9)</f>
        <v>0.304075235</v>
      </c>
    </row>
    <row r="624" customFormat="false" ht="15" hidden="false" customHeight="false" outlineLevel="0" collapsed="false">
      <c r="A624" s="2" t="n">
        <v>623</v>
      </c>
      <c r="B624" s="6" t="n">
        <v>14</v>
      </c>
      <c r="C624" s="6" t="n">
        <v>52</v>
      </c>
      <c r="D624" s="8" t="str">
        <f aca="false">INDEX(Bases!$B$2:$B$53,B624)</f>
        <v>Celebi</v>
      </c>
      <c r="E624" s="8" t="str">
        <f aca="false">INDEX(Bases!$B$2:$B$53,C624)</f>
        <v>Togepi</v>
      </c>
      <c r="F624" s="2" t="str">
        <f aca="false">LEFT(D624,ROUNDUP(LEN(D624)/2,0))&amp;LOWER(MID(E624,ROUNDUP(LEN(E624)/2,0)+1,20))</f>
        <v>Celepi</v>
      </c>
      <c r="G624" s="8" t="str">
        <f aca="false">INDEX(Bases!$C$2:$C$53,B624)</f>
        <v>Grass</v>
      </c>
      <c r="H624" s="8" t="str">
        <f aca="false">IF(INDEX(Bases!$C$2:$C$53,C624)=G624,"",INDEX(Bases!$C$2:$C$53,C624))</f>
        <v>Fairy</v>
      </c>
      <c r="I624" s="8" t="str">
        <f aca="false">IF(INDEX(Bases!$E$2:$E$53,B624)="","",INDEX(Bases!$E$2:$E$53,B624))</f>
        <v/>
      </c>
      <c r="J624" s="8" t="str">
        <f aca="false">IF(INDEX(Bases!$E$2:$E$53,C624)="","",INDEX(Bases!$E$2:$E$53,C624))</f>
        <v/>
      </c>
      <c r="K624" s="5"/>
      <c r="L624" s="2" t="n">
        <f aca="false">AE624+IF(SUMPRODUCT(--($AL624:$AQ624&gt;AL624))&lt;$AK624,1,0)</f>
        <v>75</v>
      </c>
      <c r="M624" s="2" t="n">
        <f aca="false">AF624+IF(SUMPRODUCT(--($AL624:$AQ624&gt;AM624))+SUMPRODUCT(--($AL624:AL624=AM624))&lt;$AK624,1,0)</f>
        <v>65</v>
      </c>
      <c r="N624" s="2" t="n">
        <f aca="false">AG624+IF(SUMPRODUCT(--($AL624:$AQ624&gt;AN624))+SUMPRODUCT(--($AL624:AM624=AN624))&lt;$AK624,1,0)</f>
        <v>109</v>
      </c>
      <c r="O624" s="2" t="n">
        <f aca="false">AH624+IF(SUMPRODUCT(--($AL624:$AQ624&gt;AO624))+SUMPRODUCT(--($AL624:AN624=AO624))&lt;$AK624,1,0)</f>
        <v>78</v>
      </c>
      <c r="P624" s="2" t="n">
        <f aca="false">AI624+IF(SUMPRODUCT(--($AL624:$AQ624&gt;AP624))+SUMPRODUCT(--($AL624:AO624=AP624))&lt;$AK624,1,0)</f>
        <v>109</v>
      </c>
      <c r="Q624" s="2" t="n">
        <f aca="false">AJ624+IF(SUMPRODUCT(--($AL624:$AQ624&gt;AQ624))+SUMPRODUCT(--($AL624:AP624=AQ624))&lt;$AK624,1,0)</f>
        <v>64</v>
      </c>
      <c r="R624" s="2" t="n">
        <f aca="false">SUM(L624:Q624)</f>
        <v>500</v>
      </c>
      <c r="S624" s="2" t="n">
        <f aca="false">Settings!$B$4*MAX(INDEX(Bases!$M$2:$M$53,B624),INDEX(Bases!$M$2:$M$53,C624))+Settings!$B$5*MIN(INDEX(Bases!$M$2:$M$53,B624),INDEX(Bases!$M$2:$M$53,C624))</f>
        <v>63.6666666666667</v>
      </c>
      <c r="T624" s="2" t="n">
        <f aca="false">Settings!$B$4*MAX(INDEX(Bases!$N$2:$N$53,B624),INDEX(Bases!$N$2:$N$53,C624))+Settings!$B$5*MIN(INDEX(Bases!$N$2:$N$53,B624),INDEX(Bases!$N$2:$N$53,C624))</f>
        <v>55.6666666666667</v>
      </c>
      <c r="U624" s="2" t="n">
        <f aca="false">Settings!$B$4*MAX(INDEX(Bases!$O$2:$O$53,B624),INDEX(Bases!$O$2:$O$53,C624))+Settings!$B$5*MIN(INDEX(Bases!$O$2:$O$53,B624),INDEX(Bases!$O$2:$O$53,C624))</f>
        <v>93</v>
      </c>
      <c r="V624" s="2" t="n">
        <f aca="false">Settings!$B$4*MAX(INDEX(Bases!$P$2:$P$53,B624),INDEX(Bases!$P$2:$P$53,C624))+Settings!$B$5*MIN(INDEX(Bases!$P$2:$P$53,B624),INDEX(Bases!$P$2:$P$53,C624))</f>
        <v>66.3333333333333</v>
      </c>
      <c r="W624" s="2" t="n">
        <f aca="false">Settings!$B$4*MAX(INDEX(Bases!$Q$2:$Q$53,B624),INDEX(Bases!$Q$2:$Q$53,C624))+Settings!$B$5*MIN(INDEX(Bases!$Q$2:$Q$53,B624),INDEX(Bases!$Q$2:$Q$53,C624))</f>
        <v>92.6666666666667</v>
      </c>
      <c r="X624" s="2" t="n">
        <f aca="false">Settings!$B$4*MAX(INDEX(Bases!$R$2:$R$53,B624),INDEX(Bases!$R$2:$R$53,C624))+Settings!$B$5*MIN(INDEX(Bases!$R$2:$R$53,B624),INDEX(Bases!$R$2:$R$53,C624))</f>
        <v>55</v>
      </c>
      <c r="Y624" s="2" t="n">
        <f aca="false">S624*Settings!$B$3/SUM(S624:X624)</f>
        <v>74.6677091477717</v>
      </c>
      <c r="Z624" s="2" t="n">
        <f aca="false">T624*Settings!$B$3/SUM(S624:X624)</f>
        <v>65.285379202502</v>
      </c>
      <c r="AA624" s="2" t="n">
        <f aca="false">U624*Settings!$B$3/SUM(S624:X624)</f>
        <v>109.069585613761</v>
      </c>
      <c r="AB624" s="2" t="n">
        <f aca="false">V624*Settings!$B$3/SUM(S624:X624)</f>
        <v>77.7951524628616</v>
      </c>
      <c r="AC624" s="2" t="n">
        <f aca="false">W624*Settings!$B$3/SUM(S624:X624)</f>
        <v>108.678655199375</v>
      </c>
      <c r="AD624" s="2" t="n">
        <f aca="false">X624*Settings!$B$3/SUM(S624:X624)</f>
        <v>64.5035183737295</v>
      </c>
      <c r="AE624" s="2" t="n">
        <f aca="false">INT(Y624)</f>
        <v>74</v>
      </c>
      <c r="AF624" s="2" t="n">
        <f aca="false">INT(Z624)</f>
        <v>65</v>
      </c>
      <c r="AG624" s="2" t="n">
        <f aca="false">INT(AA624)</f>
        <v>109</v>
      </c>
      <c r="AH624" s="2" t="n">
        <f aca="false">INT(AB624)</f>
        <v>77</v>
      </c>
      <c r="AI624" s="2" t="n">
        <f aca="false">INT(AC624)</f>
        <v>108</v>
      </c>
      <c r="AJ624" s="2" t="n">
        <f aca="false">INT(AD624)</f>
        <v>64</v>
      </c>
      <c r="AK624" s="2" t="n">
        <f aca="false">Settings!$B$3-SUM(AE624:AJ624)</f>
        <v>3</v>
      </c>
      <c r="AL624" s="2" t="n">
        <f aca="false">ROUND(Y624-AE624,9)</f>
        <v>0.667709148</v>
      </c>
      <c r="AM624" s="2" t="n">
        <f aca="false">ROUND(Z624-AF624,9)</f>
        <v>0.285379203</v>
      </c>
      <c r="AN624" s="2" t="n">
        <f aca="false">ROUND(AA624-AG624,9)</f>
        <v>0.069585614</v>
      </c>
      <c r="AO624" s="2" t="n">
        <f aca="false">ROUND(AB624-AH624,9)</f>
        <v>0.795152463</v>
      </c>
      <c r="AP624" s="2" t="n">
        <f aca="false">ROUND(AC624-AI624,9)</f>
        <v>0.678655199</v>
      </c>
      <c r="AQ624" s="2" t="n">
        <f aca="false">ROUND(AD624-AJ624,9)</f>
        <v>0.503518374</v>
      </c>
    </row>
    <row r="625" customFormat="false" ht="15" hidden="false" customHeight="false" outlineLevel="0" collapsed="false">
      <c r="A625" s="2" t="n">
        <v>624</v>
      </c>
      <c r="B625" s="6" t="n">
        <v>15</v>
      </c>
      <c r="C625" s="6" t="n">
        <v>16</v>
      </c>
      <c r="D625" s="8" t="str">
        <f aca="false">INDEX(Bases!$B$2:$B$53,B625)</f>
        <v>Shroomish</v>
      </c>
      <c r="E625" s="8" t="str">
        <f aca="false">INDEX(Bases!$B$2:$B$53,C625)</f>
        <v>Swinub</v>
      </c>
      <c r="F625" s="2" t="str">
        <f aca="false">LEFT(D625,ROUNDUP(LEN(D625)/2,0))&amp;LOWER(MID(E625,ROUNDUP(LEN(E625)/2,0)+1,20))</f>
        <v>Shroonub</v>
      </c>
      <c r="G625" s="8" t="str">
        <f aca="false">INDEX(Bases!$C$2:$C$53,B625)</f>
        <v>Grass</v>
      </c>
      <c r="H625" s="8" t="str">
        <f aca="false">IF(INDEX(Bases!$C$2:$C$53,C625)=G625,"",INDEX(Bases!$C$2:$C$53,C625))</f>
        <v>Ice</v>
      </c>
      <c r="I625" s="8" t="str">
        <f aca="false">IF(INDEX(Bases!$E$2:$E$53,B625)="","",INDEX(Bases!$E$2:$E$53,B625))</f>
        <v/>
      </c>
      <c r="J625" s="8" t="str">
        <f aca="false">IF(INDEX(Bases!$E$2:$E$53,C625)="","",INDEX(Bases!$E$2:$E$53,C625))</f>
        <v/>
      </c>
      <c r="K625" s="5"/>
      <c r="L625" s="2" t="n">
        <f aca="false">AE625+IF(SUMPRODUCT(--($AL625:$AQ625&gt;AL625))&lt;$AK625,1,0)</f>
        <v>97</v>
      </c>
      <c r="M625" s="2" t="n">
        <f aca="false">AF625+IF(SUMPRODUCT(--($AL625:$AQ625&gt;AM625))+SUMPRODUCT(--($AL625:AL625=AM625))&lt;$AK625,1,0)</f>
        <v>85</v>
      </c>
      <c r="N625" s="2" t="n">
        <f aca="false">AG625+IF(SUMPRODUCT(--($AL625:$AQ625&gt;AN625))+SUMPRODUCT(--($AL625:AM625=AN625))&lt;$AK625,1,0)</f>
        <v>90</v>
      </c>
      <c r="O625" s="2" t="n">
        <f aca="false">AH625+IF(SUMPRODUCT(--($AL625:$AQ625&gt;AO625))+SUMPRODUCT(--($AL625:AN625=AO625))&lt;$AK625,1,0)</f>
        <v>62</v>
      </c>
      <c r="P625" s="2" t="n">
        <f aca="false">AI625+IF(SUMPRODUCT(--($AL625:$AQ625&gt;AP625))+SUMPRODUCT(--($AL625:AO625=AP625))&lt;$AK625,1,0)</f>
        <v>83</v>
      </c>
      <c r="Q625" s="2" t="n">
        <f aca="false">AJ625+IF(SUMPRODUCT(--($AL625:$AQ625&gt;AQ625))+SUMPRODUCT(--($AL625:AP625=AQ625))&lt;$AK625,1,0)</f>
        <v>83</v>
      </c>
      <c r="R625" s="2" t="n">
        <f aca="false">SUM(L625:Q625)</f>
        <v>500</v>
      </c>
      <c r="S625" s="2" t="n">
        <f aca="false">Settings!$B$4*MAX(INDEX(Bases!$M$2:$M$53,B625),INDEX(Bases!$M$2:$M$53,C625))+Settings!$B$5*MIN(INDEX(Bases!$M$2:$M$53,B625),INDEX(Bases!$M$2:$M$53,C625))</f>
        <v>81.3333333333333</v>
      </c>
      <c r="T625" s="2" t="n">
        <f aca="false">Settings!$B$4*MAX(INDEX(Bases!$N$2:$N$53,B625),INDEX(Bases!$N$2:$N$53,C625))+Settings!$B$5*MIN(INDEX(Bases!$N$2:$N$53,B625),INDEX(Bases!$N$2:$N$53,C625))</f>
        <v>71.3333333333333</v>
      </c>
      <c r="U625" s="2" t="n">
        <f aca="false">Settings!$B$4*MAX(INDEX(Bases!$O$2:$O$53,B625),INDEX(Bases!$O$2:$O$53,C625))+Settings!$B$5*MIN(INDEX(Bases!$O$2:$O$53,B625),INDEX(Bases!$O$2:$O$53,C625))</f>
        <v>75.3333333333333</v>
      </c>
      <c r="V625" s="2" t="n">
        <f aca="false">Settings!$B$4*MAX(INDEX(Bases!$P$2:$P$53,B625),INDEX(Bases!$P$2:$P$53,C625))+Settings!$B$5*MIN(INDEX(Bases!$P$2:$P$53,B625),INDEX(Bases!$P$2:$P$53,C625))</f>
        <v>52</v>
      </c>
      <c r="W625" s="2" t="n">
        <f aca="false">Settings!$B$4*MAX(INDEX(Bases!$Q$2:$Q$53,B625),INDEX(Bases!$Q$2:$Q$53,C625))+Settings!$B$5*MIN(INDEX(Bases!$Q$2:$Q$53,B625),INDEX(Bases!$Q$2:$Q$53,C625))</f>
        <v>70</v>
      </c>
      <c r="X625" s="2" t="n">
        <f aca="false">Settings!$B$4*MAX(INDEX(Bases!$R$2:$R$53,B625),INDEX(Bases!$R$2:$R$53,C625))+Settings!$B$5*MIN(INDEX(Bases!$R$2:$R$53,B625),INDEX(Bases!$R$2:$R$53,C625))</f>
        <v>69.3333333333333</v>
      </c>
      <c r="Y625" s="2" t="n">
        <f aca="false">S625*Settings!$B$3/SUM(S625:X625)</f>
        <v>96.9793322734499</v>
      </c>
      <c r="Z625" s="2" t="n">
        <f aca="false">T625*Settings!$B$3/SUM(S625:X625)</f>
        <v>85.0556438791733</v>
      </c>
      <c r="AA625" s="2" t="n">
        <f aca="false">U625*Settings!$B$3/SUM(S625:X625)</f>
        <v>89.825119236884</v>
      </c>
      <c r="AB625" s="2" t="n">
        <f aca="false">V625*Settings!$B$3/SUM(S625:X625)</f>
        <v>62.0031796502385</v>
      </c>
      <c r="AC625" s="2" t="n">
        <f aca="false">W625*Settings!$B$3/SUM(S625:X625)</f>
        <v>83.4658187599364</v>
      </c>
      <c r="AD625" s="2" t="n">
        <f aca="false">X625*Settings!$B$3/SUM(S625:X625)</f>
        <v>82.670906200318</v>
      </c>
      <c r="AE625" s="2" t="n">
        <f aca="false">INT(Y625)</f>
        <v>96</v>
      </c>
      <c r="AF625" s="2" t="n">
        <f aca="false">INT(Z625)</f>
        <v>85</v>
      </c>
      <c r="AG625" s="2" t="n">
        <f aca="false">INT(AA625)</f>
        <v>89</v>
      </c>
      <c r="AH625" s="2" t="n">
        <f aca="false">INT(AB625)</f>
        <v>62</v>
      </c>
      <c r="AI625" s="2" t="n">
        <f aca="false">INT(AC625)</f>
        <v>83</v>
      </c>
      <c r="AJ625" s="2" t="n">
        <f aca="false">INT(AD625)</f>
        <v>82</v>
      </c>
      <c r="AK625" s="2" t="n">
        <f aca="false">Settings!$B$3-SUM(AE625:AJ625)</f>
        <v>3</v>
      </c>
      <c r="AL625" s="2" t="n">
        <f aca="false">ROUND(Y625-AE625,9)</f>
        <v>0.979332273</v>
      </c>
      <c r="AM625" s="2" t="n">
        <f aca="false">ROUND(Z625-AF625,9)</f>
        <v>0.055643879</v>
      </c>
      <c r="AN625" s="2" t="n">
        <f aca="false">ROUND(AA625-AG625,9)</f>
        <v>0.825119237</v>
      </c>
      <c r="AO625" s="2" t="n">
        <f aca="false">ROUND(AB625-AH625,9)</f>
        <v>0.00317965</v>
      </c>
      <c r="AP625" s="2" t="n">
        <f aca="false">ROUND(AC625-AI625,9)</f>
        <v>0.46581876</v>
      </c>
      <c r="AQ625" s="2" t="n">
        <f aca="false">ROUND(AD625-AJ625,9)</f>
        <v>0.6709062</v>
      </c>
    </row>
    <row r="626" customFormat="false" ht="15" hidden="false" customHeight="false" outlineLevel="0" collapsed="false">
      <c r="A626" s="2" t="n">
        <v>625</v>
      </c>
      <c r="B626" s="6" t="n">
        <v>15</v>
      </c>
      <c r="C626" s="6" t="n">
        <v>17</v>
      </c>
      <c r="D626" s="8" t="str">
        <f aca="false">INDEX(Bases!$B$2:$B$53,B626)</f>
        <v>Shroomish</v>
      </c>
      <c r="E626" s="8" t="str">
        <f aca="false">INDEX(Bases!$B$2:$B$53,C626)</f>
        <v>Snorunt</v>
      </c>
      <c r="F626" s="2" t="str">
        <f aca="false">LEFT(D626,ROUNDUP(LEN(D626)/2,0))&amp;LOWER(MID(E626,ROUNDUP(LEN(E626)/2,0)+1,20))</f>
        <v>Shroount</v>
      </c>
      <c r="G626" s="8" t="str">
        <f aca="false">INDEX(Bases!$C$2:$C$53,B626)</f>
        <v>Grass</v>
      </c>
      <c r="H626" s="8" t="str">
        <f aca="false">IF(INDEX(Bases!$C$2:$C$53,C626)=G626,"",INDEX(Bases!$C$2:$C$53,C626))</f>
        <v>Ice</v>
      </c>
      <c r="I626" s="8" t="str">
        <f aca="false">IF(INDEX(Bases!$E$2:$E$53,B626)="","",INDEX(Bases!$E$2:$E$53,B626))</f>
        <v/>
      </c>
      <c r="J626" s="8" t="str">
        <f aca="false">IF(INDEX(Bases!$E$2:$E$53,C626)="","",INDEX(Bases!$E$2:$E$53,C626))</f>
        <v/>
      </c>
      <c r="K626" s="5"/>
      <c r="L626" s="2" t="n">
        <f aca="false">AE626+IF(SUMPRODUCT(--($AL626:$AQ626&gt;AL626))&lt;$AK626,1,0)</f>
        <v>93</v>
      </c>
      <c r="M626" s="2" t="n">
        <f aca="false">AF626+IF(SUMPRODUCT(--($AL626:$AQ626&gt;AM626))+SUMPRODUCT(--($AL626:AL626=AM626))&lt;$AK626,1,0)</f>
        <v>76</v>
      </c>
      <c r="N626" s="2" t="n">
        <f aca="false">AG626+IF(SUMPRODUCT(--($AL626:$AQ626&gt;AN626))+SUMPRODUCT(--($AL626:AM626=AN626))&lt;$AK626,1,0)</f>
        <v>92</v>
      </c>
      <c r="O626" s="2" t="n">
        <f aca="false">AH626+IF(SUMPRODUCT(--($AL626:$AQ626&gt;AO626))+SUMPRODUCT(--($AL626:AN626=AO626))&lt;$AK626,1,0)</f>
        <v>75</v>
      </c>
      <c r="P626" s="2" t="n">
        <f aca="false">AI626+IF(SUMPRODUCT(--($AL626:$AQ626&gt;AP626))+SUMPRODUCT(--($AL626:AO626=AP626))&lt;$AK626,1,0)</f>
        <v>92</v>
      </c>
      <c r="Q626" s="2" t="n">
        <f aca="false">AJ626+IF(SUMPRODUCT(--($AL626:$AQ626&gt;AQ626))+SUMPRODUCT(--($AL626:AP626=AQ626))&lt;$AK626,1,0)</f>
        <v>72</v>
      </c>
      <c r="R626" s="2" t="n">
        <f aca="false">SUM(L626:Q626)</f>
        <v>500</v>
      </c>
      <c r="S626" s="2" t="n">
        <f aca="false">Settings!$B$4*MAX(INDEX(Bases!$M$2:$M$53,B626),INDEX(Bases!$M$2:$M$53,C626))+Settings!$B$5*MIN(INDEX(Bases!$M$2:$M$53,B626),INDEX(Bases!$M$2:$M$53,C626))</f>
        <v>77</v>
      </c>
      <c r="T626" s="2" t="n">
        <f aca="false">Settings!$B$4*MAX(INDEX(Bases!$N$2:$N$53,B626),INDEX(Bases!$N$2:$N$53,C626))+Settings!$B$5*MIN(INDEX(Bases!$N$2:$N$53,B626),INDEX(Bases!$N$2:$N$53,C626))</f>
        <v>62.6666666666667</v>
      </c>
      <c r="U626" s="2" t="n">
        <f aca="false">Settings!$B$4*MAX(INDEX(Bases!$O$2:$O$53,B626),INDEX(Bases!$O$2:$O$53,C626))+Settings!$B$5*MIN(INDEX(Bases!$O$2:$O$53,B626),INDEX(Bases!$O$2:$O$53,C626))</f>
        <v>76.3333333333333</v>
      </c>
      <c r="V626" s="2" t="n">
        <f aca="false">Settings!$B$4*MAX(INDEX(Bases!$P$2:$P$53,B626),INDEX(Bases!$P$2:$P$53,C626))+Settings!$B$5*MIN(INDEX(Bases!$P$2:$P$53,B626),INDEX(Bases!$P$2:$P$53,C626))</f>
        <v>62.6666666666667</v>
      </c>
      <c r="W626" s="2" t="n">
        <f aca="false">Settings!$B$4*MAX(INDEX(Bases!$Q$2:$Q$53,B626),INDEX(Bases!$Q$2:$Q$53,C626))+Settings!$B$5*MIN(INDEX(Bases!$Q$2:$Q$53,B626),INDEX(Bases!$Q$2:$Q$53,C626))</f>
        <v>76</v>
      </c>
      <c r="X626" s="2" t="n">
        <f aca="false">Settings!$B$4*MAX(INDEX(Bases!$R$2:$R$53,B626),INDEX(Bases!$R$2:$R$53,C626))+Settings!$B$5*MIN(INDEX(Bases!$R$2:$R$53,B626),INDEX(Bases!$R$2:$R$53,C626))</f>
        <v>60</v>
      </c>
      <c r="Y626" s="2" t="n">
        <f aca="false">S626*Settings!$B$3/SUM(S626:X626)</f>
        <v>92.8456591639871</v>
      </c>
      <c r="Z626" s="2" t="n">
        <f aca="false">T626*Settings!$B$3/SUM(S626:X626)</f>
        <v>75.5627009646302</v>
      </c>
      <c r="AA626" s="2" t="n">
        <f aca="false">U626*Settings!$B$3/SUM(S626:X626)</f>
        <v>92.0418006430868</v>
      </c>
      <c r="AB626" s="2" t="n">
        <f aca="false">V626*Settings!$B$3/SUM(S626:X626)</f>
        <v>75.5627009646302</v>
      </c>
      <c r="AC626" s="2" t="n">
        <f aca="false">W626*Settings!$B$3/SUM(S626:X626)</f>
        <v>91.6398713826367</v>
      </c>
      <c r="AD626" s="2" t="n">
        <f aca="false">X626*Settings!$B$3/SUM(S626:X626)</f>
        <v>72.3472668810289</v>
      </c>
      <c r="AE626" s="2" t="n">
        <f aca="false">INT(Y626)</f>
        <v>92</v>
      </c>
      <c r="AF626" s="2" t="n">
        <f aca="false">INT(Z626)</f>
        <v>75</v>
      </c>
      <c r="AG626" s="2" t="n">
        <f aca="false">INT(AA626)</f>
        <v>92</v>
      </c>
      <c r="AH626" s="2" t="n">
        <f aca="false">INT(AB626)</f>
        <v>75</v>
      </c>
      <c r="AI626" s="2" t="n">
        <f aca="false">INT(AC626)</f>
        <v>91</v>
      </c>
      <c r="AJ626" s="2" t="n">
        <f aca="false">INT(AD626)</f>
        <v>72</v>
      </c>
      <c r="AK626" s="2" t="n">
        <f aca="false">Settings!$B$3-SUM(AE626:AJ626)</f>
        <v>3</v>
      </c>
      <c r="AL626" s="2" t="n">
        <f aca="false">ROUND(Y626-AE626,9)</f>
        <v>0.845659164</v>
      </c>
      <c r="AM626" s="2" t="n">
        <f aca="false">ROUND(Z626-AF626,9)</f>
        <v>0.562700965</v>
      </c>
      <c r="AN626" s="2" t="n">
        <f aca="false">ROUND(AA626-AG626,9)</f>
        <v>0.041800643</v>
      </c>
      <c r="AO626" s="2" t="n">
        <f aca="false">ROUND(AB626-AH626,9)</f>
        <v>0.562700965</v>
      </c>
      <c r="AP626" s="2" t="n">
        <f aca="false">ROUND(AC626-AI626,9)</f>
        <v>0.639871383</v>
      </c>
      <c r="AQ626" s="2" t="n">
        <f aca="false">ROUND(AD626-AJ626,9)</f>
        <v>0.347266881</v>
      </c>
    </row>
    <row r="627" customFormat="false" ht="15" hidden="false" customHeight="false" outlineLevel="0" collapsed="false">
      <c r="A627" s="2" t="n">
        <v>626</v>
      </c>
      <c r="B627" s="6" t="n">
        <v>15</v>
      </c>
      <c r="C627" s="6" t="n">
        <v>18</v>
      </c>
      <c r="D627" s="8" t="str">
        <f aca="false">INDEX(Bases!$B$2:$B$53,B627)</f>
        <v>Shroomish</v>
      </c>
      <c r="E627" s="8" t="str">
        <f aca="false">INDEX(Bases!$B$2:$B$53,C627)</f>
        <v>Spheal</v>
      </c>
      <c r="F627" s="2" t="str">
        <f aca="false">LEFT(D627,ROUNDUP(LEN(D627)/2,0))&amp;LOWER(MID(E627,ROUNDUP(LEN(E627)/2,0)+1,20))</f>
        <v>Shrooeal</v>
      </c>
      <c r="G627" s="8" t="str">
        <f aca="false">INDEX(Bases!$C$2:$C$53,B627)</f>
        <v>Grass</v>
      </c>
      <c r="H627" s="8" t="str">
        <f aca="false">IF(INDEX(Bases!$C$2:$C$53,C627)=G627,"",INDEX(Bases!$C$2:$C$53,C627))</f>
        <v>Ice</v>
      </c>
      <c r="I627" s="8" t="str">
        <f aca="false">IF(INDEX(Bases!$E$2:$E$53,B627)="","",INDEX(Bases!$E$2:$E$53,B627))</f>
        <v/>
      </c>
      <c r="J627" s="8" t="str">
        <f aca="false">IF(INDEX(Bases!$E$2:$E$53,C627)="","",INDEX(Bases!$E$2:$E$53,C627))</f>
        <v/>
      </c>
      <c r="K627" s="5"/>
      <c r="L627" s="2" t="n">
        <f aca="false">AE627+IF(SUMPRODUCT(--($AL627:$AQ627&gt;AL627))&lt;$AK627,1,0)</f>
        <v>112</v>
      </c>
      <c r="M627" s="2" t="n">
        <f aca="false">AF627+IF(SUMPRODUCT(--($AL627:$AQ627&gt;AM627))+SUMPRODUCT(--($AL627:AL627=AM627))&lt;$AK627,1,0)</f>
        <v>66</v>
      </c>
      <c r="N627" s="2" t="n">
        <f aca="false">AG627+IF(SUMPRODUCT(--($AL627:$AQ627&gt;AN627))+SUMPRODUCT(--($AL627:AM627=AN627))&lt;$AK627,1,0)</f>
        <v>93</v>
      </c>
      <c r="O627" s="2" t="n">
        <f aca="false">AH627+IF(SUMPRODUCT(--($AL627:$AQ627&gt;AO627))+SUMPRODUCT(--($AL627:AN627=AO627))&lt;$AK627,1,0)</f>
        <v>83</v>
      </c>
      <c r="P627" s="2" t="n">
        <f aca="false">AI627+IF(SUMPRODUCT(--($AL627:$AQ627&gt;AP627))+SUMPRODUCT(--($AL627:AO627=AP627))&lt;$AK627,1,0)</f>
        <v>93</v>
      </c>
      <c r="Q627" s="2" t="n">
        <f aca="false">AJ627+IF(SUMPRODUCT(--($AL627:$AQ627&gt;AQ627))+SUMPRODUCT(--($AL627:AP627=AQ627))&lt;$AK627,1,0)</f>
        <v>53</v>
      </c>
      <c r="R627" s="2" t="n">
        <f aca="false">SUM(L627:Q627)</f>
        <v>500</v>
      </c>
      <c r="S627" s="2" t="n">
        <f aca="false">Settings!$B$4*MAX(INDEX(Bases!$M$2:$M$53,B627),INDEX(Bases!$M$2:$M$53,C627))+Settings!$B$5*MIN(INDEX(Bases!$M$2:$M$53,B627),INDEX(Bases!$M$2:$M$53,C627))</f>
        <v>92</v>
      </c>
      <c r="T627" s="2" t="n">
        <f aca="false">Settings!$B$4*MAX(INDEX(Bases!$N$2:$N$53,B627),INDEX(Bases!$N$2:$N$53,C627))+Settings!$B$5*MIN(INDEX(Bases!$N$2:$N$53,B627),INDEX(Bases!$N$2:$N$53,C627))</f>
        <v>54.6666666666667</v>
      </c>
      <c r="U627" s="2" t="n">
        <f aca="false">Settings!$B$4*MAX(INDEX(Bases!$O$2:$O$53,B627),INDEX(Bases!$O$2:$O$53,C627))+Settings!$B$5*MIN(INDEX(Bases!$O$2:$O$53,B627),INDEX(Bases!$O$2:$O$53,C627))</f>
        <v>77</v>
      </c>
      <c r="V627" s="2" t="n">
        <f aca="false">Settings!$B$4*MAX(INDEX(Bases!$P$2:$P$53,B627),INDEX(Bases!$P$2:$P$53,C627))+Settings!$B$5*MIN(INDEX(Bases!$P$2:$P$53,B627),INDEX(Bases!$P$2:$P$53,C627))</f>
        <v>68.6666666666667</v>
      </c>
      <c r="W627" s="2" t="n">
        <f aca="false">Settings!$B$4*MAX(INDEX(Bases!$Q$2:$Q$53,B627),INDEX(Bases!$Q$2:$Q$53,C627))+Settings!$B$5*MIN(INDEX(Bases!$Q$2:$Q$53,B627),INDEX(Bases!$Q$2:$Q$53,C627))</f>
        <v>77</v>
      </c>
      <c r="X627" s="2" t="n">
        <f aca="false">Settings!$B$4*MAX(INDEX(Bases!$R$2:$R$53,B627),INDEX(Bases!$R$2:$R$53,C627))+Settings!$B$5*MIN(INDEX(Bases!$R$2:$R$53,B627),INDEX(Bases!$R$2:$R$53,C627))</f>
        <v>43.3333333333333</v>
      </c>
      <c r="Y627" s="2" t="n">
        <f aca="false">S627*Settings!$B$3/SUM(S627:X627)</f>
        <v>111.470113085622</v>
      </c>
      <c r="Z627" s="2" t="n">
        <f aca="false">T627*Settings!$B$3/SUM(S627:X627)</f>
        <v>66.2358642972536</v>
      </c>
      <c r="AA627" s="2" t="n">
        <f aca="false">U627*Settings!$B$3/SUM(S627:X627)</f>
        <v>93.2956381260097</v>
      </c>
      <c r="AB627" s="2" t="n">
        <f aca="false">V627*Settings!$B$3/SUM(S627:X627)</f>
        <v>83.1987075928918</v>
      </c>
      <c r="AC627" s="2" t="n">
        <f aca="false">W627*Settings!$B$3/SUM(S627:X627)</f>
        <v>93.2956381260097</v>
      </c>
      <c r="AD627" s="2" t="n">
        <f aca="false">X627*Settings!$B$3/SUM(S627:X627)</f>
        <v>52.5040387722133</v>
      </c>
      <c r="AE627" s="2" t="n">
        <f aca="false">INT(Y627)</f>
        <v>111</v>
      </c>
      <c r="AF627" s="2" t="n">
        <f aca="false">INT(Z627)</f>
        <v>66</v>
      </c>
      <c r="AG627" s="2" t="n">
        <f aca="false">INT(AA627)</f>
        <v>93</v>
      </c>
      <c r="AH627" s="2" t="n">
        <f aca="false">INT(AB627)</f>
        <v>83</v>
      </c>
      <c r="AI627" s="2" t="n">
        <f aca="false">INT(AC627)</f>
        <v>93</v>
      </c>
      <c r="AJ627" s="2" t="n">
        <f aca="false">INT(AD627)</f>
        <v>52</v>
      </c>
      <c r="AK627" s="2" t="n">
        <f aca="false">Settings!$B$3-SUM(AE627:AJ627)</f>
        <v>2</v>
      </c>
      <c r="AL627" s="2" t="n">
        <f aca="false">ROUND(Y627-AE627,9)</f>
        <v>0.470113086</v>
      </c>
      <c r="AM627" s="2" t="n">
        <f aca="false">ROUND(Z627-AF627,9)</f>
        <v>0.235864297</v>
      </c>
      <c r="AN627" s="2" t="n">
        <f aca="false">ROUND(AA627-AG627,9)</f>
        <v>0.295638126</v>
      </c>
      <c r="AO627" s="2" t="n">
        <f aca="false">ROUND(AB627-AH627,9)</f>
        <v>0.198707593</v>
      </c>
      <c r="AP627" s="2" t="n">
        <f aca="false">ROUND(AC627-AI627,9)</f>
        <v>0.295638126</v>
      </c>
      <c r="AQ627" s="2" t="n">
        <f aca="false">ROUND(AD627-AJ627,9)</f>
        <v>0.504038772</v>
      </c>
    </row>
    <row r="628" customFormat="false" ht="15" hidden="false" customHeight="false" outlineLevel="0" collapsed="false">
      <c r="A628" s="2" t="n">
        <v>627</v>
      </c>
      <c r="B628" s="6" t="n">
        <v>15</v>
      </c>
      <c r="C628" s="6" t="n">
        <v>19</v>
      </c>
      <c r="D628" s="8" t="str">
        <f aca="false">INDEX(Bases!$B$2:$B$53,B628)</f>
        <v>Shroomish</v>
      </c>
      <c r="E628" s="8" t="str">
        <f aca="false">INDEX(Bases!$B$2:$B$53,C628)</f>
        <v>Mankey</v>
      </c>
      <c r="F628" s="2" t="str">
        <f aca="false">LEFT(D628,ROUNDUP(LEN(D628)/2,0))&amp;LOWER(MID(E628,ROUNDUP(LEN(E628)/2,0)+1,20))</f>
        <v>Shrookey</v>
      </c>
      <c r="G628" s="8" t="str">
        <f aca="false">INDEX(Bases!$C$2:$C$53,B628)</f>
        <v>Grass</v>
      </c>
      <c r="H628" s="8" t="str">
        <f aca="false">IF(INDEX(Bases!$C$2:$C$53,C628)=G628,"",INDEX(Bases!$C$2:$C$53,C628))</f>
        <v>Fighting</v>
      </c>
      <c r="I628" s="8" t="str">
        <f aca="false">IF(INDEX(Bases!$E$2:$E$53,B628)="","",INDEX(Bases!$E$2:$E$53,B628))</f>
        <v/>
      </c>
      <c r="J628" s="8" t="str">
        <f aca="false">IF(INDEX(Bases!$E$2:$E$53,C628)="","",INDEX(Bases!$E$2:$E$53,C628))</f>
        <v/>
      </c>
      <c r="K628" s="5"/>
      <c r="L628" s="2" t="n">
        <f aca="false">AE628+IF(SUMPRODUCT(--($AL628:$AQ628&gt;AL628))&lt;$AK628,1,0)</f>
        <v>83</v>
      </c>
      <c r="M628" s="2" t="n">
        <f aca="false">AF628+IF(SUMPRODUCT(--($AL628:$AQ628&gt;AM628))+SUMPRODUCT(--($AL628:AL628=AM628))&lt;$AK628,1,0)</f>
        <v>102</v>
      </c>
      <c r="N628" s="2" t="n">
        <f aca="false">AG628+IF(SUMPRODUCT(--($AL628:$AQ628&gt;AN628))+SUMPRODUCT(--($AL628:AM628=AN628))&lt;$AK628,1,0)</f>
        <v>80</v>
      </c>
      <c r="O628" s="2" t="n">
        <f aca="false">AH628+IF(SUMPRODUCT(--($AL628:$AQ628&gt;AO628))+SUMPRODUCT(--($AL628:AN628=AO628))&lt;$AK628,1,0)</f>
        <v>60</v>
      </c>
      <c r="P628" s="2" t="n">
        <f aca="false">AI628+IF(SUMPRODUCT(--($AL628:$AQ628&gt;AP628))+SUMPRODUCT(--($AL628:AO628=AP628))&lt;$AK628,1,0)</f>
        <v>85</v>
      </c>
      <c r="Q628" s="2" t="n">
        <f aca="false">AJ628+IF(SUMPRODUCT(--($AL628:$AQ628&gt;AQ628))+SUMPRODUCT(--($AL628:AP628=AQ628))&lt;$AK628,1,0)</f>
        <v>90</v>
      </c>
      <c r="R628" s="2" t="n">
        <f aca="false">SUM(L628:Q628)</f>
        <v>500</v>
      </c>
      <c r="S628" s="2" t="n">
        <f aca="false">Settings!$B$4*MAX(INDEX(Bases!$M$2:$M$53,B628),INDEX(Bases!$M$2:$M$53,C628))+Settings!$B$5*MIN(INDEX(Bases!$M$2:$M$53,B628),INDEX(Bases!$M$2:$M$53,C628))</f>
        <v>72</v>
      </c>
      <c r="T628" s="2" t="n">
        <f aca="false">Settings!$B$4*MAX(INDEX(Bases!$N$2:$N$53,B628),INDEX(Bases!$N$2:$N$53,C628))+Settings!$B$5*MIN(INDEX(Bases!$N$2:$N$53,B628),INDEX(Bases!$N$2:$N$53,C628))</f>
        <v>88</v>
      </c>
      <c r="U628" s="2" t="n">
        <f aca="false">Settings!$B$4*MAX(INDEX(Bases!$O$2:$O$53,B628),INDEX(Bases!$O$2:$O$53,C628))+Settings!$B$5*MIN(INDEX(Bases!$O$2:$O$53,B628),INDEX(Bases!$O$2:$O$53,C628))</f>
        <v>69.3333333333333</v>
      </c>
      <c r="V628" s="2" t="n">
        <f aca="false">Settings!$B$4*MAX(INDEX(Bases!$P$2:$P$53,B628),INDEX(Bases!$P$2:$P$53,C628))+Settings!$B$5*MIN(INDEX(Bases!$P$2:$P$53,B628),INDEX(Bases!$P$2:$P$53,C628))</f>
        <v>51.3333333333333</v>
      </c>
      <c r="W628" s="2" t="n">
        <f aca="false">Settings!$B$4*MAX(INDEX(Bases!$Q$2:$Q$53,B628),INDEX(Bases!$Q$2:$Q$53,C628))+Settings!$B$5*MIN(INDEX(Bases!$Q$2:$Q$53,B628),INDEX(Bases!$Q$2:$Q$53,C628))</f>
        <v>73.6666666666667</v>
      </c>
      <c r="X628" s="2" t="n">
        <f aca="false">Settings!$B$4*MAX(INDEX(Bases!$R$2:$R$53,B628),INDEX(Bases!$R$2:$R$53,C628))+Settings!$B$5*MIN(INDEX(Bases!$R$2:$R$53,B628),INDEX(Bases!$R$2:$R$53,C628))</f>
        <v>77.3333333333333</v>
      </c>
      <c r="Y628" s="2" t="n">
        <f aca="false">S628*Settings!$B$3/SUM(S628:X628)</f>
        <v>83.3976833976834</v>
      </c>
      <c r="Z628" s="2" t="n">
        <f aca="false">T628*Settings!$B$3/SUM(S628:X628)</f>
        <v>101.930501930502</v>
      </c>
      <c r="AA628" s="2" t="n">
        <f aca="false">U628*Settings!$B$3/SUM(S628:X628)</f>
        <v>80.3088803088803</v>
      </c>
      <c r="AB628" s="2" t="n">
        <f aca="false">V628*Settings!$B$3/SUM(S628:X628)</f>
        <v>59.4594594594595</v>
      </c>
      <c r="AC628" s="2" t="n">
        <f aca="false">W628*Settings!$B$3/SUM(S628:X628)</f>
        <v>85.3281853281853</v>
      </c>
      <c r="AD628" s="2" t="n">
        <f aca="false">X628*Settings!$B$3/SUM(S628:X628)</f>
        <v>89.5752895752896</v>
      </c>
      <c r="AE628" s="2" t="n">
        <f aca="false">INT(Y628)</f>
        <v>83</v>
      </c>
      <c r="AF628" s="2" t="n">
        <f aca="false">INT(Z628)</f>
        <v>101</v>
      </c>
      <c r="AG628" s="2" t="n">
        <f aca="false">INT(AA628)</f>
        <v>80</v>
      </c>
      <c r="AH628" s="2" t="n">
        <f aca="false">INT(AB628)</f>
        <v>59</v>
      </c>
      <c r="AI628" s="2" t="n">
        <f aca="false">INT(AC628)</f>
        <v>85</v>
      </c>
      <c r="AJ628" s="2" t="n">
        <f aca="false">INT(AD628)</f>
        <v>89</v>
      </c>
      <c r="AK628" s="2" t="n">
        <f aca="false">Settings!$B$3-SUM(AE628:AJ628)</f>
        <v>3</v>
      </c>
      <c r="AL628" s="2" t="n">
        <f aca="false">ROUND(Y628-AE628,9)</f>
        <v>0.397683398</v>
      </c>
      <c r="AM628" s="2" t="n">
        <f aca="false">ROUND(Z628-AF628,9)</f>
        <v>0.930501931</v>
      </c>
      <c r="AN628" s="2" t="n">
        <f aca="false">ROUND(AA628-AG628,9)</f>
        <v>0.308880309</v>
      </c>
      <c r="AO628" s="2" t="n">
        <f aca="false">ROUND(AB628-AH628,9)</f>
        <v>0.459459459</v>
      </c>
      <c r="AP628" s="2" t="n">
        <f aca="false">ROUND(AC628-AI628,9)</f>
        <v>0.328185328</v>
      </c>
      <c r="AQ628" s="2" t="n">
        <f aca="false">ROUND(AD628-AJ628,9)</f>
        <v>0.575289575</v>
      </c>
    </row>
    <row r="629" customFormat="false" ht="15" hidden="false" customHeight="false" outlineLevel="0" collapsed="false">
      <c r="A629" s="2" t="n">
        <v>628</v>
      </c>
      <c r="B629" s="6" t="n">
        <v>15</v>
      </c>
      <c r="C629" s="6" t="n">
        <v>20</v>
      </c>
      <c r="D629" s="8" t="str">
        <f aca="false">INDEX(Bases!$B$2:$B$53,B629)</f>
        <v>Shroomish</v>
      </c>
      <c r="E629" s="8" t="str">
        <f aca="false">INDEX(Bases!$B$2:$B$53,C629)</f>
        <v>Tyrogue</v>
      </c>
      <c r="F629" s="2" t="str">
        <f aca="false">LEFT(D629,ROUNDUP(LEN(D629)/2,0))&amp;LOWER(MID(E629,ROUNDUP(LEN(E629)/2,0)+1,20))</f>
        <v>Shroogue</v>
      </c>
      <c r="G629" s="8" t="str">
        <f aca="false">INDEX(Bases!$C$2:$C$53,B629)</f>
        <v>Grass</v>
      </c>
      <c r="H629" s="8" t="str">
        <f aca="false">IF(INDEX(Bases!$C$2:$C$53,C629)=G629,"",INDEX(Bases!$C$2:$C$53,C629))</f>
        <v>Fighting</v>
      </c>
      <c r="I629" s="8" t="str">
        <f aca="false">IF(INDEX(Bases!$E$2:$E$53,B629)="","",INDEX(Bases!$E$2:$E$53,B629))</f>
        <v/>
      </c>
      <c r="J629" s="8" t="str">
        <f aca="false">IF(INDEX(Bases!$E$2:$E$53,C629)="","",INDEX(Bases!$E$2:$E$53,C629))</f>
        <v/>
      </c>
      <c r="K629" s="5"/>
      <c r="L629" s="2" t="n">
        <f aca="false">AE629+IF(SUMPRODUCT(--($AL629:$AQ629&gt;AL629))&lt;$AK629,1,0)</f>
        <v>93</v>
      </c>
      <c r="M629" s="2" t="n">
        <f aca="false">AF629+IF(SUMPRODUCT(--($AL629:$AQ629&gt;AM629))+SUMPRODUCT(--($AL629:AL629=AM629))&lt;$AK629,1,0)</f>
        <v>76</v>
      </c>
      <c r="N629" s="2" t="n">
        <f aca="false">AG629+IF(SUMPRODUCT(--($AL629:$AQ629&gt;AN629))+SUMPRODUCT(--($AL629:AM629=AN629))&lt;$AK629,1,0)</f>
        <v>92</v>
      </c>
      <c r="O629" s="2" t="n">
        <f aca="false">AH629+IF(SUMPRODUCT(--($AL629:$AQ629&gt;AO629))+SUMPRODUCT(--($AL629:AN629=AO629))&lt;$AK629,1,0)</f>
        <v>75</v>
      </c>
      <c r="P629" s="2" t="n">
        <f aca="false">AI629+IF(SUMPRODUCT(--($AL629:$AQ629&gt;AP629))+SUMPRODUCT(--($AL629:AO629=AP629))&lt;$AK629,1,0)</f>
        <v>92</v>
      </c>
      <c r="Q629" s="2" t="n">
        <f aca="false">AJ629+IF(SUMPRODUCT(--($AL629:$AQ629&gt;AQ629))+SUMPRODUCT(--($AL629:AP629=AQ629))&lt;$AK629,1,0)</f>
        <v>72</v>
      </c>
      <c r="R629" s="2" t="n">
        <f aca="false">SUM(L629:Q629)</f>
        <v>500</v>
      </c>
      <c r="S629" s="2" t="n">
        <f aca="false">Settings!$B$4*MAX(INDEX(Bases!$M$2:$M$53,B629),INDEX(Bases!$M$2:$M$53,C629))+Settings!$B$5*MIN(INDEX(Bases!$M$2:$M$53,B629),INDEX(Bases!$M$2:$M$53,C629))</f>
        <v>77</v>
      </c>
      <c r="T629" s="2" t="n">
        <f aca="false">Settings!$B$4*MAX(INDEX(Bases!$N$2:$N$53,B629),INDEX(Bases!$N$2:$N$53,C629))+Settings!$B$5*MIN(INDEX(Bases!$N$2:$N$53,B629),INDEX(Bases!$N$2:$N$53,C629))</f>
        <v>62.6666666666667</v>
      </c>
      <c r="U629" s="2" t="n">
        <f aca="false">Settings!$B$4*MAX(INDEX(Bases!$O$2:$O$53,B629),INDEX(Bases!$O$2:$O$53,C629))+Settings!$B$5*MIN(INDEX(Bases!$O$2:$O$53,B629),INDEX(Bases!$O$2:$O$53,C629))</f>
        <v>76.3333333333333</v>
      </c>
      <c r="V629" s="2" t="n">
        <f aca="false">Settings!$B$4*MAX(INDEX(Bases!$P$2:$P$53,B629),INDEX(Bases!$P$2:$P$53,C629))+Settings!$B$5*MIN(INDEX(Bases!$P$2:$P$53,B629),INDEX(Bases!$P$2:$P$53,C629))</f>
        <v>62.6666666666667</v>
      </c>
      <c r="W629" s="2" t="n">
        <f aca="false">Settings!$B$4*MAX(INDEX(Bases!$Q$2:$Q$53,B629),INDEX(Bases!$Q$2:$Q$53,C629))+Settings!$B$5*MIN(INDEX(Bases!$Q$2:$Q$53,B629),INDEX(Bases!$Q$2:$Q$53,C629))</f>
        <v>76</v>
      </c>
      <c r="X629" s="2" t="n">
        <f aca="false">Settings!$B$4*MAX(INDEX(Bases!$R$2:$R$53,B629),INDEX(Bases!$R$2:$R$53,C629))+Settings!$B$5*MIN(INDEX(Bases!$R$2:$R$53,B629),INDEX(Bases!$R$2:$R$53,C629))</f>
        <v>60</v>
      </c>
      <c r="Y629" s="2" t="n">
        <f aca="false">S629*Settings!$B$3/SUM(S629:X629)</f>
        <v>92.8456591639871</v>
      </c>
      <c r="Z629" s="2" t="n">
        <f aca="false">T629*Settings!$B$3/SUM(S629:X629)</f>
        <v>75.5627009646302</v>
      </c>
      <c r="AA629" s="2" t="n">
        <f aca="false">U629*Settings!$B$3/SUM(S629:X629)</f>
        <v>92.0418006430868</v>
      </c>
      <c r="AB629" s="2" t="n">
        <f aca="false">V629*Settings!$B$3/SUM(S629:X629)</f>
        <v>75.5627009646302</v>
      </c>
      <c r="AC629" s="2" t="n">
        <f aca="false">W629*Settings!$B$3/SUM(S629:X629)</f>
        <v>91.6398713826367</v>
      </c>
      <c r="AD629" s="2" t="n">
        <f aca="false">X629*Settings!$B$3/SUM(S629:X629)</f>
        <v>72.3472668810289</v>
      </c>
      <c r="AE629" s="2" t="n">
        <f aca="false">INT(Y629)</f>
        <v>92</v>
      </c>
      <c r="AF629" s="2" t="n">
        <f aca="false">INT(Z629)</f>
        <v>75</v>
      </c>
      <c r="AG629" s="2" t="n">
        <f aca="false">INT(AA629)</f>
        <v>92</v>
      </c>
      <c r="AH629" s="2" t="n">
        <f aca="false">INT(AB629)</f>
        <v>75</v>
      </c>
      <c r="AI629" s="2" t="n">
        <f aca="false">INT(AC629)</f>
        <v>91</v>
      </c>
      <c r="AJ629" s="2" t="n">
        <f aca="false">INT(AD629)</f>
        <v>72</v>
      </c>
      <c r="AK629" s="2" t="n">
        <f aca="false">Settings!$B$3-SUM(AE629:AJ629)</f>
        <v>3</v>
      </c>
      <c r="AL629" s="2" t="n">
        <f aca="false">ROUND(Y629-AE629,9)</f>
        <v>0.845659164</v>
      </c>
      <c r="AM629" s="2" t="n">
        <f aca="false">ROUND(Z629-AF629,9)</f>
        <v>0.562700965</v>
      </c>
      <c r="AN629" s="2" t="n">
        <f aca="false">ROUND(AA629-AG629,9)</f>
        <v>0.041800643</v>
      </c>
      <c r="AO629" s="2" t="n">
        <f aca="false">ROUND(AB629-AH629,9)</f>
        <v>0.562700965</v>
      </c>
      <c r="AP629" s="2" t="n">
        <f aca="false">ROUND(AC629-AI629,9)</f>
        <v>0.639871383</v>
      </c>
      <c r="AQ629" s="2" t="n">
        <f aca="false">ROUND(AD629-AJ629,9)</f>
        <v>0.347266881</v>
      </c>
    </row>
    <row r="630" customFormat="false" ht="15" hidden="false" customHeight="false" outlineLevel="0" collapsed="false">
      <c r="A630" s="2" t="n">
        <v>629</v>
      </c>
      <c r="B630" s="6" t="n">
        <v>15</v>
      </c>
      <c r="C630" s="6" t="n">
        <v>21</v>
      </c>
      <c r="D630" s="8" t="str">
        <f aca="false">INDEX(Bases!$B$2:$B$53,B630)</f>
        <v>Shroomish</v>
      </c>
      <c r="E630" s="8" t="str">
        <f aca="false">INDEX(Bases!$B$2:$B$53,C630)</f>
        <v>Makuhita</v>
      </c>
      <c r="F630" s="2" t="str">
        <f aca="false">LEFT(D630,ROUNDUP(LEN(D630)/2,0))&amp;LOWER(MID(E630,ROUNDUP(LEN(E630)/2,0)+1,20))</f>
        <v>Shroohita</v>
      </c>
      <c r="G630" s="8" t="str">
        <f aca="false">INDEX(Bases!$C$2:$C$53,B630)</f>
        <v>Grass</v>
      </c>
      <c r="H630" s="8" t="str">
        <f aca="false">IF(INDEX(Bases!$C$2:$C$53,C630)=G630,"",INDEX(Bases!$C$2:$C$53,C630))</f>
        <v>Fighting</v>
      </c>
      <c r="I630" s="8" t="str">
        <f aca="false">IF(INDEX(Bases!$E$2:$E$53,B630)="","",INDEX(Bases!$E$2:$E$53,B630))</f>
        <v/>
      </c>
      <c r="J630" s="8" t="str">
        <f aca="false">IF(INDEX(Bases!$E$2:$E$53,C630)="","",INDEX(Bases!$E$2:$E$53,C630))</f>
        <v/>
      </c>
      <c r="K630" s="5"/>
      <c r="L630" s="2" t="n">
        <f aca="false">AE630+IF(SUMPRODUCT(--($AL630:$AQ630&gt;AL630))&lt;$AK630,1,0)</f>
        <v>126</v>
      </c>
      <c r="M630" s="2" t="n">
        <f aca="false">AF630+IF(SUMPRODUCT(--($AL630:$AQ630&gt;AM630))+SUMPRODUCT(--($AL630:AL630=AM630))&lt;$AK630,1,0)</f>
        <v>99</v>
      </c>
      <c r="N630" s="2" t="n">
        <f aca="false">AG630+IF(SUMPRODUCT(--($AL630:$AQ630&gt;AN630))+SUMPRODUCT(--($AL630:AM630=AN630))&lt;$AK630,1,0)</f>
        <v>83</v>
      </c>
      <c r="O630" s="2" t="n">
        <f aca="false">AH630+IF(SUMPRODUCT(--($AL630:$AQ630&gt;AO630))+SUMPRODUCT(--($AL630:AN630=AO630))&lt;$AK630,1,0)</f>
        <v>55</v>
      </c>
      <c r="P630" s="2" t="n">
        <f aca="false">AI630+IF(SUMPRODUCT(--($AL630:$AQ630&gt;AP630))+SUMPRODUCT(--($AL630:AO630=AP630))&lt;$AK630,1,0)</f>
        <v>83</v>
      </c>
      <c r="Q630" s="2" t="n">
        <f aca="false">AJ630+IF(SUMPRODUCT(--($AL630:$AQ630&gt;AQ630))+SUMPRODUCT(--($AL630:AP630=AQ630))&lt;$AK630,1,0)</f>
        <v>54</v>
      </c>
      <c r="R630" s="2" t="n">
        <f aca="false">SUM(L630:Q630)</f>
        <v>500</v>
      </c>
      <c r="S630" s="2" t="n">
        <f aca="false">Settings!$B$4*MAX(INDEX(Bases!$M$2:$M$53,B630),INDEX(Bases!$M$2:$M$53,C630))+Settings!$B$5*MIN(INDEX(Bases!$M$2:$M$53,B630),INDEX(Bases!$M$2:$M$53,C630))</f>
        <v>108</v>
      </c>
      <c r="T630" s="2" t="n">
        <f aca="false">Settings!$B$4*MAX(INDEX(Bases!$N$2:$N$53,B630),INDEX(Bases!$N$2:$N$53,C630))+Settings!$B$5*MIN(INDEX(Bases!$N$2:$N$53,B630),INDEX(Bases!$N$2:$N$53,C630))</f>
        <v>85.3333333333333</v>
      </c>
      <c r="U630" s="2" t="n">
        <f aca="false">Settings!$B$4*MAX(INDEX(Bases!$O$2:$O$53,B630),INDEX(Bases!$O$2:$O$53,C630))+Settings!$B$5*MIN(INDEX(Bases!$O$2:$O$53,B630),INDEX(Bases!$O$2:$O$53,C630))</f>
        <v>71</v>
      </c>
      <c r="V630" s="2" t="n">
        <f aca="false">Settings!$B$4*MAX(INDEX(Bases!$P$2:$P$53,B630),INDEX(Bases!$P$2:$P$53,C630))+Settings!$B$5*MIN(INDEX(Bases!$P$2:$P$53,B630),INDEX(Bases!$P$2:$P$53,C630))</f>
        <v>47.3333333333333</v>
      </c>
      <c r="W630" s="2" t="n">
        <f aca="false">Settings!$B$4*MAX(INDEX(Bases!$Q$2:$Q$53,B630),INDEX(Bases!$Q$2:$Q$53,C630))+Settings!$B$5*MIN(INDEX(Bases!$Q$2:$Q$53,B630),INDEX(Bases!$Q$2:$Q$53,C630))</f>
        <v>71</v>
      </c>
      <c r="X630" s="2" t="n">
        <f aca="false">Settings!$B$4*MAX(INDEX(Bases!$R$2:$R$53,B630),INDEX(Bases!$R$2:$R$53,C630))+Settings!$B$5*MIN(INDEX(Bases!$R$2:$R$53,B630),INDEX(Bases!$R$2:$R$53,C630))</f>
        <v>46</v>
      </c>
      <c r="Y630" s="2" t="n">
        <f aca="false">S630*Settings!$B$3/SUM(S630:X630)</f>
        <v>125.97200622084</v>
      </c>
      <c r="Z630" s="2" t="n">
        <f aca="false">T630*Settings!$B$3/SUM(S630:X630)</f>
        <v>99.5334370139969</v>
      </c>
      <c r="AA630" s="2" t="n">
        <f aca="false">U630*Settings!$B$3/SUM(S630:X630)</f>
        <v>82.8149300155521</v>
      </c>
      <c r="AB630" s="2" t="n">
        <f aca="false">V630*Settings!$B$3/SUM(S630:X630)</f>
        <v>55.2099533437014</v>
      </c>
      <c r="AC630" s="2" t="n">
        <f aca="false">W630*Settings!$B$3/SUM(S630:X630)</f>
        <v>82.8149300155521</v>
      </c>
      <c r="AD630" s="2" t="n">
        <f aca="false">X630*Settings!$B$3/SUM(S630:X630)</f>
        <v>53.6547433903577</v>
      </c>
      <c r="AE630" s="2" t="n">
        <f aca="false">INT(Y630)</f>
        <v>125</v>
      </c>
      <c r="AF630" s="2" t="n">
        <f aca="false">INT(Z630)</f>
        <v>99</v>
      </c>
      <c r="AG630" s="2" t="n">
        <f aca="false">INT(AA630)</f>
        <v>82</v>
      </c>
      <c r="AH630" s="2" t="n">
        <f aca="false">INT(AB630)</f>
        <v>55</v>
      </c>
      <c r="AI630" s="2" t="n">
        <f aca="false">INT(AC630)</f>
        <v>82</v>
      </c>
      <c r="AJ630" s="2" t="n">
        <f aca="false">INT(AD630)</f>
        <v>53</v>
      </c>
      <c r="AK630" s="2" t="n">
        <f aca="false">Settings!$B$3-SUM(AE630:AJ630)</f>
        <v>4</v>
      </c>
      <c r="AL630" s="2" t="n">
        <f aca="false">ROUND(Y630-AE630,9)</f>
        <v>0.972006221</v>
      </c>
      <c r="AM630" s="2" t="n">
        <f aca="false">ROUND(Z630-AF630,9)</f>
        <v>0.533437014</v>
      </c>
      <c r="AN630" s="2" t="n">
        <f aca="false">ROUND(AA630-AG630,9)</f>
        <v>0.814930016</v>
      </c>
      <c r="AO630" s="2" t="n">
        <f aca="false">ROUND(AB630-AH630,9)</f>
        <v>0.209953344</v>
      </c>
      <c r="AP630" s="2" t="n">
        <f aca="false">ROUND(AC630-AI630,9)</f>
        <v>0.814930016</v>
      </c>
      <c r="AQ630" s="2" t="n">
        <f aca="false">ROUND(AD630-AJ630,9)</f>
        <v>0.65474339</v>
      </c>
    </row>
    <row r="631" customFormat="false" ht="15" hidden="false" customHeight="false" outlineLevel="0" collapsed="false">
      <c r="A631" s="2" t="n">
        <v>630</v>
      </c>
      <c r="B631" s="6" t="n">
        <v>15</v>
      </c>
      <c r="C631" s="6" t="n">
        <v>22</v>
      </c>
      <c r="D631" s="8" t="str">
        <f aca="false">INDEX(Bases!$B$2:$B$53,B631)</f>
        <v>Shroomish</v>
      </c>
      <c r="E631" s="8" t="str">
        <f aca="false">INDEX(Bases!$B$2:$B$53,C631)</f>
        <v>Ekans</v>
      </c>
      <c r="F631" s="2" t="str">
        <f aca="false">LEFT(D631,ROUNDUP(LEN(D631)/2,0))&amp;LOWER(MID(E631,ROUNDUP(LEN(E631)/2,0)+1,20))</f>
        <v>Shroons</v>
      </c>
      <c r="G631" s="8" t="str">
        <f aca="false">INDEX(Bases!$C$2:$C$53,B631)</f>
        <v>Grass</v>
      </c>
      <c r="H631" s="8" t="str">
        <f aca="false">IF(INDEX(Bases!$C$2:$C$53,C631)=G631,"",INDEX(Bases!$C$2:$C$53,C631))</f>
        <v>Poison</v>
      </c>
      <c r="I631" s="8" t="str">
        <f aca="false">IF(INDEX(Bases!$E$2:$E$53,B631)="","",INDEX(Bases!$E$2:$E$53,B631))</f>
        <v/>
      </c>
      <c r="J631" s="8" t="str">
        <f aca="false">IF(INDEX(Bases!$E$2:$E$53,C631)="","",INDEX(Bases!$E$2:$E$53,C631))</f>
        <v/>
      </c>
      <c r="K631" s="5"/>
      <c r="L631" s="2" t="n">
        <f aca="false">AE631+IF(SUMPRODUCT(--($AL631:$AQ631&gt;AL631))&lt;$AK631,1,0)</f>
        <v>85</v>
      </c>
      <c r="M631" s="2" t="n">
        <f aca="false">AF631+IF(SUMPRODUCT(--($AL631:$AQ631&gt;AM631))+SUMPRODUCT(--($AL631:AL631=AM631))&lt;$AK631,1,0)</f>
        <v>87</v>
      </c>
      <c r="N631" s="2" t="n">
        <f aca="false">AG631+IF(SUMPRODUCT(--($AL631:$AQ631&gt;AN631))+SUMPRODUCT(--($AL631:AM631=AN631))&lt;$AK631,1,0)</f>
        <v>89</v>
      </c>
      <c r="O631" s="2" t="n">
        <f aca="false">AH631+IF(SUMPRODUCT(--($AL631:$AQ631&gt;AO631))+SUMPRODUCT(--($AL631:AN631=AO631))&lt;$AK631,1,0)</f>
        <v>66</v>
      </c>
      <c r="P631" s="2" t="n">
        <f aca="false">AI631+IF(SUMPRODUCT(--($AL631:$AQ631&gt;AP631))+SUMPRODUCT(--($AL631:AO631=AP631))&lt;$AK631,1,0)</f>
        <v>94</v>
      </c>
      <c r="Q631" s="2" t="n">
        <f aca="false">AJ631+IF(SUMPRODUCT(--($AL631:$AQ631&gt;AQ631))+SUMPRODUCT(--($AL631:AP631=AQ631))&lt;$AK631,1,0)</f>
        <v>79</v>
      </c>
      <c r="R631" s="2" t="n">
        <f aca="false">SUM(L631:Q631)</f>
        <v>500</v>
      </c>
      <c r="S631" s="2" t="n">
        <f aca="false">Settings!$B$4*MAX(INDEX(Bases!$M$2:$M$53,B631),INDEX(Bases!$M$2:$M$53,C631))+Settings!$B$5*MIN(INDEX(Bases!$M$2:$M$53,B631),INDEX(Bases!$M$2:$M$53,C631))</f>
        <v>71</v>
      </c>
      <c r="T631" s="2" t="n">
        <f aca="false">Settings!$B$4*MAX(INDEX(Bases!$N$2:$N$53,B631),INDEX(Bases!$N$2:$N$53,C631))+Settings!$B$5*MIN(INDEX(Bases!$N$2:$N$53,B631),INDEX(Bases!$N$2:$N$53,C631))</f>
        <v>73.3333333333333</v>
      </c>
      <c r="U631" s="2" t="n">
        <f aca="false">Settings!$B$4*MAX(INDEX(Bases!$O$2:$O$53,B631),INDEX(Bases!$O$2:$O$53,C631))+Settings!$B$5*MIN(INDEX(Bases!$O$2:$O$53,B631),INDEX(Bases!$O$2:$O$53,C631))</f>
        <v>74.3333333333333</v>
      </c>
      <c r="V631" s="2" t="n">
        <f aca="false">Settings!$B$4*MAX(INDEX(Bases!$P$2:$P$53,B631),INDEX(Bases!$P$2:$P$53,C631))+Settings!$B$5*MIN(INDEX(Bases!$P$2:$P$53,B631),INDEX(Bases!$P$2:$P$53,C631))</f>
        <v>55.3333333333333</v>
      </c>
      <c r="W631" s="2" t="n">
        <f aca="false">Settings!$B$4*MAX(INDEX(Bases!$Q$2:$Q$53,B631),INDEX(Bases!$Q$2:$Q$53,C631))+Settings!$B$5*MIN(INDEX(Bases!$Q$2:$Q$53,B631),INDEX(Bases!$Q$2:$Q$53,C631))</f>
        <v>79</v>
      </c>
      <c r="X631" s="2" t="n">
        <f aca="false">Settings!$B$4*MAX(INDEX(Bases!$R$2:$R$53,B631),INDEX(Bases!$R$2:$R$53,C631))+Settings!$B$5*MIN(INDEX(Bases!$R$2:$R$53,B631),INDEX(Bases!$R$2:$R$53,C631))</f>
        <v>66.6666666666667</v>
      </c>
      <c r="Y631" s="2" t="n">
        <f aca="false">S631*Settings!$B$3/SUM(S631:X631)</f>
        <v>84.5909451945989</v>
      </c>
      <c r="Z631" s="2" t="n">
        <f aca="false">T631*Settings!$B$3/SUM(S631:X631)</f>
        <v>87.3709293089754</v>
      </c>
      <c r="AA631" s="2" t="n">
        <f aca="false">U631*Settings!$B$3/SUM(S631:X631)</f>
        <v>88.5623510722796</v>
      </c>
      <c r="AB631" s="2" t="n">
        <f aca="false">V631*Settings!$B$3/SUM(S631:X631)</f>
        <v>65.9253375694996</v>
      </c>
      <c r="AC631" s="2" t="n">
        <f aca="false">W631*Settings!$B$3/SUM(S631:X631)</f>
        <v>94.1223193010326</v>
      </c>
      <c r="AD631" s="2" t="n">
        <f aca="false">X631*Settings!$B$3/SUM(S631:X631)</f>
        <v>79.428117553614</v>
      </c>
      <c r="AE631" s="2" t="n">
        <f aca="false">INT(Y631)</f>
        <v>84</v>
      </c>
      <c r="AF631" s="2" t="n">
        <f aca="false">INT(Z631)</f>
        <v>87</v>
      </c>
      <c r="AG631" s="2" t="n">
        <f aca="false">INT(AA631)</f>
        <v>88</v>
      </c>
      <c r="AH631" s="2" t="n">
        <f aca="false">INT(AB631)</f>
        <v>65</v>
      </c>
      <c r="AI631" s="2" t="n">
        <f aca="false">INT(AC631)</f>
        <v>94</v>
      </c>
      <c r="AJ631" s="2" t="n">
        <f aca="false">INT(AD631)</f>
        <v>79</v>
      </c>
      <c r="AK631" s="2" t="n">
        <f aca="false">Settings!$B$3-SUM(AE631:AJ631)</f>
        <v>3</v>
      </c>
      <c r="AL631" s="2" t="n">
        <f aca="false">ROUND(Y631-AE631,9)</f>
        <v>0.590945195</v>
      </c>
      <c r="AM631" s="2" t="n">
        <f aca="false">ROUND(Z631-AF631,9)</f>
        <v>0.370929309</v>
      </c>
      <c r="AN631" s="2" t="n">
        <f aca="false">ROUND(AA631-AG631,9)</f>
        <v>0.562351072</v>
      </c>
      <c r="AO631" s="2" t="n">
        <f aca="false">ROUND(AB631-AH631,9)</f>
        <v>0.925337569</v>
      </c>
      <c r="AP631" s="2" t="n">
        <f aca="false">ROUND(AC631-AI631,9)</f>
        <v>0.122319301</v>
      </c>
      <c r="AQ631" s="2" t="n">
        <f aca="false">ROUND(AD631-AJ631,9)</f>
        <v>0.428117554</v>
      </c>
    </row>
    <row r="632" customFormat="false" ht="15" hidden="false" customHeight="false" outlineLevel="0" collapsed="false">
      <c r="A632" s="2" t="n">
        <v>631</v>
      </c>
      <c r="B632" s="6" t="n">
        <v>15</v>
      </c>
      <c r="C632" s="6" t="n">
        <v>23</v>
      </c>
      <c r="D632" s="8" t="str">
        <f aca="false">INDEX(Bases!$B$2:$B$53,B632)</f>
        <v>Shroomish</v>
      </c>
      <c r="E632" s="8" t="str">
        <f aca="false">INDEX(Bases!$B$2:$B$53,C632)</f>
        <v>Gulpin</v>
      </c>
      <c r="F632" s="2" t="str">
        <f aca="false">LEFT(D632,ROUNDUP(LEN(D632)/2,0))&amp;LOWER(MID(E632,ROUNDUP(LEN(E632)/2,0)+1,20))</f>
        <v>Shroopin</v>
      </c>
      <c r="G632" s="8" t="str">
        <f aca="false">INDEX(Bases!$C$2:$C$53,B632)</f>
        <v>Grass</v>
      </c>
      <c r="H632" s="8" t="str">
        <f aca="false">IF(INDEX(Bases!$C$2:$C$53,C632)=G632,"",INDEX(Bases!$C$2:$C$53,C632))</f>
        <v>Poison</v>
      </c>
      <c r="I632" s="8" t="str">
        <f aca="false">IF(INDEX(Bases!$E$2:$E$53,B632)="","",INDEX(Bases!$E$2:$E$53,B632))</f>
        <v/>
      </c>
      <c r="J632" s="8" t="str">
        <f aca="false">IF(INDEX(Bases!$E$2:$E$53,C632)="","",INDEX(Bases!$E$2:$E$53,C632))</f>
        <v/>
      </c>
      <c r="K632" s="5"/>
      <c r="L632" s="2" t="n">
        <f aca="false">AE632+IF(SUMPRODUCT(--($AL632:$AQ632&gt;AL632))&lt;$AK632,1,0)</f>
        <v>109</v>
      </c>
      <c r="M632" s="2" t="n">
        <f aca="false">AF632+IF(SUMPRODUCT(--($AL632:$AQ632&gt;AM632))+SUMPRODUCT(--($AL632:AL632=AM632))&lt;$AK632,1,0)</f>
        <v>69</v>
      </c>
      <c r="N632" s="2" t="n">
        <f aca="false">AG632+IF(SUMPRODUCT(--($AL632:$AQ632&gt;AN632))+SUMPRODUCT(--($AL632:AM632=AN632))&lt;$AK632,1,0)</f>
        <v>95</v>
      </c>
      <c r="O632" s="2" t="n">
        <f aca="false">AH632+IF(SUMPRODUCT(--($AL632:$AQ632&gt;AO632))+SUMPRODUCT(--($AL632:AN632=AO632))&lt;$AK632,1,0)</f>
        <v>69</v>
      </c>
      <c r="P632" s="2" t="n">
        <f aca="false">AI632+IF(SUMPRODUCT(--($AL632:$AQ632&gt;AP632))+SUMPRODUCT(--($AL632:AO632=AP632))&lt;$AK632,1,0)</f>
        <v>95</v>
      </c>
      <c r="Q632" s="2" t="n">
        <f aca="false">AJ632+IF(SUMPRODUCT(--($AL632:$AQ632&gt;AQ632))+SUMPRODUCT(--($AL632:AP632=AQ632))&lt;$AK632,1,0)</f>
        <v>63</v>
      </c>
      <c r="R632" s="2" t="n">
        <f aca="false">SUM(L632:Q632)</f>
        <v>500</v>
      </c>
      <c r="S632" s="2" t="n">
        <f aca="false">Settings!$B$4*MAX(INDEX(Bases!$M$2:$M$53,B632),INDEX(Bases!$M$2:$M$53,C632))+Settings!$B$5*MIN(INDEX(Bases!$M$2:$M$53,B632),INDEX(Bases!$M$2:$M$53,C632))</f>
        <v>89.3333333333333</v>
      </c>
      <c r="T632" s="2" t="n">
        <f aca="false">Settings!$B$4*MAX(INDEX(Bases!$N$2:$N$53,B632),INDEX(Bases!$N$2:$N$53,C632))+Settings!$B$5*MIN(INDEX(Bases!$N$2:$N$53,B632),INDEX(Bases!$N$2:$N$53,C632))</f>
        <v>56</v>
      </c>
      <c r="U632" s="2" t="n">
        <f aca="false">Settings!$B$4*MAX(INDEX(Bases!$O$2:$O$53,B632),INDEX(Bases!$O$2:$O$53,C632))+Settings!$B$5*MIN(INDEX(Bases!$O$2:$O$53,B632),INDEX(Bases!$O$2:$O$53,C632))</f>
        <v>77.3333333333333</v>
      </c>
      <c r="V632" s="2" t="n">
        <f aca="false">Settings!$B$4*MAX(INDEX(Bases!$P$2:$P$53,B632),INDEX(Bases!$P$2:$P$53,C632))+Settings!$B$5*MIN(INDEX(Bases!$P$2:$P$53,B632),INDEX(Bases!$P$2:$P$53,C632))</f>
        <v>56</v>
      </c>
      <c r="W632" s="2" t="n">
        <f aca="false">Settings!$B$4*MAX(INDEX(Bases!$Q$2:$Q$53,B632),INDEX(Bases!$Q$2:$Q$53,C632))+Settings!$B$5*MIN(INDEX(Bases!$Q$2:$Q$53,B632),INDEX(Bases!$Q$2:$Q$53,C632))</f>
        <v>77.3333333333333</v>
      </c>
      <c r="X632" s="2" t="n">
        <f aca="false">Settings!$B$4*MAX(INDEX(Bases!$R$2:$R$53,B632),INDEX(Bases!$R$2:$R$53,C632))+Settings!$B$5*MIN(INDEX(Bases!$R$2:$R$53,B632),INDEX(Bases!$R$2:$R$53,C632))</f>
        <v>51.3333333333333</v>
      </c>
      <c r="Y632" s="2" t="n">
        <f aca="false">S632*Settings!$B$3/SUM(S632:X632)</f>
        <v>109.656301145663</v>
      </c>
      <c r="Z632" s="2" t="n">
        <f aca="false">T632*Settings!$B$3/SUM(S632:X632)</f>
        <v>68.7397708674305</v>
      </c>
      <c r="AA632" s="2" t="n">
        <f aca="false">U632*Settings!$B$3/SUM(S632:X632)</f>
        <v>94.9263502454992</v>
      </c>
      <c r="AB632" s="2" t="n">
        <f aca="false">V632*Settings!$B$3/SUM(S632:X632)</f>
        <v>68.7397708674305</v>
      </c>
      <c r="AC632" s="2" t="n">
        <f aca="false">W632*Settings!$B$3/SUM(S632:X632)</f>
        <v>94.9263502454992</v>
      </c>
      <c r="AD632" s="2" t="n">
        <f aca="false">X632*Settings!$B$3/SUM(S632:X632)</f>
        <v>63.0114566284779</v>
      </c>
      <c r="AE632" s="2" t="n">
        <f aca="false">INT(Y632)</f>
        <v>109</v>
      </c>
      <c r="AF632" s="2" t="n">
        <f aca="false">INT(Z632)</f>
        <v>68</v>
      </c>
      <c r="AG632" s="2" t="n">
        <f aca="false">INT(AA632)</f>
        <v>94</v>
      </c>
      <c r="AH632" s="2" t="n">
        <f aca="false">INT(AB632)</f>
        <v>68</v>
      </c>
      <c r="AI632" s="2" t="n">
        <f aca="false">INT(AC632)</f>
        <v>94</v>
      </c>
      <c r="AJ632" s="2" t="n">
        <f aca="false">INT(AD632)</f>
        <v>63</v>
      </c>
      <c r="AK632" s="2" t="n">
        <f aca="false">Settings!$B$3-SUM(AE632:AJ632)</f>
        <v>4</v>
      </c>
      <c r="AL632" s="2" t="n">
        <f aca="false">ROUND(Y632-AE632,9)</f>
        <v>0.656301146</v>
      </c>
      <c r="AM632" s="2" t="n">
        <f aca="false">ROUND(Z632-AF632,9)</f>
        <v>0.739770867</v>
      </c>
      <c r="AN632" s="2" t="n">
        <f aca="false">ROUND(AA632-AG632,9)</f>
        <v>0.926350245</v>
      </c>
      <c r="AO632" s="2" t="n">
        <f aca="false">ROUND(AB632-AH632,9)</f>
        <v>0.739770867</v>
      </c>
      <c r="AP632" s="2" t="n">
        <f aca="false">ROUND(AC632-AI632,9)</f>
        <v>0.926350245</v>
      </c>
      <c r="AQ632" s="2" t="n">
        <f aca="false">ROUND(AD632-AJ632,9)</f>
        <v>0.011456628</v>
      </c>
    </row>
    <row r="633" customFormat="false" ht="15" hidden="false" customHeight="false" outlineLevel="0" collapsed="false">
      <c r="A633" s="2" t="n">
        <v>632</v>
      </c>
      <c r="B633" s="6" t="n">
        <v>15</v>
      </c>
      <c r="C633" s="6" t="n">
        <v>24</v>
      </c>
      <c r="D633" s="8" t="str">
        <f aca="false">INDEX(Bases!$B$2:$B$53,B633)</f>
        <v>Shroomish</v>
      </c>
      <c r="E633" s="8" t="str">
        <f aca="false">INDEX(Bases!$B$2:$B$53,C633)</f>
        <v>Koffing</v>
      </c>
      <c r="F633" s="2" t="str">
        <f aca="false">LEFT(D633,ROUNDUP(LEN(D633)/2,0))&amp;LOWER(MID(E633,ROUNDUP(LEN(E633)/2,0)+1,20))</f>
        <v>Shrooing</v>
      </c>
      <c r="G633" s="8" t="str">
        <f aca="false">INDEX(Bases!$C$2:$C$53,B633)</f>
        <v>Grass</v>
      </c>
      <c r="H633" s="8" t="str">
        <f aca="false">IF(INDEX(Bases!$C$2:$C$53,C633)=G633,"",INDEX(Bases!$C$2:$C$53,C633))</f>
        <v>Poison</v>
      </c>
      <c r="I633" s="8" t="str">
        <f aca="false">IF(INDEX(Bases!$E$2:$E$53,B633)="","",INDEX(Bases!$E$2:$E$53,B633))</f>
        <v/>
      </c>
      <c r="J633" s="8" t="str">
        <f aca="false">IF(INDEX(Bases!$E$2:$E$53,C633)="","",INDEX(Bases!$E$2:$E$53,C633))</f>
        <v/>
      </c>
      <c r="K633" s="5"/>
      <c r="L633" s="2" t="n">
        <f aca="false">AE633+IF(SUMPRODUCT(--($AL633:$AQ633&gt;AL633))&lt;$AK633,1,0)</f>
        <v>83</v>
      </c>
      <c r="M633" s="2" t="n">
        <f aca="false">AF633+IF(SUMPRODUCT(--($AL633:$AQ633&gt;AM633))+SUMPRODUCT(--($AL633:AL633=AM633))&lt;$AK633,1,0)</f>
        <v>81</v>
      </c>
      <c r="N633" s="2" t="n">
        <f aca="false">AG633+IF(SUMPRODUCT(--($AL633:$AQ633&gt;AN633))+SUMPRODUCT(--($AL633:AM633=AN633))&lt;$AK633,1,0)</f>
        <v>120</v>
      </c>
      <c r="O633" s="2" t="n">
        <f aca="false">AH633+IF(SUMPRODUCT(--($AL633:$AQ633&gt;AO633))+SUMPRODUCT(--($AL633:AN633=AO633))&lt;$AK633,1,0)</f>
        <v>77</v>
      </c>
      <c r="P633" s="2" t="n">
        <f aca="false">AI633+IF(SUMPRODUCT(--($AL633:$AQ633&gt;AP633))+SUMPRODUCT(--($AL633:AO633=AP633))&lt;$AK633,1,0)</f>
        <v>85</v>
      </c>
      <c r="Q633" s="2" t="n">
        <f aca="false">AJ633+IF(SUMPRODUCT(--($AL633:$AQ633&gt;AQ633))+SUMPRODUCT(--($AL633:AP633=AQ633))&lt;$AK633,1,0)</f>
        <v>54</v>
      </c>
      <c r="R633" s="2" t="n">
        <f aca="false">SUM(L633:Q633)</f>
        <v>500</v>
      </c>
      <c r="S633" s="2" t="n">
        <f aca="false">Settings!$B$4*MAX(INDEX(Bases!$M$2:$M$53,B633),INDEX(Bases!$M$2:$M$53,C633))+Settings!$B$5*MIN(INDEX(Bases!$M$2:$M$53,B633),INDEX(Bases!$M$2:$M$53,C633))</f>
        <v>70.3333333333333</v>
      </c>
      <c r="T633" s="2" t="n">
        <f aca="false">Settings!$B$4*MAX(INDEX(Bases!$N$2:$N$53,B633),INDEX(Bases!$N$2:$N$53,C633))+Settings!$B$5*MIN(INDEX(Bases!$N$2:$N$53,B633),INDEX(Bases!$N$2:$N$53,C633))</f>
        <v>68.6666666666667</v>
      </c>
      <c r="U633" s="2" t="n">
        <f aca="false">Settings!$B$4*MAX(INDEX(Bases!$O$2:$O$53,B633),INDEX(Bases!$O$2:$O$53,C633))+Settings!$B$5*MIN(INDEX(Bases!$O$2:$O$53,B633),INDEX(Bases!$O$2:$O$53,C633))</f>
        <v>101.666666666667</v>
      </c>
      <c r="V633" s="2" t="n">
        <f aca="false">Settings!$B$4*MAX(INDEX(Bases!$P$2:$P$53,B633),INDEX(Bases!$P$2:$P$53,C633))+Settings!$B$5*MIN(INDEX(Bases!$P$2:$P$53,B633),INDEX(Bases!$P$2:$P$53,C633))</f>
        <v>65.3333333333333</v>
      </c>
      <c r="W633" s="2" t="n">
        <f aca="false">Settings!$B$4*MAX(INDEX(Bases!$Q$2:$Q$53,B633),INDEX(Bases!$Q$2:$Q$53,C633))+Settings!$B$5*MIN(INDEX(Bases!$Q$2:$Q$53,B633),INDEX(Bases!$Q$2:$Q$53,C633))</f>
        <v>71.6666666666667</v>
      </c>
      <c r="X633" s="2" t="n">
        <f aca="false">Settings!$B$4*MAX(INDEX(Bases!$R$2:$R$53,B633),INDEX(Bases!$R$2:$R$53,C633))+Settings!$B$5*MIN(INDEX(Bases!$R$2:$R$53,B633),INDEX(Bases!$R$2:$R$53,C633))</f>
        <v>45.6666666666667</v>
      </c>
      <c r="Y633" s="2" t="n">
        <f aca="false">S633*Settings!$B$3/SUM(S633:X633)</f>
        <v>83.0708661417323</v>
      </c>
      <c r="Z633" s="2" t="n">
        <f aca="false">T633*Settings!$B$3/SUM(S633:X633)</f>
        <v>81.1023622047244</v>
      </c>
      <c r="AA633" s="2" t="n">
        <f aca="false">U633*Settings!$B$3/SUM(S633:X633)</f>
        <v>120.07874015748</v>
      </c>
      <c r="AB633" s="2" t="n">
        <f aca="false">V633*Settings!$B$3/SUM(S633:X633)</f>
        <v>77.1653543307087</v>
      </c>
      <c r="AC633" s="2" t="n">
        <f aca="false">W633*Settings!$B$3/SUM(S633:X633)</f>
        <v>84.6456692913386</v>
      </c>
      <c r="AD633" s="2" t="n">
        <f aca="false">X633*Settings!$B$3/SUM(S633:X633)</f>
        <v>53.9370078740158</v>
      </c>
      <c r="AE633" s="2" t="n">
        <f aca="false">INT(Y633)</f>
        <v>83</v>
      </c>
      <c r="AF633" s="2" t="n">
        <f aca="false">INT(Z633)</f>
        <v>81</v>
      </c>
      <c r="AG633" s="2" t="n">
        <f aca="false">INT(AA633)</f>
        <v>120</v>
      </c>
      <c r="AH633" s="2" t="n">
        <f aca="false">INT(AB633)</f>
        <v>77</v>
      </c>
      <c r="AI633" s="2" t="n">
        <f aca="false">INT(AC633)</f>
        <v>84</v>
      </c>
      <c r="AJ633" s="2" t="n">
        <f aca="false">INT(AD633)</f>
        <v>53</v>
      </c>
      <c r="AK633" s="2" t="n">
        <f aca="false">Settings!$B$3-SUM(AE633:AJ633)</f>
        <v>2</v>
      </c>
      <c r="AL633" s="2" t="n">
        <f aca="false">ROUND(Y633-AE633,9)</f>
        <v>0.070866142</v>
      </c>
      <c r="AM633" s="2" t="n">
        <f aca="false">ROUND(Z633-AF633,9)</f>
        <v>0.102362205</v>
      </c>
      <c r="AN633" s="2" t="n">
        <f aca="false">ROUND(AA633-AG633,9)</f>
        <v>0.078740157</v>
      </c>
      <c r="AO633" s="2" t="n">
        <f aca="false">ROUND(AB633-AH633,9)</f>
        <v>0.165354331</v>
      </c>
      <c r="AP633" s="2" t="n">
        <f aca="false">ROUND(AC633-AI633,9)</f>
        <v>0.645669291</v>
      </c>
      <c r="AQ633" s="2" t="n">
        <f aca="false">ROUND(AD633-AJ633,9)</f>
        <v>0.937007874</v>
      </c>
    </row>
    <row r="634" customFormat="false" ht="15" hidden="false" customHeight="false" outlineLevel="0" collapsed="false">
      <c r="A634" s="2" t="n">
        <v>633</v>
      </c>
      <c r="B634" s="6" t="n">
        <v>15</v>
      </c>
      <c r="C634" s="6" t="n">
        <v>25</v>
      </c>
      <c r="D634" s="8" t="str">
        <f aca="false">INDEX(Bases!$B$2:$B$53,B634)</f>
        <v>Shroomish</v>
      </c>
      <c r="E634" s="8" t="str">
        <f aca="false">INDEX(Bases!$B$2:$B$53,C634)</f>
        <v>Sandshrew</v>
      </c>
      <c r="F634" s="2" t="str">
        <f aca="false">LEFT(D634,ROUNDUP(LEN(D634)/2,0))&amp;LOWER(MID(E634,ROUNDUP(LEN(E634)/2,0)+1,20))</f>
        <v>Shroohrew</v>
      </c>
      <c r="G634" s="8" t="str">
        <f aca="false">INDEX(Bases!$C$2:$C$53,B634)</f>
        <v>Grass</v>
      </c>
      <c r="H634" s="8" t="str">
        <f aca="false">IF(INDEX(Bases!$C$2:$C$53,C634)=G634,"",INDEX(Bases!$C$2:$C$53,C634))</f>
        <v>Ground</v>
      </c>
      <c r="I634" s="8" t="str">
        <f aca="false">IF(INDEX(Bases!$E$2:$E$53,B634)="","",INDEX(Bases!$E$2:$E$53,B634))</f>
        <v/>
      </c>
      <c r="J634" s="8" t="str">
        <f aca="false">IF(INDEX(Bases!$E$2:$E$53,C634)="","",INDEX(Bases!$E$2:$E$53,C634))</f>
        <v/>
      </c>
      <c r="K634" s="5"/>
      <c r="L634" s="2" t="n">
        <f aca="false">AE634+IF(SUMPRODUCT(--($AL634:$AQ634&gt;AL634))&lt;$AK634,1,0)</f>
        <v>90</v>
      </c>
      <c r="M634" s="2" t="n">
        <f aca="false">AF634+IF(SUMPRODUCT(--($AL634:$AQ634&gt;AM634))+SUMPRODUCT(--($AL634:AL634=AM634))&lt;$AK634,1,0)</f>
        <v>99</v>
      </c>
      <c r="N634" s="2" t="n">
        <f aca="false">AG634+IF(SUMPRODUCT(--($AL634:$AQ634&gt;AN634))+SUMPRODUCT(--($AL634:AM634=AN634))&lt;$AK634,1,0)</f>
        <v>120</v>
      </c>
      <c r="O634" s="2" t="n">
        <f aca="false">AH634+IF(SUMPRODUCT(--($AL634:$AQ634&gt;AO634))+SUMPRODUCT(--($AL634:AN634=AO634))&lt;$AK634,1,0)</f>
        <v>52</v>
      </c>
      <c r="P634" s="2" t="n">
        <f aca="false">AI634+IF(SUMPRODUCT(--($AL634:$AQ634&gt;AP634))+SUMPRODUCT(--($AL634:AO634=AP634))&lt;$AK634,1,0)</f>
        <v>79</v>
      </c>
      <c r="Q634" s="2" t="n">
        <f aca="false">AJ634+IF(SUMPRODUCT(--($AL634:$AQ634&gt;AQ634))+SUMPRODUCT(--($AL634:AP634=AQ634))&lt;$AK634,1,0)</f>
        <v>60</v>
      </c>
      <c r="R634" s="2" t="n">
        <f aca="false">SUM(L634:Q634)</f>
        <v>500</v>
      </c>
      <c r="S634" s="2" t="n">
        <f aca="false">Settings!$B$4*MAX(INDEX(Bases!$M$2:$M$53,B634),INDEX(Bases!$M$2:$M$53,C634))+Settings!$B$5*MIN(INDEX(Bases!$M$2:$M$53,B634),INDEX(Bases!$M$2:$M$53,C634))</f>
        <v>77</v>
      </c>
      <c r="T634" s="2" t="n">
        <f aca="false">Settings!$B$4*MAX(INDEX(Bases!$N$2:$N$53,B634),INDEX(Bases!$N$2:$N$53,C634))+Settings!$B$5*MIN(INDEX(Bases!$N$2:$N$53,B634),INDEX(Bases!$N$2:$N$53,C634))</f>
        <v>84.6666666666667</v>
      </c>
      <c r="U634" s="2" t="n">
        <f aca="false">Settings!$B$4*MAX(INDEX(Bases!$O$2:$O$53,B634),INDEX(Bases!$O$2:$O$53,C634))+Settings!$B$5*MIN(INDEX(Bases!$O$2:$O$53,B634),INDEX(Bases!$O$2:$O$53,C634))</f>
        <v>102.333333333333</v>
      </c>
      <c r="V634" s="2" t="n">
        <f aca="false">Settings!$B$4*MAX(INDEX(Bases!$P$2:$P$53,B634),INDEX(Bases!$P$2:$P$53,C634))+Settings!$B$5*MIN(INDEX(Bases!$P$2:$P$53,B634),INDEX(Bases!$P$2:$P$53,C634))</f>
        <v>45</v>
      </c>
      <c r="W634" s="2" t="n">
        <f aca="false">Settings!$B$4*MAX(INDEX(Bases!$Q$2:$Q$53,B634),INDEX(Bases!$Q$2:$Q$53,C634))+Settings!$B$5*MIN(INDEX(Bases!$Q$2:$Q$53,B634),INDEX(Bases!$Q$2:$Q$53,C634))</f>
        <v>67.3333333333333</v>
      </c>
      <c r="X634" s="2" t="n">
        <f aca="false">Settings!$B$4*MAX(INDEX(Bases!$R$2:$R$53,B634),INDEX(Bases!$R$2:$R$53,C634))+Settings!$B$5*MIN(INDEX(Bases!$R$2:$R$53,B634),INDEX(Bases!$R$2:$R$53,C634))</f>
        <v>51.3333333333333</v>
      </c>
      <c r="Y634" s="2" t="n">
        <f aca="false">S634*Settings!$B$3/SUM(S634:X634)</f>
        <v>90.0233826968044</v>
      </c>
      <c r="Z634" s="2" t="n">
        <f aca="false">T634*Settings!$B$3/SUM(S634:X634)</f>
        <v>98.9867498051442</v>
      </c>
      <c r="AA634" s="2" t="n">
        <f aca="false">U634*Settings!$B$3/SUM(S634:X634)</f>
        <v>119.641465315666</v>
      </c>
      <c r="AB634" s="2" t="n">
        <f aca="false">V634*Settings!$B$3/SUM(S634:X634)</f>
        <v>52.6110678098207</v>
      </c>
      <c r="AC634" s="2" t="n">
        <f aca="false">W634*Settings!$B$3/SUM(S634:X634)</f>
        <v>78.7217459080281</v>
      </c>
      <c r="AD634" s="2" t="n">
        <f aca="false">X634*Settings!$B$3/SUM(S634:X634)</f>
        <v>60.0155884645362</v>
      </c>
      <c r="AE634" s="2" t="n">
        <f aca="false">INT(Y634)</f>
        <v>90</v>
      </c>
      <c r="AF634" s="2" t="n">
        <f aca="false">INT(Z634)</f>
        <v>98</v>
      </c>
      <c r="AG634" s="2" t="n">
        <f aca="false">INT(AA634)</f>
        <v>119</v>
      </c>
      <c r="AH634" s="2" t="n">
        <f aca="false">INT(AB634)</f>
        <v>52</v>
      </c>
      <c r="AI634" s="2" t="n">
        <f aca="false">INT(AC634)</f>
        <v>78</v>
      </c>
      <c r="AJ634" s="2" t="n">
        <f aca="false">INT(AD634)</f>
        <v>60</v>
      </c>
      <c r="AK634" s="2" t="n">
        <f aca="false">Settings!$B$3-SUM(AE634:AJ634)</f>
        <v>3</v>
      </c>
      <c r="AL634" s="2" t="n">
        <f aca="false">ROUND(Y634-AE634,9)</f>
        <v>0.023382697</v>
      </c>
      <c r="AM634" s="2" t="n">
        <f aca="false">ROUND(Z634-AF634,9)</f>
        <v>0.986749805</v>
      </c>
      <c r="AN634" s="2" t="n">
        <f aca="false">ROUND(AA634-AG634,9)</f>
        <v>0.641465316</v>
      </c>
      <c r="AO634" s="2" t="n">
        <f aca="false">ROUND(AB634-AH634,9)</f>
        <v>0.61106781</v>
      </c>
      <c r="AP634" s="2" t="n">
        <f aca="false">ROUND(AC634-AI634,9)</f>
        <v>0.721745908</v>
      </c>
      <c r="AQ634" s="2" t="n">
        <f aca="false">ROUND(AD634-AJ634,9)</f>
        <v>0.015588465</v>
      </c>
    </row>
    <row r="635" customFormat="false" ht="15" hidden="false" customHeight="false" outlineLevel="0" collapsed="false">
      <c r="A635" s="2" t="n">
        <v>634</v>
      </c>
      <c r="B635" s="6" t="n">
        <v>15</v>
      </c>
      <c r="C635" s="6" t="n">
        <v>26</v>
      </c>
      <c r="D635" s="8" t="str">
        <f aca="false">INDEX(Bases!$B$2:$B$53,B635)</f>
        <v>Shroomish</v>
      </c>
      <c r="E635" s="8" t="str">
        <f aca="false">INDEX(Bases!$B$2:$B$53,C635)</f>
        <v>Phanpy</v>
      </c>
      <c r="F635" s="2" t="str">
        <f aca="false">LEFT(D635,ROUNDUP(LEN(D635)/2,0))&amp;LOWER(MID(E635,ROUNDUP(LEN(E635)/2,0)+1,20))</f>
        <v>Shroonpy</v>
      </c>
      <c r="G635" s="8" t="str">
        <f aca="false">INDEX(Bases!$C$2:$C$53,B635)</f>
        <v>Grass</v>
      </c>
      <c r="H635" s="8" t="str">
        <f aca="false">IF(INDEX(Bases!$C$2:$C$53,C635)=G635,"",INDEX(Bases!$C$2:$C$53,C635))</f>
        <v>Ground</v>
      </c>
      <c r="I635" s="8" t="str">
        <f aca="false">IF(INDEX(Bases!$E$2:$E$53,B635)="","",INDEX(Bases!$E$2:$E$53,B635))</f>
        <v/>
      </c>
      <c r="J635" s="8" t="str">
        <f aca="false">IF(INDEX(Bases!$E$2:$E$53,C635)="","",INDEX(Bases!$E$2:$E$53,C635))</f>
        <v/>
      </c>
      <c r="K635" s="5"/>
      <c r="L635" s="2" t="n">
        <f aca="false">AE635+IF(SUMPRODUCT(--($AL635:$AQ635&gt;AL635))&lt;$AK635,1,0)</f>
        <v>121</v>
      </c>
      <c r="M635" s="2" t="n">
        <f aca="false">AF635+IF(SUMPRODUCT(--($AL635:$AQ635&gt;AM635))+SUMPRODUCT(--($AL635:AL635=AM635))&lt;$AK635,1,0)</f>
        <v>80</v>
      </c>
      <c r="N635" s="2" t="n">
        <f aca="false">AG635+IF(SUMPRODUCT(--($AL635:$AQ635&gt;AN635))+SUMPRODUCT(--($AL635:AM635=AN635))&lt;$AK635,1,0)</f>
        <v>94</v>
      </c>
      <c r="O635" s="2" t="n">
        <f aca="false">AH635+IF(SUMPRODUCT(--($AL635:$AQ635&gt;AO635))+SUMPRODUCT(--($AL635:AN635=AO635))&lt;$AK635,1,0)</f>
        <v>63</v>
      </c>
      <c r="P635" s="2" t="n">
        <f aca="false">AI635+IF(SUMPRODUCT(--($AL635:$AQ635&gt;AP635))+SUMPRODUCT(--($AL635:AO635=AP635))&lt;$AK635,1,0)</f>
        <v>84</v>
      </c>
      <c r="Q635" s="2" t="n">
        <f aca="false">AJ635+IF(SUMPRODUCT(--($AL635:$AQ635&gt;AQ635))+SUMPRODUCT(--($AL635:AP635=AQ635))&lt;$AK635,1,0)</f>
        <v>58</v>
      </c>
      <c r="R635" s="2" t="n">
        <f aca="false">SUM(L635:Q635)</f>
        <v>500</v>
      </c>
      <c r="S635" s="2" t="n">
        <f aca="false">Settings!$B$4*MAX(INDEX(Bases!$M$2:$M$53,B635),INDEX(Bases!$M$2:$M$53,C635))+Settings!$B$5*MIN(INDEX(Bases!$M$2:$M$53,B635),INDEX(Bases!$M$2:$M$53,C635))</f>
        <v>100</v>
      </c>
      <c r="T635" s="2" t="n">
        <f aca="false">Settings!$B$4*MAX(INDEX(Bases!$N$2:$N$53,B635),INDEX(Bases!$N$2:$N$53,C635))+Settings!$B$5*MIN(INDEX(Bases!$N$2:$N$53,B635),INDEX(Bases!$N$2:$N$53,C635))</f>
        <v>66.6666666666667</v>
      </c>
      <c r="U635" s="2" t="n">
        <f aca="false">Settings!$B$4*MAX(INDEX(Bases!$O$2:$O$53,B635),INDEX(Bases!$O$2:$O$53,C635))+Settings!$B$5*MIN(INDEX(Bases!$O$2:$O$53,B635),INDEX(Bases!$O$2:$O$53,C635))</f>
        <v>78.3333333333333</v>
      </c>
      <c r="V635" s="2" t="n">
        <f aca="false">Settings!$B$4*MAX(INDEX(Bases!$P$2:$P$53,B635),INDEX(Bases!$P$2:$P$53,C635))+Settings!$B$5*MIN(INDEX(Bases!$P$2:$P$53,B635),INDEX(Bases!$P$2:$P$53,C635))</f>
        <v>52.3333333333333</v>
      </c>
      <c r="W635" s="2" t="n">
        <f aca="false">Settings!$B$4*MAX(INDEX(Bases!$Q$2:$Q$53,B635),INDEX(Bases!$Q$2:$Q$53,C635))+Settings!$B$5*MIN(INDEX(Bases!$Q$2:$Q$53,B635),INDEX(Bases!$Q$2:$Q$53,C635))</f>
        <v>70</v>
      </c>
      <c r="X635" s="2" t="n">
        <f aca="false">Settings!$B$4*MAX(INDEX(Bases!$R$2:$R$53,B635),INDEX(Bases!$R$2:$R$53,C635))+Settings!$B$5*MIN(INDEX(Bases!$R$2:$R$53,B635),INDEX(Bases!$R$2:$R$53,C635))</f>
        <v>48</v>
      </c>
      <c r="Y635" s="2" t="n">
        <f aca="false">S635*Settings!$B$3/SUM(S635:X635)</f>
        <v>120.385232744783</v>
      </c>
      <c r="Z635" s="2" t="n">
        <f aca="false">T635*Settings!$B$3/SUM(S635:X635)</f>
        <v>80.2568218298555</v>
      </c>
      <c r="AA635" s="2" t="n">
        <f aca="false">U635*Settings!$B$3/SUM(S635:X635)</f>
        <v>94.3017656500803</v>
      </c>
      <c r="AB635" s="2" t="n">
        <f aca="false">V635*Settings!$B$3/SUM(S635:X635)</f>
        <v>63.0016051364366</v>
      </c>
      <c r="AC635" s="2" t="n">
        <f aca="false">W635*Settings!$B$3/SUM(S635:X635)</f>
        <v>84.2696629213483</v>
      </c>
      <c r="AD635" s="2" t="n">
        <f aca="false">X635*Settings!$B$3/SUM(S635:X635)</f>
        <v>57.784911717496</v>
      </c>
      <c r="AE635" s="2" t="n">
        <f aca="false">INT(Y635)</f>
        <v>120</v>
      </c>
      <c r="AF635" s="2" t="n">
        <f aca="false">INT(Z635)</f>
        <v>80</v>
      </c>
      <c r="AG635" s="2" t="n">
        <f aca="false">INT(AA635)</f>
        <v>94</v>
      </c>
      <c r="AH635" s="2" t="n">
        <f aca="false">INT(AB635)</f>
        <v>63</v>
      </c>
      <c r="AI635" s="2" t="n">
        <f aca="false">INT(AC635)</f>
        <v>84</v>
      </c>
      <c r="AJ635" s="2" t="n">
        <f aca="false">INT(AD635)</f>
        <v>57</v>
      </c>
      <c r="AK635" s="2" t="n">
        <f aca="false">Settings!$B$3-SUM(AE635:AJ635)</f>
        <v>2</v>
      </c>
      <c r="AL635" s="2" t="n">
        <f aca="false">ROUND(Y635-AE635,9)</f>
        <v>0.385232745</v>
      </c>
      <c r="AM635" s="2" t="n">
        <f aca="false">ROUND(Z635-AF635,9)</f>
        <v>0.25682183</v>
      </c>
      <c r="AN635" s="2" t="n">
        <f aca="false">ROUND(AA635-AG635,9)</f>
        <v>0.30176565</v>
      </c>
      <c r="AO635" s="2" t="n">
        <f aca="false">ROUND(AB635-AH635,9)</f>
        <v>0.001605136</v>
      </c>
      <c r="AP635" s="2" t="n">
        <f aca="false">ROUND(AC635-AI635,9)</f>
        <v>0.269662921</v>
      </c>
      <c r="AQ635" s="2" t="n">
        <f aca="false">ROUND(AD635-AJ635,9)</f>
        <v>0.784911717</v>
      </c>
    </row>
    <row r="636" customFormat="false" ht="15" hidden="false" customHeight="false" outlineLevel="0" collapsed="false">
      <c r="A636" s="2" t="n">
        <v>635</v>
      </c>
      <c r="B636" s="6" t="n">
        <v>15</v>
      </c>
      <c r="C636" s="6" t="n">
        <v>27</v>
      </c>
      <c r="D636" s="8" t="str">
        <f aca="false">INDEX(Bases!$B$2:$B$53,B636)</f>
        <v>Shroomish</v>
      </c>
      <c r="E636" s="8" t="str">
        <f aca="false">INDEX(Bases!$B$2:$B$53,C636)</f>
        <v>Baltoy</v>
      </c>
      <c r="F636" s="2" t="str">
        <f aca="false">LEFT(D636,ROUNDUP(LEN(D636)/2,0))&amp;LOWER(MID(E636,ROUNDUP(LEN(E636)/2,0)+1,20))</f>
        <v>Shrootoy</v>
      </c>
      <c r="G636" s="8" t="str">
        <f aca="false">INDEX(Bases!$C$2:$C$53,B636)</f>
        <v>Grass</v>
      </c>
      <c r="H636" s="8" t="str">
        <f aca="false">IF(INDEX(Bases!$C$2:$C$53,C636)=G636,"",INDEX(Bases!$C$2:$C$53,C636))</f>
        <v>Ground</v>
      </c>
      <c r="I636" s="8" t="str">
        <f aca="false">IF(INDEX(Bases!$E$2:$E$53,B636)="","",INDEX(Bases!$E$2:$E$53,B636))</f>
        <v/>
      </c>
      <c r="J636" s="8" t="str">
        <f aca="false">IF(INDEX(Bases!$E$2:$E$53,C636)="","",INDEX(Bases!$E$2:$E$53,C636))</f>
        <v/>
      </c>
      <c r="K636" s="5"/>
      <c r="L636" s="2" t="n">
        <f aca="false">AE636+IF(SUMPRODUCT(--($AL636:$AQ636&gt;AL636))&lt;$AK636,1,0)</f>
        <v>88</v>
      </c>
      <c r="M636" s="2" t="n">
        <f aca="false">AF636+IF(SUMPRODUCT(--($AL636:$AQ636&gt;AM636))+SUMPRODUCT(--($AL636:AL636=AM636))&lt;$AK636,1,0)</f>
        <v>66</v>
      </c>
      <c r="N636" s="2" t="n">
        <f aca="false">AG636+IF(SUMPRODUCT(--($AL636:$AQ636&gt;AN636))+SUMPRODUCT(--($AL636:AM636=AN636))&lt;$AK636,1,0)</f>
        <v>95</v>
      </c>
      <c r="O636" s="2" t="n">
        <f aca="false">AH636+IF(SUMPRODUCT(--($AL636:$AQ636&gt;AO636))+SUMPRODUCT(--($AL636:AN636=AO636))&lt;$AK636,1,0)</f>
        <v>65</v>
      </c>
      <c r="P636" s="2" t="n">
        <f aca="false">AI636+IF(SUMPRODUCT(--($AL636:$AQ636&gt;AP636))+SUMPRODUCT(--($AL636:AO636=AP636))&lt;$AK636,1,0)</f>
        <v>108</v>
      </c>
      <c r="Q636" s="2" t="n">
        <f aca="false">AJ636+IF(SUMPRODUCT(--($AL636:$AQ636&gt;AQ636))+SUMPRODUCT(--($AL636:AP636=AQ636))&lt;$AK636,1,0)</f>
        <v>78</v>
      </c>
      <c r="R636" s="2" t="n">
        <f aca="false">SUM(L636:Q636)</f>
        <v>500</v>
      </c>
      <c r="S636" s="2" t="n">
        <f aca="false">Settings!$B$4*MAX(INDEX(Bases!$M$2:$M$53,B636),INDEX(Bases!$M$2:$M$53,C636))+Settings!$B$5*MIN(INDEX(Bases!$M$2:$M$53,B636),INDEX(Bases!$M$2:$M$53,C636))</f>
        <v>72.6666666666667</v>
      </c>
      <c r="T636" s="2" t="n">
        <f aca="false">Settings!$B$4*MAX(INDEX(Bases!$N$2:$N$53,B636),INDEX(Bases!$N$2:$N$53,C636))+Settings!$B$5*MIN(INDEX(Bases!$N$2:$N$53,B636),INDEX(Bases!$N$2:$N$53,C636))</f>
        <v>54</v>
      </c>
      <c r="U636" s="2" t="n">
        <f aca="false">Settings!$B$4*MAX(INDEX(Bases!$O$2:$O$53,B636),INDEX(Bases!$O$2:$O$53,C636))+Settings!$B$5*MIN(INDEX(Bases!$O$2:$O$53,B636),INDEX(Bases!$O$2:$O$53,C636))</f>
        <v>78.3333333333333</v>
      </c>
      <c r="V636" s="2" t="n">
        <f aca="false">Settings!$B$4*MAX(INDEX(Bases!$P$2:$P$53,B636),INDEX(Bases!$P$2:$P$53,C636))+Settings!$B$5*MIN(INDEX(Bases!$P$2:$P$53,B636),INDEX(Bases!$P$2:$P$53,C636))</f>
        <v>53.6666666666667</v>
      </c>
      <c r="W636" s="2" t="n">
        <f aca="false">Settings!$B$4*MAX(INDEX(Bases!$Q$2:$Q$53,B636),INDEX(Bases!$Q$2:$Q$53,C636))+Settings!$B$5*MIN(INDEX(Bases!$Q$2:$Q$53,B636),INDEX(Bases!$Q$2:$Q$53,C636))</f>
        <v>89</v>
      </c>
      <c r="X636" s="2" t="n">
        <f aca="false">Settings!$B$4*MAX(INDEX(Bases!$R$2:$R$53,B636),INDEX(Bases!$R$2:$R$53,C636))+Settings!$B$5*MIN(INDEX(Bases!$R$2:$R$53,B636),INDEX(Bases!$R$2:$R$53,C636))</f>
        <v>64.6666666666667</v>
      </c>
      <c r="Y636" s="2" t="n">
        <f aca="false">S636*Settings!$B$3/SUM(S636:X636)</f>
        <v>88.1164106709782</v>
      </c>
      <c r="Z636" s="2" t="n">
        <f aca="false">T636*Settings!$B$3/SUM(S636:X636)</f>
        <v>65.4810024252223</v>
      </c>
      <c r="AA636" s="2" t="n">
        <f aca="false">U636*Settings!$B$3/SUM(S636:X636)</f>
        <v>94.9878738884398</v>
      </c>
      <c r="AB636" s="2" t="n">
        <f aca="false">V636*Settings!$B$3/SUM(S636:X636)</f>
        <v>65.0767987065481</v>
      </c>
      <c r="AC636" s="2" t="n">
        <f aca="false">W636*Settings!$B$3/SUM(S636:X636)</f>
        <v>107.922392886015</v>
      </c>
      <c r="AD636" s="2" t="n">
        <f aca="false">X636*Settings!$B$3/SUM(S636:X636)</f>
        <v>78.4155214227971</v>
      </c>
      <c r="AE636" s="2" t="n">
        <f aca="false">INT(Y636)</f>
        <v>88</v>
      </c>
      <c r="AF636" s="2" t="n">
        <f aca="false">INT(Z636)</f>
        <v>65</v>
      </c>
      <c r="AG636" s="2" t="n">
        <f aca="false">INT(AA636)</f>
        <v>94</v>
      </c>
      <c r="AH636" s="2" t="n">
        <f aca="false">INT(AB636)</f>
        <v>65</v>
      </c>
      <c r="AI636" s="2" t="n">
        <f aca="false">INT(AC636)</f>
        <v>107</v>
      </c>
      <c r="AJ636" s="2" t="n">
        <f aca="false">INT(AD636)</f>
        <v>78</v>
      </c>
      <c r="AK636" s="2" t="n">
        <f aca="false">Settings!$B$3-SUM(AE636:AJ636)</f>
        <v>3</v>
      </c>
      <c r="AL636" s="2" t="n">
        <f aca="false">ROUND(Y636-AE636,9)</f>
        <v>0.116410671</v>
      </c>
      <c r="AM636" s="2" t="n">
        <f aca="false">ROUND(Z636-AF636,9)</f>
        <v>0.481002425</v>
      </c>
      <c r="AN636" s="2" t="n">
        <f aca="false">ROUND(AA636-AG636,9)</f>
        <v>0.987873888</v>
      </c>
      <c r="AO636" s="2" t="n">
        <f aca="false">ROUND(AB636-AH636,9)</f>
        <v>0.076798707</v>
      </c>
      <c r="AP636" s="2" t="n">
        <f aca="false">ROUND(AC636-AI636,9)</f>
        <v>0.922392886</v>
      </c>
      <c r="AQ636" s="2" t="n">
        <f aca="false">ROUND(AD636-AJ636,9)</f>
        <v>0.415521423</v>
      </c>
    </row>
    <row r="637" customFormat="false" ht="15" hidden="false" customHeight="false" outlineLevel="0" collapsed="false">
      <c r="A637" s="2" t="n">
        <v>636</v>
      </c>
      <c r="B637" s="6" t="n">
        <v>15</v>
      </c>
      <c r="C637" s="6" t="n">
        <v>28</v>
      </c>
      <c r="D637" s="8" t="str">
        <f aca="false">INDEX(Bases!$B$2:$B$53,B637)</f>
        <v>Shroomish</v>
      </c>
      <c r="E637" s="8" t="str">
        <f aca="false">INDEX(Bases!$B$2:$B$53,C637)</f>
        <v>Zubat</v>
      </c>
      <c r="F637" s="2" t="str">
        <f aca="false">LEFT(D637,ROUNDUP(LEN(D637)/2,0))&amp;LOWER(MID(E637,ROUNDUP(LEN(E637)/2,0)+1,20))</f>
        <v>Shrooat</v>
      </c>
      <c r="G637" s="8" t="str">
        <f aca="false">INDEX(Bases!$C$2:$C$53,B637)</f>
        <v>Grass</v>
      </c>
      <c r="H637" s="8" t="str">
        <f aca="false">IF(INDEX(Bases!$C$2:$C$53,C637)=G637,"",INDEX(Bases!$C$2:$C$53,C637))</f>
        <v>Flying</v>
      </c>
      <c r="I637" s="8" t="str">
        <f aca="false">IF(INDEX(Bases!$E$2:$E$53,B637)="","",INDEX(Bases!$E$2:$E$53,B637))</f>
        <v/>
      </c>
      <c r="J637" s="8" t="str">
        <f aca="false">IF(INDEX(Bases!$E$2:$E$53,C637)="","",INDEX(Bases!$E$2:$E$53,C637))</f>
        <v/>
      </c>
      <c r="K637" s="5"/>
      <c r="L637" s="2" t="n">
        <f aca="false">AE637+IF(SUMPRODUCT(--($AL637:$AQ637&gt;AL637))&lt;$AK637,1,0)</f>
        <v>91</v>
      </c>
      <c r="M637" s="2" t="n">
        <f aca="false">AF637+IF(SUMPRODUCT(--($AL637:$AQ637&gt;AM637))+SUMPRODUCT(--($AL637:AL637=AM637))&lt;$AK637,1,0)</f>
        <v>80</v>
      </c>
      <c r="N637" s="2" t="n">
        <f aca="false">AG637+IF(SUMPRODUCT(--($AL637:$AQ637&gt;AN637))+SUMPRODUCT(--($AL637:AM637=AN637))&lt;$AK637,1,0)</f>
        <v>87</v>
      </c>
      <c r="O637" s="2" t="n">
        <f aca="false">AH637+IF(SUMPRODUCT(--($AL637:$AQ637&gt;AO637))+SUMPRODUCT(--($AL637:AN637=AO637))&lt;$AK637,1,0)</f>
        <v>62</v>
      </c>
      <c r="P637" s="2" t="n">
        <f aca="false">AI637+IF(SUMPRODUCT(--($AL637:$AQ637&gt;AP637))+SUMPRODUCT(--($AL637:AO637=AP637))&lt;$AK637,1,0)</f>
        <v>90</v>
      </c>
      <c r="Q637" s="2" t="n">
        <f aca="false">AJ637+IF(SUMPRODUCT(--($AL637:$AQ637&gt;AQ637))+SUMPRODUCT(--($AL637:AP637=AQ637))&lt;$AK637,1,0)</f>
        <v>90</v>
      </c>
      <c r="R637" s="2" t="n">
        <f aca="false">SUM(L637:Q637)</f>
        <v>500</v>
      </c>
      <c r="S637" s="2" t="n">
        <f aca="false">Settings!$B$4*MAX(INDEX(Bases!$M$2:$M$53,B637),INDEX(Bases!$M$2:$M$53,C637))+Settings!$B$5*MIN(INDEX(Bases!$M$2:$M$53,B637),INDEX(Bases!$M$2:$M$53,C637))</f>
        <v>76.3333333333333</v>
      </c>
      <c r="T637" s="2" t="n">
        <f aca="false">Settings!$B$4*MAX(INDEX(Bases!$N$2:$N$53,B637),INDEX(Bases!$N$2:$N$53,C637))+Settings!$B$5*MIN(INDEX(Bases!$N$2:$N$53,B637),INDEX(Bases!$N$2:$N$53,C637))</f>
        <v>67.3333333333333</v>
      </c>
      <c r="U637" s="2" t="n">
        <f aca="false">Settings!$B$4*MAX(INDEX(Bases!$O$2:$O$53,B637),INDEX(Bases!$O$2:$O$53,C637))+Settings!$B$5*MIN(INDEX(Bases!$O$2:$O$53,B637),INDEX(Bases!$O$2:$O$53,C637))</f>
        <v>73</v>
      </c>
      <c r="V637" s="2" t="n">
        <f aca="false">Settings!$B$4*MAX(INDEX(Bases!$P$2:$P$53,B637),INDEX(Bases!$P$2:$P$53,C637))+Settings!$B$5*MIN(INDEX(Bases!$P$2:$P$53,B637),INDEX(Bases!$P$2:$P$53,C637))</f>
        <v>52.3333333333333</v>
      </c>
      <c r="W637" s="2" t="n">
        <f aca="false">Settings!$B$4*MAX(INDEX(Bases!$Q$2:$Q$53,B637),INDEX(Bases!$Q$2:$Q$53,C637))+Settings!$B$5*MIN(INDEX(Bases!$Q$2:$Q$53,B637),INDEX(Bases!$Q$2:$Q$53,C637))</f>
        <v>75.6666666666667</v>
      </c>
      <c r="X637" s="2" t="n">
        <f aca="false">Settings!$B$4*MAX(INDEX(Bases!$R$2:$R$53,B637),INDEX(Bases!$R$2:$R$53,C637))+Settings!$B$5*MIN(INDEX(Bases!$R$2:$R$53,B637),INDEX(Bases!$R$2:$R$53,C637))</f>
        <v>76</v>
      </c>
      <c r="Y637" s="2" t="n">
        <f aca="false">S637*Settings!$B$3/SUM(S637:X637)</f>
        <v>90.7290015847861</v>
      </c>
      <c r="Z637" s="2" t="n">
        <f aca="false">T637*Settings!$B$3/SUM(S637:X637)</f>
        <v>80.0316957210776</v>
      </c>
      <c r="AA637" s="2" t="n">
        <f aca="false">U637*Settings!$B$3/SUM(S637:X637)</f>
        <v>86.7670364500792</v>
      </c>
      <c r="AB637" s="2" t="n">
        <f aca="false">V637*Settings!$B$3/SUM(S637:X637)</f>
        <v>62.202852614897</v>
      </c>
      <c r="AC637" s="2" t="n">
        <f aca="false">W637*Settings!$B$3/SUM(S637:X637)</f>
        <v>89.9366085578447</v>
      </c>
      <c r="AD637" s="2" t="n">
        <f aca="false">X637*Settings!$B$3/SUM(S637:X637)</f>
        <v>90.3328050713154</v>
      </c>
      <c r="AE637" s="2" t="n">
        <f aca="false">INT(Y637)</f>
        <v>90</v>
      </c>
      <c r="AF637" s="2" t="n">
        <f aca="false">INT(Z637)</f>
        <v>80</v>
      </c>
      <c r="AG637" s="2" t="n">
        <f aca="false">INT(AA637)</f>
        <v>86</v>
      </c>
      <c r="AH637" s="2" t="n">
        <f aca="false">INT(AB637)</f>
        <v>62</v>
      </c>
      <c r="AI637" s="2" t="n">
        <f aca="false">INT(AC637)</f>
        <v>89</v>
      </c>
      <c r="AJ637" s="2" t="n">
        <f aca="false">INT(AD637)</f>
        <v>90</v>
      </c>
      <c r="AK637" s="2" t="n">
        <f aca="false">Settings!$B$3-SUM(AE637:AJ637)</f>
        <v>3</v>
      </c>
      <c r="AL637" s="2" t="n">
        <f aca="false">ROUND(Y637-AE637,9)</f>
        <v>0.729001585</v>
      </c>
      <c r="AM637" s="2" t="n">
        <f aca="false">ROUND(Z637-AF637,9)</f>
        <v>0.031695721</v>
      </c>
      <c r="AN637" s="2" t="n">
        <f aca="false">ROUND(AA637-AG637,9)</f>
        <v>0.76703645</v>
      </c>
      <c r="AO637" s="2" t="n">
        <f aca="false">ROUND(AB637-AH637,9)</f>
        <v>0.202852615</v>
      </c>
      <c r="AP637" s="2" t="n">
        <f aca="false">ROUND(AC637-AI637,9)</f>
        <v>0.936608558</v>
      </c>
      <c r="AQ637" s="2" t="n">
        <f aca="false">ROUND(AD637-AJ637,9)</f>
        <v>0.332805071</v>
      </c>
    </row>
    <row r="638" customFormat="false" ht="15" hidden="false" customHeight="false" outlineLevel="0" collapsed="false">
      <c r="A638" s="2" t="n">
        <v>637</v>
      </c>
      <c r="B638" s="6" t="n">
        <v>15</v>
      </c>
      <c r="C638" s="6" t="n">
        <v>29</v>
      </c>
      <c r="D638" s="8" t="str">
        <f aca="false">INDEX(Bases!$B$2:$B$53,B638)</f>
        <v>Shroomish</v>
      </c>
      <c r="E638" s="8" t="str">
        <f aca="false">INDEX(Bases!$B$2:$B$53,C638)</f>
        <v>Murkrow</v>
      </c>
      <c r="F638" s="2" t="str">
        <f aca="false">LEFT(D638,ROUNDUP(LEN(D638)/2,0))&amp;LOWER(MID(E638,ROUNDUP(LEN(E638)/2,0)+1,20))</f>
        <v>Shroorow</v>
      </c>
      <c r="G638" s="8" t="str">
        <f aca="false">INDEX(Bases!$C$2:$C$53,B638)</f>
        <v>Grass</v>
      </c>
      <c r="H638" s="8" t="str">
        <f aca="false">IF(INDEX(Bases!$C$2:$C$53,C638)=G638,"",INDEX(Bases!$C$2:$C$53,C638))</f>
        <v>Flying</v>
      </c>
      <c r="I638" s="8" t="str">
        <f aca="false">IF(INDEX(Bases!$E$2:$E$53,B638)="","",INDEX(Bases!$E$2:$E$53,B638))</f>
        <v/>
      </c>
      <c r="J638" s="8" t="str">
        <f aca="false">IF(INDEX(Bases!$E$2:$E$53,C638)="","",INDEX(Bases!$E$2:$E$53,C638))</f>
        <v/>
      </c>
      <c r="K638" s="5"/>
      <c r="L638" s="2" t="n">
        <f aca="false">AE638+IF(SUMPRODUCT(--($AL638:$AQ638&gt;AL638))&lt;$AK638,1,0)</f>
        <v>86</v>
      </c>
      <c r="M638" s="2" t="n">
        <f aca="false">AF638+IF(SUMPRODUCT(--($AL638:$AQ638&gt;AM638))+SUMPRODUCT(--($AL638:AL638=AM638))&lt;$AK638,1,0)</f>
        <v>85</v>
      </c>
      <c r="N638" s="2" t="n">
        <f aca="false">AG638+IF(SUMPRODUCT(--($AL638:$AQ638&gt;AN638))+SUMPRODUCT(--($AL638:AM638=AN638))&lt;$AK638,1,0)</f>
        <v>78</v>
      </c>
      <c r="O638" s="2" t="n">
        <f aca="false">AH638+IF(SUMPRODUCT(--($AL638:$AQ638&gt;AO638))+SUMPRODUCT(--($AL638:AN638=AO638))&lt;$AK638,1,0)</f>
        <v>85</v>
      </c>
      <c r="P638" s="2" t="n">
        <f aca="false">AI638+IF(SUMPRODUCT(--($AL638:$AQ638&gt;AP638))+SUMPRODUCT(--($AL638:AO638=AP638))&lt;$AK638,1,0)</f>
        <v>78</v>
      </c>
      <c r="Q638" s="2" t="n">
        <f aca="false">AJ638+IF(SUMPRODUCT(--($AL638:$AQ638&gt;AQ638))+SUMPRODUCT(--($AL638:AP638=AQ638))&lt;$AK638,1,0)</f>
        <v>88</v>
      </c>
      <c r="R638" s="2" t="n">
        <f aca="false">SUM(L638:Q638)</f>
        <v>500</v>
      </c>
      <c r="S638" s="2" t="n">
        <f aca="false">Settings!$B$4*MAX(INDEX(Bases!$M$2:$M$53,B638),INDEX(Bases!$M$2:$M$53,C638))+Settings!$B$5*MIN(INDEX(Bases!$M$2:$M$53,B638),INDEX(Bases!$M$2:$M$53,C638))</f>
        <v>74.3333333333333</v>
      </c>
      <c r="T638" s="2" t="n">
        <f aca="false">Settings!$B$4*MAX(INDEX(Bases!$N$2:$N$53,B638),INDEX(Bases!$N$2:$N$53,C638))+Settings!$B$5*MIN(INDEX(Bases!$N$2:$N$53,B638),INDEX(Bases!$N$2:$N$53,C638))</f>
        <v>74</v>
      </c>
      <c r="U638" s="2" t="n">
        <f aca="false">Settings!$B$4*MAX(INDEX(Bases!$O$2:$O$53,B638),INDEX(Bases!$O$2:$O$53,C638))+Settings!$B$5*MIN(INDEX(Bases!$O$2:$O$53,B638),INDEX(Bases!$O$2:$O$53,C638))</f>
        <v>68</v>
      </c>
      <c r="V638" s="2" t="n">
        <f aca="false">Settings!$B$4*MAX(INDEX(Bases!$P$2:$P$53,B638),INDEX(Bases!$P$2:$P$53,C638))+Settings!$B$5*MIN(INDEX(Bases!$P$2:$P$53,B638),INDEX(Bases!$P$2:$P$53,C638))</f>
        <v>74</v>
      </c>
      <c r="W638" s="2" t="n">
        <f aca="false">Settings!$B$4*MAX(INDEX(Bases!$Q$2:$Q$53,B638),INDEX(Bases!$Q$2:$Q$53,C638))+Settings!$B$5*MIN(INDEX(Bases!$Q$2:$Q$53,B638),INDEX(Bases!$Q$2:$Q$53,C638))</f>
        <v>67.6666666666667</v>
      </c>
      <c r="X638" s="2" t="n">
        <f aca="false">Settings!$B$4*MAX(INDEX(Bases!$R$2:$R$53,B638),INDEX(Bases!$R$2:$R$53,C638))+Settings!$B$5*MIN(INDEX(Bases!$R$2:$R$53,B638),INDEX(Bases!$R$2:$R$53,C638))</f>
        <v>76</v>
      </c>
      <c r="Y638" s="2" t="n">
        <f aca="false">S638*Settings!$B$3/SUM(S638:X638)</f>
        <v>85.6374807987711</v>
      </c>
      <c r="Z638" s="2" t="n">
        <f aca="false">T638*Settings!$B$3/SUM(S638:X638)</f>
        <v>85.2534562211982</v>
      </c>
      <c r="AA638" s="2" t="n">
        <f aca="false">U638*Settings!$B$3/SUM(S638:X638)</f>
        <v>78.3410138248848</v>
      </c>
      <c r="AB638" s="2" t="n">
        <f aca="false">V638*Settings!$B$3/SUM(S638:X638)</f>
        <v>85.2534562211982</v>
      </c>
      <c r="AC638" s="2" t="n">
        <f aca="false">W638*Settings!$B$3/SUM(S638:X638)</f>
        <v>77.9569892473118</v>
      </c>
      <c r="AD638" s="2" t="n">
        <f aca="false">X638*Settings!$B$3/SUM(S638:X638)</f>
        <v>87.5576036866359</v>
      </c>
      <c r="AE638" s="2" t="n">
        <f aca="false">INT(Y638)</f>
        <v>85</v>
      </c>
      <c r="AF638" s="2" t="n">
        <f aca="false">INT(Z638)</f>
        <v>85</v>
      </c>
      <c r="AG638" s="2" t="n">
        <f aca="false">INT(AA638)</f>
        <v>78</v>
      </c>
      <c r="AH638" s="2" t="n">
        <f aca="false">INT(AB638)</f>
        <v>85</v>
      </c>
      <c r="AI638" s="2" t="n">
        <f aca="false">INT(AC638)</f>
        <v>77</v>
      </c>
      <c r="AJ638" s="2" t="n">
        <f aca="false">INT(AD638)</f>
        <v>87</v>
      </c>
      <c r="AK638" s="2" t="n">
        <f aca="false">Settings!$B$3-SUM(AE638:AJ638)</f>
        <v>3</v>
      </c>
      <c r="AL638" s="2" t="n">
        <f aca="false">ROUND(Y638-AE638,9)</f>
        <v>0.637480799</v>
      </c>
      <c r="AM638" s="2" t="n">
        <f aca="false">ROUND(Z638-AF638,9)</f>
        <v>0.253456221</v>
      </c>
      <c r="AN638" s="2" t="n">
        <f aca="false">ROUND(AA638-AG638,9)</f>
        <v>0.341013825</v>
      </c>
      <c r="AO638" s="2" t="n">
        <f aca="false">ROUND(AB638-AH638,9)</f>
        <v>0.253456221</v>
      </c>
      <c r="AP638" s="2" t="n">
        <f aca="false">ROUND(AC638-AI638,9)</f>
        <v>0.956989247</v>
      </c>
      <c r="AQ638" s="2" t="n">
        <f aca="false">ROUND(AD638-AJ638,9)</f>
        <v>0.557603687</v>
      </c>
    </row>
    <row r="639" customFormat="false" ht="15" hidden="false" customHeight="false" outlineLevel="0" collapsed="false">
      <c r="A639" s="2" t="n">
        <v>638</v>
      </c>
      <c r="B639" s="6" t="n">
        <v>15</v>
      </c>
      <c r="C639" s="6" t="n">
        <v>30</v>
      </c>
      <c r="D639" s="8" t="str">
        <f aca="false">INDEX(Bases!$B$2:$B$53,B639)</f>
        <v>Shroomish</v>
      </c>
      <c r="E639" s="8" t="str">
        <f aca="false">INDEX(Bases!$B$2:$B$53,C639)</f>
        <v>Swablu</v>
      </c>
      <c r="F639" s="2" t="str">
        <f aca="false">LEFT(D639,ROUNDUP(LEN(D639)/2,0))&amp;LOWER(MID(E639,ROUNDUP(LEN(E639)/2,0)+1,20))</f>
        <v>Shrooblu</v>
      </c>
      <c r="G639" s="8" t="str">
        <f aca="false">INDEX(Bases!$C$2:$C$53,B639)</f>
        <v>Grass</v>
      </c>
      <c r="H639" s="8" t="str">
        <f aca="false">IF(INDEX(Bases!$C$2:$C$53,C639)=G639,"",INDEX(Bases!$C$2:$C$53,C639))</f>
        <v>Flying</v>
      </c>
      <c r="I639" s="8" t="str">
        <f aca="false">IF(INDEX(Bases!$E$2:$E$53,B639)="","",INDEX(Bases!$E$2:$E$53,B639))</f>
        <v/>
      </c>
      <c r="J639" s="8" t="str">
        <f aca="false">IF(INDEX(Bases!$E$2:$E$53,C639)="","",INDEX(Bases!$E$2:$E$53,C639))</f>
        <v/>
      </c>
      <c r="K639" s="5"/>
      <c r="L639" s="2" t="n">
        <f aca="false">AE639+IF(SUMPRODUCT(--($AL639:$AQ639&gt;AL639))&lt;$AK639,1,0)</f>
        <v>90</v>
      </c>
      <c r="M639" s="2" t="n">
        <f aca="false">AF639+IF(SUMPRODUCT(--($AL639:$AQ639&gt;AM639))+SUMPRODUCT(--($AL639:AL639=AM639))&lt;$AK639,1,0)</f>
        <v>65</v>
      </c>
      <c r="N639" s="2" t="n">
        <f aca="false">AG639+IF(SUMPRODUCT(--($AL639:$AQ639&gt;AN639))+SUMPRODUCT(--($AL639:AM639=AN639))&lt;$AK639,1,0)</f>
        <v>97</v>
      </c>
      <c r="O639" s="2" t="n">
        <f aca="false">AH639+IF(SUMPRODUCT(--($AL639:$AQ639&gt;AO639))+SUMPRODUCT(--($AL639:AN639=AO639))&lt;$AK639,1,0)</f>
        <v>65</v>
      </c>
      <c r="P639" s="2" t="n">
        <f aca="false">AI639+IF(SUMPRODUCT(--($AL639:$AQ639&gt;AP639))+SUMPRODUCT(--($AL639:AO639=AP639))&lt;$AK639,1,0)</f>
        <v>112</v>
      </c>
      <c r="Q639" s="2" t="n">
        <f aca="false">AJ639+IF(SUMPRODUCT(--($AL639:$AQ639&gt;AQ639))+SUMPRODUCT(--($AL639:AP639=AQ639))&lt;$AK639,1,0)</f>
        <v>71</v>
      </c>
      <c r="R639" s="2" t="n">
        <f aca="false">SUM(L639:Q639)</f>
        <v>500</v>
      </c>
      <c r="S639" s="2" t="n">
        <f aca="false">Settings!$B$4*MAX(INDEX(Bases!$M$2:$M$53,B639),INDEX(Bases!$M$2:$M$53,C639))+Settings!$B$5*MIN(INDEX(Bases!$M$2:$M$53,B639),INDEX(Bases!$M$2:$M$53,C639))</f>
        <v>74</v>
      </c>
      <c r="T639" s="2" t="n">
        <f aca="false">Settings!$B$4*MAX(INDEX(Bases!$N$2:$N$53,B639),INDEX(Bases!$N$2:$N$53,C639))+Settings!$B$5*MIN(INDEX(Bases!$N$2:$N$53,B639),INDEX(Bases!$N$2:$N$53,C639))</f>
        <v>53.3333333333333</v>
      </c>
      <c r="U639" s="2" t="n">
        <f aca="false">Settings!$B$4*MAX(INDEX(Bases!$O$2:$O$53,B639),INDEX(Bases!$O$2:$O$53,C639))+Settings!$B$5*MIN(INDEX(Bases!$O$2:$O$53,B639),INDEX(Bases!$O$2:$O$53,C639))</f>
        <v>79.6666666666667</v>
      </c>
      <c r="V639" s="2" t="n">
        <f aca="false">Settings!$B$4*MAX(INDEX(Bases!$P$2:$P$53,B639),INDEX(Bases!$P$2:$P$53,C639))+Settings!$B$5*MIN(INDEX(Bases!$P$2:$P$53,B639),INDEX(Bases!$P$2:$P$53,C639))</f>
        <v>53.3333333333333</v>
      </c>
      <c r="W639" s="2" t="n">
        <f aca="false">Settings!$B$4*MAX(INDEX(Bases!$Q$2:$Q$53,B639),INDEX(Bases!$Q$2:$Q$53,C639))+Settings!$B$5*MIN(INDEX(Bases!$Q$2:$Q$53,B639),INDEX(Bases!$Q$2:$Q$53,C639))</f>
        <v>91.6666666666667</v>
      </c>
      <c r="X639" s="2" t="n">
        <f aca="false">Settings!$B$4*MAX(INDEX(Bases!$R$2:$R$53,B639),INDEX(Bases!$R$2:$R$53,C639))+Settings!$B$5*MIN(INDEX(Bases!$R$2:$R$53,B639),INDEX(Bases!$R$2:$R$53,C639))</f>
        <v>58.6666666666667</v>
      </c>
      <c r="Y639" s="2" t="n">
        <f aca="false">S639*Settings!$B$3/SUM(S639:X639)</f>
        <v>90.0974025974026</v>
      </c>
      <c r="Z639" s="2" t="n">
        <f aca="false">T639*Settings!$B$3/SUM(S639:X639)</f>
        <v>64.9350649350649</v>
      </c>
      <c r="AA639" s="2" t="n">
        <f aca="false">U639*Settings!$B$3/SUM(S639:X639)</f>
        <v>96.9967532467532</v>
      </c>
      <c r="AB639" s="2" t="n">
        <f aca="false">V639*Settings!$B$3/SUM(S639:X639)</f>
        <v>64.9350649350649</v>
      </c>
      <c r="AC639" s="2" t="n">
        <f aca="false">W639*Settings!$B$3/SUM(S639:X639)</f>
        <v>111.607142857143</v>
      </c>
      <c r="AD639" s="2" t="n">
        <f aca="false">X639*Settings!$B$3/SUM(S639:X639)</f>
        <v>71.4285714285714</v>
      </c>
      <c r="AE639" s="2" t="n">
        <f aca="false">INT(Y639)</f>
        <v>90</v>
      </c>
      <c r="AF639" s="2" t="n">
        <f aca="false">INT(Z639)</f>
        <v>64</v>
      </c>
      <c r="AG639" s="2" t="n">
        <f aca="false">INT(AA639)</f>
        <v>96</v>
      </c>
      <c r="AH639" s="2" t="n">
        <f aca="false">INT(AB639)</f>
        <v>64</v>
      </c>
      <c r="AI639" s="2" t="n">
        <f aca="false">INT(AC639)</f>
        <v>111</v>
      </c>
      <c r="AJ639" s="2" t="n">
        <f aca="false">INT(AD639)</f>
        <v>71</v>
      </c>
      <c r="AK639" s="2" t="n">
        <f aca="false">Settings!$B$3-SUM(AE639:AJ639)</f>
        <v>4</v>
      </c>
      <c r="AL639" s="2" t="n">
        <f aca="false">ROUND(Y639-AE639,9)</f>
        <v>0.097402597</v>
      </c>
      <c r="AM639" s="2" t="n">
        <f aca="false">ROUND(Z639-AF639,9)</f>
        <v>0.935064935</v>
      </c>
      <c r="AN639" s="2" t="n">
        <f aca="false">ROUND(AA639-AG639,9)</f>
        <v>0.996753247</v>
      </c>
      <c r="AO639" s="2" t="n">
        <f aca="false">ROUND(AB639-AH639,9)</f>
        <v>0.935064935</v>
      </c>
      <c r="AP639" s="2" t="n">
        <f aca="false">ROUND(AC639-AI639,9)</f>
        <v>0.607142857</v>
      </c>
      <c r="AQ639" s="2" t="n">
        <f aca="false">ROUND(AD639-AJ639,9)</f>
        <v>0.428571429</v>
      </c>
    </row>
    <row r="640" customFormat="false" ht="15" hidden="false" customHeight="false" outlineLevel="0" collapsed="false">
      <c r="A640" s="2" t="n">
        <v>639</v>
      </c>
      <c r="B640" s="6" t="n">
        <v>15</v>
      </c>
      <c r="C640" s="6" t="n">
        <v>31</v>
      </c>
      <c r="D640" s="8" t="str">
        <f aca="false">INDEX(Bases!$B$2:$B$53,B640)</f>
        <v>Shroomish</v>
      </c>
      <c r="E640" s="8" t="str">
        <f aca="false">INDEX(Bases!$B$2:$B$53,C640)</f>
        <v>Mew</v>
      </c>
      <c r="F640" s="2" t="str">
        <f aca="false">LEFT(D640,ROUNDUP(LEN(D640)/2,0))&amp;LOWER(MID(E640,ROUNDUP(LEN(E640)/2,0)+1,20))</f>
        <v>Shroow</v>
      </c>
      <c r="G640" s="8" t="str">
        <f aca="false">INDEX(Bases!$C$2:$C$53,B640)</f>
        <v>Grass</v>
      </c>
      <c r="H640" s="8" t="str">
        <f aca="false">IF(INDEX(Bases!$C$2:$C$53,C640)=G640,"",INDEX(Bases!$C$2:$C$53,C640))</f>
        <v>Psychic</v>
      </c>
      <c r="I640" s="8" t="str">
        <f aca="false">IF(INDEX(Bases!$E$2:$E$53,B640)="","",INDEX(Bases!$E$2:$E$53,B640))</f>
        <v/>
      </c>
      <c r="J640" s="8" t="str">
        <f aca="false">IF(INDEX(Bases!$E$2:$E$53,C640)="","",INDEX(Bases!$E$2:$E$53,C640))</f>
        <v/>
      </c>
      <c r="K640" s="5"/>
      <c r="L640" s="2" t="n">
        <f aca="false">AE640+IF(SUMPRODUCT(--($AL640:$AQ640&gt;AL640))&lt;$AK640,1,0)</f>
        <v>93</v>
      </c>
      <c r="M640" s="2" t="n">
        <f aca="false">AF640+IF(SUMPRODUCT(--($AL640:$AQ640&gt;AM640))+SUMPRODUCT(--($AL640:AL640=AM640))&lt;$AK640,1,0)</f>
        <v>76</v>
      </c>
      <c r="N640" s="2" t="n">
        <f aca="false">AG640+IF(SUMPRODUCT(--($AL640:$AQ640&gt;AN640))+SUMPRODUCT(--($AL640:AM640=AN640))&lt;$AK640,1,0)</f>
        <v>92</v>
      </c>
      <c r="O640" s="2" t="n">
        <f aca="false">AH640+IF(SUMPRODUCT(--($AL640:$AQ640&gt;AO640))+SUMPRODUCT(--($AL640:AN640=AO640))&lt;$AK640,1,0)</f>
        <v>75</v>
      </c>
      <c r="P640" s="2" t="n">
        <f aca="false">AI640+IF(SUMPRODUCT(--($AL640:$AQ640&gt;AP640))+SUMPRODUCT(--($AL640:AO640=AP640))&lt;$AK640,1,0)</f>
        <v>92</v>
      </c>
      <c r="Q640" s="2" t="n">
        <f aca="false">AJ640+IF(SUMPRODUCT(--($AL640:$AQ640&gt;AQ640))+SUMPRODUCT(--($AL640:AP640=AQ640))&lt;$AK640,1,0)</f>
        <v>72</v>
      </c>
      <c r="R640" s="2" t="n">
        <f aca="false">SUM(L640:Q640)</f>
        <v>500</v>
      </c>
      <c r="S640" s="2" t="n">
        <f aca="false">Settings!$B$4*MAX(INDEX(Bases!$M$2:$M$53,B640),INDEX(Bases!$M$2:$M$53,C640))+Settings!$B$5*MIN(INDEX(Bases!$M$2:$M$53,B640),INDEX(Bases!$M$2:$M$53,C640))</f>
        <v>77</v>
      </c>
      <c r="T640" s="2" t="n">
        <f aca="false">Settings!$B$4*MAX(INDEX(Bases!$N$2:$N$53,B640),INDEX(Bases!$N$2:$N$53,C640))+Settings!$B$5*MIN(INDEX(Bases!$N$2:$N$53,B640),INDEX(Bases!$N$2:$N$53,C640))</f>
        <v>62.6666666666667</v>
      </c>
      <c r="U640" s="2" t="n">
        <f aca="false">Settings!$B$4*MAX(INDEX(Bases!$O$2:$O$53,B640),INDEX(Bases!$O$2:$O$53,C640))+Settings!$B$5*MIN(INDEX(Bases!$O$2:$O$53,B640),INDEX(Bases!$O$2:$O$53,C640))</f>
        <v>76.3333333333333</v>
      </c>
      <c r="V640" s="2" t="n">
        <f aca="false">Settings!$B$4*MAX(INDEX(Bases!$P$2:$P$53,B640),INDEX(Bases!$P$2:$P$53,C640))+Settings!$B$5*MIN(INDEX(Bases!$P$2:$P$53,B640),INDEX(Bases!$P$2:$P$53,C640))</f>
        <v>62.6666666666667</v>
      </c>
      <c r="W640" s="2" t="n">
        <f aca="false">Settings!$B$4*MAX(INDEX(Bases!$Q$2:$Q$53,B640),INDEX(Bases!$Q$2:$Q$53,C640))+Settings!$B$5*MIN(INDEX(Bases!$Q$2:$Q$53,B640),INDEX(Bases!$Q$2:$Q$53,C640))</f>
        <v>76</v>
      </c>
      <c r="X640" s="2" t="n">
        <f aca="false">Settings!$B$4*MAX(INDEX(Bases!$R$2:$R$53,B640),INDEX(Bases!$R$2:$R$53,C640))+Settings!$B$5*MIN(INDEX(Bases!$R$2:$R$53,B640),INDEX(Bases!$R$2:$R$53,C640))</f>
        <v>60</v>
      </c>
      <c r="Y640" s="2" t="n">
        <f aca="false">S640*Settings!$B$3/SUM(S640:X640)</f>
        <v>92.8456591639871</v>
      </c>
      <c r="Z640" s="2" t="n">
        <f aca="false">T640*Settings!$B$3/SUM(S640:X640)</f>
        <v>75.5627009646302</v>
      </c>
      <c r="AA640" s="2" t="n">
        <f aca="false">U640*Settings!$B$3/SUM(S640:X640)</f>
        <v>92.0418006430868</v>
      </c>
      <c r="AB640" s="2" t="n">
        <f aca="false">V640*Settings!$B$3/SUM(S640:X640)</f>
        <v>75.5627009646302</v>
      </c>
      <c r="AC640" s="2" t="n">
        <f aca="false">W640*Settings!$B$3/SUM(S640:X640)</f>
        <v>91.6398713826367</v>
      </c>
      <c r="AD640" s="2" t="n">
        <f aca="false">X640*Settings!$B$3/SUM(S640:X640)</f>
        <v>72.3472668810289</v>
      </c>
      <c r="AE640" s="2" t="n">
        <f aca="false">INT(Y640)</f>
        <v>92</v>
      </c>
      <c r="AF640" s="2" t="n">
        <f aca="false">INT(Z640)</f>
        <v>75</v>
      </c>
      <c r="AG640" s="2" t="n">
        <f aca="false">INT(AA640)</f>
        <v>92</v>
      </c>
      <c r="AH640" s="2" t="n">
        <f aca="false">INT(AB640)</f>
        <v>75</v>
      </c>
      <c r="AI640" s="2" t="n">
        <f aca="false">INT(AC640)</f>
        <v>91</v>
      </c>
      <c r="AJ640" s="2" t="n">
        <f aca="false">INT(AD640)</f>
        <v>72</v>
      </c>
      <c r="AK640" s="2" t="n">
        <f aca="false">Settings!$B$3-SUM(AE640:AJ640)</f>
        <v>3</v>
      </c>
      <c r="AL640" s="2" t="n">
        <f aca="false">ROUND(Y640-AE640,9)</f>
        <v>0.845659164</v>
      </c>
      <c r="AM640" s="2" t="n">
        <f aca="false">ROUND(Z640-AF640,9)</f>
        <v>0.562700965</v>
      </c>
      <c r="AN640" s="2" t="n">
        <f aca="false">ROUND(AA640-AG640,9)</f>
        <v>0.041800643</v>
      </c>
      <c r="AO640" s="2" t="n">
        <f aca="false">ROUND(AB640-AH640,9)</f>
        <v>0.562700965</v>
      </c>
      <c r="AP640" s="2" t="n">
        <f aca="false">ROUND(AC640-AI640,9)</f>
        <v>0.639871383</v>
      </c>
      <c r="AQ640" s="2" t="n">
        <f aca="false">ROUND(AD640-AJ640,9)</f>
        <v>0.347266881</v>
      </c>
    </row>
    <row r="641" customFormat="false" ht="15" hidden="false" customHeight="false" outlineLevel="0" collapsed="false">
      <c r="A641" s="2" t="n">
        <v>640</v>
      </c>
      <c r="B641" s="6" t="n">
        <v>15</v>
      </c>
      <c r="C641" s="6" t="n">
        <v>32</v>
      </c>
      <c r="D641" s="8" t="str">
        <f aca="false">INDEX(Bases!$B$2:$B$53,B641)</f>
        <v>Shroomish</v>
      </c>
      <c r="E641" s="8" t="str">
        <f aca="false">INDEX(Bases!$B$2:$B$53,C641)</f>
        <v>Spoink</v>
      </c>
      <c r="F641" s="2" t="str">
        <f aca="false">LEFT(D641,ROUNDUP(LEN(D641)/2,0))&amp;LOWER(MID(E641,ROUNDUP(LEN(E641)/2,0)+1,20))</f>
        <v>Shrooink</v>
      </c>
      <c r="G641" s="8" t="str">
        <f aca="false">INDEX(Bases!$C$2:$C$53,B641)</f>
        <v>Grass</v>
      </c>
      <c r="H641" s="8" t="str">
        <f aca="false">IF(INDEX(Bases!$C$2:$C$53,C641)=G641,"",INDEX(Bases!$C$2:$C$53,C641))</f>
        <v>Psychic</v>
      </c>
      <c r="I641" s="8" t="str">
        <f aca="false">IF(INDEX(Bases!$E$2:$E$53,B641)="","",INDEX(Bases!$E$2:$E$53,B641))</f>
        <v/>
      </c>
      <c r="J641" s="8" t="str">
        <f aca="false">IF(INDEX(Bases!$E$2:$E$53,C641)="","",INDEX(Bases!$E$2:$E$53,C641))</f>
        <v/>
      </c>
      <c r="K641" s="5"/>
      <c r="L641" s="2" t="n">
        <f aca="false">AE641+IF(SUMPRODUCT(--($AL641:$AQ641&gt;AL641))&lt;$AK641,1,0)</f>
        <v>93</v>
      </c>
      <c r="M641" s="2" t="n">
        <f aca="false">AF641+IF(SUMPRODUCT(--($AL641:$AQ641&gt;AM641))+SUMPRODUCT(--($AL641:AL641=AM641))&lt;$AK641,1,0)</f>
        <v>54</v>
      </c>
      <c r="N641" s="2" t="n">
        <f aca="false">AG641+IF(SUMPRODUCT(--($AL641:$AQ641&gt;AN641))+SUMPRODUCT(--($AL641:AM641=AN641))&lt;$AK641,1,0)</f>
        <v>80</v>
      </c>
      <c r="O641" s="2" t="n">
        <f aca="false">AH641+IF(SUMPRODUCT(--($AL641:$AQ641&gt;AO641))+SUMPRODUCT(--($AL641:AN641=AO641))&lt;$AK641,1,0)</f>
        <v>88</v>
      </c>
      <c r="P641" s="2" t="n">
        <f aca="false">AI641+IF(SUMPRODUCT(--($AL641:$AQ641&gt;AP641))+SUMPRODUCT(--($AL641:AO641=AP641))&lt;$AK641,1,0)</f>
        <v>108</v>
      </c>
      <c r="Q641" s="2" t="n">
        <f aca="false">AJ641+IF(SUMPRODUCT(--($AL641:$AQ641&gt;AQ641))+SUMPRODUCT(--($AL641:AP641=AQ641))&lt;$AK641,1,0)</f>
        <v>77</v>
      </c>
      <c r="R641" s="2" t="n">
        <f aca="false">SUM(L641:Q641)</f>
        <v>500</v>
      </c>
      <c r="S641" s="2" t="n">
        <f aca="false">Settings!$B$4*MAX(INDEX(Bases!$M$2:$M$53,B641),INDEX(Bases!$M$2:$M$53,C641))+Settings!$B$5*MIN(INDEX(Bases!$M$2:$M$53,B641),INDEX(Bases!$M$2:$M$53,C641))</f>
        <v>79</v>
      </c>
      <c r="T641" s="2" t="n">
        <f aca="false">Settings!$B$4*MAX(INDEX(Bases!$N$2:$N$53,B641),INDEX(Bases!$N$2:$N$53,C641))+Settings!$B$5*MIN(INDEX(Bases!$N$2:$N$53,B641),INDEX(Bases!$N$2:$N$53,C641))</f>
        <v>46</v>
      </c>
      <c r="U641" s="2" t="n">
        <f aca="false">Settings!$B$4*MAX(INDEX(Bases!$O$2:$O$53,B641),INDEX(Bases!$O$2:$O$53,C641))+Settings!$B$5*MIN(INDEX(Bases!$O$2:$O$53,B641),INDEX(Bases!$O$2:$O$53,C641))</f>
        <v>68</v>
      </c>
      <c r="V641" s="2" t="n">
        <f aca="false">Settings!$B$4*MAX(INDEX(Bases!$P$2:$P$53,B641),INDEX(Bases!$P$2:$P$53,C641))+Settings!$B$5*MIN(INDEX(Bases!$P$2:$P$53,B641),INDEX(Bases!$P$2:$P$53,C641))</f>
        <v>74.6666666666667</v>
      </c>
      <c r="W641" s="2" t="n">
        <f aca="false">Settings!$B$4*MAX(INDEX(Bases!$Q$2:$Q$53,B641),INDEX(Bases!$Q$2:$Q$53,C641))+Settings!$B$5*MIN(INDEX(Bases!$Q$2:$Q$53,B641),INDEX(Bases!$Q$2:$Q$53,C641))</f>
        <v>91.6666666666667</v>
      </c>
      <c r="X641" s="2" t="n">
        <f aca="false">Settings!$B$4*MAX(INDEX(Bases!$R$2:$R$53,B641),INDEX(Bases!$R$2:$R$53,C641))+Settings!$B$5*MIN(INDEX(Bases!$R$2:$R$53,B641),INDEX(Bases!$R$2:$R$53,C641))</f>
        <v>64.6666666666667</v>
      </c>
      <c r="Y641" s="2" t="n">
        <f aca="false">S641*Settings!$B$3/SUM(S641:X641)</f>
        <v>93.1603773584906</v>
      </c>
      <c r="Z641" s="2" t="n">
        <f aca="false">T641*Settings!$B$3/SUM(S641:X641)</f>
        <v>54.2452830188679</v>
      </c>
      <c r="AA641" s="2" t="n">
        <f aca="false">U641*Settings!$B$3/SUM(S641:X641)</f>
        <v>80.188679245283</v>
      </c>
      <c r="AB641" s="2" t="n">
        <f aca="false">V641*Settings!$B$3/SUM(S641:X641)</f>
        <v>88.0503144654088</v>
      </c>
      <c r="AC641" s="2" t="n">
        <f aca="false">W641*Settings!$B$3/SUM(S641:X641)</f>
        <v>108.09748427673</v>
      </c>
      <c r="AD641" s="2" t="n">
        <f aca="false">X641*Settings!$B$3/SUM(S641:X641)</f>
        <v>76.2578616352201</v>
      </c>
      <c r="AE641" s="2" t="n">
        <f aca="false">INT(Y641)</f>
        <v>93</v>
      </c>
      <c r="AF641" s="2" t="n">
        <f aca="false">INT(Z641)</f>
        <v>54</v>
      </c>
      <c r="AG641" s="2" t="n">
        <f aca="false">INT(AA641)</f>
        <v>80</v>
      </c>
      <c r="AH641" s="2" t="n">
        <f aca="false">INT(AB641)</f>
        <v>88</v>
      </c>
      <c r="AI641" s="2" t="n">
        <f aca="false">INT(AC641)</f>
        <v>108</v>
      </c>
      <c r="AJ641" s="2" t="n">
        <f aca="false">INT(AD641)</f>
        <v>76</v>
      </c>
      <c r="AK641" s="2" t="n">
        <f aca="false">Settings!$B$3-SUM(AE641:AJ641)</f>
        <v>1</v>
      </c>
      <c r="AL641" s="2" t="n">
        <f aca="false">ROUND(Y641-AE641,9)</f>
        <v>0.160377358</v>
      </c>
      <c r="AM641" s="2" t="n">
        <f aca="false">ROUND(Z641-AF641,9)</f>
        <v>0.245283019</v>
      </c>
      <c r="AN641" s="2" t="n">
        <f aca="false">ROUND(AA641-AG641,9)</f>
        <v>0.188679245</v>
      </c>
      <c r="AO641" s="2" t="n">
        <f aca="false">ROUND(AB641-AH641,9)</f>
        <v>0.050314465</v>
      </c>
      <c r="AP641" s="2" t="n">
        <f aca="false">ROUND(AC641-AI641,9)</f>
        <v>0.097484277</v>
      </c>
      <c r="AQ641" s="2" t="n">
        <f aca="false">ROUND(AD641-AJ641,9)</f>
        <v>0.257861635</v>
      </c>
    </row>
    <row r="642" customFormat="false" ht="15" hidden="false" customHeight="false" outlineLevel="0" collapsed="false">
      <c r="A642" s="2" t="n">
        <v>641</v>
      </c>
      <c r="B642" s="6" t="n">
        <v>15</v>
      </c>
      <c r="C642" s="6" t="n">
        <v>33</v>
      </c>
      <c r="D642" s="8" t="str">
        <f aca="false">INDEX(Bases!$B$2:$B$53,B642)</f>
        <v>Shroomish</v>
      </c>
      <c r="E642" s="8" t="str">
        <f aca="false">INDEX(Bases!$B$2:$B$53,C642)</f>
        <v>Jirachi</v>
      </c>
      <c r="F642" s="2" t="str">
        <f aca="false">LEFT(D642,ROUNDUP(LEN(D642)/2,0))&amp;LOWER(MID(E642,ROUNDUP(LEN(E642)/2,0)+1,20))</f>
        <v>Shroochi</v>
      </c>
      <c r="G642" s="8" t="str">
        <f aca="false">INDEX(Bases!$C$2:$C$53,B642)</f>
        <v>Grass</v>
      </c>
      <c r="H642" s="8" t="str">
        <f aca="false">IF(INDEX(Bases!$C$2:$C$53,C642)=G642,"",INDEX(Bases!$C$2:$C$53,C642))</f>
        <v>Psychic</v>
      </c>
      <c r="I642" s="8" t="str">
        <f aca="false">IF(INDEX(Bases!$E$2:$E$53,B642)="","",INDEX(Bases!$E$2:$E$53,B642))</f>
        <v/>
      </c>
      <c r="J642" s="8" t="str">
        <f aca="false">IF(INDEX(Bases!$E$2:$E$53,C642)="","",INDEX(Bases!$E$2:$E$53,C642))</f>
        <v/>
      </c>
      <c r="K642" s="5"/>
      <c r="L642" s="2" t="n">
        <f aca="false">AE642+IF(SUMPRODUCT(--($AL642:$AQ642&gt;AL642))&lt;$AK642,1,0)</f>
        <v>93</v>
      </c>
      <c r="M642" s="2" t="n">
        <f aca="false">AF642+IF(SUMPRODUCT(--($AL642:$AQ642&gt;AM642))+SUMPRODUCT(--($AL642:AL642=AM642))&lt;$AK642,1,0)</f>
        <v>76</v>
      </c>
      <c r="N642" s="2" t="n">
        <f aca="false">AG642+IF(SUMPRODUCT(--($AL642:$AQ642&gt;AN642))+SUMPRODUCT(--($AL642:AM642=AN642))&lt;$AK642,1,0)</f>
        <v>92</v>
      </c>
      <c r="O642" s="2" t="n">
        <f aca="false">AH642+IF(SUMPRODUCT(--($AL642:$AQ642&gt;AO642))+SUMPRODUCT(--($AL642:AN642=AO642))&lt;$AK642,1,0)</f>
        <v>75</v>
      </c>
      <c r="P642" s="2" t="n">
        <f aca="false">AI642+IF(SUMPRODUCT(--($AL642:$AQ642&gt;AP642))+SUMPRODUCT(--($AL642:AO642=AP642))&lt;$AK642,1,0)</f>
        <v>92</v>
      </c>
      <c r="Q642" s="2" t="n">
        <f aca="false">AJ642+IF(SUMPRODUCT(--($AL642:$AQ642&gt;AQ642))+SUMPRODUCT(--($AL642:AP642=AQ642))&lt;$AK642,1,0)</f>
        <v>72</v>
      </c>
      <c r="R642" s="2" t="n">
        <f aca="false">SUM(L642:Q642)</f>
        <v>500</v>
      </c>
      <c r="S642" s="2" t="n">
        <f aca="false">Settings!$B$4*MAX(INDEX(Bases!$M$2:$M$53,B642),INDEX(Bases!$M$2:$M$53,C642))+Settings!$B$5*MIN(INDEX(Bases!$M$2:$M$53,B642),INDEX(Bases!$M$2:$M$53,C642))</f>
        <v>77</v>
      </c>
      <c r="T642" s="2" t="n">
        <f aca="false">Settings!$B$4*MAX(INDEX(Bases!$N$2:$N$53,B642),INDEX(Bases!$N$2:$N$53,C642))+Settings!$B$5*MIN(INDEX(Bases!$N$2:$N$53,B642),INDEX(Bases!$N$2:$N$53,C642))</f>
        <v>62.6666666666667</v>
      </c>
      <c r="U642" s="2" t="n">
        <f aca="false">Settings!$B$4*MAX(INDEX(Bases!$O$2:$O$53,B642),INDEX(Bases!$O$2:$O$53,C642))+Settings!$B$5*MIN(INDEX(Bases!$O$2:$O$53,B642),INDEX(Bases!$O$2:$O$53,C642))</f>
        <v>76.3333333333333</v>
      </c>
      <c r="V642" s="2" t="n">
        <f aca="false">Settings!$B$4*MAX(INDEX(Bases!$P$2:$P$53,B642),INDEX(Bases!$P$2:$P$53,C642))+Settings!$B$5*MIN(INDEX(Bases!$P$2:$P$53,B642),INDEX(Bases!$P$2:$P$53,C642))</f>
        <v>62.6666666666667</v>
      </c>
      <c r="W642" s="2" t="n">
        <f aca="false">Settings!$B$4*MAX(INDEX(Bases!$Q$2:$Q$53,B642),INDEX(Bases!$Q$2:$Q$53,C642))+Settings!$B$5*MIN(INDEX(Bases!$Q$2:$Q$53,B642),INDEX(Bases!$Q$2:$Q$53,C642))</f>
        <v>76</v>
      </c>
      <c r="X642" s="2" t="n">
        <f aca="false">Settings!$B$4*MAX(INDEX(Bases!$R$2:$R$53,B642),INDEX(Bases!$R$2:$R$53,C642))+Settings!$B$5*MIN(INDEX(Bases!$R$2:$R$53,B642),INDEX(Bases!$R$2:$R$53,C642))</f>
        <v>60</v>
      </c>
      <c r="Y642" s="2" t="n">
        <f aca="false">S642*Settings!$B$3/SUM(S642:X642)</f>
        <v>92.8456591639871</v>
      </c>
      <c r="Z642" s="2" t="n">
        <f aca="false">T642*Settings!$B$3/SUM(S642:X642)</f>
        <v>75.5627009646302</v>
      </c>
      <c r="AA642" s="2" t="n">
        <f aca="false">U642*Settings!$B$3/SUM(S642:X642)</f>
        <v>92.0418006430868</v>
      </c>
      <c r="AB642" s="2" t="n">
        <f aca="false">V642*Settings!$B$3/SUM(S642:X642)</f>
        <v>75.5627009646302</v>
      </c>
      <c r="AC642" s="2" t="n">
        <f aca="false">W642*Settings!$B$3/SUM(S642:X642)</f>
        <v>91.6398713826367</v>
      </c>
      <c r="AD642" s="2" t="n">
        <f aca="false">X642*Settings!$B$3/SUM(S642:X642)</f>
        <v>72.3472668810289</v>
      </c>
      <c r="AE642" s="2" t="n">
        <f aca="false">INT(Y642)</f>
        <v>92</v>
      </c>
      <c r="AF642" s="2" t="n">
        <f aca="false">INT(Z642)</f>
        <v>75</v>
      </c>
      <c r="AG642" s="2" t="n">
        <f aca="false">INT(AA642)</f>
        <v>92</v>
      </c>
      <c r="AH642" s="2" t="n">
        <f aca="false">INT(AB642)</f>
        <v>75</v>
      </c>
      <c r="AI642" s="2" t="n">
        <f aca="false">INT(AC642)</f>
        <v>91</v>
      </c>
      <c r="AJ642" s="2" t="n">
        <f aca="false">INT(AD642)</f>
        <v>72</v>
      </c>
      <c r="AK642" s="2" t="n">
        <f aca="false">Settings!$B$3-SUM(AE642:AJ642)</f>
        <v>3</v>
      </c>
      <c r="AL642" s="2" t="n">
        <f aca="false">ROUND(Y642-AE642,9)</f>
        <v>0.845659164</v>
      </c>
      <c r="AM642" s="2" t="n">
        <f aca="false">ROUND(Z642-AF642,9)</f>
        <v>0.562700965</v>
      </c>
      <c r="AN642" s="2" t="n">
        <f aca="false">ROUND(AA642-AG642,9)</f>
        <v>0.041800643</v>
      </c>
      <c r="AO642" s="2" t="n">
        <f aca="false">ROUND(AB642-AH642,9)</f>
        <v>0.562700965</v>
      </c>
      <c r="AP642" s="2" t="n">
        <f aca="false">ROUND(AC642-AI642,9)</f>
        <v>0.639871383</v>
      </c>
      <c r="AQ642" s="2" t="n">
        <f aca="false">ROUND(AD642-AJ642,9)</f>
        <v>0.347266881</v>
      </c>
    </row>
    <row r="643" customFormat="false" ht="15" hidden="false" customHeight="false" outlineLevel="0" collapsed="false">
      <c r="A643" s="2" t="n">
        <v>642</v>
      </c>
      <c r="B643" s="6" t="n">
        <v>15</v>
      </c>
      <c r="C643" s="6" t="n">
        <v>34</v>
      </c>
      <c r="D643" s="8" t="str">
        <f aca="false">INDEX(Bases!$B$2:$B$53,B643)</f>
        <v>Shroomish</v>
      </c>
      <c r="E643" s="8" t="str">
        <f aca="false">INDEX(Bases!$B$2:$B$53,C643)</f>
        <v>Paras</v>
      </c>
      <c r="F643" s="2" t="str">
        <f aca="false">LEFT(D643,ROUNDUP(LEN(D643)/2,0))&amp;LOWER(MID(E643,ROUNDUP(LEN(E643)/2,0)+1,20))</f>
        <v>Shrooas</v>
      </c>
      <c r="G643" s="8" t="str">
        <f aca="false">INDEX(Bases!$C$2:$C$53,B643)</f>
        <v>Grass</v>
      </c>
      <c r="H643" s="8" t="str">
        <f aca="false">IF(INDEX(Bases!$C$2:$C$53,C643)=G643,"",INDEX(Bases!$C$2:$C$53,C643))</f>
        <v>Bug</v>
      </c>
      <c r="I643" s="8" t="str">
        <f aca="false">IF(INDEX(Bases!$E$2:$E$53,B643)="","",INDEX(Bases!$E$2:$E$53,B643))</f>
        <v/>
      </c>
      <c r="J643" s="8" t="str">
        <f aca="false">IF(INDEX(Bases!$E$2:$E$53,C643)="","",INDEX(Bases!$E$2:$E$53,C643))</f>
        <v/>
      </c>
      <c r="K643" s="5"/>
      <c r="L643" s="2" t="n">
        <f aca="false">AE643+IF(SUMPRODUCT(--($AL643:$AQ643&gt;AL643))&lt;$AK643,1,0)</f>
        <v>85</v>
      </c>
      <c r="M643" s="2" t="n">
        <f aca="false">AF643+IF(SUMPRODUCT(--($AL643:$AQ643&gt;AM643))+SUMPRODUCT(--($AL643:AL643=AM643))&lt;$AK643,1,0)</f>
        <v>101</v>
      </c>
      <c r="N643" s="2" t="n">
        <f aca="false">AG643+IF(SUMPRODUCT(--($AL643:$AQ643&gt;AN643))+SUMPRODUCT(--($AL643:AM643=AN643))&lt;$AK643,1,0)</f>
        <v>95</v>
      </c>
      <c r="O643" s="2" t="n">
        <f aca="false">AH643+IF(SUMPRODUCT(--($AL643:$AQ643&gt;AO643))+SUMPRODUCT(--($AL643:AN643=AO643))&lt;$AK643,1,0)</f>
        <v>72</v>
      </c>
      <c r="P643" s="2" t="n">
        <f aca="false">AI643+IF(SUMPRODUCT(--($AL643:$AQ643&gt;AP643))+SUMPRODUCT(--($AL643:AO643=AP643))&lt;$AK643,1,0)</f>
        <v>95</v>
      </c>
      <c r="Q643" s="2" t="n">
        <f aca="false">AJ643+IF(SUMPRODUCT(--($AL643:$AQ643&gt;AQ643))+SUMPRODUCT(--($AL643:AP643=AQ643))&lt;$AK643,1,0)</f>
        <v>52</v>
      </c>
      <c r="R643" s="2" t="n">
        <f aca="false">SUM(L643:Q643)</f>
        <v>500</v>
      </c>
      <c r="S643" s="2" t="n">
        <f aca="false">Settings!$B$4*MAX(INDEX(Bases!$M$2:$M$53,B643),INDEX(Bases!$M$2:$M$53,C643))+Settings!$B$5*MIN(INDEX(Bases!$M$2:$M$53,B643),INDEX(Bases!$M$2:$M$53,C643))</f>
        <v>71</v>
      </c>
      <c r="T643" s="2" t="n">
        <f aca="false">Settings!$B$4*MAX(INDEX(Bases!$N$2:$N$53,B643),INDEX(Bases!$N$2:$N$53,C643))+Settings!$B$5*MIN(INDEX(Bases!$N$2:$N$53,B643),INDEX(Bases!$N$2:$N$53,C643))</f>
        <v>84</v>
      </c>
      <c r="U643" s="2" t="n">
        <f aca="false">Settings!$B$4*MAX(INDEX(Bases!$O$2:$O$53,B643),INDEX(Bases!$O$2:$O$53,C643))+Settings!$B$5*MIN(INDEX(Bases!$O$2:$O$53,B643),INDEX(Bases!$O$2:$O$53,C643))</f>
        <v>79.6666666666667</v>
      </c>
      <c r="V643" s="2" t="n">
        <f aca="false">Settings!$B$4*MAX(INDEX(Bases!$P$2:$P$53,B643),INDEX(Bases!$P$2:$P$53,C643))+Settings!$B$5*MIN(INDEX(Bases!$P$2:$P$53,B643),INDEX(Bases!$P$2:$P$53,C643))</f>
        <v>60</v>
      </c>
      <c r="W643" s="2" t="n">
        <f aca="false">Settings!$B$4*MAX(INDEX(Bases!$Q$2:$Q$53,B643),INDEX(Bases!$Q$2:$Q$53,C643))+Settings!$B$5*MIN(INDEX(Bases!$Q$2:$Q$53,B643),INDEX(Bases!$Q$2:$Q$53,C643))</f>
        <v>79.6666666666667</v>
      </c>
      <c r="X643" s="2" t="n">
        <f aca="false">Settings!$B$4*MAX(INDEX(Bases!$R$2:$R$53,B643),INDEX(Bases!$R$2:$R$53,C643))+Settings!$B$5*MIN(INDEX(Bases!$R$2:$R$53,B643),INDEX(Bases!$R$2:$R$53,C643))</f>
        <v>43.6666666666667</v>
      </c>
      <c r="Y643" s="2" t="n">
        <f aca="false">S643*Settings!$B$3/SUM(S643:X643)</f>
        <v>84.9282296650718</v>
      </c>
      <c r="Z643" s="2" t="n">
        <f aca="false">T643*Settings!$B$3/SUM(S643:X643)</f>
        <v>100.478468899522</v>
      </c>
      <c r="AA643" s="2" t="n">
        <f aca="false">U643*Settings!$B$3/SUM(S643:X643)</f>
        <v>95.2950558213716</v>
      </c>
      <c r="AB643" s="2" t="n">
        <f aca="false">V643*Settings!$B$3/SUM(S643:X643)</f>
        <v>71.7703349282297</v>
      </c>
      <c r="AC643" s="2" t="n">
        <f aca="false">W643*Settings!$B$3/SUM(S643:X643)</f>
        <v>95.2950558213716</v>
      </c>
      <c r="AD643" s="2" t="n">
        <f aca="false">X643*Settings!$B$3/SUM(S643:X643)</f>
        <v>52.2328548644338</v>
      </c>
      <c r="AE643" s="2" t="n">
        <f aca="false">INT(Y643)</f>
        <v>84</v>
      </c>
      <c r="AF643" s="2" t="n">
        <f aca="false">INT(Z643)</f>
        <v>100</v>
      </c>
      <c r="AG643" s="2" t="n">
        <f aca="false">INT(AA643)</f>
        <v>95</v>
      </c>
      <c r="AH643" s="2" t="n">
        <f aca="false">INT(AB643)</f>
        <v>71</v>
      </c>
      <c r="AI643" s="2" t="n">
        <f aca="false">INT(AC643)</f>
        <v>95</v>
      </c>
      <c r="AJ643" s="2" t="n">
        <f aca="false">INT(AD643)</f>
        <v>52</v>
      </c>
      <c r="AK643" s="2" t="n">
        <f aca="false">Settings!$B$3-SUM(AE643:AJ643)</f>
        <v>3</v>
      </c>
      <c r="AL643" s="2" t="n">
        <f aca="false">ROUND(Y643-AE643,9)</f>
        <v>0.928229665</v>
      </c>
      <c r="AM643" s="2" t="n">
        <f aca="false">ROUND(Z643-AF643,9)</f>
        <v>0.4784689</v>
      </c>
      <c r="AN643" s="2" t="n">
        <f aca="false">ROUND(AA643-AG643,9)</f>
        <v>0.295055821</v>
      </c>
      <c r="AO643" s="2" t="n">
        <f aca="false">ROUND(AB643-AH643,9)</f>
        <v>0.770334928</v>
      </c>
      <c r="AP643" s="2" t="n">
        <f aca="false">ROUND(AC643-AI643,9)</f>
        <v>0.295055821</v>
      </c>
      <c r="AQ643" s="2" t="n">
        <f aca="false">ROUND(AD643-AJ643,9)</f>
        <v>0.232854864</v>
      </c>
    </row>
    <row r="644" customFormat="false" ht="15" hidden="false" customHeight="false" outlineLevel="0" collapsed="false">
      <c r="A644" s="2" t="n">
        <v>643</v>
      </c>
      <c r="B644" s="6" t="n">
        <v>15</v>
      </c>
      <c r="C644" s="6" t="n">
        <v>35</v>
      </c>
      <c r="D644" s="8" t="str">
        <f aca="false">INDEX(Bases!$B$2:$B$53,B644)</f>
        <v>Shroomish</v>
      </c>
      <c r="E644" s="8" t="str">
        <f aca="false">INDEX(Bases!$B$2:$B$53,C644)</f>
        <v>Pineco</v>
      </c>
      <c r="F644" s="2" t="str">
        <f aca="false">LEFT(D644,ROUNDUP(LEN(D644)/2,0))&amp;LOWER(MID(E644,ROUNDUP(LEN(E644)/2,0)+1,20))</f>
        <v>Shrooeco</v>
      </c>
      <c r="G644" s="8" t="str">
        <f aca="false">INDEX(Bases!$C$2:$C$53,B644)</f>
        <v>Grass</v>
      </c>
      <c r="H644" s="8" t="str">
        <f aca="false">IF(INDEX(Bases!$C$2:$C$53,C644)=G644,"",INDEX(Bases!$C$2:$C$53,C644))</f>
        <v>Bug</v>
      </c>
      <c r="I644" s="8" t="str">
        <f aca="false">IF(INDEX(Bases!$E$2:$E$53,B644)="","",INDEX(Bases!$E$2:$E$53,B644))</f>
        <v/>
      </c>
      <c r="J644" s="8" t="str">
        <f aca="false">IF(INDEX(Bases!$E$2:$E$53,C644)="","",INDEX(Bases!$E$2:$E$53,C644))</f>
        <v/>
      </c>
      <c r="K644" s="5"/>
      <c r="L644" s="2" t="n">
        <f aca="false">AE644+IF(SUMPRODUCT(--($AL644:$AQ644&gt;AL644))&lt;$AK644,1,0)</f>
        <v>91</v>
      </c>
      <c r="M644" s="2" t="n">
        <f aca="false">AF644+IF(SUMPRODUCT(--($AL644:$AQ644&gt;AM644))+SUMPRODUCT(--($AL644:AL644=AM644))&lt;$AK644,1,0)</f>
        <v>91</v>
      </c>
      <c r="N644" s="2" t="n">
        <f aca="false">AG644+IF(SUMPRODUCT(--($AL644:$AQ644&gt;AN644))+SUMPRODUCT(--($AL644:AM644=AN644))&lt;$AK644,1,0)</f>
        <v>129</v>
      </c>
      <c r="O644" s="2" t="n">
        <f aca="false">AH644+IF(SUMPRODUCT(--($AL644:$AQ644&gt;AO644))+SUMPRODUCT(--($AL644:AN644=AO644))&lt;$AK644,1,0)</f>
        <v>61</v>
      </c>
      <c r="P644" s="2" t="n">
        <f aca="false">AI644+IF(SUMPRODUCT(--($AL644:$AQ644&gt;AP644))+SUMPRODUCT(--($AL644:AO644=AP644))&lt;$AK644,1,0)</f>
        <v>82</v>
      </c>
      <c r="Q644" s="2" t="n">
        <f aca="false">AJ644+IF(SUMPRODUCT(--($AL644:$AQ644&gt;AQ644))+SUMPRODUCT(--($AL644:AP644=AQ644))&lt;$AK644,1,0)</f>
        <v>46</v>
      </c>
      <c r="R644" s="2" t="n">
        <f aca="false">SUM(L644:Q644)</f>
        <v>500</v>
      </c>
      <c r="S644" s="2" t="n">
        <f aca="false">Settings!$B$4*MAX(INDEX(Bases!$M$2:$M$53,B644),INDEX(Bases!$M$2:$M$53,C644))+Settings!$B$5*MIN(INDEX(Bases!$M$2:$M$53,B644),INDEX(Bases!$M$2:$M$53,C644))</f>
        <v>77.6666666666667</v>
      </c>
      <c r="T644" s="2" t="n">
        <f aca="false">Settings!$B$4*MAX(INDEX(Bases!$N$2:$N$53,B644),INDEX(Bases!$N$2:$N$53,C644))+Settings!$B$5*MIN(INDEX(Bases!$N$2:$N$53,B644),INDEX(Bases!$N$2:$N$53,C644))</f>
        <v>78</v>
      </c>
      <c r="U644" s="2" t="n">
        <f aca="false">Settings!$B$4*MAX(INDEX(Bases!$O$2:$O$53,B644),INDEX(Bases!$O$2:$O$53,C644))+Settings!$B$5*MIN(INDEX(Bases!$O$2:$O$53,B644),INDEX(Bases!$O$2:$O$53,C644))</f>
        <v>109.666666666667</v>
      </c>
      <c r="V644" s="2" t="n">
        <f aca="false">Settings!$B$4*MAX(INDEX(Bases!$P$2:$P$53,B644),INDEX(Bases!$P$2:$P$53,C644))+Settings!$B$5*MIN(INDEX(Bases!$P$2:$P$53,B644),INDEX(Bases!$P$2:$P$53,C644))</f>
        <v>52</v>
      </c>
      <c r="W644" s="2" t="n">
        <f aca="false">Settings!$B$4*MAX(INDEX(Bases!$Q$2:$Q$53,B644),INDEX(Bases!$Q$2:$Q$53,C644))+Settings!$B$5*MIN(INDEX(Bases!$Q$2:$Q$53,B644),INDEX(Bases!$Q$2:$Q$53,C644))</f>
        <v>70</v>
      </c>
      <c r="X644" s="2" t="n">
        <f aca="false">Settings!$B$4*MAX(INDEX(Bases!$R$2:$R$53,B644),INDEX(Bases!$R$2:$R$53,C644))+Settings!$B$5*MIN(INDEX(Bases!$R$2:$R$53,B644),INDEX(Bases!$R$2:$R$53,C644))</f>
        <v>39</v>
      </c>
      <c r="Y644" s="2" t="n">
        <f aca="false">S644*Settings!$B$3/SUM(S644:X644)</f>
        <v>91.0867865519938</v>
      </c>
      <c r="Z644" s="2" t="n">
        <f aca="false">T644*Settings!$B$3/SUM(S644:X644)</f>
        <v>91.47771696638</v>
      </c>
      <c r="AA644" s="2" t="n">
        <f aca="false">U644*Settings!$B$3/SUM(S644:X644)</f>
        <v>128.616106333073</v>
      </c>
      <c r="AB644" s="2" t="n">
        <f aca="false">V644*Settings!$B$3/SUM(S644:X644)</f>
        <v>60.9851446442533</v>
      </c>
      <c r="AC644" s="2" t="n">
        <f aca="false">W644*Settings!$B$3/SUM(S644:X644)</f>
        <v>82.0953870211102</v>
      </c>
      <c r="AD644" s="2" t="n">
        <f aca="false">X644*Settings!$B$3/SUM(S644:X644)</f>
        <v>45.73885848319</v>
      </c>
      <c r="AE644" s="2" t="n">
        <f aca="false">INT(Y644)</f>
        <v>91</v>
      </c>
      <c r="AF644" s="2" t="n">
        <f aca="false">INT(Z644)</f>
        <v>91</v>
      </c>
      <c r="AG644" s="2" t="n">
        <f aca="false">INT(AA644)</f>
        <v>128</v>
      </c>
      <c r="AH644" s="2" t="n">
        <f aca="false">INT(AB644)</f>
        <v>60</v>
      </c>
      <c r="AI644" s="2" t="n">
        <f aca="false">INT(AC644)</f>
        <v>82</v>
      </c>
      <c r="AJ644" s="2" t="n">
        <f aca="false">INT(AD644)</f>
        <v>45</v>
      </c>
      <c r="AK644" s="2" t="n">
        <f aca="false">Settings!$B$3-SUM(AE644:AJ644)</f>
        <v>3</v>
      </c>
      <c r="AL644" s="2" t="n">
        <f aca="false">ROUND(Y644-AE644,9)</f>
        <v>0.086786552</v>
      </c>
      <c r="AM644" s="2" t="n">
        <f aca="false">ROUND(Z644-AF644,9)</f>
        <v>0.477716966</v>
      </c>
      <c r="AN644" s="2" t="n">
        <f aca="false">ROUND(AA644-AG644,9)</f>
        <v>0.616106333</v>
      </c>
      <c r="AO644" s="2" t="n">
        <f aca="false">ROUND(AB644-AH644,9)</f>
        <v>0.985144644</v>
      </c>
      <c r="AP644" s="2" t="n">
        <f aca="false">ROUND(AC644-AI644,9)</f>
        <v>0.095387021</v>
      </c>
      <c r="AQ644" s="2" t="n">
        <f aca="false">ROUND(AD644-AJ644,9)</f>
        <v>0.738858483</v>
      </c>
    </row>
    <row r="645" customFormat="false" ht="15" hidden="false" customHeight="false" outlineLevel="0" collapsed="false">
      <c r="A645" s="2" t="n">
        <v>644</v>
      </c>
      <c r="B645" s="6" t="n">
        <v>15</v>
      </c>
      <c r="C645" s="6" t="n">
        <v>36</v>
      </c>
      <c r="D645" s="8" t="str">
        <f aca="false">INDEX(Bases!$B$2:$B$53,B645)</f>
        <v>Shroomish</v>
      </c>
      <c r="E645" s="8" t="str">
        <f aca="false">INDEX(Bases!$B$2:$B$53,C645)</f>
        <v>Wurmple</v>
      </c>
      <c r="F645" s="2" t="str">
        <f aca="false">LEFT(D645,ROUNDUP(LEN(D645)/2,0))&amp;LOWER(MID(E645,ROUNDUP(LEN(E645)/2,0)+1,20))</f>
        <v>Shroople</v>
      </c>
      <c r="G645" s="8" t="str">
        <f aca="false">INDEX(Bases!$C$2:$C$53,B645)</f>
        <v>Grass</v>
      </c>
      <c r="H645" s="8" t="str">
        <f aca="false">IF(INDEX(Bases!$C$2:$C$53,C645)=G645,"",INDEX(Bases!$C$2:$C$53,C645))</f>
        <v>Bug</v>
      </c>
      <c r="I645" s="8" t="str">
        <f aca="false">IF(INDEX(Bases!$E$2:$E$53,B645)="","",INDEX(Bases!$E$2:$E$53,B645))</f>
        <v/>
      </c>
      <c r="J645" s="8" t="str">
        <f aca="false">IF(INDEX(Bases!$E$2:$E$53,C645)="","",INDEX(Bases!$E$2:$E$53,C645))</f>
        <v/>
      </c>
      <c r="K645" s="5"/>
      <c r="L645" s="2" t="n">
        <f aca="false">AE645+IF(SUMPRODUCT(--($AL645:$AQ645&gt;AL645))&lt;$AK645,1,0)</f>
        <v>106</v>
      </c>
      <c r="M645" s="2" t="n">
        <f aca="false">AF645+IF(SUMPRODUCT(--($AL645:$AQ645&gt;AM645))+SUMPRODUCT(--($AL645:AL645=AM645))&lt;$AK645,1,0)</f>
        <v>95</v>
      </c>
      <c r="N645" s="2" t="n">
        <f aca="false">AG645+IF(SUMPRODUCT(--($AL645:$AQ645&gt;AN645))+SUMPRODUCT(--($AL645:AM645=AN645))&lt;$AK645,1,0)</f>
        <v>94</v>
      </c>
      <c r="O645" s="2" t="n">
        <f aca="false">AH645+IF(SUMPRODUCT(--($AL645:$AQ645&gt;AO645))+SUMPRODUCT(--($AL645:AN645=AO645))&lt;$AK645,1,0)</f>
        <v>60</v>
      </c>
      <c r="P645" s="2" t="n">
        <f aca="false">AI645+IF(SUMPRODUCT(--($AL645:$AQ645&gt;AP645))+SUMPRODUCT(--($AL645:AO645=AP645))&lt;$AK645,1,0)</f>
        <v>90</v>
      </c>
      <c r="Q645" s="2" t="n">
        <f aca="false">AJ645+IF(SUMPRODUCT(--($AL645:$AQ645&gt;AQ645))+SUMPRODUCT(--($AL645:AP645=AQ645))&lt;$AK645,1,0)</f>
        <v>55</v>
      </c>
      <c r="R645" s="2" t="n">
        <f aca="false">SUM(L645:Q645)</f>
        <v>500</v>
      </c>
      <c r="S645" s="2" t="n">
        <f aca="false">Settings!$B$4*MAX(INDEX(Bases!$M$2:$M$53,B645),INDEX(Bases!$M$2:$M$53,C645))+Settings!$B$5*MIN(INDEX(Bases!$M$2:$M$53,B645),INDEX(Bases!$M$2:$M$53,C645))</f>
        <v>88.6666666666667</v>
      </c>
      <c r="T645" s="2" t="n">
        <f aca="false">Settings!$B$4*MAX(INDEX(Bases!$N$2:$N$53,B645),INDEX(Bases!$N$2:$N$53,C645))+Settings!$B$5*MIN(INDEX(Bases!$N$2:$N$53,B645),INDEX(Bases!$N$2:$N$53,C645))</f>
        <v>79.3333333333333</v>
      </c>
      <c r="U645" s="2" t="n">
        <f aca="false">Settings!$B$4*MAX(INDEX(Bases!$O$2:$O$53,B645),INDEX(Bases!$O$2:$O$53,C645))+Settings!$B$5*MIN(INDEX(Bases!$O$2:$O$53,B645),INDEX(Bases!$O$2:$O$53,C645))</f>
        <v>78</v>
      </c>
      <c r="V645" s="2" t="n">
        <f aca="false">Settings!$B$4*MAX(INDEX(Bases!$P$2:$P$53,B645),INDEX(Bases!$P$2:$P$53,C645))+Settings!$B$5*MIN(INDEX(Bases!$P$2:$P$53,B645),INDEX(Bases!$P$2:$P$53,C645))</f>
        <v>49.6666666666667</v>
      </c>
      <c r="W645" s="2" t="n">
        <f aca="false">Settings!$B$4*MAX(INDEX(Bases!$Q$2:$Q$53,B645),INDEX(Bases!$Q$2:$Q$53,C645))+Settings!$B$5*MIN(INDEX(Bases!$Q$2:$Q$53,B645),INDEX(Bases!$Q$2:$Q$53,C645))</f>
        <v>74.6666666666667</v>
      </c>
      <c r="X645" s="2" t="n">
        <f aca="false">Settings!$B$4*MAX(INDEX(Bases!$R$2:$R$53,B645),INDEX(Bases!$R$2:$R$53,C645))+Settings!$B$5*MIN(INDEX(Bases!$R$2:$R$53,B645),INDEX(Bases!$R$2:$R$53,C645))</f>
        <v>45.6666666666667</v>
      </c>
      <c r="Y645" s="2" t="n">
        <f aca="false">S645*Settings!$B$3/SUM(S645:X645)</f>
        <v>106.570512820513</v>
      </c>
      <c r="Z645" s="2" t="n">
        <f aca="false">T645*Settings!$B$3/SUM(S645:X645)</f>
        <v>95.3525641025641</v>
      </c>
      <c r="AA645" s="2" t="n">
        <f aca="false">U645*Settings!$B$3/SUM(S645:X645)</f>
        <v>93.75</v>
      </c>
      <c r="AB645" s="2" t="n">
        <f aca="false">V645*Settings!$B$3/SUM(S645:X645)</f>
        <v>59.6955128205128</v>
      </c>
      <c r="AC645" s="2" t="n">
        <f aca="false">W645*Settings!$B$3/SUM(S645:X645)</f>
        <v>89.7435897435898</v>
      </c>
      <c r="AD645" s="2" t="n">
        <f aca="false">X645*Settings!$B$3/SUM(S645:X645)</f>
        <v>54.8878205128205</v>
      </c>
      <c r="AE645" s="2" t="n">
        <f aca="false">INT(Y645)</f>
        <v>106</v>
      </c>
      <c r="AF645" s="2" t="n">
        <f aca="false">INT(Z645)</f>
        <v>95</v>
      </c>
      <c r="AG645" s="2" t="n">
        <f aca="false">INT(AA645)</f>
        <v>93</v>
      </c>
      <c r="AH645" s="2" t="n">
        <f aca="false">INT(AB645)</f>
        <v>59</v>
      </c>
      <c r="AI645" s="2" t="n">
        <f aca="false">INT(AC645)</f>
        <v>89</v>
      </c>
      <c r="AJ645" s="2" t="n">
        <f aca="false">INT(AD645)</f>
        <v>54</v>
      </c>
      <c r="AK645" s="2" t="n">
        <f aca="false">Settings!$B$3-SUM(AE645:AJ645)</f>
        <v>4</v>
      </c>
      <c r="AL645" s="2" t="n">
        <f aca="false">ROUND(Y645-AE645,9)</f>
        <v>0.570512821</v>
      </c>
      <c r="AM645" s="2" t="n">
        <f aca="false">ROUND(Z645-AF645,9)</f>
        <v>0.352564103</v>
      </c>
      <c r="AN645" s="2" t="n">
        <f aca="false">ROUND(AA645-AG645,9)</f>
        <v>0.75</v>
      </c>
      <c r="AO645" s="2" t="n">
        <f aca="false">ROUND(AB645-AH645,9)</f>
        <v>0.695512821</v>
      </c>
      <c r="AP645" s="2" t="n">
        <f aca="false">ROUND(AC645-AI645,9)</f>
        <v>0.743589744</v>
      </c>
      <c r="AQ645" s="2" t="n">
        <f aca="false">ROUND(AD645-AJ645,9)</f>
        <v>0.887820513</v>
      </c>
    </row>
    <row r="646" customFormat="false" ht="15" hidden="false" customHeight="false" outlineLevel="0" collapsed="false">
      <c r="A646" s="2" t="n">
        <v>645</v>
      </c>
      <c r="B646" s="6" t="n">
        <v>15</v>
      </c>
      <c r="C646" s="6" t="n">
        <v>37</v>
      </c>
      <c r="D646" s="8" t="str">
        <f aca="false">INDEX(Bases!$B$2:$B$53,B646)</f>
        <v>Shroomish</v>
      </c>
      <c r="E646" s="8" t="str">
        <f aca="false">INDEX(Bases!$B$2:$B$53,C646)</f>
        <v>Shuckle</v>
      </c>
      <c r="F646" s="2" t="str">
        <f aca="false">LEFT(D646,ROUNDUP(LEN(D646)/2,0))&amp;LOWER(MID(E646,ROUNDUP(LEN(E646)/2,0)+1,20))</f>
        <v>Shrookle</v>
      </c>
      <c r="G646" s="8" t="str">
        <f aca="false">INDEX(Bases!$C$2:$C$53,B646)</f>
        <v>Grass</v>
      </c>
      <c r="H646" s="8" t="str">
        <f aca="false">IF(INDEX(Bases!$C$2:$C$53,C646)=G646,"",INDEX(Bases!$C$2:$C$53,C646))</f>
        <v>Rock</v>
      </c>
      <c r="I646" s="8" t="str">
        <f aca="false">IF(INDEX(Bases!$E$2:$E$53,B646)="","",INDEX(Bases!$E$2:$E$53,B646))</f>
        <v/>
      </c>
      <c r="J646" s="8" t="str">
        <f aca="false">IF(INDEX(Bases!$E$2:$E$53,C646)="","",INDEX(Bases!$E$2:$E$53,C646))</f>
        <v/>
      </c>
      <c r="K646" s="5"/>
      <c r="L646" s="2" t="n">
        <f aca="false">AE646+IF(SUMPRODUCT(--($AL646:$AQ646&gt;AL646))&lt;$AK646,1,0)</f>
        <v>64</v>
      </c>
      <c r="M646" s="2" t="n">
        <f aca="false">AF646+IF(SUMPRODUCT(--($AL646:$AQ646&gt;AM646))+SUMPRODUCT(--($AL646:AL646=AM646))&lt;$AK646,1,0)</f>
        <v>41</v>
      </c>
      <c r="N646" s="2" t="n">
        <f aca="false">AG646+IF(SUMPRODUCT(--($AL646:$AQ646&gt;AN646))+SUMPRODUCT(--($AL646:AM646=AN646))&lt;$AK646,1,0)</f>
        <v>159</v>
      </c>
      <c r="O646" s="2" t="n">
        <f aca="false">AH646+IF(SUMPRODUCT(--($AL646:$AQ646&gt;AO646))+SUMPRODUCT(--($AL646:AN646=AO646))&lt;$AK646,1,0)</f>
        <v>41</v>
      </c>
      <c r="P646" s="2" t="n">
        <f aca="false">AI646+IF(SUMPRODUCT(--($AL646:$AQ646&gt;AP646))+SUMPRODUCT(--($AL646:AO646=AP646))&lt;$AK646,1,0)</f>
        <v>159</v>
      </c>
      <c r="Q646" s="2" t="n">
        <f aca="false">AJ646+IF(SUMPRODUCT(--($AL646:$AQ646&gt;AQ646))+SUMPRODUCT(--($AL646:AP646=AQ646))&lt;$AK646,1,0)</f>
        <v>36</v>
      </c>
      <c r="R646" s="2" t="n">
        <f aca="false">SUM(L646:Q646)</f>
        <v>500</v>
      </c>
      <c r="S646" s="2" t="n">
        <f aca="false">Settings!$B$4*MAX(INDEX(Bases!$M$2:$M$53,B646),INDEX(Bases!$M$2:$M$53,C646))+Settings!$B$5*MIN(INDEX(Bases!$M$2:$M$53,B646),INDEX(Bases!$M$2:$M$53,C646))</f>
        <v>60</v>
      </c>
      <c r="T646" s="2" t="n">
        <f aca="false">Settings!$B$4*MAX(INDEX(Bases!$N$2:$N$53,B646),INDEX(Bases!$N$2:$N$53,C646))+Settings!$B$5*MIN(INDEX(Bases!$N$2:$N$53,B646),INDEX(Bases!$N$2:$N$53,C646))</f>
        <v>38.6666666666667</v>
      </c>
      <c r="U646" s="2" t="n">
        <f aca="false">Settings!$B$4*MAX(INDEX(Bases!$O$2:$O$53,B646),INDEX(Bases!$O$2:$O$53,C646))+Settings!$B$5*MIN(INDEX(Bases!$O$2:$O$53,B646),INDEX(Bases!$O$2:$O$53,C646))</f>
        <v>148.333333333333</v>
      </c>
      <c r="V646" s="2" t="n">
        <f aca="false">Settings!$B$4*MAX(INDEX(Bases!$P$2:$P$53,B646),INDEX(Bases!$P$2:$P$53,C646))+Settings!$B$5*MIN(INDEX(Bases!$P$2:$P$53,B646),INDEX(Bases!$P$2:$P$53,C646))</f>
        <v>38.6666666666667</v>
      </c>
      <c r="W646" s="2" t="n">
        <f aca="false">Settings!$B$4*MAX(INDEX(Bases!$Q$2:$Q$53,B646),INDEX(Bases!$Q$2:$Q$53,C646))+Settings!$B$5*MIN(INDEX(Bases!$Q$2:$Q$53,B646),INDEX(Bases!$Q$2:$Q$53,C646))</f>
        <v>148.333333333333</v>
      </c>
      <c r="X646" s="2" t="n">
        <f aca="false">Settings!$B$4*MAX(INDEX(Bases!$R$2:$R$53,B646),INDEX(Bases!$R$2:$R$53,C646))+Settings!$B$5*MIN(INDEX(Bases!$R$2:$R$53,B646),INDEX(Bases!$R$2:$R$53,C646))</f>
        <v>33.3333333333333</v>
      </c>
      <c r="Y646" s="2" t="n">
        <f aca="false">S646*Settings!$B$3/SUM(S646:X646)</f>
        <v>64.1940085592011</v>
      </c>
      <c r="Z646" s="2" t="n">
        <f aca="false">T646*Settings!$B$3/SUM(S646:X646)</f>
        <v>41.3694721825963</v>
      </c>
      <c r="AA646" s="2" t="n">
        <f aca="false">U646*Settings!$B$3/SUM(S646:X646)</f>
        <v>158.701854493581</v>
      </c>
      <c r="AB646" s="2" t="n">
        <f aca="false">V646*Settings!$B$3/SUM(S646:X646)</f>
        <v>41.3694721825963</v>
      </c>
      <c r="AC646" s="2" t="n">
        <f aca="false">W646*Settings!$B$3/SUM(S646:X646)</f>
        <v>158.701854493581</v>
      </c>
      <c r="AD646" s="2" t="n">
        <f aca="false">X646*Settings!$B$3/SUM(S646:X646)</f>
        <v>35.6633380884451</v>
      </c>
      <c r="AE646" s="2" t="n">
        <f aca="false">INT(Y646)</f>
        <v>64</v>
      </c>
      <c r="AF646" s="2" t="n">
        <f aca="false">INT(Z646)</f>
        <v>41</v>
      </c>
      <c r="AG646" s="2" t="n">
        <f aca="false">INT(AA646)</f>
        <v>158</v>
      </c>
      <c r="AH646" s="2" t="n">
        <f aca="false">INT(AB646)</f>
        <v>41</v>
      </c>
      <c r="AI646" s="2" t="n">
        <f aca="false">INT(AC646)</f>
        <v>158</v>
      </c>
      <c r="AJ646" s="2" t="n">
        <f aca="false">INT(AD646)</f>
        <v>35</v>
      </c>
      <c r="AK646" s="2" t="n">
        <f aca="false">Settings!$B$3-SUM(AE646:AJ646)</f>
        <v>3</v>
      </c>
      <c r="AL646" s="2" t="n">
        <f aca="false">ROUND(Y646-AE646,9)</f>
        <v>0.194008559</v>
      </c>
      <c r="AM646" s="2" t="n">
        <f aca="false">ROUND(Z646-AF646,9)</f>
        <v>0.369472183</v>
      </c>
      <c r="AN646" s="2" t="n">
        <f aca="false">ROUND(AA646-AG646,9)</f>
        <v>0.701854494</v>
      </c>
      <c r="AO646" s="2" t="n">
        <f aca="false">ROUND(AB646-AH646,9)</f>
        <v>0.369472183</v>
      </c>
      <c r="AP646" s="2" t="n">
        <f aca="false">ROUND(AC646-AI646,9)</f>
        <v>0.701854494</v>
      </c>
      <c r="AQ646" s="2" t="n">
        <f aca="false">ROUND(AD646-AJ646,9)</f>
        <v>0.663338088</v>
      </c>
    </row>
    <row r="647" customFormat="false" ht="15" hidden="false" customHeight="false" outlineLevel="0" collapsed="false">
      <c r="A647" s="2" t="n">
        <v>646</v>
      </c>
      <c r="B647" s="6" t="n">
        <v>15</v>
      </c>
      <c r="C647" s="6" t="n">
        <v>38</v>
      </c>
      <c r="D647" s="8" t="str">
        <f aca="false">INDEX(Bases!$B$2:$B$53,B647)</f>
        <v>Shroomish</v>
      </c>
      <c r="E647" s="8" t="str">
        <f aca="false">INDEX(Bases!$B$2:$B$53,C647)</f>
        <v>Larvitar</v>
      </c>
      <c r="F647" s="2" t="str">
        <f aca="false">LEFT(D647,ROUNDUP(LEN(D647)/2,0))&amp;LOWER(MID(E647,ROUNDUP(LEN(E647)/2,0)+1,20))</f>
        <v>Shrooitar</v>
      </c>
      <c r="G647" s="8" t="str">
        <f aca="false">INDEX(Bases!$C$2:$C$53,B647)</f>
        <v>Grass</v>
      </c>
      <c r="H647" s="8" t="str">
        <f aca="false">IF(INDEX(Bases!$C$2:$C$53,C647)=G647,"",INDEX(Bases!$C$2:$C$53,C647))</f>
        <v>Rock</v>
      </c>
      <c r="I647" s="8" t="str">
        <f aca="false">IF(INDEX(Bases!$E$2:$E$53,B647)="","",INDEX(Bases!$E$2:$E$53,B647))</f>
        <v/>
      </c>
      <c r="J647" s="8" t="str">
        <f aca="false">IF(INDEX(Bases!$E$2:$E$53,C647)="","",INDEX(Bases!$E$2:$E$53,C647))</f>
        <v/>
      </c>
      <c r="K647" s="5"/>
      <c r="L647" s="2" t="n">
        <f aca="false">AE647+IF(SUMPRODUCT(--($AL647:$AQ647&gt;AL647))&lt;$AK647,1,0)</f>
        <v>93</v>
      </c>
      <c r="M647" s="2" t="n">
        <f aca="false">AF647+IF(SUMPRODUCT(--($AL647:$AQ647&gt;AM647))+SUMPRODUCT(--($AL647:AL647=AM647))&lt;$AK647,1,0)</f>
        <v>90</v>
      </c>
      <c r="N647" s="2" t="n">
        <f aca="false">AG647+IF(SUMPRODUCT(--($AL647:$AQ647&gt;AN647))+SUMPRODUCT(--($AL647:AM647=AN647))&lt;$AK647,1,0)</f>
        <v>92</v>
      </c>
      <c r="O647" s="2" t="n">
        <f aca="false">AH647+IF(SUMPRODUCT(--($AL647:$AQ647&gt;AO647))+SUMPRODUCT(--($AL647:AN647=AO647))&lt;$AK647,1,0)</f>
        <v>70</v>
      </c>
      <c r="P647" s="2" t="n">
        <f aca="false">AI647+IF(SUMPRODUCT(--($AL647:$AQ647&gt;AP647))+SUMPRODUCT(--($AL647:AO647=AP647))&lt;$AK647,1,0)</f>
        <v>92</v>
      </c>
      <c r="Q647" s="2" t="n">
        <f aca="false">AJ647+IF(SUMPRODUCT(--($AL647:$AQ647&gt;AQ647))+SUMPRODUCT(--($AL647:AP647=AQ647))&lt;$AK647,1,0)</f>
        <v>63</v>
      </c>
      <c r="R647" s="2" t="n">
        <f aca="false">SUM(L647:Q647)</f>
        <v>500</v>
      </c>
      <c r="S647" s="2" t="n">
        <f aca="false">Settings!$B$4*MAX(INDEX(Bases!$M$2:$M$53,B647),INDEX(Bases!$M$2:$M$53,C647))+Settings!$B$5*MIN(INDEX(Bases!$M$2:$M$53,B647),INDEX(Bases!$M$2:$M$53,C647))</f>
        <v>77</v>
      </c>
      <c r="T647" s="2" t="n">
        <f aca="false">Settings!$B$4*MAX(INDEX(Bases!$N$2:$N$53,B647),INDEX(Bases!$N$2:$N$53,C647))+Settings!$B$5*MIN(INDEX(Bases!$N$2:$N$53,B647),INDEX(Bases!$N$2:$N$53,C647))</f>
        <v>74.6666666666667</v>
      </c>
      <c r="U647" s="2" t="n">
        <f aca="false">Settings!$B$4*MAX(INDEX(Bases!$O$2:$O$53,B647),INDEX(Bases!$O$2:$O$53,C647))+Settings!$B$5*MIN(INDEX(Bases!$O$2:$O$53,B647),INDEX(Bases!$O$2:$O$53,C647))</f>
        <v>76.3333333333333</v>
      </c>
      <c r="V647" s="2" t="n">
        <f aca="false">Settings!$B$4*MAX(INDEX(Bases!$P$2:$P$53,B647),INDEX(Bases!$P$2:$P$53,C647))+Settings!$B$5*MIN(INDEX(Bases!$P$2:$P$53,B647),INDEX(Bases!$P$2:$P$53,C647))</f>
        <v>58</v>
      </c>
      <c r="W647" s="2" t="n">
        <f aca="false">Settings!$B$4*MAX(INDEX(Bases!$Q$2:$Q$53,B647),INDEX(Bases!$Q$2:$Q$53,C647))+Settings!$B$5*MIN(INDEX(Bases!$Q$2:$Q$53,B647),INDEX(Bases!$Q$2:$Q$53,C647))</f>
        <v>76.3333333333333</v>
      </c>
      <c r="X647" s="2" t="n">
        <f aca="false">Settings!$B$4*MAX(INDEX(Bases!$R$2:$R$53,B647),INDEX(Bases!$R$2:$R$53,C647))+Settings!$B$5*MIN(INDEX(Bases!$R$2:$R$53,B647),INDEX(Bases!$R$2:$R$53,C647))</f>
        <v>52</v>
      </c>
      <c r="Y647" s="2" t="n">
        <f aca="false">S647*Settings!$B$3/SUM(S647:X647)</f>
        <v>92.9203539823009</v>
      </c>
      <c r="Z647" s="2" t="n">
        <f aca="false">T647*Settings!$B$3/SUM(S647:X647)</f>
        <v>90.1045856798069</v>
      </c>
      <c r="AA647" s="2" t="n">
        <f aca="false">U647*Settings!$B$3/SUM(S647:X647)</f>
        <v>92.1158487530169</v>
      </c>
      <c r="AB647" s="2" t="n">
        <f aca="false">V647*Settings!$B$3/SUM(S647:X647)</f>
        <v>69.9919549477072</v>
      </c>
      <c r="AC647" s="2" t="n">
        <f aca="false">W647*Settings!$B$3/SUM(S647:X647)</f>
        <v>92.1158487530169</v>
      </c>
      <c r="AD647" s="2" t="n">
        <f aca="false">X647*Settings!$B$3/SUM(S647:X647)</f>
        <v>62.7514078841512</v>
      </c>
      <c r="AE647" s="2" t="n">
        <f aca="false">INT(Y647)</f>
        <v>92</v>
      </c>
      <c r="AF647" s="2" t="n">
        <f aca="false">INT(Z647)</f>
        <v>90</v>
      </c>
      <c r="AG647" s="2" t="n">
        <f aca="false">INT(AA647)</f>
        <v>92</v>
      </c>
      <c r="AH647" s="2" t="n">
        <f aca="false">INT(AB647)</f>
        <v>69</v>
      </c>
      <c r="AI647" s="2" t="n">
        <f aca="false">INT(AC647)</f>
        <v>92</v>
      </c>
      <c r="AJ647" s="2" t="n">
        <f aca="false">INT(AD647)</f>
        <v>62</v>
      </c>
      <c r="AK647" s="2" t="n">
        <f aca="false">Settings!$B$3-SUM(AE647:AJ647)</f>
        <v>3</v>
      </c>
      <c r="AL647" s="2" t="n">
        <f aca="false">ROUND(Y647-AE647,9)</f>
        <v>0.920353982</v>
      </c>
      <c r="AM647" s="2" t="n">
        <f aca="false">ROUND(Z647-AF647,9)</f>
        <v>0.10458568</v>
      </c>
      <c r="AN647" s="2" t="n">
        <f aca="false">ROUND(AA647-AG647,9)</f>
        <v>0.115848753</v>
      </c>
      <c r="AO647" s="2" t="n">
        <f aca="false">ROUND(AB647-AH647,9)</f>
        <v>0.991954948</v>
      </c>
      <c r="AP647" s="2" t="n">
        <f aca="false">ROUND(AC647-AI647,9)</f>
        <v>0.115848753</v>
      </c>
      <c r="AQ647" s="2" t="n">
        <f aca="false">ROUND(AD647-AJ647,9)</f>
        <v>0.751407884</v>
      </c>
    </row>
    <row r="648" customFormat="false" ht="15" hidden="false" customHeight="false" outlineLevel="0" collapsed="false">
      <c r="A648" s="2" t="n">
        <v>647</v>
      </c>
      <c r="B648" s="6" t="n">
        <v>15</v>
      </c>
      <c r="C648" s="6" t="n">
        <v>39</v>
      </c>
      <c r="D648" s="8" t="str">
        <f aca="false">INDEX(Bases!$B$2:$B$53,B648)</f>
        <v>Shroomish</v>
      </c>
      <c r="E648" s="8" t="str">
        <f aca="false">INDEX(Bases!$B$2:$B$53,C648)</f>
        <v>Nosepass</v>
      </c>
      <c r="F648" s="2" t="str">
        <f aca="false">LEFT(D648,ROUNDUP(LEN(D648)/2,0))&amp;LOWER(MID(E648,ROUNDUP(LEN(E648)/2,0)+1,20))</f>
        <v>Shroopass</v>
      </c>
      <c r="G648" s="8" t="str">
        <f aca="false">INDEX(Bases!$C$2:$C$53,B648)</f>
        <v>Grass</v>
      </c>
      <c r="H648" s="8" t="str">
        <f aca="false">IF(INDEX(Bases!$C$2:$C$53,C648)=G648,"",INDEX(Bases!$C$2:$C$53,C648))</f>
        <v>Rock</v>
      </c>
      <c r="I648" s="8" t="str">
        <f aca="false">IF(INDEX(Bases!$E$2:$E$53,B648)="","",INDEX(Bases!$E$2:$E$53,B648))</f>
        <v/>
      </c>
      <c r="J648" s="8" t="str">
        <f aca="false">IF(INDEX(Bases!$E$2:$E$53,C648)="","",INDEX(Bases!$E$2:$E$53,C648))</f>
        <v/>
      </c>
      <c r="K648" s="5"/>
      <c r="L648" s="2" t="n">
        <f aca="false">AE648+IF(SUMPRODUCT(--($AL648:$AQ648&gt;AL648))&lt;$AK648,1,0)</f>
        <v>77</v>
      </c>
      <c r="M648" s="2" t="n">
        <f aca="false">AF648+IF(SUMPRODUCT(--($AL648:$AQ648&gt;AM648))+SUMPRODUCT(--($AL648:AL648=AM648))&lt;$AK648,1,0)</f>
        <v>61</v>
      </c>
      <c r="N648" s="2" t="n">
        <f aca="false">AG648+IF(SUMPRODUCT(--($AL648:$AQ648&gt;AN648))+SUMPRODUCT(--($AL648:AM648=AN648))&lt;$AK648,1,0)</f>
        <v>144</v>
      </c>
      <c r="O648" s="2" t="n">
        <f aca="false">AH648+IF(SUMPRODUCT(--($AL648:$AQ648&gt;AO648))+SUMPRODUCT(--($AL648:AN648=AO648))&lt;$AK648,1,0)</f>
        <v>61</v>
      </c>
      <c r="P648" s="2" t="n">
        <f aca="false">AI648+IF(SUMPRODUCT(--($AL648:$AQ648&gt;AP648))+SUMPRODUCT(--($AL648:AO648=AP648))&lt;$AK648,1,0)</f>
        <v>107</v>
      </c>
      <c r="Q648" s="2" t="n">
        <f aca="false">AJ648+IF(SUMPRODUCT(--($AL648:$AQ648&gt;AQ648))+SUMPRODUCT(--($AL648:AP648=AQ648))&lt;$AK648,1,0)</f>
        <v>50</v>
      </c>
      <c r="R648" s="2" t="n">
        <f aca="false">SUM(L648:Q648)</f>
        <v>500</v>
      </c>
      <c r="S648" s="2" t="n">
        <f aca="false">Settings!$B$4*MAX(INDEX(Bases!$M$2:$M$53,B648),INDEX(Bases!$M$2:$M$53,C648))+Settings!$B$5*MIN(INDEX(Bases!$M$2:$M$53,B648),INDEX(Bases!$M$2:$M$53,C648))</f>
        <v>65.3333333333333</v>
      </c>
      <c r="T648" s="2" t="n">
        <f aca="false">Settings!$B$4*MAX(INDEX(Bases!$N$2:$N$53,B648),INDEX(Bases!$N$2:$N$53,C648))+Settings!$B$5*MIN(INDEX(Bases!$N$2:$N$53,B648),INDEX(Bases!$N$2:$N$53,C648))</f>
        <v>52</v>
      </c>
      <c r="U648" s="2" t="n">
        <f aca="false">Settings!$B$4*MAX(INDEX(Bases!$O$2:$O$53,B648),INDEX(Bases!$O$2:$O$53,C648))+Settings!$B$5*MIN(INDEX(Bases!$O$2:$O$53,B648),INDEX(Bases!$O$2:$O$53,C648))</f>
        <v>123</v>
      </c>
      <c r="V648" s="2" t="n">
        <f aca="false">Settings!$B$4*MAX(INDEX(Bases!$P$2:$P$53,B648),INDEX(Bases!$P$2:$P$53,C648))+Settings!$B$5*MIN(INDEX(Bases!$P$2:$P$53,B648),INDEX(Bases!$P$2:$P$53,C648))</f>
        <v>52</v>
      </c>
      <c r="W648" s="2" t="n">
        <f aca="false">Settings!$B$4*MAX(INDEX(Bases!$Q$2:$Q$53,B648),INDEX(Bases!$Q$2:$Q$53,C648))+Settings!$B$5*MIN(INDEX(Bases!$Q$2:$Q$53,B648),INDEX(Bases!$Q$2:$Q$53,C648))</f>
        <v>91</v>
      </c>
      <c r="X648" s="2" t="n">
        <f aca="false">Settings!$B$4*MAX(INDEX(Bases!$R$2:$R$53,B648),INDEX(Bases!$R$2:$R$53,C648))+Settings!$B$5*MIN(INDEX(Bases!$R$2:$R$53,B648),INDEX(Bases!$R$2:$R$53,C648))</f>
        <v>42.6666666666667</v>
      </c>
      <c r="Y648" s="2" t="n">
        <f aca="false">S648*Settings!$B$3/SUM(S648:X648)</f>
        <v>76.6823161189358</v>
      </c>
      <c r="Z648" s="2" t="n">
        <f aca="false">T648*Settings!$B$3/SUM(S648:X648)</f>
        <v>61.0328638497653</v>
      </c>
      <c r="AA648" s="2" t="n">
        <f aca="false">U648*Settings!$B$3/SUM(S648:X648)</f>
        <v>144.366197183099</v>
      </c>
      <c r="AB648" s="2" t="n">
        <f aca="false">V648*Settings!$B$3/SUM(S648:X648)</f>
        <v>61.0328638497653</v>
      </c>
      <c r="AC648" s="2" t="n">
        <f aca="false">W648*Settings!$B$3/SUM(S648:X648)</f>
        <v>106.807511737089</v>
      </c>
      <c r="AD648" s="2" t="n">
        <f aca="false">X648*Settings!$B$3/SUM(S648:X648)</f>
        <v>50.0782472613459</v>
      </c>
      <c r="AE648" s="2" t="n">
        <f aca="false">INT(Y648)</f>
        <v>76</v>
      </c>
      <c r="AF648" s="2" t="n">
        <f aca="false">INT(Z648)</f>
        <v>61</v>
      </c>
      <c r="AG648" s="2" t="n">
        <f aca="false">INT(AA648)</f>
        <v>144</v>
      </c>
      <c r="AH648" s="2" t="n">
        <f aca="false">INT(AB648)</f>
        <v>61</v>
      </c>
      <c r="AI648" s="2" t="n">
        <f aca="false">INT(AC648)</f>
        <v>106</v>
      </c>
      <c r="AJ648" s="2" t="n">
        <f aca="false">INT(AD648)</f>
        <v>50</v>
      </c>
      <c r="AK648" s="2" t="n">
        <f aca="false">Settings!$B$3-SUM(AE648:AJ648)</f>
        <v>2</v>
      </c>
      <c r="AL648" s="2" t="n">
        <f aca="false">ROUND(Y648-AE648,9)</f>
        <v>0.682316119</v>
      </c>
      <c r="AM648" s="2" t="n">
        <f aca="false">ROUND(Z648-AF648,9)</f>
        <v>0.03286385</v>
      </c>
      <c r="AN648" s="2" t="n">
        <f aca="false">ROUND(AA648-AG648,9)</f>
        <v>0.366197183</v>
      </c>
      <c r="AO648" s="2" t="n">
        <f aca="false">ROUND(AB648-AH648,9)</f>
        <v>0.03286385</v>
      </c>
      <c r="AP648" s="2" t="n">
        <f aca="false">ROUND(AC648-AI648,9)</f>
        <v>0.807511737</v>
      </c>
      <c r="AQ648" s="2" t="n">
        <f aca="false">ROUND(AD648-AJ648,9)</f>
        <v>0.078247261</v>
      </c>
    </row>
    <row r="649" customFormat="false" ht="15" hidden="false" customHeight="false" outlineLevel="0" collapsed="false">
      <c r="A649" s="2" t="n">
        <v>648</v>
      </c>
      <c r="B649" s="6" t="n">
        <v>15</v>
      </c>
      <c r="C649" s="6" t="n">
        <v>40</v>
      </c>
      <c r="D649" s="8" t="str">
        <f aca="false">INDEX(Bases!$B$2:$B$53,B649)</f>
        <v>Shroomish</v>
      </c>
      <c r="E649" s="8" t="str">
        <f aca="false">INDEX(Bases!$B$2:$B$53,C649)</f>
        <v>Gastly</v>
      </c>
      <c r="F649" s="2" t="str">
        <f aca="false">LEFT(D649,ROUNDUP(LEN(D649)/2,0))&amp;LOWER(MID(E649,ROUNDUP(LEN(E649)/2,0)+1,20))</f>
        <v>Shrootly</v>
      </c>
      <c r="G649" s="8" t="str">
        <f aca="false">INDEX(Bases!$C$2:$C$53,B649)</f>
        <v>Grass</v>
      </c>
      <c r="H649" s="8" t="str">
        <f aca="false">IF(INDEX(Bases!$C$2:$C$53,C649)=G649,"",INDEX(Bases!$C$2:$C$53,C649))</f>
        <v>Ghost</v>
      </c>
      <c r="I649" s="8" t="str">
        <f aca="false">IF(INDEX(Bases!$E$2:$E$53,B649)="","",INDEX(Bases!$E$2:$E$53,B649))</f>
        <v/>
      </c>
      <c r="J649" s="8" t="str">
        <f aca="false">IF(INDEX(Bases!$E$2:$E$53,C649)="","",INDEX(Bases!$E$2:$E$53,C649))</f>
        <v/>
      </c>
      <c r="K649" s="5"/>
      <c r="L649" s="2" t="n">
        <f aca="false">AE649+IF(SUMPRODUCT(--($AL649:$AQ649&gt;AL649))&lt;$AK649,1,0)</f>
        <v>76</v>
      </c>
      <c r="M649" s="2" t="n">
        <f aca="false">AF649+IF(SUMPRODUCT(--($AL649:$AQ649&gt;AM649))+SUMPRODUCT(--($AL649:AL649=AM649))&lt;$AK649,1,0)</f>
        <v>58</v>
      </c>
      <c r="N649" s="2" t="n">
        <f aca="false">AG649+IF(SUMPRODUCT(--($AL649:$AQ649&gt;AN649))+SUMPRODUCT(--($AL649:AM649=AN649))&lt;$AK649,1,0)</f>
        <v>76</v>
      </c>
      <c r="O649" s="2" t="n">
        <f aca="false">AH649+IF(SUMPRODUCT(--($AL649:$AQ649&gt;AO649))+SUMPRODUCT(--($AL649:AN649=AO649))&lt;$AK649,1,0)</f>
        <v>117</v>
      </c>
      <c r="P649" s="2" t="n">
        <f aca="false">AI649+IF(SUMPRODUCT(--($AL649:$AQ649&gt;AP649))+SUMPRODUCT(--($AL649:AO649=AP649))&lt;$AK649,1,0)</f>
        <v>78</v>
      </c>
      <c r="Q649" s="2" t="n">
        <f aca="false">AJ649+IF(SUMPRODUCT(--($AL649:$AQ649&gt;AQ649))+SUMPRODUCT(--($AL649:AP649=AQ649))&lt;$AK649,1,0)</f>
        <v>95</v>
      </c>
      <c r="R649" s="2" t="n">
        <f aca="false">SUM(L649:Q649)</f>
        <v>500</v>
      </c>
      <c r="S649" s="2" t="n">
        <f aca="false">Settings!$B$4*MAX(INDEX(Bases!$M$2:$M$53,B649),INDEX(Bases!$M$2:$M$53,C649))+Settings!$B$5*MIN(INDEX(Bases!$M$2:$M$53,B649),INDEX(Bases!$M$2:$M$53,C649))</f>
        <v>67.6666666666667</v>
      </c>
      <c r="T649" s="2" t="n">
        <f aca="false">Settings!$B$4*MAX(INDEX(Bases!$N$2:$N$53,B649),INDEX(Bases!$N$2:$N$53,C649))+Settings!$B$5*MIN(INDEX(Bases!$N$2:$N$53,B649),INDEX(Bases!$N$2:$N$53,C649))</f>
        <v>51</v>
      </c>
      <c r="U649" s="2" t="n">
        <f aca="false">Settings!$B$4*MAX(INDEX(Bases!$O$2:$O$53,B649),INDEX(Bases!$O$2:$O$53,C649))+Settings!$B$5*MIN(INDEX(Bases!$O$2:$O$53,B649),INDEX(Bases!$O$2:$O$53,C649))</f>
        <v>67</v>
      </c>
      <c r="V649" s="2" t="n">
        <f aca="false">Settings!$B$4*MAX(INDEX(Bases!$P$2:$P$53,B649),INDEX(Bases!$P$2:$P$53,C649))+Settings!$B$5*MIN(INDEX(Bases!$P$2:$P$53,B649),INDEX(Bases!$P$2:$P$53,C649))</f>
        <v>104</v>
      </c>
      <c r="W649" s="2" t="n">
        <f aca="false">Settings!$B$4*MAX(INDEX(Bases!$Q$2:$Q$53,B649),INDEX(Bases!$Q$2:$Q$53,C649))+Settings!$B$5*MIN(INDEX(Bases!$Q$2:$Q$53,B649),INDEX(Bases!$Q$2:$Q$53,C649))</f>
        <v>69</v>
      </c>
      <c r="X649" s="2" t="n">
        <f aca="false">Settings!$B$4*MAX(INDEX(Bases!$R$2:$R$53,B649),INDEX(Bases!$R$2:$R$53,C649))+Settings!$B$5*MIN(INDEX(Bases!$R$2:$R$53,B649),INDEX(Bases!$R$2:$R$53,C649))</f>
        <v>84.6666666666667</v>
      </c>
      <c r="Y649" s="2" t="n">
        <f aca="false">S649*Settings!$B$3/SUM(S649:X649)</f>
        <v>76.3157894736842</v>
      </c>
      <c r="Z649" s="2" t="n">
        <f aca="false">T649*Settings!$B$3/SUM(S649:X649)</f>
        <v>57.5187969924812</v>
      </c>
      <c r="AA649" s="2" t="n">
        <f aca="false">U649*Settings!$B$3/SUM(S649:X649)</f>
        <v>75.5639097744361</v>
      </c>
      <c r="AB649" s="2" t="n">
        <f aca="false">V649*Settings!$B$3/SUM(S649:X649)</f>
        <v>117.293233082707</v>
      </c>
      <c r="AC649" s="2" t="n">
        <f aca="false">W649*Settings!$B$3/SUM(S649:X649)</f>
        <v>77.8195488721805</v>
      </c>
      <c r="AD649" s="2" t="n">
        <f aca="false">X649*Settings!$B$3/SUM(S649:X649)</f>
        <v>95.4887218045113</v>
      </c>
      <c r="AE649" s="2" t="n">
        <f aca="false">INT(Y649)</f>
        <v>76</v>
      </c>
      <c r="AF649" s="2" t="n">
        <f aca="false">INT(Z649)</f>
        <v>57</v>
      </c>
      <c r="AG649" s="2" t="n">
        <f aca="false">INT(AA649)</f>
        <v>75</v>
      </c>
      <c r="AH649" s="2" t="n">
        <f aca="false">INT(AB649)</f>
        <v>117</v>
      </c>
      <c r="AI649" s="2" t="n">
        <f aca="false">INT(AC649)</f>
        <v>77</v>
      </c>
      <c r="AJ649" s="2" t="n">
        <f aca="false">INT(AD649)</f>
        <v>95</v>
      </c>
      <c r="AK649" s="2" t="n">
        <f aca="false">Settings!$B$3-SUM(AE649:AJ649)</f>
        <v>3</v>
      </c>
      <c r="AL649" s="2" t="n">
        <f aca="false">ROUND(Y649-AE649,9)</f>
        <v>0.315789474</v>
      </c>
      <c r="AM649" s="2" t="n">
        <f aca="false">ROUND(Z649-AF649,9)</f>
        <v>0.518796992</v>
      </c>
      <c r="AN649" s="2" t="n">
        <f aca="false">ROUND(AA649-AG649,9)</f>
        <v>0.563909774</v>
      </c>
      <c r="AO649" s="2" t="n">
        <f aca="false">ROUND(AB649-AH649,9)</f>
        <v>0.293233083</v>
      </c>
      <c r="AP649" s="2" t="n">
        <f aca="false">ROUND(AC649-AI649,9)</f>
        <v>0.819548872</v>
      </c>
      <c r="AQ649" s="2" t="n">
        <f aca="false">ROUND(AD649-AJ649,9)</f>
        <v>0.488721805</v>
      </c>
    </row>
    <row r="650" customFormat="false" ht="15" hidden="false" customHeight="false" outlineLevel="0" collapsed="false">
      <c r="A650" s="2" t="n">
        <v>649</v>
      </c>
      <c r="B650" s="6" t="n">
        <v>15</v>
      </c>
      <c r="C650" s="6" t="n">
        <v>41</v>
      </c>
      <c r="D650" s="8" t="str">
        <f aca="false">INDEX(Bases!$B$2:$B$53,B650)</f>
        <v>Shroomish</v>
      </c>
      <c r="E650" s="8" t="str">
        <f aca="false">INDEX(Bases!$B$2:$B$53,C650)</f>
        <v>Misdreavus</v>
      </c>
      <c r="F650" s="2" t="str">
        <f aca="false">LEFT(D650,ROUNDUP(LEN(D650)/2,0))&amp;LOWER(MID(E650,ROUNDUP(LEN(E650)/2,0)+1,20))</f>
        <v>Shrooeavus</v>
      </c>
      <c r="G650" s="8" t="str">
        <f aca="false">INDEX(Bases!$C$2:$C$53,B650)</f>
        <v>Grass</v>
      </c>
      <c r="H650" s="8" t="str">
        <f aca="false">IF(INDEX(Bases!$C$2:$C$53,C650)=G650,"",INDEX(Bases!$C$2:$C$53,C650))</f>
        <v>Ghost</v>
      </c>
      <c r="I650" s="8" t="str">
        <f aca="false">IF(INDEX(Bases!$E$2:$E$53,B650)="","",INDEX(Bases!$E$2:$E$53,B650))</f>
        <v/>
      </c>
      <c r="J650" s="8" t="str">
        <f aca="false">IF(INDEX(Bases!$E$2:$E$53,C650)="","",INDEX(Bases!$E$2:$E$53,C650))</f>
        <v/>
      </c>
      <c r="K650" s="5"/>
      <c r="L650" s="2" t="n">
        <f aca="false">AE650+IF(SUMPRODUCT(--($AL650:$AQ650&gt;AL650))&lt;$AK650,1,0)</f>
        <v>88</v>
      </c>
      <c r="M650" s="2" t="n">
        <f aca="false">AF650+IF(SUMPRODUCT(--($AL650:$AQ650&gt;AM650))+SUMPRODUCT(--($AL650:AL650=AM650))&lt;$AK650,1,0)</f>
        <v>65</v>
      </c>
      <c r="N650" s="2" t="n">
        <f aca="false">AG650+IF(SUMPRODUCT(--($AL650:$AQ650&gt;AN650))+SUMPRODUCT(--($AL650:AM650=AN650))&lt;$AK650,1,0)</f>
        <v>86</v>
      </c>
      <c r="O650" s="2" t="n">
        <f aca="false">AH650+IF(SUMPRODUCT(--($AL650:$AQ650&gt;AO650))+SUMPRODUCT(--($AL650:AN650=AO650))&lt;$AK650,1,0)</f>
        <v>84</v>
      </c>
      <c r="P650" s="2" t="n">
        <f aca="false">AI650+IF(SUMPRODUCT(--($AL650:$AQ650&gt;AP650))+SUMPRODUCT(--($AL650:AO650=AP650))&lt;$AK650,1,0)</f>
        <v>96</v>
      </c>
      <c r="Q650" s="2" t="n">
        <f aca="false">AJ650+IF(SUMPRODUCT(--($AL650:$AQ650&gt;AQ650))+SUMPRODUCT(--($AL650:AP650=AQ650))&lt;$AK650,1,0)</f>
        <v>81</v>
      </c>
      <c r="R650" s="2" t="n">
        <f aca="false">SUM(L650:Q650)</f>
        <v>500</v>
      </c>
      <c r="S650" s="2" t="n">
        <f aca="false">Settings!$B$4*MAX(INDEX(Bases!$M$2:$M$53,B650),INDEX(Bases!$M$2:$M$53,C650))+Settings!$B$5*MIN(INDEX(Bases!$M$2:$M$53,B650),INDEX(Bases!$M$2:$M$53,C650))</f>
        <v>73.3333333333333</v>
      </c>
      <c r="T650" s="2" t="n">
        <f aca="false">Settings!$B$4*MAX(INDEX(Bases!$N$2:$N$53,B650),INDEX(Bases!$N$2:$N$53,C650))+Settings!$B$5*MIN(INDEX(Bases!$N$2:$N$53,B650),INDEX(Bases!$N$2:$N$53,C650))</f>
        <v>54.6666666666667</v>
      </c>
      <c r="U650" s="2" t="n">
        <f aca="false">Settings!$B$4*MAX(INDEX(Bases!$O$2:$O$53,B650),INDEX(Bases!$O$2:$O$53,C650))+Settings!$B$5*MIN(INDEX(Bases!$O$2:$O$53,B650),INDEX(Bases!$O$2:$O$53,C650))</f>
        <v>72.3333333333333</v>
      </c>
      <c r="V650" s="2" t="n">
        <f aca="false">Settings!$B$4*MAX(INDEX(Bases!$P$2:$P$53,B650),INDEX(Bases!$P$2:$P$53,C650))+Settings!$B$5*MIN(INDEX(Bases!$P$2:$P$53,B650),INDEX(Bases!$P$2:$P$53,C650))</f>
        <v>70</v>
      </c>
      <c r="W650" s="2" t="n">
        <f aca="false">Settings!$B$4*MAX(INDEX(Bases!$Q$2:$Q$53,B650),INDEX(Bases!$Q$2:$Q$53,C650))+Settings!$B$5*MIN(INDEX(Bases!$Q$2:$Q$53,B650),INDEX(Bases!$Q$2:$Q$53,C650))</f>
        <v>80</v>
      </c>
      <c r="X650" s="2" t="n">
        <f aca="false">Settings!$B$4*MAX(INDEX(Bases!$R$2:$R$53,B650),INDEX(Bases!$R$2:$R$53,C650))+Settings!$B$5*MIN(INDEX(Bases!$R$2:$R$53,B650),INDEX(Bases!$R$2:$R$53,C650))</f>
        <v>68</v>
      </c>
      <c r="Y650" s="2" t="n">
        <f aca="false">S650*Settings!$B$3/SUM(S650:X650)</f>
        <v>87.6494023904382</v>
      </c>
      <c r="Z650" s="2" t="n">
        <f aca="false">T650*Settings!$B$3/SUM(S650:X650)</f>
        <v>65.3386454183267</v>
      </c>
      <c r="AA650" s="2" t="n">
        <f aca="false">U650*Settings!$B$3/SUM(S650:X650)</f>
        <v>86.4541832669323</v>
      </c>
      <c r="AB650" s="2" t="n">
        <f aca="false">V650*Settings!$B$3/SUM(S650:X650)</f>
        <v>83.6653386454183</v>
      </c>
      <c r="AC650" s="2" t="n">
        <f aca="false">W650*Settings!$B$3/SUM(S650:X650)</f>
        <v>95.6175298804781</v>
      </c>
      <c r="AD650" s="2" t="n">
        <f aca="false">X650*Settings!$B$3/SUM(S650:X650)</f>
        <v>81.2749003984064</v>
      </c>
      <c r="AE650" s="2" t="n">
        <f aca="false">INT(Y650)</f>
        <v>87</v>
      </c>
      <c r="AF650" s="2" t="n">
        <f aca="false">INT(Z650)</f>
        <v>65</v>
      </c>
      <c r="AG650" s="2" t="n">
        <f aca="false">INT(AA650)</f>
        <v>86</v>
      </c>
      <c r="AH650" s="2" t="n">
        <f aca="false">INT(AB650)</f>
        <v>83</v>
      </c>
      <c r="AI650" s="2" t="n">
        <f aca="false">INT(AC650)</f>
        <v>95</v>
      </c>
      <c r="AJ650" s="2" t="n">
        <f aca="false">INT(AD650)</f>
        <v>81</v>
      </c>
      <c r="AK650" s="2" t="n">
        <f aca="false">Settings!$B$3-SUM(AE650:AJ650)</f>
        <v>3</v>
      </c>
      <c r="AL650" s="2" t="n">
        <f aca="false">ROUND(Y650-AE650,9)</f>
        <v>0.64940239</v>
      </c>
      <c r="AM650" s="2" t="n">
        <f aca="false">ROUND(Z650-AF650,9)</f>
        <v>0.338645418</v>
      </c>
      <c r="AN650" s="2" t="n">
        <f aca="false">ROUND(AA650-AG650,9)</f>
        <v>0.454183267</v>
      </c>
      <c r="AO650" s="2" t="n">
        <f aca="false">ROUND(AB650-AH650,9)</f>
        <v>0.665338645</v>
      </c>
      <c r="AP650" s="2" t="n">
        <f aca="false">ROUND(AC650-AI650,9)</f>
        <v>0.61752988</v>
      </c>
      <c r="AQ650" s="2" t="n">
        <f aca="false">ROUND(AD650-AJ650,9)</f>
        <v>0.274900398</v>
      </c>
    </row>
    <row r="651" customFormat="false" ht="15" hidden="false" customHeight="false" outlineLevel="0" collapsed="false">
      <c r="A651" s="2" t="n">
        <v>650</v>
      </c>
      <c r="B651" s="6" t="n">
        <v>15</v>
      </c>
      <c r="C651" s="6" t="n">
        <v>42</v>
      </c>
      <c r="D651" s="8" t="str">
        <f aca="false">INDEX(Bases!$B$2:$B$53,B651)</f>
        <v>Shroomish</v>
      </c>
      <c r="E651" s="8" t="str">
        <f aca="false">INDEX(Bases!$B$2:$B$53,C651)</f>
        <v>Sableye</v>
      </c>
      <c r="F651" s="2" t="str">
        <f aca="false">LEFT(D651,ROUNDUP(LEN(D651)/2,0))&amp;LOWER(MID(E651,ROUNDUP(LEN(E651)/2,0)+1,20))</f>
        <v>Shrooeye</v>
      </c>
      <c r="G651" s="8" t="str">
        <f aca="false">INDEX(Bases!$C$2:$C$53,B651)</f>
        <v>Grass</v>
      </c>
      <c r="H651" s="8" t="str">
        <f aca="false">IF(INDEX(Bases!$C$2:$C$53,C651)=G651,"",INDEX(Bases!$C$2:$C$53,C651))</f>
        <v>Ghost</v>
      </c>
      <c r="I651" s="8" t="str">
        <f aca="false">IF(INDEX(Bases!$E$2:$E$53,B651)="","",INDEX(Bases!$E$2:$E$53,B651))</f>
        <v/>
      </c>
      <c r="J651" s="8" t="str">
        <f aca="false">IF(INDEX(Bases!$E$2:$E$53,C651)="","",INDEX(Bases!$E$2:$E$53,C651))</f>
        <v/>
      </c>
      <c r="K651" s="5"/>
      <c r="L651" s="2" t="n">
        <f aca="false">AE651+IF(SUMPRODUCT(--($AL651:$AQ651&gt;AL651))&lt;$AK651,1,0)</f>
        <v>87</v>
      </c>
      <c r="M651" s="2" t="n">
        <f aca="false">AF651+IF(SUMPRODUCT(--($AL651:$AQ651&gt;AM651))+SUMPRODUCT(--($AL651:AL651=AM651))&lt;$AK651,1,0)</f>
        <v>85</v>
      </c>
      <c r="N651" s="2" t="n">
        <f aca="false">AG651+IF(SUMPRODUCT(--($AL651:$AQ651&gt;AN651))+SUMPRODUCT(--($AL651:AM651=AN651))&lt;$AK651,1,0)</f>
        <v>97</v>
      </c>
      <c r="O651" s="2" t="n">
        <f aca="false">AH651+IF(SUMPRODUCT(--($AL651:$AQ651&gt;AO651))+SUMPRODUCT(--($AL651:AN651=AO651))&lt;$AK651,1,0)</f>
        <v>76</v>
      </c>
      <c r="P651" s="2" t="n">
        <f aca="false">AI651+IF(SUMPRODUCT(--($AL651:$AQ651&gt;AP651))+SUMPRODUCT(--($AL651:AO651=AP651))&lt;$AK651,1,0)</f>
        <v>93</v>
      </c>
      <c r="Q651" s="2" t="n">
        <f aca="false">AJ651+IF(SUMPRODUCT(--($AL651:$AQ651&gt;AQ651))+SUMPRODUCT(--($AL651:AP651=AQ651))&lt;$AK651,1,0)</f>
        <v>62</v>
      </c>
      <c r="R651" s="2" t="n">
        <f aca="false">SUM(L651:Q651)</f>
        <v>500</v>
      </c>
      <c r="S651" s="2" t="n">
        <f aca="false">Settings!$B$4*MAX(INDEX(Bases!$M$2:$M$53,B651),INDEX(Bases!$M$2:$M$53,C651))+Settings!$B$5*MIN(INDEX(Bases!$M$2:$M$53,B651),INDEX(Bases!$M$2:$M$53,C651))</f>
        <v>72.3333333333333</v>
      </c>
      <c r="T651" s="2" t="n">
        <f aca="false">Settings!$B$4*MAX(INDEX(Bases!$N$2:$N$53,B651),INDEX(Bases!$N$2:$N$53,C651))+Settings!$B$5*MIN(INDEX(Bases!$N$2:$N$53,B651),INDEX(Bases!$N$2:$N$53,C651))</f>
        <v>70.6666666666667</v>
      </c>
      <c r="U651" s="2" t="n">
        <f aca="false">Settings!$B$4*MAX(INDEX(Bases!$O$2:$O$53,B651),INDEX(Bases!$O$2:$O$53,C651))+Settings!$B$5*MIN(INDEX(Bases!$O$2:$O$53,B651),INDEX(Bases!$O$2:$O$53,C651))</f>
        <v>80.3333333333333</v>
      </c>
      <c r="V651" s="2" t="n">
        <f aca="false">Settings!$B$4*MAX(INDEX(Bases!$P$2:$P$53,B651),INDEX(Bases!$P$2:$P$53,C651))+Settings!$B$5*MIN(INDEX(Bases!$P$2:$P$53,B651),INDEX(Bases!$P$2:$P$53,C651))</f>
        <v>63.3333333333333</v>
      </c>
      <c r="W651" s="2" t="n">
        <f aca="false">Settings!$B$4*MAX(INDEX(Bases!$Q$2:$Q$53,B651),INDEX(Bases!$Q$2:$Q$53,C651))+Settings!$B$5*MIN(INDEX(Bases!$Q$2:$Q$53,B651),INDEX(Bases!$Q$2:$Q$53,C651))</f>
        <v>76.6666666666667</v>
      </c>
      <c r="X651" s="2" t="n">
        <f aca="false">Settings!$B$4*MAX(INDEX(Bases!$R$2:$R$53,B651),INDEX(Bases!$R$2:$R$53,C651))+Settings!$B$5*MIN(INDEX(Bases!$R$2:$R$53,B651),INDEX(Bases!$R$2:$R$53,C651))</f>
        <v>51.3333333333333</v>
      </c>
      <c r="Y651" s="2" t="n">
        <f aca="false">S651*Settings!$B$3/SUM(S651:X651)</f>
        <v>87.2186495176849</v>
      </c>
      <c r="Z651" s="2" t="n">
        <f aca="false">T651*Settings!$B$3/SUM(S651:X651)</f>
        <v>85.2090032154341</v>
      </c>
      <c r="AA651" s="2" t="n">
        <f aca="false">U651*Settings!$B$3/SUM(S651:X651)</f>
        <v>96.8649517684888</v>
      </c>
      <c r="AB651" s="2" t="n">
        <f aca="false">V651*Settings!$B$3/SUM(S651:X651)</f>
        <v>76.3665594855305</v>
      </c>
      <c r="AC651" s="2" t="n">
        <f aca="false">W651*Settings!$B$3/SUM(S651:X651)</f>
        <v>92.443729903537</v>
      </c>
      <c r="AD651" s="2" t="n">
        <f aca="false">X651*Settings!$B$3/SUM(S651:X651)</f>
        <v>61.8971061093248</v>
      </c>
      <c r="AE651" s="2" t="n">
        <f aca="false">INT(Y651)</f>
        <v>87</v>
      </c>
      <c r="AF651" s="2" t="n">
        <f aca="false">INT(Z651)</f>
        <v>85</v>
      </c>
      <c r="AG651" s="2" t="n">
        <f aca="false">INT(AA651)</f>
        <v>96</v>
      </c>
      <c r="AH651" s="2" t="n">
        <f aca="false">INT(AB651)</f>
        <v>76</v>
      </c>
      <c r="AI651" s="2" t="n">
        <f aca="false">INT(AC651)</f>
        <v>92</v>
      </c>
      <c r="AJ651" s="2" t="n">
        <f aca="false">INT(AD651)</f>
        <v>61</v>
      </c>
      <c r="AK651" s="2" t="n">
        <f aca="false">Settings!$B$3-SUM(AE651:AJ651)</f>
        <v>3</v>
      </c>
      <c r="AL651" s="2" t="n">
        <f aca="false">ROUND(Y651-AE651,9)</f>
        <v>0.218649518</v>
      </c>
      <c r="AM651" s="2" t="n">
        <f aca="false">ROUND(Z651-AF651,9)</f>
        <v>0.209003215</v>
      </c>
      <c r="AN651" s="2" t="n">
        <f aca="false">ROUND(AA651-AG651,9)</f>
        <v>0.864951768</v>
      </c>
      <c r="AO651" s="2" t="n">
        <f aca="false">ROUND(AB651-AH651,9)</f>
        <v>0.366559486</v>
      </c>
      <c r="AP651" s="2" t="n">
        <f aca="false">ROUND(AC651-AI651,9)</f>
        <v>0.443729904</v>
      </c>
      <c r="AQ651" s="2" t="n">
        <f aca="false">ROUND(AD651-AJ651,9)</f>
        <v>0.897106109</v>
      </c>
    </row>
    <row r="652" customFormat="false" ht="15" hidden="false" customHeight="false" outlineLevel="0" collapsed="false">
      <c r="A652" s="2" t="n">
        <v>651</v>
      </c>
      <c r="B652" s="6" t="n">
        <v>15</v>
      </c>
      <c r="C652" s="6" t="n">
        <v>43</v>
      </c>
      <c r="D652" s="8" t="str">
        <f aca="false">INDEX(Bases!$B$2:$B$53,B652)</f>
        <v>Shroomish</v>
      </c>
      <c r="E652" s="8" t="str">
        <f aca="false">INDEX(Bases!$B$2:$B$53,C652)</f>
        <v>Dratini</v>
      </c>
      <c r="F652" s="2" t="str">
        <f aca="false">LEFT(D652,ROUNDUP(LEN(D652)/2,0))&amp;LOWER(MID(E652,ROUNDUP(LEN(E652)/2,0)+1,20))</f>
        <v>Shrooini</v>
      </c>
      <c r="G652" s="8" t="str">
        <f aca="false">INDEX(Bases!$C$2:$C$53,B652)</f>
        <v>Grass</v>
      </c>
      <c r="H652" s="8" t="str">
        <f aca="false">IF(INDEX(Bases!$C$2:$C$53,C652)=G652,"",INDEX(Bases!$C$2:$C$53,C652))</f>
        <v>Dragon</v>
      </c>
      <c r="I652" s="8" t="str">
        <f aca="false">IF(INDEX(Bases!$E$2:$E$53,B652)="","",INDEX(Bases!$E$2:$E$53,B652))</f>
        <v/>
      </c>
      <c r="J652" s="8" t="str">
        <f aca="false">IF(INDEX(Bases!$E$2:$E$53,C652)="","",INDEX(Bases!$E$2:$E$53,C652))</f>
        <v/>
      </c>
      <c r="K652" s="5"/>
      <c r="L652" s="2" t="n">
        <f aca="false">AE652+IF(SUMPRODUCT(--($AL652:$AQ652&gt;AL652))&lt;$AK652,1,0)</f>
        <v>87</v>
      </c>
      <c r="M652" s="2" t="n">
        <f aca="false">AF652+IF(SUMPRODUCT(--($AL652:$AQ652&gt;AM652))+SUMPRODUCT(--($AL652:AL652=AM652))&lt;$AK652,1,0)</f>
        <v>89</v>
      </c>
      <c r="N652" s="2" t="n">
        <f aca="false">AG652+IF(SUMPRODUCT(--($AL652:$AQ652&gt;AN652))+SUMPRODUCT(--($AL652:AM652=AN652))&lt;$AK652,1,0)</f>
        <v>88</v>
      </c>
      <c r="O652" s="2" t="n">
        <f aca="false">AH652+IF(SUMPRODUCT(--($AL652:$AQ652&gt;AO652))+SUMPRODUCT(--($AL652:AN652=AO652))&lt;$AK652,1,0)</f>
        <v>74</v>
      </c>
      <c r="P652" s="2" t="n">
        <f aca="false">AI652+IF(SUMPRODUCT(--($AL652:$AQ652&gt;AP652))+SUMPRODUCT(--($AL652:AO652=AP652))&lt;$AK652,1,0)</f>
        <v>91</v>
      </c>
      <c r="Q652" s="2" t="n">
        <f aca="false">AJ652+IF(SUMPRODUCT(--($AL652:$AQ652&gt;AQ652))+SUMPRODUCT(--($AL652:AP652=AQ652))&lt;$AK652,1,0)</f>
        <v>71</v>
      </c>
      <c r="R652" s="2" t="n">
        <f aca="false">SUM(L652:Q652)</f>
        <v>500</v>
      </c>
      <c r="S652" s="2" t="n">
        <f aca="false">Settings!$B$4*MAX(INDEX(Bases!$M$2:$M$53,B652),INDEX(Bases!$M$2:$M$53,C652))+Settings!$B$5*MIN(INDEX(Bases!$M$2:$M$53,B652),INDEX(Bases!$M$2:$M$53,C652))</f>
        <v>73</v>
      </c>
      <c r="T652" s="2" t="n">
        <f aca="false">Settings!$B$4*MAX(INDEX(Bases!$N$2:$N$53,B652),INDEX(Bases!$N$2:$N$53,C652))+Settings!$B$5*MIN(INDEX(Bases!$N$2:$N$53,B652),INDEX(Bases!$N$2:$N$53,C652))</f>
        <v>74.6666666666667</v>
      </c>
      <c r="U652" s="2" t="n">
        <f aca="false">Settings!$B$4*MAX(INDEX(Bases!$O$2:$O$53,B652),INDEX(Bases!$O$2:$O$53,C652))+Settings!$B$5*MIN(INDEX(Bases!$O$2:$O$53,B652),INDEX(Bases!$O$2:$O$53,C652))</f>
        <v>74</v>
      </c>
      <c r="V652" s="2" t="n">
        <f aca="false">Settings!$B$4*MAX(INDEX(Bases!$P$2:$P$53,B652),INDEX(Bases!$P$2:$P$53,C652))+Settings!$B$5*MIN(INDEX(Bases!$P$2:$P$53,B652),INDEX(Bases!$P$2:$P$53,C652))</f>
        <v>62.6666666666667</v>
      </c>
      <c r="W652" s="2" t="n">
        <f aca="false">Settings!$B$4*MAX(INDEX(Bases!$Q$2:$Q$53,B652),INDEX(Bases!$Q$2:$Q$53,C652))+Settings!$B$5*MIN(INDEX(Bases!$Q$2:$Q$53,B652),INDEX(Bases!$Q$2:$Q$53,C652))</f>
        <v>76.3333333333333</v>
      </c>
      <c r="X652" s="2" t="n">
        <f aca="false">Settings!$B$4*MAX(INDEX(Bases!$R$2:$R$53,B652),INDEX(Bases!$R$2:$R$53,C652))+Settings!$B$5*MIN(INDEX(Bases!$R$2:$R$53,B652),INDEX(Bases!$R$2:$R$53,C652))</f>
        <v>60</v>
      </c>
      <c r="Y652" s="2" t="n">
        <f aca="false">S652*Settings!$B$3/SUM(S652:X652)</f>
        <v>86.7670364500792</v>
      </c>
      <c r="Z652" s="2" t="n">
        <f aca="false">T652*Settings!$B$3/SUM(S652:X652)</f>
        <v>88.7480190174327</v>
      </c>
      <c r="AA652" s="2" t="n">
        <f aca="false">U652*Settings!$B$3/SUM(S652:X652)</f>
        <v>87.9556259904913</v>
      </c>
      <c r="AB652" s="2" t="n">
        <f aca="false">V652*Settings!$B$3/SUM(S652:X652)</f>
        <v>74.4849445324881</v>
      </c>
      <c r="AC652" s="2" t="n">
        <f aca="false">W652*Settings!$B$3/SUM(S652:X652)</f>
        <v>90.7290015847861</v>
      </c>
      <c r="AD652" s="2" t="n">
        <f aca="false">X652*Settings!$B$3/SUM(S652:X652)</f>
        <v>71.3153724247227</v>
      </c>
      <c r="AE652" s="2" t="n">
        <f aca="false">INT(Y652)</f>
        <v>86</v>
      </c>
      <c r="AF652" s="2" t="n">
        <f aca="false">INT(Z652)</f>
        <v>88</v>
      </c>
      <c r="AG652" s="2" t="n">
        <f aca="false">INT(AA652)</f>
        <v>87</v>
      </c>
      <c r="AH652" s="2" t="n">
        <f aca="false">INT(AB652)</f>
        <v>74</v>
      </c>
      <c r="AI652" s="2" t="n">
        <f aca="false">INT(AC652)</f>
        <v>90</v>
      </c>
      <c r="AJ652" s="2" t="n">
        <f aca="false">INT(AD652)</f>
        <v>71</v>
      </c>
      <c r="AK652" s="2" t="n">
        <f aca="false">Settings!$B$3-SUM(AE652:AJ652)</f>
        <v>4</v>
      </c>
      <c r="AL652" s="2" t="n">
        <f aca="false">ROUND(Y652-AE652,9)</f>
        <v>0.76703645</v>
      </c>
      <c r="AM652" s="2" t="n">
        <f aca="false">ROUND(Z652-AF652,9)</f>
        <v>0.748019017</v>
      </c>
      <c r="AN652" s="2" t="n">
        <f aca="false">ROUND(AA652-AG652,9)</f>
        <v>0.95562599</v>
      </c>
      <c r="AO652" s="2" t="n">
        <f aca="false">ROUND(AB652-AH652,9)</f>
        <v>0.484944532</v>
      </c>
      <c r="AP652" s="2" t="n">
        <f aca="false">ROUND(AC652-AI652,9)</f>
        <v>0.729001585</v>
      </c>
      <c r="AQ652" s="2" t="n">
        <f aca="false">ROUND(AD652-AJ652,9)</f>
        <v>0.315372425</v>
      </c>
    </row>
    <row r="653" customFormat="false" ht="15" hidden="false" customHeight="false" outlineLevel="0" collapsed="false">
      <c r="A653" s="2" t="n">
        <v>652</v>
      </c>
      <c r="B653" s="6" t="n">
        <v>15</v>
      </c>
      <c r="C653" s="6" t="n">
        <v>44</v>
      </c>
      <c r="D653" s="8" t="str">
        <f aca="false">INDEX(Bases!$B$2:$B$53,B653)</f>
        <v>Shroomish</v>
      </c>
      <c r="E653" s="8" t="str">
        <f aca="false">INDEX(Bases!$B$2:$B$53,C653)</f>
        <v>Bagon</v>
      </c>
      <c r="F653" s="2" t="str">
        <f aca="false">LEFT(D653,ROUNDUP(LEN(D653)/2,0))&amp;LOWER(MID(E653,ROUNDUP(LEN(E653)/2,0)+1,20))</f>
        <v>Shrooon</v>
      </c>
      <c r="G653" s="8" t="str">
        <f aca="false">INDEX(Bases!$C$2:$C$53,B653)</f>
        <v>Grass</v>
      </c>
      <c r="H653" s="8" t="str">
        <f aca="false">IF(INDEX(Bases!$C$2:$C$53,C653)=G653,"",INDEX(Bases!$C$2:$C$53,C653))</f>
        <v>Dragon</v>
      </c>
      <c r="I653" s="8" t="str">
        <f aca="false">IF(INDEX(Bases!$E$2:$E$53,B653)="","",INDEX(Bases!$E$2:$E$53,B653))</f>
        <v/>
      </c>
      <c r="J653" s="8" t="str">
        <f aca="false">IF(INDEX(Bases!$E$2:$E$53,C653)="","",INDEX(Bases!$E$2:$E$53,C653))</f>
        <v/>
      </c>
      <c r="K653" s="5"/>
      <c r="L653" s="2" t="n">
        <f aca="false">AE653+IF(SUMPRODUCT(--($AL653:$AQ653&gt;AL653))&lt;$AK653,1,0)</f>
        <v>88</v>
      </c>
      <c r="M653" s="2" t="n">
        <f aca="false">AF653+IF(SUMPRODUCT(--($AL653:$AQ653&gt;AM653))+SUMPRODUCT(--($AL653:AL653=AM653))&lt;$AK653,1,0)</f>
        <v>100</v>
      </c>
      <c r="N653" s="2" t="n">
        <f aca="false">AG653+IF(SUMPRODUCT(--($AL653:$AQ653&gt;AN653))+SUMPRODUCT(--($AL653:AM653=AN653))&lt;$AK653,1,0)</f>
        <v>96</v>
      </c>
      <c r="O653" s="2" t="n">
        <f aca="false">AH653+IF(SUMPRODUCT(--($AL653:$AQ653&gt;AO653))+SUMPRODUCT(--($AL653:AN653=AO653))&lt;$AK653,1,0)</f>
        <v>64</v>
      </c>
      <c r="P653" s="2" t="n">
        <f aca="false">AI653+IF(SUMPRODUCT(--($AL653:$AQ653&gt;AP653))+SUMPRODUCT(--($AL653:AO653=AP653))&lt;$AK653,1,0)</f>
        <v>80</v>
      </c>
      <c r="Q653" s="2" t="n">
        <f aca="false">AJ653+IF(SUMPRODUCT(--($AL653:$AQ653&gt;AQ653))+SUMPRODUCT(--($AL653:AP653=AQ653))&lt;$AK653,1,0)</f>
        <v>72</v>
      </c>
      <c r="R653" s="2" t="n">
        <f aca="false">SUM(L653:Q653)</f>
        <v>500</v>
      </c>
      <c r="S653" s="2" t="n">
        <f aca="false">Settings!$B$4*MAX(INDEX(Bases!$M$2:$M$53,B653),INDEX(Bases!$M$2:$M$53,C653))+Settings!$B$5*MIN(INDEX(Bases!$M$2:$M$53,B653),INDEX(Bases!$M$2:$M$53,C653))</f>
        <v>74.6666666666667</v>
      </c>
      <c r="T653" s="2" t="n">
        <f aca="false">Settings!$B$4*MAX(INDEX(Bases!$N$2:$N$53,B653),INDEX(Bases!$N$2:$N$53,C653))+Settings!$B$5*MIN(INDEX(Bases!$N$2:$N$53,B653),INDEX(Bases!$N$2:$N$53,C653))</f>
        <v>84.6666666666667</v>
      </c>
      <c r="U653" s="2" t="n">
        <f aca="false">Settings!$B$4*MAX(INDEX(Bases!$O$2:$O$53,B653),INDEX(Bases!$O$2:$O$53,C653))+Settings!$B$5*MIN(INDEX(Bases!$O$2:$O$53,B653),INDEX(Bases!$O$2:$O$53,C653))</f>
        <v>80.6666666666667</v>
      </c>
      <c r="V653" s="2" t="n">
        <f aca="false">Settings!$B$4*MAX(INDEX(Bases!$P$2:$P$53,B653),INDEX(Bases!$P$2:$P$53,C653))+Settings!$B$5*MIN(INDEX(Bases!$P$2:$P$53,B653),INDEX(Bases!$P$2:$P$53,C653))</f>
        <v>53.6666666666667</v>
      </c>
      <c r="W653" s="2" t="n">
        <f aca="false">Settings!$B$4*MAX(INDEX(Bases!$Q$2:$Q$53,B653),INDEX(Bases!$Q$2:$Q$53,C653))+Settings!$B$5*MIN(INDEX(Bases!$Q$2:$Q$53,B653),INDEX(Bases!$Q$2:$Q$53,C653))</f>
        <v>67.3333333333333</v>
      </c>
      <c r="X653" s="2" t="n">
        <f aca="false">Settings!$B$4*MAX(INDEX(Bases!$R$2:$R$53,B653),INDEX(Bases!$R$2:$R$53,C653))+Settings!$B$5*MIN(INDEX(Bases!$R$2:$R$53,B653),INDEX(Bases!$R$2:$R$53,C653))</f>
        <v>60.6666666666667</v>
      </c>
      <c r="Y653" s="2" t="n">
        <f aca="false">S653*Settings!$B$3/SUM(S653:X653)</f>
        <v>88.5375494071146</v>
      </c>
      <c r="Z653" s="2" t="n">
        <f aca="false">T653*Settings!$B$3/SUM(S653:X653)</f>
        <v>100.395256916996</v>
      </c>
      <c r="AA653" s="2" t="n">
        <f aca="false">U653*Settings!$B$3/SUM(S653:X653)</f>
        <v>95.6521739130435</v>
      </c>
      <c r="AB653" s="2" t="n">
        <f aca="false">V653*Settings!$B$3/SUM(S653:X653)</f>
        <v>63.6363636363636</v>
      </c>
      <c r="AC653" s="2" t="n">
        <f aca="false">W653*Settings!$B$3/SUM(S653:X653)</f>
        <v>79.8418972332016</v>
      </c>
      <c r="AD653" s="2" t="n">
        <f aca="false">X653*Settings!$B$3/SUM(S653:X653)</f>
        <v>71.9367588932806</v>
      </c>
      <c r="AE653" s="2" t="n">
        <f aca="false">INT(Y653)</f>
        <v>88</v>
      </c>
      <c r="AF653" s="2" t="n">
        <f aca="false">INT(Z653)</f>
        <v>100</v>
      </c>
      <c r="AG653" s="2" t="n">
        <f aca="false">INT(AA653)</f>
        <v>95</v>
      </c>
      <c r="AH653" s="2" t="n">
        <f aca="false">INT(AB653)</f>
        <v>63</v>
      </c>
      <c r="AI653" s="2" t="n">
        <f aca="false">INT(AC653)</f>
        <v>79</v>
      </c>
      <c r="AJ653" s="2" t="n">
        <f aca="false">INT(AD653)</f>
        <v>71</v>
      </c>
      <c r="AK653" s="2" t="n">
        <f aca="false">Settings!$B$3-SUM(AE653:AJ653)</f>
        <v>4</v>
      </c>
      <c r="AL653" s="2" t="n">
        <f aca="false">ROUND(Y653-AE653,9)</f>
        <v>0.537549407</v>
      </c>
      <c r="AM653" s="2" t="n">
        <f aca="false">ROUND(Z653-AF653,9)</f>
        <v>0.395256917</v>
      </c>
      <c r="AN653" s="2" t="n">
        <f aca="false">ROUND(AA653-AG653,9)</f>
        <v>0.652173913</v>
      </c>
      <c r="AO653" s="2" t="n">
        <f aca="false">ROUND(AB653-AH653,9)</f>
        <v>0.636363636</v>
      </c>
      <c r="AP653" s="2" t="n">
        <f aca="false">ROUND(AC653-AI653,9)</f>
        <v>0.841897233</v>
      </c>
      <c r="AQ653" s="2" t="n">
        <f aca="false">ROUND(AD653-AJ653,9)</f>
        <v>0.936758893</v>
      </c>
    </row>
    <row r="654" customFormat="false" ht="15" hidden="false" customHeight="false" outlineLevel="0" collapsed="false">
      <c r="A654" s="2" t="n">
        <v>653</v>
      </c>
      <c r="B654" s="6" t="n">
        <v>15</v>
      </c>
      <c r="C654" s="6" t="n">
        <v>45</v>
      </c>
      <c r="D654" s="8" t="str">
        <f aca="false">INDEX(Bases!$B$2:$B$53,B654)</f>
        <v>Shroomish</v>
      </c>
      <c r="E654" s="8" t="str">
        <f aca="false">INDEX(Bases!$B$2:$B$53,C654)</f>
        <v>Sneasel</v>
      </c>
      <c r="F654" s="2" t="str">
        <f aca="false">LEFT(D654,ROUNDUP(LEN(D654)/2,0))&amp;LOWER(MID(E654,ROUNDUP(LEN(E654)/2,0)+1,20))</f>
        <v>Shroosel</v>
      </c>
      <c r="G654" s="8" t="str">
        <f aca="false">INDEX(Bases!$C$2:$C$53,B654)</f>
        <v>Grass</v>
      </c>
      <c r="H654" s="8" t="str">
        <f aca="false">IF(INDEX(Bases!$C$2:$C$53,C654)=G654,"",INDEX(Bases!$C$2:$C$53,C654))</f>
        <v>Dark</v>
      </c>
      <c r="I654" s="8" t="str">
        <f aca="false">IF(INDEX(Bases!$E$2:$E$53,B654)="","",INDEX(Bases!$E$2:$E$53,B654))</f>
        <v/>
      </c>
      <c r="J654" s="8" t="str">
        <f aca="false">IF(INDEX(Bases!$E$2:$E$53,C654)="","",INDEX(Bases!$E$2:$E$53,C654))</f>
        <v/>
      </c>
      <c r="K654" s="5"/>
      <c r="L654" s="2" t="n">
        <f aca="false">AE654+IF(SUMPRODUCT(--($AL654:$AQ654&gt;AL654))&lt;$AK654,1,0)</f>
        <v>83</v>
      </c>
      <c r="M654" s="2" t="n">
        <f aca="false">AF654+IF(SUMPRODUCT(--($AL654:$AQ654&gt;AM654))+SUMPRODUCT(--($AL654:AL654=AM654))&lt;$AK654,1,0)</f>
        <v>89</v>
      </c>
      <c r="N654" s="2" t="n">
        <f aca="false">AG654+IF(SUMPRODUCT(--($AL654:$AQ654&gt;AN654))+SUMPRODUCT(--($AL654:AM654=AN654))&lt;$AK654,1,0)</f>
        <v>82</v>
      </c>
      <c r="O654" s="2" t="n">
        <f aca="false">AH654+IF(SUMPRODUCT(--($AL654:$AQ654&gt;AO654))+SUMPRODUCT(--($AL654:AN654=AO654))&lt;$AK654,1,0)</f>
        <v>55</v>
      </c>
      <c r="P654" s="2" t="n">
        <f aca="false">AI654+IF(SUMPRODUCT(--($AL654:$AQ654&gt;AP654))+SUMPRODUCT(--($AL654:AO654=AP654))&lt;$AK654,1,0)</f>
        <v>90</v>
      </c>
      <c r="Q654" s="2" t="n">
        <f aca="false">AJ654+IF(SUMPRODUCT(--($AL654:$AQ654&gt;AQ654))+SUMPRODUCT(--($AL654:AP654=AQ654))&lt;$AK654,1,0)</f>
        <v>101</v>
      </c>
      <c r="R654" s="2" t="n">
        <f aca="false">SUM(L654:Q654)</f>
        <v>500</v>
      </c>
      <c r="S654" s="2" t="n">
        <f aca="false">Settings!$B$4*MAX(INDEX(Bases!$M$2:$M$53,B654),INDEX(Bases!$M$2:$M$53,C654))+Settings!$B$5*MIN(INDEX(Bases!$M$2:$M$53,B654),INDEX(Bases!$M$2:$M$53,C654))</f>
        <v>71.6666666666667</v>
      </c>
      <c r="T654" s="2" t="n">
        <f aca="false">Settings!$B$4*MAX(INDEX(Bases!$N$2:$N$53,B654),INDEX(Bases!$N$2:$N$53,C654))+Settings!$B$5*MIN(INDEX(Bases!$N$2:$N$53,B654),INDEX(Bases!$N$2:$N$53,C654))</f>
        <v>76.6666666666667</v>
      </c>
      <c r="U654" s="2" t="n">
        <f aca="false">Settings!$B$4*MAX(INDEX(Bases!$O$2:$O$53,B654),INDEX(Bases!$O$2:$O$53,C654))+Settings!$B$5*MIN(INDEX(Bases!$O$2:$O$53,B654),INDEX(Bases!$O$2:$O$53,C654))</f>
        <v>71</v>
      </c>
      <c r="V654" s="2" t="n">
        <f aca="false">Settings!$B$4*MAX(INDEX(Bases!$P$2:$P$53,B654),INDEX(Bases!$P$2:$P$53,C654))+Settings!$B$5*MIN(INDEX(Bases!$P$2:$P$53,B654),INDEX(Bases!$P$2:$P$53,C654))</f>
        <v>47</v>
      </c>
      <c r="W654" s="2" t="n">
        <f aca="false">Settings!$B$4*MAX(INDEX(Bases!$Q$2:$Q$53,B654),INDEX(Bases!$Q$2:$Q$53,C654))+Settings!$B$5*MIN(INDEX(Bases!$Q$2:$Q$53,B654),INDEX(Bases!$Q$2:$Q$53,C654))</f>
        <v>77.3333333333333</v>
      </c>
      <c r="X654" s="2" t="n">
        <f aca="false">Settings!$B$4*MAX(INDEX(Bases!$R$2:$R$53,B654),INDEX(Bases!$R$2:$R$53,C654))+Settings!$B$5*MIN(INDEX(Bases!$R$2:$R$53,B654),INDEX(Bases!$R$2:$R$53,C654))</f>
        <v>87.3333333333333</v>
      </c>
      <c r="Y654" s="2" t="n">
        <f aca="false">S654*Settings!$B$3/SUM(S654:X654)</f>
        <v>83.1399845320959</v>
      </c>
      <c r="Z654" s="2" t="n">
        <f aca="false">T654*Settings!$B$3/SUM(S654:X654)</f>
        <v>88.9404485692189</v>
      </c>
      <c r="AA654" s="2" t="n">
        <f aca="false">U654*Settings!$B$3/SUM(S654:X654)</f>
        <v>82.3665893271462</v>
      </c>
      <c r="AB654" s="2" t="n">
        <f aca="false">V654*Settings!$B$3/SUM(S654:X654)</f>
        <v>54.5243619489559</v>
      </c>
      <c r="AC654" s="2" t="n">
        <f aca="false">W654*Settings!$B$3/SUM(S654:X654)</f>
        <v>89.7138437741686</v>
      </c>
      <c r="AD654" s="2" t="n">
        <f aca="false">X654*Settings!$B$3/SUM(S654:X654)</f>
        <v>101.314771848415</v>
      </c>
      <c r="AE654" s="2" t="n">
        <f aca="false">INT(Y654)</f>
        <v>83</v>
      </c>
      <c r="AF654" s="2" t="n">
        <f aca="false">INT(Z654)</f>
        <v>88</v>
      </c>
      <c r="AG654" s="2" t="n">
        <f aca="false">INT(AA654)</f>
        <v>82</v>
      </c>
      <c r="AH654" s="2" t="n">
        <f aca="false">INT(AB654)</f>
        <v>54</v>
      </c>
      <c r="AI654" s="2" t="n">
        <f aca="false">INT(AC654)</f>
        <v>89</v>
      </c>
      <c r="AJ654" s="2" t="n">
        <f aca="false">INT(AD654)</f>
        <v>101</v>
      </c>
      <c r="AK654" s="2" t="n">
        <f aca="false">Settings!$B$3-SUM(AE654:AJ654)</f>
        <v>3</v>
      </c>
      <c r="AL654" s="2" t="n">
        <f aca="false">ROUND(Y654-AE654,9)</f>
        <v>0.139984532</v>
      </c>
      <c r="AM654" s="2" t="n">
        <f aca="false">ROUND(Z654-AF654,9)</f>
        <v>0.940448569</v>
      </c>
      <c r="AN654" s="2" t="n">
        <f aca="false">ROUND(AA654-AG654,9)</f>
        <v>0.366589327</v>
      </c>
      <c r="AO654" s="2" t="n">
        <f aca="false">ROUND(AB654-AH654,9)</f>
        <v>0.524361949</v>
      </c>
      <c r="AP654" s="2" t="n">
        <f aca="false">ROUND(AC654-AI654,9)</f>
        <v>0.713843774</v>
      </c>
      <c r="AQ654" s="2" t="n">
        <f aca="false">ROUND(AD654-AJ654,9)</f>
        <v>0.314771848</v>
      </c>
    </row>
    <row r="655" customFormat="false" ht="15" hidden="false" customHeight="false" outlineLevel="0" collapsed="false">
      <c r="A655" s="2" t="n">
        <v>654</v>
      </c>
      <c r="B655" s="6" t="n">
        <v>15</v>
      </c>
      <c r="C655" s="6" t="n">
        <v>46</v>
      </c>
      <c r="D655" s="8" t="str">
        <f aca="false">INDEX(Bases!$B$2:$B$53,B655)</f>
        <v>Shroomish</v>
      </c>
      <c r="E655" s="8" t="str">
        <f aca="false">INDEX(Bases!$B$2:$B$53,C655)</f>
        <v>Houndour</v>
      </c>
      <c r="F655" s="2" t="str">
        <f aca="false">LEFT(D655,ROUNDUP(LEN(D655)/2,0))&amp;LOWER(MID(E655,ROUNDUP(LEN(E655)/2,0)+1,20))</f>
        <v>Shroodour</v>
      </c>
      <c r="G655" s="8" t="str">
        <f aca="false">INDEX(Bases!$C$2:$C$53,B655)</f>
        <v>Grass</v>
      </c>
      <c r="H655" s="8" t="str">
        <f aca="false">IF(INDEX(Bases!$C$2:$C$53,C655)=G655,"",INDEX(Bases!$C$2:$C$53,C655))</f>
        <v>Dark</v>
      </c>
      <c r="I655" s="8" t="str">
        <f aca="false">IF(INDEX(Bases!$E$2:$E$53,B655)="","",INDEX(Bases!$E$2:$E$53,B655))</f>
        <v/>
      </c>
      <c r="J655" s="8" t="str">
        <f aca="false">IF(INDEX(Bases!$E$2:$E$53,C655)="","",INDEX(Bases!$E$2:$E$53,C655))</f>
        <v/>
      </c>
      <c r="K655" s="5"/>
      <c r="L655" s="2" t="n">
        <f aca="false">AE655+IF(SUMPRODUCT(--($AL655:$AQ655&gt;AL655))&lt;$AK655,1,0)</f>
        <v>84</v>
      </c>
      <c r="M655" s="2" t="n">
        <f aca="false">AF655+IF(SUMPRODUCT(--($AL655:$AQ655&gt;AM655))+SUMPRODUCT(--($AL655:AL655=AM655))&lt;$AK655,1,0)</f>
        <v>77</v>
      </c>
      <c r="N655" s="2" t="n">
        <f aca="false">AG655+IF(SUMPRODUCT(--($AL655:$AQ655&gt;AN655))+SUMPRODUCT(--($AL655:AM655=AN655))&lt;$AK655,1,0)</f>
        <v>77</v>
      </c>
      <c r="O655" s="2" t="n">
        <f aca="false">AH655+IF(SUMPRODUCT(--($AL655:$AQ655&gt;AO655))+SUMPRODUCT(--($AL655:AN655=AO655))&lt;$AK655,1,0)</f>
        <v>96</v>
      </c>
      <c r="P655" s="2" t="n">
        <f aca="false">AI655+IF(SUMPRODUCT(--($AL655:$AQ655&gt;AP655))+SUMPRODUCT(--($AL655:AO655=AP655))&lt;$AK655,1,0)</f>
        <v>86</v>
      </c>
      <c r="Q655" s="2" t="n">
        <f aca="false">AJ655+IF(SUMPRODUCT(--($AL655:$AQ655&gt;AQ655))+SUMPRODUCT(--($AL655:AP655=AQ655))&lt;$AK655,1,0)</f>
        <v>80</v>
      </c>
      <c r="R655" s="2" t="n">
        <f aca="false">SUM(L655:Q655)</f>
        <v>500</v>
      </c>
      <c r="S655" s="2" t="n">
        <f aca="false">Settings!$B$4*MAX(INDEX(Bases!$M$2:$M$53,B655),INDEX(Bases!$M$2:$M$53,C655))+Settings!$B$5*MIN(INDEX(Bases!$M$2:$M$53,B655),INDEX(Bases!$M$2:$M$53,C655))</f>
        <v>72.6666666666667</v>
      </c>
      <c r="T655" s="2" t="n">
        <f aca="false">Settings!$B$4*MAX(INDEX(Bases!$N$2:$N$53,B655),INDEX(Bases!$N$2:$N$53,C655))+Settings!$B$5*MIN(INDEX(Bases!$N$2:$N$53,B655),INDEX(Bases!$N$2:$N$53,C655))</f>
        <v>66.6666666666667</v>
      </c>
      <c r="U655" s="2" t="n">
        <f aca="false">Settings!$B$4*MAX(INDEX(Bases!$O$2:$O$53,B655),INDEX(Bases!$O$2:$O$53,C655))+Settings!$B$5*MIN(INDEX(Bases!$O$2:$O$53,B655),INDEX(Bases!$O$2:$O$53,C655))</f>
        <v>66</v>
      </c>
      <c r="V655" s="2" t="n">
        <f aca="false">Settings!$B$4*MAX(INDEX(Bases!$P$2:$P$53,B655),INDEX(Bases!$P$2:$P$53,C655))+Settings!$B$5*MIN(INDEX(Bases!$P$2:$P$53,B655),INDEX(Bases!$P$2:$P$53,C655))</f>
        <v>82.6666666666667</v>
      </c>
      <c r="W655" s="2" t="n">
        <f aca="false">Settings!$B$4*MAX(INDEX(Bases!$Q$2:$Q$53,B655),INDEX(Bases!$Q$2:$Q$53,C655))+Settings!$B$5*MIN(INDEX(Bases!$Q$2:$Q$53,B655),INDEX(Bases!$Q$2:$Q$53,C655))</f>
        <v>74.3333333333333</v>
      </c>
      <c r="X655" s="2" t="n">
        <f aca="false">Settings!$B$4*MAX(INDEX(Bases!$R$2:$R$53,B655),INDEX(Bases!$R$2:$R$53,C655))+Settings!$B$5*MIN(INDEX(Bases!$R$2:$R$53,B655),INDEX(Bases!$R$2:$R$53,C655))</f>
        <v>68.6666666666667</v>
      </c>
      <c r="Y655" s="2" t="n">
        <f aca="false">S655*Settings!$B$3/SUM(S655:X655)</f>
        <v>84.3000773395205</v>
      </c>
      <c r="Z655" s="2" t="n">
        <f aca="false">T655*Settings!$B$3/SUM(S655:X655)</f>
        <v>77.3395204949729</v>
      </c>
      <c r="AA655" s="2" t="n">
        <f aca="false">U655*Settings!$B$3/SUM(S655:X655)</f>
        <v>76.5661252900232</v>
      </c>
      <c r="AB655" s="2" t="n">
        <f aca="false">V655*Settings!$B$3/SUM(S655:X655)</f>
        <v>95.9010054137664</v>
      </c>
      <c r="AC655" s="2" t="n">
        <f aca="false">W655*Settings!$B$3/SUM(S655:X655)</f>
        <v>86.2335653518948</v>
      </c>
      <c r="AD655" s="2" t="n">
        <f aca="false">X655*Settings!$B$3/SUM(S655:X655)</f>
        <v>79.6597061098221</v>
      </c>
      <c r="AE655" s="2" t="n">
        <f aca="false">INT(Y655)</f>
        <v>84</v>
      </c>
      <c r="AF655" s="2" t="n">
        <f aca="false">INT(Z655)</f>
        <v>77</v>
      </c>
      <c r="AG655" s="2" t="n">
        <f aca="false">INT(AA655)</f>
        <v>76</v>
      </c>
      <c r="AH655" s="2" t="n">
        <f aca="false">INT(AB655)</f>
        <v>95</v>
      </c>
      <c r="AI655" s="2" t="n">
        <f aca="false">INT(AC655)</f>
        <v>86</v>
      </c>
      <c r="AJ655" s="2" t="n">
        <f aca="false">INT(AD655)</f>
        <v>79</v>
      </c>
      <c r="AK655" s="2" t="n">
        <f aca="false">Settings!$B$3-SUM(AE655:AJ655)</f>
        <v>3</v>
      </c>
      <c r="AL655" s="2" t="n">
        <f aca="false">ROUND(Y655-AE655,9)</f>
        <v>0.30007734</v>
      </c>
      <c r="AM655" s="2" t="n">
        <f aca="false">ROUND(Z655-AF655,9)</f>
        <v>0.339520495</v>
      </c>
      <c r="AN655" s="2" t="n">
        <f aca="false">ROUND(AA655-AG655,9)</f>
        <v>0.56612529</v>
      </c>
      <c r="AO655" s="2" t="n">
        <f aca="false">ROUND(AB655-AH655,9)</f>
        <v>0.901005414</v>
      </c>
      <c r="AP655" s="2" t="n">
        <f aca="false">ROUND(AC655-AI655,9)</f>
        <v>0.233565352</v>
      </c>
      <c r="AQ655" s="2" t="n">
        <f aca="false">ROUND(AD655-AJ655,9)</f>
        <v>0.65970611</v>
      </c>
    </row>
    <row r="656" customFormat="false" ht="15" hidden="false" customHeight="false" outlineLevel="0" collapsed="false">
      <c r="A656" s="2" t="n">
        <v>655</v>
      </c>
      <c r="B656" s="6" t="n">
        <v>15</v>
      </c>
      <c r="C656" s="6" t="n">
        <v>47</v>
      </c>
      <c r="D656" s="8" t="str">
        <f aca="false">INDEX(Bases!$B$2:$B$53,B656)</f>
        <v>Shroomish</v>
      </c>
      <c r="E656" s="8" t="str">
        <f aca="false">INDEX(Bases!$B$2:$B$53,C656)</f>
        <v>Carvanha</v>
      </c>
      <c r="F656" s="2" t="str">
        <f aca="false">LEFT(D656,ROUNDUP(LEN(D656)/2,0))&amp;LOWER(MID(E656,ROUNDUP(LEN(E656)/2,0)+1,20))</f>
        <v>Shrooanha</v>
      </c>
      <c r="G656" s="8" t="str">
        <f aca="false">INDEX(Bases!$C$2:$C$53,B656)</f>
        <v>Grass</v>
      </c>
      <c r="H656" s="8" t="str">
        <f aca="false">IF(INDEX(Bases!$C$2:$C$53,C656)=G656,"",INDEX(Bases!$C$2:$C$53,C656))</f>
        <v>Dark</v>
      </c>
      <c r="I656" s="8" t="str">
        <f aca="false">IF(INDEX(Bases!$E$2:$E$53,B656)="","",INDEX(Bases!$E$2:$E$53,B656))</f>
        <v/>
      </c>
      <c r="J656" s="8" t="str">
        <f aca="false">IF(INDEX(Bases!$E$2:$E$53,C656)="","",INDEX(Bases!$E$2:$E$53,C656))</f>
        <v/>
      </c>
      <c r="K656" s="5"/>
      <c r="L656" s="2" t="n">
        <f aca="false">AE656+IF(SUMPRODUCT(--($AL656:$AQ656&gt;AL656))&lt;$AK656,1,0)</f>
        <v>84</v>
      </c>
      <c r="M656" s="2" t="n">
        <f aca="false">AF656+IF(SUMPRODUCT(--($AL656:$AQ656&gt;AM656))+SUMPRODUCT(--($AL656:AL656=AM656))&lt;$AK656,1,0)</f>
        <v>109</v>
      </c>
      <c r="N656" s="2" t="n">
        <f aca="false">AG656+IF(SUMPRODUCT(--($AL656:$AQ656&gt;AN656))+SUMPRODUCT(--($AL656:AM656=AN656))&lt;$AK656,1,0)</f>
        <v>70</v>
      </c>
      <c r="O656" s="2" t="n">
        <f aca="false">AH656+IF(SUMPRODUCT(--($AL656:$AQ656&gt;AO656))+SUMPRODUCT(--($AL656:AN656=AO656))&lt;$AK656,1,0)</f>
        <v>85</v>
      </c>
      <c r="P656" s="2" t="n">
        <f aca="false">AI656+IF(SUMPRODUCT(--($AL656:$AQ656&gt;AP656))+SUMPRODUCT(--($AL656:AO656=AP656))&lt;$AK656,1,0)</f>
        <v>70</v>
      </c>
      <c r="Q656" s="2" t="n">
        <f aca="false">AJ656+IF(SUMPRODUCT(--($AL656:$AQ656&gt;AQ656))+SUMPRODUCT(--($AL656:AP656=AQ656))&lt;$AK656,1,0)</f>
        <v>82</v>
      </c>
      <c r="R656" s="2" t="n">
        <f aca="false">SUM(L656:Q656)</f>
        <v>500</v>
      </c>
      <c r="S656" s="2" t="n">
        <f aca="false">Settings!$B$4*MAX(INDEX(Bases!$M$2:$M$53,B656),INDEX(Bases!$M$2:$M$53,C656))+Settings!$B$5*MIN(INDEX(Bases!$M$2:$M$53,B656),INDEX(Bases!$M$2:$M$53,C656))</f>
        <v>74.3333333333333</v>
      </c>
      <c r="T656" s="2" t="n">
        <f aca="false">Settings!$B$4*MAX(INDEX(Bases!$N$2:$N$53,B656),INDEX(Bases!$N$2:$N$53,C656))+Settings!$B$5*MIN(INDEX(Bases!$N$2:$N$53,B656),INDEX(Bases!$N$2:$N$53,C656))</f>
        <v>96.6666666666667</v>
      </c>
      <c r="U656" s="2" t="n">
        <f aca="false">Settings!$B$4*MAX(INDEX(Bases!$O$2:$O$53,B656),INDEX(Bases!$O$2:$O$53,C656))+Settings!$B$5*MIN(INDEX(Bases!$O$2:$O$53,B656),INDEX(Bases!$O$2:$O$53,C656))</f>
        <v>62.6666666666667</v>
      </c>
      <c r="V656" s="2" t="n">
        <f aca="false">Settings!$B$4*MAX(INDEX(Bases!$P$2:$P$53,B656),INDEX(Bases!$P$2:$P$53,C656))+Settings!$B$5*MIN(INDEX(Bases!$P$2:$P$53,B656),INDEX(Bases!$P$2:$P$53,C656))</f>
        <v>75.3333333333333</v>
      </c>
      <c r="W656" s="2" t="n">
        <f aca="false">Settings!$B$4*MAX(INDEX(Bases!$Q$2:$Q$53,B656),INDEX(Bases!$Q$2:$Q$53,C656))+Settings!$B$5*MIN(INDEX(Bases!$Q$2:$Q$53,B656),INDEX(Bases!$Q$2:$Q$53,C656))</f>
        <v>62.6666666666667</v>
      </c>
      <c r="X656" s="2" t="n">
        <f aca="false">Settings!$B$4*MAX(INDEX(Bases!$R$2:$R$53,B656),INDEX(Bases!$R$2:$R$53,C656))+Settings!$B$5*MIN(INDEX(Bases!$R$2:$R$53,B656),INDEX(Bases!$R$2:$R$53,C656))</f>
        <v>72.6666666666667</v>
      </c>
      <c r="Y656" s="2" t="n">
        <f aca="false">S656*Settings!$B$3/SUM(S656:X656)</f>
        <v>83.6459114778695</v>
      </c>
      <c r="Z656" s="2" t="n">
        <f aca="false">T656*Settings!$B$3/SUM(S656:X656)</f>
        <v>108.777194298575</v>
      </c>
      <c r="AA656" s="2" t="n">
        <f aca="false">U656*Settings!$B$3/SUM(S656:X656)</f>
        <v>70.5176294073519</v>
      </c>
      <c r="AB656" s="2" t="n">
        <f aca="false">V656*Settings!$B$3/SUM(S656:X656)</f>
        <v>84.7711927981996</v>
      </c>
      <c r="AC656" s="2" t="n">
        <f aca="false">W656*Settings!$B$3/SUM(S656:X656)</f>
        <v>70.5176294073519</v>
      </c>
      <c r="AD656" s="2" t="n">
        <f aca="false">X656*Settings!$B$3/SUM(S656:X656)</f>
        <v>81.7704426106527</v>
      </c>
      <c r="AE656" s="2" t="n">
        <f aca="false">INT(Y656)</f>
        <v>83</v>
      </c>
      <c r="AF656" s="2" t="n">
        <f aca="false">INT(Z656)</f>
        <v>108</v>
      </c>
      <c r="AG656" s="2" t="n">
        <f aca="false">INT(AA656)</f>
        <v>70</v>
      </c>
      <c r="AH656" s="2" t="n">
        <f aca="false">INT(AB656)</f>
        <v>84</v>
      </c>
      <c r="AI656" s="2" t="n">
        <f aca="false">INT(AC656)</f>
        <v>70</v>
      </c>
      <c r="AJ656" s="2" t="n">
        <f aca="false">INT(AD656)</f>
        <v>81</v>
      </c>
      <c r="AK656" s="2" t="n">
        <f aca="false">Settings!$B$3-SUM(AE656:AJ656)</f>
        <v>4</v>
      </c>
      <c r="AL656" s="2" t="n">
        <f aca="false">ROUND(Y656-AE656,9)</f>
        <v>0.645911478</v>
      </c>
      <c r="AM656" s="2" t="n">
        <f aca="false">ROUND(Z656-AF656,9)</f>
        <v>0.777194299</v>
      </c>
      <c r="AN656" s="2" t="n">
        <f aca="false">ROUND(AA656-AG656,9)</f>
        <v>0.517629407</v>
      </c>
      <c r="AO656" s="2" t="n">
        <f aca="false">ROUND(AB656-AH656,9)</f>
        <v>0.771192798</v>
      </c>
      <c r="AP656" s="2" t="n">
        <f aca="false">ROUND(AC656-AI656,9)</f>
        <v>0.517629407</v>
      </c>
      <c r="AQ656" s="2" t="n">
        <f aca="false">ROUND(AD656-AJ656,9)</f>
        <v>0.770442611</v>
      </c>
    </row>
    <row r="657" customFormat="false" ht="15" hidden="false" customHeight="false" outlineLevel="0" collapsed="false">
      <c r="A657" s="2" t="n">
        <v>656</v>
      </c>
      <c r="B657" s="6" t="n">
        <v>15</v>
      </c>
      <c r="C657" s="6" t="n">
        <v>48</v>
      </c>
      <c r="D657" s="8" t="str">
        <f aca="false">INDEX(Bases!$B$2:$B$53,B657)</f>
        <v>Shroomish</v>
      </c>
      <c r="E657" s="8" t="str">
        <f aca="false">INDEX(Bases!$B$2:$B$53,C657)</f>
        <v>Magnemite</v>
      </c>
      <c r="F657" s="2" t="str">
        <f aca="false">LEFT(D657,ROUNDUP(LEN(D657)/2,0))&amp;LOWER(MID(E657,ROUNDUP(LEN(E657)/2,0)+1,20))</f>
        <v>Shroomite</v>
      </c>
      <c r="G657" s="8" t="str">
        <f aca="false">INDEX(Bases!$C$2:$C$53,B657)</f>
        <v>Grass</v>
      </c>
      <c r="H657" s="8" t="str">
        <f aca="false">IF(INDEX(Bases!$C$2:$C$53,C657)=G657,"",INDEX(Bases!$C$2:$C$53,C657))</f>
        <v>Steel</v>
      </c>
      <c r="I657" s="8" t="str">
        <f aca="false">IF(INDEX(Bases!$E$2:$E$53,B657)="","",INDEX(Bases!$E$2:$E$53,B657))</f>
        <v/>
      </c>
      <c r="J657" s="8" t="str">
        <f aca="false">IF(INDEX(Bases!$E$2:$E$53,C657)="","",INDEX(Bases!$E$2:$E$53,C657))</f>
        <v/>
      </c>
      <c r="K657" s="5"/>
      <c r="L657" s="2" t="n">
        <f aca="false">AE657+IF(SUMPRODUCT(--($AL657:$AQ657&gt;AL657))&lt;$AK657,1,0)</f>
        <v>77</v>
      </c>
      <c r="M657" s="2" t="n">
        <f aca="false">AF657+IF(SUMPRODUCT(--($AL657:$AQ657&gt;AM657))+SUMPRODUCT(--($AL657:AL657=AM657))&lt;$AK657,1,0)</f>
        <v>59</v>
      </c>
      <c r="N657" s="2" t="n">
        <f aca="false">AG657+IF(SUMPRODUCT(--($AL657:$AQ657&gt;AN657))+SUMPRODUCT(--($AL657:AM657=AN657))&lt;$AK657,1,0)</f>
        <v>99</v>
      </c>
      <c r="O657" s="2" t="n">
        <f aca="false">AH657+IF(SUMPRODUCT(--($AL657:$AQ657&gt;AO657))+SUMPRODUCT(--($AL657:AN657=AO657))&lt;$AK657,1,0)</f>
        <v>113</v>
      </c>
      <c r="P657" s="2" t="n">
        <f aca="false">AI657+IF(SUMPRODUCT(--($AL657:$AQ657&gt;AP657))+SUMPRODUCT(--($AL657:AO657=AP657))&lt;$AK657,1,0)</f>
        <v>90</v>
      </c>
      <c r="Q657" s="2" t="n">
        <f aca="false">AJ657+IF(SUMPRODUCT(--($AL657:$AQ657&gt;AQ657))+SUMPRODUCT(--($AL657:AP657=AQ657))&lt;$AK657,1,0)</f>
        <v>62</v>
      </c>
      <c r="R657" s="2" t="n">
        <f aca="false">SUM(L657:Q657)</f>
        <v>500</v>
      </c>
      <c r="S657" s="2" t="n">
        <f aca="false">Settings!$B$4*MAX(INDEX(Bases!$M$2:$M$53,B657),INDEX(Bases!$M$2:$M$53,C657))+Settings!$B$5*MIN(INDEX(Bases!$M$2:$M$53,B657),INDEX(Bases!$M$2:$M$53,C657))</f>
        <v>65</v>
      </c>
      <c r="T657" s="2" t="n">
        <f aca="false">Settings!$B$4*MAX(INDEX(Bases!$N$2:$N$53,B657),INDEX(Bases!$N$2:$N$53,C657))+Settings!$B$5*MIN(INDEX(Bases!$N$2:$N$53,B657),INDEX(Bases!$N$2:$N$53,C657))</f>
        <v>50.3333333333333</v>
      </c>
      <c r="U657" s="2" t="n">
        <f aca="false">Settings!$B$4*MAX(INDEX(Bases!$O$2:$O$53,B657),INDEX(Bases!$O$2:$O$53,C657))+Settings!$B$5*MIN(INDEX(Bases!$O$2:$O$53,B657),INDEX(Bases!$O$2:$O$53,C657))</f>
        <v>84.3333333333333</v>
      </c>
      <c r="V657" s="2" t="n">
        <f aca="false">Settings!$B$4*MAX(INDEX(Bases!$P$2:$P$53,B657),INDEX(Bases!$P$2:$P$53,C657))+Settings!$B$5*MIN(INDEX(Bases!$P$2:$P$53,B657),INDEX(Bases!$P$2:$P$53,C657))</f>
        <v>96</v>
      </c>
      <c r="W657" s="2" t="n">
        <f aca="false">Settings!$B$4*MAX(INDEX(Bases!$Q$2:$Q$53,B657),INDEX(Bases!$Q$2:$Q$53,C657))+Settings!$B$5*MIN(INDEX(Bases!$Q$2:$Q$53,B657),INDEX(Bases!$Q$2:$Q$53,C657))</f>
        <v>76.6666666666667</v>
      </c>
      <c r="X657" s="2" t="n">
        <f aca="false">Settings!$B$4*MAX(INDEX(Bases!$R$2:$R$53,B657),INDEX(Bases!$R$2:$R$53,C657))+Settings!$B$5*MIN(INDEX(Bases!$R$2:$R$53,B657),INDEX(Bases!$R$2:$R$53,C657))</f>
        <v>52.6666666666667</v>
      </c>
      <c r="Y657" s="2" t="n">
        <f aca="false">S657*Settings!$B$3/SUM(S657:X657)</f>
        <v>76.4705882352941</v>
      </c>
      <c r="Z657" s="2" t="n">
        <f aca="false">T657*Settings!$B$3/SUM(S657:X657)</f>
        <v>59.2156862745098</v>
      </c>
      <c r="AA657" s="2" t="n">
        <f aca="false">U657*Settings!$B$3/SUM(S657:X657)</f>
        <v>99.2156862745098</v>
      </c>
      <c r="AB657" s="2" t="n">
        <f aca="false">V657*Settings!$B$3/SUM(S657:X657)</f>
        <v>112.941176470588</v>
      </c>
      <c r="AC657" s="2" t="n">
        <f aca="false">W657*Settings!$B$3/SUM(S657:X657)</f>
        <v>90.1960784313726</v>
      </c>
      <c r="AD657" s="2" t="n">
        <f aca="false">X657*Settings!$B$3/SUM(S657:X657)</f>
        <v>61.9607843137255</v>
      </c>
      <c r="AE657" s="2" t="n">
        <f aca="false">INT(Y657)</f>
        <v>76</v>
      </c>
      <c r="AF657" s="2" t="n">
        <f aca="false">INT(Z657)</f>
        <v>59</v>
      </c>
      <c r="AG657" s="2" t="n">
        <f aca="false">INT(AA657)</f>
        <v>99</v>
      </c>
      <c r="AH657" s="2" t="n">
        <f aca="false">INT(AB657)</f>
        <v>112</v>
      </c>
      <c r="AI657" s="2" t="n">
        <f aca="false">INT(AC657)</f>
        <v>90</v>
      </c>
      <c r="AJ657" s="2" t="n">
        <f aca="false">INT(AD657)</f>
        <v>61</v>
      </c>
      <c r="AK657" s="2" t="n">
        <f aca="false">Settings!$B$3-SUM(AE657:AJ657)</f>
        <v>3</v>
      </c>
      <c r="AL657" s="2" t="n">
        <f aca="false">ROUND(Y657-AE657,9)</f>
        <v>0.470588235</v>
      </c>
      <c r="AM657" s="2" t="n">
        <f aca="false">ROUND(Z657-AF657,9)</f>
        <v>0.215686275</v>
      </c>
      <c r="AN657" s="2" t="n">
        <f aca="false">ROUND(AA657-AG657,9)</f>
        <v>0.215686275</v>
      </c>
      <c r="AO657" s="2" t="n">
        <f aca="false">ROUND(AB657-AH657,9)</f>
        <v>0.941176471</v>
      </c>
      <c r="AP657" s="2" t="n">
        <f aca="false">ROUND(AC657-AI657,9)</f>
        <v>0.196078431</v>
      </c>
      <c r="AQ657" s="2" t="n">
        <f aca="false">ROUND(AD657-AJ657,9)</f>
        <v>0.960784314</v>
      </c>
    </row>
    <row r="658" customFormat="false" ht="15" hidden="false" customHeight="false" outlineLevel="0" collapsed="false">
      <c r="A658" s="2" t="n">
        <v>657</v>
      </c>
      <c r="B658" s="6" t="n">
        <v>15</v>
      </c>
      <c r="C658" s="6" t="n">
        <v>49</v>
      </c>
      <c r="D658" s="8" t="str">
        <f aca="false">INDEX(Bases!$B$2:$B$53,B658)</f>
        <v>Shroomish</v>
      </c>
      <c r="E658" s="8" t="str">
        <f aca="false">INDEX(Bases!$B$2:$B$53,C658)</f>
        <v>Aron</v>
      </c>
      <c r="F658" s="2" t="str">
        <f aca="false">LEFT(D658,ROUNDUP(LEN(D658)/2,0))&amp;LOWER(MID(E658,ROUNDUP(LEN(E658)/2,0)+1,20))</f>
        <v>Shrooon</v>
      </c>
      <c r="G658" s="8" t="str">
        <f aca="false">INDEX(Bases!$C$2:$C$53,B658)</f>
        <v>Grass</v>
      </c>
      <c r="H658" s="8" t="str">
        <f aca="false">IF(INDEX(Bases!$C$2:$C$53,C658)=G658,"",INDEX(Bases!$C$2:$C$53,C658))</f>
        <v>Steel</v>
      </c>
      <c r="I658" s="8" t="str">
        <f aca="false">IF(INDEX(Bases!$E$2:$E$53,B658)="","",INDEX(Bases!$E$2:$E$53,B658))</f>
        <v/>
      </c>
      <c r="J658" s="8" t="str">
        <f aca="false">IF(INDEX(Bases!$E$2:$E$53,C658)="","",INDEX(Bases!$E$2:$E$53,C658))</f>
        <v/>
      </c>
      <c r="K658" s="5"/>
      <c r="L658" s="2" t="n">
        <f aca="false">AE658+IF(SUMPRODUCT(--($AL658:$AQ658&gt;AL658))&lt;$AK658,1,0)</f>
        <v>88</v>
      </c>
      <c r="M658" s="2" t="n">
        <f aca="false">AF658+IF(SUMPRODUCT(--($AL658:$AQ658&gt;AM658))+SUMPRODUCT(--($AL658:AL658=AM658))&lt;$AK658,1,0)</f>
        <v>88</v>
      </c>
      <c r="N658" s="2" t="n">
        <f aca="false">AG658+IF(SUMPRODUCT(--($AL658:$AQ658&gt;AN658))+SUMPRODUCT(--($AL658:AM658=AN658))&lt;$AK658,1,0)</f>
        <v>127</v>
      </c>
      <c r="O658" s="2" t="n">
        <f aca="false">AH658+IF(SUMPRODUCT(--($AL658:$AQ658&gt;AO658))+SUMPRODUCT(--($AL658:AN658=AO658))&lt;$AK658,1,0)</f>
        <v>62</v>
      </c>
      <c r="P658" s="2" t="n">
        <f aca="false">AI658+IF(SUMPRODUCT(--($AL658:$AQ658&gt;AP658))+SUMPRODUCT(--($AL658:AO658=AP658))&lt;$AK658,1,0)</f>
        <v>83</v>
      </c>
      <c r="Q658" s="2" t="n">
        <f aca="false">AJ658+IF(SUMPRODUCT(--($AL658:$AQ658&gt;AQ658))+SUMPRODUCT(--($AL658:AP658=AQ658))&lt;$AK658,1,0)</f>
        <v>52</v>
      </c>
      <c r="R658" s="2" t="n">
        <f aca="false">SUM(L658:Q658)</f>
        <v>500</v>
      </c>
      <c r="S658" s="2" t="n">
        <f aca="false">Settings!$B$4*MAX(INDEX(Bases!$M$2:$M$53,B658),INDEX(Bases!$M$2:$M$53,C658))+Settings!$B$5*MIN(INDEX(Bases!$M$2:$M$53,B658),INDEX(Bases!$M$2:$M$53,C658))</f>
        <v>75</v>
      </c>
      <c r="T658" s="2" t="n">
        <f aca="false">Settings!$B$4*MAX(INDEX(Bases!$N$2:$N$53,B658),INDEX(Bases!$N$2:$N$53,C658))+Settings!$B$5*MIN(INDEX(Bases!$N$2:$N$53,B658),INDEX(Bases!$N$2:$N$53,C658))</f>
        <v>74.6666666666667</v>
      </c>
      <c r="U658" s="2" t="n">
        <f aca="false">Settings!$B$4*MAX(INDEX(Bases!$O$2:$O$53,B658),INDEX(Bases!$O$2:$O$53,C658))+Settings!$B$5*MIN(INDEX(Bases!$O$2:$O$53,B658),INDEX(Bases!$O$2:$O$53,C658))</f>
        <v>107.666666666667</v>
      </c>
      <c r="V658" s="2" t="n">
        <f aca="false">Settings!$B$4*MAX(INDEX(Bases!$P$2:$P$53,B658),INDEX(Bases!$P$2:$P$53,C658))+Settings!$B$5*MIN(INDEX(Bases!$P$2:$P$53,B658),INDEX(Bases!$P$2:$P$53,C658))</f>
        <v>52.3333333333333</v>
      </c>
      <c r="W658" s="2" t="n">
        <f aca="false">Settings!$B$4*MAX(INDEX(Bases!$Q$2:$Q$53,B658),INDEX(Bases!$Q$2:$Q$53,C658))+Settings!$B$5*MIN(INDEX(Bases!$Q$2:$Q$53,B658),INDEX(Bases!$Q$2:$Q$53,C658))</f>
        <v>70</v>
      </c>
      <c r="X658" s="2" t="n">
        <f aca="false">Settings!$B$4*MAX(INDEX(Bases!$R$2:$R$53,B658),INDEX(Bases!$R$2:$R$53,C658))+Settings!$B$5*MIN(INDEX(Bases!$R$2:$R$53,B658),INDEX(Bases!$R$2:$R$53,C658))</f>
        <v>44</v>
      </c>
      <c r="Y658" s="2" t="n">
        <f aca="false">S658*Settings!$B$3/SUM(S658:X658)</f>
        <v>88.5129819040126</v>
      </c>
      <c r="Z658" s="2" t="n">
        <f aca="false">T658*Settings!$B$3/SUM(S658:X658)</f>
        <v>88.1195908733281</v>
      </c>
      <c r="AA658" s="2" t="n">
        <f aca="false">U658*Settings!$B$3/SUM(S658:X658)</f>
        <v>127.065302911094</v>
      </c>
      <c r="AB658" s="2" t="n">
        <f aca="false">V658*Settings!$B$3/SUM(S658:X658)</f>
        <v>61.7623918174666</v>
      </c>
      <c r="AC658" s="2" t="n">
        <f aca="false">W658*Settings!$B$3/SUM(S658:X658)</f>
        <v>82.6121164437451</v>
      </c>
      <c r="AD658" s="2" t="n">
        <f aca="false">X658*Settings!$B$3/SUM(S658:X658)</f>
        <v>51.9276160503541</v>
      </c>
      <c r="AE658" s="2" t="n">
        <f aca="false">INT(Y658)</f>
        <v>88</v>
      </c>
      <c r="AF658" s="2" t="n">
        <f aca="false">INT(Z658)</f>
        <v>88</v>
      </c>
      <c r="AG658" s="2" t="n">
        <f aca="false">INT(AA658)</f>
        <v>127</v>
      </c>
      <c r="AH658" s="2" t="n">
        <f aca="false">INT(AB658)</f>
        <v>61</v>
      </c>
      <c r="AI658" s="2" t="n">
        <f aca="false">INT(AC658)</f>
        <v>82</v>
      </c>
      <c r="AJ658" s="2" t="n">
        <f aca="false">INT(AD658)</f>
        <v>51</v>
      </c>
      <c r="AK658" s="2" t="n">
        <f aca="false">Settings!$B$3-SUM(AE658:AJ658)</f>
        <v>3</v>
      </c>
      <c r="AL658" s="2" t="n">
        <f aca="false">ROUND(Y658-AE658,9)</f>
        <v>0.512981904</v>
      </c>
      <c r="AM658" s="2" t="n">
        <f aca="false">ROUND(Z658-AF658,9)</f>
        <v>0.119590873</v>
      </c>
      <c r="AN658" s="2" t="n">
        <f aca="false">ROUND(AA658-AG658,9)</f>
        <v>0.065302911</v>
      </c>
      <c r="AO658" s="2" t="n">
        <f aca="false">ROUND(AB658-AH658,9)</f>
        <v>0.762391817</v>
      </c>
      <c r="AP658" s="2" t="n">
        <f aca="false">ROUND(AC658-AI658,9)</f>
        <v>0.612116444</v>
      </c>
      <c r="AQ658" s="2" t="n">
        <f aca="false">ROUND(AD658-AJ658,9)</f>
        <v>0.92761605</v>
      </c>
    </row>
    <row r="659" customFormat="false" ht="15" hidden="false" customHeight="false" outlineLevel="0" collapsed="false">
      <c r="A659" s="2" t="n">
        <v>658</v>
      </c>
      <c r="B659" s="6" t="n">
        <v>15</v>
      </c>
      <c r="C659" s="6" t="n">
        <v>50</v>
      </c>
      <c r="D659" s="8" t="str">
        <f aca="false">INDEX(Bases!$B$2:$B$53,B659)</f>
        <v>Shroomish</v>
      </c>
      <c r="E659" s="8" t="str">
        <f aca="false">INDEX(Bases!$B$2:$B$53,C659)</f>
        <v>Beldum</v>
      </c>
      <c r="F659" s="2" t="str">
        <f aca="false">LEFT(D659,ROUNDUP(LEN(D659)/2,0))&amp;LOWER(MID(E659,ROUNDUP(LEN(E659)/2,0)+1,20))</f>
        <v>Shroodum</v>
      </c>
      <c r="G659" s="8" t="str">
        <f aca="false">INDEX(Bases!$C$2:$C$53,B659)</f>
        <v>Grass</v>
      </c>
      <c r="H659" s="8" t="str">
        <f aca="false">IF(INDEX(Bases!$C$2:$C$53,C659)=G659,"",INDEX(Bases!$C$2:$C$53,C659))</f>
        <v>Steel</v>
      </c>
      <c r="I659" s="8" t="str">
        <f aca="false">IF(INDEX(Bases!$E$2:$E$53,B659)="","",INDEX(Bases!$E$2:$E$53,B659))</f>
        <v/>
      </c>
      <c r="J659" s="8" t="str">
        <f aca="false">IF(INDEX(Bases!$E$2:$E$53,C659)="","",INDEX(Bases!$E$2:$E$53,C659))</f>
        <v/>
      </c>
      <c r="K659" s="5"/>
      <c r="L659" s="2" t="n">
        <f aca="false">AE659+IF(SUMPRODUCT(--($AL659:$AQ659&gt;AL659))&lt;$AK659,1,0)</f>
        <v>87</v>
      </c>
      <c r="M659" s="2" t="n">
        <f aca="false">AF659+IF(SUMPRODUCT(--($AL659:$AQ659&gt;AM659))+SUMPRODUCT(--($AL659:AL659=AM659))&lt;$AK659,1,0)</f>
        <v>80</v>
      </c>
      <c r="N659" s="2" t="n">
        <f aca="false">AG659+IF(SUMPRODUCT(--($AL659:$AQ659&gt;AN659))+SUMPRODUCT(--($AL659:AM659=AN659))&lt;$AK659,1,0)</f>
        <v>119</v>
      </c>
      <c r="O659" s="2" t="n">
        <f aca="false">AH659+IF(SUMPRODUCT(--($AL659:$AQ659&gt;AO659))+SUMPRODUCT(--($AL659:AN659=AO659))&lt;$AK659,1,0)</f>
        <v>62</v>
      </c>
      <c r="P659" s="2" t="n">
        <f aca="false">AI659+IF(SUMPRODUCT(--($AL659:$AQ659&gt;AP659))+SUMPRODUCT(--($AL659:AO659=AP659))&lt;$AK659,1,0)</f>
        <v>97</v>
      </c>
      <c r="Q659" s="2" t="n">
        <f aca="false">AJ659+IF(SUMPRODUCT(--($AL659:$AQ659&gt;AQ659))+SUMPRODUCT(--($AL659:AP659=AQ659))&lt;$AK659,1,0)</f>
        <v>55</v>
      </c>
      <c r="R659" s="2" t="n">
        <f aca="false">SUM(L659:Q659)</f>
        <v>500</v>
      </c>
      <c r="S659" s="2" t="n">
        <f aca="false">Settings!$B$4*MAX(INDEX(Bases!$M$2:$M$53,B659),INDEX(Bases!$M$2:$M$53,C659))+Settings!$B$5*MIN(INDEX(Bases!$M$2:$M$53,B659),INDEX(Bases!$M$2:$M$53,C659))</f>
        <v>72.3333333333333</v>
      </c>
      <c r="T659" s="2" t="n">
        <f aca="false">Settings!$B$4*MAX(INDEX(Bases!$N$2:$N$53,B659),INDEX(Bases!$N$2:$N$53,C659))+Settings!$B$5*MIN(INDEX(Bases!$N$2:$N$53,B659),INDEX(Bases!$N$2:$N$53,C659))</f>
        <v>66.6666666666667</v>
      </c>
      <c r="U659" s="2" t="n">
        <f aca="false">Settings!$B$4*MAX(INDEX(Bases!$O$2:$O$53,B659),INDEX(Bases!$O$2:$O$53,C659))+Settings!$B$5*MIN(INDEX(Bases!$O$2:$O$53,B659),INDEX(Bases!$O$2:$O$53,C659))</f>
        <v>98.3333333333333</v>
      </c>
      <c r="V659" s="2" t="n">
        <f aca="false">Settings!$B$4*MAX(INDEX(Bases!$P$2:$P$53,B659),INDEX(Bases!$P$2:$P$53,C659))+Settings!$B$5*MIN(INDEX(Bases!$P$2:$P$53,B659),INDEX(Bases!$P$2:$P$53,C659))</f>
        <v>51.6666666666667</v>
      </c>
      <c r="W659" s="2" t="n">
        <f aca="false">Settings!$B$4*MAX(INDEX(Bases!$Q$2:$Q$53,B659),INDEX(Bases!$Q$2:$Q$53,C659))+Settings!$B$5*MIN(INDEX(Bases!$Q$2:$Q$53,B659),INDEX(Bases!$Q$2:$Q$53,C659))</f>
        <v>80.6666666666667</v>
      </c>
      <c r="X659" s="2" t="n">
        <f aca="false">Settings!$B$4*MAX(INDEX(Bases!$R$2:$R$53,B659),INDEX(Bases!$R$2:$R$53,C659))+Settings!$B$5*MIN(INDEX(Bases!$R$2:$R$53,B659),INDEX(Bases!$R$2:$R$53,C659))</f>
        <v>45.3333333333333</v>
      </c>
      <c r="Y659" s="2" t="n">
        <f aca="false">S659*Settings!$B$3/SUM(S659:X659)</f>
        <v>87.14859437751</v>
      </c>
      <c r="Z659" s="2" t="n">
        <f aca="false">T659*Settings!$B$3/SUM(S659:X659)</f>
        <v>80.3212851405623</v>
      </c>
      <c r="AA659" s="2" t="n">
        <f aca="false">U659*Settings!$B$3/SUM(S659:X659)</f>
        <v>118.473895582329</v>
      </c>
      <c r="AB659" s="2" t="n">
        <f aca="false">V659*Settings!$B$3/SUM(S659:X659)</f>
        <v>62.2489959839358</v>
      </c>
      <c r="AC659" s="2" t="n">
        <f aca="false">W659*Settings!$B$3/SUM(S659:X659)</f>
        <v>97.1887550200803</v>
      </c>
      <c r="AD659" s="2" t="n">
        <f aca="false">X659*Settings!$B$3/SUM(S659:X659)</f>
        <v>54.6184738955823</v>
      </c>
      <c r="AE659" s="2" t="n">
        <f aca="false">INT(Y659)</f>
        <v>87</v>
      </c>
      <c r="AF659" s="2" t="n">
        <f aca="false">INT(Z659)</f>
        <v>80</v>
      </c>
      <c r="AG659" s="2" t="n">
        <f aca="false">INT(AA659)</f>
        <v>118</v>
      </c>
      <c r="AH659" s="2" t="n">
        <f aca="false">INT(AB659)</f>
        <v>62</v>
      </c>
      <c r="AI659" s="2" t="n">
        <f aca="false">INT(AC659)</f>
        <v>97</v>
      </c>
      <c r="AJ659" s="2" t="n">
        <f aca="false">INT(AD659)</f>
        <v>54</v>
      </c>
      <c r="AK659" s="2" t="n">
        <f aca="false">Settings!$B$3-SUM(AE659:AJ659)</f>
        <v>2</v>
      </c>
      <c r="AL659" s="2" t="n">
        <f aca="false">ROUND(Y659-AE659,9)</f>
        <v>0.148594378</v>
      </c>
      <c r="AM659" s="2" t="n">
        <f aca="false">ROUND(Z659-AF659,9)</f>
        <v>0.321285141</v>
      </c>
      <c r="AN659" s="2" t="n">
        <f aca="false">ROUND(AA659-AG659,9)</f>
        <v>0.473895582</v>
      </c>
      <c r="AO659" s="2" t="n">
        <f aca="false">ROUND(AB659-AH659,9)</f>
        <v>0.248995984</v>
      </c>
      <c r="AP659" s="2" t="n">
        <f aca="false">ROUND(AC659-AI659,9)</f>
        <v>0.18875502</v>
      </c>
      <c r="AQ659" s="2" t="n">
        <f aca="false">ROUND(AD659-AJ659,9)</f>
        <v>0.618473896</v>
      </c>
    </row>
    <row r="660" customFormat="false" ht="15" hidden="false" customHeight="false" outlineLevel="0" collapsed="false">
      <c r="A660" s="2" t="n">
        <v>659</v>
      </c>
      <c r="B660" s="6" t="n">
        <v>15</v>
      </c>
      <c r="C660" s="6" t="n">
        <v>51</v>
      </c>
      <c r="D660" s="8" t="str">
        <f aca="false">INDEX(Bases!$B$2:$B$53,B660)</f>
        <v>Shroomish</v>
      </c>
      <c r="E660" s="8" t="str">
        <f aca="false">INDEX(Bases!$B$2:$B$53,C660)</f>
        <v>Cleffa</v>
      </c>
      <c r="F660" s="2" t="str">
        <f aca="false">LEFT(D660,ROUNDUP(LEN(D660)/2,0))&amp;LOWER(MID(E660,ROUNDUP(LEN(E660)/2,0)+1,20))</f>
        <v>Shrooffa</v>
      </c>
      <c r="G660" s="8" t="str">
        <f aca="false">INDEX(Bases!$C$2:$C$53,B660)</f>
        <v>Grass</v>
      </c>
      <c r="H660" s="8" t="str">
        <f aca="false">IF(INDEX(Bases!$C$2:$C$53,C660)=G660,"",INDEX(Bases!$C$2:$C$53,C660))</f>
        <v>Fairy</v>
      </c>
      <c r="I660" s="8" t="str">
        <f aca="false">IF(INDEX(Bases!$E$2:$E$53,B660)="","",INDEX(Bases!$E$2:$E$53,B660))</f>
        <v/>
      </c>
      <c r="J660" s="8" t="str">
        <f aca="false">IF(INDEX(Bases!$E$2:$E$53,C660)="","",INDEX(Bases!$E$2:$E$53,C660))</f>
        <v/>
      </c>
      <c r="K660" s="5"/>
      <c r="L660" s="2" t="n">
        <f aca="false">AE660+IF(SUMPRODUCT(--($AL660:$AQ660&gt;AL660))&lt;$AK660,1,0)</f>
        <v>106</v>
      </c>
      <c r="M660" s="2" t="n">
        <f aca="false">AF660+IF(SUMPRODUCT(--($AL660:$AQ660&gt;AM660))+SUMPRODUCT(--($AL660:AL660=AM660))&lt;$AK660,1,0)</f>
        <v>61</v>
      </c>
      <c r="N660" s="2" t="n">
        <f aca="false">AG660+IF(SUMPRODUCT(--($AL660:$AQ660&gt;AN660))+SUMPRODUCT(--($AL660:AM660=AN660))&lt;$AK660,1,0)</f>
        <v>85</v>
      </c>
      <c r="O660" s="2" t="n">
        <f aca="false">AH660+IF(SUMPRODUCT(--($AL660:$AQ660&gt;AO660))+SUMPRODUCT(--($AL660:AN660=AO660))&lt;$AK660,1,0)</f>
        <v>87</v>
      </c>
      <c r="P660" s="2" t="n">
        <f aca="false">AI660+IF(SUMPRODUCT(--($AL660:$AQ660&gt;AP660))+SUMPRODUCT(--($AL660:AO660=AP660))&lt;$AK660,1,0)</f>
        <v>112</v>
      </c>
      <c r="Q660" s="2" t="n">
        <f aca="false">AJ660+IF(SUMPRODUCT(--($AL660:$AQ660&gt;AQ660))+SUMPRODUCT(--($AL660:AP660=AQ660))&lt;$AK660,1,0)</f>
        <v>49</v>
      </c>
      <c r="R660" s="2" t="n">
        <f aca="false">SUM(L660:Q660)</f>
        <v>500</v>
      </c>
      <c r="S660" s="2" t="n">
        <f aca="false">Settings!$B$4*MAX(INDEX(Bases!$M$2:$M$53,B660),INDEX(Bases!$M$2:$M$53,C660))+Settings!$B$5*MIN(INDEX(Bases!$M$2:$M$53,B660),INDEX(Bases!$M$2:$M$53,C660))</f>
        <v>88.6666666666667</v>
      </c>
      <c r="T660" s="2" t="n">
        <f aca="false">Settings!$B$4*MAX(INDEX(Bases!$N$2:$N$53,B660),INDEX(Bases!$N$2:$N$53,C660))+Settings!$B$5*MIN(INDEX(Bases!$N$2:$N$53,B660),INDEX(Bases!$N$2:$N$53,C660))</f>
        <v>51.3333333333333</v>
      </c>
      <c r="U660" s="2" t="n">
        <f aca="false">Settings!$B$4*MAX(INDEX(Bases!$O$2:$O$53,B660),INDEX(Bases!$O$2:$O$53,C660))+Settings!$B$5*MIN(INDEX(Bases!$O$2:$O$53,B660),INDEX(Bases!$O$2:$O$53,C660))</f>
        <v>71</v>
      </c>
      <c r="V660" s="2" t="n">
        <f aca="false">Settings!$B$4*MAX(INDEX(Bases!$P$2:$P$53,B660),INDEX(Bases!$P$2:$P$53,C660))+Settings!$B$5*MIN(INDEX(Bases!$P$2:$P$53,B660),INDEX(Bases!$P$2:$P$53,C660))</f>
        <v>73.3333333333333</v>
      </c>
      <c r="W660" s="2" t="n">
        <f aca="false">Settings!$B$4*MAX(INDEX(Bases!$Q$2:$Q$53,B660),INDEX(Bases!$Q$2:$Q$53,C660))+Settings!$B$5*MIN(INDEX(Bases!$Q$2:$Q$53,B660),INDEX(Bases!$Q$2:$Q$53,C660))</f>
        <v>94.3333333333333</v>
      </c>
      <c r="X660" s="2" t="n">
        <f aca="false">Settings!$B$4*MAX(INDEX(Bases!$R$2:$R$53,B660),INDEX(Bases!$R$2:$R$53,C660))+Settings!$B$5*MIN(INDEX(Bases!$R$2:$R$53,B660),INDEX(Bases!$R$2:$R$53,C660))</f>
        <v>41</v>
      </c>
      <c r="Y660" s="2" t="n">
        <f aca="false">S660*Settings!$B$3/SUM(S660:X660)</f>
        <v>105.639396346307</v>
      </c>
      <c r="Z660" s="2" t="n">
        <f aca="false">T660*Settings!$B$3/SUM(S660:X660)</f>
        <v>61.1596505162828</v>
      </c>
      <c r="AA660" s="2" t="n">
        <f aca="false">U660*Settings!$B$3/SUM(S660:X660)</f>
        <v>84.5909451945989</v>
      </c>
      <c r="AB660" s="2" t="n">
        <f aca="false">V660*Settings!$B$3/SUM(S660:X660)</f>
        <v>87.3709293089754</v>
      </c>
      <c r="AC660" s="2" t="n">
        <f aca="false">W660*Settings!$B$3/SUM(S660:X660)</f>
        <v>112.390786338364</v>
      </c>
      <c r="AD660" s="2" t="n">
        <f aca="false">X660*Settings!$B$3/SUM(S660:X660)</f>
        <v>48.8482922954726</v>
      </c>
      <c r="AE660" s="2" t="n">
        <f aca="false">INT(Y660)</f>
        <v>105</v>
      </c>
      <c r="AF660" s="2" t="n">
        <f aca="false">INT(Z660)</f>
        <v>61</v>
      </c>
      <c r="AG660" s="2" t="n">
        <f aca="false">INT(AA660)</f>
        <v>84</v>
      </c>
      <c r="AH660" s="2" t="n">
        <f aca="false">INT(AB660)</f>
        <v>87</v>
      </c>
      <c r="AI660" s="2" t="n">
        <f aca="false">INT(AC660)</f>
        <v>112</v>
      </c>
      <c r="AJ660" s="2" t="n">
        <f aca="false">INT(AD660)</f>
        <v>48</v>
      </c>
      <c r="AK660" s="2" t="n">
        <f aca="false">Settings!$B$3-SUM(AE660:AJ660)</f>
        <v>3</v>
      </c>
      <c r="AL660" s="2" t="n">
        <f aca="false">ROUND(Y660-AE660,9)</f>
        <v>0.639396346</v>
      </c>
      <c r="AM660" s="2" t="n">
        <f aca="false">ROUND(Z660-AF660,9)</f>
        <v>0.159650516</v>
      </c>
      <c r="AN660" s="2" t="n">
        <f aca="false">ROUND(AA660-AG660,9)</f>
        <v>0.590945195</v>
      </c>
      <c r="AO660" s="2" t="n">
        <f aca="false">ROUND(AB660-AH660,9)</f>
        <v>0.370929309</v>
      </c>
      <c r="AP660" s="2" t="n">
        <f aca="false">ROUND(AC660-AI660,9)</f>
        <v>0.390786338</v>
      </c>
      <c r="AQ660" s="2" t="n">
        <f aca="false">ROUND(AD660-AJ660,9)</f>
        <v>0.848292295</v>
      </c>
    </row>
    <row r="661" customFormat="false" ht="15" hidden="false" customHeight="false" outlineLevel="0" collapsed="false">
      <c r="A661" s="2" t="n">
        <v>660</v>
      </c>
      <c r="B661" s="6" t="n">
        <v>15</v>
      </c>
      <c r="C661" s="6" t="n">
        <v>52</v>
      </c>
      <c r="D661" s="8" t="str">
        <f aca="false">INDEX(Bases!$B$2:$B$53,B661)</f>
        <v>Shroomish</v>
      </c>
      <c r="E661" s="8" t="str">
        <f aca="false">INDEX(Bases!$B$2:$B$53,C661)</f>
        <v>Togepi</v>
      </c>
      <c r="F661" s="2" t="str">
        <f aca="false">LEFT(D661,ROUNDUP(LEN(D661)/2,0))&amp;LOWER(MID(E661,ROUNDUP(LEN(E661)/2,0)+1,20))</f>
        <v>Shrooepi</v>
      </c>
      <c r="G661" s="8" t="str">
        <f aca="false">INDEX(Bases!$C$2:$C$53,B661)</f>
        <v>Grass</v>
      </c>
      <c r="H661" s="8" t="str">
        <f aca="false">IF(INDEX(Bases!$C$2:$C$53,C661)=G661,"",INDEX(Bases!$C$2:$C$53,C661))</f>
        <v>Fairy</v>
      </c>
      <c r="I661" s="8" t="str">
        <f aca="false">IF(INDEX(Bases!$E$2:$E$53,B661)="","",INDEX(Bases!$E$2:$E$53,B661))</f>
        <v/>
      </c>
      <c r="J661" s="8" t="str">
        <f aca="false">IF(INDEX(Bases!$E$2:$E$53,C661)="","",INDEX(Bases!$E$2:$E$53,C661))</f>
        <v/>
      </c>
      <c r="K661" s="5"/>
      <c r="L661" s="2" t="n">
        <f aca="false">AE661+IF(SUMPRODUCT(--($AL661:$AQ661&gt;AL661))&lt;$AK661,1,0)</f>
        <v>88</v>
      </c>
      <c r="M661" s="2" t="n">
        <f aca="false">AF661+IF(SUMPRODUCT(--($AL661:$AQ661&gt;AM661))+SUMPRODUCT(--($AL661:AL661=AM661))&lt;$AK661,1,0)</f>
        <v>56</v>
      </c>
      <c r="N661" s="2" t="n">
        <f aca="false">AG661+IF(SUMPRODUCT(--($AL661:$AQ661&gt;AN661))+SUMPRODUCT(--($AL661:AM661=AN661))&lt;$AK661,1,0)</f>
        <v>116</v>
      </c>
      <c r="O661" s="2" t="n">
        <f aca="false">AH661+IF(SUMPRODUCT(--($AL661:$AQ661&gt;AO661))+SUMPRODUCT(--($AL661:AN661=AO661))&lt;$AK661,1,0)</f>
        <v>73</v>
      </c>
      <c r="P661" s="2" t="n">
        <f aca="false">AI661+IF(SUMPRODUCT(--($AL661:$AQ661&gt;AP661))+SUMPRODUCT(--($AL661:AO661=AP661))&lt;$AK661,1,0)</f>
        <v>116</v>
      </c>
      <c r="Q661" s="2" t="n">
        <f aca="false">AJ661+IF(SUMPRODUCT(--($AL661:$AQ661&gt;AQ661))+SUMPRODUCT(--($AL661:AP661=AQ661))&lt;$AK661,1,0)</f>
        <v>51</v>
      </c>
      <c r="R661" s="2" t="n">
        <f aca="false">SUM(L661:Q661)</f>
        <v>500</v>
      </c>
      <c r="S661" s="2" t="n">
        <f aca="false">Settings!$B$4*MAX(INDEX(Bases!$M$2:$M$53,B661),INDEX(Bases!$M$2:$M$53,C661))+Settings!$B$5*MIN(INDEX(Bases!$M$2:$M$53,B661),INDEX(Bases!$M$2:$M$53,C661))</f>
        <v>73.6666666666667</v>
      </c>
      <c r="T661" s="2" t="n">
        <f aca="false">Settings!$B$4*MAX(INDEX(Bases!$N$2:$N$53,B661),INDEX(Bases!$N$2:$N$53,C661))+Settings!$B$5*MIN(INDEX(Bases!$N$2:$N$53,B661),INDEX(Bases!$N$2:$N$53,C661))</f>
        <v>47</v>
      </c>
      <c r="U661" s="2" t="n">
        <f aca="false">Settings!$B$4*MAX(INDEX(Bases!$O$2:$O$53,B661),INDEX(Bases!$O$2:$O$53,C661))+Settings!$B$5*MIN(INDEX(Bases!$O$2:$O$53,B661),INDEX(Bases!$O$2:$O$53,C661))</f>
        <v>97.6666666666667</v>
      </c>
      <c r="V661" s="2" t="n">
        <f aca="false">Settings!$B$4*MAX(INDEX(Bases!$P$2:$P$53,B661),INDEX(Bases!$P$2:$P$53,C661))+Settings!$B$5*MIN(INDEX(Bases!$P$2:$P$53,B661),INDEX(Bases!$P$2:$P$53,C661))</f>
        <v>61.3333333333333</v>
      </c>
      <c r="W661" s="2" t="n">
        <f aca="false">Settings!$B$4*MAX(INDEX(Bases!$Q$2:$Q$53,B661),INDEX(Bases!$Q$2:$Q$53,C661))+Settings!$B$5*MIN(INDEX(Bases!$Q$2:$Q$53,B661),INDEX(Bases!$Q$2:$Q$53,C661))</f>
        <v>97.6666666666667</v>
      </c>
      <c r="X661" s="2" t="n">
        <f aca="false">Settings!$B$4*MAX(INDEX(Bases!$R$2:$R$53,B661),INDEX(Bases!$R$2:$R$53,C661))+Settings!$B$5*MIN(INDEX(Bases!$R$2:$R$53,B661),INDEX(Bases!$R$2:$R$53,C661))</f>
        <v>43</v>
      </c>
      <c r="Y661" s="2" t="n">
        <f aca="false">S661*Settings!$B$3/SUM(S661:X661)</f>
        <v>87.6288659793815</v>
      </c>
      <c r="Z661" s="2" t="n">
        <f aca="false">T661*Settings!$B$3/SUM(S661:X661)</f>
        <v>55.9080095162569</v>
      </c>
      <c r="AA661" s="2" t="n">
        <f aca="false">U661*Settings!$B$3/SUM(S661:X661)</f>
        <v>116.177636796194</v>
      </c>
      <c r="AB661" s="2" t="n">
        <f aca="false">V661*Settings!$B$3/SUM(S661:X661)</f>
        <v>72.9579698651864</v>
      </c>
      <c r="AC661" s="2" t="n">
        <f aca="false">W661*Settings!$B$3/SUM(S661:X661)</f>
        <v>116.177636796194</v>
      </c>
      <c r="AD661" s="2" t="n">
        <f aca="false">X661*Settings!$B$3/SUM(S661:X661)</f>
        <v>51.1498810467883</v>
      </c>
      <c r="AE661" s="2" t="n">
        <f aca="false">INT(Y661)</f>
        <v>87</v>
      </c>
      <c r="AF661" s="2" t="n">
        <f aca="false">INT(Z661)</f>
        <v>55</v>
      </c>
      <c r="AG661" s="2" t="n">
        <f aca="false">INT(AA661)</f>
        <v>116</v>
      </c>
      <c r="AH661" s="2" t="n">
        <f aca="false">INT(AB661)</f>
        <v>72</v>
      </c>
      <c r="AI661" s="2" t="n">
        <f aca="false">INT(AC661)</f>
        <v>116</v>
      </c>
      <c r="AJ661" s="2" t="n">
        <f aca="false">INT(AD661)</f>
        <v>51</v>
      </c>
      <c r="AK661" s="2" t="n">
        <f aca="false">Settings!$B$3-SUM(AE661:AJ661)</f>
        <v>3</v>
      </c>
      <c r="AL661" s="2" t="n">
        <f aca="false">ROUND(Y661-AE661,9)</f>
        <v>0.628865979</v>
      </c>
      <c r="AM661" s="2" t="n">
        <f aca="false">ROUND(Z661-AF661,9)</f>
        <v>0.908009516</v>
      </c>
      <c r="AN661" s="2" t="n">
        <f aca="false">ROUND(AA661-AG661,9)</f>
        <v>0.177636796</v>
      </c>
      <c r="AO661" s="2" t="n">
        <f aca="false">ROUND(AB661-AH661,9)</f>
        <v>0.957969865</v>
      </c>
      <c r="AP661" s="2" t="n">
        <f aca="false">ROUND(AC661-AI661,9)</f>
        <v>0.177636796</v>
      </c>
      <c r="AQ661" s="2" t="n">
        <f aca="false">ROUND(AD661-AJ661,9)</f>
        <v>0.149881047</v>
      </c>
    </row>
    <row r="662" customFormat="false" ht="15" hidden="false" customHeight="false" outlineLevel="0" collapsed="false">
      <c r="A662" s="2" t="n">
        <v>661</v>
      </c>
      <c r="B662" s="6" t="n">
        <v>16</v>
      </c>
      <c r="C662" s="6" t="n">
        <v>17</v>
      </c>
      <c r="D662" s="8" t="str">
        <f aca="false">INDEX(Bases!$B$2:$B$53,B662)</f>
        <v>Swinub</v>
      </c>
      <c r="E662" s="8" t="str">
        <f aca="false">INDEX(Bases!$B$2:$B$53,C662)</f>
        <v>Snorunt</v>
      </c>
      <c r="F662" s="2" t="str">
        <f aca="false">LEFT(D662,ROUNDUP(LEN(D662)/2,0))&amp;LOWER(MID(E662,ROUNDUP(LEN(E662)/2,0)+1,20))</f>
        <v>Swiunt</v>
      </c>
      <c r="G662" s="8" t="str">
        <f aca="false">INDEX(Bases!$C$2:$C$53,B662)</f>
        <v>Ice</v>
      </c>
      <c r="H662" s="8" t="str">
        <f aca="false">IF(INDEX(Bases!$C$2:$C$53,C662)=G662,"",INDEX(Bases!$C$2:$C$53,C662))</f>
        <v/>
      </c>
      <c r="I662" s="8" t="str">
        <f aca="false">IF(INDEX(Bases!$E$2:$E$53,B662)="","",INDEX(Bases!$E$2:$E$53,B662))</f>
        <v/>
      </c>
      <c r="J662" s="8" t="str">
        <f aca="false">IF(INDEX(Bases!$E$2:$E$53,C662)="","",INDEX(Bases!$E$2:$E$53,C662))</f>
        <v/>
      </c>
      <c r="K662" s="5"/>
      <c r="L662" s="2" t="n">
        <f aca="false">AE662+IF(SUMPRODUCT(--($AL662:$AQ662&gt;AL662))&lt;$AK662,1,0)</f>
        <v>92</v>
      </c>
      <c r="M662" s="2" t="n">
        <f aca="false">AF662+IF(SUMPRODUCT(--($AL662:$AQ662&gt;AM662))+SUMPRODUCT(--($AL662:AL662=AM662))&lt;$AK662,1,0)</f>
        <v>91</v>
      </c>
      <c r="N662" s="2" t="n">
        <f aca="false">AG662+IF(SUMPRODUCT(--($AL662:$AQ662&gt;AN662))+SUMPRODUCT(--($AL662:AM662=AN662))&lt;$AK662,1,0)</f>
        <v>80</v>
      </c>
      <c r="O662" s="2" t="n">
        <f aca="false">AH662+IF(SUMPRODUCT(--($AL662:$AQ662&gt;AO662))+SUMPRODUCT(--($AL662:AN662=AO662))&lt;$AK662,1,0)</f>
        <v>73</v>
      </c>
      <c r="P662" s="2" t="n">
        <f aca="false">AI662+IF(SUMPRODUCT(--($AL662:$AQ662&gt;AP662))+SUMPRODUCT(--($AL662:AO662=AP662))&lt;$AK662,1,0)</f>
        <v>73</v>
      </c>
      <c r="Q662" s="2" t="n">
        <f aca="false">AJ662+IF(SUMPRODUCT(--($AL662:$AQ662&gt;AQ662))+SUMPRODUCT(--($AL662:AP662=AQ662))&lt;$AK662,1,0)</f>
        <v>91</v>
      </c>
      <c r="R662" s="2" t="n">
        <f aca="false">SUM(L662:Q662)</f>
        <v>500</v>
      </c>
      <c r="S662" s="2" t="n">
        <f aca="false">Settings!$B$4*MAX(INDEX(Bases!$M$2:$M$53,B662),INDEX(Bases!$M$2:$M$53,C662))+Settings!$B$5*MIN(INDEX(Bases!$M$2:$M$53,B662),INDEX(Bases!$M$2:$M$53,C662))</f>
        <v>75.6666666666667</v>
      </c>
      <c r="T662" s="2" t="n">
        <f aca="false">Settings!$B$4*MAX(INDEX(Bases!$N$2:$N$53,B662),INDEX(Bases!$N$2:$N$53,C662))+Settings!$B$5*MIN(INDEX(Bases!$N$2:$N$53,B662),INDEX(Bases!$N$2:$N$53,C662))</f>
        <v>75.6666666666667</v>
      </c>
      <c r="U662" s="2" t="n">
        <f aca="false">Settings!$B$4*MAX(INDEX(Bases!$O$2:$O$53,B662),INDEX(Bases!$O$2:$O$53,C662))+Settings!$B$5*MIN(INDEX(Bases!$O$2:$O$53,B662),INDEX(Bases!$O$2:$O$53,C662))</f>
        <v>66</v>
      </c>
      <c r="V662" s="2" t="n">
        <f aca="false">Settings!$B$4*MAX(INDEX(Bases!$P$2:$P$53,B662),INDEX(Bases!$P$2:$P$53,C662))+Settings!$B$5*MIN(INDEX(Bases!$P$2:$P$53,B662),INDEX(Bases!$P$2:$P$53,C662))</f>
        <v>60.6666666666667</v>
      </c>
      <c r="W662" s="2" t="n">
        <f aca="false">Settings!$B$4*MAX(INDEX(Bases!$Q$2:$Q$53,B662),INDEX(Bases!$Q$2:$Q$53,C662))+Settings!$B$5*MIN(INDEX(Bases!$Q$2:$Q$53,B662),INDEX(Bases!$Q$2:$Q$53,C662))</f>
        <v>60</v>
      </c>
      <c r="X662" s="2" t="n">
        <f aca="false">Settings!$B$4*MAX(INDEX(Bases!$R$2:$R$53,B662),INDEX(Bases!$R$2:$R$53,C662))+Settings!$B$5*MIN(INDEX(Bases!$R$2:$R$53,B662),INDEX(Bases!$R$2:$R$53,C662))</f>
        <v>75.3333333333333</v>
      </c>
      <c r="Y662" s="2" t="n">
        <f aca="false">S662*Settings!$B$3/SUM(S662:X662)</f>
        <v>91.5322580645161</v>
      </c>
      <c r="Z662" s="2" t="n">
        <f aca="false">T662*Settings!$B$3/SUM(S662:X662)</f>
        <v>91.5322580645161</v>
      </c>
      <c r="AA662" s="2" t="n">
        <f aca="false">U662*Settings!$B$3/SUM(S662:X662)</f>
        <v>79.8387096774194</v>
      </c>
      <c r="AB662" s="2" t="n">
        <f aca="false">V662*Settings!$B$3/SUM(S662:X662)</f>
        <v>73.3870967741936</v>
      </c>
      <c r="AC662" s="2" t="n">
        <f aca="false">W662*Settings!$B$3/SUM(S662:X662)</f>
        <v>72.5806451612903</v>
      </c>
      <c r="AD662" s="2" t="n">
        <f aca="false">X662*Settings!$B$3/SUM(S662:X662)</f>
        <v>91.1290322580645</v>
      </c>
      <c r="AE662" s="2" t="n">
        <f aca="false">INT(Y662)</f>
        <v>91</v>
      </c>
      <c r="AF662" s="2" t="n">
        <f aca="false">INT(Z662)</f>
        <v>91</v>
      </c>
      <c r="AG662" s="2" t="n">
        <f aca="false">INT(AA662)</f>
        <v>79</v>
      </c>
      <c r="AH662" s="2" t="n">
        <f aca="false">INT(AB662)</f>
        <v>73</v>
      </c>
      <c r="AI662" s="2" t="n">
        <f aca="false">INT(AC662)</f>
        <v>72</v>
      </c>
      <c r="AJ662" s="2" t="n">
        <f aca="false">INT(AD662)</f>
        <v>91</v>
      </c>
      <c r="AK662" s="2" t="n">
        <f aca="false">Settings!$B$3-SUM(AE662:AJ662)</f>
        <v>3</v>
      </c>
      <c r="AL662" s="2" t="n">
        <f aca="false">ROUND(Y662-AE662,9)</f>
        <v>0.532258065</v>
      </c>
      <c r="AM662" s="2" t="n">
        <f aca="false">ROUND(Z662-AF662,9)</f>
        <v>0.532258065</v>
      </c>
      <c r="AN662" s="2" t="n">
        <f aca="false">ROUND(AA662-AG662,9)</f>
        <v>0.838709677</v>
      </c>
      <c r="AO662" s="2" t="n">
        <f aca="false">ROUND(AB662-AH662,9)</f>
        <v>0.387096774</v>
      </c>
      <c r="AP662" s="2" t="n">
        <f aca="false">ROUND(AC662-AI662,9)</f>
        <v>0.580645161</v>
      </c>
      <c r="AQ662" s="2" t="n">
        <f aca="false">ROUND(AD662-AJ662,9)</f>
        <v>0.129032258</v>
      </c>
    </row>
    <row r="663" customFormat="false" ht="15" hidden="false" customHeight="false" outlineLevel="0" collapsed="false">
      <c r="A663" s="2" t="n">
        <v>662</v>
      </c>
      <c r="B663" s="6" t="n">
        <v>16</v>
      </c>
      <c r="C663" s="6" t="n">
        <v>18</v>
      </c>
      <c r="D663" s="8" t="str">
        <f aca="false">INDEX(Bases!$B$2:$B$53,B663)</f>
        <v>Swinub</v>
      </c>
      <c r="E663" s="8" t="str">
        <f aca="false">INDEX(Bases!$B$2:$B$53,C663)</f>
        <v>Spheal</v>
      </c>
      <c r="F663" s="2" t="str">
        <f aca="false">LEFT(D663,ROUNDUP(LEN(D663)/2,0))&amp;LOWER(MID(E663,ROUNDUP(LEN(E663)/2,0)+1,20))</f>
        <v>Swieal</v>
      </c>
      <c r="G663" s="8" t="str">
        <f aca="false">INDEX(Bases!$C$2:$C$53,B663)</f>
        <v>Ice</v>
      </c>
      <c r="H663" s="8" t="str">
        <f aca="false">IF(INDEX(Bases!$C$2:$C$53,C663)=G663,"",INDEX(Bases!$C$2:$C$53,C663))</f>
        <v/>
      </c>
      <c r="I663" s="8" t="str">
        <f aca="false">IF(INDEX(Bases!$E$2:$E$53,B663)="","",INDEX(Bases!$E$2:$E$53,B663))</f>
        <v/>
      </c>
      <c r="J663" s="8" t="str">
        <f aca="false">IF(INDEX(Bases!$E$2:$E$53,C663)="","",INDEX(Bases!$E$2:$E$53,C663))</f>
        <v/>
      </c>
      <c r="K663" s="5"/>
      <c r="L663" s="2" t="n">
        <f aca="false">AE663+IF(SUMPRODUCT(--($AL663:$AQ663&gt;AL663))&lt;$AK663,1,0)</f>
        <v>108</v>
      </c>
      <c r="M663" s="2" t="n">
        <f aca="false">AF663+IF(SUMPRODUCT(--($AL663:$AQ663&gt;AM663))+SUMPRODUCT(--($AL663:AL663=AM663))&lt;$AK663,1,0)</f>
        <v>85</v>
      </c>
      <c r="N663" s="2" t="n">
        <f aca="false">AG663+IF(SUMPRODUCT(--($AL663:$AQ663&gt;AN663))+SUMPRODUCT(--($AL663:AM663=AN663))&lt;$AK663,1,0)</f>
        <v>79</v>
      </c>
      <c r="O663" s="2" t="n">
        <f aca="false">AH663+IF(SUMPRODUCT(--($AL663:$AQ663&gt;AO663))+SUMPRODUCT(--($AL663:AN663=AO663))&lt;$AK663,1,0)</f>
        <v>79</v>
      </c>
      <c r="P663" s="2" t="n">
        <f aca="false">AI663+IF(SUMPRODUCT(--($AL663:$AQ663&gt;AP663))+SUMPRODUCT(--($AL663:AO663=AP663))&lt;$AK663,1,0)</f>
        <v>73</v>
      </c>
      <c r="Q663" s="2" t="n">
        <f aca="false">AJ663+IF(SUMPRODUCT(--($AL663:$AQ663&gt;AQ663))+SUMPRODUCT(--($AL663:AP663=AQ663))&lt;$AK663,1,0)</f>
        <v>76</v>
      </c>
      <c r="R663" s="2" t="n">
        <f aca="false">SUM(L663:Q663)</f>
        <v>500</v>
      </c>
      <c r="S663" s="2" t="n">
        <f aca="false">Settings!$B$4*MAX(INDEX(Bases!$M$2:$M$53,B663),INDEX(Bases!$M$2:$M$53,C663))+Settings!$B$5*MIN(INDEX(Bases!$M$2:$M$53,B663),INDEX(Bases!$M$2:$M$53,C663))</f>
        <v>91.3333333333333</v>
      </c>
      <c r="T663" s="2" t="n">
        <f aca="false">Settings!$B$4*MAX(INDEX(Bases!$N$2:$N$53,B663),INDEX(Bases!$N$2:$N$53,C663))+Settings!$B$5*MIN(INDEX(Bases!$N$2:$N$53,B663),INDEX(Bases!$N$2:$N$53,C663))</f>
        <v>71.6666666666667</v>
      </c>
      <c r="U663" s="2" t="n">
        <f aca="false">Settings!$B$4*MAX(INDEX(Bases!$O$2:$O$53,B663),INDEX(Bases!$O$2:$O$53,C663))+Settings!$B$5*MIN(INDEX(Bases!$O$2:$O$53,B663),INDEX(Bases!$O$2:$O$53,C663))</f>
        <v>67.3333333333333</v>
      </c>
      <c r="V663" s="2" t="n">
        <f aca="false">Settings!$B$4*MAX(INDEX(Bases!$P$2:$P$53,B663),INDEX(Bases!$P$2:$P$53,C663))+Settings!$B$5*MIN(INDEX(Bases!$P$2:$P$53,B663),INDEX(Bases!$P$2:$P$53,C663))</f>
        <v>66.6666666666667</v>
      </c>
      <c r="W663" s="2" t="n">
        <f aca="false">Settings!$B$4*MAX(INDEX(Bases!$Q$2:$Q$53,B663),INDEX(Bases!$Q$2:$Q$53,C663))+Settings!$B$5*MIN(INDEX(Bases!$Q$2:$Q$53,B663),INDEX(Bases!$Q$2:$Q$53,C663))</f>
        <v>62</v>
      </c>
      <c r="X663" s="2" t="n">
        <f aca="false">Settings!$B$4*MAX(INDEX(Bases!$R$2:$R$53,B663),INDEX(Bases!$R$2:$R$53,C663))+Settings!$B$5*MIN(INDEX(Bases!$R$2:$R$53,B663),INDEX(Bases!$R$2:$R$53,C663))</f>
        <v>64.6666666666667</v>
      </c>
      <c r="Y663" s="2" t="n">
        <f aca="false">S663*Settings!$B$3/SUM(S663:X663)</f>
        <v>107.789142407553</v>
      </c>
      <c r="Z663" s="2" t="n">
        <f aca="false">T663*Settings!$B$3/SUM(S663:X663)</f>
        <v>84.5790715971676</v>
      </c>
      <c r="AA663" s="2" t="n">
        <f aca="false">U663*Settings!$B$3/SUM(S663:X663)</f>
        <v>79.4649881982691</v>
      </c>
      <c r="AB663" s="2" t="n">
        <f aca="false">V663*Settings!$B$3/SUM(S663:X663)</f>
        <v>78.6782061369001</v>
      </c>
      <c r="AC663" s="2" t="n">
        <f aca="false">W663*Settings!$B$3/SUM(S663:X663)</f>
        <v>73.1707317073171</v>
      </c>
      <c r="AD663" s="2" t="n">
        <f aca="false">X663*Settings!$B$3/SUM(S663:X663)</f>
        <v>76.3178599527931</v>
      </c>
      <c r="AE663" s="2" t="n">
        <f aca="false">INT(Y663)</f>
        <v>107</v>
      </c>
      <c r="AF663" s="2" t="n">
        <f aca="false">INT(Z663)</f>
        <v>84</v>
      </c>
      <c r="AG663" s="2" t="n">
        <f aca="false">INT(AA663)</f>
        <v>79</v>
      </c>
      <c r="AH663" s="2" t="n">
        <f aca="false">INT(AB663)</f>
        <v>78</v>
      </c>
      <c r="AI663" s="2" t="n">
        <f aca="false">INT(AC663)</f>
        <v>73</v>
      </c>
      <c r="AJ663" s="2" t="n">
        <f aca="false">INT(AD663)</f>
        <v>76</v>
      </c>
      <c r="AK663" s="2" t="n">
        <f aca="false">Settings!$B$3-SUM(AE663:AJ663)</f>
        <v>3</v>
      </c>
      <c r="AL663" s="2" t="n">
        <f aca="false">ROUND(Y663-AE663,9)</f>
        <v>0.789142408</v>
      </c>
      <c r="AM663" s="2" t="n">
        <f aca="false">ROUND(Z663-AF663,9)</f>
        <v>0.579071597</v>
      </c>
      <c r="AN663" s="2" t="n">
        <f aca="false">ROUND(AA663-AG663,9)</f>
        <v>0.464988198</v>
      </c>
      <c r="AO663" s="2" t="n">
        <f aca="false">ROUND(AB663-AH663,9)</f>
        <v>0.678206137</v>
      </c>
      <c r="AP663" s="2" t="n">
        <f aca="false">ROUND(AC663-AI663,9)</f>
        <v>0.170731707</v>
      </c>
      <c r="AQ663" s="2" t="n">
        <f aca="false">ROUND(AD663-AJ663,9)</f>
        <v>0.317859953</v>
      </c>
    </row>
    <row r="664" customFormat="false" ht="15" hidden="false" customHeight="false" outlineLevel="0" collapsed="false">
      <c r="A664" s="2" t="n">
        <v>663</v>
      </c>
      <c r="B664" s="6" t="n">
        <v>16</v>
      </c>
      <c r="C664" s="6" t="n">
        <v>19</v>
      </c>
      <c r="D664" s="8" t="str">
        <f aca="false">INDEX(Bases!$B$2:$B$53,B664)</f>
        <v>Swinub</v>
      </c>
      <c r="E664" s="8" t="str">
        <f aca="false">INDEX(Bases!$B$2:$B$53,C664)</f>
        <v>Mankey</v>
      </c>
      <c r="F664" s="2" t="str">
        <f aca="false">LEFT(D664,ROUNDUP(LEN(D664)/2,0))&amp;LOWER(MID(E664,ROUNDUP(LEN(E664)/2,0)+1,20))</f>
        <v>Swikey</v>
      </c>
      <c r="G664" s="8" t="str">
        <f aca="false">INDEX(Bases!$C$2:$C$53,B664)</f>
        <v>Ice</v>
      </c>
      <c r="H664" s="8" t="str">
        <f aca="false">IF(INDEX(Bases!$C$2:$C$53,C664)=G664,"",INDEX(Bases!$C$2:$C$53,C664))</f>
        <v>Fighting</v>
      </c>
      <c r="I664" s="8" t="str">
        <f aca="false">IF(INDEX(Bases!$E$2:$E$53,B664)="","",INDEX(Bases!$E$2:$E$53,B664))</f>
        <v/>
      </c>
      <c r="J664" s="8" t="str">
        <f aca="false">IF(INDEX(Bases!$E$2:$E$53,C664)="","",INDEX(Bases!$E$2:$E$53,C664))</f>
        <v/>
      </c>
      <c r="K664" s="5"/>
      <c r="L664" s="2" t="n">
        <f aca="false">AE664+IF(SUMPRODUCT(--($AL664:$AQ664&gt;AL664))&lt;$AK664,1,0)</f>
        <v>85</v>
      </c>
      <c r="M664" s="2" t="n">
        <f aca="false">AF664+IF(SUMPRODUCT(--($AL664:$AQ664&gt;AM664))+SUMPRODUCT(--($AL664:AL664=AM664))&lt;$AK664,1,0)</f>
        <v>116</v>
      </c>
      <c r="N664" s="2" t="n">
        <f aca="false">AG664+IF(SUMPRODUCT(--($AL664:$AQ664&gt;AN664))+SUMPRODUCT(--($AL664:AM664=AN664))&lt;$AK664,1,0)</f>
        <v>70</v>
      </c>
      <c r="O664" s="2" t="n">
        <f aca="false">AH664+IF(SUMPRODUCT(--($AL664:$AQ664&gt;AO664))+SUMPRODUCT(--($AL664:AN664=AO664))&lt;$AK664,1,0)</f>
        <v>57</v>
      </c>
      <c r="P664" s="2" t="n">
        <f aca="false">AI664+IF(SUMPRODUCT(--($AL664:$AQ664&gt;AP664))+SUMPRODUCT(--($AL664:AO664=AP664))&lt;$AK664,1,0)</f>
        <v>66</v>
      </c>
      <c r="Q664" s="2" t="n">
        <f aca="false">AJ664+IF(SUMPRODUCT(--($AL664:$AQ664&gt;AQ664))+SUMPRODUCT(--($AL664:AP664=AQ664))&lt;$AK664,1,0)</f>
        <v>106</v>
      </c>
      <c r="R664" s="2" t="n">
        <f aca="false">SUM(L664:Q664)</f>
        <v>500</v>
      </c>
      <c r="S664" s="2" t="n">
        <f aca="false">Settings!$B$4*MAX(INDEX(Bases!$M$2:$M$53,B664),INDEX(Bases!$M$2:$M$53,C664))+Settings!$B$5*MIN(INDEX(Bases!$M$2:$M$53,B664),INDEX(Bases!$M$2:$M$53,C664))</f>
        <v>70.6666666666667</v>
      </c>
      <c r="T664" s="2" t="n">
        <f aca="false">Settings!$B$4*MAX(INDEX(Bases!$N$2:$N$53,B664),INDEX(Bases!$N$2:$N$53,C664))+Settings!$B$5*MIN(INDEX(Bases!$N$2:$N$53,B664),INDEX(Bases!$N$2:$N$53,C664))</f>
        <v>96.6666666666667</v>
      </c>
      <c r="U664" s="2" t="n">
        <f aca="false">Settings!$B$4*MAX(INDEX(Bases!$O$2:$O$53,B664),INDEX(Bases!$O$2:$O$53,C664))+Settings!$B$5*MIN(INDEX(Bases!$O$2:$O$53,B664),INDEX(Bases!$O$2:$O$53,C664))</f>
        <v>58</v>
      </c>
      <c r="V664" s="2" t="n">
        <f aca="false">Settings!$B$4*MAX(INDEX(Bases!$P$2:$P$53,B664),INDEX(Bases!$P$2:$P$53,C664))+Settings!$B$5*MIN(INDEX(Bases!$P$2:$P$53,B664),INDEX(Bases!$P$2:$P$53,C664))</f>
        <v>47.3333333333333</v>
      </c>
      <c r="W664" s="2" t="n">
        <f aca="false">Settings!$B$4*MAX(INDEX(Bases!$Q$2:$Q$53,B664),INDEX(Bases!$Q$2:$Q$53,C664))+Settings!$B$5*MIN(INDEX(Bases!$Q$2:$Q$53,B664),INDEX(Bases!$Q$2:$Q$53,C664))</f>
        <v>55.3333333333333</v>
      </c>
      <c r="X664" s="2" t="n">
        <f aca="false">Settings!$B$4*MAX(INDEX(Bases!$R$2:$R$53,B664),INDEX(Bases!$R$2:$R$53,C664))+Settings!$B$5*MIN(INDEX(Bases!$R$2:$R$53,B664),INDEX(Bases!$R$2:$R$53,C664))</f>
        <v>88</v>
      </c>
      <c r="Y664" s="2" t="n">
        <f aca="false">S664*Settings!$B$3/SUM(S664:X664)</f>
        <v>84.9358974358974</v>
      </c>
      <c r="Z664" s="2" t="n">
        <f aca="false">T664*Settings!$B$3/SUM(S664:X664)</f>
        <v>116.185897435897</v>
      </c>
      <c r="AA664" s="2" t="n">
        <f aca="false">U664*Settings!$B$3/SUM(S664:X664)</f>
        <v>69.7115384615385</v>
      </c>
      <c r="AB664" s="2" t="n">
        <f aca="false">V664*Settings!$B$3/SUM(S664:X664)</f>
        <v>56.8910256410256</v>
      </c>
      <c r="AC664" s="2" t="n">
        <f aca="false">W664*Settings!$B$3/SUM(S664:X664)</f>
        <v>66.5064102564103</v>
      </c>
      <c r="AD664" s="2" t="n">
        <f aca="false">X664*Settings!$B$3/SUM(S664:X664)</f>
        <v>105.769230769231</v>
      </c>
      <c r="AE664" s="2" t="n">
        <f aca="false">INT(Y664)</f>
        <v>84</v>
      </c>
      <c r="AF664" s="2" t="n">
        <f aca="false">INT(Z664)</f>
        <v>116</v>
      </c>
      <c r="AG664" s="2" t="n">
        <f aca="false">INT(AA664)</f>
        <v>69</v>
      </c>
      <c r="AH664" s="2" t="n">
        <f aca="false">INT(AB664)</f>
        <v>56</v>
      </c>
      <c r="AI664" s="2" t="n">
        <f aca="false">INT(AC664)</f>
        <v>66</v>
      </c>
      <c r="AJ664" s="2" t="n">
        <f aca="false">INT(AD664)</f>
        <v>105</v>
      </c>
      <c r="AK664" s="2" t="n">
        <f aca="false">Settings!$B$3-SUM(AE664:AJ664)</f>
        <v>4</v>
      </c>
      <c r="AL664" s="2" t="n">
        <f aca="false">ROUND(Y664-AE664,9)</f>
        <v>0.935897436</v>
      </c>
      <c r="AM664" s="2" t="n">
        <f aca="false">ROUND(Z664-AF664,9)</f>
        <v>0.185897436</v>
      </c>
      <c r="AN664" s="2" t="n">
        <f aca="false">ROUND(AA664-AG664,9)</f>
        <v>0.711538462</v>
      </c>
      <c r="AO664" s="2" t="n">
        <f aca="false">ROUND(AB664-AH664,9)</f>
        <v>0.891025641</v>
      </c>
      <c r="AP664" s="2" t="n">
        <f aca="false">ROUND(AC664-AI664,9)</f>
        <v>0.506410256</v>
      </c>
      <c r="AQ664" s="2" t="n">
        <f aca="false">ROUND(AD664-AJ664,9)</f>
        <v>0.769230769</v>
      </c>
    </row>
    <row r="665" customFormat="false" ht="15" hidden="false" customHeight="false" outlineLevel="0" collapsed="false">
      <c r="A665" s="2" t="n">
        <v>664</v>
      </c>
      <c r="B665" s="6" t="n">
        <v>16</v>
      </c>
      <c r="C665" s="6" t="n">
        <v>20</v>
      </c>
      <c r="D665" s="8" t="str">
        <f aca="false">INDEX(Bases!$B$2:$B$53,B665)</f>
        <v>Swinub</v>
      </c>
      <c r="E665" s="8" t="str">
        <f aca="false">INDEX(Bases!$B$2:$B$53,C665)</f>
        <v>Tyrogue</v>
      </c>
      <c r="F665" s="2" t="str">
        <f aca="false">LEFT(D665,ROUNDUP(LEN(D665)/2,0))&amp;LOWER(MID(E665,ROUNDUP(LEN(E665)/2,0)+1,20))</f>
        <v>Swigue</v>
      </c>
      <c r="G665" s="8" t="str">
        <f aca="false">INDEX(Bases!$C$2:$C$53,B665)</f>
        <v>Ice</v>
      </c>
      <c r="H665" s="8" t="str">
        <f aca="false">IF(INDEX(Bases!$C$2:$C$53,C665)=G665,"",INDEX(Bases!$C$2:$C$53,C665))</f>
        <v>Fighting</v>
      </c>
      <c r="I665" s="8" t="str">
        <f aca="false">IF(INDEX(Bases!$E$2:$E$53,B665)="","",INDEX(Bases!$E$2:$E$53,B665))</f>
        <v/>
      </c>
      <c r="J665" s="8" t="str">
        <f aca="false">IF(INDEX(Bases!$E$2:$E$53,C665)="","",INDEX(Bases!$E$2:$E$53,C665))</f>
        <v/>
      </c>
      <c r="K665" s="5"/>
      <c r="L665" s="2" t="n">
        <f aca="false">AE665+IF(SUMPRODUCT(--($AL665:$AQ665&gt;AL665))&lt;$AK665,1,0)</f>
        <v>92</v>
      </c>
      <c r="M665" s="2" t="n">
        <f aca="false">AF665+IF(SUMPRODUCT(--($AL665:$AQ665&gt;AM665))+SUMPRODUCT(--($AL665:AL665=AM665))&lt;$AK665,1,0)</f>
        <v>91</v>
      </c>
      <c r="N665" s="2" t="n">
        <f aca="false">AG665+IF(SUMPRODUCT(--($AL665:$AQ665&gt;AN665))+SUMPRODUCT(--($AL665:AM665=AN665))&lt;$AK665,1,0)</f>
        <v>80</v>
      </c>
      <c r="O665" s="2" t="n">
        <f aca="false">AH665+IF(SUMPRODUCT(--($AL665:$AQ665&gt;AO665))+SUMPRODUCT(--($AL665:AN665=AO665))&lt;$AK665,1,0)</f>
        <v>73</v>
      </c>
      <c r="P665" s="2" t="n">
        <f aca="false">AI665+IF(SUMPRODUCT(--($AL665:$AQ665&gt;AP665))+SUMPRODUCT(--($AL665:AO665=AP665))&lt;$AK665,1,0)</f>
        <v>73</v>
      </c>
      <c r="Q665" s="2" t="n">
        <f aca="false">AJ665+IF(SUMPRODUCT(--($AL665:$AQ665&gt;AQ665))+SUMPRODUCT(--($AL665:AP665=AQ665))&lt;$AK665,1,0)</f>
        <v>91</v>
      </c>
      <c r="R665" s="2" t="n">
        <f aca="false">SUM(L665:Q665)</f>
        <v>500</v>
      </c>
      <c r="S665" s="2" t="n">
        <f aca="false">Settings!$B$4*MAX(INDEX(Bases!$M$2:$M$53,B665),INDEX(Bases!$M$2:$M$53,C665))+Settings!$B$5*MIN(INDEX(Bases!$M$2:$M$53,B665),INDEX(Bases!$M$2:$M$53,C665))</f>
        <v>75.6666666666667</v>
      </c>
      <c r="T665" s="2" t="n">
        <f aca="false">Settings!$B$4*MAX(INDEX(Bases!$N$2:$N$53,B665),INDEX(Bases!$N$2:$N$53,C665))+Settings!$B$5*MIN(INDEX(Bases!$N$2:$N$53,B665),INDEX(Bases!$N$2:$N$53,C665))</f>
        <v>75.6666666666667</v>
      </c>
      <c r="U665" s="2" t="n">
        <f aca="false">Settings!$B$4*MAX(INDEX(Bases!$O$2:$O$53,B665),INDEX(Bases!$O$2:$O$53,C665))+Settings!$B$5*MIN(INDEX(Bases!$O$2:$O$53,B665),INDEX(Bases!$O$2:$O$53,C665))</f>
        <v>66</v>
      </c>
      <c r="V665" s="2" t="n">
        <f aca="false">Settings!$B$4*MAX(INDEX(Bases!$P$2:$P$53,B665),INDEX(Bases!$P$2:$P$53,C665))+Settings!$B$5*MIN(INDEX(Bases!$P$2:$P$53,B665),INDEX(Bases!$P$2:$P$53,C665))</f>
        <v>60.6666666666667</v>
      </c>
      <c r="W665" s="2" t="n">
        <f aca="false">Settings!$B$4*MAX(INDEX(Bases!$Q$2:$Q$53,B665),INDEX(Bases!$Q$2:$Q$53,C665))+Settings!$B$5*MIN(INDEX(Bases!$Q$2:$Q$53,B665),INDEX(Bases!$Q$2:$Q$53,C665))</f>
        <v>60</v>
      </c>
      <c r="X665" s="2" t="n">
        <f aca="false">Settings!$B$4*MAX(INDEX(Bases!$R$2:$R$53,B665),INDEX(Bases!$R$2:$R$53,C665))+Settings!$B$5*MIN(INDEX(Bases!$R$2:$R$53,B665),INDEX(Bases!$R$2:$R$53,C665))</f>
        <v>75.3333333333333</v>
      </c>
      <c r="Y665" s="2" t="n">
        <f aca="false">S665*Settings!$B$3/SUM(S665:X665)</f>
        <v>91.5322580645161</v>
      </c>
      <c r="Z665" s="2" t="n">
        <f aca="false">T665*Settings!$B$3/SUM(S665:X665)</f>
        <v>91.5322580645161</v>
      </c>
      <c r="AA665" s="2" t="n">
        <f aca="false">U665*Settings!$B$3/SUM(S665:X665)</f>
        <v>79.8387096774194</v>
      </c>
      <c r="AB665" s="2" t="n">
        <f aca="false">V665*Settings!$B$3/SUM(S665:X665)</f>
        <v>73.3870967741936</v>
      </c>
      <c r="AC665" s="2" t="n">
        <f aca="false">W665*Settings!$B$3/SUM(S665:X665)</f>
        <v>72.5806451612903</v>
      </c>
      <c r="AD665" s="2" t="n">
        <f aca="false">X665*Settings!$B$3/SUM(S665:X665)</f>
        <v>91.1290322580645</v>
      </c>
      <c r="AE665" s="2" t="n">
        <f aca="false">INT(Y665)</f>
        <v>91</v>
      </c>
      <c r="AF665" s="2" t="n">
        <f aca="false">INT(Z665)</f>
        <v>91</v>
      </c>
      <c r="AG665" s="2" t="n">
        <f aca="false">INT(AA665)</f>
        <v>79</v>
      </c>
      <c r="AH665" s="2" t="n">
        <f aca="false">INT(AB665)</f>
        <v>73</v>
      </c>
      <c r="AI665" s="2" t="n">
        <f aca="false">INT(AC665)</f>
        <v>72</v>
      </c>
      <c r="AJ665" s="2" t="n">
        <f aca="false">INT(AD665)</f>
        <v>91</v>
      </c>
      <c r="AK665" s="2" t="n">
        <f aca="false">Settings!$B$3-SUM(AE665:AJ665)</f>
        <v>3</v>
      </c>
      <c r="AL665" s="2" t="n">
        <f aca="false">ROUND(Y665-AE665,9)</f>
        <v>0.532258065</v>
      </c>
      <c r="AM665" s="2" t="n">
        <f aca="false">ROUND(Z665-AF665,9)</f>
        <v>0.532258065</v>
      </c>
      <c r="AN665" s="2" t="n">
        <f aca="false">ROUND(AA665-AG665,9)</f>
        <v>0.838709677</v>
      </c>
      <c r="AO665" s="2" t="n">
        <f aca="false">ROUND(AB665-AH665,9)</f>
        <v>0.387096774</v>
      </c>
      <c r="AP665" s="2" t="n">
        <f aca="false">ROUND(AC665-AI665,9)</f>
        <v>0.580645161</v>
      </c>
      <c r="AQ665" s="2" t="n">
        <f aca="false">ROUND(AD665-AJ665,9)</f>
        <v>0.129032258</v>
      </c>
    </row>
    <row r="666" customFormat="false" ht="15" hidden="false" customHeight="false" outlineLevel="0" collapsed="false">
      <c r="A666" s="2" t="n">
        <v>665</v>
      </c>
      <c r="B666" s="6" t="n">
        <v>16</v>
      </c>
      <c r="C666" s="6" t="n">
        <v>21</v>
      </c>
      <c r="D666" s="8" t="str">
        <f aca="false">INDEX(Bases!$B$2:$B$53,B666)</f>
        <v>Swinub</v>
      </c>
      <c r="E666" s="8" t="str">
        <f aca="false">INDEX(Bases!$B$2:$B$53,C666)</f>
        <v>Makuhita</v>
      </c>
      <c r="F666" s="2" t="str">
        <f aca="false">LEFT(D666,ROUNDUP(LEN(D666)/2,0))&amp;LOWER(MID(E666,ROUNDUP(LEN(E666)/2,0)+1,20))</f>
        <v>Swihita</v>
      </c>
      <c r="G666" s="8" t="str">
        <f aca="false">INDEX(Bases!$C$2:$C$53,B666)</f>
        <v>Ice</v>
      </c>
      <c r="H666" s="8" t="str">
        <f aca="false">IF(INDEX(Bases!$C$2:$C$53,C666)=G666,"",INDEX(Bases!$C$2:$C$53,C666))</f>
        <v>Fighting</v>
      </c>
      <c r="I666" s="8" t="str">
        <f aca="false">IF(INDEX(Bases!$E$2:$E$53,B666)="","",INDEX(Bases!$E$2:$E$53,B666))</f>
        <v/>
      </c>
      <c r="J666" s="8" t="str">
        <f aca="false">IF(INDEX(Bases!$E$2:$E$53,C666)="","",INDEX(Bases!$E$2:$E$53,C666))</f>
        <v/>
      </c>
      <c r="K666" s="5"/>
      <c r="L666" s="2" t="n">
        <f aca="false">AE666+IF(SUMPRODUCT(--($AL666:$AQ666&gt;AL666))&lt;$AK666,1,0)</f>
        <v>127</v>
      </c>
      <c r="M666" s="2" t="n">
        <f aca="false">AF666+IF(SUMPRODUCT(--($AL666:$AQ666&gt;AM666))+SUMPRODUCT(--($AL666:AL666=AM666))&lt;$AK666,1,0)</f>
        <v>112</v>
      </c>
      <c r="N666" s="2" t="n">
        <f aca="false">AG666+IF(SUMPRODUCT(--($AL666:$AQ666&gt;AN666))+SUMPRODUCT(--($AL666:AM666=AN666))&lt;$AK666,1,0)</f>
        <v>71</v>
      </c>
      <c r="O666" s="2" t="n">
        <f aca="false">AH666+IF(SUMPRODUCT(--($AL666:$AQ666&gt;AO666))+SUMPRODUCT(--($AL666:AN666=AO666))&lt;$AK666,1,0)</f>
        <v>51</v>
      </c>
      <c r="P666" s="2" t="n">
        <f aca="false">AI666+IF(SUMPRODUCT(--($AL666:$AQ666&gt;AP666))+SUMPRODUCT(--($AL666:AO666=AP666))&lt;$AK666,1,0)</f>
        <v>59</v>
      </c>
      <c r="Q666" s="2" t="n">
        <f aca="false">AJ666+IF(SUMPRODUCT(--($AL666:$AQ666&gt;AQ666))+SUMPRODUCT(--($AL666:AP666=AQ666))&lt;$AK666,1,0)</f>
        <v>80</v>
      </c>
      <c r="R666" s="2" t="n">
        <f aca="false">SUM(L666:Q666)</f>
        <v>500</v>
      </c>
      <c r="S666" s="2" t="n">
        <f aca="false">Settings!$B$4*MAX(INDEX(Bases!$M$2:$M$53,B666),INDEX(Bases!$M$2:$M$53,C666))+Settings!$B$5*MIN(INDEX(Bases!$M$2:$M$53,B666),INDEX(Bases!$M$2:$M$53,C666))</f>
        <v>107.333333333333</v>
      </c>
      <c r="T666" s="2" t="n">
        <f aca="false">Settings!$B$4*MAX(INDEX(Bases!$N$2:$N$53,B666),INDEX(Bases!$N$2:$N$53,C666))+Settings!$B$5*MIN(INDEX(Bases!$N$2:$N$53,B666),INDEX(Bases!$N$2:$N$53,C666))</f>
        <v>94</v>
      </c>
      <c r="U666" s="2" t="n">
        <f aca="false">Settings!$B$4*MAX(INDEX(Bases!$O$2:$O$53,B666),INDEX(Bases!$O$2:$O$53,C666))+Settings!$B$5*MIN(INDEX(Bases!$O$2:$O$53,B666),INDEX(Bases!$O$2:$O$53,C666))</f>
        <v>59.6666666666667</v>
      </c>
      <c r="V666" s="2" t="n">
        <f aca="false">Settings!$B$4*MAX(INDEX(Bases!$P$2:$P$53,B666),INDEX(Bases!$P$2:$P$53,C666))+Settings!$B$5*MIN(INDEX(Bases!$P$2:$P$53,B666),INDEX(Bases!$P$2:$P$53,C666))</f>
        <v>43.3333333333333</v>
      </c>
      <c r="W666" s="2" t="n">
        <f aca="false">Settings!$B$4*MAX(INDEX(Bases!$Q$2:$Q$53,B666),INDEX(Bases!$Q$2:$Q$53,C666))+Settings!$B$5*MIN(INDEX(Bases!$Q$2:$Q$53,B666),INDEX(Bases!$Q$2:$Q$53,C666))</f>
        <v>50</v>
      </c>
      <c r="X666" s="2" t="n">
        <f aca="false">Settings!$B$4*MAX(INDEX(Bases!$R$2:$R$53,B666),INDEX(Bases!$R$2:$R$53,C666))+Settings!$B$5*MIN(INDEX(Bases!$R$2:$R$53,B666),INDEX(Bases!$R$2:$R$53,C666))</f>
        <v>67.3333333333333</v>
      </c>
      <c r="Y666" s="2" t="n">
        <f aca="false">S666*Settings!$B$3/SUM(S666:X666)</f>
        <v>127.272727272727</v>
      </c>
      <c r="Z666" s="2" t="n">
        <f aca="false">T666*Settings!$B$3/SUM(S666:X666)</f>
        <v>111.462450592885</v>
      </c>
      <c r="AA666" s="2" t="n">
        <f aca="false">U666*Settings!$B$3/SUM(S666:X666)</f>
        <v>70.7509881422925</v>
      </c>
      <c r="AB666" s="2" t="n">
        <f aca="false">V666*Settings!$B$3/SUM(S666:X666)</f>
        <v>51.3833992094862</v>
      </c>
      <c r="AC666" s="2" t="n">
        <f aca="false">W666*Settings!$B$3/SUM(S666:X666)</f>
        <v>59.2885375494071</v>
      </c>
      <c r="AD666" s="2" t="n">
        <f aca="false">X666*Settings!$B$3/SUM(S666:X666)</f>
        <v>79.8418972332016</v>
      </c>
      <c r="AE666" s="2" t="n">
        <f aca="false">INT(Y666)</f>
        <v>127</v>
      </c>
      <c r="AF666" s="2" t="n">
        <f aca="false">INT(Z666)</f>
        <v>111</v>
      </c>
      <c r="AG666" s="2" t="n">
        <f aca="false">INT(AA666)</f>
        <v>70</v>
      </c>
      <c r="AH666" s="2" t="n">
        <f aca="false">INT(AB666)</f>
        <v>51</v>
      </c>
      <c r="AI666" s="2" t="n">
        <f aca="false">INT(AC666)</f>
        <v>59</v>
      </c>
      <c r="AJ666" s="2" t="n">
        <f aca="false">INT(AD666)</f>
        <v>79</v>
      </c>
      <c r="AK666" s="2" t="n">
        <f aca="false">Settings!$B$3-SUM(AE666:AJ666)</f>
        <v>3</v>
      </c>
      <c r="AL666" s="2" t="n">
        <f aca="false">ROUND(Y666-AE666,9)</f>
        <v>0.272727273</v>
      </c>
      <c r="AM666" s="2" t="n">
        <f aca="false">ROUND(Z666-AF666,9)</f>
        <v>0.462450593</v>
      </c>
      <c r="AN666" s="2" t="n">
        <f aca="false">ROUND(AA666-AG666,9)</f>
        <v>0.750988142</v>
      </c>
      <c r="AO666" s="2" t="n">
        <f aca="false">ROUND(AB666-AH666,9)</f>
        <v>0.383399209</v>
      </c>
      <c r="AP666" s="2" t="n">
        <f aca="false">ROUND(AC666-AI666,9)</f>
        <v>0.288537549</v>
      </c>
      <c r="AQ666" s="2" t="n">
        <f aca="false">ROUND(AD666-AJ666,9)</f>
        <v>0.841897233</v>
      </c>
    </row>
    <row r="667" customFormat="false" ht="15" hidden="false" customHeight="false" outlineLevel="0" collapsed="false">
      <c r="A667" s="2" t="n">
        <v>666</v>
      </c>
      <c r="B667" s="6" t="n">
        <v>16</v>
      </c>
      <c r="C667" s="6" t="n">
        <v>22</v>
      </c>
      <c r="D667" s="8" t="str">
        <f aca="false">INDEX(Bases!$B$2:$B$53,B667)</f>
        <v>Swinub</v>
      </c>
      <c r="E667" s="8" t="str">
        <f aca="false">INDEX(Bases!$B$2:$B$53,C667)</f>
        <v>Ekans</v>
      </c>
      <c r="F667" s="2" t="str">
        <f aca="false">LEFT(D667,ROUNDUP(LEN(D667)/2,0))&amp;LOWER(MID(E667,ROUNDUP(LEN(E667)/2,0)+1,20))</f>
        <v>Swins</v>
      </c>
      <c r="G667" s="8" t="str">
        <f aca="false">INDEX(Bases!$C$2:$C$53,B667)</f>
        <v>Ice</v>
      </c>
      <c r="H667" s="8" t="str">
        <f aca="false">IF(INDEX(Bases!$C$2:$C$53,C667)=G667,"",INDEX(Bases!$C$2:$C$53,C667))</f>
        <v>Poison</v>
      </c>
      <c r="I667" s="8" t="str">
        <f aca="false">IF(INDEX(Bases!$E$2:$E$53,B667)="","",INDEX(Bases!$E$2:$E$53,B667))</f>
        <v/>
      </c>
      <c r="J667" s="8" t="str">
        <f aca="false">IF(INDEX(Bases!$E$2:$E$53,C667)="","",INDEX(Bases!$E$2:$E$53,C667))</f>
        <v/>
      </c>
      <c r="K667" s="5"/>
      <c r="L667" s="2" t="n">
        <f aca="false">AE667+IF(SUMPRODUCT(--($AL667:$AQ667&gt;AL667))&lt;$AK667,1,0)</f>
        <v>85</v>
      </c>
      <c r="M667" s="2" t="n">
        <f aca="false">AF667+IF(SUMPRODUCT(--($AL667:$AQ667&gt;AM667))+SUMPRODUCT(--($AL667:AL667=AM667))&lt;$AK667,1,0)</f>
        <v>99</v>
      </c>
      <c r="N667" s="2" t="n">
        <f aca="false">AG667+IF(SUMPRODUCT(--($AL667:$AQ667&gt;AN667))+SUMPRODUCT(--($AL667:AM667=AN667))&lt;$AK667,1,0)</f>
        <v>76</v>
      </c>
      <c r="O667" s="2" t="n">
        <f aca="false">AH667+IF(SUMPRODUCT(--($AL667:$AQ667&gt;AO667))+SUMPRODUCT(--($AL667:AN667=AO667))&lt;$AK667,1,0)</f>
        <v>65</v>
      </c>
      <c r="P667" s="2" t="n">
        <f aca="false">AI667+IF(SUMPRODUCT(--($AL667:$AQ667&gt;AP667))+SUMPRODUCT(--($AL667:AO667=AP667))&lt;$AK667,1,0)</f>
        <v>80</v>
      </c>
      <c r="Q667" s="2" t="n">
        <f aca="false">AJ667+IF(SUMPRODUCT(--($AL667:$AQ667&gt;AQ667))+SUMPRODUCT(--($AL667:AP667=AQ667))&lt;$AK667,1,0)</f>
        <v>95</v>
      </c>
      <c r="R667" s="2" t="n">
        <f aca="false">SUM(L667:Q667)</f>
        <v>500</v>
      </c>
      <c r="S667" s="2" t="n">
        <f aca="false">Settings!$B$4*MAX(INDEX(Bases!$M$2:$M$53,B667),INDEX(Bases!$M$2:$M$53,C667))+Settings!$B$5*MIN(INDEX(Bases!$M$2:$M$53,B667),INDEX(Bases!$M$2:$M$53,C667))</f>
        <v>69.6666666666667</v>
      </c>
      <c r="T667" s="2" t="n">
        <f aca="false">Settings!$B$4*MAX(INDEX(Bases!$N$2:$N$53,B667),INDEX(Bases!$N$2:$N$53,C667))+Settings!$B$5*MIN(INDEX(Bases!$N$2:$N$53,B667),INDEX(Bases!$N$2:$N$53,C667))</f>
        <v>82</v>
      </c>
      <c r="U667" s="2" t="n">
        <f aca="false">Settings!$B$4*MAX(INDEX(Bases!$O$2:$O$53,B667),INDEX(Bases!$O$2:$O$53,C667))+Settings!$B$5*MIN(INDEX(Bases!$O$2:$O$53,B667),INDEX(Bases!$O$2:$O$53,C667))</f>
        <v>63</v>
      </c>
      <c r="V667" s="2" t="n">
        <f aca="false">Settings!$B$4*MAX(INDEX(Bases!$P$2:$P$53,B667),INDEX(Bases!$P$2:$P$53,C667))+Settings!$B$5*MIN(INDEX(Bases!$P$2:$P$53,B667),INDEX(Bases!$P$2:$P$53,C667))</f>
        <v>53.3333333333333</v>
      </c>
      <c r="W667" s="2" t="n">
        <f aca="false">Settings!$B$4*MAX(INDEX(Bases!$Q$2:$Q$53,B667),INDEX(Bases!$Q$2:$Q$53,C667))+Settings!$B$5*MIN(INDEX(Bases!$Q$2:$Q$53,B667),INDEX(Bases!$Q$2:$Q$53,C667))</f>
        <v>66</v>
      </c>
      <c r="X667" s="2" t="n">
        <f aca="false">Settings!$B$4*MAX(INDEX(Bases!$R$2:$R$53,B667),INDEX(Bases!$R$2:$R$53,C667))+Settings!$B$5*MIN(INDEX(Bases!$R$2:$R$53,B667),INDEX(Bases!$R$2:$R$53,C667))</f>
        <v>78.6666666666667</v>
      </c>
      <c r="Y667" s="2" t="n">
        <f aca="false">S667*Settings!$B$3/SUM(S667:X667)</f>
        <v>84.4103392568659</v>
      </c>
      <c r="Z667" s="2" t="n">
        <f aca="false">T667*Settings!$B$3/SUM(S667:X667)</f>
        <v>99.3537964458805</v>
      </c>
      <c r="AA667" s="2" t="n">
        <f aca="false">U667*Settings!$B$3/SUM(S667:X667)</f>
        <v>76.3327948303716</v>
      </c>
      <c r="AB667" s="2" t="n">
        <f aca="false">V667*Settings!$B$3/SUM(S667:X667)</f>
        <v>64.6203554119548</v>
      </c>
      <c r="AC667" s="2" t="n">
        <f aca="false">W667*Settings!$B$3/SUM(S667:X667)</f>
        <v>79.967689822294</v>
      </c>
      <c r="AD667" s="2" t="n">
        <f aca="false">X667*Settings!$B$3/SUM(S667:X667)</f>
        <v>95.3150242326333</v>
      </c>
      <c r="AE667" s="2" t="n">
        <f aca="false">INT(Y667)</f>
        <v>84</v>
      </c>
      <c r="AF667" s="2" t="n">
        <f aca="false">INT(Z667)</f>
        <v>99</v>
      </c>
      <c r="AG667" s="2" t="n">
        <f aca="false">INT(AA667)</f>
        <v>76</v>
      </c>
      <c r="AH667" s="2" t="n">
        <f aca="false">INT(AB667)</f>
        <v>64</v>
      </c>
      <c r="AI667" s="2" t="n">
        <f aca="false">INT(AC667)</f>
        <v>79</v>
      </c>
      <c r="AJ667" s="2" t="n">
        <f aca="false">INT(AD667)</f>
        <v>95</v>
      </c>
      <c r="AK667" s="2" t="n">
        <f aca="false">Settings!$B$3-SUM(AE667:AJ667)</f>
        <v>3</v>
      </c>
      <c r="AL667" s="2" t="n">
        <f aca="false">ROUND(Y667-AE667,9)</f>
        <v>0.410339257</v>
      </c>
      <c r="AM667" s="2" t="n">
        <f aca="false">ROUND(Z667-AF667,9)</f>
        <v>0.353796446</v>
      </c>
      <c r="AN667" s="2" t="n">
        <f aca="false">ROUND(AA667-AG667,9)</f>
        <v>0.33279483</v>
      </c>
      <c r="AO667" s="2" t="n">
        <f aca="false">ROUND(AB667-AH667,9)</f>
        <v>0.620355412</v>
      </c>
      <c r="AP667" s="2" t="n">
        <f aca="false">ROUND(AC667-AI667,9)</f>
        <v>0.967689822</v>
      </c>
      <c r="AQ667" s="2" t="n">
        <f aca="false">ROUND(AD667-AJ667,9)</f>
        <v>0.315024233</v>
      </c>
    </row>
    <row r="668" customFormat="false" ht="15" hidden="false" customHeight="false" outlineLevel="0" collapsed="false">
      <c r="A668" s="2" t="n">
        <v>667</v>
      </c>
      <c r="B668" s="6" t="n">
        <v>16</v>
      </c>
      <c r="C668" s="6" t="n">
        <v>23</v>
      </c>
      <c r="D668" s="8" t="str">
        <f aca="false">INDEX(Bases!$B$2:$B$53,B668)</f>
        <v>Swinub</v>
      </c>
      <c r="E668" s="8" t="str">
        <f aca="false">INDEX(Bases!$B$2:$B$53,C668)</f>
        <v>Gulpin</v>
      </c>
      <c r="F668" s="2" t="str">
        <f aca="false">LEFT(D668,ROUNDUP(LEN(D668)/2,0))&amp;LOWER(MID(E668,ROUNDUP(LEN(E668)/2,0)+1,20))</f>
        <v>Swipin</v>
      </c>
      <c r="G668" s="8" t="str">
        <f aca="false">INDEX(Bases!$C$2:$C$53,B668)</f>
        <v>Ice</v>
      </c>
      <c r="H668" s="8" t="str">
        <f aca="false">IF(INDEX(Bases!$C$2:$C$53,C668)=G668,"",INDEX(Bases!$C$2:$C$53,C668))</f>
        <v>Poison</v>
      </c>
      <c r="I668" s="8" t="str">
        <f aca="false">IF(INDEX(Bases!$E$2:$E$53,B668)="","",INDEX(Bases!$E$2:$E$53,B668))</f>
        <v/>
      </c>
      <c r="J668" s="8" t="str">
        <f aca="false">IF(INDEX(Bases!$E$2:$E$53,C668)="","",INDEX(Bases!$E$2:$E$53,C668))</f>
        <v/>
      </c>
      <c r="K668" s="5"/>
      <c r="L668" s="2" t="n">
        <f aca="false">AE668+IF(SUMPRODUCT(--($AL668:$AQ668&gt;AL668))&lt;$AK668,1,0)</f>
        <v>106</v>
      </c>
      <c r="M668" s="2" t="n">
        <f aca="false">AF668+IF(SUMPRODUCT(--($AL668:$AQ668&gt;AM668))+SUMPRODUCT(--($AL668:AL668=AM668))&lt;$AK668,1,0)</f>
        <v>87</v>
      </c>
      <c r="N668" s="2" t="n">
        <f aca="false">AG668+IF(SUMPRODUCT(--($AL668:$AQ668&gt;AN668))+SUMPRODUCT(--($AL668:AM668=AN668))&lt;$AK668,1,0)</f>
        <v>82</v>
      </c>
      <c r="O668" s="2" t="n">
        <f aca="false">AH668+IF(SUMPRODUCT(--($AL668:$AQ668&gt;AO668))+SUMPRODUCT(--($AL668:AN668=AO668))&lt;$AK668,1,0)</f>
        <v>65</v>
      </c>
      <c r="P668" s="2" t="n">
        <f aca="false">AI668+IF(SUMPRODUCT(--($AL668:$AQ668&gt;AP668))+SUMPRODUCT(--($AL668:AO668=AP668))&lt;$AK668,1,0)</f>
        <v>75</v>
      </c>
      <c r="Q668" s="2" t="n">
        <f aca="false">AJ668+IF(SUMPRODUCT(--($AL668:$AQ668&gt;AQ668))+SUMPRODUCT(--($AL668:AP668=AQ668))&lt;$AK668,1,0)</f>
        <v>85</v>
      </c>
      <c r="R668" s="2" t="n">
        <f aca="false">SUM(L668:Q668)</f>
        <v>500</v>
      </c>
      <c r="S668" s="2" t="n">
        <f aca="false">Settings!$B$4*MAX(INDEX(Bases!$M$2:$M$53,B668),INDEX(Bases!$M$2:$M$53,C668))+Settings!$B$5*MIN(INDEX(Bases!$M$2:$M$53,B668),INDEX(Bases!$M$2:$M$53,C668))</f>
        <v>88.6666666666667</v>
      </c>
      <c r="T668" s="2" t="n">
        <f aca="false">Settings!$B$4*MAX(INDEX(Bases!$N$2:$N$53,B668),INDEX(Bases!$N$2:$N$53,C668))+Settings!$B$5*MIN(INDEX(Bases!$N$2:$N$53,B668),INDEX(Bases!$N$2:$N$53,C668))</f>
        <v>72.3333333333333</v>
      </c>
      <c r="U668" s="2" t="n">
        <f aca="false">Settings!$B$4*MAX(INDEX(Bases!$O$2:$O$53,B668),INDEX(Bases!$O$2:$O$53,C668))+Settings!$B$5*MIN(INDEX(Bases!$O$2:$O$53,B668),INDEX(Bases!$O$2:$O$53,C668))</f>
        <v>68</v>
      </c>
      <c r="V668" s="2" t="n">
        <f aca="false">Settings!$B$4*MAX(INDEX(Bases!$P$2:$P$53,B668),INDEX(Bases!$P$2:$P$53,C668))+Settings!$B$5*MIN(INDEX(Bases!$P$2:$P$53,B668),INDEX(Bases!$P$2:$P$53,C668))</f>
        <v>54</v>
      </c>
      <c r="W668" s="2" t="n">
        <f aca="false">Settings!$B$4*MAX(INDEX(Bases!$Q$2:$Q$53,B668),INDEX(Bases!$Q$2:$Q$53,C668))+Settings!$B$5*MIN(INDEX(Bases!$Q$2:$Q$53,B668),INDEX(Bases!$Q$2:$Q$53,C668))</f>
        <v>62.6666666666667</v>
      </c>
      <c r="X668" s="2" t="n">
        <f aca="false">Settings!$B$4*MAX(INDEX(Bases!$R$2:$R$53,B668),INDEX(Bases!$R$2:$R$53,C668))+Settings!$B$5*MIN(INDEX(Bases!$R$2:$R$53,B668),INDEX(Bases!$R$2:$R$53,C668))</f>
        <v>71</v>
      </c>
      <c r="Y668" s="2" t="n">
        <f aca="false">S668*Settings!$B$3/SUM(S668:X668)</f>
        <v>106.4</v>
      </c>
      <c r="Z668" s="2" t="n">
        <f aca="false">T668*Settings!$B$3/SUM(S668:X668)</f>
        <v>86.8</v>
      </c>
      <c r="AA668" s="2" t="n">
        <f aca="false">U668*Settings!$B$3/SUM(S668:X668)</f>
        <v>81.6</v>
      </c>
      <c r="AB668" s="2" t="n">
        <f aca="false">V668*Settings!$B$3/SUM(S668:X668)</f>
        <v>64.8</v>
      </c>
      <c r="AC668" s="2" t="n">
        <f aca="false">W668*Settings!$B$3/SUM(S668:X668)</f>
        <v>75.2</v>
      </c>
      <c r="AD668" s="2" t="n">
        <f aca="false">X668*Settings!$B$3/SUM(S668:X668)</f>
        <v>85.2</v>
      </c>
      <c r="AE668" s="2" t="n">
        <f aca="false">INT(Y668)</f>
        <v>106</v>
      </c>
      <c r="AF668" s="2" t="n">
        <f aca="false">INT(Z668)</f>
        <v>86</v>
      </c>
      <c r="AG668" s="2" t="n">
        <f aca="false">INT(AA668)</f>
        <v>81</v>
      </c>
      <c r="AH668" s="2" t="n">
        <f aca="false">INT(AB668)</f>
        <v>64</v>
      </c>
      <c r="AI668" s="2" t="n">
        <f aca="false">INT(AC668)</f>
        <v>75</v>
      </c>
      <c r="AJ668" s="2" t="n">
        <f aca="false">INT(AD668)</f>
        <v>85</v>
      </c>
      <c r="AK668" s="2" t="n">
        <f aca="false">Settings!$B$3-SUM(AE668:AJ668)</f>
        <v>3</v>
      </c>
      <c r="AL668" s="2" t="n">
        <f aca="false">ROUND(Y668-AE668,9)</f>
        <v>0.4</v>
      </c>
      <c r="AM668" s="2" t="n">
        <f aca="false">ROUND(Z668-AF668,9)</f>
        <v>0.8</v>
      </c>
      <c r="AN668" s="2" t="n">
        <f aca="false">ROUND(AA668-AG668,9)</f>
        <v>0.6</v>
      </c>
      <c r="AO668" s="2" t="n">
        <f aca="false">ROUND(AB668-AH668,9)</f>
        <v>0.8</v>
      </c>
      <c r="AP668" s="2" t="n">
        <f aca="false">ROUND(AC668-AI668,9)</f>
        <v>0.2</v>
      </c>
      <c r="AQ668" s="2" t="n">
        <f aca="false">ROUND(AD668-AJ668,9)</f>
        <v>0.2</v>
      </c>
    </row>
    <row r="669" customFormat="false" ht="15" hidden="false" customHeight="false" outlineLevel="0" collapsed="false">
      <c r="A669" s="2" t="n">
        <v>668</v>
      </c>
      <c r="B669" s="6" t="n">
        <v>16</v>
      </c>
      <c r="C669" s="6" t="n">
        <v>24</v>
      </c>
      <c r="D669" s="8" t="str">
        <f aca="false">INDEX(Bases!$B$2:$B$53,B669)</f>
        <v>Swinub</v>
      </c>
      <c r="E669" s="8" t="str">
        <f aca="false">INDEX(Bases!$B$2:$B$53,C669)</f>
        <v>Koffing</v>
      </c>
      <c r="F669" s="2" t="str">
        <f aca="false">LEFT(D669,ROUNDUP(LEN(D669)/2,0))&amp;LOWER(MID(E669,ROUNDUP(LEN(E669)/2,0)+1,20))</f>
        <v>Swiing</v>
      </c>
      <c r="G669" s="8" t="str">
        <f aca="false">INDEX(Bases!$C$2:$C$53,B669)</f>
        <v>Ice</v>
      </c>
      <c r="H669" s="8" t="str">
        <f aca="false">IF(INDEX(Bases!$C$2:$C$53,C669)=G669,"",INDEX(Bases!$C$2:$C$53,C669))</f>
        <v>Poison</v>
      </c>
      <c r="I669" s="8" t="str">
        <f aca="false">IF(INDEX(Bases!$E$2:$E$53,B669)="","",INDEX(Bases!$E$2:$E$53,B669))</f>
        <v/>
      </c>
      <c r="J669" s="8" t="str">
        <f aca="false">IF(INDEX(Bases!$E$2:$E$53,C669)="","",INDEX(Bases!$E$2:$E$53,C669))</f>
        <v/>
      </c>
      <c r="K669" s="5"/>
      <c r="L669" s="2" t="n">
        <f aca="false">AE669+IF(SUMPRODUCT(--($AL669:$AQ669&gt;AL669))&lt;$AK669,1,0)</f>
        <v>81</v>
      </c>
      <c r="M669" s="2" t="n">
        <f aca="false">AF669+IF(SUMPRODUCT(--($AL669:$AQ669&gt;AM669))+SUMPRODUCT(--($AL669:AL669=AM669))&lt;$AK669,1,0)</f>
        <v>93</v>
      </c>
      <c r="N669" s="2" t="n">
        <f aca="false">AG669+IF(SUMPRODUCT(--($AL669:$AQ669&gt;AN669))+SUMPRODUCT(--($AL669:AM669=AN669))&lt;$AK669,1,0)</f>
        <v>113</v>
      </c>
      <c r="O669" s="2" t="n">
        <f aca="false">AH669+IF(SUMPRODUCT(--($AL669:$AQ669&gt;AO669))+SUMPRODUCT(--($AL669:AN669=AO669))&lt;$AK669,1,0)</f>
        <v>74</v>
      </c>
      <c r="P669" s="2" t="n">
        <f aca="false">AI669+IF(SUMPRODUCT(--($AL669:$AQ669&gt;AP669))+SUMPRODUCT(--($AL669:AO669=AP669))&lt;$AK669,1,0)</f>
        <v>60</v>
      </c>
      <c r="Q669" s="2" t="n">
        <f aca="false">AJ669+IF(SUMPRODUCT(--($AL669:$AQ669&gt;AQ669))+SUMPRODUCT(--($AL669:AP669=AQ669))&lt;$AK669,1,0)</f>
        <v>79</v>
      </c>
      <c r="R669" s="2" t="n">
        <f aca="false">SUM(L669:Q669)</f>
        <v>500</v>
      </c>
      <c r="S669" s="2" t="n">
        <f aca="false">Settings!$B$4*MAX(INDEX(Bases!$M$2:$M$53,B669),INDEX(Bases!$M$2:$M$53,C669))+Settings!$B$5*MIN(INDEX(Bases!$M$2:$M$53,B669),INDEX(Bases!$M$2:$M$53,C669))</f>
        <v>69</v>
      </c>
      <c r="T669" s="2" t="n">
        <f aca="false">Settings!$B$4*MAX(INDEX(Bases!$N$2:$N$53,B669),INDEX(Bases!$N$2:$N$53,C669))+Settings!$B$5*MIN(INDEX(Bases!$N$2:$N$53,B669),INDEX(Bases!$N$2:$N$53,C669))</f>
        <v>78.6666666666667</v>
      </c>
      <c r="U669" s="2" t="n">
        <f aca="false">Settings!$B$4*MAX(INDEX(Bases!$O$2:$O$53,B669),INDEX(Bases!$O$2:$O$53,C669))+Settings!$B$5*MIN(INDEX(Bases!$O$2:$O$53,B669),INDEX(Bases!$O$2:$O$53,C669))</f>
        <v>96</v>
      </c>
      <c r="V669" s="2" t="n">
        <f aca="false">Settings!$B$4*MAX(INDEX(Bases!$P$2:$P$53,B669),INDEX(Bases!$P$2:$P$53,C669))+Settings!$B$5*MIN(INDEX(Bases!$P$2:$P$53,B669),INDEX(Bases!$P$2:$P$53,C669))</f>
        <v>63.3333333333333</v>
      </c>
      <c r="W669" s="2" t="n">
        <f aca="false">Settings!$B$4*MAX(INDEX(Bases!$Q$2:$Q$53,B669),INDEX(Bases!$Q$2:$Q$53,C669))+Settings!$B$5*MIN(INDEX(Bases!$Q$2:$Q$53,B669),INDEX(Bases!$Q$2:$Q$53,C669))</f>
        <v>51.3333333333333</v>
      </c>
      <c r="X669" s="2" t="n">
        <f aca="false">Settings!$B$4*MAX(INDEX(Bases!$R$2:$R$53,B669),INDEX(Bases!$R$2:$R$53,C669))+Settings!$B$5*MIN(INDEX(Bases!$R$2:$R$53,B669),INDEX(Bases!$R$2:$R$53,C669))</f>
        <v>67</v>
      </c>
      <c r="Y669" s="2" t="n">
        <f aca="false">S669*Settings!$B$3/SUM(S669:X669)</f>
        <v>81.1128526645768</v>
      </c>
      <c r="Z669" s="2" t="n">
        <f aca="false">T669*Settings!$B$3/SUM(S669:X669)</f>
        <v>92.4764890282132</v>
      </c>
      <c r="AA669" s="2" t="n">
        <f aca="false">U669*Settings!$B$3/SUM(S669:X669)</f>
        <v>112.852664576803</v>
      </c>
      <c r="AB669" s="2" t="n">
        <f aca="false">V669*Settings!$B$3/SUM(S669:X669)</f>
        <v>74.4514106583072</v>
      </c>
      <c r="AC669" s="2" t="n">
        <f aca="false">W669*Settings!$B$3/SUM(S669:X669)</f>
        <v>60.3448275862069</v>
      </c>
      <c r="AD669" s="2" t="n">
        <f aca="false">X669*Settings!$B$3/SUM(S669:X669)</f>
        <v>78.7617554858934</v>
      </c>
      <c r="AE669" s="2" t="n">
        <f aca="false">INT(Y669)</f>
        <v>81</v>
      </c>
      <c r="AF669" s="2" t="n">
        <f aca="false">INT(Z669)</f>
        <v>92</v>
      </c>
      <c r="AG669" s="2" t="n">
        <f aca="false">INT(AA669)</f>
        <v>112</v>
      </c>
      <c r="AH669" s="2" t="n">
        <f aca="false">INT(AB669)</f>
        <v>74</v>
      </c>
      <c r="AI669" s="2" t="n">
        <f aca="false">INT(AC669)</f>
        <v>60</v>
      </c>
      <c r="AJ669" s="2" t="n">
        <f aca="false">INT(AD669)</f>
        <v>78</v>
      </c>
      <c r="AK669" s="2" t="n">
        <f aca="false">Settings!$B$3-SUM(AE669:AJ669)</f>
        <v>3</v>
      </c>
      <c r="AL669" s="2" t="n">
        <f aca="false">ROUND(Y669-AE669,9)</f>
        <v>0.112852665</v>
      </c>
      <c r="AM669" s="2" t="n">
        <f aca="false">ROUND(Z669-AF669,9)</f>
        <v>0.476489028</v>
      </c>
      <c r="AN669" s="2" t="n">
        <f aca="false">ROUND(AA669-AG669,9)</f>
        <v>0.852664577</v>
      </c>
      <c r="AO669" s="2" t="n">
        <f aca="false">ROUND(AB669-AH669,9)</f>
        <v>0.451410658</v>
      </c>
      <c r="AP669" s="2" t="n">
        <f aca="false">ROUND(AC669-AI669,9)</f>
        <v>0.344827586</v>
      </c>
      <c r="AQ669" s="2" t="n">
        <f aca="false">ROUND(AD669-AJ669,9)</f>
        <v>0.761755486</v>
      </c>
    </row>
    <row r="670" customFormat="false" ht="15" hidden="false" customHeight="false" outlineLevel="0" collapsed="false">
      <c r="A670" s="2" t="n">
        <v>669</v>
      </c>
      <c r="B670" s="6" t="n">
        <v>16</v>
      </c>
      <c r="C670" s="6" t="n">
        <v>25</v>
      </c>
      <c r="D670" s="8" t="str">
        <f aca="false">INDEX(Bases!$B$2:$B$53,B670)</f>
        <v>Swinub</v>
      </c>
      <c r="E670" s="8" t="str">
        <f aca="false">INDEX(Bases!$B$2:$B$53,C670)</f>
        <v>Sandshrew</v>
      </c>
      <c r="F670" s="2" t="str">
        <f aca="false">LEFT(D670,ROUNDUP(LEN(D670)/2,0))&amp;LOWER(MID(E670,ROUNDUP(LEN(E670)/2,0)+1,20))</f>
        <v>Swihrew</v>
      </c>
      <c r="G670" s="8" t="str">
        <f aca="false">INDEX(Bases!$C$2:$C$53,B670)</f>
        <v>Ice</v>
      </c>
      <c r="H670" s="8" t="str">
        <f aca="false">IF(INDEX(Bases!$C$2:$C$53,C670)=G670,"",INDEX(Bases!$C$2:$C$53,C670))</f>
        <v>Ground</v>
      </c>
      <c r="I670" s="8" t="str">
        <f aca="false">IF(INDEX(Bases!$E$2:$E$53,B670)="","",INDEX(Bases!$E$2:$E$53,B670))</f>
        <v/>
      </c>
      <c r="J670" s="8" t="str">
        <f aca="false">IF(INDEX(Bases!$E$2:$E$53,C670)="","",INDEX(Bases!$E$2:$E$53,C670))</f>
        <v/>
      </c>
      <c r="K670" s="5"/>
      <c r="L670" s="2" t="n">
        <f aca="false">AE670+IF(SUMPRODUCT(--($AL670:$AQ670&gt;AL670))&lt;$AK670,1,0)</f>
        <v>89</v>
      </c>
      <c r="M670" s="2" t="n">
        <f aca="false">AF670+IF(SUMPRODUCT(--($AL670:$AQ670&gt;AM670))+SUMPRODUCT(--($AL670:AL670=AM670))&lt;$AK670,1,0)</f>
        <v>110</v>
      </c>
      <c r="N670" s="2" t="n">
        <f aca="false">AG670+IF(SUMPRODUCT(--($AL670:$AQ670&gt;AN670))+SUMPRODUCT(--($AL670:AM670=AN670))&lt;$AK670,1,0)</f>
        <v>114</v>
      </c>
      <c r="O670" s="2" t="n">
        <f aca="false">AH670+IF(SUMPRODUCT(--($AL670:$AQ670&gt;AO670))+SUMPRODUCT(--($AL670:AN670=AO670))&lt;$AK670,1,0)</f>
        <v>49</v>
      </c>
      <c r="P670" s="2" t="n">
        <f aca="false">AI670+IF(SUMPRODUCT(--($AL670:$AQ670&gt;AP670))+SUMPRODUCT(--($AL670:AO670=AP670))&lt;$AK670,1,0)</f>
        <v>54</v>
      </c>
      <c r="Q670" s="2" t="n">
        <f aca="false">AJ670+IF(SUMPRODUCT(--($AL670:$AQ670&gt;AQ670))+SUMPRODUCT(--($AL670:AP670=AQ670))&lt;$AK670,1,0)</f>
        <v>84</v>
      </c>
      <c r="R670" s="2" t="n">
        <f aca="false">SUM(L670:Q670)</f>
        <v>500</v>
      </c>
      <c r="S670" s="2" t="n">
        <f aca="false">Settings!$B$4*MAX(INDEX(Bases!$M$2:$M$53,B670),INDEX(Bases!$M$2:$M$53,C670))+Settings!$B$5*MIN(INDEX(Bases!$M$2:$M$53,B670),INDEX(Bases!$M$2:$M$53,C670))</f>
        <v>75.6666666666667</v>
      </c>
      <c r="T670" s="2" t="n">
        <f aca="false">Settings!$B$4*MAX(INDEX(Bases!$N$2:$N$53,B670),INDEX(Bases!$N$2:$N$53,C670))+Settings!$B$5*MIN(INDEX(Bases!$N$2:$N$53,B670),INDEX(Bases!$N$2:$N$53,C670))</f>
        <v>93.3333333333333</v>
      </c>
      <c r="U670" s="2" t="n">
        <f aca="false">Settings!$B$4*MAX(INDEX(Bases!$O$2:$O$53,B670),INDEX(Bases!$O$2:$O$53,C670))+Settings!$B$5*MIN(INDEX(Bases!$O$2:$O$53,B670),INDEX(Bases!$O$2:$O$53,C670))</f>
        <v>96.6666666666667</v>
      </c>
      <c r="V670" s="2" t="n">
        <f aca="false">Settings!$B$4*MAX(INDEX(Bases!$P$2:$P$53,B670),INDEX(Bases!$P$2:$P$53,C670))+Settings!$B$5*MIN(INDEX(Bases!$P$2:$P$53,B670),INDEX(Bases!$P$2:$P$53,C670))</f>
        <v>41</v>
      </c>
      <c r="W670" s="2" t="n">
        <f aca="false">Settings!$B$4*MAX(INDEX(Bases!$Q$2:$Q$53,B670),INDEX(Bases!$Q$2:$Q$53,C670))+Settings!$B$5*MIN(INDEX(Bases!$Q$2:$Q$53,B670),INDEX(Bases!$Q$2:$Q$53,C670))</f>
        <v>45.3333333333333</v>
      </c>
      <c r="X670" s="2" t="n">
        <f aca="false">Settings!$B$4*MAX(INDEX(Bases!$R$2:$R$53,B670),INDEX(Bases!$R$2:$R$53,C670))+Settings!$B$5*MIN(INDEX(Bases!$R$2:$R$53,B670),INDEX(Bases!$R$2:$R$53,C670))</f>
        <v>71</v>
      </c>
      <c r="Y670" s="2" t="n">
        <f aca="false">S670*Settings!$B$3/SUM(S670:X670)</f>
        <v>89.4405043341213</v>
      </c>
      <c r="Z670" s="2" t="n">
        <f aca="false">T670*Settings!$B$3/SUM(S670:X670)</f>
        <v>110.323089046493</v>
      </c>
      <c r="AA670" s="2" t="n">
        <f aca="false">U670*Settings!$B$3/SUM(S670:X670)</f>
        <v>114.263199369582</v>
      </c>
      <c r="AB670" s="2" t="n">
        <f aca="false">V670*Settings!$B$3/SUM(S670:X670)</f>
        <v>48.4633569739953</v>
      </c>
      <c r="AC670" s="2" t="n">
        <f aca="false">W670*Settings!$B$3/SUM(S670:X670)</f>
        <v>53.585500394011</v>
      </c>
      <c r="AD670" s="2" t="n">
        <f aca="false">X670*Settings!$B$3/SUM(S670:X670)</f>
        <v>83.9243498817967</v>
      </c>
      <c r="AE670" s="2" t="n">
        <f aca="false">INT(Y670)</f>
        <v>89</v>
      </c>
      <c r="AF670" s="2" t="n">
        <f aca="false">INT(Z670)</f>
        <v>110</v>
      </c>
      <c r="AG670" s="2" t="n">
        <f aca="false">INT(AA670)</f>
        <v>114</v>
      </c>
      <c r="AH670" s="2" t="n">
        <f aca="false">INT(AB670)</f>
        <v>48</v>
      </c>
      <c r="AI670" s="2" t="n">
        <f aca="false">INT(AC670)</f>
        <v>53</v>
      </c>
      <c r="AJ670" s="2" t="n">
        <f aca="false">INT(AD670)</f>
        <v>83</v>
      </c>
      <c r="AK670" s="2" t="n">
        <f aca="false">Settings!$B$3-SUM(AE670:AJ670)</f>
        <v>3</v>
      </c>
      <c r="AL670" s="2" t="n">
        <f aca="false">ROUND(Y670-AE670,9)</f>
        <v>0.440504334</v>
      </c>
      <c r="AM670" s="2" t="n">
        <f aca="false">ROUND(Z670-AF670,9)</f>
        <v>0.323089046</v>
      </c>
      <c r="AN670" s="2" t="n">
        <f aca="false">ROUND(AA670-AG670,9)</f>
        <v>0.26319937</v>
      </c>
      <c r="AO670" s="2" t="n">
        <f aca="false">ROUND(AB670-AH670,9)</f>
        <v>0.463356974</v>
      </c>
      <c r="AP670" s="2" t="n">
        <f aca="false">ROUND(AC670-AI670,9)</f>
        <v>0.585500394</v>
      </c>
      <c r="AQ670" s="2" t="n">
        <f aca="false">ROUND(AD670-AJ670,9)</f>
        <v>0.924349882</v>
      </c>
    </row>
    <row r="671" customFormat="false" ht="15" hidden="false" customHeight="false" outlineLevel="0" collapsed="false">
      <c r="A671" s="2" t="n">
        <v>670</v>
      </c>
      <c r="B671" s="6" t="n">
        <v>16</v>
      </c>
      <c r="C671" s="6" t="n">
        <v>26</v>
      </c>
      <c r="D671" s="8" t="str">
        <f aca="false">INDEX(Bases!$B$2:$B$53,B671)</f>
        <v>Swinub</v>
      </c>
      <c r="E671" s="8" t="str">
        <f aca="false">INDEX(Bases!$B$2:$B$53,C671)</f>
        <v>Phanpy</v>
      </c>
      <c r="F671" s="2" t="str">
        <f aca="false">LEFT(D671,ROUNDUP(LEN(D671)/2,0))&amp;LOWER(MID(E671,ROUNDUP(LEN(E671)/2,0)+1,20))</f>
        <v>Swinpy</v>
      </c>
      <c r="G671" s="8" t="str">
        <f aca="false">INDEX(Bases!$C$2:$C$53,B671)</f>
        <v>Ice</v>
      </c>
      <c r="H671" s="8" t="str">
        <f aca="false">IF(INDEX(Bases!$C$2:$C$53,C671)=G671,"",INDEX(Bases!$C$2:$C$53,C671))</f>
        <v>Ground</v>
      </c>
      <c r="I671" s="8" t="str">
        <f aca="false">IF(INDEX(Bases!$E$2:$E$53,B671)="","",INDEX(Bases!$E$2:$E$53,B671))</f>
        <v/>
      </c>
      <c r="J671" s="8" t="str">
        <f aca="false">IF(INDEX(Bases!$E$2:$E$53,C671)="","",INDEX(Bases!$E$2:$E$53,C671))</f>
        <v/>
      </c>
      <c r="K671" s="5"/>
      <c r="L671" s="2" t="n">
        <f aca="false">AE671+IF(SUMPRODUCT(--($AL671:$AQ671&gt;AL671))&lt;$AK671,1,0)</f>
        <v>120</v>
      </c>
      <c r="M671" s="2" t="n">
        <f aca="false">AF671+IF(SUMPRODUCT(--($AL671:$AQ671&gt;AM671))+SUMPRODUCT(--($AL671:AL671=AM671))&lt;$AK671,1,0)</f>
        <v>94</v>
      </c>
      <c r="N671" s="2" t="n">
        <f aca="false">AG671+IF(SUMPRODUCT(--($AL671:$AQ671&gt;AN671))+SUMPRODUCT(--($AL671:AM671=AN671))&lt;$AK671,1,0)</f>
        <v>85</v>
      </c>
      <c r="O671" s="2" t="n">
        <f aca="false">AH671+IF(SUMPRODUCT(--($AL671:$AQ671&gt;AO671))+SUMPRODUCT(--($AL671:AN671=AO671))&lt;$AK671,1,0)</f>
        <v>59</v>
      </c>
      <c r="P671" s="2" t="n">
        <f aca="false">AI671+IF(SUMPRODUCT(--($AL671:$AQ671&gt;AP671))+SUMPRODUCT(--($AL671:AO671=AP671))&lt;$AK671,1,0)</f>
        <v>58</v>
      </c>
      <c r="Q671" s="2" t="n">
        <f aca="false">AJ671+IF(SUMPRODUCT(--($AL671:$AQ671&gt;AQ671))+SUMPRODUCT(--($AL671:AP671=AQ671))&lt;$AK671,1,0)</f>
        <v>84</v>
      </c>
      <c r="R671" s="2" t="n">
        <f aca="false">SUM(L671:Q671)</f>
        <v>500</v>
      </c>
      <c r="S671" s="2" t="n">
        <f aca="false">Settings!$B$4*MAX(INDEX(Bases!$M$2:$M$53,B671),INDEX(Bases!$M$2:$M$53,C671))+Settings!$B$5*MIN(INDEX(Bases!$M$2:$M$53,B671),INDEX(Bases!$M$2:$M$53,C671))</f>
        <v>99.3333333333333</v>
      </c>
      <c r="T671" s="2" t="n">
        <f aca="false">Settings!$B$4*MAX(INDEX(Bases!$N$2:$N$53,B671),INDEX(Bases!$N$2:$N$53,C671))+Settings!$B$5*MIN(INDEX(Bases!$N$2:$N$53,B671),INDEX(Bases!$N$2:$N$53,C671))</f>
        <v>77.6666666666667</v>
      </c>
      <c r="U671" s="2" t="n">
        <f aca="false">Settings!$B$4*MAX(INDEX(Bases!$O$2:$O$53,B671),INDEX(Bases!$O$2:$O$53,C671))+Settings!$B$5*MIN(INDEX(Bases!$O$2:$O$53,B671),INDEX(Bases!$O$2:$O$53,C671))</f>
        <v>70</v>
      </c>
      <c r="V671" s="2" t="n">
        <f aca="false">Settings!$B$4*MAX(INDEX(Bases!$P$2:$P$53,B671),INDEX(Bases!$P$2:$P$53,C671))+Settings!$B$5*MIN(INDEX(Bases!$P$2:$P$53,B671),INDEX(Bases!$P$2:$P$53,C671))</f>
        <v>48.6666666666667</v>
      </c>
      <c r="W671" s="2" t="n">
        <f aca="false">Settings!$B$4*MAX(INDEX(Bases!$Q$2:$Q$53,B671),INDEX(Bases!$Q$2:$Q$53,C671))+Settings!$B$5*MIN(INDEX(Bases!$Q$2:$Q$53,B671),INDEX(Bases!$Q$2:$Q$53,C671))</f>
        <v>48</v>
      </c>
      <c r="X671" s="2" t="n">
        <f aca="false">Settings!$B$4*MAX(INDEX(Bases!$R$2:$R$53,B671),INDEX(Bases!$R$2:$R$53,C671))+Settings!$B$5*MIN(INDEX(Bases!$R$2:$R$53,B671),INDEX(Bases!$R$2:$R$53,C671))</f>
        <v>69.3333333333333</v>
      </c>
      <c r="Y671" s="2" t="n">
        <f aca="false">S671*Settings!$B$3/SUM(S671:X671)</f>
        <v>120.258272800646</v>
      </c>
      <c r="Z671" s="2" t="n">
        <f aca="false">T671*Settings!$B$3/SUM(S671:X671)</f>
        <v>94.0274414850686</v>
      </c>
      <c r="AA671" s="2" t="n">
        <f aca="false">U671*Settings!$B$3/SUM(S671:X671)</f>
        <v>84.7457627118644</v>
      </c>
      <c r="AB671" s="2" t="n">
        <f aca="false">V671*Settings!$B$3/SUM(S671:X671)</f>
        <v>58.9184826472962</v>
      </c>
      <c r="AC671" s="2" t="n">
        <f aca="false">W671*Settings!$B$3/SUM(S671:X671)</f>
        <v>58.1113801452785</v>
      </c>
      <c r="AD671" s="2" t="n">
        <f aca="false">X671*Settings!$B$3/SUM(S671:X671)</f>
        <v>83.9386602098467</v>
      </c>
      <c r="AE671" s="2" t="n">
        <f aca="false">INT(Y671)</f>
        <v>120</v>
      </c>
      <c r="AF671" s="2" t="n">
        <f aca="false">INT(Z671)</f>
        <v>94</v>
      </c>
      <c r="AG671" s="2" t="n">
        <f aca="false">INT(AA671)</f>
        <v>84</v>
      </c>
      <c r="AH671" s="2" t="n">
        <f aca="false">INT(AB671)</f>
        <v>58</v>
      </c>
      <c r="AI671" s="2" t="n">
        <f aca="false">INT(AC671)</f>
        <v>58</v>
      </c>
      <c r="AJ671" s="2" t="n">
        <f aca="false">INT(AD671)</f>
        <v>83</v>
      </c>
      <c r="AK671" s="2" t="n">
        <f aca="false">Settings!$B$3-SUM(AE671:AJ671)</f>
        <v>3</v>
      </c>
      <c r="AL671" s="2" t="n">
        <f aca="false">ROUND(Y671-AE671,9)</f>
        <v>0.258272801</v>
      </c>
      <c r="AM671" s="2" t="n">
        <f aca="false">ROUND(Z671-AF671,9)</f>
        <v>0.027441485</v>
      </c>
      <c r="AN671" s="2" t="n">
        <f aca="false">ROUND(AA671-AG671,9)</f>
        <v>0.745762712</v>
      </c>
      <c r="AO671" s="2" t="n">
        <f aca="false">ROUND(AB671-AH671,9)</f>
        <v>0.918482647</v>
      </c>
      <c r="AP671" s="2" t="n">
        <f aca="false">ROUND(AC671-AI671,9)</f>
        <v>0.111380145</v>
      </c>
      <c r="AQ671" s="2" t="n">
        <f aca="false">ROUND(AD671-AJ671,9)</f>
        <v>0.93866021</v>
      </c>
    </row>
    <row r="672" customFormat="false" ht="15" hidden="false" customHeight="false" outlineLevel="0" collapsed="false">
      <c r="A672" s="2" t="n">
        <v>671</v>
      </c>
      <c r="B672" s="6" t="n">
        <v>16</v>
      </c>
      <c r="C672" s="6" t="n">
        <v>27</v>
      </c>
      <c r="D672" s="8" t="str">
        <f aca="false">INDEX(Bases!$B$2:$B$53,B672)</f>
        <v>Swinub</v>
      </c>
      <c r="E672" s="8" t="str">
        <f aca="false">INDEX(Bases!$B$2:$B$53,C672)</f>
        <v>Baltoy</v>
      </c>
      <c r="F672" s="2" t="str">
        <f aca="false">LEFT(D672,ROUNDUP(LEN(D672)/2,0))&amp;LOWER(MID(E672,ROUNDUP(LEN(E672)/2,0)+1,20))</f>
        <v>Switoy</v>
      </c>
      <c r="G672" s="8" t="str">
        <f aca="false">INDEX(Bases!$C$2:$C$53,B672)</f>
        <v>Ice</v>
      </c>
      <c r="H672" s="8" t="str">
        <f aca="false">IF(INDEX(Bases!$C$2:$C$53,C672)=G672,"",INDEX(Bases!$C$2:$C$53,C672))</f>
        <v>Ground</v>
      </c>
      <c r="I672" s="8" t="str">
        <f aca="false">IF(INDEX(Bases!$E$2:$E$53,B672)="","",INDEX(Bases!$E$2:$E$53,B672))</f>
        <v/>
      </c>
      <c r="J672" s="8" t="str">
        <f aca="false">IF(INDEX(Bases!$E$2:$E$53,C672)="","",INDEX(Bases!$E$2:$E$53,C672))</f>
        <v/>
      </c>
      <c r="K672" s="5"/>
      <c r="L672" s="2" t="n">
        <f aca="false">AE672+IF(SUMPRODUCT(--($AL672:$AQ672&gt;AL672))&lt;$AK672,1,0)</f>
        <v>85</v>
      </c>
      <c r="M672" s="2" t="n">
        <f aca="false">AF672+IF(SUMPRODUCT(--($AL672:$AQ672&gt;AM672))+SUMPRODUCT(--($AL672:AL672=AM672))&lt;$AK672,1,0)</f>
        <v>85</v>
      </c>
      <c r="N672" s="2" t="n">
        <f aca="false">AG672+IF(SUMPRODUCT(--($AL672:$AQ672&gt;AN672))+SUMPRODUCT(--($AL672:AM672=AN672))&lt;$AK672,1,0)</f>
        <v>83</v>
      </c>
      <c r="O672" s="2" t="n">
        <f aca="false">AH672+IF(SUMPRODUCT(--($AL672:$AQ672&gt;AO672))+SUMPRODUCT(--($AL672:AN672=AO672))&lt;$AK672,1,0)</f>
        <v>61</v>
      </c>
      <c r="P672" s="2" t="n">
        <f aca="false">AI672+IF(SUMPRODUCT(--($AL672:$AQ672&gt;AP672))+SUMPRODUCT(--($AL672:AO672=AP672))&lt;$AK672,1,0)</f>
        <v>93</v>
      </c>
      <c r="Q672" s="2" t="n">
        <f aca="false">AJ672+IF(SUMPRODUCT(--($AL672:$AQ672&gt;AQ672))+SUMPRODUCT(--($AL672:AP672=AQ672))&lt;$AK672,1,0)</f>
        <v>93</v>
      </c>
      <c r="R672" s="2" t="n">
        <f aca="false">SUM(L672:Q672)</f>
        <v>500</v>
      </c>
      <c r="S672" s="2" t="n">
        <f aca="false">Settings!$B$4*MAX(INDEX(Bases!$M$2:$M$53,B672),INDEX(Bases!$M$2:$M$53,C672))+Settings!$B$5*MIN(INDEX(Bases!$M$2:$M$53,B672),INDEX(Bases!$M$2:$M$53,C672))</f>
        <v>71.3333333333333</v>
      </c>
      <c r="T672" s="2" t="n">
        <f aca="false">Settings!$B$4*MAX(INDEX(Bases!$N$2:$N$53,B672),INDEX(Bases!$N$2:$N$53,C672))+Settings!$B$5*MIN(INDEX(Bases!$N$2:$N$53,B672),INDEX(Bases!$N$2:$N$53,C672))</f>
        <v>71.3333333333333</v>
      </c>
      <c r="U672" s="2" t="n">
        <f aca="false">Settings!$B$4*MAX(INDEX(Bases!$O$2:$O$53,B672),INDEX(Bases!$O$2:$O$53,C672))+Settings!$B$5*MIN(INDEX(Bases!$O$2:$O$53,B672),INDEX(Bases!$O$2:$O$53,C672))</f>
        <v>70</v>
      </c>
      <c r="V672" s="2" t="n">
        <f aca="false">Settings!$B$4*MAX(INDEX(Bases!$P$2:$P$53,B672),INDEX(Bases!$P$2:$P$53,C672))+Settings!$B$5*MIN(INDEX(Bases!$P$2:$P$53,B672),INDEX(Bases!$P$2:$P$53,C672))</f>
        <v>51.3333333333333</v>
      </c>
      <c r="W672" s="2" t="n">
        <f aca="false">Settings!$B$4*MAX(INDEX(Bases!$Q$2:$Q$53,B672),INDEX(Bases!$Q$2:$Q$53,C672))+Settings!$B$5*MIN(INDEX(Bases!$Q$2:$Q$53,B672),INDEX(Bases!$Q$2:$Q$53,C672))</f>
        <v>78</v>
      </c>
      <c r="X672" s="2" t="n">
        <f aca="false">Settings!$B$4*MAX(INDEX(Bases!$R$2:$R$53,B672),INDEX(Bases!$R$2:$R$53,C672))+Settings!$B$5*MIN(INDEX(Bases!$R$2:$R$53,B672),INDEX(Bases!$R$2:$R$53,C672))</f>
        <v>77.6666666666667</v>
      </c>
      <c r="Y672" s="2" t="n">
        <f aca="false">S672*Settings!$B$3/SUM(S672:X672)</f>
        <v>84.988085782367</v>
      </c>
      <c r="Z672" s="2" t="n">
        <f aca="false">T672*Settings!$B$3/SUM(S672:X672)</f>
        <v>84.988085782367</v>
      </c>
      <c r="AA672" s="2" t="n">
        <f aca="false">U672*Settings!$B$3/SUM(S672:X672)</f>
        <v>83.3995234312947</v>
      </c>
      <c r="AB672" s="2" t="n">
        <f aca="false">V672*Settings!$B$3/SUM(S672:X672)</f>
        <v>61.1596505162828</v>
      </c>
      <c r="AC672" s="2" t="n">
        <f aca="false">W672*Settings!$B$3/SUM(S672:X672)</f>
        <v>92.9308975377284</v>
      </c>
      <c r="AD672" s="2" t="n">
        <f aca="false">X672*Settings!$B$3/SUM(S672:X672)</f>
        <v>92.5337569499603</v>
      </c>
      <c r="AE672" s="2" t="n">
        <f aca="false">INT(Y672)</f>
        <v>84</v>
      </c>
      <c r="AF672" s="2" t="n">
        <f aca="false">INT(Z672)</f>
        <v>84</v>
      </c>
      <c r="AG672" s="2" t="n">
        <f aca="false">INT(AA672)</f>
        <v>83</v>
      </c>
      <c r="AH672" s="2" t="n">
        <f aca="false">INT(AB672)</f>
        <v>61</v>
      </c>
      <c r="AI672" s="2" t="n">
        <f aca="false">INT(AC672)</f>
        <v>92</v>
      </c>
      <c r="AJ672" s="2" t="n">
        <f aca="false">INT(AD672)</f>
        <v>92</v>
      </c>
      <c r="AK672" s="2" t="n">
        <f aca="false">Settings!$B$3-SUM(AE672:AJ672)</f>
        <v>4</v>
      </c>
      <c r="AL672" s="2" t="n">
        <f aca="false">ROUND(Y672-AE672,9)</f>
        <v>0.988085782</v>
      </c>
      <c r="AM672" s="2" t="n">
        <f aca="false">ROUND(Z672-AF672,9)</f>
        <v>0.988085782</v>
      </c>
      <c r="AN672" s="2" t="n">
        <f aca="false">ROUND(AA672-AG672,9)</f>
        <v>0.399523431</v>
      </c>
      <c r="AO672" s="2" t="n">
        <f aca="false">ROUND(AB672-AH672,9)</f>
        <v>0.159650516</v>
      </c>
      <c r="AP672" s="2" t="n">
        <f aca="false">ROUND(AC672-AI672,9)</f>
        <v>0.930897538</v>
      </c>
      <c r="AQ672" s="2" t="n">
        <f aca="false">ROUND(AD672-AJ672,9)</f>
        <v>0.53375695</v>
      </c>
    </row>
    <row r="673" customFormat="false" ht="15" hidden="false" customHeight="false" outlineLevel="0" collapsed="false">
      <c r="A673" s="2" t="n">
        <v>672</v>
      </c>
      <c r="B673" s="6" t="n">
        <v>16</v>
      </c>
      <c r="C673" s="6" t="n">
        <v>28</v>
      </c>
      <c r="D673" s="8" t="str">
        <f aca="false">INDEX(Bases!$B$2:$B$53,B673)</f>
        <v>Swinub</v>
      </c>
      <c r="E673" s="8" t="str">
        <f aca="false">INDEX(Bases!$B$2:$B$53,C673)</f>
        <v>Zubat</v>
      </c>
      <c r="F673" s="2" t="str">
        <f aca="false">LEFT(D673,ROUNDUP(LEN(D673)/2,0))&amp;LOWER(MID(E673,ROUNDUP(LEN(E673)/2,0)+1,20))</f>
        <v>Swiat</v>
      </c>
      <c r="G673" s="8" t="str">
        <f aca="false">INDEX(Bases!$C$2:$C$53,B673)</f>
        <v>Ice</v>
      </c>
      <c r="H673" s="8" t="str">
        <f aca="false">IF(INDEX(Bases!$C$2:$C$53,C673)=G673,"",INDEX(Bases!$C$2:$C$53,C673))</f>
        <v>Flying</v>
      </c>
      <c r="I673" s="8" t="str">
        <f aca="false">IF(INDEX(Bases!$E$2:$E$53,B673)="","",INDEX(Bases!$E$2:$E$53,B673))</f>
        <v/>
      </c>
      <c r="J673" s="8" t="str">
        <f aca="false">IF(INDEX(Bases!$E$2:$E$53,C673)="","",INDEX(Bases!$E$2:$E$53,C673))</f>
        <v/>
      </c>
      <c r="K673" s="5"/>
      <c r="L673" s="2" t="n">
        <f aca="false">AE673+IF(SUMPRODUCT(--($AL673:$AQ673&gt;AL673))&lt;$AK673,1,0)</f>
        <v>92</v>
      </c>
      <c r="M673" s="2" t="n">
        <f aca="false">AF673+IF(SUMPRODUCT(--($AL673:$AQ673&gt;AM673))+SUMPRODUCT(--($AL673:AL673=AM673))&lt;$AK673,1,0)</f>
        <v>95</v>
      </c>
      <c r="N673" s="2" t="n">
        <f aca="false">AG673+IF(SUMPRODUCT(--($AL673:$AQ673&gt;AN673))+SUMPRODUCT(--($AL673:AM673=AN673))&lt;$AK673,1,0)</f>
        <v>75</v>
      </c>
      <c r="O673" s="2" t="n">
        <f aca="false">AH673+IF(SUMPRODUCT(--($AL673:$AQ673&gt;AO673))+SUMPRODUCT(--($AL673:AN673=AO673))&lt;$AK673,1,0)</f>
        <v>59</v>
      </c>
      <c r="P673" s="2" t="n">
        <f aca="false">AI673+IF(SUMPRODUCT(--($AL673:$AQ673&gt;AP673))+SUMPRODUCT(--($AL673:AO673=AP673))&lt;$AK673,1,0)</f>
        <v>73</v>
      </c>
      <c r="Q673" s="2" t="n">
        <f aca="false">AJ673+IF(SUMPRODUCT(--($AL673:$AQ673&gt;AQ673))+SUMPRODUCT(--($AL673:AP673=AQ673))&lt;$AK673,1,0)</f>
        <v>106</v>
      </c>
      <c r="R673" s="2" t="n">
        <f aca="false">SUM(L673:Q673)</f>
        <v>500</v>
      </c>
      <c r="S673" s="2" t="n">
        <f aca="false">Settings!$B$4*MAX(INDEX(Bases!$M$2:$M$53,B673),INDEX(Bases!$M$2:$M$53,C673))+Settings!$B$5*MIN(INDEX(Bases!$M$2:$M$53,B673),INDEX(Bases!$M$2:$M$53,C673))</f>
        <v>75</v>
      </c>
      <c r="T673" s="2" t="n">
        <f aca="false">Settings!$B$4*MAX(INDEX(Bases!$N$2:$N$53,B673),INDEX(Bases!$N$2:$N$53,C673))+Settings!$B$5*MIN(INDEX(Bases!$N$2:$N$53,B673),INDEX(Bases!$N$2:$N$53,C673))</f>
        <v>78</v>
      </c>
      <c r="U673" s="2" t="n">
        <f aca="false">Settings!$B$4*MAX(INDEX(Bases!$O$2:$O$53,B673),INDEX(Bases!$O$2:$O$53,C673))+Settings!$B$5*MIN(INDEX(Bases!$O$2:$O$53,B673),INDEX(Bases!$O$2:$O$53,C673))</f>
        <v>61.6666666666667</v>
      </c>
      <c r="V673" s="2" t="n">
        <f aca="false">Settings!$B$4*MAX(INDEX(Bases!$P$2:$P$53,B673),INDEX(Bases!$P$2:$P$53,C673))+Settings!$B$5*MIN(INDEX(Bases!$P$2:$P$53,B673),INDEX(Bases!$P$2:$P$53,C673))</f>
        <v>48.6666666666667</v>
      </c>
      <c r="W673" s="2" t="n">
        <f aca="false">Settings!$B$4*MAX(INDEX(Bases!$Q$2:$Q$53,B673),INDEX(Bases!$Q$2:$Q$53,C673))+Settings!$B$5*MIN(INDEX(Bases!$Q$2:$Q$53,B673),INDEX(Bases!$Q$2:$Q$53,C673))</f>
        <v>59.3333333333333</v>
      </c>
      <c r="X673" s="2" t="n">
        <f aca="false">Settings!$B$4*MAX(INDEX(Bases!$R$2:$R$53,B673),INDEX(Bases!$R$2:$R$53,C673))+Settings!$B$5*MIN(INDEX(Bases!$R$2:$R$53,B673),INDEX(Bases!$R$2:$R$53,C673))</f>
        <v>86.6666666666667</v>
      </c>
      <c r="Y673" s="2" t="n">
        <f aca="false">S673*Settings!$B$3/SUM(S673:X673)</f>
        <v>91.6123778501629</v>
      </c>
      <c r="Z673" s="2" t="n">
        <f aca="false">T673*Settings!$B$3/SUM(S673:X673)</f>
        <v>95.2768729641694</v>
      </c>
      <c r="AA673" s="2" t="n">
        <f aca="false">U673*Settings!$B$3/SUM(S673:X673)</f>
        <v>75.3257328990228</v>
      </c>
      <c r="AB673" s="2" t="n">
        <f aca="false">V673*Settings!$B$3/SUM(S673:X673)</f>
        <v>59.4462540716612</v>
      </c>
      <c r="AC673" s="2" t="n">
        <f aca="false">W673*Settings!$B$3/SUM(S673:X673)</f>
        <v>72.4755700325733</v>
      </c>
      <c r="AD673" s="2" t="n">
        <f aca="false">X673*Settings!$B$3/SUM(S673:X673)</f>
        <v>105.86319218241</v>
      </c>
      <c r="AE673" s="2" t="n">
        <f aca="false">INT(Y673)</f>
        <v>91</v>
      </c>
      <c r="AF673" s="2" t="n">
        <f aca="false">INT(Z673)</f>
        <v>95</v>
      </c>
      <c r="AG673" s="2" t="n">
        <f aca="false">INT(AA673)</f>
        <v>75</v>
      </c>
      <c r="AH673" s="2" t="n">
        <f aca="false">INT(AB673)</f>
        <v>59</v>
      </c>
      <c r="AI673" s="2" t="n">
        <f aca="false">INT(AC673)</f>
        <v>72</v>
      </c>
      <c r="AJ673" s="2" t="n">
        <f aca="false">INT(AD673)</f>
        <v>105</v>
      </c>
      <c r="AK673" s="2" t="n">
        <f aca="false">Settings!$B$3-SUM(AE673:AJ673)</f>
        <v>3</v>
      </c>
      <c r="AL673" s="2" t="n">
        <f aca="false">ROUND(Y673-AE673,9)</f>
        <v>0.61237785</v>
      </c>
      <c r="AM673" s="2" t="n">
        <f aca="false">ROUND(Z673-AF673,9)</f>
        <v>0.276872964</v>
      </c>
      <c r="AN673" s="2" t="n">
        <f aca="false">ROUND(AA673-AG673,9)</f>
        <v>0.325732899</v>
      </c>
      <c r="AO673" s="2" t="n">
        <f aca="false">ROUND(AB673-AH673,9)</f>
        <v>0.446254072</v>
      </c>
      <c r="AP673" s="2" t="n">
        <f aca="false">ROUND(AC673-AI673,9)</f>
        <v>0.475570033</v>
      </c>
      <c r="AQ673" s="2" t="n">
        <f aca="false">ROUND(AD673-AJ673,9)</f>
        <v>0.863192182</v>
      </c>
    </row>
    <row r="674" customFormat="false" ht="15" hidden="false" customHeight="false" outlineLevel="0" collapsed="false">
      <c r="A674" s="2" t="n">
        <v>673</v>
      </c>
      <c r="B674" s="6" t="n">
        <v>16</v>
      </c>
      <c r="C674" s="6" t="n">
        <v>29</v>
      </c>
      <c r="D674" s="8" t="str">
        <f aca="false">INDEX(Bases!$B$2:$B$53,B674)</f>
        <v>Swinub</v>
      </c>
      <c r="E674" s="8" t="str">
        <f aca="false">INDEX(Bases!$B$2:$B$53,C674)</f>
        <v>Murkrow</v>
      </c>
      <c r="F674" s="2" t="str">
        <f aca="false">LEFT(D674,ROUNDUP(LEN(D674)/2,0))&amp;LOWER(MID(E674,ROUNDUP(LEN(E674)/2,0)+1,20))</f>
        <v>Swirow</v>
      </c>
      <c r="G674" s="8" t="str">
        <f aca="false">INDEX(Bases!$C$2:$C$53,B674)</f>
        <v>Ice</v>
      </c>
      <c r="H674" s="8" t="str">
        <f aca="false">IF(INDEX(Bases!$C$2:$C$53,C674)=G674,"",INDEX(Bases!$C$2:$C$53,C674))</f>
        <v>Flying</v>
      </c>
      <c r="I674" s="8" t="str">
        <f aca="false">IF(INDEX(Bases!$E$2:$E$53,B674)="","",INDEX(Bases!$E$2:$E$53,B674))</f>
        <v/>
      </c>
      <c r="J674" s="8" t="str">
        <f aca="false">IF(INDEX(Bases!$E$2:$E$53,C674)="","",INDEX(Bases!$E$2:$E$53,C674))</f>
        <v/>
      </c>
      <c r="K674" s="5"/>
      <c r="L674" s="2" t="n">
        <f aca="false">AE674+IF(SUMPRODUCT(--($AL674:$AQ674&gt;AL674))&lt;$AK674,1,0)</f>
        <v>88</v>
      </c>
      <c r="M674" s="2" t="n">
        <f aca="false">AF674+IF(SUMPRODUCT(--($AL674:$AQ674&gt;AM674))+SUMPRODUCT(--($AL674:AL674=AM674))&lt;$AK674,1,0)</f>
        <v>99</v>
      </c>
      <c r="N674" s="2" t="n">
        <f aca="false">AG674+IF(SUMPRODUCT(--($AL674:$AQ674&gt;AN674))+SUMPRODUCT(--($AL674:AM674=AN674))&lt;$AK674,1,0)</f>
        <v>68</v>
      </c>
      <c r="O674" s="2" t="n">
        <f aca="false">AH674+IF(SUMPRODUCT(--($AL674:$AQ674&gt;AO674))+SUMPRODUCT(--($AL674:AN674=AO674))&lt;$AK674,1,0)</f>
        <v>86</v>
      </c>
      <c r="P674" s="2" t="n">
        <f aca="false">AI674+IF(SUMPRODUCT(--($AL674:$AQ674&gt;AP674))+SUMPRODUCT(--($AL674:AO674=AP674))&lt;$AK674,1,0)</f>
        <v>55</v>
      </c>
      <c r="Q674" s="2" t="n">
        <f aca="false">AJ674+IF(SUMPRODUCT(--($AL674:$AQ674&gt;AQ674))+SUMPRODUCT(--($AL674:AP674=AQ674))&lt;$AK674,1,0)</f>
        <v>104</v>
      </c>
      <c r="R674" s="2" t="n">
        <f aca="false">SUM(L674:Q674)</f>
        <v>500</v>
      </c>
      <c r="S674" s="2" t="n">
        <f aca="false">Settings!$B$4*MAX(INDEX(Bases!$M$2:$M$53,B674),INDEX(Bases!$M$2:$M$53,C674))+Settings!$B$5*MIN(INDEX(Bases!$M$2:$M$53,B674),INDEX(Bases!$M$2:$M$53,C674))</f>
        <v>73</v>
      </c>
      <c r="T674" s="2" t="n">
        <f aca="false">Settings!$B$4*MAX(INDEX(Bases!$N$2:$N$53,B674),INDEX(Bases!$N$2:$N$53,C674))+Settings!$B$5*MIN(INDEX(Bases!$N$2:$N$53,B674),INDEX(Bases!$N$2:$N$53,C674))</f>
        <v>82.6666666666667</v>
      </c>
      <c r="U674" s="2" t="n">
        <f aca="false">Settings!$B$4*MAX(INDEX(Bases!$O$2:$O$53,B674),INDEX(Bases!$O$2:$O$53,C674))+Settings!$B$5*MIN(INDEX(Bases!$O$2:$O$53,B674),INDEX(Bases!$O$2:$O$53,C674))</f>
        <v>56.6666666666667</v>
      </c>
      <c r="V674" s="2" t="n">
        <f aca="false">Settings!$B$4*MAX(INDEX(Bases!$P$2:$P$53,B674),INDEX(Bases!$P$2:$P$53,C674))+Settings!$B$5*MIN(INDEX(Bases!$P$2:$P$53,B674),INDEX(Bases!$P$2:$P$53,C674))</f>
        <v>72</v>
      </c>
      <c r="W674" s="2" t="n">
        <f aca="false">Settings!$B$4*MAX(INDEX(Bases!$Q$2:$Q$53,B674),INDEX(Bases!$Q$2:$Q$53,C674))+Settings!$B$5*MIN(INDEX(Bases!$Q$2:$Q$53,B674),INDEX(Bases!$Q$2:$Q$53,C674))</f>
        <v>45.6666666666667</v>
      </c>
      <c r="X674" s="2" t="n">
        <f aca="false">Settings!$B$4*MAX(INDEX(Bases!$R$2:$R$53,B674),INDEX(Bases!$R$2:$R$53,C674))+Settings!$B$5*MIN(INDEX(Bases!$R$2:$R$53,B674),INDEX(Bases!$R$2:$R$53,C674))</f>
        <v>86.6666666666667</v>
      </c>
      <c r="Y674" s="2" t="n">
        <f aca="false">S674*Settings!$B$3/SUM(S674:X674)</f>
        <v>87.6</v>
      </c>
      <c r="Z674" s="2" t="n">
        <f aca="false">T674*Settings!$B$3/SUM(S674:X674)</f>
        <v>99.2</v>
      </c>
      <c r="AA674" s="2" t="n">
        <f aca="false">U674*Settings!$B$3/SUM(S674:X674)</f>
        <v>68</v>
      </c>
      <c r="AB674" s="2" t="n">
        <f aca="false">V674*Settings!$B$3/SUM(S674:X674)</f>
        <v>86.4</v>
      </c>
      <c r="AC674" s="2" t="n">
        <f aca="false">W674*Settings!$B$3/SUM(S674:X674)</f>
        <v>54.8</v>
      </c>
      <c r="AD674" s="2" t="n">
        <f aca="false">X674*Settings!$B$3/SUM(S674:X674)</f>
        <v>104</v>
      </c>
      <c r="AE674" s="2" t="n">
        <f aca="false">INT(Y674)</f>
        <v>87</v>
      </c>
      <c r="AF674" s="2" t="n">
        <f aca="false">INT(Z674)</f>
        <v>99</v>
      </c>
      <c r="AG674" s="2" t="n">
        <f aca="false">INT(AA674)</f>
        <v>68</v>
      </c>
      <c r="AH674" s="2" t="n">
        <f aca="false">INT(AB674)</f>
        <v>86</v>
      </c>
      <c r="AI674" s="2" t="n">
        <f aca="false">INT(AC674)</f>
        <v>54</v>
      </c>
      <c r="AJ674" s="2" t="n">
        <f aca="false">INT(AD674)</f>
        <v>104</v>
      </c>
      <c r="AK674" s="2" t="n">
        <f aca="false">Settings!$B$3-SUM(AE674:AJ674)</f>
        <v>2</v>
      </c>
      <c r="AL674" s="2" t="n">
        <f aca="false">ROUND(Y674-AE674,9)</f>
        <v>0.6</v>
      </c>
      <c r="AM674" s="2" t="n">
        <f aca="false">ROUND(Z674-AF674,9)</f>
        <v>0.2</v>
      </c>
      <c r="AN674" s="2" t="n">
        <f aca="false">ROUND(AA674-AG674,9)</f>
        <v>0</v>
      </c>
      <c r="AO674" s="2" t="n">
        <f aca="false">ROUND(AB674-AH674,9)</f>
        <v>0.4</v>
      </c>
      <c r="AP674" s="2" t="n">
        <f aca="false">ROUND(AC674-AI674,9)</f>
        <v>0.8</v>
      </c>
      <c r="AQ674" s="2" t="n">
        <f aca="false">ROUND(AD674-AJ674,9)</f>
        <v>0</v>
      </c>
    </row>
    <row r="675" customFormat="false" ht="15" hidden="false" customHeight="false" outlineLevel="0" collapsed="false">
      <c r="A675" s="2" t="n">
        <v>674</v>
      </c>
      <c r="B675" s="6" t="n">
        <v>16</v>
      </c>
      <c r="C675" s="6" t="n">
        <v>30</v>
      </c>
      <c r="D675" s="8" t="str">
        <f aca="false">INDEX(Bases!$B$2:$B$53,B675)</f>
        <v>Swinub</v>
      </c>
      <c r="E675" s="8" t="str">
        <f aca="false">INDEX(Bases!$B$2:$B$53,C675)</f>
        <v>Swablu</v>
      </c>
      <c r="F675" s="2" t="str">
        <f aca="false">LEFT(D675,ROUNDUP(LEN(D675)/2,0))&amp;LOWER(MID(E675,ROUNDUP(LEN(E675)/2,0)+1,20))</f>
        <v>Swiblu</v>
      </c>
      <c r="G675" s="8" t="str">
        <f aca="false">INDEX(Bases!$C$2:$C$53,B675)</f>
        <v>Ice</v>
      </c>
      <c r="H675" s="8" t="str">
        <f aca="false">IF(INDEX(Bases!$C$2:$C$53,C675)=G675,"",INDEX(Bases!$C$2:$C$53,C675))</f>
        <v>Flying</v>
      </c>
      <c r="I675" s="8" t="str">
        <f aca="false">IF(INDEX(Bases!$E$2:$E$53,B675)="","",INDEX(Bases!$E$2:$E$53,B675))</f>
        <v/>
      </c>
      <c r="J675" s="8" t="str">
        <f aca="false">IF(INDEX(Bases!$E$2:$E$53,C675)="","",INDEX(Bases!$E$2:$E$53,C675))</f>
        <v/>
      </c>
      <c r="K675" s="5"/>
      <c r="L675" s="2" t="n">
        <f aca="false">AE675+IF(SUMPRODUCT(--($AL675:$AQ675&gt;AL675))&lt;$AK675,1,0)</f>
        <v>86</v>
      </c>
      <c r="M675" s="2" t="n">
        <f aca="false">AF675+IF(SUMPRODUCT(--($AL675:$AQ675&gt;AM675))+SUMPRODUCT(--($AL675:AL675=AM675))&lt;$AK675,1,0)</f>
        <v>84</v>
      </c>
      <c r="N675" s="2" t="n">
        <f aca="false">AG675+IF(SUMPRODUCT(--($AL675:$AQ675&gt;AN675))+SUMPRODUCT(--($AL675:AM675=AN675))&lt;$AK675,1,0)</f>
        <v>86</v>
      </c>
      <c r="O675" s="2" t="n">
        <f aca="false">AH675+IF(SUMPRODUCT(--($AL675:$AQ675&gt;AO675))+SUMPRODUCT(--($AL675:AN675=AO675))&lt;$AK675,1,0)</f>
        <v>60</v>
      </c>
      <c r="P675" s="2" t="n">
        <f aca="false">AI675+IF(SUMPRODUCT(--($AL675:$AQ675&gt;AP675))+SUMPRODUCT(--($AL675:AO675=AP675))&lt;$AK675,1,0)</f>
        <v>96</v>
      </c>
      <c r="Q675" s="2" t="n">
        <f aca="false">AJ675+IF(SUMPRODUCT(--($AL675:$AQ675&gt;AQ675))+SUMPRODUCT(--($AL675:AP675=AQ675))&lt;$AK675,1,0)</f>
        <v>88</v>
      </c>
      <c r="R675" s="2" t="n">
        <f aca="false">SUM(L675:Q675)</f>
        <v>500</v>
      </c>
      <c r="S675" s="2" t="n">
        <f aca="false">Settings!$B$4*MAX(INDEX(Bases!$M$2:$M$53,B675),INDEX(Bases!$M$2:$M$53,C675))+Settings!$B$5*MIN(INDEX(Bases!$M$2:$M$53,B675),INDEX(Bases!$M$2:$M$53,C675))</f>
        <v>72.6666666666667</v>
      </c>
      <c r="T675" s="2" t="n">
        <f aca="false">Settings!$B$4*MAX(INDEX(Bases!$N$2:$N$53,B675),INDEX(Bases!$N$2:$N$53,C675))+Settings!$B$5*MIN(INDEX(Bases!$N$2:$N$53,B675),INDEX(Bases!$N$2:$N$53,C675))</f>
        <v>70.6666666666667</v>
      </c>
      <c r="U675" s="2" t="n">
        <f aca="false">Settings!$B$4*MAX(INDEX(Bases!$O$2:$O$53,B675),INDEX(Bases!$O$2:$O$53,C675))+Settings!$B$5*MIN(INDEX(Bases!$O$2:$O$53,B675),INDEX(Bases!$O$2:$O$53,C675))</f>
        <v>72.6666666666667</v>
      </c>
      <c r="V675" s="2" t="n">
        <f aca="false">Settings!$B$4*MAX(INDEX(Bases!$P$2:$P$53,B675),INDEX(Bases!$P$2:$P$53,C675))+Settings!$B$5*MIN(INDEX(Bases!$P$2:$P$53,B675),INDEX(Bases!$P$2:$P$53,C675))</f>
        <v>50.6666666666667</v>
      </c>
      <c r="W675" s="2" t="n">
        <f aca="false">Settings!$B$4*MAX(INDEX(Bases!$Q$2:$Q$53,B675),INDEX(Bases!$Q$2:$Q$53,C675))+Settings!$B$5*MIN(INDEX(Bases!$Q$2:$Q$53,B675),INDEX(Bases!$Q$2:$Q$53,C675))</f>
        <v>80.6666666666667</v>
      </c>
      <c r="X675" s="2" t="n">
        <f aca="false">Settings!$B$4*MAX(INDEX(Bases!$R$2:$R$53,B675),INDEX(Bases!$R$2:$R$53,C675))+Settings!$B$5*MIN(INDEX(Bases!$R$2:$R$53,B675),INDEX(Bases!$R$2:$R$53,C675))</f>
        <v>74.6666666666667</v>
      </c>
      <c r="Y675" s="2" t="n">
        <f aca="false">S675*Settings!$B$3/SUM(S675:X675)</f>
        <v>86.0979462875197</v>
      </c>
      <c r="Z675" s="2" t="n">
        <f aca="false">T675*Settings!$B$3/SUM(S675:X675)</f>
        <v>83.7282780410742</v>
      </c>
      <c r="AA675" s="2" t="n">
        <f aca="false">U675*Settings!$B$3/SUM(S675:X675)</f>
        <v>86.0979462875197</v>
      </c>
      <c r="AB675" s="2" t="n">
        <f aca="false">V675*Settings!$B$3/SUM(S675:X675)</f>
        <v>60.0315955766193</v>
      </c>
      <c r="AC675" s="2" t="n">
        <f aca="false">W675*Settings!$B$3/SUM(S675:X675)</f>
        <v>95.5766192733017</v>
      </c>
      <c r="AD675" s="2" t="n">
        <f aca="false">X675*Settings!$B$3/SUM(S675:X675)</f>
        <v>88.4676145339652</v>
      </c>
      <c r="AE675" s="2" t="n">
        <f aca="false">INT(Y675)</f>
        <v>86</v>
      </c>
      <c r="AF675" s="2" t="n">
        <f aca="false">INT(Z675)</f>
        <v>83</v>
      </c>
      <c r="AG675" s="2" t="n">
        <f aca="false">INT(AA675)</f>
        <v>86</v>
      </c>
      <c r="AH675" s="2" t="n">
        <f aca="false">INT(AB675)</f>
        <v>60</v>
      </c>
      <c r="AI675" s="2" t="n">
        <f aca="false">INT(AC675)</f>
        <v>95</v>
      </c>
      <c r="AJ675" s="2" t="n">
        <f aca="false">INT(AD675)</f>
        <v>88</v>
      </c>
      <c r="AK675" s="2" t="n">
        <f aca="false">Settings!$B$3-SUM(AE675:AJ675)</f>
        <v>2</v>
      </c>
      <c r="AL675" s="2" t="n">
        <f aca="false">ROUND(Y675-AE675,9)</f>
        <v>0.097946288</v>
      </c>
      <c r="AM675" s="2" t="n">
        <f aca="false">ROUND(Z675-AF675,9)</f>
        <v>0.728278041</v>
      </c>
      <c r="AN675" s="2" t="n">
        <f aca="false">ROUND(AA675-AG675,9)</f>
        <v>0.097946288</v>
      </c>
      <c r="AO675" s="2" t="n">
        <f aca="false">ROUND(AB675-AH675,9)</f>
        <v>0.031595577</v>
      </c>
      <c r="AP675" s="2" t="n">
        <f aca="false">ROUND(AC675-AI675,9)</f>
        <v>0.576619273</v>
      </c>
      <c r="AQ675" s="2" t="n">
        <f aca="false">ROUND(AD675-AJ675,9)</f>
        <v>0.467614534</v>
      </c>
    </row>
    <row r="676" customFormat="false" ht="15" hidden="false" customHeight="false" outlineLevel="0" collapsed="false">
      <c r="A676" s="2" t="n">
        <v>675</v>
      </c>
      <c r="B676" s="6" t="n">
        <v>16</v>
      </c>
      <c r="C676" s="6" t="n">
        <v>31</v>
      </c>
      <c r="D676" s="8" t="str">
        <f aca="false">INDEX(Bases!$B$2:$B$53,B676)</f>
        <v>Swinub</v>
      </c>
      <c r="E676" s="8" t="str">
        <f aca="false">INDEX(Bases!$B$2:$B$53,C676)</f>
        <v>Mew</v>
      </c>
      <c r="F676" s="2" t="str">
        <f aca="false">LEFT(D676,ROUNDUP(LEN(D676)/2,0))&amp;LOWER(MID(E676,ROUNDUP(LEN(E676)/2,0)+1,20))</f>
        <v>Swiw</v>
      </c>
      <c r="G676" s="8" t="str">
        <f aca="false">INDEX(Bases!$C$2:$C$53,B676)</f>
        <v>Ice</v>
      </c>
      <c r="H676" s="8" t="str">
        <f aca="false">IF(INDEX(Bases!$C$2:$C$53,C676)=G676,"",INDEX(Bases!$C$2:$C$53,C676))</f>
        <v>Psychic</v>
      </c>
      <c r="I676" s="8" t="str">
        <f aca="false">IF(INDEX(Bases!$E$2:$E$53,B676)="","",INDEX(Bases!$E$2:$E$53,B676))</f>
        <v/>
      </c>
      <c r="J676" s="8" t="str">
        <f aca="false">IF(INDEX(Bases!$E$2:$E$53,C676)="","",INDEX(Bases!$E$2:$E$53,C676))</f>
        <v/>
      </c>
      <c r="K676" s="5"/>
      <c r="L676" s="2" t="n">
        <f aca="false">AE676+IF(SUMPRODUCT(--($AL676:$AQ676&gt;AL676))&lt;$AK676,1,0)</f>
        <v>92</v>
      </c>
      <c r="M676" s="2" t="n">
        <f aca="false">AF676+IF(SUMPRODUCT(--($AL676:$AQ676&gt;AM676))+SUMPRODUCT(--($AL676:AL676=AM676))&lt;$AK676,1,0)</f>
        <v>91</v>
      </c>
      <c r="N676" s="2" t="n">
        <f aca="false">AG676+IF(SUMPRODUCT(--($AL676:$AQ676&gt;AN676))+SUMPRODUCT(--($AL676:AM676=AN676))&lt;$AK676,1,0)</f>
        <v>80</v>
      </c>
      <c r="O676" s="2" t="n">
        <f aca="false">AH676+IF(SUMPRODUCT(--($AL676:$AQ676&gt;AO676))+SUMPRODUCT(--($AL676:AN676=AO676))&lt;$AK676,1,0)</f>
        <v>73</v>
      </c>
      <c r="P676" s="2" t="n">
        <f aca="false">AI676+IF(SUMPRODUCT(--($AL676:$AQ676&gt;AP676))+SUMPRODUCT(--($AL676:AO676=AP676))&lt;$AK676,1,0)</f>
        <v>73</v>
      </c>
      <c r="Q676" s="2" t="n">
        <f aca="false">AJ676+IF(SUMPRODUCT(--($AL676:$AQ676&gt;AQ676))+SUMPRODUCT(--($AL676:AP676=AQ676))&lt;$AK676,1,0)</f>
        <v>91</v>
      </c>
      <c r="R676" s="2" t="n">
        <f aca="false">SUM(L676:Q676)</f>
        <v>500</v>
      </c>
      <c r="S676" s="2" t="n">
        <f aca="false">Settings!$B$4*MAX(INDEX(Bases!$M$2:$M$53,B676),INDEX(Bases!$M$2:$M$53,C676))+Settings!$B$5*MIN(INDEX(Bases!$M$2:$M$53,B676),INDEX(Bases!$M$2:$M$53,C676))</f>
        <v>75.6666666666667</v>
      </c>
      <c r="T676" s="2" t="n">
        <f aca="false">Settings!$B$4*MAX(INDEX(Bases!$N$2:$N$53,B676),INDEX(Bases!$N$2:$N$53,C676))+Settings!$B$5*MIN(INDEX(Bases!$N$2:$N$53,B676),INDEX(Bases!$N$2:$N$53,C676))</f>
        <v>75.6666666666667</v>
      </c>
      <c r="U676" s="2" t="n">
        <f aca="false">Settings!$B$4*MAX(INDEX(Bases!$O$2:$O$53,B676),INDEX(Bases!$O$2:$O$53,C676))+Settings!$B$5*MIN(INDEX(Bases!$O$2:$O$53,B676),INDEX(Bases!$O$2:$O$53,C676))</f>
        <v>66</v>
      </c>
      <c r="V676" s="2" t="n">
        <f aca="false">Settings!$B$4*MAX(INDEX(Bases!$P$2:$P$53,B676),INDEX(Bases!$P$2:$P$53,C676))+Settings!$B$5*MIN(INDEX(Bases!$P$2:$P$53,B676),INDEX(Bases!$P$2:$P$53,C676))</f>
        <v>60.6666666666667</v>
      </c>
      <c r="W676" s="2" t="n">
        <f aca="false">Settings!$B$4*MAX(INDEX(Bases!$Q$2:$Q$53,B676),INDEX(Bases!$Q$2:$Q$53,C676))+Settings!$B$5*MIN(INDEX(Bases!$Q$2:$Q$53,B676),INDEX(Bases!$Q$2:$Q$53,C676))</f>
        <v>60</v>
      </c>
      <c r="X676" s="2" t="n">
        <f aca="false">Settings!$B$4*MAX(INDEX(Bases!$R$2:$R$53,B676),INDEX(Bases!$R$2:$R$53,C676))+Settings!$B$5*MIN(INDEX(Bases!$R$2:$R$53,B676),INDEX(Bases!$R$2:$R$53,C676))</f>
        <v>75.3333333333333</v>
      </c>
      <c r="Y676" s="2" t="n">
        <f aca="false">S676*Settings!$B$3/SUM(S676:X676)</f>
        <v>91.5322580645161</v>
      </c>
      <c r="Z676" s="2" t="n">
        <f aca="false">T676*Settings!$B$3/SUM(S676:X676)</f>
        <v>91.5322580645161</v>
      </c>
      <c r="AA676" s="2" t="n">
        <f aca="false">U676*Settings!$B$3/SUM(S676:X676)</f>
        <v>79.8387096774194</v>
      </c>
      <c r="AB676" s="2" t="n">
        <f aca="false">V676*Settings!$B$3/SUM(S676:X676)</f>
        <v>73.3870967741936</v>
      </c>
      <c r="AC676" s="2" t="n">
        <f aca="false">W676*Settings!$B$3/SUM(S676:X676)</f>
        <v>72.5806451612903</v>
      </c>
      <c r="AD676" s="2" t="n">
        <f aca="false">X676*Settings!$B$3/SUM(S676:X676)</f>
        <v>91.1290322580645</v>
      </c>
      <c r="AE676" s="2" t="n">
        <f aca="false">INT(Y676)</f>
        <v>91</v>
      </c>
      <c r="AF676" s="2" t="n">
        <f aca="false">INT(Z676)</f>
        <v>91</v>
      </c>
      <c r="AG676" s="2" t="n">
        <f aca="false">INT(AA676)</f>
        <v>79</v>
      </c>
      <c r="AH676" s="2" t="n">
        <f aca="false">INT(AB676)</f>
        <v>73</v>
      </c>
      <c r="AI676" s="2" t="n">
        <f aca="false">INT(AC676)</f>
        <v>72</v>
      </c>
      <c r="AJ676" s="2" t="n">
        <f aca="false">INT(AD676)</f>
        <v>91</v>
      </c>
      <c r="AK676" s="2" t="n">
        <f aca="false">Settings!$B$3-SUM(AE676:AJ676)</f>
        <v>3</v>
      </c>
      <c r="AL676" s="2" t="n">
        <f aca="false">ROUND(Y676-AE676,9)</f>
        <v>0.532258065</v>
      </c>
      <c r="AM676" s="2" t="n">
        <f aca="false">ROUND(Z676-AF676,9)</f>
        <v>0.532258065</v>
      </c>
      <c r="AN676" s="2" t="n">
        <f aca="false">ROUND(AA676-AG676,9)</f>
        <v>0.838709677</v>
      </c>
      <c r="AO676" s="2" t="n">
        <f aca="false">ROUND(AB676-AH676,9)</f>
        <v>0.387096774</v>
      </c>
      <c r="AP676" s="2" t="n">
        <f aca="false">ROUND(AC676-AI676,9)</f>
        <v>0.580645161</v>
      </c>
      <c r="AQ676" s="2" t="n">
        <f aca="false">ROUND(AD676-AJ676,9)</f>
        <v>0.129032258</v>
      </c>
    </row>
    <row r="677" customFormat="false" ht="15" hidden="false" customHeight="false" outlineLevel="0" collapsed="false">
      <c r="A677" s="2" t="n">
        <v>676</v>
      </c>
      <c r="B677" s="6" t="n">
        <v>16</v>
      </c>
      <c r="C677" s="6" t="n">
        <v>32</v>
      </c>
      <c r="D677" s="8" t="str">
        <f aca="false">INDEX(Bases!$B$2:$B$53,B677)</f>
        <v>Swinub</v>
      </c>
      <c r="E677" s="8" t="str">
        <f aca="false">INDEX(Bases!$B$2:$B$53,C677)</f>
        <v>Spoink</v>
      </c>
      <c r="F677" s="2" t="str">
        <f aca="false">LEFT(D677,ROUNDUP(LEN(D677)/2,0))&amp;LOWER(MID(E677,ROUNDUP(LEN(E677)/2,0)+1,20))</f>
        <v>Swiink</v>
      </c>
      <c r="G677" s="8" t="str">
        <f aca="false">INDEX(Bases!$C$2:$C$53,B677)</f>
        <v>Ice</v>
      </c>
      <c r="H677" s="8" t="str">
        <f aca="false">IF(INDEX(Bases!$C$2:$C$53,C677)=G677,"",INDEX(Bases!$C$2:$C$53,C677))</f>
        <v>Psychic</v>
      </c>
      <c r="I677" s="8" t="str">
        <f aca="false">IF(INDEX(Bases!$E$2:$E$53,B677)="","",INDEX(Bases!$E$2:$E$53,B677))</f>
        <v/>
      </c>
      <c r="J677" s="8" t="str">
        <f aca="false">IF(INDEX(Bases!$E$2:$E$53,C677)="","",INDEX(Bases!$E$2:$E$53,C677))</f>
        <v/>
      </c>
      <c r="K677" s="5"/>
      <c r="L677" s="2" t="n">
        <f aca="false">AE677+IF(SUMPRODUCT(--($AL677:$AQ677&gt;AL677))&lt;$AK677,1,0)</f>
        <v>91</v>
      </c>
      <c r="M677" s="2" t="n">
        <f aca="false">AF677+IF(SUMPRODUCT(--($AL677:$AQ677&gt;AM677))+SUMPRODUCT(--($AL677:AL677=AM677))&lt;$AK677,1,0)</f>
        <v>74</v>
      </c>
      <c r="N677" s="2" t="n">
        <f aca="false">AG677+IF(SUMPRODUCT(--($AL677:$AQ677&gt;AN677))+SUMPRODUCT(--($AL677:AM677=AN677))&lt;$AK677,1,0)</f>
        <v>66</v>
      </c>
      <c r="O677" s="2" t="n">
        <f aca="false">AH677+IF(SUMPRODUCT(--($AL677:$AQ677&gt;AO677))+SUMPRODUCT(--($AL677:AN677=AO677))&lt;$AK677,1,0)</f>
        <v>85</v>
      </c>
      <c r="P677" s="2" t="n">
        <f aca="false">AI677+IF(SUMPRODUCT(--($AL677:$AQ677&gt;AP677))+SUMPRODUCT(--($AL677:AO677=AP677))&lt;$AK677,1,0)</f>
        <v>94</v>
      </c>
      <c r="Q677" s="2" t="n">
        <f aca="false">AJ677+IF(SUMPRODUCT(--($AL677:$AQ677&gt;AQ677))+SUMPRODUCT(--($AL677:AP677=AQ677))&lt;$AK677,1,0)</f>
        <v>90</v>
      </c>
      <c r="R677" s="2" t="n">
        <f aca="false">SUM(L677:Q677)</f>
        <v>500</v>
      </c>
      <c r="S677" s="2" t="n">
        <f aca="false">Settings!$B$4*MAX(INDEX(Bases!$M$2:$M$53,B677),INDEX(Bases!$M$2:$M$53,C677))+Settings!$B$5*MIN(INDEX(Bases!$M$2:$M$53,B677),INDEX(Bases!$M$2:$M$53,C677))</f>
        <v>77.6666666666667</v>
      </c>
      <c r="T677" s="2" t="n">
        <f aca="false">Settings!$B$4*MAX(INDEX(Bases!$N$2:$N$53,B677),INDEX(Bases!$N$2:$N$53,C677))+Settings!$B$5*MIN(INDEX(Bases!$N$2:$N$53,B677),INDEX(Bases!$N$2:$N$53,C677))</f>
        <v>63.3333333333333</v>
      </c>
      <c r="U677" s="2" t="n">
        <f aca="false">Settings!$B$4*MAX(INDEX(Bases!$O$2:$O$53,B677),INDEX(Bases!$O$2:$O$53,C677))+Settings!$B$5*MIN(INDEX(Bases!$O$2:$O$53,B677),INDEX(Bases!$O$2:$O$53,C677))</f>
        <v>56.6666666666667</v>
      </c>
      <c r="V677" s="2" t="n">
        <f aca="false">Settings!$B$4*MAX(INDEX(Bases!$P$2:$P$53,B677),INDEX(Bases!$P$2:$P$53,C677))+Settings!$B$5*MIN(INDEX(Bases!$P$2:$P$53,B677),INDEX(Bases!$P$2:$P$53,C677))</f>
        <v>72.6666666666667</v>
      </c>
      <c r="W677" s="2" t="n">
        <f aca="false">Settings!$B$4*MAX(INDEX(Bases!$Q$2:$Q$53,B677),INDEX(Bases!$Q$2:$Q$53,C677))+Settings!$B$5*MIN(INDEX(Bases!$Q$2:$Q$53,B677),INDEX(Bases!$Q$2:$Q$53,C677))</f>
        <v>80.6666666666667</v>
      </c>
      <c r="X677" s="2" t="n">
        <f aca="false">Settings!$B$4*MAX(INDEX(Bases!$R$2:$R$53,B677),INDEX(Bases!$R$2:$R$53,C677))+Settings!$B$5*MIN(INDEX(Bases!$R$2:$R$53,B677),INDEX(Bases!$R$2:$R$53,C677))</f>
        <v>77.6666666666667</v>
      </c>
      <c r="Y677" s="2" t="n">
        <f aca="false">S677*Settings!$B$3/SUM(S677:X677)</f>
        <v>90.5909797822706</v>
      </c>
      <c r="Z677" s="2" t="n">
        <f aca="false">T677*Settings!$B$3/SUM(S677:X677)</f>
        <v>73.8724727838258</v>
      </c>
      <c r="AA677" s="2" t="n">
        <f aca="false">U677*Settings!$B$3/SUM(S677:X677)</f>
        <v>66.0964230171073</v>
      </c>
      <c r="AB677" s="2" t="n">
        <f aca="false">V677*Settings!$B$3/SUM(S677:X677)</f>
        <v>84.7589424572317</v>
      </c>
      <c r="AC677" s="2" t="n">
        <f aca="false">W677*Settings!$B$3/SUM(S677:X677)</f>
        <v>94.0902021772939</v>
      </c>
      <c r="AD677" s="2" t="n">
        <f aca="false">X677*Settings!$B$3/SUM(S677:X677)</f>
        <v>90.5909797822706</v>
      </c>
      <c r="AE677" s="2" t="n">
        <f aca="false">INT(Y677)</f>
        <v>90</v>
      </c>
      <c r="AF677" s="2" t="n">
        <f aca="false">INT(Z677)</f>
        <v>73</v>
      </c>
      <c r="AG677" s="2" t="n">
        <f aca="false">INT(AA677)</f>
        <v>66</v>
      </c>
      <c r="AH677" s="2" t="n">
        <f aca="false">INT(AB677)</f>
        <v>84</v>
      </c>
      <c r="AI677" s="2" t="n">
        <f aca="false">INT(AC677)</f>
        <v>94</v>
      </c>
      <c r="AJ677" s="2" t="n">
        <f aca="false">INT(AD677)</f>
        <v>90</v>
      </c>
      <c r="AK677" s="2" t="n">
        <f aca="false">Settings!$B$3-SUM(AE677:AJ677)</f>
        <v>3</v>
      </c>
      <c r="AL677" s="2" t="n">
        <f aca="false">ROUND(Y677-AE677,9)</f>
        <v>0.590979782</v>
      </c>
      <c r="AM677" s="2" t="n">
        <f aca="false">ROUND(Z677-AF677,9)</f>
        <v>0.872472784</v>
      </c>
      <c r="AN677" s="2" t="n">
        <f aca="false">ROUND(AA677-AG677,9)</f>
        <v>0.096423017</v>
      </c>
      <c r="AO677" s="2" t="n">
        <f aca="false">ROUND(AB677-AH677,9)</f>
        <v>0.758942457</v>
      </c>
      <c r="AP677" s="2" t="n">
        <f aca="false">ROUND(AC677-AI677,9)</f>
        <v>0.090202177</v>
      </c>
      <c r="AQ677" s="2" t="n">
        <f aca="false">ROUND(AD677-AJ677,9)</f>
        <v>0.590979782</v>
      </c>
    </row>
    <row r="678" customFormat="false" ht="15" hidden="false" customHeight="false" outlineLevel="0" collapsed="false">
      <c r="A678" s="2" t="n">
        <v>677</v>
      </c>
      <c r="B678" s="6" t="n">
        <v>16</v>
      </c>
      <c r="C678" s="6" t="n">
        <v>33</v>
      </c>
      <c r="D678" s="8" t="str">
        <f aca="false">INDEX(Bases!$B$2:$B$53,B678)</f>
        <v>Swinub</v>
      </c>
      <c r="E678" s="8" t="str">
        <f aca="false">INDEX(Bases!$B$2:$B$53,C678)</f>
        <v>Jirachi</v>
      </c>
      <c r="F678" s="2" t="str">
        <f aca="false">LEFT(D678,ROUNDUP(LEN(D678)/2,0))&amp;LOWER(MID(E678,ROUNDUP(LEN(E678)/2,0)+1,20))</f>
        <v>Swichi</v>
      </c>
      <c r="G678" s="8" t="str">
        <f aca="false">INDEX(Bases!$C$2:$C$53,B678)</f>
        <v>Ice</v>
      </c>
      <c r="H678" s="8" t="str">
        <f aca="false">IF(INDEX(Bases!$C$2:$C$53,C678)=G678,"",INDEX(Bases!$C$2:$C$53,C678))</f>
        <v>Psychic</v>
      </c>
      <c r="I678" s="8" t="str">
        <f aca="false">IF(INDEX(Bases!$E$2:$E$53,B678)="","",INDEX(Bases!$E$2:$E$53,B678))</f>
        <v/>
      </c>
      <c r="J678" s="8" t="str">
        <f aca="false">IF(INDEX(Bases!$E$2:$E$53,C678)="","",INDEX(Bases!$E$2:$E$53,C678))</f>
        <v/>
      </c>
      <c r="K678" s="5"/>
      <c r="L678" s="2" t="n">
        <f aca="false">AE678+IF(SUMPRODUCT(--($AL678:$AQ678&gt;AL678))&lt;$AK678,1,0)</f>
        <v>92</v>
      </c>
      <c r="M678" s="2" t="n">
        <f aca="false">AF678+IF(SUMPRODUCT(--($AL678:$AQ678&gt;AM678))+SUMPRODUCT(--($AL678:AL678=AM678))&lt;$AK678,1,0)</f>
        <v>91</v>
      </c>
      <c r="N678" s="2" t="n">
        <f aca="false">AG678+IF(SUMPRODUCT(--($AL678:$AQ678&gt;AN678))+SUMPRODUCT(--($AL678:AM678=AN678))&lt;$AK678,1,0)</f>
        <v>80</v>
      </c>
      <c r="O678" s="2" t="n">
        <f aca="false">AH678+IF(SUMPRODUCT(--($AL678:$AQ678&gt;AO678))+SUMPRODUCT(--($AL678:AN678=AO678))&lt;$AK678,1,0)</f>
        <v>73</v>
      </c>
      <c r="P678" s="2" t="n">
        <f aca="false">AI678+IF(SUMPRODUCT(--($AL678:$AQ678&gt;AP678))+SUMPRODUCT(--($AL678:AO678=AP678))&lt;$AK678,1,0)</f>
        <v>73</v>
      </c>
      <c r="Q678" s="2" t="n">
        <f aca="false">AJ678+IF(SUMPRODUCT(--($AL678:$AQ678&gt;AQ678))+SUMPRODUCT(--($AL678:AP678=AQ678))&lt;$AK678,1,0)</f>
        <v>91</v>
      </c>
      <c r="R678" s="2" t="n">
        <f aca="false">SUM(L678:Q678)</f>
        <v>500</v>
      </c>
      <c r="S678" s="2" t="n">
        <f aca="false">Settings!$B$4*MAX(INDEX(Bases!$M$2:$M$53,B678),INDEX(Bases!$M$2:$M$53,C678))+Settings!$B$5*MIN(INDEX(Bases!$M$2:$M$53,B678),INDEX(Bases!$M$2:$M$53,C678))</f>
        <v>75.6666666666667</v>
      </c>
      <c r="T678" s="2" t="n">
        <f aca="false">Settings!$B$4*MAX(INDEX(Bases!$N$2:$N$53,B678),INDEX(Bases!$N$2:$N$53,C678))+Settings!$B$5*MIN(INDEX(Bases!$N$2:$N$53,B678),INDEX(Bases!$N$2:$N$53,C678))</f>
        <v>75.6666666666667</v>
      </c>
      <c r="U678" s="2" t="n">
        <f aca="false">Settings!$B$4*MAX(INDEX(Bases!$O$2:$O$53,B678),INDEX(Bases!$O$2:$O$53,C678))+Settings!$B$5*MIN(INDEX(Bases!$O$2:$O$53,B678),INDEX(Bases!$O$2:$O$53,C678))</f>
        <v>66</v>
      </c>
      <c r="V678" s="2" t="n">
        <f aca="false">Settings!$B$4*MAX(INDEX(Bases!$P$2:$P$53,B678),INDEX(Bases!$P$2:$P$53,C678))+Settings!$B$5*MIN(INDEX(Bases!$P$2:$P$53,B678),INDEX(Bases!$P$2:$P$53,C678))</f>
        <v>60.6666666666667</v>
      </c>
      <c r="W678" s="2" t="n">
        <f aca="false">Settings!$B$4*MAX(INDEX(Bases!$Q$2:$Q$53,B678),INDEX(Bases!$Q$2:$Q$53,C678))+Settings!$B$5*MIN(INDEX(Bases!$Q$2:$Q$53,B678),INDEX(Bases!$Q$2:$Q$53,C678))</f>
        <v>60</v>
      </c>
      <c r="X678" s="2" t="n">
        <f aca="false">Settings!$B$4*MAX(INDEX(Bases!$R$2:$R$53,B678),INDEX(Bases!$R$2:$R$53,C678))+Settings!$B$5*MIN(INDEX(Bases!$R$2:$R$53,B678),INDEX(Bases!$R$2:$R$53,C678))</f>
        <v>75.3333333333333</v>
      </c>
      <c r="Y678" s="2" t="n">
        <f aca="false">S678*Settings!$B$3/SUM(S678:X678)</f>
        <v>91.5322580645161</v>
      </c>
      <c r="Z678" s="2" t="n">
        <f aca="false">T678*Settings!$B$3/SUM(S678:X678)</f>
        <v>91.5322580645161</v>
      </c>
      <c r="AA678" s="2" t="n">
        <f aca="false">U678*Settings!$B$3/SUM(S678:X678)</f>
        <v>79.8387096774194</v>
      </c>
      <c r="AB678" s="2" t="n">
        <f aca="false">V678*Settings!$B$3/SUM(S678:X678)</f>
        <v>73.3870967741936</v>
      </c>
      <c r="AC678" s="2" t="n">
        <f aca="false">W678*Settings!$B$3/SUM(S678:X678)</f>
        <v>72.5806451612903</v>
      </c>
      <c r="AD678" s="2" t="n">
        <f aca="false">X678*Settings!$B$3/SUM(S678:X678)</f>
        <v>91.1290322580645</v>
      </c>
      <c r="AE678" s="2" t="n">
        <f aca="false">INT(Y678)</f>
        <v>91</v>
      </c>
      <c r="AF678" s="2" t="n">
        <f aca="false">INT(Z678)</f>
        <v>91</v>
      </c>
      <c r="AG678" s="2" t="n">
        <f aca="false">INT(AA678)</f>
        <v>79</v>
      </c>
      <c r="AH678" s="2" t="n">
        <f aca="false">INT(AB678)</f>
        <v>73</v>
      </c>
      <c r="AI678" s="2" t="n">
        <f aca="false">INT(AC678)</f>
        <v>72</v>
      </c>
      <c r="AJ678" s="2" t="n">
        <f aca="false">INT(AD678)</f>
        <v>91</v>
      </c>
      <c r="AK678" s="2" t="n">
        <f aca="false">Settings!$B$3-SUM(AE678:AJ678)</f>
        <v>3</v>
      </c>
      <c r="AL678" s="2" t="n">
        <f aca="false">ROUND(Y678-AE678,9)</f>
        <v>0.532258065</v>
      </c>
      <c r="AM678" s="2" t="n">
        <f aca="false">ROUND(Z678-AF678,9)</f>
        <v>0.532258065</v>
      </c>
      <c r="AN678" s="2" t="n">
        <f aca="false">ROUND(AA678-AG678,9)</f>
        <v>0.838709677</v>
      </c>
      <c r="AO678" s="2" t="n">
        <f aca="false">ROUND(AB678-AH678,9)</f>
        <v>0.387096774</v>
      </c>
      <c r="AP678" s="2" t="n">
        <f aca="false">ROUND(AC678-AI678,9)</f>
        <v>0.580645161</v>
      </c>
      <c r="AQ678" s="2" t="n">
        <f aca="false">ROUND(AD678-AJ678,9)</f>
        <v>0.129032258</v>
      </c>
    </row>
    <row r="679" customFormat="false" ht="15" hidden="false" customHeight="false" outlineLevel="0" collapsed="false">
      <c r="A679" s="2" t="n">
        <v>678</v>
      </c>
      <c r="B679" s="6" t="n">
        <v>16</v>
      </c>
      <c r="C679" s="6" t="n">
        <v>34</v>
      </c>
      <c r="D679" s="8" t="str">
        <f aca="false">INDEX(Bases!$B$2:$B$53,B679)</f>
        <v>Swinub</v>
      </c>
      <c r="E679" s="8" t="str">
        <f aca="false">INDEX(Bases!$B$2:$B$53,C679)</f>
        <v>Paras</v>
      </c>
      <c r="F679" s="2" t="str">
        <f aca="false">LEFT(D679,ROUNDUP(LEN(D679)/2,0))&amp;LOWER(MID(E679,ROUNDUP(LEN(E679)/2,0)+1,20))</f>
        <v>Swias</v>
      </c>
      <c r="G679" s="8" t="str">
        <f aca="false">INDEX(Bases!$C$2:$C$53,B679)</f>
        <v>Ice</v>
      </c>
      <c r="H679" s="8" t="str">
        <f aca="false">IF(INDEX(Bases!$C$2:$C$53,C679)=G679,"",INDEX(Bases!$C$2:$C$53,C679))</f>
        <v>Bug</v>
      </c>
      <c r="I679" s="8" t="str">
        <f aca="false">IF(INDEX(Bases!$E$2:$E$53,B679)="","",INDEX(Bases!$E$2:$E$53,B679))</f>
        <v/>
      </c>
      <c r="J679" s="8" t="str">
        <f aca="false">IF(INDEX(Bases!$E$2:$E$53,C679)="","",INDEX(Bases!$E$2:$E$53,C679))</f>
        <v/>
      </c>
      <c r="K679" s="5"/>
      <c r="L679" s="2" t="n">
        <f aca="false">AE679+IF(SUMPRODUCT(--($AL679:$AQ679&gt;AL679))&lt;$AK679,1,0)</f>
        <v>82</v>
      </c>
      <c r="M679" s="2" t="n">
        <f aca="false">AF679+IF(SUMPRODUCT(--($AL679:$AQ679&gt;AM679))+SUMPRODUCT(--($AL679:AL679=AM679))&lt;$AK679,1,0)</f>
        <v>109</v>
      </c>
      <c r="N679" s="2" t="n">
        <f aca="false">AG679+IF(SUMPRODUCT(--($AL679:$AQ679&gt;AN679))+SUMPRODUCT(--($AL679:AM679=AN679))&lt;$AK679,1,0)</f>
        <v>86</v>
      </c>
      <c r="O679" s="2" t="n">
        <f aca="false">AH679+IF(SUMPRODUCT(--($AL679:$AQ679&gt;AO679))+SUMPRODUCT(--($AL679:AN679=AO679))&lt;$AK679,1,0)</f>
        <v>68</v>
      </c>
      <c r="P679" s="2" t="n">
        <f aca="false">AI679+IF(SUMPRODUCT(--($AL679:$AQ679&gt;AP679))+SUMPRODUCT(--($AL679:AO679=AP679))&lt;$AK679,1,0)</f>
        <v>79</v>
      </c>
      <c r="Q679" s="2" t="n">
        <f aca="false">AJ679+IF(SUMPRODUCT(--($AL679:$AQ679&gt;AQ679))+SUMPRODUCT(--($AL679:AP679=AQ679))&lt;$AK679,1,0)</f>
        <v>76</v>
      </c>
      <c r="R679" s="2" t="n">
        <f aca="false">SUM(L679:Q679)</f>
        <v>500</v>
      </c>
      <c r="S679" s="2" t="n">
        <f aca="false">Settings!$B$4*MAX(INDEX(Bases!$M$2:$M$53,B679),INDEX(Bases!$M$2:$M$53,C679))+Settings!$B$5*MIN(INDEX(Bases!$M$2:$M$53,B679),INDEX(Bases!$M$2:$M$53,C679))</f>
        <v>69.6666666666667</v>
      </c>
      <c r="T679" s="2" t="n">
        <f aca="false">Settings!$B$4*MAX(INDEX(Bases!$N$2:$N$53,B679),INDEX(Bases!$N$2:$N$53,C679))+Settings!$B$5*MIN(INDEX(Bases!$N$2:$N$53,B679),INDEX(Bases!$N$2:$N$53,C679))</f>
        <v>92.6666666666667</v>
      </c>
      <c r="U679" s="2" t="n">
        <f aca="false">Settings!$B$4*MAX(INDEX(Bases!$O$2:$O$53,B679),INDEX(Bases!$O$2:$O$53,C679))+Settings!$B$5*MIN(INDEX(Bases!$O$2:$O$53,B679),INDEX(Bases!$O$2:$O$53,C679))</f>
        <v>72.6666666666667</v>
      </c>
      <c r="V679" s="2" t="n">
        <f aca="false">Settings!$B$4*MAX(INDEX(Bases!$P$2:$P$53,B679),INDEX(Bases!$P$2:$P$53,C679))+Settings!$B$5*MIN(INDEX(Bases!$P$2:$P$53,B679),INDEX(Bases!$P$2:$P$53,C679))</f>
        <v>58</v>
      </c>
      <c r="W679" s="2" t="n">
        <f aca="false">Settings!$B$4*MAX(INDEX(Bases!$Q$2:$Q$53,B679),INDEX(Bases!$Q$2:$Q$53,C679))+Settings!$B$5*MIN(INDEX(Bases!$Q$2:$Q$53,B679),INDEX(Bases!$Q$2:$Q$53,C679))</f>
        <v>67.3333333333333</v>
      </c>
      <c r="X679" s="2" t="n">
        <f aca="false">Settings!$B$4*MAX(INDEX(Bases!$R$2:$R$53,B679),INDEX(Bases!$R$2:$R$53,C679))+Settings!$B$5*MIN(INDEX(Bases!$R$2:$R$53,B679),INDEX(Bases!$R$2:$R$53,C679))</f>
        <v>65</v>
      </c>
      <c r="Y679" s="2" t="n">
        <f aca="false">S679*Settings!$B$3/SUM(S679:X679)</f>
        <v>81.8965517241379</v>
      </c>
      <c r="Z679" s="2" t="n">
        <f aca="false">T679*Settings!$B$3/SUM(S679:X679)</f>
        <v>108.934169278997</v>
      </c>
      <c r="AA679" s="2" t="n">
        <f aca="false">U679*Settings!$B$3/SUM(S679:X679)</f>
        <v>85.423197492163</v>
      </c>
      <c r="AB679" s="2" t="n">
        <f aca="false">V679*Settings!$B$3/SUM(S679:X679)</f>
        <v>68.1818181818182</v>
      </c>
      <c r="AC679" s="2" t="n">
        <f aca="false">W679*Settings!$B$3/SUM(S679:X679)</f>
        <v>79.153605015674</v>
      </c>
      <c r="AD679" s="2" t="n">
        <f aca="false">X679*Settings!$B$3/SUM(S679:X679)</f>
        <v>76.41065830721</v>
      </c>
      <c r="AE679" s="2" t="n">
        <f aca="false">INT(Y679)</f>
        <v>81</v>
      </c>
      <c r="AF679" s="2" t="n">
        <f aca="false">INT(Z679)</f>
        <v>108</v>
      </c>
      <c r="AG679" s="2" t="n">
        <f aca="false">INT(AA679)</f>
        <v>85</v>
      </c>
      <c r="AH679" s="2" t="n">
        <f aca="false">INT(AB679)</f>
        <v>68</v>
      </c>
      <c r="AI679" s="2" t="n">
        <f aca="false">INT(AC679)</f>
        <v>79</v>
      </c>
      <c r="AJ679" s="2" t="n">
        <f aca="false">INT(AD679)</f>
        <v>76</v>
      </c>
      <c r="AK679" s="2" t="n">
        <f aca="false">Settings!$B$3-SUM(AE679:AJ679)</f>
        <v>3</v>
      </c>
      <c r="AL679" s="2" t="n">
        <f aca="false">ROUND(Y679-AE679,9)</f>
        <v>0.896551724</v>
      </c>
      <c r="AM679" s="2" t="n">
        <f aca="false">ROUND(Z679-AF679,9)</f>
        <v>0.934169279</v>
      </c>
      <c r="AN679" s="2" t="n">
        <f aca="false">ROUND(AA679-AG679,9)</f>
        <v>0.423197492</v>
      </c>
      <c r="AO679" s="2" t="n">
        <f aca="false">ROUND(AB679-AH679,9)</f>
        <v>0.181818182</v>
      </c>
      <c r="AP679" s="2" t="n">
        <f aca="false">ROUND(AC679-AI679,9)</f>
        <v>0.153605016</v>
      </c>
      <c r="AQ679" s="2" t="n">
        <f aca="false">ROUND(AD679-AJ679,9)</f>
        <v>0.410658307</v>
      </c>
    </row>
    <row r="680" customFormat="false" ht="15" hidden="false" customHeight="false" outlineLevel="0" collapsed="false">
      <c r="A680" s="2" t="n">
        <v>679</v>
      </c>
      <c r="B680" s="6" t="n">
        <v>16</v>
      </c>
      <c r="C680" s="6" t="n">
        <v>35</v>
      </c>
      <c r="D680" s="8" t="str">
        <f aca="false">INDEX(Bases!$B$2:$B$53,B680)</f>
        <v>Swinub</v>
      </c>
      <c r="E680" s="8" t="str">
        <f aca="false">INDEX(Bases!$B$2:$B$53,C680)</f>
        <v>Pineco</v>
      </c>
      <c r="F680" s="2" t="str">
        <f aca="false">LEFT(D680,ROUNDUP(LEN(D680)/2,0))&amp;LOWER(MID(E680,ROUNDUP(LEN(E680)/2,0)+1,20))</f>
        <v>Swieco</v>
      </c>
      <c r="G680" s="8" t="str">
        <f aca="false">INDEX(Bases!$C$2:$C$53,B680)</f>
        <v>Ice</v>
      </c>
      <c r="H680" s="8" t="str">
        <f aca="false">IF(INDEX(Bases!$C$2:$C$53,C680)=G680,"",INDEX(Bases!$C$2:$C$53,C680))</f>
        <v>Bug</v>
      </c>
      <c r="I680" s="8" t="str">
        <f aca="false">IF(INDEX(Bases!$E$2:$E$53,B680)="","",INDEX(Bases!$E$2:$E$53,B680))</f>
        <v/>
      </c>
      <c r="J680" s="8" t="str">
        <f aca="false">IF(INDEX(Bases!$E$2:$E$53,C680)="","",INDEX(Bases!$E$2:$E$53,C680))</f>
        <v/>
      </c>
      <c r="K680" s="5"/>
      <c r="L680" s="2" t="n">
        <f aca="false">AE680+IF(SUMPRODUCT(--($AL680:$AQ680&gt;AL680))&lt;$AK680,1,0)</f>
        <v>90</v>
      </c>
      <c r="M680" s="2" t="n">
        <f aca="false">AF680+IF(SUMPRODUCT(--($AL680:$AQ680&gt;AM680))+SUMPRODUCT(--($AL680:AL680=AM680))&lt;$AK680,1,0)</f>
        <v>102</v>
      </c>
      <c r="N680" s="2" t="n">
        <f aca="false">AG680+IF(SUMPRODUCT(--($AL680:$AQ680&gt;AN680))+SUMPRODUCT(--($AL680:AM680=AN680))&lt;$AK680,1,0)</f>
        <v>123</v>
      </c>
      <c r="O680" s="2" t="n">
        <f aca="false">AH680+IF(SUMPRODUCT(--($AL680:$AQ680&gt;AO680))+SUMPRODUCT(--($AL680:AN680=AO680))&lt;$AK680,1,0)</f>
        <v>57</v>
      </c>
      <c r="P680" s="2" t="n">
        <f aca="false">AI680+IF(SUMPRODUCT(--($AL680:$AQ680&gt;AP680))+SUMPRODUCT(--($AL680:AO680=AP680))&lt;$AK680,1,0)</f>
        <v>57</v>
      </c>
      <c r="Q680" s="2" t="n">
        <f aca="false">AJ680+IF(SUMPRODUCT(--($AL680:$AQ680&gt;AQ680))+SUMPRODUCT(--($AL680:AP680=AQ680))&lt;$AK680,1,0)</f>
        <v>71</v>
      </c>
      <c r="R680" s="2" t="n">
        <f aca="false">SUM(L680:Q680)</f>
        <v>500</v>
      </c>
      <c r="S680" s="2" t="n">
        <f aca="false">Settings!$B$4*MAX(INDEX(Bases!$M$2:$M$53,B680),INDEX(Bases!$M$2:$M$53,C680))+Settings!$B$5*MIN(INDEX(Bases!$M$2:$M$53,B680),INDEX(Bases!$M$2:$M$53,C680))</f>
        <v>76.3333333333333</v>
      </c>
      <c r="T680" s="2" t="n">
        <f aca="false">Settings!$B$4*MAX(INDEX(Bases!$N$2:$N$53,B680),INDEX(Bases!$N$2:$N$53,C680))+Settings!$B$5*MIN(INDEX(Bases!$N$2:$N$53,B680),INDEX(Bases!$N$2:$N$53,C680))</f>
        <v>86.6666666666667</v>
      </c>
      <c r="U680" s="2" t="n">
        <f aca="false">Settings!$B$4*MAX(INDEX(Bases!$O$2:$O$53,B680),INDEX(Bases!$O$2:$O$53,C680))+Settings!$B$5*MIN(INDEX(Bases!$O$2:$O$53,B680),INDEX(Bases!$O$2:$O$53,C680))</f>
        <v>104</v>
      </c>
      <c r="V680" s="2" t="n">
        <f aca="false">Settings!$B$4*MAX(INDEX(Bases!$P$2:$P$53,B680),INDEX(Bases!$P$2:$P$53,C680))+Settings!$B$5*MIN(INDEX(Bases!$P$2:$P$53,B680),INDEX(Bases!$P$2:$P$53,C680))</f>
        <v>48</v>
      </c>
      <c r="W680" s="2" t="n">
        <f aca="false">Settings!$B$4*MAX(INDEX(Bases!$Q$2:$Q$53,B680),INDEX(Bases!$Q$2:$Q$53,C680))+Settings!$B$5*MIN(INDEX(Bases!$Q$2:$Q$53,B680),INDEX(Bases!$Q$2:$Q$53,C680))</f>
        <v>48</v>
      </c>
      <c r="X680" s="2" t="n">
        <f aca="false">Settings!$B$4*MAX(INDEX(Bases!$R$2:$R$53,B680),INDEX(Bases!$R$2:$R$53,C680))+Settings!$B$5*MIN(INDEX(Bases!$R$2:$R$53,B680),INDEX(Bases!$R$2:$R$53,C680))</f>
        <v>60.3333333333333</v>
      </c>
      <c r="Y680" s="2" t="n">
        <f aca="false">S680*Settings!$B$3/SUM(S680:X680)</f>
        <v>90.1574803149606</v>
      </c>
      <c r="Z680" s="2" t="n">
        <f aca="false">T680*Settings!$B$3/SUM(S680:X680)</f>
        <v>102.362204724409</v>
      </c>
      <c r="AA680" s="2" t="n">
        <f aca="false">U680*Settings!$B$3/SUM(S680:X680)</f>
        <v>122.834645669291</v>
      </c>
      <c r="AB680" s="2" t="n">
        <f aca="false">V680*Settings!$B$3/SUM(S680:X680)</f>
        <v>56.6929133858268</v>
      </c>
      <c r="AC680" s="2" t="n">
        <f aca="false">W680*Settings!$B$3/SUM(S680:X680)</f>
        <v>56.6929133858268</v>
      </c>
      <c r="AD680" s="2" t="n">
        <f aca="false">X680*Settings!$B$3/SUM(S680:X680)</f>
        <v>71.259842519685</v>
      </c>
      <c r="AE680" s="2" t="n">
        <f aca="false">INT(Y680)</f>
        <v>90</v>
      </c>
      <c r="AF680" s="2" t="n">
        <f aca="false">INT(Z680)</f>
        <v>102</v>
      </c>
      <c r="AG680" s="2" t="n">
        <f aca="false">INT(AA680)</f>
        <v>122</v>
      </c>
      <c r="AH680" s="2" t="n">
        <f aca="false">INT(AB680)</f>
        <v>56</v>
      </c>
      <c r="AI680" s="2" t="n">
        <f aca="false">INT(AC680)</f>
        <v>56</v>
      </c>
      <c r="AJ680" s="2" t="n">
        <f aca="false">INT(AD680)</f>
        <v>71</v>
      </c>
      <c r="AK680" s="2" t="n">
        <f aca="false">Settings!$B$3-SUM(AE680:AJ680)</f>
        <v>3</v>
      </c>
      <c r="AL680" s="2" t="n">
        <f aca="false">ROUND(Y680-AE680,9)</f>
        <v>0.157480315</v>
      </c>
      <c r="AM680" s="2" t="n">
        <f aca="false">ROUND(Z680-AF680,9)</f>
        <v>0.362204724</v>
      </c>
      <c r="AN680" s="2" t="n">
        <f aca="false">ROUND(AA680-AG680,9)</f>
        <v>0.834645669</v>
      </c>
      <c r="AO680" s="2" t="n">
        <f aca="false">ROUND(AB680-AH680,9)</f>
        <v>0.692913386</v>
      </c>
      <c r="AP680" s="2" t="n">
        <f aca="false">ROUND(AC680-AI680,9)</f>
        <v>0.692913386</v>
      </c>
      <c r="AQ680" s="2" t="n">
        <f aca="false">ROUND(AD680-AJ680,9)</f>
        <v>0.25984252</v>
      </c>
    </row>
    <row r="681" customFormat="false" ht="15" hidden="false" customHeight="false" outlineLevel="0" collapsed="false">
      <c r="A681" s="2" t="n">
        <v>680</v>
      </c>
      <c r="B681" s="6" t="n">
        <v>16</v>
      </c>
      <c r="C681" s="6" t="n">
        <v>36</v>
      </c>
      <c r="D681" s="8" t="str">
        <f aca="false">INDEX(Bases!$B$2:$B$53,B681)</f>
        <v>Swinub</v>
      </c>
      <c r="E681" s="8" t="str">
        <f aca="false">INDEX(Bases!$B$2:$B$53,C681)</f>
        <v>Wurmple</v>
      </c>
      <c r="F681" s="2" t="str">
        <f aca="false">LEFT(D681,ROUNDUP(LEN(D681)/2,0))&amp;LOWER(MID(E681,ROUNDUP(LEN(E681)/2,0)+1,20))</f>
        <v>Swiple</v>
      </c>
      <c r="G681" s="8" t="str">
        <f aca="false">INDEX(Bases!$C$2:$C$53,B681)</f>
        <v>Ice</v>
      </c>
      <c r="H681" s="8" t="str">
        <f aca="false">IF(INDEX(Bases!$C$2:$C$53,C681)=G681,"",INDEX(Bases!$C$2:$C$53,C681))</f>
        <v>Bug</v>
      </c>
      <c r="I681" s="8" t="str">
        <f aca="false">IF(INDEX(Bases!$E$2:$E$53,B681)="","",INDEX(Bases!$E$2:$E$53,B681))</f>
        <v/>
      </c>
      <c r="J681" s="8" t="str">
        <f aca="false">IF(INDEX(Bases!$E$2:$E$53,C681)="","",INDEX(Bases!$E$2:$E$53,C681))</f>
        <v/>
      </c>
      <c r="K681" s="5"/>
      <c r="L681" s="2" t="n">
        <f aca="false">AE681+IF(SUMPRODUCT(--($AL681:$AQ681&gt;AL681))&lt;$AK681,1,0)</f>
        <v>106</v>
      </c>
      <c r="M681" s="2" t="n">
        <f aca="false">AF681+IF(SUMPRODUCT(--($AL681:$AQ681&gt;AM681))+SUMPRODUCT(--($AL681:AL681=AM681))&lt;$AK681,1,0)</f>
        <v>106</v>
      </c>
      <c r="N681" s="2" t="n">
        <f aca="false">AG681+IF(SUMPRODUCT(--($AL681:$AQ681&gt;AN681))+SUMPRODUCT(--($AL681:AM681=AN681))&lt;$AK681,1,0)</f>
        <v>83</v>
      </c>
      <c r="O681" s="2" t="n">
        <f aca="false">AH681+IF(SUMPRODUCT(--($AL681:$AQ681&gt;AO681))+SUMPRODUCT(--($AL681:AN681=AO681))&lt;$AK681,1,0)</f>
        <v>55</v>
      </c>
      <c r="P681" s="2" t="n">
        <f aca="false">AI681+IF(SUMPRODUCT(--($AL681:$AQ681&gt;AP681))+SUMPRODUCT(--($AL681:AO681=AP681))&lt;$AK681,1,0)</f>
        <v>69</v>
      </c>
      <c r="Q681" s="2" t="n">
        <f aca="false">AJ681+IF(SUMPRODUCT(--($AL681:$AQ681&gt;AQ681))+SUMPRODUCT(--($AL681:AP681=AQ681))&lt;$AK681,1,0)</f>
        <v>81</v>
      </c>
      <c r="R681" s="2" t="n">
        <f aca="false">SUM(L681:Q681)</f>
        <v>500</v>
      </c>
      <c r="S681" s="2" t="n">
        <f aca="false">Settings!$B$4*MAX(INDEX(Bases!$M$2:$M$53,B681),INDEX(Bases!$M$2:$M$53,C681))+Settings!$B$5*MIN(INDEX(Bases!$M$2:$M$53,B681),INDEX(Bases!$M$2:$M$53,C681))</f>
        <v>88</v>
      </c>
      <c r="T681" s="2" t="n">
        <f aca="false">Settings!$B$4*MAX(INDEX(Bases!$N$2:$N$53,B681),INDEX(Bases!$N$2:$N$53,C681))+Settings!$B$5*MIN(INDEX(Bases!$N$2:$N$53,B681),INDEX(Bases!$N$2:$N$53,C681))</f>
        <v>88</v>
      </c>
      <c r="U681" s="2" t="n">
        <f aca="false">Settings!$B$4*MAX(INDEX(Bases!$O$2:$O$53,B681),INDEX(Bases!$O$2:$O$53,C681))+Settings!$B$5*MIN(INDEX(Bases!$O$2:$O$53,B681),INDEX(Bases!$O$2:$O$53,C681))</f>
        <v>69.3333333333333</v>
      </c>
      <c r="V681" s="2" t="n">
        <f aca="false">Settings!$B$4*MAX(INDEX(Bases!$P$2:$P$53,B681),INDEX(Bases!$P$2:$P$53,C681))+Settings!$B$5*MIN(INDEX(Bases!$P$2:$P$53,B681),INDEX(Bases!$P$2:$P$53,C681))</f>
        <v>45.6666666666667</v>
      </c>
      <c r="W681" s="2" t="n">
        <f aca="false">Settings!$B$4*MAX(INDEX(Bases!$Q$2:$Q$53,B681),INDEX(Bases!$Q$2:$Q$53,C681))+Settings!$B$5*MIN(INDEX(Bases!$Q$2:$Q$53,B681),INDEX(Bases!$Q$2:$Q$53,C681))</f>
        <v>57.3333333333333</v>
      </c>
      <c r="X681" s="2" t="n">
        <f aca="false">Settings!$B$4*MAX(INDEX(Bases!$R$2:$R$53,B681),INDEX(Bases!$R$2:$R$53,C681))+Settings!$B$5*MIN(INDEX(Bases!$R$2:$R$53,B681),INDEX(Bases!$R$2:$R$53,C681))</f>
        <v>67</v>
      </c>
      <c r="Y681" s="2" t="n">
        <f aca="false">S681*Settings!$B$3/SUM(S681:X681)</f>
        <v>105.939004815409</v>
      </c>
      <c r="Z681" s="2" t="n">
        <f aca="false">T681*Settings!$B$3/SUM(S681:X681)</f>
        <v>105.939004815409</v>
      </c>
      <c r="AA681" s="2" t="n">
        <f aca="false">U681*Settings!$B$3/SUM(S681:X681)</f>
        <v>83.4670947030498</v>
      </c>
      <c r="AB681" s="2" t="n">
        <f aca="false">V681*Settings!$B$3/SUM(S681:X681)</f>
        <v>54.9759229534511</v>
      </c>
      <c r="AC681" s="2" t="n">
        <f aca="false">W681*Settings!$B$3/SUM(S681:X681)</f>
        <v>69.0208667736758</v>
      </c>
      <c r="AD681" s="2" t="n">
        <f aca="false">X681*Settings!$B$3/SUM(S681:X681)</f>
        <v>80.6581059390048</v>
      </c>
      <c r="AE681" s="2" t="n">
        <f aca="false">INT(Y681)</f>
        <v>105</v>
      </c>
      <c r="AF681" s="2" t="n">
        <f aca="false">INT(Z681)</f>
        <v>105</v>
      </c>
      <c r="AG681" s="2" t="n">
        <f aca="false">INT(AA681)</f>
        <v>83</v>
      </c>
      <c r="AH681" s="2" t="n">
        <f aca="false">INT(AB681)</f>
        <v>54</v>
      </c>
      <c r="AI681" s="2" t="n">
        <f aca="false">INT(AC681)</f>
        <v>69</v>
      </c>
      <c r="AJ681" s="2" t="n">
        <f aca="false">INT(AD681)</f>
        <v>80</v>
      </c>
      <c r="AK681" s="2" t="n">
        <f aca="false">Settings!$B$3-SUM(AE681:AJ681)</f>
        <v>4</v>
      </c>
      <c r="AL681" s="2" t="n">
        <f aca="false">ROUND(Y681-AE681,9)</f>
        <v>0.939004815</v>
      </c>
      <c r="AM681" s="2" t="n">
        <f aca="false">ROUND(Z681-AF681,9)</f>
        <v>0.939004815</v>
      </c>
      <c r="AN681" s="2" t="n">
        <f aca="false">ROUND(AA681-AG681,9)</f>
        <v>0.467094703</v>
      </c>
      <c r="AO681" s="2" t="n">
        <f aca="false">ROUND(AB681-AH681,9)</f>
        <v>0.975922953</v>
      </c>
      <c r="AP681" s="2" t="n">
        <f aca="false">ROUND(AC681-AI681,9)</f>
        <v>0.020866774</v>
      </c>
      <c r="AQ681" s="2" t="n">
        <f aca="false">ROUND(AD681-AJ681,9)</f>
        <v>0.658105939</v>
      </c>
    </row>
    <row r="682" customFormat="false" ht="15" hidden="false" customHeight="false" outlineLevel="0" collapsed="false">
      <c r="A682" s="2" t="n">
        <v>681</v>
      </c>
      <c r="B682" s="6" t="n">
        <v>16</v>
      </c>
      <c r="C682" s="6" t="n">
        <v>37</v>
      </c>
      <c r="D682" s="8" t="str">
        <f aca="false">INDEX(Bases!$B$2:$B$53,B682)</f>
        <v>Swinub</v>
      </c>
      <c r="E682" s="8" t="str">
        <f aca="false">INDEX(Bases!$B$2:$B$53,C682)</f>
        <v>Shuckle</v>
      </c>
      <c r="F682" s="2" t="str">
        <f aca="false">LEFT(D682,ROUNDUP(LEN(D682)/2,0))&amp;LOWER(MID(E682,ROUNDUP(LEN(E682)/2,0)+1,20))</f>
        <v>Swikle</v>
      </c>
      <c r="G682" s="8" t="str">
        <f aca="false">INDEX(Bases!$C$2:$C$53,B682)</f>
        <v>Ice</v>
      </c>
      <c r="H682" s="8" t="str">
        <f aca="false">IF(INDEX(Bases!$C$2:$C$53,C682)=G682,"",INDEX(Bases!$C$2:$C$53,C682))</f>
        <v>Rock</v>
      </c>
      <c r="I682" s="8" t="str">
        <f aca="false">IF(INDEX(Bases!$E$2:$E$53,B682)="","",INDEX(Bases!$E$2:$E$53,B682))</f>
        <v/>
      </c>
      <c r="J682" s="8" t="str">
        <f aca="false">IF(INDEX(Bases!$E$2:$E$53,C682)="","",INDEX(Bases!$E$2:$E$53,C682))</f>
        <v/>
      </c>
      <c r="K682" s="5"/>
      <c r="L682" s="2" t="n">
        <f aca="false">AE682+IF(SUMPRODUCT(--($AL682:$AQ682&gt;AL682))&lt;$AK682,1,0)</f>
        <v>61</v>
      </c>
      <c r="M682" s="2" t="n">
        <f aca="false">AF682+IF(SUMPRODUCT(--($AL682:$AQ682&gt;AM682))+SUMPRODUCT(--($AL682:AL682=AM682))&lt;$AK682,1,0)</f>
        <v>58</v>
      </c>
      <c r="N682" s="2" t="n">
        <f aca="false">AG682+IF(SUMPRODUCT(--($AL682:$AQ682&gt;AN682))+SUMPRODUCT(--($AL682:AM682=AN682))&lt;$AK682,1,0)</f>
        <v>147</v>
      </c>
      <c r="O682" s="2" t="n">
        <f aca="false">AH682+IF(SUMPRODUCT(--($AL682:$AQ682&gt;AO682))+SUMPRODUCT(--($AL682:AN682=AO682))&lt;$AK682,1,0)</f>
        <v>36</v>
      </c>
      <c r="P682" s="2" t="n">
        <f aca="false">AI682+IF(SUMPRODUCT(--($AL682:$AQ682&gt;AP682))+SUMPRODUCT(--($AL682:AO682=AP682))&lt;$AK682,1,0)</f>
        <v>142</v>
      </c>
      <c r="Q682" s="2" t="n">
        <f aca="false">AJ682+IF(SUMPRODUCT(--($AL682:$AQ682&gt;AQ682))+SUMPRODUCT(--($AL682:AP682=AQ682))&lt;$AK682,1,0)</f>
        <v>56</v>
      </c>
      <c r="R682" s="2" t="n">
        <f aca="false">SUM(L682:Q682)</f>
        <v>500</v>
      </c>
      <c r="S682" s="2" t="n">
        <f aca="false">Settings!$B$4*MAX(INDEX(Bases!$M$2:$M$53,B682),INDEX(Bases!$M$2:$M$53,C682))+Settings!$B$5*MIN(INDEX(Bases!$M$2:$M$53,B682),INDEX(Bases!$M$2:$M$53,C682))</f>
        <v>58.6666666666667</v>
      </c>
      <c r="T682" s="2" t="n">
        <f aca="false">Settings!$B$4*MAX(INDEX(Bases!$N$2:$N$53,B682),INDEX(Bases!$N$2:$N$53,C682))+Settings!$B$5*MIN(INDEX(Bases!$N$2:$N$53,B682),INDEX(Bases!$N$2:$N$53,C682))</f>
        <v>56</v>
      </c>
      <c r="U682" s="2" t="n">
        <f aca="false">Settings!$B$4*MAX(INDEX(Bases!$O$2:$O$53,B682),INDEX(Bases!$O$2:$O$53,C682))+Settings!$B$5*MIN(INDEX(Bases!$O$2:$O$53,B682),INDEX(Bases!$O$2:$O$53,C682))</f>
        <v>142.666666666667</v>
      </c>
      <c r="V682" s="2" t="n">
        <f aca="false">Settings!$B$4*MAX(INDEX(Bases!$P$2:$P$53,B682),INDEX(Bases!$P$2:$P$53,C682))+Settings!$B$5*MIN(INDEX(Bases!$P$2:$P$53,B682),INDEX(Bases!$P$2:$P$53,C682))</f>
        <v>34.6666666666667</v>
      </c>
      <c r="W682" s="2" t="n">
        <f aca="false">Settings!$B$4*MAX(INDEX(Bases!$Q$2:$Q$53,B682),INDEX(Bases!$Q$2:$Q$53,C682))+Settings!$B$5*MIN(INDEX(Bases!$Q$2:$Q$53,B682),INDEX(Bases!$Q$2:$Q$53,C682))</f>
        <v>137.333333333333</v>
      </c>
      <c r="X682" s="2" t="n">
        <f aca="false">Settings!$B$4*MAX(INDEX(Bases!$R$2:$R$53,B682),INDEX(Bases!$R$2:$R$53,C682))+Settings!$B$5*MIN(INDEX(Bases!$R$2:$R$53,B682),INDEX(Bases!$R$2:$R$53,C682))</f>
        <v>54.6666666666667</v>
      </c>
      <c r="Y682" s="2" t="n">
        <f aca="false">S682*Settings!$B$3/SUM(S682:X682)</f>
        <v>60.6060606060606</v>
      </c>
      <c r="Z682" s="2" t="n">
        <f aca="false">T682*Settings!$B$3/SUM(S682:X682)</f>
        <v>57.8512396694215</v>
      </c>
      <c r="AA682" s="2" t="n">
        <f aca="false">U682*Settings!$B$3/SUM(S682:X682)</f>
        <v>147.382920110193</v>
      </c>
      <c r="AB682" s="2" t="n">
        <f aca="false">V682*Settings!$B$3/SUM(S682:X682)</f>
        <v>35.8126721763085</v>
      </c>
      <c r="AC682" s="2" t="n">
        <f aca="false">W682*Settings!$B$3/SUM(S682:X682)</f>
        <v>141.873278236915</v>
      </c>
      <c r="AD682" s="2" t="n">
        <f aca="false">X682*Settings!$B$3/SUM(S682:X682)</f>
        <v>56.4738292011019</v>
      </c>
      <c r="AE682" s="2" t="n">
        <f aca="false">INT(Y682)</f>
        <v>60</v>
      </c>
      <c r="AF682" s="2" t="n">
        <f aca="false">INT(Z682)</f>
        <v>57</v>
      </c>
      <c r="AG682" s="2" t="n">
        <f aca="false">INT(AA682)</f>
        <v>147</v>
      </c>
      <c r="AH682" s="2" t="n">
        <f aca="false">INT(AB682)</f>
        <v>35</v>
      </c>
      <c r="AI682" s="2" t="n">
        <f aca="false">INT(AC682)</f>
        <v>141</v>
      </c>
      <c r="AJ682" s="2" t="n">
        <f aca="false">INT(AD682)</f>
        <v>56</v>
      </c>
      <c r="AK682" s="2" t="n">
        <f aca="false">Settings!$B$3-SUM(AE682:AJ682)</f>
        <v>4</v>
      </c>
      <c r="AL682" s="2" t="n">
        <f aca="false">ROUND(Y682-AE682,9)</f>
        <v>0.606060606</v>
      </c>
      <c r="AM682" s="2" t="n">
        <f aca="false">ROUND(Z682-AF682,9)</f>
        <v>0.851239669</v>
      </c>
      <c r="AN682" s="2" t="n">
        <f aca="false">ROUND(AA682-AG682,9)</f>
        <v>0.38292011</v>
      </c>
      <c r="AO682" s="2" t="n">
        <f aca="false">ROUND(AB682-AH682,9)</f>
        <v>0.812672176</v>
      </c>
      <c r="AP682" s="2" t="n">
        <f aca="false">ROUND(AC682-AI682,9)</f>
        <v>0.873278237</v>
      </c>
      <c r="AQ682" s="2" t="n">
        <f aca="false">ROUND(AD682-AJ682,9)</f>
        <v>0.473829201</v>
      </c>
    </row>
    <row r="683" customFormat="false" ht="15" hidden="false" customHeight="false" outlineLevel="0" collapsed="false">
      <c r="A683" s="2" t="n">
        <v>682</v>
      </c>
      <c r="B683" s="6" t="n">
        <v>16</v>
      </c>
      <c r="C683" s="6" t="n">
        <v>38</v>
      </c>
      <c r="D683" s="8" t="str">
        <f aca="false">INDEX(Bases!$B$2:$B$53,B683)</f>
        <v>Swinub</v>
      </c>
      <c r="E683" s="8" t="str">
        <f aca="false">INDEX(Bases!$B$2:$B$53,C683)</f>
        <v>Larvitar</v>
      </c>
      <c r="F683" s="2" t="str">
        <f aca="false">LEFT(D683,ROUNDUP(LEN(D683)/2,0))&amp;LOWER(MID(E683,ROUNDUP(LEN(E683)/2,0)+1,20))</f>
        <v>Swiitar</v>
      </c>
      <c r="G683" s="8" t="str">
        <f aca="false">INDEX(Bases!$C$2:$C$53,B683)</f>
        <v>Ice</v>
      </c>
      <c r="H683" s="8" t="str">
        <f aca="false">IF(INDEX(Bases!$C$2:$C$53,C683)=G683,"",INDEX(Bases!$C$2:$C$53,C683))</f>
        <v>Rock</v>
      </c>
      <c r="I683" s="8" t="str">
        <f aca="false">IF(INDEX(Bases!$E$2:$E$53,B683)="","",INDEX(Bases!$E$2:$E$53,B683))</f>
        <v/>
      </c>
      <c r="J683" s="8" t="str">
        <f aca="false">IF(INDEX(Bases!$E$2:$E$53,C683)="","",INDEX(Bases!$E$2:$E$53,C683))</f>
        <v/>
      </c>
      <c r="K683" s="5"/>
      <c r="L683" s="2" t="n">
        <f aca="false">AE683+IF(SUMPRODUCT(--($AL683:$AQ683&gt;AL683))&lt;$AK683,1,0)</f>
        <v>92</v>
      </c>
      <c r="M683" s="2" t="n">
        <f aca="false">AF683+IF(SUMPRODUCT(--($AL683:$AQ683&gt;AM683))+SUMPRODUCT(--($AL683:AL683=AM683))&lt;$AK683,1,0)</f>
        <v>101</v>
      </c>
      <c r="N683" s="2" t="n">
        <f aca="false">AG683+IF(SUMPRODUCT(--($AL683:$AQ683&gt;AN683))+SUMPRODUCT(--($AL683:AM683=AN683))&lt;$AK683,1,0)</f>
        <v>80</v>
      </c>
      <c r="O683" s="2" t="n">
        <f aca="false">AH683+IF(SUMPRODUCT(--($AL683:$AQ683&gt;AO683))+SUMPRODUCT(--($AL683:AN683=AO683))&lt;$AK683,1,0)</f>
        <v>68</v>
      </c>
      <c r="P683" s="2" t="n">
        <f aca="false">AI683+IF(SUMPRODUCT(--($AL683:$AQ683&gt;AP683))+SUMPRODUCT(--($AL683:AO683=AP683))&lt;$AK683,1,0)</f>
        <v>73</v>
      </c>
      <c r="Q683" s="2" t="n">
        <f aca="false">AJ683+IF(SUMPRODUCT(--($AL683:$AQ683&gt;AQ683))+SUMPRODUCT(--($AL683:AP683=AQ683))&lt;$AK683,1,0)</f>
        <v>86</v>
      </c>
      <c r="R683" s="2" t="n">
        <f aca="false">SUM(L683:Q683)</f>
        <v>500</v>
      </c>
      <c r="S683" s="2" t="n">
        <f aca="false">Settings!$B$4*MAX(INDEX(Bases!$M$2:$M$53,B683),INDEX(Bases!$M$2:$M$53,C683))+Settings!$B$5*MIN(INDEX(Bases!$M$2:$M$53,B683),INDEX(Bases!$M$2:$M$53,C683))</f>
        <v>75.6666666666667</v>
      </c>
      <c r="T683" s="2" t="n">
        <f aca="false">Settings!$B$4*MAX(INDEX(Bases!$N$2:$N$53,B683),INDEX(Bases!$N$2:$N$53,C683))+Settings!$B$5*MIN(INDEX(Bases!$N$2:$N$53,B683),INDEX(Bases!$N$2:$N$53,C683))</f>
        <v>83.3333333333333</v>
      </c>
      <c r="U683" s="2" t="n">
        <f aca="false">Settings!$B$4*MAX(INDEX(Bases!$O$2:$O$53,B683),INDEX(Bases!$O$2:$O$53,C683))+Settings!$B$5*MIN(INDEX(Bases!$O$2:$O$53,B683),INDEX(Bases!$O$2:$O$53,C683))</f>
        <v>66</v>
      </c>
      <c r="V683" s="2" t="n">
        <f aca="false">Settings!$B$4*MAX(INDEX(Bases!$P$2:$P$53,B683),INDEX(Bases!$P$2:$P$53,C683))+Settings!$B$5*MIN(INDEX(Bases!$P$2:$P$53,B683),INDEX(Bases!$P$2:$P$53,C683))</f>
        <v>56</v>
      </c>
      <c r="W683" s="2" t="n">
        <f aca="false">Settings!$B$4*MAX(INDEX(Bases!$Q$2:$Q$53,B683),INDEX(Bases!$Q$2:$Q$53,C683))+Settings!$B$5*MIN(INDEX(Bases!$Q$2:$Q$53,B683),INDEX(Bases!$Q$2:$Q$53,C683))</f>
        <v>60.6666666666667</v>
      </c>
      <c r="X683" s="2" t="n">
        <f aca="false">Settings!$B$4*MAX(INDEX(Bases!$R$2:$R$53,B683),INDEX(Bases!$R$2:$R$53,C683))+Settings!$B$5*MIN(INDEX(Bases!$R$2:$R$53,B683),INDEX(Bases!$R$2:$R$53,C683))</f>
        <v>71.3333333333333</v>
      </c>
      <c r="Y683" s="2" t="n">
        <f aca="false">S683*Settings!$B$3/SUM(S683:X683)</f>
        <v>91.6061339790153</v>
      </c>
      <c r="Z683" s="2" t="n">
        <f aca="false">T683*Settings!$B$3/SUM(S683:X683)</f>
        <v>100.88781275222</v>
      </c>
      <c r="AA683" s="2" t="n">
        <f aca="false">U683*Settings!$B$3/SUM(S683:X683)</f>
        <v>79.9031476997579</v>
      </c>
      <c r="AB683" s="2" t="n">
        <f aca="false">V683*Settings!$B$3/SUM(S683:X683)</f>
        <v>67.7966101694915</v>
      </c>
      <c r="AC683" s="2" t="n">
        <f aca="false">W683*Settings!$B$3/SUM(S683:X683)</f>
        <v>73.4463276836158</v>
      </c>
      <c r="AD683" s="2" t="n">
        <f aca="false">X683*Settings!$B$3/SUM(S683:X683)</f>
        <v>86.3599677158999</v>
      </c>
      <c r="AE683" s="2" t="n">
        <f aca="false">INT(Y683)</f>
        <v>91</v>
      </c>
      <c r="AF683" s="2" t="n">
        <f aca="false">INT(Z683)</f>
        <v>100</v>
      </c>
      <c r="AG683" s="2" t="n">
        <f aca="false">INT(AA683)</f>
        <v>79</v>
      </c>
      <c r="AH683" s="2" t="n">
        <f aca="false">INT(AB683)</f>
        <v>67</v>
      </c>
      <c r="AI683" s="2" t="n">
        <f aca="false">INT(AC683)</f>
        <v>73</v>
      </c>
      <c r="AJ683" s="2" t="n">
        <f aca="false">INT(AD683)</f>
        <v>86</v>
      </c>
      <c r="AK683" s="2" t="n">
        <f aca="false">Settings!$B$3-SUM(AE683:AJ683)</f>
        <v>4</v>
      </c>
      <c r="AL683" s="2" t="n">
        <f aca="false">ROUND(Y683-AE683,9)</f>
        <v>0.606133979</v>
      </c>
      <c r="AM683" s="2" t="n">
        <f aca="false">ROUND(Z683-AF683,9)</f>
        <v>0.887812752</v>
      </c>
      <c r="AN683" s="2" t="n">
        <f aca="false">ROUND(AA683-AG683,9)</f>
        <v>0.9031477</v>
      </c>
      <c r="AO683" s="2" t="n">
        <f aca="false">ROUND(AB683-AH683,9)</f>
        <v>0.796610169</v>
      </c>
      <c r="AP683" s="2" t="n">
        <f aca="false">ROUND(AC683-AI683,9)</f>
        <v>0.446327684</v>
      </c>
      <c r="AQ683" s="2" t="n">
        <f aca="false">ROUND(AD683-AJ683,9)</f>
        <v>0.359967716</v>
      </c>
    </row>
    <row r="684" customFormat="false" ht="15" hidden="false" customHeight="false" outlineLevel="0" collapsed="false">
      <c r="A684" s="2" t="n">
        <v>683</v>
      </c>
      <c r="B684" s="6" t="n">
        <v>16</v>
      </c>
      <c r="C684" s="6" t="n">
        <v>39</v>
      </c>
      <c r="D684" s="8" t="str">
        <f aca="false">INDEX(Bases!$B$2:$B$53,B684)</f>
        <v>Swinub</v>
      </c>
      <c r="E684" s="8" t="str">
        <f aca="false">INDEX(Bases!$B$2:$B$53,C684)</f>
        <v>Nosepass</v>
      </c>
      <c r="F684" s="2" t="str">
        <f aca="false">LEFT(D684,ROUNDUP(LEN(D684)/2,0))&amp;LOWER(MID(E684,ROUNDUP(LEN(E684)/2,0)+1,20))</f>
        <v>Swipass</v>
      </c>
      <c r="G684" s="8" t="str">
        <f aca="false">INDEX(Bases!$C$2:$C$53,B684)</f>
        <v>Ice</v>
      </c>
      <c r="H684" s="8" t="str">
        <f aca="false">IF(INDEX(Bases!$C$2:$C$53,C684)=G684,"",INDEX(Bases!$C$2:$C$53,C684))</f>
        <v>Rock</v>
      </c>
      <c r="I684" s="8" t="str">
        <f aca="false">IF(INDEX(Bases!$E$2:$E$53,B684)="","",INDEX(Bases!$E$2:$E$53,B684))</f>
        <v/>
      </c>
      <c r="J684" s="8" t="str">
        <f aca="false">IF(INDEX(Bases!$E$2:$E$53,C684)="","",INDEX(Bases!$E$2:$E$53,C684))</f>
        <v/>
      </c>
      <c r="K684" s="5"/>
      <c r="L684" s="2" t="n">
        <f aca="false">AE684+IF(SUMPRODUCT(--($AL684:$AQ684&gt;AL684))&lt;$AK684,1,0)</f>
        <v>72</v>
      </c>
      <c r="M684" s="2" t="n">
        <f aca="false">AF684+IF(SUMPRODUCT(--($AL684:$AQ684&gt;AM684))+SUMPRODUCT(--($AL684:AL684=AM684))&lt;$AK684,1,0)</f>
        <v>78</v>
      </c>
      <c r="N684" s="2" t="n">
        <f aca="false">AG684+IF(SUMPRODUCT(--($AL684:$AQ684&gt;AN684))+SUMPRODUCT(--($AL684:AM684=AN684))&lt;$AK684,1,0)</f>
        <v>133</v>
      </c>
      <c r="O684" s="2" t="n">
        <f aca="false">AH684+IF(SUMPRODUCT(--($AL684:$AQ684&gt;AO684))+SUMPRODUCT(--($AL684:AN684=AO684))&lt;$AK684,1,0)</f>
        <v>54</v>
      </c>
      <c r="P684" s="2" t="n">
        <f aca="false">AI684+IF(SUMPRODUCT(--($AL684:$AQ684&gt;AP684))+SUMPRODUCT(--($AL684:AO684=AP684))&lt;$AK684,1,0)</f>
        <v>91</v>
      </c>
      <c r="Q684" s="2" t="n">
        <f aca="false">AJ684+IF(SUMPRODUCT(--($AL684:$AQ684&gt;AQ684))+SUMPRODUCT(--($AL684:AP684=AQ684))&lt;$AK684,1,0)</f>
        <v>72</v>
      </c>
      <c r="R684" s="2" t="n">
        <f aca="false">SUM(L684:Q684)</f>
        <v>500</v>
      </c>
      <c r="S684" s="2" t="n">
        <f aca="false">Settings!$B$4*MAX(INDEX(Bases!$M$2:$M$53,B684),INDEX(Bases!$M$2:$M$53,C684))+Settings!$B$5*MIN(INDEX(Bases!$M$2:$M$53,B684),INDEX(Bases!$M$2:$M$53,C684))</f>
        <v>64</v>
      </c>
      <c r="T684" s="2" t="n">
        <f aca="false">Settings!$B$4*MAX(INDEX(Bases!$N$2:$N$53,B684),INDEX(Bases!$N$2:$N$53,C684))+Settings!$B$5*MIN(INDEX(Bases!$N$2:$N$53,B684),INDEX(Bases!$N$2:$N$53,C684))</f>
        <v>69.3333333333333</v>
      </c>
      <c r="U684" s="2" t="n">
        <f aca="false">Settings!$B$4*MAX(INDEX(Bases!$O$2:$O$53,B684),INDEX(Bases!$O$2:$O$53,C684))+Settings!$B$5*MIN(INDEX(Bases!$O$2:$O$53,B684),INDEX(Bases!$O$2:$O$53,C684))</f>
        <v>117.333333333333</v>
      </c>
      <c r="V684" s="2" t="n">
        <f aca="false">Settings!$B$4*MAX(INDEX(Bases!$P$2:$P$53,B684),INDEX(Bases!$P$2:$P$53,C684))+Settings!$B$5*MIN(INDEX(Bases!$P$2:$P$53,B684),INDEX(Bases!$P$2:$P$53,C684))</f>
        <v>48</v>
      </c>
      <c r="W684" s="2" t="n">
        <f aca="false">Settings!$B$4*MAX(INDEX(Bases!$Q$2:$Q$53,B684),INDEX(Bases!$Q$2:$Q$53,C684))+Settings!$B$5*MIN(INDEX(Bases!$Q$2:$Q$53,B684),INDEX(Bases!$Q$2:$Q$53,C684))</f>
        <v>80</v>
      </c>
      <c r="X684" s="2" t="n">
        <f aca="false">Settings!$B$4*MAX(INDEX(Bases!$R$2:$R$53,B684),INDEX(Bases!$R$2:$R$53,C684))+Settings!$B$5*MIN(INDEX(Bases!$R$2:$R$53,B684),INDEX(Bases!$R$2:$R$53,C684))</f>
        <v>64</v>
      </c>
      <c r="Y684" s="2" t="n">
        <f aca="false">S684*Settings!$B$3/SUM(S684:X684)</f>
        <v>72.289156626506</v>
      </c>
      <c r="Z684" s="2" t="n">
        <f aca="false">T684*Settings!$B$3/SUM(S684:X684)</f>
        <v>78.3132530120482</v>
      </c>
      <c r="AA684" s="2" t="n">
        <f aca="false">U684*Settings!$B$3/SUM(S684:X684)</f>
        <v>132.530120481928</v>
      </c>
      <c r="AB684" s="2" t="n">
        <f aca="false">V684*Settings!$B$3/SUM(S684:X684)</f>
        <v>54.2168674698795</v>
      </c>
      <c r="AC684" s="2" t="n">
        <f aca="false">W684*Settings!$B$3/SUM(S684:X684)</f>
        <v>90.3614457831325</v>
      </c>
      <c r="AD684" s="2" t="n">
        <f aca="false">X684*Settings!$B$3/SUM(S684:X684)</f>
        <v>72.289156626506</v>
      </c>
      <c r="AE684" s="2" t="n">
        <f aca="false">INT(Y684)</f>
        <v>72</v>
      </c>
      <c r="AF684" s="2" t="n">
        <f aca="false">INT(Z684)</f>
        <v>78</v>
      </c>
      <c r="AG684" s="2" t="n">
        <f aca="false">INT(AA684)</f>
        <v>132</v>
      </c>
      <c r="AH684" s="2" t="n">
        <f aca="false">INT(AB684)</f>
        <v>54</v>
      </c>
      <c r="AI684" s="2" t="n">
        <f aca="false">INT(AC684)</f>
        <v>90</v>
      </c>
      <c r="AJ684" s="2" t="n">
        <f aca="false">INT(AD684)</f>
        <v>72</v>
      </c>
      <c r="AK684" s="2" t="n">
        <f aca="false">Settings!$B$3-SUM(AE684:AJ684)</f>
        <v>2</v>
      </c>
      <c r="AL684" s="2" t="n">
        <f aca="false">ROUND(Y684-AE684,9)</f>
        <v>0.289156627</v>
      </c>
      <c r="AM684" s="2" t="n">
        <f aca="false">ROUND(Z684-AF684,9)</f>
        <v>0.313253012</v>
      </c>
      <c r="AN684" s="2" t="n">
        <f aca="false">ROUND(AA684-AG684,9)</f>
        <v>0.530120482</v>
      </c>
      <c r="AO684" s="2" t="n">
        <f aca="false">ROUND(AB684-AH684,9)</f>
        <v>0.21686747</v>
      </c>
      <c r="AP684" s="2" t="n">
        <f aca="false">ROUND(AC684-AI684,9)</f>
        <v>0.361445783</v>
      </c>
      <c r="AQ684" s="2" t="n">
        <f aca="false">ROUND(AD684-AJ684,9)</f>
        <v>0.289156627</v>
      </c>
    </row>
    <row r="685" customFormat="false" ht="15" hidden="false" customHeight="false" outlineLevel="0" collapsed="false">
      <c r="A685" s="2" t="n">
        <v>684</v>
      </c>
      <c r="B685" s="6" t="n">
        <v>16</v>
      </c>
      <c r="C685" s="6" t="n">
        <v>40</v>
      </c>
      <c r="D685" s="8" t="str">
        <f aca="false">INDEX(Bases!$B$2:$B$53,B685)</f>
        <v>Swinub</v>
      </c>
      <c r="E685" s="8" t="str">
        <f aca="false">INDEX(Bases!$B$2:$B$53,C685)</f>
        <v>Gastly</v>
      </c>
      <c r="F685" s="2" t="str">
        <f aca="false">LEFT(D685,ROUNDUP(LEN(D685)/2,0))&amp;LOWER(MID(E685,ROUNDUP(LEN(E685)/2,0)+1,20))</f>
        <v>Switly</v>
      </c>
      <c r="G685" s="8" t="str">
        <f aca="false">INDEX(Bases!$C$2:$C$53,B685)</f>
        <v>Ice</v>
      </c>
      <c r="H685" s="8" t="str">
        <f aca="false">IF(INDEX(Bases!$C$2:$C$53,C685)=G685,"",INDEX(Bases!$C$2:$C$53,C685))</f>
        <v>Ghost</v>
      </c>
      <c r="I685" s="8" t="str">
        <f aca="false">IF(INDEX(Bases!$E$2:$E$53,B685)="","",INDEX(Bases!$E$2:$E$53,B685))</f>
        <v/>
      </c>
      <c r="J685" s="8" t="str">
        <f aca="false">IF(INDEX(Bases!$E$2:$E$53,C685)="","",INDEX(Bases!$E$2:$E$53,C685))</f>
        <v/>
      </c>
      <c r="K685" s="5"/>
      <c r="L685" s="2" t="n">
        <f aca="false">AE685+IF(SUMPRODUCT(--($AL685:$AQ685&gt;AL685))&lt;$AK685,1,0)</f>
        <v>76</v>
      </c>
      <c r="M685" s="2" t="n">
        <f aca="false">AF685+IF(SUMPRODUCT(--($AL685:$AQ685&gt;AM685))+SUMPRODUCT(--($AL685:AL685=AM685))&lt;$AK685,1,0)</f>
        <v>79</v>
      </c>
      <c r="N685" s="2" t="n">
        <f aca="false">AG685+IF(SUMPRODUCT(--($AL685:$AQ685&gt;AN685))+SUMPRODUCT(--($AL685:AM685=AN685))&lt;$AK685,1,0)</f>
        <v>64</v>
      </c>
      <c r="O685" s="2" t="n">
        <f aca="false">AH685+IF(SUMPRODUCT(--($AL685:$AQ685&gt;AO685))+SUMPRODUCT(--($AL685:AN685=AO685))&lt;$AK685,1,0)</f>
        <v>117</v>
      </c>
      <c r="P685" s="2" t="n">
        <f aca="false">AI685+IF(SUMPRODUCT(--($AL685:$AQ685&gt;AP685))+SUMPRODUCT(--($AL685:AO685=AP685))&lt;$AK685,1,0)</f>
        <v>54</v>
      </c>
      <c r="Q685" s="2" t="n">
        <f aca="false">AJ685+IF(SUMPRODUCT(--($AL685:$AQ685&gt;AQ685))+SUMPRODUCT(--($AL685:AP685=AQ685))&lt;$AK685,1,0)</f>
        <v>110</v>
      </c>
      <c r="R685" s="2" t="n">
        <f aca="false">SUM(L685:Q685)</f>
        <v>500</v>
      </c>
      <c r="S685" s="2" t="n">
        <f aca="false">Settings!$B$4*MAX(INDEX(Bases!$M$2:$M$53,B685),INDEX(Bases!$M$2:$M$53,C685))+Settings!$B$5*MIN(INDEX(Bases!$M$2:$M$53,B685),INDEX(Bases!$M$2:$M$53,C685))</f>
        <v>66.3333333333333</v>
      </c>
      <c r="T685" s="2" t="n">
        <f aca="false">Settings!$B$4*MAX(INDEX(Bases!$N$2:$N$53,B685),INDEX(Bases!$N$2:$N$53,C685))+Settings!$B$5*MIN(INDEX(Bases!$N$2:$N$53,B685),INDEX(Bases!$N$2:$N$53,C685))</f>
        <v>68.3333333333333</v>
      </c>
      <c r="U685" s="2" t="n">
        <f aca="false">Settings!$B$4*MAX(INDEX(Bases!$O$2:$O$53,B685),INDEX(Bases!$O$2:$O$53,C685))+Settings!$B$5*MIN(INDEX(Bases!$O$2:$O$53,B685),INDEX(Bases!$O$2:$O$53,C685))</f>
        <v>55.6666666666667</v>
      </c>
      <c r="V685" s="2" t="n">
        <f aca="false">Settings!$B$4*MAX(INDEX(Bases!$P$2:$P$53,B685),INDEX(Bases!$P$2:$P$53,C685))+Settings!$B$5*MIN(INDEX(Bases!$P$2:$P$53,B685),INDEX(Bases!$P$2:$P$53,C685))</f>
        <v>102</v>
      </c>
      <c r="W685" s="2" t="n">
        <f aca="false">Settings!$B$4*MAX(INDEX(Bases!$Q$2:$Q$53,B685),INDEX(Bases!$Q$2:$Q$53,C685))+Settings!$B$5*MIN(INDEX(Bases!$Q$2:$Q$53,B685),INDEX(Bases!$Q$2:$Q$53,C685))</f>
        <v>47</v>
      </c>
      <c r="X685" s="2" t="n">
        <f aca="false">Settings!$B$4*MAX(INDEX(Bases!$R$2:$R$53,B685),INDEX(Bases!$R$2:$R$53,C685))+Settings!$B$5*MIN(INDEX(Bases!$R$2:$R$53,B685),INDEX(Bases!$R$2:$R$53,C685))</f>
        <v>95.3333333333333</v>
      </c>
      <c r="Y685" s="2" t="n">
        <f aca="false">S685*Settings!$B$3/SUM(S685:X685)</f>
        <v>76.3036809815951</v>
      </c>
      <c r="Z685" s="2" t="n">
        <f aca="false">T685*Settings!$B$3/SUM(S685:X685)</f>
        <v>78.6042944785276</v>
      </c>
      <c r="AA685" s="2" t="n">
        <f aca="false">U685*Settings!$B$3/SUM(S685:X685)</f>
        <v>64.0337423312884</v>
      </c>
      <c r="AB685" s="2" t="n">
        <f aca="false">V685*Settings!$B$3/SUM(S685:X685)</f>
        <v>117.331288343558</v>
      </c>
      <c r="AC685" s="2" t="n">
        <f aca="false">W685*Settings!$B$3/SUM(S685:X685)</f>
        <v>54.0644171779141</v>
      </c>
      <c r="AD685" s="2" t="n">
        <f aca="false">X685*Settings!$B$3/SUM(S685:X685)</f>
        <v>109.662576687117</v>
      </c>
      <c r="AE685" s="2" t="n">
        <f aca="false">INT(Y685)</f>
        <v>76</v>
      </c>
      <c r="AF685" s="2" t="n">
        <f aca="false">INT(Z685)</f>
        <v>78</v>
      </c>
      <c r="AG685" s="2" t="n">
        <f aca="false">INT(AA685)</f>
        <v>64</v>
      </c>
      <c r="AH685" s="2" t="n">
        <f aca="false">INT(AB685)</f>
        <v>117</v>
      </c>
      <c r="AI685" s="2" t="n">
        <f aca="false">INT(AC685)</f>
        <v>54</v>
      </c>
      <c r="AJ685" s="2" t="n">
        <f aca="false">INT(AD685)</f>
        <v>109</v>
      </c>
      <c r="AK685" s="2" t="n">
        <f aca="false">Settings!$B$3-SUM(AE685:AJ685)</f>
        <v>2</v>
      </c>
      <c r="AL685" s="2" t="n">
        <f aca="false">ROUND(Y685-AE685,9)</f>
        <v>0.303680982</v>
      </c>
      <c r="AM685" s="2" t="n">
        <f aca="false">ROUND(Z685-AF685,9)</f>
        <v>0.604294479</v>
      </c>
      <c r="AN685" s="2" t="n">
        <f aca="false">ROUND(AA685-AG685,9)</f>
        <v>0.033742331</v>
      </c>
      <c r="AO685" s="2" t="n">
        <f aca="false">ROUND(AB685-AH685,9)</f>
        <v>0.331288344</v>
      </c>
      <c r="AP685" s="2" t="n">
        <f aca="false">ROUND(AC685-AI685,9)</f>
        <v>0.064417178</v>
      </c>
      <c r="AQ685" s="2" t="n">
        <f aca="false">ROUND(AD685-AJ685,9)</f>
        <v>0.662576687</v>
      </c>
    </row>
    <row r="686" customFormat="false" ht="15" hidden="false" customHeight="false" outlineLevel="0" collapsed="false">
      <c r="A686" s="2" t="n">
        <v>685</v>
      </c>
      <c r="B686" s="6" t="n">
        <v>16</v>
      </c>
      <c r="C686" s="6" t="n">
        <v>41</v>
      </c>
      <c r="D686" s="8" t="str">
        <f aca="false">INDEX(Bases!$B$2:$B$53,B686)</f>
        <v>Swinub</v>
      </c>
      <c r="E686" s="8" t="str">
        <f aca="false">INDEX(Bases!$B$2:$B$53,C686)</f>
        <v>Misdreavus</v>
      </c>
      <c r="F686" s="2" t="str">
        <f aca="false">LEFT(D686,ROUNDUP(LEN(D686)/2,0))&amp;LOWER(MID(E686,ROUNDUP(LEN(E686)/2,0)+1,20))</f>
        <v>Swieavus</v>
      </c>
      <c r="G686" s="8" t="str">
        <f aca="false">INDEX(Bases!$C$2:$C$53,B686)</f>
        <v>Ice</v>
      </c>
      <c r="H686" s="8" t="str">
        <f aca="false">IF(INDEX(Bases!$C$2:$C$53,C686)=G686,"",INDEX(Bases!$C$2:$C$53,C686))</f>
        <v>Ghost</v>
      </c>
      <c r="I686" s="8" t="str">
        <f aca="false">IF(INDEX(Bases!$E$2:$E$53,B686)="","",INDEX(Bases!$E$2:$E$53,B686))</f>
        <v/>
      </c>
      <c r="J686" s="8" t="str">
        <f aca="false">IF(INDEX(Bases!$E$2:$E$53,C686)="","",INDEX(Bases!$E$2:$E$53,C686))</f>
        <v/>
      </c>
      <c r="K686" s="5"/>
      <c r="L686" s="2" t="n">
        <f aca="false">AE686+IF(SUMPRODUCT(--($AL686:$AQ686&gt;AL686))&lt;$AK686,1,0)</f>
        <v>86</v>
      </c>
      <c r="M686" s="2" t="n">
        <f aca="false">AF686+IF(SUMPRODUCT(--($AL686:$AQ686&gt;AM686))+SUMPRODUCT(--($AL686:AL686=AM686))&lt;$AK686,1,0)</f>
        <v>85</v>
      </c>
      <c r="N686" s="2" t="n">
        <f aca="false">AG686+IF(SUMPRODUCT(--($AL686:$AQ686&gt;AN686))+SUMPRODUCT(--($AL686:AM686=AN686))&lt;$AK686,1,0)</f>
        <v>73</v>
      </c>
      <c r="O686" s="2" t="n">
        <f aca="false">AH686+IF(SUMPRODUCT(--($AL686:$AQ686&gt;AO686))+SUMPRODUCT(--($AL686:AN686=AO686))&lt;$AK686,1,0)</f>
        <v>81</v>
      </c>
      <c r="P686" s="2" t="n">
        <f aca="false">AI686+IF(SUMPRODUCT(--($AL686:$AQ686&gt;AP686))+SUMPRODUCT(--($AL686:AO686=AP686))&lt;$AK686,1,0)</f>
        <v>81</v>
      </c>
      <c r="Q686" s="2" t="n">
        <f aca="false">AJ686+IF(SUMPRODUCT(--($AL686:$AQ686&gt;AQ686))+SUMPRODUCT(--($AL686:AP686=AQ686))&lt;$AK686,1,0)</f>
        <v>94</v>
      </c>
      <c r="R686" s="2" t="n">
        <f aca="false">SUM(L686:Q686)</f>
        <v>500</v>
      </c>
      <c r="S686" s="2" t="n">
        <f aca="false">Settings!$B$4*MAX(INDEX(Bases!$M$2:$M$53,B686),INDEX(Bases!$M$2:$M$53,C686))+Settings!$B$5*MIN(INDEX(Bases!$M$2:$M$53,B686),INDEX(Bases!$M$2:$M$53,C686))</f>
        <v>72</v>
      </c>
      <c r="T686" s="2" t="n">
        <f aca="false">Settings!$B$4*MAX(INDEX(Bases!$N$2:$N$53,B686),INDEX(Bases!$N$2:$N$53,C686))+Settings!$B$5*MIN(INDEX(Bases!$N$2:$N$53,B686),INDEX(Bases!$N$2:$N$53,C686))</f>
        <v>71.6666666666667</v>
      </c>
      <c r="U686" s="2" t="n">
        <f aca="false">Settings!$B$4*MAX(INDEX(Bases!$O$2:$O$53,B686),INDEX(Bases!$O$2:$O$53,C686))+Settings!$B$5*MIN(INDEX(Bases!$O$2:$O$53,B686),INDEX(Bases!$O$2:$O$53,C686))</f>
        <v>61</v>
      </c>
      <c r="V686" s="2" t="n">
        <f aca="false">Settings!$B$4*MAX(INDEX(Bases!$P$2:$P$53,B686),INDEX(Bases!$P$2:$P$53,C686))+Settings!$B$5*MIN(INDEX(Bases!$P$2:$P$53,B686),INDEX(Bases!$P$2:$P$53,C686))</f>
        <v>68</v>
      </c>
      <c r="W686" s="2" t="n">
        <f aca="false">Settings!$B$4*MAX(INDEX(Bases!$Q$2:$Q$53,B686),INDEX(Bases!$Q$2:$Q$53,C686))+Settings!$B$5*MIN(INDEX(Bases!$Q$2:$Q$53,B686),INDEX(Bases!$Q$2:$Q$53,C686))</f>
        <v>68</v>
      </c>
      <c r="X686" s="2" t="n">
        <f aca="false">Settings!$B$4*MAX(INDEX(Bases!$R$2:$R$53,B686),INDEX(Bases!$R$2:$R$53,C686))+Settings!$B$5*MIN(INDEX(Bases!$R$2:$R$53,B686),INDEX(Bases!$R$2:$R$53,C686))</f>
        <v>79.3333333333333</v>
      </c>
      <c r="Y686" s="2" t="n">
        <f aca="false">S686*Settings!$B$3/SUM(S686:X686)</f>
        <v>85.7142857142857</v>
      </c>
      <c r="Z686" s="2" t="n">
        <f aca="false">T686*Settings!$B$3/SUM(S686:X686)</f>
        <v>85.3174603174603</v>
      </c>
      <c r="AA686" s="2" t="n">
        <f aca="false">U686*Settings!$B$3/SUM(S686:X686)</f>
        <v>72.6190476190476</v>
      </c>
      <c r="AB686" s="2" t="n">
        <f aca="false">V686*Settings!$B$3/SUM(S686:X686)</f>
        <v>80.952380952381</v>
      </c>
      <c r="AC686" s="2" t="n">
        <f aca="false">W686*Settings!$B$3/SUM(S686:X686)</f>
        <v>80.952380952381</v>
      </c>
      <c r="AD686" s="2" t="n">
        <f aca="false">X686*Settings!$B$3/SUM(S686:X686)</f>
        <v>94.4444444444445</v>
      </c>
      <c r="AE686" s="2" t="n">
        <f aca="false">INT(Y686)</f>
        <v>85</v>
      </c>
      <c r="AF686" s="2" t="n">
        <f aca="false">INT(Z686)</f>
        <v>85</v>
      </c>
      <c r="AG686" s="2" t="n">
        <f aca="false">INT(AA686)</f>
        <v>72</v>
      </c>
      <c r="AH686" s="2" t="n">
        <f aca="false">INT(AB686)</f>
        <v>80</v>
      </c>
      <c r="AI686" s="2" t="n">
        <f aca="false">INT(AC686)</f>
        <v>80</v>
      </c>
      <c r="AJ686" s="2" t="n">
        <f aca="false">INT(AD686)</f>
        <v>94</v>
      </c>
      <c r="AK686" s="2" t="n">
        <f aca="false">Settings!$B$3-SUM(AE686:AJ686)</f>
        <v>4</v>
      </c>
      <c r="AL686" s="2" t="n">
        <f aca="false">ROUND(Y686-AE686,9)</f>
        <v>0.714285714</v>
      </c>
      <c r="AM686" s="2" t="n">
        <f aca="false">ROUND(Z686-AF686,9)</f>
        <v>0.317460317</v>
      </c>
      <c r="AN686" s="2" t="n">
        <f aca="false">ROUND(AA686-AG686,9)</f>
        <v>0.619047619</v>
      </c>
      <c r="AO686" s="2" t="n">
        <f aca="false">ROUND(AB686-AH686,9)</f>
        <v>0.952380952</v>
      </c>
      <c r="AP686" s="2" t="n">
        <f aca="false">ROUND(AC686-AI686,9)</f>
        <v>0.952380952</v>
      </c>
      <c r="AQ686" s="2" t="n">
        <f aca="false">ROUND(AD686-AJ686,9)</f>
        <v>0.444444444</v>
      </c>
    </row>
    <row r="687" customFormat="false" ht="15" hidden="false" customHeight="false" outlineLevel="0" collapsed="false">
      <c r="A687" s="2" t="n">
        <v>686</v>
      </c>
      <c r="B687" s="6" t="n">
        <v>16</v>
      </c>
      <c r="C687" s="6" t="n">
        <v>42</v>
      </c>
      <c r="D687" s="8" t="str">
        <f aca="false">INDEX(Bases!$B$2:$B$53,B687)</f>
        <v>Swinub</v>
      </c>
      <c r="E687" s="8" t="str">
        <f aca="false">INDEX(Bases!$B$2:$B$53,C687)</f>
        <v>Sableye</v>
      </c>
      <c r="F687" s="2" t="str">
        <f aca="false">LEFT(D687,ROUNDUP(LEN(D687)/2,0))&amp;LOWER(MID(E687,ROUNDUP(LEN(E687)/2,0)+1,20))</f>
        <v>Swieye</v>
      </c>
      <c r="G687" s="8" t="str">
        <f aca="false">INDEX(Bases!$C$2:$C$53,B687)</f>
        <v>Ice</v>
      </c>
      <c r="H687" s="8" t="str">
        <f aca="false">IF(INDEX(Bases!$C$2:$C$53,C687)=G687,"",INDEX(Bases!$C$2:$C$53,C687))</f>
        <v>Ghost</v>
      </c>
      <c r="I687" s="8" t="str">
        <f aca="false">IF(INDEX(Bases!$E$2:$E$53,B687)="","",INDEX(Bases!$E$2:$E$53,B687))</f>
        <v/>
      </c>
      <c r="J687" s="8" t="str">
        <f aca="false">IF(INDEX(Bases!$E$2:$E$53,C687)="","",INDEX(Bases!$E$2:$E$53,C687))</f>
        <v/>
      </c>
      <c r="K687" s="5"/>
      <c r="L687" s="2" t="n">
        <f aca="false">AE687+IF(SUMPRODUCT(--($AL687:$AQ687&gt;AL687))&lt;$AK687,1,0)</f>
        <v>85</v>
      </c>
      <c r="M687" s="2" t="n">
        <f aca="false">AF687+IF(SUMPRODUCT(--($AL687:$AQ687&gt;AM687))+SUMPRODUCT(--($AL687:AL687=AM687))&lt;$AK687,1,0)</f>
        <v>95</v>
      </c>
      <c r="N687" s="2" t="n">
        <f aca="false">AG687+IF(SUMPRODUCT(--($AL687:$AQ687&gt;AN687))+SUMPRODUCT(--($AL687:AM687=AN687))&lt;$AK687,1,0)</f>
        <v>89</v>
      </c>
      <c r="O687" s="2" t="n">
        <f aca="false">AH687+IF(SUMPRODUCT(--($AL687:$AQ687&gt;AO687))+SUMPRODUCT(--($AL687:AN687=AO687))&lt;$AK687,1,0)</f>
        <v>73</v>
      </c>
      <c r="P687" s="2" t="n">
        <f aca="false">AI687+IF(SUMPRODUCT(--($AL687:$AQ687&gt;AP687))+SUMPRODUCT(--($AL687:AO687=AP687))&lt;$AK687,1,0)</f>
        <v>73</v>
      </c>
      <c r="Q687" s="2" t="n">
        <f aca="false">AJ687+IF(SUMPRODUCT(--($AL687:$AQ687&gt;AQ687))+SUMPRODUCT(--($AL687:AP687=AQ687))&lt;$AK687,1,0)</f>
        <v>85</v>
      </c>
      <c r="R687" s="2" t="n">
        <f aca="false">SUM(L687:Q687)</f>
        <v>500</v>
      </c>
      <c r="S687" s="2" t="n">
        <f aca="false">Settings!$B$4*MAX(INDEX(Bases!$M$2:$M$53,B687),INDEX(Bases!$M$2:$M$53,C687))+Settings!$B$5*MIN(INDEX(Bases!$M$2:$M$53,B687),INDEX(Bases!$M$2:$M$53,C687))</f>
        <v>71</v>
      </c>
      <c r="T687" s="2" t="n">
        <f aca="false">Settings!$B$4*MAX(INDEX(Bases!$N$2:$N$53,B687),INDEX(Bases!$N$2:$N$53,C687))+Settings!$B$5*MIN(INDEX(Bases!$N$2:$N$53,B687),INDEX(Bases!$N$2:$N$53,C687))</f>
        <v>79.6666666666667</v>
      </c>
      <c r="U687" s="2" t="n">
        <f aca="false">Settings!$B$4*MAX(INDEX(Bases!$O$2:$O$53,B687),INDEX(Bases!$O$2:$O$53,C687))+Settings!$B$5*MIN(INDEX(Bases!$O$2:$O$53,B687),INDEX(Bases!$O$2:$O$53,C687))</f>
        <v>74</v>
      </c>
      <c r="V687" s="2" t="n">
        <f aca="false">Settings!$B$4*MAX(INDEX(Bases!$P$2:$P$53,B687),INDEX(Bases!$P$2:$P$53,C687))+Settings!$B$5*MIN(INDEX(Bases!$P$2:$P$53,B687),INDEX(Bases!$P$2:$P$53,C687))</f>
        <v>61.3333333333333</v>
      </c>
      <c r="W687" s="2" t="n">
        <f aca="false">Settings!$B$4*MAX(INDEX(Bases!$Q$2:$Q$53,B687),INDEX(Bases!$Q$2:$Q$53,C687))+Settings!$B$5*MIN(INDEX(Bases!$Q$2:$Q$53,B687),INDEX(Bases!$Q$2:$Q$53,C687))</f>
        <v>61.3333333333333</v>
      </c>
      <c r="X687" s="2" t="n">
        <f aca="false">Settings!$B$4*MAX(INDEX(Bases!$R$2:$R$53,B687),INDEX(Bases!$R$2:$R$53,C687))+Settings!$B$5*MIN(INDEX(Bases!$R$2:$R$53,B687),INDEX(Bases!$R$2:$R$53,C687))</f>
        <v>71</v>
      </c>
      <c r="Y687" s="2" t="n">
        <f aca="false">S687*Settings!$B$3/SUM(S687:X687)</f>
        <v>84.8605577689243</v>
      </c>
      <c r="Z687" s="2" t="n">
        <f aca="false">T687*Settings!$B$3/SUM(S687:X687)</f>
        <v>95.2191235059761</v>
      </c>
      <c r="AA687" s="2" t="n">
        <f aca="false">U687*Settings!$B$3/SUM(S687:X687)</f>
        <v>88.4462151394422</v>
      </c>
      <c r="AB687" s="2" t="n">
        <f aca="false">V687*Settings!$B$3/SUM(S687:X687)</f>
        <v>73.3067729083665</v>
      </c>
      <c r="AC687" s="2" t="n">
        <f aca="false">W687*Settings!$B$3/SUM(S687:X687)</f>
        <v>73.3067729083665</v>
      </c>
      <c r="AD687" s="2" t="n">
        <f aca="false">X687*Settings!$B$3/SUM(S687:X687)</f>
        <v>84.8605577689243</v>
      </c>
      <c r="AE687" s="2" t="n">
        <f aca="false">INT(Y687)</f>
        <v>84</v>
      </c>
      <c r="AF687" s="2" t="n">
        <f aca="false">INT(Z687)</f>
        <v>95</v>
      </c>
      <c r="AG687" s="2" t="n">
        <f aca="false">INT(AA687)</f>
        <v>88</v>
      </c>
      <c r="AH687" s="2" t="n">
        <f aca="false">INT(AB687)</f>
        <v>73</v>
      </c>
      <c r="AI687" s="2" t="n">
        <f aca="false">INT(AC687)</f>
        <v>73</v>
      </c>
      <c r="AJ687" s="2" t="n">
        <f aca="false">INT(AD687)</f>
        <v>84</v>
      </c>
      <c r="AK687" s="2" t="n">
        <f aca="false">Settings!$B$3-SUM(AE687:AJ687)</f>
        <v>3</v>
      </c>
      <c r="AL687" s="2" t="n">
        <f aca="false">ROUND(Y687-AE687,9)</f>
        <v>0.860557769</v>
      </c>
      <c r="AM687" s="2" t="n">
        <f aca="false">ROUND(Z687-AF687,9)</f>
        <v>0.219123506</v>
      </c>
      <c r="AN687" s="2" t="n">
        <f aca="false">ROUND(AA687-AG687,9)</f>
        <v>0.446215139</v>
      </c>
      <c r="AO687" s="2" t="n">
        <f aca="false">ROUND(AB687-AH687,9)</f>
        <v>0.306772908</v>
      </c>
      <c r="AP687" s="2" t="n">
        <f aca="false">ROUND(AC687-AI687,9)</f>
        <v>0.306772908</v>
      </c>
      <c r="AQ687" s="2" t="n">
        <f aca="false">ROUND(AD687-AJ687,9)</f>
        <v>0.860557769</v>
      </c>
    </row>
    <row r="688" customFormat="false" ht="15" hidden="false" customHeight="false" outlineLevel="0" collapsed="false">
      <c r="A688" s="2" t="n">
        <v>687</v>
      </c>
      <c r="B688" s="6" t="n">
        <v>16</v>
      </c>
      <c r="C688" s="6" t="n">
        <v>43</v>
      </c>
      <c r="D688" s="8" t="str">
        <f aca="false">INDEX(Bases!$B$2:$B$53,B688)</f>
        <v>Swinub</v>
      </c>
      <c r="E688" s="8" t="str">
        <f aca="false">INDEX(Bases!$B$2:$B$53,C688)</f>
        <v>Dratini</v>
      </c>
      <c r="F688" s="2" t="str">
        <f aca="false">LEFT(D688,ROUNDUP(LEN(D688)/2,0))&amp;LOWER(MID(E688,ROUNDUP(LEN(E688)/2,0)+1,20))</f>
        <v>Swiini</v>
      </c>
      <c r="G688" s="8" t="str">
        <f aca="false">INDEX(Bases!$C$2:$C$53,B688)</f>
        <v>Ice</v>
      </c>
      <c r="H688" s="8" t="str">
        <f aca="false">IF(INDEX(Bases!$C$2:$C$53,C688)=G688,"",INDEX(Bases!$C$2:$C$53,C688))</f>
        <v>Dragon</v>
      </c>
      <c r="I688" s="8" t="str">
        <f aca="false">IF(INDEX(Bases!$E$2:$E$53,B688)="","",INDEX(Bases!$E$2:$E$53,B688))</f>
        <v/>
      </c>
      <c r="J688" s="8" t="str">
        <f aca="false">IF(INDEX(Bases!$E$2:$E$53,C688)="","",INDEX(Bases!$E$2:$E$53,C688))</f>
        <v/>
      </c>
      <c r="K688" s="5"/>
      <c r="L688" s="2" t="n">
        <f aca="false">AE688+IF(SUMPRODUCT(--($AL688:$AQ688&gt;AL688))&lt;$AK688,1,0)</f>
        <v>86</v>
      </c>
      <c r="M688" s="2" t="n">
        <f aca="false">AF688+IF(SUMPRODUCT(--($AL688:$AQ688&gt;AM688))+SUMPRODUCT(--($AL688:AL688=AM688))&lt;$AK688,1,0)</f>
        <v>101</v>
      </c>
      <c r="N688" s="2" t="n">
        <f aca="false">AG688+IF(SUMPRODUCT(--($AL688:$AQ688&gt;AN688))+SUMPRODUCT(--($AL688:AM688=AN688))&lt;$AK688,1,0)</f>
        <v>76</v>
      </c>
      <c r="O688" s="2" t="n">
        <f aca="false">AH688+IF(SUMPRODUCT(--($AL688:$AQ688&gt;AO688))+SUMPRODUCT(--($AL688:AN688=AO688))&lt;$AK688,1,0)</f>
        <v>73</v>
      </c>
      <c r="P688" s="2" t="n">
        <f aca="false">AI688+IF(SUMPRODUCT(--($AL688:$AQ688&gt;AP688))+SUMPRODUCT(--($AL688:AO688=AP688))&lt;$AK688,1,0)</f>
        <v>73</v>
      </c>
      <c r="Q688" s="2" t="n">
        <f aca="false">AJ688+IF(SUMPRODUCT(--($AL688:$AQ688&gt;AQ688))+SUMPRODUCT(--($AL688:AP688=AQ688))&lt;$AK688,1,0)</f>
        <v>91</v>
      </c>
      <c r="R688" s="2" t="n">
        <f aca="false">SUM(L688:Q688)</f>
        <v>500</v>
      </c>
      <c r="S688" s="2" t="n">
        <f aca="false">Settings!$B$4*MAX(INDEX(Bases!$M$2:$M$53,B688),INDEX(Bases!$M$2:$M$53,C688))+Settings!$B$5*MIN(INDEX(Bases!$M$2:$M$53,B688),INDEX(Bases!$M$2:$M$53,C688))</f>
        <v>71.6666666666667</v>
      </c>
      <c r="T688" s="2" t="n">
        <f aca="false">Settings!$B$4*MAX(INDEX(Bases!$N$2:$N$53,B688),INDEX(Bases!$N$2:$N$53,C688))+Settings!$B$5*MIN(INDEX(Bases!$N$2:$N$53,B688),INDEX(Bases!$N$2:$N$53,C688))</f>
        <v>83.3333333333333</v>
      </c>
      <c r="U688" s="2" t="n">
        <f aca="false">Settings!$B$4*MAX(INDEX(Bases!$O$2:$O$53,B688),INDEX(Bases!$O$2:$O$53,C688))+Settings!$B$5*MIN(INDEX(Bases!$O$2:$O$53,B688),INDEX(Bases!$O$2:$O$53,C688))</f>
        <v>62.6666666666667</v>
      </c>
      <c r="V688" s="2" t="n">
        <f aca="false">Settings!$B$4*MAX(INDEX(Bases!$P$2:$P$53,B688),INDEX(Bases!$P$2:$P$53,C688))+Settings!$B$5*MIN(INDEX(Bases!$P$2:$P$53,B688),INDEX(Bases!$P$2:$P$53,C688))</f>
        <v>60.6666666666667</v>
      </c>
      <c r="W688" s="2" t="n">
        <f aca="false">Settings!$B$4*MAX(INDEX(Bases!$Q$2:$Q$53,B688),INDEX(Bases!$Q$2:$Q$53,C688))+Settings!$B$5*MIN(INDEX(Bases!$Q$2:$Q$53,B688),INDEX(Bases!$Q$2:$Q$53,C688))</f>
        <v>60.6666666666667</v>
      </c>
      <c r="X688" s="2" t="n">
        <f aca="false">Settings!$B$4*MAX(INDEX(Bases!$R$2:$R$53,B688),INDEX(Bases!$R$2:$R$53,C688))+Settings!$B$5*MIN(INDEX(Bases!$R$2:$R$53,B688),INDEX(Bases!$R$2:$R$53,C688))</f>
        <v>75.3333333333333</v>
      </c>
      <c r="Y688" s="2" t="n">
        <f aca="false">S688*Settings!$B$3/SUM(S688:X688)</f>
        <v>86.484312148029</v>
      </c>
      <c r="Z688" s="2" t="n">
        <f aca="false">T688*Settings!$B$3/SUM(S688:X688)</f>
        <v>100.563153660499</v>
      </c>
      <c r="AA688" s="2" t="n">
        <f aca="false">U688*Settings!$B$3/SUM(S688:X688)</f>
        <v>75.6234915526951</v>
      </c>
      <c r="AB688" s="2" t="n">
        <f aca="false">V688*Settings!$B$3/SUM(S688:X688)</f>
        <v>73.2099758648431</v>
      </c>
      <c r="AC688" s="2" t="n">
        <f aca="false">W688*Settings!$B$3/SUM(S688:X688)</f>
        <v>73.2099758648431</v>
      </c>
      <c r="AD688" s="2" t="n">
        <f aca="false">X688*Settings!$B$3/SUM(S688:X688)</f>
        <v>90.9090909090909</v>
      </c>
      <c r="AE688" s="2" t="n">
        <f aca="false">INT(Y688)</f>
        <v>86</v>
      </c>
      <c r="AF688" s="2" t="n">
        <f aca="false">INT(Z688)</f>
        <v>100</v>
      </c>
      <c r="AG688" s="2" t="n">
        <f aca="false">INT(AA688)</f>
        <v>75</v>
      </c>
      <c r="AH688" s="2" t="n">
        <f aca="false">INT(AB688)</f>
        <v>73</v>
      </c>
      <c r="AI688" s="2" t="n">
        <f aca="false">INT(AC688)</f>
        <v>73</v>
      </c>
      <c r="AJ688" s="2" t="n">
        <f aca="false">INT(AD688)</f>
        <v>90</v>
      </c>
      <c r="AK688" s="2" t="n">
        <f aca="false">Settings!$B$3-SUM(AE688:AJ688)</f>
        <v>3</v>
      </c>
      <c r="AL688" s="2" t="n">
        <f aca="false">ROUND(Y688-AE688,9)</f>
        <v>0.484312148</v>
      </c>
      <c r="AM688" s="2" t="n">
        <f aca="false">ROUND(Z688-AF688,9)</f>
        <v>0.56315366</v>
      </c>
      <c r="AN688" s="2" t="n">
        <f aca="false">ROUND(AA688-AG688,9)</f>
        <v>0.623491553</v>
      </c>
      <c r="AO688" s="2" t="n">
        <f aca="false">ROUND(AB688-AH688,9)</f>
        <v>0.209975865</v>
      </c>
      <c r="AP688" s="2" t="n">
        <f aca="false">ROUND(AC688-AI688,9)</f>
        <v>0.209975865</v>
      </c>
      <c r="AQ688" s="2" t="n">
        <f aca="false">ROUND(AD688-AJ688,9)</f>
        <v>0.909090909</v>
      </c>
    </row>
    <row r="689" customFormat="false" ht="15" hidden="false" customHeight="false" outlineLevel="0" collapsed="false">
      <c r="A689" s="2" t="n">
        <v>688</v>
      </c>
      <c r="B689" s="6" t="n">
        <v>16</v>
      </c>
      <c r="C689" s="6" t="n">
        <v>44</v>
      </c>
      <c r="D689" s="8" t="str">
        <f aca="false">INDEX(Bases!$B$2:$B$53,B689)</f>
        <v>Swinub</v>
      </c>
      <c r="E689" s="8" t="str">
        <f aca="false">INDEX(Bases!$B$2:$B$53,C689)</f>
        <v>Bagon</v>
      </c>
      <c r="F689" s="2" t="str">
        <f aca="false">LEFT(D689,ROUNDUP(LEN(D689)/2,0))&amp;LOWER(MID(E689,ROUNDUP(LEN(E689)/2,0)+1,20))</f>
        <v>Swion</v>
      </c>
      <c r="G689" s="8" t="str">
        <f aca="false">INDEX(Bases!$C$2:$C$53,B689)</f>
        <v>Ice</v>
      </c>
      <c r="H689" s="8" t="str">
        <f aca="false">IF(INDEX(Bases!$C$2:$C$53,C689)=G689,"",INDEX(Bases!$C$2:$C$53,C689))</f>
        <v>Dragon</v>
      </c>
      <c r="I689" s="8" t="str">
        <f aca="false">IF(INDEX(Bases!$E$2:$E$53,B689)="","",INDEX(Bases!$E$2:$E$53,B689))</f>
        <v/>
      </c>
      <c r="J689" s="8" t="str">
        <f aca="false">IF(INDEX(Bases!$E$2:$E$53,C689)="","",INDEX(Bases!$E$2:$E$53,C689))</f>
        <v/>
      </c>
      <c r="K689" s="5"/>
      <c r="L689" s="2" t="n">
        <f aca="false">AE689+IF(SUMPRODUCT(--($AL689:$AQ689&gt;AL689))&lt;$AK689,1,0)</f>
        <v>89</v>
      </c>
      <c r="M689" s="2" t="n">
        <f aca="false">AF689+IF(SUMPRODUCT(--($AL689:$AQ689&gt;AM689))+SUMPRODUCT(--($AL689:AL689=AM689))&lt;$AK689,1,0)</f>
        <v>113</v>
      </c>
      <c r="N689" s="2" t="n">
        <f aca="false">AG689+IF(SUMPRODUCT(--($AL689:$AQ689&gt;AN689))+SUMPRODUCT(--($AL689:AM689=AN689))&lt;$AK689,1,0)</f>
        <v>90</v>
      </c>
      <c r="O689" s="2" t="n">
        <f aca="false">AH689+IF(SUMPRODUCT(--($AL689:$AQ689&gt;AO689))+SUMPRODUCT(--($AL689:AN689=AO689))&lt;$AK689,1,0)</f>
        <v>62</v>
      </c>
      <c r="P689" s="2" t="n">
        <f aca="false">AI689+IF(SUMPRODUCT(--($AL689:$AQ689&gt;AP689))+SUMPRODUCT(--($AL689:AO689=AP689))&lt;$AK689,1,0)</f>
        <v>55</v>
      </c>
      <c r="Q689" s="2" t="n">
        <f aca="false">AJ689+IF(SUMPRODUCT(--($AL689:$AQ689&gt;AQ689))+SUMPRODUCT(--($AL689:AP689=AQ689))&lt;$AK689,1,0)</f>
        <v>91</v>
      </c>
      <c r="R689" s="2" t="n">
        <f aca="false">SUM(L689:Q689)</f>
        <v>500</v>
      </c>
      <c r="S689" s="2" t="n">
        <f aca="false">Settings!$B$4*MAX(INDEX(Bases!$M$2:$M$53,B689),INDEX(Bases!$M$2:$M$53,C689))+Settings!$B$5*MIN(INDEX(Bases!$M$2:$M$53,B689),INDEX(Bases!$M$2:$M$53,C689))</f>
        <v>73.3333333333333</v>
      </c>
      <c r="T689" s="2" t="n">
        <f aca="false">Settings!$B$4*MAX(INDEX(Bases!$N$2:$N$53,B689),INDEX(Bases!$N$2:$N$53,C689))+Settings!$B$5*MIN(INDEX(Bases!$N$2:$N$53,B689),INDEX(Bases!$N$2:$N$53,C689))</f>
        <v>93.3333333333333</v>
      </c>
      <c r="U689" s="2" t="n">
        <f aca="false">Settings!$B$4*MAX(INDEX(Bases!$O$2:$O$53,B689),INDEX(Bases!$O$2:$O$53,C689))+Settings!$B$5*MIN(INDEX(Bases!$O$2:$O$53,B689),INDEX(Bases!$O$2:$O$53,C689))</f>
        <v>74.6666666666667</v>
      </c>
      <c r="V689" s="2" t="n">
        <f aca="false">Settings!$B$4*MAX(INDEX(Bases!$P$2:$P$53,B689),INDEX(Bases!$P$2:$P$53,C689))+Settings!$B$5*MIN(INDEX(Bases!$P$2:$P$53,B689),INDEX(Bases!$P$2:$P$53,C689))</f>
        <v>51.3333333333333</v>
      </c>
      <c r="W689" s="2" t="n">
        <f aca="false">Settings!$B$4*MAX(INDEX(Bases!$Q$2:$Q$53,B689),INDEX(Bases!$Q$2:$Q$53,C689))+Settings!$B$5*MIN(INDEX(Bases!$Q$2:$Q$53,B689),INDEX(Bases!$Q$2:$Q$53,C689))</f>
        <v>45.3333333333333</v>
      </c>
      <c r="X689" s="2" t="n">
        <f aca="false">Settings!$B$4*MAX(INDEX(Bases!$R$2:$R$53,B689),INDEX(Bases!$R$2:$R$53,C689))+Settings!$B$5*MIN(INDEX(Bases!$R$2:$R$53,B689),INDEX(Bases!$R$2:$R$53,C689))</f>
        <v>75.6666666666667</v>
      </c>
      <c r="Y689" s="2" t="n">
        <f aca="false">S689*Settings!$B$3/SUM(S689:X689)</f>
        <v>88.638195004029</v>
      </c>
      <c r="Z689" s="2" t="n">
        <f aca="false">T689*Settings!$B$3/SUM(S689:X689)</f>
        <v>112.812248186946</v>
      </c>
      <c r="AA689" s="2" t="n">
        <f aca="false">U689*Settings!$B$3/SUM(S689:X689)</f>
        <v>90.2497985495568</v>
      </c>
      <c r="AB689" s="2" t="n">
        <f aca="false">V689*Settings!$B$3/SUM(S689:X689)</f>
        <v>62.0467365028203</v>
      </c>
      <c r="AC689" s="2" t="n">
        <f aca="false">W689*Settings!$B$3/SUM(S689:X689)</f>
        <v>54.7945205479452</v>
      </c>
      <c r="AD689" s="2" t="n">
        <f aca="false">X689*Settings!$B$3/SUM(S689:X689)</f>
        <v>91.4585012087027</v>
      </c>
      <c r="AE689" s="2" t="n">
        <f aca="false">INT(Y689)</f>
        <v>88</v>
      </c>
      <c r="AF689" s="2" t="n">
        <f aca="false">INT(Z689)</f>
        <v>112</v>
      </c>
      <c r="AG689" s="2" t="n">
        <f aca="false">INT(AA689)</f>
        <v>90</v>
      </c>
      <c r="AH689" s="2" t="n">
        <f aca="false">INT(AB689)</f>
        <v>62</v>
      </c>
      <c r="AI689" s="2" t="n">
        <f aca="false">INT(AC689)</f>
        <v>54</v>
      </c>
      <c r="AJ689" s="2" t="n">
        <f aca="false">INT(AD689)</f>
        <v>91</v>
      </c>
      <c r="AK689" s="2" t="n">
        <f aca="false">Settings!$B$3-SUM(AE689:AJ689)</f>
        <v>3</v>
      </c>
      <c r="AL689" s="2" t="n">
        <f aca="false">ROUND(Y689-AE689,9)</f>
        <v>0.638195004</v>
      </c>
      <c r="AM689" s="2" t="n">
        <f aca="false">ROUND(Z689-AF689,9)</f>
        <v>0.812248187</v>
      </c>
      <c r="AN689" s="2" t="n">
        <f aca="false">ROUND(AA689-AG689,9)</f>
        <v>0.24979855</v>
      </c>
      <c r="AO689" s="2" t="n">
        <f aca="false">ROUND(AB689-AH689,9)</f>
        <v>0.046736503</v>
      </c>
      <c r="AP689" s="2" t="n">
        <f aca="false">ROUND(AC689-AI689,9)</f>
        <v>0.794520548</v>
      </c>
      <c r="AQ689" s="2" t="n">
        <f aca="false">ROUND(AD689-AJ689,9)</f>
        <v>0.458501209</v>
      </c>
    </row>
    <row r="690" customFormat="false" ht="15" hidden="false" customHeight="false" outlineLevel="0" collapsed="false">
      <c r="A690" s="2" t="n">
        <v>689</v>
      </c>
      <c r="B690" s="6" t="n">
        <v>16</v>
      </c>
      <c r="C690" s="6" t="n">
        <v>45</v>
      </c>
      <c r="D690" s="8" t="str">
        <f aca="false">INDEX(Bases!$B$2:$B$53,B690)</f>
        <v>Swinub</v>
      </c>
      <c r="E690" s="8" t="str">
        <f aca="false">INDEX(Bases!$B$2:$B$53,C690)</f>
        <v>Sneasel</v>
      </c>
      <c r="F690" s="2" t="str">
        <f aca="false">LEFT(D690,ROUNDUP(LEN(D690)/2,0))&amp;LOWER(MID(E690,ROUNDUP(LEN(E690)/2,0)+1,20))</f>
        <v>Swisel</v>
      </c>
      <c r="G690" s="8" t="str">
        <f aca="false">INDEX(Bases!$C$2:$C$53,B690)</f>
        <v>Ice</v>
      </c>
      <c r="H690" s="8" t="str">
        <f aca="false">IF(INDEX(Bases!$C$2:$C$53,C690)=G690,"",INDEX(Bases!$C$2:$C$53,C690))</f>
        <v>Dark</v>
      </c>
      <c r="I690" s="8" t="str">
        <f aca="false">IF(INDEX(Bases!$E$2:$E$53,B690)="","",INDEX(Bases!$E$2:$E$53,B690))</f>
        <v/>
      </c>
      <c r="J690" s="8" t="str">
        <f aca="false">IF(INDEX(Bases!$E$2:$E$53,C690)="","",INDEX(Bases!$E$2:$E$53,C690))</f>
        <v/>
      </c>
      <c r="K690" s="5"/>
      <c r="L690" s="2" t="n">
        <f aca="false">AE690+IF(SUMPRODUCT(--($AL690:$AQ690&gt;AL690))&lt;$AK690,1,0)</f>
        <v>84</v>
      </c>
      <c r="M690" s="2" t="n">
        <f aca="false">AF690+IF(SUMPRODUCT(--($AL690:$AQ690&gt;AM690))+SUMPRODUCT(--($AL690:AL690=AM690))&lt;$AK690,1,0)</f>
        <v>102</v>
      </c>
      <c r="N690" s="2" t="n">
        <f aca="false">AG690+IF(SUMPRODUCT(--($AL690:$AQ690&gt;AN690))+SUMPRODUCT(--($AL690:AM690=AN690))&lt;$AK690,1,0)</f>
        <v>71</v>
      </c>
      <c r="O690" s="2" t="n">
        <f aca="false">AH690+IF(SUMPRODUCT(--($AL690:$AQ690&gt;AO690))+SUMPRODUCT(--($AL690:AN690=AO690))&lt;$AK690,1,0)</f>
        <v>51</v>
      </c>
      <c r="P690" s="2" t="n">
        <f aca="false">AI690+IF(SUMPRODUCT(--($AL690:$AQ690&gt;AP690))+SUMPRODUCT(--($AL690:AO690=AP690))&lt;$AK690,1,0)</f>
        <v>75</v>
      </c>
      <c r="Q690" s="2" t="n">
        <f aca="false">AJ690+IF(SUMPRODUCT(--($AL690:$AQ690&gt;AQ690))+SUMPRODUCT(--($AL690:AP690=AQ690))&lt;$AK690,1,0)</f>
        <v>117</v>
      </c>
      <c r="R690" s="2" t="n">
        <f aca="false">SUM(L690:Q690)</f>
        <v>500</v>
      </c>
      <c r="S690" s="2" t="n">
        <f aca="false">Settings!$B$4*MAX(INDEX(Bases!$M$2:$M$53,B690),INDEX(Bases!$M$2:$M$53,C690))+Settings!$B$5*MIN(INDEX(Bases!$M$2:$M$53,B690),INDEX(Bases!$M$2:$M$53,C690))</f>
        <v>70.3333333333333</v>
      </c>
      <c r="T690" s="2" t="n">
        <f aca="false">Settings!$B$4*MAX(INDEX(Bases!$N$2:$N$53,B690),INDEX(Bases!$N$2:$N$53,C690))+Settings!$B$5*MIN(INDEX(Bases!$N$2:$N$53,B690),INDEX(Bases!$N$2:$N$53,C690))</f>
        <v>85.3333333333333</v>
      </c>
      <c r="U690" s="2" t="n">
        <f aca="false">Settings!$B$4*MAX(INDEX(Bases!$O$2:$O$53,B690),INDEX(Bases!$O$2:$O$53,C690))+Settings!$B$5*MIN(INDEX(Bases!$O$2:$O$53,B690),INDEX(Bases!$O$2:$O$53,C690))</f>
        <v>59.6666666666667</v>
      </c>
      <c r="V690" s="2" t="n">
        <f aca="false">Settings!$B$4*MAX(INDEX(Bases!$P$2:$P$53,B690),INDEX(Bases!$P$2:$P$53,C690))+Settings!$B$5*MIN(INDEX(Bases!$P$2:$P$53,B690),INDEX(Bases!$P$2:$P$53,C690))</f>
        <v>43</v>
      </c>
      <c r="W690" s="2" t="n">
        <f aca="false">Settings!$B$4*MAX(INDEX(Bases!$Q$2:$Q$53,B690),INDEX(Bases!$Q$2:$Q$53,C690))+Settings!$B$5*MIN(INDEX(Bases!$Q$2:$Q$53,B690),INDEX(Bases!$Q$2:$Q$53,C690))</f>
        <v>62.6666666666667</v>
      </c>
      <c r="X690" s="2" t="n">
        <f aca="false">Settings!$B$4*MAX(INDEX(Bases!$R$2:$R$53,B690),INDEX(Bases!$R$2:$R$53,C690))+Settings!$B$5*MIN(INDEX(Bases!$R$2:$R$53,B690),INDEX(Bases!$R$2:$R$53,C690))</f>
        <v>98</v>
      </c>
      <c r="Y690" s="2" t="n">
        <f aca="false">S690*Settings!$B$3/SUM(S690:X690)</f>
        <v>83.9299920445505</v>
      </c>
      <c r="Z690" s="2" t="n">
        <f aca="false">T690*Settings!$B$3/SUM(S690:X690)</f>
        <v>101.829753381066</v>
      </c>
      <c r="AA690" s="2" t="n">
        <f aca="false">U690*Settings!$B$3/SUM(S690:X690)</f>
        <v>71.2012728719173</v>
      </c>
      <c r="AB690" s="2" t="n">
        <f aca="false">V690*Settings!$B$3/SUM(S690:X690)</f>
        <v>51.3126491646778</v>
      </c>
      <c r="AC690" s="2" t="n">
        <f aca="false">W690*Settings!$B$3/SUM(S690:X690)</f>
        <v>74.7812251392204</v>
      </c>
      <c r="AD690" s="2" t="n">
        <f aca="false">X690*Settings!$B$3/SUM(S690:X690)</f>
        <v>116.945107398568</v>
      </c>
      <c r="AE690" s="2" t="n">
        <f aca="false">INT(Y690)</f>
        <v>83</v>
      </c>
      <c r="AF690" s="2" t="n">
        <f aca="false">INT(Z690)</f>
        <v>101</v>
      </c>
      <c r="AG690" s="2" t="n">
        <f aca="false">INT(AA690)</f>
        <v>71</v>
      </c>
      <c r="AH690" s="2" t="n">
        <f aca="false">INT(AB690)</f>
        <v>51</v>
      </c>
      <c r="AI690" s="2" t="n">
        <f aca="false">INT(AC690)</f>
        <v>74</v>
      </c>
      <c r="AJ690" s="2" t="n">
        <f aca="false">INT(AD690)</f>
        <v>116</v>
      </c>
      <c r="AK690" s="2" t="n">
        <f aca="false">Settings!$B$3-SUM(AE690:AJ690)</f>
        <v>4</v>
      </c>
      <c r="AL690" s="2" t="n">
        <f aca="false">ROUND(Y690-AE690,9)</f>
        <v>0.929992045</v>
      </c>
      <c r="AM690" s="2" t="n">
        <f aca="false">ROUND(Z690-AF690,9)</f>
        <v>0.829753381</v>
      </c>
      <c r="AN690" s="2" t="n">
        <f aca="false">ROUND(AA690-AG690,9)</f>
        <v>0.201272872</v>
      </c>
      <c r="AO690" s="2" t="n">
        <f aca="false">ROUND(AB690-AH690,9)</f>
        <v>0.312649165</v>
      </c>
      <c r="AP690" s="2" t="n">
        <f aca="false">ROUND(AC690-AI690,9)</f>
        <v>0.781225139</v>
      </c>
      <c r="AQ690" s="2" t="n">
        <f aca="false">ROUND(AD690-AJ690,9)</f>
        <v>0.945107399</v>
      </c>
    </row>
    <row r="691" customFormat="false" ht="15" hidden="false" customHeight="false" outlineLevel="0" collapsed="false">
      <c r="A691" s="2" t="n">
        <v>690</v>
      </c>
      <c r="B691" s="6" t="n">
        <v>16</v>
      </c>
      <c r="C691" s="6" t="n">
        <v>46</v>
      </c>
      <c r="D691" s="8" t="str">
        <f aca="false">INDEX(Bases!$B$2:$B$53,B691)</f>
        <v>Swinub</v>
      </c>
      <c r="E691" s="8" t="str">
        <f aca="false">INDEX(Bases!$B$2:$B$53,C691)</f>
        <v>Houndour</v>
      </c>
      <c r="F691" s="2" t="str">
        <f aca="false">LEFT(D691,ROUNDUP(LEN(D691)/2,0))&amp;LOWER(MID(E691,ROUNDUP(LEN(E691)/2,0)+1,20))</f>
        <v>Swidour</v>
      </c>
      <c r="G691" s="8" t="str">
        <f aca="false">INDEX(Bases!$C$2:$C$53,B691)</f>
        <v>Ice</v>
      </c>
      <c r="H691" s="8" t="str">
        <f aca="false">IF(INDEX(Bases!$C$2:$C$53,C691)=G691,"",INDEX(Bases!$C$2:$C$53,C691))</f>
        <v>Dark</v>
      </c>
      <c r="I691" s="8" t="str">
        <f aca="false">IF(INDEX(Bases!$E$2:$E$53,B691)="","",INDEX(Bases!$E$2:$E$53,B691))</f>
        <v/>
      </c>
      <c r="J691" s="8" t="str">
        <f aca="false">IF(INDEX(Bases!$E$2:$E$53,C691)="","",INDEX(Bases!$E$2:$E$53,C691))</f>
        <v/>
      </c>
      <c r="K691" s="5"/>
      <c r="L691" s="2" t="n">
        <f aca="false">AE691+IF(SUMPRODUCT(--($AL691:$AQ691&gt;AL691))&lt;$AK691,1,0)</f>
        <v>85</v>
      </c>
      <c r="M691" s="2" t="n">
        <f aca="false">AF691+IF(SUMPRODUCT(--($AL691:$AQ691&gt;AM691))+SUMPRODUCT(--($AL691:AL691=AM691))&lt;$AK691,1,0)</f>
        <v>92</v>
      </c>
      <c r="N691" s="2" t="n">
        <f aca="false">AG691+IF(SUMPRODUCT(--($AL691:$AQ691&gt;AN691))+SUMPRODUCT(--($AL691:AM691=AN691))&lt;$AK691,1,0)</f>
        <v>65</v>
      </c>
      <c r="O691" s="2" t="n">
        <f aca="false">AH691+IF(SUMPRODUCT(--($AL691:$AQ691&gt;AO691))+SUMPRODUCT(--($AL691:AN691=AO691))&lt;$AK691,1,0)</f>
        <v>96</v>
      </c>
      <c r="P691" s="2" t="n">
        <f aca="false">AI691+IF(SUMPRODUCT(--($AL691:$AQ691&gt;AP691))+SUMPRODUCT(--($AL691:AO691=AP691))&lt;$AK691,1,0)</f>
        <v>67</v>
      </c>
      <c r="Q691" s="2" t="n">
        <f aca="false">AJ691+IF(SUMPRODUCT(--($AL691:$AQ691&gt;AQ691))+SUMPRODUCT(--($AL691:AP691=AQ691))&lt;$AK691,1,0)</f>
        <v>95</v>
      </c>
      <c r="R691" s="2" t="n">
        <f aca="false">SUM(L691:Q691)</f>
        <v>500</v>
      </c>
      <c r="S691" s="2" t="n">
        <f aca="false">Settings!$B$4*MAX(INDEX(Bases!$M$2:$M$53,B691),INDEX(Bases!$M$2:$M$53,C691))+Settings!$B$5*MIN(INDEX(Bases!$M$2:$M$53,B691),INDEX(Bases!$M$2:$M$53,C691))</f>
        <v>71.3333333333333</v>
      </c>
      <c r="T691" s="2" t="n">
        <f aca="false">Settings!$B$4*MAX(INDEX(Bases!$N$2:$N$53,B691),INDEX(Bases!$N$2:$N$53,C691))+Settings!$B$5*MIN(INDEX(Bases!$N$2:$N$53,B691),INDEX(Bases!$N$2:$N$53,C691))</f>
        <v>77.6666666666667</v>
      </c>
      <c r="U691" s="2" t="n">
        <f aca="false">Settings!$B$4*MAX(INDEX(Bases!$O$2:$O$53,B691),INDEX(Bases!$O$2:$O$53,C691))+Settings!$B$5*MIN(INDEX(Bases!$O$2:$O$53,B691),INDEX(Bases!$O$2:$O$53,C691))</f>
        <v>54.6666666666667</v>
      </c>
      <c r="V691" s="2" t="n">
        <f aca="false">Settings!$B$4*MAX(INDEX(Bases!$P$2:$P$53,B691),INDEX(Bases!$P$2:$P$53,C691))+Settings!$B$5*MIN(INDEX(Bases!$P$2:$P$53,B691),INDEX(Bases!$P$2:$P$53,C691))</f>
        <v>80.6666666666667</v>
      </c>
      <c r="W691" s="2" t="n">
        <f aca="false">Settings!$B$4*MAX(INDEX(Bases!$Q$2:$Q$53,B691),INDEX(Bases!$Q$2:$Q$53,C691))+Settings!$B$5*MIN(INDEX(Bases!$Q$2:$Q$53,B691),INDEX(Bases!$Q$2:$Q$53,C691))</f>
        <v>56.6666666666667</v>
      </c>
      <c r="X691" s="2" t="n">
        <f aca="false">Settings!$B$4*MAX(INDEX(Bases!$R$2:$R$53,B691),INDEX(Bases!$R$2:$R$53,C691))+Settings!$B$5*MIN(INDEX(Bases!$R$2:$R$53,B691),INDEX(Bases!$R$2:$R$53,C691))</f>
        <v>79.6666666666667</v>
      </c>
      <c r="Y691" s="2" t="n">
        <f aca="false">S691*Settings!$B$3/SUM(S691:X691)</f>
        <v>84.7860538827258</v>
      </c>
      <c r="Z691" s="2" t="n">
        <f aca="false">T691*Settings!$B$3/SUM(S691:X691)</f>
        <v>92.3137876386688</v>
      </c>
      <c r="AA691" s="2" t="n">
        <f aca="false">U691*Settings!$B$3/SUM(S691:X691)</f>
        <v>64.9762282091918</v>
      </c>
      <c r="AB691" s="2" t="n">
        <f aca="false">V691*Settings!$B$3/SUM(S691:X691)</f>
        <v>95.8795562599049</v>
      </c>
      <c r="AC691" s="2" t="n">
        <f aca="false">W691*Settings!$B$3/SUM(S691:X691)</f>
        <v>67.3534072900159</v>
      </c>
      <c r="AD691" s="2" t="n">
        <f aca="false">X691*Settings!$B$3/SUM(S691:X691)</f>
        <v>94.6909667194929</v>
      </c>
      <c r="AE691" s="2" t="n">
        <f aca="false">INT(Y691)</f>
        <v>84</v>
      </c>
      <c r="AF691" s="2" t="n">
        <f aca="false">INT(Z691)</f>
        <v>92</v>
      </c>
      <c r="AG691" s="2" t="n">
        <f aca="false">INT(AA691)</f>
        <v>64</v>
      </c>
      <c r="AH691" s="2" t="n">
        <f aca="false">INT(AB691)</f>
        <v>95</v>
      </c>
      <c r="AI691" s="2" t="n">
        <f aca="false">INT(AC691)</f>
        <v>67</v>
      </c>
      <c r="AJ691" s="2" t="n">
        <f aca="false">INT(AD691)</f>
        <v>94</v>
      </c>
      <c r="AK691" s="2" t="n">
        <f aca="false">Settings!$B$3-SUM(AE691:AJ691)</f>
        <v>4</v>
      </c>
      <c r="AL691" s="2" t="n">
        <f aca="false">ROUND(Y691-AE691,9)</f>
        <v>0.786053883</v>
      </c>
      <c r="AM691" s="2" t="n">
        <f aca="false">ROUND(Z691-AF691,9)</f>
        <v>0.313787639</v>
      </c>
      <c r="AN691" s="2" t="n">
        <f aca="false">ROUND(AA691-AG691,9)</f>
        <v>0.976228209</v>
      </c>
      <c r="AO691" s="2" t="n">
        <f aca="false">ROUND(AB691-AH691,9)</f>
        <v>0.87955626</v>
      </c>
      <c r="AP691" s="2" t="n">
        <f aca="false">ROUND(AC691-AI691,9)</f>
        <v>0.35340729</v>
      </c>
      <c r="AQ691" s="2" t="n">
        <f aca="false">ROUND(AD691-AJ691,9)</f>
        <v>0.690966719</v>
      </c>
    </row>
    <row r="692" customFormat="false" ht="15" hidden="false" customHeight="false" outlineLevel="0" collapsed="false">
      <c r="A692" s="2" t="n">
        <v>691</v>
      </c>
      <c r="B692" s="6" t="n">
        <v>16</v>
      </c>
      <c r="C692" s="6" t="n">
        <v>47</v>
      </c>
      <c r="D692" s="8" t="str">
        <f aca="false">INDEX(Bases!$B$2:$B$53,B692)</f>
        <v>Swinub</v>
      </c>
      <c r="E692" s="8" t="str">
        <f aca="false">INDEX(Bases!$B$2:$B$53,C692)</f>
        <v>Carvanha</v>
      </c>
      <c r="F692" s="2" t="str">
        <f aca="false">LEFT(D692,ROUNDUP(LEN(D692)/2,0))&amp;LOWER(MID(E692,ROUNDUP(LEN(E692)/2,0)+1,20))</f>
        <v>Swianha</v>
      </c>
      <c r="G692" s="8" t="str">
        <f aca="false">INDEX(Bases!$C$2:$C$53,B692)</f>
        <v>Ice</v>
      </c>
      <c r="H692" s="8" t="str">
        <f aca="false">IF(INDEX(Bases!$C$2:$C$53,C692)=G692,"",INDEX(Bases!$C$2:$C$53,C692))</f>
        <v>Dark</v>
      </c>
      <c r="I692" s="8" t="str">
        <f aca="false">IF(INDEX(Bases!$E$2:$E$53,B692)="","",INDEX(Bases!$E$2:$E$53,B692))</f>
        <v/>
      </c>
      <c r="J692" s="8" t="str">
        <f aca="false">IF(INDEX(Bases!$E$2:$E$53,C692)="","",INDEX(Bases!$E$2:$E$53,C692))</f>
        <v/>
      </c>
      <c r="K692" s="5"/>
      <c r="L692" s="2" t="n">
        <f aca="false">AE692+IF(SUMPRODUCT(--($AL692:$AQ692&gt;AL692))&lt;$AK692,1,0)</f>
        <v>85</v>
      </c>
      <c r="M692" s="2" t="n">
        <f aca="false">AF692+IF(SUMPRODUCT(--($AL692:$AQ692&gt;AM692))+SUMPRODUCT(--($AL692:AL692=AM692))&lt;$AK692,1,0)</f>
        <v>123</v>
      </c>
      <c r="N692" s="2" t="n">
        <f aca="false">AG692+IF(SUMPRODUCT(--($AL692:$AQ692&gt;AN692))+SUMPRODUCT(--($AL692:AM692=AN692))&lt;$AK692,1,0)</f>
        <v>60</v>
      </c>
      <c r="O692" s="2" t="n">
        <f aca="false">AH692+IF(SUMPRODUCT(--($AL692:$AQ692&gt;AO692))+SUMPRODUCT(--($AL692:AN692=AO692))&lt;$AK692,1,0)</f>
        <v>86</v>
      </c>
      <c r="P692" s="2" t="n">
        <f aca="false">AI692+IF(SUMPRODUCT(--($AL692:$AQ692&gt;AP692))+SUMPRODUCT(--($AL692:AO692=AP692))&lt;$AK692,1,0)</f>
        <v>48</v>
      </c>
      <c r="Q692" s="2" t="n">
        <f aca="false">AJ692+IF(SUMPRODUCT(--($AL692:$AQ692&gt;AQ692))+SUMPRODUCT(--($AL692:AP692=AQ692))&lt;$AK692,1,0)</f>
        <v>98</v>
      </c>
      <c r="R692" s="2" t="n">
        <f aca="false">SUM(L692:Q692)</f>
        <v>500</v>
      </c>
      <c r="S692" s="2" t="n">
        <f aca="false">Settings!$B$4*MAX(INDEX(Bases!$M$2:$M$53,B692),INDEX(Bases!$M$2:$M$53,C692))+Settings!$B$5*MIN(INDEX(Bases!$M$2:$M$53,B692),INDEX(Bases!$M$2:$M$53,C692))</f>
        <v>73</v>
      </c>
      <c r="T692" s="2" t="n">
        <f aca="false">Settings!$B$4*MAX(INDEX(Bases!$N$2:$N$53,B692),INDEX(Bases!$N$2:$N$53,C692))+Settings!$B$5*MIN(INDEX(Bases!$N$2:$N$53,B692),INDEX(Bases!$N$2:$N$53,C692))</f>
        <v>105.333333333333</v>
      </c>
      <c r="U692" s="2" t="n">
        <f aca="false">Settings!$B$4*MAX(INDEX(Bases!$O$2:$O$53,B692),INDEX(Bases!$O$2:$O$53,C692))+Settings!$B$5*MIN(INDEX(Bases!$O$2:$O$53,B692),INDEX(Bases!$O$2:$O$53,C692))</f>
        <v>51.3333333333333</v>
      </c>
      <c r="V692" s="2" t="n">
        <f aca="false">Settings!$B$4*MAX(INDEX(Bases!$P$2:$P$53,B692),INDEX(Bases!$P$2:$P$53,C692))+Settings!$B$5*MIN(INDEX(Bases!$P$2:$P$53,B692),INDEX(Bases!$P$2:$P$53,C692))</f>
        <v>73.3333333333333</v>
      </c>
      <c r="W692" s="2" t="n">
        <f aca="false">Settings!$B$4*MAX(INDEX(Bases!$Q$2:$Q$53,B692),INDEX(Bases!$Q$2:$Q$53,C692))+Settings!$B$5*MIN(INDEX(Bases!$Q$2:$Q$53,B692),INDEX(Bases!$Q$2:$Q$53,C692))</f>
        <v>40.6666666666667</v>
      </c>
      <c r="X692" s="2" t="n">
        <f aca="false">Settings!$B$4*MAX(INDEX(Bases!$R$2:$R$53,B692),INDEX(Bases!$R$2:$R$53,C692))+Settings!$B$5*MIN(INDEX(Bases!$R$2:$R$53,B692),INDEX(Bases!$R$2:$R$53,C692))</f>
        <v>83.3333333333333</v>
      </c>
      <c r="Y692" s="2" t="n">
        <f aca="false">S692*Settings!$B$3/SUM(S692:X692)</f>
        <v>85.480093676815</v>
      </c>
      <c r="Z692" s="2" t="n">
        <f aca="false">T692*Settings!$B$3/SUM(S692:X692)</f>
        <v>123.341139734582</v>
      </c>
      <c r="AA692" s="2" t="n">
        <f aca="false">U692*Settings!$B$3/SUM(S692:X692)</f>
        <v>60.1092896174863</v>
      </c>
      <c r="AB692" s="2" t="n">
        <f aca="false">V692*Settings!$B$3/SUM(S692:X692)</f>
        <v>85.8704137392662</v>
      </c>
      <c r="AC692" s="2" t="n">
        <f aca="false">W692*Settings!$B$3/SUM(S692:X692)</f>
        <v>47.6190476190476</v>
      </c>
      <c r="AD692" s="2" t="n">
        <f aca="false">X692*Settings!$B$3/SUM(S692:X692)</f>
        <v>97.5800156128025</v>
      </c>
      <c r="AE692" s="2" t="n">
        <f aca="false">INT(Y692)</f>
        <v>85</v>
      </c>
      <c r="AF692" s="2" t="n">
        <f aca="false">INT(Z692)</f>
        <v>123</v>
      </c>
      <c r="AG692" s="2" t="n">
        <f aca="false">INT(AA692)</f>
        <v>60</v>
      </c>
      <c r="AH692" s="2" t="n">
        <f aca="false">INT(AB692)</f>
        <v>85</v>
      </c>
      <c r="AI692" s="2" t="n">
        <f aca="false">INT(AC692)</f>
        <v>47</v>
      </c>
      <c r="AJ692" s="2" t="n">
        <f aca="false">INT(AD692)</f>
        <v>97</v>
      </c>
      <c r="AK692" s="2" t="n">
        <f aca="false">Settings!$B$3-SUM(AE692:AJ692)</f>
        <v>3</v>
      </c>
      <c r="AL692" s="2" t="n">
        <f aca="false">ROUND(Y692-AE692,9)</f>
        <v>0.480093677</v>
      </c>
      <c r="AM692" s="2" t="n">
        <f aca="false">ROUND(Z692-AF692,9)</f>
        <v>0.341139735</v>
      </c>
      <c r="AN692" s="2" t="n">
        <f aca="false">ROUND(AA692-AG692,9)</f>
        <v>0.109289617</v>
      </c>
      <c r="AO692" s="2" t="n">
        <f aca="false">ROUND(AB692-AH692,9)</f>
        <v>0.870413739</v>
      </c>
      <c r="AP692" s="2" t="n">
        <f aca="false">ROUND(AC692-AI692,9)</f>
        <v>0.619047619</v>
      </c>
      <c r="AQ692" s="2" t="n">
        <f aca="false">ROUND(AD692-AJ692,9)</f>
        <v>0.580015613</v>
      </c>
    </row>
    <row r="693" customFormat="false" ht="15" hidden="false" customHeight="false" outlineLevel="0" collapsed="false">
      <c r="A693" s="2" t="n">
        <v>692</v>
      </c>
      <c r="B693" s="6" t="n">
        <v>16</v>
      </c>
      <c r="C693" s="6" t="n">
        <v>48</v>
      </c>
      <c r="D693" s="8" t="str">
        <f aca="false">INDEX(Bases!$B$2:$B$53,B693)</f>
        <v>Swinub</v>
      </c>
      <c r="E693" s="8" t="str">
        <f aca="false">INDEX(Bases!$B$2:$B$53,C693)</f>
        <v>Magnemite</v>
      </c>
      <c r="F693" s="2" t="str">
        <f aca="false">LEFT(D693,ROUNDUP(LEN(D693)/2,0))&amp;LOWER(MID(E693,ROUNDUP(LEN(E693)/2,0)+1,20))</f>
        <v>Swimite</v>
      </c>
      <c r="G693" s="8" t="str">
        <f aca="false">INDEX(Bases!$C$2:$C$53,B693)</f>
        <v>Ice</v>
      </c>
      <c r="H693" s="8" t="str">
        <f aca="false">IF(INDEX(Bases!$C$2:$C$53,C693)=G693,"",INDEX(Bases!$C$2:$C$53,C693))</f>
        <v>Steel</v>
      </c>
      <c r="I693" s="8" t="str">
        <f aca="false">IF(INDEX(Bases!$E$2:$E$53,B693)="","",INDEX(Bases!$E$2:$E$53,B693))</f>
        <v/>
      </c>
      <c r="J693" s="8" t="str">
        <f aca="false">IF(INDEX(Bases!$E$2:$E$53,C693)="","",INDEX(Bases!$E$2:$E$53,C693))</f>
        <v/>
      </c>
      <c r="K693" s="5"/>
      <c r="L693" s="2" t="n">
        <f aca="false">AE693+IF(SUMPRODUCT(--($AL693:$AQ693&gt;AL693))&lt;$AK693,1,0)</f>
        <v>73</v>
      </c>
      <c r="M693" s="2" t="n">
        <f aca="false">AF693+IF(SUMPRODUCT(--($AL693:$AQ693&gt;AM693))+SUMPRODUCT(--($AL693:AL693=AM693))&lt;$AK693,1,0)</f>
        <v>77</v>
      </c>
      <c r="N693" s="2" t="n">
        <f aca="false">AG693+IF(SUMPRODUCT(--($AL693:$AQ693&gt;AN693))+SUMPRODUCT(--($AL693:AM693=AN693))&lt;$AK693,1,0)</f>
        <v>90</v>
      </c>
      <c r="O693" s="2" t="n">
        <f aca="false">AH693+IF(SUMPRODUCT(--($AL693:$AQ693&gt;AO693))+SUMPRODUCT(--($AL693:AN693=AO693))&lt;$AK693,1,0)</f>
        <v>108</v>
      </c>
      <c r="P693" s="2" t="n">
        <f aca="false">AI693+IF(SUMPRODUCT(--($AL693:$AQ693&gt;AP693))+SUMPRODUCT(--($AL693:AO693=AP693))&lt;$AK693,1,0)</f>
        <v>70</v>
      </c>
      <c r="Q693" s="2" t="n">
        <f aca="false">AJ693+IF(SUMPRODUCT(--($AL693:$AQ693&gt;AQ693))+SUMPRODUCT(--($AL693:AP693=AQ693))&lt;$AK693,1,0)</f>
        <v>82</v>
      </c>
      <c r="R693" s="2" t="n">
        <f aca="false">SUM(L693:Q693)</f>
        <v>500</v>
      </c>
      <c r="S693" s="2" t="n">
        <f aca="false">Settings!$B$4*MAX(INDEX(Bases!$M$2:$M$53,B693),INDEX(Bases!$M$2:$M$53,C693))+Settings!$B$5*MIN(INDEX(Bases!$M$2:$M$53,B693),INDEX(Bases!$M$2:$M$53,C693))</f>
        <v>63.6666666666667</v>
      </c>
      <c r="T693" s="2" t="n">
        <f aca="false">Settings!$B$4*MAX(INDEX(Bases!$N$2:$N$53,B693),INDEX(Bases!$N$2:$N$53,C693))+Settings!$B$5*MIN(INDEX(Bases!$N$2:$N$53,B693),INDEX(Bases!$N$2:$N$53,C693))</f>
        <v>67.6666666666667</v>
      </c>
      <c r="U693" s="2" t="n">
        <f aca="false">Settings!$B$4*MAX(INDEX(Bases!$O$2:$O$53,B693),INDEX(Bases!$O$2:$O$53,C693))+Settings!$B$5*MIN(INDEX(Bases!$O$2:$O$53,B693),INDEX(Bases!$O$2:$O$53,C693))</f>
        <v>78.6666666666667</v>
      </c>
      <c r="V693" s="2" t="n">
        <f aca="false">Settings!$B$4*MAX(INDEX(Bases!$P$2:$P$53,B693),INDEX(Bases!$P$2:$P$53,C693))+Settings!$B$5*MIN(INDEX(Bases!$P$2:$P$53,B693),INDEX(Bases!$P$2:$P$53,C693))</f>
        <v>94</v>
      </c>
      <c r="W693" s="2" t="n">
        <f aca="false">Settings!$B$4*MAX(INDEX(Bases!$Q$2:$Q$53,B693),INDEX(Bases!$Q$2:$Q$53,C693))+Settings!$B$5*MIN(INDEX(Bases!$Q$2:$Q$53,B693),INDEX(Bases!$Q$2:$Q$53,C693))</f>
        <v>61.3333333333333</v>
      </c>
      <c r="X693" s="2" t="n">
        <f aca="false">Settings!$B$4*MAX(INDEX(Bases!$R$2:$R$53,B693),INDEX(Bases!$R$2:$R$53,C693))+Settings!$B$5*MIN(INDEX(Bases!$R$2:$R$53,B693),INDEX(Bases!$R$2:$R$53,C693))</f>
        <v>71.6666666666667</v>
      </c>
      <c r="Y693" s="2" t="n">
        <f aca="false">S693*Settings!$B$3/SUM(S693:X693)</f>
        <v>72.8451563691838</v>
      </c>
      <c r="Z693" s="2" t="n">
        <f aca="false">T693*Settings!$B$3/SUM(S693:X693)</f>
        <v>77.4218154080854</v>
      </c>
      <c r="AA693" s="2" t="n">
        <f aca="false">U693*Settings!$B$3/SUM(S693:X693)</f>
        <v>90.0076277650648</v>
      </c>
      <c r="AB693" s="2" t="n">
        <f aca="false">V693*Settings!$B$3/SUM(S693:X693)</f>
        <v>107.551487414188</v>
      </c>
      <c r="AC693" s="2" t="n">
        <f aca="false">W693*Settings!$B$3/SUM(S693:X693)</f>
        <v>70.1754385964912</v>
      </c>
      <c r="AD693" s="2" t="n">
        <f aca="false">X693*Settings!$B$3/SUM(S693:X693)</f>
        <v>81.998474446987</v>
      </c>
      <c r="AE693" s="2" t="n">
        <f aca="false">INT(Y693)</f>
        <v>72</v>
      </c>
      <c r="AF693" s="2" t="n">
        <f aca="false">INT(Z693)</f>
        <v>77</v>
      </c>
      <c r="AG693" s="2" t="n">
        <f aca="false">INT(AA693)</f>
        <v>90</v>
      </c>
      <c r="AH693" s="2" t="n">
        <f aca="false">INT(AB693)</f>
        <v>107</v>
      </c>
      <c r="AI693" s="2" t="n">
        <f aca="false">INT(AC693)</f>
        <v>70</v>
      </c>
      <c r="AJ693" s="2" t="n">
        <f aca="false">INT(AD693)</f>
        <v>81</v>
      </c>
      <c r="AK693" s="2" t="n">
        <f aca="false">Settings!$B$3-SUM(AE693:AJ693)</f>
        <v>3</v>
      </c>
      <c r="AL693" s="2" t="n">
        <f aca="false">ROUND(Y693-AE693,9)</f>
        <v>0.845156369</v>
      </c>
      <c r="AM693" s="2" t="n">
        <f aca="false">ROUND(Z693-AF693,9)</f>
        <v>0.421815408</v>
      </c>
      <c r="AN693" s="2" t="n">
        <f aca="false">ROUND(AA693-AG693,9)</f>
        <v>0.007627765</v>
      </c>
      <c r="AO693" s="2" t="n">
        <f aca="false">ROUND(AB693-AH693,9)</f>
        <v>0.551487414</v>
      </c>
      <c r="AP693" s="2" t="n">
        <f aca="false">ROUND(AC693-AI693,9)</f>
        <v>0.175438596</v>
      </c>
      <c r="AQ693" s="2" t="n">
        <f aca="false">ROUND(AD693-AJ693,9)</f>
        <v>0.998474447</v>
      </c>
    </row>
    <row r="694" customFormat="false" ht="15" hidden="false" customHeight="false" outlineLevel="0" collapsed="false">
      <c r="A694" s="2" t="n">
        <v>693</v>
      </c>
      <c r="B694" s="6" t="n">
        <v>16</v>
      </c>
      <c r="C694" s="6" t="n">
        <v>49</v>
      </c>
      <c r="D694" s="8" t="str">
        <f aca="false">INDEX(Bases!$B$2:$B$53,B694)</f>
        <v>Swinub</v>
      </c>
      <c r="E694" s="8" t="str">
        <f aca="false">INDEX(Bases!$B$2:$B$53,C694)</f>
        <v>Aron</v>
      </c>
      <c r="F694" s="2" t="str">
        <f aca="false">LEFT(D694,ROUNDUP(LEN(D694)/2,0))&amp;LOWER(MID(E694,ROUNDUP(LEN(E694)/2,0)+1,20))</f>
        <v>Swion</v>
      </c>
      <c r="G694" s="8" t="str">
        <f aca="false">INDEX(Bases!$C$2:$C$53,B694)</f>
        <v>Ice</v>
      </c>
      <c r="H694" s="8" t="str">
        <f aca="false">IF(INDEX(Bases!$C$2:$C$53,C694)=G694,"",INDEX(Bases!$C$2:$C$53,C694))</f>
        <v>Steel</v>
      </c>
      <c r="I694" s="8" t="str">
        <f aca="false">IF(INDEX(Bases!$E$2:$E$53,B694)="","",INDEX(Bases!$E$2:$E$53,B694))</f>
        <v/>
      </c>
      <c r="J694" s="8" t="str">
        <f aca="false">IF(INDEX(Bases!$E$2:$E$53,C694)="","",INDEX(Bases!$E$2:$E$53,C694))</f>
        <v/>
      </c>
      <c r="K694" s="5"/>
      <c r="L694" s="2" t="n">
        <f aca="false">AE694+IF(SUMPRODUCT(--($AL694:$AQ694&gt;AL694))&lt;$AK694,1,0)</f>
        <v>87</v>
      </c>
      <c r="M694" s="2" t="n">
        <f aca="false">AF694+IF(SUMPRODUCT(--($AL694:$AQ694&gt;AM694))+SUMPRODUCT(--($AL694:AL694=AM694))&lt;$AK694,1,0)</f>
        <v>99</v>
      </c>
      <c r="N694" s="2" t="n">
        <f aca="false">AG694+IF(SUMPRODUCT(--($AL694:$AQ694&gt;AN694))+SUMPRODUCT(--($AL694:AM694=AN694))&lt;$AK694,1,0)</f>
        <v>121</v>
      </c>
      <c r="O694" s="2" t="n">
        <f aca="false">AH694+IF(SUMPRODUCT(--($AL694:$AQ694&gt;AO694))+SUMPRODUCT(--($AL694:AN694=AO694))&lt;$AK694,1,0)</f>
        <v>58</v>
      </c>
      <c r="P694" s="2" t="n">
        <f aca="false">AI694+IF(SUMPRODUCT(--($AL694:$AQ694&gt;AP694))+SUMPRODUCT(--($AL694:AO694=AP694))&lt;$AK694,1,0)</f>
        <v>57</v>
      </c>
      <c r="Q694" s="2" t="n">
        <f aca="false">AJ694+IF(SUMPRODUCT(--($AL694:$AQ694&gt;AQ694))+SUMPRODUCT(--($AL694:AP694=AQ694))&lt;$AK694,1,0)</f>
        <v>78</v>
      </c>
      <c r="R694" s="2" t="n">
        <f aca="false">SUM(L694:Q694)</f>
        <v>500</v>
      </c>
      <c r="S694" s="2" t="n">
        <f aca="false">Settings!$B$4*MAX(INDEX(Bases!$M$2:$M$53,B694),INDEX(Bases!$M$2:$M$53,C694))+Settings!$B$5*MIN(INDEX(Bases!$M$2:$M$53,B694),INDEX(Bases!$M$2:$M$53,C694))</f>
        <v>73.6666666666667</v>
      </c>
      <c r="T694" s="2" t="n">
        <f aca="false">Settings!$B$4*MAX(INDEX(Bases!$N$2:$N$53,B694),INDEX(Bases!$N$2:$N$53,C694))+Settings!$B$5*MIN(INDEX(Bases!$N$2:$N$53,B694),INDEX(Bases!$N$2:$N$53,C694))</f>
        <v>83.3333333333333</v>
      </c>
      <c r="U694" s="2" t="n">
        <f aca="false">Settings!$B$4*MAX(INDEX(Bases!$O$2:$O$53,B694),INDEX(Bases!$O$2:$O$53,C694))+Settings!$B$5*MIN(INDEX(Bases!$O$2:$O$53,B694),INDEX(Bases!$O$2:$O$53,C694))</f>
        <v>102</v>
      </c>
      <c r="V694" s="2" t="n">
        <f aca="false">Settings!$B$4*MAX(INDEX(Bases!$P$2:$P$53,B694),INDEX(Bases!$P$2:$P$53,C694))+Settings!$B$5*MIN(INDEX(Bases!$P$2:$P$53,B694),INDEX(Bases!$P$2:$P$53,C694))</f>
        <v>48.6666666666667</v>
      </c>
      <c r="W694" s="2" t="n">
        <f aca="false">Settings!$B$4*MAX(INDEX(Bases!$Q$2:$Q$53,B694),INDEX(Bases!$Q$2:$Q$53,C694))+Settings!$B$5*MIN(INDEX(Bases!$Q$2:$Q$53,B694),INDEX(Bases!$Q$2:$Q$53,C694))</f>
        <v>48</v>
      </c>
      <c r="X694" s="2" t="n">
        <f aca="false">Settings!$B$4*MAX(INDEX(Bases!$R$2:$R$53,B694),INDEX(Bases!$R$2:$R$53,C694))+Settings!$B$5*MIN(INDEX(Bases!$R$2:$R$53,B694),INDEX(Bases!$R$2:$R$53,C694))</f>
        <v>65.3333333333333</v>
      </c>
      <c r="Y694" s="2" t="n">
        <f aca="false">S694*Settings!$B$3/SUM(S694:X694)</f>
        <v>87.4901029295329</v>
      </c>
      <c r="Z694" s="2" t="n">
        <f aca="false">T694*Settings!$B$3/SUM(S694:X694)</f>
        <v>98.9707046714173</v>
      </c>
      <c r="AA694" s="2" t="n">
        <f aca="false">U694*Settings!$B$3/SUM(S694:X694)</f>
        <v>121.140142517815</v>
      </c>
      <c r="AB694" s="2" t="n">
        <f aca="false">V694*Settings!$B$3/SUM(S694:X694)</f>
        <v>57.7988915281077</v>
      </c>
      <c r="AC694" s="2" t="n">
        <f aca="false">W694*Settings!$B$3/SUM(S694:X694)</f>
        <v>57.0071258907363</v>
      </c>
      <c r="AD694" s="2" t="n">
        <f aca="false">X694*Settings!$B$3/SUM(S694:X694)</f>
        <v>77.5930324623911</v>
      </c>
      <c r="AE694" s="2" t="n">
        <f aca="false">INT(Y694)</f>
        <v>87</v>
      </c>
      <c r="AF694" s="2" t="n">
        <f aca="false">INT(Z694)</f>
        <v>98</v>
      </c>
      <c r="AG694" s="2" t="n">
        <f aca="false">INT(AA694)</f>
        <v>121</v>
      </c>
      <c r="AH694" s="2" t="n">
        <f aca="false">INT(AB694)</f>
        <v>57</v>
      </c>
      <c r="AI694" s="2" t="n">
        <f aca="false">INT(AC694)</f>
        <v>57</v>
      </c>
      <c r="AJ694" s="2" t="n">
        <f aca="false">INT(AD694)</f>
        <v>77</v>
      </c>
      <c r="AK694" s="2" t="n">
        <f aca="false">Settings!$B$3-SUM(AE694:AJ694)</f>
        <v>3</v>
      </c>
      <c r="AL694" s="2" t="n">
        <f aca="false">ROUND(Y694-AE694,9)</f>
        <v>0.49010293</v>
      </c>
      <c r="AM694" s="2" t="n">
        <f aca="false">ROUND(Z694-AF694,9)</f>
        <v>0.970704671</v>
      </c>
      <c r="AN694" s="2" t="n">
        <f aca="false">ROUND(AA694-AG694,9)</f>
        <v>0.140142518</v>
      </c>
      <c r="AO694" s="2" t="n">
        <f aca="false">ROUND(AB694-AH694,9)</f>
        <v>0.798891528</v>
      </c>
      <c r="AP694" s="2" t="n">
        <f aca="false">ROUND(AC694-AI694,9)</f>
        <v>0.007125891</v>
      </c>
      <c r="AQ694" s="2" t="n">
        <f aca="false">ROUND(AD694-AJ694,9)</f>
        <v>0.593032462</v>
      </c>
    </row>
    <row r="695" customFormat="false" ht="15" hidden="false" customHeight="false" outlineLevel="0" collapsed="false">
      <c r="A695" s="2" t="n">
        <v>694</v>
      </c>
      <c r="B695" s="6" t="n">
        <v>16</v>
      </c>
      <c r="C695" s="6" t="n">
        <v>50</v>
      </c>
      <c r="D695" s="8" t="str">
        <f aca="false">INDEX(Bases!$B$2:$B$53,B695)</f>
        <v>Swinub</v>
      </c>
      <c r="E695" s="8" t="str">
        <f aca="false">INDEX(Bases!$B$2:$B$53,C695)</f>
        <v>Beldum</v>
      </c>
      <c r="F695" s="2" t="str">
        <f aca="false">LEFT(D695,ROUNDUP(LEN(D695)/2,0))&amp;LOWER(MID(E695,ROUNDUP(LEN(E695)/2,0)+1,20))</f>
        <v>Swidum</v>
      </c>
      <c r="G695" s="8" t="str">
        <f aca="false">INDEX(Bases!$C$2:$C$53,B695)</f>
        <v>Ice</v>
      </c>
      <c r="H695" s="8" t="str">
        <f aca="false">IF(INDEX(Bases!$C$2:$C$53,C695)=G695,"",INDEX(Bases!$C$2:$C$53,C695))</f>
        <v>Steel</v>
      </c>
      <c r="I695" s="8" t="str">
        <f aca="false">IF(INDEX(Bases!$E$2:$E$53,B695)="","",INDEX(Bases!$E$2:$E$53,B695))</f>
        <v/>
      </c>
      <c r="J695" s="8" t="str">
        <f aca="false">IF(INDEX(Bases!$E$2:$E$53,C695)="","",INDEX(Bases!$E$2:$E$53,C695))</f>
        <v/>
      </c>
      <c r="K695" s="5"/>
      <c r="L695" s="2" t="n">
        <f aca="false">AE695+IF(SUMPRODUCT(--($AL695:$AQ695&gt;AL695))&lt;$AK695,1,0)</f>
        <v>84</v>
      </c>
      <c r="M695" s="2" t="n">
        <f aca="false">AF695+IF(SUMPRODUCT(--($AL695:$AQ695&gt;AM695))+SUMPRODUCT(--($AL695:AL695=AM695))&lt;$AK695,1,0)</f>
        <v>91</v>
      </c>
      <c r="N695" s="2" t="n">
        <f aca="false">AG695+IF(SUMPRODUCT(--($AL695:$AQ695&gt;AN695))+SUMPRODUCT(--($AL695:AM695=AN695))&lt;$AK695,1,0)</f>
        <v>109</v>
      </c>
      <c r="O695" s="2" t="n">
        <f aca="false">AH695+IF(SUMPRODUCT(--($AL695:$AQ695&gt;AO695))+SUMPRODUCT(--($AL695:AN695=AO695))&lt;$AK695,1,0)</f>
        <v>56</v>
      </c>
      <c r="P695" s="2" t="n">
        <f aca="false">AI695+IF(SUMPRODUCT(--($AL695:$AQ695&gt;AP695))+SUMPRODUCT(--($AL695:AO695=AP695))&lt;$AK695,1,0)</f>
        <v>82</v>
      </c>
      <c r="Q695" s="2" t="n">
        <f aca="false">AJ695+IF(SUMPRODUCT(--($AL695:$AQ695&gt;AQ695))+SUMPRODUCT(--($AL695:AP695=AQ695))&lt;$AK695,1,0)</f>
        <v>78</v>
      </c>
      <c r="R695" s="2" t="n">
        <f aca="false">SUM(L695:Q695)</f>
        <v>500</v>
      </c>
      <c r="S695" s="2" t="n">
        <f aca="false">Settings!$B$4*MAX(INDEX(Bases!$M$2:$M$53,B695),INDEX(Bases!$M$2:$M$53,C695))+Settings!$B$5*MIN(INDEX(Bases!$M$2:$M$53,B695),INDEX(Bases!$M$2:$M$53,C695))</f>
        <v>71</v>
      </c>
      <c r="T695" s="2" t="n">
        <f aca="false">Settings!$B$4*MAX(INDEX(Bases!$N$2:$N$53,B695),INDEX(Bases!$N$2:$N$53,C695))+Settings!$B$5*MIN(INDEX(Bases!$N$2:$N$53,B695),INDEX(Bases!$N$2:$N$53,C695))</f>
        <v>77.6666666666667</v>
      </c>
      <c r="U695" s="2" t="n">
        <f aca="false">Settings!$B$4*MAX(INDEX(Bases!$O$2:$O$53,B695),INDEX(Bases!$O$2:$O$53,C695))+Settings!$B$5*MIN(INDEX(Bases!$O$2:$O$53,B695),INDEX(Bases!$O$2:$O$53,C695))</f>
        <v>92.6666666666667</v>
      </c>
      <c r="V695" s="2" t="n">
        <f aca="false">Settings!$B$4*MAX(INDEX(Bases!$P$2:$P$53,B695),INDEX(Bases!$P$2:$P$53,C695))+Settings!$B$5*MIN(INDEX(Bases!$P$2:$P$53,B695),INDEX(Bases!$P$2:$P$53,C695))</f>
        <v>47.6666666666667</v>
      </c>
      <c r="W695" s="2" t="n">
        <f aca="false">Settings!$B$4*MAX(INDEX(Bases!$Q$2:$Q$53,B695),INDEX(Bases!$Q$2:$Q$53,C695))+Settings!$B$5*MIN(INDEX(Bases!$Q$2:$Q$53,B695),INDEX(Bases!$Q$2:$Q$53,C695))</f>
        <v>69.3333333333333</v>
      </c>
      <c r="X695" s="2" t="n">
        <f aca="false">Settings!$B$4*MAX(INDEX(Bases!$R$2:$R$53,B695),INDEX(Bases!$R$2:$R$53,C695))+Settings!$B$5*MIN(INDEX(Bases!$R$2:$R$53,B695),INDEX(Bases!$R$2:$R$53,C695))</f>
        <v>66.6666666666667</v>
      </c>
      <c r="Y695" s="2" t="n">
        <f aca="false">S695*Settings!$B$3/SUM(S695:X695)</f>
        <v>83.5294117647059</v>
      </c>
      <c r="Z695" s="2" t="n">
        <f aca="false">T695*Settings!$B$3/SUM(S695:X695)</f>
        <v>91.3725490196078</v>
      </c>
      <c r="AA695" s="2" t="n">
        <f aca="false">U695*Settings!$B$3/SUM(S695:X695)</f>
        <v>109.019607843137</v>
      </c>
      <c r="AB695" s="2" t="n">
        <f aca="false">V695*Settings!$B$3/SUM(S695:X695)</f>
        <v>56.078431372549</v>
      </c>
      <c r="AC695" s="2" t="n">
        <f aca="false">W695*Settings!$B$3/SUM(S695:X695)</f>
        <v>81.5686274509804</v>
      </c>
      <c r="AD695" s="2" t="n">
        <f aca="false">X695*Settings!$B$3/SUM(S695:X695)</f>
        <v>78.4313725490196</v>
      </c>
      <c r="AE695" s="2" t="n">
        <f aca="false">INT(Y695)</f>
        <v>83</v>
      </c>
      <c r="AF695" s="2" t="n">
        <f aca="false">INT(Z695)</f>
        <v>91</v>
      </c>
      <c r="AG695" s="2" t="n">
        <f aca="false">INT(AA695)</f>
        <v>109</v>
      </c>
      <c r="AH695" s="2" t="n">
        <f aca="false">INT(AB695)</f>
        <v>56</v>
      </c>
      <c r="AI695" s="2" t="n">
        <f aca="false">INT(AC695)</f>
        <v>81</v>
      </c>
      <c r="AJ695" s="2" t="n">
        <f aca="false">INT(AD695)</f>
        <v>78</v>
      </c>
      <c r="AK695" s="2" t="n">
        <f aca="false">Settings!$B$3-SUM(AE695:AJ695)</f>
        <v>2</v>
      </c>
      <c r="AL695" s="2" t="n">
        <f aca="false">ROUND(Y695-AE695,9)</f>
        <v>0.529411765</v>
      </c>
      <c r="AM695" s="2" t="n">
        <f aca="false">ROUND(Z695-AF695,9)</f>
        <v>0.37254902</v>
      </c>
      <c r="AN695" s="2" t="n">
        <f aca="false">ROUND(AA695-AG695,9)</f>
        <v>0.019607843</v>
      </c>
      <c r="AO695" s="2" t="n">
        <f aca="false">ROUND(AB695-AH695,9)</f>
        <v>0.078431373</v>
      </c>
      <c r="AP695" s="2" t="n">
        <f aca="false">ROUND(AC695-AI695,9)</f>
        <v>0.568627451</v>
      </c>
      <c r="AQ695" s="2" t="n">
        <f aca="false">ROUND(AD695-AJ695,9)</f>
        <v>0.431372549</v>
      </c>
    </row>
    <row r="696" customFormat="false" ht="15" hidden="false" customHeight="false" outlineLevel="0" collapsed="false">
      <c r="A696" s="2" t="n">
        <v>695</v>
      </c>
      <c r="B696" s="6" t="n">
        <v>16</v>
      </c>
      <c r="C696" s="6" t="n">
        <v>51</v>
      </c>
      <c r="D696" s="8" t="str">
        <f aca="false">INDEX(Bases!$B$2:$B$53,B696)</f>
        <v>Swinub</v>
      </c>
      <c r="E696" s="8" t="str">
        <f aca="false">INDEX(Bases!$B$2:$B$53,C696)</f>
        <v>Cleffa</v>
      </c>
      <c r="F696" s="2" t="str">
        <f aca="false">LEFT(D696,ROUNDUP(LEN(D696)/2,0))&amp;LOWER(MID(E696,ROUNDUP(LEN(E696)/2,0)+1,20))</f>
        <v>Swiffa</v>
      </c>
      <c r="G696" s="8" t="str">
        <f aca="false">INDEX(Bases!$C$2:$C$53,B696)</f>
        <v>Ice</v>
      </c>
      <c r="H696" s="8" t="str">
        <f aca="false">IF(INDEX(Bases!$C$2:$C$53,C696)=G696,"",INDEX(Bases!$C$2:$C$53,C696))</f>
        <v>Fairy</v>
      </c>
      <c r="I696" s="8" t="str">
        <f aca="false">IF(INDEX(Bases!$E$2:$E$53,B696)="","",INDEX(Bases!$E$2:$E$53,B696))</f>
        <v/>
      </c>
      <c r="J696" s="8" t="str">
        <f aca="false">IF(INDEX(Bases!$E$2:$E$53,C696)="","",INDEX(Bases!$E$2:$E$53,C696))</f>
        <v/>
      </c>
      <c r="K696" s="5"/>
      <c r="L696" s="2" t="n">
        <f aca="false">AE696+IF(SUMPRODUCT(--($AL696:$AQ696&gt;AL696))&lt;$AK696,1,0)</f>
        <v>102</v>
      </c>
      <c r="M696" s="2" t="n">
        <f aca="false">AF696+IF(SUMPRODUCT(--($AL696:$AQ696&gt;AM696))+SUMPRODUCT(--($AL696:AL696=AM696))&lt;$AK696,1,0)</f>
        <v>79</v>
      </c>
      <c r="N696" s="2" t="n">
        <f aca="false">AG696+IF(SUMPRODUCT(--($AL696:$AQ696&gt;AN696))+SUMPRODUCT(--($AL696:AM696=AN696))&lt;$AK696,1,0)</f>
        <v>69</v>
      </c>
      <c r="O696" s="2" t="n">
        <f aca="false">AH696+IF(SUMPRODUCT(--($AL696:$AQ696&gt;AO696))+SUMPRODUCT(--($AL696:AN696=AO696))&lt;$AK696,1,0)</f>
        <v>82</v>
      </c>
      <c r="P696" s="2" t="n">
        <f aca="false">AI696+IF(SUMPRODUCT(--($AL696:$AQ696&gt;AP696))+SUMPRODUCT(--($AL696:AO696=AP696))&lt;$AK696,1,0)</f>
        <v>96</v>
      </c>
      <c r="Q696" s="2" t="n">
        <f aca="false">AJ696+IF(SUMPRODUCT(--($AL696:$AQ696&gt;AQ696))+SUMPRODUCT(--($AL696:AP696=AQ696))&lt;$AK696,1,0)</f>
        <v>72</v>
      </c>
      <c r="R696" s="2" t="n">
        <f aca="false">SUM(L696:Q696)</f>
        <v>500</v>
      </c>
      <c r="S696" s="2" t="n">
        <f aca="false">Settings!$B$4*MAX(INDEX(Bases!$M$2:$M$53,B696),INDEX(Bases!$M$2:$M$53,C696))+Settings!$B$5*MIN(INDEX(Bases!$M$2:$M$53,B696),INDEX(Bases!$M$2:$M$53,C696))</f>
        <v>88</v>
      </c>
      <c r="T696" s="2" t="n">
        <f aca="false">Settings!$B$4*MAX(INDEX(Bases!$N$2:$N$53,B696),INDEX(Bases!$N$2:$N$53,C696))+Settings!$B$5*MIN(INDEX(Bases!$N$2:$N$53,B696),INDEX(Bases!$N$2:$N$53,C696))</f>
        <v>68.6666666666667</v>
      </c>
      <c r="U696" s="2" t="n">
        <f aca="false">Settings!$B$4*MAX(INDEX(Bases!$O$2:$O$53,B696),INDEX(Bases!$O$2:$O$53,C696))+Settings!$B$5*MIN(INDEX(Bases!$O$2:$O$53,B696),INDEX(Bases!$O$2:$O$53,C696))</f>
        <v>59.6666666666667</v>
      </c>
      <c r="V696" s="2" t="n">
        <f aca="false">Settings!$B$4*MAX(INDEX(Bases!$P$2:$P$53,B696),INDEX(Bases!$P$2:$P$53,C696))+Settings!$B$5*MIN(INDEX(Bases!$P$2:$P$53,B696),INDEX(Bases!$P$2:$P$53,C696))</f>
        <v>71.3333333333333</v>
      </c>
      <c r="W696" s="2" t="n">
        <f aca="false">Settings!$B$4*MAX(INDEX(Bases!$Q$2:$Q$53,B696),INDEX(Bases!$Q$2:$Q$53,C696))+Settings!$B$5*MIN(INDEX(Bases!$Q$2:$Q$53,B696),INDEX(Bases!$Q$2:$Q$53,C696))</f>
        <v>83.3333333333333</v>
      </c>
      <c r="X696" s="2" t="n">
        <f aca="false">Settings!$B$4*MAX(INDEX(Bases!$R$2:$R$53,B696),INDEX(Bases!$R$2:$R$53,C696))+Settings!$B$5*MIN(INDEX(Bases!$R$2:$R$53,B696),INDEX(Bases!$R$2:$R$53,C696))</f>
        <v>62.3333333333333</v>
      </c>
      <c r="Y696" s="2" t="n">
        <f aca="false">S696*Settings!$B$3/SUM(S696:X696)</f>
        <v>101.538461538462</v>
      </c>
      <c r="Z696" s="2" t="n">
        <f aca="false">T696*Settings!$B$3/SUM(S696:X696)</f>
        <v>79.2307692307692</v>
      </c>
      <c r="AA696" s="2" t="n">
        <f aca="false">U696*Settings!$B$3/SUM(S696:X696)</f>
        <v>68.8461538461539</v>
      </c>
      <c r="AB696" s="2" t="n">
        <f aca="false">V696*Settings!$B$3/SUM(S696:X696)</f>
        <v>82.3076923076923</v>
      </c>
      <c r="AC696" s="2" t="n">
        <f aca="false">W696*Settings!$B$3/SUM(S696:X696)</f>
        <v>96.1538461538462</v>
      </c>
      <c r="AD696" s="2" t="n">
        <f aca="false">X696*Settings!$B$3/SUM(S696:X696)</f>
        <v>71.9230769230769</v>
      </c>
      <c r="AE696" s="2" t="n">
        <f aca="false">INT(Y696)</f>
        <v>101</v>
      </c>
      <c r="AF696" s="2" t="n">
        <f aca="false">INT(Z696)</f>
        <v>79</v>
      </c>
      <c r="AG696" s="2" t="n">
        <f aca="false">INT(AA696)</f>
        <v>68</v>
      </c>
      <c r="AH696" s="2" t="n">
        <f aca="false">INT(AB696)</f>
        <v>82</v>
      </c>
      <c r="AI696" s="2" t="n">
        <f aca="false">INT(AC696)</f>
        <v>96</v>
      </c>
      <c r="AJ696" s="2" t="n">
        <f aca="false">INT(AD696)</f>
        <v>71</v>
      </c>
      <c r="AK696" s="2" t="n">
        <f aca="false">Settings!$B$3-SUM(AE696:AJ696)</f>
        <v>3</v>
      </c>
      <c r="AL696" s="2" t="n">
        <f aca="false">ROUND(Y696-AE696,9)</f>
        <v>0.538461538</v>
      </c>
      <c r="AM696" s="2" t="n">
        <f aca="false">ROUND(Z696-AF696,9)</f>
        <v>0.230769231</v>
      </c>
      <c r="AN696" s="2" t="n">
        <f aca="false">ROUND(AA696-AG696,9)</f>
        <v>0.846153846</v>
      </c>
      <c r="AO696" s="2" t="n">
        <f aca="false">ROUND(AB696-AH696,9)</f>
        <v>0.307692308</v>
      </c>
      <c r="AP696" s="2" t="n">
        <f aca="false">ROUND(AC696-AI696,9)</f>
        <v>0.153846154</v>
      </c>
      <c r="AQ696" s="2" t="n">
        <f aca="false">ROUND(AD696-AJ696,9)</f>
        <v>0.923076923</v>
      </c>
    </row>
    <row r="697" customFormat="false" ht="15" hidden="false" customHeight="false" outlineLevel="0" collapsed="false">
      <c r="A697" s="2" t="n">
        <v>696</v>
      </c>
      <c r="B697" s="6" t="n">
        <v>16</v>
      </c>
      <c r="C697" s="6" t="n">
        <v>52</v>
      </c>
      <c r="D697" s="8" t="str">
        <f aca="false">INDEX(Bases!$B$2:$B$53,B697)</f>
        <v>Swinub</v>
      </c>
      <c r="E697" s="8" t="str">
        <f aca="false">INDEX(Bases!$B$2:$B$53,C697)</f>
        <v>Togepi</v>
      </c>
      <c r="F697" s="2" t="str">
        <f aca="false">LEFT(D697,ROUNDUP(LEN(D697)/2,0))&amp;LOWER(MID(E697,ROUNDUP(LEN(E697)/2,0)+1,20))</f>
        <v>Swiepi</v>
      </c>
      <c r="G697" s="8" t="str">
        <f aca="false">INDEX(Bases!$C$2:$C$53,B697)</f>
        <v>Ice</v>
      </c>
      <c r="H697" s="8" t="str">
        <f aca="false">IF(INDEX(Bases!$C$2:$C$53,C697)=G697,"",INDEX(Bases!$C$2:$C$53,C697))</f>
        <v>Fairy</v>
      </c>
      <c r="I697" s="8" t="str">
        <f aca="false">IF(INDEX(Bases!$E$2:$E$53,B697)="","",INDEX(Bases!$E$2:$E$53,B697))</f>
        <v/>
      </c>
      <c r="J697" s="8" t="str">
        <f aca="false">IF(INDEX(Bases!$E$2:$E$53,C697)="","",INDEX(Bases!$E$2:$E$53,C697))</f>
        <v/>
      </c>
      <c r="K697" s="5"/>
      <c r="L697" s="2" t="n">
        <f aca="false">AE697+IF(SUMPRODUCT(--($AL697:$AQ697&gt;AL697))&lt;$AK697,1,0)</f>
        <v>82</v>
      </c>
      <c r="M697" s="2" t="n">
        <f aca="false">AF697+IF(SUMPRODUCT(--($AL697:$AQ697&gt;AM697))+SUMPRODUCT(--($AL697:AL697=AM697))&lt;$AK697,1,0)</f>
        <v>73</v>
      </c>
      <c r="N697" s="2" t="n">
        <f aca="false">AG697+IF(SUMPRODUCT(--($AL697:$AQ697&gt;AN697))+SUMPRODUCT(--($AL697:AM697=AN697))&lt;$AK697,1,0)</f>
        <v>105</v>
      </c>
      <c r="O697" s="2" t="n">
        <f aca="false">AH697+IF(SUMPRODUCT(--($AL697:$AQ697&gt;AO697))+SUMPRODUCT(--($AL697:AN697=AO697))&lt;$AK697,1,0)</f>
        <v>68</v>
      </c>
      <c r="P697" s="2" t="n">
        <f aca="false">AI697+IF(SUMPRODUCT(--($AL697:$AQ697&gt;AP697))+SUMPRODUCT(--($AL697:AO697=AP697))&lt;$AK697,1,0)</f>
        <v>99</v>
      </c>
      <c r="Q697" s="2" t="n">
        <f aca="false">AJ697+IF(SUMPRODUCT(--($AL697:$AQ697&gt;AQ697))+SUMPRODUCT(--($AL697:AP697=AQ697))&lt;$AK697,1,0)</f>
        <v>73</v>
      </c>
      <c r="R697" s="2" t="n">
        <f aca="false">SUM(L697:Q697)</f>
        <v>500</v>
      </c>
      <c r="S697" s="2" t="n">
        <f aca="false">Settings!$B$4*MAX(INDEX(Bases!$M$2:$M$53,B697),INDEX(Bases!$M$2:$M$53,C697))+Settings!$B$5*MIN(INDEX(Bases!$M$2:$M$53,B697),INDEX(Bases!$M$2:$M$53,C697))</f>
        <v>72.3333333333333</v>
      </c>
      <c r="T697" s="2" t="n">
        <f aca="false">Settings!$B$4*MAX(INDEX(Bases!$N$2:$N$53,B697),INDEX(Bases!$N$2:$N$53,C697))+Settings!$B$5*MIN(INDEX(Bases!$N$2:$N$53,B697),INDEX(Bases!$N$2:$N$53,C697))</f>
        <v>64.3333333333333</v>
      </c>
      <c r="U697" s="2" t="n">
        <f aca="false">Settings!$B$4*MAX(INDEX(Bases!$O$2:$O$53,B697),INDEX(Bases!$O$2:$O$53,C697))+Settings!$B$5*MIN(INDEX(Bases!$O$2:$O$53,B697),INDEX(Bases!$O$2:$O$53,C697))</f>
        <v>92</v>
      </c>
      <c r="V697" s="2" t="n">
        <f aca="false">Settings!$B$4*MAX(INDEX(Bases!$P$2:$P$53,B697),INDEX(Bases!$P$2:$P$53,C697))+Settings!$B$5*MIN(INDEX(Bases!$P$2:$P$53,B697),INDEX(Bases!$P$2:$P$53,C697))</f>
        <v>59.3333333333333</v>
      </c>
      <c r="W697" s="2" t="n">
        <f aca="false">Settings!$B$4*MAX(INDEX(Bases!$Q$2:$Q$53,B697),INDEX(Bases!$Q$2:$Q$53,C697))+Settings!$B$5*MIN(INDEX(Bases!$Q$2:$Q$53,B697),INDEX(Bases!$Q$2:$Q$53,C697))</f>
        <v>86.6666666666667</v>
      </c>
      <c r="X697" s="2" t="n">
        <f aca="false">Settings!$B$4*MAX(INDEX(Bases!$R$2:$R$53,B697),INDEX(Bases!$R$2:$R$53,C697))+Settings!$B$5*MIN(INDEX(Bases!$R$2:$R$53,B697),INDEX(Bases!$R$2:$R$53,C697))</f>
        <v>64.3333333333333</v>
      </c>
      <c r="Y697" s="2" t="n">
        <f aca="false">S697*Settings!$B$3/SUM(S697:X697)</f>
        <v>82.3842065299924</v>
      </c>
      <c r="Z697" s="2" t="n">
        <f aca="false">T697*Settings!$B$3/SUM(S697:X697)</f>
        <v>73.2725892179195</v>
      </c>
      <c r="AA697" s="2" t="n">
        <f aca="false">U697*Settings!$B$3/SUM(S697:X697)</f>
        <v>104.783599088838</v>
      </c>
      <c r="AB697" s="2" t="n">
        <f aca="false">V697*Settings!$B$3/SUM(S697:X697)</f>
        <v>67.577828397874</v>
      </c>
      <c r="AC697" s="2" t="n">
        <f aca="false">W697*Settings!$B$3/SUM(S697:X697)</f>
        <v>98.7091875474563</v>
      </c>
      <c r="AD697" s="2" t="n">
        <f aca="false">X697*Settings!$B$3/SUM(S697:X697)</f>
        <v>73.2725892179195</v>
      </c>
      <c r="AE697" s="2" t="n">
        <f aca="false">INT(Y697)</f>
        <v>82</v>
      </c>
      <c r="AF697" s="2" t="n">
        <f aca="false">INT(Z697)</f>
        <v>73</v>
      </c>
      <c r="AG697" s="2" t="n">
        <f aca="false">INT(AA697)</f>
        <v>104</v>
      </c>
      <c r="AH697" s="2" t="n">
        <f aca="false">INT(AB697)</f>
        <v>67</v>
      </c>
      <c r="AI697" s="2" t="n">
        <f aca="false">INT(AC697)</f>
        <v>98</v>
      </c>
      <c r="AJ697" s="2" t="n">
        <f aca="false">INT(AD697)</f>
        <v>73</v>
      </c>
      <c r="AK697" s="2" t="n">
        <f aca="false">Settings!$B$3-SUM(AE697:AJ697)</f>
        <v>3</v>
      </c>
      <c r="AL697" s="2" t="n">
        <f aca="false">ROUND(Y697-AE697,9)</f>
        <v>0.38420653</v>
      </c>
      <c r="AM697" s="2" t="n">
        <f aca="false">ROUND(Z697-AF697,9)</f>
        <v>0.272589218</v>
      </c>
      <c r="AN697" s="2" t="n">
        <f aca="false">ROUND(AA697-AG697,9)</f>
        <v>0.783599089</v>
      </c>
      <c r="AO697" s="2" t="n">
        <f aca="false">ROUND(AB697-AH697,9)</f>
        <v>0.577828398</v>
      </c>
      <c r="AP697" s="2" t="n">
        <f aca="false">ROUND(AC697-AI697,9)</f>
        <v>0.709187547</v>
      </c>
      <c r="AQ697" s="2" t="n">
        <f aca="false">ROUND(AD697-AJ697,9)</f>
        <v>0.272589218</v>
      </c>
    </row>
    <row r="698" customFormat="false" ht="15" hidden="false" customHeight="false" outlineLevel="0" collapsed="false">
      <c r="A698" s="2" t="n">
        <v>697</v>
      </c>
      <c r="B698" s="6" t="n">
        <v>17</v>
      </c>
      <c r="C698" s="6" t="n">
        <v>18</v>
      </c>
      <c r="D698" s="8" t="str">
        <f aca="false">INDEX(Bases!$B$2:$B$53,B698)</f>
        <v>Snorunt</v>
      </c>
      <c r="E698" s="8" t="str">
        <f aca="false">INDEX(Bases!$B$2:$B$53,C698)</f>
        <v>Spheal</v>
      </c>
      <c r="F698" s="2" t="str">
        <f aca="false">LEFT(D698,ROUNDUP(LEN(D698)/2,0))&amp;LOWER(MID(E698,ROUNDUP(LEN(E698)/2,0)+1,20))</f>
        <v>Snoreal</v>
      </c>
      <c r="G698" s="8" t="str">
        <f aca="false">INDEX(Bases!$C$2:$C$53,B698)</f>
        <v>Ice</v>
      </c>
      <c r="H698" s="8" t="str">
        <f aca="false">IF(INDEX(Bases!$C$2:$C$53,C698)=G698,"",INDEX(Bases!$C$2:$C$53,C698))</f>
        <v/>
      </c>
      <c r="I698" s="8" t="str">
        <f aca="false">IF(INDEX(Bases!$E$2:$E$53,B698)="","",INDEX(Bases!$E$2:$E$53,B698))</f>
        <v/>
      </c>
      <c r="J698" s="8" t="str">
        <f aca="false">IF(INDEX(Bases!$E$2:$E$53,C698)="","",INDEX(Bases!$E$2:$E$53,C698))</f>
        <v/>
      </c>
      <c r="K698" s="5"/>
      <c r="L698" s="2" t="n">
        <f aca="false">AE698+IF(SUMPRODUCT(--($AL698:$AQ698&gt;AL698))&lt;$AK698,1,0)</f>
        <v>105</v>
      </c>
      <c r="M698" s="2" t="n">
        <f aca="false">AF698+IF(SUMPRODUCT(--($AL698:$AQ698&gt;AM698))+SUMPRODUCT(--($AL698:AL698=AM698))&lt;$AK698,1,0)</f>
        <v>76</v>
      </c>
      <c r="N698" s="2" t="n">
        <f aca="false">AG698+IF(SUMPRODUCT(--($AL698:$AQ698&gt;AN698))+SUMPRODUCT(--($AL698:AM698=AN698))&lt;$AK698,1,0)</f>
        <v>82</v>
      </c>
      <c r="O698" s="2" t="n">
        <f aca="false">AH698+IF(SUMPRODUCT(--($AL698:$AQ698&gt;AO698))+SUMPRODUCT(--($AL698:AN698=AO698))&lt;$AK698,1,0)</f>
        <v>88</v>
      </c>
      <c r="P698" s="2" t="n">
        <f aca="false">AI698+IF(SUMPRODUCT(--($AL698:$AQ698&gt;AP698))+SUMPRODUCT(--($AL698:AO698=AP698))&lt;$AK698,1,0)</f>
        <v>82</v>
      </c>
      <c r="Q698" s="2" t="n">
        <f aca="false">AJ698+IF(SUMPRODUCT(--($AL698:$AQ698&gt;AQ698))+SUMPRODUCT(--($AL698:AP698=AQ698))&lt;$AK698,1,0)</f>
        <v>67</v>
      </c>
      <c r="R698" s="2" t="n">
        <f aca="false">SUM(L698:Q698)</f>
        <v>500</v>
      </c>
      <c r="S698" s="2" t="n">
        <f aca="false">Settings!$B$4*MAX(INDEX(Bases!$M$2:$M$53,B698),INDEX(Bases!$M$2:$M$53,C698))+Settings!$B$5*MIN(INDEX(Bases!$M$2:$M$53,B698),INDEX(Bases!$M$2:$M$53,C698))</f>
        <v>87</v>
      </c>
      <c r="T698" s="2" t="n">
        <f aca="false">Settings!$B$4*MAX(INDEX(Bases!$N$2:$N$53,B698),INDEX(Bases!$N$2:$N$53,C698))+Settings!$B$5*MIN(INDEX(Bases!$N$2:$N$53,B698),INDEX(Bases!$N$2:$N$53,C698))</f>
        <v>63</v>
      </c>
      <c r="U698" s="2" t="n">
        <f aca="false">Settings!$B$4*MAX(INDEX(Bases!$O$2:$O$53,B698),INDEX(Bases!$O$2:$O$53,C698))+Settings!$B$5*MIN(INDEX(Bases!$O$2:$O$53,B698),INDEX(Bases!$O$2:$O$53,C698))</f>
        <v>68.3333333333333</v>
      </c>
      <c r="V698" s="2" t="n">
        <f aca="false">Settings!$B$4*MAX(INDEX(Bases!$P$2:$P$53,B698),INDEX(Bases!$P$2:$P$53,C698))+Settings!$B$5*MIN(INDEX(Bases!$P$2:$P$53,B698),INDEX(Bases!$P$2:$P$53,C698))</f>
        <v>73</v>
      </c>
      <c r="W698" s="2" t="n">
        <f aca="false">Settings!$B$4*MAX(INDEX(Bases!$Q$2:$Q$53,B698),INDEX(Bases!$Q$2:$Q$53,C698))+Settings!$B$5*MIN(INDEX(Bases!$Q$2:$Q$53,B698),INDEX(Bases!$Q$2:$Q$53,C698))</f>
        <v>68</v>
      </c>
      <c r="X698" s="2" t="n">
        <f aca="false">Settings!$B$4*MAX(INDEX(Bases!$R$2:$R$53,B698),INDEX(Bases!$R$2:$R$53,C698))+Settings!$B$5*MIN(INDEX(Bases!$R$2:$R$53,B698),INDEX(Bases!$R$2:$R$53,C698))</f>
        <v>55.3333333333333</v>
      </c>
      <c r="Y698" s="2" t="n">
        <f aca="false">S698*Settings!$B$3/SUM(S698:X698)</f>
        <v>104.903536977492</v>
      </c>
      <c r="Z698" s="2" t="n">
        <f aca="false">T698*Settings!$B$3/SUM(S698:X698)</f>
        <v>75.9646302250804</v>
      </c>
      <c r="AA698" s="2" t="n">
        <f aca="false">U698*Settings!$B$3/SUM(S698:X698)</f>
        <v>82.395498392283</v>
      </c>
      <c r="AB698" s="2" t="n">
        <f aca="false">V698*Settings!$B$3/SUM(S698:X698)</f>
        <v>88.0225080385852</v>
      </c>
      <c r="AC698" s="2" t="n">
        <f aca="false">W698*Settings!$B$3/SUM(S698:X698)</f>
        <v>81.9935691318328</v>
      </c>
      <c r="AD698" s="2" t="n">
        <f aca="false">X698*Settings!$B$3/SUM(S698:X698)</f>
        <v>66.7202572347267</v>
      </c>
      <c r="AE698" s="2" t="n">
        <f aca="false">INT(Y698)</f>
        <v>104</v>
      </c>
      <c r="AF698" s="2" t="n">
        <f aca="false">INT(Z698)</f>
        <v>75</v>
      </c>
      <c r="AG698" s="2" t="n">
        <f aca="false">INT(AA698)</f>
        <v>82</v>
      </c>
      <c r="AH698" s="2" t="n">
        <f aca="false">INT(AB698)</f>
        <v>88</v>
      </c>
      <c r="AI698" s="2" t="n">
        <f aca="false">INT(AC698)</f>
        <v>81</v>
      </c>
      <c r="AJ698" s="2" t="n">
        <f aca="false">INT(AD698)</f>
        <v>66</v>
      </c>
      <c r="AK698" s="2" t="n">
        <f aca="false">Settings!$B$3-SUM(AE698:AJ698)</f>
        <v>4</v>
      </c>
      <c r="AL698" s="2" t="n">
        <f aca="false">ROUND(Y698-AE698,9)</f>
        <v>0.903536977</v>
      </c>
      <c r="AM698" s="2" t="n">
        <f aca="false">ROUND(Z698-AF698,9)</f>
        <v>0.964630225</v>
      </c>
      <c r="AN698" s="2" t="n">
        <f aca="false">ROUND(AA698-AG698,9)</f>
        <v>0.395498392</v>
      </c>
      <c r="AO698" s="2" t="n">
        <f aca="false">ROUND(AB698-AH698,9)</f>
        <v>0.022508039</v>
      </c>
      <c r="AP698" s="2" t="n">
        <f aca="false">ROUND(AC698-AI698,9)</f>
        <v>0.993569132</v>
      </c>
      <c r="AQ698" s="2" t="n">
        <f aca="false">ROUND(AD698-AJ698,9)</f>
        <v>0.720257235</v>
      </c>
    </row>
    <row r="699" customFormat="false" ht="15" hidden="false" customHeight="false" outlineLevel="0" collapsed="false">
      <c r="A699" s="2" t="n">
        <v>698</v>
      </c>
      <c r="B699" s="6" t="n">
        <v>17</v>
      </c>
      <c r="C699" s="6" t="n">
        <v>19</v>
      </c>
      <c r="D699" s="8" t="str">
        <f aca="false">INDEX(Bases!$B$2:$B$53,B699)</f>
        <v>Snorunt</v>
      </c>
      <c r="E699" s="8" t="str">
        <f aca="false">INDEX(Bases!$B$2:$B$53,C699)</f>
        <v>Mankey</v>
      </c>
      <c r="F699" s="2" t="str">
        <f aca="false">LEFT(D699,ROUNDUP(LEN(D699)/2,0))&amp;LOWER(MID(E699,ROUNDUP(LEN(E699)/2,0)+1,20))</f>
        <v>Snorkey</v>
      </c>
      <c r="G699" s="8" t="str">
        <f aca="false">INDEX(Bases!$C$2:$C$53,B699)</f>
        <v>Ice</v>
      </c>
      <c r="H699" s="8" t="str">
        <f aca="false">IF(INDEX(Bases!$C$2:$C$53,C699)=G699,"",INDEX(Bases!$C$2:$C$53,C699))</f>
        <v>Fighting</v>
      </c>
      <c r="I699" s="8" t="str">
        <f aca="false">IF(INDEX(Bases!$E$2:$E$53,B699)="","",INDEX(Bases!$E$2:$E$53,B699))</f>
        <v/>
      </c>
      <c r="J699" s="8" t="str">
        <f aca="false">IF(INDEX(Bases!$E$2:$E$53,C699)="","",INDEX(Bases!$E$2:$E$53,C699))</f>
        <v/>
      </c>
      <c r="K699" s="5"/>
      <c r="L699" s="2" t="n">
        <f aca="false">AE699+IF(SUMPRODUCT(--($AL699:$AQ699&gt;AL699))&lt;$AK699,1,0)</f>
        <v>74</v>
      </c>
      <c r="M699" s="2" t="n">
        <f aca="false">AF699+IF(SUMPRODUCT(--($AL699:$AQ699&gt;AM699))+SUMPRODUCT(--($AL699:AL699=AM699))&lt;$AK699,1,0)</f>
        <v>110</v>
      </c>
      <c r="N699" s="2" t="n">
        <f aca="false">AG699+IF(SUMPRODUCT(--($AL699:$AQ699&gt;AN699))+SUMPRODUCT(--($AL699:AM699=AN699))&lt;$AK699,1,0)</f>
        <v>71</v>
      </c>
      <c r="O699" s="2" t="n">
        <f aca="false">AH699+IF(SUMPRODUCT(--($AL699:$AQ699&gt;AO699))+SUMPRODUCT(--($AL699:AN699=AO699))&lt;$AK699,1,0)</f>
        <v>71</v>
      </c>
      <c r="P699" s="2" t="n">
        <f aca="false">AI699+IF(SUMPRODUCT(--($AL699:$AQ699&gt;AP699))+SUMPRODUCT(--($AL699:AO699=AP699))&lt;$AK699,1,0)</f>
        <v>75</v>
      </c>
      <c r="Q699" s="2" t="n">
        <f aca="false">AJ699+IF(SUMPRODUCT(--($AL699:$AQ699&gt;AQ699))+SUMPRODUCT(--($AL699:AP699=AQ699))&lt;$AK699,1,0)</f>
        <v>99</v>
      </c>
      <c r="R699" s="2" t="n">
        <f aca="false">SUM(L699:Q699)</f>
        <v>500</v>
      </c>
      <c r="S699" s="2" t="n">
        <f aca="false">Settings!$B$4*MAX(INDEX(Bases!$M$2:$M$53,B699),INDEX(Bases!$M$2:$M$53,C699))+Settings!$B$5*MIN(INDEX(Bases!$M$2:$M$53,B699),INDEX(Bases!$M$2:$M$53,C699))</f>
        <v>62</v>
      </c>
      <c r="T699" s="2" t="n">
        <f aca="false">Settings!$B$4*MAX(INDEX(Bases!$N$2:$N$53,B699),INDEX(Bases!$N$2:$N$53,C699))+Settings!$B$5*MIN(INDEX(Bases!$N$2:$N$53,B699),INDEX(Bases!$N$2:$N$53,C699))</f>
        <v>92.3333333333333</v>
      </c>
      <c r="U699" s="2" t="n">
        <f aca="false">Settings!$B$4*MAX(INDEX(Bases!$O$2:$O$53,B699),INDEX(Bases!$O$2:$O$53,C699))+Settings!$B$5*MIN(INDEX(Bases!$O$2:$O$53,B699),INDEX(Bases!$O$2:$O$53,C699))</f>
        <v>60</v>
      </c>
      <c r="V699" s="2" t="n">
        <f aca="false">Settings!$B$4*MAX(INDEX(Bases!$P$2:$P$53,B699),INDEX(Bases!$P$2:$P$53,C699))+Settings!$B$5*MIN(INDEX(Bases!$P$2:$P$53,B699),INDEX(Bases!$P$2:$P$53,C699))</f>
        <v>60</v>
      </c>
      <c r="W699" s="2" t="n">
        <f aca="false">Settings!$B$4*MAX(INDEX(Bases!$Q$2:$Q$53,B699),INDEX(Bases!$Q$2:$Q$53,C699))+Settings!$B$5*MIN(INDEX(Bases!$Q$2:$Q$53,B699),INDEX(Bases!$Q$2:$Q$53,C699))</f>
        <v>63.6666666666667</v>
      </c>
      <c r="X699" s="2" t="n">
        <f aca="false">Settings!$B$4*MAX(INDEX(Bases!$R$2:$R$53,B699),INDEX(Bases!$R$2:$R$53,C699))+Settings!$B$5*MIN(INDEX(Bases!$R$2:$R$53,B699),INDEX(Bases!$R$2:$R$53,C699))</f>
        <v>83.3333333333333</v>
      </c>
      <c r="Y699" s="2" t="n">
        <f aca="false">S699*Settings!$B$3/SUM(S699:X699)</f>
        <v>73.5759493670886</v>
      </c>
      <c r="Z699" s="2" t="n">
        <f aca="false">T699*Settings!$B$3/SUM(S699:X699)</f>
        <v>109.572784810127</v>
      </c>
      <c r="AA699" s="2" t="n">
        <f aca="false">U699*Settings!$B$3/SUM(S699:X699)</f>
        <v>71.2025316455696</v>
      </c>
      <c r="AB699" s="2" t="n">
        <f aca="false">V699*Settings!$B$3/SUM(S699:X699)</f>
        <v>71.2025316455696</v>
      </c>
      <c r="AC699" s="2" t="n">
        <f aca="false">W699*Settings!$B$3/SUM(S699:X699)</f>
        <v>75.5537974683545</v>
      </c>
      <c r="AD699" s="2" t="n">
        <f aca="false">X699*Settings!$B$3/SUM(S699:X699)</f>
        <v>98.8924050632911</v>
      </c>
      <c r="AE699" s="2" t="n">
        <f aca="false">INT(Y699)</f>
        <v>73</v>
      </c>
      <c r="AF699" s="2" t="n">
        <f aca="false">INT(Z699)</f>
        <v>109</v>
      </c>
      <c r="AG699" s="2" t="n">
        <f aca="false">INT(AA699)</f>
        <v>71</v>
      </c>
      <c r="AH699" s="2" t="n">
        <f aca="false">INT(AB699)</f>
        <v>71</v>
      </c>
      <c r="AI699" s="2" t="n">
        <f aca="false">INT(AC699)</f>
        <v>75</v>
      </c>
      <c r="AJ699" s="2" t="n">
        <f aca="false">INT(AD699)</f>
        <v>98</v>
      </c>
      <c r="AK699" s="2" t="n">
        <f aca="false">Settings!$B$3-SUM(AE699:AJ699)</f>
        <v>3</v>
      </c>
      <c r="AL699" s="2" t="n">
        <f aca="false">ROUND(Y699-AE699,9)</f>
        <v>0.575949367</v>
      </c>
      <c r="AM699" s="2" t="n">
        <f aca="false">ROUND(Z699-AF699,9)</f>
        <v>0.57278481</v>
      </c>
      <c r="AN699" s="2" t="n">
        <f aca="false">ROUND(AA699-AG699,9)</f>
        <v>0.202531646</v>
      </c>
      <c r="AO699" s="2" t="n">
        <f aca="false">ROUND(AB699-AH699,9)</f>
        <v>0.202531646</v>
      </c>
      <c r="AP699" s="2" t="n">
        <f aca="false">ROUND(AC699-AI699,9)</f>
        <v>0.553797468</v>
      </c>
      <c r="AQ699" s="2" t="n">
        <f aca="false">ROUND(AD699-AJ699,9)</f>
        <v>0.892405063</v>
      </c>
    </row>
    <row r="700" customFormat="false" ht="15" hidden="false" customHeight="false" outlineLevel="0" collapsed="false">
      <c r="A700" s="2" t="n">
        <v>699</v>
      </c>
      <c r="B700" s="6" t="n">
        <v>17</v>
      </c>
      <c r="C700" s="6" t="n">
        <v>20</v>
      </c>
      <c r="D700" s="8" t="str">
        <f aca="false">INDEX(Bases!$B$2:$B$53,B700)</f>
        <v>Snorunt</v>
      </c>
      <c r="E700" s="8" t="str">
        <f aca="false">INDEX(Bases!$B$2:$B$53,C700)</f>
        <v>Tyrogue</v>
      </c>
      <c r="F700" s="2" t="str">
        <f aca="false">LEFT(D700,ROUNDUP(LEN(D700)/2,0))&amp;LOWER(MID(E700,ROUNDUP(LEN(E700)/2,0)+1,20))</f>
        <v>Snorgue</v>
      </c>
      <c r="G700" s="8" t="str">
        <f aca="false">INDEX(Bases!$C$2:$C$53,B700)</f>
        <v>Ice</v>
      </c>
      <c r="H700" s="8" t="str">
        <f aca="false">IF(INDEX(Bases!$C$2:$C$53,C700)=G700,"",INDEX(Bases!$C$2:$C$53,C700))</f>
        <v>Fighting</v>
      </c>
      <c r="I700" s="8" t="str">
        <f aca="false">IF(INDEX(Bases!$E$2:$E$53,B700)="","",INDEX(Bases!$E$2:$E$53,B700))</f>
        <v/>
      </c>
      <c r="J700" s="8" t="str">
        <f aca="false">IF(INDEX(Bases!$E$2:$E$53,C700)="","",INDEX(Bases!$E$2:$E$53,C700))</f>
        <v/>
      </c>
      <c r="K700" s="5"/>
      <c r="L700" s="2" t="n">
        <f aca="false">AE700+IF(SUMPRODUCT(--($AL700:$AQ700&gt;AL700))&lt;$AK700,1,0)</f>
        <v>84</v>
      </c>
      <c r="M700" s="2" t="n">
        <f aca="false">AF700+IF(SUMPRODUCT(--($AL700:$AQ700&gt;AM700))+SUMPRODUCT(--($AL700:AL700=AM700))&lt;$AK700,1,0)</f>
        <v>84</v>
      </c>
      <c r="N700" s="2" t="n">
        <f aca="false">AG700+IF(SUMPRODUCT(--($AL700:$AQ700&gt;AN700))+SUMPRODUCT(--($AL700:AM700=AN700))&lt;$AK700,1,0)</f>
        <v>84</v>
      </c>
      <c r="O700" s="2" t="n">
        <f aca="false">AH700+IF(SUMPRODUCT(--($AL700:$AQ700&gt;AO700))+SUMPRODUCT(--($AL700:AN700=AO700))&lt;$AK700,1,0)</f>
        <v>84</v>
      </c>
      <c r="P700" s="2" t="n">
        <f aca="false">AI700+IF(SUMPRODUCT(--($AL700:$AQ700&gt;AP700))+SUMPRODUCT(--($AL700:AO700=AP700))&lt;$AK700,1,0)</f>
        <v>82</v>
      </c>
      <c r="Q700" s="2" t="n">
        <f aca="false">AJ700+IF(SUMPRODUCT(--($AL700:$AQ700&gt;AQ700))+SUMPRODUCT(--($AL700:AP700=AQ700))&lt;$AK700,1,0)</f>
        <v>82</v>
      </c>
      <c r="R700" s="2" t="n">
        <f aca="false">SUM(L700:Q700)</f>
        <v>500</v>
      </c>
      <c r="S700" s="2" t="n">
        <f aca="false">Settings!$B$4*MAX(INDEX(Bases!$M$2:$M$53,B700),INDEX(Bases!$M$2:$M$53,C700))+Settings!$B$5*MIN(INDEX(Bases!$M$2:$M$53,B700),INDEX(Bases!$M$2:$M$53,C700))</f>
        <v>67</v>
      </c>
      <c r="T700" s="2" t="n">
        <f aca="false">Settings!$B$4*MAX(INDEX(Bases!$N$2:$N$53,B700),INDEX(Bases!$N$2:$N$53,C700))+Settings!$B$5*MIN(INDEX(Bases!$N$2:$N$53,B700),INDEX(Bases!$N$2:$N$53,C700))</f>
        <v>67</v>
      </c>
      <c r="U700" s="2" t="n">
        <f aca="false">Settings!$B$4*MAX(INDEX(Bases!$O$2:$O$53,B700),INDEX(Bases!$O$2:$O$53,C700))+Settings!$B$5*MIN(INDEX(Bases!$O$2:$O$53,B700),INDEX(Bases!$O$2:$O$53,C700))</f>
        <v>67</v>
      </c>
      <c r="V700" s="2" t="n">
        <f aca="false">Settings!$B$4*MAX(INDEX(Bases!$P$2:$P$53,B700),INDEX(Bases!$P$2:$P$53,C700))+Settings!$B$5*MIN(INDEX(Bases!$P$2:$P$53,B700),INDEX(Bases!$P$2:$P$53,C700))</f>
        <v>67</v>
      </c>
      <c r="W700" s="2" t="n">
        <f aca="false">Settings!$B$4*MAX(INDEX(Bases!$Q$2:$Q$53,B700),INDEX(Bases!$Q$2:$Q$53,C700))+Settings!$B$5*MIN(INDEX(Bases!$Q$2:$Q$53,B700),INDEX(Bases!$Q$2:$Q$53,C700))</f>
        <v>66</v>
      </c>
      <c r="X700" s="2" t="n">
        <f aca="false">Settings!$B$4*MAX(INDEX(Bases!$R$2:$R$53,B700),INDEX(Bases!$R$2:$R$53,C700))+Settings!$B$5*MIN(INDEX(Bases!$R$2:$R$53,B700),INDEX(Bases!$R$2:$R$53,C700))</f>
        <v>66</v>
      </c>
      <c r="Y700" s="2" t="n">
        <f aca="false">S700*Settings!$B$3/SUM(S700:X700)</f>
        <v>83.75</v>
      </c>
      <c r="Z700" s="2" t="n">
        <f aca="false">T700*Settings!$B$3/SUM(S700:X700)</f>
        <v>83.75</v>
      </c>
      <c r="AA700" s="2" t="n">
        <f aca="false">U700*Settings!$B$3/SUM(S700:X700)</f>
        <v>83.75</v>
      </c>
      <c r="AB700" s="2" t="n">
        <f aca="false">V700*Settings!$B$3/SUM(S700:X700)</f>
        <v>83.75</v>
      </c>
      <c r="AC700" s="2" t="n">
        <f aca="false">W700*Settings!$B$3/SUM(S700:X700)</f>
        <v>82.5</v>
      </c>
      <c r="AD700" s="2" t="n">
        <f aca="false">X700*Settings!$B$3/SUM(S700:X700)</f>
        <v>82.5</v>
      </c>
      <c r="AE700" s="2" t="n">
        <f aca="false">INT(Y700)</f>
        <v>83</v>
      </c>
      <c r="AF700" s="2" t="n">
        <f aca="false">INT(Z700)</f>
        <v>83</v>
      </c>
      <c r="AG700" s="2" t="n">
        <f aca="false">INT(AA700)</f>
        <v>83</v>
      </c>
      <c r="AH700" s="2" t="n">
        <f aca="false">INT(AB700)</f>
        <v>83</v>
      </c>
      <c r="AI700" s="2" t="n">
        <f aca="false">INT(AC700)</f>
        <v>82</v>
      </c>
      <c r="AJ700" s="2" t="n">
        <f aca="false">INT(AD700)</f>
        <v>82</v>
      </c>
      <c r="AK700" s="2" t="n">
        <f aca="false">Settings!$B$3-SUM(AE700:AJ700)</f>
        <v>4</v>
      </c>
      <c r="AL700" s="2" t="n">
        <f aca="false">ROUND(Y700-AE700,9)</f>
        <v>0.75</v>
      </c>
      <c r="AM700" s="2" t="n">
        <f aca="false">ROUND(Z700-AF700,9)</f>
        <v>0.75</v>
      </c>
      <c r="AN700" s="2" t="n">
        <f aca="false">ROUND(AA700-AG700,9)</f>
        <v>0.75</v>
      </c>
      <c r="AO700" s="2" t="n">
        <f aca="false">ROUND(AB700-AH700,9)</f>
        <v>0.75</v>
      </c>
      <c r="AP700" s="2" t="n">
        <f aca="false">ROUND(AC700-AI700,9)</f>
        <v>0.5</v>
      </c>
      <c r="AQ700" s="2" t="n">
        <f aca="false">ROUND(AD700-AJ700,9)</f>
        <v>0.5</v>
      </c>
    </row>
    <row r="701" customFormat="false" ht="15" hidden="false" customHeight="false" outlineLevel="0" collapsed="false">
      <c r="A701" s="2" t="n">
        <v>700</v>
      </c>
      <c r="B701" s="6" t="n">
        <v>17</v>
      </c>
      <c r="C701" s="6" t="n">
        <v>21</v>
      </c>
      <c r="D701" s="8" t="str">
        <f aca="false">INDEX(Bases!$B$2:$B$53,B701)</f>
        <v>Snorunt</v>
      </c>
      <c r="E701" s="8" t="str">
        <f aca="false">INDEX(Bases!$B$2:$B$53,C701)</f>
        <v>Makuhita</v>
      </c>
      <c r="F701" s="2" t="str">
        <f aca="false">LEFT(D701,ROUNDUP(LEN(D701)/2,0))&amp;LOWER(MID(E701,ROUNDUP(LEN(E701)/2,0)+1,20))</f>
        <v>Snorhita</v>
      </c>
      <c r="G701" s="8" t="str">
        <f aca="false">INDEX(Bases!$C$2:$C$53,B701)</f>
        <v>Ice</v>
      </c>
      <c r="H701" s="8" t="str">
        <f aca="false">IF(INDEX(Bases!$C$2:$C$53,C701)=G701,"",INDEX(Bases!$C$2:$C$53,C701))</f>
        <v>Fighting</v>
      </c>
      <c r="I701" s="8" t="str">
        <f aca="false">IF(INDEX(Bases!$E$2:$E$53,B701)="","",INDEX(Bases!$E$2:$E$53,B701))</f>
        <v/>
      </c>
      <c r="J701" s="8" t="str">
        <f aca="false">IF(INDEX(Bases!$E$2:$E$53,C701)="","",INDEX(Bases!$E$2:$E$53,C701))</f>
        <v/>
      </c>
      <c r="K701" s="5"/>
      <c r="L701" s="2" t="n">
        <f aca="false">AE701+IF(SUMPRODUCT(--($AL701:$AQ701&gt;AL701))&lt;$AK701,1,0)</f>
        <v>120</v>
      </c>
      <c r="M701" s="2" t="n">
        <f aca="false">AF701+IF(SUMPRODUCT(--($AL701:$AQ701&gt;AM701))+SUMPRODUCT(--($AL701:AL701=AM701))&lt;$AK701,1,0)</f>
        <v>104</v>
      </c>
      <c r="N701" s="2" t="n">
        <f aca="false">AG701+IF(SUMPRODUCT(--($AL701:$AQ701&gt;AN701))+SUMPRODUCT(--($AL701:AM701=AN701))&lt;$AK701,1,0)</f>
        <v>72</v>
      </c>
      <c r="O701" s="2" t="n">
        <f aca="false">AH701+IF(SUMPRODUCT(--($AL701:$AQ701&gt;AO701))+SUMPRODUCT(--($AL701:AN701=AO701))&lt;$AK701,1,0)</f>
        <v>65</v>
      </c>
      <c r="P701" s="2" t="n">
        <f aca="false">AI701+IF(SUMPRODUCT(--($AL701:$AQ701&gt;AP701))+SUMPRODUCT(--($AL701:AO701=AP701))&lt;$AK701,1,0)</f>
        <v>71</v>
      </c>
      <c r="Q701" s="2" t="n">
        <f aca="false">AJ701+IF(SUMPRODUCT(--($AL701:$AQ701&gt;AQ701))+SUMPRODUCT(--($AL701:AP701=AQ701))&lt;$AK701,1,0)</f>
        <v>68</v>
      </c>
      <c r="R701" s="2" t="n">
        <f aca="false">SUM(L701:Q701)</f>
        <v>500</v>
      </c>
      <c r="S701" s="2" t="n">
        <f aca="false">Settings!$B$4*MAX(INDEX(Bases!$M$2:$M$53,B701),INDEX(Bases!$M$2:$M$53,C701))+Settings!$B$5*MIN(INDEX(Bases!$M$2:$M$53,B701),INDEX(Bases!$M$2:$M$53,C701))</f>
        <v>103</v>
      </c>
      <c r="T701" s="2" t="n">
        <f aca="false">Settings!$B$4*MAX(INDEX(Bases!$N$2:$N$53,B701),INDEX(Bases!$N$2:$N$53,C701))+Settings!$B$5*MIN(INDEX(Bases!$N$2:$N$53,B701),INDEX(Bases!$N$2:$N$53,C701))</f>
        <v>89.6666666666667</v>
      </c>
      <c r="U701" s="2" t="n">
        <f aca="false">Settings!$B$4*MAX(INDEX(Bases!$O$2:$O$53,B701),INDEX(Bases!$O$2:$O$53,C701))+Settings!$B$5*MIN(INDEX(Bases!$O$2:$O$53,B701),INDEX(Bases!$O$2:$O$53,C701))</f>
        <v>61.6666666666667</v>
      </c>
      <c r="V701" s="2" t="n">
        <f aca="false">Settings!$B$4*MAX(INDEX(Bases!$P$2:$P$53,B701),INDEX(Bases!$P$2:$P$53,C701))+Settings!$B$5*MIN(INDEX(Bases!$P$2:$P$53,B701),INDEX(Bases!$P$2:$P$53,C701))</f>
        <v>56</v>
      </c>
      <c r="W701" s="2" t="n">
        <f aca="false">Settings!$B$4*MAX(INDEX(Bases!$Q$2:$Q$53,B701),INDEX(Bases!$Q$2:$Q$53,C701))+Settings!$B$5*MIN(INDEX(Bases!$Q$2:$Q$53,B701),INDEX(Bases!$Q$2:$Q$53,C701))</f>
        <v>61</v>
      </c>
      <c r="X701" s="2" t="n">
        <f aca="false">Settings!$B$4*MAX(INDEX(Bases!$R$2:$R$53,B701),INDEX(Bases!$R$2:$R$53,C701))+Settings!$B$5*MIN(INDEX(Bases!$R$2:$R$53,B701),INDEX(Bases!$R$2:$R$53,C701))</f>
        <v>58</v>
      </c>
      <c r="Y701" s="2" t="n">
        <f aca="false">S701*Settings!$B$3/SUM(S701:X701)</f>
        <v>119.953416149068</v>
      </c>
      <c r="Z701" s="2" t="n">
        <f aca="false">T701*Settings!$B$3/SUM(S701:X701)</f>
        <v>104.425465838509</v>
      </c>
      <c r="AA701" s="2" t="n">
        <f aca="false">U701*Settings!$B$3/SUM(S701:X701)</f>
        <v>71.8167701863354</v>
      </c>
      <c r="AB701" s="2" t="n">
        <f aca="false">V701*Settings!$B$3/SUM(S701:X701)</f>
        <v>65.2173913043478</v>
      </c>
      <c r="AC701" s="2" t="n">
        <f aca="false">W701*Settings!$B$3/SUM(S701:X701)</f>
        <v>71.0403726708075</v>
      </c>
      <c r="AD701" s="2" t="n">
        <f aca="false">X701*Settings!$B$3/SUM(S701:X701)</f>
        <v>67.5465838509317</v>
      </c>
      <c r="AE701" s="2" t="n">
        <f aca="false">INT(Y701)</f>
        <v>119</v>
      </c>
      <c r="AF701" s="2" t="n">
        <f aca="false">INT(Z701)</f>
        <v>104</v>
      </c>
      <c r="AG701" s="2" t="n">
        <f aca="false">INT(AA701)</f>
        <v>71</v>
      </c>
      <c r="AH701" s="2" t="n">
        <f aca="false">INT(AB701)</f>
        <v>65</v>
      </c>
      <c r="AI701" s="2" t="n">
        <f aca="false">INT(AC701)</f>
        <v>71</v>
      </c>
      <c r="AJ701" s="2" t="n">
        <f aca="false">INT(AD701)</f>
        <v>67</v>
      </c>
      <c r="AK701" s="2" t="n">
        <f aca="false">Settings!$B$3-SUM(AE701:AJ701)</f>
        <v>3</v>
      </c>
      <c r="AL701" s="2" t="n">
        <f aca="false">ROUND(Y701-AE701,9)</f>
        <v>0.953416149</v>
      </c>
      <c r="AM701" s="2" t="n">
        <f aca="false">ROUND(Z701-AF701,9)</f>
        <v>0.425465839</v>
      </c>
      <c r="AN701" s="2" t="n">
        <f aca="false">ROUND(AA701-AG701,9)</f>
        <v>0.816770186</v>
      </c>
      <c r="AO701" s="2" t="n">
        <f aca="false">ROUND(AB701-AH701,9)</f>
        <v>0.217391304</v>
      </c>
      <c r="AP701" s="2" t="n">
        <f aca="false">ROUND(AC701-AI701,9)</f>
        <v>0.040372671</v>
      </c>
      <c r="AQ701" s="2" t="n">
        <f aca="false">ROUND(AD701-AJ701,9)</f>
        <v>0.546583851</v>
      </c>
    </row>
    <row r="702" customFormat="false" ht="15" hidden="false" customHeight="false" outlineLevel="0" collapsed="false">
      <c r="A702" s="2" t="n">
        <v>701</v>
      </c>
      <c r="B702" s="6" t="n">
        <v>17</v>
      </c>
      <c r="C702" s="6" t="n">
        <v>22</v>
      </c>
      <c r="D702" s="8" t="str">
        <f aca="false">INDEX(Bases!$B$2:$B$53,B702)</f>
        <v>Snorunt</v>
      </c>
      <c r="E702" s="8" t="str">
        <f aca="false">INDEX(Bases!$B$2:$B$53,C702)</f>
        <v>Ekans</v>
      </c>
      <c r="F702" s="2" t="str">
        <f aca="false">LEFT(D702,ROUNDUP(LEN(D702)/2,0))&amp;LOWER(MID(E702,ROUNDUP(LEN(E702)/2,0)+1,20))</f>
        <v>Snorns</v>
      </c>
      <c r="G702" s="8" t="str">
        <f aca="false">INDEX(Bases!$C$2:$C$53,B702)</f>
        <v>Ice</v>
      </c>
      <c r="H702" s="8" t="str">
        <f aca="false">IF(INDEX(Bases!$C$2:$C$53,C702)=G702,"",INDEX(Bases!$C$2:$C$53,C702))</f>
        <v>Poison</v>
      </c>
      <c r="I702" s="8" t="str">
        <f aca="false">IF(INDEX(Bases!$E$2:$E$53,B702)="","",INDEX(Bases!$E$2:$E$53,B702))</f>
        <v/>
      </c>
      <c r="J702" s="8" t="str">
        <f aca="false">IF(INDEX(Bases!$E$2:$E$53,C702)="","",INDEX(Bases!$E$2:$E$53,C702))</f>
        <v/>
      </c>
      <c r="K702" s="5"/>
      <c r="L702" s="2" t="n">
        <f aca="false">AE702+IF(SUMPRODUCT(--($AL702:$AQ702&gt;AL702))&lt;$AK702,1,0)</f>
        <v>74</v>
      </c>
      <c r="M702" s="2" t="n">
        <f aca="false">AF702+IF(SUMPRODUCT(--($AL702:$AQ702&gt;AM702))+SUMPRODUCT(--($AL702:AL702=AM702))&lt;$AK702,1,0)</f>
        <v>94</v>
      </c>
      <c r="N702" s="2" t="n">
        <f aca="false">AG702+IF(SUMPRODUCT(--($AL702:$AQ702&gt;AN702))+SUMPRODUCT(--($AL702:AM702=AN702))&lt;$AK702,1,0)</f>
        <v>79</v>
      </c>
      <c r="O702" s="2" t="n">
        <f aca="false">AH702+IF(SUMPRODUCT(--($AL702:$AQ702&gt;AO702))+SUMPRODUCT(--($AL702:AN702=AO702))&lt;$AK702,1,0)</f>
        <v>77</v>
      </c>
      <c r="P702" s="2" t="n">
        <f aca="false">AI702+IF(SUMPRODUCT(--($AL702:$AQ702&gt;AP702))+SUMPRODUCT(--($AL702:AO702=AP702))&lt;$AK702,1,0)</f>
        <v>88</v>
      </c>
      <c r="Q702" s="2" t="n">
        <f aca="false">AJ702+IF(SUMPRODUCT(--($AL702:$AQ702&gt;AQ702))+SUMPRODUCT(--($AL702:AP702=AQ702))&lt;$AK702,1,0)</f>
        <v>88</v>
      </c>
      <c r="R702" s="2" t="n">
        <f aca="false">SUM(L702:Q702)</f>
        <v>500</v>
      </c>
      <c r="S702" s="2" t="n">
        <f aca="false">Settings!$B$4*MAX(INDEX(Bases!$M$2:$M$53,B702),INDEX(Bases!$M$2:$M$53,C702))+Settings!$B$5*MIN(INDEX(Bases!$M$2:$M$53,B702),INDEX(Bases!$M$2:$M$53,C702))</f>
        <v>61</v>
      </c>
      <c r="T702" s="2" t="n">
        <f aca="false">Settings!$B$4*MAX(INDEX(Bases!$N$2:$N$53,B702),INDEX(Bases!$N$2:$N$53,C702))+Settings!$B$5*MIN(INDEX(Bases!$N$2:$N$53,B702),INDEX(Bases!$N$2:$N$53,C702))</f>
        <v>77.6666666666667</v>
      </c>
      <c r="U702" s="2" t="n">
        <f aca="false">Settings!$B$4*MAX(INDEX(Bases!$O$2:$O$53,B702),INDEX(Bases!$O$2:$O$53,C702))+Settings!$B$5*MIN(INDEX(Bases!$O$2:$O$53,B702),INDEX(Bases!$O$2:$O$53,C702))</f>
        <v>65</v>
      </c>
      <c r="V702" s="2" t="n">
        <f aca="false">Settings!$B$4*MAX(INDEX(Bases!$P$2:$P$53,B702),INDEX(Bases!$P$2:$P$53,C702))+Settings!$B$5*MIN(INDEX(Bases!$P$2:$P$53,B702),INDEX(Bases!$P$2:$P$53,C702))</f>
        <v>63.3333333333333</v>
      </c>
      <c r="W702" s="2" t="n">
        <f aca="false">Settings!$B$4*MAX(INDEX(Bases!$Q$2:$Q$53,B702),INDEX(Bases!$Q$2:$Q$53,C702))+Settings!$B$5*MIN(INDEX(Bases!$Q$2:$Q$53,B702),INDEX(Bases!$Q$2:$Q$53,C702))</f>
        <v>72</v>
      </c>
      <c r="X702" s="2" t="n">
        <f aca="false">Settings!$B$4*MAX(INDEX(Bases!$R$2:$R$53,B702),INDEX(Bases!$R$2:$R$53,C702))+Settings!$B$5*MIN(INDEX(Bases!$R$2:$R$53,B702),INDEX(Bases!$R$2:$R$53,C702))</f>
        <v>72.6666666666667</v>
      </c>
      <c r="Y702" s="2" t="n">
        <f aca="false">S702*Settings!$B$3/SUM(S702:X702)</f>
        <v>74.0890688259109</v>
      </c>
      <c r="Z702" s="2" t="n">
        <f aca="false">T702*Settings!$B$3/SUM(S702:X702)</f>
        <v>94.331983805668</v>
      </c>
      <c r="AA702" s="2" t="n">
        <f aca="false">U702*Settings!$B$3/SUM(S702:X702)</f>
        <v>78.9473684210526</v>
      </c>
      <c r="AB702" s="2" t="n">
        <f aca="false">V702*Settings!$B$3/SUM(S702:X702)</f>
        <v>76.9230769230769</v>
      </c>
      <c r="AC702" s="2" t="n">
        <f aca="false">W702*Settings!$B$3/SUM(S702:X702)</f>
        <v>87.4493927125506</v>
      </c>
      <c r="AD702" s="2" t="n">
        <f aca="false">X702*Settings!$B$3/SUM(S702:X702)</f>
        <v>88.2591093117409</v>
      </c>
      <c r="AE702" s="2" t="n">
        <f aca="false">INT(Y702)</f>
        <v>74</v>
      </c>
      <c r="AF702" s="2" t="n">
        <f aca="false">INT(Z702)</f>
        <v>94</v>
      </c>
      <c r="AG702" s="2" t="n">
        <f aca="false">INT(AA702)</f>
        <v>78</v>
      </c>
      <c r="AH702" s="2" t="n">
        <f aca="false">INT(AB702)</f>
        <v>76</v>
      </c>
      <c r="AI702" s="2" t="n">
        <f aca="false">INT(AC702)</f>
        <v>87</v>
      </c>
      <c r="AJ702" s="2" t="n">
        <f aca="false">INT(AD702)</f>
        <v>88</v>
      </c>
      <c r="AK702" s="2" t="n">
        <f aca="false">Settings!$B$3-SUM(AE702:AJ702)</f>
        <v>3</v>
      </c>
      <c r="AL702" s="2" t="n">
        <f aca="false">ROUND(Y702-AE702,9)</f>
        <v>0.089068826</v>
      </c>
      <c r="AM702" s="2" t="n">
        <f aca="false">ROUND(Z702-AF702,9)</f>
        <v>0.331983806</v>
      </c>
      <c r="AN702" s="2" t="n">
        <f aca="false">ROUND(AA702-AG702,9)</f>
        <v>0.947368421</v>
      </c>
      <c r="AO702" s="2" t="n">
        <f aca="false">ROUND(AB702-AH702,9)</f>
        <v>0.923076923</v>
      </c>
      <c r="AP702" s="2" t="n">
        <f aca="false">ROUND(AC702-AI702,9)</f>
        <v>0.449392713</v>
      </c>
      <c r="AQ702" s="2" t="n">
        <f aca="false">ROUND(AD702-AJ702,9)</f>
        <v>0.259109312</v>
      </c>
    </row>
    <row r="703" customFormat="false" ht="15" hidden="false" customHeight="false" outlineLevel="0" collapsed="false">
      <c r="A703" s="2" t="n">
        <v>702</v>
      </c>
      <c r="B703" s="6" t="n">
        <v>17</v>
      </c>
      <c r="C703" s="6" t="n">
        <v>23</v>
      </c>
      <c r="D703" s="8" t="str">
        <f aca="false">INDEX(Bases!$B$2:$B$53,B703)</f>
        <v>Snorunt</v>
      </c>
      <c r="E703" s="8" t="str">
        <f aca="false">INDEX(Bases!$B$2:$B$53,C703)</f>
        <v>Gulpin</v>
      </c>
      <c r="F703" s="2" t="str">
        <f aca="false">LEFT(D703,ROUNDUP(LEN(D703)/2,0))&amp;LOWER(MID(E703,ROUNDUP(LEN(E703)/2,0)+1,20))</f>
        <v>Snorpin</v>
      </c>
      <c r="G703" s="8" t="str">
        <f aca="false">INDEX(Bases!$C$2:$C$53,B703)</f>
        <v>Ice</v>
      </c>
      <c r="H703" s="8" t="str">
        <f aca="false">IF(INDEX(Bases!$C$2:$C$53,C703)=G703,"",INDEX(Bases!$C$2:$C$53,C703))</f>
        <v>Poison</v>
      </c>
      <c r="I703" s="8" t="str">
        <f aca="false">IF(INDEX(Bases!$E$2:$E$53,B703)="","",INDEX(Bases!$E$2:$E$53,B703))</f>
        <v/>
      </c>
      <c r="J703" s="8" t="str">
        <f aca="false">IF(INDEX(Bases!$E$2:$E$53,C703)="","",INDEX(Bases!$E$2:$E$53,C703))</f>
        <v/>
      </c>
      <c r="K703" s="5"/>
      <c r="L703" s="2" t="n">
        <f aca="false">AE703+IF(SUMPRODUCT(--($AL703:$AQ703&gt;AL703))&lt;$AK703,1,0)</f>
        <v>103</v>
      </c>
      <c r="M703" s="2" t="n">
        <f aca="false">AF703+IF(SUMPRODUCT(--($AL703:$AQ703&gt;AM703))+SUMPRODUCT(--($AL703:AL703=AM703))&lt;$AK703,1,0)</f>
        <v>77</v>
      </c>
      <c r="N703" s="2" t="n">
        <f aca="false">AG703+IF(SUMPRODUCT(--($AL703:$AQ703&gt;AN703))+SUMPRODUCT(--($AL703:AM703=AN703))&lt;$AK703,1,0)</f>
        <v>84</v>
      </c>
      <c r="O703" s="2" t="n">
        <f aca="false">AH703+IF(SUMPRODUCT(--($AL703:$AQ703&gt;AO703))+SUMPRODUCT(--($AL703:AN703=AO703))&lt;$AK703,1,0)</f>
        <v>77</v>
      </c>
      <c r="P703" s="2" t="n">
        <f aca="false">AI703+IF(SUMPRODUCT(--($AL703:$AQ703&gt;AP703))+SUMPRODUCT(--($AL703:AO703=AP703))&lt;$AK703,1,0)</f>
        <v>84</v>
      </c>
      <c r="Q703" s="2" t="n">
        <f aca="false">AJ703+IF(SUMPRODUCT(--($AL703:$AQ703&gt;AQ703))+SUMPRODUCT(--($AL703:AP703=AQ703))&lt;$AK703,1,0)</f>
        <v>75</v>
      </c>
      <c r="R703" s="2" t="n">
        <f aca="false">SUM(L703:Q703)</f>
        <v>500</v>
      </c>
      <c r="S703" s="2" t="n">
        <f aca="false">Settings!$B$4*MAX(INDEX(Bases!$M$2:$M$53,B703),INDEX(Bases!$M$2:$M$53,C703))+Settings!$B$5*MIN(INDEX(Bases!$M$2:$M$53,B703),INDEX(Bases!$M$2:$M$53,C703))</f>
        <v>84.3333333333333</v>
      </c>
      <c r="T703" s="2" t="n">
        <f aca="false">Settings!$B$4*MAX(INDEX(Bases!$N$2:$N$53,B703),INDEX(Bases!$N$2:$N$53,C703))+Settings!$B$5*MIN(INDEX(Bases!$N$2:$N$53,B703),INDEX(Bases!$N$2:$N$53,C703))</f>
        <v>63.6666666666667</v>
      </c>
      <c r="U703" s="2" t="n">
        <f aca="false">Settings!$B$4*MAX(INDEX(Bases!$O$2:$O$53,B703),INDEX(Bases!$O$2:$O$53,C703))+Settings!$B$5*MIN(INDEX(Bases!$O$2:$O$53,B703),INDEX(Bases!$O$2:$O$53,C703))</f>
        <v>69</v>
      </c>
      <c r="V703" s="2" t="n">
        <f aca="false">Settings!$B$4*MAX(INDEX(Bases!$P$2:$P$53,B703),INDEX(Bases!$P$2:$P$53,C703))+Settings!$B$5*MIN(INDEX(Bases!$P$2:$P$53,B703),INDEX(Bases!$P$2:$P$53,C703))</f>
        <v>63.6666666666667</v>
      </c>
      <c r="W703" s="2" t="n">
        <f aca="false">Settings!$B$4*MAX(INDEX(Bases!$Q$2:$Q$53,B703),INDEX(Bases!$Q$2:$Q$53,C703))+Settings!$B$5*MIN(INDEX(Bases!$Q$2:$Q$53,B703),INDEX(Bases!$Q$2:$Q$53,C703))</f>
        <v>68.6666666666667</v>
      </c>
      <c r="X703" s="2" t="n">
        <f aca="false">Settings!$B$4*MAX(INDEX(Bases!$R$2:$R$53,B703),INDEX(Bases!$R$2:$R$53,C703))+Settings!$B$5*MIN(INDEX(Bases!$R$2:$R$53,B703),INDEX(Bases!$R$2:$R$53,C703))</f>
        <v>61.6666666666667</v>
      </c>
      <c r="Y703" s="2" t="n">
        <f aca="false">S703*Settings!$B$3/SUM(S703:X703)</f>
        <v>102.595296025953</v>
      </c>
      <c r="Z703" s="2" t="n">
        <f aca="false">T703*Settings!$B$3/SUM(S703:X703)</f>
        <v>77.4533657745337</v>
      </c>
      <c r="AA703" s="2" t="n">
        <f aca="false">U703*Settings!$B$3/SUM(S703:X703)</f>
        <v>83.941605839416</v>
      </c>
      <c r="AB703" s="2" t="n">
        <f aca="false">V703*Settings!$B$3/SUM(S703:X703)</f>
        <v>77.4533657745337</v>
      </c>
      <c r="AC703" s="2" t="n">
        <f aca="false">W703*Settings!$B$3/SUM(S703:X703)</f>
        <v>83.5360908353609</v>
      </c>
      <c r="AD703" s="2" t="n">
        <f aca="false">X703*Settings!$B$3/SUM(S703:X703)</f>
        <v>75.0202757502028</v>
      </c>
      <c r="AE703" s="2" t="n">
        <f aca="false">INT(Y703)</f>
        <v>102</v>
      </c>
      <c r="AF703" s="2" t="n">
        <f aca="false">INT(Z703)</f>
        <v>77</v>
      </c>
      <c r="AG703" s="2" t="n">
        <f aca="false">INT(AA703)</f>
        <v>83</v>
      </c>
      <c r="AH703" s="2" t="n">
        <f aca="false">INT(AB703)</f>
        <v>77</v>
      </c>
      <c r="AI703" s="2" t="n">
        <f aca="false">INT(AC703)</f>
        <v>83</v>
      </c>
      <c r="AJ703" s="2" t="n">
        <f aca="false">INT(AD703)</f>
        <v>75</v>
      </c>
      <c r="AK703" s="2" t="n">
        <f aca="false">Settings!$B$3-SUM(AE703:AJ703)</f>
        <v>3</v>
      </c>
      <c r="AL703" s="2" t="n">
        <f aca="false">ROUND(Y703-AE703,9)</f>
        <v>0.595296026</v>
      </c>
      <c r="AM703" s="2" t="n">
        <f aca="false">ROUND(Z703-AF703,9)</f>
        <v>0.453365775</v>
      </c>
      <c r="AN703" s="2" t="n">
        <f aca="false">ROUND(AA703-AG703,9)</f>
        <v>0.941605839</v>
      </c>
      <c r="AO703" s="2" t="n">
        <f aca="false">ROUND(AB703-AH703,9)</f>
        <v>0.453365775</v>
      </c>
      <c r="AP703" s="2" t="n">
        <f aca="false">ROUND(AC703-AI703,9)</f>
        <v>0.536090835</v>
      </c>
      <c r="AQ703" s="2" t="n">
        <f aca="false">ROUND(AD703-AJ703,9)</f>
        <v>0.02027575</v>
      </c>
    </row>
    <row r="704" customFormat="false" ht="15" hidden="false" customHeight="false" outlineLevel="0" collapsed="false">
      <c r="A704" s="2" t="n">
        <v>703</v>
      </c>
      <c r="B704" s="6" t="n">
        <v>17</v>
      </c>
      <c r="C704" s="6" t="n">
        <v>24</v>
      </c>
      <c r="D704" s="8" t="str">
        <f aca="false">INDEX(Bases!$B$2:$B$53,B704)</f>
        <v>Snorunt</v>
      </c>
      <c r="E704" s="8" t="str">
        <f aca="false">INDEX(Bases!$B$2:$B$53,C704)</f>
        <v>Koffing</v>
      </c>
      <c r="F704" s="2" t="str">
        <f aca="false">LEFT(D704,ROUNDUP(LEN(D704)/2,0))&amp;LOWER(MID(E704,ROUNDUP(LEN(E704)/2,0)+1,20))</f>
        <v>Snoring</v>
      </c>
      <c r="G704" s="8" t="str">
        <f aca="false">INDEX(Bases!$C$2:$C$53,B704)</f>
        <v>Ice</v>
      </c>
      <c r="H704" s="8" t="str">
        <f aca="false">IF(INDEX(Bases!$C$2:$C$53,C704)=G704,"",INDEX(Bases!$C$2:$C$53,C704))</f>
        <v>Poison</v>
      </c>
      <c r="I704" s="8" t="str">
        <f aca="false">IF(INDEX(Bases!$E$2:$E$53,B704)="","",INDEX(Bases!$E$2:$E$53,B704))</f>
        <v/>
      </c>
      <c r="J704" s="8" t="str">
        <f aca="false">IF(INDEX(Bases!$E$2:$E$53,C704)="","",INDEX(Bases!$E$2:$E$53,C704))</f>
        <v/>
      </c>
      <c r="K704" s="5"/>
      <c r="L704" s="2" t="n">
        <f aca="false">AE704+IF(SUMPRODUCT(--($AL704:$AQ704&gt;AL704))&lt;$AK704,1,0)</f>
        <v>72</v>
      </c>
      <c r="M704" s="2" t="n">
        <f aca="false">AF704+IF(SUMPRODUCT(--($AL704:$AQ704&gt;AM704))+SUMPRODUCT(--($AL704:AL704=AM704))&lt;$AK704,1,0)</f>
        <v>87</v>
      </c>
      <c r="N704" s="2" t="n">
        <f aca="false">AG704+IF(SUMPRODUCT(--($AL704:$AQ704&gt;AN704))+SUMPRODUCT(--($AL704:AM704=AN704))&lt;$AK704,1,0)</f>
        <v>116</v>
      </c>
      <c r="O704" s="2" t="n">
        <f aca="false">AH704+IF(SUMPRODUCT(--($AL704:$AQ704&gt;AO704))+SUMPRODUCT(--($AL704:AN704=AO704))&lt;$AK704,1,0)</f>
        <v>83</v>
      </c>
      <c r="P704" s="2" t="n">
        <f aca="false">AI704+IF(SUMPRODUCT(--($AL704:$AQ704&gt;AP704))+SUMPRODUCT(--($AL704:AO704=AP704))&lt;$AK704,1,0)</f>
        <v>73</v>
      </c>
      <c r="Q704" s="2" t="n">
        <f aca="false">AJ704+IF(SUMPRODUCT(--($AL704:$AQ704&gt;AQ704))+SUMPRODUCT(--($AL704:AP704=AQ704))&lt;$AK704,1,0)</f>
        <v>69</v>
      </c>
      <c r="R704" s="2" t="n">
        <f aca="false">SUM(L704:Q704)</f>
        <v>500</v>
      </c>
      <c r="S704" s="2" t="n">
        <f aca="false">Settings!$B$4*MAX(INDEX(Bases!$M$2:$M$53,B704),INDEX(Bases!$M$2:$M$53,C704))+Settings!$B$5*MIN(INDEX(Bases!$M$2:$M$53,B704),INDEX(Bases!$M$2:$M$53,C704))</f>
        <v>60.3333333333333</v>
      </c>
      <c r="T704" s="2" t="n">
        <f aca="false">Settings!$B$4*MAX(INDEX(Bases!$N$2:$N$53,B704),INDEX(Bases!$N$2:$N$53,C704))+Settings!$B$5*MIN(INDEX(Bases!$N$2:$N$53,B704),INDEX(Bases!$N$2:$N$53,C704))</f>
        <v>73</v>
      </c>
      <c r="U704" s="2" t="n">
        <f aca="false">Settings!$B$4*MAX(INDEX(Bases!$O$2:$O$53,B704),INDEX(Bases!$O$2:$O$53,C704))+Settings!$B$5*MIN(INDEX(Bases!$O$2:$O$53,B704),INDEX(Bases!$O$2:$O$53,C704))</f>
        <v>97</v>
      </c>
      <c r="V704" s="2" t="n">
        <f aca="false">Settings!$B$4*MAX(INDEX(Bases!$P$2:$P$53,B704),INDEX(Bases!$P$2:$P$53,C704))+Settings!$B$5*MIN(INDEX(Bases!$P$2:$P$53,B704),INDEX(Bases!$P$2:$P$53,C704))</f>
        <v>69.6666666666667</v>
      </c>
      <c r="W704" s="2" t="n">
        <f aca="false">Settings!$B$4*MAX(INDEX(Bases!$Q$2:$Q$53,B704),INDEX(Bases!$Q$2:$Q$53,C704))+Settings!$B$5*MIN(INDEX(Bases!$Q$2:$Q$53,B704),INDEX(Bases!$Q$2:$Q$53,C704))</f>
        <v>61.6666666666667</v>
      </c>
      <c r="X704" s="2" t="n">
        <f aca="false">Settings!$B$4*MAX(INDEX(Bases!$R$2:$R$53,B704),INDEX(Bases!$R$2:$R$53,C704))+Settings!$B$5*MIN(INDEX(Bases!$R$2:$R$53,B704),INDEX(Bases!$R$2:$R$53,C704))</f>
        <v>57.6666666666667</v>
      </c>
      <c r="Y704" s="2" t="n">
        <f aca="false">S704*Settings!$B$3/SUM(S704:X704)</f>
        <v>71.939586645469</v>
      </c>
      <c r="Z704" s="2" t="n">
        <f aca="false">T704*Settings!$B$3/SUM(S704:X704)</f>
        <v>87.0429252782194</v>
      </c>
      <c r="AA704" s="2" t="n">
        <f aca="false">U704*Settings!$B$3/SUM(S704:X704)</f>
        <v>115.659777424483</v>
      </c>
      <c r="AB704" s="2" t="n">
        <f aca="false">V704*Settings!$B$3/SUM(S704:X704)</f>
        <v>83.0683624801272</v>
      </c>
      <c r="AC704" s="2" t="n">
        <f aca="false">W704*Settings!$B$3/SUM(S704:X704)</f>
        <v>73.5294117647059</v>
      </c>
      <c r="AD704" s="2" t="n">
        <f aca="false">X704*Settings!$B$3/SUM(S704:X704)</f>
        <v>68.7599364069952</v>
      </c>
      <c r="AE704" s="2" t="n">
        <f aca="false">INT(Y704)</f>
        <v>71</v>
      </c>
      <c r="AF704" s="2" t="n">
        <f aca="false">INT(Z704)</f>
        <v>87</v>
      </c>
      <c r="AG704" s="2" t="n">
        <f aca="false">INT(AA704)</f>
        <v>115</v>
      </c>
      <c r="AH704" s="2" t="n">
        <f aca="false">INT(AB704)</f>
        <v>83</v>
      </c>
      <c r="AI704" s="2" t="n">
        <f aca="false">INT(AC704)</f>
        <v>73</v>
      </c>
      <c r="AJ704" s="2" t="n">
        <f aca="false">INT(AD704)</f>
        <v>68</v>
      </c>
      <c r="AK704" s="2" t="n">
        <f aca="false">Settings!$B$3-SUM(AE704:AJ704)</f>
        <v>3</v>
      </c>
      <c r="AL704" s="2" t="n">
        <f aca="false">ROUND(Y704-AE704,9)</f>
        <v>0.939586645</v>
      </c>
      <c r="AM704" s="2" t="n">
        <f aca="false">ROUND(Z704-AF704,9)</f>
        <v>0.042925278</v>
      </c>
      <c r="AN704" s="2" t="n">
        <f aca="false">ROUND(AA704-AG704,9)</f>
        <v>0.659777424</v>
      </c>
      <c r="AO704" s="2" t="n">
        <f aca="false">ROUND(AB704-AH704,9)</f>
        <v>0.06836248</v>
      </c>
      <c r="AP704" s="2" t="n">
        <f aca="false">ROUND(AC704-AI704,9)</f>
        <v>0.529411765</v>
      </c>
      <c r="AQ704" s="2" t="n">
        <f aca="false">ROUND(AD704-AJ704,9)</f>
        <v>0.759936407</v>
      </c>
    </row>
    <row r="705" customFormat="false" ht="15" hidden="false" customHeight="false" outlineLevel="0" collapsed="false">
      <c r="A705" s="2" t="n">
        <v>704</v>
      </c>
      <c r="B705" s="6" t="n">
        <v>17</v>
      </c>
      <c r="C705" s="6" t="n">
        <v>25</v>
      </c>
      <c r="D705" s="8" t="str">
        <f aca="false">INDEX(Bases!$B$2:$B$53,B705)</f>
        <v>Snorunt</v>
      </c>
      <c r="E705" s="8" t="str">
        <f aca="false">INDEX(Bases!$B$2:$B$53,C705)</f>
        <v>Sandshrew</v>
      </c>
      <c r="F705" s="2" t="str">
        <f aca="false">LEFT(D705,ROUNDUP(LEN(D705)/2,0))&amp;LOWER(MID(E705,ROUNDUP(LEN(E705)/2,0)+1,20))</f>
        <v>Snorhrew</v>
      </c>
      <c r="G705" s="8" t="str">
        <f aca="false">INDEX(Bases!$C$2:$C$53,B705)</f>
        <v>Ice</v>
      </c>
      <c r="H705" s="8" t="str">
        <f aca="false">IF(INDEX(Bases!$C$2:$C$53,C705)=G705,"",INDEX(Bases!$C$2:$C$53,C705))</f>
        <v>Ground</v>
      </c>
      <c r="I705" s="8" t="str">
        <f aca="false">IF(INDEX(Bases!$E$2:$E$53,B705)="","",INDEX(Bases!$E$2:$E$53,B705))</f>
        <v/>
      </c>
      <c r="J705" s="8" t="str">
        <f aca="false">IF(INDEX(Bases!$E$2:$E$53,C705)="","",INDEX(Bases!$E$2:$E$53,C705))</f>
        <v/>
      </c>
      <c r="K705" s="5"/>
      <c r="L705" s="2" t="n">
        <f aca="false">AE705+IF(SUMPRODUCT(--($AL705:$AQ705&gt;AL705))&lt;$AK705,1,0)</f>
        <v>79</v>
      </c>
      <c r="M705" s="2" t="n">
        <f aca="false">AF705+IF(SUMPRODUCT(--($AL705:$AQ705&gt;AM705))+SUMPRODUCT(--($AL705:AL705=AM705))&lt;$AK705,1,0)</f>
        <v>104</v>
      </c>
      <c r="N705" s="2" t="n">
        <f aca="false">AG705+IF(SUMPRODUCT(--($AL705:$AQ705&gt;AN705))+SUMPRODUCT(--($AL705:AM705=AN705))&lt;$AK705,1,0)</f>
        <v>115</v>
      </c>
      <c r="O705" s="2" t="n">
        <f aca="false">AH705+IF(SUMPRODUCT(--($AL705:$AQ705&gt;AO705))+SUMPRODUCT(--($AL705:AN705=AO705))&lt;$AK705,1,0)</f>
        <v>63</v>
      </c>
      <c r="P705" s="2" t="n">
        <f aca="false">AI705+IF(SUMPRODUCT(--($AL705:$AQ705&gt;AP705))+SUMPRODUCT(--($AL705:AO705=AP705))&lt;$AK705,1,0)</f>
        <v>67</v>
      </c>
      <c r="Q705" s="2" t="n">
        <f aca="false">AJ705+IF(SUMPRODUCT(--($AL705:$AQ705&gt;AQ705))+SUMPRODUCT(--($AL705:AP705=AQ705))&lt;$AK705,1,0)</f>
        <v>72</v>
      </c>
      <c r="R705" s="2" t="n">
        <f aca="false">SUM(L705:Q705)</f>
        <v>500</v>
      </c>
      <c r="S705" s="2" t="n">
        <f aca="false">Settings!$B$4*MAX(INDEX(Bases!$M$2:$M$53,B705),INDEX(Bases!$M$2:$M$53,C705))+Settings!$B$5*MIN(INDEX(Bases!$M$2:$M$53,B705),INDEX(Bases!$M$2:$M$53,C705))</f>
        <v>67</v>
      </c>
      <c r="T705" s="2" t="n">
        <f aca="false">Settings!$B$4*MAX(INDEX(Bases!$N$2:$N$53,B705),INDEX(Bases!$N$2:$N$53,C705))+Settings!$B$5*MIN(INDEX(Bases!$N$2:$N$53,B705),INDEX(Bases!$N$2:$N$53,C705))</f>
        <v>89</v>
      </c>
      <c r="U705" s="2" t="n">
        <f aca="false">Settings!$B$4*MAX(INDEX(Bases!$O$2:$O$53,B705),INDEX(Bases!$O$2:$O$53,C705))+Settings!$B$5*MIN(INDEX(Bases!$O$2:$O$53,B705),INDEX(Bases!$O$2:$O$53,C705))</f>
        <v>97.6666666666667</v>
      </c>
      <c r="V705" s="2" t="n">
        <f aca="false">Settings!$B$4*MAX(INDEX(Bases!$P$2:$P$53,B705),INDEX(Bases!$P$2:$P$53,C705))+Settings!$B$5*MIN(INDEX(Bases!$P$2:$P$53,B705),INDEX(Bases!$P$2:$P$53,C705))</f>
        <v>53.6666666666667</v>
      </c>
      <c r="W705" s="2" t="n">
        <f aca="false">Settings!$B$4*MAX(INDEX(Bases!$Q$2:$Q$53,B705),INDEX(Bases!$Q$2:$Q$53,C705))+Settings!$B$5*MIN(INDEX(Bases!$Q$2:$Q$53,B705),INDEX(Bases!$Q$2:$Q$53,C705))</f>
        <v>57.3333333333333</v>
      </c>
      <c r="X705" s="2" t="n">
        <f aca="false">Settings!$B$4*MAX(INDEX(Bases!$R$2:$R$53,B705),INDEX(Bases!$R$2:$R$53,C705))+Settings!$B$5*MIN(INDEX(Bases!$R$2:$R$53,B705),INDEX(Bases!$R$2:$R$53,C705))</f>
        <v>61.6666666666667</v>
      </c>
      <c r="Y705" s="2" t="n">
        <f aca="false">S705*Settings!$B$3/SUM(S705:X705)</f>
        <v>78.5770132916341</v>
      </c>
      <c r="Z705" s="2" t="n">
        <f aca="false">T705*Settings!$B$3/SUM(S705:X705)</f>
        <v>104.378420641126</v>
      </c>
      <c r="AA705" s="2" t="n">
        <f aca="false">U705*Settings!$B$3/SUM(S705:X705)</f>
        <v>114.542611415168</v>
      </c>
      <c r="AB705" s="2" t="n">
        <f aca="false">V705*Settings!$B$3/SUM(S705:X705)</f>
        <v>62.9397967161845</v>
      </c>
      <c r="AC705" s="2" t="n">
        <f aca="false">W705*Settings!$B$3/SUM(S705:X705)</f>
        <v>67.2400312744332</v>
      </c>
      <c r="AD705" s="2" t="n">
        <f aca="false">X705*Settings!$B$3/SUM(S705:X705)</f>
        <v>72.3221266614543</v>
      </c>
      <c r="AE705" s="2" t="n">
        <f aca="false">INT(Y705)</f>
        <v>78</v>
      </c>
      <c r="AF705" s="2" t="n">
        <f aca="false">INT(Z705)</f>
        <v>104</v>
      </c>
      <c r="AG705" s="2" t="n">
        <f aca="false">INT(AA705)</f>
        <v>114</v>
      </c>
      <c r="AH705" s="2" t="n">
        <f aca="false">INT(AB705)</f>
        <v>62</v>
      </c>
      <c r="AI705" s="2" t="n">
        <f aca="false">INT(AC705)</f>
        <v>67</v>
      </c>
      <c r="AJ705" s="2" t="n">
        <f aca="false">INT(AD705)</f>
        <v>72</v>
      </c>
      <c r="AK705" s="2" t="n">
        <f aca="false">Settings!$B$3-SUM(AE705:AJ705)</f>
        <v>3</v>
      </c>
      <c r="AL705" s="2" t="n">
        <f aca="false">ROUND(Y705-AE705,9)</f>
        <v>0.577013292</v>
      </c>
      <c r="AM705" s="2" t="n">
        <f aca="false">ROUND(Z705-AF705,9)</f>
        <v>0.378420641</v>
      </c>
      <c r="AN705" s="2" t="n">
        <f aca="false">ROUND(AA705-AG705,9)</f>
        <v>0.542611415</v>
      </c>
      <c r="AO705" s="2" t="n">
        <f aca="false">ROUND(AB705-AH705,9)</f>
        <v>0.939796716</v>
      </c>
      <c r="AP705" s="2" t="n">
        <f aca="false">ROUND(AC705-AI705,9)</f>
        <v>0.240031274</v>
      </c>
      <c r="AQ705" s="2" t="n">
        <f aca="false">ROUND(AD705-AJ705,9)</f>
        <v>0.322126661</v>
      </c>
    </row>
    <row r="706" customFormat="false" ht="15" hidden="false" customHeight="false" outlineLevel="0" collapsed="false">
      <c r="A706" s="2" t="n">
        <v>705</v>
      </c>
      <c r="B706" s="6" t="n">
        <v>17</v>
      </c>
      <c r="C706" s="6" t="n">
        <v>26</v>
      </c>
      <c r="D706" s="8" t="str">
        <f aca="false">INDEX(Bases!$B$2:$B$53,B706)</f>
        <v>Snorunt</v>
      </c>
      <c r="E706" s="8" t="str">
        <f aca="false">INDEX(Bases!$B$2:$B$53,C706)</f>
        <v>Phanpy</v>
      </c>
      <c r="F706" s="2" t="str">
        <f aca="false">LEFT(D706,ROUNDUP(LEN(D706)/2,0))&amp;LOWER(MID(E706,ROUNDUP(LEN(E706)/2,0)+1,20))</f>
        <v>Snornpy</v>
      </c>
      <c r="G706" s="8" t="str">
        <f aca="false">INDEX(Bases!$C$2:$C$53,B706)</f>
        <v>Ice</v>
      </c>
      <c r="H706" s="8" t="str">
        <f aca="false">IF(INDEX(Bases!$C$2:$C$53,C706)=G706,"",INDEX(Bases!$C$2:$C$53,C706))</f>
        <v>Ground</v>
      </c>
      <c r="I706" s="8" t="str">
        <f aca="false">IF(INDEX(Bases!$E$2:$E$53,B706)="","",INDEX(Bases!$E$2:$E$53,B706))</f>
        <v/>
      </c>
      <c r="J706" s="8" t="str">
        <f aca="false">IF(INDEX(Bases!$E$2:$E$53,C706)="","",INDEX(Bases!$E$2:$E$53,C706))</f>
        <v/>
      </c>
      <c r="K706" s="5"/>
      <c r="L706" s="2" t="n">
        <f aca="false">AE706+IF(SUMPRODUCT(--($AL706:$AQ706&gt;AL706))&lt;$AK706,1,0)</f>
        <v>113</v>
      </c>
      <c r="M706" s="2" t="n">
        <f aca="false">AF706+IF(SUMPRODUCT(--($AL706:$AQ706&gt;AM706))+SUMPRODUCT(--($AL706:AL706=AM706))&lt;$AK706,1,0)</f>
        <v>85</v>
      </c>
      <c r="N706" s="2" t="n">
        <f aca="false">AG706+IF(SUMPRODUCT(--($AL706:$AQ706&gt;AN706))+SUMPRODUCT(--($AL706:AM706=AN706))&lt;$AK706,1,0)</f>
        <v>85</v>
      </c>
      <c r="O706" s="2" t="n">
        <f aca="false">AH706+IF(SUMPRODUCT(--($AL706:$AQ706&gt;AO706))+SUMPRODUCT(--($AL706:AN706=AO706))&lt;$AK706,1,0)</f>
        <v>73</v>
      </c>
      <c r="P706" s="2" t="n">
        <f aca="false">AI706+IF(SUMPRODUCT(--($AL706:$AQ706&gt;AP706))+SUMPRODUCT(--($AL706:AO706=AP706))&lt;$AK706,1,0)</f>
        <v>72</v>
      </c>
      <c r="Q706" s="2" t="n">
        <f aca="false">AJ706+IF(SUMPRODUCT(--($AL706:$AQ706&gt;AQ706))+SUMPRODUCT(--($AL706:AP706=AQ706))&lt;$AK706,1,0)</f>
        <v>72</v>
      </c>
      <c r="R706" s="2" t="n">
        <f aca="false">SUM(L706:Q706)</f>
        <v>500</v>
      </c>
      <c r="S706" s="2" t="n">
        <f aca="false">Settings!$B$4*MAX(INDEX(Bases!$M$2:$M$53,B706),INDEX(Bases!$M$2:$M$53,C706))+Settings!$B$5*MIN(INDEX(Bases!$M$2:$M$53,B706),INDEX(Bases!$M$2:$M$53,C706))</f>
        <v>95</v>
      </c>
      <c r="T706" s="2" t="n">
        <f aca="false">Settings!$B$4*MAX(INDEX(Bases!$N$2:$N$53,B706),INDEX(Bases!$N$2:$N$53,C706))+Settings!$B$5*MIN(INDEX(Bases!$N$2:$N$53,B706),INDEX(Bases!$N$2:$N$53,C706))</f>
        <v>71</v>
      </c>
      <c r="U706" s="2" t="n">
        <f aca="false">Settings!$B$4*MAX(INDEX(Bases!$O$2:$O$53,B706),INDEX(Bases!$O$2:$O$53,C706))+Settings!$B$5*MIN(INDEX(Bases!$O$2:$O$53,B706),INDEX(Bases!$O$2:$O$53,C706))</f>
        <v>71</v>
      </c>
      <c r="V706" s="2" t="n">
        <f aca="false">Settings!$B$4*MAX(INDEX(Bases!$P$2:$P$53,B706),INDEX(Bases!$P$2:$P$53,C706))+Settings!$B$5*MIN(INDEX(Bases!$P$2:$P$53,B706),INDEX(Bases!$P$2:$P$53,C706))</f>
        <v>61</v>
      </c>
      <c r="W706" s="2" t="n">
        <f aca="false">Settings!$B$4*MAX(INDEX(Bases!$Q$2:$Q$53,B706),INDEX(Bases!$Q$2:$Q$53,C706))+Settings!$B$5*MIN(INDEX(Bases!$Q$2:$Q$53,B706),INDEX(Bases!$Q$2:$Q$53,C706))</f>
        <v>60</v>
      </c>
      <c r="X706" s="2" t="n">
        <f aca="false">Settings!$B$4*MAX(INDEX(Bases!$R$2:$R$53,B706),INDEX(Bases!$R$2:$R$53,C706))+Settings!$B$5*MIN(INDEX(Bases!$R$2:$R$53,B706),INDEX(Bases!$R$2:$R$53,C706))</f>
        <v>60</v>
      </c>
      <c r="Y706" s="2" t="n">
        <f aca="false">S706*Settings!$B$3/SUM(S706:X706)</f>
        <v>113.636363636364</v>
      </c>
      <c r="Z706" s="2" t="n">
        <f aca="false">T706*Settings!$B$3/SUM(S706:X706)</f>
        <v>84.9282296650718</v>
      </c>
      <c r="AA706" s="2" t="n">
        <f aca="false">U706*Settings!$B$3/SUM(S706:X706)</f>
        <v>84.9282296650718</v>
      </c>
      <c r="AB706" s="2" t="n">
        <f aca="false">V706*Settings!$B$3/SUM(S706:X706)</f>
        <v>72.9665071770335</v>
      </c>
      <c r="AC706" s="2" t="n">
        <f aca="false">W706*Settings!$B$3/SUM(S706:X706)</f>
        <v>71.7703349282297</v>
      </c>
      <c r="AD706" s="2" t="n">
        <f aca="false">X706*Settings!$B$3/SUM(S706:X706)</f>
        <v>71.7703349282297</v>
      </c>
      <c r="AE706" s="2" t="n">
        <f aca="false">INT(Y706)</f>
        <v>113</v>
      </c>
      <c r="AF706" s="2" t="n">
        <f aca="false">INT(Z706)</f>
        <v>84</v>
      </c>
      <c r="AG706" s="2" t="n">
        <f aca="false">INT(AA706)</f>
        <v>84</v>
      </c>
      <c r="AH706" s="2" t="n">
        <f aca="false">INT(AB706)</f>
        <v>72</v>
      </c>
      <c r="AI706" s="2" t="n">
        <f aca="false">INT(AC706)</f>
        <v>71</v>
      </c>
      <c r="AJ706" s="2" t="n">
        <f aca="false">INT(AD706)</f>
        <v>71</v>
      </c>
      <c r="AK706" s="2" t="n">
        <f aca="false">Settings!$B$3-SUM(AE706:AJ706)</f>
        <v>5</v>
      </c>
      <c r="AL706" s="2" t="n">
        <f aca="false">ROUND(Y706-AE706,9)</f>
        <v>0.636363636</v>
      </c>
      <c r="AM706" s="2" t="n">
        <f aca="false">ROUND(Z706-AF706,9)</f>
        <v>0.928229665</v>
      </c>
      <c r="AN706" s="2" t="n">
        <f aca="false">ROUND(AA706-AG706,9)</f>
        <v>0.928229665</v>
      </c>
      <c r="AO706" s="2" t="n">
        <f aca="false">ROUND(AB706-AH706,9)</f>
        <v>0.966507177</v>
      </c>
      <c r="AP706" s="2" t="n">
        <f aca="false">ROUND(AC706-AI706,9)</f>
        <v>0.770334928</v>
      </c>
      <c r="AQ706" s="2" t="n">
        <f aca="false">ROUND(AD706-AJ706,9)</f>
        <v>0.770334928</v>
      </c>
    </row>
    <row r="707" customFormat="false" ht="15" hidden="false" customHeight="false" outlineLevel="0" collapsed="false">
      <c r="A707" s="2" t="n">
        <v>706</v>
      </c>
      <c r="B707" s="6" t="n">
        <v>17</v>
      </c>
      <c r="C707" s="6" t="n">
        <v>27</v>
      </c>
      <c r="D707" s="8" t="str">
        <f aca="false">INDEX(Bases!$B$2:$B$53,B707)</f>
        <v>Snorunt</v>
      </c>
      <c r="E707" s="8" t="str">
        <f aca="false">INDEX(Bases!$B$2:$B$53,C707)</f>
        <v>Baltoy</v>
      </c>
      <c r="F707" s="2" t="str">
        <f aca="false">LEFT(D707,ROUNDUP(LEN(D707)/2,0))&amp;LOWER(MID(E707,ROUNDUP(LEN(E707)/2,0)+1,20))</f>
        <v>Snortoy</v>
      </c>
      <c r="G707" s="8" t="str">
        <f aca="false">INDEX(Bases!$C$2:$C$53,B707)</f>
        <v>Ice</v>
      </c>
      <c r="H707" s="8" t="str">
        <f aca="false">IF(INDEX(Bases!$C$2:$C$53,C707)=G707,"",INDEX(Bases!$C$2:$C$53,C707))</f>
        <v>Ground</v>
      </c>
      <c r="I707" s="8" t="str">
        <f aca="false">IF(INDEX(Bases!$E$2:$E$53,B707)="","",INDEX(Bases!$E$2:$E$53,B707))</f>
        <v/>
      </c>
      <c r="J707" s="8" t="str">
        <f aca="false">IF(INDEX(Bases!$E$2:$E$53,C707)="","",INDEX(Bases!$E$2:$E$53,C707))</f>
        <v/>
      </c>
      <c r="K707" s="5"/>
      <c r="L707" s="2" t="n">
        <f aca="false">AE707+IF(SUMPRODUCT(--($AL707:$AQ707&gt;AL707))&lt;$AK707,1,0)</f>
        <v>76</v>
      </c>
      <c r="M707" s="2" t="n">
        <f aca="false">AF707+IF(SUMPRODUCT(--($AL707:$AQ707&gt;AM707))+SUMPRODUCT(--($AL707:AL707=AM707))&lt;$AK707,1,0)</f>
        <v>76</v>
      </c>
      <c r="N707" s="2" t="n">
        <f aca="false">AG707+IF(SUMPRODUCT(--($AL707:$AQ707&gt;AN707))+SUMPRODUCT(--($AL707:AM707=AN707))&lt;$AK707,1,0)</f>
        <v>86</v>
      </c>
      <c r="O707" s="2" t="n">
        <f aca="false">AH707+IF(SUMPRODUCT(--($AL707:$AQ707&gt;AO707))+SUMPRODUCT(--($AL707:AN707=AO707))&lt;$AK707,1,0)</f>
        <v>75</v>
      </c>
      <c r="P707" s="2" t="n">
        <f aca="false">AI707+IF(SUMPRODUCT(--($AL707:$AQ707&gt;AP707))+SUMPRODUCT(--($AL707:AO707=AP707))&lt;$AK707,1,0)</f>
        <v>102</v>
      </c>
      <c r="Q707" s="2" t="n">
        <f aca="false">AJ707+IF(SUMPRODUCT(--($AL707:$AQ707&gt;AQ707))+SUMPRODUCT(--($AL707:AP707=AQ707))&lt;$AK707,1,0)</f>
        <v>85</v>
      </c>
      <c r="R707" s="2" t="n">
        <f aca="false">SUM(L707:Q707)</f>
        <v>500</v>
      </c>
      <c r="S707" s="2" t="n">
        <f aca="false">Settings!$B$4*MAX(INDEX(Bases!$M$2:$M$53,B707),INDEX(Bases!$M$2:$M$53,C707))+Settings!$B$5*MIN(INDEX(Bases!$M$2:$M$53,B707),INDEX(Bases!$M$2:$M$53,C707))</f>
        <v>62.6666666666667</v>
      </c>
      <c r="T707" s="2" t="n">
        <f aca="false">Settings!$B$4*MAX(INDEX(Bases!$N$2:$N$53,B707),INDEX(Bases!$N$2:$N$53,C707))+Settings!$B$5*MIN(INDEX(Bases!$N$2:$N$53,B707),INDEX(Bases!$N$2:$N$53,C707))</f>
        <v>62.6666666666667</v>
      </c>
      <c r="U707" s="2" t="n">
        <f aca="false">Settings!$B$4*MAX(INDEX(Bases!$O$2:$O$53,B707),INDEX(Bases!$O$2:$O$53,C707))+Settings!$B$5*MIN(INDEX(Bases!$O$2:$O$53,B707),INDEX(Bases!$O$2:$O$53,C707))</f>
        <v>71</v>
      </c>
      <c r="V707" s="2" t="n">
        <f aca="false">Settings!$B$4*MAX(INDEX(Bases!$P$2:$P$53,B707),INDEX(Bases!$P$2:$P$53,C707))+Settings!$B$5*MIN(INDEX(Bases!$P$2:$P$53,B707),INDEX(Bases!$P$2:$P$53,C707))</f>
        <v>62.3333333333333</v>
      </c>
      <c r="W707" s="2" t="n">
        <f aca="false">Settings!$B$4*MAX(INDEX(Bases!$Q$2:$Q$53,B707),INDEX(Bases!$Q$2:$Q$53,C707))+Settings!$B$5*MIN(INDEX(Bases!$Q$2:$Q$53,B707),INDEX(Bases!$Q$2:$Q$53,C707))</f>
        <v>84</v>
      </c>
      <c r="X707" s="2" t="n">
        <f aca="false">Settings!$B$4*MAX(INDEX(Bases!$R$2:$R$53,B707),INDEX(Bases!$R$2:$R$53,C707))+Settings!$B$5*MIN(INDEX(Bases!$R$2:$R$53,B707),INDEX(Bases!$R$2:$R$53,C707))</f>
        <v>70.6666666666667</v>
      </c>
      <c r="Y707" s="2" t="n">
        <f aca="false">S707*Settings!$B$3/SUM(S707:X707)</f>
        <v>75.8064516129032</v>
      </c>
      <c r="Z707" s="2" t="n">
        <f aca="false">T707*Settings!$B$3/SUM(S707:X707)</f>
        <v>75.8064516129032</v>
      </c>
      <c r="AA707" s="2" t="n">
        <f aca="false">U707*Settings!$B$3/SUM(S707:X707)</f>
        <v>85.8870967741935</v>
      </c>
      <c r="AB707" s="2" t="n">
        <f aca="false">V707*Settings!$B$3/SUM(S707:X707)</f>
        <v>75.4032258064516</v>
      </c>
      <c r="AC707" s="2" t="n">
        <f aca="false">W707*Settings!$B$3/SUM(S707:X707)</f>
        <v>101.612903225806</v>
      </c>
      <c r="AD707" s="2" t="n">
        <f aca="false">X707*Settings!$B$3/SUM(S707:X707)</f>
        <v>85.4838709677419</v>
      </c>
      <c r="AE707" s="2" t="n">
        <f aca="false">INT(Y707)</f>
        <v>75</v>
      </c>
      <c r="AF707" s="2" t="n">
        <f aca="false">INT(Z707)</f>
        <v>75</v>
      </c>
      <c r="AG707" s="2" t="n">
        <f aca="false">INT(AA707)</f>
        <v>85</v>
      </c>
      <c r="AH707" s="2" t="n">
        <f aca="false">INT(AB707)</f>
        <v>75</v>
      </c>
      <c r="AI707" s="2" t="n">
        <f aca="false">INT(AC707)</f>
        <v>101</v>
      </c>
      <c r="AJ707" s="2" t="n">
        <f aca="false">INT(AD707)</f>
        <v>85</v>
      </c>
      <c r="AK707" s="2" t="n">
        <f aca="false">Settings!$B$3-SUM(AE707:AJ707)</f>
        <v>4</v>
      </c>
      <c r="AL707" s="2" t="n">
        <f aca="false">ROUND(Y707-AE707,9)</f>
        <v>0.806451613</v>
      </c>
      <c r="AM707" s="2" t="n">
        <f aca="false">ROUND(Z707-AF707,9)</f>
        <v>0.806451613</v>
      </c>
      <c r="AN707" s="2" t="n">
        <f aca="false">ROUND(AA707-AG707,9)</f>
        <v>0.887096774</v>
      </c>
      <c r="AO707" s="2" t="n">
        <f aca="false">ROUND(AB707-AH707,9)</f>
        <v>0.403225806</v>
      </c>
      <c r="AP707" s="2" t="n">
        <f aca="false">ROUND(AC707-AI707,9)</f>
        <v>0.612903226</v>
      </c>
      <c r="AQ707" s="2" t="n">
        <f aca="false">ROUND(AD707-AJ707,9)</f>
        <v>0.483870968</v>
      </c>
    </row>
    <row r="708" customFormat="false" ht="15" hidden="false" customHeight="false" outlineLevel="0" collapsed="false">
      <c r="A708" s="2" t="n">
        <v>707</v>
      </c>
      <c r="B708" s="6" t="n">
        <v>17</v>
      </c>
      <c r="C708" s="6" t="n">
        <v>28</v>
      </c>
      <c r="D708" s="8" t="str">
        <f aca="false">INDEX(Bases!$B$2:$B$53,B708)</f>
        <v>Snorunt</v>
      </c>
      <c r="E708" s="8" t="str">
        <f aca="false">INDEX(Bases!$B$2:$B$53,C708)</f>
        <v>Zubat</v>
      </c>
      <c r="F708" s="2" t="str">
        <f aca="false">LEFT(D708,ROUNDUP(LEN(D708)/2,0))&amp;LOWER(MID(E708,ROUNDUP(LEN(E708)/2,0)+1,20))</f>
        <v>Snorat</v>
      </c>
      <c r="G708" s="8" t="str">
        <f aca="false">INDEX(Bases!$C$2:$C$53,B708)</f>
        <v>Ice</v>
      </c>
      <c r="H708" s="8" t="str">
        <f aca="false">IF(INDEX(Bases!$C$2:$C$53,C708)=G708,"",INDEX(Bases!$C$2:$C$53,C708))</f>
        <v>Flying</v>
      </c>
      <c r="I708" s="8" t="str">
        <f aca="false">IF(INDEX(Bases!$E$2:$E$53,B708)="","",INDEX(Bases!$E$2:$E$53,B708))</f>
        <v/>
      </c>
      <c r="J708" s="8" t="str">
        <f aca="false">IF(INDEX(Bases!$E$2:$E$53,C708)="","",INDEX(Bases!$E$2:$E$53,C708))</f>
        <v/>
      </c>
      <c r="K708" s="5"/>
      <c r="L708" s="2" t="n">
        <f aca="false">AE708+IF(SUMPRODUCT(--($AL708:$AQ708&gt;AL708))&lt;$AK708,1,0)</f>
        <v>81</v>
      </c>
      <c r="M708" s="2" t="n">
        <f aca="false">AF708+IF(SUMPRODUCT(--($AL708:$AQ708&gt;AM708))+SUMPRODUCT(--($AL708:AL708=AM708))&lt;$AK708,1,0)</f>
        <v>87</v>
      </c>
      <c r="N708" s="2" t="n">
        <f aca="false">AG708+IF(SUMPRODUCT(--($AL708:$AQ708&gt;AN708))+SUMPRODUCT(--($AL708:AM708=AN708))&lt;$AK708,1,0)</f>
        <v>78</v>
      </c>
      <c r="O708" s="2" t="n">
        <f aca="false">AH708+IF(SUMPRODUCT(--($AL708:$AQ708&gt;AO708))+SUMPRODUCT(--($AL708:AN708=AO708))&lt;$AK708,1,0)</f>
        <v>74</v>
      </c>
      <c r="P708" s="2" t="n">
        <f aca="false">AI708+IF(SUMPRODUCT(--($AL708:$AQ708&gt;AP708))+SUMPRODUCT(--($AL708:AO708=AP708))&lt;$AK708,1,0)</f>
        <v>80</v>
      </c>
      <c r="Q708" s="2" t="n">
        <f aca="false">AJ708+IF(SUMPRODUCT(--($AL708:$AQ708&gt;AQ708))+SUMPRODUCT(--($AL708:AP708=AQ708))&lt;$AK708,1,0)</f>
        <v>100</v>
      </c>
      <c r="R708" s="2" t="n">
        <f aca="false">SUM(L708:Q708)</f>
        <v>500</v>
      </c>
      <c r="S708" s="2" t="n">
        <f aca="false">Settings!$B$4*MAX(INDEX(Bases!$M$2:$M$53,B708),INDEX(Bases!$M$2:$M$53,C708))+Settings!$B$5*MIN(INDEX(Bases!$M$2:$M$53,B708),INDEX(Bases!$M$2:$M$53,C708))</f>
        <v>66.3333333333333</v>
      </c>
      <c r="T708" s="2" t="n">
        <f aca="false">Settings!$B$4*MAX(INDEX(Bases!$N$2:$N$53,B708),INDEX(Bases!$N$2:$N$53,C708))+Settings!$B$5*MIN(INDEX(Bases!$N$2:$N$53,B708),INDEX(Bases!$N$2:$N$53,C708))</f>
        <v>71.6666666666667</v>
      </c>
      <c r="U708" s="2" t="n">
        <f aca="false">Settings!$B$4*MAX(INDEX(Bases!$O$2:$O$53,B708),INDEX(Bases!$O$2:$O$53,C708))+Settings!$B$5*MIN(INDEX(Bases!$O$2:$O$53,B708),INDEX(Bases!$O$2:$O$53,C708))</f>
        <v>63.6666666666667</v>
      </c>
      <c r="V708" s="2" t="n">
        <f aca="false">Settings!$B$4*MAX(INDEX(Bases!$P$2:$P$53,B708),INDEX(Bases!$P$2:$P$53,C708))+Settings!$B$5*MIN(INDEX(Bases!$P$2:$P$53,B708),INDEX(Bases!$P$2:$P$53,C708))</f>
        <v>61</v>
      </c>
      <c r="W708" s="2" t="n">
        <f aca="false">Settings!$B$4*MAX(INDEX(Bases!$Q$2:$Q$53,B708),INDEX(Bases!$Q$2:$Q$53,C708))+Settings!$B$5*MIN(INDEX(Bases!$Q$2:$Q$53,B708),INDEX(Bases!$Q$2:$Q$53,C708))</f>
        <v>65.6666666666667</v>
      </c>
      <c r="X708" s="2" t="n">
        <f aca="false">Settings!$B$4*MAX(INDEX(Bases!$R$2:$R$53,B708),INDEX(Bases!$R$2:$R$53,C708))+Settings!$B$5*MIN(INDEX(Bases!$R$2:$R$53,B708),INDEX(Bases!$R$2:$R$53,C708))</f>
        <v>82</v>
      </c>
      <c r="Y708" s="2" t="n">
        <f aca="false">S708*Settings!$B$3/SUM(S708:X708)</f>
        <v>80.8285946385053</v>
      </c>
      <c r="Z708" s="2" t="n">
        <f aca="false">T708*Settings!$B$3/SUM(S708:X708)</f>
        <v>87.3273761169781</v>
      </c>
      <c r="AA708" s="2" t="n">
        <f aca="false">U708*Settings!$B$3/SUM(S708:X708)</f>
        <v>77.5792038992689</v>
      </c>
      <c r="AB708" s="2" t="n">
        <f aca="false">V708*Settings!$B$3/SUM(S708:X708)</f>
        <v>74.3298131600325</v>
      </c>
      <c r="AC708" s="2" t="n">
        <f aca="false">W708*Settings!$B$3/SUM(S708:X708)</f>
        <v>80.0162469536962</v>
      </c>
      <c r="AD708" s="2" t="n">
        <f aca="false">X708*Settings!$B$3/SUM(S708:X708)</f>
        <v>99.9187652315191</v>
      </c>
      <c r="AE708" s="2" t="n">
        <f aca="false">INT(Y708)</f>
        <v>80</v>
      </c>
      <c r="AF708" s="2" t="n">
        <f aca="false">INT(Z708)</f>
        <v>87</v>
      </c>
      <c r="AG708" s="2" t="n">
        <f aca="false">INT(AA708)</f>
        <v>77</v>
      </c>
      <c r="AH708" s="2" t="n">
        <f aca="false">INT(AB708)</f>
        <v>74</v>
      </c>
      <c r="AI708" s="2" t="n">
        <f aca="false">INT(AC708)</f>
        <v>80</v>
      </c>
      <c r="AJ708" s="2" t="n">
        <f aca="false">INT(AD708)</f>
        <v>99</v>
      </c>
      <c r="AK708" s="2" t="n">
        <f aca="false">Settings!$B$3-SUM(AE708:AJ708)</f>
        <v>3</v>
      </c>
      <c r="AL708" s="2" t="n">
        <f aca="false">ROUND(Y708-AE708,9)</f>
        <v>0.828594639</v>
      </c>
      <c r="AM708" s="2" t="n">
        <f aca="false">ROUND(Z708-AF708,9)</f>
        <v>0.327376117</v>
      </c>
      <c r="AN708" s="2" t="n">
        <f aca="false">ROUND(AA708-AG708,9)</f>
        <v>0.579203899</v>
      </c>
      <c r="AO708" s="2" t="n">
        <f aca="false">ROUND(AB708-AH708,9)</f>
        <v>0.32981316</v>
      </c>
      <c r="AP708" s="2" t="n">
        <f aca="false">ROUND(AC708-AI708,9)</f>
        <v>0.016246954</v>
      </c>
      <c r="AQ708" s="2" t="n">
        <f aca="false">ROUND(AD708-AJ708,9)</f>
        <v>0.918765232</v>
      </c>
    </row>
    <row r="709" customFormat="false" ht="15" hidden="false" customHeight="false" outlineLevel="0" collapsed="false">
      <c r="A709" s="2" t="n">
        <v>708</v>
      </c>
      <c r="B709" s="6" t="n">
        <v>17</v>
      </c>
      <c r="C709" s="6" t="n">
        <v>29</v>
      </c>
      <c r="D709" s="8" t="str">
        <f aca="false">INDEX(Bases!$B$2:$B$53,B709)</f>
        <v>Snorunt</v>
      </c>
      <c r="E709" s="8" t="str">
        <f aca="false">INDEX(Bases!$B$2:$B$53,C709)</f>
        <v>Murkrow</v>
      </c>
      <c r="F709" s="2" t="str">
        <f aca="false">LEFT(D709,ROUNDUP(LEN(D709)/2,0))&amp;LOWER(MID(E709,ROUNDUP(LEN(E709)/2,0)+1,20))</f>
        <v>Snorrow</v>
      </c>
      <c r="G709" s="8" t="str">
        <f aca="false">INDEX(Bases!$C$2:$C$53,B709)</f>
        <v>Ice</v>
      </c>
      <c r="H709" s="8" t="str">
        <f aca="false">IF(INDEX(Bases!$C$2:$C$53,C709)=G709,"",INDEX(Bases!$C$2:$C$53,C709))</f>
        <v>Flying</v>
      </c>
      <c r="I709" s="8" t="str">
        <f aca="false">IF(INDEX(Bases!$E$2:$E$53,B709)="","",INDEX(Bases!$E$2:$E$53,B709))</f>
        <v/>
      </c>
      <c r="J709" s="8" t="str">
        <f aca="false">IF(INDEX(Bases!$E$2:$E$53,C709)="","",INDEX(Bases!$E$2:$E$53,C709))</f>
        <v/>
      </c>
      <c r="K709" s="5"/>
      <c r="L709" s="2" t="n">
        <f aca="false">AE709+IF(SUMPRODUCT(--($AL709:$AQ709&gt;AL709))&lt;$AK709,1,0)</f>
        <v>77</v>
      </c>
      <c r="M709" s="2" t="n">
        <f aca="false">AF709+IF(SUMPRODUCT(--($AL709:$AQ709&gt;AM709))+SUMPRODUCT(--($AL709:AL709=AM709))&lt;$AK709,1,0)</f>
        <v>93</v>
      </c>
      <c r="N709" s="2" t="n">
        <f aca="false">AG709+IF(SUMPRODUCT(--($AL709:$AQ709&gt;AN709))+SUMPRODUCT(--($AL709:AM709=AN709))&lt;$AK709,1,0)</f>
        <v>70</v>
      </c>
      <c r="O709" s="2" t="n">
        <f aca="false">AH709+IF(SUMPRODUCT(--($AL709:$AQ709&gt;AO709))+SUMPRODUCT(--($AL709:AN709=AO709))&lt;$AK709,1,0)</f>
        <v>93</v>
      </c>
      <c r="P709" s="2" t="n">
        <f aca="false">AI709+IF(SUMPRODUCT(--($AL709:$AQ709&gt;AP709))+SUMPRODUCT(--($AL709:AO709=AP709))&lt;$AK709,1,0)</f>
        <v>69</v>
      </c>
      <c r="Q709" s="2" t="n">
        <f aca="false">AJ709+IF(SUMPRODUCT(--($AL709:$AQ709&gt;AQ709))+SUMPRODUCT(--($AL709:AP709=AQ709))&lt;$AK709,1,0)</f>
        <v>98</v>
      </c>
      <c r="R709" s="2" t="n">
        <f aca="false">SUM(L709:Q709)</f>
        <v>500</v>
      </c>
      <c r="S709" s="2" t="n">
        <f aca="false">Settings!$B$4*MAX(INDEX(Bases!$M$2:$M$53,B709),INDEX(Bases!$M$2:$M$53,C709))+Settings!$B$5*MIN(INDEX(Bases!$M$2:$M$53,B709),INDEX(Bases!$M$2:$M$53,C709))</f>
        <v>64.3333333333333</v>
      </c>
      <c r="T709" s="2" t="n">
        <f aca="false">Settings!$B$4*MAX(INDEX(Bases!$N$2:$N$53,B709),INDEX(Bases!$N$2:$N$53,C709))+Settings!$B$5*MIN(INDEX(Bases!$N$2:$N$53,B709),INDEX(Bases!$N$2:$N$53,C709))</f>
        <v>78.3333333333333</v>
      </c>
      <c r="U709" s="2" t="n">
        <f aca="false">Settings!$B$4*MAX(INDEX(Bases!$O$2:$O$53,B709),INDEX(Bases!$O$2:$O$53,C709))+Settings!$B$5*MIN(INDEX(Bases!$O$2:$O$53,B709),INDEX(Bases!$O$2:$O$53,C709))</f>
        <v>58.6666666666667</v>
      </c>
      <c r="V709" s="2" t="n">
        <f aca="false">Settings!$B$4*MAX(INDEX(Bases!$P$2:$P$53,B709),INDEX(Bases!$P$2:$P$53,C709))+Settings!$B$5*MIN(INDEX(Bases!$P$2:$P$53,B709),INDEX(Bases!$P$2:$P$53,C709))</f>
        <v>78.3333333333333</v>
      </c>
      <c r="W709" s="2" t="n">
        <f aca="false">Settings!$B$4*MAX(INDEX(Bases!$Q$2:$Q$53,B709),INDEX(Bases!$Q$2:$Q$53,C709))+Settings!$B$5*MIN(INDEX(Bases!$Q$2:$Q$53,B709),INDEX(Bases!$Q$2:$Q$53,C709))</f>
        <v>57.6666666666667</v>
      </c>
      <c r="X709" s="2" t="n">
        <f aca="false">Settings!$B$4*MAX(INDEX(Bases!$R$2:$R$53,B709),INDEX(Bases!$R$2:$R$53,C709))+Settings!$B$5*MIN(INDEX(Bases!$R$2:$R$53,B709),INDEX(Bases!$R$2:$R$53,C709))</f>
        <v>82</v>
      </c>
      <c r="Y709" s="2" t="n">
        <f aca="false">S709*Settings!$B$3/SUM(S709:X709)</f>
        <v>76.7090620031796</v>
      </c>
      <c r="Z709" s="2" t="n">
        <f aca="false">T709*Settings!$B$3/SUM(S709:X709)</f>
        <v>93.4022257551669</v>
      </c>
      <c r="AA709" s="2" t="n">
        <f aca="false">U709*Settings!$B$3/SUM(S709:X709)</f>
        <v>69.9523052464229</v>
      </c>
      <c r="AB709" s="2" t="n">
        <f aca="false">V709*Settings!$B$3/SUM(S709:X709)</f>
        <v>93.4022257551669</v>
      </c>
      <c r="AC709" s="2" t="n">
        <f aca="false">W709*Settings!$B$3/SUM(S709:X709)</f>
        <v>68.7599364069952</v>
      </c>
      <c r="AD709" s="2" t="n">
        <f aca="false">X709*Settings!$B$3/SUM(S709:X709)</f>
        <v>97.7742448330684</v>
      </c>
      <c r="AE709" s="2" t="n">
        <f aca="false">INT(Y709)</f>
        <v>76</v>
      </c>
      <c r="AF709" s="2" t="n">
        <f aca="false">INT(Z709)</f>
        <v>93</v>
      </c>
      <c r="AG709" s="2" t="n">
        <f aca="false">INT(AA709)</f>
        <v>69</v>
      </c>
      <c r="AH709" s="2" t="n">
        <f aca="false">INT(AB709)</f>
        <v>93</v>
      </c>
      <c r="AI709" s="2" t="n">
        <f aca="false">INT(AC709)</f>
        <v>68</v>
      </c>
      <c r="AJ709" s="2" t="n">
        <f aca="false">INT(AD709)</f>
        <v>97</v>
      </c>
      <c r="AK709" s="2" t="n">
        <f aca="false">Settings!$B$3-SUM(AE709:AJ709)</f>
        <v>4</v>
      </c>
      <c r="AL709" s="2" t="n">
        <f aca="false">ROUND(Y709-AE709,9)</f>
        <v>0.709062003</v>
      </c>
      <c r="AM709" s="2" t="n">
        <f aca="false">ROUND(Z709-AF709,9)</f>
        <v>0.402225755</v>
      </c>
      <c r="AN709" s="2" t="n">
        <f aca="false">ROUND(AA709-AG709,9)</f>
        <v>0.952305246</v>
      </c>
      <c r="AO709" s="2" t="n">
        <f aca="false">ROUND(AB709-AH709,9)</f>
        <v>0.402225755</v>
      </c>
      <c r="AP709" s="2" t="n">
        <f aca="false">ROUND(AC709-AI709,9)</f>
        <v>0.759936407</v>
      </c>
      <c r="AQ709" s="2" t="n">
        <f aca="false">ROUND(AD709-AJ709,9)</f>
        <v>0.774244833</v>
      </c>
    </row>
    <row r="710" customFormat="false" ht="15" hidden="false" customHeight="false" outlineLevel="0" collapsed="false">
      <c r="A710" s="2" t="n">
        <v>709</v>
      </c>
      <c r="B710" s="6" t="n">
        <v>17</v>
      </c>
      <c r="C710" s="6" t="n">
        <v>30</v>
      </c>
      <c r="D710" s="8" t="str">
        <f aca="false">INDEX(Bases!$B$2:$B$53,B710)</f>
        <v>Snorunt</v>
      </c>
      <c r="E710" s="8" t="str">
        <f aca="false">INDEX(Bases!$B$2:$B$53,C710)</f>
        <v>Swablu</v>
      </c>
      <c r="F710" s="2" t="str">
        <f aca="false">LEFT(D710,ROUNDUP(LEN(D710)/2,0))&amp;LOWER(MID(E710,ROUNDUP(LEN(E710)/2,0)+1,20))</f>
        <v>Snorblu</v>
      </c>
      <c r="G710" s="8" t="str">
        <f aca="false">INDEX(Bases!$C$2:$C$53,B710)</f>
        <v>Ice</v>
      </c>
      <c r="H710" s="8" t="str">
        <f aca="false">IF(INDEX(Bases!$C$2:$C$53,C710)=G710,"",INDEX(Bases!$C$2:$C$53,C710))</f>
        <v>Flying</v>
      </c>
      <c r="I710" s="8" t="str">
        <f aca="false">IF(INDEX(Bases!$E$2:$E$53,B710)="","",INDEX(Bases!$E$2:$E$53,B710))</f>
        <v/>
      </c>
      <c r="J710" s="8" t="str">
        <f aca="false">IF(INDEX(Bases!$E$2:$E$53,C710)="","",INDEX(Bases!$E$2:$E$53,C710))</f>
        <v/>
      </c>
      <c r="K710" s="5"/>
      <c r="L710" s="2" t="n">
        <f aca="false">AE710+IF(SUMPRODUCT(--($AL710:$AQ710&gt;AL710))&lt;$AK710,1,0)</f>
        <v>77</v>
      </c>
      <c r="M710" s="2" t="n">
        <f aca="false">AF710+IF(SUMPRODUCT(--($AL710:$AQ710&gt;AM710))+SUMPRODUCT(--($AL710:AL710=AM710))&lt;$AK710,1,0)</f>
        <v>75</v>
      </c>
      <c r="N710" s="2" t="n">
        <f aca="false">AG710+IF(SUMPRODUCT(--($AL710:$AQ710&gt;AN710))+SUMPRODUCT(--($AL710:AM710=AN710))&lt;$AK710,1,0)</f>
        <v>89</v>
      </c>
      <c r="O710" s="2" t="n">
        <f aca="false">AH710+IF(SUMPRODUCT(--($AL710:$AQ710&gt;AO710))+SUMPRODUCT(--($AL710:AN710=AO710))&lt;$AK710,1,0)</f>
        <v>75</v>
      </c>
      <c r="P710" s="2" t="n">
        <f aca="false">AI710+IF(SUMPRODUCT(--($AL710:$AQ710&gt;AP710))+SUMPRODUCT(--($AL710:AO710=AP710))&lt;$AK710,1,0)</f>
        <v>105</v>
      </c>
      <c r="Q710" s="2" t="n">
        <f aca="false">AJ710+IF(SUMPRODUCT(--($AL710:$AQ710&gt;AQ710))+SUMPRODUCT(--($AL710:AP710=AQ710))&lt;$AK710,1,0)</f>
        <v>79</v>
      </c>
      <c r="R710" s="2" t="n">
        <f aca="false">SUM(L710:Q710)</f>
        <v>500</v>
      </c>
      <c r="S710" s="2" t="n">
        <f aca="false">Settings!$B$4*MAX(INDEX(Bases!$M$2:$M$53,B710),INDEX(Bases!$M$2:$M$53,C710))+Settings!$B$5*MIN(INDEX(Bases!$M$2:$M$53,B710),INDEX(Bases!$M$2:$M$53,C710))</f>
        <v>64</v>
      </c>
      <c r="T710" s="2" t="n">
        <f aca="false">Settings!$B$4*MAX(INDEX(Bases!$N$2:$N$53,B710),INDEX(Bases!$N$2:$N$53,C710))+Settings!$B$5*MIN(INDEX(Bases!$N$2:$N$53,B710),INDEX(Bases!$N$2:$N$53,C710))</f>
        <v>62</v>
      </c>
      <c r="U710" s="2" t="n">
        <f aca="false">Settings!$B$4*MAX(INDEX(Bases!$O$2:$O$53,B710),INDEX(Bases!$O$2:$O$53,C710))+Settings!$B$5*MIN(INDEX(Bases!$O$2:$O$53,B710),INDEX(Bases!$O$2:$O$53,C710))</f>
        <v>73.6666666666667</v>
      </c>
      <c r="V710" s="2" t="n">
        <f aca="false">Settings!$B$4*MAX(INDEX(Bases!$P$2:$P$53,B710),INDEX(Bases!$P$2:$P$53,C710))+Settings!$B$5*MIN(INDEX(Bases!$P$2:$P$53,B710),INDEX(Bases!$P$2:$P$53,C710))</f>
        <v>62</v>
      </c>
      <c r="W710" s="2" t="n">
        <f aca="false">Settings!$B$4*MAX(INDEX(Bases!$Q$2:$Q$53,B710),INDEX(Bases!$Q$2:$Q$53,C710))+Settings!$B$5*MIN(INDEX(Bases!$Q$2:$Q$53,B710),INDEX(Bases!$Q$2:$Q$53,C710))</f>
        <v>86.6666666666667</v>
      </c>
      <c r="X710" s="2" t="n">
        <f aca="false">Settings!$B$4*MAX(INDEX(Bases!$R$2:$R$53,B710),INDEX(Bases!$R$2:$R$53,C710))+Settings!$B$5*MIN(INDEX(Bases!$R$2:$R$53,B710),INDEX(Bases!$R$2:$R$53,C710))</f>
        <v>65.3333333333333</v>
      </c>
      <c r="Y710" s="2" t="n">
        <f aca="false">S710*Settings!$B$3/SUM(S710:X710)</f>
        <v>77.3569701853344</v>
      </c>
      <c r="Z710" s="2" t="n">
        <f aca="false">T710*Settings!$B$3/SUM(S710:X710)</f>
        <v>74.9395648670427</v>
      </c>
      <c r="AA710" s="2" t="n">
        <f aca="false">U710*Settings!$B$3/SUM(S710:X710)</f>
        <v>89.041095890411</v>
      </c>
      <c r="AB710" s="2" t="n">
        <f aca="false">V710*Settings!$B$3/SUM(S710:X710)</f>
        <v>74.9395648670427</v>
      </c>
      <c r="AC710" s="2" t="n">
        <f aca="false">W710*Settings!$B$3/SUM(S710:X710)</f>
        <v>104.754230459307</v>
      </c>
      <c r="AD710" s="2" t="n">
        <f aca="false">X710*Settings!$B$3/SUM(S710:X710)</f>
        <v>78.9685737308622</v>
      </c>
      <c r="AE710" s="2" t="n">
        <f aca="false">INT(Y710)</f>
        <v>77</v>
      </c>
      <c r="AF710" s="2" t="n">
        <f aca="false">INT(Z710)</f>
        <v>74</v>
      </c>
      <c r="AG710" s="2" t="n">
        <f aca="false">INT(AA710)</f>
        <v>89</v>
      </c>
      <c r="AH710" s="2" t="n">
        <f aca="false">INT(AB710)</f>
        <v>74</v>
      </c>
      <c r="AI710" s="2" t="n">
        <f aca="false">INT(AC710)</f>
        <v>104</v>
      </c>
      <c r="AJ710" s="2" t="n">
        <f aca="false">INT(AD710)</f>
        <v>78</v>
      </c>
      <c r="AK710" s="2" t="n">
        <f aca="false">Settings!$B$3-SUM(AE710:AJ710)</f>
        <v>4</v>
      </c>
      <c r="AL710" s="2" t="n">
        <f aca="false">ROUND(Y710-AE710,9)</f>
        <v>0.356970185</v>
      </c>
      <c r="AM710" s="2" t="n">
        <f aca="false">ROUND(Z710-AF710,9)</f>
        <v>0.939564867</v>
      </c>
      <c r="AN710" s="2" t="n">
        <f aca="false">ROUND(AA710-AG710,9)</f>
        <v>0.04109589</v>
      </c>
      <c r="AO710" s="2" t="n">
        <f aca="false">ROUND(AB710-AH710,9)</f>
        <v>0.939564867</v>
      </c>
      <c r="AP710" s="2" t="n">
        <f aca="false">ROUND(AC710-AI710,9)</f>
        <v>0.754230459</v>
      </c>
      <c r="AQ710" s="2" t="n">
        <f aca="false">ROUND(AD710-AJ710,9)</f>
        <v>0.968573731</v>
      </c>
    </row>
    <row r="711" customFormat="false" ht="15" hidden="false" customHeight="false" outlineLevel="0" collapsed="false">
      <c r="A711" s="2" t="n">
        <v>710</v>
      </c>
      <c r="B711" s="6" t="n">
        <v>17</v>
      </c>
      <c r="C711" s="6" t="n">
        <v>31</v>
      </c>
      <c r="D711" s="8" t="str">
        <f aca="false">INDEX(Bases!$B$2:$B$53,B711)</f>
        <v>Snorunt</v>
      </c>
      <c r="E711" s="8" t="str">
        <f aca="false">INDEX(Bases!$B$2:$B$53,C711)</f>
        <v>Mew</v>
      </c>
      <c r="F711" s="2" t="str">
        <f aca="false">LEFT(D711,ROUNDUP(LEN(D711)/2,0))&amp;LOWER(MID(E711,ROUNDUP(LEN(E711)/2,0)+1,20))</f>
        <v>Snorw</v>
      </c>
      <c r="G711" s="8" t="str">
        <f aca="false">INDEX(Bases!$C$2:$C$53,B711)</f>
        <v>Ice</v>
      </c>
      <c r="H711" s="8" t="str">
        <f aca="false">IF(INDEX(Bases!$C$2:$C$53,C711)=G711,"",INDEX(Bases!$C$2:$C$53,C711))</f>
        <v>Psychic</v>
      </c>
      <c r="I711" s="8" t="str">
        <f aca="false">IF(INDEX(Bases!$E$2:$E$53,B711)="","",INDEX(Bases!$E$2:$E$53,B711))</f>
        <v/>
      </c>
      <c r="J711" s="8" t="str">
        <f aca="false">IF(INDEX(Bases!$E$2:$E$53,C711)="","",INDEX(Bases!$E$2:$E$53,C711))</f>
        <v/>
      </c>
      <c r="K711" s="5"/>
      <c r="L711" s="2" t="n">
        <f aca="false">AE711+IF(SUMPRODUCT(--($AL711:$AQ711&gt;AL711))&lt;$AK711,1,0)</f>
        <v>84</v>
      </c>
      <c r="M711" s="2" t="n">
        <f aca="false">AF711+IF(SUMPRODUCT(--($AL711:$AQ711&gt;AM711))+SUMPRODUCT(--($AL711:AL711=AM711))&lt;$AK711,1,0)</f>
        <v>84</v>
      </c>
      <c r="N711" s="2" t="n">
        <f aca="false">AG711+IF(SUMPRODUCT(--($AL711:$AQ711&gt;AN711))+SUMPRODUCT(--($AL711:AM711=AN711))&lt;$AK711,1,0)</f>
        <v>84</v>
      </c>
      <c r="O711" s="2" t="n">
        <f aca="false">AH711+IF(SUMPRODUCT(--($AL711:$AQ711&gt;AO711))+SUMPRODUCT(--($AL711:AN711=AO711))&lt;$AK711,1,0)</f>
        <v>84</v>
      </c>
      <c r="P711" s="2" t="n">
        <f aca="false">AI711+IF(SUMPRODUCT(--($AL711:$AQ711&gt;AP711))+SUMPRODUCT(--($AL711:AO711=AP711))&lt;$AK711,1,0)</f>
        <v>82</v>
      </c>
      <c r="Q711" s="2" t="n">
        <f aca="false">AJ711+IF(SUMPRODUCT(--($AL711:$AQ711&gt;AQ711))+SUMPRODUCT(--($AL711:AP711=AQ711))&lt;$AK711,1,0)</f>
        <v>82</v>
      </c>
      <c r="R711" s="2" t="n">
        <f aca="false">SUM(L711:Q711)</f>
        <v>500</v>
      </c>
      <c r="S711" s="2" t="n">
        <f aca="false">Settings!$B$4*MAX(INDEX(Bases!$M$2:$M$53,B711),INDEX(Bases!$M$2:$M$53,C711))+Settings!$B$5*MIN(INDEX(Bases!$M$2:$M$53,B711),INDEX(Bases!$M$2:$M$53,C711))</f>
        <v>67</v>
      </c>
      <c r="T711" s="2" t="n">
        <f aca="false">Settings!$B$4*MAX(INDEX(Bases!$N$2:$N$53,B711),INDEX(Bases!$N$2:$N$53,C711))+Settings!$B$5*MIN(INDEX(Bases!$N$2:$N$53,B711),INDEX(Bases!$N$2:$N$53,C711))</f>
        <v>67</v>
      </c>
      <c r="U711" s="2" t="n">
        <f aca="false">Settings!$B$4*MAX(INDEX(Bases!$O$2:$O$53,B711),INDEX(Bases!$O$2:$O$53,C711))+Settings!$B$5*MIN(INDEX(Bases!$O$2:$O$53,B711),INDEX(Bases!$O$2:$O$53,C711))</f>
        <v>67</v>
      </c>
      <c r="V711" s="2" t="n">
        <f aca="false">Settings!$B$4*MAX(INDEX(Bases!$P$2:$P$53,B711),INDEX(Bases!$P$2:$P$53,C711))+Settings!$B$5*MIN(INDEX(Bases!$P$2:$P$53,B711),INDEX(Bases!$P$2:$P$53,C711))</f>
        <v>67</v>
      </c>
      <c r="W711" s="2" t="n">
        <f aca="false">Settings!$B$4*MAX(INDEX(Bases!$Q$2:$Q$53,B711),INDEX(Bases!$Q$2:$Q$53,C711))+Settings!$B$5*MIN(INDEX(Bases!$Q$2:$Q$53,B711),INDEX(Bases!$Q$2:$Q$53,C711))</f>
        <v>66</v>
      </c>
      <c r="X711" s="2" t="n">
        <f aca="false">Settings!$B$4*MAX(INDEX(Bases!$R$2:$R$53,B711),INDEX(Bases!$R$2:$R$53,C711))+Settings!$B$5*MIN(INDEX(Bases!$R$2:$R$53,B711),INDEX(Bases!$R$2:$R$53,C711))</f>
        <v>66</v>
      </c>
      <c r="Y711" s="2" t="n">
        <f aca="false">S711*Settings!$B$3/SUM(S711:X711)</f>
        <v>83.75</v>
      </c>
      <c r="Z711" s="2" t="n">
        <f aca="false">T711*Settings!$B$3/SUM(S711:X711)</f>
        <v>83.75</v>
      </c>
      <c r="AA711" s="2" t="n">
        <f aca="false">U711*Settings!$B$3/SUM(S711:X711)</f>
        <v>83.75</v>
      </c>
      <c r="AB711" s="2" t="n">
        <f aca="false">V711*Settings!$B$3/SUM(S711:X711)</f>
        <v>83.75</v>
      </c>
      <c r="AC711" s="2" t="n">
        <f aca="false">W711*Settings!$B$3/SUM(S711:X711)</f>
        <v>82.5</v>
      </c>
      <c r="AD711" s="2" t="n">
        <f aca="false">X711*Settings!$B$3/SUM(S711:X711)</f>
        <v>82.5</v>
      </c>
      <c r="AE711" s="2" t="n">
        <f aca="false">INT(Y711)</f>
        <v>83</v>
      </c>
      <c r="AF711" s="2" t="n">
        <f aca="false">INT(Z711)</f>
        <v>83</v>
      </c>
      <c r="AG711" s="2" t="n">
        <f aca="false">INT(AA711)</f>
        <v>83</v>
      </c>
      <c r="AH711" s="2" t="n">
        <f aca="false">INT(AB711)</f>
        <v>83</v>
      </c>
      <c r="AI711" s="2" t="n">
        <f aca="false">INT(AC711)</f>
        <v>82</v>
      </c>
      <c r="AJ711" s="2" t="n">
        <f aca="false">INT(AD711)</f>
        <v>82</v>
      </c>
      <c r="AK711" s="2" t="n">
        <f aca="false">Settings!$B$3-SUM(AE711:AJ711)</f>
        <v>4</v>
      </c>
      <c r="AL711" s="2" t="n">
        <f aca="false">ROUND(Y711-AE711,9)</f>
        <v>0.75</v>
      </c>
      <c r="AM711" s="2" t="n">
        <f aca="false">ROUND(Z711-AF711,9)</f>
        <v>0.75</v>
      </c>
      <c r="AN711" s="2" t="n">
        <f aca="false">ROUND(AA711-AG711,9)</f>
        <v>0.75</v>
      </c>
      <c r="AO711" s="2" t="n">
        <f aca="false">ROUND(AB711-AH711,9)</f>
        <v>0.75</v>
      </c>
      <c r="AP711" s="2" t="n">
        <f aca="false">ROUND(AC711-AI711,9)</f>
        <v>0.5</v>
      </c>
      <c r="AQ711" s="2" t="n">
        <f aca="false">ROUND(AD711-AJ711,9)</f>
        <v>0.5</v>
      </c>
    </row>
    <row r="712" customFormat="false" ht="15" hidden="false" customHeight="false" outlineLevel="0" collapsed="false">
      <c r="A712" s="2" t="n">
        <v>711</v>
      </c>
      <c r="B712" s="6" t="n">
        <v>17</v>
      </c>
      <c r="C712" s="6" t="n">
        <v>32</v>
      </c>
      <c r="D712" s="8" t="str">
        <f aca="false">INDEX(Bases!$B$2:$B$53,B712)</f>
        <v>Snorunt</v>
      </c>
      <c r="E712" s="8" t="str">
        <f aca="false">INDEX(Bases!$B$2:$B$53,C712)</f>
        <v>Spoink</v>
      </c>
      <c r="F712" s="2" t="str">
        <f aca="false">LEFT(D712,ROUNDUP(LEN(D712)/2,0))&amp;LOWER(MID(E712,ROUNDUP(LEN(E712)/2,0)+1,20))</f>
        <v>Snorink</v>
      </c>
      <c r="G712" s="8" t="str">
        <f aca="false">INDEX(Bases!$C$2:$C$53,B712)</f>
        <v>Ice</v>
      </c>
      <c r="H712" s="8" t="str">
        <f aca="false">IF(INDEX(Bases!$C$2:$C$53,C712)=G712,"",INDEX(Bases!$C$2:$C$53,C712))</f>
        <v>Psychic</v>
      </c>
      <c r="I712" s="8" t="str">
        <f aca="false">IF(INDEX(Bases!$E$2:$E$53,B712)="","",INDEX(Bases!$E$2:$E$53,B712))</f>
        <v/>
      </c>
      <c r="J712" s="8" t="str">
        <f aca="false">IF(INDEX(Bases!$E$2:$E$53,C712)="","",INDEX(Bases!$E$2:$E$53,C712))</f>
        <v/>
      </c>
      <c r="K712" s="5"/>
      <c r="L712" s="2" t="n">
        <f aca="false">AE712+IF(SUMPRODUCT(--($AL712:$AQ712&gt;AL712))&lt;$AK712,1,0)</f>
        <v>84</v>
      </c>
      <c r="M712" s="2" t="n">
        <f aca="false">AF712+IF(SUMPRODUCT(--($AL712:$AQ712&gt;AM712))+SUMPRODUCT(--($AL712:AL712=AM712))&lt;$AK712,1,0)</f>
        <v>65</v>
      </c>
      <c r="N712" s="2" t="n">
        <f aca="false">AG712+IF(SUMPRODUCT(--($AL712:$AQ712&gt;AN712))+SUMPRODUCT(--($AL712:AM712=AN712))&lt;$AK712,1,0)</f>
        <v>70</v>
      </c>
      <c r="O712" s="2" t="n">
        <f aca="false">AH712+IF(SUMPRODUCT(--($AL712:$AQ712&gt;AO712))+SUMPRODUCT(--($AL712:AN712=AO712))&lt;$AK712,1,0)</f>
        <v>94</v>
      </c>
      <c r="P712" s="2" t="n">
        <f aca="false">AI712+IF(SUMPRODUCT(--($AL712:$AQ712&gt;AP712))+SUMPRODUCT(--($AL712:AO712=AP712))&lt;$AK712,1,0)</f>
        <v>103</v>
      </c>
      <c r="Q712" s="2" t="n">
        <f aca="false">AJ712+IF(SUMPRODUCT(--($AL712:$AQ712&gt;AQ712))+SUMPRODUCT(--($AL712:AP712=AQ712))&lt;$AK712,1,0)</f>
        <v>84</v>
      </c>
      <c r="R712" s="2" t="n">
        <f aca="false">SUM(L712:Q712)</f>
        <v>500</v>
      </c>
      <c r="S712" s="2" t="n">
        <f aca="false">Settings!$B$4*MAX(INDEX(Bases!$M$2:$M$53,B712),INDEX(Bases!$M$2:$M$53,C712))+Settings!$B$5*MIN(INDEX(Bases!$M$2:$M$53,B712),INDEX(Bases!$M$2:$M$53,C712))</f>
        <v>71</v>
      </c>
      <c r="T712" s="2" t="n">
        <f aca="false">Settings!$B$4*MAX(INDEX(Bases!$N$2:$N$53,B712),INDEX(Bases!$N$2:$N$53,C712))+Settings!$B$5*MIN(INDEX(Bases!$N$2:$N$53,B712),INDEX(Bases!$N$2:$N$53,C712))</f>
        <v>54.6666666666667</v>
      </c>
      <c r="U712" s="2" t="n">
        <f aca="false">Settings!$B$4*MAX(INDEX(Bases!$O$2:$O$53,B712),INDEX(Bases!$O$2:$O$53,C712))+Settings!$B$5*MIN(INDEX(Bases!$O$2:$O$53,B712),INDEX(Bases!$O$2:$O$53,C712))</f>
        <v>58.6666666666667</v>
      </c>
      <c r="V712" s="2" t="n">
        <f aca="false">Settings!$B$4*MAX(INDEX(Bases!$P$2:$P$53,B712),INDEX(Bases!$P$2:$P$53,C712))+Settings!$B$5*MIN(INDEX(Bases!$P$2:$P$53,B712),INDEX(Bases!$P$2:$P$53,C712))</f>
        <v>79</v>
      </c>
      <c r="W712" s="2" t="n">
        <f aca="false">Settings!$B$4*MAX(INDEX(Bases!$Q$2:$Q$53,B712),INDEX(Bases!$Q$2:$Q$53,C712))+Settings!$B$5*MIN(INDEX(Bases!$Q$2:$Q$53,B712),INDEX(Bases!$Q$2:$Q$53,C712))</f>
        <v>86.6666666666667</v>
      </c>
      <c r="X712" s="2" t="n">
        <f aca="false">Settings!$B$4*MAX(INDEX(Bases!$R$2:$R$53,B712),INDEX(Bases!$R$2:$R$53,C712))+Settings!$B$5*MIN(INDEX(Bases!$R$2:$R$53,B712),INDEX(Bases!$R$2:$R$53,C712))</f>
        <v>70.6666666666667</v>
      </c>
      <c r="Y712" s="2" t="n">
        <f aca="false">S712*Settings!$B$3/SUM(S712:X712)</f>
        <v>84.3898573692552</v>
      </c>
      <c r="Z712" s="2" t="n">
        <f aca="false">T712*Settings!$B$3/SUM(S712:X712)</f>
        <v>64.9762282091918</v>
      </c>
      <c r="AA712" s="2" t="n">
        <f aca="false">U712*Settings!$B$3/SUM(S712:X712)</f>
        <v>69.7305863708399</v>
      </c>
      <c r="AB712" s="2" t="n">
        <f aca="false">V712*Settings!$B$3/SUM(S712:X712)</f>
        <v>93.8985736925515</v>
      </c>
      <c r="AC712" s="2" t="n">
        <f aca="false">W712*Settings!$B$3/SUM(S712:X712)</f>
        <v>103.011093502377</v>
      </c>
      <c r="AD712" s="2" t="n">
        <f aca="false">X712*Settings!$B$3/SUM(S712:X712)</f>
        <v>83.9936608557845</v>
      </c>
      <c r="AE712" s="2" t="n">
        <f aca="false">INT(Y712)</f>
        <v>84</v>
      </c>
      <c r="AF712" s="2" t="n">
        <f aca="false">INT(Z712)</f>
        <v>64</v>
      </c>
      <c r="AG712" s="2" t="n">
        <f aca="false">INT(AA712)</f>
        <v>69</v>
      </c>
      <c r="AH712" s="2" t="n">
        <f aca="false">INT(AB712)</f>
        <v>93</v>
      </c>
      <c r="AI712" s="2" t="n">
        <f aca="false">INT(AC712)</f>
        <v>103</v>
      </c>
      <c r="AJ712" s="2" t="n">
        <f aca="false">INT(AD712)</f>
        <v>83</v>
      </c>
      <c r="AK712" s="2" t="n">
        <f aca="false">Settings!$B$3-SUM(AE712:AJ712)</f>
        <v>4</v>
      </c>
      <c r="AL712" s="2" t="n">
        <f aca="false">ROUND(Y712-AE712,9)</f>
        <v>0.389857369</v>
      </c>
      <c r="AM712" s="2" t="n">
        <f aca="false">ROUND(Z712-AF712,9)</f>
        <v>0.976228209</v>
      </c>
      <c r="AN712" s="2" t="n">
        <f aca="false">ROUND(AA712-AG712,9)</f>
        <v>0.730586371</v>
      </c>
      <c r="AO712" s="2" t="n">
        <f aca="false">ROUND(AB712-AH712,9)</f>
        <v>0.898573693</v>
      </c>
      <c r="AP712" s="2" t="n">
        <f aca="false">ROUND(AC712-AI712,9)</f>
        <v>0.011093502</v>
      </c>
      <c r="AQ712" s="2" t="n">
        <f aca="false">ROUND(AD712-AJ712,9)</f>
        <v>0.993660856</v>
      </c>
    </row>
    <row r="713" customFormat="false" ht="15" hidden="false" customHeight="false" outlineLevel="0" collapsed="false">
      <c r="A713" s="2" t="n">
        <v>712</v>
      </c>
      <c r="B713" s="6" t="n">
        <v>17</v>
      </c>
      <c r="C713" s="6" t="n">
        <v>33</v>
      </c>
      <c r="D713" s="8" t="str">
        <f aca="false">INDEX(Bases!$B$2:$B$53,B713)</f>
        <v>Snorunt</v>
      </c>
      <c r="E713" s="8" t="str">
        <f aca="false">INDEX(Bases!$B$2:$B$53,C713)</f>
        <v>Jirachi</v>
      </c>
      <c r="F713" s="2" t="str">
        <f aca="false">LEFT(D713,ROUNDUP(LEN(D713)/2,0))&amp;LOWER(MID(E713,ROUNDUP(LEN(E713)/2,0)+1,20))</f>
        <v>Snorchi</v>
      </c>
      <c r="G713" s="8" t="str">
        <f aca="false">INDEX(Bases!$C$2:$C$53,B713)</f>
        <v>Ice</v>
      </c>
      <c r="H713" s="8" t="str">
        <f aca="false">IF(INDEX(Bases!$C$2:$C$53,C713)=G713,"",INDEX(Bases!$C$2:$C$53,C713))</f>
        <v>Psychic</v>
      </c>
      <c r="I713" s="8" t="str">
        <f aca="false">IF(INDEX(Bases!$E$2:$E$53,B713)="","",INDEX(Bases!$E$2:$E$53,B713))</f>
        <v/>
      </c>
      <c r="J713" s="8" t="str">
        <f aca="false">IF(INDEX(Bases!$E$2:$E$53,C713)="","",INDEX(Bases!$E$2:$E$53,C713))</f>
        <v/>
      </c>
      <c r="K713" s="5"/>
      <c r="L713" s="2" t="n">
        <f aca="false">AE713+IF(SUMPRODUCT(--($AL713:$AQ713&gt;AL713))&lt;$AK713,1,0)</f>
        <v>84</v>
      </c>
      <c r="M713" s="2" t="n">
        <f aca="false">AF713+IF(SUMPRODUCT(--($AL713:$AQ713&gt;AM713))+SUMPRODUCT(--($AL713:AL713=AM713))&lt;$AK713,1,0)</f>
        <v>84</v>
      </c>
      <c r="N713" s="2" t="n">
        <f aca="false">AG713+IF(SUMPRODUCT(--($AL713:$AQ713&gt;AN713))+SUMPRODUCT(--($AL713:AM713=AN713))&lt;$AK713,1,0)</f>
        <v>84</v>
      </c>
      <c r="O713" s="2" t="n">
        <f aca="false">AH713+IF(SUMPRODUCT(--($AL713:$AQ713&gt;AO713))+SUMPRODUCT(--($AL713:AN713=AO713))&lt;$AK713,1,0)</f>
        <v>84</v>
      </c>
      <c r="P713" s="2" t="n">
        <f aca="false">AI713+IF(SUMPRODUCT(--($AL713:$AQ713&gt;AP713))+SUMPRODUCT(--($AL713:AO713=AP713))&lt;$AK713,1,0)</f>
        <v>82</v>
      </c>
      <c r="Q713" s="2" t="n">
        <f aca="false">AJ713+IF(SUMPRODUCT(--($AL713:$AQ713&gt;AQ713))+SUMPRODUCT(--($AL713:AP713=AQ713))&lt;$AK713,1,0)</f>
        <v>82</v>
      </c>
      <c r="R713" s="2" t="n">
        <f aca="false">SUM(L713:Q713)</f>
        <v>500</v>
      </c>
      <c r="S713" s="2" t="n">
        <f aca="false">Settings!$B$4*MAX(INDEX(Bases!$M$2:$M$53,B713),INDEX(Bases!$M$2:$M$53,C713))+Settings!$B$5*MIN(INDEX(Bases!$M$2:$M$53,B713),INDEX(Bases!$M$2:$M$53,C713))</f>
        <v>67</v>
      </c>
      <c r="T713" s="2" t="n">
        <f aca="false">Settings!$B$4*MAX(INDEX(Bases!$N$2:$N$53,B713),INDEX(Bases!$N$2:$N$53,C713))+Settings!$B$5*MIN(INDEX(Bases!$N$2:$N$53,B713),INDEX(Bases!$N$2:$N$53,C713))</f>
        <v>67</v>
      </c>
      <c r="U713" s="2" t="n">
        <f aca="false">Settings!$B$4*MAX(INDEX(Bases!$O$2:$O$53,B713),INDEX(Bases!$O$2:$O$53,C713))+Settings!$B$5*MIN(INDEX(Bases!$O$2:$O$53,B713),INDEX(Bases!$O$2:$O$53,C713))</f>
        <v>67</v>
      </c>
      <c r="V713" s="2" t="n">
        <f aca="false">Settings!$B$4*MAX(INDEX(Bases!$P$2:$P$53,B713),INDEX(Bases!$P$2:$P$53,C713))+Settings!$B$5*MIN(INDEX(Bases!$P$2:$P$53,B713),INDEX(Bases!$P$2:$P$53,C713))</f>
        <v>67</v>
      </c>
      <c r="W713" s="2" t="n">
        <f aca="false">Settings!$B$4*MAX(INDEX(Bases!$Q$2:$Q$53,B713),INDEX(Bases!$Q$2:$Q$53,C713))+Settings!$B$5*MIN(INDEX(Bases!$Q$2:$Q$53,B713),INDEX(Bases!$Q$2:$Q$53,C713))</f>
        <v>66</v>
      </c>
      <c r="X713" s="2" t="n">
        <f aca="false">Settings!$B$4*MAX(INDEX(Bases!$R$2:$R$53,B713),INDEX(Bases!$R$2:$R$53,C713))+Settings!$B$5*MIN(INDEX(Bases!$R$2:$R$53,B713),INDEX(Bases!$R$2:$R$53,C713))</f>
        <v>66</v>
      </c>
      <c r="Y713" s="2" t="n">
        <f aca="false">S713*Settings!$B$3/SUM(S713:X713)</f>
        <v>83.75</v>
      </c>
      <c r="Z713" s="2" t="n">
        <f aca="false">T713*Settings!$B$3/SUM(S713:X713)</f>
        <v>83.75</v>
      </c>
      <c r="AA713" s="2" t="n">
        <f aca="false">U713*Settings!$B$3/SUM(S713:X713)</f>
        <v>83.75</v>
      </c>
      <c r="AB713" s="2" t="n">
        <f aca="false">V713*Settings!$B$3/SUM(S713:X713)</f>
        <v>83.75</v>
      </c>
      <c r="AC713" s="2" t="n">
        <f aca="false">W713*Settings!$B$3/SUM(S713:X713)</f>
        <v>82.5</v>
      </c>
      <c r="AD713" s="2" t="n">
        <f aca="false">X713*Settings!$B$3/SUM(S713:X713)</f>
        <v>82.5</v>
      </c>
      <c r="AE713" s="2" t="n">
        <f aca="false">INT(Y713)</f>
        <v>83</v>
      </c>
      <c r="AF713" s="2" t="n">
        <f aca="false">INT(Z713)</f>
        <v>83</v>
      </c>
      <c r="AG713" s="2" t="n">
        <f aca="false">INT(AA713)</f>
        <v>83</v>
      </c>
      <c r="AH713" s="2" t="n">
        <f aca="false">INT(AB713)</f>
        <v>83</v>
      </c>
      <c r="AI713" s="2" t="n">
        <f aca="false">INT(AC713)</f>
        <v>82</v>
      </c>
      <c r="AJ713" s="2" t="n">
        <f aca="false">INT(AD713)</f>
        <v>82</v>
      </c>
      <c r="AK713" s="2" t="n">
        <f aca="false">Settings!$B$3-SUM(AE713:AJ713)</f>
        <v>4</v>
      </c>
      <c r="AL713" s="2" t="n">
        <f aca="false">ROUND(Y713-AE713,9)</f>
        <v>0.75</v>
      </c>
      <c r="AM713" s="2" t="n">
        <f aca="false">ROUND(Z713-AF713,9)</f>
        <v>0.75</v>
      </c>
      <c r="AN713" s="2" t="n">
        <f aca="false">ROUND(AA713-AG713,9)</f>
        <v>0.75</v>
      </c>
      <c r="AO713" s="2" t="n">
        <f aca="false">ROUND(AB713-AH713,9)</f>
        <v>0.75</v>
      </c>
      <c r="AP713" s="2" t="n">
        <f aca="false">ROUND(AC713-AI713,9)</f>
        <v>0.5</v>
      </c>
      <c r="AQ713" s="2" t="n">
        <f aca="false">ROUND(AD713-AJ713,9)</f>
        <v>0.5</v>
      </c>
    </row>
    <row r="714" customFormat="false" ht="15" hidden="false" customHeight="false" outlineLevel="0" collapsed="false">
      <c r="A714" s="2" t="n">
        <v>713</v>
      </c>
      <c r="B714" s="6" t="n">
        <v>17</v>
      </c>
      <c r="C714" s="6" t="n">
        <v>34</v>
      </c>
      <c r="D714" s="8" t="str">
        <f aca="false">INDEX(Bases!$B$2:$B$53,B714)</f>
        <v>Snorunt</v>
      </c>
      <c r="E714" s="8" t="str">
        <f aca="false">INDEX(Bases!$B$2:$B$53,C714)</f>
        <v>Paras</v>
      </c>
      <c r="F714" s="2" t="str">
        <f aca="false">LEFT(D714,ROUNDUP(LEN(D714)/2,0))&amp;LOWER(MID(E714,ROUNDUP(LEN(E714)/2,0)+1,20))</f>
        <v>Snoras</v>
      </c>
      <c r="G714" s="8" t="str">
        <f aca="false">INDEX(Bases!$C$2:$C$53,B714)</f>
        <v>Ice</v>
      </c>
      <c r="H714" s="8" t="str">
        <f aca="false">IF(INDEX(Bases!$C$2:$C$53,C714)=G714,"",INDEX(Bases!$C$2:$C$53,C714))</f>
        <v>Bug</v>
      </c>
      <c r="I714" s="8" t="str">
        <f aca="false">IF(INDEX(Bases!$E$2:$E$53,B714)="","",INDEX(Bases!$E$2:$E$53,B714))</f>
        <v/>
      </c>
      <c r="J714" s="8" t="str">
        <f aca="false">IF(INDEX(Bases!$E$2:$E$53,C714)="","",INDEX(Bases!$E$2:$E$53,C714))</f>
        <v/>
      </c>
      <c r="K714" s="5"/>
      <c r="L714" s="2" t="n">
        <f aca="false">AE714+IF(SUMPRODUCT(--($AL714:$AQ714&gt;AL714))&lt;$AK714,1,0)</f>
        <v>73</v>
      </c>
      <c r="M714" s="2" t="n">
        <f aca="false">AF714+IF(SUMPRODUCT(--($AL714:$AQ714&gt;AM714))+SUMPRODUCT(--($AL714:AL714=AM714))&lt;$AK714,1,0)</f>
        <v>106</v>
      </c>
      <c r="N714" s="2" t="n">
        <f aca="false">AG714+IF(SUMPRODUCT(--($AL714:$AQ714&gt;AN714))+SUMPRODUCT(--($AL714:AM714=AN714))&lt;$AK714,1,0)</f>
        <v>88</v>
      </c>
      <c r="O714" s="2" t="n">
        <f aca="false">AH714+IF(SUMPRODUCT(--($AL714:$AQ714&gt;AO714))+SUMPRODUCT(--($AL714:AN714=AO714))&lt;$AK714,1,0)</f>
        <v>78</v>
      </c>
      <c r="P714" s="2" t="n">
        <f aca="false">AI714+IF(SUMPRODUCT(--($AL714:$AQ714&gt;AP714))+SUMPRODUCT(--($AL714:AO714=AP714))&lt;$AK714,1,0)</f>
        <v>88</v>
      </c>
      <c r="Q714" s="2" t="n">
        <f aca="false">AJ714+IF(SUMPRODUCT(--($AL714:$AQ714&gt;AQ714))+SUMPRODUCT(--($AL714:AP714=AQ714))&lt;$AK714,1,0)</f>
        <v>67</v>
      </c>
      <c r="R714" s="2" t="n">
        <f aca="false">SUM(L714:Q714)</f>
        <v>500</v>
      </c>
      <c r="S714" s="2" t="n">
        <f aca="false">Settings!$B$4*MAX(INDEX(Bases!$M$2:$M$53,B714),INDEX(Bases!$M$2:$M$53,C714))+Settings!$B$5*MIN(INDEX(Bases!$M$2:$M$53,B714),INDEX(Bases!$M$2:$M$53,C714))</f>
        <v>61</v>
      </c>
      <c r="T714" s="2" t="n">
        <f aca="false">Settings!$B$4*MAX(INDEX(Bases!$N$2:$N$53,B714),INDEX(Bases!$N$2:$N$53,C714))+Settings!$B$5*MIN(INDEX(Bases!$N$2:$N$53,B714),INDEX(Bases!$N$2:$N$53,C714))</f>
        <v>88.3333333333333</v>
      </c>
      <c r="U714" s="2" t="n">
        <f aca="false">Settings!$B$4*MAX(INDEX(Bases!$O$2:$O$53,B714),INDEX(Bases!$O$2:$O$53,C714))+Settings!$B$5*MIN(INDEX(Bases!$O$2:$O$53,B714),INDEX(Bases!$O$2:$O$53,C714))</f>
        <v>73.6666666666667</v>
      </c>
      <c r="V714" s="2" t="n">
        <f aca="false">Settings!$B$4*MAX(INDEX(Bases!$P$2:$P$53,B714),INDEX(Bases!$P$2:$P$53,C714))+Settings!$B$5*MIN(INDEX(Bases!$P$2:$P$53,B714),INDEX(Bases!$P$2:$P$53,C714))</f>
        <v>65.6666666666667</v>
      </c>
      <c r="W714" s="2" t="n">
        <f aca="false">Settings!$B$4*MAX(INDEX(Bases!$Q$2:$Q$53,B714),INDEX(Bases!$Q$2:$Q$53,C714))+Settings!$B$5*MIN(INDEX(Bases!$Q$2:$Q$53,B714),INDEX(Bases!$Q$2:$Q$53,C714))</f>
        <v>73.3333333333333</v>
      </c>
      <c r="X714" s="2" t="n">
        <f aca="false">Settings!$B$4*MAX(INDEX(Bases!$R$2:$R$53,B714),INDEX(Bases!$R$2:$R$53,C714))+Settings!$B$5*MIN(INDEX(Bases!$R$2:$R$53,B714),INDEX(Bases!$R$2:$R$53,C714))</f>
        <v>55.6666666666667</v>
      </c>
      <c r="Y714" s="2" t="n">
        <f aca="false">S714*Settings!$B$3/SUM(S714:X714)</f>
        <v>73.024740622506</v>
      </c>
      <c r="Z714" s="2" t="n">
        <f aca="false">T714*Settings!$B$3/SUM(S714:X714)</f>
        <v>105.746209098164</v>
      </c>
      <c r="AA714" s="2" t="n">
        <f aca="false">U714*Settings!$B$3/SUM(S714:X714)</f>
        <v>88.1883479648843</v>
      </c>
      <c r="AB714" s="2" t="n">
        <f aca="false">V714*Settings!$B$3/SUM(S714:X714)</f>
        <v>78.6113328012769</v>
      </c>
      <c r="AC714" s="2" t="n">
        <f aca="false">W714*Settings!$B$3/SUM(S714:X714)</f>
        <v>87.7893056664006</v>
      </c>
      <c r="AD714" s="2" t="n">
        <f aca="false">X714*Settings!$B$3/SUM(S714:X714)</f>
        <v>66.6400638467678</v>
      </c>
      <c r="AE714" s="2" t="n">
        <f aca="false">INT(Y714)</f>
        <v>73</v>
      </c>
      <c r="AF714" s="2" t="n">
        <f aca="false">INT(Z714)</f>
        <v>105</v>
      </c>
      <c r="AG714" s="2" t="n">
        <f aca="false">INT(AA714)</f>
        <v>88</v>
      </c>
      <c r="AH714" s="2" t="n">
        <f aca="false">INT(AB714)</f>
        <v>78</v>
      </c>
      <c r="AI714" s="2" t="n">
        <f aca="false">INT(AC714)</f>
        <v>87</v>
      </c>
      <c r="AJ714" s="2" t="n">
        <f aca="false">INT(AD714)</f>
        <v>66</v>
      </c>
      <c r="AK714" s="2" t="n">
        <f aca="false">Settings!$B$3-SUM(AE714:AJ714)</f>
        <v>3</v>
      </c>
      <c r="AL714" s="2" t="n">
        <f aca="false">ROUND(Y714-AE714,9)</f>
        <v>0.024740623</v>
      </c>
      <c r="AM714" s="2" t="n">
        <f aca="false">ROUND(Z714-AF714,9)</f>
        <v>0.746209098</v>
      </c>
      <c r="AN714" s="2" t="n">
        <f aca="false">ROUND(AA714-AG714,9)</f>
        <v>0.188347965</v>
      </c>
      <c r="AO714" s="2" t="n">
        <f aca="false">ROUND(AB714-AH714,9)</f>
        <v>0.611332801</v>
      </c>
      <c r="AP714" s="2" t="n">
        <f aca="false">ROUND(AC714-AI714,9)</f>
        <v>0.789305666</v>
      </c>
      <c r="AQ714" s="2" t="n">
        <f aca="false">ROUND(AD714-AJ714,9)</f>
        <v>0.640063847</v>
      </c>
    </row>
    <row r="715" customFormat="false" ht="15" hidden="false" customHeight="false" outlineLevel="0" collapsed="false">
      <c r="A715" s="2" t="n">
        <v>714</v>
      </c>
      <c r="B715" s="6" t="n">
        <v>17</v>
      </c>
      <c r="C715" s="6" t="n">
        <v>35</v>
      </c>
      <c r="D715" s="8" t="str">
        <f aca="false">INDEX(Bases!$B$2:$B$53,B715)</f>
        <v>Snorunt</v>
      </c>
      <c r="E715" s="8" t="str">
        <f aca="false">INDEX(Bases!$B$2:$B$53,C715)</f>
        <v>Pineco</v>
      </c>
      <c r="F715" s="2" t="str">
        <f aca="false">LEFT(D715,ROUNDUP(LEN(D715)/2,0))&amp;LOWER(MID(E715,ROUNDUP(LEN(E715)/2,0)+1,20))</f>
        <v>Snoreco</v>
      </c>
      <c r="G715" s="8" t="str">
        <f aca="false">INDEX(Bases!$C$2:$C$53,B715)</f>
        <v>Ice</v>
      </c>
      <c r="H715" s="8" t="str">
        <f aca="false">IF(INDEX(Bases!$C$2:$C$53,C715)=G715,"",INDEX(Bases!$C$2:$C$53,C715))</f>
        <v>Bug</v>
      </c>
      <c r="I715" s="8" t="str">
        <f aca="false">IF(INDEX(Bases!$E$2:$E$53,B715)="","",INDEX(Bases!$E$2:$E$53,B715))</f>
        <v/>
      </c>
      <c r="J715" s="8" t="str">
        <f aca="false">IF(INDEX(Bases!$E$2:$E$53,C715)="","",INDEX(Bases!$E$2:$E$53,C715))</f>
        <v/>
      </c>
      <c r="K715" s="5"/>
      <c r="L715" s="2" t="n">
        <f aca="false">AE715+IF(SUMPRODUCT(--($AL715:$AQ715&gt;AL715))&lt;$AK715,1,0)</f>
        <v>80</v>
      </c>
      <c r="M715" s="2" t="n">
        <f aca="false">AF715+IF(SUMPRODUCT(--($AL715:$AQ715&gt;AM715))+SUMPRODUCT(--($AL715:AL715=AM715))&lt;$AK715,1,0)</f>
        <v>96</v>
      </c>
      <c r="N715" s="2" t="n">
        <f aca="false">AG715+IF(SUMPRODUCT(--($AL715:$AQ715&gt;AN715))+SUMPRODUCT(--($AL715:AM715=AN715))&lt;$AK715,1,0)</f>
        <v>123</v>
      </c>
      <c r="O715" s="2" t="n">
        <f aca="false">AH715+IF(SUMPRODUCT(--($AL715:$AQ715&gt;AO715))+SUMPRODUCT(--($AL715:AN715=AO715))&lt;$AK715,1,0)</f>
        <v>71</v>
      </c>
      <c r="P715" s="2" t="n">
        <f aca="false">AI715+IF(SUMPRODUCT(--($AL715:$AQ715&gt;AP715))+SUMPRODUCT(--($AL715:AO715=AP715))&lt;$AK715,1,0)</f>
        <v>70</v>
      </c>
      <c r="Q715" s="2" t="n">
        <f aca="false">AJ715+IF(SUMPRODUCT(--($AL715:$AQ715&gt;AQ715))+SUMPRODUCT(--($AL715:AP715=AQ715))&lt;$AK715,1,0)</f>
        <v>60</v>
      </c>
      <c r="R715" s="2" t="n">
        <f aca="false">SUM(L715:Q715)</f>
        <v>500</v>
      </c>
      <c r="S715" s="2" t="n">
        <f aca="false">Settings!$B$4*MAX(INDEX(Bases!$M$2:$M$53,B715),INDEX(Bases!$M$2:$M$53,C715))+Settings!$B$5*MIN(INDEX(Bases!$M$2:$M$53,B715),INDEX(Bases!$M$2:$M$53,C715))</f>
        <v>68.3333333333333</v>
      </c>
      <c r="T715" s="2" t="n">
        <f aca="false">Settings!$B$4*MAX(INDEX(Bases!$N$2:$N$53,B715),INDEX(Bases!$N$2:$N$53,C715))+Settings!$B$5*MIN(INDEX(Bases!$N$2:$N$53,B715),INDEX(Bases!$N$2:$N$53,C715))</f>
        <v>82.3333333333333</v>
      </c>
      <c r="U715" s="2" t="n">
        <f aca="false">Settings!$B$4*MAX(INDEX(Bases!$O$2:$O$53,B715),INDEX(Bases!$O$2:$O$53,C715))+Settings!$B$5*MIN(INDEX(Bases!$O$2:$O$53,B715),INDEX(Bases!$O$2:$O$53,C715))</f>
        <v>105</v>
      </c>
      <c r="V715" s="2" t="n">
        <f aca="false">Settings!$B$4*MAX(INDEX(Bases!$P$2:$P$53,B715),INDEX(Bases!$P$2:$P$53,C715))+Settings!$B$5*MIN(INDEX(Bases!$P$2:$P$53,B715),INDEX(Bases!$P$2:$P$53,C715))</f>
        <v>60.6666666666667</v>
      </c>
      <c r="W715" s="2" t="n">
        <f aca="false">Settings!$B$4*MAX(INDEX(Bases!$Q$2:$Q$53,B715),INDEX(Bases!$Q$2:$Q$53,C715))+Settings!$B$5*MIN(INDEX(Bases!$Q$2:$Q$53,B715),INDEX(Bases!$Q$2:$Q$53,C715))</f>
        <v>60</v>
      </c>
      <c r="X715" s="2" t="n">
        <f aca="false">Settings!$B$4*MAX(INDEX(Bases!$R$2:$R$53,B715),INDEX(Bases!$R$2:$R$53,C715))+Settings!$B$5*MIN(INDEX(Bases!$R$2:$R$53,B715),INDEX(Bases!$R$2:$R$53,C715))</f>
        <v>51</v>
      </c>
      <c r="Y715" s="2" t="n">
        <f aca="false">S715*Settings!$B$3/SUM(S715:X715)</f>
        <v>79.9531981279251</v>
      </c>
      <c r="Z715" s="2" t="n">
        <f aca="false">T715*Settings!$B$3/SUM(S715:X715)</f>
        <v>96.3338533541342</v>
      </c>
      <c r="AA715" s="2" t="n">
        <f aca="false">U715*Settings!$B$3/SUM(S715:X715)</f>
        <v>122.854914196568</v>
      </c>
      <c r="AB715" s="2" t="n">
        <f aca="false">V715*Settings!$B$3/SUM(S715:X715)</f>
        <v>70.9828393135725</v>
      </c>
      <c r="AC715" s="2" t="n">
        <f aca="false">W715*Settings!$B$3/SUM(S715:X715)</f>
        <v>70.2028081123245</v>
      </c>
      <c r="AD715" s="2" t="n">
        <f aca="false">X715*Settings!$B$3/SUM(S715:X715)</f>
        <v>59.6723868954758</v>
      </c>
      <c r="AE715" s="2" t="n">
        <f aca="false">INT(Y715)</f>
        <v>79</v>
      </c>
      <c r="AF715" s="2" t="n">
        <f aca="false">INT(Z715)</f>
        <v>96</v>
      </c>
      <c r="AG715" s="2" t="n">
        <f aca="false">INT(AA715)</f>
        <v>122</v>
      </c>
      <c r="AH715" s="2" t="n">
        <f aca="false">INT(AB715)</f>
        <v>70</v>
      </c>
      <c r="AI715" s="2" t="n">
        <f aca="false">INT(AC715)</f>
        <v>70</v>
      </c>
      <c r="AJ715" s="2" t="n">
        <f aca="false">INT(AD715)</f>
        <v>59</v>
      </c>
      <c r="AK715" s="2" t="n">
        <f aca="false">Settings!$B$3-SUM(AE715:AJ715)</f>
        <v>4</v>
      </c>
      <c r="AL715" s="2" t="n">
        <f aca="false">ROUND(Y715-AE715,9)</f>
        <v>0.953198128</v>
      </c>
      <c r="AM715" s="2" t="n">
        <f aca="false">ROUND(Z715-AF715,9)</f>
        <v>0.333853354</v>
      </c>
      <c r="AN715" s="2" t="n">
        <f aca="false">ROUND(AA715-AG715,9)</f>
        <v>0.854914197</v>
      </c>
      <c r="AO715" s="2" t="n">
        <f aca="false">ROUND(AB715-AH715,9)</f>
        <v>0.982839314</v>
      </c>
      <c r="AP715" s="2" t="n">
        <f aca="false">ROUND(AC715-AI715,9)</f>
        <v>0.202808112</v>
      </c>
      <c r="AQ715" s="2" t="n">
        <f aca="false">ROUND(AD715-AJ715,9)</f>
        <v>0.672386895</v>
      </c>
    </row>
    <row r="716" customFormat="false" ht="15" hidden="false" customHeight="false" outlineLevel="0" collapsed="false">
      <c r="A716" s="2" t="n">
        <v>715</v>
      </c>
      <c r="B716" s="6" t="n">
        <v>17</v>
      </c>
      <c r="C716" s="6" t="n">
        <v>36</v>
      </c>
      <c r="D716" s="8" t="str">
        <f aca="false">INDEX(Bases!$B$2:$B$53,B716)</f>
        <v>Snorunt</v>
      </c>
      <c r="E716" s="8" t="str">
        <f aca="false">INDEX(Bases!$B$2:$B$53,C716)</f>
        <v>Wurmple</v>
      </c>
      <c r="F716" s="2" t="str">
        <f aca="false">LEFT(D716,ROUNDUP(LEN(D716)/2,0))&amp;LOWER(MID(E716,ROUNDUP(LEN(E716)/2,0)+1,20))</f>
        <v>Snorple</v>
      </c>
      <c r="G716" s="8" t="str">
        <f aca="false">INDEX(Bases!$C$2:$C$53,B716)</f>
        <v>Ice</v>
      </c>
      <c r="H716" s="8" t="str">
        <f aca="false">IF(INDEX(Bases!$C$2:$C$53,C716)=G716,"",INDEX(Bases!$C$2:$C$53,C716))</f>
        <v>Bug</v>
      </c>
      <c r="I716" s="8" t="str">
        <f aca="false">IF(INDEX(Bases!$E$2:$E$53,B716)="","",INDEX(Bases!$E$2:$E$53,B716))</f>
        <v/>
      </c>
      <c r="J716" s="8" t="str">
        <f aca="false">IF(INDEX(Bases!$E$2:$E$53,C716)="","",INDEX(Bases!$E$2:$E$53,C716))</f>
        <v/>
      </c>
      <c r="K716" s="5"/>
      <c r="L716" s="2" t="n">
        <f aca="false">AE716+IF(SUMPRODUCT(--($AL716:$AQ716&gt;AL716))&lt;$AK716,1,0)</f>
        <v>100</v>
      </c>
      <c r="M716" s="2" t="n">
        <f aca="false">AF716+IF(SUMPRODUCT(--($AL716:$AQ716&gt;AM716))+SUMPRODUCT(--($AL716:AL716=AM716))&lt;$AK716,1,0)</f>
        <v>100</v>
      </c>
      <c r="N716" s="2" t="n">
        <f aca="false">AG716+IF(SUMPRODUCT(--($AL716:$AQ716&gt;AN716))+SUMPRODUCT(--($AL716:AM716=AN716))&lt;$AK716,1,0)</f>
        <v>84</v>
      </c>
      <c r="O716" s="2" t="n">
        <f aca="false">AH716+IF(SUMPRODUCT(--($AL716:$AQ716&gt;AO716))+SUMPRODUCT(--($AL716:AN716=AO716))&lt;$AK716,1,0)</f>
        <v>70</v>
      </c>
      <c r="P716" s="2" t="n">
        <f aca="false">AI716+IF(SUMPRODUCT(--($AL716:$AQ716&gt;AP716))+SUMPRODUCT(--($AL716:AO716=AP716))&lt;$AK716,1,0)</f>
        <v>77</v>
      </c>
      <c r="Q716" s="2" t="n">
        <f aca="false">AJ716+IF(SUMPRODUCT(--($AL716:$AQ716&gt;AQ716))+SUMPRODUCT(--($AL716:AP716=AQ716))&lt;$AK716,1,0)</f>
        <v>69</v>
      </c>
      <c r="R716" s="2" t="n">
        <f aca="false">SUM(L716:Q716)</f>
        <v>500</v>
      </c>
      <c r="S716" s="2" t="n">
        <f aca="false">Settings!$B$4*MAX(INDEX(Bases!$M$2:$M$53,B716),INDEX(Bases!$M$2:$M$53,C716))+Settings!$B$5*MIN(INDEX(Bases!$M$2:$M$53,B716),INDEX(Bases!$M$2:$M$53,C716))</f>
        <v>83.6666666666667</v>
      </c>
      <c r="T716" s="2" t="n">
        <f aca="false">Settings!$B$4*MAX(INDEX(Bases!$N$2:$N$53,B716),INDEX(Bases!$N$2:$N$53,C716))+Settings!$B$5*MIN(INDEX(Bases!$N$2:$N$53,B716),INDEX(Bases!$N$2:$N$53,C716))</f>
        <v>83.6666666666667</v>
      </c>
      <c r="U716" s="2" t="n">
        <f aca="false">Settings!$B$4*MAX(INDEX(Bases!$O$2:$O$53,B716),INDEX(Bases!$O$2:$O$53,C716))+Settings!$B$5*MIN(INDEX(Bases!$O$2:$O$53,B716),INDEX(Bases!$O$2:$O$53,C716))</f>
        <v>70.3333333333333</v>
      </c>
      <c r="V716" s="2" t="n">
        <f aca="false">Settings!$B$4*MAX(INDEX(Bases!$P$2:$P$53,B716),INDEX(Bases!$P$2:$P$53,C716))+Settings!$B$5*MIN(INDEX(Bases!$P$2:$P$53,B716),INDEX(Bases!$P$2:$P$53,C716))</f>
        <v>58.3333333333333</v>
      </c>
      <c r="W716" s="2" t="n">
        <f aca="false">Settings!$B$4*MAX(INDEX(Bases!$Q$2:$Q$53,B716),INDEX(Bases!$Q$2:$Q$53,C716))+Settings!$B$5*MIN(INDEX(Bases!$Q$2:$Q$53,B716),INDEX(Bases!$Q$2:$Q$53,C716))</f>
        <v>64.6666666666667</v>
      </c>
      <c r="X716" s="2" t="n">
        <f aca="false">Settings!$B$4*MAX(INDEX(Bases!$R$2:$R$53,B716),INDEX(Bases!$R$2:$R$53,C716))+Settings!$B$5*MIN(INDEX(Bases!$R$2:$R$53,B716),INDEX(Bases!$R$2:$R$53,C716))</f>
        <v>57.6666666666667</v>
      </c>
      <c r="Y716" s="2" t="n">
        <f aca="false">S716*Settings!$B$3/SUM(S716:X716)</f>
        <v>100</v>
      </c>
      <c r="Z716" s="2" t="n">
        <f aca="false">T716*Settings!$B$3/SUM(S716:X716)</f>
        <v>100</v>
      </c>
      <c r="AA716" s="2" t="n">
        <f aca="false">U716*Settings!$B$3/SUM(S716:X716)</f>
        <v>84.0637450199203</v>
      </c>
      <c r="AB716" s="2" t="n">
        <f aca="false">V716*Settings!$B$3/SUM(S716:X716)</f>
        <v>69.7211155378486</v>
      </c>
      <c r="AC716" s="2" t="n">
        <f aca="false">W716*Settings!$B$3/SUM(S716:X716)</f>
        <v>77.2908366533865</v>
      </c>
      <c r="AD716" s="2" t="n">
        <f aca="false">X716*Settings!$B$3/SUM(S716:X716)</f>
        <v>68.9243027888446</v>
      </c>
      <c r="AE716" s="2" t="n">
        <f aca="false">INT(Y716)</f>
        <v>100</v>
      </c>
      <c r="AF716" s="2" t="n">
        <f aca="false">INT(Z716)</f>
        <v>100</v>
      </c>
      <c r="AG716" s="2" t="n">
        <f aca="false">INT(AA716)</f>
        <v>84</v>
      </c>
      <c r="AH716" s="2" t="n">
        <f aca="false">INT(AB716)</f>
        <v>69</v>
      </c>
      <c r="AI716" s="2" t="n">
        <f aca="false">INT(AC716)</f>
        <v>77</v>
      </c>
      <c r="AJ716" s="2" t="n">
        <f aca="false">INT(AD716)</f>
        <v>68</v>
      </c>
      <c r="AK716" s="2" t="n">
        <f aca="false">Settings!$B$3-SUM(AE716:AJ716)</f>
        <v>2</v>
      </c>
      <c r="AL716" s="2" t="n">
        <f aca="false">ROUND(Y716-AE716,9)</f>
        <v>0</v>
      </c>
      <c r="AM716" s="2" t="n">
        <f aca="false">ROUND(Z716-AF716,9)</f>
        <v>0</v>
      </c>
      <c r="AN716" s="2" t="n">
        <f aca="false">ROUND(AA716-AG716,9)</f>
        <v>0.06374502</v>
      </c>
      <c r="AO716" s="2" t="n">
        <f aca="false">ROUND(AB716-AH716,9)</f>
        <v>0.721115538</v>
      </c>
      <c r="AP716" s="2" t="n">
        <f aca="false">ROUND(AC716-AI716,9)</f>
        <v>0.290836653</v>
      </c>
      <c r="AQ716" s="2" t="n">
        <f aca="false">ROUND(AD716-AJ716,9)</f>
        <v>0.924302789</v>
      </c>
    </row>
    <row r="717" customFormat="false" ht="15" hidden="false" customHeight="false" outlineLevel="0" collapsed="false">
      <c r="A717" s="2" t="n">
        <v>716</v>
      </c>
      <c r="B717" s="6" t="n">
        <v>17</v>
      </c>
      <c r="C717" s="6" t="n">
        <v>37</v>
      </c>
      <c r="D717" s="8" t="str">
        <f aca="false">INDEX(Bases!$B$2:$B$53,B717)</f>
        <v>Snorunt</v>
      </c>
      <c r="E717" s="8" t="str">
        <f aca="false">INDEX(Bases!$B$2:$B$53,C717)</f>
        <v>Shuckle</v>
      </c>
      <c r="F717" s="2" t="str">
        <f aca="false">LEFT(D717,ROUNDUP(LEN(D717)/2,0))&amp;LOWER(MID(E717,ROUNDUP(LEN(E717)/2,0)+1,20))</f>
        <v>Snorkle</v>
      </c>
      <c r="G717" s="8" t="str">
        <f aca="false">INDEX(Bases!$C$2:$C$53,B717)</f>
        <v>Ice</v>
      </c>
      <c r="H717" s="8" t="str">
        <f aca="false">IF(INDEX(Bases!$C$2:$C$53,C717)=G717,"",INDEX(Bases!$C$2:$C$53,C717))</f>
        <v>Rock</v>
      </c>
      <c r="I717" s="8" t="str">
        <f aca="false">IF(INDEX(Bases!$E$2:$E$53,B717)="","",INDEX(Bases!$E$2:$E$53,B717))</f>
        <v/>
      </c>
      <c r="J717" s="8" t="str">
        <f aca="false">IF(INDEX(Bases!$E$2:$E$53,C717)="","",INDEX(Bases!$E$2:$E$53,C717))</f>
        <v/>
      </c>
      <c r="K717" s="5"/>
      <c r="L717" s="2" t="n">
        <f aca="false">AE717+IF(SUMPRODUCT(--($AL717:$AQ717&gt;AL717))&lt;$AK717,1,0)</f>
        <v>52</v>
      </c>
      <c r="M717" s="2" t="n">
        <f aca="false">AF717+IF(SUMPRODUCT(--($AL717:$AQ717&gt;AM717))+SUMPRODUCT(--($AL717:AL717=AM717))&lt;$AK717,1,0)</f>
        <v>50</v>
      </c>
      <c r="N717" s="2" t="n">
        <f aca="false">AG717+IF(SUMPRODUCT(--($AL717:$AQ717&gt;AN717))+SUMPRODUCT(--($AL717:AM717=AN717))&lt;$AK717,1,0)</f>
        <v>151</v>
      </c>
      <c r="O717" s="2" t="n">
        <f aca="false">AH717+IF(SUMPRODUCT(--($AL717:$AQ717&gt;AO717))+SUMPRODUCT(--($AL717:AN717=AO717))&lt;$AK717,1,0)</f>
        <v>50</v>
      </c>
      <c r="P717" s="2" t="n">
        <f aca="false">AI717+IF(SUMPRODUCT(--($AL717:$AQ717&gt;AP717))+SUMPRODUCT(--($AL717:AO717=AP717))&lt;$AK717,1,0)</f>
        <v>150</v>
      </c>
      <c r="Q717" s="2" t="n">
        <f aca="false">AJ717+IF(SUMPRODUCT(--($AL717:$AQ717&gt;AQ717))+SUMPRODUCT(--($AL717:AP717=AQ717))&lt;$AK717,1,0)</f>
        <v>47</v>
      </c>
      <c r="R717" s="2" t="n">
        <f aca="false">SUM(L717:Q717)</f>
        <v>500</v>
      </c>
      <c r="S717" s="2" t="n">
        <f aca="false">Settings!$B$4*MAX(INDEX(Bases!$M$2:$M$53,B717),INDEX(Bases!$M$2:$M$53,C717))+Settings!$B$5*MIN(INDEX(Bases!$M$2:$M$53,B717),INDEX(Bases!$M$2:$M$53,C717))</f>
        <v>50</v>
      </c>
      <c r="T717" s="2" t="n">
        <f aca="false">Settings!$B$4*MAX(INDEX(Bases!$N$2:$N$53,B717),INDEX(Bases!$N$2:$N$53,C717))+Settings!$B$5*MIN(INDEX(Bases!$N$2:$N$53,B717),INDEX(Bases!$N$2:$N$53,C717))</f>
        <v>47.3333333333333</v>
      </c>
      <c r="U717" s="2" t="n">
        <f aca="false">Settings!$B$4*MAX(INDEX(Bases!$O$2:$O$53,B717),INDEX(Bases!$O$2:$O$53,C717))+Settings!$B$5*MIN(INDEX(Bases!$O$2:$O$53,B717),INDEX(Bases!$O$2:$O$53,C717))</f>
        <v>143.666666666667</v>
      </c>
      <c r="V717" s="2" t="n">
        <f aca="false">Settings!$B$4*MAX(INDEX(Bases!$P$2:$P$53,B717),INDEX(Bases!$P$2:$P$53,C717))+Settings!$B$5*MIN(INDEX(Bases!$P$2:$P$53,B717),INDEX(Bases!$P$2:$P$53,C717))</f>
        <v>47.3333333333333</v>
      </c>
      <c r="W717" s="2" t="n">
        <f aca="false">Settings!$B$4*MAX(INDEX(Bases!$Q$2:$Q$53,B717),INDEX(Bases!$Q$2:$Q$53,C717))+Settings!$B$5*MIN(INDEX(Bases!$Q$2:$Q$53,B717),INDEX(Bases!$Q$2:$Q$53,C717))</f>
        <v>143.333333333333</v>
      </c>
      <c r="X717" s="2" t="n">
        <f aca="false">Settings!$B$4*MAX(INDEX(Bases!$R$2:$R$53,B717),INDEX(Bases!$R$2:$R$53,C717))+Settings!$B$5*MIN(INDEX(Bases!$R$2:$R$53,B717),INDEX(Bases!$R$2:$R$53,C717))</f>
        <v>45.3333333333333</v>
      </c>
      <c r="Y717" s="2" t="n">
        <f aca="false">S717*Settings!$B$3/SUM(S717:X717)</f>
        <v>52.4109014675053</v>
      </c>
      <c r="Z717" s="2" t="n">
        <f aca="false">T717*Settings!$B$3/SUM(S717:X717)</f>
        <v>49.6156533892383</v>
      </c>
      <c r="AA717" s="2" t="n">
        <f aca="false">U717*Settings!$B$3/SUM(S717:X717)</f>
        <v>150.593990216632</v>
      </c>
      <c r="AB717" s="2" t="n">
        <f aca="false">V717*Settings!$B$3/SUM(S717:X717)</f>
        <v>49.6156533892383</v>
      </c>
      <c r="AC717" s="2" t="n">
        <f aca="false">W717*Settings!$B$3/SUM(S717:X717)</f>
        <v>150.244584206848</v>
      </c>
      <c r="AD717" s="2" t="n">
        <f aca="false">X717*Settings!$B$3/SUM(S717:X717)</f>
        <v>47.5192173305381</v>
      </c>
      <c r="AE717" s="2" t="n">
        <f aca="false">INT(Y717)</f>
        <v>52</v>
      </c>
      <c r="AF717" s="2" t="n">
        <f aca="false">INT(Z717)</f>
        <v>49</v>
      </c>
      <c r="AG717" s="2" t="n">
        <f aca="false">INT(AA717)</f>
        <v>150</v>
      </c>
      <c r="AH717" s="2" t="n">
        <f aca="false">INT(AB717)</f>
        <v>49</v>
      </c>
      <c r="AI717" s="2" t="n">
        <f aca="false">INT(AC717)</f>
        <v>150</v>
      </c>
      <c r="AJ717" s="2" t="n">
        <f aca="false">INT(AD717)</f>
        <v>47</v>
      </c>
      <c r="AK717" s="2" t="n">
        <f aca="false">Settings!$B$3-SUM(AE717:AJ717)</f>
        <v>3</v>
      </c>
      <c r="AL717" s="2" t="n">
        <f aca="false">ROUND(Y717-AE717,9)</f>
        <v>0.410901468</v>
      </c>
      <c r="AM717" s="2" t="n">
        <f aca="false">ROUND(Z717-AF717,9)</f>
        <v>0.615653389</v>
      </c>
      <c r="AN717" s="2" t="n">
        <f aca="false">ROUND(AA717-AG717,9)</f>
        <v>0.593990217</v>
      </c>
      <c r="AO717" s="2" t="n">
        <f aca="false">ROUND(AB717-AH717,9)</f>
        <v>0.615653389</v>
      </c>
      <c r="AP717" s="2" t="n">
        <f aca="false">ROUND(AC717-AI717,9)</f>
        <v>0.244584207</v>
      </c>
      <c r="AQ717" s="2" t="n">
        <f aca="false">ROUND(AD717-AJ717,9)</f>
        <v>0.519217331</v>
      </c>
    </row>
    <row r="718" customFormat="false" ht="15" hidden="false" customHeight="false" outlineLevel="0" collapsed="false">
      <c r="A718" s="2" t="n">
        <v>717</v>
      </c>
      <c r="B718" s="6" t="n">
        <v>17</v>
      </c>
      <c r="C718" s="6" t="n">
        <v>38</v>
      </c>
      <c r="D718" s="8" t="str">
        <f aca="false">INDEX(Bases!$B$2:$B$53,B718)</f>
        <v>Snorunt</v>
      </c>
      <c r="E718" s="8" t="str">
        <f aca="false">INDEX(Bases!$B$2:$B$53,C718)</f>
        <v>Larvitar</v>
      </c>
      <c r="F718" s="2" t="str">
        <f aca="false">LEFT(D718,ROUNDUP(LEN(D718)/2,0))&amp;LOWER(MID(E718,ROUNDUP(LEN(E718)/2,0)+1,20))</f>
        <v>Snoritar</v>
      </c>
      <c r="G718" s="8" t="str">
        <f aca="false">INDEX(Bases!$C$2:$C$53,B718)</f>
        <v>Ice</v>
      </c>
      <c r="H718" s="8" t="str">
        <f aca="false">IF(INDEX(Bases!$C$2:$C$53,C718)=G718,"",INDEX(Bases!$C$2:$C$53,C718))</f>
        <v>Rock</v>
      </c>
      <c r="I718" s="8" t="str">
        <f aca="false">IF(INDEX(Bases!$E$2:$E$53,B718)="","",INDEX(Bases!$E$2:$E$53,B718))</f>
        <v/>
      </c>
      <c r="J718" s="8" t="str">
        <f aca="false">IF(INDEX(Bases!$E$2:$E$53,C718)="","",INDEX(Bases!$E$2:$E$53,C718))</f>
        <v/>
      </c>
      <c r="K718" s="5"/>
      <c r="L718" s="2" t="n">
        <f aca="false">AE718+IF(SUMPRODUCT(--($AL718:$AQ718&gt;AL718))&lt;$AK718,1,0)</f>
        <v>83</v>
      </c>
      <c r="M718" s="2" t="n">
        <f aca="false">AF718+IF(SUMPRODUCT(--($AL718:$AQ718&gt;AM718))+SUMPRODUCT(--($AL718:AL718=AM718))&lt;$AK718,1,0)</f>
        <v>97</v>
      </c>
      <c r="N718" s="2" t="n">
        <f aca="false">AG718+IF(SUMPRODUCT(--($AL718:$AQ718&gt;AN718))+SUMPRODUCT(--($AL718:AM718=AN718))&lt;$AK718,1,0)</f>
        <v>82</v>
      </c>
      <c r="O718" s="2" t="n">
        <f aca="false">AH718+IF(SUMPRODUCT(--($AL718:$AQ718&gt;AO718))+SUMPRODUCT(--($AL718:AN718=AO718))&lt;$AK718,1,0)</f>
        <v>80</v>
      </c>
      <c r="P718" s="2" t="n">
        <f aca="false">AI718+IF(SUMPRODUCT(--($AL718:$AQ718&gt;AP718))+SUMPRODUCT(--($AL718:AO718=AP718))&lt;$AK718,1,0)</f>
        <v>82</v>
      </c>
      <c r="Q718" s="2" t="n">
        <f aca="false">AJ718+IF(SUMPRODUCT(--($AL718:$AQ718&gt;AQ718))+SUMPRODUCT(--($AL718:AP718=AQ718))&lt;$AK718,1,0)</f>
        <v>76</v>
      </c>
      <c r="R718" s="2" t="n">
        <f aca="false">SUM(L718:Q718)</f>
        <v>500</v>
      </c>
      <c r="S718" s="2" t="n">
        <f aca="false">Settings!$B$4*MAX(INDEX(Bases!$M$2:$M$53,B718),INDEX(Bases!$M$2:$M$53,C718))+Settings!$B$5*MIN(INDEX(Bases!$M$2:$M$53,B718),INDEX(Bases!$M$2:$M$53,C718))</f>
        <v>67</v>
      </c>
      <c r="T718" s="2" t="n">
        <f aca="false">Settings!$B$4*MAX(INDEX(Bases!$N$2:$N$53,B718),INDEX(Bases!$N$2:$N$53,C718))+Settings!$B$5*MIN(INDEX(Bases!$N$2:$N$53,B718),INDEX(Bases!$N$2:$N$53,C718))</f>
        <v>79</v>
      </c>
      <c r="U718" s="2" t="n">
        <f aca="false">Settings!$B$4*MAX(INDEX(Bases!$O$2:$O$53,B718),INDEX(Bases!$O$2:$O$53,C718))+Settings!$B$5*MIN(INDEX(Bases!$O$2:$O$53,B718),INDEX(Bases!$O$2:$O$53,C718))</f>
        <v>67</v>
      </c>
      <c r="V718" s="2" t="n">
        <f aca="false">Settings!$B$4*MAX(INDEX(Bases!$P$2:$P$53,B718),INDEX(Bases!$P$2:$P$53,C718))+Settings!$B$5*MIN(INDEX(Bases!$P$2:$P$53,B718),INDEX(Bases!$P$2:$P$53,C718))</f>
        <v>64.6666666666667</v>
      </c>
      <c r="W718" s="2" t="n">
        <f aca="false">Settings!$B$4*MAX(INDEX(Bases!$Q$2:$Q$53,B718),INDEX(Bases!$Q$2:$Q$53,C718))+Settings!$B$5*MIN(INDEX(Bases!$Q$2:$Q$53,B718),INDEX(Bases!$Q$2:$Q$53,C718))</f>
        <v>66.6666666666667</v>
      </c>
      <c r="X718" s="2" t="n">
        <f aca="false">Settings!$B$4*MAX(INDEX(Bases!$R$2:$R$53,B718),INDEX(Bases!$R$2:$R$53,C718))+Settings!$B$5*MIN(INDEX(Bases!$R$2:$R$53,B718),INDEX(Bases!$R$2:$R$53,C718))</f>
        <v>62</v>
      </c>
      <c r="Y718" s="2" t="n">
        <f aca="false">S718*Settings!$B$3/SUM(S718:X718)</f>
        <v>82.4446267432322</v>
      </c>
      <c r="Z718" s="2" t="n">
        <f aca="false">T718*Settings!$B$3/SUM(S718:X718)</f>
        <v>97.2108285479902</v>
      </c>
      <c r="AA718" s="2" t="n">
        <f aca="false">U718*Settings!$B$3/SUM(S718:X718)</f>
        <v>82.4446267432322</v>
      </c>
      <c r="AB718" s="2" t="n">
        <f aca="false">V718*Settings!$B$3/SUM(S718:X718)</f>
        <v>79.5734208367514</v>
      </c>
      <c r="AC718" s="2" t="n">
        <f aca="false">W718*Settings!$B$3/SUM(S718:X718)</f>
        <v>82.0344544708778</v>
      </c>
      <c r="AD718" s="2" t="n">
        <f aca="false">X718*Settings!$B$3/SUM(S718:X718)</f>
        <v>76.2920426579163</v>
      </c>
      <c r="AE718" s="2" t="n">
        <f aca="false">INT(Y718)</f>
        <v>82</v>
      </c>
      <c r="AF718" s="2" t="n">
        <f aca="false">INT(Z718)</f>
        <v>97</v>
      </c>
      <c r="AG718" s="2" t="n">
        <f aca="false">INT(AA718)</f>
        <v>82</v>
      </c>
      <c r="AH718" s="2" t="n">
        <f aca="false">INT(AB718)</f>
        <v>79</v>
      </c>
      <c r="AI718" s="2" t="n">
        <f aca="false">INT(AC718)</f>
        <v>82</v>
      </c>
      <c r="AJ718" s="2" t="n">
        <f aca="false">INT(AD718)</f>
        <v>76</v>
      </c>
      <c r="AK718" s="2" t="n">
        <f aca="false">Settings!$B$3-SUM(AE718:AJ718)</f>
        <v>2</v>
      </c>
      <c r="AL718" s="2" t="n">
        <f aca="false">ROUND(Y718-AE718,9)</f>
        <v>0.444626743</v>
      </c>
      <c r="AM718" s="2" t="n">
        <f aca="false">ROUND(Z718-AF718,9)</f>
        <v>0.210828548</v>
      </c>
      <c r="AN718" s="2" t="n">
        <f aca="false">ROUND(AA718-AG718,9)</f>
        <v>0.444626743</v>
      </c>
      <c r="AO718" s="2" t="n">
        <f aca="false">ROUND(AB718-AH718,9)</f>
        <v>0.573420837</v>
      </c>
      <c r="AP718" s="2" t="n">
        <f aca="false">ROUND(AC718-AI718,9)</f>
        <v>0.034454471</v>
      </c>
      <c r="AQ718" s="2" t="n">
        <f aca="false">ROUND(AD718-AJ718,9)</f>
        <v>0.292042658</v>
      </c>
    </row>
    <row r="719" customFormat="false" ht="15" hidden="false" customHeight="false" outlineLevel="0" collapsed="false">
      <c r="A719" s="2" t="n">
        <v>718</v>
      </c>
      <c r="B719" s="6" t="n">
        <v>17</v>
      </c>
      <c r="C719" s="6" t="n">
        <v>39</v>
      </c>
      <c r="D719" s="8" t="str">
        <f aca="false">INDEX(Bases!$B$2:$B$53,B719)</f>
        <v>Snorunt</v>
      </c>
      <c r="E719" s="8" t="str">
        <f aca="false">INDEX(Bases!$B$2:$B$53,C719)</f>
        <v>Nosepass</v>
      </c>
      <c r="F719" s="2" t="str">
        <f aca="false">LEFT(D719,ROUNDUP(LEN(D719)/2,0))&amp;LOWER(MID(E719,ROUNDUP(LEN(E719)/2,0)+1,20))</f>
        <v>Snorpass</v>
      </c>
      <c r="G719" s="8" t="str">
        <f aca="false">INDEX(Bases!$C$2:$C$53,B719)</f>
        <v>Ice</v>
      </c>
      <c r="H719" s="8" t="str">
        <f aca="false">IF(INDEX(Bases!$C$2:$C$53,C719)=G719,"",INDEX(Bases!$C$2:$C$53,C719))</f>
        <v>Rock</v>
      </c>
      <c r="I719" s="8" t="str">
        <f aca="false">IF(INDEX(Bases!$E$2:$E$53,B719)="","",INDEX(Bases!$E$2:$E$53,B719))</f>
        <v/>
      </c>
      <c r="J719" s="8" t="str">
        <f aca="false">IF(INDEX(Bases!$E$2:$E$53,C719)="","",INDEX(Bases!$E$2:$E$53,C719))</f>
        <v/>
      </c>
      <c r="K719" s="5"/>
      <c r="L719" s="2" t="n">
        <f aca="false">AE719+IF(SUMPRODUCT(--($AL719:$AQ719&gt;AL719))&lt;$AK719,1,0)</f>
        <v>63</v>
      </c>
      <c r="M719" s="2" t="n">
        <f aca="false">AF719+IF(SUMPRODUCT(--($AL719:$AQ719&gt;AM719))+SUMPRODUCT(--($AL719:AL719=AM719))&lt;$AK719,1,0)</f>
        <v>70</v>
      </c>
      <c r="N719" s="2" t="n">
        <f aca="false">AG719+IF(SUMPRODUCT(--($AL719:$AQ719&gt;AN719))+SUMPRODUCT(--($AL719:AM719=AN719))&lt;$AK719,1,0)</f>
        <v>136</v>
      </c>
      <c r="O719" s="2" t="n">
        <f aca="false">AH719+IF(SUMPRODUCT(--($AL719:$AQ719&gt;AO719))+SUMPRODUCT(--($AL719:AN719=AO719))&lt;$AK719,1,0)</f>
        <v>69</v>
      </c>
      <c r="P719" s="2" t="n">
        <f aca="false">AI719+IF(SUMPRODUCT(--($AL719:$AQ719&gt;AP719))+SUMPRODUCT(--($AL719:AO719=AP719))&lt;$AK719,1,0)</f>
        <v>99</v>
      </c>
      <c r="Q719" s="2" t="n">
        <f aca="false">AJ719+IF(SUMPRODUCT(--($AL719:$AQ719&gt;AQ719))+SUMPRODUCT(--($AL719:AP719=AQ719))&lt;$AK719,1,0)</f>
        <v>63</v>
      </c>
      <c r="R719" s="2" t="n">
        <f aca="false">SUM(L719:Q719)</f>
        <v>500</v>
      </c>
      <c r="S719" s="2" t="n">
        <f aca="false">Settings!$B$4*MAX(INDEX(Bases!$M$2:$M$53,B719),INDEX(Bases!$M$2:$M$53,C719))+Settings!$B$5*MIN(INDEX(Bases!$M$2:$M$53,B719),INDEX(Bases!$M$2:$M$53,C719))</f>
        <v>55.3333333333333</v>
      </c>
      <c r="T719" s="2" t="n">
        <f aca="false">Settings!$B$4*MAX(INDEX(Bases!$N$2:$N$53,B719),INDEX(Bases!$N$2:$N$53,C719))+Settings!$B$5*MIN(INDEX(Bases!$N$2:$N$53,B719),INDEX(Bases!$N$2:$N$53,C719))</f>
        <v>60.6666666666667</v>
      </c>
      <c r="U719" s="2" t="n">
        <f aca="false">Settings!$B$4*MAX(INDEX(Bases!$O$2:$O$53,B719),INDEX(Bases!$O$2:$O$53,C719))+Settings!$B$5*MIN(INDEX(Bases!$O$2:$O$53,B719),INDEX(Bases!$O$2:$O$53,C719))</f>
        <v>118.333333333333</v>
      </c>
      <c r="V719" s="2" t="n">
        <f aca="false">Settings!$B$4*MAX(INDEX(Bases!$P$2:$P$53,B719),INDEX(Bases!$P$2:$P$53,C719))+Settings!$B$5*MIN(INDEX(Bases!$P$2:$P$53,B719),INDEX(Bases!$P$2:$P$53,C719))</f>
        <v>60.6666666666667</v>
      </c>
      <c r="W719" s="2" t="n">
        <f aca="false">Settings!$B$4*MAX(INDEX(Bases!$Q$2:$Q$53,B719),INDEX(Bases!$Q$2:$Q$53,C719))+Settings!$B$5*MIN(INDEX(Bases!$Q$2:$Q$53,B719),INDEX(Bases!$Q$2:$Q$53,C719))</f>
        <v>86</v>
      </c>
      <c r="X719" s="2" t="n">
        <f aca="false">Settings!$B$4*MAX(INDEX(Bases!$R$2:$R$53,B719),INDEX(Bases!$R$2:$R$53,C719))+Settings!$B$5*MIN(INDEX(Bases!$R$2:$R$53,B719),INDEX(Bases!$R$2:$R$53,C719))</f>
        <v>54.6666666666667</v>
      </c>
      <c r="Y719" s="2" t="n">
        <f aca="false">S719*Settings!$B$3/SUM(S719:X719)</f>
        <v>63.504208110176</v>
      </c>
      <c r="Z719" s="2" t="n">
        <f aca="false">T719*Settings!$B$3/SUM(S719:X719)</f>
        <v>69.6250956388676</v>
      </c>
      <c r="AA719" s="2" t="n">
        <f aca="false">U719*Settings!$B$3/SUM(S719:X719)</f>
        <v>135.807192042846</v>
      </c>
      <c r="AB719" s="2" t="n">
        <f aca="false">V719*Settings!$B$3/SUM(S719:X719)</f>
        <v>69.6250956388676</v>
      </c>
      <c r="AC719" s="2" t="n">
        <f aca="false">W719*Settings!$B$3/SUM(S719:X719)</f>
        <v>98.699311400153</v>
      </c>
      <c r="AD719" s="2" t="n">
        <f aca="false">X719*Settings!$B$3/SUM(S719:X719)</f>
        <v>62.7390971690895</v>
      </c>
      <c r="AE719" s="2" t="n">
        <f aca="false">INT(Y719)</f>
        <v>63</v>
      </c>
      <c r="AF719" s="2" t="n">
        <f aca="false">INT(Z719)</f>
        <v>69</v>
      </c>
      <c r="AG719" s="2" t="n">
        <f aca="false">INT(AA719)</f>
        <v>135</v>
      </c>
      <c r="AH719" s="2" t="n">
        <f aca="false">INT(AB719)</f>
        <v>69</v>
      </c>
      <c r="AI719" s="2" t="n">
        <f aca="false">INT(AC719)</f>
        <v>98</v>
      </c>
      <c r="AJ719" s="2" t="n">
        <f aca="false">INT(AD719)</f>
        <v>62</v>
      </c>
      <c r="AK719" s="2" t="n">
        <f aca="false">Settings!$B$3-SUM(AE719:AJ719)</f>
        <v>4</v>
      </c>
      <c r="AL719" s="2" t="n">
        <f aca="false">ROUND(Y719-AE719,9)</f>
        <v>0.50420811</v>
      </c>
      <c r="AM719" s="2" t="n">
        <f aca="false">ROUND(Z719-AF719,9)</f>
        <v>0.625095639</v>
      </c>
      <c r="AN719" s="2" t="n">
        <f aca="false">ROUND(AA719-AG719,9)</f>
        <v>0.807192043</v>
      </c>
      <c r="AO719" s="2" t="n">
        <f aca="false">ROUND(AB719-AH719,9)</f>
        <v>0.625095639</v>
      </c>
      <c r="AP719" s="2" t="n">
        <f aca="false">ROUND(AC719-AI719,9)</f>
        <v>0.6993114</v>
      </c>
      <c r="AQ719" s="2" t="n">
        <f aca="false">ROUND(AD719-AJ719,9)</f>
        <v>0.739097169</v>
      </c>
    </row>
    <row r="720" customFormat="false" ht="15" hidden="false" customHeight="false" outlineLevel="0" collapsed="false">
      <c r="A720" s="2" t="n">
        <v>719</v>
      </c>
      <c r="B720" s="6" t="n">
        <v>17</v>
      </c>
      <c r="C720" s="6" t="n">
        <v>40</v>
      </c>
      <c r="D720" s="8" t="str">
        <f aca="false">INDEX(Bases!$B$2:$B$53,B720)</f>
        <v>Snorunt</v>
      </c>
      <c r="E720" s="8" t="str">
        <f aca="false">INDEX(Bases!$B$2:$B$53,C720)</f>
        <v>Gastly</v>
      </c>
      <c r="F720" s="2" t="str">
        <f aca="false">LEFT(D720,ROUNDUP(LEN(D720)/2,0))&amp;LOWER(MID(E720,ROUNDUP(LEN(E720)/2,0)+1,20))</f>
        <v>Snortly</v>
      </c>
      <c r="G720" s="8" t="str">
        <f aca="false">INDEX(Bases!$C$2:$C$53,B720)</f>
        <v>Ice</v>
      </c>
      <c r="H720" s="8" t="str">
        <f aca="false">IF(INDEX(Bases!$C$2:$C$53,C720)=G720,"",INDEX(Bases!$C$2:$C$53,C720))</f>
        <v>Ghost</v>
      </c>
      <c r="I720" s="8" t="str">
        <f aca="false">IF(INDEX(Bases!$E$2:$E$53,B720)="","",INDEX(Bases!$E$2:$E$53,B720))</f>
        <v/>
      </c>
      <c r="J720" s="8" t="str">
        <f aca="false">IF(INDEX(Bases!$E$2:$E$53,C720)="","",INDEX(Bases!$E$2:$E$53,C720))</f>
        <v/>
      </c>
      <c r="K720" s="5"/>
      <c r="L720" s="2" t="n">
        <f aca="false">AE720+IF(SUMPRODUCT(--($AL720:$AQ720&gt;AL720))&lt;$AK720,1,0)</f>
        <v>67</v>
      </c>
      <c r="M720" s="2" t="n">
        <f aca="false">AF720+IF(SUMPRODUCT(--($AL720:$AQ720&gt;AM720))+SUMPRODUCT(--($AL720:AL720=AM720))&lt;$AK720,1,0)</f>
        <v>69</v>
      </c>
      <c r="N720" s="2" t="n">
        <f aca="false">AG720+IF(SUMPRODUCT(--($AL720:$AQ720&gt;AN720))+SUMPRODUCT(--($AL720:AM720=AN720))&lt;$AK720,1,0)</f>
        <v>66</v>
      </c>
      <c r="O720" s="2" t="n">
        <f aca="false">AH720+IF(SUMPRODUCT(--($AL720:$AQ720&gt;AO720))+SUMPRODUCT(--($AL720:AN720=AO720))&lt;$AK720,1,0)</f>
        <v>125</v>
      </c>
      <c r="P720" s="2" t="n">
        <f aca="false">AI720+IF(SUMPRODUCT(--($AL720:$AQ720&gt;AP720))+SUMPRODUCT(--($AL720:AO720=AP720))&lt;$AK720,1,0)</f>
        <v>68</v>
      </c>
      <c r="Q720" s="2" t="n">
        <f aca="false">AJ720+IF(SUMPRODUCT(--($AL720:$AQ720&gt;AQ720))+SUMPRODUCT(--($AL720:AP720=AQ720))&lt;$AK720,1,0)</f>
        <v>105</v>
      </c>
      <c r="R720" s="2" t="n">
        <f aca="false">SUM(L720:Q720)</f>
        <v>500</v>
      </c>
      <c r="S720" s="2" t="n">
        <f aca="false">Settings!$B$4*MAX(INDEX(Bases!$M$2:$M$53,B720),INDEX(Bases!$M$2:$M$53,C720))+Settings!$B$5*MIN(INDEX(Bases!$M$2:$M$53,B720),INDEX(Bases!$M$2:$M$53,C720))</f>
        <v>57.6666666666667</v>
      </c>
      <c r="T720" s="2" t="n">
        <f aca="false">Settings!$B$4*MAX(INDEX(Bases!$N$2:$N$53,B720),INDEX(Bases!$N$2:$N$53,C720))+Settings!$B$5*MIN(INDEX(Bases!$N$2:$N$53,B720),INDEX(Bases!$N$2:$N$53,C720))</f>
        <v>59.6666666666667</v>
      </c>
      <c r="U720" s="2" t="n">
        <f aca="false">Settings!$B$4*MAX(INDEX(Bases!$O$2:$O$53,B720),INDEX(Bases!$O$2:$O$53,C720))+Settings!$B$5*MIN(INDEX(Bases!$O$2:$O$53,B720),INDEX(Bases!$O$2:$O$53,C720))</f>
        <v>57.6666666666667</v>
      </c>
      <c r="V720" s="2" t="n">
        <f aca="false">Settings!$B$4*MAX(INDEX(Bases!$P$2:$P$53,B720),INDEX(Bases!$P$2:$P$53,C720))+Settings!$B$5*MIN(INDEX(Bases!$P$2:$P$53,B720),INDEX(Bases!$P$2:$P$53,C720))</f>
        <v>108.333333333333</v>
      </c>
      <c r="W720" s="2" t="n">
        <f aca="false">Settings!$B$4*MAX(INDEX(Bases!$Q$2:$Q$53,B720),INDEX(Bases!$Q$2:$Q$53,C720))+Settings!$B$5*MIN(INDEX(Bases!$Q$2:$Q$53,B720),INDEX(Bases!$Q$2:$Q$53,C720))</f>
        <v>59</v>
      </c>
      <c r="X720" s="2" t="n">
        <f aca="false">Settings!$B$4*MAX(INDEX(Bases!$R$2:$R$53,B720),INDEX(Bases!$R$2:$R$53,C720))+Settings!$B$5*MIN(INDEX(Bases!$R$2:$R$53,B720),INDEX(Bases!$R$2:$R$53,C720))</f>
        <v>90.6666666666667</v>
      </c>
      <c r="Y720" s="2" t="n">
        <f aca="false">S720*Settings!$B$3/SUM(S720:X720)</f>
        <v>66.5896843725943</v>
      </c>
      <c r="Z720" s="2" t="n">
        <f aca="false">T720*Settings!$B$3/SUM(S720:X720)</f>
        <v>68.8991531947652</v>
      </c>
      <c r="AA720" s="2" t="n">
        <f aca="false">U720*Settings!$B$3/SUM(S720:X720)</f>
        <v>66.5896843725943</v>
      </c>
      <c r="AB720" s="2" t="n">
        <f aca="false">V720*Settings!$B$3/SUM(S720:X720)</f>
        <v>125.09622786759</v>
      </c>
      <c r="AC720" s="2" t="n">
        <f aca="false">W720*Settings!$B$3/SUM(S720:X720)</f>
        <v>68.1293302540416</v>
      </c>
      <c r="AD720" s="2" t="n">
        <f aca="false">X720*Settings!$B$3/SUM(S720:X720)</f>
        <v>104.695919938414</v>
      </c>
      <c r="AE720" s="2" t="n">
        <f aca="false">INT(Y720)</f>
        <v>66</v>
      </c>
      <c r="AF720" s="2" t="n">
        <f aca="false">INT(Z720)</f>
        <v>68</v>
      </c>
      <c r="AG720" s="2" t="n">
        <f aca="false">INT(AA720)</f>
        <v>66</v>
      </c>
      <c r="AH720" s="2" t="n">
        <f aca="false">INT(AB720)</f>
        <v>125</v>
      </c>
      <c r="AI720" s="2" t="n">
        <f aca="false">INT(AC720)</f>
        <v>68</v>
      </c>
      <c r="AJ720" s="2" t="n">
        <f aca="false">INT(AD720)</f>
        <v>104</v>
      </c>
      <c r="AK720" s="2" t="n">
        <f aca="false">Settings!$B$3-SUM(AE720:AJ720)</f>
        <v>3</v>
      </c>
      <c r="AL720" s="2" t="n">
        <f aca="false">ROUND(Y720-AE720,9)</f>
        <v>0.589684373</v>
      </c>
      <c r="AM720" s="2" t="n">
        <f aca="false">ROUND(Z720-AF720,9)</f>
        <v>0.899153195</v>
      </c>
      <c r="AN720" s="2" t="n">
        <f aca="false">ROUND(AA720-AG720,9)</f>
        <v>0.589684373</v>
      </c>
      <c r="AO720" s="2" t="n">
        <f aca="false">ROUND(AB720-AH720,9)</f>
        <v>0.096227868</v>
      </c>
      <c r="AP720" s="2" t="n">
        <f aca="false">ROUND(AC720-AI720,9)</f>
        <v>0.129330254</v>
      </c>
      <c r="AQ720" s="2" t="n">
        <f aca="false">ROUND(AD720-AJ720,9)</f>
        <v>0.695919938</v>
      </c>
    </row>
    <row r="721" customFormat="false" ht="15" hidden="false" customHeight="false" outlineLevel="0" collapsed="false">
      <c r="A721" s="2" t="n">
        <v>720</v>
      </c>
      <c r="B721" s="6" t="n">
        <v>17</v>
      </c>
      <c r="C721" s="6" t="n">
        <v>41</v>
      </c>
      <c r="D721" s="8" t="str">
        <f aca="false">INDEX(Bases!$B$2:$B$53,B721)</f>
        <v>Snorunt</v>
      </c>
      <c r="E721" s="8" t="str">
        <f aca="false">INDEX(Bases!$B$2:$B$53,C721)</f>
        <v>Misdreavus</v>
      </c>
      <c r="F721" s="2" t="str">
        <f aca="false">LEFT(D721,ROUNDUP(LEN(D721)/2,0))&amp;LOWER(MID(E721,ROUNDUP(LEN(E721)/2,0)+1,20))</f>
        <v>Snoreavus</v>
      </c>
      <c r="G721" s="8" t="str">
        <f aca="false">INDEX(Bases!$C$2:$C$53,B721)</f>
        <v>Ice</v>
      </c>
      <c r="H721" s="8" t="str">
        <f aca="false">IF(INDEX(Bases!$C$2:$C$53,C721)=G721,"",INDEX(Bases!$C$2:$C$53,C721))</f>
        <v>Ghost</v>
      </c>
      <c r="I721" s="8" t="str">
        <f aca="false">IF(INDEX(Bases!$E$2:$E$53,B721)="","",INDEX(Bases!$E$2:$E$53,B721))</f>
        <v/>
      </c>
      <c r="J721" s="8" t="str">
        <f aca="false">IF(INDEX(Bases!$E$2:$E$53,C721)="","",INDEX(Bases!$E$2:$E$53,C721))</f>
        <v/>
      </c>
      <c r="K721" s="5"/>
      <c r="L721" s="2" t="n">
        <f aca="false">AE721+IF(SUMPRODUCT(--($AL721:$AQ721&gt;AL721))&lt;$AK721,1,0)</f>
        <v>77</v>
      </c>
      <c r="M721" s="2" t="n">
        <f aca="false">AF721+IF(SUMPRODUCT(--($AL721:$AQ721&gt;AM721))+SUMPRODUCT(--($AL721:AL721=AM721))&lt;$AK721,1,0)</f>
        <v>77</v>
      </c>
      <c r="N721" s="2" t="n">
        <f aca="false">AG721+IF(SUMPRODUCT(--($AL721:$AQ721&gt;AN721))+SUMPRODUCT(--($AL721:AM721=AN721))&lt;$AK721,1,0)</f>
        <v>76</v>
      </c>
      <c r="O721" s="2" t="n">
        <f aca="false">AH721+IF(SUMPRODUCT(--($AL721:$AQ721&gt;AO721))+SUMPRODUCT(--($AL721:AN721=AO721))&lt;$AK721,1,0)</f>
        <v>90</v>
      </c>
      <c r="P721" s="2" t="n">
        <f aca="false">AI721+IF(SUMPRODUCT(--($AL721:$AQ721&gt;AP721))+SUMPRODUCT(--($AL721:AO721=AP721))&lt;$AK721,1,0)</f>
        <v>90</v>
      </c>
      <c r="Q721" s="2" t="n">
        <f aca="false">AJ721+IF(SUMPRODUCT(--($AL721:$AQ721&gt;AQ721))+SUMPRODUCT(--($AL721:AP721=AQ721))&lt;$AK721,1,0)</f>
        <v>90</v>
      </c>
      <c r="R721" s="2" t="n">
        <f aca="false">SUM(L721:Q721)</f>
        <v>500</v>
      </c>
      <c r="S721" s="2" t="n">
        <f aca="false">Settings!$B$4*MAX(INDEX(Bases!$M$2:$M$53,B721),INDEX(Bases!$M$2:$M$53,C721))+Settings!$B$5*MIN(INDEX(Bases!$M$2:$M$53,B721),INDEX(Bases!$M$2:$M$53,C721))</f>
        <v>63.3333333333333</v>
      </c>
      <c r="T721" s="2" t="n">
        <f aca="false">Settings!$B$4*MAX(INDEX(Bases!$N$2:$N$53,B721),INDEX(Bases!$N$2:$N$53,C721))+Settings!$B$5*MIN(INDEX(Bases!$N$2:$N$53,B721),INDEX(Bases!$N$2:$N$53,C721))</f>
        <v>63</v>
      </c>
      <c r="U721" s="2" t="n">
        <f aca="false">Settings!$B$4*MAX(INDEX(Bases!$O$2:$O$53,B721),INDEX(Bases!$O$2:$O$53,C721))+Settings!$B$5*MIN(INDEX(Bases!$O$2:$O$53,B721),INDEX(Bases!$O$2:$O$53,C721))</f>
        <v>63</v>
      </c>
      <c r="V721" s="2" t="n">
        <f aca="false">Settings!$B$4*MAX(INDEX(Bases!$P$2:$P$53,B721),INDEX(Bases!$P$2:$P$53,C721))+Settings!$B$5*MIN(INDEX(Bases!$P$2:$P$53,B721),INDEX(Bases!$P$2:$P$53,C721))</f>
        <v>74.3333333333333</v>
      </c>
      <c r="W721" s="2" t="n">
        <f aca="false">Settings!$B$4*MAX(INDEX(Bases!$Q$2:$Q$53,B721),INDEX(Bases!$Q$2:$Q$53,C721))+Settings!$B$5*MIN(INDEX(Bases!$Q$2:$Q$53,B721),INDEX(Bases!$Q$2:$Q$53,C721))</f>
        <v>74</v>
      </c>
      <c r="X721" s="2" t="n">
        <f aca="false">Settings!$B$4*MAX(INDEX(Bases!$R$2:$R$53,B721),INDEX(Bases!$R$2:$R$53,C721))+Settings!$B$5*MIN(INDEX(Bases!$R$2:$R$53,B721),INDEX(Bases!$R$2:$R$53,C721))</f>
        <v>74</v>
      </c>
      <c r="Y721" s="2" t="n">
        <f aca="false">S721*Settings!$B$3/SUM(S721:X721)</f>
        <v>76.9230769230769</v>
      </c>
      <c r="Z721" s="2" t="n">
        <f aca="false">T721*Settings!$B$3/SUM(S721:X721)</f>
        <v>76.5182186234818</v>
      </c>
      <c r="AA721" s="2" t="n">
        <f aca="false">U721*Settings!$B$3/SUM(S721:X721)</f>
        <v>76.5182186234818</v>
      </c>
      <c r="AB721" s="2" t="n">
        <f aca="false">V721*Settings!$B$3/SUM(S721:X721)</f>
        <v>90.2834008097166</v>
      </c>
      <c r="AC721" s="2" t="n">
        <f aca="false">W721*Settings!$B$3/SUM(S721:X721)</f>
        <v>89.8785425101215</v>
      </c>
      <c r="AD721" s="2" t="n">
        <f aca="false">X721*Settings!$B$3/SUM(S721:X721)</f>
        <v>89.8785425101215</v>
      </c>
      <c r="AE721" s="2" t="n">
        <f aca="false">INT(Y721)</f>
        <v>76</v>
      </c>
      <c r="AF721" s="2" t="n">
        <f aca="false">INT(Z721)</f>
        <v>76</v>
      </c>
      <c r="AG721" s="2" t="n">
        <f aca="false">INT(AA721)</f>
        <v>76</v>
      </c>
      <c r="AH721" s="2" t="n">
        <f aca="false">INT(AB721)</f>
        <v>90</v>
      </c>
      <c r="AI721" s="2" t="n">
        <f aca="false">INT(AC721)</f>
        <v>89</v>
      </c>
      <c r="AJ721" s="2" t="n">
        <f aca="false">INT(AD721)</f>
        <v>89</v>
      </c>
      <c r="AK721" s="2" t="n">
        <f aca="false">Settings!$B$3-SUM(AE721:AJ721)</f>
        <v>4</v>
      </c>
      <c r="AL721" s="2" t="n">
        <f aca="false">ROUND(Y721-AE721,9)</f>
        <v>0.923076923</v>
      </c>
      <c r="AM721" s="2" t="n">
        <f aca="false">ROUND(Z721-AF721,9)</f>
        <v>0.518218623</v>
      </c>
      <c r="AN721" s="2" t="n">
        <f aca="false">ROUND(AA721-AG721,9)</f>
        <v>0.518218623</v>
      </c>
      <c r="AO721" s="2" t="n">
        <f aca="false">ROUND(AB721-AH721,9)</f>
        <v>0.28340081</v>
      </c>
      <c r="AP721" s="2" t="n">
        <f aca="false">ROUND(AC721-AI721,9)</f>
        <v>0.87854251</v>
      </c>
      <c r="AQ721" s="2" t="n">
        <f aca="false">ROUND(AD721-AJ721,9)</f>
        <v>0.87854251</v>
      </c>
    </row>
    <row r="722" customFormat="false" ht="15" hidden="false" customHeight="false" outlineLevel="0" collapsed="false">
      <c r="A722" s="2" t="n">
        <v>721</v>
      </c>
      <c r="B722" s="6" t="n">
        <v>17</v>
      </c>
      <c r="C722" s="6" t="n">
        <v>42</v>
      </c>
      <c r="D722" s="8" t="str">
        <f aca="false">INDEX(Bases!$B$2:$B$53,B722)</f>
        <v>Snorunt</v>
      </c>
      <c r="E722" s="8" t="str">
        <f aca="false">INDEX(Bases!$B$2:$B$53,C722)</f>
        <v>Sableye</v>
      </c>
      <c r="F722" s="2" t="str">
        <f aca="false">LEFT(D722,ROUNDUP(LEN(D722)/2,0))&amp;LOWER(MID(E722,ROUNDUP(LEN(E722)/2,0)+1,20))</f>
        <v>Snoreye</v>
      </c>
      <c r="G722" s="8" t="str">
        <f aca="false">INDEX(Bases!$C$2:$C$53,B722)</f>
        <v>Ice</v>
      </c>
      <c r="H722" s="8" t="str">
        <f aca="false">IF(INDEX(Bases!$C$2:$C$53,C722)=G722,"",INDEX(Bases!$C$2:$C$53,C722))</f>
        <v>Ghost</v>
      </c>
      <c r="I722" s="8" t="str">
        <f aca="false">IF(INDEX(Bases!$E$2:$E$53,B722)="","",INDEX(Bases!$E$2:$E$53,B722))</f>
        <v/>
      </c>
      <c r="J722" s="8" t="str">
        <f aca="false">IF(INDEX(Bases!$E$2:$E$53,C722)="","",INDEX(Bases!$E$2:$E$53,C722))</f>
        <v/>
      </c>
      <c r="K722" s="5"/>
      <c r="L722" s="2" t="n">
        <f aca="false">AE722+IF(SUMPRODUCT(--($AL722:$AQ722&gt;AL722))&lt;$AK722,1,0)</f>
        <v>76</v>
      </c>
      <c r="M722" s="2" t="n">
        <f aca="false">AF722+IF(SUMPRODUCT(--($AL722:$AQ722&gt;AM722))+SUMPRODUCT(--($AL722:AL722=AM722))&lt;$AK722,1,0)</f>
        <v>92</v>
      </c>
      <c r="N722" s="2" t="n">
        <f aca="false">AG722+IF(SUMPRODUCT(--($AL722:$AQ722&gt;AN722))+SUMPRODUCT(--($AL722:AM722=AN722))&lt;$AK722,1,0)</f>
        <v>92</v>
      </c>
      <c r="O722" s="2" t="n">
        <f aca="false">AH722+IF(SUMPRODUCT(--($AL722:$AQ722&gt;AO722))+SUMPRODUCT(--($AL722:AN722=AO722))&lt;$AK722,1,0)</f>
        <v>83</v>
      </c>
      <c r="P722" s="2" t="n">
        <f aca="false">AI722+IF(SUMPRODUCT(--($AL722:$AQ722&gt;AP722))+SUMPRODUCT(--($AL722:AO722=AP722))&lt;$AK722,1,0)</f>
        <v>82</v>
      </c>
      <c r="Q722" s="2" t="n">
        <f aca="false">AJ722+IF(SUMPRODUCT(--($AL722:$AQ722&gt;AQ722))+SUMPRODUCT(--($AL722:AP722=AQ722))&lt;$AK722,1,0)</f>
        <v>75</v>
      </c>
      <c r="R722" s="2" t="n">
        <f aca="false">SUM(L722:Q722)</f>
        <v>500</v>
      </c>
      <c r="S722" s="2" t="n">
        <f aca="false">Settings!$B$4*MAX(INDEX(Bases!$M$2:$M$53,B722),INDEX(Bases!$M$2:$M$53,C722))+Settings!$B$5*MIN(INDEX(Bases!$M$2:$M$53,B722),INDEX(Bases!$M$2:$M$53,C722))</f>
        <v>62.3333333333333</v>
      </c>
      <c r="T722" s="2" t="n">
        <f aca="false">Settings!$B$4*MAX(INDEX(Bases!$N$2:$N$53,B722),INDEX(Bases!$N$2:$N$53,C722))+Settings!$B$5*MIN(INDEX(Bases!$N$2:$N$53,B722),INDEX(Bases!$N$2:$N$53,C722))</f>
        <v>75</v>
      </c>
      <c r="U722" s="2" t="n">
        <f aca="false">Settings!$B$4*MAX(INDEX(Bases!$O$2:$O$53,B722),INDEX(Bases!$O$2:$O$53,C722))+Settings!$B$5*MIN(INDEX(Bases!$O$2:$O$53,B722),INDEX(Bases!$O$2:$O$53,C722))</f>
        <v>75</v>
      </c>
      <c r="V722" s="2" t="n">
        <f aca="false">Settings!$B$4*MAX(INDEX(Bases!$P$2:$P$53,B722),INDEX(Bases!$P$2:$P$53,C722))+Settings!$B$5*MIN(INDEX(Bases!$P$2:$P$53,B722),INDEX(Bases!$P$2:$P$53,C722))</f>
        <v>67.6666666666667</v>
      </c>
      <c r="W722" s="2" t="n">
        <f aca="false">Settings!$B$4*MAX(INDEX(Bases!$Q$2:$Q$53,B722),INDEX(Bases!$Q$2:$Q$53,C722))+Settings!$B$5*MIN(INDEX(Bases!$Q$2:$Q$53,B722),INDEX(Bases!$Q$2:$Q$53,C722))</f>
        <v>67.3333333333333</v>
      </c>
      <c r="X722" s="2" t="n">
        <f aca="false">Settings!$B$4*MAX(INDEX(Bases!$R$2:$R$53,B722),INDEX(Bases!$R$2:$R$53,C722))+Settings!$B$5*MIN(INDEX(Bases!$R$2:$R$53,B722),INDEX(Bases!$R$2:$R$53,C722))</f>
        <v>61.6666666666667</v>
      </c>
      <c r="Y722" s="2" t="n">
        <f aca="false">S722*Settings!$B$3/SUM(S722:X722)</f>
        <v>76.2021189894051</v>
      </c>
      <c r="Z722" s="2" t="n">
        <f aca="false">T722*Settings!$B$3/SUM(S722:X722)</f>
        <v>91.6870415647922</v>
      </c>
      <c r="AA722" s="2" t="n">
        <f aca="false">U722*Settings!$B$3/SUM(S722:X722)</f>
        <v>91.6870415647922</v>
      </c>
      <c r="AB722" s="2" t="n">
        <f aca="false">V722*Settings!$B$3/SUM(S722:X722)</f>
        <v>82.722086389568</v>
      </c>
      <c r="AC722" s="2" t="n">
        <f aca="false">W722*Settings!$B$3/SUM(S722:X722)</f>
        <v>82.3145884270579</v>
      </c>
      <c r="AD722" s="2" t="n">
        <f aca="false">X722*Settings!$B$3/SUM(S722:X722)</f>
        <v>75.3871230643847</v>
      </c>
      <c r="AE722" s="2" t="n">
        <f aca="false">INT(Y722)</f>
        <v>76</v>
      </c>
      <c r="AF722" s="2" t="n">
        <f aca="false">INT(Z722)</f>
        <v>91</v>
      </c>
      <c r="AG722" s="2" t="n">
        <f aca="false">INT(AA722)</f>
        <v>91</v>
      </c>
      <c r="AH722" s="2" t="n">
        <f aca="false">INT(AB722)</f>
        <v>82</v>
      </c>
      <c r="AI722" s="2" t="n">
        <f aca="false">INT(AC722)</f>
        <v>82</v>
      </c>
      <c r="AJ722" s="2" t="n">
        <f aca="false">INT(AD722)</f>
        <v>75</v>
      </c>
      <c r="AK722" s="2" t="n">
        <f aca="false">Settings!$B$3-SUM(AE722:AJ722)</f>
        <v>3</v>
      </c>
      <c r="AL722" s="2" t="n">
        <f aca="false">ROUND(Y722-AE722,9)</f>
        <v>0.202118989</v>
      </c>
      <c r="AM722" s="2" t="n">
        <f aca="false">ROUND(Z722-AF722,9)</f>
        <v>0.687041565</v>
      </c>
      <c r="AN722" s="2" t="n">
        <f aca="false">ROUND(AA722-AG722,9)</f>
        <v>0.687041565</v>
      </c>
      <c r="AO722" s="2" t="n">
        <f aca="false">ROUND(AB722-AH722,9)</f>
        <v>0.72208639</v>
      </c>
      <c r="AP722" s="2" t="n">
        <f aca="false">ROUND(AC722-AI722,9)</f>
        <v>0.314588427</v>
      </c>
      <c r="AQ722" s="2" t="n">
        <f aca="false">ROUND(AD722-AJ722,9)</f>
        <v>0.387123064</v>
      </c>
    </row>
    <row r="723" customFormat="false" ht="15" hidden="false" customHeight="false" outlineLevel="0" collapsed="false">
      <c r="A723" s="2" t="n">
        <v>722</v>
      </c>
      <c r="B723" s="6" t="n">
        <v>17</v>
      </c>
      <c r="C723" s="6" t="n">
        <v>43</v>
      </c>
      <c r="D723" s="8" t="str">
        <f aca="false">INDEX(Bases!$B$2:$B$53,B723)</f>
        <v>Snorunt</v>
      </c>
      <c r="E723" s="8" t="str">
        <f aca="false">INDEX(Bases!$B$2:$B$53,C723)</f>
        <v>Dratini</v>
      </c>
      <c r="F723" s="2" t="str">
        <f aca="false">LEFT(D723,ROUNDUP(LEN(D723)/2,0))&amp;LOWER(MID(E723,ROUNDUP(LEN(E723)/2,0)+1,20))</f>
        <v>Snorini</v>
      </c>
      <c r="G723" s="8" t="str">
        <f aca="false">INDEX(Bases!$C$2:$C$53,B723)</f>
        <v>Ice</v>
      </c>
      <c r="H723" s="8" t="str">
        <f aca="false">IF(INDEX(Bases!$C$2:$C$53,C723)=G723,"",INDEX(Bases!$C$2:$C$53,C723))</f>
        <v>Dragon</v>
      </c>
      <c r="I723" s="8" t="str">
        <f aca="false">IF(INDEX(Bases!$E$2:$E$53,B723)="","",INDEX(Bases!$E$2:$E$53,B723))</f>
        <v/>
      </c>
      <c r="J723" s="8" t="str">
        <f aca="false">IF(INDEX(Bases!$E$2:$E$53,C723)="","",INDEX(Bases!$E$2:$E$53,C723))</f>
        <v/>
      </c>
      <c r="K723" s="5"/>
      <c r="L723" s="2" t="n">
        <f aca="false">AE723+IF(SUMPRODUCT(--($AL723:$AQ723&gt;AL723))&lt;$AK723,1,0)</f>
        <v>78</v>
      </c>
      <c r="M723" s="2" t="n">
        <f aca="false">AF723+IF(SUMPRODUCT(--($AL723:$AQ723&gt;AM723))+SUMPRODUCT(--($AL723:AL723=AM723))&lt;$AK723,1,0)</f>
        <v>97</v>
      </c>
      <c r="N723" s="2" t="n">
        <f aca="false">AG723+IF(SUMPRODUCT(--($AL723:$AQ723&gt;AN723))+SUMPRODUCT(--($AL723:AM723=AN723))&lt;$AK723,1,0)</f>
        <v>80</v>
      </c>
      <c r="O723" s="2" t="n">
        <f aca="false">AH723+IF(SUMPRODUCT(--($AL723:$AQ723&gt;AO723))+SUMPRODUCT(--($AL723:AN723=AO723))&lt;$AK723,1,0)</f>
        <v>82</v>
      </c>
      <c r="P723" s="2" t="n">
        <f aca="false">AI723+IF(SUMPRODUCT(--($AL723:$AQ723&gt;AP723))+SUMPRODUCT(--($AL723:AO723=AP723))&lt;$AK723,1,0)</f>
        <v>82</v>
      </c>
      <c r="Q723" s="2" t="n">
        <f aca="false">AJ723+IF(SUMPRODUCT(--($AL723:$AQ723&gt;AQ723))+SUMPRODUCT(--($AL723:AP723=AQ723))&lt;$AK723,1,0)</f>
        <v>81</v>
      </c>
      <c r="R723" s="2" t="n">
        <f aca="false">SUM(L723:Q723)</f>
        <v>500</v>
      </c>
      <c r="S723" s="2" t="n">
        <f aca="false">Settings!$B$4*MAX(INDEX(Bases!$M$2:$M$53,B723),INDEX(Bases!$M$2:$M$53,C723))+Settings!$B$5*MIN(INDEX(Bases!$M$2:$M$53,B723),INDEX(Bases!$M$2:$M$53,C723))</f>
        <v>63</v>
      </c>
      <c r="T723" s="2" t="n">
        <f aca="false">Settings!$B$4*MAX(INDEX(Bases!$N$2:$N$53,B723),INDEX(Bases!$N$2:$N$53,C723))+Settings!$B$5*MIN(INDEX(Bases!$N$2:$N$53,B723),INDEX(Bases!$N$2:$N$53,C723))</f>
        <v>79</v>
      </c>
      <c r="U723" s="2" t="n">
        <f aca="false">Settings!$B$4*MAX(INDEX(Bases!$O$2:$O$53,B723),INDEX(Bases!$O$2:$O$53,C723))+Settings!$B$5*MIN(INDEX(Bases!$O$2:$O$53,B723),INDEX(Bases!$O$2:$O$53,C723))</f>
        <v>64.6666666666667</v>
      </c>
      <c r="V723" s="2" t="n">
        <f aca="false">Settings!$B$4*MAX(INDEX(Bases!$P$2:$P$53,B723),INDEX(Bases!$P$2:$P$53,C723))+Settings!$B$5*MIN(INDEX(Bases!$P$2:$P$53,B723),INDEX(Bases!$P$2:$P$53,C723))</f>
        <v>67</v>
      </c>
      <c r="W723" s="2" t="n">
        <f aca="false">Settings!$B$4*MAX(INDEX(Bases!$Q$2:$Q$53,B723),INDEX(Bases!$Q$2:$Q$53,C723))+Settings!$B$5*MIN(INDEX(Bases!$Q$2:$Q$53,B723),INDEX(Bases!$Q$2:$Q$53,C723))</f>
        <v>66.6666666666667</v>
      </c>
      <c r="X723" s="2" t="n">
        <f aca="false">Settings!$B$4*MAX(INDEX(Bases!$R$2:$R$53,B723),INDEX(Bases!$R$2:$R$53,C723))+Settings!$B$5*MIN(INDEX(Bases!$R$2:$R$53,B723),INDEX(Bases!$R$2:$R$53,C723))</f>
        <v>66</v>
      </c>
      <c r="Y723" s="2" t="n">
        <f aca="false">S723*Settings!$B$3/SUM(S723:X723)</f>
        <v>77.5225594749795</v>
      </c>
      <c r="Z723" s="2" t="n">
        <f aca="false">T723*Settings!$B$3/SUM(S723:X723)</f>
        <v>97.2108285479902</v>
      </c>
      <c r="AA723" s="2" t="n">
        <f aca="false">U723*Settings!$B$3/SUM(S723:X723)</f>
        <v>79.5734208367514</v>
      </c>
      <c r="AB723" s="2" t="n">
        <f aca="false">V723*Settings!$B$3/SUM(S723:X723)</f>
        <v>82.4446267432322</v>
      </c>
      <c r="AC723" s="2" t="n">
        <f aca="false">W723*Settings!$B$3/SUM(S723:X723)</f>
        <v>82.0344544708778</v>
      </c>
      <c r="AD723" s="2" t="n">
        <f aca="false">X723*Settings!$B$3/SUM(S723:X723)</f>
        <v>81.214109926169</v>
      </c>
      <c r="AE723" s="2" t="n">
        <f aca="false">INT(Y723)</f>
        <v>77</v>
      </c>
      <c r="AF723" s="2" t="n">
        <f aca="false">INT(Z723)</f>
        <v>97</v>
      </c>
      <c r="AG723" s="2" t="n">
        <f aca="false">INT(AA723)</f>
        <v>79</v>
      </c>
      <c r="AH723" s="2" t="n">
        <f aca="false">INT(AB723)</f>
        <v>82</v>
      </c>
      <c r="AI723" s="2" t="n">
        <f aca="false">INT(AC723)</f>
        <v>82</v>
      </c>
      <c r="AJ723" s="2" t="n">
        <f aca="false">INT(AD723)</f>
        <v>81</v>
      </c>
      <c r="AK723" s="2" t="n">
        <f aca="false">Settings!$B$3-SUM(AE723:AJ723)</f>
        <v>2</v>
      </c>
      <c r="AL723" s="2" t="n">
        <f aca="false">ROUND(Y723-AE723,9)</f>
        <v>0.522559475</v>
      </c>
      <c r="AM723" s="2" t="n">
        <f aca="false">ROUND(Z723-AF723,9)</f>
        <v>0.210828548</v>
      </c>
      <c r="AN723" s="2" t="n">
        <f aca="false">ROUND(AA723-AG723,9)</f>
        <v>0.573420837</v>
      </c>
      <c r="AO723" s="2" t="n">
        <f aca="false">ROUND(AB723-AH723,9)</f>
        <v>0.444626743</v>
      </c>
      <c r="AP723" s="2" t="n">
        <f aca="false">ROUND(AC723-AI723,9)</f>
        <v>0.034454471</v>
      </c>
      <c r="AQ723" s="2" t="n">
        <f aca="false">ROUND(AD723-AJ723,9)</f>
        <v>0.214109926</v>
      </c>
    </row>
    <row r="724" customFormat="false" ht="15" hidden="false" customHeight="false" outlineLevel="0" collapsed="false">
      <c r="A724" s="2" t="n">
        <v>723</v>
      </c>
      <c r="B724" s="6" t="n">
        <v>17</v>
      </c>
      <c r="C724" s="6" t="n">
        <v>44</v>
      </c>
      <c r="D724" s="8" t="str">
        <f aca="false">INDEX(Bases!$B$2:$B$53,B724)</f>
        <v>Snorunt</v>
      </c>
      <c r="E724" s="8" t="str">
        <f aca="false">INDEX(Bases!$B$2:$B$53,C724)</f>
        <v>Bagon</v>
      </c>
      <c r="F724" s="2" t="str">
        <f aca="false">LEFT(D724,ROUNDUP(LEN(D724)/2,0))&amp;LOWER(MID(E724,ROUNDUP(LEN(E724)/2,0)+1,20))</f>
        <v>Snoron</v>
      </c>
      <c r="G724" s="8" t="str">
        <f aca="false">INDEX(Bases!$C$2:$C$53,B724)</f>
        <v>Ice</v>
      </c>
      <c r="H724" s="8" t="str">
        <f aca="false">IF(INDEX(Bases!$C$2:$C$53,C724)=G724,"",INDEX(Bases!$C$2:$C$53,C724))</f>
        <v>Dragon</v>
      </c>
      <c r="I724" s="8" t="str">
        <f aca="false">IF(INDEX(Bases!$E$2:$E$53,B724)="","",INDEX(Bases!$E$2:$E$53,B724))</f>
        <v/>
      </c>
      <c r="J724" s="8" t="str">
        <f aca="false">IF(INDEX(Bases!$E$2:$E$53,C724)="","",INDEX(Bases!$E$2:$E$53,C724))</f>
        <v/>
      </c>
      <c r="K724" s="5"/>
      <c r="L724" s="2" t="n">
        <f aca="false">AE724+IF(SUMPRODUCT(--($AL724:$AQ724&gt;AL724))&lt;$AK724,1,0)</f>
        <v>78</v>
      </c>
      <c r="M724" s="2" t="n">
        <f aca="false">AF724+IF(SUMPRODUCT(--($AL724:$AQ724&gt;AM724))+SUMPRODUCT(--($AL724:AL724=AM724))&lt;$AK724,1,0)</f>
        <v>107</v>
      </c>
      <c r="N724" s="2" t="n">
        <f aca="false">AG724+IF(SUMPRODUCT(--($AL724:$AQ724&gt;AN724))+SUMPRODUCT(--($AL724:AM724=AN724))&lt;$AK724,1,0)</f>
        <v>91</v>
      </c>
      <c r="O724" s="2" t="n">
        <f aca="false">AH724+IF(SUMPRODUCT(--($AL724:$AQ724&gt;AO724))+SUMPRODUCT(--($AL724:AN724=AO724))&lt;$AK724,1,0)</f>
        <v>75</v>
      </c>
      <c r="P724" s="2" t="n">
        <f aca="false">AI724+IF(SUMPRODUCT(--($AL724:$AQ724&gt;AP724))+SUMPRODUCT(--($AL724:AO724=AP724))&lt;$AK724,1,0)</f>
        <v>69</v>
      </c>
      <c r="Q724" s="2" t="n">
        <f aca="false">AJ724+IF(SUMPRODUCT(--($AL724:$AQ724&gt;AQ724))+SUMPRODUCT(--($AL724:AP724=AQ724))&lt;$AK724,1,0)</f>
        <v>80</v>
      </c>
      <c r="R724" s="2" t="n">
        <f aca="false">SUM(L724:Q724)</f>
        <v>500</v>
      </c>
      <c r="S724" s="2" t="n">
        <f aca="false">Settings!$B$4*MAX(INDEX(Bases!$M$2:$M$53,B724),INDEX(Bases!$M$2:$M$53,C724))+Settings!$B$5*MIN(INDEX(Bases!$M$2:$M$53,B724),INDEX(Bases!$M$2:$M$53,C724))</f>
        <v>64.6666666666667</v>
      </c>
      <c r="T724" s="2" t="n">
        <f aca="false">Settings!$B$4*MAX(INDEX(Bases!$N$2:$N$53,B724),INDEX(Bases!$N$2:$N$53,C724))+Settings!$B$5*MIN(INDEX(Bases!$N$2:$N$53,B724),INDEX(Bases!$N$2:$N$53,C724))</f>
        <v>89</v>
      </c>
      <c r="U724" s="2" t="n">
        <f aca="false">Settings!$B$4*MAX(INDEX(Bases!$O$2:$O$53,B724),INDEX(Bases!$O$2:$O$53,C724))+Settings!$B$5*MIN(INDEX(Bases!$O$2:$O$53,B724),INDEX(Bases!$O$2:$O$53,C724))</f>
        <v>75.6666666666667</v>
      </c>
      <c r="V724" s="2" t="n">
        <f aca="false">Settings!$B$4*MAX(INDEX(Bases!$P$2:$P$53,B724),INDEX(Bases!$P$2:$P$53,C724))+Settings!$B$5*MIN(INDEX(Bases!$P$2:$P$53,B724),INDEX(Bases!$P$2:$P$53,C724))</f>
        <v>62.3333333333333</v>
      </c>
      <c r="W724" s="2" t="n">
        <f aca="false">Settings!$B$4*MAX(INDEX(Bases!$Q$2:$Q$53,B724),INDEX(Bases!$Q$2:$Q$53,C724))+Settings!$B$5*MIN(INDEX(Bases!$Q$2:$Q$53,B724),INDEX(Bases!$Q$2:$Q$53,C724))</f>
        <v>57.3333333333333</v>
      </c>
      <c r="X724" s="2" t="n">
        <f aca="false">Settings!$B$4*MAX(INDEX(Bases!$R$2:$R$53,B724),INDEX(Bases!$R$2:$R$53,C724))+Settings!$B$5*MIN(INDEX(Bases!$R$2:$R$53,B724),INDEX(Bases!$R$2:$R$53,C724))</f>
        <v>66.6666666666667</v>
      </c>
      <c r="Y724" s="2" t="n">
        <f aca="false">S724*Settings!$B$3/SUM(S724:X724)</f>
        <v>77.7866880513232</v>
      </c>
      <c r="Z724" s="2" t="n">
        <f aca="false">T724*Settings!$B$3/SUM(S724:X724)</f>
        <v>107.056936647955</v>
      </c>
      <c r="AA724" s="2" t="n">
        <f aca="false">U724*Settings!$B$3/SUM(S724:X724)</f>
        <v>91.018444266239</v>
      </c>
      <c r="AB724" s="2" t="n">
        <f aca="false">V724*Settings!$B$3/SUM(S724:X724)</f>
        <v>74.9799518845229</v>
      </c>
      <c r="AC724" s="2" t="n">
        <f aca="false">W724*Settings!$B$3/SUM(S724:X724)</f>
        <v>68.9655172413793</v>
      </c>
      <c r="AD724" s="2" t="n">
        <f aca="false">X724*Settings!$B$3/SUM(S724:X724)</f>
        <v>80.1924619085806</v>
      </c>
      <c r="AE724" s="2" t="n">
        <f aca="false">INT(Y724)</f>
        <v>77</v>
      </c>
      <c r="AF724" s="2" t="n">
        <f aca="false">INT(Z724)</f>
        <v>107</v>
      </c>
      <c r="AG724" s="2" t="n">
        <f aca="false">INT(AA724)</f>
        <v>91</v>
      </c>
      <c r="AH724" s="2" t="n">
        <f aca="false">INT(AB724)</f>
        <v>74</v>
      </c>
      <c r="AI724" s="2" t="n">
        <f aca="false">INT(AC724)</f>
        <v>68</v>
      </c>
      <c r="AJ724" s="2" t="n">
        <f aca="false">INT(AD724)</f>
        <v>80</v>
      </c>
      <c r="AK724" s="2" t="n">
        <f aca="false">Settings!$B$3-SUM(AE724:AJ724)</f>
        <v>3</v>
      </c>
      <c r="AL724" s="2" t="n">
        <f aca="false">ROUND(Y724-AE724,9)</f>
        <v>0.786688051</v>
      </c>
      <c r="AM724" s="2" t="n">
        <f aca="false">ROUND(Z724-AF724,9)</f>
        <v>0.056936648</v>
      </c>
      <c r="AN724" s="2" t="n">
        <f aca="false">ROUND(AA724-AG724,9)</f>
        <v>0.018444266</v>
      </c>
      <c r="AO724" s="2" t="n">
        <f aca="false">ROUND(AB724-AH724,9)</f>
        <v>0.979951885</v>
      </c>
      <c r="AP724" s="2" t="n">
        <f aca="false">ROUND(AC724-AI724,9)</f>
        <v>0.965517241</v>
      </c>
      <c r="AQ724" s="2" t="n">
        <f aca="false">ROUND(AD724-AJ724,9)</f>
        <v>0.192461909</v>
      </c>
    </row>
    <row r="725" customFormat="false" ht="15" hidden="false" customHeight="false" outlineLevel="0" collapsed="false">
      <c r="A725" s="2" t="n">
        <v>724</v>
      </c>
      <c r="B725" s="6" t="n">
        <v>17</v>
      </c>
      <c r="C725" s="6" t="n">
        <v>45</v>
      </c>
      <c r="D725" s="8" t="str">
        <f aca="false">INDEX(Bases!$B$2:$B$53,B725)</f>
        <v>Snorunt</v>
      </c>
      <c r="E725" s="8" t="str">
        <f aca="false">INDEX(Bases!$B$2:$B$53,C725)</f>
        <v>Sneasel</v>
      </c>
      <c r="F725" s="2" t="str">
        <f aca="false">LEFT(D725,ROUNDUP(LEN(D725)/2,0))&amp;LOWER(MID(E725,ROUNDUP(LEN(E725)/2,0)+1,20))</f>
        <v>Snorsel</v>
      </c>
      <c r="G725" s="8" t="str">
        <f aca="false">INDEX(Bases!$C$2:$C$53,B725)</f>
        <v>Ice</v>
      </c>
      <c r="H725" s="8" t="str">
        <f aca="false">IF(INDEX(Bases!$C$2:$C$53,C725)=G725,"",INDEX(Bases!$C$2:$C$53,C725))</f>
        <v>Dark</v>
      </c>
      <c r="I725" s="8" t="str">
        <f aca="false">IF(INDEX(Bases!$E$2:$E$53,B725)="","",INDEX(Bases!$E$2:$E$53,B725))</f>
        <v/>
      </c>
      <c r="J725" s="8" t="str">
        <f aca="false">IF(INDEX(Bases!$E$2:$E$53,C725)="","",INDEX(Bases!$E$2:$E$53,C725))</f>
        <v/>
      </c>
      <c r="K725" s="5"/>
      <c r="L725" s="2" t="n">
        <f aca="false">AE725+IF(SUMPRODUCT(--($AL725:$AQ725&gt;AL725))&lt;$AK725,1,0)</f>
        <v>73</v>
      </c>
      <c r="M725" s="2" t="n">
        <f aca="false">AF725+IF(SUMPRODUCT(--($AL725:$AQ725&gt;AM725))+SUMPRODUCT(--($AL725:AL725=AM725))&lt;$AK725,1,0)</f>
        <v>96</v>
      </c>
      <c r="N725" s="2" t="n">
        <f aca="false">AG725+IF(SUMPRODUCT(--($AL725:$AQ725&gt;AN725))+SUMPRODUCT(--($AL725:AM725=AN725))&lt;$AK725,1,0)</f>
        <v>73</v>
      </c>
      <c r="O725" s="2" t="n">
        <f aca="false">AH725+IF(SUMPRODUCT(--($AL725:$AQ725&gt;AO725))+SUMPRODUCT(--($AL725:AN725=AO725))&lt;$AK725,1,0)</f>
        <v>66</v>
      </c>
      <c r="P725" s="2" t="n">
        <f aca="false">AI725+IF(SUMPRODUCT(--($AL725:$AQ725&gt;AP725))+SUMPRODUCT(--($AL725:AO725=AP725))&lt;$AK725,1,0)</f>
        <v>81</v>
      </c>
      <c r="Q725" s="2" t="n">
        <f aca="false">AJ725+IF(SUMPRODUCT(--($AL725:$AQ725&gt;AQ725))+SUMPRODUCT(--($AL725:AP725=AQ725))&lt;$AK725,1,0)</f>
        <v>111</v>
      </c>
      <c r="R725" s="2" t="n">
        <f aca="false">SUM(L725:Q725)</f>
        <v>500</v>
      </c>
      <c r="S725" s="2" t="n">
        <f aca="false">Settings!$B$4*MAX(INDEX(Bases!$M$2:$M$53,B725),INDEX(Bases!$M$2:$M$53,C725))+Settings!$B$5*MIN(INDEX(Bases!$M$2:$M$53,B725),INDEX(Bases!$M$2:$M$53,C725))</f>
        <v>61.6666666666667</v>
      </c>
      <c r="T725" s="2" t="n">
        <f aca="false">Settings!$B$4*MAX(INDEX(Bases!$N$2:$N$53,B725),INDEX(Bases!$N$2:$N$53,C725))+Settings!$B$5*MIN(INDEX(Bases!$N$2:$N$53,B725),INDEX(Bases!$N$2:$N$53,C725))</f>
        <v>81</v>
      </c>
      <c r="U725" s="2" t="n">
        <f aca="false">Settings!$B$4*MAX(INDEX(Bases!$O$2:$O$53,B725),INDEX(Bases!$O$2:$O$53,C725))+Settings!$B$5*MIN(INDEX(Bases!$O$2:$O$53,B725),INDEX(Bases!$O$2:$O$53,C725))</f>
        <v>61.6666666666667</v>
      </c>
      <c r="V725" s="2" t="n">
        <f aca="false">Settings!$B$4*MAX(INDEX(Bases!$P$2:$P$53,B725),INDEX(Bases!$P$2:$P$53,C725))+Settings!$B$5*MIN(INDEX(Bases!$P$2:$P$53,B725),INDEX(Bases!$P$2:$P$53,C725))</f>
        <v>55.6666666666667</v>
      </c>
      <c r="W725" s="2" t="n">
        <f aca="false">Settings!$B$4*MAX(INDEX(Bases!$Q$2:$Q$53,B725),INDEX(Bases!$Q$2:$Q$53,C725))+Settings!$B$5*MIN(INDEX(Bases!$Q$2:$Q$53,B725),INDEX(Bases!$Q$2:$Q$53,C725))</f>
        <v>68.6666666666667</v>
      </c>
      <c r="X725" s="2" t="n">
        <f aca="false">Settings!$B$4*MAX(INDEX(Bases!$R$2:$R$53,B725),INDEX(Bases!$R$2:$R$53,C725))+Settings!$B$5*MIN(INDEX(Bases!$R$2:$R$53,B725),INDEX(Bases!$R$2:$R$53,C725))</f>
        <v>93.3333333333333</v>
      </c>
      <c r="Y725" s="2" t="n">
        <f aca="false">S725*Settings!$B$3/SUM(S725:X725)</f>
        <v>73.0647709320695</v>
      </c>
      <c r="Z725" s="2" t="n">
        <f aca="false">T725*Settings!$B$3/SUM(S725:X725)</f>
        <v>95.9715639810427</v>
      </c>
      <c r="AA725" s="2" t="n">
        <f aca="false">U725*Settings!$B$3/SUM(S725:X725)</f>
        <v>73.0647709320695</v>
      </c>
      <c r="AB725" s="2" t="n">
        <f aca="false">V725*Settings!$B$3/SUM(S725:X725)</f>
        <v>65.955766192733</v>
      </c>
      <c r="AC725" s="2" t="n">
        <f aca="false">W725*Settings!$B$3/SUM(S725:X725)</f>
        <v>81.3586097946288</v>
      </c>
      <c r="AD725" s="2" t="n">
        <f aca="false">X725*Settings!$B$3/SUM(S725:X725)</f>
        <v>110.584518167457</v>
      </c>
      <c r="AE725" s="2" t="n">
        <f aca="false">INT(Y725)</f>
        <v>73</v>
      </c>
      <c r="AF725" s="2" t="n">
        <f aca="false">INT(Z725)</f>
        <v>95</v>
      </c>
      <c r="AG725" s="2" t="n">
        <f aca="false">INT(AA725)</f>
        <v>73</v>
      </c>
      <c r="AH725" s="2" t="n">
        <f aca="false">INT(AB725)</f>
        <v>65</v>
      </c>
      <c r="AI725" s="2" t="n">
        <f aca="false">INT(AC725)</f>
        <v>81</v>
      </c>
      <c r="AJ725" s="2" t="n">
        <f aca="false">INT(AD725)</f>
        <v>110</v>
      </c>
      <c r="AK725" s="2" t="n">
        <f aca="false">Settings!$B$3-SUM(AE725:AJ725)</f>
        <v>3</v>
      </c>
      <c r="AL725" s="2" t="n">
        <f aca="false">ROUND(Y725-AE725,9)</f>
        <v>0.064770932</v>
      </c>
      <c r="AM725" s="2" t="n">
        <f aca="false">ROUND(Z725-AF725,9)</f>
        <v>0.971563981</v>
      </c>
      <c r="AN725" s="2" t="n">
        <f aca="false">ROUND(AA725-AG725,9)</f>
        <v>0.064770932</v>
      </c>
      <c r="AO725" s="2" t="n">
        <f aca="false">ROUND(AB725-AH725,9)</f>
        <v>0.955766193</v>
      </c>
      <c r="AP725" s="2" t="n">
        <f aca="false">ROUND(AC725-AI725,9)</f>
        <v>0.358609795</v>
      </c>
      <c r="AQ725" s="2" t="n">
        <f aca="false">ROUND(AD725-AJ725,9)</f>
        <v>0.584518167</v>
      </c>
    </row>
    <row r="726" customFormat="false" ht="15" hidden="false" customHeight="false" outlineLevel="0" collapsed="false">
      <c r="A726" s="2" t="n">
        <v>725</v>
      </c>
      <c r="B726" s="6" t="n">
        <v>17</v>
      </c>
      <c r="C726" s="6" t="n">
        <v>46</v>
      </c>
      <c r="D726" s="8" t="str">
        <f aca="false">INDEX(Bases!$B$2:$B$53,B726)</f>
        <v>Snorunt</v>
      </c>
      <c r="E726" s="8" t="str">
        <f aca="false">INDEX(Bases!$B$2:$B$53,C726)</f>
        <v>Houndour</v>
      </c>
      <c r="F726" s="2" t="str">
        <f aca="false">LEFT(D726,ROUNDUP(LEN(D726)/2,0))&amp;LOWER(MID(E726,ROUNDUP(LEN(E726)/2,0)+1,20))</f>
        <v>Snordour</v>
      </c>
      <c r="G726" s="8" t="str">
        <f aca="false">INDEX(Bases!$C$2:$C$53,B726)</f>
        <v>Ice</v>
      </c>
      <c r="H726" s="8" t="str">
        <f aca="false">IF(INDEX(Bases!$C$2:$C$53,C726)=G726,"",INDEX(Bases!$C$2:$C$53,C726))</f>
        <v>Dark</v>
      </c>
      <c r="I726" s="8" t="str">
        <f aca="false">IF(INDEX(Bases!$E$2:$E$53,B726)="","",INDEX(Bases!$E$2:$E$53,B726))</f>
        <v/>
      </c>
      <c r="J726" s="8" t="str">
        <f aca="false">IF(INDEX(Bases!$E$2:$E$53,C726)="","",INDEX(Bases!$E$2:$E$53,C726))</f>
        <v/>
      </c>
      <c r="K726" s="5"/>
      <c r="L726" s="2" t="n">
        <f aca="false">AE726+IF(SUMPRODUCT(--($AL726:$AQ726&gt;AL726))&lt;$AK726,1,0)</f>
        <v>75</v>
      </c>
      <c r="M726" s="2" t="n">
        <f aca="false">AF726+IF(SUMPRODUCT(--($AL726:$AQ726&gt;AM726))+SUMPRODUCT(--($AL726:AL726=AM726))&lt;$AK726,1,0)</f>
        <v>85</v>
      </c>
      <c r="N726" s="2" t="n">
        <f aca="false">AG726+IF(SUMPRODUCT(--($AL726:$AQ726&gt;AN726))+SUMPRODUCT(--($AL726:AM726=AN726))&lt;$AK726,1,0)</f>
        <v>68</v>
      </c>
      <c r="O726" s="2" t="n">
        <f aca="false">AH726+IF(SUMPRODUCT(--($AL726:$AQ726&gt;AO726))+SUMPRODUCT(--($AL726:AN726=AO726))&lt;$AK726,1,0)</f>
        <v>105</v>
      </c>
      <c r="P726" s="2" t="n">
        <f aca="false">AI726+IF(SUMPRODUCT(--($AL726:$AQ726&gt;AP726))+SUMPRODUCT(--($AL726:AO726=AP726))&lt;$AK726,1,0)</f>
        <v>77</v>
      </c>
      <c r="Q726" s="2" t="n">
        <f aca="false">AJ726+IF(SUMPRODUCT(--($AL726:$AQ726&gt;AQ726))+SUMPRODUCT(--($AL726:AP726=AQ726))&lt;$AK726,1,0)</f>
        <v>90</v>
      </c>
      <c r="R726" s="2" t="n">
        <f aca="false">SUM(L726:Q726)</f>
        <v>500</v>
      </c>
      <c r="S726" s="2" t="n">
        <f aca="false">Settings!$B$4*MAX(INDEX(Bases!$M$2:$M$53,B726),INDEX(Bases!$M$2:$M$53,C726))+Settings!$B$5*MIN(INDEX(Bases!$M$2:$M$53,B726),INDEX(Bases!$M$2:$M$53,C726))</f>
        <v>62.6666666666667</v>
      </c>
      <c r="T726" s="2" t="n">
        <f aca="false">Settings!$B$4*MAX(INDEX(Bases!$N$2:$N$53,B726),INDEX(Bases!$N$2:$N$53,C726))+Settings!$B$5*MIN(INDEX(Bases!$N$2:$N$53,B726),INDEX(Bases!$N$2:$N$53,C726))</f>
        <v>71</v>
      </c>
      <c r="U726" s="2" t="n">
        <f aca="false">Settings!$B$4*MAX(INDEX(Bases!$O$2:$O$53,B726),INDEX(Bases!$O$2:$O$53,C726))+Settings!$B$5*MIN(INDEX(Bases!$O$2:$O$53,B726),INDEX(Bases!$O$2:$O$53,C726))</f>
        <v>56.6666666666667</v>
      </c>
      <c r="V726" s="2" t="n">
        <f aca="false">Settings!$B$4*MAX(INDEX(Bases!$P$2:$P$53,B726),INDEX(Bases!$P$2:$P$53,C726))+Settings!$B$5*MIN(INDEX(Bases!$P$2:$P$53,B726),INDEX(Bases!$P$2:$P$53,C726))</f>
        <v>87</v>
      </c>
      <c r="W726" s="2" t="n">
        <f aca="false">Settings!$B$4*MAX(INDEX(Bases!$Q$2:$Q$53,B726),INDEX(Bases!$Q$2:$Q$53,C726))+Settings!$B$5*MIN(INDEX(Bases!$Q$2:$Q$53,B726),INDEX(Bases!$Q$2:$Q$53,C726))</f>
        <v>64.3333333333333</v>
      </c>
      <c r="X726" s="2" t="n">
        <f aca="false">Settings!$B$4*MAX(INDEX(Bases!$R$2:$R$53,B726),INDEX(Bases!$R$2:$R$53,C726))+Settings!$B$5*MIN(INDEX(Bases!$R$2:$R$53,B726),INDEX(Bases!$R$2:$R$53,C726))</f>
        <v>74.6666666666667</v>
      </c>
      <c r="Y726" s="2" t="n">
        <f aca="false">S726*Settings!$B$3/SUM(S726:X726)</f>
        <v>75.2602081665332</v>
      </c>
      <c r="Z726" s="2" t="n">
        <f aca="false">T726*Settings!$B$3/SUM(S726:X726)</f>
        <v>85.2682145716573</v>
      </c>
      <c r="AA726" s="2" t="n">
        <f aca="false">U726*Settings!$B$3/SUM(S726:X726)</f>
        <v>68.0544435548439</v>
      </c>
      <c r="AB726" s="2" t="n">
        <f aca="false">V726*Settings!$B$3/SUM(S726:X726)</f>
        <v>104.483586869496</v>
      </c>
      <c r="AC726" s="2" t="n">
        <f aca="false">W726*Settings!$B$3/SUM(S726:X726)</f>
        <v>77.2618094475581</v>
      </c>
      <c r="AD726" s="2" t="n">
        <f aca="false">X726*Settings!$B$3/SUM(S726:X726)</f>
        <v>89.6717373899119</v>
      </c>
      <c r="AE726" s="2" t="n">
        <f aca="false">INT(Y726)</f>
        <v>75</v>
      </c>
      <c r="AF726" s="2" t="n">
        <f aca="false">INT(Z726)</f>
        <v>85</v>
      </c>
      <c r="AG726" s="2" t="n">
        <f aca="false">INT(AA726)</f>
        <v>68</v>
      </c>
      <c r="AH726" s="2" t="n">
        <f aca="false">INT(AB726)</f>
        <v>104</v>
      </c>
      <c r="AI726" s="2" t="n">
        <f aca="false">INT(AC726)</f>
        <v>77</v>
      </c>
      <c r="AJ726" s="2" t="n">
        <f aca="false">INT(AD726)</f>
        <v>89</v>
      </c>
      <c r="AK726" s="2" t="n">
        <f aca="false">Settings!$B$3-SUM(AE726:AJ726)</f>
        <v>2</v>
      </c>
      <c r="AL726" s="2" t="n">
        <f aca="false">ROUND(Y726-AE726,9)</f>
        <v>0.260208167</v>
      </c>
      <c r="AM726" s="2" t="n">
        <f aca="false">ROUND(Z726-AF726,9)</f>
        <v>0.268214572</v>
      </c>
      <c r="AN726" s="2" t="n">
        <f aca="false">ROUND(AA726-AG726,9)</f>
        <v>0.054443555</v>
      </c>
      <c r="AO726" s="2" t="n">
        <f aca="false">ROUND(AB726-AH726,9)</f>
        <v>0.483586869</v>
      </c>
      <c r="AP726" s="2" t="n">
        <f aca="false">ROUND(AC726-AI726,9)</f>
        <v>0.261809448</v>
      </c>
      <c r="AQ726" s="2" t="n">
        <f aca="false">ROUND(AD726-AJ726,9)</f>
        <v>0.67173739</v>
      </c>
    </row>
    <row r="727" customFormat="false" ht="15" hidden="false" customHeight="false" outlineLevel="0" collapsed="false">
      <c r="A727" s="2" t="n">
        <v>726</v>
      </c>
      <c r="B727" s="6" t="n">
        <v>17</v>
      </c>
      <c r="C727" s="6" t="n">
        <v>47</v>
      </c>
      <c r="D727" s="8" t="str">
        <f aca="false">INDEX(Bases!$B$2:$B$53,B727)</f>
        <v>Snorunt</v>
      </c>
      <c r="E727" s="8" t="str">
        <f aca="false">INDEX(Bases!$B$2:$B$53,C727)</f>
        <v>Carvanha</v>
      </c>
      <c r="F727" s="2" t="str">
        <f aca="false">LEFT(D727,ROUNDUP(LEN(D727)/2,0))&amp;LOWER(MID(E727,ROUNDUP(LEN(E727)/2,0)+1,20))</f>
        <v>Snoranha</v>
      </c>
      <c r="G727" s="8" t="str">
        <f aca="false">INDEX(Bases!$C$2:$C$53,B727)</f>
        <v>Ice</v>
      </c>
      <c r="H727" s="8" t="str">
        <f aca="false">IF(INDEX(Bases!$C$2:$C$53,C727)=G727,"",INDEX(Bases!$C$2:$C$53,C727))</f>
        <v>Dark</v>
      </c>
      <c r="I727" s="8" t="str">
        <f aca="false">IF(INDEX(Bases!$E$2:$E$53,B727)="","",INDEX(Bases!$E$2:$E$53,B727))</f>
        <v/>
      </c>
      <c r="J727" s="8" t="str">
        <f aca="false">IF(INDEX(Bases!$E$2:$E$53,C727)="","",INDEX(Bases!$E$2:$E$53,C727))</f>
        <v/>
      </c>
      <c r="K727" s="5"/>
      <c r="L727" s="2" t="n">
        <f aca="false">AE727+IF(SUMPRODUCT(--($AL727:$AQ727&gt;AL727))&lt;$AK727,1,0)</f>
        <v>75</v>
      </c>
      <c r="M727" s="2" t="n">
        <f aca="false">AF727+IF(SUMPRODUCT(--($AL727:$AQ727&gt;AM727))+SUMPRODUCT(--($AL727:AL727=AM727))&lt;$AK727,1,0)</f>
        <v>117</v>
      </c>
      <c r="N727" s="2" t="n">
        <f aca="false">AG727+IF(SUMPRODUCT(--($AL727:$AQ727&gt;AN727))+SUMPRODUCT(--($AL727:AM727=AN727))&lt;$AK727,1,0)</f>
        <v>62</v>
      </c>
      <c r="O727" s="2" t="n">
        <f aca="false">AH727+IF(SUMPRODUCT(--($AL727:$AQ727&gt;AO727))+SUMPRODUCT(--($AL727:AN727=AO727))&lt;$AK727,1,0)</f>
        <v>93</v>
      </c>
      <c r="P727" s="2" t="n">
        <f aca="false">AI727+IF(SUMPRODUCT(--($AL727:$AQ727&gt;AP727))+SUMPRODUCT(--($AL727:AO727=AP727))&lt;$AK727,1,0)</f>
        <v>61</v>
      </c>
      <c r="Q727" s="2" t="n">
        <f aca="false">AJ727+IF(SUMPRODUCT(--($AL727:$AQ727&gt;AQ727))+SUMPRODUCT(--($AL727:AP727=AQ727))&lt;$AK727,1,0)</f>
        <v>92</v>
      </c>
      <c r="R727" s="2" t="n">
        <f aca="false">SUM(L727:Q727)</f>
        <v>500</v>
      </c>
      <c r="S727" s="2" t="n">
        <f aca="false">Settings!$B$4*MAX(INDEX(Bases!$M$2:$M$53,B727),INDEX(Bases!$M$2:$M$53,C727))+Settings!$B$5*MIN(INDEX(Bases!$M$2:$M$53,B727),INDEX(Bases!$M$2:$M$53,C727))</f>
        <v>64.3333333333333</v>
      </c>
      <c r="T727" s="2" t="n">
        <f aca="false">Settings!$B$4*MAX(INDEX(Bases!$N$2:$N$53,B727),INDEX(Bases!$N$2:$N$53,C727))+Settings!$B$5*MIN(INDEX(Bases!$N$2:$N$53,B727),INDEX(Bases!$N$2:$N$53,C727))</f>
        <v>101</v>
      </c>
      <c r="U727" s="2" t="n">
        <f aca="false">Settings!$B$4*MAX(INDEX(Bases!$O$2:$O$53,B727),INDEX(Bases!$O$2:$O$53,C727))+Settings!$B$5*MIN(INDEX(Bases!$O$2:$O$53,B727),INDEX(Bases!$O$2:$O$53,C727))</f>
        <v>53.3333333333333</v>
      </c>
      <c r="V727" s="2" t="n">
        <f aca="false">Settings!$B$4*MAX(INDEX(Bases!$P$2:$P$53,B727),INDEX(Bases!$P$2:$P$53,C727))+Settings!$B$5*MIN(INDEX(Bases!$P$2:$P$53,B727),INDEX(Bases!$P$2:$P$53,C727))</f>
        <v>79.6666666666667</v>
      </c>
      <c r="W727" s="2" t="n">
        <f aca="false">Settings!$B$4*MAX(INDEX(Bases!$Q$2:$Q$53,B727),INDEX(Bases!$Q$2:$Q$53,C727))+Settings!$B$5*MIN(INDEX(Bases!$Q$2:$Q$53,B727),INDEX(Bases!$Q$2:$Q$53,C727))</f>
        <v>52.6666666666667</v>
      </c>
      <c r="X727" s="2" t="n">
        <f aca="false">Settings!$B$4*MAX(INDEX(Bases!$R$2:$R$53,B727),INDEX(Bases!$R$2:$R$53,C727))+Settings!$B$5*MIN(INDEX(Bases!$R$2:$R$53,B727),INDEX(Bases!$R$2:$R$53,C727))</f>
        <v>78.6666666666667</v>
      </c>
      <c r="Y727" s="2" t="n">
        <f aca="false">S727*Settings!$B$3/SUM(S727:X727)</f>
        <v>74.8642358417378</v>
      </c>
      <c r="Z727" s="2" t="n">
        <f aca="false">T727*Settings!$B$3/SUM(S727:X727)</f>
        <v>117.532971295578</v>
      </c>
      <c r="AA727" s="2" t="n">
        <f aca="false">U727*Settings!$B$3/SUM(S727:X727)</f>
        <v>62.0636152055857</v>
      </c>
      <c r="AB727" s="2" t="n">
        <f aca="false">V727*Settings!$B$3/SUM(S727:X727)</f>
        <v>92.7075252133437</v>
      </c>
      <c r="AC727" s="2" t="n">
        <f aca="false">W727*Settings!$B$3/SUM(S727:X727)</f>
        <v>61.2878200155159</v>
      </c>
      <c r="AD727" s="2" t="n">
        <f aca="false">X727*Settings!$B$3/SUM(S727:X727)</f>
        <v>91.5438324282389</v>
      </c>
      <c r="AE727" s="2" t="n">
        <f aca="false">INT(Y727)</f>
        <v>74</v>
      </c>
      <c r="AF727" s="2" t="n">
        <f aca="false">INT(Z727)</f>
        <v>117</v>
      </c>
      <c r="AG727" s="2" t="n">
        <f aca="false">INT(AA727)</f>
        <v>62</v>
      </c>
      <c r="AH727" s="2" t="n">
        <f aca="false">INT(AB727)</f>
        <v>92</v>
      </c>
      <c r="AI727" s="2" t="n">
        <f aca="false">INT(AC727)</f>
        <v>61</v>
      </c>
      <c r="AJ727" s="2" t="n">
        <f aca="false">INT(AD727)</f>
        <v>91</v>
      </c>
      <c r="AK727" s="2" t="n">
        <f aca="false">Settings!$B$3-SUM(AE727:AJ727)</f>
        <v>3</v>
      </c>
      <c r="AL727" s="2" t="n">
        <f aca="false">ROUND(Y727-AE727,9)</f>
        <v>0.864235842</v>
      </c>
      <c r="AM727" s="2" t="n">
        <f aca="false">ROUND(Z727-AF727,9)</f>
        <v>0.532971296</v>
      </c>
      <c r="AN727" s="2" t="n">
        <f aca="false">ROUND(AA727-AG727,9)</f>
        <v>0.063615206</v>
      </c>
      <c r="AO727" s="2" t="n">
        <f aca="false">ROUND(AB727-AH727,9)</f>
        <v>0.707525213</v>
      </c>
      <c r="AP727" s="2" t="n">
        <f aca="false">ROUND(AC727-AI727,9)</f>
        <v>0.287820016</v>
      </c>
      <c r="AQ727" s="2" t="n">
        <f aca="false">ROUND(AD727-AJ727,9)</f>
        <v>0.543832428</v>
      </c>
    </row>
    <row r="728" customFormat="false" ht="15" hidden="false" customHeight="false" outlineLevel="0" collapsed="false">
      <c r="A728" s="2" t="n">
        <v>727</v>
      </c>
      <c r="B728" s="6" t="n">
        <v>17</v>
      </c>
      <c r="C728" s="6" t="n">
        <v>48</v>
      </c>
      <c r="D728" s="8" t="str">
        <f aca="false">INDEX(Bases!$B$2:$B$53,B728)</f>
        <v>Snorunt</v>
      </c>
      <c r="E728" s="8" t="str">
        <f aca="false">INDEX(Bases!$B$2:$B$53,C728)</f>
        <v>Magnemite</v>
      </c>
      <c r="F728" s="2" t="str">
        <f aca="false">LEFT(D728,ROUNDUP(LEN(D728)/2,0))&amp;LOWER(MID(E728,ROUNDUP(LEN(E728)/2,0)+1,20))</f>
        <v>Snormite</v>
      </c>
      <c r="G728" s="8" t="str">
        <f aca="false">INDEX(Bases!$C$2:$C$53,B728)</f>
        <v>Ice</v>
      </c>
      <c r="H728" s="8" t="str">
        <f aca="false">IF(INDEX(Bases!$C$2:$C$53,C728)=G728,"",INDEX(Bases!$C$2:$C$53,C728))</f>
        <v>Steel</v>
      </c>
      <c r="I728" s="8" t="str">
        <f aca="false">IF(INDEX(Bases!$E$2:$E$53,B728)="","",INDEX(Bases!$E$2:$E$53,B728))</f>
        <v/>
      </c>
      <c r="J728" s="8" t="str">
        <f aca="false">IF(INDEX(Bases!$E$2:$E$53,C728)="","",INDEX(Bases!$E$2:$E$53,C728))</f>
        <v/>
      </c>
      <c r="K728" s="5"/>
      <c r="L728" s="2" t="n">
        <f aca="false">AE728+IF(SUMPRODUCT(--($AL728:$AQ728&gt;AL728))&lt;$AK728,1,0)</f>
        <v>65</v>
      </c>
      <c r="M728" s="2" t="n">
        <f aca="false">AF728+IF(SUMPRODUCT(--($AL728:$AQ728&gt;AM728))+SUMPRODUCT(--($AL728:AL728=AM728))&lt;$AK728,1,0)</f>
        <v>70</v>
      </c>
      <c r="N728" s="2" t="n">
        <f aca="false">AG728+IF(SUMPRODUCT(--($AL728:$AQ728&gt;AN728))+SUMPRODUCT(--($AL728:AM728=AN728))&lt;$AK728,1,0)</f>
        <v>94</v>
      </c>
      <c r="O728" s="2" t="n">
        <f aca="false">AH728+IF(SUMPRODUCT(--($AL728:$AQ728&gt;AO728))+SUMPRODUCT(--($AL728:AN728=AO728))&lt;$AK728,1,0)</f>
        <v>118</v>
      </c>
      <c r="P728" s="2" t="n">
        <f aca="false">AI728+IF(SUMPRODUCT(--($AL728:$AQ728&gt;AP728))+SUMPRODUCT(--($AL728:AO728=AP728))&lt;$AK728,1,0)</f>
        <v>79</v>
      </c>
      <c r="Q728" s="2" t="n">
        <f aca="false">AJ728+IF(SUMPRODUCT(--($AL728:$AQ728&gt;AQ728))+SUMPRODUCT(--($AL728:AP728=AQ728))&lt;$AK728,1,0)</f>
        <v>74</v>
      </c>
      <c r="R728" s="2" t="n">
        <f aca="false">SUM(L728:Q728)</f>
        <v>500</v>
      </c>
      <c r="S728" s="2" t="n">
        <f aca="false">Settings!$B$4*MAX(INDEX(Bases!$M$2:$M$53,B728),INDEX(Bases!$M$2:$M$53,C728))+Settings!$B$5*MIN(INDEX(Bases!$M$2:$M$53,B728),INDEX(Bases!$M$2:$M$53,C728))</f>
        <v>55</v>
      </c>
      <c r="T728" s="2" t="n">
        <f aca="false">Settings!$B$4*MAX(INDEX(Bases!$N$2:$N$53,B728),INDEX(Bases!$N$2:$N$53,C728))+Settings!$B$5*MIN(INDEX(Bases!$N$2:$N$53,B728),INDEX(Bases!$N$2:$N$53,C728))</f>
        <v>59</v>
      </c>
      <c r="U728" s="2" t="n">
        <f aca="false">Settings!$B$4*MAX(INDEX(Bases!$O$2:$O$53,B728),INDEX(Bases!$O$2:$O$53,C728))+Settings!$B$5*MIN(INDEX(Bases!$O$2:$O$53,B728),INDEX(Bases!$O$2:$O$53,C728))</f>
        <v>79.6666666666667</v>
      </c>
      <c r="V728" s="2" t="n">
        <f aca="false">Settings!$B$4*MAX(INDEX(Bases!$P$2:$P$53,B728),INDEX(Bases!$P$2:$P$53,C728))+Settings!$B$5*MIN(INDEX(Bases!$P$2:$P$53,B728),INDEX(Bases!$P$2:$P$53,C728))</f>
        <v>100.333333333333</v>
      </c>
      <c r="W728" s="2" t="n">
        <f aca="false">Settings!$B$4*MAX(INDEX(Bases!$Q$2:$Q$53,B728),INDEX(Bases!$Q$2:$Q$53,C728))+Settings!$B$5*MIN(INDEX(Bases!$Q$2:$Q$53,B728),INDEX(Bases!$Q$2:$Q$53,C728))</f>
        <v>67.3333333333333</v>
      </c>
      <c r="X728" s="2" t="n">
        <f aca="false">Settings!$B$4*MAX(INDEX(Bases!$R$2:$R$53,B728),INDEX(Bases!$R$2:$R$53,C728))+Settings!$B$5*MIN(INDEX(Bases!$R$2:$R$53,B728),INDEX(Bases!$R$2:$R$53,C728))</f>
        <v>62.3333333333333</v>
      </c>
      <c r="Y728" s="2" t="n">
        <f aca="false">S728*Settings!$B$3/SUM(S728:X728)</f>
        <v>64.9095200629426</v>
      </c>
      <c r="Z728" s="2" t="n">
        <f aca="false">T728*Settings!$B$3/SUM(S728:X728)</f>
        <v>69.6302124311566</v>
      </c>
      <c r="AA728" s="2" t="n">
        <f aca="false">U728*Settings!$B$3/SUM(S728:X728)</f>
        <v>94.0204563335956</v>
      </c>
      <c r="AB728" s="2" t="n">
        <f aca="false">V728*Settings!$B$3/SUM(S728:X728)</f>
        <v>118.410700236035</v>
      </c>
      <c r="AC728" s="2" t="n">
        <f aca="false">W728*Settings!$B$3/SUM(S728:X728)</f>
        <v>79.4649881982691</v>
      </c>
      <c r="AD728" s="2" t="n">
        <f aca="false">X728*Settings!$B$3/SUM(S728:X728)</f>
        <v>73.5641227380016</v>
      </c>
      <c r="AE728" s="2" t="n">
        <f aca="false">INT(Y728)</f>
        <v>64</v>
      </c>
      <c r="AF728" s="2" t="n">
        <f aca="false">INT(Z728)</f>
        <v>69</v>
      </c>
      <c r="AG728" s="2" t="n">
        <f aca="false">INT(AA728)</f>
        <v>94</v>
      </c>
      <c r="AH728" s="2" t="n">
        <f aca="false">INT(AB728)</f>
        <v>118</v>
      </c>
      <c r="AI728" s="2" t="n">
        <f aca="false">INT(AC728)</f>
        <v>79</v>
      </c>
      <c r="AJ728" s="2" t="n">
        <f aca="false">INT(AD728)</f>
        <v>73</v>
      </c>
      <c r="AK728" s="2" t="n">
        <f aca="false">Settings!$B$3-SUM(AE728:AJ728)</f>
        <v>3</v>
      </c>
      <c r="AL728" s="2" t="n">
        <f aca="false">ROUND(Y728-AE728,9)</f>
        <v>0.909520063</v>
      </c>
      <c r="AM728" s="2" t="n">
        <f aca="false">ROUND(Z728-AF728,9)</f>
        <v>0.630212431</v>
      </c>
      <c r="AN728" s="2" t="n">
        <f aca="false">ROUND(AA728-AG728,9)</f>
        <v>0.020456334</v>
      </c>
      <c r="AO728" s="2" t="n">
        <f aca="false">ROUND(AB728-AH728,9)</f>
        <v>0.410700236</v>
      </c>
      <c r="AP728" s="2" t="n">
        <f aca="false">ROUND(AC728-AI728,9)</f>
        <v>0.464988198</v>
      </c>
      <c r="AQ728" s="2" t="n">
        <f aca="false">ROUND(AD728-AJ728,9)</f>
        <v>0.564122738</v>
      </c>
    </row>
    <row r="729" customFormat="false" ht="15" hidden="false" customHeight="false" outlineLevel="0" collapsed="false">
      <c r="A729" s="2" t="n">
        <v>728</v>
      </c>
      <c r="B729" s="6" t="n">
        <v>17</v>
      </c>
      <c r="C729" s="6" t="n">
        <v>49</v>
      </c>
      <c r="D729" s="8" t="str">
        <f aca="false">INDEX(Bases!$B$2:$B$53,B729)</f>
        <v>Snorunt</v>
      </c>
      <c r="E729" s="8" t="str">
        <f aca="false">INDEX(Bases!$B$2:$B$53,C729)</f>
        <v>Aron</v>
      </c>
      <c r="F729" s="2" t="str">
        <f aca="false">LEFT(D729,ROUNDUP(LEN(D729)/2,0))&amp;LOWER(MID(E729,ROUNDUP(LEN(E729)/2,0)+1,20))</f>
        <v>Snoron</v>
      </c>
      <c r="G729" s="8" t="str">
        <f aca="false">INDEX(Bases!$C$2:$C$53,B729)</f>
        <v>Ice</v>
      </c>
      <c r="H729" s="8" t="str">
        <f aca="false">IF(INDEX(Bases!$C$2:$C$53,C729)=G729,"",INDEX(Bases!$C$2:$C$53,C729))</f>
        <v>Steel</v>
      </c>
      <c r="I729" s="8" t="str">
        <f aca="false">IF(INDEX(Bases!$E$2:$E$53,B729)="","",INDEX(Bases!$E$2:$E$53,B729))</f>
        <v/>
      </c>
      <c r="J729" s="8" t="str">
        <f aca="false">IF(INDEX(Bases!$E$2:$E$53,C729)="","",INDEX(Bases!$E$2:$E$53,C729))</f>
        <v/>
      </c>
      <c r="K729" s="5"/>
      <c r="L729" s="2" t="n">
        <f aca="false">AE729+IF(SUMPRODUCT(--($AL729:$AQ729&gt;AL729))&lt;$AK729,1,0)</f>
        <v>77</v>
      </c>
      <c r="M729" s="2" t="n">
        <f aca="false">AF729+IF(SUMPRODUCT(--($AL729:$AQ729&gt;AM729))+SUMPRODUCT(--($AL729:AL729=AM729))&lt;$AK729,1,0)</f>
        <v>93</v>
      </c>
      <c r="N729" s="2" t="n">
        <f aca="false">AG729+IF(SUMPRODUCT(--($AL729:$AQ729&gt;AN729))+SUMPRODUCT(--($AL729:AM729=AN729))&lt;$AK729,1,0)</f>
        <v>121</v>
      </c>
      <c r="O729" s="2" t="n">
        <f aca="false">AH729+IF(SUMPRODUCT(--($AL729:$AQ729&gt;AO729))+SUMPRODUCT(--($AL729:AN729=AO729))&lt;$AK729,1,0)</f>
        <v>72</v>
      </c>
      <c r="P729" s="2" t="n">
        <f aca="false">AI729+IF(SUMPRODUCT(--($AL729:$AQ729&gt;AP729))+SUMPRODUCT(--($AL729:AO729=AP729))&lt;$AK729,1,0)</f>
        <v>71</v>
      </c>
      <c r="Q729" s="2" t="n">
        <f aca="false">AJ729+IF(SUMPRODUCT(--($AL729:$AQ729&gt;AQ729))+SUMPRODUCT(--($AL729:AP729=AQ729))&lt;$AK729,1,0)</f>
        <v>66</v>
      </c>
      <c r="R729" s="2" t="n">
        <f aca="false">SUM(L729:Q729)</f>
        <v>500</v>
      </c>
      <c r="S729" s="2" t="n">
        <f aca="false">Settings!$B$4*MAX(INDEX(Bases!$M$2:$M$53,B729),INDEX(Bases!$M$2:$M$53,C729))+Settings!$B$5*MIN(INDEX(Bases!$M$2:$M$53,B729),INDEX(Bases!$M$2:$M$53,C729))</f>
        <v>65</v>
      </c>
      <c r="T729" s="2" t="n">
        <f aca="false">Settings!$B$4*MAX(INDEX(Bases!$N$2:$N$53,B729),INDEX(Bases!$N$2:$N$53,C729))+Settings!$B$5*MIN(INDEX(Bases!$N$2:$N$53,B729),INDEX(Bases!$N$2:$N$53,C729))</f>
        <v>79</v>
      </c>
      <c r="U729" s="2" t="n">
        <f aca="false">Settings!$B$4*MAX(INDEX(Bases!$O$2:$O$53,B729),INDEX(Bases!$O$2:$O$53,C729))+Settings!$B$5*MIN(INDEX(Bases!$O$2:$O$53,B729),INDEX(Bases!$O$2:$O$53,C729))</f>
        <v>103</v>
      </c>
      <c r="V729" s="2" t="n">
        <f aca="false">Settings!$B$4*MAX(INDEX(Bases!$P$2:$P$53,B729),INDEX(Bases!$P$2:$P$53,C729))+Settings!$B$5*MIN(INDEX(Bases!$P$2:$P$53,B729),INDEX(Bases!$P$2:$P$53,C729))</f>
        <v>61</v>
      </c>
      <c r="W729" s="2" t="n">
        <f aca="false">Settings!$B$4*MAX(INDEX(Bases!$Q$2:$Q$53,B729),INDEX(Bases!$Q$2:$Q$53,C729))+Settings!$B$5*MIN(INDEX(Bases!$Q$2:$Q$53,B729),INDEX(Bases!$Q$2:$Q$53,C729))</f>
        <v>60</v>
      </c>
      <c r="X729" s="2" t="n">
        <f aca="false">Settings!$B$4*MAX(INDEX(Bases!$R$2:$R$53,B729),INDEX(Bases!$R$2:$R$53,C729))+Settings!$B$5*MIN(INDEX(Bases!$R$2:$R$53,B729),INDEX(Bases!$R$2:$R$53,C729))</f>
        <v>56</v>
      </c>
      <c r="Y729" s="2" t="n">
        <f aca="false">S729*Settings!$B$3/SUM(S729:X729)</f>
        <v>76.6509433962264</v>
      </c>
      <c r="Z729" s="2" t="n">
        <f aca="false">T729*Settings!$B$3/SUM(S729:X729)</f>
        <v>93.1603773584906</v>
      </c>
      <c r="AA729" s="2" t="n">
        <f aca="false">U729*Settings!$B$3/SUM(S729:X729)</f>
        <v>121.462264150943</v>
      </c>
      <c r="AB729" s="2" t="n">
        <f aca="false">V729*Settings!$B$3/SUM(S729:X729)</f>
        <v>71.933962264151</v>
      </c>
      <c r="AC729" s="2" t="n">
        <f aca="false">W729*Settings!$B$3/SUM(S729:X729)</f>
        <v>70.7547169811321</v>
      </c>
      <c r="AD729" s="2" t="n">
        <f aca="false">X729*Settings!$B$3/SUM(S729:X729)</f>
        <v>66.0377358490566</v>
      </c>
      <c r="AE729" s="2" t="n">
        <f aca="false">INT(Y729)</f>
        <v>76</v>
      </c>
      <c r="AF729" s="2" t="n">
        <f aca="false">INT(Z729)</f>
        <v>93</v>
      </c>
      <c r="AG729" s="2" t="n">
        <f aca="false">INT(AA729)</f>
        <v>121</v>
      </c>
      <c r="AH729" s="2" t="n">
        <f aca="false">INT(AB729)</f>
        <v>71</v>
      </c>
      <c r="AI729" s="2" t="n">
        <f aca="false">INT(AC729)</f>
        <v>70</v>
      </c>
      <c r="AJ729" s="2" t="n">
        <f aca="false">INT(AD729)</f>
        <v>66</v>
      </c>
      <c r="AK729" s="2" t="n">
        <f aca="false">Settings!$B$3-SUM(AE729:AJ729)</f>
        <v>3</v>
      </c>
      <c r="AL729" s="2" t="n">
        <f aca="false">ROUND(Y729-AE729,9)</f>
        <v>0.650943396</v>
      </c>
      <c r="AM729" s="2" t="n">
        <f aca="false">ROUND(Z729-AF729,9)</f>
        <v>0.160377358</v>
      </c>
      <c r="AN729" s="2" t="n">
        <f aca="false">ROUND(AA729-AG729,9)</f>
        <v>0.462264151</v>
      </c>
      <c r="AO729" s="2" t="n">
        <f aca="false">ROUND(AB729-AH729,9)</f>
        <v>0.933962264</v>
      </c>
      <c r="AP729" s="2" t="n">
        <f aca="false">ROUND(AC729-AI729,9)</f>
        <v>0.754716981</v>
      </c>
      <c r="AQ729" s="2" t="n">
        <f aca="false">ROUND(AD729-AJ729,9)</f>
        <v>0.037735849</v>
      </c>
    </row>
    <row r="730" customFormat="false" ht="15" hidden="false" customHeight="false" outlineLevel="0" collapsed="false">
      <c r="A730" s="2" t="n">
        <v>729</v>
      </c>
      <c r="B730" s="6" t="n">
        <v>17</v>
      </c>
      <c r="C730" s="6" t="n">
        <v>50</v>
      </c>
      <c r="D730" s="8" t="str">
        <f aca="false">INDEX(Bases!$B$2:$B$53,B730)</f>
        <v>Snorunt</v>
      </c>
      <c r="E730" s="8" t="str">
        <f aca="false">INDEX(Bases!$B$2:$B$53,C730)</f>
        <v>Beldum</v>
      </c>
      <c r="F730" s="2" t="str">
        <f aca="false">LEFT(D730,ROUNDUP(LEN(D730)/2,0))&amp;LOWER(MID(E730,ROUNDUP(LEN(E730)/2,0)+1,20))</f>
        <v>Snordum</v>
      </c>
      <c r="G730" s="8" t="str">
        <f aca="false">INDEX(Bases!$C$2:$C$53,B730)</f>
        <v>Ice</v>
      </c>
      <c r="H730" s="8" t="str">
        <f aca="false">IF(INDEX(Bases!$C$2:$C$53,C730)=G730,"",INDEX(Bases!$C$2:$C$53,C730))</f>
        <v>Steel</v>
      </c>
      <c r="I730" s="8" t="str">
        <f aca="false">IF(INDEX(Bases!$E$2:$E$53,B730)="","",INDEX(Bases!$E$2:$E$53,B730))</f>
        <v/>
      </c>
      <c r="J730" s="8" t="str">
        <f aca="false">IF(INDEX(Bases!$E$2:$E$53,C730)="","",INDEX(Bases!$E$2:$E$53,C730))</f>
        <v/>
      </c>
      <c r="K730" s="5"/>
      <c r="L730" s="2" t="n">
        <f aca="false">AE730+IF(SUMPRODUCT(--($AL730:$AQ730&gt;AL730))&lt;$AK730,1,0)</f>
        <v>74</v>
      </c>
      <c r="M730" s="2" t="n">
        <f aca="false">AF730+IF(SUMPRODUCT(--($AL730:$AQ730&gt;AM730))+SUMPRODUCT(--($AL730:AL730=AM730))&lt;$AK730,1,0)</f>
        <v>85</v>
      </c>
      <c r="N730" s="2" t="n">
        <f aca="false">AG730+IF(SUMPRODUCT(--($AL730:$AQ730&gt;AN730))+SUMPRODUCT(--($AL730:AM730=AN730))&lt;$AK730,1,0)</f>
        <v>111</v>
      </c>
      <c r="O730" s="2" t="n">
        <f aca="false">AH730+IF(SUMPRODUCT(--($AL730:$AQ730&gt;AO730))+SUMPRODUCT(--($AL730:AN730=AO730))&lt;$AK730,1,0)</f>
        <v>72</v>
      </c>
      <c r="P730" s="2" t="n">
        <f aca="false">AI730+IF(SUMPRODUCT(--($AL730:$AQ730&gt;AP730))+SUMPRODUCT(--($AL730:AO730=AP730))&lt;$AK730,1,0)</f>
        <v>90</v>
      </c>
      <c r="Q730" s="2" t="n">
        <f aca="false">AJ730+IF(SUMPRODUCT(--($AL730:$AQ730&gt;AQ730))+SUMPRODUCT(--($AL730:AP730=AQ730))&lt;$AK730,1,0)</f>
        <v>68</v>
      </c>
      <c r="R730" s="2" t="n">
        <f aca="false">SUM(L730:Q730)</f>
        <v>500</v>
      </c>
      <c r="S730" s="2" t="n">
        <f aca="false">Settings!$B$4*MAX(INDEX(Bases!$M$2:$M$53,B730),INDEX(Bases!$M$2:$M$53,C730))+Settings!$B$5*MIN(INDEX(Bases!$M$2:$M$53,B730),INDEX(Bases!$M$2:$M$53,C730))</f>
        <v>62.3333333333333</v>
      </c>
      <c r="T730" s="2" t="n">
        <f aca="false">Settings!$B$4*MAX(INDEX(Bases!$N$2:$N$53,B730),INDEX(Bases!$N$2:$N$53,C730))+Settings!$B$5*MIN(INDEX(Bases!$N$2:$N$53,B730),INDEX(Bases!$N$2:$N$53,C730))</f>
        <v>71</v>
      </c>
      <c r="U730" s="2" t="n">
        <f aca="false">Settings!$B$4*MAX(INDEX(Bases!$O$2:$O$53,B730),INDEX(Bases!$O$2:$O$53,C730))+Settings!$B$5*MIN(INDEX(Bases!$O$2:$O$53,B730),INDEX(Bases!$O$2:$O$53,C730))</f>
        <v>93.6666666666667</v>
      </c>
      <c r="V730" s="2" t="n">
        <f aca="false">Settings!$B$4*MAX(INDEX(Bases!$P$2:$P$53,B730),INDEX(Bases!$P$2:$P$53,C730))+Settings!$B$5*MIN(INDEX(Bases!$P$2:$P$53,B730),INDEX(Bases!$P$2:$P$53,C730))</f>
        <v>60.3333333333333</v>
      </c>
      <c r="W730" s="2" t="n">
        <f aca="false">Settings!$B$4*MAX(INDEX(Bases!$Q$2:$Q$53,B730),INDEX(Bases!$Q$2:$Q$53,C730))+Settings!$B$5*MIN(INDEX(Bases!$Q$2:$Q$53,B730),INDEX(Bases!$Q$2:$Q$53,C730))</f>
        <v>75.3333333333333</v>
      </c>
      <c r="X730" s="2" t="n">
        <f aca="false">Settings!$B$4*MAX(INDEX(Bases!$R$2:$R$53,B730),INDEX(Bases!$R$2:$R$53,C730))+Settings!$B$5*MIN(INDEX(Bases!$R$2:$R$53,B730),INDEX(Bases!$R$2:$R$53,C730))</f>
        <v>57.3333333333333</v>
      </c>
      <c r="Y730" s="2" t="n">
        <f aca="false">S730*Settings!$B$3/SUM(S730:X730)</f>
        <v>74.2063492063492</v>
      </c>
      <c r="Z730" s="2" t="n">
        <f aca="false">T730*Settings!$B$3/SUM(S730:X730)</f>
        <v>84.5238095238095</v>
      </c>
      <c r="AA730" s="2" t="n">
        <f aca="false">U730*Settings!$B$3/SUM(S730:X730)</f>
        <v>111.507936507937</v>
      </c>
      <c r="AB730" s="2" t="n">
        <f aca="false">V730*Settings!$B$3/SUM(S730:X730)</f>
        <v>71.8253968253968</v>
      </c>
      <c r="AC730" s="2" t="n">
        <f aca="false">W730*Settings!$B$3/SUM(S730:X730)</f>
        <v>89.6825396825397</v>
      </c>
      <c r="AD730" s="2" t="n">
        <f aca="false">X730*Settings!$B$3/SUM(S730:X730)</f>
        <v>68.2539682539683</v>
      </c>
      <c r="AE730" s="2" t="n">
        <f aca="false">INT(Y730)</f>
        <v>74</v>
      </c>
      <c r="AF730" s="2" t="n">
        <f aca="false">INT(Z730)</f>
        <v>84</v>
      </c>
      <c r="AG730" s="2" t="n">
        <f aca="false">INT(AA730)</f>
        <v>111</v>
      </c>
      <c r="AH730" s="2" t="n">
        <f aca="false">INT(AB730)</f>
        <v>71</v>
      </c>
      <c r="AI730" s="2" t="n">
        <f aca="false">INT(AC730)</f>
        <v>89</v>
      </c>
      <c r="AJ730" s="2" t="n">
        <f aca="false">INT(AD730)</f>
        <v>68</v>
      </c>
      <c r="AK730" s="2" t="n">
        <f aca="false">Settings!$B$3-SUM(AE730:AJ730)</f>
        <v>3</v>
      </c>
      <c r="AL730" s="2" t="n">
        <f aca="false">ROUND(Y730-AE730,9)</f>
        <v>0.206349206</v>
      </c>
      <c r="AM730" s="2" t="n">
        <f aca="false">ROUND(Z730-AF730,9)</f>
        <v>0.523809524</v>
      </c>
      <c r="AN730" s="2" t="n">
        <f aca="false">ROUND(AA730-AG730,9)</f>
        <v>0.507936508</v>
      </c>
      <c r="AO730" s="2" t="n">
        <f aca="false">ROUND(AB730-AH730,9)</f>
        <v>0.825396825</v>
      </c>
      <c r="AP730" s="2" t="n">
        <f aca="false">ROUND(AC730-AI730,9)</f>
        <v>0.682539683</v>
      </c>
      <c r="AQ730" s="2" t="n">
        <f aca="false">ROUND(AD730-AJ730,9)</f>
        <v>0.253968254</v>
      </c>
    </row>
    <row r="731" customFormat="false" ht="15" hidden="false" customHeight="false" outlineLevel="0" collapsed="false">
      <c r="A731" s="2" t="n">
        <v>730</v>
      </c>
      <c r="B731" s="6" t="n">
        <v>17</v>
      </c>
      <c r="C731" s="6" t="n">
        <v>51</v>
      </c>
      <c r="D731" s="8" t="str">
        <f aca="false">INDEX(Bases!$B$2:$B$53,B731)</f>
        <v>Snorunt</v>
      </c>
      <c r="E731" s="8" t="str">
        <f aca="false">INDEX(Bases!$B$2:$B$53,C731)</f>
        <v>Cleffa</v>
      </c>
      <c r="F731" s="2" t="str">
        <f aca="false">LEFT(D731,ROUNDUP(LEN(D731)/2,0))&amp;LOWER(MID(E731,ROUNDUP(LEN(E731)/2,0)+1,20))</f>
        <v>Snorffa</v>
      </c>
      <c r="G731" s="8" t="str">
        <f aca="false">INDEX(Bases!$C$2:$C$53,B731)</f>
        <v>Ice</v>
      </c>
      <c r="H731" s="8" t="str">
        <f aca="false">IF(INDEX(Bases!$C$2:$C$53,C731)=G731,"",INDEX(Bases!$C$2:$C$53,C731))</f>
        <v>Fairy</v>
      </c>
      <c r="I731" s="8" t="str">
        <f aca="false">IF(INDEX(Bases!$E$2:$E$53,B731)="","",INDEX(Bases!$E$2:$E$53,B731))</f>
        <v/>
      </c>
      <c r="J731" s="8" t="str">
        <f aca="false">IF(INDEX(Bases!$E$2:$E$53,C731)="","",INDEX(Bases!$E$2:$E$53,C731))</f>
        <v/>
      </c>
      <c r="K731" s="5"/>
      <c r="L731" s="2" t="n">
        <f aca="false">AE731+IF(SUMPRODUCT(--($AL731:$AQ731&gt;AL731))&lt;$AK731,1,0)</f>
        <v>98</v>
      </c>
      <c r="M731" s="2" t="n">
        <f aca="false">AF731+IF(SUMPRODUCT(--($AL731:$AQ731&gt;AM731))+SUMPRODUCT(--($AL731:AL731=AM731))&lt;$AK731,1,0)</f>
        <v>71</v>
      </c>
      <c r="N731" s="2" t="n">
        <f aca="false">AG731+IF(SUMPRODUCT(--($AL731:$AQ731&gt;AN731))+SUMPRODUCT(--($AL731:AM731=AN731))&lt;$AK731,1,0)</f>
        <v>73</v>
      </c>
      <c r="O731" s="2" t="n">
        <f aca="false">AH731+IF(SUMPRODUCT(--($AL731:$AQ731&gt;AO731))+SUMPRODUCT(--($AL731:AN731=AO731))&lt;$AK731,1,0)</f>
        <v>91</v>
      </c>
      <c r="P731" s="2" t="n">
        <f aca="false">AI731+IF(SUMPRODUCT(--($AL731:$AQ731&gt;AP731))+SUMPRODUCT(--($AL731:AO731=AP731))&lt;$AK731,1,0)</f>
        <v>105</v>
      </c>
      <c r="Q731" s="2" t="n">
        <f aca="false">AJ731+IF(SUMPRODUCT(--($AL731:$AQ731&gt;AQ731))+SUMPRODUCT(--($AL731:AP731=AQ731))&lt;$AK731,1,0)</f>
        <v>62</v>
      </c>
      <c r="R731" s="2" t="n">
        <f aca="false">SUM(L731:Q731)</f>
        <v>500</v>
      </c>
      <c r="S731" s="2" t="n">
        <f aca="false">Settings!$B$4*MAX(INDEX(Bases!$M$2:$M$53,B731),INDEX(Bases!$M$2:$M$53,C731))+Settings!$B$5*MIN(INDEX(Bases!$M$2:$M$53,B731),INDEX(Bases!$M$2:$M$53,C731))</f>
        <v>83.6666666666667</v>
      </c>
      <c r="T731" s="2" t="n">
        <f aca="false">Settings!$B$4*MAX(INDEX(Bases!$N$2:$N$53,B731),INDEX(Bases!$N$2:$N$53,C731))+Settings!$B$5*MIN(INDEX(Bases!$N$2:$N$53,B731),INDEX(Bases!$N$2:$N$53,C731))</f>
        <v>60</v>
      </c>
      <c r="U731" s="2" t="n">
        <f aca="false">Settings!$B$4*MAX(INDEX(Bases!$O$2:$O$53,B731),INDEX(Bases!$O$2:$O$53,C731))+Settings!$B$5*MIN(INDEX(Bases!$O$2:$O$53,B731),INDEX(Bases!$O$2:$O$53,C731))</f>
        <v>61.6666666666667</v>
      </c>
      <c r="V731" s="2" t="n">
        <f aca="false">Settings!$B$4*MAX(INDEX(Bases!$P$2:$P$53,B731),INDEX(Bases!$P$2:$P$53,C731))+Settings!$B$5*MIN(INDEX(Bases!$P$2:$P$53,B731),INDEX(Bases!$P$2:$P$53,C731))</f>
        <v>77.6666666666667</v>
      </c>
      <c r="W731" s="2" t="n">
        <f aca="false">Settings!$B$4*MAX(INDEX(Bases!$Q$2:$Q$53,B731),INDEX(Bases!$Q$2:$Q$53,C731))+Settings!$B$5*MIN(INDEX(Bases!$Q$2:$Q$53,B731),INDEX(Bases!$Q$2:$Q$53,C731))</f>
        <v>89.3333333333333</v>
      </c>
      <c r="X731" s="2" t="n">
        <f aca="false">Settings!$B$4*MAX(INDEX(Bases!$R$2:$R$53,B731),INDEX(Bases!$R$2:$R$53,C731))+Settings!$B$5*MIN(INDEX(Bases!$R$2:$R$53,B731),INDEX(Bases!$R$2:$R$53,C731))</f>
        <v>53</v>
      </c>
      <c r="Y731" s="2" t="n">
        <f aca="false">S731*Settings!$B$3/SUM(S731:X731)</f>
        <v>98.3542319749216</v>
      </c>
      <c r="Z731" s="2" t="n">
        <f aca="false">T731*Settings!$B$3/SUM(S731:X731)</f>
        <v>70.5329153605016</v>
      </c>
      <c r="AA731" s="2" t="n">
        <f aca="false">U731*Settings!$B$3/SUM(S731:X731)</f>
        <v>72.4921630094044</v>
      </c>
      <c r="AB731" s="2" t="n">
        <f aca="false">V731*Settings!$B$3/SUM(S731:X731)</f>
        <v>91.3009404388715</v>
      </c>
      <c r="AC731" s="2" t="n">
        <f aca="false">W731*Settings!$B$3/SUM(S731:X731)</f>
        <v>105.015673981191</v>
      </c>
      <c r="AD731" s="2" t="n">
        <f aca="false">X731*Settings!$B$3/SUM(S731:X731)</f>
        <v>62.3040752351097</v>
      </c>
      <c r="AE731" s="2" t="n">
        <f aca="false">INT(Y731)</f>
        <v>98</v>
      </c>
      <c r="AF731" s="2" t="n">
        <f aca="false">INT(Z731)</f>
        <v>70</v>
      </c>
      <c r="AG731" s="2" t="n">
        <f aca="false">INT(AA731)</f>
        <v>72</v>
      </c>
      <c r="AH731" s="2" t="n">
        <f aca="false">INT(AB731)</f>
        <v>91</v>
      </c>
      <c r="AI731" s="2" t="n">
        <f aca="false">INT(AC731)</f>
        <v>105</v>
      </c>
      <c r="AJ731" s="2" t="n">
        <f aca="false">INT(AD731)</f>
        <v>62</v>
      </c>
      <c r="AK731" s="2" t="n">
        <f aca="false">Settings!$B$3-SUM(AE731:AJ731)</f>
        <v>2</v>
      </c>
      <c r="AL731" s="2" t="n">
        <f aca="false">ROUND(Y731-AE731,9)</f>
        <v>0.354231975</v>
      </c>
      <c r="AM731" s="2" t="n">
        <f aca="false">ROUND(Z731-AF731,9)</f>
        <v>0.532915361</v>
      </c>
      <c r="AN731" s="2" t="n">
        <f aca="false">ROUND(AA731-AG731,9)</f>
        <v>0.492163009</v>
      </c>
      <c r="AO731" s="2" t="n">
        <f aca="false">ROUND(AB731-AH731,9)</f>
        <v>0.300940439</v>
      </c>
      <c r="AP731" s="2" t="n">
        <f aca="false">ROUND(AC731-AI731,9)</f>
        <v>0.015673981</v>
      </c>
      <c r="AQ731" s="2" t="n">
        <f aca="false">ROUND(AD731-AJ731,9)</f>
        <v>0.304075235</v>
      </c>
    </row>
    <row r="732" customFormat="false" ht="15" hidden="false" customHeight="false" outlineLevel="0" collapsed="false">
      <c r="A732" s="2" t="n">
        <v>731</v>
      </c>
      <c r="B732" s="6" t="n">
        <v>17</v>
      </c>
      <c r="C732" s="6" t="n">
        <v>52</v>
      </c>
      <c r="D732" s="8" t="str">
        <f aca="false">INDEX(Bases!$B$2:$B$53,B732)</f>
        <v>Snorunt</v>
      </c>
      <c r="E732" s="8" t="str">
        <f aca="false">INDEX(Bases!$B$2:$B$53,C732)</f>
        <v>Togepi</v>
      </c>
      <c r="F732" s="2" t="str">
        <f aca="false">LEFT(D732,ROUNDUP(LEN(D732)/2,0))&amp;LOWER(MID(E732,ROUNDUP(LEN(E732)/2,0)+1,20))</f>
        <v>Snorepi</v>
      </c>
      <c r="G732" s="8" t="str">
        <f aca="false">INDEX(Bases!$C$2:$C$53,B732)</f>
        <v>Ice</v>
      </c>
      <c r="H732" s="8" t="str">
        <f aca="false">IF(INDEX(Bases!$C$2:$C$53,C732)=G732,"",INDEX(Bases!$C$2:$C$53,C732))</f>
        <v>Fairy</v>
      </c>
      <c r="I732" s="8" t="str">
        <f aca="false">IF(INDEX(Bases!$E$2:$E$53,B732)="","",INDEX(Bases!$E$2:$E$53,B732))</f>
        <v/>
      </c>
      <c r="J732" s="8" t="str">
        <f aca="false">IF(INDEX(Bases!$E$2:$E$53,C732)="","",INDEX(Bases!$E$2:$E$53,C732))</f>
        <v/>
      </c>
      <c r="K732" s="5"/>
      <c r="L732" s="2" t="n">
        <f aca="false">AE732+IF(SUMPRODUCT(--($AL732:$AQ732&gt;AL732))&lt;$AK732,1,0)</f>
        <v>75</v>
      </c>
      <c r="M732" s="2" t="n">
        <f aca="false">AF732+IF(SUMPRODUCT(--($AL732:$AQ732&gt;AM732))+SUMPRODUCT(--($AL732:AL732=AM732))&lt;$AK732,1,0)</f>
        <v>65</v>
      </c>
      <c r="N732" s="2" t="n">
        <f aca="false">AG732+IF(SUMPRODUCT(--($AL732:$AQ732&gt;AN732))+SUMPRODUCT(--($AL732:AM732=AN732))&lt;$AK732,1,0)</f>
        <v>109</v>
      </c>
      <c r="O732" s="2" t="n">
        <f aca="false">AH732+IF(SUMPRODUCT(--($AL732:$AQ732&gt;AO732))+SUMPRODUCT(--($AL732:AN732=AO732))&lt;$AK732,1,0)</f>
        <v>78</v>
      </c>
      <c r="P732" s="2" t="n">
        <f aca="false">AI732+IF(SUMPRODUCT(--($AL732:$AQ732&gt;AP732))+SUMPRODUCT(--($AL732:AO732=AP732))&lt;$AK732,1,0)</f>
        <v>109</v>
      </c>
      <c r="Q732" s="2" t="n">
        <f aca="false">AJ732+IF(SUMPRODUCT(--($AL732:$AQ732&gt;AQ732))+SUMPRODUCT(--($AL732:AP732=AQ732))&lt;$AK732,1,0)</f>
        <v>64</v>
      </c>
      <c r="R732" s="2" t="n">
        <f aca="false">SUM(L732:Q732)</f>
        <v>500</v>
      </c>
      <c r="S732" s="2" t="n">
        <f aca="false">Settings!$B$4*MAX(INDEX(Bases!$M$2:$M$53,B732),INDEX(Bases!$M$2:$M$53,C732))+Settings!$B$5*MIN(INDEX(Bases!$M$2:$M$53,B732),INDEX(Bases!$M$2:$M$53,C732))</f>
        <v>63.6666666666667</v>
      </c>
      <c r="T732" s="2" t="n">
        <f aca="false">Settings!$B$4*MAX(INDEX(Bases!$N$2:$N$53,B732),INDEX(Bases!$N$2:$N$53,C732))+Settings!$B$5*MIN(INDEX(Bases!$N$2:$N$53,B732),INDEX(Bases!$N$2:$N$53,C732))</f>
        <v>55.6666666666667</v>
      </c>
      <c r="U732" s="2" t="n">
        <f aca="false">Settings!$B$4*MAX(INDEX(Bases!$O$2:$O$53,B732),INDEX(Bases!$O$2:$O$53,C732))+Settings!$B$5*MIN(INDEX(Bases!$O$2:$O$53,B732),INDEX(Bases!$O$2:$O$53,C732))</f>
        <v>93</v>
      </c>
      <c r="V732" s="2" t="n">
        <f aca="false">Settings!$B$4*MAX(INDEX(Bases!$P$2:$P$53,B732),INDEX(Bases!$P$2:$P$53,C732))+Settings!$B$5*MIN(INDEX(Bases!$P$2:$P$53,B732),INDEX(Bases!$P$2:$P$53,C732))</f>
        <v>66.3333333333333</v>
      </c>
      <c r="W732" s="2" t="n">
        <f aca="false">Settings!$B$4*MAX(INDEX(Bases!$Q$2:$Q$53,B732),INDEX(Bases!$Q$2:$Q$53,C732))+Settings!$B$5*MIN(INDEX(Bases!$Q$2:$Q$53,B732),INDEX(Bases!$Q$2:$Q$53,C732))</f>
        <v>92.6666666666667</v>
      </c>
      <c r="X732" s="2" t="n">
        <f aca="false">Settings!$B$4*MAX(INDEX(Bases!$R$2:$R$53,B732),INDEX(Bases!$R$2:$R$53,C732))+Settings!$B$5*MIN(INDEX(Bases!$R$2:$R$53,B732),INDEX(Bases!$R$2:$R$53,C732))</f>
        <v>55</v>
      </c>
      <c r="Y732" s="2" t="n">
        <f aca="false">S732*Settings!$B$3/SUM(S732:X732)</f>
        <v>74.6677091477717</v>
      </c>
      <c r="Z732" s="2" t="n">
        <f aca="false">T732*Settings!$B$3/SUM(S732:X732)</f>
        <v>65.285379202502</v>
      </c>
      <c r="AA732" s="2" t="n">
        <f aca="false">U732*Settings!$B$3/SUM(S732:X732)</f>
        <v>109.069585613761</v>
      </c>
      <c r="AB732" s="2" t="n">
        <f aca="false">V732*Settings!$B$3/SUM(S732:X732)</f>
        <v>77.7951524628616</v>
      </c>
      <c r="AC732" s="2" t="n">
        <f aca="false">W732*Settings!$B$3/SUM(S732:X732)</f>
        <v>108.678655199375</v>
      </c>
      <c r="AD732" s="2" t="n">
        <f aca="false">X732*Settings!$B$3/SUM(S732:X732)</f>
        <v>64.5035183737295</v>
      </c>
      <c r="AE732" s="2" t="n">
        <f aca="false">INT(Y732)</f>
        <v>74</v>
      </c>
      <c r="AF732" s="2" t="n">
        <f aca="false">INT(Z732)</f>
        <v>65</v>
      </c>
      <c r="AG732" s="2" t="n">
        <f aca="false">INT(AA732)</f>
        <v>109</v>
      </c>
      <c r="AH732" s="2" t="n">
        <f aca="false">INT(AB732)</f>
        <v>77</v>
      </c>
      <c r="AI732" s="2" t="n">
        <f aca="false">INT(AC732)</f>
        <v>108</v>
      </c>
      <c r="AJ732" s="2" t="n">
        <f aca="false">INT(AD732)</f>
        <v>64</v>
      </c>
      <c r="AK732" s="2" t="n">
        <f aca="false">Settings!$B$3-SUM(AE732:AJ732)</f>
        <v>3</v>
      </c>
      <c r="AL732" s="2" t="n">
        <f aca="false">ROUND(Y732-AE732,9)</f>
        <v>0.667709148</v>
      </c>
      <c r="AM732" s="2" t="n">
        <f aca="false">ROUND(Z732-AF732,9)</f>
        <v>0.285379203</v>
      </c>
      <c r="AN732" s="2" t="n">
        <f aca="false">ROUND(AA732-AG732,9)</f>
        <v>0.069585614</v>
      </c>
      <c r="AO732" s="2" t="n">
        <f aca="false">ROUND(AB732-AH732,9)</f>
        <v>0.795152463</v>
      </c>
      <c r="AP732" s="2" t="n">
        <f aca="false">ROUND(AC732-AI732,9)</f>
        <v>0.678655199</v>
      </c>
      <c r="AQ732" s="2" t="n">
        <f aca="false">ROUND(AD732-AJ732,9)</f>
        <v>0.503518374</v>
      </c>
    </row>
    <row r="733" customFormat="false" ht="15" hidden="false" customHeight="false" outlineLevel="0" collapsed="false">
      <c r="A733" s="2" t="n">
        <v>732</v>
      </c>
      <c r="B733" s="6" t="n">
        <v>18</v>
      </c>
      <c r="C733" s="6" t="n">
        <v>19</v>
      </c>
      <c r="D733" s="8" t="str">
        <f aca="false">INDEX(Bases!$B$2:$B$53,B733)</f>
        <v>Spheal</v>
      </c>
      <c r="E733" s="8" t="str">
        <f aca="false">INDEX(Bases!$B$2:$B$53,C733)</f>
        <v>Mankey</v>
      </c>
      <c r="F733" s="2" t="str">
        <f aca="false">LEFT(D733,ROUNDUP(LEN(D733)/2,0))&amp;LOWER(MID(E733,ROUNDUP(LEN(E733)/2,0)+1,20))</f>
        <v>Sphkey</v>
      </c>
      <c r="G733" s="8" t="str">
        <f aca="false">INDEX(Bases!$C$2:$C$53,B733)</f>
        <v>Ice</v>
      </c>
      <c r="H733" s="8" t="str">
        <f aca="false">IF(INDEX(Bases!$C$2:$C$53,C733)=G733,"",INDEX(Bases!$C$2:$C$53,C733))</f>
        <v>Fighting</v>
      </c>
      <c r="I733" s="8" t="str">
        <f aca="false">IF(INDEX(Bases!$E$2:$E$53,B733)="","",INDEX(Bases!$E$2:$E$53,B733))</f>
        <v/>
      </c>
      <c r="J733" s="8" t="str">
        <f aca="false">IF(INDEX(Bases!$E$2:$E$53,C733)="","",INDEX(Bases!$E$2:$E$53,C733))</f>
        <v/>
      </c>
      <c r="K733" s="5"/>
      <c r="L733" s="2" t="n">
        <f aca="false">AE733+IF(SUMPRODUCT(--($AL733:$AQ733&gt;AL733))&lt;$AK733,1,0)</f>
        <v>94</v>
      </c>
      <c r="M733" s="2" t="n">
        <f aca="false">AF733+IF(SUMPRODUCT(--($AL733:$AQ733&gt;AM733))+SUMPRODUCT(--($AL733:AL733=AM733))&lt;$AK733,1,0)</f>
        <v>101</v>
      </c>
      <c r="N733" s="2" t="n">
        <f aca="false">AG733+IF(SUMPRODUCT(--($AL733:$AQ733&gt;AN733))+SUMPRODUCT(--($AL733:AM733=AN733))&lt;$AK733,1,0)</f>
        <v>71</v>
      </c>
      <c r="O733" s="2" t="n">
        <f aca="false">AH733+IF(SUMPRODUCT(--($AL733:$AQ733&gt;AO733))+SUMPRODUCT(--($AL733:AN733=AO733))&lt;$AK733,1,0)</f>
        <v>76</v>
      </c>
      <c r="P733" s="2" t="n">
        <f aca="false">AI733+IF(SUMPRODUCT(--($AL733:$AQ733&gt;AP733))+SUMPRODUCT(--($AL733:AO733=AP733))&lt;$AK733,1,0)</f>
        <v>75</v>
      </c>
      <c r="Q733" s="2" t="n">
        <f aca="false">AJ733+IF(SUMPRODUCT(--($AL733:$AQ733&gt;AQ733))+SUMPRODUCT(--($AL733:AP733=AQ733))&lt;$AK733,1,0)</f>
        <v>83</v>
      </c>
      <c r="R733" s="2" t="n">
        <f aca="false">SUM(L733:Q733)</f>
        <v>500</v>
      </c>
      <c r="S733" s="2" t="n">
        <f aca="false">Settings!$B$4*MAX(INDEX(Bases!$M$2:$M$53,B733),INDEX(Bases!$M$2:$M$53,C733))+Settings!$B$5*MIN(INDEX(Bases!$M$2:$M$53,B733),INDEX(Bases!$M$2:$M$53,C733))</f>
        <v>82</v>
      </c>
      <c r="T733" s="2" t="n">
        <f aca="false">Settings!$B$4*MAX(INDEX(Bases!$N$2:$N$53,B733),INDEX(Bases!$N$2:$N$53,C733))+Settings!$B$5*MIN(INDEX(Bases!$N$2:$N$53,B733),INDEX(Bases!$N$2:$N$53,C733))</f>
        <v>88.3333333333333</v>
      </c>
      <c r="U733" s="2" t="n">
        <f aca="false">Settings!$B$4*MAX(INDEX(Bases!$O$2:$O$53,B733),INDEX(Bases!$O$2:$O$53,C733))+Settings!$B$5*MIN(INDEX(Bases!$O$2:$O$53,B733),INDEX(Bases!$O$2:$O$53,C733))</f>
        <v>61.3333333333333</v>
      </c>
      <c r="V733" s="2" t="n">
        <f aca="false">Settings!$B$4*MAX(INDEX(Bases!$P$2:$P$53,B733),INDEX(Bases!$P$2:$P$53,C733))+Settings!$B$5*MIN(INDEX(Bases!$P$2:$P$53,B733),INDEX(Bases!$P$2:$P$53,C733))</f>
        <v>66</v>
      </c>
      <c r="W733" s="2" t="n">
        <f aca="false">Settings!$B$4*MAX(INDEX(Bases!$Q$2:$Q$53,B733),INDEX(Bases!$Q$2:$Q$53,C733))+Settings!$B$5*MIN(INDEX(Bases!$Q$2:$Q$53,B733),INDEX(Bases!$Q$2:$Q$53,C733))</f>
        <v>65.6666666666667</v>
      </c>
      <c r="X733" s="2" t="n">
        <f aca="false">Settings!$B$4*MAX(INDEX(Bases!$R$2:$R$53,B733),INDEX(Bases!$R$2:$R$53,C733))+Settings!$B$5*MIN(INDEX(Bases!$R$2:$R$53,B733),INDEX(Bases!$R$2:$R$53,C733))</f>
        <v>72.6666666666667</v>
      </c>
      <c r="Y733" s="2" t="n">
        <f aca="false">S733*Settings!$B$3/SUM(S733:X733)</f>
        <v>94.0366972477064</v>
      </c>
      <c r="Z733" s="2" t="n">
        <f aca="false">T733*Settings!$B$3/SUM(S733:X733)</f>
        <v>101.299694189602</v>
      </c>
      <c r="AA733" s="2" t="n">
        <f aca="false">U733*Settings!$B$3/SUM(S733:X733)</f>
        <v>70.3363914373089</v>
      </c>
      <c r="AB733" s="2" t="n">
        <f aca="false">V733*Settings!$B$3/SUM(S733:X733)</f>
        <v>75.6880733944954</v>
      </c>
      <c r="AC733" s="2" t="n">
        <f aca="false">W733*Settings!$B$3/SUM(S733:X733)</f>
        <v>75.3058103975535</v>
      </c>
      <c r="AD733" s="2" t="n">
        <f aca="false">X733*Settings!$B$3/SUM(S733:X733)</f>
        <v>83.3333333333333</v>
      </c>
      <c r="AE733" s="2" t="n">
        <f aca="false">INT(Y733)</f>
        <v>94</v>
      </c>
      <c r="AF733" s="2" t="n">
        <f aca="false">INT(Z733)</f>
        <v>101</v>
      </c>
      <c r="AG733" s="2" t="n">
        <f aca="false">INT(AA733)</f>
        <v>70</v>
      </c>
      <c r="AH733" s="2" t="n">
        <f aca="false">INT(AB733)</f>
        <v>75</v>
      </c>
      <c r="AI733" s="2" t="n">
        <f aca="false">INT(AC733)</f>
        <v>75</v>
      </c>
      <c r="AJ733" s="2" t="n">
        <f aca="false">INT(AD733)</f>
        <v>83</v>
      </c>
      <c r="AK733" s="2" t="n">
        <f aca="false">Settings!$B$3-SUM(AE733:AJ733)</f>
        <v>2</v>
      </c>
      <c r="AL733" s="2" t="n">
        <f aca="false">ROUND(Y733-AE733,9)</f>
        <v>0.036697248</v>
      </c>
      <c r="AM733" s="2" t="n">
        <f aca="false">ROUND(Z733-AF733,9)</f>
        <v>0.29969419</v>
      </c>
      <c r="AN733" s="2" t="n">
        <f aca="false">ROUND(AA733-AG733,9)</f>
        <v>0.336391437</v>
      </c>
      <c r="AO733" s="2" t="n">
        <f aca="false">ROUND(AB733-AH733,9)</f>
        <v>0.688073394</v>
      </c>
      <c r="AP733" s="2" t="n">
        <f aca="false">ROUND(AC733-AI733,9)</f>
        <v>0.305810398</v>
      </c>
      <c r="AQ733" s="2" t="n">
        <f aca="false">ROUND(AD733-AJ733,9)</f>
        <v>0.333333333</v>
      </c>
    </row>
    <row r="734" customFormat="false" ht="15" hidden="false" customHeight="false" outlineLevel="0" collapsed="false">
      <c r="A734" s="2" t="n">
        <v>733</v>
      </c>
      <c r="B734" s="6" t="n">
        <v>18</v>
      </c>
      <c r="C734" s="6" t="n">
        <v>20</v>
      </c>
      <c r="D734" s="8" t="str">
        <f aca="false">INDEX(Bases!$B$2:$B$53,B734)</f>
        <v>Spheal</v>
      </c>
      <c r="E734" s="8" t="str">
        <f aca="false">INDEX(Bases!$B$2:$B$53,C734)</f>
        <v>Tyrogue</v>
      </c>
      <c r="F734" s="2" t="str">
        <f aca="false">LEFT(D734,ROUNDUP(LEN(D734)/2,0))&amp;LOWER(MID(E734,ROUNDUP(LEN(E734)/2,0)+1,20))</f>
        <v>Sphgue</v>
      </c>
      <c r="G734" s="8" t="str">
        <f aca="false">INDEX(Bases!$C$2:$C$53,B734)</f>
        <v>Ice</v>
      </c>
      <c r="H734" s="8" t="str">
        <f aca="false">IF(INDEX(Bases!$C$2:$C$53,C734)=G734,"",INDEX(Bases!$C$2:$C$53,C734))</f>
        <v>Fighting</v>
      </c>
      <c r="I734" s="8" t="str">
        <f aca="false">IF(INDEX(Bases!$E$2:$E$53,B734)="","",INDEX(Bases!$E$2:$E$53,B734))</f>
        <v/>
      </c>
      <c r="J734" s="8" t="str">
        <f aca="false">IF(INDEX(Bases!$E$2:$E$53,C734)="","",INDEX(Bases!$E$2:$E$53,C734))</f>
        <v/>
      </c>
      <c r="K734" s="5"/>
      <c r="L734" s="2" t="n">
        <f aca="false">AE734+IF(SUMPRODUCT(--($AL734:$AQ734&gt;AL734))&lt;$AK734,1,0)</f>
        <v>105</v>
      </c>
      <c r="M734" s="2" t="n">
        <f aca="false">AF734+IF(SUMPRODUCT(--($AL734:$AQ734&gt;AM734))+SUMPRODUCT(--($AL734:AL734=AM734))&lt;$AK734,1,0)</f>
        <v>76</v>
      </c>
      <c r="N734" s="2" t="n">
        <f aca="false">AG734+IF(SUMPRODUCT(--($AL734:$AQ734&gt;AN734))+SUMPRODUCT(--($AL734:AM734=AN734))&lt;$AK734,1,0)</f>
        <v>82</v>
      </c>
      <c r="O734" s="2" t="n">
        <f aca="false">AH734+IF(SUMPRODUCT(--($AL734:$AQ734&gt;AO734))+SUMPRODUCT(--($AL734:AN734=AO734))&lt;$AK734,1,0)</f>
        <v>88</v>
      </c>
      <c r="P734" s="2" t="n">
        <f aca="false">AI734+IF(SUMPRODUCT(--($AL734:$AQ734&gt;AP734))+SUMPRODUCT(--($AL734:AO734=AP734))&lt;$AK734,1,0)</f>
        <v>82</v>
      </c>
      <c r="Q734" s="2" t="n">
        <f aca="false">AJ734+IF(SUMPRODUCT(--($AL734:$AQ734&gt;AQ734))+SUMPRODUCT(--($AL734:AP734=AQ734))&lt;$AK734,1,0)</f>
        <v>67</v>
      </c>
      <c r="R734" s="2" t="n">
        <f aca="false">SUM(L734:Q734)</f>
        <v>500</v>
      </c>
      <c r="S734" s="2" t="n">
        <f aca="false">Settings!$B$4*MAX(INDEX(Bases!$M$2:$M$53,B734),INDEX(Bases!$M$2:$M$53,C734))+Settings!$B$5*MIN(INDEX(Bases!$M$2:$M$53,B734),INDEX(Bases!$M$2:$M$53,C734))</f>
        <v>87</v>
      </c>
      <c r="T734" s="2" t="n">
        <f aca="false">Settings!$B$4*MAX(INDEX(Bases!$N$2:$N$53,B734),INDEX(Bases!$N$2:$N$53,C734))+Settings!$B$5*MIN(INDEX(Bases!$N$2:$N$53,B734),INDEX(Bases!$N$2:$N$53,C734))</f>
        <v>63</v>
      </c>
      <c r="U734" s="2" t="n">
        <f aca="false">Settings!$B$4*MAX(INDEX(Bases!$O$2:$O$53,B734),INDEX(Bases!$O$2:$O$53,C734))+Settings!$B$5*MIN(INDEX(Bases!$O$2:$O$53,B734),INDEX(Bases!$O$2:$O$53,C734))</f>
        <v>68.3333333333333</v>
      </c>
      <c r="V734" s="2" t="n">
        <f aca="false">Settings!$B$4*MAX(INDEX(Bases!$P$2:$P$53,B734),INDEX(Bases!$P$2:$P$53,C734))+Settings!$B$5*MIN(INDEX(Bases!$P$2:$P$53,B734),INDEX(Bases!$P$2:$P$53,C734))</f>
        <v>73</v>
      </c>
      <c r="W734" s="2" t="n">
        <f aca="false">Settings!$B$4*MAX(INDEX(Bases!$Q$2:$Q$53,B734),INDEX(Bases!$Q$2:$Q$53,C734))+Settings!$B$5*MIN(INDEX(Bases!$Q$2:$Q$53,B734),INDEX(Bases!$Q$2:$Q$53,C734))</f>
        <v>68</v>
      </c>
      <c r="X734" s="2" t="n">
        <f aca="false">Settings!$B$4*MAX(INDEX(Bases!$R$2:$R$53,B734),INDEX(Bases!$R$2:$R$53,C734))+Settings!$B$5*MIN(INDEX(Bases!$R$2:$R$53,B734),INDEX(Bases!$R$2:$R$53,C734))</f>
        <v>55.3333333333333</v>
      </c>
      <c r="Y734" s="2" t="n">
        <f aca="false">S734*Settings!$B$3/SUM(S734:X734)</f>
        <v>104.903536977492</v>
      </c>
      <c r="Z734" s="2" t="n">
        <f aca="false">T734*Settings!$B$3/SUM(S734:X734)</f>
        <v>75.9646302250804</v>
      </c>
      <c r="AA734" s="2" t="n">
        <f aca="false">U734*Settings!$B$3/SUM(S734:X734)</f>
        <v>82.395498392283</v>
      </c>
      <c r="AB734" s="2" t="n">
        <f aca="false">V734*Settings!$B$3/SUM(S734:X734)</f>
        <v>88.0225080385852</v>
      </c>
      <c r="AC734" s="2" t="n">
        <f aca="false">W734*Settings!$B$3/SUM(S734:X734)</f>
        <v>81.9935691318328</v>
      </c>
      <c r="AD734" s="2" t="n">
        <f aca="false">X734*Settings!$B$3/SUM(S734:X734)</f>
        <v>66.7202572347267</v>
      </c>
      <c r="AE734" s="2" t="n">
        <f aca="false">INT(Y734)</f>
        <v>104</v>
      </c>
      <c r="AF734" s="2" t="n">
        <f aca="false">INT(Z734)</f>
        <v>75</v>
      </c>
      <c r="AG734" s="2" t="n">
        <f aca="false">INT(AA734)</f>
        <v>82</v>
      </c>
      <c r="AH734" s="2" t="n">
        <f aca="false">INT(AB734)</f>
        <v>88</v>
      </c>
      <c r="AI734" s="2" t="n">
        <f aca="false">INT(AC734)</f>
        <v>81</v>
      </c>
      <c r="AJ734" s="2" t="n">
        <f aca="false">INT(AD734)</f>
        <v>66</v>
      </c>
      <c r="AK734" s="2" t="n">
        <f aca="false">Settings!$B$3-SUM(AE734:AJ734)</f>
        <v>4</v>
      </c>
      <c r="AL734" s="2" t="n">
        <f aca="false">ROUND(Y734-AE734,9)</f>
        <v>0.903536977</v>
      </c>
      <c r="AM734" s="2" t="n">
        <f aca="false">ROUND(Z734-AF734,9)</f>
        <v>0.964630225</v>
      </c>
      <c r="AN734" s="2" t="n">
        <f aca="false">ROUND(AA734-AG734,9)</f>
        <v>0.395498392</v>
      </c>
      <c r="AO734" s="2" t="n">
        <f aca="false">ROUND(AB734-AH734,9)</f>
        <v>0.022508039</v>
      </c>
      <c r="AP734" s="2" t="n">
        <f aca="false">ROUND(AC734-AI734,9)</f>
        <v>0.993569132</v>
      </c>
      <c r="AQ734" s="2" t="n">
        <f aca="false">ROUND(AD734-AJ734,9)</f>
        <v>0.720257235</v>
      </c>
    </row>
    <row r="735" customFormat="false" ht="15" hidden="false" customHeight="false" outlineLevel="0" collapsed="false">
      <c r="A735" s="2" t="n">
        <v>734</v>
      </c>
      <c r="B735" s="6" t="n">
        <v>18</v>
      </c>
      <c r="C735" s="6" t="n">
        <v>21</v>
      </c>
      <c r="D735" s="8" t="str">
        <f aca="false">INDEX(Bases!$B$2:$B$53,B735)</f>
        <v>Spheal</v>
      </c>
      <c r="E735" s="8" t="str">
        <f aca="false">INDEX(Bases!$B$2:$B$53,C735)</f>
        <v>Makuhita</v>
      </c>
      <c r="F735" s="2" t="str">
        <f aca="false">LEFT(D735,ROUNDUP(LEN(D735)/2,0))&amp;LOWER(MID(E735,ROUNDUP(LEN(E735)/2,0)+1,20))</f>
        <v>Sphhita</v>
      </c>
      <c r="G735" s="8" t="str">
        <f aca="false">INDEX(Bases!$C$2:$C$53,B735)</f>
        <v>Ice</v>
      </c>
      <c r="H735" s="8" t="str">
        <f aca="false">IF(INDEX(Bases!$C$2:$C$53,C735)=G735,"",INDEX(Bases!$C$2:$C$53,C735))</f>
        <v>Fighting</v>
      </c>
      <c r="I735" s="8" t="str">
        <f aca="false">IF(INDEX(Bases!$E$2:$E$53,B735)="","",INDEX(Bases!$E$2:$E$53,B735))</f>
        <v/>
      </c>
      <c r="J735" s="8" t="str">
        <f aca="false">IF(INDEX(Bases!$E$2:$E$53,C735)="","",INDEX(Bases!$E$2:$E$53,C735))</f>
        <v/>
      </c>
      <c r="K735" s="5"/>
      <c r="L735" s="2" t="n">
        <f aca="false">AE735+IF(SUMPRODUCT(--($AL735:$AQ735&gt;AL735))&lt;$AK735,1,0)</f>
        <v>133</v>
      </c>
      <c r="M735" s="2" t="n">
        <f aca="false">AF735+IF(SUMPRODUCT(--($AL735:$AQ735&gt;AM735))+SUMPRODUCT(--($AL735:AL735=AM735))&lt;$AK735,1,0)</f>
        <v>100</v>
      </c>
      <c r="N735" s="2" t="n">
        <f aca="false">AG735+IF(SUMPRODUCT(--($AL735:$AQ735&gt;AN735))+SUMPRODUCT(--($AL735:AM735=AN735))&lt;$AK735,1,0)</f>
        <v>74</v>
      </c>
      <c r="O735" s="2" t="n">
        <f aca="false">AH735+IF(SUMPRODUCT(--($AL735:$AQ735&gt;AO735))+SUMPRODUCT(--($AL735:AN735=AO735))&lt;$AK735,1,0)</f>
        <v>73</v>
      </c>
      <c r="P735" s="2" t="n">
        <f aca="false">AI735+IF(SUMPRODUCT(--($AL735:$AQ735&gt;AP735))+SUMPRODUCT(--($AL735:AO735=AP735))&lt;$AK735,1,0)</f>
        <v>74</v>
      </c>
      <c r="Q735" s="2" t="n">
        <f aca="false">AJ735+IF(SUMPRODUCT(--($AL735:$AQ735&gt;AQ735))+SUMPRODUCT(--($AL735:AP735=AQ735))&lt;$AK735,1,0)</f>
        <v>46</v>
      </c>
      <c r="R735" s="2" t="n">
        <f aca="false">SUM(L735:Q735)</f>
        <v>500</v>
      </c>
      <c r="S735" s="2" t="n">
        <f aca="false">Settings!$B$4*MAX(INDEX(Bases!$M$2:$M$53,B735),INDEX(Bases!$M$2:$M$53,C735))+Settings!$B$5*MIN(INDEX(Bases!$M$2:$M$53,B735),INDEX(Bases!$M$2:$M$53,C735))</f>
        <v>113</v>
      </c>
      <c r="T735" s="2" t="n">
        <f aca="false">Settings!$B$4*MAX(INDEX(Bases!$N$2:$N$53,B735),INDEX(Bases!$N$2:$N$53,C735))+Settings!$B$5*MIN(INDEX(Bases!$N$2:$N$53,B735),INDEX(Bases!$N$2:$N$53,C735))</f>
        <v>85.6666666666667</v>
      </c>
      <c r="U735" s="2" t="n">
        <f aca="false">Settings!$B$4*MAX(INDEX(Bases!$O$2:$O$53,B735),INDEX(Bases!$O$2:$O$53,C735))+Settings!$B$5*MIN(INDEX(Bases!$O$2:$O$53,B735),INDEX(Bases!$O$2:$O$53,C735))</f>
        <v>63</v>
      </c>
      <c r="V735" s="2" t="n">
        <f aca="false">Settings!$B$4*MAX(INDEX(Bases!$P$2:$P$53,B735),INDEX(Bases!$P$2:$P$53,C735))+Settings!$B$5*MIN(INDEX(Bases!$P$2:$P$53,B735),INDEX(Bases!$P$2:$P$53,C735))</f>
        <v>62</v>
      </c>
      <c r="W735" s="2" t="n">
        <f aca="false">Settings!$B$4*MAX(INDEX(Bases!$Q$2:$Q$53,B735),INDEX(Bases!$Q$2:$Q$53,C735))+Settings!$B$5*MIN(INDEX(Bases!$Q$2:$Q$53,B735),INDEX(Bases!$Q$2:$Q$53,C735))</f>
        <v>63</v>
      </c>
      <c r="X735" s="2" t="n">
        <f aca="false">Settings!$B$4*MAX(INDEX(Bases!$R$2:$R$53,B735),INDEX(Bases!$R$2:$R$53,C735))+Settings!$B$5*MIN(INDEX(Bases!$R$2:$R$53,B735),INDEX(Bases!$R$2:$R$53,C735))</f>
        <v>39.3333333333333</v>
      </c>
      <c r="Y735" s="2" t="n">
        <f aca="false">S735*Settings!$B$3/SUM(S735:X735)</f>
        <v>132.629107981221</v>
      </c>
      <c r="Z735" s="2" t="n">
        <f aca="false">T735*Settings!$B$3/SUM(S735:X735)</f>
        <v>100.547730829421</v>
      </c>
      <c r="AA735" s="2" t="n">
        <f aca="false">U735*Settings!$B$3/SUM(S735:X735)</f>
        <v>73.943661971831</v>
      </c>
      <c r="AB735" s="2" t="n">
        <f aca="false">V735*Settings!$B$3/SUM(S735:X735)</f>
        <v>72.7699530516432</v>
      </c>
      <c r="AC735" s="2" t="n">
        <f aca="false">W735*Settings!$B$3/SUM(S735:X735)</f>
        <v>73.943661971831</v>
      </c>
      <c r="AD735" s="2" t="n">
        <f aca="false">X735*Settings!$B$3/SUM(S735:X735)</f>
        <v>46.1658841940532</v>
      </c>
      <c r="AE735" s="2" t="n">
        <f aca="false">INT(Y735)</f>
        <v>132</v>
      </c>
      <c r="AF735" s="2" t="n">
        <f aca="false">INT(Z735)</f>
        <v>100</v>
      </c>
      <c r="AG735" s="2" t="n">
        <f aca="false">INT(AA735)</f>
        <v>73</v>
      </c>
      <c r="AH735" s="2" t="n">
        <f aca="false">INT(AB735)</f>
        <v>72</v>
      </c>
      <c r="AI735" s="2" t="n">
        <f aca="false">INT(AC735)</f>
        <v>73</v>
      </c>
      <c r="AJ735" s="2" t="n">
        <f aca="false">INT(AD735)</f>
        <v>46</v>
      </c>
      <c r="AK735" s="2" t="n">
        <f aca="false">Settings!$B$3-SUM(AE735:AJ735)</f>
        <v>4</v>
      </c>
      <c r="AL735" s="2" t="n">
        <f aca="false">ROUND(Y735-AE735,9)</f>
        <v>0.629107981</v>
      </c>
      <c r="AM735" s="2" t="n">
        <f aca="false">ROUND(Z735-AF735,9)</f>
        <v>0.547730829</v>
      </c>
      <c r="AN735" s="2" t="n">
        <f aca="false">ROUND(AA735-AG735,9)</f>
        <v>0.943661972</v>
      </c>
      <c r="AO735" s="2" t="n">
        <f aca="false">ROUND(AB735-AH735,9)</f>
        <v>0.769953052</v>
      </c>
      <c r="AP735" s="2" t="n">
        <f aca="false">ROUND(AC735-AI735,9)</f>
        <v>0.943661972</v>
      </c>
      <c r="AQ735" s="2" t="n">
        <f aca="false">ROUND(AD735-AJ735,9)</f>
        <v>0.165884194</v>
      </c>
    </row>
    <row r="736" customFormat="false" ht="15" hidden="false" customHeight="false" outlineLevel="0" collapsed="false">
      <c r="A736" s="2" t="n">
        <v>735</v>
      </c>
      <c r="B736" s="6" t="n">
        <v>18</v>
      </c>
      <c r="C736" s="6" t="n">
        <v>22</v>
      </c>
      <c r="D736" s="8" t="str">
        <f aca="false">INDEX(Bases!$B$2:$B$53,B736)</f>
        <v>Spheal</v>
      </c>
      <c r="E736" s="8" t="str">
        <f aca="false">INDEX(Bases!$B$2:$B$53,C736)</f>
        <v>Ekans</v>
      </c>
      <c r="F736" s="2" t="str">
        <f aca="false">LEFT(D736,ROUNDUP(LEN(D736)/2,0))&amp;LOWER(MID(E736,ROUNDUP(LEN(E736)/2,0)+1,20))</f>
        <v>Sphns</v>
      </c>
      <c r="G736" s="8" t="str">
        <f aca="false">INDEX(Bases!$C$2:$C$53,B736)</f>
        <v>Ice</v>
      </c>
      <c r="H736" s="8" t="str">
        <f aca="false">IF(INDEX(Bases!$C$2:$C$53,C736)=G736,"",INDEX(Bases!$C$2:$C$53,C736))</f>
        <v>Poison</v>
      </c>
      <c r="I736" s="8" t="str">
        <f aca="false">IF(INDEX(Bases!$E$2:$E$53,B736)="","",INDEX(Bases!$E$2:$E$53,B736))</f>
        <v/>
      </c>
      <c r="J736" s="8" t="str">
        <f aca="false">IF(INDEX(Bases!$E$2:$E$53,C736)="","",INDEX(Bases!$E$2:$E$53,C736))</f>
        <v/>
      </c>
      <c r="K736" s="5"/>
      <c r="L736" s="2" t="n">
        <f aca="false">AE736+IF(SUMPRODUCT(--($AL736:$AQ736&gt;AL736))&lt;$AK736,1,0)</f>
        <v>95</v>
      </c>
      <c r="M736" s="2" t="n">
        <f aca="false">AF736+IF(SUMPRODUCT(--($AL736:$AQ736&gt;AM736))+SUMPRODUCT(--($AL736:AL736=AM736))&lt;$AK736,1,0)</f>
        <v>87</v>
      </c>
      <c r="N736" s="2" t="n">
        <f aca="false">AG736+IF(SUMPRODUCT(--($AL736:$AQ736&gt;AN736))+SUMPRODUCT(--($AL736:AM736=AN736))&lt;$AK736,1,0)</f>
        <v>78</v>
      </c>
      <c r="O736" s="2" t="n">
        <f aca="false">AH736+IF(SUMPRODUCT(--($AL736:$AQ736&gt;AO736))+SUMPRODUCT(--($AL736:AN736=AO736))&lt;$AK736,1,0)</f>
        <v>81</v>
      </c>
      <c r="P736" s="2" t="n">
        <f aca="false">AI736+IF(SUMPRODUCT(--($AL736:$AQ736&gt;AP736))+SUMPRODUCT(--($AL736:AO736=AP736))&lt;$AK736,1,0)</f>
        <v>86</v>
      </c>
      <c r="Q736" s="2" t="n">
        <f aca="false">AJ736+IF(SUMPRODUCT(--($AL736:$AQ736&gt;AQ736))+SUMPRODUCT(--($AL736:AP736=AQ736))&lt;$AK736,1,0)</f>
        <v>73</v>
      </c>
      <c r="R736" s="2" t="n">
        <f aca="false">SUM(L736:Q736)</f>
        <v>500</v>
      </c>
      <c r="S736" s="2" t="n">
        <f aca="false">Settings!$B$4*MAX(INDEX(Bases!$M$2:$M$53,B736),INDEX(Bases!$M$2:$M$53,C736))+Settings!$B$5*MIN(INDEX(Bases!$M$2:$M$53,B736),INDEX(Bases!$M$2:$M$53,C736))</f>
        <v>81</v>
      </c>
      <c r="T736" s="2" t="n">
        <f aca="false">Settings!$B$4*MAX(INDEX(Bases!$N$2:$N$53,B736),INDEX(Bases!$N$2:$N$53,C736))+Settings!$B$5*MIN(INDEX(Bases!$N$2:$N$53,B736),INDEX(Bases!$N$2:$N$53,C736))</f>
        <v>73.6666666666667</v>
      </c>
      <c r="U736" s="2" t="n">
        <f aca="false">Settings!$B$4*MAX(INDEX(Bases!$O$2:$O$53,B736),INDEX(Bases!$O$2:$O$53,C736))+Settings!$B$5*MIN(INDEX(Bases!$O$2:$O$53,B736),INDEX(Bases!$O$2:$O$53,C736))</f>
        <v>66.3333333333333</v>
      </c>
      <c r="V736" s="2" t="n">
        <f aca="false">Settings!$B$4*MAX(INDEX(Bases!$P$2:$P$53,B736),INDEX(Bases!$P$2:$P$53,C736))+Settings!$B$5*MIN(INDEX(Bases!$P$2:$P$53,B736),INDEX(Bases!$P$2:$P$53,C736))</f>
        <v>69.3333333333333</v>
      </c>
      <c r="W736" s="2" t="n">
        <f aca="false">Settings!$B$4*MAX(INDEX(Bases!$Q$2:$Q$53,B736),INDEX(Bases!$Q$2:$Q$53,C736))+Settings!$B$5*MIN(INDEX(Bases!$Q$2:$Q$53,B736),INDEX(Bases!$Q$2:$Q$53,C736))</f>
        <v>73</v>
      </c>
      <c r="X736" s="2" t="n">
        <f aca="false">Settings!$B$4*MAX(INDEX(Bases!$R$2:$R$53,B736),INDEX(Bases!$R$2:$R$53,C736))+Settings!$B$5*MIN(INDEX(Bases!$R$2:$R$53,B736),INDEX(Bases!$R$2:$R$53,C736))</f>
        <v>62</v>
      </c>
      <c r="Y736" s="2" t="n">
        <f aca="false">S736*Settings!$B$3/SUM(S736:X736)</f>
        <v>95.2194357366771</v>
      </c>
      <c r="Z736" s="2" t="n">
        <f aca="false">T736*Settings!$B$3/SUM(S736:X736)</f>
        <v>86.5987460815047</v>
      </c>
      <c r="AA736" s="2" t="n">
        <f aca="false">U736*Settings!$B$3/SUM(S736:X736)</f>
        <v>77.9780564263323</v>
      </c>
      <c r="AB736" s="2" t="n">
        <f aca="false">V736*Settings!$B$3/SUM(S736:X736)</f>
        <v>81.5047021943574</v>
      </c>
      <c r="AC736" s="2" t="n">
        <f aca="false">W736*Settings!$B$3/SUM(S736:X736)</f>
        <v>85.8150470219436</v>
      </c>
      <c r="AD736" s="2" t="n">
        <f aca="false">X736*Settings!$B$3/SUM(S736:X736)</f>
        <v>72.884012539185</v>
      </c>
      <c r="AE736" s="2" t="n">
        <f aca="false">INT(Y736)</f>
        <v>95</v>
      </c>
      <c r="AF736" s="2" t="n">
        <f aca="false">INT(Z736)</f>
        <v>86</v>
      </c>
      <c r="AG736" s="2" t="n">
        <f aca="false">INT(AA736)</f>
        <v>77</v>
      </c>
      <c r="AH736" s="2" t="n">
        <f aca="false">INT(AB736)</f>
        <v>81</v>
      </c>
      <c r="AI736" s="2" t="n">
        <f aca="false">INT(AC736)</f>
        <v>85</v>
      </c>
      <c r="AJ736" s="2" t="n">
        <f aca="false">INT(AD736)</f>
        <v>72</v>
      </c>
      <c r="AK736" s="2" t="n">
        <f aca="false">Settings!$B$3-SUM(AE736:AJ736)</f>
        <v>4</v>
      </c>
      <c r="AL736" s="2" t="n">
        <f aca="false">ROUND(Y736-AE736,9)</f>
        <v>0.219435737</v>
      </c>
      <c r="AM736" s="2" t="n">
        <f aca="false">ROUND(Z736-AF736,9)</f>
        <v>0.598746082</v>
      </c>
      <c r="AN736" s="2" t="n">
        <f aca="false">ROUND(AA736-AG736,9)</f>
        <v>0.978056426</v>
      </c>
      <c r="AO736" s="2" t="n">
        <f aca="false">ROUND(AB736-AH736,9)</f>
        <v>0.504702194</v>
      </c>
      <c r="AP736" s="2" t="n">
        <f aca="false">ROUND(AC736-AI736,9)</f>
        <v>0.815047022</v>
      </c>
      <c r="AQ736" s="2" t="n">
        <f aca="false">ROUND(AD736-AJ736,9)</f>
        <v>0.884012539</v>
      </c>
    </row>
    <row r="737" customFormat="false" ht="15" hidden="false" customHeight="false" outlineLevel="0" collapsed="false">
      <c r="A737" s="2" t="n">
        <v>736</v>
      </c>
      <c r="B737" s="6" t="n">
        <v>18</v>
      </c>
      <c r="C737" s="6" t="n">
        <v>23</v>
      </c>
      <c r="D737" s="8" t="str">
        <f aca="false">INDEX(Bases!$B$2:$B$53,B737)</f>
        <v>Spheal</v>
      </c>
      <c r="E737" s="8" t="str">
        <f aca="false">INDEX(Bases!$B$2:$B$53,C737)</f>
        <v>Gulpin</v>
      </c>
      <c r="F737" s="2" t="str">
        <f aca="false">LEFT(D737,ROUNDUP(LEN(D737)/2,0))&amp;LOWER(MID(E737,ROUNDUP(LEN(E737)/2,0)+1,20))</f>
        <v>Sphpin</v>
      </c>
      <c r="G737" s="8" t="str">
        <f aca="false">INDEX(Bases!$C$2:$C$53,B737)</f>
        <v>Ice</v>
      </c>
      <c r="H737" s="8" t="str">
        <f aca="false">IF(INDEX(Bases!$C$2:$C$53,C737)=G737,"",INDEX(Bases!$C$2:$C$53,C737))</f>
        <v>Poison</v>
      </c>
      <c r="I737" s="8" t="str">
        <f aca="false">IF(INDEX(Bases!$E$2:$E$53,B737)="","",INDEX(Bases!$E$2:$E$53,B737))</f>
        <v/>
      </c>
      <c r="J737" s="8" t="str">
        <f aca="false">IF(INDEX(Bases!$E$2:$E$53,C737)="","",INDEX(Bases!$E$2:$E$53,C737))</f>
        <v/>
      </c>
      <c r="K737" s="5"/>
      <c r="L737" s="2" t="n">
        <f aca="false">AE737+IF(SUMPRODUCT(--($AL737:$AQ737&gt;AL737))&lt;$AK737,1,0)</f>
        <v>117</v>
      </c>
      <c r="M737" s="2" t="n">
        <f aca="false">AF737+IF(SUMPRODUCT(--($AL737:$AQ737&gt;AM737))+SUMPRODUCT(--($AL737:AL737=AM737))&lt;$AK737,1,0)</f>
        <v>69</v>
      </c>
      <c r="N737" s="2" t="n">
        <f aca="false">AG737+IF(SUMPRODUCT(--($AL737:$AQ737&gt;AN737))+SUMPRODUCT(--($AL737:AM737=AN737))&lt;$AK737,1,0)</f>
        <v>86</v>
      </c>
      <c r="O737" s="2" t="n">
        <f aca="false">AH737+IF(SUMPRODUCT(--($AL737:$AQ737&gt;AO737))+SUMPRODUCT(--($AL737:AN737=AO737))&lt;$AK737,1,0)</f>
        <v>86</v>
      </c>
      <c r="P737" s="2" t="n">
        <f aca="false">AI737+IF(SUMPRODUCT(--($AL737:$AQ737&gt;AP737))+SUMPRODUCT(--($AL737:AO737=AP737))&lt;$AK737,1,0)</f>
        <v>85</v>
      </c>
      <c r="Q737" s="2" t="n">
        <f aca="false">AJ737+IF(SUMPRODUCT(--($AL737:$AQ737&gt;AQ737))+SUMPRODUCT(--($AL737:AP737=AQ737))&lt;$AK737,1,0)</f>
        <v>57</v>
      </c>
      <c r="R737" s="2" t="n">
        <f aca="false">SUM(L737:Q737)</f>
        <v>500</v>
      </c>
      <c r="S737" s="2" t="n">
        <f aca="false">Settings!$B$4*MAX(INDEX(Bases!$M$2:$M$53,B737),INDEX(Bases!$M$2:$M$53,C737))+Settings!$B$5*MIN(INDEX(Bases!$M$2:$M$53,B737),INDEX(Bases!$M$2:$M$53,C737))</f>
        <v>95.6666666666667</v>
      </c>
      <c r="T737" s="2" t="n">
        <f aca="false">Settings!$B$4*MAX(INDEX(Bases!$N$2:$N$53,B737),INDEX(Bases!$N$2:$N$53,C737))+Settings!$B$5*MIN(INDEX(Bases!$N$2:$N$53,B737),INDEX(Bases!$N$2:$N$53,C737))</f>
        <v>56.3333333333333</v>
      </c>
      <c r="U737" s="2" t="n">
        <f aca="false">Settings!$B$4*MAX(INDEX(Bases!$O$2:$O$53,B737),INDEX(Bases!$O$2:$O$53,C737))+Settings!$B$5*MIN(INDEX(Bases!$O$2:$O$53,B737),INDEX(Bases!$O$2:$O$53,C737))</f>
        <v>69.6666666666667</v>
      </c>
      <c r="V737" s="2" t="n">
        <f aca="false">Settings!$B$4*MAX(INDEX(Bases!$P$2:$P$53,B737),INDEX(Bases!$P$2:$P$53,C737))+Settings!$B$5*MIN(INDEX(Bases!$P$2:$P$53,B737),INDEX(Bases!$P$2:$P$53,C737))</f>
        <v>69.6666666666667</v>
      </c>
      <c r="W737" s="2" t="n">
        <f aca="false">Settings!$B$4*MAX(INDEX(Bases!$Q$2:$Q$53,B737),INDEX(Bases!$Q$2:$Q$53,C737))+Settings!$B$5*MIN(INDEX(Bases!$Q$2:$Q$53,B737),INDEX(Bases!$Q$2:$Q$53,C737))</f>
        <v>69.6666666666667</v>
      </c>
      <c r="X737" s="2" t="n">
        <f aca="false">Settings!$B$4*MAX(INDEX(Bases!$R$2:$R$53,B737),INDEX(Bases!$R$2:$R$53,C737))+Settings!$B$5*MIN(INDEX(Bases!$R$2:$R$53,B737),INDEX(Bases!$R$2:$R$53,C737))</f>
        <v>46.6666666666667</v>
      </c>
      <c r="Y737" s="2" t="n">
        <f aca="false">S737*Settings!$B$3/SUM(S737:X737)</f>
        <v>117.334423548651</v>
      </c>
      <c r="Z737" s="2" t="n">
        <f aca="false">T737*Settings!$B$3/SUM(S737:X737)</f>
        <v>69.0923957481603</v>
      </c>
      <c r="AA737" s="2" t="n">
        <f aca="false">U737*Settings!$B$3/SUM(S737:X737)</f>
        <v>85.4456255110384</v>
      </c>
      <c r="AB737" s="2" t="n">
        <f aca="false">V737*Settings!$B$3/SUM(S737:X737)</f>
        <v>85.4456255110384</v>
      </c>
      <c r="AC737" s="2" t="n">
        <f aca="false">W737*Settings!$B$3/SUM(S737:X737)</f>
        <v>85.4456255110384</v>
      </c>
      <c r="AD737" s="2" t="n">
        <f aca="false">X737*Settings!$B$3/SUM(S737:X737)</f>
        <v>57.2363041700736</v>
      </c>
      <c r="AE737" s="2" t="n">
        <f aca="false">INT(Y737)</f>
        <v>117</v>
      </c>
      <c r="AF737" s="2" t="n">
        <f aca="false">INT(Z737)</f>
        <v>69</v>
      </c>
      <c r="AG737" s="2" t="n">
        <f aca="false">INT(AA737)</f>
        <v>85</v>
      </c>
      <c r="AH737" s="2" t="n">
        <f aca="false">INT(AB737)</f>
        <v>85</v>
      </c>
      <c r="AI737" s="2" t="n">
        <f aca="false">INT(AC737)</f>
        <v>85</v>
      </c>
      <c r="AJ737" s="2" t="n">
        <f aca="false">INT(AD737)</f>
        <v>57</v>
      </c>
      <c r="AK737" s="2" t="n">
        <f aca="false">Settings!$B$3-SUM(AE737:AJ737)</f>
        <v>2</v>
      </c>
      <c r="AL737" s="2" t="n">
        <f aca="false">ROUND(Y737-AE737,9)</f>
        <v>0.334423549</v>
      </c>
      <c r="AM737" s="2" t="n">
        <f aca="false">ROUND(Z737-AF737,9)</f>
        <v>0.092395748</v>
      </c>
      <c r="AN737" s="2" t="n">
        <f aca="false">ROUND(AA737-AG737,9)</f>
        <v>0.445625511</v>
      </c>
      <c r="AO737" s="2" t="n">
        <f aca="false">ROUND(AB737-AH737,9)</f>
        <v>0.445625511</v>
      </c>
      <c r="AP737" s="2" t="n">
        <f aca="false">ROUND(AC737-AI737,9)</f>
        <v>0.445625511</v>
      </c>
      <c r="AQ737" s="2" t="n">
        <f aca="false">ROUND(AD737-AJ737,9)</f>
        <v>0.23630417</v>
      </c>
    </row>
    <row r="738" customFormat="false" ht="15" hidden="false" customHeight="false" outlineLevel="0" collapsed="false">
      <c r="A738" s="2" t="n">
        <v>737</v>
      </c>
      <c r="B738" s="6" t="n">
        <v>18</v>
      </c>
      <c r="C738" s="6" t="n">
        <v>24</v>
      </c>
      <c r="D738" s="8" t="str">
        <f aca="false">INDEX(Bases!$B$2:$B$53,B738)</f>
        <v>Spheal</v>
      </c>
      <c r="E738" s="8" t="str">
        <f aca="false">INDEX(Bases!$B$2:$B$53,C738)</f>
        <v>Koffing</v>
      </c>
      <c r="F738" s="2" t="str">
        <f aca="false">LEFT(D738,ROUNDUP(LEN(D738)/2,0))&amp;LOWER(MID(E738,ROUNDUP(LEN(E738)/2,0)+1,20))</f>
        <v>Sphing</v>
      </c>
      <c r="G738" s="8" t="str">
        <f aca="false">INDEX(Bases!$C$2:$C$53,B738)</f>
        <v>Ice</v>
      </c>
      <c r="H738" s="8" t="str">
        <f aca="false">IF(INDEX(Bases!$C$2:$C$53,C738)=G738,"",INDEX(Bases!$C$2:$C$53,C738))</f>
        <v>Poison</v>
      </c>
      <c r="I738" s="8" t="str">
        <f aca="false">IF(INDEX(Bases!$E$2:$E$53,B738)="","",INDEX(Bases!$E$2:$E$53,B738))</f>
        <v/>
      </c>
      <c r="J738" s="8" t="str">
        <f aca="false">IF(INDEX(Bases!$E$2:$E$53,C738)="","",INDEX(Bases!$E$2:$E$53,C738))</f>
        <v/>
      </c>
      <c r="K738" s="5"/>
      <c r="L738" s="2" t="n">
        <f aca="false">AE738+IF(SUMPRODUCT(--($AL738:$AQ738&gt;AL738))&lt;$AK738,1,0)</f>
        <v>95</v>
      </c>
      <c r="M738" s="2" t="n">
        <f aca="false">AF738+IF(SUMPRODUCT(--($AL738:$AQ738&gt;AM738))+SUMPRODUCT(--($AL738:AL738=AM738))&lt;$AK738,1,0)</f>
        <v>81</v>
      </c>
      <c r="N738" s="2" t="n">
        <f aca="false">AG738+IF(SUMPRODUCT(--($AL738:$AQ738&gt;AN738))+SUMPRODUCT(--($AL738:AM738=AN738))&lt;$AK738,1,0)</f>
        <v>115</v>
      </c>
      <c r="O738" s="2" t="n">
        <f aca="false">AH738+IF(SUMPRODUCT(--($AL738:$AQ738&gt;AO738))+SUMPRODUCT(--($AL738:AN738=AO738))&lt;$AK738,1,0)</f>
        <v>88</v>
      </c>
      <c r="P738" s="2" t="n">
        <f aca="false">AI738+IF(SUMPRODUCT(--($AL738:$AQ738&gt;AP738))+SUMPRODUCT(--($AL738:AO738=AP738))&lt;$AK738,1,0)</f>
        <v>75</v>
      </c>
      <c r="Q738" s="2" t="n">
        <f aca="false">AJ738+IF(SUMPRODUCT(--($AL738:$AQ738&gt;AQ738))+SUMPRODUCT(--($AL738:AP738=AQ738))&lt;$AK738,1,0)</f>
        <v>46</v>
      </c>
      <c r="R738" s="2" t="n">
        <f aca="false">SUM(L738:Q738)</f>
        <v>500</v>
      </c>
      <c r="S738" s="2" t="n">
        <f aca="false">Settings!$B$4*MAX(INDEX(Bases!$M$2:$M$53,B738),INDEX(Bases!$M$2:$M$53,C738))+Settings!$B$5*MIN(INDEX(Bases!$M$2:$M$53,B738),INDEX(Bases!$M$2:$M$53,C738))</f>
        <v>80.3333333333333</v>
      </c>
      <c r="T738" s="2" t="n">
        <f aca="false">Settings!$B$4*MAX(INDEX(Bases!$N$2:$N$53,B738),INDEX(Bases!$N$2:$N$53,C738))+Settings!$B$5*MIN(INDEX(Bases!$N$2:$N$53,B738),INDEX(Bases!$N$2:$N$53,C738))</f>
        <v>69</v>
      </c>
      <c r="U738" s="2" t="n">
        <f aca="false">Settings!$B$4*MAX(INDEX(Bases!$O$2:$O$53,B738),INDEX(Bases!$O$2:$O$53,C738))+Settings!$B$5*MIN(INDEX(Bases!$O$2:$O$53,B738),INDEX(Bases!$O$2:$O$53,C738))</f>
        <v>97.6666666666667</v>
      </c>
      <c r="V738" s="2" t="n">
        <f aca="false">Settings!$B$4*MAX(INDEX(Bases!$P$2:$P$53,B738),INDEX(Bases!$P$2:$P$53,C738))+Settings!$B$5*MIN(INDEX(Bases!$P$2:$P$53,B738),INDEX(Bases!$P$2:$P$53,C738))</f>
        <v>74.3333333333333</v>
      </c>
      <c r="W738" s="2" t="n">
        <f aca="false">Settings!$B$4*MAX(INDEX(Bases!$Q$2:$Q$53,B738),INDEX(Bases!$Q$2:$Q$53,C738))+Settings!$B$5*MIN(INDEX(Bases!$Q$2:$Q$53,B738),INDEX(Bases!$Q$2:$Q$53,C738))</f>
        <v>63.6666666666667</v>
      </c>
      <c r="X738" s="2" t="n">
        <f aca="false">Settings!$B$4*MAX(INDEX(Bases!$R$2:$R$53,B738),INDEX(Bases!$R$2:$R$53,C738))+Settings!$B$5*MIN(INDEX(Bases!$R$2:$R$53,B738),INDEX(Bases!$R$2:$R$53,C738))</f>
        <v>38.6666666666667</v>
      </c>
      <c r="Y738" s="2" t="n">
        <f aca="false">S738*Settings!$B$3/SUM(S738:X738)</f>
        <v>94.8072383949646</v>
      </c>
      <c r="Z738" s="2" t="n">
        <f aca="false">T738*Settings!$B$3/SUM(S738:X738)</f>
        <v>81.4319433516916</v>
      </c>
      <c r="AA738" s="2" t="n">
        <f aca="false">U738*Settings!$B$3/SUM(S738:X738)</f>
        <v>115.263571990559</v>
      </c>
      <c r="AB738" s="2" t="n">
        <f aca="false">V738*Settings!$B$3/SUM(S738:X738)</f>
        <v>87.7261998426436</v>
      </c>
      <c r="AC738" s="2" t="n">
        <f aca="false">W738*Settings!$B$3/SUM(S738:X738)</f>
        <v>75.1376868607396</v>
      </c>
      <c r="AD738" s="2" t="n">
        <f aca="false">X738*Settings!$B$3/SUM(S738:X738)</f>
        <v>45.633359559402</v>
      </c>
      <c r="AE738" s="2" t="n">
        <f aca="false">INT(Y738)</f>
        <v>94</v>
      </c>
      <c r="AF738" s="2" t="n">
        <f aca="false">INT(Z738)</f>
        <v>81</v>
      </c>
      <c r="AG738" s="2" t="n">
        <f aca="false">INT(AA738)</f>
        <v>115</v>
      </c>
      <c r="AH738" s="2" t="n">
        <f aca="false">INT(AB738)</f>
        <v>87</v>
      </c>
      <c r="AI738" s="2" t="n">
        <f aca="false">INT(AC738)</f>
        <v>75</v>
      </c>
      <c r="AJ738" s="2" t="n">
        <f aca="false">INT(AD738)</f>
        <v>45</v>
      </c>
      <c r="AK738" s="2" t="n">
        <f aca="false">Settings!$B$3-SUM(AE738:AJ738)</f>
        <v>3</v>
      </c>
      <c r="AL738" s="2" t="n">
        <f aca="false">ROUND(Y738-AE738,9)</f>
        <v>0.807238395</v>
      </c>
      <c r="AM738" s="2" t="n">
        <f aca="false">ROUND(Z738-AF738,9)</f>
        <v>0.431943352</v>
      </c>
      <c r="AN738" s="2" t="n">
        <f aca="false">ROUND(AA738-AG738,9)</f>
        <v>0.263571991</v>
      </c>
      <c r="AO738" s="2" t="n">
        <f aca="false">ROUND(AB738-AH738,9)</f>
        <v>0.726199843</v>
      </c>
      <c r="AP738" s="2" t="n">
        <f aca="false">ROUND(AC738-AI738,9)</f>
        <v>0.137686861</v>
      </c>
      <c r="AQ738" s="2" t="n">
        <f aca="false">ROUND(AD738-AJ738,9)</f>
        <v>0.633359559</v>
      </c>
    </row>
    <row r="739" customFormat="false" ht="15" hidden="false" customHeight="false" outlineLevel="0" collapsed="false">
      <c r="A739" s="2" t="n">
        <v>738</v>
      </c>
      <c r="B739" s="6" t="n">
        <v>18</v>
      </c>
      <c r="C739" s="6" t="n">
        <v>25</v>
      </c>
      <c r="D739" s="8" t="str">
        <f aca="false">INDEX(Bases!$B$2:$B$53,B739)</f>
        <v>Spheal</v>
      </c>
      <c r="E739" s="8" t="str">
        <f aca="false">INDEX(Bases!$B$2:$B$53,C739)</f>
        <v>Sandshrew</v>
      </c>
      <c r="F739" s="2" t="str">
        <f aca="false">LEFT(D739,ROUNDUP(LEN(D739)/2,0))&amp;LOWER(MID(E739,ROUNDUP(LEN(E739)/2,0)+1,20))</f>
        <v>Sphhrew</v>
      </c>
      <c r="G739" s="8" t="str">
        <f aca="false">INDEX(Bases!$C$2:$C$53,B739)</f>
        <v>Ice</v>
      </c>
      <c r="H739" s="8" t="str">
        <f aca="false">IF(INDEX(Bases!$C$2:$C$53,C739)=G739,"",INDEX(Bases!$C$2:$C$53,C739))</f>
        <v>Ground</v>
      </c>
      <c r="I739" s="8" t="str">
        <f aca="false">IF(INDEX(Bases!$E$2:$E$53,B739)="","",INDEX(Bases!$E$2:$E$53,B739))</f>
        <v/>
      </c>
      <c r="J739" s="8" t="str">
        <f aca="false">IF(INDEX(Bases!$E$2:$E$53,C739)="","",INDEX(Bases!$E$2:$E$53,C739))</f>
        <v/>
      </c>
      <c r="K739" s="5"/>
      <c r="L739" s="2" t="n">
        <f aca="false">AE739+IF(SUMPRODUCT(--($AL739:$AQ739&gt;AL739))&lt;$AK739,1,0)</f>
        <v>100</v>
      </c>
      <c r="M739" s="2" t="n">
        <f aca="false">AF739+IF(SUMPRODUCT(--($AL739:$AQ739&gt;AM739))+SUMPRODUCT(--($AL739:AL739=AM739))&lt;$AK739,1,0)</f>
        <v>97</v>
      </c>
      <c r="N739" s="2" t="n">
        <f aca="false">AG739+IF(SUMPRODUCT(--($AL739:$AQ739&gt;AN739))+SUMPRODUCT(--($AL739:AM739=AN739))&lt;$AK739,1,0)</f>
        <v>113</v>
      </c>
      <c r="O739" s="2" t="n">
        <f aca="false">AH739+IF(SUMPRODUCT(--($AL739:$AQ739&gt;AO739))+SUMPRODUCT(--($AL739:AN739=AO739))&lt;$AK739,1,0)</f>
        <v>68</v>
      </c>
      <c r="P739" s="2" t="n">
        <f aca="false">AI739+IF(SUMPRODUCT(--($AL739:$AQ739&gt;AP739))+SUMPRODUCT(--($AL739:AO739=AP739))&lt;$AK739,1,0)</f>
        <v>68</v>
      </c>
      <c r="Q739" s="2" t="n">
        <f aca="false">AJ739+IF(SUMPRODUCT(--($AL739:$AQ739&gt;AQ739))+SUMPRODUCT(--($AL739:AP739=AQ739))&lt;$AK739,1,0)</f>
        <v>54</v>
      </c>
      <c r="R739" s="2" t="n">
        <f aca="false">SUM(L739:Q739)</f>
        <v>500</v>
      </c>
      <c r="S739" s="2" t="n">
        <f aca="false">Settings!$B$4*MAX(INDEX(Bases!$M$2:$M$53,B739),INDEX(Bases!$M$2:$M$53,C739))+Settings!$B$5*MIN(INDEX(Bases!$M$2:$M$53,B739),INDEX(Bases!$M$2:$M$53,C739))</f>
        <v>87</v>
      </c>
      <c r="T739" s="2" t="n">
        <f aca="false">Settings!$B$4*MAX(INDEX(Bases!$N$2:$N$53,B739),INDEX(Bases!$N$2:$N$53,C739))+Settings!$B$5*MIN(INDEX(Bases!$N$2:$N$53,B739),INDEX(Bases!$N$2:$N$53,C739))</f>
        <v>85</v>
      </c>
      <c r="U739" s="2" t="n">
        <f aca="false">Settings!$B$4*MAX(INDEX(Bases!$O$2:$O$53,B739),INDEX(Bases!$O$2:$O$53,C739))+Settings!$B$5*MIN(INDEX(Bases!$O$2:$O$53,B739),INDEX(Bases!$O$2:$O$53,C739))</f>
        <v>98.3333333333333</v>
      </c>
      <c r="V739" s="2" t="n">
        <f aca="false">Settings!$B$4*MAX(INDEX(Bases!$P$2:$P$53,B739),INDEX(Bases!$P$2:$P$53,C739))+Settings!$B$5*MIN(INDEX(Bases!$P$2:$P$53,B739),INDEX(Bases!$P$2:$P$53,C739))</f>
        <v>59.6666666666667</v>
      </c>
      <c r="W739" s="2" t="n">
        <f aca="false">Settings!$B$4*MAX(INDEX(Bases!$Q$2:$Q$53,B739),INDEX(Bases!$Q$2:$Q$53,C739))+Settings!$B$5*MIN(INDEX(Bases!$Q$2:$Q$53,B739),INDEX(Bases!$Q$2:$Q$53,C739))</f>
        <v>59.3333333333333</v>
      </c>
      <c r="X739" s="2" t="n">
        <f aca="false">Settings!$B$4*MAX(INDEX(Bases!$R$2:$R$53,B739),INDEX(Bases!$R$2:$R$53,C739))+Settings!$B$5*MIN(INDEX(Bases!$R$2:$R$53,B739),INDEX(Bases!$R$2:$R$53,C739))</f>
        <v>46.6666666666667</v>
      </c>
      <c r="Y739" s="2" t="n">
        <f aca="false">S739*Settings!$B$3/SUM(S739:X739)</f>
        <v>99.7706422018349</v>
      </c>
      <c r="Z739" s="2" t="n">
        <f aca="false">T739*Settings!$B$3/SUM(S739:X739)</f>
        <v>97.4770642201835</v>
      </c>
      <c r="AA739" s="2" t="n">
        <f aca="false">U739*Settings!$B$3/SUM(S739:X739)</f>
        <v>112.767584097859</v>
      </c>
      <c r="AB739" s="2" t="n">
        <f aca="false">V739*Settings!$B$3/SUM(S739:X739)</f>
        <v>68.4250764525994</v>
      </c>
      <c r="AC739" s="2" t="n">
        <f aca="false">W739*Settings!$B$3/SUM(S739:X739)</f>
        <v>68.0428134556575</v>
      </c>
      <c r="AD739" s="2" t="n">
        <f aca="false">X739*Settings!$B$3/SUM(S739:X739)</f>
        <v>53.5168195718654</v>
      </c>
      <c r="AE739" s="2" t="n">
        <f aca="false">INT(Y739)</f>
        <v>99</v>
      </c>
      <c r="AF739" s="2" t="n">
        <f aca="false">INT(Z739)</f>
        <v>97</v>
      </c>
      <c r="AG739" s="2" t="n">
        <f aca="false">INT(AA739)</f>
        <v>112</v>
      </c>
      <c r="AH739" s="2" t="n">
        <f aca="false">INT(AB739)</f>
        <v>68</v>
      </c>
      <c r="AI739" s="2" t="n">
        <f aca="false">INT(AC739)</f>
        <v>68</v>
      </c>
      <c r="AJ739" s="2" t="n">
        <f aca="false">INT(AD739)</f>
        <v>53</v>
      </c>
      <c r="AK739" s="2" t="n">
        <f aca="false">Settings!$B$3-SUM(AE739:AJ739)</f>
        <v>3</v>
      </c>
      <c r="AL739" s="2" t="n">
        <f aca="false">ROUND(Y739-AE739,9)</f>
        <v>0.770642202</v>
      </c>
      <c r="AM739" s="2" t="n">
        <f aca="false">ROUND(Z739-AF739,9)</f>
        <v>0.47706422</v>
      </c>
      <c r="AN739" s="2" t="n">
        <f aca="false">ROUND(AA739-AG739,9)</f>
        <v>0.767584098</v>
      </c>
      <c r="AO739" s="2" t="n">
        <f aca="false">ROUND(AB739-AH739,9)</f>
        <v>0.425076453</v>
      </c>
      <c r="AP739" s="2" t="n">
        <f aca="false">ROUND(AC739-AI739,9)</f>
        <v>0.042813456</v>
      </c>
      <c r="AQ739" s="2" t="n">
        <f aca="false">ROUND(AD739-AJ739,9)</f>
        <v>0.516819572</v>
      </c>
    </row>
    <row r="740" customFormat="false" ht="15" hidden="false" customHeight="false" outlineLevel="0" collapsed="false">
      <c r="A740" s="2" t="n">
        <v>739</v>
      </c>
      <c r="B740" s="6" t="n">
        <v>18</v>
      </c>
      <c r="C740" s="6" t="n">
        <v>26</v>
      </c>
      <c r="D740" s="8" t="str">
        <f aca="false">INDEX(Bases!$B$2:$B$53,B740)</f>
        <v>Spheal</v>
      </c>
      <c r="E740" s="8" t="str">
        <f aca="false">INDEX(Bases!$B$2:$B$53,C740)</f>
        <v>Phanpy</v>
      </c>
      <c r="F740" s="2" t="str">
        <f aca="false">LEFT(D740,ROUNDUP(LEN(D740)/2,0))&amp;LOWER(MID(E740,ROUNDUP(LEN(E740)/2,0)+1,20))</f>
        <v>Sphnpy</v>
      </c>
      <c r="G740" s="8" t="str">
        <f aca="false">INDEX(Bases!$C$2:$C$53,B740)</f>
        <v>Ice</v>
      </c>
      <c r="H740" s="8" t="str">
        <f aca="false">IF(INDEX(Bases!$C$2:$C$53,C740)=G740,"",INDEX(Bases!$C$2:$C$53,C740))</f>
        <v>Ground</v>
      </c>
      <c r="I740" s="8" t="str">
        <f aca="false">IF(INDEX(Bases!$E$2:$E$53,B740)="","",INDEX(Bases!$E$2:$E$53,B740))</f>
        <v/>
      </c>
      <c r="J740" s="8" t="str">
        <f aca="false">IF(INDEX(Bases!$E$2:$E$53,C740)="","",INDEX(Bases!$E$2:$E$53,C740))</f>
        <v/>
      </c>
      <c r="K740" s="5"/>
      <c r="L740" s="2" t="n">
        <f aca="false">AE740+IF(SUMPRODUCT(--($AL740:$AQ740&gt;AL740))&lt;$AK740,1,0)</f>
        <v>126</v>
      </c>
      <c r="M740" s="2" t="n">
        <f aca="false">AF740+IF(SUMPRODUCT(--($AL740:$AQ740&gt;AM740))+SUMPRODUCT(--($AL740:AL740=AM740))&lt;$AK740,1,0)</f>
        <v>81</v>
      </c>
      <c r="N740" s="2" t="n">
        <f aca="false">AG740+IF(SUMPRODUCT(--($AL740:$AQ740&gt;AN740))+SUMPRODUCT(--($AL740:AM740=AN740))&lt;$AK740,1,0)</f>
        <v>86</v>
      </c>
      <c r="O740" s="2" t="n">
        <f aca="false">AH740+IF(SUMPRODUCT(--($AL740:$AQ740&gt;AO740))+SUMPRODUCT(--($AL740:AN740=AO740))&lt;$AK740,1,0)</f>
        <v>81</v>
      </c>
      <c r="P740" s="2" t="n">
        <f aca="false">AI740+IF(SUMPRODUCT(--($AL740:$AQ740&gt;AP740))+SUMPRODUCT(--($AL740:AO740=AP740))&lt;$AK740,1,0)</f>
        <v>74</v>
      </c>
      <c r="Q740" s="2" t="n">
        <f aca="false">AJ740+IF(SUMPRODUCT(--($AL740:$AQ740&gt;AQ740))+SUMPRODUCT(--($AL740:AP740=AQ740))&lt;$AK740,1,0)</f>
        <v>52</v>
      </c>
      <c r="R740" s="2" t="n">
        <f aca="false">SUM(L740:Q740)</f>
        <v>500</v>
      </c>
      <c r="S740" s="2" t="n">
        <f aca="false">Settings!$B$4*MAX(INDEX(Bases!$M$2:$M$53,B740),INDEX(Bases!$M$2:$M$53,C740))+Settings!$B$5*MIN(INDEX(Bases!$M$2:$M$53,B740),INDEX(Bases!$M$2:$M$53,C740))</f>
        <v>105</v>
      </c>
      <c r="T740" s="2" t="n">
        <f aca="false">Settings!$B$4*MAX(INDEX(Bases!$N$2:$N$53,B740),INDEX(Bases!$N$2:$N$53,C740))+Settings!$B$5*MIN(INDEX(Bases!$N$2:$N$53,B740),INDEX(Bases!$N$2:$N$53,C740))</f>
        <v>67</v>
      </c>
      <c r="U740" s="2" t="n">
        <f aca="false">Settings!$B$4*MAX(INDEX(Bases!$O$2:$O$53,B740),INDEX(Bases!$O$2:$O$53,C740))+Settings!$B$5*MIN(INDEX(Bases!$O$2:$O$53,B740),INDEX(Bases!$O$2:$O$53,C740))</f>
        <v>71.6666666666667</v>
      </c>
      <c r="V740" s="2" t="n">
        <f aca="false">Settings!$B$4*MAX(INDEX(Bases!$P$2:$P$53,B740),INDEX(Bases!$P$2:$P$53,C740))+Settings!$B$5*MIN(INDEX(Bases!$P$2:$P$53,B740),INDEX(Bases!$P$2:$P$53,C740))</f>
        <v>67</v>
      </c>
      <c r="W740" s="2" t="n">
        <f aca="false">Settings!$B$4*MAX(INDEX(Bases!$Q$2:$Q$53,B740),INDEX(Bases!$Q$2:$Q$53,C740))+Settings!$B$5*MIN(INDEX(Bases!$Q$2:$Q$53,B740),INDEX(Bases!$Q$2:$Q$53,C740))</f>
        <v>62</v>
      </c>
      <c r="X740" s="2" t="n">
        <f aca="false">Settings!$B$4*MAX(INDEX(Bases!$R$2:$R$53,B740),INDEX(Bases!$R$2:$R$53,C740))+Settings!$B$5*MIN(INDEX(Bases!$R$2:$R$53,B740),INDEX(Bases!$R$2:$R$53,C740))</f>
        <v>43.3333333333333</v>
      </c>
      <c r="Y740" s="2" t="n">
        <f aca="false">S740*Settings!$B$3/SUM(S740:X740)</f>
        <v>126.201923076923</v>
      </c>
      <c r="Z740" s="2" t="n">
        <f aca="false">T740*Settings!$B$3/SUM(S740:X740)</f>
        <v>80.5288461538462</v>
      </c>
      <c r="AA740" s="2" t="n">
        <f aca="false">U740*Settings!$B$3/SUM(S740:X740)</f>
        <v>86.1378205128205</v>
      </c>
      <c r="AB740" s="2" t="n">
        <f aca="false">V740*Settings!$B$3/SUM(S740:X740)</f>
        <v>80.5288461538462</v>
      </c>
      <c r="AC740" s="2" t="n">
        <f aca="false">W740*Settings!$B$3/SUM(S740:X740)</f>
        <v>74.5192307692308</v>
      </c>
      <c r="AD740" s="2" t="n">
        <f aca="false">X740*Settings!$B$3/SUM(S740:X740)</f>
        <v>52.0833333333333</v>
      </c>
      <c r="AE740" s="2" t="n">
        <f aca="false">INT(Y740)</f>
        <v>126</v>
      </c>
      <c r="AF740" s="2" t="n">
        <f aca="false">INT(Z740)</f>
        <v>80</v>
      </c>
      <c r="AG740" s="2" t="n">
        <f aca="false">INT(AA740)</f>
        <v>86</v>
      </c>
      <c r="AH740" s="2" t="n">
        <f aca="false">INT(AB740)</f>
        <v>80</v>
      </c>
      <c r="AI740" s="2" t="n">
        <f aca="false">INT(AC740)</f>
        <v>74</v>
      </c>
      <c r="AJ740" s="2" t="n">
        <f aca="false">INT(AD740)</f>
        <v>52</v>
      </c>
      <c r="AK740" s="2" t="n">
        <f aca="false">Settings!$B$3-SUM(AE740:AJ740)</f>
        <v>2</v>
      </c>
      <c r="AL740" s="2" t="n">
        <f aca="false">ROUND(Y740-AE740,9)</f>
        <v>0.201923077</v>
      </c>
      <c r="AM740" s="2" t="n">
        <f aca="false">ROUND(Z740-AF740,9)</f>
        <v>0.528846154</v>
      </c>
      <c r="AN740" s="2" t="n">
        <f aca="false">ROUND(AA740-AG740,9)</f>
        <v>0.137820513</v>
      </c>
      <c r="AO740" s="2" t="n">
        <f aca="false">ROUND(AB740-AH740,9)</f>
        <v>0.528846154</v>
      </c>
      <c r="AP740" s="2" t="n">
        <f aca="false">ROUND(AC740-AI740,9)</f>
        <v>0.519230769</v>
      </c>
      <c r="AQ740" s="2" t="n">
        <f aca="false">ROUND(AD740-AJ740,9)</f>
        <v>0.083333333</v>
      </c>
    </row>
    <row r="741" customFormat="false" ht="15" hidden="false" customHeight="false" outlineLevel="0" collapsed="false">
      <c r="A741" s="2" t="n">
        <v>740</v>
      </c>
      <c r="B741" s="6" t="n">
        <v>18</v>
      </c>
      <c r="C741" s="6" t="n">
        <v>27</v>
      </c>
      <c r="D741" s="8" t="str">
        <f aca="false">INDEX(Bases!$B$2:$B$53,B741)</f>
        <v>Spheal</v>
      </c>
      <c r="E741" s="8" t="str">
        <f aca="false">INDEX(Bases!$B$2:$B$53,C741)</f>
        <v>Baltoy</v>
      </c>
      <c r="F741" s="2" t="str">
        <f aca="false">LEFT(D741,ROUNDUP(LEN(D741)/2,0))&amp;LOWER(MID(E741,ROUNDUP(LEN(E741)/2,0)+1,20))</f>
        <v>Sphtoy</v>
      </c>
      <c r="G741" s="8" t="str">
        <f aca="false">INDEX(Bases!$C$2:$C$53,B741)</f>
        <v>Ice</v>
      </c>
      <c r="H741" s="8" t="str">
        <f aca="false">IF(INDEX(Bases!$C$2:$C$53,C741)=G741,"",INDEX(Bases!$C$2:$C$53,C741))</f>
        <v>Ground</v>
      </c>
      <c r="I741" s="8" t="str">
        <f aca="false">IF(INDEX(Bases!$E$2:$E$53,B741)="","",INDEX(Bases!$E$2:$E$53,B741))</f>
        <v/>
      </c>
      <c r="J741" s="8" t="str">
        <f aca="false">IF(INDEX(Bases!$E$2:$E$53,C741)="","",INDEX(Bases!$E$2:$E$53,C741))</f>
        <v/>
      </c>
      <c r="K741" s="5"/>
      <c r="L741" s="2" t="n">
        <f aca="false">AE741+IF(SUMPRODUCT(--($AL741:$AQ741&gt;AL741))&lt;$AK741,1,0)</f>
        <v>98</v>
      </c>
      <c r="M741" s="2" t="n">
        <f aca="false">AF741+IF(SUMPRODUCT(--($AL741:$AQ741&gt;AM741))+SUMPRODUCT(--($AL741:AL741=AM741))&lt;$AK741,1,0)</f>
        <v>65</v>
      </c>
      <c r="N741" s="2" t="n">
        <f aca="false">AG741+IF(SUMPRODUCT(--($AL741:$AQ741&gt;AN741))+SUMPRODUCT(--($AL741:AM741=AN741))&lt;$AK741,1,0)</f>
        <v>85</v>
      </c>
      <c r="O741" s="2" t="n">
        <f aca="false">AH741+IF(SUMPRODUCT(--($AL741:$AQ741&gt;AO741))+SUMPRODUCT(--($AL741:AN741=AO741))&lt;$AK741,1,0)</f>
        <v>81</v>
      </c>
      <c r="P741" s="2" t="n">
        <f aca="false">AI741+IF(SUMPRODUCT(--($AL741:$AQ741&gt;AP741))+SUMPRODUCT(--($AL741:AO741=AP741))&lt;$AK741,1,0)</f>
        <v>100</v>
      </c>
      <c r="Q741" s="2" t="n">
        <f aca="false">AJ741+IF(SUMPRODUCT(--($AL741:$AQ741&gt;AQ741))+SUMPRODUCT(--($AL741:AP741=AQ741))&lt;$AK741,1,0)</f>
        <v>71</v>
      </c>
      <c r="R741" s="2" t="n">
        <f aca="false">SUM(L741:Q741)</f>
        <v>500</v>
      </c>
      <c r="S741" s="2" t="n">
        <f aca="false">Settings!$B$4*MAX(INDEX(Bases!$M$2:$M$53,B741),INDEX(Bases!$M$2:$M$53,C741))+Settings!$B$5*MIN(INDEX(Bases!$M$2:$M$53,B741),INDEX(Bases!$M$2:$M$53,C741))</f>
        <v>82.6666666666667</v>
      </c>
      <c r="T741" s="2" t="n">
        <f aca="false">Settings!$B$4*MAX(INDEX(Bases!$N$2:$N$53,B741),INDEX(Bases!$N$2:$N$53,C741))+Settings!$B$5*MIN(INDEX(Bases!$N$2:$N$53,B741),INDEX(Bases!$N$2:$N$53,C741))</f>
        <v>54.6666666666667</v>
      </c>
      <c r="U741" s="2" t="n">
        <f aca="false">Settings!$B$4*MAX(INDEX(Bases!$O$2:$O$53,B741),INDEX(Bases!$O$2:$O$53,C741))+Settings!$B$5*MIN(INDEX(Bases!$O$2:$O$53,B741),INDEX(Bases!$O$2:$O$53,C741))</f>
        <v>71.6666666666667</v>
      </c>
      <c r="V741" s="2" t="n">
        <f aca="false">Settings!$B$4*MAX(INDEX(Bases!$P$2:$P$53,B741),INDEX(Bases!$P$2:$P$53,C741))+Settings!$B$5*MIN(INDEX(Bases!$P$2:$P$53,B741),INDEX(Bases!$P$2:$P$53,C741))</f>
        <v>68.3333333333333</v>
      </c>
      <c r="W741" s="2" t="n">
        <f aca="false">Settings!$B$4*MAX(INDEX(Bases!$Q$2:$Q$53,B741),INDEX(Bases!$Q$2:$Q$53,C741))+Settings!$B$5*MIN(INDEX(Bases!$Q$2:$Q$53,B741),INDEX(Bases!$Q$2:$Q$53,C741))</f>
        <v>85</v>
      </c>
      <c r="X741" s="2" t="n">
        <f aca="false">Settings!$B$4*MAX(INDEX(Bases!$R$2:$R$53,B741),INDEX(Bases!$R$2:$R$53,C741))+Settings!$B$5*MIN(INDEX(Bases!$R$2:$R$53,B741),INDEX(Bases!$R$2:$R$53,C741))</f>
        <v>60</v>
      </c>
      <c r="Y741" s="2" t="n">
        <f aca="false">S741*Settings!$B$3/SUM(S741:X741)</f>
        <v>97.8689818468824</v>
      </c>
      <c r="Z741" s="2" t="n">
        <f aca="false">T741*Settings!$B$3/SUM(S741:X741)</f>
        <v>64.7198105761642</v>
      </c>
      <c r="AA741" s="2" t="n">
        <f aca="false">U741*Settings!$B$3/SUM(S741:X741)</f>
        <v>84.846093133386</v>
      </c>
      <c r="AB741" s="2" t="n">
        <f aca="false">V741*Settings!$B$3/SUM(S741:X741)</f>
        <v>80.8997632202052</v>
      </c>
      <c r="AC741" s="2" t="n">
        <f aca="false">W741*Settings!$B$3/SUM(S741:X741)</f>
        <v>100.631412786109</v>
      </c>
      <c r="AD741" s="2" t="n">
        <f aca="false">X741*Settings!$B$3/SUM(S741:X741)</f>
        <v>71.0339384372534</v>
      </c>
      <c r="AE741" s="2" t="n">
        <f aca="false">INT(Y741)</f>
        <v>97</v>
      </c>
      <c r="AF741" s="2" t="n">
        <f aca="false">INT(Z741)</f>
        <v>64</v>
      </c>
      <c r="AG741" s="2" t="n">
        <f aca="false">INT(AA741)</f>
        <v>84</v>
      </c>
      <c r="AH741" s="2" t="n">
        <f aca="false">INT(AB741)</f>
        <v>80</v>
      </c>
      <c r="AI741" s="2" t="n">
        <f aca="false">INT(AC741)</f>
        <v>100</v>
      </c>
      <c r="AJ741" s="2" t="n">
        <f aca="false">INT(AD741)</f>
        <v>71</v>
      </c>
      <c r="AK741" s="2" t="n">
        <f aca="false">Settings!$B$3-SUM(AE741:AJ741)</f>
        <v>4</v>
      </c>
      <c r="AL741" s="2" t="n">
        <f aca="false">ROUND(Y741-AE741,9)</f>
        <v>0.868981847</v>
      </c>
      <c r="AM741" s="2" t="n">
        <f aca="false">ROUND(Z741-AF741,9)</f>
        <v>0.719810576</v>
      </c>
      <c r="AN741" s="2" t="n">
        <f aca="false">ROUND(AA741-AG741,9)</f>
        <v>0.846093133</v>
      </c>
      <c r="AO741" s="2" t="n">
        <f aca="false">ROUND(AB741-AH741,9)</f>
        <v>0.89976322</v>
      </c>
      <c r="AP741" s="2" t="n">
        <f aca="false">ROUND(AC741-AI741,9)</f>
        <v>0.631412786</v>
      </c>
      <c r="AQ741" s="2" t="n">
        <f aca="false">ROUND(AD741-AJ741,9)</f>
        <v>0.033938437</v>
      </c>
    </row>
    <row r="742" customFormat="false" ht="15" hidden="false" customHeight="false" outlineLevel="0" collapsed="false">
      <c r="A742" s="2" t="n">
        <v>741</v>
      </c>
      <c r="B742" s="6" t="n">
        <v>18</v>
      </c>
      <c r="C742" s="6" t="n">
        <v>28</v>
      </c>
      <c r="D742" s="8" t="str">
        <f aca="false">INDEX(Bases!$B$2:$B$53,B742)</f>
        <v>Spheal</v>
      </c>
      <c r="E742" s="8" t="str">
        <f aca="false">INDEX(Bases!$B$2:$B$53,C742)</f>
        <v>Zubat</v>
      </c>
      <c r="F742" s="2" t="str">
        <f aca="false">LEFT(D742,ROUNDUP(LEN(D742)/2,0))&amp;LOWER(MID(E742,ROUNDUP(LEN(E742)/2,0)+1,20))</f>
        <v>Sphat</v>
      </c>
      <c r="G742" s="8" t="str">
        <f aca="false">INDEX(Bases!$C$2:$C$53,B742)</f>
        <v>Ice</v>
      </c>
      <c r="H742" s="8" t="str">
        <f aca="false">IF(INDEX(Bases!$C$2:$C$53,C742)=G742,"",INDEX(Bases!$C$2:$C$53,C742))</f>
        <v>Flying</v>
      </c>
      <c r="I742" s="8" t="str">
        <f aca="false">IF(INDEX(Bases!$E$2:$E$53,B742)="","",INDEX(Bases!$E$2:$E$53,B742))</f>
        <v/>
      </c>
      <c r="J742" s="8" t="str">
        <f aca="false">IF(INDEX(Bases!$E$2:$E$53,C742)="","",INDEX(Bases!$E$2:$E$53,C742))</f>
        <v/>
      </c>
      <c r="K742" s="5"/>
      <c r="L742" s="2" t="n">
        <f aca="false">AE742+IF(SUMPRODUCT(--($AL742:$AQ742&gt;AL742))&lt;$AK742,1,0)</f>
        <v>101</v>
      </c>
      <c r="M742" s="2" t="n">
        <f aca="false">AF742+IF(SUMPRODUCT(--($AL742:$AQ742&gt;AM742))+SUMPRODUCT(--($AL742:AL742=AM742))&lt;$AK742,1,0)</f>
        <v>80</v>
      </c>
      <c r="N742" s="2" t="n">
        <f aca="false">AG742+IF(SUMPRODUCT(--($AL742:$AQ742&gt;AN742))+SUMPRODUCT(--($AL742:AM742=AN742))&lt;$AK742,1,0)</f>
        <v>76</v>
      </c>
      <c r="O742" s="2" t="n">
        <f aca="false">AH742+IF(SUMPRODUCT(--($AL742:$AQ742&gt;AO742))+SUMPRODUCT(--($AL742:AN742=AO742))&lt;$AK742,1,0)</f>
        <v>79</v>
      </c>
      <c r="P742" s="2" t="n">
        <f aca="false">AI742+IF(SUMPRODUCT(--($AL742:$AQ742&gt;AP742))+SUMPRODUCT(--($AL742:AO742=AP742))&lt;$AK742,1,0)</f>
        <v>80</v>
      </c>
      <c r="Q742" s="2" t="n">
        <f aca="false">AJ742+IF(SUMPRODUCT(--($AL742:$AQ742&gt;AQ742))+SUMPRODUCT(--($AL742:AP742=AQ742))&lt;$AK742,1,0)</f>
        <v>84</v>
      </c>
      <c r="R742" s="2" t="n">
        <f aca="false">SUM(L742:Q742)</f>
        <v>500</v>
      </c>
      <c r="S742" s="2" t="n">
        <f aca="false">Settings!$B$4*MAX(INDEX(Bases!$M$2:$M$53,B742),INDEX(Bases!$M$2:$M$53,C742))+Settings!$B$5*MIN(INDEX(Bases!$M$2:$M$53,B742),INDEX(Bases!$M$2:$M$53,C742))</f>
        <v>86.3333333333333</v>
      </c>
      <c r="T742" s="2" t="n">
        <f aca="false">Settings!$B$4*MAX(INDEX(Bases!$N$2:$N$53,B742),INDEX(Bases!$N$2:$N$53,C742))+Settings!$B$5*MIN(INDEX(Bases!$N$2:$N$53,B742),INDEX(Bases!$N$2:$N$53,C742))</f>
        <v>67.6666666666667</v>
      </c>
      <c r="U742" s="2" t="n">
        <f aca="false">Settings!$B$4*MAX(INDEX(Bases!$O$2:$O$53,B742),INDEX(Bases!$O$2:$O$53,C742))+Settings!$B$5*MIN(INDEX(Bases!$O$2:$O$53,B742),INDEX(Bases!$O$2:$O$53,C742))</f>
        <v>65</v>
      </c>
      <c r="V742" s="2" t="n">
        <f aca="false">Settings!$B$4*MAX(INDEX(Bases!$P$2:$P$53,B742),INDEX(Bases!$P$2:$P$53,C742))+Settings!$B$5*MIN(INDEX(Bases!$P$2:$P$53,B742),INDEX(Bases!$P$2:$P$53,C742))</f>
        <v>67</v>
      </c>
      <c r="W742" s="2" t="n">
        <f aca="false">Settings!$B$4*MAX(INDEX(Bases!$Q$2:$Q$53,B742),INDEX(Bases!$Q$2:$Q$53,C742))+Settings!$B$5*MIN(INDEX(Bases!$Q$2:$Q$53,B742),INDEX(Bases!$Q$2:$Q$53,C742))</f>
        <v>67.6666666666667</v>
      </c>
      <c r="X742" s="2" t="n">
        <f aca="false">Settings!$B$4*MAX(INDEX(Bases!$R$2:$R$53,B742),INDEX(Bases!$R$2:$R$53,C742))+Settings!$B$5*MIN(INDEX(Bases!$R$2:$R$53,B742),INDEX(Bases!$R$2:$R$53,C742))</f>
        <v>71.3333333333333</v>
      </c>
      <c r="Y742" s="2" t="n">
        <f aca="false">S742*Settings!$B$3/SUM(S742:X742)</f>
        <v>101.56862745098</v>
      </c>
      <c r="Z742" s="2" t="n">
        <f aca="false">T742*Settings!$B$3/SUM(S742:X742)</f>
        <v>79.6078431372549</v>
      </c>
      <c r="AA742" s="2" t="n">
        <f aca="false">U742*Settings!$B$3/SUM(S742:X742)</f>
        <v>76.4705882352941</v>
      </c>
      <c r="AB742" s="2" t="n">
        <f aca="false">V742*Settings!$B$3/SUM(S742:X742)</f>
        <v>78.8235294117647</v>
      </c>
      <c r="AC742" s="2" t="n">
        <f aca="false">W742*Settings!$B$3/SUM(S742:X742)</f>
        <v>79.6078431372549</v>
      </c>
      <c r="AD742" s="2" t="n">
        <f aca="false">X742*Settings!$B$3/SUM(S742:X742)</f>
        <v>83.921568627451</v>
      </c>
      <c r="AE742" s="2" t="n">
        <f aca="false">INT(Y742)</f>
        <v>101</v>
      </c>
      <c r="AF742" s="2" t="n">
        <f aca="false">INT(Z742)</f>
        <v>79</v>
      </c>
      <c r="AG742" s="2" t="n">
        <f aca="false">INT(AA742)</f>
        <v>76</v>
      </c>
      <c r="AH742" s="2" t="n">
        <f aca="false">INT(AB742)</f>
        <v>78</v>
      </c>
      <c r="AI742" s="2" t="n">
        <f aca="false">INT(AC742)</f>
        <v>79</v>
      </c>
      <c r="AJ742" s="2" t="n">
        <f aca="false">INT(AD742)</f>
        <v>83</v>
      </c>
      <c r="AK742" s="2" t="n">
        <f aca="false">Settings!$B$3-SUM(AE742:AJ742)</f>
        <v>4</v>
      </c>
      <c r="AL742" s="2" t="n">
        <f aca="false">ROUND(Y742-AE742,9)</f>
        <v>0.568627451</v>
      </c>
      <c r="AM742" s="2" t="n">
        <f aca="false">ROUND(Z742-AF742,9)</f>
        <v>0.607843137</v>
      </c>
      <c r="AN742" s="2" t="n">
        <f aca="false">ROUND(AA742-AG742,9)</f>
        <v>0.470588235</v>
      </c>
      <c r="AO742" s="2" t="n">
        <f aca="false">ROUND(AB742-AH742,9)</f>
        <v>0.823529412</v>
      </c>
      <c r="AP742" s="2" t="n">
        <f aca="false">ROUND(AC742-AI742,9)</f>
        <v>0.607843137</v>
      </c>
      <c r="AQ742" s="2" t="n">
        <f aca="false">ROUND(AD742-AJ742,9)</f>
        <v>0.921568627</v>
      </c>
    </row>
    <row r="743" customFormat="false" ht="15" hidden="false" customHeight="false" outlineLevel="0" collapsed="false">
      <c r="A743" s="2" t="n">
        <v>742</v>
      </c>
      <c r="B743" s="6" t="n">
        <v>18</v>
      </c>
      <c r="C743" s="6" t="n">
        <v>29</v>
      </c>
      <c r="D743" s="8" t="str">
        <f aca="false">INDEX(Bases!$B$2:$B$53,B743)</f>
        <v>Spheal</v>
      </c>
      <c r="E743" s="8" t="str">
        <f aca="false">INDEX(Bases!$B$2:$B$53,C743)</f>
        <v>Murkrow</v>
      </c>
      <c r="F743" s="2" t="str">
        <f aca="false">LEFT(D743,ROUNDUP(LEN(D743)/2,0))&amp;LOWER(MID(E743,ROUNDUP(LEN(E743)/2,0)+1,20))</f>
        <v>Sphrow</v>
      </c>
      <c r="G743" s="8" t="str">
        <f aca="false">INDEX(Bases!$C$2:$C$53,B743)</f>
        <v>Ice</v>
      </c>
      <c r="H743" s="8" t="str">
        <f aca="false">IF(INDEX(Bases!$C$2:$C$53,C743)=G743,"",INDEX(Bases!$C$2:$C$53,C743))</f>
        <v>Flying</v>
      </c>
      <c r="I743" s="8" t="str">
        <f aca="false">IF(INDEX(Bases!$E$2:$E$53,B743)="","",INDEX(Bases!$E$2:$E$53,B743))</f>
        <v/>
      </c>
      <c r="J743" s="8" t="str">
        <f aca="false">IF(INDEX(Bases!$E$2:$E$53,C743)="","",INDEX(Bases!$E$2:$E$53,C743))</f>
        <v/>
      </c>
      <c r="K743" s="5"/>
      <c r="L743" s="2" t="n">
        <f aca="false">AE743+IF(SUMPRODUCT(--($AL743:$AQ743&gt;AL743))&lt;$AK743,1,0)</f>
        <v>98</v>
      </c>
      <c r="M743" s="2" t="n">
        <f aca="false">AF743+IF(SUMPRODUCT(--($AL743:$AQ743&gt;AM743))+SUMPRODUCT(--($AL743:AL743=AM743))&lt;$AK743,1,0)</f>
        <v>86</v>
      </c>
      <c r="N743" s="2" t="n">
        <f aca="false">AG743+IF(SUMPRODUCT(--($AL743:$AQ743&gt;AN743))+SUMPRODUCT(--($AL743:AM743=AN743))&lt;$AK743,1,0)</f>
        <v>70</v>
      </c>
      <c r="O743" s="2" t="n">
        <f aca="false">AH743+IF(SUMPRODUCT(--($AL743:$AQ743&gt;AO743))+SUMPRODUCT(--($AL743:AN743=AO743))&lt;$AK743,1,0)</f>
        <v>94</v>
      </c>
      <c r="P743" s="2" t="n">
        <f aca="false">AI743+IF(SUMPRODUCT(--($AL743:$AQ743&gt;AP743))+SUMPRODUCT(--($AL743:AO743=AP743))&lt;$AK743,1,0)</f>
        <v>69</v>
      </c>
      <c r="Q743" s="2" t="n">
        <f aca="false">AJ743+IF(SUMPRODUCT(--($AL743:$AQ743&gt;AQ743))+SUMPRODUCT(--($AL743:AP743=AQ743))&lt;$AK743,1,0)</f>
        <v>83</v>
      </c>
      <c r="R743" s="2" t="n">
        <f aca="false">SUM(L743:Q743)</f>
        <v>500</v>
      </c>
      <c r="S743" s="2" t="n">
        <f aca="false">Settings!$B$4*MAX(INDEX(Bases!$M$2:$M$53,B743),INDEX(Bases!$M$2:$M$53,C743))+Settings!$B$5*MIN(INDEX(Bases!$M$2:$M$53,B743),INDEX(Bases!$M$2:$M$53,C743))</f>
        <v>84.3333333333333</v>
      </c>
      <c r="T743" s="2" t="n">
        <f aca="false">Settings!$B$4*MAX(INDEX(Bases!$N$2:$N$53,B743),INDEX(Bases!$N$2:$N$53,C743))+Settings!$B$5*MIN(INDEX(Bases!$N$2:$N$53,B743),INDEX(Bases!$N$2:$N$53,C743))</f>
        <v>74.3333333333333</v>
      </c>
      <c r="U743" s="2" t="n">
        <f aca="false">Settings!$B$4*MAX(INDEX(Bases!$O$2:$O$53,B743),INDEX(Bases!$O$2:$O$53,C743))+Settings!$B$5*MIN(INDEX(Bases!$O$2:$O$53,B743),INDEX(Bases!$O$2:$O$53,C743))</f>
        <v>60</v>
      </c>
      <c r="V743" s="2" t="n">
        <f aca="false">Settings!$B$4*MAX(INDEX(Bases!$P$2:$P$53,B743),INDEX(Bases!$P$2:$P$53,C743))+Settings!$B$5*MIN(INDEX(Bases!$P$2:$P$53,B743),INDEX(Bases!$P$2:$P$53,C743))</f>
        <v>81.3333333333333</v>
      </c>
      <c r="W743" s="2" t="n">
        <f aca="false">Settings!$B$4*MAX(INDEX(Bases!$Q$2:$Q$53,B743),INDEX(Bases!$Q$2:$Q$53,C743))+Settings!$B$5*MIN(INDEX(Bases!$Q$2:$Q$53,B743),INDEX(Bases!$Q$2:$Q$53,C743))</f>
        <v>59.6666666666667</v>
      </c>
      <c r="X743" s="2" t="n">
        <f aca="false">Settings!$B$4*MAX(INDEX(Bases!$R$2:$R$53,B743),INDEX(Bases!$R$2:$R$53,C743))+Settings!$B$5*MIN(INDEX(Bases!$R$2:$R$53,B743),INDEX(Bases!$R$2:$R$53,C743))</f>
        <v>71.3333333333333</v>
      </c>
      <c r="Y743" s="2" t="n">
        <f aca="false">S743*Settings!$B$3/SUM(S743:X743)</f>
        <v>97.8344934261408</v>
      </c>
      <c r="Z743" s="2" t="n">
        <f aca="false">T743*Settings!$B$3/SUM(S743:X743)</f>
        <v>86.2335653518948</v>
      </c>
      <c r="AA743" s="2" t="n">
        <f aca="false">U743*Settings!$B$3/SUM(S743:X743)</f>
        <v>69.6055684454756</v>
      </c>
      <c r="AB743" s="2" t="n">
        <f aca="false">V743*Settings!$B$3/SUM(S743:X743)</f>
        <v>94.354215003867</v>
      </c>
      <c r="AC743" s="2" t="n">
        <f aca="false">W743*Settings!$B$3/SUM(S743:X743)</f>
        <v>69.2188708430008</v>
      </c>
      <c r="AD743" s="2" t="n">
        <f aca="false">X743*Settings!$B$3/SUM(S743:X743)</f>
        <v>82.753286929621</v>
      </c>
      <c r="AE743" s="2" t="n">
        <f aca="false">INT(Y743)</f>
        <v>97</v>
      </c>
      <c r="AF743" s="2" t="n">
        <f aca="false">INT(Z743)</f>
        <v>86</v>
      </c>
      <c r="AG743" s="2" t="n">
        <f aca="false">INT(AA743)</f>
        <v>69</v>
      </c>
      <c r="AH743" s="2" t="n">
        <f aca="false">INT(AB743)</f>
        <v>94</v>
      </c>
      <c r="AI743" s="2" t="n">
        <f aca="false">INT(AC743)</f>
        <v>69</v>
      </c>
      <c r="AJ743" s="2" t="n">
        <f aca="false">INT(AD743)</f>
        <v>82</v>
      </c>
      <c r="AK743" s="2" t="n">
        <f aca="false">Settings!$B$3-SUM(AE743:AJ743)</f>
        <v>3</v>
      </c>
      <c r="AL743" s="2" t="n">
        <f aca="false">ROUND(Y743-AE743,9)</f>
        <v>0.834493426</v>
      </c>
      <c r="AM743" s="2" t="n">
        <f aca="false">ROUND(Z743-AF743,9)</f>
        <v>0.233565352</v>
      </c>
      <c r="AN743" s="2" t="n">
        <f aca="false">ROUND(AA743-AG743,9)</f>
        <v>0.605568445</v>
      </c>
      <c r="AO743" s="2" t="n">
        <f aca="false">ROUND(AB743-AH743,9)</f>
        <v>0.354215004</v>
      </c>
      <c r="AP743" s="2" t="n">
        <f aca="false">ROUND(AC743-AI743,9)</f>
        <v>0.218870843</v>
      </c>
      <c r="AQ743" s="2" t="n">
        <f aca="false">ROUND(AD743-AJ743,9)</f>
        <v>0.75328693</v>
      </c>
    </row>
    <row r="744" customFormat="false" ht="15" hidden="false" customHeight="false" outlineLevel="0" collapsed="false">
      <c r="A744" s="2" t="n">
        <v>743</v>
      </c>
      <c r="B744" s="6" t="n">
        <v>18</v>
      </c>
      <c r="C744" s="6" t="n">
        <v>30</v>
      </c>
      <c r="D744" s="8" t="str">
        <f aca="false">INDEX(Bases!$B$2:$B$53,B744)</f>
        <v>Spheal</v>
      </c>
      <c r="E744" s="8" t="str">
        <f aca="false">INDEX(Bases!$B$2:$B$53,C744)</f>
        <v>Swablu</v>
      </c>
      <c r="F744" s="2" t="str">
        <f aca="false">LEFT(D744,ROUNDUP(LEN(D744)/2,0))&amp;LOWER(MID(E744,ROUNDUP(LEN(E744)/2,0)+1,20))</f>
        <v>Sphblu</v>
      </c>
      <c r="G744" s="8" t="str">
        <f aca="false">INDEX(Bases!$C$2:$C$53,B744)</f>
        <v>Ice</v>
      </c>
      <c r="H744" s="8" t="str">
        <f aca="false">IF(INDEX(Bases!$C$2:$C$53,C744)=G744,"",INDEX(Bases!$C$2:$C$53,C744))</f>
        <v>Flying</v>
      </c>
      <c r="I744" s="8" t="str">
        <f aca="false">IF(INDEX(Bases!$E$2:$E$53,B744)="","",INDEX(Bases!$E$2:$E$53,B744))</f>
        <v/>
      </c>
      <c r="J744" s="8" t="str">
        <f aca="false">IF(INDEX(Bases!$E$2:$E$53,C744)="","",INDEX(Bases!$E$2:$E$53,C744))</f>
        <v/>
      </c>
      <c r="K744" s="5"/>
      <c r="L744" s="2" t="n">
        <f aca="false">AE744+IF(SUMPRODUCT(--($AL744:$AQ744&gt;AL744))&lt;$AK744,1,0)</f>
        <v>99</v>
      </c>
      <c r="M744" s="2" t="n">
        <f aca="false">AF744+IF(SUMPRODUCT(--($AL744:$AQ744&gt;AM744))+SUMPRODUCT(--($AL744:AL744=AM744))&lt;$AK744,1,0)</f>
        <v>64</v>
      </c>
      <c r="N744" s="2" t="n">
        <f aca="false">AG744+IF(SUMPRODUCT(--($AL744:$AQ744&gt;AN744))+SUMPRODUCT(--($AL744:AM744=AN744))&lt;$AK744,1,0)</f>
        <v>88</v>
      </c>
      <c r="O744" s="2" t="n">
        <f aca="false">AH744+IF(SUMPRODUCT(--($AL744:$AQ744&gt;AO744))+SUMPRODUCT(--($AL744:AN744=AO744))&lt;$AK744,1,0)</f>
        <v>81</v>
      </c>
      <c r="P744" s="2" t="n">
        <f aca="false">AI744+IF(SUMPRODUCT(--($AL744:$AQ744&gt;AP744))+SUMPRODUCT(--($AL744:AO744=AP744))&lt;$AK744,1,0)</f>
        <v>104</v>
      </c>
      <c r="Q744" s="2" t="n">
        <f aca="false">AJ744+IF(SUMPRODUCT(--($AL744:$AQ744&gt;AQ744))+SUMPRODUCT(--($AL744:AP744=AQ744))&lt;$AK744,1,0)</f>
        <v>64</v>
      </c>
      <c r="R744" s="2" t="n">
        <f aca="false">SUM(L744:Q744)</f>
        <v>500</v>
      </c>
      <c r="S744" s="2" t="n">
        <f aca="false">Settings!$B$4*MAX(INDEX(Bases!$M$2:$M$53,B744),INDEX(Bases!$M$2:$M$53,C744))+Settings!$B$5*MIN(INDEX(Bases!$M$2:$M$53,B744),INDEX(Bases!$M$2:$M$53,C744))</f>
        <v>84</v>
      </c>
      <c r="T744" s="2" t="n">
        <f aca="false">Settings!$B$4*MAX(INDEX(Bases!$N$2:$N$53,B744),INDEX(Bases!$N$2:$N$53,C744))+Settings!$B$5*MIN(INDEX(Bases!$N$2:$N$53,B744),INDEX(Bases!$N$2:$N$53,C744))</f>
        <v>54</v>
      </c>
      <c r="U744" s="2" t="n">
        <f aca="false">Settings!$B$4*MAX(INDEX(Bases!$O$2:$O$53,B744),INDEX(Bases!$O$2:$O$53,C744))+Settings!$B$5*MIN(INDEX(Bases!$O$2:$O$53,B744),INDEX(Bases!$O$2:$O$53,C744))</f>
        <v>74.3333333333333</v>
      </c>
      <c r="V744" s="2" t="n">
        <f aca="false">Settings!$B$4*MAX(INDEX(Bases!$P$2:$P$53,B744),INDEX(Bases!$P$2:$P$53,C744))+Settings!$B$5*MIN(INDEX(Bases!$P$2:$P$53,B744),INDEX(Bases!$P$2:$P$53,C744))</f>
        <v>68</v>
      </c>
      <c r="W744" s="2" t="n">
        <f aca="false">Settings!$B$4*MAX(INDEX(Bases!$Q$2:$Q$53,B744),INDEX(Bases!$Q$2:$Q$53,C744))+Settings!$B$5*MIN(INDEX(Bases!$Q$2:$Q$53,B744),INDEX(Bases!$Q$2:$Q$53,C744))</f>
        <v>87.6666666666667</v>
      </c>
      <c r="X744" s="2" t="n">
        <f aca="false">Settings!$B$4*MAX(INDEX(Bases!$R$2:$R$53,B744),INDEX(Bases!$R$2:$R$53,C744))+Settings!$B$5*MIN(INDEX(Bases!$R$2:$R$53,B744),INDEX(Bases!$R$2:$R$53,C744))</f>
        <v>54</v>
      </c>
      <c r="Y744" s="2" t="n">
        <f aca="false">S744*Settings!$B$3/SUM(S744:X744)</f>
        <v>99.5260663507109</v>
      </c>
      <c r="Z744" s="2" t="n">
        <f aca="false">T744*Settings!$B$3/SUM(S744:X744)</f>
        <v>63.9810426540284</v>
      </c>
      <c r="AA744" s="2" t="n">
        <f aca="false">U744*Settings!$B$3/SUM(S744:X744)</f>
        <v>88.0726698262243</v>
      </c>
      <c r="AB744" s="2" t="n">
        <f aca="false">V744*Settings!$B$3/SUM(S744:X744)</f>
        <v>80.5687203791469</v>
      </c>
      <c r="AC744" s="2" t="n">
        <f aca="false">W744*Settings!$B$3/SUM(S744:X744)</f>
        <v>103.870458135861</v>
      </c>
      <c r="AD744" s="2" t="n">
        <f aca="false">X744*Settings!$B$3/SUM(S744:X744)</f>
        <v>63.9810426540284</v>
      </c>
      <c r="AE744" s="2" t="n">
        <f aca="false">INT(Y744)</f>
        <v>99</v>
      </c>
      <c r="AF744" s="2" t="n">
        <f aca="false">INT(Z744)</f>
        <v>63</v>
      </c>
      <c r="AG744" s="2" t="n">
        <f aca="false">INT(AA744)</f>
        <v>88</v>
      </c>
      <c r="AH744" s="2" t="n">
        <f aca="false">INT(AB744)</f>
        <v>80</v>
      </c>
      <c r="AI744" s="2" t="n">
        <f aca="false">INT(AC744)</f>
        <v>103</v>
      </c>
      <c r="AJ744" s="2" t="n">
        <f aca="false">INT(AD744)</f>
        <v>63</v>
      </c>
      <c r="AK744" s="2" t="n">
        <f aca="false">Settings!$B$3-SUM(AE744:AJ744)</f>
        <v>4</v>
      </c>
      <c r="AL744" s="2" t="n">
        <f aca="false">ROUND(Y744-AE744,9)</f>
        <v>0.526066351</v>
      </c>
      <c r="AM744" s="2" t="n">
        <f aca="false">ROUND(Z744-AF744,9)</f>
        <v>0.981042654</v>
      </c>
      <c r="AN744" s="2" t="n">
        <f aca="false">ROUND(AA744-AG744,9)</f>
        <v>0.072669826</v>
      </c>
      <c r="AO744" s="2" t="n">
        <f aca="false">ROUND(AB744-AH744,9)</f>
        <v>0.568720379</v>
      </c>
      <c r="AP744" s="2" t="n">
        <f aca="false">ROUND(AC744-AI744,9)</f>
        <v>0.870458136</v>
      </c>
      <c r="AQ744" s="2" t="n">
        <f aca="false">ROUND(AD744-AJ744,9)</f>
        <v>0.981042654</v>
      </c>
    </row>
    <row r="745" customFormat="false" ht="15" hidden="false" customHeight="false" outlineLevel="0" collapsed="false">
      <c r="A745" s="2" t="n">
        <v>744</v>
      </c>
      <c r="B745" s="6" t="n">
        <v>18</v>
      </c>
      <c r="C745" s="6" t="n">
        <v>31</v>
      </c>
      <c r="D745" s="8" t="str">
        <f aca="false">INDEX(Bases!$B$2:$B$53,B745)</f>
        <v>Spheal</v>
      </c>
      <c r="E745" s="8" t="str">
        <f aca="false">INDEX(Bases!$B$2:$B$53,C745)</f>
        <v>Mew</v>
      </c>
      <c r="F745" s="2" t="str">
        <f aca="false">LEFT(D745,ROUNDUP(LEN(D745)/2,0))&amp;LOWER(MID(E745,ROUNDUP(LEN(E745)/2,0)+1,20))</f>
        <v>Sphw</v>
      </c>
      <c r="G745" s="8" t="str">
        <f aca="false">INDEX(Bases!$C$2:$C$53,B745)</f>
        <v>Ice</v>
      </c>
      <c r="H745" s="8" t="str">
        <f aca="false">IF(INDEX(Bases!$C$2:$C$53,C745)=G745,"",INDEX(Bases!$C$2:$C$53,C745))</f>
        <v>Psychic</v>
      </c>
      <c r="I745" s="8" t="str">
        <f aca="false">IF(INDEX(Bases!$E$2:$E$53,B745)="","",INDEX(Bases!$E$2:$E$53,B745))</f>
        <v/>
      </c>
      <c r="J745" s="8" t="str">
        <f aca="false">IF(INDEX(Bases!$E$2:$E$53,C745)="","",INDEX(Bases!$E$2:$E$53,C745))</f>
        <v/>
      </c>
      <c r="K745" s="5"/>
      <c r="L745" s="2" t="n">
        <f aca="false">AE745+IF(SUMPRODUCT(--($AL745:$AQ745&gt;AL745))&lt;$AK745,1,0)</f>
        <v>105</v>
      </c>
      <c r="M745" s="2" t="n">
        <f aca="false">AF745+IF(SUMPRODUCT(--($AL745:$AQ745&gt;AM745))+SUMPRODUCT(--($AL745:AL745=AM745))&lt;$AK745,1,0)</f>
        <v>76</v>
      </c>
      <c r="N745" s="2" t="n">
        <f aca="false">AG745+IF(SUMPRODUCT(--($AL745:$AQ745&gt;AN745))+SUMPRODUCT(--($AL745:AM745=AN745))&lt;$AK745,1,0)</f>
        <v>82</v>
      </c>
      <c r="O745" s="2" t="n">
        <f aca="false">AH745+IF(SUMPRODUCT(--($AL745:$AQ745&gt;AO745))+SUMPRODUCT(--($AL745:AN745=AO745))&lt;$AK745,1,0)</f>
        <v>88</v>
      </c>
      <c r="P745" s="2" t="n">
        <f aca="false">AI745+IF(SUMPRODUCT(--($AL745:$AQ745&gt;AP745))+SUMPRODUCT(--($AL745:AO745=AP745))&lt;$AK745,1,0)</f>
        <v>82</v>
      </c>
      <c r="Q745" s="2" t="n">
        <f aca="false">AJ745+IF(SUMPRODUCT(--($AL745:$AQ745&gt;AQ745))+SUMPRODUCT(--($AL745:AP745=AQ745))&lt;$AK745,1,0)</f>
        <v>67</v>
      </c>
      <c r="R745" s="2" t="n">
        <f aca="false">SUM(L745:Q745)</f>
        <v>500</v>
      </c>
      <c r="S745" s="2" t="n">
        <f aca="false">Settings!$B$4*MAX(INDEX(Bases!$M$2:$M$53,B745),INDEX(Bases!$M$2:$M$53,C745))+Settings!$B$5*MIN(INDEX(Bases!$M$2:$M$53,B745),INDEX(Bases!$M$2:$M$53,C745))</f>
        <v>87</v>
      </c>
      <c r="T745" s="2" t="n">
        <f aca="false">Settings!$B$4*MAX(INDEX(Bases!$N$2:$N$53,B745),INDEX(Bases!$N$2:$N$53,C745))+Settings!$B$5*MIN(INDEX(Bases!$N$2:$N$53,B745),INDEX(Bases!$N$2:$N$53,C745))</f>
        <v>63</v>
      </c>
      <c r="U745" s="2" t="n">
        <f aca="false">Settings!$B$4*MAX(INDEX(Bases!$O$2:$O$53,B745),INDEX(Bases!$O$2:$O$53,C745))+Settings!$B$5*MIN(INDEX(Bases!$O$2:$O$53,B745),INDEX(Bases!$O$2:$O$53,C745))</f>
        <v>68.3333333333333</v>
      </c>
      <c r="V745" s="2" t="n">
        <f aca="false">Settings!$B$4*MAX(INDEX(Bases!$P$2:$P$53,B745),INDEX(Bases!$P$2:$P$53,C745))+Settings!$B$5*MIN(INDEX(Bases!$P$2:$P$53,B745),INDEX(Bases!$P$2:$P$53,C745))</f>
        <v>73</v>
      </c>
      <c r="W745" s="2" t="n">
        <f aca="false">Settings!$B$4*MAX(INDEX(Bases!$Q$2:$Q$53,B745),INDEX(Bases!$Q$2:$Q$53,C745))+Settings!$B$5*MIN(INDEX(Bases!$Q$2:$Q$53,B745),INDEX(Bases!$Q$2:$Q$53,C745))</f>
        <v>68</v>
      </c>
      <c r="X745" s="2" t="n">
        <f aca="false">Settings!$B$4*MAX(INDEX(Bases!$R$2:$R$53,B745),INDEX(Bases!$R$2:$R$53,C745))+Settings!$B$5*MIN(INDEX(Bases!$R$2:$R$53,B745),INDEX(Bases!$R$2:$R$53,C745))</f>
        <v>55.3333333333333</v>
      </c>
      <c r="Y745" s="2" t="n">
        <f aca="false">S745*Settings!$B$3/SUM(S745:X745)</f>
        <v>104.903536977492</v>
      </c>
      <c r="Z745" s="2" t="n">
        <f aca="false">T745*Settings!$B$3/SUM(S745:X745)</f>
        <v>75.9646302250804</v>
      </c>
      <c r="AA745" s="2" t="n">
        <f aca="false">U745*Settings!$B$3/SUM(S745:X745)</f>
        <v>82.395498392283</v>
      </c>
      <c r="AB745" s="2" t="n">
        <f aca="false">V745*Settings!$B$3/SUM(S745:X745)</f>
        <v>88.0225080385852</v>
      </c>
      <c r="AC745" s="2" t="n">
        <f aca="false">W745*Settings!$B$3/SUM(S745:X745)</f>
        <v>81.9935691318328</v>
      </c>
      <c r="AD745" s="2" t="n">
        <f aca="false">X745*Settings!$B$3/SUM(S745:X745)</f>
        <v>66.7202572347267</v>
      </c>
      <c r="AE745" s="2" t="n">
        <f aca="false">INT(Y745)</f>
        <v>104</v>
      </c>
      <c r="AF745" s="2" t="n">
        <f aca="false">INT(Z745)</f>
        <v>75</v>
      </c>
      <c r="AG745" s="2" t="n">
        <f aca="false">INT(AA745)</f>
        <v>82</v>
      </c>
      <c r="AH745" s="2" t="n">
        <f aca="false">INT(AB745)</f>
        <v>88</v>
      </c>
      <c r="AI745" s="2" t="n">
        <f aca="false">INT(AC745)</f>
        <v>81</v>
      </c>
      <c r="AJ745" s="2" t="n">
        <f aca="false">INT(AD745)</f>
        <v>66</v>
      </c>
      <c r="AK745" s="2" t="n">
        <f aca="false">Settings!$B$3-SUM(AE745:AJ745)</f>
        <v>4</v>
      </c>
      <c r="AL745" s="2" t="n">
        <f aca="false">ROUND(Y745-AE745,9)</f>
        <v>0.903536977</v>
      </c>
      <c r="AM745" s="2" t="n">
        <f aca="false">ROUND(Z745-AF745,9)</f>
        <v>0.964630225</v>
      </c>
      <c r="AN745" s="2" t="n">
        <f aca="false">ROUND(AA745-AG745,9)</f>
        <v>0.395498392</v>
      </c>
      <c r="AO745" s="2" t="n">
        <f aca="false">ROUND(AB745-AH745,9)</f>
        <v>0.022508039</v>
      </c>
      <c r="AP745" s="2" t="n">
        <f aca="false">ROUND(AC745-AI745,9)</f>
        <v>0.993569132</v>
      </c>
      <c r="AQ745" s="2" t="n">
        <f aca="false">ROUND(AD745-AJ745,9)</f>
        <v>0.720257235</v>
      </c>
    </row>
    <row r="746" customFormat="false" ht="15" hidden="false" customHeight="false" outlineLevel="0" collapsed="false">
      <c r="A746" s="2" t="n">
        <v>745</v>
      </c>
      <c r="B746" s="6" t="n">
        <v>18</v>
      </c>
      <c r="C746" s="6" t="n">
        <v>32</v>
      </c>
      <c r="D746" s="8" t="str">
        <f aca="false">INDEX(Bases!$B$2:$B$53,B746)</f>
        <v>Spheal</v>
      </c>
      <c r="E746" s="8" t="str">
        <f aca="false">INDEX(Bases!$B$2:$B$53,C746)</f>
        <v>Spoink</v>
      </c>
      <c r="F746" s="2" t="str">
        <f aca="false">LEFT(D746,ROUNDUP(LEN(D746)/2,0))&amp;LOWER(MID(E746,ROUNDUP(LEN(E746)/2,0)+1,20))</f>
        <v>Sphink</v>
      </c>
      <c r="G746" s="8" t="str">
        <f aca="false">INDEX(Bases!$C$2:$C$53,B746)</f>
        <v>Ice</v>
      </c>
      <c r="H746" s="8" t="str">
        <f aca="false">IF(INDEX(Bases!$C$2:$C$53,C746)=G746,"",INDEX(Bases!$C$2:$C$53,C746))</f>
        <v>Psychic</v>
      </c>
      <c r="I746" s="8" t="str">
        <f aca="false">IF(INDEX(Bases!$E$2:$E$53,B746)="","",INDEX(Bases!$E$2:$E$53,B746))</f>
        <v/>
      </c>
      <c r="J746" s="8" t="str">
        <f aca="false">IF(INDEX(Bases!$E$2:$E$53,C746)="","",INDEX(Bases!$E$2:$E$53,C746))</f>
        <v/>
      </c>
      <c r="K746" s="5"/>
      <c r="L746" s="2" t="n">
        <f aca="false">AE746+IF(SUMPRODUCT(--($AL746:$AQ746&gt;AL746))&lt;$AK746,1,0)</f>
        <v>105</v>
      </c>
      <c r="M746" s="2" t="n">
        <f aca="false">AF746+IF(SUMPRODUCT(--($AL746:$AQ746&gt;AM746))+SUMPRODUCT(--($AL746:AL746=AM746))&lt;$AK746,1,0)</f>
        <v>55</v>
      </c>
      <c r="N746" s="2" t="n">
        <f aca="false">AG746+IF(SUMPRODUCT(--($AL746:$AQ746&gt;AN746))+SUMPRODUCT(--($AL746:AM746=AN746))&lt;$AK746,1,0)</f>
        <v>71</v>
      </c>
      <c r="O746" s="2" t="n">
        <f aca="false">AH746+IF(SUMPRODUCT(--($AL746:$AQ746&gt;AO746))+SUMPRODUCT(--($AL746:AN746=AO746))&lt;$AK746,1,0)</f>
        <v>96</v>
      </c>
      <c r="P746" s="2" t="n">
        <f aca="false">AI746+IF(SUMPRODUCT(--($AL746:$AQ746&gt;AP746))+SUMPRODUCT(--($AL746:AO746=AP746))&lt;$AK746,1,0)</f>
        <v>103</v>
      </c>
      <c r="Q746" s="2" t="n">
        <f aca="false">AJ746+IF(SUMPRODUCT(--($AL746:$AQ746&gt;AQ746))+SUMPRODUCT(--($AL746:AP746=AQ746))&lt;$AK746,1,0)</f>
        <v>70</v>
      </c>
      <c r="R746" s="2" t="n">
        <f aca="false">SUM(L746:Q746)</f>
        <v>500</v>
      </c>
      <c r="S746" s="2" t="n">
        <f aca="false">Settings!$B$4*MAX(INDEX(Bases!$M$2:$M$53,B746),INDEX(Bases!$M$2:$M$53,C746))+Settings!$B$5*MIN(INDEX(Bases!$M$2:$M$53,B746),INDEX(Bases!$M$2:$M$53,C746))</f>
        <v>89</v>
      </c>
      <c r="T746" s="2" t="n">
        <f aca="false">Settings!$B$4*MAX(INDEX(Bases!$N$2:$N$53,B746),INDEX(Bases!$N$2:$N$53,C746))+Settings!$B$5*MIN(INDEX(Bases!$N$2:$N$53,B746),INDEX(Bases!$N$2:$N$53,C746))</f>
        <v>46.6666666666667</v>
      </c>
      <c r="U746" s="2" t="n">
        <f aca="false">Settings!$B$4*MAX(INDEX(Bases!$O$2:$O$53,B746),INDEX(Bases!$O$2:$O$53,C746))+Settings!$B$5*MIN(INDEX(Bases!$O$2:$O$53,B746),INDEX(Bases!$O$2:$O$53,C746))</f>
        <v>60</v>
      </c>
      <c r="V746" s="2" t="n">
        <f aca="false">Settings!$B$4*MAX(INDEX(Bases!$P$2:$P$53,B746),INDEX(Bases!$P$2:$P$53,C746))+Settings!$B$5*MIN(INDEX(Bases!$P$2:$P$53,B746),INDEX(Bases!$P$2:$P$53,C746))</f>
        <v>82</v>
      </c>
      <c r="W746" s="2" t="n">
        <f aca="false">Settings!$B$4*MAX(INDEX(Bases!$Q$2:$Q$53,B746),INDEX(Bases!$Q$2:$Q$53,C746))+Settings!$B$5*MIN(INDEX(Bases!$Q$2:$Q$53,B746),INDEX(Bases!$Q$2:$Q$53,C746))</f>
        <v>87.6666666666667</v>
      </c>
      <c r="X746" s="2" t="n">
        <f aca="false">Settings!$B$4*MAX(INDEX(Bases!$R$2:$R$53,B746),INDEX(Bases!$R$2:$R$53,C746))+Settings!$B$5*MIN(INDEX(Bases!$R$2:$R$53,B746),INDEX(Bases!$R$2:$R$53,C746))</f>
        <v>60</v>
      </c>
      <c r="Y746" s="2" t="n">
        <f aca="false">S746*Settings!$B$3/SUM(S746:X746)</f>
        <v>104.623824451411</v>
      </c>
      <c r="Z746" s="2" t="n">
        <f aca="false">T746*Settings!$B$3/SUM(S746:X746)</f>
        <v>54.858934169279</v>
      </c>
      <c r="AA746" s="2" t="n">
        <f aca="false">U746*Settings!$B$3/SUM(S746:X746)</f>
        <v>70.5329153605016</v>
      </c>
      <c r="AB746" s="2" t="n">
        <f aca="false">V746*Settings!$B$3/SUM(S746:X746)</f>
        <v>96.3949843260188</v>
      </c>
      <c r="AC746" s="2" t="n">
        <f aca="false">W746*Settings!$B$3/SUM(S746:X746)</f>
        <v>103.056426332288</v>
      </c>
      <c r="AD746" s="2" t="n">
        <f aca="false">X746*Settings!$B$3/SUM(S746:X746)</f>
        <v>70.5329153605016</v>
      </c>
      <c r="AE746" s="2" t="n">
        <f aca="false">INT(Y746)</f>
        <v>104</v>
      </c>
      <c r="AF746" s="2" t="n">
        <f aca="false">INT(Z746)</f>
        <v>54</v>
      </c>
      <c r="AG746" s="2" t="n">
        <f aca="false">INT(AA746)</f>
        <v>70</v>
      </c>
      <c r="AH746" s="2" t="n">
        <f aca="false">INT(AB746)</f>
        <v>96</v>
      </c>
      <c r="AI746" s="2" t="n">
        <f aca="false">INT(AC746)</f>
        <v>103</v>
      </c>
      <c r="AJ746" s="2" t="n">
        <f aca="false">INT(AD746)</f>
        <v>70</v>
      </c>
      <c r="AK746" s="2" t="n">
        <f aca="false">Settings!$B$3-SUM(AE746:AJ746)</f>
        <v>3</v>
      </c>
      <c r="AL746" s="2" t="n">
        <f aca="false">ROUND(Y746-AE746,9)</f>
        <v>0.623824451</v>
      </c>
      <c r="AM746" s="2" t="n">
        <f aca="false">ROUND(Z746-AF746,9)</f>
        <v>0.858934169</v>
      </c>
      <c r="AN746" s="2" t="n">
        <f aca="false">ROUND(AA746-AG746,9)</f>
        <v>0.532915361</v>
      </c>
      <c r="AO746" s="2" t="n">
        <f aca="false">ROUND(AB746-AH746,9)</f>
        <v>0.394984326</v>
      </c>
      <c r="AP746" s="2" t="n">
        <f aca="false">ROUND(AC746-AI746,9)</f>
        <v>0.056426332</v>
      </c>
      <c r="AQ746" s="2" t="n">
        <f aca="false">ROUND(AD746-AJ746,9)</f>
        <v>0.532915361</v>
      </c>
    </row>
    <row r="747" customFormat="false" ht="15" hidden="false" customHeight="false" outlineLevel="0" collapsed="false">
      <c r="A747" s="2" t="n">
        <v>746</v>
      </c>
      <c r="B747" s="6" t="n">
        <v>18</v>
      </c>
      <c r="C747" s="6" t="n">
        <v>33</v>
      </c>
      <c r="D747" s="8" t="str">
        <f aca="false">INDEX(Bases!$B$2:$B$53,B747)</f>
        <v>Spheal</v>
      </c>
      <c r="E747" s="8" t="str">
        <f aca="false">INDEX(Bases!$B$2:$B$53,C747)</f>
        <v>Jirachi</v>
      </c>
      <c r="F747" s="2" t="str">
        <f aca="false">LEFT(D747,ROUNDUP(LEN(D747)/2,0))&amp;LOWER(MID(E747,ROUNDUP(LEN(E747)/2,0)+1,20))</f>
        <v>Sphchi</v>
      </c>
      <c r="G747" s="8" t="str">
        <f aca="false">INDEX(Bases!$C$2:$C$53,B747)</f>
        <v>Ice</v>
      </c>
      <c r="H747" s="8" t="str">
        <f aca="false">IF(INDEX(Bases!$C$2:$C$53,C747)=G747,"",INDEX(Bases!$C$2:$C$53,C747))</f>
        <v>Psychic</v>
      </c>
      <c r="I747" s="8" t="str">
        <f aca="false">IF(INDEX(Bases!$E$2:$E$53,B747)="","",INDEX(Bases!$E$2:$E$53,B747))</f>
        <v/>
      </c>
      <c r="J747" s="8" t="str">
        <f aca="false">IF(INDEX(Bases!$E$2:$E$53,C747)="","",INDEX(Bases!$E$2:$E$53,C747))</f>
        <v/>
      </c>
      <c r="K747" s="5"/>
      <c r="L747" s="2" t="n">
        <f aca="false">AE747+IF(SUMPRODUCT(--($AL747:$AQ747&gt;AL747))&lt;$AK747,1,0)</f>
        <v>105</v>
      </c>
      <c r="M747" s="2" t="n">
        <f aca="false">AF747+IF(SUMPRODUCT(--($AL747:$AQ747&gt;AM747))+SUMPRODUCT(--($AL747:AL747=AM747))&lt;$AK747,1,0)</f>
        <v>76</v>
      </c>
      <c r="N747" s="2" t="n">
        <f aca="false">AG747+IF(SUMPRODUCT(--($AL747:$AQ747&gt;AN747))+SUMPRODUCT(--($AL747:AM747=AN747))&lt;$AK747,1,0)</f>
        <v>82</v>
      </c>
      <c r="O747" s="2" t="n">
        <f aca="false">AH747+IF(SUMPRODUCT(--($AL747:$AQ747&gt;AO747))+SUMPRODUCT(--($AL747:AN747=AO747))&lt;$AK747,1,0)</f>
        <v>88</v>
      </c>
      <c r="P747" s="2" t="n">
        <f aca="false">AI747+IF(SUMPRODUCT(--($AL747:$AQ747&gt;AP747))+SUMPRODUCT(--($AL747:AO747=AP747))&lt;$AK747,1,0)</f>
        <v>82</v>
      </c>
      <c r="Q747" s="2" t="n">
        <f aca="false">AJ747+IF(SUMPRODUCT(--($AL747:$AQ747&gt;AQ747))+SUMPRODUCT(--($AL747:AP747=AQ747))&lt;$AK747,1,0)</f>
        <v>67</v>
      </c>
      <c r="R747" s="2" t="n">
        <f aca="false">SUM(L747:Q747)</f>
        <v>500</v>
      </c>
      <c r="S747" s="2" t="n">
        <f aca="false">Settings!$B$4*MAX(INDEX(Bases!$M$2:$M$53,B747),INDEX(Bases!$M$2:$M$53,C747))+Settings!$B$5*MIN(INDEX(Bases!$M$2:$M$53,B747),INDEX(Bases!$M$2:$M$53,C747))</f>
        <v>87</v>
      </c>
      <c r="T747" s="2" t="n">
        <f aca="false">Settings!$B$4*MAX(INDEX(Bases!$N$2:$N$53,B747),INDEX(Bases!$N$2:$N$53,C747))+Settings!$B$5*MIN(INDEX(Bases!$N$2:$N$53,B747),INDEX(Bases!$N$2:$N$53,C747))</f>
        <v>63</v>
      </c>
      <c r="U747" s="2" t="n">
        <f aca="false">Settings!$B$4*MAX(INDEX(Bases!$O$2:$O$53,B747),INDEX(Bases!$O$2:$O$53,C747))+Settings!$B$5*MIN(INDEX(Bases!$O$2:$O$53,B747),INDEX(Bases!$O$2:$O$53,C747))</f>
        <v>68.3333333333333</v>
      </c>
      <c r="V747" s="2" t="n">
        <f aca="false">Settings!$B$4*MAX(INDEX(Bases!$P$2:$P$53,B747),INDEX(Bases!$P$2:$P$53,C747))+Settings!$B$5*MIN(INDEX(Bases!$P$2:$P$53,B747),INDEX(Bases!$P$2:$P$53,C747))</f>
        <v>73</v>
      </c>
      <c r="W747" s="2" t="n">
        <f aca="false">Settings!$B$4*MAX(INDEX(Bases!$Q$2:$Q$53,B747),INDEX(Bases!$Q$2:$Q$53,C747))+Settings!$B$5*MIN(INDEX(Bases!$Q$2:$Q$53,B747),INDEX(Bases!$Q$2:$Q$53,C747))</f>
        <v>68</v>
      </c>
      <c r="X747" s="2" t="n">
        <f aca="false">Settings!$B$4*MAX(INDEX(Bases!$R$2:$R$53,B747),INDEX(Bases!$R$2:$R$53,C747))+Settings!$B$5*MIN(INDEX(Bases!$R$2:$R$53,B747),INDEX(Bases!$R$2:$R$53,C747))</f>
        <v>55.3333333333333</v>
      </c>
      <c r="Y747" s="2" t="n">
        <f aca="false">S747*Settings!$B$3/SUM(S747:X747)</f>
        <v>104.903536977492</v>
      </c>
      <c r="Z747" s="2" t="n">
        <f aca="false">T747*Settings!$B$3/SUM(S747:X747)</f>
        <v>75.9646302250804</v>
      </c>
      <c r="AA747" s="2" t="n">
        <f aca="false">U747*Settings!$B$3/SUM(S747:X747)</f>
        <v>82.395498392283</v>
      </c>
      <c r="AB747" s="2" t="n">
        <f aca="false">V747*Settings!$B$3/SUM(S747:X747)</f>
        <v>88.0225080385852</v>
      </c>
      <c r="AC747" s="2" t="n">
        <f aca="false">W747*Settings!$B$3/SUM(S747:X747)</f>
        <v>81.9935691318328</v>
      </c>
      <c r="AD747" s="2" t="n">
        <f aca="false">X747*Settings!$B$3/SUM(S747:X747)</f>
        <v>66.7202572347267</v>
      </c>
      <c r="AE747" s="2" t="n">
        <f aca="false">INT(Y747)</f>
        <v>104</v>
      </c>
      <c r="AF747" s="2" t="n">
        <f aca="false">INT(Z747)</f>
        <v>75</v>
      </c>
      <c r="AG747" s="2" t="n">
        <f aca="false">INT(AA747)</f>
        <v>82</v>
      </c>
      <c r="AH747" s="2" t="n">
        <f aca="false">INT(AB747)</f>
        <v>88</v>
      </c>
      <c r="AI747" s="2" t="n">
        <f aca="false">INT(AC747)</f>
        <v>81</v>
      </c>
      <c r="AJ747" s="2" t="n">
        <f aca="false">INT(AD747)</f>
        <v>66</v>
      </c>
      <c r="AK747" s="2" t="n">
        <f aca="false">Settings!$B$3-SUM(AE747:AJ747)</f>
        <v>4</v>
      </c>
      <c r="AL747" s="2" t="n">
        <f aca="false">ROUND(Y747-AE747,9)</f>
        <v>0.903536977</v>
      </c>
      <c r="AM747" s="2" t="n">
        <f aca="false">ROUND(Z747-AF747,9)</f>
        <v>0.964630225</v>
      </c>
      <c r="AN747" s="2" t="n">
        <f aca="false">ROUND(AA747-AG747,9)</f>
        <v>0.395498392</v>
      </c>
      <c r="AO747" s="2" t="n">
        <f aca="false">ROUND(AB747-AH747,9)</f>
        <v>0.022508039</v>
      </c>
      <c r="AP747" s="2" t="n">
        <f aca="false">ROUND(AC747-AI747,9)</f>
        <v>0.993569132</v>
      </c>
      <c r="AQ747" s="2" t="n">
        <f aca="false">ROUND(AD747-AJ747,9)</f>
        <v>0.720257235</v>
      </c>
    </row>
    <row r="748" customFormat="false" ht="15" hidden="false" customHeight="false" outlineLevel="0" collapsed="false">
      <c r="A748" s="2" t="n">
        <v>747</v>
      </c>
      <c r="B748" s="6" t="n">
        <v>18</v>
      </c>
      <c r="C748" s="6" t="n">
        <v>34</v>
      </c>
      <c r="D748" s="8" t="str">
        <f aca="false">INDEX(Bases!$B$2:$B$53,B748)</f>
        <v>Spheal</v>
      </c>
      <c r="E748" s="8" t="str">
        <f aca="false">INDEX(Bases!$B$2:$B$53,C748)</f>
        <v>Paras</v>
      </c>
      <c r="F748" s="2" t="str">
        <f aca="false">LEFT(D748,ROUNDUP(LEN(D748)/2,0))&amp;LOWER(MID(E748,ROUNDUP(LEN(E748)/2,0)+1,20))</f>
        <v>Sphas</v>
      </c>
      <c r="G748" s="8" t="str">
        <f aca="false">INDEX(Bases!$C$2:$C$53,B748)</f>
        <v>Ice</v>
      </c>
      <c r="H748" s="8" t="str">
        <f aca="false">IF(INDEX(Bases!$C$2:$C$53,C748)=G748,"",INDEX(Bases!$C$2:$C$53,C748))</f>
        <v>Bug</v>
      </c>
      <c r="I748" s="8" t="str">
        <f aca="false">IF(INDEX(Bases!$E$2:$E$53,B748)="","",INDEX(Bases!$E$2:$E$53,B748))</f>
        <v/>
      </c>
      <c r="J748" s="8" t="str">
        <f aca="false">IF(INDEX(Bases!$E$2:$E$53,C748)="","",INDEX(Bases!$E$2:$E$53,C748))</f>
        <v/>
      </c>
      <c r="K748" s="5"/>
      <c r="L748" s="2" t="n">
        <f aca="false">AE748+IF(SUMPRODUCT(--($AL748:$AQ748&gt;AL748))&lt;$AK748,1,0)</f>
        <v>96</v>
      </c>
      <c r="M748" s="2" t="n">
        <f aca="false">AF748+IF(SUMPRODUCT(--($AL748:$AQ748&gt;AM748))+SUMPRODUCT(--($AL748:AL748=AM748))&lt;$AK748,1,0)</f>
        <v>100</v>
      </c>
      <c r="N748" s="2" t="n">
        <f aca="false">AG748+IF(SUMPRODUCT(--($AL748:$AQ748&gt;AN748))+SUMPRODUCT(--($AL748:AM748=AN748))&lt;$AK748,1,0)</f>
        <v>89</v>
      </c>
      <c r="O748" s="2" t="n">
        <f aca="false">AH748+IF(SUMPRODUCT(--($AL748:$AQ748&gt;AO748))+SUMPRODUCT(--($AL748:AN748=AO748))&lt;$AK748,1,0)</f>
        <v>85</v>
      </c>
      <c r="P748" s="2" t="n">
        <f aca="false">AI748+IF(SUMPRODUCT(--($AL748:$AQ748&gt;AP748))+SUMPRODUCT(--($AL748:AO748=AP748))&lt;$AK748,1,0)</f>
        <v>89</v>
      </c>
      <c r="Q748" s="2" t="n">
        <f aca="false">AJ748+IF(SUMPRODUCT(--($AL748:$AQ748&gt;AQ748))+SUMPRODUCT(--($AL748:AP748=AQ748))&lt;$AK748,1,0)</f>
        <v>41</v>
      </c>
      <c r="R748" s="2" t="n">
        <f aca="false">SUM(L748:Q748)</f>
        <v>500</v>
      </c>
      <c r="S748" s="2" t="n">
        <f aca="false">Settings!$B$4*MAX(INDEX(Bases!$M$2:$M$53,B748),INDEX(Bases!$M$2:$M$53,C748))+Settings!$B$5*MIN(INDEX(Bases!$M$2:$M$53,B748),INDEX(Bases!$M$2:$M$53,C748))</f>
        <v>81</v>
      </c>
      <c r="T748" s="2" t="n">
        <f aca="false">Settings!$B$4*MAX(INDEX(Bases!$N$2:$N$53,B748),INDEX(Bases!$N$2:$N$53,C748))+Settings!$B$5*MIN(INDEX(Bases!$N$2:$N$53,B748),INDEX(Bases!$N$2:$N$53,C748))</f>
        <v>84.3333333333333</v>
      </c>
      <c r="U748" s="2" t="n">
        <f aca="false">Settings!$B$4*MAX(INDEX(Bases!$O$2:$O$53,B748),INDEX(Bases!$O$2:$O$53,C748))+Settings!$B$5*MIN(INDEX(Bases!$O$2:$O$53,B748),INDEX(Bases!$O$2:$O$53,C748))</f>
        <v>74.3333333333333</v>
      </c>
      <c r="V748" s="2" t="n">
        <f aca="false">Settings!$B$4*MAX(INDEX(Bases!$P$2:$P$53,B748),INDEX(Bases!$P$2:$P$53,C748))+Settings!$B$5*MIN(INDEX(Bases!$P$2:$P$53,B748),INDEX(Bases!$P$2:$P$53,C748))</f>
        <v>71.6666666666667</v>
      </c>
      <c r="W748" s="2" t="n">
        <f aca="false">Settings!$B$4*MAX(INDEX(Bases!$Q$2:$Q$53,B748),INDEX(Bases!$Q$2:$Q$53,C748))+Settings!$B$5*MIN(INDEX(Bases!$Q$2:$Q$53,B748),INDEX(Bases!$Q$2:$Q$53,C748))</f>
        <v>74.3333333333333</v>
      </c>
      <c r="X748" s="2" t="n">
        <f aca="false">Settings!$B$4*MAX(INDEX(Bases!$R$2:$R$53,B748),INDEX(Bases!$R$2:$R$53,C748))+Settings!$B$5*MIN(INDEX(Bases!$R$2:$R$53,B748),INDEX(Bases!$R$2:$R$53,C748))</f>
        <v>34.6666666666667</v>
      </c>
      <c r="Y748" s="2" t="n">
        <f aca="false">S748*Settings!$B$3/SUM(S748:X748)</f>
        <v>96.3521015067407</v>
      </c>
      <c r="Z748" s="2" t="n">
        <f aca="false">T748*Settings!$B$3/SUM(S748:X748)</f>
        <v>100.317208564631</v>
      </c>
      <c r="AA748" s="2" t="n">
        <f aca="false">U748*Settings!$B$3/SUM(S748:X748)</f>
        <v>88.4218873909595</v>
      </c>
      <c r="AB748" s="2" t="n">
        <f aca="false">V748*Settings!$B$3/SUM(S748:X748)</f>
        <v>85.2498017446471</v>
      </c>
      <c r="AC748" s="2" t="n">
        <f aca="false">W748*Settings!$B$3/SUM(S748:X748)</f>
        <v>88.4218873909595</v>
      </c>
      <c r="AD748" s="2" t="n">
        <f aca="false">X748*Settings!$B$3/SUM(S748:X748)</f>
        <v>41.2371134020619</v>
      </c>
      <c r="AE748" s="2" t="n">
        <f aca="false">INT(Y748)</f>
        <v>96</v>
      </c>
      <c r="AF748" s="2" t="n">
        <f aca="false">INT(Z748)</f>
        <v>100</v>
      </c>
      <c r="AG748" s="2" t="n">
        <f aca="false">INT(AA748)</f>
        <v>88</v>
      </c>
      <c r="AH748" s="2" t="n">
        <f aca="false">INT(AB748)</f>
        <v>85</v>
      </c>
      <c r="AI748" s="2" t="n">
        <f aca="false">INT(AC748)</f>
        <v>88</v>
      </c>
      <c r="AJ748" s="2" t="n">
        <f aca="false">INT(AD748)</f>
        <v>41</v>
      </c>
      <c r="AK748" s="2" t="n">
        <f aca="false">Settings!$B$3-SUM(AE748:AJ748)</f>
        <v>2</v>
      </c>
      <c r="AL748" s="2" t="n">
        <f aca="false">ROUND(Y748-AE748,9)</f>
        <v>0.352101507</v>
      </c>
      <c r="AM748" s="2" t="n">
        <f aca="false">ROUND(Z748-AF748,9)</f>
        <v>0.317208565</v>
      </c>
      <c r="AN748" s="2" t="n">
        <f aca="false">ROUND(AA748-AG748,9)</f>
        <v>0.421887391</v>
      </c>
      <c r="AO748" s="2" t="n">
        <f aca="false">ROUND(AB748-AH748,9)</f>
        <v>0.249801745</v>
      </c>
      <c r="AP748" s="2" t="n">
        <f aca="false">ROUND(AC748-AI748,9)</f>
        <v>0.421887391</v>
      </c>
      <c r="AQ748" s="2" t="n">
        <f aca="false">ROUND(AD748-AJ748,9)</f>
        <v>0.237113402</v>
      </c>
    </row>
    <row r="749" customFormat="false" ht="15" hidden="false" customHeight="false" outlineLevel="0" collapsed="false">
      <c r="A749" s="2" t="n">
        <v>748</v>
      </c>
      <c r="B749" s="6" t="n">
        <v>18</v>
      </c>
      <c r="C749" s="6" t="n">
        <v>35</v>
      </c>
      <c r="D749" s="8" t="str">
        <f aca="false">INDEX(Bases!$B$2:$B$53,B749)</f>
        <v>Spheal</v>
      </c>
      <c r="E749" s="8" t="str">
        <f aca="false">INDEX(Bases!$B$2:$B$53,C749)</f>
        <v>Pineco</v>
      </c>
      <c r="F749" s="2" t="str">
        <f aca="false">LEFT(D749,ROUNDUP(LEN(D749)/2,0))&amp;LOWER(MID(E749,ROUNDUP(LEN(E749)/2,0)+1,20))</f>
        <v>Spheco</v>
      </c>
      <c r="G749" s="8" t="str">
        <f aca="false">INDEX(Bases!$C$2:$C$53,B749)</f>
        <v>Ice</v>
      </c>
      <c r="H749" s="8" t="str">
        <f aca="false">IF(INDEX(Bases!$C$2:$C$53,C749)=G749,"",INDEX(Bases!$C$2:$C$53,C749))</f>
        <v>Bug</v>
      </c>
      <c r="I749" s="8" t="str">
        <f aca="false">IF(INDEX(Bases!$E$2:$E$53,B749)="","",INDEX(Bases!$E$2:$E$53,B749))</f>
        <v/>
      </c>
      <c r="J749" s="8" t="str">
        <f aca="false">IF(INDEX(Bases!$E$2:$E$53,C749)="","",INDEX(Bases!$E$2:$E$53,C749))</f>
        <v/>
      </c>
      <c r="K749" s="5"/>
      <c r="L749" s="2" t="n">
        <f aca="false">AE749+IF(SUMPRODUCT(--($AL749:$AQ749&gt;AL749))&lt;$AK749,1,0)</f>
        <v>102</v>
      </c>
      <c r="M749" s="2" t="n">
        <f aca="false">AF749+IF(SUMPRODUCT(--($AL749:$AQ749&gt;AM749))+SUMPRODUCT(--($AL749:AL749=AM749))&lt;$AK749,1,0)</f>
        <v>91</v>
      </c>
      <c r="N749" s="2" t="n">
        <f aca="false">AG749+IF(SUMPRODUCT(--($AL749:$AQ749&gt;AN749))+SUMPRODUCT(--($AL749:AM749=AN749))&lt;$AK749,1,0)</f>
        <v>123</v>
      </c>
      <c r="O749" s="2" t="n">
        <f aca="false">AH749+IF(SUMPRODUCT(--($AL749:$AQ749&gt;AO749))+SUMPRODUCT(--($AL749:AN749=AO749))&lt;$AK749,1,0)</f>
        <v>78</v>
      </c>
      <c r="P749" s="2" t="n">
        <f aca="false">AI749+IF(SUMPRODUCT(--($AL749:$AQ749&gt;AP749))+SUMPRODUCT(--($AL749:AO749=AP749))&lt;$AK749,1,0)</f>
        <v>72</v>
      </c>
      <c r="Q749" s="2" t="n">
        <f aca="false">AJ749+IF(SUMPRODUCT(--($AL749:$AQ749&gt;AQ749))+SUMPRODUCT(--($AL749:AP749=AQ749))&lt;$AK749,1,0)</f>
        <v>34</v>
      </c>
      <c r="R749" s="2" t="n">
        <f aca="false">SUM(L749:Q749)</f>
        <v>500</v>
      </c>
      <c r="S749" s="2" t="n">
        <f aca="false">Settings!$B$4*MAX(INDEX(Bases!$M$2:$M$53,B749),INDEX(Bases!$M$2:$M$53,C749))+Settings!$B$5*MIN(INDEX(Bases!$M$2:$M$53,B749),INDEX(Bases!$M$2:$M$53,C749))</f>
        <v>87.6666666666667</v>
      </c>
      <c r="T749" s="2" t="n">
        <f aca="false">Settings!$B$4*MAX(INDEX(Bases!$N$2:$N$53,B749),INDEX(Bases!$N$2:$N$53,C749))+Settings!$B$5*MIN(INDEX(Bases!$N$2:$N$53,B749),INDEX(Bases!$N$2:$N$53,C749))</f>
        <v>78.3333333333333</v>
      </c>
      <c r="U749" s="2" t="n">
        <f aca="false">Settings!$B$4*MAX(INDEX(Bases!$O$2:$O$53,B749),INDEX(Bases!$O$2:$O$53,C749))+Settings!$B$5*MIN(INDEX(Bases!$O$2:$O$53,B749),INDEX(Bases!$O$2:$O$53,C749))</f>
        <v>105.666666666667</v>
      </c>
      <c r="V749" s="2" t="n">
        <f aca="false">Settings!$B$4*MAX(INDEX(Bases!$P$2:$P$53,B749),INDEX(Bases!$P$2:$P$53,C749))+Settings!$B$5*MIN(INDEX(Bases!$P$2:$P$53,B749),INDEX(Bases!$P$2:$P$53,C749))</f>
        <v>66.6666666666667</v>
      </c>
      <c r="W749" s="2" t="n">
        <f aca="false">Settings!$B$4*MAX(INDEX(Bases!$Q$2:$Q$53,B749),INDEX(Bases!$Q$2:$Q$53,C749))+Settings!$B$5*MIN(INDEX(Bases!$Q$2:$Q$53,B749),INDEX(Bases!$Q$2:$Q$53,C749))</f>
        <v>62</v>
      </c>
      <c r="X749" s="2" t="n">
        <f aca="false">Settings!$B$4*MAX(INDEX(Bases!$R$2:$R$53,B749),INDEX(Bases!$R$2:$R$53,C749))+Settings!$B$5*MIN(INDEX(Bases!$R$2:$R$53,B749),INDEX(Bases!$R$2:$R$53,C749))</f>
        <v>29.6666666666667</v>
      </c>
      <c r="Y749" s="2" t="n">
        <f aca="false">S749*Settings!$B$3/SUM(S749:X749)</f>
        <v>101.937984496124</v>
      </c>
      <c r="Z749" s="2" t="n">
        <f aca="false">T749*Settings!$B$3/SUM(S749:X749)</f>
        <v>91.0852713178295</v>
      </c>
      <c r="AA749" s="2" t="n">
        <f aca="false">U749*Settings!$B$3/SUM(S749:X749)</f>
        <v>122.868217054264</v>
      </c>
      <c r="AB749" s="2" t="n">
        <f aca="false">V749*Settings!$B$3/SUM(S749:X749)</f>
        <v>77.5193798449612</v>
      </c>
      <c r="AC749" s="2" t="n">
        <f aca="false">W749*Settings!$B$3/SUM(S749:X749)</f>
        <v>72.093023255814</v>
      </c>
      <c r="AD749" s="2" t="n">
        <f aca="false">X749*Settings!$B$3/SUM(S749:X749)</f>
        <v>34.4961240310077</v>
      </c>
      <c r="AE749" s="2" t="n">
        <f aca="false">INT(Y749)</f>
        <v>101</v>
      </c>
      <c r="AF749" s="2" t="n">
        <f aca="false">INT(Z749)</f>
        <v>91</v>
      </c>
      <c r="AG749" s="2" t="n">
        <f aca="false">INT(AA749)</f>
        <v>122</v>
      </c>
      <c r="AH749" s="2" t="n">
        <f aca="false">INT(AB749)</f>
        <v>77</v>
      </c>
      <c r="AI749" s="2" t="n">
        <f aca="false">INT(AC749)</f>
        <v>72</v>
      </c>
      <c r="AJ749" s="2" t="n">
        <f aca="false">INT(AD749)</f>
        <v>34</v>
      </c>
      <c r="AK749" s="2" t="n">
        <f aca="false">Settings!$B$3-SUM(AE749:AJ749)</f>
        <v>3</v>
      </c>
      <c r="AL749" s="2" t="n">
        <f aca="false">ROUND(Y749-AE749,9)</f>
        <v>0.937984496</v>
      </c>
      <c r="AM749" s="2" t="n">
        <f aca="false">ROUND(Z749-AF749,9)</f>
        <v>0.085271318</v>
      </c>
      <c r="AN749" s="2" t="n">
        <f aca="false">ROUND(AA749-AG749,9)</f>
        <v>0.868217054</v>
      </c>
      <c r="AO749" s="2" t="n">
        <f aca="false">ROUND(AB749-AH749,9)</f>
        <v>0.519379845</v>
      </c>
      <c r="AP749" s="2" t="n">
        <f aca="false">ROUND(AC749-AI749,9)</f>
        <v>0.093023256</v>
      </c>
      <c r="AQ749" s="2" t="n">
        <f aca="false">ROUND(AD749-AJ749,9)</f>
        <v>0.496124031</v>
      </c>
    </row>
    <row r="750" customFormat="false" ht="15" hidden="false" customHeight="false" outlineLevel="0" collapsed="false">
      <c r="A750" s="2" t="n">
        <v>749</v>
      </c>
      <c r="B750" s="6" t="n">
        <v>18</v>
      </c>
      <c r="C750" s="6" t="n">
        <v>36</v>
      </c>
      <c r="D750" s="8" t="str">
        <f aca="false">INDEX(Bases!$B$2:$B$53,B750)</f>
        <v>Spheal</v>
      </c>
      <c r="E750" s="8" t="str">
        <f aca="false">INDEX(Bases!$B$2:$B$53,C750)</f>
        <v>Wurmple</v>
      </c>
      <c r="F750" s="2" t="str">
        <f aca="false">LEFT(D750,ROUNDUP(LEN(D750)/2,0))&amp;LOWER(MID(E750,ROUNDUP(LEN(E750)/2,0)+1,20))</f>
        <v>Sphple</v>
      </c>
      <c r="G750" s="8" t="str">
        <f aca="false">INDEX(Bases!$C$2:$C$53,B750)</f>
        <v>Ice</v>
      </c>
      <c r="H750" s="8" t="str">
        <f aca="false">IF(INDEX(Bases!$C$2:$C$53,C750)=G750,"",INDEX(Bases!$C$2:$C$53,C750))</f>
        <v>Bug</v>
      </c>
      <c r="I750" s="8" t="str">
        <f aca="false">IF(INDEX(Bases!$E$2:$E$53,B750)="","",INDEX(Bases!$E$2:$E$53,B750))</f>
        <v/>
      </c>
      <c r="J750" s="8" t="str">
        <f aca="false">IF(INDEX(Bases!$E$2:$E$53,C750)="","",INDEX(Bases!$E$2:$E$53,C750))</f>
        <v/>
      </c>
      <c r="K750" s="5"/>
      <c r="L750" s="2" t="n">
        <f aca="false">AE750+IF(SUMPRODUCT(--($AL750:$AQ750&gt;AL750))&lt;$AK750,1,0)</f>
        <v>115</v>
      </c>
      <c r="M750" s="2" t="n">
        <f aca="false">AF750+IF(SUMPRODUCT(--($AL750:$AQ750&gt;AM750))+SUMPRODUCT(--($AL750:AL750=AM750))&lt;$AK750,1,0)</f>
        <v>96</v>
      </c>
      <c r="N750" s="2" t="n">
        <f aca="false">AG750+IF(SUMPRODUCT(--($AL750:$AQ750&gt;AN750))+SUMPRODUCT(--($AL750:AM750=AN750))&lt;$AK750,1,0)</f>
        <v>85</v>
      </c>
      <c r="O750" s="2" t="n">
        <f aca="false">AH750+IF(SUMPRODUCT(--($AL750:$AQ750&gt;AO750))+SUMPRODUCT(--($AL750:AN750=AO750))&lt;$AK750,1,0)</f>
        <v>77</v>
      </c>
      <c r="P750" s="2" t="n">
        <f aca="false">AI750+IF(SUMPRODUCT(--($AL750:$AQ750&gt;AP750))+SUMPRODUCT(--($AL750:AO750=AP750))&lt;$AK750,1,0)</f>
        <v>80</v>
      </c>
      <c r="Q750" s="2" t="n">
        <f aca="false">AJ750+IF(SUMPRODUCT(--($AL750:$AQ750&gt;AQ750))+SUMPRODUCT(--($AL750:AP750=AQ750))&lt;$AK750,1,0)</f>
        <v>47</v>
      </c>
      <c r="R750" s="2" t="n">
        <f aca="false">SUM(L750:Q750)</f>
        <v>500</v>
      </c>
      <c r="S750" s="2" t="n">
        <f aca="false">Settings!$B$4*MAX(INDEX(Bases!$M$2:$M$53,B750),INDEX(Bases!$M$2:$M$53,C750))+Settings!$B$5*MIN(INDEX(Bases!$M$2:$M$53,B750),INDEX(Bases!$M$2:$M$53,C750))</f>
        <v>95.3333333333333</v>
      </c>
      <c r="T750" s="2" t="n">
        <f aca="false">Settings!$B$4*MAX(INDEX(Bases!$N$2:$N$53,B750),INDEX(Bases!$N$2:$N$53,C750))+Settings!$B$5*MIN(INDEX(Bases!$N$2:$N$53,B750),INDEX(Bases!$N$2:$N$53,C750))</f>
        <v>79.6666666666667</v>
      </c>
      <c r="U750" s="2" t="n">
        <f aca="false">Settings!$B$4*MAX(INDEX(Bases!$O$2:$O$53,B750),INDEX(Bases!$O$2:$O$53,C750))+Settings!$B$5*MIN(INDEX(Bases!$O$2:$O$53,B750),INDEX(Bases!$O$2:$O$53,C750))</f>
        <v>71</v>
      </c>
      <c r="V750" s="2" t="n">
        <f aca="false">Settings!$B$4*MAX(INDEX(Bases!$P$2:$P$53,B750),INDEX(Bases!$P$2:$P$53,C750))+Settings!$B$5*MIN(INDEX(Bases!$P$2:$P$53,B750),INDEX(Bases!$P$2:$P$53,C750))</f>
        <v>64.3333333333333</v>
      </c>
      <c r="W750" s="2" t="n">
        <f aca="false">Settings!$B$4*MAX(INDEX(Bases!$Q$2:$Q$53,B750),INDEX(Bases!$Q$2:$Q$53,C750))+Settings!$B$5*MIN(INDEX(Bases!$Q$2:$Q$53,B750),INDEX(Bases!$Q$2:$Q$53,C750))</f>
        <v>66.6666666666667</v>
      </c>
      <c r="X750" s="2" t="n">
        <f aca="false">Settings!$B$4*MAX(INDEX(Bases!$R$2:$R$53,B750),INDEX(Bases!$R$2:$R$53,C750))+Settings!$B$5*MIN(INDEX(Bases!$R$2:$R$53,B750),INDEX(Bases!$R$2:$R$53,C750))</f>
        <v>38.6666666666667</v>
      </c>
      <c r="Y750" s="2" t="n">
        <f aca="false">S750*Settings!$B$3/SUM(S750:X750)</f>
        <v>114.67522052927</v>
      </c>
      <c r="Z750" s="2" t="n">
        <f aca="false">T750*Settings!$B$3/SUM(S750:X750)</f>
        <v>95.8299919807538</v>
      </c>
      <c r="AA750" s="2" t="n">
        <f aca="false">U750*Settings!$B$3/SUM(S750:X750)</f>
        <v>85.4049719326383</v>
      </c>
      <c r="AB750" s="2" t="n">
        <f aca="false">V750*Settings!$B$3/SUM(S750:X750)</f>
        <v>77.3857257417803</v>
      </c>
      <c r="AC750" s="2" t="n">
        <f aca="false">W750*Settings!$B$3/SUM(S750:X750)</f>
        <v>80.1924619085806</v>
      </c>
      <c r="AD750" s="2" t="n">
        <f aca="false">X750*Settings!$B$3/SUM(S750:X750)</f>
        <v>46.5116279069767</v>
      </c>
      <c r="AE750" s="2" t="n">
        <f aca="false">INT(Y750)</f>
        <v>114</v>
      </c>
      <c r="AF750" s="2" t="n">
        <f aca="false">INT(Z750)</f>
        <v>95</v>
      </c>
      <c r="AG750" s="2" t="n">
        <f aca="false">INT(AA750)</f>
        <v>85</v>
      </c>
      <c r="AH750" s="2" t="n">
        <f aca="false">INT(AB750)</f>
        <v>77</v>
      </c>
      <c r="AI750" s="2" t="n">
        <f aca="false">INT(AC750)</f>
        <v>80</v>
      </c>
      <c r="AJ750" s="2" t="n">
        <f aca="false">INT(AD750)</f>
        <v>46</v>
      </c>
      <c r="AK750" s="2" t="n">
        <f aca="false">Settings!$B$3-SUM(AE750:AJ750)</f>
        <v>3</v>
      </c>
      <c r="AL750" s="2" t="n">
        <f aca="false">ROUND(Y750-AE750,9)</f>
        <v>0.675220529</v>
      </c>
      <c r="AM750" s="2" t="n">
        <f aca="false">ROUND(Z750-AF750,9)</f>
        <v>0.829991981</v>
      </c>
      <c r="AN750" s="2" t="n">
        <f aca="false">ROUND(AA750-AG750,9)</f>
        <v>0.404971933</v>
      </c>
      <c r="AO750" s="2" t="n">
        <f aca="false">ROUND(AB750-AH750,9)</f>
        <v>0.385725742</v>
      </c>
      <c r="AP750" s="2" t="n">
        <f aca="false">ROUND(AC750-AI750,9)</f>
        <v>0.192461909</v>
      </c>
      <c r="AQ750" s="2" t="n">
        <f aca="false">ROUND(AD750-AJ750,9)</f>
        <v>0.511627907</v>
      </c>
    </row>
    <row r="751" customFormat="false" ht="15" hidden="false" customHeight="false" outlineLevel="0" collapsed="false">
      <c r="A751" s="2" t="n">
        <v>750</v>
      </c>
      <c r="B751" s="6" t="n">
        <v>18</v>
      </c>
      <c r="C751" s="6" t="n">
        <v>37</v>
      </c>
      <c r="D751" s="8" t="str">
        <f aca="false">INDEX(Bases!$B$2:$B$53,B751)</f>
        <v>Spheal</v>
      </c>
      <c r="E751" s="8" t="str">
        <f aca="false">INDEX(Bases!$B$2:$B$53,C751)</f>
        <v>Shuckle</v>
      </c>
      <c r="F751" s="2" t="str">
        <f aca="false">LEFT(D751,ROUNDUP(LEN(D751)/2,0))&amp;LOWER(MID(E751,ROUNDUP(LEN(E751)/2,0)+1,20))</f>
        <v>Sphkle</v>
      </c>
      <c r="G751" s="8" t="str">
        <f aca="false">INDEX(Bases!$C$2:$C$53,B751)</f>
        <v>Ice</v>
      </c>
      <c r="H751" s="8" t="str">
        <f aca="false">IF(INDEX(Bases!$C$2:$C$53,C751)=G751,"",INDEX(Bases!$C$2:$C$53,C751))</f>
        <v>Rock</v>
      </c>
      <c r="I751" s="8" t="str">
        <f aca="false">IF(INDEX(Bases!$E$2:$E$53,B751)="","",INDEX(Bases!$E$2:$E$53,B751))</f>
        <v/>
      </c>
      <c r="J751" s="8" t="str">
        <f aca="false">IF(INDEX(Bases!$E$2:$E$53,C751)="","",INDEX(Bases!$E$2:$E$53,C751))</f>
        <v/>
      </c>
      <c r="K751" s="5"/>
      <c r="L751" s="2" t="n">
        <f aca="false">AE751+IF(SUMPRODUCT(--($AL751:$AQ751&gt;AL751))&lt;$AK751,1,0)</f>
        <v>74</v>
      </c>
      <c r="M751" s="2" t="n">
        <f aca="false">AF751+IF(SUMPRODUCT(--($AL751:$AQ751&gt;AM751))+SUMPRODUCT(--($AL751:AL751=AM751))&lt;$AK751,1,0)</f>
        <v>41</v>
      </c>
      <c r="N751" s="2" t="n">
        <f aca="false">AG751+IF(SUMPRODUCT(--($AL751:$AQ751&gt;AN751))+SUMPRODUCT(--($AL751:AM751=AN751))&lt;$AK751,1,0)</f>
        <v>152</v>
      </c>
      <c r="O751" s="2" t="n">
        <f aca="false">AH751+IF(SUMPRODUCT(--($AL751:$AQ751&gt;AO751))+SUMPRODUCT(--($AL751:AN751=AO751))&lt;$AK751,1,0)</f>
        <v>56</v>
      </c>
      <c r="P751" s="2" t="n">
        <f aca="false">AI751+IF(SUMPRODUCT(--($AL751:$AQ751&gt;AP751))+SUMPRODUCT(--($AL751:AO751=AP751))&lt;$AK751,1,0)</f>
        <v>152</v>
      </c>
      <c r="Q751" s="2" t="n">
        <f aca="false">AJ751+IF(SUMPRODUCT(--($AL751:$AQ751&gt;AQ751))+SUMPRODUCT(--($AL751:AP751=AQ751))&lt;$AK751,1,0)</f>
        <v>25</v>
      </c>
      <c r="R751" s="2" t="n">
        <f aca="false">SUM(L751:Q751)</f>
        <v>500</v>
      </c>
      <c r="S751" s="2" t="n">
        <f aca="false">Settings!$B$4*MAX(INDEX(Bases!$M$2:$M$53,B751),INDEX(Bases!$M$2:$M$53,C751))+Settings!$B$5*MIN(INDEX(Bases!$M$2:$M$53,B751),INDEX(Bases!$M$2:$M$53,C751))</f>
        <v>70</v>
      </c>
      <c r="T751" s="2" t="n">
        <f aca="false">Settings!$B$4*MAX(INDEX(Bases!$N$2:$N$53,B751),INDEX(Bases!$N$2:$N$53,C751))+Settings!$B$5*MIN(INDEX(Bases!$N$2:$N$53,B751),INDEX(Bases!$N$2:$N$53,C751))</f>
        <v>39.3333333333333</v>
      </c>
      <c r="U751" s="2" t="n">
        <f aca="false">Settings!$B$4*MAX(INDEX(Bases!$O$2:$O$53,B751),INDEX(Bases!$O$2:$O$53,C751))+Settings!$B$5*MIN(INDEX(Bases!$O$2:$O$53,B751),INDEX(Bases!$O$2:$O$53,C751))</f>
        <v>144.333333333333</v>
      </c>
      <c r="V751" s="2" t="n">
        <f aca="false">Settings!$B$4*MAX(INDEX(Bases!$P$2:$P$53,B751),INDEX(Bases!$P$2:$P$53,C751))+Settings!$B$5*MIN(INDEX(Bases!$P$2:$P$53,B751),INDEX(Bases!$P$2:$P$53,C751))</f>
        <v>53.3333333333333</v>
      </c>
      <c r="W751" s="2" t="n">
        <f aca="false">Settings!$B$4*MAX(INDEX(Bases!$Q$2:$Q$53,B751),INDEX(Bases!$Q$2:$Q$53,C751))+Settings!$B$5*MIN(INDEX(Bases!$Q$2:$Q$53,B751),INDEX(Bases!$Q$2:$Q$53,C751))</f>
        <v>144.333333333333</v>
      </c>
      <c r="X751" s="2" t="n">
        <f aca="false">Settings!$B$4*MAX(INDEX(Bases!$R$2:$R$53,B751),INDEX(Bases!$R$2:$R$53,C751))+Settings!$B$5*MIN(INDEX(Bases!$R$2:$R$53,B751),INDEX(Bases!$R$2:$R$53,C751))</f>
        <v>24</v>
      </c>
      <c r="Y751" s="2" t="n">
        <f aca="false">S751*Settings!$B$3/SUM(S751:X751)</f>
        <v>73.632538569425</v>
      </c>
      <c r="Z751" s="2" t="n">
        <f aca="false">T751*Settings!$B$3/SUM(S751:X751)</f>
        <v>41.3744740532959</v>
      </c>
      <c r="AA751" s="2" t="n">
        <f aca="false">U751*Settings!$B$3/SUM(S751:X751)</f>
        <v>151.823281907433</v>
      </c>
      <c r="AB751" s="2" t="n">
        <f aca="false">V751*Settings!$B$3/SUM(S751:X751)</f>
        <v>56.1009817671809</v>
      </c>
      <c r="AC751" s="2" t="n">
        <f aca="false">W751*Settings!$B$3/SUM(S751:X751)</f>
        <v>151.823281907433</v>
      </c>
      <c r="AD751" s="2" t="n">
        <f aca="false">X751*Settings!$B$3/SUM(S751:X751)</f>
        <v>25.2454417952314</v>
      </c>
      <c r="AE751" s="2" t="n">
        <f aca="false">INT(Y751)</f>
        <v>73</v>
      </c>
      <c r="AF751" s="2" t="n">
        <f aca="false">INT(Z751)</f>
        <v>41</v>
      </c>
      <c r="AG751" s="2" t="n">
        <f aca="false">INT(AA751)</f>
        <v>151</v>
      </c>
      <c r="AH751" s="2" t="n">
        <f aca="false">INT(AB751)</f>
        <v>56</v>
      </c>
      <c r="AI751" s="2" t="n">
        <f aca="false">INT(AC751)</f>
        <v>151</v>
      </c>
      <c r="AJ751" s="2" t="n">
        <f aca="false">INT(AD751)</f>
        <v>25</v>
      </c>
      <c r="AK751" s="2" t="n">
        <f aca="false">Settings!$B$3-SUM(AE751:AJ751)</f>
        <v>3</v>
      </c>
      <c r="AL751" s="2" t="n">
        <f aca="false">ROUND(Y751-AE751,9)</f>
        <v>0.632538569</v>
      </c>
      <c r="AM751" s="2" t="n">
        <f aca="false">ROUND(Z751-AF751,9)</f>
        <v>0.374474053</v>
      </c>
      <c r="AN751" s="2" t="n">
        <f aca="false">ROUND(AA751-AG751,9)</f>
        <v>0.823281907</v>
      </c>
      <c r="AO751" s="2" t="n">
        <f aca="false">ROUND(AB751-AH751,9)</f>
        <v>0.100981767</v>
      </c>
      <c r="AP751" s="2" t="n">
        <f aca="false">ROUND(AC751-AI751,9)</f>
        <v>0.823281907</v>
      </c>
      <c r="AQ751" s="2" t="n">
        <f aca="false">ROUND(AD751-AJ751,9)</f>
        <v>0.245441795</v>
      </c>
    </row>
    <row r="752" customFormat="false" ht="15" hidden="false" customHeight="false" outlineLevel="0" collapsed="false">
      <c r="A752" s="2" t="n">
        <v>751</v>
      </c>
      <c r="B752" s="6" t="n">
        <v>18</v>
      </c>
      <c r="C752" s="6" t="n">
        <v>38</v>
      </c>
      <c r="D752" s="8" t="str">
        <f aca="false">INDEX(Bases!$B$2:$B$53,B752)</f>
        <v>Spheal</v>
      </c>
      <c r="E752" s="8" t="str">
        <f aca="false">INDEX(Bases!$B$2:$B$53,C752)</f>
        <v>Larvitar</v>
      </c>
      <c r="F752" s="2" t="str">
        <f aca="false">LEFT(D752,ROUNDUP(LEN(D752)/2,0))&amp;LOWER(MID(E752,ROUNDUP(LEN(E752)/2,0)+1,20))</f>
        <v>Sphitar</v>
      </c>
      <c r="G752" s="8" t="str">
        <f aca="false">INDEX(Bases!$C$2:$C$53,B752)</f>
        <v>Ice</v>
      </c>
      <c r="H752" s="8" t="str">
        <f aca="false">IF(INDEX(Bases!$C$2:$C$53,C752)=G752,"",INDEX(Bases!$C$2:$C$53,C752))</f>
        <v>Rock</v>
      </c>
      <c r="I752" s="8" t="str">
        <f aca="false">IF(INDEX(Bases!$E$2:$E$53,B752)="","",INDEX(Bases!$E$2:$E$53,B752))</f>
        <v/>
      </c>
      <c r="J752" s="8" t="str">
        <f aca="false">IF(INDEX(Bases!$E$2:$E$53,C752)="","",INDEX(Bases!$E$2:$E$53,C752))</f>
        <v/>
      </c>
      <c r="K752" s="5"/>
      <c r="L752" s="2" t="n">
        <f aca="false">AE752+IF(SUMPRODUCT(--($AL752:$AQ752&gt;AL752))&lt;$AK752,1,0)</f>
        <v>104</v>
      </c>
      <c r="M752" s="2" t="n">
        <f aca="false">AF752+IF(SUMPRODUCT(--($AL752:$AQ752&gt;AM752))+SUMPRODUCT(--($AL752:AL752=AM752))&lt;$AK752,1,0)</f>
        <v>90</v>
      </c>
      <c r="N752" s="2" t="n">
        <f aca="false">AG752+IF(SUMPRODUCT(--($AL752:$AQ752&gt;AN752))+SUMPRODUCT(--($AL752:AM752=AN752))&lt;$AK752,1,0)</f>
        <v>82</v>
      </c>
      <c r="O752" s="2" t="n">
        <f aca="false">AH752+IF(SUMPRODUCT(--($AL752:$AQ752&gt;AO752))+SUMPRODUCT(--($AL752:AN752=AO752))&lt;$AK752,1,0)</f>
        <v>85</v>
      </c>
      <c r="P752" s="2" t="n">
        <f aca="false">AI752+IF(SUMPRODUCT(--($AL752:$AQ752&gt;AP752))+SUMPRODUCT(--($AL752:AO752=AP752))&lt;$AK752,1,0)</f>
        <v>82</v>
      </c>
      <c r="Q752" s="2" t="n">
        <f aca="false">AJ752+IF(SUMPRODUCT(--($AL752:$AQ752&gt;AQ752))+SUMPRODUCT(--($AL752:AP752=AQ752))&lt;$AK752,1,0)</f>
        <v>57</v>
      </c>
      <c r="R752" s="2" t="n">
        <f aca="false">SUM(L752:Q752)</f>
        <v>500</v>
      </c>
      <c r="S752" s="2" t="n">
        <f aca="false">Settings!$B$4*MAX(INDEX(Bases!$M$2:$M$53,B752),INDEX(Bases!$M$2:$M$53,C752))+Settings!$B$5*MIN(INDEX(Bases!$M$2:$M$53,B752),INDEX(Bases!$M$2:$M$53,C752))</f>
        <v>87</v>
      </c>
      <c r="T752" s="2" t="n">
        <f aca="false">Settings!$B$4*MAX(INDEX(Bases!$N$2:$N$53,B752),INDEX(Bases!$N$2:$N$53,C752))+Settings!$B$5*MIN(INDEX(Bases!$N$2:$N$53,B752),INDEX(Bases!$N$2:$N$53,C752))</f>
        <v>75</v>
      </c>
      <c r="U752" s="2" t="n">
        <f aca="false">Settings!$B$4*MAX(INDEX(Bases!$O$2:$O$53,B752),INDEX(Bases!$O$2:$O$53,C752))+Settings!$B$5*MIN(INDEX(Bases!$O$2:$O$53,B752),INDEX(Bases!$O$2:$O$53,C752))</f>
        <v>68.3333333333333</v>
      </c>
      <c r="V752" s="2" t="n">
        <f aca="false">Settings!$B$4*MAX(INDEX(Bases!$P$2:$P$53,B752),INDEX(Bases!$P$2:$P$53,C752))+Settings!$B$5*MIN(INDEX(Bases!$P$2:$P$53,B752),INDEX(Bases!$P$2:$P$53,C752))</f>
        <v>70.6666666666667</v>
      </c>
      <c r="W752" s="2" t="n">
        <f aca="false">Settings!$B$4*MAX(INDEX(Bases!$Q$2:$Q$53,B752),INDEX(Bases!$Q$2:$Q$53,C752))+Settings!$B$5*MIN(INDEX(Bases!$Q$2:$Q$53,B752),INDEX(Bases!$Q$2:$Q$53,C752))</f>
        <v>68.3333333333333</v>
      </c>
      <c r="X752" s="2" t="n">
        <f aca="false">Settings!$B$4*MAX(INDEX(Bases!$R$2:$R$53,B752),INDEX(Bases!$R$2:$R$53,C752))+Settings!$B$5*MIN(INDEX(Bases!$R$2:$R$53,B752),INDEX(Bases!$R$2:$R$53,C752))</f>
        <v>47.3333333333333</v>
      </c>
      <c r="Y752" s="2" t="n">
        <f aca="false">S752*Settings!$B$3/SUM(S752:X752)</f>
        <v>104.4</v>
      </c>
      <c r="Z752" s="2" t="n">
        <f aca="false">T752*Settings!$B$3/SUM(S752:X752)</f>
        <v>90</v>
      </c>
      <c r="AA752" s="2" t="n">
        <f aca="false">U752*Settings!$B$3/SUM(S752:X752)</f>
        <v>82</v>
      </c>
      <c r="AB752" s="2" t="n">
        <f aca="false">V752*Settings!$B$3/SUM(S752:X752)</f>
        <v>84.8</v>
      </c>
      <c r="AC752" s="2" t="n">
        <f aca="false">W752*Settings!$B$3/SUM(S752:X752)</f>
        <v>82</v>
      </c>
      <c r="AD752" s="2" t="n">
        <f aca="false">X752*Settings!$B$3/SUM(S752:X752)</f>
        <v>56.8</v>
      </c>
      <c r="AE752" s="2" t="n">
        <f aca="false">INT(Y752)</f>
        <v>104</v>
      </c>
      <c r="AF752" s="2" t="n">
        <f aca="false">INT(Z752)</f>
        <v>90</v>
      </c>
      <c r="AG752" s="2" t="n">
        <f aca="false">INT(AA752)</f>
        <v>82</v>
      </c>
      <c r="AH752" s="2" t="n">
        <f aca="false">INT(AB752)</f>
        <v>84</v>
      </c>
      <c r="AI752" s="2" t="n">
        <f aca="false">INT(AC752)</f>
        <v>82</v>
      </c>
      <c r="AJ752" s="2" t="n">
        <f aca="false">INT(AD752)</f>
        <v>56</v>
      </c>
      <c r="AK752" s="2" t="n">
        <f aca="false">Settings!$B$3-SUM(AE752:AJ752)</f>
        <v>2</v>
      </c>
      <c r="AL752" s="2" t="n">
        <f aca="false">ROUND(Y752-AE752,9)</f>
        <v>0.4</v>
      </c>
      <c r="AM752" s="2" t="n">
        <f aca="false">ROUND(Z752-AF752,9)</f>
        <v>0</v>
      </c>
      <c r="AN752" s="2" t="n">
        <f aca="false">ROUND(AA752-AG752,9)</f>
        <v>0</v>
      </c>
      <c r="AO752" s="2" t="n">
        <f aca="false">ROUND(AB752-AH752,9)</f>
        <v>0.8</v>
      </c>
      <c r="AP752" s="2" t="n">
        <f aca="false">ROUND(AC752-AI752,9)</f>
        <v>0</v>
      </c>
      <c r="AQ752" s="2" t="n">
        <f aca="false">ROUND(AD752-AJ752,9)</f>
        <v>0.8</v>
      </c>
    </row>
    <row r="753" customFormat="false" ht="15" hidden="false" customHeight="false" outlineLevel="0" collapsed="false">
      <c r="A753" s="2" t="n">
        <v>752</v>
      </c>
      <c r="B753" s="6" t="n">
        <v>18</v>
      </c>
      <c r="C753" s="6" t="n">
        <v>39</v>
      </c>
      <c r="D753" s="8" t="str">
        <f aca="false">INDEX(Bases!$B$2:$B$53,B753)</f>
        <v>Spheal</v>
      </c>
      <c r="E753" s="8" t="str">
        <f aca="false">INDEX(Bases!$B$2:$B$53,C753)</f>
        <v>Nosepass</v>
      </c>
      <c r="F753" s="2" t="str">
        <f aca="false">LEFT(D753,ROUNDUP(LEN(D753)/2,0))&amp;LOWER(MID(E753,ROUNDUP(LEN(E753)/2,0)+1,20))</f>
        <v>Sphpass</v>
      </c>
      <c r="G753" s="8" t="str">
        <f aca="false">INDEX(Bases!$C$2:$C$53,B753)</f>
        <v>Ice</v>
      </c>
      <c r="H753" s="8" t="str">
        <f aca="false">IF(INDEX(Bases!$C$2:$C$53,C753)=G753,"",INDEX(Bases!$C$2:$C$53,C753))</f>
        <v>Rock</v>
      </c>
      <c r="I753" s="8" t="str">
        <f aca="false">IF(INDEX(Bases!$E$2:$E$53,B753)="","",INDEX(Bases!$E$2:$E$53,B753))</f>
        <v/>
      </c>
      <c r="J753" s="8" t="str">
        <f aca="false">IF(INDEX(Bases!$E$2:$E$53,C753)="","",INDEX(Bases!$E$2:$E$53,C753))</f>
        <v/>
      </c>
      <c r="K753" s="5"/>
      <c r="L753" s="2" t="n">
        <f aca="false">AE753+IF(SUMPRODUCT(--($AL753:$AQ753&gt;AL753))&lt;$AK753,1,0)</f>
        <v>87</v>
      </c>
      <c r="M753" s="2" t="n">
        <f aca="false">AF753+IF(SUMPRODUCT(--($AL753:$AQ753&gt;AM753))+SUMPRODUCT(--($AL753:AL753=AM753))&lt;$AK753,1,0)</f>
        <v>61</v>
      </c>
      <c r="N753" s="2" t="n">
        <f aca="false">AG753+IF(SUMPRODUCT(--($AL753:$AQ753&gt;AN753))+SUMPRODUCT(--($AL753:AM753=AN753))&lt;$AK753,1,0)</f>
        <v>137</v>
      </c>
      <c r="O753" s="2" t="n">
        <f aca="false">AH753+IF(SUMPRODUCT(--($AL753:$AQ753&gt;AO753))+SUMPRODUCT(--($AL753:AN753=AO753))&lt;$AK753,1,0)</f>
        <v>77</v>
      </c>
      <c r="P753" s="2" t="n">
        <f aca="false">AI753+IF(SUMPRODUCT(--($AL753:$AQ753&gt;AP753))+SUMPRODUCT(--($AL753:AO753=AP753))&lt;$AK753,1,0)</f>
        <v>100</v>
      </c>
      <c r="Q753" s="2" t="n">
        <f aca="false">AJ753+IF(SUMPRODUCT(--($AL753:$AQ753&gt;AQ753))+SUMPRODUCT(--($AL753:AP753=AQ753))&lt;$AK753,1,0)</f>
        <v>38</v>
      </c>
      <c r="R753" s="2" t="n">
        <f aca="false">SUM(L753:Q753)</f>
        <v>500</v>
      </c>
      <c r="S753" s="2" t="n">
        <f aca="false">Settings!$B$4*MAX(INDEX(Bases!$M$2:$M$53,B753),INDEX(Bases!$M$2:$M$53,C753))+Settings!$B$5*MIN(INDEX(Bases!$M$2:$M$53,B753),INDEX(Bases!$M$2:$M$53,C753))</f>
        <v>75.3333333333333</v>
      </c>
      <c r="T753" s="2" t="n">
        <f aca="false">Settings!$B$4*MAX(INDEX(Bases!$N$2:$N$53,B753),INDEX(Bases!$N$2:$N$53,C753))+Settings!$B$5*MIN(INDEX(Bases!$N$2:$N$53,B753),INDEX(Bases!$N$2:$N$53,C753))</f>
        <v>52.6666666666667</v>
      </c>
      <c r="U753" s="2" t="n">
        <f aca="false">Settings!$B$4*MAX(INDEX(Bases!$O$2:$O$53,B753),INDEX(Bases!$O$2:$O$53,C753))+Settings!$B$5*MIN(INDEX(Bases!$O$2:$O$53,B753),INDEX(Bases!$O$2:$O$53,C753))</f>
        <v>119</v>
      </c>
      <c r="V753" s="2" t="n">
        <f aca="false">Settings!$B$4*MAX(INDEX(Bases!$P$2:$P$53,B753),INDEX(Bases!$P$2:$P$53,C753))+Settings!$B$5*MIN(INDEX(Bases!$P$2:$P$53,B753),INDEX(Bases!$P$2:$P$53,C753))</f>
        <v>66.6666666666667</v>
      </c>
      <c r="W753" s="2" t="n">
        <f aca="false">Settings!$B$4*MAX(INDEX(Bases!$Q$2:$Q$53,B753),INDEX(Bases!$Q$2:$Q$53,C753))+Settings!$B$5*MIN(INDEX(Bases!$Q$2:$Q$53,B753),INDEX(Bases!$Q$2:$Q$53,C753))</f>
        <v>87</v>
      </c>
      <c r="X753" s="2" t="n">
        <f aca="false">Settings!$B$4*MAX(INDEX(Bases!$R$2:$R$53,B753),INDEX(Bases!$R$2:$R$53,C753))+Settings!$B$5*MIN(INDEX(Bases!$R$2:$R$53,B753),INDEX(Bases!$R$2:$R$53,C753))</f>
        <v>33.3333333333333</v>
      </c>
      <c r="Y753" s="2" t="n">
        <f aca="false">S753*Settings!$B$3/SUM(S753:X753)</f>
        <v>86.78955453149</v>
      </c>
      <c r="Z753" s="2" t="n">
        <f aca="false">T753*Settings!$B$3/SUM(S753:X753)</f>
        <v>60.6758832565284</v>
      </c>
      <c r="AA753" s="2" t="n">
        <f aca="false">U753*Settings!$B$3/SUM(S753:X753)</f>
        <v>137.096774193548</v>
      </c>
      <c r="AB753" s="2" t="n">
        <f aca="false">V753*Settings!$B$3/SUM(S753:X753)</f>
        <v>76.8049155145929</v>
      </c>
      <c r="AC753" s="2" t="n">
        <f aca="false">W753*Settings!$B$3/SUM(S753:X753)</f>
        <v>100.230414746544</v>
      </c>
      <c r="AD753" s="2" t="n">
        <f aca="false">X753*Settings!$B$3/SUM(S753:X753)</f>
        <v>38.4024577572965</v>
      </c>
      <c r="AE753" s="2" t="n">
        <f aca="false">INT(Y753)</f>
        <v>86</v>
      </c>
      <c r="AF753" s="2" t="n">
        <f aca="false">INT(Z753)</f>
        <v>60</v>
      </c>
      <c r="AG753" s="2" t="n">
        <f aca="false">INT(AA753)</f>
        <v>137</v>
      </c>
      <c r="AH753" s="2" t="n">
        <f aca="false">INT(AB753)</f>
        <v>76</v>
      </c>
      <c r="AI753" s="2" t="n">
        <f aca="false">INT(AC753)</f>
        <v>100</v>
      </c>
      <c r="AJ753" s="2" t="n">
        <f aca="false">INT(AD753)</f>
        <v>38</v>
      </c>
      <c r="AK753" s="2" t="n">
        <f aca="false">Settings!$B$3-SUM(AE753:AJ753)</f>
        <v>3</v>
      </c>
      <c r="AL753" s="2" t="n">
        <f aca="false">ROUND(Y753-AE753,9)</f>
        <v>0.789554531</v>
      </c>
      <c r="AM753" s="2" t="n">
        <f aca="false">ROUND(Z753-AF753,9)</f>
        <v>0.675883257</v>
      </c>
      <c r="AN753" s="2" t="n">
        <f aca="false">ROUND(AA753-AG753,9)</f>
        <v>0.096774194</v>
      </c>
      <c r="AO753" s="2" t="n">
        <f aca="false">ROUND(AB753-AH753,9)</f>
        <v>0.804915515</v>
      </c>
      <c r="AP753" s="2" t="n">
        <f aca="false">ROUND(AC753-AI753,9)</f>
        <v>0.230414747</v>
      </c>
      <c r="AQ753" s="2" t="n">
        <f aca="false">ROUND(AD753-AJ753,9)</f>
        <v>0.402457757</v>
      </c>
    </row>
    <row r="754" customFormat="false" ht="15" hidden="false" customHeight="false" outlineLevel="0" collapsed="false">
      <c r="A754" s="2" t="n">
        <v>753</v>
      </c>
      <c r="B754" s="6" t="n">
        <v>18</v>
      </c>
      <c r="C754" s="6" t="n">
        <v>40</v>
      </c>
      <c r="D754" s="8" t="str">
        <f aca="false">INDEX(Bases!$B$2:$B$53,B754)</f>
        <v>Spheal</v>
      </c>
      <c r="E754" s="8" t="str">
        <f aca="false">INDEX(Bases!$B$2:$B$53,C754)</f>
        <v>Gastly</v>
      </c>
      <c r="F754" s="2" t="str">
        <f aca="false">LEFT(D754,ROUNDUP(LEN(D754)/2,0))&amp;LOWER(MID(E754,ROUNDUP(LEN(E754)/2,0)+1,20))</f>
        <v>Sphtly</v>
      </c>
      <c r="G754" s="8" t="str">
        <f aca="false">INDEX(Bases!$C$2:$C$53,B754)</f>
        <v>Ice</v>
      </c>
      <c r="H754" s="8" t="str">
        <f aca="false">IF(INDEX(Bases!$C$2:$C$53,C754)=G754,"",INDEX(Bases!$C$2:$C$53,C754))</f>
        <v>Ghost</v>
      </c>
      <c r="I754" s="8" t="str">
        <f aca="false">IF(INDEX(Bases!$E$2:$E$53,B754)="","",INDEX(Bases!$E$2:$E$53,B754))</f>
        <v/>
      </c>
      <c r="J754" s="8" t="str">
        <f aca="false">IF(INDEX(Bases!$E$2:$E$53,C754)="","",INDEX(Bases!$E$2:$E$53,C754))</f>
        <v/>
      </c>
      <c r="K754" s="5"/>
      <c r="L754" s="2" t="n">
        <f aca="false">AE754+IF(SUMPRODUCT(--($AL754:$AQ754&gt;AL754))&lt;$AK754,1,0)</f>
        <v>88</v>
      </c>
      <c r="M754" s="2" t="n">
        <f aca="false">AF754+IF(SUMPRODUCT(--($AL754:$AQ754&gt;AM754))+SUMPRODUCT(--($AL754:AL754=AM754))&lt;$AK754,1,0)</f>
        <v>59</v>
      </c>
      <c r="N754" s="2" t="n">
        <f aca="false">AG754+IF(SUMPRODUCT(--($AL754:$AQ754&gt;AN754))+SUMPRODUCT(--($AL754:AM754=AN754))&lt;$AK754,1,0)</f>
        <v>67</v>
      </c>
      <c r="O754" s="2" t="n">
        <f aca="false">AH754+IF(SUMPRODUCT(--($AL754:$AQ754&gt;AO754))+SUMPRODUCT(--($AL754:AN754=AO754))&lt;$AK754,1,0)</f>
        <v>126</v>
      </c>
      <c r="P754" s="2" t="n">
        <f aca="false">AI754+IF(SUMPRODUCT(--($AL754:$AQ754&gt;AP754))+SUMPRODUCT(--($AL754:AO754=AP754))&lt;$AK754,1,0)</f>
        <v>69</v>
      </c>
      <c r="Q754" s="2" t="n">
        <f aca="false">AJ754+IF(SUMPRODUCT(--($AL754:$AQ754&gt;AQ754))+SUMPRODUCT(--($AL754:AP754=AQ754))&lt;$AK754,1,0)</f>
        <v>91</v>
      </c>
      <c r="R754" s="2" t="n">
        <f aca="false">SUM(L754:Q754)</f>
        <v>500</v>
      </c>
      <c r="S754" s="2" t="n">
        <f aca="false">Settings!$B$4*MAX(INDEX(Bases!$M$2:$M$53,B754),INDEX(Bases!$M$2:$M$53,C754))+Settings!$B$5*MIN(INDEX(Bases!$M$2:$M$53,B754),INDEX(Bases!$M$2:$M$53,C754))</f>
        <v>77.6666666666667</v>
      </c>
      <c r="T754" s="2" t="n">
        <f aca="false">Settings!$B$4*MAX(INDEX(Bases!$N$2:$N$53,B754),INDEX(Bases!$N$2:$N$53,C754))+Settings!$B$5*MIN(INDEX(Bases!$N$2:$N$53,B754),INDEX(Bases!$N$2:$N$53,C754))</f>
        <v>51.6666666666667</v>
      </c>
      <c r="U754" s="2" t="n">
        <f aca="false">Settings!$B$4*MAX(INDEX(Bases!$O$2:$O$53,B754),INDEX(Bases!$O$2:$O$53,C754))+Settings!$B$5*MIN(INDEX(Bases!$O$2:$O$53,B754),INDEX(Bases!$O$2:$O$53,C754))</f>
        <v>59</v>
      </c>
      <c r="V754" s="2" t="n">
        <f aca="false">Settings!$B$4*MAX(INDEX(Bases!$P$2:$P$53,B754),INDEX(Bases!$P$2:$P$53,C754))+Settings!$B$5*MIN(INDEX(Bases!$P$2:$P$53,B754),INDEX(Bases!$P$2:$P$53,C754))</f>
        <v>111.333333333333</v>
      </c>
      <c r="W754" s="2" t="n">
        <f aca="false">Settings!$B$4*MAX(INDEX(Bases!$Q$2:$Q$53,B754),INDEX(Bases!$Q$2:$Q$53,C754))+Settings!$B$5*MIN(INDEX(Bases!$Q$2:$Q$53,B754),INDEX(Bases!$Q$2:$Q$53,C754))</f>
        <v>61</v>
      </c>
      <c r="X754" s="2" t="n">
        <f aca="false">Settings!$B$4*MAX(INDEX(Bases!$R$2:$R$53,B754),INDEX(Bases!$R$2:$R$53,C754))+Settings!$B$5*MIN(INDEX(Bases!$R$2:$R$53,B754),INDEX(Bases!$R$2:$R$53,C754))</f>
        <v>80</v>
      </c>
      <c r="Y754" s="2" t="n">
        <f aca="false">S754*Settings!$B$3/SUM(S754:X754)</f>
        <v>88.1240544629349</v>
      </c>
      <c r="Z754" s="2" t="n">
        <f aca="false">T754*Settings!$B$3/SUM(S754:X754)</f>
        <v>58.6232980332829</v>
      </c>
      <c r="AA754" s="2" t="n">
        <f aca="false">U754*Settings!$B$3/SUM(S754:X754)</f>
        <v>66.9440242057489</v>
      </c>
      <c r="AB754" s="2" t="n">
        <f aca="false">V754*Settings!$B$3/SUM(S754:X754)</f>
        <v>126.323751891074</v>
      </c>
      <c r="AC754" s="2" t="n">
        <f aca="false">W754*Settings!$B$3/SUM(S754:X754)</f>
        <v>69.2133131618759</v>
      </c>
      <c r="AD754" s="2" t="n">
        <f aca="false">X754*Settings!$B$3/SUM(S754:X754)</f>
        <v>90.7715582450832</v>
      </c>
      <c r="AE754" s="2" t="n">
        <f aca="false">INT(Y754)</f>
        <v>88</v>
      </c>
      <c r="AF754" s="2" t="n">
        <f aca="false">INT(Z754)</f>
        <v>58</v>
      </c>
      <c r="AG754" s="2" t="n">
        <f aca="false">INT(AA754)</f>
        <v>66</v>
      </c>
      <c r="AH754" s="2" t="n">
        <f aca="false">INT(AB754)</f>
        <v>126</v>
      </c>
      <c r="AI754" s="2" t="n">
        <f aca="false">INT(AC754)</f>
        <v>69</v>
      </c>
      <c r="AJ754" s="2" t="n">
        <f aca="false">INT(AD754)</f>
        <v>90</v>
      </c>
      <c r="AK754" s="2" t="n">
        <f aca="false">Settings!$B$3-SUM(AE754:AJ754)</f>
        <v>3</v>
      </c>
      <c r="AL754" s="2" t="n">
        <f aca="false">ROUND(Y754-AE754,9)</f>
        <v>0.124054463</v>
      </c>
      <c r="AM754" s="2" t="n">
        <f aca="false">ROUND(Z754-AF754,9)</f>
        <v>0.623298033</v>
      </c>
      <c r="AN754" s="2" t="n">
        <f aca="false">ROUND(AA754-AG754,9)</f>
        <v>0.944024206</v>
      </c>
      <c r="AO754" s="2" t="n">
        <f aca="false">ROUND(AB754-AH754,9)</f>
        <v>0.323751891</v>
      </c>
      <c r="AP754" s="2" t="n">
        <f aca="false">ROUND(AC754-AI754,9)</f>
        <v>0.213313162</v>
      </c>
      <c r="AQ754" s="2" t="n">
        <f aca="false">ROUND(AD754-AJ754,9)</f>
        <v>0.771558245</v>
      </c>
    </row>
    <row r="755" customFormat="false" ht="15" hidden="false" customHeight="false" outlineLevel="0" collapsed="false">
      <c r="A755" s="2" t="n">
        <v>754</v>
      </c>
      <c r="B755" s="6" t="n">
        <v>18</v>
      </c>
      <c r="C755" s="6" t="n">
        <v>41</v>
      </c>
      <c r="D755" s="8" t="str">
        <f aca="false">INDEX(Bases!$B$2:$B$53,B755)</f>
        <v>Spheal</v>
      </c>
      <c r="E755" s="8" t="str">
        <f aca="false">INDEX(Bases!$B$2:$B$53,C755)</f>
        <v>Misdreavus</v>
      </c>
      <c r="F755" s="2" t="str">
        <f aca="false">LEFT(D755,ROUNDUP(LEN(D755)/2,0))&amp;LOWER(MID(E755,ROUNDUP(LEN(E755)/2,0)+1,20))</f>
        <v>Spheavus</v>
      </c>
      <c r="G755" s="8" t="str">
        <f aca="false">INDEX(Bases!$C$2:$C$53,B755)</f>
        <v>Ice</v>
      </c>
      <c r="H755" s="8" t="str">
        <f aca="false">IF(INDEX(Bases!$C$2:$C$53,C755)=G755,"",INDEX(Bases!$C$2:$C$53,C755))</f>
        <v>Ghost</v>
      </c>
      <c r="I755" s="8" t="str">
        <f aca="false">IF(INDEX(Bases!$E$2:$E$53,B755)="","",INDEX(Bases!$E$2:$E$53,B755))</f>
        <v/>
      </c>
      <c r="J755" s="8" t="str">
        <f aca="false">IF(INDEX(Bases!$E$2:$E$53,C755)="","",INDEX(Bases!$E$2:$E$53,C755))</f>
        <v/>
      </c>
      <c r="K755" s="5"/>
      <c r="L755" s="2" t="n">
        <f aca="false">AE755+IF(SUMPRODUCT(--($AL755:$AQ755&gt;AL755))&lt;$AK755,1,0)</f>
        <v>99</v>
      </c>
      <c r="M755" s="2" t="n">
        <f aca="false">AF755+IF(SUMPRODUCT(--($AL755:$AQ755&gt;AM755))+SUMPRODUCT(--($AL755:AL755=AM755))&lt;$AK755,1,0)</f>
        <v>66</v>
      </c>
      <c r="N755" s="2" t="n">
        <f aca="false">AG755+IF(SUMPRODUCT(--($AL755:$AQ755&gt;AN755))+SUMPRODUCT(--($AL755:AM755=AN755))&lt;$AK755,1,0)</f>
        <v>77</v>
      </c>
      <c r="O755" s="2" t="n">
        <f aca="false">AH755+IF(SUMPRODUCT(--($AL755:$AQ755&gt;AO755))+SUMPRODUCT(--($AL755:AN755=AO755))&lt;$AK755,1,0)</f>
        <v>92</v>
      </c>
      <c r="P755" s="2" t="n">
        <f aca="false">AI755+IF(SUMPRODUCT(--($AL755:$AQ755&gt;AP755))+SUMPRODUCT(--($AL755:AO755=AP755))&lt;$AK755,1,0)</f>
        <v>90</v>
      </c>
      <c r="Q755" s="2" t="n">
        <f aca="false">AJ755+IF(SUMPRODUCT(--($AL755:$AQ755&gt;AQ755))+SUMPRODUCT(--($AL755:AP755=AQ755))&lt;$AK755,1,0)</f>
        <v>76</v>
      </c>
      <c r="R755" s="2" t="n">
        <f aca="false">SUM(L755:Q755)</f>
        <v>500</v>
      </c>
      <c r="S755" s="2" t="n">
        <f aca="false">Settings!$B$4*MAX(INDEX(Bases!$M$2:$M$53,B755),INDEX(Bases!$M$2:$M$53,C755))+Settings!$B$5*MIN(INDEX(Bases!$M$2:$M$53,B755),INDEX(Bases!$M$2:$M$53,C755))</f>
        <v>83.3333333333333</v>
      </c>
      <c r="T755" s="2" t="n">
        <f aca="false">Settings!$B$4*MAX(INDEX(Bases!$N$2:$N$53,B755),INDEX(Bases!$N$2:$N$53,C755))+Settings!$B$5*MIN(INDEX(Bases!$N$2:$N$53,B755),INDEX(Bases!$N$2:$N$53,C755))</f>
        <v>55</v>
      </c>
      <c r="U755" s="2" t="n">
        <f aca="false">Settings!$B$4*MAX(INDEX(Bases!$O$2:$O$53,B755),INDEX(Bases!$O$2:$O$53,C755))+Settings!$B$5*MIN(INDEX(Bases!$O$2:$O$53,B755),INDEX(Bases!$O$2:$O$53,C755))</f>
        <v>64.3333333333333</v>
      </c>
      <c r="V755" s="2" t="n">
        <f aca="false">Settings!$B$4*MAX(INDEX(Bases!$P$2:$P$53,B755),INDEX(Bases!$P$2:$P$53,C755))+Settings!$B$5*MIN(INDEX(Bases!$P$2:$P$53,B755),INDEX(Bases!$P$2:$P$53,C755))</f>
        <v>77.3333333333333</v>
      </c>
      <c r="W755" s="2" t="n">
        <f aca="false">Settings!$B$4*MAX(INDEX(Bases!$Q$2:$Q$53,B755),INDEX(Bases!$Q$2:$Q$53,C755))+Settings!$B$5*MIN(INDEX(Bases!$Q$2:$Q$53,B755),INDEX(Bases!$Q$2:$Q$53,C755))</f>
        <v>75</v>
      </c>
      <c r="X755" s="2" t="n">
        <f aca="false">Settings!$B$4*MAX(INDEX(Bases!$R$2:$R$53,B755),INDEX(Bases!$R$2:$R$53,C755))+Settings!$B$5*MIN(INDEX(Bases!$R$2:$R$53,B755),INDEX(Bases!$R$2:$R$53,C755))</f>
        <v>63.3333333333333</v>
      </c>
      <c r="Y755" s="2" t="n">
        <f aca="false">S755*Settings!$B$3/SUM(S755:X755)</f>
        <v>99.601593625498</v>
      </c>
      <c r="Z755" s="2" t="n">
        <f aca="false">T755*Settings!$B$3/SUM(S755:X755)</f>
        <v>65.7370517928287</v>
      </c>
      <c r="AA755" s="2" t="n">
        <f aca="false">U755*Settings!$B$3/SUM(S755:X755)</f>
        <v>76.8924302788845</v>
      </c>
      <c r="AB755" s="2" t="n">
        <f aca="false">V755*Settings!$B$3/SUM(S755:X755)</f>
        <v>92.4302788844622</v>
      </c>
      <c r="AC755" s="2" t="n">
        <f aca="false">W755*Settings!$B$3/SUM(S755:X755)</f>
        <v>89.6414342629482</v>
      </c>
      <c r="AD755" s="2" t="n">
        <f aca="false">X755*Settings!$B$3/SUM(S755:X755)</f>
        <v>75.6972111553785</v>
      </c>
      <c r="AE755" s="2" t="n">
        <f aca="false">INT(Y755)</f>
        <v>99</v>
      </c>
      <c r="AF755" s="2" t="n">
        <f aca="false">INT(Z755)</f>
        <v>65</v>
      </c>
      <c r="AG755" s="2" t="n">
        <f aca="false">INT(AA755)</f>
        <v>76</v>
      </c>
      <c r="AH755" s="2" t="n">
        <f aca="false">INT(AB755)</f>
        <v>92</v>
      </c>
      <c r="AI755" s="2" t="n">
        <f aca="false">INT(AC755)</f>
        <v>89</v>
      </c>
      <c r="AJ755" s="2" t="n">
        <f aca="false">INT(AD755)</f>
        <v>75</v>
      </c>
      <c r="AK755" s="2" t="n">
        <f aca="false">Settings!$B$3-SUM(AE755:AJ755)</f>
        <v>4</v>
      </c>
      <c r="AL755" s="2" t="n">
        <f aca="false">ROUND(Y755-AE755,9)</f>
        <v>0.601593625</v>
      </c>
      <c r="AM755" s="2" t="n">
        <f aca="false">ROUND(Z755-AF755,9)</f>
        <v>0.737051793</v>
      </c>
      <c r="AN755" s="2" t="n">
        <f aca="false">ROUND(AA755-AG755,9)</f>
        <v>0.892430279</v>
      </c>
      <c r="AO755" s="2" t="n">
        <f aca="false">ROUND(AB755-AH755,9)</f>
        <v>0.430278884</v>
      </c>
      <c r="AP755" s="2" t="n">
        <f aca="false">ROUND(AC755-AI755,9)</f>
        <v>0.641434263</v>
      </c>
      <c r="AQ755" s="2" t="n">
        <f aca="false">ROUND(AD755-AJ755,9)</f>
        <v>0.697211155</v>
      </c>
    </row>
    <row r="756" customFormat="false" ht="15" hidden="false" customHeight="false" outlineLevel="0" collapsed="false">
      <c r="A756" s="2" t="n">
        <v>755</v>
      </c>
      <c r="B756" s="6" t="n">
        <v>18</v>
      </c>
      <c r="C756" s="6" t="n">
        <v>42</v>
      </c>
      <c r="D756" s="8" t="str">
        <f aca="false">INDEX(Bases!$B$2:$B$53,B756)</f>
        <v>Spheal</v>
      </c>
      <c r="E756" s="8" t="str">
        <f aca="false">INDEX(Bases!$B$2:$B$53,C756)</f>
        <v>Sableye</v>
      </c>
      <c r="F756" s="2" t="str">
        <f aca="false">LEFT(D756,ROUNDUP(LEN(D756)/2,0))&amp;LOWER(MID(E756,ROUNDUP(LEN(E756)/2,0)+1,20))</f>
        <v>Spheye</v>
      </c>
      <c r="G756" s="8" t="str">
        <f aca="false">INDEX(Bases!$C$2:$C$53,B756)</f>
        <v>Ice</v>
      </c>
      <c r="H756" s="8" t="str">
        <f aca="false">IF(INDEX(Bases!$C$2:$C$53,C756)=G756,"",INDEX(Bases!$C$2:$C$53,C756))</f>
        <v>Ghost</v>
      </c>
      <c r="I756" s="8" t="str">
        <f aca="false">IF(INDEX(Bases!$E$2:$E$53,B756)="","",INDEX(Bases!$E$2:$E$53,B756))</f>
        <v/>
      </c>
      <c r="J756" s="8" t="str">
        <f aca="false">IF(INDEX(Bases!$E$2:$E$53,C756)="","",INDEX(Bases!$E$2:$E$53,C756))</f>
        <v/>
      </c>
      <c r="K756" s="5"/>
      <c r="L756" s="2" t="n">
        <f aca="false">AE756+IF(SUMPRODUCT(--($AL756:$AQ756&gt;AL756))&lt;$AK756,1,0)</f>
        <v>98</v>
      </c>
      <c r="M756" s="2" t="n">
        <f aca="false">AF756+IF(SUMPRODUCT(--($AL756:$AQ756&gt;AM756))+SUMPRODUCT(--($AL756:AL756=AM756))&lt;$AK756,1,0)</f>
        <v>85</v>
      </c>
      <c r="N756" s="2" t="n">
        <f aca="false">AG756+IF(SUMPRODUCT(--($AL756:$AQ756&gt;AN756))+SUMPRODUCT(--($AL756:AM756=AN756))&lt;$AK756,1,0)</f>
        <v>91</v>
      </c>
      <c r="O756" s="2" t="n">
        <f aca="false">AH756+IF(SUMPRODUCT(--($AL756:$AQ756&gt;AO756))+SUMPRODUCT(--($AL756:AN756=AO756))&lt;$AK756,1,0)</f>
        <v>88</v>
      </c>
      <c r="P756" s="2" t="n">
        <f aca="false">AI756+IF(SUMPRODUCT(--($AL756:$AQ756&gt;AP756))+SUMPRODUCT(--($AL756:AO756=AP756))&lt;$AK756,1,0)</f>
        <v>82</v>
      </c>
      <c r="Q756" s="2" t="n">
        <f aca="false">AJ756+IF(SUMPRODUCT(--($AL756:$AQ756&gt;AQ756))+SUMPRODUCT(--($AL756:AP756=AQ756))&lt;$AK756,1,0)</f>
        <v>56</v>
      </c>
      <c r="R756" s="2" t="n">
        <f aca="false">SUM(L756:Q756)</f>
        <v>500</v>
      </c>
      <c r="S756" s="2" t="n">
        <f aca="false">Settings!$B$4*MAX(INDEX(Bases!$M$2:$M$53,B756),INDEX(Bases!$M$2:$M$53,C756))+Settings!$B$5*MIN(INDEX(Bases!$M$2:$M$53,B756),INDEX(Bases!$M$2:$M$53,C756))</f>
        <v>82.3333333333333</v>
      </c>
      <c r="T756" s="2" t="n">
        <f aca="false">Settings!$B$4*MAX(INDEX(Bases!$N$2:$N$53,B756),INDEX(Bases!$N$2:$N$53,C756))+Settings!$B$5*MIN(INDEX(Bases!$N$2:$N$53,B756),INDEX(Bases!$N$2:$N$53,C756))</f>
        <v>71</v>
      </c>
      <c r="U756" s="2" t="n">
        <f aca="false">Settings!$B$4*MAX(INDEX(Bases!$O$2:$O$53,B756),INDEX(Bases!$O$2:$O$53,C756))+Settings!$B$5*MIN(INDEX(Bases!$O$2:$O$53,B756),INDEX(Bases!$O$2:$O$53,C756))</f>
        <v>75.6666666666667</v>
      </c>
      <c r="V756" s="2" t="n">
        <f aca="false">Settings!$B$4*MAX(INDEX(Bases!$P$2:$P$53,B756),INDEX(Bases!$P$2:$P$53,C756))+Settings!$B$5*MIN(INDEX(Bases!$P$2:$P$53,B756),INDEX(Bases!$P$2:$P$53,C756))</f>
        <v>73.3333333333333</v>
      </c>
      <c r="W756" s="2" t="n">
        <f aca="false">Settings!$B$4*MAX(INDEX(Bases!$Q$2:$Q$53,B756),INDEX(Bases!$Q$2:$Q$53,C756))+Settings!$B$5*MIN(INDEX(Bases!$Q$2:$Q$53,B756),INDEX(Bases!$Q$2:$Q$53,C756))</f>
        <v>68.6666666666667</v>
      </c>
      <c r="X756" s="2" t="n">
        <f aca="false">Settings!$B$4*MAX(INDEX(Bases!$R$2:$R$53,B756),INDEX(Bases!$R$2:$R$53,C756))+Settings!$B$5*MIN(INDEX(Bases!$R$2:$R$53,B756),INDEX(Bases!$R$2:$R$53,C756))</f>
        <v>46.6666666666667</v>
      </c>
      <c r="Y756" s="2" t="n">
        <f aca="false">S756*Settings!$B$3/SUM(S756:X756)</f>
        <v>98.5634477254589</v>
      </c>
      <c r="Z756" s="2" t="n">
        <f aca="false">T756*Settings!$B$3/SUM(S756:X756)</f>
        <v>84.9960095770152</v>
      </c>
      <c r="AA756" s="2" t="n">
        <f aca="false">U756*Settings!$B$3/SUM(S756:X756)</f>
        <v>90.5826017557861</v>
      </c>
      <c r="AB756" s="2" t="n">
        <f aca="false">V756*Settings!$B$3/SUM(S756:X756)</f>
        <v>87.7893056664006</v>
      </c>
      <c r="AC756" s="2" t="n">
        <f aca="false">W756*Settings!$B$3/SUM(S756:X756)</f>
        <v>82.2027134876297</v>
      </c>
      <c r="AD756" s="2" t="n">
        <f aca="false">X756*Settings!$B$3/SUM(S756:X756)</f>
        <v>55.8659217877095</v>
      </c>
      <c r="AE756" s="2" t="n">
        <f aca="false">INT(Y756)</f>
        <v>98</v>
      </c>
      <c r="AF756" s="2" t="n">
        <f aca="false">INT(Z756)</f>
        <v>84</v>
      </c>
      <c r="AG756" s="2" t="n">
        <f aca="false">INT(AA756)</f>
        <v>90</v>
      </c>
      <c r="AH756" s="2" t="n">
        <f aca="false">INT(AB756)</f>
        <v>87</v>
      </c>
      <c r="AI756" s="2" t="n">
        <f aca="false">INT(AC756)</f>
        <v>82</v>
      </c>
      <c r="AJ756" s="2" t="n">
        <f aca="false">INT(AD756)</f>
        <v>55</v>
      </c>
      <c r="AK756" s="2" t="n">
        <f aca="false">Settings!$B$3-SUM(AE756:AJ756)</f>
        <v>4</v>
      </c>
      <c r="AL756" s="2" t="n">
        <f aca="false">ROUND(Y756-AE756,9)</f>
        <v>0.563447725</v>
      </c>
      <c r="AM756" s="2" t="n">
        <f aca="false">ROUND(Z756-AF756,9)</f>
        <v>0.996009577</v>
      </c>
      <c r="AN756" s="2" t="n">
        <f aca="false">ROUND(AA756-AG756,9)</f>
        <v>0.582601756</v>
      </c>
      <c r="AO756" s="2" t="n">
        <f aca="false">ROUND(AB756-AH756,9)</f>
        <v>0.789305666</v>
      </c>
      <c r="AP756" s="2" t="n">
        <f aca="false">ROUND(AC756-AI756,9)</f>
        <v>0.202713488</v>
      </c>
      <c r="AQ756" s="2" t="n">
        <f aca="false">ROUND(AD756-AJ756,9)</f>
        <v>0.865921788</v>
      </c>
    </row>
    <row r="757" customFormat="false" ht="15" hidden="false" customHeight="false" outlineLevel="0" collapsed="false">
      <c r="A757" s="2" t="n">
        <v>756</v>
      </c>
      <c r="B757" s="6" t="n">
        <v>18</v>
      </c>
      <c r="C757" s="6" t="n">
        <v>43</v>
      </c>
      <c r="D757" s="8" t="str">
        <f aca="false">INDEX(Bases!$B$2:$B$53,B757)</f>
        <v>Spheal</v>
      </c>
      <c r="E757" s="8" t="str">
        <f aca="false">INDEX(Bases!$B$2:$B$53,C757)</f>
        <v>Dratini</v>
      </c>
      <c r="F757" s="2" t="str">
        <f aca="false">LEFT(D757,ROUNDUP(LEN(D757)/2,0))&amp;LOWER(MID(E757,ROUNDUP(LEN(E757)/2,0)+1,20))</f>
        <v>Sphini</v>
      </c>
      <c r="G757" s="8" t="str">
        <f aca="false">INDEX(Bases!$C$2:$C$53,B757)</f>
        <v>Ice</v>
      </c>
      <c r="H757" s="8" t="str">
        <f aca="false">IF(INDEX(Bases!$C$2:$C$53,C757)=G757,"",INDEX(Bases!$C$2:$C$53,C757))</f>
        <v>Dragon</v>
      </c>
      <c r="I757" s="8" t="str">
        <f aca="false">IF(INDEX(Bases!$E$2:$E$53,B757)="","",INDEX(Bases!$E$2:$E$53,B757))</f>
        <v/>
      </c>
      <c r="J757" s="8" t="str">
        <f aca="false">IF(INDEX(Bases!$E$2:$E$53,C757)="","",INDEX(Bases!$E$2:$E$53,C757))</f>
        <v/>
      </c>
      <c r="K757" s="5"/>
      <c r="L757" s="2" t="n">
        <f aca="false">AE757+IF(SUMPRODUCT(--($AL757:$AQ757&gt;AL757))&lt;$AK757,1,0)</f>
        <v>99</v>
      </c>
      <c r="M757" s="2" t="n">
        <f aca="false">AF757+IF(SUMPRODUCT(--($AL757:$AQ757&gt;AM757))+SUMPRODUCT(--($AL757:AL757=AM757))&lt;$AK757,1,0)</f>
        <v>89</v>
      </c>
      <c r="N757" s="2" t="n">
        <f aca="false">AG757+IF(SUMPRODUCT(--($AL757:$AQ757&gt;AN757))+SUMPRODUCT(--($AL757:AM757=AN757))&lt;$AK757,1,0)</f>
        <v>78</v>
      </c>
      <c r="O757" s="2" t="n">
        <f aca="false">AH757+IF(SUMPRODUCT(--($AL757:$AQ757&gt;AO757))+SUMPRODUCT(--($AL757:AN757=AO757))&lt;$AK757,1,0)</f>
        <v>87</v>
      </c>
      <c r="P757" s="2" t="n">
        <f aca="false">AI757+IF(SUMPRODUCT(--($AL757:$AQ757&gt;AP757))+SUMPRODUCT(--($AL757:AO757=AP757))&lt;$AK757,1,0)</f>
        <v>81</v>
      </c>
      <c r="Q757" s="2" t="n">
        <f aca="false">AJ757+IF(SUMPRODUCT(--($AL757:$AQ757&gt;AQ757))+SUMPRODUCT(--($AL757:AP757=AQ757))&lt;$AK757,1,0)</f>
        <v>66</v>
      </c>
      <c r="R757" s="2" t="n">
        <f aca="false">SUM(L757:Q757)</f>
        <v>500</v>
      </c>
      <c r="S757" s="2" t="n">
        <f aca="false">Settings!$B$4*MAX(INDEX(Bases!$M$2:$M$53,B757),INDEX(Bases!$M$2:$M$53,C757))+Settings!$B$5*MIN(INDEX(Bases!$M$2:$M$53,B757),INDEX(Bases!$M$2:$M$53,C757))</f>
        <v>83</v>
      </c>
      <c r="T757" s="2" t="n">
        <f aca="false">Settings!$B$4*MAX(INDEX(Bases!$N$2:$N$53,B757),INDEX(Bases!$N$2:$N$53,C757))+Settings!$B$5*MIN(INDEX(Bases!$N$2:$N$53,B757),INDEX(Bases!$N$2:$N$53,C757))</f>
        <v>75</v>
      </c>
      <c r="U757" s="2" t="n">
        <f aca="false">Settings!$B$4*MAX(INDEX(Bases!$O$2:$O$53,B757),INDEX(Bases!$O$2:$O$53,C757))+Settings!$B$5*MIN(INDEX(Bases!$O$2:$O$53,B757),INDEX(Bases!$O$2:$O$53,C757))</f>
        <v>66</v>
      </c>
      <c r="V757" s="2" t="n">
        <f aca="false">Settings!$B$4*MAX(INDEX(Bases!$P$2:$P$53,B757),INDEX(Bases!$P$2:$P$53,C757))+Settings!$B$5*MIN(INDEX(Bases!$P$2:$P$53,B757),INDEX(Bases!$P$2:$P$53,C757))</f>
        <v>73</v>
      </c>
      <c r="W757" s="2" t="n">
        <f aca="false">Settings!$B$4*MAX(INDEX(Bases!$Q$2:$Q$53,B757),INDEX(Bases!$Q$2:$Q$53,C757))+Settings!$B$5*MIN(INDEX(Bases!$Q$2:$Q$53,B757),INDEX(Bases!$Q$2:$Q$53,C757))</f>
        <v>68.3333333333333</v>
      </c>
      <c r="X757" s="2" t="n">
        <f aca="false">Settings!$B$4*MAX(INDEX(Bases!$R$2:$R$53,B757),INDEX(Bases!$R$2:$R$53,C757))+Settings!$B$5*MIN(INDEX(Bases!$R$2:$R$53,B757),INDEX(Bases!$R$2:$R$53,C757))</f>
        <v>55.3333333333333</v>
      </c>
      <c r="Y757" s="2" t="n">
        <f aca="false">S757*Settings!$B$3/SUM(S757:X757)</f>
        <v>98.6529318541997</v>
      </c>
      <c r="Z757" s="2" t="n">
        <f aca="false">T757*Settings!$B$3/SUM(S757:X757)</f>
        <v>89.1442155309033</v>
      </c>
      <c r="AA757" s="2" t="n">
        <f aca="false">U757*Settings!$B$3/SUM(S757:X757)</f>
        <v>78.4469096671949</v>
      </c>
      <c r="AB757" s="2" t="n">
        <f aca="false">V757*Settings!$B$3/SUM(S757:X757)</f>
        <v>86.7670364500792</v>
      </c>
      <c r="AC757" s="2" t="n">
        <f aca="false">W757*Settings!$B$3/SUM(S757:X757)</f>
        <v>81.2202852614897</v>
      </c>
      <c r="AD757" s="2" t="n">
        <f aca="false">X757*Settings!$B$3/SUM(S757:X757)</f>
        <v>65.7686212361331</v>
      </c>
      <c r="AE757" s="2" t="n">
        <f aca="false">INT(Y757)</f>
        <v>98</v>
      </c>
      <c r="AF757" s="2" t="n">
        <f aca="false">INT(Z757)</f>
        <v>89</v>
      </c>
      <c r="AG757" s="2" t="n">
        <f aca="false">INT(AA757)</f>
        <v>78</v>
      </c>
      <c r="AH757" s="2" t="n">
        <f aca="false">INT(AB757)</f>
        <v>86</v>
      </c>
      <c r="AI757" s="2" t="n">
        <f aca="false">INT(AC757)</f>
        <v>81</v>
      </c>
      <c r="AJ757" s="2" t="n">
        <f aca="false">INT(AD757)</f>
        <v>65</v>
      </c>
      <c r="AK757" s="2" t="n">
        <f aca="false">Settings!$B$3-SUM(AE757:AJ757)</f>
        <v>3</v>
      </c>
      <c r="AL757" s="2" t="n">
        <f aca="false">ROUND(Y757-AE757,9)</f>
        <v>0.652931854</v>
      </c>
      <c r="AM757" s="2" t="n">
        <f aca="false">ROUND(Z757-AF757,9)</f>
        <v>0.144215531</v>
      </c>
      <c r="AN757" s="2" t="n">
        <f aca="false">ROUND(AA757-AG757,9)</f>
        <v>0.446909667</v>
      </c>
      <c r="AO757" s="2" t="n">
        <f aca="false">ROUND(AB757-AH757,9)</f>
        <v>0.76703645</v>
      </c>
      <c r="AP757" s="2" t="n">
        <f aca="false">ROUND(AC757-AI757,9)</f>
        <v>0.220285261</v>
      </c>
      <c r="AQ757" s="2" t="n">
        <f aca="false">ROUND(AD757-AJ757,9)</f>
        <v>0.768621236</v>
      </c>
    </row>
    <row r="758" customFormat="false" ht="15" hidden="false" customHeight="false" outlineLevel="0" collapsed="false">
      <c r="A758" s="2" t="n">
        <v>757</v>
      </c>
      <c r="B758" s="6" t="n">
        <v>18</v>
      </c>
      <c r="C758" s="6" t="n">
        <v>44</v>
      </c>
      <c r="D758" s="8" t="str">
        <f aca="false">INDEX(Bases!$B$2:$B$53,B758)</f>
        <v>Spheal</v>
      </c>
      <c r="E758" s="8" t="str">
        <f aca="false">INDEX(Bases!$B$2:$B$53,C758)</f>
        <v>Bagon</v>
      </c>
      <c r="F758" s="2" t="str">
        <f aca="false">LEFT(D758,ROUNDUP(LEN(D758)/2,0))&amp;LOWER(MID(E758,ROUNDUP(LEN(E758)/2,0)+1,20))</f>
        <v>Sphon</v>
      </c>
      <c r="G758" s="8" t="str">
        <f aca="false">INDEX(Bases!$C$2:$C$53,B758)</f>
        <v>Ice</v>
      </c>
      <c r="H758" s="8" t="str">
        <f aca="false">IF(INDEX(Bases!$C$2:$C$53,C758)=G758,"",INDEX(Bases!$C$2:$C$53,C758))</f>
        <v>Dragon</v>
      </c>
      <c r="I758" s="8" t="str">
        <f aca="false">IF(INDEX(Bases!$E$2:$E$53,B758)="","",INDEX(Bases!$E$2:$E$53,B758))</f>
        <v/>
      </c>
      <c r="J758" s="8" t="str">
        <f aca="false">IF(INDEX(Bases!$E$2:$E$53,C758)="","",INDEX(Bases!$E$2:$E$53,C758))</f>
        <v/>
      </c>
      <c r="K758" s="5"/>
      <c r="L758" s="2" t="n">
        <f aca="false">AE758+IF(SUMPRODUCT(--($AL758:$AQ758&gt;AL758))&lt;$AK758,1,0)</f>
        <v>99</v>
      </c>
      <c r="M758" s="2" t="n">
        <f aca="false">AF758+IF(SUMPRODUCT(--($AL758:$AQ758&gt;AM758))+SUMPRODUCT(--($AL758:AL758=AM758))&lt;$AK758,1,0)</f>
        <v>99</v>
      </c>
      <c r="N758" s="2" t="n">
        <f aca="false">AG758+IF(SUMPRODUCT(--($AL758:$AQ758&gt;AN758))+SUMPRODUCT(--($AL758:AM758=AN758))&lt;$AK758,1,0)</f>
        <v>89</v>
      </c>
      <c r="O758" s="2" t="n">
        <f aca="false">AH758+IF(SUMPRODUCT(--($AL758:$AQ758&gt;AO758))+SUMPRODUCT(--($AL758:AN758=AO758))&lt;$AK758,1,0)</f>
        <v>79</v>
      </c>
      <c r="P758" s="2" t="n">
        <f aca="false">AI758+IF(SUMPRODUCT(--($AL758:$AQ758&gt;AP758))+SUMPRODUCT(--($AL758:AO758=AP758))&lt;$AK758,1,0)</f>
        <v>69</v>
      </c>
      <c r="Q758" s="2" t="n">
        <f aca="false">AJ758+IF(SUMPRODUCT(--($AL758:$AQ758&gt;AQ758))+SUMPRODUCT(--($AL758:AP758=AQ758))&lt;$AK758,1,0)</f>
        <v>65</v>
      </c>
      <c r="R758" s="2" t="n">
        <f aca="false">SUM(L758:Q758)</f>
        <v>500</v>
      </c>
      <c r="S758" s="2" t="n">
        <f aca="false">Settings!$B$4*MAX(INDEX(Bases!$M$2:$M$53,B758),INDEX(Bases!$M$2:$M$53,C758))+Settings!$B$5*MIN(INDEX(Bases!$M$2:$M$53,B758),INDEX(Bases!$M$2:$M$53,C758))</f>
        <v>84.6666666666667</v>
      </c>
      <c r="T758" s="2" t="n">
        <f aca="false">Settings!$B$4*MAX(INDEX(Bases!$N$2:$N$53,B758),INDEX(Bases!$N$2:$N$53,C758))+Settings!$B$5*MIN(INDEX(Bases!$N$2:$N$53,B758),INDEX(Bases!$N$2:$N$53,C758))</f>
        <v>85</v>
      </c>
      <c r="U758" s="2" t="n">
        <f aca="false">Settings!$B$4*MAX(INDEX(Bases!$O$2:$O$53,B758),INDEX(Bases!$O$2:$O$53,C758))+Settings!$B$5*MIN(INDEX(Bases!$O$2:$O$53,B758),INDEX(Bases!$O$2:$O$53,C758))</f>
        <v>76.3333333333333</v>
      </c>
      <c r="V758" s="2" t="n">
        <f aca="false">Settings!$B$4*MAX(INDEX(Bases!$P$2:$P$53,B758),INDEX(Bases!$P$2:$P$53,C758))+Settings!$B$5*MIN(INDEX(Bases!$P$2:$P$53,B758),INDEX(Bases!$P$2:$P$53,C758))</f>
        <v>68.3333333333333</v>
      </c>
      <c r="W758" s="2" t="n">
        <f aca="false">Settings!$B$4*MAX(INDEX(Bases!$Q$2:$Q$53,B758),INDEX(Bases!$Q$2:$Q$53,C758))+Settings!$B$5*MIN(INDEX(Bases!$Q$2:$Q$53,B758),INDEX(Bases!$Q$2:$Q$53,C758))</f>
        <v>59.3333333333333</v>
      </c>
      <c r="X758" s="2" t="n">
        <f aca="false">Settings!$B$4*MAX(INDEX(Bases!$R$2:$R$53,B758),INDEX(Bases!$R$2:$R$53,C758))+Settings!$B$5*MIN(INDEX(Bases!$R$2:$R$53,B758),INDEX(Bases!$R$2:$R$53,C758))</f>
        <v>56</v>
      </c>
      <c r="Y758" s="2" t="n">
        <f aca="false">S758*Settings!$B$3/SUM(S758:X758)</f>
        <v>98.5259891388673</v>
      </c>
      <c r="Z758" s="2" t="n">
        <f aca="false">T758*Settings!$B$3/SUM(S758:X758)</f>
        <v>98.9138867339023</v>
      </c>
      <c r="AA758" s="2" t="n">
        <f aca="false">U758*Settings!$B$3/SUM(S758:X758)</f>
        <v>88.8285492629946</v>
      </c>
      <c r="AB758" s="2" t="n">
        <f aca="false">V758*Settings!$B$3/SUM(S758:X758)</f>
        <v>79.5190069821567</v>
      </c>
      <c r="AC758" s="2" t="n">
        <f aca="false">W758*Settings!$B$3/SUM(S758:X758)</f>
        <v>69.0457719162141</v>
      </c>
      <c r="AD758" s="2" t="n">
        <f aca="false">X758*Settings!$B$3/SUM(S758:X758)</f>
        <v>65.166795965865</v>
      </c>
      <c r="AE758" s="2" t="n">
        <f aca="false">INT(Y758)</f>
        <v>98</v>
      </c>
      <c r="AF758" s="2" t="n">
        <f aca="false">INT(Z758)</f>
        <v>98</v>
      </c>
      <c r="AG758" s="2" t="n">
        <f aca="false">INT(AA758)</f>
        <v>88</v>
      </c>
      <c r="AH758" s="2" t="n">
        <f aca="false">INT(AB758)</f>
        <v>79</v>
      </c>
      <c r="AI758" s="2" t="n">
        <f aca="false">INT(AC758)</f>
        <v>69</v>
      </c>
      <c r="AJ758" s="2" t="n">
        <f aca="false">INT(AD758)</f>
        <v>65</v>
      </c>
      <c r="AK758" s="2" t="n">
        <f aca="false">Settings!$B$3-SUM(AE758:AJ758)</f>
        <v>3</v>
      </c>
      <c r="AL758" s="2" t="n">
        <f aca="false">ROUND(Y758-AE758,9)</f>
        <v>0.525989139</v>
      </c>
      <c r="AM758" s="2" t="n">
        <f aca="false">ROUND(Z758-AF758,9)</f>
        <v>0.913886734</v>
      </c>
      <c r="AN758" s="2" t="n">
        <f aca="false">ROUND(AA758-AG758,9)</f>
        <v>0.828549263</v>
      </c>
      <c r="AO758" s="2" t="n">
        <f aca="false">ROUND(AB758-AH758,9)</f>
        <v>0.519006982</v>
      </c>
      <c r="AP758" s="2" t="n">
        <f aca="false">ROUND(AC758-AI758,9)</f>
        <v>0.045771916</v>
      </c>
      <c r="AQ758" s="2" t="n">
        <f aca="false">ROUND(AD758-AJ758,9)</f>
        <v>0.166795966</v>
      </c>
    </row>
    <row r="759" customFormat="false" ht="15" hidden="false" customHeight="false" outlineLevel="0" collapsed="false">
      <c r="A759" s="2" t="n">
        <v>758</v>
      </c>
      <c r="B759" s="6" t="n">
        <v>18</v>
      </c>
      <c r="C759" s="6" t="n">
        <v>45</v>
      </c>
      <c r="D759" s="8" t="str">
        <f aca="false">INDEX(Bases!$B$2:$B$53,B759)</f>
        <v>Spheal</v>
      </c>
      <c r="E759" s="8" t="str">
        <f aca="false">INDEX(Bases!$B$2:$B$53,C759)</f>
        <v>Sneasel</v>
      </c>
      <c r="F759" s="2" t="str">
        <f aca="false">LEFT(D759,ROUNDUP(LEN(D759)/2,0))&amp;LOWER(MID(E759,ROUNDUP(LEN(E759)/2,0)+1,20))</f>
        <v>Sphsel</v>
      </c>
      <c r="G759" s="8" t="str">
        <f aca="false">INDEX(Bases!$C$2:$C$53,B759)</f>
        <v>Ice</v>
      </c>
      <c r="H759" s="8" t="str">
        <f aca="false">IF(INDEX(Bases!$C$2:$C$53,C759)=G759,"",INDEX(Bases!$C$2:$C$53,C759))</f>
        <v>Dark</v>
      </c>
      <c r="I759" s="8" t="str">
        <f aca="false">IF(INDEX(Bases!$E$2:$E$53,B759)="","",INDEX(Bases!$E$2:$E$53,B759))</f>
        <v/>
      </c>
      <c r="J759" s="8" t="str">
        <f aca="false">IF(INDEX(Bases!$E$2:$E$53,C759)="","",INDEX(Bases!$E$2:$E$53,C759))</f>
        <v/>
      </c>
      <c r="K759" s="5"/>
      <c r="L759" s="2" t="n">
        <f aca="false">AE759+IF(SUMPRODUCT(--($AL759:$AQ759&gt;AL759))&lt;$AK759,1,0)</f>
        <v>94</v>
      </c>
      <c r="M759" s="2" t="n">
        <f aca="false">AF759+IF(SUMPRODUCT(--($AL759:$AQ759&gt;AM759))+SUMPRODUCT(--($AL759:AL759=AM759))&lt;$AK759,1,0)</f>
        <v>88</v>
      </c>
      <c r="N759" s="2" t="n">
        <f aca="false">AG759+IF(SUMPRODUCT(--($AL759:$AQ759&gt;AN759))+SUMPRODUCT(--($AL759:AM759=AN759))&lt;$AK759,1,0)</f>
        <v>72</v>
      </c>
      <c r="O759" s="2" t="n">
        <f aca="false">AH759+IF(SUMPRODUCT(--($AL759:$AQ759&gt;AO759))+SUMPRODUCT(--($AL759:AN759=AO759))&lt;$AK759,1,0)</f>
        <v>71</v>
      </c>
      <c r="P759" s="2" t="n">
        <f aca="false">AI759+IF(SUMPRODUCT(--($AL759:$AQ759&gt;AP759))+SUMPRODUCT(--($AL759:AO759=AP759))&lt;$AK759,1,0)</f>
        <v>80</v>
      </c>
      <c r="Q759" s="2" t="n">
        <f aca="false">AJ759+IF(SUMPRODUCT(--($AL759:$AQ759&gt;AQ759))+SUMPRODUCT(--($AL759:AP759=AQ759))&lt;$AK759,1,0)</f>
        <v>95</v>
      </c>
      <c r="R759" s="2" t="n">
        <f aca="false">SUM(L759:Q759)</f>
        <v>500</v>
      </c>
      <c r="S759" s="2" t="n">
        <f aca="false">Settings!$B$4*MAX(INDEX(Bases!$M$2:$M$53,B759),INDEX(Bases!$M$2:$M$53,C759))+Settings!$B$5*MIN(INDEX(Bases!$M$2:$M$53,B759),INDEX(Bases!$M$2:$M$53,C759))</f>
        <v>81.6666666666667</v>
      </c>
      <c r="T759" s="2" t="n">
        <f aca="false">Settings!$B$4*MAX(INDEX(Bases!$N$2:$N$53,B759),INDEX(Bases!$N$2:$N$53,C759))+Settings!$B$5*MIN(INDEX(Bases!$N$2:$N$53,B759),INDEX(Bases!$N$2:$N$53,C759))</f>
        <v>77</v>
      </c>
      <c r="U759" s="2" t="n">
        <f aca="false">Settings!$B$4*MAX(INDEX(Bases!$O$2:$O$53,B759),INDEX(Bases!$O$2:$O$53,C759))+Settings!$B$5*MIN(INDEX(Bases!$O$2:$O$53,B759),INDEX(Bases!$O$2:$O$53,C759))</f>
        <v>63</v>
      </c>
      <c r="V759" s="2" t="n">
        <f aca="false">Settings!$B$4*MAX(INDEX(Bases!$P$2:$P$53,B759),INDEX(Bases!$P$2:$P$53,C759))+Settings!$B$5*MIN(INDEX(Bases!$P$2:$P$53,B759),INDEX(Bases!$P$2:$P$53,C759))</f>
        <v>61.6666666666667</v>
      </c>
      <c r="W759" s="2" t="n">
        <f aca="false">Settings!$B$4*MAX(INDEX(Bases!$Q$2:$Q$53,B759),INDEX(Bases!$Q$2:$Q$53,C759))+Settings!$B$5*MIN(INDEX(Bases!$Q$2:$Q$53,B759),INDEX(Bases!$Q$2:$Q$53,C759))</f>
        <v>69.6666666666667</v>
      </c>
      <c r="X759" s="2" t="n">
        <f aca="false">Settings!$B$4*MAX(INDEX(Bases!$R$2:$R$53,B759),INDEX(Bases!$R$2:$R$53,C759))+Settings!$B$5*MIN(INDEX(Bases!$R$2:$R$53,B759),INDEX(Bases!$R$2:$R$53,C759))</f>
        <v>82.6666666666667</v>
      </c>
      <c r="Y759" s="2" t="n">
        <f aca="false">S759*Settings!$B$3/SUM(S759:X759)</f>
        <v>93.726090283091</v>
      </c>
      <c r="Z759" s="2" t="n">
        <f aca="false">T759*Settings!$B$3/SUM(S759:X759)</f>
        <v>88.3703136954859</v>
      </c>
      <c r="AA759" s="2" t="n">
        <f aca="false">U759*Settings!$B$3/SUM(S759:X759)</f>
        <v>72.3029839326702</v>
      </c>
      <c r="AB759" s="2" t="n">
        <f aca="false">V759*Settings!$B$3/SUM(S759:X759)</f>
        <v>70.7727620504973</v>
      </c>
      <c r="AC759" s="2" t="n">
        <f aca="false">W759*Settings!$B$3/SUM(S759:X759)</f>
        <v>79.9540933435348</v>
      </c>
      <c r="AD759" s="2" t="n">
        <f aca="false">X759*Settings!$B$3/SUM(S759:X759)</f>
        <v>94.8737566947207</v>
      </c>
      <c r="AE759" s="2" t="n">
        <f aca="false">INT(Y759)</f>
        <v>93</v>
      </c>
      <c r="AF759" s="2" t="n">
        <f aca="false">INT(Z759)</f>
        <v>88</v>
      </c>
      <c r="AG759" s="2" t="n">
        <f aca="false">INT(AA759)</f>
        <v>72</v>
      </c>
      <c r="AH759" s="2" t="n">
        <f aca="false">INT(AB759)</f>
        <v>70</v>
      </c>
      <c r="AI759" s="2" t="n">
        <f aca="false">INT(AC759)</f>
        <v>79</v>
      </c>
      <c r="AJ759" s="2" t="n">
        <f aca="false">INT(AD759)</f>
        <v>94</v>
      </c>
      <c r="AK759" s="2" t="n">
        <f aca="false">Settings!$B$3-SUM(AE759:AJ759)</f>
        <v>4</v>
      </c>
      <c r="AL759" s="2" t="n">
        <f aca="false">ROUND(Y759-AE759,9)</f>
        <v>0.726090283</v>
      </c>
      <c r="AM759" s="2" t="n">
        <f aca="false">ROUND(Z759-AF759,9)</f>
        <v>0.370313695</v>
      </c>
      <c r="AN759" s="2" t="n">
        <f aca="false">ROUND(AA759-AG759,9)</f>
        <v>0.302983933</v>
      </c>
      <c r="AO759" s="2" t="n">
        <f aca="false">ROUND(AB759-AH759,9)</f>
        <v>0.77276205</v>
      </c>
      <c r="AP759" s="2" t="n">
        <f aca="false">ROUND(AC759-AI759,9)</f>
        <v>0.954093344</v>
      </c>
      <c r="AQ759" s="2" t="n">
        <f aca="false">ROUND(AD759-AJ759,9)</f>
        <v>0.873756695</v>
      </c>
    </row>
    <row r="760" customFormat="false" ht="15" hidden="false" customHeight="false" outlineLevel="0" collapsed="false">
      <c r="A760" s="2" t="n">
        <v>759</v>
      </c>
      <c r="B760" s="6" t="n">
        <v>18</v>
      </c>
      <c r="C760" s="6" t="n">
        <v>46</v>
      </c>
      <c r="D760" s="8" t="str">
        <f aca="false">INDEX(Bases!$B$2:$B$53,B760)</f>
        <v>Spheal</v>
      </c>
      <c r="E760" s="8" t="str">
        <f aca="false">INDEX(Bases!$B$2:$B$53,C760)</f>
        <v>Houndour</v>
      </c>
      <c r="F760" s="2" t="str">
        <f aca="false">LEFT(D760,ROUNDUP(LEN(D760)/2,0))&amp;LOWER(MID(E760,ROUNDUP(LEN(E760)/2,0)+1,20))</f>
        <v>Sphdour</v>
      </c>
      <c r="G760" s="8" t="str">
        <f aca="false">INDEX(Bases!$C$2:$C$53,B760)</f>
        <v>Ice</v>
      </c>
      <c r="H760" s="8" t="str">
        <f aca="false">IF(INDEX(Bases!$C$2:$C$53,C760)=G760,"",INDEX(Bases!$C$2:$C$53,C760))</f>
        <v>Dark</v>
      </c>
      <c r="I760" s="8" t="str">
        <f aca="false">IF(INDEX(Bases!$E$2:$E$53,B760)="","",INDEX(Bases!$E$2:$E$53,B760))</f>
        <v/>
      </c>
      <c r="J760" s="8" t="str">
        <f aca="false">IF(INDEX(Bases!$E$2:$E$53,C760)="","",INDEX(Bases!$E$2:$E$53,C760))</f>
        <v/>
      </c>
      <c r="K760" s="5"/>
      <c r="L760" s="2" t="n">
        <f aca="false">AE760+IF(SUMPRODUCT(--($AL760:$AQ760&gt;AL760))&lt;$AK760,1,0)</f>
        <v>97</v>
      </c>
      <c r="M760" s="2" t="n">
        <f aca="false">AF760+IF(SUMPRODUCT(--($AL760:$AQ760&gt;AM760))+SUMPRODUCT(--($AL760:AL760=AM760))&lt;$AK760,1,0)</f>
        <v>78</v>
      </c>
      <c r="N760" s="2" t="n">
        <f aca="false">AG760+IF(SUMPRODUCT(--($AL760:$AQ760&gt;AN760))+SUMPRODUCT(--($AL760:AM760=AN760))&lt;$AK760,1,0)</f>
        <v>68</v>
      </c>
      <c r="O760" s="2" t="n">
        <f aca="false">AH760+IF(SUMPRODUCT(--($AL760:$AQ760&gt;AO760))+SUMPRODUCT(--($AL760:AN760=AO760))&lt;$AK760,1,0)</f>
        <v>105</v>
      </c>
      <c r="P760" s="2" t="n">
        <f aca="false">AI760+IF(SUMPRODUCT(--($AL760:$AQ760&gt;AP760))+SUMPRODUCT(--($AL760:AO760=AP760))&lt;$AK760,1,0)</f>
        <v>77</v>
      </c>
      <c r="Q760" s="2" t="n">
        <f aca="false">AJ760+IF(SUMPRODUCT(--($AL760:$AQ760&gt;AQ760))+SUMPRODUCT(--($AL760:AP760=AQ760))&lt;$AK760,1,0)</f>
        <v>75</v>
      </c>
      <c r="R760" s="2" t="n">
        <f aca="false">SUM(L760:Q760)</f>
        <v>500</v>
      </c>
      <c r="S760" s="2" t="n">
        <f aca="false">Settings!$B$4*MAX(INDEX(Bases!$M$2:$M$53,B760),INDEX(Bases!$M$2:$M$53,C760))+Settings!$B$5*MIN(INDEX(Bases!$M$2:$M$53,B760),INDEX(Bases!$M$2:$M$53,C760))</f>
        <v>82.6666666666667</v>
      </c>
      <c r="T760" s="2" t="n">
        <f aca="false">Settings!$B$4*MAX(INDEX(Bases!$N$2:$N$53,B760),INDEX(Bases!$N$2:$N$53,C760))+Settings!$B$5*MIN(INDEX(Bases!$N$2:$N$53,B760),INDEX(Bases!$N$2:$N$53,C760))</f>
        <v>67</v>
      </c>
      <c r="U760" s="2" t="n">
        <f aca="false">Settings!$B$4*MAX(INDEX(Bases!$O$2:$O$53,B760),INDEX(Bases!$O$2:$O$53,C760))+Settings!$B$5*MIN(INDEX(Bases!$O$2:$O$53,B760),INDEX(Bases!$O$2:$O$53,C760))</f>
        <v>58</v>
      </c>
      <c r="V760" s="2" t="n">
        <f aca="false">Settings!$B$4*MAX(INDEX(Bases!$P$2:$P$53,B760),INDEX(Bases!$P$2:$P$53,C760))+Settings!$B$5*MIN(INDEX(Bases!$P$2:$P$53,B760),INDEX(Bases!$P$2:$P$53,C760))</f>
        <v>90</v>
      </c>
      <c r="W760" s="2" t="n">
        <f aca="false">Settings!$B$4*MAX(INDEX(Bases!$Q$2:$Q$53,B760),INDEX(Bases!$Q$2:$Q$53,C760))+Settings!$B$5*MIN(INDEX(Bases!$Q$2:$Q$53,B760),INDEX(Bases!$Q$2:$Q$53,C760))</f>
        <v>66.3333333333333</v>
      </c>
      <c r="X760" s="2" t="n">
        <f aca="false">Settings!$B$4*MAX(INDEX(Bases!$R$2:$R$53,B760),INDEX(Bases!$R$2:$R$53,C760))+Settings!$B$5*MIN(INDEX(Bases!$R$2:$R$53,B760),INDEX(Bases!$R$2:$R$53,C760))</f>
        <v>64</v>
      </c>
      <c r="Y760" s="2" t="n">
        <f aca="false">S760*Settings!$B$3/SUM(S760:X760)</f>
        <v>96.5732087227414</v>
      </c>
      <c r="Z760" s="2" t="n">
        <f aca="false">T760*Settings!$B$3/SUM(S760:X760)</f>
        <v>78.2710280373832</v>
      </c>
      <c r="AA760" s="2" t="n">
        <f aca="false">U760*Settings!$B$3/SUM(S760:X760)</f>
        <v>67.7570093457944</v>
      </c>
      <c r="AB760" s="2" t="n">
        <f aca="false">V760*Settings!$B$3/SUM(S760:X760)</f>
        <v>105.140186915888</v>
      </c>
      <c r="AC760" s="2" t="n">
        <f aca="false">W760*Settings!$B$3/SUM(S760:X760)</f>
        <v>77.4922118380062</v>
      </c>
      <c r="AD760" s="2" t="n">
        <f aca="false">X760*Settings!$B$3/SUM(S760:X760)</f>
        <v>74.7663551401869</v>
      </c>
      <c r="AE760" s="2" t="n">
        <f aca="false">INT(Y760)</f>
        <v>96</v>
      </c>
      <c r="AF760" s="2" t="n">
        <f aca="false">INT(Z760)</f>
        <v>78</v>
      </c>
      <c r="AG760" s="2" t="n">
        <f aca="false">INT(AA760)</f>
        <v>67</v>
      </c>
      <c r="AH760" s="2" t="n">
        <f aca="false">INT(AB760)</f>
        <v>105</v>
      </c>
      <c r="AI760" s="2" t="n">
        <f aca="false">INT(AC760)</f>
        <v>77</v>
      </c>
      <c r="AJ760" s="2" t="n">
        <f aca="false">INT(AD760)</f>
        <v>74</v>
      </c>
      <c r="AK760" s="2" t="n">
        <f aca="false">Settings!$B$3-SUM(AE760:AJ760)</f>
        <v>3</v>
      </c>
      <c r="AL760" s="2" t="n">
        <f aca="false">ROUND(Y760-AE760,9)</f>
        <v>0.573208723</v>
      </c>
      <c r="AM760" s="2" t="n">
        <f aca="false">ROUND(Z760-AF760,9)</f>
        <v>0.271028037</v>
      </c>
      <c r="AN760" s="2" t="n">
        <f aca="false">ROUND(AA760-AG760,9)</f>
        <v>0.757009346</v>
      </c>
      <c r="AO760" s="2" t="n">
        <f aca="false">ROUND(AB760-AH760,9)</f>
        <v>0.140186916</v>
      </c>
      <c r="AP760" s="2" t="n">
        <f aca="false">ROUND(AC760-AI760,9)</f>
        <v>0.492211838</v>
      </c>
      <c r="AQ760" s="2" t="n">
        <f aca="false">ROUND(AD760-AJ760,9)</f>
        <v>0.76635514</v>
      </c>
    </row>
    <row r="761" customFormat="false" ht="15" hidden="false" customHeight="false" outlineLevel="0" collapsed="false">
      <c r="A761" s="2" t="n">
        <v>760</v>
      </c>
      <c r="B761" s="6" t="n">
        <v>18</v>
      </c>
      <c r="C761" s="6" t="n">
        <v>47</v>
      </c>
      <c r="D761" s="8" t="str">
        <f aca="false">INDEX(Bases!$B$2:$B$53,B761)</f>
        <v>Spheal</v>
      </c>
      <c r="E761" s="8" t="str">
        <f aca="false">INDEX(Bases!$B$2:$B$53,C761)</f>
        <v>Carvanha</v>
      </c>
      <c r="F761" s="2" t="str">
        <f aca="false">LEFT(D761,ROUNDUP(LEN(D761)/2,0))&amp;LOWER(MID(E761,ROUNDUP(LEN(E761)/2,0)+1,20))</f>
        <v>Sphanha</v>
      </c>
      <c r="G761" s="8" t="str">
        <f aca="false">INDEX(Bases!$C$2:$C$53,B761)</f>
        <v>Ice</v>
      </c>
      <c r="H761" s="8" t="str">
        <f aca="false">IF(INDEX(Bases!$C$2:$C$53,C761)=G761,"",INDEX(Bases!$C$2:$C$53,C761))</f>
        <v>Dark</v>
      </c>
      <c r="I761" s="8" t="str">
        <f aca="false">IF(INDEX(Bases!$E$2:$E$53,B761)="","",INDEX(Bases!$E$2:$E$53,B761))</f>
        <v/>
      </c>
      <c r="J761" s="8" t="str">
        <f aca="false">IF(INDEX(Bases!$E$2:$E$53,C761)="","",INDEX(Bases!$E$2:$E$53,C761))</f>
        <v/>
      </c>
      <c r="K761" s="5"/>
      <c r="L761" s="2" t="n">
        <f aca="false">AE761+IF(SUMPRODUCT(--($AL761:$AQ761&gt;AL761))&lt;$AK761,1,0)</f>
        <v>95</v>
      </c>
      <c r="M761" s="2" t="n">
        <f aca="false">AF761+IF(SUMPRODUCT(--($AL761:$AQ761&gt;AM761))+SUMPRODUCT(--($AL761:AL761=AM761))&lt;$AK761,1,0)</f>
        <v>110</v>
      </c>
      <c r="N761" s="2" t="n">
        <f aca="false">AG761+IF(SUMPRODUCT(--($AL761:$AQ761&gt;AN761))+SUMPRODUCT(--($AL761:AM761=AN761))&lt;$AK761,1,0)</f>
        <v>62</v>
      </c>
      <c r="O761" s="2" t="n">
        <f aca="false">AH761+IF(SUMPRODUCT(--($AL761:$AQ761&gt;AO761))+SUMPRODUCT(--($AL761:AN761=AO761))&lt;$AK761,1,0)</f>
        <v>94</v>
      </c>
      <c r="P761" s="2" t="n">
        <f aca="false">AI761+IF(SUMPRODUCT(--($AL761:$AQ761&gt;AP761))+SUMPRODUCT(--($AL761:AO761=AP761))&lt;$AK761,1,0)</f>
        <v>62</v>
      </c>
      <c r="Q761" s="2" t="n">
        <f aca="false">AJ761+IF(SUMPRODUCT(--($AL761:$AQ761&gt;AQ761))+SUMPRODUCT(--($AL761:AP761=AQ761))&lt;$AK761,1,0)</f>
        <v>77</v>
      </c>
      <c r="R761" s="2" t="n">
        <f aca="false">SUM(L761:Q761)</f>
        <v>500</v>
      </c>
      <c r="S761" s="2" t="n">
        <f aca="false">Settings!$B$4*MAX(INDEX(Bases!$M$2:$M$53,B761),INDEX(Bases!$M$2:$M$53,C761))+Settings!$B$5*MIN(INDEX(Bases!$M$2:$M$53,B761),INDEX(Bases!$M$2:$M$53,C761))</f>
        <v>84.3333333333333</v>
      </c>
      <c r="T761" s="2" t="n">
        <f aca="false">Settings!$B$4*MAX(INDEX(Bases!$N$2:$N$53,B761),INDEX(Bases!$N$2:$N$53,C761))+Settings!$B$5*MIN(INDEX(Bases!$N$2:$N$53,B761),INDEX(Bases!$N$2:$N$53,C761))</f>
        <v>97</v>
      </c>
      <c r="U761" s="2" t="n">
        <f aca="false">Settings!$B$4*MAX(INDEX(Bases!$O$2:$O$53,B761),INDEX(Bases!$O$2:$O$53,C761))+Settings!$B$5*MIN(INDEX(Bases!$O$2:$O$53,B761),INDEX(Bases!$O$2:$O$53,C761))</f>
        <v>54.6666666666667</v>
      </c>
      <c r="V761" s="2" t="n">
        <f aca="false">Settings!$B$4*MAX(INDEX(Bases!$P$2:$P$53,B761),INDEX(Bases!$P$2:$P$53,C761))+Settings!$B$5*MIN(INDEX(Bases!$P$2:$P$53,B761),INDEX(Bases!$P$2:$P$53,C761))</f>
        <v>82.6666666666667</v>
      </c>
      <c r="W761" s="2" t="n">
        <f aca="false">Settings!$B$4*MAX(INDEX(Bases!$Q$2:$Q$53,B761),INDEX(Bases!$Q$2:$Q$53,C761))+Settings!$B$5*MIN(INDEX(Bases!$Q$2:$Q$53,B761),INDEX(Bases!$Q$2:$Q$53,C761))</f>
        <v>54.6666666666667</v>
      </c>
      <c r="X761" s="2" t="n">
        <f aca="false">Settings!$B$4*MAX(INDEX(Bases!$R$2:$R$53,B761),INDEX(Bases!$R$2:$R$53,C761))+Settings!$B$5*MIN(INDEX(Bases!$R$2:$R$53,B761),INDEX(Bases!$R$2:$R$53,C761))</f>
        <v>68</v>
      </c>
      <c r="Y761" s="2" t="n">
        <f aca="false">S761*Settings!$B$3/SUM(S761:X761)</f>
        <v>95.5438066465257</v>
      </c>
      <c r="Z761" s="2" t="n">
        <f aca="false">T761*Settings!$B$3/SUM(S761:X761)</f>
        <v>109.894259818731</v>
      </c>
      <c r="AA761" s="2" t="n">
        <f aca="false">U761*Settings!$B$3/SUM(S761:X761)</f>
        <v>61.9335347432024</v>
      </c>
      <c r="AB761" s="2" t="n">
        <f aca="false">V761*Settings!$B$3/SUM(S761:X761)</f>
        <v>93.6555891238671</v>
      </c>
      <c r="AC761" s="2" t="n">
        <f aca="false">W761*Settings!$B$3/SUM(S761:X761)</f>
        <v>61.9335347432024</v>
      </c>
      <c r="AD761" s="2" t="n">
        <f aca="false">X761*Settings!$B$3/SUM(S761:X761)</f>
        <v>77.0392749244713</v>
      </c>
      <c r="AE761" s="2" t="n">
        <f aca="false">INT(Y761)</f>
        <v>95</v>
      </c>
      <c r="AF761" s="2" t="n">
        <f aca="false">INT(Z761)</f>
        <v>109</v>
      </c>
      <c r="AG761" s="2" t="n">
        <f aca="false">INT(AA761)</f>
        <v>61</v>
      </c>
      <c r="AH761" s="2" t="n">
        <f aca="false">INT(AB761)</f>
        <v>93</v>
      </c>
      <c r="AI761" s="2" t="n">
        <f aca="false">INT(AC761)</f>
        <v>61</v>
      </c>
      <c r="AJ761" s="2" t="n">
        <f aca="false">INT(AD761)</f>
        <v>77</v>
      </c>
      <c r="AK761" s="2" t="n">
        <f aca="false">Settings!$B$3-SUM(AE761:AJ761)</f>
        <v>4</v>
      </c>
      <c r="AL761" s="2" t="n">
        <f aca="false">ROUND(Y761-AE761,9)</f>
        <v>0.543806647</v>
      </c>
      <c r="AM761" s="2" t="n">
        <f aca="false">ROUND(Z761-AF761,9)</f>
        <v>0.894259819</v>
      </c>
      <c r="AN761" s="2" t="n">
        <f aca="false">ROUND(AA761-AG761,9)</f>
        <v>0.933534743</v>
      </c>
      <c r="AO761" s="2" t="n">
        <f aca="false">ROUND(AB761-AH761,9)</f>
        <v>0.655589124</v>
      </c>
      <c r="AP761" s="2" t="n">
        <f aca="false">ROUND(AC761-AI761,9)</f>
        <v>0.933534743</v>
      </c>
      <c r="AQ761" s="2" t="n">
        <f aca="false">ROUND(AD761-AJ761,9)</f>
        <v>0.039274924</v>
      </c>
    </row>
    <row r="762" customFormat="false" ht="15" hidden="false" customHeight="false" outlineLevel="0" collapsed="false">
      <c r="A762" s="2" t="n">
        <v>761</v>
      </c>
      <c r="B762" s="6" t="n">
        <v>18</v>
      </c>
      <c r="C762" s="6" t="n">
        <v>48</v>
      </c>
      <c r="D762" s="8" t="str">
        <f aca="false">INDEX(Bases!$B$2:$B$53,B762)</f>
        <v>Spheal</v>
      </c>
      <c r="E762" s="8" t="str">
        <f aca="false">INDEX(Bases!$B$2:$B$53,C762)</f>
        <v>Magnemite</v>
      </c>
      <c r="F762" s="2" t="str">
        <f aca="false">LEFT(D762,ROUNDUP(LEN(D762)/2,0))&amp;LOWER(MID(E762,ROUNDUP(LEN(E762)/2,0)+1,20))</f>
        <v>Sphmite</v>
      </c>
      <c r="G762" s="8" t="str">
        <f aca="false">INDEX(Bases!$C$2:$C$53,B762)</f>
        <v>Ice</v>
      </c>
      <c r="H762" s="8" t="str">
        <f aca="false">IF(INDEX(Bases!$C$2:$C$53,C762)=G762,"",INDEX(Bases!$C$2:$C$53,C762))</f>
        <v>Steel</v>
      </c>
      <c r="I762" s="8" t="str">
        <f aca="false">IF(INDEX(Bases!$E$2:$E$53,B762)="","",INDEX(Bases!$E$2:$E$53,B762))</f>
        <v/>
      </c>
      <c r="J762" s="8" t="str">
        <f aca="false">IF(INDEX(Bases!$E$2:$E$53,C762)="","",INDEX(Bases!$E$2:$E$53,C762))</f>
        <v/>
      </c>
      <c r="K762" s="5"/>
      <c r="L762" s="2" t="n">
        <f aca="false">AE762+IF(SUMPRODUCT(--($AL762:$AQ762&gt;AL762))&lt;$AK762,1,0)</f>
        <v>88</v>
      </c>
      <c r="M762" s="2" t="n">
        <f aca="false">AF762+IF(SUMPRODUCT(--($AL762:$AQ762&gt;AM762))+SUMPRODUCT(--($AL762:AL762=AM762))&lt;$AK762,1,0)</f>
        <v>60</v>
      </c>
      <c r="N762" s="2" t="n">
        <f aca="false">AG762+IF(SUMPRODUCT(--($AL762:$AQ762&gt;AN762))+SUMPRODUCT(--($AL762:AM762=AN762))&lt;$AK762,1,0)</f>
        <v>94</v>
      </c>
      <c r="O762" s="2" t="n">
        <f aca="false">AH762+IF(SUMPRODUCT(--($AL762:$AQ762&gt;AO762))+SUMPRODUCT(--($AL762:AN762=AO762))&lt;$AK762,1,0)</f>
        <v>121</v>
      </c>
      <c r="P762" s="2" t="n">
        <f aca="false">AI762+IF(SUMPRODUCT(--($AL762:$AQ762&gt;AP762))+SUMPRODUCT(--($AL762:AO762=AP762))&lt;$AK762,1,0)</f>
        <v>81</v>
      </c>
      <c r="Q762" s="2" t="n">
        <f aca="false">AJ762+IF(SUMPRODUCT(--($AL762:$AQ762&gt;AQ762))+SUMPRODUCT(--($AL762:AP762=AQ762))&lt;$AK762,1,0)</f>
        <v>56</v>
      </c>
      <c r="R762" s="2" t="n">
        <f aca="false">SUM(L762:Q762)</f>
        <v>500</v>
      </c>
      <c r="S762" s="2" t="n">
        <f aca="false">Settings!$B$4*MAX(INDEX(Bases!$M$2:$M$53,B762),INDEX(Bases!$M$2:$M$53,C762))+Settings!$B$5*MIN(INDEX(Bases!$M$2:$M$53,B762),INDEX(Bases!$M$2:$M$53,C762))</f>
        <v>75</v>
      </c>
      <c r="T762" s="2" t="n">
        <f aca="false">Settings!$B$4*MAX(INDEX(Bases!$N$2:$N$53,B762),INDEX(Bases!$N$2:$N$53,C762))+Settings!$B$5*MIN(INDEX(Bases!$N$2:$N$53,B762),INDEX(Bases!$N$2:$N$53,C762))</f>
        <v>51</v>
      </c>
      <c r="U762" s="2" t="n">
        <f aca="false">Settings!$B$4*MAX(INDEX(Bases!$O$2:$O$53,B762),INDEX(Bases!$O$2:$O$53,C762))+Settings!$B$5*MIN(INDEX(Bases!$O$2:$O$53,B762),INDEX(Bases!$O$2:$O$53,C762))</f>
        <v>80.3333333333333</v>
      </c>
      <c r="V762" s="2" t="n">
        <f aca="false">Settings!$B$4*MAX(INDEX(Bases!$P$2:$P$53,B762),INDEX(Bases!$P$2:$P$53,C762))+Settings!$B$5*MIN(INDEX(Bases!$P$2:$P$53,B762),INDEX(Bases!$P$2:$P$53,C762))</f>
        <v>103.333333333333</v>
      </c>
      <c r="W762" s="2" t="n">
        <f aca="false">Settings!$B$4*MAX(INDEX(Bases!$Q$2:$Q$53,B762),INDEX(Bases!$Q$2:$Q$53,C762))+Settings!$B$5*MIN(INDEX(Bases!$Q$2:$Q$53,B762),INDEX(Bases!$Q$2:$Q$53,C762))</f>
        <v>68.6666666666667</v>
      </c>
      <c r="X762" s="2" t="n">
        <f aca="false">Settings!$B$4*MAX(INDEX(Bases!$R$2:$R$53,B762),INDEX(Bases!$R$2:$R$53,C762))+Settings!$B$5*MIN(INDEX(Bases!$R$2:$R$53,B762),INDEX(Bases!$R$2:$R$53,C762))</f>
        <v>48</v>
      </c>
      <c r="Y762" s="2" t="n">
        <f aca="false">S762*Settings!$B$3/SUM(S762:X762)</f>
        <v>87.9593432369038</v>
      </c>
      <c r="Z762" s="2" t="n">
        <f aca="false">T762*Settings!$B$3/SUM(S762:X762)</f>
        <v>59.8123534010946</v>
      </c>
      <c r="AA762" s="2" t="n">
        <f aca="false">U762*Settings!$B$3/SUM(S762:X762)</f>
        <v>94.2142298670837</v>
      </c>
      <c r="AB762" s="2" t="n">
        <f aca="false">V762*Settings!$B$3/SUM(S762:X762)</f>
        <v>121.188428459734</v>
      </c>
      <c r="AC762" s="2" t="n">
        <f aca="false">W762*Settings!$B$3/SUM(S762:X762)</f>
        <v>80.5316653635653</v>
      </c>
      <c r="AD762" s="2" t="n">
        <f aca="false">X762*Settings!$B$3/SUM(S762:X762)</f>
        <v>56.2939796716185</v>
      </c>
      <c r="AE762" s="2" t="n">
        <f aca="false">INT(Y762)</f>
        <v>87</v>
      </c>
      <c r="AF762" s="2" t="n">
        <f aca="false">INT(Z762)</f>
        <v>59</v>
      </c>
      <c r="AG762" s="2" t="n">
        <f aca="false">INT(AA762)</f>
        <v>94</v>
      </c>
      <c r="AH762" s="2" t="n">
        <f aca="false">INT(AB762)</f>
        <v>121</v>
      </c>
      <c r="AI762" s="2" t="n">
        <f aca="false">INT(AC762)</f>
        <v>80</v>
      </c>
      <c r="AJ762" s="2" t="n">
        <f aca="false">INT(AD762)</f>
        <v>56</v>
      </c>
      <c r="AK762" s="2" t="n">
        <f aca="false">Settings!$B$3-SUM(AE762:AJ762)</f>
        <v>3</v>
      </c>
      <c r="AL762" s="2" t="n">
        <f aca="false">ROUND(Y762-AE762,9)</f>
        <v>0.959343237</v>
      </c>
      <c r="AM762" s="2" t="n">
        <f aca="false">ROUND(Z762-AF762,9)</f>
        <v>0.812353401</v>
      </c>
      <c r="AN762" s="2" t="n">
        <f aca="false">ROUND(AA762-AG762,9)</f>
        <v>0.214229867</v>
      </c>
      <c r="AO762" s="2" t="n">
        <f aca="false">ROUND(AB762-AH762,9)</f>
        <v>0.18842846</v>
      </c>
      <c r="AP762" s="2" t="n">
        <f aca="false">ROUND(AC762-AI762,9)</f>
        <v>0.531665364</v>
      </c>
      <c r="AQ762" s="2" t="n">
        <f aca="false">ROUND(AD762-AJ762,9)</f>
        <v>0.293979672</v>
      </c>
    </row>
    <row r="763" customFormat="false" ht="15" hidden="false" customHeight="false" outlineLevel="0" collapsed="false">
      <c r="A763" s="2" t="n">
        <v>762</v>
      </c>
      <c r="B763" s="6" t="n">
        <v>18</v>
      </c>
      <c r="C763" s="6" t="n">
        <v>49</v>
      </c>
      <c r="D763" s="8" t="str">
        <f aca="false">INDEX(Bases!$B$2:$B$53,B763)</f>
        <v>Spheal</v>
      </c>
      <c r="E763" s="8" t="str">
        <f aca="false">INDEX(Bases!$B$2:$B$53,C763)</f>
        <v>Aron</v>
      </c>
      <c r="F763" s="2" t="str">
        <f aca="false">LEFT(D763,ROUNDUP(LEN(D763)/2,0))&amp;LOWER(MID(E763,ROUNDUP(LEN(E763)/2,0)+1,20))</f>
        <v>Sphon</v>
      </c>
      <c r="G763" s="8" t="str">
        <f aca="false">INDEX(Bases!$C$2:$C$53,B763)</f>
        <v>Ice</v>
      </c>
      <c r="H763" s="8" t="str">
        <f aca="false">IF(INDEX(Bases!$C$2:$C$53,C763)=G763,"",INDEX(Bases!$C$2:$C$53,C763))</f>
        <v>Steel</v>
      </c>
      <c r="I763" s="8" t="str">
        <f aca="false">IF(INDEX(Bases!$E$2:$E$53,B763)="","",INDEX(Bases!$E$2:$E$53,B763))</f>
        <v/>
      </c>
      <c r="J763" s="8" t="str">
        <f aca="false">IF(INDEX(Bases!$E$2:$E$53,C763)="","",INDEX(Bases!$E$2:$E$53,C763))</f>
        <v/>
      </c>
      <c r="K763" s="5"/>
      <c r="L763" s="2" t="n">
        <f aca="false">AE763+IF(SUMPRODUCT(--($AL763:$AQ763&gt;AL763))&lt;$AK763,1,0)</f>
        <v>99</v>
      </c>
      <c r="M763" s="2" t="n">
        <f aca="false">AF763+IF(SUMPRODUCT(--($AL763:$AQ763&gt;AM763))+SUMPRODUCT(--($AL763:AL763=AM763))&lt;$AK763,1,0)</f>
        <v>88</v>
      </c>
      <c r="N763" s="2" t="n">
        <f aca="false">AG763+IF(SUMPRODUCT(--($AL763:$AQ763&gt;AN763))+SUMPRODUCT(--($AL763:AM763=AN763))&lt;$AK763,1,0)</f>
        <v>121</v>
      </c>
      <c r="O763" s="2" t="n">
        <f aca="false">AH763+IF(SUMPRODUCT(--($AL763:$AQ763&gt;AO763))+SUMPRODUCT(--($AL763:AN763=AO763))&lt;$AK763,1,0)</f>
        <v>78</v>
      </c>
      <c r="P763" s="2" t="n">
        <f aca="false">AI763+IF(SUMPRODUCT(--($AL763:$AQ763&gt;AP763))+SUMPRODUCT(--($AL763:AO763=AP763))&lt;$AK763,1,0)</f>
        <v>73</v>
      </c>
      <c r="Q763" s="2" t="n">
        <f aca="false">AJ763+IF(SUMPRODUCT(--($AL763:$AQ763&gt;AQ763))+SUMPRODUCT(--($AL763:AP763=AQ763))&lt;$AK763,1,0)</f>
        <v>41</v>
      </c>
      <c r="R763" s="2" t="n">
        <f aca="false">SUM(L763:Q763)</f>
        <v>500</v>
      </c>
      <c r="S763" s="2" t="n">
        <f aca="false">Settings!$B$4*MAX(INDEX(Bases!$M$2:$M$53,B763),INDEX(Bases!$M$2:$M$53,C763))+Settings!$B$5*MIN(INDEX(Bases!$M$2:$M$53,B763),INDEX(Bases!$M$2:$M$53,C763))</f>
        <v>85</v>
      </c>
      <c r="T763" s="2" t="n">
        <f aca="false">Settings!$B$4*MAX(INDEX(Bases!$N$2:$N$53,B763),INDEX(Bases!$N$2:$N$53,C763))+Settings!$B$5*MIN(INDEX(Bases!$N$2:$N$53,B763),INDEX(Bases!$N$2:$N$53,C763))</f>
        <v>75</v>
      </c>
      <c r="U763" s="2" t="n">
        <f aca="false">Settings!$B$4*MAX(INDEX(Bases!$O$2:$O$53,B763),INDEX(Bases!$O$2:$O$53,C763))+Settings!$B$5*MIN(INDEX(Bases!$O$2:$O$53,B763),INDEX(Bases!$O$2:$O$53,C763))</f>
        <v>103.666666666667</v>
      </c>
      <c r="V763" s="2" t="n">
        <f aca="false">Settings!$B$4*MAX(INDEX(Bases!$P$2:$P$53,B763),INDEX(Bases!$P$2:$P$53,C763))+Settings!$B$5*MIN(INDEX(Bases!$P$2:$P$53,B763),INDEX(Bases!$P$2:$P$53,C763))</f>
        <v>67</v>
      </c>
      <c r="W763" s="2" t="n">
        <f aca="false">Settings!$B$4*MAX(INDEX(Bases!$Q$2:$Q$53,B763),INDEX(Bases!$Q$2:$Q$53,C763))+Settings!$B$5*MIN(INDEX(Bases!$Q$2:$Q$53,B763),INDEX(Bases!$Q$2:$Q$53,C763))</f>
        <v>62</v>
      </c>
      <c r="X763" s="2" t="n">
        <f aca="false">Settings!$B$4*MAX(INDEX(Bases!$R$2:$R$53,B763),INDEX(Bases!$R$2:$R$53,C763))+Settings!$B$5*MIN(INDEX(Bases!$R$2:$R$53,B763),INDEX(Bases!$R$2:$R$53,C763))</f>
        <v>35.3333333333333</v>
      </c>
      <c r="Y763" s="2" t="n">
        <f aca="false">S763*Settings!$B$3/SUM(S763:X763)</f>
        <v>99.2990654205608</v>
      </c>
      <c r="Z763" s="2" t="n">
        <f aca="false">T763*Settings!$B$3/SUM(S763:X763)</f>
        <v>87.6168224299066</v>
      </c>
      <c r="AA763" s="2" t="n">
        <f aca="false">U763*Settings!$B$3/SUM(S763:X763)</f>
        <v>121.105919003115</v>
      </c>
      <c r="AB763" s="2" t="n">
        <f aca="false">V763*Settings!$B$3/SUM(S763:X763)</f>
        <v>78.2710280373832</v>
      </c>
      <c r="AC763" s="2" t="n">
        <f aca="false">W763*Settings!$B$3/SUM(S763:X763)</f>
        <v>72.4299065420561</v>
      </c>
      <c r="AD763" s="2" t="n">
        <f aca="false">X763*Settings!$B$3/SUM(S763:X763)</f>
        <v>41.2772585669782</v>
      </c>
      <c r="AE763" s="2" t="n">
        <f aca="false">INT(Y763)</f>
        <v>99</v>
      </c>
      <c r="AF763" s="2" t="n">
        <f aca="false">INT(Z763)</f>
        <v>87</v>
      </c>
      <c r="AG763" s="2" t="n">
        <f aca="false">INT(AA763)</f>
        <v>121</v>
      </c>
      <c r="AH763" s="2" t="n">
        <f aca="false">INT(AB763)</f>
        <v>78</v>
      </c>
      <c r="AI763" s="2" t="n">
        <f aca="false">INT(AC763)</f>
        <v>72</v>
      </c>
      <c r="AJ763" s="2" t="n">
        <f aca="false">INT(AD763)</f>
        <v>41</v>
      </c>
      <c r="AK763" s="2" t="n">
        <f aca="false">Settings!$B$3-SUM(AE763:AJ763)</f>
        <v>2</v>
      </c>
      <c r="AL763" s="2" t="n">
        <f aca="false">ROUND(Y763-AE763,9)</f>
        <v>0.299065421</v>
      </c>
      <c r="AM763" s="2" t="n">
        <f aca="false">ROUND(Z763-AF763,9)</f>
        <v>0.61682243</v>
      </c>
      <c r="AN763" s="2" t="n">
        <f aca="false">ROUND(AA763-AG763,9)</f>
        <v>0.105919003</v>
      </c>
      <c r="AO763" s="2" t="n">
        <f aca="false">ROUND(AB763-AH763,9)</f>
        <v>0.271028037</v>
      </c>
      <c r="AP763" s="2" t="n">
        <f aca="false">ROUND(AC763-AI763,9)</f>
        <v>0.429906542</v>
      </c>
      <c r="AQ763" s="2" t="n">
        <f aca="false">ROUND(AD763-AJ763,9)</f>
        <v>0.277258567</v>
      </c>
    </row>
    <row r="764" customFormat="false" ht="15" hidden="false" customHeight="false" outlineLevel="0" collapsed="false">
      <c r="A764" s="2" t="n">
        <v>763</v>
      </c>
      <c r="B764" s="6" t="n">
        <v>18</v>
      </c>
      <c r="C764" s="6" t="n">
        <v>50</v>
      </c>
      <c r="D764" s="8" t="str">
        <f aca="false">INDEX(Bases!$B$2:$B$53,B764)</f>
        <v>Spheal</v>
      </c>
      <c r="E764" s="8" t="str">
        <f aca="false">INDEX(Bases!$B$2:$B$53,C764)</f>
        <v>Beldum</v>
      </c>
      <c r="F764" s="2" t="str">
        <f aca="false">LEFT(D764,ROUNDUP(LEN(D764)/2,0))&amp;LOWER(MID(E764,ROUNDUP(LEN(E764)/2,0)+1,20))</f>
        <v>Sphdum</v>
      </c>
      <c r="G764" s="8" t="str">
        <f aca="false">INDEX(Bases!$C$2:$C$53,B764)</f>
        <v>Ice</v>
      </c>
      <c r="H764" s="8" t="str">
        <f aca="false">IF(INDEX(Bases!$C$2:$C$53,C764)=G764,"",INDEX(Bases!$C$2:$C$53,C764))</f>
        <v>Steel</v>
      </c>
      <c r="I764" s="8" t="str">
        <f aca="false">IF(INDEX(Bases!$E$2:$E$53,B764)="","",INDEX(Bases!$E$2:$E$53,B764))</f>
        <v/>
      </c>
      <c r="J764" s="8" t="str">
        <f aca="false">IF(INDEX(Bases!$E$2:$E$53,C764)="","",INDEX(Bases!$E$2:$E$53,C764))</f>
        <v/>
      </c>
      <c r="K764" s="5"/>
      <c r="L764" s="2" t="n">
        <f aca="false">AE764+IF(SUMPRODUCT(--($AL764:$AQ764&gt;AL764))&lt;$AK764,1,0)</f>
        <v>97</v>
      </c>
      <c r="M764" s="2" t="n">
        <f aca="false">AF764+IF(SUMPRODUCT(--($AL764:$AQ764&gt;AM764))+SUMPRODUCT(--($AL764:AL764=AM764))&lt;$AK764,1,0)</f>
        <v>79</v>
      </c>
      <c r="N764" s="2" t="n">
        <f aca="false">AG764+IF(SUMPRODUCT(--($AL764:$AQ764&gt;AN764))+SUMPRODUCT(--($AL764:AM764=AN764))&lt;$AK764,1,0)</f>
        <v>111</v>
      </c>
      <c r="O764" s="2" t="n">
        <f aca="false">AH764+IF(SUMPRODUCT(--($AL764:$AQ764&gt;AO764))+SUMPRODUCT(--($AL764:AN764=AO764))&lt;$AK764,1,0)</f>
        <v>78</v>
      </c>
      <c r="P764" s="2" t="n">
        <f aca="false">AI764+IF(SUMPRODUCT(--($AL764:$AQ764&gt;AP764))+SUMPRODUCT(--($AL764:AO764=AP764))&lt;$AK764,1,0)</f>
        <v>90</v>
      </c>
      <c r="Q764" s="2" t="n">
        <f aca="false">AJ764+IF(SUMPRODUCT(--($AL764:$AQ764&gt;AQ764))+SUMPRODUCT(--($AL764:AP764=AQ764))&lt;$AK764,1,0)</f>
        <v>45</v>
      </c>
      <c r="R764" s="2" t="n">
        <f aca="false">SUM(L764:Q764)</f>
        <v>500</v>
      </c>
      <c r="S764" s="2" t="n">
        <f aca="false">Settings!$B$4*MAX(INDEX(Bases!$M$2:$M$53,B764),INDEX(Bases!$M$2:$M$53,C764))+Settings!$B$5*MIN(INDEX(Bases!$M$2:$M$53,B764),INDEX(Bases!$M$2:$M$53,C764))</f>
        <v>82.3333333333333</v>
      </c>
      <c r="T764" s="2" t="n">
        <f aca="false">Settings!$B$4*MAX(INDEX(Bases!$N$2:$N$53,B764),INDEX(Bases!$N$2:$N$53,C764))+Settings!$B$5*MIN(INDEX(Bases!$N$2:$N$53,B764),INDEX(Bases!$N$2:$N$53,C764))</f>
        <v>67</v>
      </c>
      <c r="U764" s="2" t="n">
        <f aca="false">Settings!$B$4*MAX(INDEX(Bases!$O$2:$O$53,B764),INDEX(Bases!$O$2:$O$53,C764))+Settings!$B$5*MIN(INDEX(Bases!$O$2:$O$53,B764),INDEX(Bases!$O$2:$O$53,C764))</f>
        <v>94.3333333333333</v>
      </c>
      <c r="V764" s="2" t="n">
        <f aca="false">Settings!$B$4*MAX(INDEX(Bases!$P$2:$P$53,B764),INDEX(Bases!$P$2:$P$53,C764))+Settings!$B$5*MIN(INDEX(Bases!$P$2:$P$53,B764),INDEX(Bases!$P$2:$P$53,C764))</f>
        <v>66.3333333333333</v>
      </c>
      <c r="W764" s="2" t="n">
        <f aca="false">Settings!$B$4*MAX(INDEX(Bases!$Q$2:$Q$53,B764),INDEX(Bases!$Q$2:$Q$53,C764))+Settings!$B$5*MIN(INDEX(Bases!$Q$2:$Q$53,B764),INDEX(Bases!$Q$2:$Q$53,C764))</f>
        <v>76.3333333333333</v>
      </c>
      <c r="X764" s="2" t="n">
        <f aca="false">Settings!$B$4*MAX(INDEX(Bases!$R$2:$R$53,B764),INDEX(Bases!$R$2:$R$53,C764))+Settings!$B$5*MIN(INDEX(Bases!$R$2:$R$53,B764),INDEX(Bases!$R$2:$R$53,C764))</f>
        <v>38</v>
      </c>
      <c r="Y764" s="2" t="n">
        <f aca="false">S764*Settings!$B$3/SUM(S764:X764)</f>
        <v>97.0149253731343</v>
      </c>
      <c r="Z764" s="2" t="n">
        <f aca="false">T764*Settings!$B$3/SUM(S764:X764)</f>
        <v>78.9473684210526</v>
      </c>
      <c r="AA764" s="2" t="n">
        <f aca="false">U764*Settings!$B$3/SUM(S764:X764)</f>
        <v>111.154752553024</v>
      </c>
      <c r="AB764" s="2" t="n">
        <f aca="false">V764*Settings!$B$3/SUM(S764:X764)</f>
        <v>78.1618224666143</v>
      </c>
      <c r="AC764" s="2" t="n">
        <f aca="false">W764*Settings!$B$3/SUM(S764:X764)</f>
        <v>89.9450117831893</v>
      </c>
      <c r="AD764" s="2" t="n">
        <f aca="false">X764*Settings!$B$3/SUM(S764:X764)</f>
        <v>44.7761194029851</v>
      </c>
      <c r="AE764" s="2" t="n">
        <f aca="false">INT(Y764)</f>
        <v>97</v>
      </c>
      <c r="AF764" s="2" t="n">
        <f aca="false">INT(Z764)</f>
        <v>78</v>
      </c>
      <c r="AG764" s="2" t="n">
        <f aca="false">INT(AA764)</f>
        <v>111</v>
      </c>
      <c r="AH764" s="2" t="n">
        <f aca="false">INT(AB764)</f>
        <v>78</v>
      </c>
      <c r="AI764" s="2" t="n">
        <f aca="false">INT(AC764)</f>
        <v>89</v>
      </c>
      <c r="AJ764" s="2" t="n">
        <f aca="false">INT(AD764)</f>
        <v>44</v>
      </c>
      <c r="AK764" s="2" t="n">
        <f aca="false">Settings!$B$3-SUM(AE764:AJ764)</f>
        <v>3</v>
      </c>
      <c r="AL764" s="2" t="n">
        <f aca="false">ROUND(Y764-AE764,9)</f>
        <v>0.014925373</v>
      </c>
      <c r="AM764" s="2" t="n">
        <f aca="false">ROUND(Z764-AF764,9)</f>
        <v>0.947368421</v>
      </c>
      <c r="AN764" s="2" t="n">
        <f aca="false">ROUND(AA764-AG764,9)</f>
        <v>0.154752553</v>
      </c>
      <c r="AO764" s="2" t="n">
        <f aca="false">ROUND(AB764-AH764,9)</f>
        <v>0.161822467</v>
      </c>
      <c r="AP764" s="2" t="n">
        <f aca="false">ROUND(AC764-AI764,9)</f>
        <v>0.945011783</v>
      </c>
      <c r="AQ764" s="2" t="n">
        <f aca="false">ROUND(AD764-AJ764,9)</f>
        <v>0.776119403</v>
      </c>
    </row>
    <row r="765" customFormat="false" ht="15" hidden="false" customHeight="false" outlineLevel="0" collapsed="false">
      <c r="A765" s="2" t="n">
        <v>764</v>
      </c>
      <c r="B765" s="6" t="n">
        <v>18</v>
      </c>
      <c r="C765" s="6" t="n">
        <v>51</v>
      </c>
      <c r="D765" s="8" t="str">
        <f aca="false">INDEX(Bases!$B$2:$B$53,B765)</f>
        <v>Spheal</v>
      </c>
      <c r="E765" s="8" t="str">
        <f aca="false">INDEX(Bases!$B$2:$B$53,C765)</f>
        <v>Cleffa</v>
      </c>
      <c r="F765" s="2" t="str">
        <f aca="false">LEFT(D765,ROUNDUP(LEN(D765)/2,0))&amp;LOWER(MID(E765,ROUNDUP(LEN(E765)/2,0)+1,20))</f>
        <v>Sphffa</v>
      </c>
      <c r="G765" s="8" t="str">
        <f aca="false">INDEX(Bases!$C$2:$C$53,B765)</f>
        <v>Ice</v>
      </c>
      <c r="H765" s="8" t="str">
        <f aca="false">IF(INDEX(Bases!$C$2:$C$53,C765)=G765,"",INDEX(Bases!$C$2:$C$53,C765))</f>
        <v>Fairy</v>
      </c>
      <c r="I765" s="8" t="str">
        <f aca="false">IF(INDEX(Bases!$E$2:$E$53,B765)="","",INDEX(Bases!$E$2:$E$53,B765))</f>
        <v/>
      </c>
      <c r="J765" s="8" t="str">
        <f aca="false">IF(INDEX(Bases!$E$2:$E$53,C765)="","",INDEX(Bases!$E$2:$E$53,C765))</f>
        <v/>
      </c>
      <c r="K765" s="5"/>
      <c r="L765" s="2" t="n">
        <f aca="false">AE765+IF(SUMPRODUCT(--($AL765:$AQ765&gt;AL765))&lt;$AK765,1,0)</f>
        <v>116</v>
      </c>
      <c r="M765" s="2" t="n">
        <f aca="false">AF765+IF(SUMPRODUCT(--($AL765:$AQ765&gt;AM765))+SUMPRODUCT(--($AL765:AL765=AM765))&lt;$AK765,1,0)</f>
        <v>63</v>
      </c>
      <c r="N765" s="2" t="n">
        <f aca="false">AG765+IF(SUMPRODUCT(--($AL765:$AQ765&gt;AN765))+SUMPRODUCT(--($AL765:AM765=AN765))&lt;$AK765,1,0)</f>
        <v>76</v>
      </c>
      <c r="O765" s="2" t="n">
        <f aca="false">AH765+IF(SUMPRODUCT(--($AL765:$AQ765&gt;AO765))+SUMPRODUCT(--($AL765:AN765=AO765))&lt;$AK765,1,0)</f>
        <v>98</v>
      </c>
      <c r="P765" s="2" t="n">
        <f aca="false">AI765+IF(SUMPRODUCT(--($AL765:$AQ765&gt;AP765))+SUMPRODUCT(--($AL765:AO765=AP765))&lt;$AK765,1,0)</f>
        <v>109</v>
      </c>
      <c r="Q765" s="2" t="n">
        <f aca="false">AJ765+IF(SUMPRODUCT(--($AL765:$AQ765&gt;AQ765))+SUMPRODUCT(--($AL765:AP765=AQ765))&lt;$AK765,1,0)</f>
        <v>38</v>
      </c>
      <c r="R765" s="2" t="n">
        <f aca="false">SUM(L765:Q765)</f>
        <v>500</v>
      </c>
      <c r="S765" s="2" t="n">
        <f aca="false">Settings!$B$4*MAX(INDEX(Bases!$M$2:$M$53,B765),INDEX(Bases!$M$2:$M$53,C765))+Settings!$B$5*MIN(INDEX(Bases!$M$2:$M$53,B765),INDEX(Bases!$M$2:$M$53,C765))</f>
        <v>95.3333333333333</v>
      </c>
      <c r="T765" s="2" t="n">
        <f aca="false">Settings!$B$4*MAX(INDEX(Bases!$N$2:$N$53,B765),INDEX(Bases!$N$2:$N$53,C765))+Settings!$B$5*MIN(INDEX(Bases!$N$2:$N$53,B765),INDEX(Bases!$N$2:$N$53,C765))</f>
        <v>52</v>
      </c>
      <c r="U765" s="2" t="n">
        <f aca="false">Settings!$B$4*MAX(INDEX(Bases!$O$2:$O$53,B765),INDEX(Bases!$O$2:$O$53,C765))+Settings!$B$5*MIN(INDEX(Bases!$O$2:$O$53,B765),INDEX(Bases!$O$2:$O$53,C765))</f>
        <v>63</v>
      </c>
      <c r="V765" s="2" t="n">
        <f aca="false">Settings!$B$4*MAX(INDEX(Bases!$P$2:$P$53,B765),INDEX(Bases!$P$2:$P$53,C765))+Settings!$B$5*MIN(INDEX(Bases!$P$2:$P$53,B765),INDEX(Bases!$P$2:$P$53,C765))</f>
        <v>80.6666666666667</v>
      </c>
      <c r="W765" s="2" t="n">
        <f aca="false">Settings!$B$4*MAX(INDEX(Bases!$Q$2:$Q$53,B765),INDEX(Bases!$Q$2:$Q$53,C765))+Settings!$B$5*MIN(INDEX(Bases!$Q$2:$Q$53,B765),INDEX(Bases!$Q$2:$Q$53,C765))</f>
        <v>90.3333333333333</v>
      </c>
      <c r="X765" s="2" t="n">
        <f aca="false">Settings!$B$4*MAX(INDEX(Bases!$R$2:$R$53,B765),INDEX(Bases!$R$2:$R$53,C765))+Settings!$B$5*MIN(INDEX(Bases!$R$2:$R$53,B765),INDEX(Bases!$R$2:$R$53,C765))</f>
        <v>31.6666666666667</v>
      </c>
      <c r="Y765" s="2" t="n">
        <f aca="false">S765*Settings!$B$3/SUM(S765:X765)</f>
        <v>115.415657788539</v>
      </c>
      <c r="Z765" s="2" t="n">
        <f aca="false">T765*Settings!$B$3/SUM(S765:X765)</f>
        <v>62.953995157385</v>
      </c>
      <c r="AA765" s="2" t="n">
        <f aca="false">U765*Settings!$B$3/SUM(S765:X765)</f>
        <v>76.271186440678</v>
      </c>
      <c r="AB765" s="2" t="n">
        <f aca="false">V765*Settings!$B$3/SUM(S765:X765)</f>
        <v>97.6594027441485</v>
      </c>
      <c r="AC765" s="2" t="n">
        <f aca="false">W765*Settings!$B$3/SUM(S765:X765)</f>
        <v>109.362389023406</v>
      </c>
      <c r="AD765" s="2" t="n">
        <f aca="false">X765*Settings!$B$3/SUM(S765:X765)</f>
        <v>38.3373688458434</v>
      </c>
      <c r="AE765" s="2" t="n">
        <f aca="false">INT(Y765)</f>
        <v>115</v>
      </c>
      <c r="AF765" s="2" t="n">
        <f aca="false">INT(Z765)</f>
        <v>62</v>
      </c>
      <c r="AG765" s="2" t="n">
        <f aca="false">INT(AA765)</f>
        <v>76</v>
      </c>
      <c r="AH765" s="2" t="n">
        <f aca="false">INT(AB765)</f>
        <v>97</v>
      </c>
      <c r="AI765" s="2" t="n">
        <f aca="false">INT(AC765)</f>
        <v>109</v>
      </c>
      <c r="AJ765" s="2" t="n">
        <f aca="false">INT(AD765)</f>
        <v>38</v>
      </c>
      <c r="AK765" s="2" t="n">
        <f aca="false">Settings!$B$3-SUM(AE765:AJ765)</f>
        <v>3</v>
      </c>
      <c r="AL765" s="2" t="n">
        <f aca="false">ROUND(Y765-AE765,9)</f>
        <v>0.415657789</v>
      </c>
      <c r="AM765" s="2" t="n">
        <f aca="false">ROUND(Z765-AF765,9)</f>
        <v>0.953995157</v>
      </c>
      <c r="AN765" s="2" t="n">
        <f aca="false">ROUND(AA765-AG765,9)</f>
        <v>0.271186441</v>
      </c>
      <c r="AO765" s="2" t="n">
        <f aca="false">ROUND(AB765-AH765,9)</f>
        <v>0.659402744</v>
      </c>
      <c r="AP765" s="2" t="n">
        <f aca="false">ROUND(AC765-AI765,9)</f>
        <v>0.362389023</v>
      </c>
      <c r="AQ765" s="2" t="n">
        <f aca="false">ROUND(AD765-AJ765,9)</f>
        <v>0.337368846</v>
      </c>
    </row>
    <row r="766" customFormat="false" ht="15" hidden="false" customHeight="false" outlineLevel="0" collapsed="false">
      <c r="A766" s="2" t="n">
        <v>765</v>
      </c>
      <c r="B766" s="6" t="n">
        <v>18</v>
      </c>
      <c r="C766" s="6" t="n">
        <v>52</v>
      </c>
      <c r="D766" s="8" t="str">
        <f aca="false">INDEX(Bases!$B$2:$B$53,B766)</f>
        <v>Spheal</v>
      </c>
      <c r="E766" s="8" t="str">
        <f aca="false">INDEX(Bases!$B$2:$B$53,C766)</f>
        <v>Togepi</v>
      </c>
      <c r="F766" s="2" t="str">
        <f aca="false">LEFT(D766,ROUNDUP(LEN(D766)/2,0))&amp;LOWER(MID(E766,ROUNDUP(LEN(E766)/2,0)+1,20))</f>
        <v>Sphepi</v>
      </c>
      <c r="G766" s="8" t="str">
        <f aca="false">INDEX(Bases!$C$2:$C$53,B766)</f>
        <v>Ice</v>
      </c>
      <c r="H766" s="8" t="str">
        <f aca="false">IF(INDEX(Bases!$C$2:$C$53,C766)=G766,"",INDEX(Bases!$C$2:$C$53,C766))</f>
        <v>Fairy</v>
      </c>
      <c r="I766" s="8" t="str">
        <f aca="false">IF(INDEX(Bases!$E$2:$E$53,B766)="","",INDEX(Bases!$E$2:$E$53,B766))</f>
        <v/>
      </c>
      <c r="J766" s="8" t="str">
        <f aca="false">IF(INDEX(Bases!$E$2:$E$53,C766)="","",INDEX(Bases!$E$2:$E$53,C766))</f>
        <v/>
      </c>
      <c r="K766" s="5"/>
      <c r="L766" s="2" t="n">
        <f aca="false">AE766+IF(SUMPRODUCT(--($AL766:$AQ766&gt;AL766))&lt;$AK766,1,0)</f>
        <v>99</v>
      </c>
      <c r="M766" s="2" t="n">
        <f aca="false">AF766+IF(SUMPRODUCT(--($AL766:$AQ766&gt;AM766))+SUMPRODUCT(--($AL766:AL766=AM766))&lt;$AK766,1,0)</f>
        <v>56</v>
      </c>
      <c r="N766" s="2" t="n">
        <f aca="false">AG766+IF(SUMPRODUCT(--($AL766:$AQ766&gt;AN766))+SUMPRODUCT(--($AL766:AM766=AN766))&lt;$AK766,1,0)</f>
        <v>110</v>
      </c>
      <c r="O766" s="2" t="n">
        <f aca="false">AH766+IF(SUMPRODUCT(--($AL766:$AQ766&gt;AO766))+SUMPRODUCT(--($AL766:AN766=AO766))&lt;$AK766,1,0)</f>
        <v>85</v>
      </c>
      <c r="P766" s="2" t="n">
        <f aca="false">AI766+IF(SUMPRODUCT(--($AL766:$AQ766&gt;AP766))+SUMPRODUCT(--($AL766:AO766=AP766))&lt;$AK766,1,0)</f>
        <v>110</v>
      </c>
      <c r="Q766" s="2" t="n">
        <f aca="false">AJ766+IF(SUMPRODUCT(--($AL766:$AQ766&gt;AQ766))+SUMPRODUCT(--($AL766:AP766=AQ766))&lt;$AK766,1,0)</f>
        <v>40</v>
      </c>
      <c r="R766" s="2" t="n">
        <f aca="false">SUM(L766:Q766)</f>
        <v>500</v>
      </c>
      <c r="S766" s="2" t="n">
        <f aca="false">Settings!$B$4*MAX(INDEX(Bases!$M$2:$M$53,B766),INDEX(Bases!$M$2:$M$53,C766))+Settings!$B$5*MIN(INDEX(Bases!$M$2:$M$53,B766),INDEX(Bases!$M$2:$M$53,C766))</f>
        <v>83.6666666666667</v>
      </c>
      <c r="T766" s="2" t="n">
        <f aca="false">Settings!$B$4*MAX(INDEX(Bases!$N$2:$N$53,B766),INDEX(Bases!$N$2:$N$53,C766))+Settings!$B$5*MIN(INDEX(Bases!$N$2:$N$53,B766),INDEX(Bases!$N$2:$N$53,C766))</f>
        <v>47.6666666666667</v>
      </c>
      <c r="U766" s="2" t="n">
        <f aca="false">Settings!$B$4*MAX(INDEX(Bases!$O$2:$O$53,B766),INDEX(Bases!$O$2:$O$53,C766))+Settings!$B$5*MIN(INDEX(Bases!$O$2:$O$53,B766),INDEX(Bases!$O$2:$O$53,C766))</f>
        <v>93.6666666666667</v>
      </c>
      <c r="V766" s="2" t="n">
        <f aca="false">Settings!$B$4*MAX(INDEX(Bases!$P$2:$P$53,B766),INDEX(Bases!$P$2:$P$53,C766))+Settings!$B$5*MIN(INDEX(Bases!$P$2:$P$53,B766),INDEX(Bases!$P$2:$P$53,C766))</f>
        <v>72.3333333333333</v>
      </c>
      <c r="W766" s="2" t="n">
        <f aca="false">Settings!$B$4*MAX(INDEX(Bases!$Q$2:$Q$53,B766),INDEX(Bases!$Q$2:$Q$53,C766))+Settings!$B$5*MIN(INDEX(Bases!$Q$2:$Q$53,B766),INDEX(Bases!$Q$2:$Q$53,C766))</f>
        <v>93.6666666666667</v>
      </c>
      <c r="X766" s="2" t="n">
        <f aca="false">Settings!$B$4*MAX(INDEX(Bases!$R$2:$R$53,B766),INDEX(Bases!$R$2:$R$53,C766))+Settings!$B$5*MIN(INDEX(Bases!$R$2:$R$53,B766),INDEX(Bases!$R$2:$R$53,C766))</f>
        <v>33.6666666666667</v>
      </c>
      <c r="Y766" s="2" t="n">
        <f aca="false">S766*Settings!$B$3/SUM(S766:X766)</f>
        <v>98.5086342229199</v>
      </c>
      <c r="Z766" s="2" t="n">
        <f aca="false">T766*Settings!$B$3/SUM(S766:X766)</f>
        <v>56.1224489795918</v>
      </c>
      <c r="AA766" s="2" t="n">
        <f aca="false">U766*Settings!$B$3/SUM(S766:X766)</f>
        <v>110.282574568289</v>
      </c>
      <c r="AB766" s="2" t="n">
        <f aca="false">V766*Settings!$B$3/SUM(S766:X766)</f>
        <v>85.1648351648352</v>
      </c>
      <c r="AC766" s="2" t="n">
        <f aca="false">W766*Settings!$B$3/SUM(S766:X766)</f>
        <v>110.282574568289</v>
      </c>
      <c r="AD766" s="2" t="n">
        <f aca="false">X766*Settings!$B$3/SUM(S766:X766)</f>
        <v>39.6389324960754</v>
      </c>
      <c r="AE766" s="2" t="n">
        <f aca="false">INT(Y766)</f>
        <v>98</v>
      </c>
      <c r="AF766" s="2" t="n">
        <f aca="false">INT(Z766)</f>
        <v>56</v>
      </c>
      <c r="AG766" s="2" t="n">
        <f aca="false">INT(AA766)</f>
        <v>110</v>
      </c>
      <c r="AH766" s="2" t="n">
        <f aca="false">INT(AB766)</f>
        <v>85</v>
      </c>
      <c r="AI766" s="2" t="n">
        <f aca="false">INT(AC766)</f>
        <v>110</v>
      </c>
      <c r="AJ766" s="2" t="n">
        <f aca="false">INT(AD766)</f>
        <v>39</v>
      </c>
      <c r="AK766" s="2" t="n">
        <f aca="false">Settings!$B$3-SUM(AE766:AJ766)</f>
        <v>2</v>
      </c>
      <c r="AL766" s="2" t="n">
        <f aca="false">ROUND(Y766-AE766,9)</f>
        <v>0.508634223</v>
      </c>
      <c r="AM766" s="2" t="n">
        <f aca="false">ROUND(Z766-AF766,9)</f>
        <v>0.12244898</v>
      </c>
      <c r="AN766" s="2" t="n">
        <f aca="false">ROUND(AA766-AG766,9)</f>
        <v>0.282574568</v>
      </c>
      <c r="AO766" s="2" t="n">
        <f aca="false">ROUND(AB766-AH766,9)</f>
        <v>0.164835165</v>
      </c>
      <c r="AP766" s="2" t="n">
        <f aca="false">ROUND(AC766-AI766,9)</f>
        <v>0.282574568</v>
      </c>
      <c r="AQ766" s="2" t="n">
        <f aca="false">ROUND(AD766-AJ766,9)</f>
        <v>0.638932496</v>
      </c>
    </row>
    <row r="767" customFormat="false" ht="15" hidden="false" customHeight="false" outlineLevel="0" collapsed="false">
      <c r="A767" s="2" t="n">
        <v>766</v>
      </c>
      <c r="B767" s="6" t="n">
        <v>19</v>
      </c>
      <c r="C767" s="6" t="n">
        <v>20</v>
      </c>
      <c r="D767" s="8" t="str">
        <f aca="false">INDEX(Bases!$B$2:$B$53,B767)</f>
        <v>Mankey</v>
      </c>
      <c r="E767" s="8" t="str">
        <f aca="false">INDEX(Bases!$B$2:$B$53,C767)</f>
        <v>Tyrogue</v>
      </c>
      <c r="F767" s="2" t="str">
        <f aca="false">LEFT(D767,ROUNDUP(LEN(D767)/2,0))&amp;LOWER(MID(E767,ROUNDUP(LEN(E767)/2,0)+1,20))</f>
        <v>Mangue</v>
      </c>
      <c r="G767" s="8" t="str">
        <f aca="false">INDEX(Bases!$C$2:$C$53,B767)</f>
        <v>Fighting</v>
      </c>
      <c r="H767" s="8" t="str">
        <f aca="false">IF(INDEX(Bases!$C$2:$C$53,C767)=G767,"",INDEX(Bases!$C$2:$C$53,C767))</f>
        <v/>
      </c>
      <c r="I767" s="8" t="str">
        <f aca="false">IF(INDEX(Bases!$E$2:$E$53,B767)="","",INDEX(Bases!$E$2:$E$53,B767))</f>
        <v/>
      </c>
      <c r="J767" s="8" t="str">
        <f aca="false">IF(INDEX(Bases!$E$2:$E$53,C767)="","",INDEX(Bases!$E$2:$E$53,C767))</f>
        <v/>
      </c>
      <c r="K767" s="5"/>
      <c r="L767" s="2" t="n">
        <f aca="false">AE767+IF(SUMPRODUCT(--($AL767:$AQ767&gt;AL767))&lt;$AK767,1,0)</f>
        <v>74</v>
      </c>
      <c r="M767" s="2" t="n">
        <f aca="false">AF767+IF(SUMPRODUCT(--($AL767:$AQ767&gt;AM767))+SUMPRODUCT(--($AL767:AL767=AM767))&lt;$AK767,1,0)</f>
        <v>110</v>
      </c>
      <c r="N767" s="2" t="n">
        <f aca="false">AG767+IF(SUMPRODUCT(--($AL767:$AQ767&gt;AN767))+SUMPRODUCT(--($AL767:AM767=AN767))&lt;$AK767,1,0)</f>
        <v>71</v>
      </c>
      <c r="O767" s="2" t="n">
        <f aca="false">AH767+IF(SUMPRODUCT(--($AL767:$AQ767&gt;AO767))+SUMPRODUCT(--($AL767:AN767=AO767))&lt;$AK767,1,0)</f>
        <v>71</v>
      </c>
      <c r="P767" s="2" t="n">
        <f aca="false">AI767+IF(SUMPRODUCT(--($AL767:$AQ767&gt;AP767))+SUMPRODUCT(--($AL767:AO767=AP767))&lt;$AK767,1,0)</f>
        <v>75</v>
      </c>
      <c r="Q767" s="2" t="n">
        <f aca="false">AJ767+IF(SUMPRODUCT(--($AL767:$AQ767&gt;AQ767))+SUMPRODUCT(--($AL767:AP767=AQ767))&lt;$AK767,1,0)</f>
        <v>99</v>
      </c>
      <c r="R767" s="2" t="n">
        <f aca="false">SUM(L767:Q767)</f>
        <v>500</v>
      </c>
      <c r="S767" s="2" t="n">
        <f aca="false">Settings!$B$4*MAX(INDEX(Bases!$M$2:$M$53,B767),INDEX(Bases!$M$2:$M$53,C767))+Settings!$B$5*MIN(INDEX(Bases!$M$2:$M$53,B767),INDEX(Bases!$M$2:$M$53,C767))</f>
        <v>62</v>
      </c>
      <c r="T767" s="2" t="n">
        <f aca="false">Settings!$B$4*MAX(INDEX(Bases!$N$2:$N$53,B767),INDEX(Bases!$N$2:$N$53,C767))+Settings!$B$5*MIN(INDEX(Bases!$N$2:$N$53,B767),INDEX(Bases!$N$2:$N$53,C767))</f>
        <v>92.3333333333333</v>
      </c>
      <c r="U767" s="2" t="n">
        <f aca="false">Settings!$B$4*MAX(INDEX(Bases!$O$2:$O$53,B767),INDEX(Bases!$O$2:$O$53,C767))+Settings!$B$5*MIN(INDEX(Bases!$O$2:$O$53,B767),INDEX(Bases!$O$2:$O$53,C767))</f>
        <v>60</v>
      </c>
      <c r="V767" s="2" t="n">
        <f aca="false">Settings!$B$4*MAX(INDEX(Bases!$P$2:$P$53,B767),INDEX(Bases!$P$2:$P$53,C767))+Settings!$B$5*MIN(INDEX(Bases!$P$2:$P$53,B767),INDEX(Bases!$P$2:$P$53,C767))</f>
        <v>60</v>
      </c>
      <c r="W767" s="2" t="n">
        <f aca="false">Settings!$B$4*MAX(INDEX(Bases!$Q$2:$Q$53,B767),INDEX(Bases!$Q$2:$Q$53,C767))+Settings!$B$5*MIN(INDEX(Bases!$Q$2:$Q$53,B767),INDEX(Bases!$Q$2:$Q$53,C767))</f>
        <v>63.6666666666667</v>
      </c>
      <c r="X767" s="2" t="n">
        <f aca="false">Settings!$B$4*MAX(INDEX(Bases!$R$2:$R$53,B767),INDEX(Bases!$R$2:$R$53,C767))+Settings!$B$5*MIN(INDEX(Bases!$R$2:$R$53,B767),INDEX(Bases!$R$2:$R$53,C767))</f>
        <v>83.3333333333333</v>
      </c>
      <c r="Y767" s="2" t="n">
        <f aca="false">S767*Settings!$B$3/SUM(S767:X767)</f>
        <v>73.5759493670886</v>
      </c>
      <c r="Z767" s="2" t="n">
        <f aca="false">T767*Settings!$B$3/SUM(S767:X767)</f>
        <v>109.572784810127</v>
      </c>
      <c r="AA767" s="2" t="n">
        <f aca="false">U767*Settings!$B$3/SUM(S767:X767)</f>
        <v>71.2025316455696</v>
      </c>
      <c r="AB767" s="2" t="n">
        <f aca="false">V767*Settings!$B$3/SUM(S767:X767)</f>
        <v>71.2025316455696</v>
      </c>
      <c r="AC767" s="2" t="n">
        <f aca="false">W767*Settings!$B$3/SUM(S767:X767)</f>
        <v>75.5537974683545</v>
      </c>
      <c r="AD767" s="2" t="n">
        <f aca="false">X767*Settings!$B$3/SUM(S767:X767)</f>
        <v>98.8924050632911</v>
      </c>
      <c r="AE767" s="2" t="n">
        <f aca="false">INT(Y767)</f>
        <v>73</v>
      </c>
      <c r="AF767" s="2" t="n">
        <f aca="false">INT(Z767)</f>
        <v>109</v>
      </c>
      <c r="AG767" s="2" t="n">
        <f aca="false">INT(AA767)</f>
        <v>71</v>
      </c>
      <c r="AH767" s="2" t="n">
        <f aca="false">INT(AB767)</f>
        <v>71</v>
      </c>
      <c r="AI767" s="2" t="n">
        <f aca="false">INT(AC767)</f>
        <v>75</v>
      </c>
      <c r="AJ767" s="2" t="n">
        <f aca="false">INT(AD767)</f>
        <v>98</v>
      </c>
      <c r="AK767" s="2" t="n">
        <f aca="false">Settings!$B$3-SUM(AE767:AJ767)</f>
        <v>3</v>
      </c>
      <c r="AL767" s="2" t="n">
        <f aca="false">ROUND(Y767-AE767,9)</f>
        <v>0.575949367</v>
      </c>
      <c r="AM767" s="2" t="n">
        <f aca="false">ROUND(Z767-AF767,9)</f>
        <v>0.57278481</v>
      </c>
      <c r="AN767" s="2" t="n">
        <f aca="false">ROUND(AA767-AG767,9)</f>
        <v>0.202531646</v>
      </c>
      <c r="AO767" s="2" t="n">
        <f aca="false">ROUND(AB767-AH767,9)</f>
        <v>0.202531646</v>
      </c>
      <c r="AP767" s="2" t="n">
        <f aca="false">ROUND(AC767-AI767,9)</f>
        <v>0.553797468</v>
      </c>
      <c r="AQ767" s="2" t="n">
        <f aca="false">ROUND(AD767-AJ767,9)</f>
        <v>0.892405063</v>
      </c>
    </row>
    <row r="768" customFormat="false" ht="15" hidden="false" customHeight="false" outlineLevel="0" collapsed="false">
      <c r="A768" s="2" t="n">
        <v>767</v>
      </c>
      <c r="B768" s="6" t="n">
        <v>19</v>
      </c>
      <c r="C768" s="6" t="n">
        <v>21</v>
      </c>
      <c r="D768" s="8" t="str">
        <f aca="false">INDEX(Bases!$B$2:$B$53,B768)</f>
        <v>Mankey</v>
      </c>
      <c r="E768" s="8" t="str">
        <f aca="false">INDEX(Bases!$B$2:$B$53,C768)</f>
        <v>Makuhita</v>
      </c>
      <c r="F768" s="2" t="str">
        <f aca="false">LEFT(D768,ROUNDUP(LEN(D768)/2,0))&amp;LOWER(MID(E768,ROUNDUP(LEN(E768)/2,0)+1,20))</f>
        <v>Manhita</v>
      </c>
      <c r="G768" s="8" t="str">
        <f aca="false">INDEX(Bases!$C$2:$C$53,B768)</f>
        <v>Fighting</v>
      </c>
      <c r="H768" s="8" t="str">
        <f aca="false">IF(INDEX(Bases!$C$2:$C$53,C768)=G768,"",INDEX(Bases!$C$2:$C$53,C768))</f>
        <v/>
      </c>
      <c r="I768" s="8" t="str">
        <f aca="false">IF(INDEX(Bases!$E$2:$E$53,B768)="","",INDEX(Bases!$E$2:$E$53,B768))</f>
        <v/>
      </c>
      <c r="J768" s="8" t="str">
        <f aca="false">IF(INDEX(Bases!$E$2:$E$53,C768)="","",INDEX(Bases!$E$2:$E$53,C768))</f>
        <v/>
      </c>
      <c r="K768" s="5"/>
      <c r="L768" s="2" t="n">
        <f aca="false">AE768+IF(SUMPRODUCT(--($AL768:$AQ768&gt;AL768))&lt;$AK768,1,0)</f>
        <v>115</v>
      </c>
      <c r="M768" s="2" t="n">
        <f aca="false">AF768+IF(SUMPRODUCT(--($AL768:$AQ768&gt;AM768))+SUMPRODUCT(--($AL768:AL768=AM768))&lt;$AK768,1,0)</f>
        <v>122</v>
      </c>
      <c r="N768" s="2" t="n">
        <f aca="false">AG768+IF(SUMPRODUCT(--($AL768:$AQ768&gt;AN768))+SUMPRODUCT(--($AL768:AM768=AN768))&lt;$AK768,1,0)</f>
        <v>58</v>
      </c>
      <c r="O768" s="2" t="n">
        <f aca="false">AH768+IF(SUMPRODUCT(--($AL768:$AQ768&gt;AO768))+SUMPRODUCT(--($AL768:AN768=AO768))&lt;$AK768,1,0)</f>
        <v>50</v>
      </c>
      <c r="P768" s="2" t="n">
        <f aca="false">AI768+IF(SUMPRODUCT(--($AL768:$AQ768&gt;AP768))+SUMPRODUCT(--($AL768:AO768=AP768))&lt;$AK768,1,0)</f>
        <v>66</v>
      </c>
      <c r="Q768" s="2" t="n">
        <f aca="false">AJ768+IF(SUMPRODUCT(--($AL768:$AQ768&gt;AQ768))+SUMPRODUCT(--($AL768:AP768=AQ768))&lt;$AK768,1,0)</f>
        <v>89</v>
      </c>
      <c r="R768" s="2" t="n">
        <f aca="false">SUM(L768:Q768)</f>
        <v>500</v>
      </c>
      <c r="S768" s="2" t="n">
        <f aca="false">Settings!$B$4*MAX(INDEX(Bases!$M$2:$M$53,B768),INDEX(Bases!$M$2:$M$53,C768))+Settings!$B$5*MIN(INDEX(Bases!$M$2:$M$53,B768),INDEX(Bases!$M$2:$M$53,C768))</f>
        <v>98</v>
      </c>
      <c r="T768" s="2" t="n">
        <f aca="false">Settings!$B$4*MAX(INDEX(Bases!$N$2:$N$53,B768),INDEX(Bases!$N$2:$N$53,C768))+Settings!$B$5*MIN(INDEX(Bases!$N$2:$N$53,B768),INDEX(Bases!$N$2:$N$53,C768))</f>
        <v>103.666666666667</v>
      </c>
      <c r="U768" s="2" t="n">
        <f aca="false">Settings!$B$4*MAX(INDEX(Bases!$O$2:$O$53,B768),INDEX(Bases!$O$2:$O$53,C768))+Settings!$B$5*MIN(INDEX(Bases!$O$2:$O$53,B768),INDEX(Bases!$O$2:$O$53,C768))</f>
        <v>49.3333333333333</v>
      </c>
      <c r="V768" s="2" t="n">
        <f aca="false">Settings!$B$4*MAX(INDEX(Bases!$P$2:$P$53,B768),INDEX(Bases!$P$2:$P$53,C768))+Settings!$B$5*MIN(INDEX(Bases!$P$2:$P$53,B768),INDEX(Bases!$P$2:$P$53,C768))</f>
        <v>42</v>
      </c>
      <c r="W768" s="2" t="n">
        <f aca="false">Settings!$B$4*MAX(INDEX(Bases!$Q$2:$Q$53,B768),INDEX(Bases!$Q$2:$Q$53,C768))+Settings!$B$5*MIN(INDEX(Bases!$Q$2:$Q$53,B768),INDEX(Bases!$Q$2:$Q$53,C768))</f>
        <v>56.3333333333333</v>
      </c>
      <c r="X768" s="2" t="n">
        <f aca="false">Settings!$B$4*MAX(INDEX(Bases!$R$2:$R$53,B768),INDEX(Bases!$R$2:$R$53,C768))+Settings!$B$5*MIN(INDEX(Bases!$R$2:$R$53,B768),INDEX(Bases!$R$2:$R$53,C768))</f>
        <v>75.3333333333333</v>
      </c>
      <c r="Y768" s="2" t="n">
        <f aca="false">S768*Settings!$B$3/SUM(S768:X768)</f>
        <v>115.384615384615</v>
      </c>
      <c r="Z768" s="2" t="n">
        <f aca="false">T768*Settings!$B$3/SUM(S768:X768)</f>
        <v>122.056514913658</v>
      </c>
      <c r="AA768" s="2" t="n">
        <f aca="false">U768*Settings!$B$3/SUM(S768:X768)</f>
        <v>58.0847723704867</v>
      </c>
      <c r="AB768" s="2" t="n">
        <f aca="false">V768*Settings!$B$3/SUM(S768:X768)</f>
        <v>49.4505494505495</v>
      </c>
      <c r="AC768" s="2" t="n">
        <f aca="false">W768*Settings!$B$3/SUM(S768:X768)</f>
        <v>66.3265306122449</v>
      </c>
      <c r="AD768" s="2" t="n">
        <f aca="false">X768*Settings!$B$3/SUM(S768:X768)</f>
        <v>88.6970172684459</v>
      </c>
      <c r="AE768" s="2" t="n">
        <f aca="false">INT(Y768)</f>
        <v>115</v>
      </c>
      <c r="AF768" s="2" t="n">
        <f aca="false">INT(Z768)</f>
        <v>122</v>
      </c>
      <c r="AG768" s="2" t="n">
        <f aca="false">INT(AA768)</f>
        <v>58</v>
      </c>
      <c r="AH768" s="2" t="n">
        <f aca="false">INT(AB768)</f>
        <v>49</v>
      </c>
      <c r="AI768" s="2" t="n">
        <f aca="false">INT(AC768)</f>
        <v>66</v>
      </c>
      <c r="AJ768" s="2" t="n">
        <f aca="false">INT(AD768)</f>
        <v>88</v>
      </c>
      <c r="AK768" s="2" t="n">
        <f aca="false">Settings!$B$3-SUM(AE768:AJ768)</f>
        <v>2</v>
      </c>
      <c r="AL768" s="2" t="n">
        <f aca="false">ROUND(Y768-AE768,9)</f>
        <v>0.384615385</v>
      </c>
      <c r="AM768" s="2" t="n">
        <f aca="false">ROUND(Z768-AF768,9)</f>
        <v>0.056514914</v>
      </c>
      <c r="AN768" s="2" t="n">
        <f aca="false">ROUND(AA768-AG768,9)</f>
        <v>0.08477237</v>
      </c>
      <c r="AO768" s="2" t="n">
        <f aca="false">ROUND(AB768-AH768,9)</f>
        <v>0.450549451</v>
      </c>
      <c r="AP768" s="2" t="n">
        <f aca="false">ROUND(AC768-AI768,9)</f>
        <v>0.326530612</v>
      </c>
      <c r="AQ768" s="2" t="n">
        <f aca="false">ROUND(AD768-AJ768,9)</f>
        <v>0.697017268</v>
      </c>
    </row>
    <row r="769" customFormat="false" ht="15" hidden="false" customHeight="false" outlineLevel="0" collapsed="false">
      <c r="A769" s="2" t="n">
        <v>768</v>
      </c>
      <c r="B769" s="6" t="n">
        <v>19</v>
      </c>
      <c r="C769" s="6" t="n">
        <v>22</v>
      </c>
      <c r="D769" s="8" t="str">
        <f aca="false">INDEX(Bases!$B$2:$B$53,B769)</f>
        <v>Mankey</v>
      </c>
      <c r="E769" s="8" t="str">
        <f aca="false">INDEX(Bases!$B$2:$B$53,C769)</f>
        <v>Ekans</v>
      </c>
      <c r="F769" s="2" t="str">
        <f aca="false">LEFT(D769,ROUNDUP(LEN(D769)/2,0))&amp;LOWER(MID(E769,ROUNDUP(LEN(E769)/2,0)+1,20))</f>
        <v>Manns</v>
      </c>
      <c r="G769" s="8" t="str">
        <f aca="false">INDEX(Bases!$C$2:$C$53,B769)</f>
        <v>Fighting</v>
      </c>
      <c r="H769" s="8" t="str">
        <f aca="false">IF(INDEX(Bases!$C$2:$C$53,C769)=G769,"",INDEX(Bases!$C$2:$C$53,C769))</f>
        <v>Poison</v>
      </c>
      <c r="I769" s="8" t="str">
        <f aca="false">IF(INDEX(Bases!$E$2:$E$53,B769)="","",INDEX(Bases!$E$2:$E$53,B769))</f>
        <v/>
      </c>
      <c r="J769" s="8" t="str">
        <f aca="false">IF(INDEX(Bases!$E$2:$E$53,C769)="","",INDEX(Bases!$E$2:$E$53,C769))</f>
        <v/>
      </c>
      <c r="K769" s="5"/>
      <c r="L769" s="2" t="n">
        <f aca="false">AE769+IF(SUMPRODUCT(--($AL769:$AQ769&gt;AL769))&lt;$AK769,1,0)</f>
        <v>61</v>
      </c>
      <c r="M769" s="2" t="n">
        <f aca="false">AF769+IF(SUMPRODUCT(--($AL769:$AQ769&gt;AM769))+SUMPRODUCT(--($AL769:AL769=AM769))&lt;$AK769,1,0)</f>
        <v>118</v>
      </c>
      <c r="N769" s="2" t="n">
        <f aca="false">AG769+IF(SUMPRODUCT(--($AL769:$AQ769&gt;AN769))+SUMPRODUCT(--($AL769:AM769=AN769))&lt;$AK769,1,0)</f>
        <v>68</v>
      </c>
      <c r="O769" s="2" t="n">
        <f aca="false">AH769+IF(SUMPRODUCT(--($AL769:$AQ769&gt;AO769))+SUMPRODUCT(--($AL769:AN769=AO769))&lt;$AK769,1,0)</f>
        <v>64</v>
      </c>
      <c r="P769" s="2" t="n">
        <f aca="false">AI769+IF(SUMPRODUCT(--($AL769:$AQ769&gt;AP769))+SUMPRODUCT(--($AL769:AO769=AP769))&lt;$AK769,1,0)</f>
        <v>84</v>
      </c>
      <c r="Q769" s="2" t="n">
        <f aca="false">AJ769+IF(SUMPRODUCT(--($AL769:$AQ769&gt;AQ769))+SUMPRODUCT(--($AL769:AP769=AQ769))&lt;$AK769,1,0)</f>
        <v>105</v>
      </c>
      <c r="R769" s="2" t="n">
        <f aca="false">SUM(L769:Q769)</f>
        <v>500</v>
      </c>
      <c r="S769" s="2" t="n">
        <f aca="false">Settings!$B$4*MAX(INDEX(Bases!$M$2:$M$53,B769),INDEX(Bases!$M$2:$M$53,C769))+Settings!$B$5*MIN(INDEX(Bases!$M$2:$M$53,B769),INDEX(Bases!$M$2:$M$53,C769))</f>
        <v>51</v>
      </c>
      <c r="T769" s="2" t="n">
        <f aca="false">Settings!$B$4*MAX(INDEX(Bases!$N$2:$N$53,B769),INDEX(Bases!$N$2:$N$53,C769))+Settings!$B$5*MIN(INDEX(Bases!$N$2:$N$53,B769),INDEX(Bases!$N$2:$N$53,C769))</f>
        <v>97.6666666666667</v>
      </c>
      <c r="U769" s="2" t="n">
        <f aca="false">Settings!$B$4*MAX(INDEX(Bases!$O$2:$O$53,B769),INDEX(Bases!$O$2:$O$53,C769))+Settings!$B$5*MIN(INDEX(Bases!$O$2:$O$53,B769),INDEX(Bases!$O$2:$O$53,C769))</f>
        <v>56</v>
      </c>
      <c r="V769" s="2" t="n">
        <f aca="false">Settings!$B$4*MAX(INDEX(Bases!$P$2:$P$53,B769),INDEX(Bases!$P$2:$P$53,C769))+Settings!$B$5*MIN(INDEX(Bases!$P$2:$P$53,B769),INDEX(Bases!$P$2:$P$53,C769))</f>
        <v>52.6666666666667</v>
      </c>
      <c r="W769" s="2" t="n">
        <f aca="false">Settings!$B$4*MAX(INDEX(Bases!$Q$2:$Q$53,B769),INDEX(Bases!$Q$2:$Q$53,C769))+Settings!$B$5*MIN(INDEX(Bases!$Q$2:$Q$53,B769),INDEX(Bases!$Q$2:$Q$53,C769))</f>
        <v>69.6666666666667</v>
      </c>
      <c r="X769" s="2" t="n">
        <f aca="false">Settings!$B$4*MAX(INDEX(Bases!$R$2:$R$53,B769),INDEX(Bases!$R$2:$R$53,C769))+Settings!$B$5*MIN(INDEX(Bases!$R$2:$R$53,B769),INDEX(Bases!$R$2:$R$53,C769))</f>
        <v>86.6666666666667</v>
      </c>
      <c r="Y769" s="2" t="n">
        <f aca="false">S769*Settings!$B$3/SUM(S769:X769)</f>
        <v>61.6438356164384</v>
      </c>
      <c r="Z769" s="2" t="n">
        <f aca="false">T769*Settings!$B$3/SUM(S769:X769)</f>
        <v>118.049959709911</v>
      </c>
      <c r="AA769" s="2" t="n">
        <f aca="false">U769*Settings!$B$3/SUM(S769:X769)</f>
        <v>67.6873489121676</v>
      </c>
      <c r="AB769" s="2" t="n">
        <f aca="false">V769*Settings!$B$3/SUM(S769:X769)</f>
        <v>63.6583400483481</v>
      </c>
      <c r="AC769" s="2" t="n">
        <f aca="false">W769*Settings!$B$3/SUM(S769:X769)</f>
        <v>84.2062852538276</v>
      </c>
      <c r="AD769" s="2" t="n">
        <f aca="false">X769*Settings!$B$3/SUM(S769:X769)</f>
        <v>104.754230459307</v>
      </c>
      <c r="AE769" s="2" t="n">
        <f aca="false">INT(Y769)</f>
        <v>61</v>
      </c>
      <c r="AF769" s="2" t="n">
        <f aca="false">INT(Z769)</f>
        <v>118</v>
      </c>
      <c r="AG769" s="2" t="n">
        <f aca="false">INT(AA769)</f>
        <v>67</v>
      </c>
      <c r="AH769" s="2" t="n">
        <f aca="false">INT(AB769)</f>
        <v>63</v>
      </c>
      <c r="AI769" s="2" t="n">
        <f aca="false">INT(AC769)</f>
        <v>84</v>
      </c>
      <c r="AJ769" s="2" t="n">
        <f aca="false">INT(AD769)</f>
        <v>104</v>
      </c>
      <c r="AK769" s="2" t="n">
        <f aca="false">Settings!$B$3-SUM(AE769:AJ769)</f>
        <v>3</v>
      </c>
      <c r="AL769" s="2" t="n">
        <f aca="false">ROUND(Y769-AE769,9)</f>
        <v>0.643835616</v>
      </c>
      <c r="AM769" s="2" t="n">
        <f aca="false">ROUND(Z769-AF769,9)</f>
        <v>0.04995971</v>
      </c>
      <c r="AN769" s="2" t="n">
        <f aca="false">ROUND(AA769-AG769,9)</f>
        <v>0.687348912</v>
      </c>
      <c r="AO769" s="2" t="n">
        <f aca="false">ROUND(AB769-AH769,9)</f>
        <v>0.658340048</v>
      </c>
      <c r="AP769" s="2" t="n">
        <f aca="false">ROUND(AC769-AI769,9)</f>
        <v>0.206285254</v>
      </c>
      <c r="AQ769" s="2" t="n">
        <f aca="false">ROUND(AD769-AJ769,9)</f>
        <v>0.754230459</v>
      </c>
    </row>
    <row r="770" customFormat="false" ht="15" hidden="false" customHeight="false" outlineLevel="0" collapsed="false">
      <c r="A770" s="2" t="n">
        <v>769</v>
      </c>
      <c r="B770" s="6" t="n">
        <v>19</v>
      </c>
      <c r="C770" s="6" t="n">
        <v>23</v>
      </c>
      <c r="D770" s="8" t="str">
        <f aca="false">INDEX(Bases!$B$2:$B$53,B770)</f>
        <v>Mankey</v>
      </c>
      <c r="E770" s="8" t="str">
        <f aca="false">INDEX(Bases!$B$2:$B$53,C770)</f>
        <v>Gulpin</v>
      </c>
      <c r="F770" s="2" t="str">
        <f aca="false">LEFT(D770,ROUNDUP(LEN(D770)/2,0))&amp;LOWER(MID(E770,ROUNDUP(LEN(E770)/2,0)+1,20))</f>
        <v>Manpin</v>
      </c>
      <c r="G770" s="8" t="str">
        <f aca="false">INDEX(Bases!$C$2:$C$53,B770)</f>
        <v>Fighting</v>
      </c>
      <c r="H770" s="8" t="str">
        <f aca="false">IF(INDEX(Bases!$C$2:$C$53,C770)=G770,"",INDEX(Bases!$C$2:$C$53,C770))</f>
        <v>Poison</v>
      </c>
      <c r="I770" s="8" t="str">
        <f aca="false">IF(INDEX(Bases!$E$2:$E$53,B770)="","",INDEX(Bases!$E$2:$E$53,B770))</f>
        <v/>
      </c>
      <c r="J770" s="8" t="str">
        <f aca="false">IF(INDEX(Bases!$E$2:$E$53,C770)="","",INDEX(Bases!$E$2:$E$53,C770))</f>
        <v/>
      </c>
      <c r="K770" s="5"/>
      <c r="L770" s="2" t="n">
        <f aca="false">AE770+IF(SUMPRODUCT(--($AL770:$AQ770&gt;AL770))&lt;$AK770,1,0)</f>
        <v>93</v>
      </c>
      <c r="M770" s="2" t="n">
        <f aca="false">AF770+IF(SUMPRODUCT(--($AL770:$AQ770&gt;AM770))+SUMPRODUCT(--($AL770:AL770=AM770))&lt;$AK770,1,0)</f>
        <v>104</v>
      </c>
      <c r="N770" s="2" t="n">
        <f aca="false">AG770+IF(SUMPRODUCT(--($AL770:$AQ770&gt;AN770))+SUMPRODUCT(--($AL770:AM770=AN770))&lt;$AK770,1,0)</f>
        <v>72</v>
      </c>
      <c r="O770" s="2" t="n">
        <f aca="false">AH770+IF(SUMPRODUCT(--($AL770:$AQ770&gt;AO770))+SUMPRODUCT(--($AL770:AN770=AO770))&lt;$AK770,1,0)</f>
        <v>62</v>
      </c>
      <c r="P770" s="2" t="n">
        <f aca="false">AI770+IF(SUMPRODUCT(--($AL770:$AQ770&gt;AP770))+SUMPRODUCT(--($AL770:AO770=AP770))&lt;$AK770,1,0)</f>
        <v>77</v>
      </c>
      <c r="Q770" s="2" t="n">
        <f aca="false">AJ770+IF(SUMPRODUCT(--($AL770:$AQ770&gt;AQ770))+SUMPRODUCT(--($AL770:AP770=AQ770))&lt;$AK770,1,0)</f>
        <v>92</v>
      </c>
      <c r="R770" s="2" t="n">
        <f aca="false">SUM(L770:Q770)</f>
        <v>500</v>
      </c>
      <c r="S770" s="2" t="n">
        <f aca="false">Settings!$B$4*MAX(INDEX(Bases!$M$2:$M$53,B770),INDEX(Bases!$M$2:$M$53,C770))+Settings!$B$5*MIN(INDEX(Bases!$M$2:$M$53,B770),INDEX(Bases!$M$2:$M$53,C770))</f>
        <v>79.3333333333333</v>
      </c>
      <c r="T770" s="2" t="n">
        <f aca="false">Settings!$B$4*MAX(INDEX(Bases!$N$2:$N$53,B770),INDEX(Bases!$N$2:$N$53,C770))+Settings!$B$5*MIN(INDEX(Bases!$N$2:$N$53,B770),INDEX(Bases!$N$2:$N$53,C770))</f>
        <v>89</v>
      </c>
      <c r="U770" s="2" t="n">
        <f aca="false">Settings!$B$4*MAX(INDEX(Bases!$O$2:$O$53,B770),INDEX(Bases!$O$2:$O$53,C770))+Settings!$B$5*MIN(INDEX(Bases!$O$2:$O$53,B770),INDEX(Bases!$O$2:$O$53,C770))</f>
        <v>62</v>
      </c>
      <c r="V770" s="2" t="n">
        <f aca="false">Settings!$B$4*MAX(INDEX(Bases!$P$2:$P$53,B770),INDEX(Bases!$P$2:$P$53,C770))+Settings!$B$5*MIN(INDEX(Bases!$P$2:$P$53,B770),INDEX(Bases!$P$2:$P$53,C770))</f>
        <v>53.3333333333333</v>
      </c>
      <c r="W770" s="2" t="n">
        <f aca="false">Settings!$B$4*MAX(INDEX(Bases!$Q$2:$Q$53,B770),INDEX(Bases!$Q$2:$Q$53,C770))+Settings!$B$5*MIN(INDEX(Bases!$Q$2:$Q$53,B770),INDEX(Bases!$Q$2:$Q$53,C770))</f>
        <v>66.3333333333333</v>
      </c>
      <c r="X770" s="2" t="n">
        <f aca="false">Settings!$B$4*MAX(INDEX(Bases!$R$2:$R$53,B770),INDEX(Bases!$R$2:$R$53,C770))+Settings!$B$5*MIN(INDEX(Bases!$R$2:$R$53,B770),INDEX(Bases!$R$2:$R$53,C770))</f>
        <v>79</v>
      </c>
      <c r="Y770" s="2" t="n">
        <f aca="false">S770*Settings!$B$3/SUM(S770:X770)</f>
        <v>92.4630924630925</v>
      </c>
      <c r="Z770" s="2" t="n">
        <f aca="false">T770*Settings!$B$3/SUM(S770:X770)</f>
        <v>103.729603729604</v>
      </c>
      <c r="AA770" s="2" t="n">
        <f aca="false">U770*Settings!$B$3/SUM(S770:X770)</f>
        <v>72.2610722610723</v>
      </c>
      <c r="AB770" s="2" t="n">
        <f aca="false">V770*Settings!$B$3/SUM(S770:X770)</f>
        <v>62.1600621600622</v>
      </c>
      <c r="AC770" s="2" t="n">
        <f aca="false">W770*Settings!$B$3/SUM(S770:X770)</f>
        <v>77.3115773115773</v>
      </c>
      <c r="AD770" s="2" t="n">
        <f aca="false">X770*Settings!$B$3/SUM(S770:X770)</f>
        <v>92.0745920745921</v>
      </c>
      <c r="AE770" s="2" t="n">
        <f aca="false">INT(Y770)</f>
        <v>92</v>
      </c>
      <c r="AF770" s="2" t="n">
        <f aca="false">INT(Z770)</f>
        <v>103</v>
      </c>
      <c r="AG770" s="2" t="n">
        <f aca="false">INT(AA770)</f>
        <v>72</v>
      </c>
      <c r="AH770" s="2" t="n">
        <f aca="false">INT(AB770)</f>
        <v>62</v>
      </c>
      <c r="AI770" s="2" t="n">
        <f aca="false">INT(AC770)</f>
        <v>77</v>
      </c>
      <c r="AJ770" s="2" t="n">
        <f aca="false">INT(AD770)</f>
        <v>92</v>
      </c>
      <c r="AK770" s="2" t="n">
        <f aca="false">Settings!$B$3-SUM(AE770:AJ770)</f>
        <v>2</v>
      </c>
      <c r="AL770" s="2" t="n">
        <f aca="false">ROUND(Y770-AE770,9)</f>
        <v>0.463092463</v>
      </c>
      <c r="AM770" s="2" t="n">
        <f aca="false">ROUND(Z770-AF770,9)</f>
        <v>0.72960373</v>
      </c>
      <c r="AN770" s="2" t="n">
        <f aca="false">ROUND(AA770-AG770,9)</f>
        <v>0.261072261</v>
      </c>
      <c r="AO770" s="2" t="n">
        <f aca="false">ROUND(AB770-AH770,9)</f>
        <v>0.16006216</v>
      </c>
      <c r="AP770" s="2" t="n">
        <f aca="false">ROUND(AC770-AI770,9)</f>
        <v>0.311577312</v>
      </c>
      <c r="AQ770" s="2" t="n">
        <f aca="false">ROUND(AD770-AJ770,9)</f>
        <v>0.074592075</v>
      </c>
    </row>
    <row r="771" customFormat="false" ht="15" hidden="false" customHeight="false" outlineLevel="0" collapsed="false">
      <c r="A771" s="2" t="n">
        <v>770</v>
      </c>
      <c r="B771" s="6" t="n">
        <v>19</v>
      </c>
      <c r="C771" s="6" t="n">
        <v>24</v>
      </c>
      <c r="D771" s="8" t="str">
        <f aca="false">INDEX(Bases!$B$2:$B$53,B771)</f>
        <v>Mankey</v>
      </c>
      <c r="E771" s="8" t="str">
        <f aca="false">INDEX(Bases!$B$2:$B$53,C771)</f>
        <v>Koffing</v>
      </c>
      <c r="F771" s="2" t="str">
        <f aca="false">LEFT(D771,ROUNDUP(LEN(D771)/2,0))&amp;LOWER(MID(E771,ROUNDUP(LEN(E771)/2,0)+1,20))</f>
        <v>Maning</v>
      </c>
      <c r="G771" s="8" t="str">
        <f aca="false">INDEX(Bases!$C$2:$C$53,B771)</f>
        <v>Fighting</v>
      </c>
      <c r="H771" s="8" t="str">
        <f aca="false">IF(INDEX(Bases!$C$2:$C$53,C771)=G771,"",INDEX(Bases!$C$2:$C$53,C771))</f>
        <v>Poison</v>
      </c>
      <c r="I771" s="8" t="str">
        <f aca="false">IF(INDEX(Bases!$E$2:$E$53,B771)="","",INDEX(Bases!$E$2:$E$53,B771))</f>
        <v/>
      </c>
      <c r="J771" s="8" t="str">
        <f aca="false">IF(INDEX(Bases!$E$2:$E$53,C771)="","",INDEX(Bases!$E$2:$E$53,C771))</f>
        <v/>
      </c>
      <c r="K771" s="5"/>
      <c r="L771" s="2" t="n">
        <f aca="false">AE771+IF(SUMPRODUCT(--($AL771:$AQ771&gt;AL771))&lt;$AK771,1,0)</f>
        <v>58</v>
      </c>
      <c r="M771" s="2" t="n">
        <f aca="false">AF771+IF(SUMPRODUCT(--($AL771:$AQ771&gt;AM771))+SUMPRODUCT(--($AL771:AL771=AM771))&lt;$AK771,1,0)</f>
        <v>111</v>
      </c>
      <c r="N771" s="2" t="n">
        <f aca="false">AG771+IF(SUMPRODUCT(--($AL771:$AQ771&gt;AN771))+SUMPRODUCT(--($AL771:AM771=AN771))&lt;$AK771,1,0)</f>
        <v>105</v>
      </c>
      <c r="O771" s="2" t="n">
        <f aca="false">AH771+IF(SUMPRODUCT(--($AL771:$AQ771&gt;AO771))+SUMPRODUCT(--($AL771:AN771=AO771))&lt;$AK771,1,0)</f>
        <v>73</v>
      </c>
      <c r="P771" s="2" t="n">
        <f aca="false">AI771+IF(SUMPRODUCT(--($AL771:$AQ771&gt;AP771))+SUMPRODUCT(--($AL771:AO771=AP771))&lt;$AK771,1,0)</f>
        <v>66</v>
      </c>
      <c r="Q771" s="2" t="n">
        <f aca="false">AJ771+IF(SUMPRODUCT(--($AL771:$AQ771&gt;AQ771))+SUMPRODUCT(--($AL771:AP771=AQ771))&lt;$AK771,1,0)</f>
        <v>87</v>
      </c>
      <c r="R771" s="2" t="n">
        <f aca="false">SUM(L771:Q771)</f>
        <v>500</v>
      </c>
      <c r="S771" s="2" t="n">
        <f aca="false">Settings!$B$4*MAX(INDEX(Bases!$M$2:$M$53,B771),INDEX(Bases!$M$2:$M$53,C771))+Settings!$B$5*MIN(INDEX(Bases!$M$2:$M$53,B771),INDEX(Bases!$M$2:$M$53,C771))</f>
        <v>50.3333333333333</v>
      </c>
      <c r="T771" s="2" t="n">
        <f aca="false">Settings!$B$4*MAX(INDEX(Bases!$N$2:$N$53,B771),INDEX(Bases!$N$2:$N$53,C771))+Settings!$B$5*MIN(INDEX(Bases!$N$2:$N$53,B771),INDEX(Bases!$N$2:$N$53,C771))</f>
        <v>95.3333333333333</v>
      </c>
      <c r="U771" s="2" t="n">
        <f aca="false">Settings!$B$4*MAX(INDEX(Bases!$O$2:$O$53,B771),INDEX(Bases!$O$2:$O$53,C771))+Settings!$B$5*MIN(INDEX(Bases!$O$2:$O$53,B771),INDEX(Bases!$O$2:$O$53,C771))</f>
        <v>90</v>
      </c>
      <c r="V771" s="2" t="n">
        <f aca="false">Settings!$B$4*MAX(INDEX(Bases!$P$2:$P$53,B771),INDEX(Bases!$P$2:$P$53,C771))+Settings!$B$5*MIN(INDEX(Bases!$P$2:$P$53,B771),INDEX(Bases!$P$2:$P$53,C771))</f>
        <v>62.6666666666667</v>
      </c>
      <c r="W771" s="2" t="n">
        <f aca="false">Settings!$B$4*MAX(INDEX(Bases!$Q$2:$Q$53,B771),INDEX(Bases!$Q$2:$Q$53,C771))+Settings!$B$5*MIN(INDEX(Bases!$Q$2:$Q$53,B771),INDEX(Bases!$Q$2:$Q$53,C771))</f>
        <v>57</v>
      </c>
      <c r="X771" s="2" t="n">
        <f aca="false">Settings!$B$4*MAX(INDEX(Bases!$R$2:$R$53,B771),INDEX(Bases!$R$2:$R$53,C771))+Settings!$B$5*MIN(INDEX(Bases!$R$2:$R$53,B771),INDEX(Bases!$R$2:$R$53,C771))</f>
        <v>75</v>
      </c>
      <c r="Y771" s="2" t="n">
        <f aca="false">S771*Settings!$B$3/SUM(S771:X771)</f>
        <v>58.4817970565453</v>
      </c>
      <c r="Z771" s="2" t="n">
        <f aca="false">T771*Settings!$B$3/SUM(S771:X771)</f>
        <v>110.766847405112</v>
      </c>
      <c r="AA771" s="2" t="n">
        <f aca="false">U771*Settings!$B$3/SUM(S771:X771)</f>
        <v>104.570100697134</v>
      </c>
      <c r="AB771" s="2" t="n">
        <f aca="false">V771*Settings!$B$3/SUM(S771:X771)</f>
        <v>72.8117738187452</v>
      </c>
      <c r="AC771" s="2" t="n">
        <f aca="false">W771*Settings!$B$3/SUM(S771:X771)</f>
        <v>66.2277304415182</v>
      </c>
      <c r="AD771" s="2" t="n">
        <f aca="false">X771*Settings!$B$3/SUM(S771:X771)</f>
        <v>87.141750580945</v>
      </c>
      <c r="AE771" s="2" t="n">
        <f aca="false">INT(Y771)</f>
        <v>58</v>
      </c>
      <c r="AF771" s="2" t="n">
        <f aca="false">INT(Z771)</f>
        <v>110</v>
      </c>
      <c r="AG771" s="2" t="n">
        <f aca="false">INT(AA771)</f>
        <v>104</v>
      </c>
      <c r="AH771" s="2" t="n">
        <f aca="false">INT(AB771)</f>
        <v>72</v>
      </c>
      <c r="AI771" s="2" t="n">
        <f aca="false">INT(AC771)</f>
        <v>66</v>
      </c>
      <c r="AJ771" s="2" t="n">
        <f aca="false">INT(AD771)</f>
        <v>87</v>
      </c>
      <c r="AK771" s="2" t="n">
        <f aca="false">Settings!$B$3-SUM(AE771:AJ771)</f>
        <v>3</v>
      </c>
      <c r="AL771" s="2" t="n">
        <f aca="false">ROUND(Y771-AE771,9)</f>
        <v>0.481797057</v>
      </c>
      <c r="AM771" s="2" t="n">
        <f aca="false">ROUND(Z771-AF771,9)</f>
        <v>0.766847405</v>
      </c>
      <c r="AN771" s="2" t="n">
        <f aca="false">ROUND(AA771-AG771,9)</f>
        <v>0.570100697</v>
      </c>
      <c r="AO771" s="2" t="n">
        <f aca="false">ROUND(AB771-AH771,9)</f>
        <v>0.811773819</v>
      </c>
      <c r="AP771" s="2" t="n">
        <f aca="false">ROUND(AC771-AI771,9)</f>
        <v>0.227730442</v>
      </c>
      <c r="AQ771" s="2" t="n">
        <f aca="false">ROUND(AD771-AJ771,9)</f>
        <v>0.141750581</v>
      </c>
    </row>
    <row r="772" customFormat="false" ht="15" hidden="false" customHeight="false" outlineLevel="0" collapsed="false">
      <c r="A772" s="2" t="n">
        <v>771</v>
      </c>
      <c r="B772" s="6" t="n">
        <v>19</v>
      </c>
      <c r="C772" s="6" t="n">
        <v>25</v>
      </c>
      <c r="D772" s="8" t="str">
        <f aca="false">INDEX(Bases!$B$2:$B$53,B772)</f>
        <v>Mankey</v>
      </c>
      <c r="E772" s="8" t="str">
        <f aca="false">INDEX(Bases!$B$2:$B$53,C772)</f>
        <v>Sandshrew</v>
      </c>
      <c r="F772" s="2" t="str">
        <f aca="false">LEFT(D772,ROUNDUP(LEN(D772)/2,0))&amp;LOWER(MID(E772,ROUNDUP(LEN(E772)/2,0)+1,20))</f>
        <v>Manhrew</v>
      </c>
      <c r="G772" s="8" t="str">
        <f aca="false">INDEX(Bases!$C$2:$C$53,B772)</f>
        <v>Fighting</v>
      </c>
      <c r="H772" s="8" t="str">
        <f aca="false">IF(INDEX(Bases!$C$2:$C$53,C772)=G772,"",INDEX(Bases!$C$2:$C$53,C772))</f>
        <v>Ground</v>
      </c>
      <c r="I772" s="8" t="str">
        <f aca="false">IF(INDEX(Bases!$E$2:$E$53,B772)="","",INDEX(Bases!$E$2:$E$53,B772))</f>
        <v/>
      </c>
      <c r="J772" s="8" t="str">
        <f aca="false">IF(INDEX(Bases!$E$2:$E$53,C772)="","",INDEX(Bases!$E$2:$E$53,C772))</f>
        <v/>
      </c>
      <c r="K772" s="5"/>
      <c r="L772" s="2" t="n">
        <f aca="false">AE772+IF(SUMPRODUCT(--($AL772:$AQ772&gt;AL772))&lt;$AK772,1,0)</f>
        <v>73</v>
      </c>
      <c r="M772" s="2" t="n">
        <f aca="false">AF772+IF(SUMPRODUCT(--($AL772:$AQ772&gt;AM772))+SUMPRODUCT(--($AL772:AL772=AM772))&lt;$AK772,1,0)</f>
        <v>121</v>
      </c>
      <c r="N772" s="2" t="n">
        <f aca="false">AG772+IF(SUMPRODUCT(--($AL772:$AQ772&gt;AN772))+SUMPRODUCT(--($AL772:AM772=AN772))&lt;$AK772,1,0)</f>
        <v>106</v>
      </c>
      <c r="O772" s="2" t="n">
        <f aca="false">AH772+IF(SUMPRODUCT(--($AL772:$AQ772&gt;AO772))+SUMPRODUCT(--($AL772:AN772=AO772))&lt;$AK772,1,0)</f>
        <v>46</v>
      </c>
      <c r="P772" s="2" t="n">
        <f aca="false">AI772+IF(SUMPRODUCT(--($AL772:$AQ772&gt;AP772))+SUMPRODUCT(--($AL772:AO772=AP772))&lt;$AK772,1,0)</f>
        <v>62</v>
      </c>
      <c r="Q772" s="2" t="n">
        <f aca="false">AJ772+IF(SUMPRODUCT(--($AL772:$AQ772&gt;AQ772))+SUMPRODUCT(--($AL772:AP772=AQ772))&lt;$AK772,1,0)</f>
        <v>92</v>
      </c>
      <c r="R772" s="2" t="n">
        <f aca="false">SUM(L772:Q772)</f>
        <v>500</v>
      </c>
      <c r="S772" s="2" t="n">
        <f aca="false">Settings!$B$4*MAX(INDEX(Bases!$M$2:$M$53,B772),INDEX(Bases!$M$2:$M$53,C772))+Settings!$B$5*MIN(INDEX(Bases!$M$2:$M$53,B772),INDEX(Bases!$M$2:$M$53,C772))</f>
        <v>62</v>
      </c>
      <c r="T772" s="2" t="n">
        <f aca="false">Settings!$B$4*MAX(INDEX(Bases!$N$2:$N$53,B772),INDEX(Bases!$N$2:$N$53,C772))+Settings!$B$5*MIN(INDEX(Bases!$N$2:$N$53,B772),INDEX(Bases!$N$2:$N$53,C772))</f>
        <v>103.333333333333</v>
      </c>
      <c r="U772" s="2" t="n">
        <f aca="false">Settings!$B$4*MAX(INDEX(Bases!$O$2:$O$53,B772),INDEX(Bases!$O$2:$O$53,C772))+Settings!$B$5*MIN(INDEX(Bases!$O$2:$O$53,B772),INDEX(Bases!$O$2:$O$53,C772))</f>
        <v>90.6666666666667</v>
      </c>
      <c r="V772" s="2" t="n">
        <f aca="false">Settings!$B$4*MAX(INDEX(Bases!$P$2:$P$53,B772),INDEX(Bases!$P$2:$P$53,C772))+Settings!$B$5*MIN(INDEX(Bases!$P$2:$P$53,B772),INDEX(Bases!$P$2:$P$53,C772))</f>
        <v>39.6666666666667</v>
      </c>
      <c r="W772" s="2" t="n">
        <f aca="false">Settings!$B$4*MAX(INDEX(Bases!$Q$2:$Q$53,B772),INDEX(Bases!$Q$2:$Q$53,C772))+Settings!$B$5*MIN(INDEX(Bases!$Q$2:$Q$53,B772),INDEX(Bases!$Q$2:$Q$53,C772))</f>
        <v>52.6666666666667</v>
      </c>
      <c r="X772" s="2" t="n">
        <f aca="false">Settings!$B$4*MAX(INDEX(Bases!$R$2:$R$53,B772),INDEX(Bases!$R$2:$R$53,C772))+Settings!$B$5*MIN(INDEX(Bases!$R$2:$R$53,B772),INDEX(Bases!$R$2:$R$53,C772))</f>
        <v>79</v>
      </c>
      <c r="Y772" s="2" t="n">
        <f aca="false">S772*Settings!$B$3/SUM(S772:X772)</f>
        <v>72.5429017160686</v>
      </c>
      <c r="Z772" s="2" t="n">
        <f aca="false">T772*Settings!$B$3/SUM(S772:X772)</f>
        <v>120.904836193448</v>
      </c>
      <c r="AA772" s="2" t="n">
        <f aca="false">U772*Settings!$B$3/SUM(S772:X772)</f>
        <v>106.084243369735</v>
      </c>
      <c r="AB772" s="2" t="n">
        <f aca="false">V772*Settings!$B$3/SUM(S772:X772)</f>
        <v>46.411856474259</v>
      </c>
      <c r="AC772" s="2" t="n">
        <f aca="false">W772*Settings!$B$3/SUM(S772:X772)</f>
        <v>61.6224648985959</v>
      </c>
      <c r="AD772" s="2" t="n">
        <f aca="false">X772*Settings!$B$3/SUM(S772:X772)</f>
        <v>92.4336973478939</v>
      </c>
      <c r="AE772" s="2" t="n">
        <f aca="false">INT(Y772)</f>
        <v>72</v>
      </c>
      <c r="AF772" s="2" t="n">
        <f aca="false">INT(Z772)</f>
        <v>120</v>
      </c>
      <c r="AG772" s="2" t="n">
        <f aca="false">INT(AA772)</f>
        <v>106</v>
      </c>
      <c r="AH772" s="2" t="n">
        <f aca="false">INT(AB772)</f>
        <v>46</v>
      </c>
      <c r="AI772" s="2" t="n">
        <f aca="false">INT(AC772)</f>
        <v>61</v>
      </c>
      <c r="AJ772" s="2" t="n">
        <f aca="false">INT(AD772)</f>
        <v>92</v>
      </c>
      <c r="AK772" s="2" t="n">
        <f aca="false">Settings!$B$3-SUM(AE772:AJ772)</f>
        <v>3</v>
      </c>
      <c r="AL772" s="2" t="n">
        <f aca="false">ROUND(Y772-AE772,9)</f>
        <v>0.542901716</v>
      </c>
      <c r="AM772" s="2" t="n">
        <f aca="false">ROUND(Z772-AF772,9)</f>
        <v>0.904836193</v>
      </c>
      <c r="AN772" s="2" t="n">
        <f aca="false">ROUND(AA772-AG772,9)</f>
        <v>0.08424337</v>
      </c>
      <c r="AO772" s="2" t="n">
        <f aca="false">ROUND(AB772-AH772,9)</f>
        <v>0.411856474</v>
      </c>
      <c r="AP772" s="2" t="n">
        <f aca="false">ROUND(AC772-AI772,9)</f>
        <v>0.622464899</v>
      </c>
      <c r="AQ772" s="2" t="n">
        <f aca="false">ROUND(AD772-AJ772,9)</f>
        <v>0.433697348</v>
      </c>
    </row>
    <row r="773" customFormat="false" ht="15" hidden="false" customHeight="false" outlineLevel="0" collapsed="false">
      <c r="A773" s="2" t="n">
        <v>772</v>
      </c>
      <c r="B773" s="6" t="n">
        <v>19</v>
      </c>
      <c r="C773" s="6" t="n">
        <v>26</v>
      </c>
      <c r="D773" s="8" t="str">
        <f aca="false">INDEX(Bases!$B$2:$B$53,B773)</f>
        <v>Mankey</v>
      </c>
      <c r="E773" s="8" t="str">
        <f aca="false">INDEX(Bases!$B$2:$B$53,C773)</f>
        <v>Phanpy</v>
      </c>
      <c r="F773" s="2" t="str">
        <f aca="false">LEFT(D773,ROUNDUP(LEN(D773)/2,0))&amp;LOWER(MID(E773,ROUNDUP(LEN(E773)/2,0)+1,20))</f>
        <v>Mannpy</v>
      </c>
      <c r="G773" s="8" t="str">
        <f aca="false">INDEX(Bases!$C$2:$C$53,B773)</f>
        <v>Fighting</v>
      </c>
      <c r="H773" s="8" t="str">
        <f aca="false">IF(INDEX(Bases!$C$2:$C$53,C773)=G773,"",INDEX(Bases!$C$2:$C$53,C773))</f>
        <v>Ground</v>
      </c>
      <c r="I773" s="8" t="str">
        <f aca="false">IF(INDEX(Bases!$E$2:$E$53,B773)="","",INDEX(Bases!$E$2:$E$53,B773))</f>
        <v/>
      </c>
      <c r="J773" s="8" t="str">
        <f aca="false">IF(INDEX(Bases!$E$2:$E$53,C773)="","",INDEX(Bases!$E$2:$E$53,C773))</f>
        <v/>
      </c>
      <c r="K773" s="5"/>
      <c r="L773" s="2" t="n">
        <f aca="false">AE773+IF(SUMPRODUCT(--($AL773:$AQ773&gt;AL773))&lt;$AK773,1,0)</f>
        <v>105</v>
      </c>
      <c r="M773" s="2" t="n">
        <f aca="false">AF773+IF(SUMPRODUCT(--($AL773:$AQ773&gt;AM773))+SUMPRODUCT(--($AL773:AL773=AM773))&lt;$AK773,1,0)</f>
        <v>110</v>
      </c>
      <c r="N773" s="2" t="n">
        <f aca="false">AG773+IF(SUMPRODUCT(--($AL773:$AQ773&gt;AN773))+SUMPRODUCT(--($AL773:AM773=AN773))&lt;$AK773,1,0)</f>
        <v>75</v>
      </c>
      <c r="O773" s="2" t="n">
        <f aca="false">AH773+IF(SUMPRODUCT(--($AL773:$AQ773&gt;AO773))+SUMPRODUCT(--($AL773:AN773=AO773))&lt;$AK773,1,0)</f>
        <v>56</v>
      </c>
      <c r="P773" s="2" t="n">
        <f aca="false">AI773+IF(SUMPRODUCT(--($AL773:$AQ773&gt;AP773))+SUMPRODUCT(--($AL773:AO773=AP773))&lt;$AK773,1,0)</f>
        <v>64</v>
      </c>
      <c r="Q773" s="2" t="n">
        <f aca="false">AJ773+IF(SUMPRODUCT(--($AL773:$AQ773&gt;AQ773))+SUMPRODUCT(--($AL773:AP773=AQ773))&lt;$AK773,1,0)</f>
        <v>90</v>
      </c>
      <c r="R773" s="2" t="n">
        <f aca="false">SUM(L773:Q773)</f>
        <v>500</v>
      </c>
      <c r="S773" s="2" t="n">
        <f aca="false">Settings!$B$4*MAX(INDEX(Bases!$M$2:$M$53,B773),INDEX(Bases!$M$2:$M$53,C773))+Settings!$B$5*MIN(INDEX(Bases!$M$2:$M$53,B773),INDEX(Bases!$M$2:$M$53,C773))</f>
        <v>90</v>
      </c>
      <c r="T773" s="2" t="n">
        <f aca="false">Settings!$B$4*MAX(INDEX(Bases!$N$2:$N$53,B773),INDEX(Bases!$N$2:$N$53,C773))+Settings!$B$5*MIN(INDEX(Bases!$N$2:$N$53,B773),INDEX(Bases!$N$2:$N$53,C773))</f>
        <v>94.3333333333333</v>
      </c>
      <c r="U773" s="2" t="n">
        <f aca="false">Settings!$B$4*MAX(INDEX(Bases!$O$2:$O$53,B773),INDEX(Bases!$O$2:$O$53,C773))+Settings!$B$5*MIN(INDEX(Bases!$O$2:$O$53,B773),INDEX(Bases!$O$2:$O$53,C773))</f>
        <v>64</v>
      </c>
      <c r="V773" s="2" t="n">
        <f aca="false">Settings!$B$4*MAX(INDEX(Bases!$P$2:$P$53,B773),INDEX(Bases!$P$2:$P$53,C773))+Settings!$B$5*MIN(INDEX(Bases!$P$2:$P$53,B773),INDEX(Bases!$P$2:$P$53,C773))</f>
        <v>48</v>
      </c>
      <c r="W773" s="2" t="n">
        <f aca="false">Settings!$B$4*MAX(INDEX(Bases!$Q$2:$Q$53,B773),INDEX(Bases!$Q$2:$Q$53,C773))+Settings!$B$5*MIN(INDEX(Bases!$Q$2:$Q$53,B773),INDEX(Bases!$Q$2:$Q$53,C773))</f>
        <v>55.3333333333333</v>
      </c>
      <c r="X773" s="2" t="n">
        <f aca="false">Settings!$B$4*MAX(INDEX(Bases!$R$2:$R$53,B773),INDEX(Bases!$R$2:$R$53,C773))+Settings!$B$5*MIN(INDEX(Bases!$R$2:$R$53,B773),INDEX(Bases!$R$2:$R$53,C773))</f>
        <v>77.3333333333333</v>
      </c>
      <c r="Y773" s="2" t="n">
        <f aca="false">S773*Settings!$B$3/SUM(S773:X773)</f>
        <v>104.895104895105</v>
      </c>
      <c r="Z773" s="2" t="n">
        <f aca="false">T773*Settings!$B$3/SUM(S773:X773)</f>
        <v>109.94560994561</v>
      </c>
      <c r="AA773" s="2" t="n">
        <f aca="false">U773*Settings!$B$3/SUM(S773:X773)</f>
        <v>74.5920745920746</v>
      </c>
      <c r="AB773" s="2" t="n">
        <f aca="false">V773*Settings!$B$3/SUM(S773:X773)</f>
        <v>55.944055944056</v>
      </c>
      <c r="AC773" s="2" t="n">
        <f aca="false">W773*Settings!$B$3/SUM(S773:X773)</f>
        <v>64.4910644910645</v>
      </c>
      <c r="AD773" s="2" t="n">
        <f aca="false">X773*Settings!$B$3/SUM(S773:X773)</f>
        <v>90.1320901320901</v>
      </c>
      <c r="AE773" s="2" t="n">
        <f aca="false">INT(Y773)</f>
        <v>104</v>
      </c>
      <c r="AF773" s="2" t="n">
        <f aca="false">INT(Z773)</f>
        <v>109</v>
      </c>
      <c r="AG773" s="2" t="n">
        <f aca="false">INT(AA773)</f>
        <v>74</v>
      </c>
      <c r="AH773" s="2" t="n">
        <f aca="false">INT(AB773)</f>
        <v>55</v>
      </c>
      <c r="AI773" s="2" t="n">
        <f aca="false">INT(AC773)</f>
        <v>64</v>
      </c>
      <c r="AJ773" s="2" t="n">
        <f aca="false">INT(AD773)</f>
        <v>90</v>
      </c>
      <c r="AK773" s="2" t="n">
        <f aca="false">Settings!$B$3-SUM(AE773:AJ773)</f>
        <v>4</v>
      </c>
      <c r="AL773" s="2" t="n">
        <f aca="false">ROUND(Y773-AE773,9)</f>
        <v>0.895104895</v>
      </c>
      <c r="AM773" s="2" t="n">
        <f aca="false">ROUND(Z773-AF773,9)</f>
        <v>0.945609946</v>
      </c>
      <c r="AN773" s="2" t="n">
        <f aca="false">ROUND(AA773-AG773,9)</f>
        <v>0.592074592</v>
      </c>
      <c r="AO773" s="2" t="n">
        <f aca="false">ROUND(AB773-AH773,9)</f>
        <v>0.944055944</v>
      </c>
      <c r="AP773" s="2" t="n">
        <f aca="false">ROUND(AC773-AI773,9)</f>
        <v>0.491064491</v>
      </c>
      <c r="AQ773" s="2" t="n">
        <f aca="false">ROUND(AD773-AJ773,9)</f>
        <v>0.132090132</v>
      </c>
    </row>
    <row r="774" customFormat="false" ht="15" hidden="false" customHeight="false" outlineLevel="0" collapsed="false">
      <c r="A774" s="2" t="n">
        <v>773</v>
      </c>
      <c r="B774" s="6" t="n">
        <v>19</v>
      </c>
      <c r="C774" s="6" t="n">
        <v>27</v>
      </c>
      <c r="D774" s="8" t="str">
        <f aca="false">INDEX(Bases!$B$2:$B$53,B774)</f>
        <v>Mankey</v>
      </c>
      <c r="E774" s="8" t="str">
        <f aca="false">INDEX(Bases!$B$2:$B$53,C774)</f>
        <v>Baltoy</v>
      </c>
      <c r="F774" s="2" t="str">
        <f aca="false">LEFT(D774,ROUNDUP(LEN(D774)/2,0))&amp;LOWER(MID(E774,ROUNDUP(LEN(E774)/2,0)+1,20))</f>
        <v>Mantoy</v>
      </c>
      <c r="G774" s="8" t="str">
        <f aca="false">INDEX(Bases!$C$2:$C$53,B774)</f>
        <v>Fighting</v>
      </c>
      <c r="H774" s="8" t="str">
        <f aca="false">IF(INDEX(Bases!$C$2:$C$53,C774)=G774,"",INDEX(Bases!$C$2:$C$53,C774))</f>
        <v>Ground</v>
      </c>
      <c r="I774" s="8" t="str">
        <f aca="false">IF(INDEX(Bases!$E$2:$E$53,B774)="","",INDEX(Bases!$E$2:$E$53,B774))</f>
        <v/>
      </c>
      <c r="J774" s="8" t="str">
        <f aca="false">IF(INDEX(Bases!$E$2:$E$53,C774)="","",INDEX(Bases!$E$2:$E$53,C774))</f>
        <v/>
      </c>
      <c r="K774" s="5"/>
      <c r="L774" s="2" t="n">
        <f aca="false">AE774+IF(SUMPRODUCT(--($AL774:$AQ774&gt;AL774))&lt;$AK774,1,0)</f>
        <v>63</v>
      </c>
      <c r="M774" s="2" t="n">
        <f aca="false">AF774+IF(SUMPRODUCT(--($AL774:$AQ774&gt;AM774))+SUMPRODUCT(--($AL774:AL774=AM774))&lt;$AK774,1,0)</f>
        <v>104</v>
      </c>
      <c r="N774" s="2" t="n">
        <f aca="false">AG774+IF(SUMPRODUCT(--($AL774:$AQ774&gt;AN774))+SUMPRODUCT(--($AL774:AM774=AN774))&lt;$AK774,1,0)</f>
        <v>76</v>
      </c>
      <c r="O774" s="2" t="n">
        <f aca="false">AH774+IF(SUMPRODUCT(--($AL774:$AQ774&gt;AO774))+SUMPRODUCT(--($AL774:AN774=AO774))&lt;$AK774,1,0)</f>
        <v>60</v>
      </c>
      <c r="P774" s="2" t="n">
        <f aca="false">AI774+IF(SUMPRODUCT(--($AL774:$AQ774&gt;AP774))+SUMPRODUCT(--($AL774:AO774=AP774))&lt;$AK774,1,0)</f>
        <v>96</v>
      </c>
      <c r="Q774" s="2" t="n">
        <f aca="false">AJ774+IF(SUMPRODUCT(--($AL774:$AQ774&gt;AQ774))+SUMPRODUCT(--($AL774:AP774=AQ774))&lt;$AK774,1,0)</f>
        <v>101</v>
      </c>
      <c r="R774" s="2" t="n">
        <f aca="false">SUM(L774:Q774)</f>
        <v>500</v>
      </c>
      <c r="S774" s="2" t="n">
        <f aca="false">Settings!$B$4*MAX(INDEX(Bases!$M$2:$M$53,B774),INDEX(Bases!$M$2:$M$53,C774))+Settings!$B$5*MIN(INDEX(Bases!$M$2:$M$53,B774),INDEX(Bases!$M$2:$M$53,C774))</f>
        <v>53.3333333333333</v>
      </c>
      <c r="T774" s="2" t="n">
        <f aca="false">Settings!$B$4*MAX(INDEX(Bases!$N$2:$N$53,B774),INDEX(Bases!$N$2:$N$53,C774))+Settings!$B$5*MIN(INDEX(Bases!$N$2:$N$53,B774),INDEX(Bases!$N$2:$N$53,C774))</f>
        <v>88</v>
      </c>
      <c r="U774" s="2" t="n">
        <f aca="false">Settings!$B$4*MAX(INDEX(Bases!$O$2:$O$53,B774),INDEX(Bases!$O$2:$O$53,C774))+Settings!$B$5*MIN(INDEX(Bases!$O$2:$O$53,B774),INDEX(Bases!$O$2:$O$53,C774))</f>
        <v>64</v>
      </c>
      <c r="V774" s="2" t="n">
        <f aca="false">Settings!$B$4*MAX(INDEX(Bases!$P$2:$P$53,B774),INDEX(Bases!$P$2:$P$53,C774))+Settings!$B$5*MIN(INDEX(Bases!$P$2:$P$53,B774),INDEX(Bases!$P$2:$P$53,C774))</f>
        <v>50.6666666666667</v>
      </c>
      <c r="W774" s="2" t="n">
        <f aca="false">Settings!$B$4*MAX(INDEX(Bases!$Q$2:$Q$53,B774),INDEX(Bases!$Q$2:$Q$53,C774))+Settings!$B$5*MIN(INDEX(Bases!$Q$2:$Q$53,B774),INDEX(Bases!$Q$2:$Q$53,C774))</f>
        <v>81.6666666666667</v>
      </c>
      <c r="X774" s="2" t="n">
        <f aca="false">Settings!$B$4*MAX(INDEX(Bases!$R$2:$R$53,B774),INDEX(Bases!$R$2:$R$53,C774))+Settings!$B$5*MIN(INDEX(Bases!$R$2:$R$53,B774),INDEX(Bases!$R$2:$R$53,C774))</f>
        <v>85.6666666666667</v>
      </c>
      <c r="Y774" s="2" t="n">
        <f aca="false">S774*Settings!$B$3/SUM(S774:X774)</f>
        <v>62.992125984252</v>
      </c>
      <c r="Z774" s="2" t="n">
        <f aca="false">T774*Settings!$B$3/SUM(S774:X774)</f>
        <v>103.937007874016</v>
      </c>
      <c r="AA774" s="2" t="n">
        <f aca="false">U774*Settings!$B$3/SUM(S774:X774)</f>
        <v>75.5905511811024</v>
      </c>
      <c r="AB774" s="2" t="n">
        <f aca="false">V774*Settings!$B$3/SUM(S774:X774)</f>
        <v>59.8425196850394</v>
      </c>
      <c r="AC774" s="2" t="n">
        <f aca="false">W774*Settings!$B$3/SUM(S774:X774)</f>
        <v>96.4566929133858</v>
      </c>
      <c r="AD774" s="2" t="n">
        <f aca="false">X774*Settings!$B$3/SUM(S774:X774)</f>
        <v>101.181102362205</v>
      </c>
      <c r="AE774" s="2" t="n">
        <f aca="false">INT(Y774)</f>
        <v>62</v>
      </c>
      <c r="AF774" s="2" t="n">
        <f aca="false">INT(Z774)</f>
        <v>103</v>
      </c>
      <c r="AG774" s="2" t="n">
        <f aca="false">INT(AA774)</f>
        <v>75</v>
      </c>
      <c r="AH774" s="2" t="n">
        <f aca="false">INT(AB774)</f>
        <v>59</v>
      </c>
      <c r="AI774" s="2" t="n">
        <f aca="false">INT(AC774)</f>
        <v>96</v>
      </c>
      <c r="AJ774" s="2" t="n">
        <f aca="false">INT(AD774)</f>
        <v>101</v>
      </c>
      <c r="AK774" s="2" t="n">
        <f aca="false">Settings!$B$3-SUM(AE774:AJ774)</f>
        <v>4</v>
      </c>
      <c r="AL774" s="2" t="n">
        <f aca="false">ROUND(Y774-AE774,9)</f>
        <v>0.992125984</v>
      </c>
      <c r="AM774" s="2" t="n">
        <f aca="false">ROUND(Z774-AF774,9)</f>
        <v>0.937007874</v>
      </c>
      <c r="AN774" s="2" t="n">
        <f aca="false">ROUND(AA774-AG774,9)</f>
        <v>0.590551181</v>
      </c>
      <c r="AO774" s="2" t="n">
        <f aca="false">ROUND(AB774-AH774,9)</f>
        <v>0.842519685</v>
      </c>
      <c r="AP774" s="2" t="n">
        <f aca="false">ROUND(AC774-AI774,9)</f>
        <v>0.456692913</v>
      </c>
      <c r="AQ774" s="2" t="n">
        <f aca="false">ROUND(AD774-AJ774,9)</f>
        <v>0.181102362</v>
      </c>
    </row>
    <row r="775" customFormat="false" ht="15" hidden="false" customHeight="false" outlineLevel="0" collapsed="false">
      <c r="A775" s="2" t="n">
        <v>774</v>
      </c>
      <c r="B775" s="6" t="n">
        <v>19</v>
      </c>
      <c r="C775" s="6" t="n">
        <v>28</v>
      </c>
      <c r="D775" s="8" t="str">
        <f aca="false">INDEX(Bases!$B$2:$B$53,B775)</f>
        <v>Mankey</v>
      </c>
      <c r="E775" s="8" t="str">
        <f aca="false">INDEX(Bases!$B$2:$B$53,C775)</f>
        <v>Zubat</v>
      </c>
      <c r="F775" s="2" t="str">
        <f aca="false">LEFT(D775,ROUNDUP(LEN(D775)/2,0))&amp;LOWER(MID(E775,ROUNDUP(LEN(E775)/2,0)+1,20))</f>
        <v>Manat</v>
      </c>
      <c r="G775" s="8" t="str">
        <f aca="false">INDEX(Bases!$C$2:$C$53,B775)</f>
        <v>Fighting</v>
      </c>
      <c r="H775" s="8" t="str">
        <f aca="false">IF(INDEX(Bases!$C$2:$C$53,C775)=G775,"",INDEX(Bases!$C$2:$C$53,C775))</f>
        <v>Flying</v>
      </c>
      <c r="I775" s="8" t="str">
        <f aca="false">IF(INDEX(Bases!$E$2:$E$53,B775)="","",INDEX(Bases!$E$2:$E$53,B775))</f>
        <v/>
      </c>
      <c r="J775" s="8" t="str">
        <f aca="false">IF(INDEX(Bases!$E$2:$E$53,C775)="","",INDEX(Bases!$E$2:$E$53,C775))</f>
        <v/>
      </c>
      <c r="K775" s="5"/>
      <c r="L775" s="2" t="n">
        <f aca="false">AE775+IF(SUMPRODUCT(--($AL775:$AQ775&gt;AL775))&lt;$AK775,1,0)</f>
        <v>74</v>
      </c>
      <c r="M775" s="2" t="n">
        <f aca="false">AF775+IF(SUMPRODUCT(--($AL775:$AQ775&gt;AM775))+SUMPRODUCT(--($AL775:AL775=AM775))&lt;$AK775,1,0)</f>
        <v>115</v>
      </c>
      <c r="N775" s="2" t="n">
        <f aca="false">AG775+IF(SUMPRODUCT(--($AL775:$AQ775&gt;AN775))+SUMPRODUCT(--($AL775:AM775=AN775))&lt;$AK775,1,0)</f>
        <v>65</v>
      </c>
      <c r="O775" s="2" t="n">
        <f aca="false">AH775+IF(SUMPRODUCT(--($AL775:$AQ775&gt;AO775))+SUMPRODUCT(--($AL775:AN775=AO775))&lt;$AK775,1,0)</f>
        <v>58</v>
      </c>
      <c r="P775" s="2" t="n">
        <f aca="false">AI775+IF(SUMPRODUCT(--($AL775:$AQ775&gt;AP775))+SUMPRODUCT(--($AL775:AO775=AP775))&lt;$AK775,1,0)</f>
        <v>77</v>
      </c>
      <c r="Q775" s="2" t="n">
        <f aca="false">AJ775+IF(SUMPRODUCT(--($AL775:$AQ775&gt;AQ775))+SUMPRODUCT(--($AL775:AP775=AQ775))&lt;$AK775,1,0)</f>
        <v>111</v>
      </c>
      <c r="R775" s="2" t="n">
        <f aca="false">SUM(L775:Q775)</f>
        <v>500</v>
      </c>
      <c r="S775" s="2" t="n">
        <f aca="false">Settings!$B$4*MAX(INDEX(Bases!$M$2:$M$53,B775),INDEX(Bases!$M$2:$M$53,C775))+Settings!$B$5*MIN(INDEX(Bases!$M$2:$M$53,B775),INDEX(Bases!$M$2:$M$53,C775))</f>
        <v>60.6666666666667</v>
      </c>
      <c r="T775" s="2" t="n">
        <f aca="false">Settings!$B$4*MAX(INDEX(Bases!$N$2:$N$53,B775),INDEX(Bases!$N$2:$N$53,C775))+Settings!$B$5*MIN(INDEX(Bases!$N$2:$N$53,B775),INDEX(Bases!$N$2:$N$53,C775))</f>
        <v>94.6666666666667</v>
      </c>
      <c r="U775" s="2" t="n">
        <f aca="false">Settings!$B$4*MAX(INDEX(Bases!$O$2:$O$53,B775),INDEX(Bases!$O$2:$O$53,C775))+Settings!$B$5*MIN(INDEX(Bases!$O$2:$O$53,B775),INDEX(Bases!$O$2:$O$53,C775))</f>
        <v>53.3333333333333</v>
      </c>
      <c r="V775" s="2" t="n">
        <f aca="false">Settings!$B$4*MAX(INDEX(Bases!$P$2:$P$53,B775),INDEX(Bases!$P$2:$P$53,C775))+Settings!$B$5*MIN(INDEX(Bases!$P$2:$P$53,B775),INDEX(Bases!$P$2:$P$53,C775))</f>
        <v>48</v>
      </c>
      <c r="W775" s="2" t="n">
        <f aca="false">Settings!$B$4*MAX(INDEX(Bases!$Q$2:$Q$53,B775),INDEX(Bases!$Q$2:$Q$53,C775))+Settings!$B$5*MIN(INDEX(Bases!$Q$2:$Q$53,B775),INDEX(Bases!$Q$2:$Q$53,C775))</f>
        <v>63</v>
      </c>
      <c r="X775" s="2" t="n">
        <f aca="false">Settings!$B$4*MAX(INDEX(Bases!$R$2:$R$53,B775),INDEX(Bases!$R$2:$R$53,C775))+Settings!$B$5*MIN(INDEX(Bases!$R$2:$R$53,B775),INDEX(Bases!$R$2:$R$53,C775))</f>
        <v>91.3333333333333</v>
      </c>
      <c r="Y775" s="2" t="n">
        <f aca="false">S775*Settings!$B$3/SUM(S775:X775)</f>
        <v>73.8037307380373</v>
      </c>
      <c r="Z775" s="2" t="n">
        <f aca="false">T775*Settings!$B$3/SUM(S775:X775)</f>
        <v>115.166261151663</v>
      </c>
      <c r="AA775" s="2" t="n">
        <f aca="false">U775*Settings!$B$3/SUM(S775:X775)</f>
        <v>64.882400648824</v>
      </c>
      <c r="AB775" s="2" t="n">
        <f aca="false">V775*Settings!$B$3/SUM(S775:X775)</f>
        <v>58.3941605839416</v>
      </c>
      <c r="AC775" s="2" t="n">
        <f aca="false">W775*Settings!$B$3/SUM(S775:X775)</f>
        <v>76.6423357664234</v>
      </c>
      <c r="AD775" s="2" t="n">
        <f aca="false">X775*Settings!$B$3/SUM(S775:X775)</f>
        <v>111.111111111111</v>
      </c>
      <c r="AE775" s="2" t="n">
        <f aca="false">INT(Y775)</f>
        <v>73</v>
      </c>
      <c r="AF775" s="2" t="n">
        <f aca="false">INT(Z775)</f>
        <v>115</v>
      </c>
      <c r="AG775" s="2" t="n">
        <f aca="false">INT(AA775)</f>
        <v>64</v>
      </c>
      <c r="AH775" s="2" t="n">
        <f aca="false">INT(AB775)</f>
        <v>58</v>
      </c>
      <c r="AI775" s="2" t="n">
        <f aca="false">INT(AC775)</f>
        <v>76</v>
      </c>
      <c r="AJ775" s="2" t="n">
        <f aca="false">INT(AD775)</f>
        <v>111</v>
      </c>
      <c r="AK775" s="2" t="n">
        <f aca="false">Settings!$B$3-SUM(AE775:AJ775)</f>
        <v>3</v>
      </c>
      <c r="AL775" s="2" t="n">
        <f aca="false">ROUND(Y775-AE775,9)</f>
        <v>0.803730738</v>
      </c>
      <c r="AM775" s="2" t="n">
        <f aca="false">ROUND(Z775-AF775,9)</f>
        <v>0.166261152</v>
      </c>
      <c r="AN775" s="2" t="n">
        <f aca="false">ROUND(AA775-AG775,9)</f>
        <v>0.882400649</v>
      </c>
      <c r="AO775" s="2" t="n">
        <f aca="false">ROUND(AB775-AH775,9)</f>
        <v>0.394160584</v>
      </c>
      <c r="AP775" s="2" t="n">
        <f aca="false">ROUND(AC775-AI775,9)</f>
        <v>0.642335766</v>
      </c>
      <c r="AQ775" s="2" t="n">
        <f aca="false">ROUND(AD775-AJ775,9)</f>
        <v>0.111111111</v>
      </c>
    </row>
    <row r="776" customFormat="false" ht="15" hidden="false" customHeight="false" outlineLevel="0" collapsed="false">
      <c r="A776" s="2" t="n">
        <v>775</v>
      </c>
      <c r="B776" s="6" t="n">
        <v>19</v>
      </c>
      <c r="C776" s="6" t="n">
        <v>29</v>
      </c>
      <c r="D776" s="8" t="str">
        <f aca="false">INDEX(Bases!$B$2:$B$53,B776)</f>
        <v>Mankey</v>
      </c>
      <c r="E776" s="8" t="str">
        <f aca="false">INDEX(Bases!$B$2:$B$53,C776)</f>
        <v>Murkrow</v>
      </c>
      <c r="F776" s="2" t="str">
        <f aca="false">LEFT(D776,ROUNDUP(LEN(D776)/2,0))&amp;LOWER(MID(E776,ROUNDUP(LEN(E776)/2,0)+1,20))</f>
        <v>Manrow</v>
      </c>
      <c r="G776" s="8" t="str">
        <f aca="false">INDEX(Bases!$C$2:$C$53,B776)</f>
        <v>Fighting</v>
      </c>
      <c r="H776" s="8" t="str">
        <f aca="false">IF(INDEX(Bases!$C$2:$C$53,C776)=G776,"",INDEX(Bases!$C$2:$C$53,C776))</f>
        <v>Flying</v>
      </c>
      <c r="I776" s="8" t="str">
        <f aca="false">IF(INDEX(Bases!$E$2:$E$53,B776)="","",INDEX(Bases!$E$2:$E$53,B776))</f>
        <v/>
      </c>
      <c r="J776" s="8" t="str">
        <f aca="false">IF(INDEX(Bases!$E$2:$E$53,C776)="","",INDEX(Bases!$E$2:$E$53,C776))</f>
        <v/>
      </c>
      <c r="K776" s="5"/>
      <c r="L776" s="2" t="n">
        <f aca="false">AE776+IF(SUMPRODUCT(--($AL776:$AQ776&gt;AL776))&lt;$AK776,1,0)</f>
        <v>68</v>
      </c>
      <c r="M776" s="2" t="n">
        <f aca="false">AF776+IF(SUMPRODUCT(--($AL776:$AQ776&gt;AM776))+SUMPRODUCT(--($AL776:AL776=AM776))&lt;$AK776,1,0)</f>
        <v>118</v>
      </c>
      <c r="N776" s="2" t="n">
        <f aca="false">AG776+IF(SUMPRODUCT(--($AL776:$AQ776&gt;AN776))+SUMPRODUCT(--($AL776:AM776=AN776))&lt;$AK776,1,0)</f>
        <v>54</v>
      </c>
      <c r="O776" s="2" t="n">
        <f aca="false">AH776+IF(SUMPRODUCT(--($AL776:$AQ776&gt;AO776))+SUMPRODUCT(--($AL776:AN776=AO776))&lt;$AK776,1,0)</f>
        <v>86</v>
      </c>
      <c r="P776" s="2" t="n">
        <f aca="false">AI776+IF(SUMPRODUCT(--($AL776:$AQ776&gt;AP776))+SUMPRODUCT(--($AL776:AO776=AP776))&lt;$AK776,1,0)</f>
        <v>64</v>
      </c>
      <c r="Q776" s="2" t="n">
        <f aca="false">AJ776+IF(SUMPRODUCT(--($AL776:$AQ776&gt;AQ776))+SUMPRODUCT(--($AL776:AP776=AQ776))&lt;$AK776,1,0)</f>
        <v>110</v>
      </c>
      <c r="R776" s="2" t="n">
        <f aca="false">SUM(L776:Q776)</f>
        <v>500</v>
      </c>
      <c r="S776" s="2" t="n">
        <f aca="false">Settings!$B$4*MAX(INDEX(Bases!$M$2:$M$53,B776),INDEX(Bases!$M$2:$M$53,C776))+Settings!$B$5*MIN(INDEX(Bases!$M$2:$M$53,B776),INDEX(Bases!$M$2:$M$53,C776))</f>
        <v>56.6666666666667</v>
      </c>
      <c r="T776" s="2" t="n">
        <f aca="false">Settings!$B$4*MAX(INDEX(Bases!$N$2:$N$53,B776),INDEX(Bases!$N$2:$N$53,C776))+Settings!$B$5*MIN(INDEX(Bases!$N$2:$N$53,B776),INDEX(Bases!$N$2:$N$53,C776))</f>
        <v>98</v>
      </c>
      <c r="U776" s="2" t="n">
        <f aca="false">Settings!$B$4*MAX(INDEX(Bases!$O$2:$O$53,B776),INDEX(Bases!$O$2:$O$53,C776))+Settings!$B$5*MIN(INDEX(Bases!$O$2:$O$53,B776),INDEX(Bases!$O$2:$O$53,C776))</f>
        <v>44.6666666666667</v>
      </c>
      <c r="V776" s="2" t="n">
        <f aca="false">Settings!$B$4*MAX(INDEX(Bases!$P$2:$P$53,B776),INDEX(Bases!$P$2:$P$53,C776))+Settings!$B$5*MIN(INDEX(Bases!$P$2:$P$53,B776),INDEX(Bases!$P$2:$P$53,C776))</f>
        <v>71.3333333333333</v>
      </c>
      <c r="W776" s="2" t="n">
        <f aca="false">Settings!$B$4*MAX(INDEX(Bases!$Q$2:$Q$53,B776),INDEX(Bases!$Q$2:$Q$53,C776))+Settings!$B$5*MIN(INDEX(Bases!$Q$2:$Q$53,B776),INDEX(Bases!$Q$2:$Q$53,C776))</f>
        <v>53</v>
      </c>
      <c r="X776" s="2" t="n">
        <f aca="false">Settings!$B$4*MAX(INDEX(Bases!$R$2:$R$53,B776),INDEX(Bases!$R$2:$R$53,C776))+Settings!$B$5*MIN(INDEX(Bases!$R$2:$R$53,B776),INDEX(Bases!$R$2:$R$53,C776))</f>
        <v>91.3333333333333</v>
      </c>
      <c r="Y776" s="2" t="n">
        <f aca="false">S776*Settings!$B$3/SUM(S776:X776)</f>
        <v>68.2730923694779</v>
      </c>
      <c r="Z776" s="2" t="n">
        <f aca="false">T776*Settings!$B$3/SUM(S776:X776)</f>
        <v>118.072289156627</v>
      </c>
      <c r="AA776" s="2" t="n">
        <f aca="false">U776*Settings!$B$3/SUM(S776:X776)</f>
        <v>53.8152610441767</v>
      </c>
      <c r="AB776" s="2" t="n">
        <f aca="false">V776*Settings!$B$3/SUM(S776:X776)</f>
        <v>85.9437751004016</v>
      </c>
      <c r="AC776" s="2" t="n">
        <f aca="false">W776*Settings!$B$3/SUM(S776:X776)</f>
        <v>63.855421686747</v>
      </c>
      <c r="AD776" s="2" t="n">
        <f aca="false">X776*Settings!$B$3/SUM(S776:X776)</f>
        <v>110.04016064257</v>
      </c>
      <c r="AE776" s="2" t="n">
        <f aca="false">INT(Y776)</f>
        <v>68</v>
      </c>
      <c r="AF776" s="2" t="n">
        <f aca="false">INT(Z776)</f>
        <v>118</v>
      </c>
      <c r="AG776" s="2" t="n">
        <f aca="false">INT(AA776)</f>
        <v>53</v>
      </c>
      <c r="AH776" s="2" t="n">
        <f aca="false">INT(AB776)</f>
        <v>85</v>
      </c>
      <c r="AI776" s="2" t="n">
        <f aca="false">INT(AC776)</f>
        <v>63</v>
      </c>
      <c r="AJ776" s="2" t="n">
        <f aca="false">INT(AD776)</f>
        <v>110</v>
      </c>
      <c r="AK776" s="2" t="n">
        <f aca="false">Settings!$B$3-SUM(AE776:AJ776)</f>
        <v>3</v>
      </c>
      <c r="AL776" s="2" t="n">
        <f aca="false">ROUND(Y776-AE776,9)</f>
        <v>0.273092369</v>
      </c>
      <c r="AM776" s="2" t="n">
        <f aca="false">ROUND(Z776-AF776,9)</f>
        <v>0.072289157</v>
      </c>
      <c r="AN776" s="2" t="n">
        <f aca="false">ROUND(AA776-AG776,9)</f>
        <v>0.815261044</v>
      </c>
      <c r="AO776" s="2" t="n">
        <f aca="false">ROUND(AB776-AH776,9)</f>
        <v>0.9437751</v>
      </c>
      <c r="AP776" s="2" t="n">
        <f aca="false">ROUND(AC776-AI776,9)</f>
        <v>0.855421687</v>
      </c>
      <c r="AQ776" s="2" t="n">
        <f aca="false">ROUND(AD776-AJ776,9)</f>
        <v>0.040160643</v>
      </c>
    </row>
    <row r="777" customFormat="false" ht="15" hidden="false" customHeight="false" outlineLevel="0" collapsed="false">
      <c r="A777" s="2" t="n">
        <v>776</v>
      </c>
      <c r="B777" s="6" t="n">
        <v>19</v>
      </c>
      <c r="C777" s="6" t="n">
        <v>30</v>
      </c>
      <c r="D777" s="8" t="str">
        <f aca="false">INDEX(Bases!$B$2:$B$53,B777)</f>
        <v>Mankey</v>
      </c>
      <c r="E777" s="8" t="str">
        <f aca="false">INDEX(Bases!$B$2:$B$53,C777)</f>
        <v>Swablu</v>
      </c>
      <c r="F777" s="2" t="str">
        <f aca="false">LEFT(D777,ROUNDUP(LEN(D777)/2,0))&amp;LOWER(MID(E777,ROUNDUP(LEN(E777)/2,0)+1,20))</f>
        <v>Manblu</v>
      </c>
      <c r="G777" s="8" t="str">
        <f aca="false">INDEX(Bases!$C$2:$C$53,B777)</f>
        <v>Fighting</v>
      </c>
      <c r="H777" s="8" t="str">
        <f aca="false">IF(INDEX(Bases!$C$2:$C$53,C777)=G777,"",INDEX(Bases!$C$2:$C$53,C777))</f>
        <v>Flying</v>
      </c>
      <c r="I777" s="8" t="str">
        <f aca="false">IF(INDEX(Bases!$E$2:$E$53,B777)="","",INDEX(Bases!$E$2:$E$53,B777))</f>
        <v/>
      </c>
      <c r="J777" s="8" t="str">
        <f aca="false">IF(INDEX(Bases!$E$2:$E$53,C777)="","",INDEX(Bases!$E$2:$E$53,C777))</f>
        <v/>
      </c>
      <c r="K777" s="5"/>
      <c r="L777" s="2" t="n">
        <f aca="false">AE777+IF(SUMPRODUCT(--($AL777:$AQ777&gt;AL777))&lt;$AK777,1,0)</f>
        <v>66</v>
      </c>
      <c r="M777" s="2" t="n">
        <f aca="false">AF777+IF(SUMPRODUCT(--($AL777:$AQ777&gt;AM777))+SUMPRODUCT(--($AL777:AL777=AM777))&lt;$AK777,1,0)</f>
        <v>102</v>
      </c>
      <c r="N777" s="2" t="n">
        <f aca="false">AG777+IF(SUMPRODUCT(--($AL777:$AQ777&gt;AN777))+SUMPRODUCT(--($AL777:AM777=AN777))&lt;$AK777,1,0)</f>
        <v>78</v>
      </c>
      <c r="O777" s="2" t="n">
        <f aca="false">AH777+IF(SUMPRODUCT(--($AL777:$AQ777&gt;AO777))+SUMPRODUCT(--($AL777:AN777=AO777))&lt;$AK777,1,0)</f>
        <v>58</v>
      </c>
      <c r="P777" s="2" t="n">
        <f aca="false">AI777+IF(SUMPRODUCT(--($AL777:$AQ777&gt;AP777))+SUMPRODUCT(--($AL777:AO777=AP777))&lt;$AK777,1,0)</f>
        <v>99</v>
      </c>
      <c r="Q777" s="2" t="n">
        <f aca="false">AJ777+IF(SUMPRODUCT(--($AL777:$AQ777&gt;AQ777))+SUMPRODUCT(--($AL777:AP777=AQ777))&lt;$AK777,1,0)</f>
        <v>97</v>
      </c>
      <c r="R777" s="2" t="n">
        <f aca="false">SUM(L777:Q777)</f>
        <v>500</v>
      </c>
      <c r="S777" s="2" t="n">
        <f aca="false">Settings!$B$4*MAX(INDEX(Bases!$M$2:$M$53,B777),INDEX(Bases!$M$2:$M$53,C777))+Settings!$B$5*MIN(INDEX(Bases!$M$2:$M$53,B777),INDEX(Bases!$M$2:$M$53,C777))</f>
        <v>56</v>
      </c>
      <c r="T777" s="2" t="n">
        <f aca="false">Settings!$B$4*MAX(INDEX(Bases!$N$2:$N$53,B777),INDEX(Bases!$N$2:$N$53,C777))+Settings!$B$5*MIN(INDEX(Bases!$N$2:$N$53,B777),INDEX(Bases!$N$2:$N$53,C777))</f>
        <v>87.3333333333333</v>
      </c>
      <c r="U777" s="2" t="n">
        <f aca="false">Settings!$B$4*MAX(INDEX(Bases!$O$2:$O$53,B777),INDEX(Bases!$O$2:$O$53,C777))+Settings!$B$5*MIN(INDEX(Bases!$O$2:$O$53,B777),INDEX(Bases!$O$2:$O$53,C777))</f>
        <v>66.6666666666667</v>
      </c>
      <c r="V777" s="2" t="n">
        <f aca="false">Settings!$B$4*MAX(INDEX(Bases!$P$2:$P$53,B777),INDEX(Bases!$P$2:$P$53,C777))+Settings!$B$5*MIN(INDEX(Bases!$P$2:$P$53,B777),INDEX(Bases!$P$2:$P$53,C777))</f>
        <v>50</v>
      </c>
      <c r="W777" s="2" t="n">
        <f aca="false">Settings!$B$4*MAX(INDEX(Bases!$Q$2:$Q$53,B777),INDEX(Bases!$Q$2:$Q$53,C777))+Settings!$B$5*MIN(INDEX(Bases!$Q$2:$Q$53,B777),INDEX(Bases!$Q$2:$Q$53,C777))</f>
        <v>84.3333333333333</v>
      </c>
      <c r="X777" s="2" t="n">
        <f aca="false">Settings!$B$4*MAX(INDEX(Bases!$R$2:$R$53,B777),INDEX(Bases!$R$2:$R$53,C777))+Settings!$B$5*MIN(INDEX(Bases!$R$2:$R$53,B777),INDEX(Bases!$R$2:$R$53,C777))</f>
        <v>82.6666666666667</v>
      </c>
      <c r="Y777" s="2" t="n">
        <f aca="false">S777*Settings!$B$3/SUM(S777:X777)</f>
        <v>65.5737704918033</v>
      </c>
      <c r="Z777" s="2" t="n">
        <f aca="false">T777*Settings!$B$3/SUM(S777:X777)</f>
        <v>102.263856362217</v>
      </c>
      <c r="AA777" s="2" t="n">
        <f aca="false">U777*Settings!$B$3/SUM(S777:X777)</f>
        <v>78.064012490242</v>
      </c>
      <c r="AB777" s="2" t="n">
        <f aca="false">V777*Settings!$B$3/SUM(S777:X777)</f>
        <v>58.5480093676815</v>
      </c>
      <c r="AC777" s="2" t="n">
        <f aca="false">W777*Settings!$B$3/SUM(S777:X777)</f>
        <v>98.7509758001561</v>
      </c>
      <c r="AD777" s="2" t="n">
        <f aca="false">X777*Settings!$B$3/SUM(S777:X777)</f>
        <v>96.7993754879001</v>
      </c>
      <c r="AE777" s="2" t="n">
        <f aca="false">INT(Y777)</f>
        <v>65</v>
      </c>
      <c r="AF777" s="2" t="n">
        <f aca="false">INT(Z777)</f>
        <v>102</v>
      </c>
      <c r="AG777" s="2" t="n">
        <f aca="false">INT(AA777)</f>
        <v>78</v>
      </c>
      <c r="AH777" s="2" t="n">
        <f aca="false">INT(AB777)</f>
        <v>58</v>
      </c>
      <c r="AI777" s="2" t="n">
        <f aca="false">INT(AC777)</f>
        <v>98</v>
      </c>
      <c r="AJ777" s="2" t="n">
        <f aca="false">INT(AD777)</f>
        <v>96</v>
      </c>
      <c r="AK777" s="2" t="n">
        <f aca="false">Settings!$B$3-SUM(AE777:AJ777)</f>
        <v>3</v>
      </c>
      <c r="AL777" s="2" t="n">
        <f aca="false">ROUND(Y777-AE777,9)</f>
        <v>0.573770492</v>
      </c>
      <c r="AM777" s="2" t="n">
        <f aca="false">ROUND(Z777-AF777,9)</f>
        <v>0.263856362</v>
      </c>
      <c r="AN777" s="2" t="n">
        <f aca="false">ROUND(AA777-AG777,9)</f>
        <v>0.06401249</v>
      </c>
      <c r="AO777" s="2" t="n">
        <f aca="false">ROUND(AB777-AH777,9)</f>
        <v>0.548009368</v>
      </c>
      <c r="AP777" s="2" t="n">
        <f aca="false">ROUND(AC777-AI777,9)</f>
        <v>0.7509758</v>
      </c>
      <c r="AQ777" s="2" t="n">
        <f aca="false">ROUND(AD777-AJ777,9)</f>
        <v>0.799375488</v>
      </c>
    </row>
    <row r="778" customFormat="false" ht="15" hidden="false" customHeight="false" outlineLevel="0" collapsed="false">
      <c r="A778" s="2" t="n">
        <v>777</v>
      </c>
      <c r="B778" s="6" t="n">
        <v>19</v>
      </c>
      <c r="C778" s="6" t="n">
        <v>31</v>
      </c>
      <c r="D778" s="8" t="str">
        <f aca="false">INDEX(Bases!$B$2:$B$53,B778)</f>
        <v>Mankey</v>
      </c>
      <c r="E778" s="8" t="str">
        <f aca="false">INDEX(Bases!$B$2:$B$53,C778)</f>
        <v>Mew</v>
      </c>
      <c r="F778" s="2" t="str">
        <f aca="false">LEFT(D778,ROUNDUP(LEN(D778)/2,0))&amp;LOWER(MID(E778,ROUNDUP(LEN(E778)/2,0)+1,20))</f>
        <v>Manw</v>
      </c>
      <c r="G778" s="8" t="str">
        <f aca="false">INDEX(Bases!$C$2:$C$53,B778)</f>
        <v>Fighting</v>
      </c>
      <c r="H778" s="8" t="str">
        <f aca="false">IF(INDEX(Bases!$C$2:$C$53,C778)=G778,"",INDEX(Bases!$C$2:$C$53,C778))</f>
        <v>Psychic</v>
      </c>
      <c r="I778" s="8" t="str">
        <f aca="false">IF(INDEX(Bases!$E$2:$E$53,B778)="","",INDEX(Bases!$E$2:$E$53,B778))</f>
        <v/>
      </c>
      <c r="J778" s="8" t="str">
        <f aca="false">IF(INDEX(Bases!$E$2:$E$53,C778)="","",INDEX(Bases!$E$2:$E$53,C778))</f>
        <v/>
      </c>
      <c r="K778" s="5"/>
      <c r="L778" s="2" t="n">
        <f aca="false">AE778+IF(SUMPRODUCT(--($AL778:$AQ778&gt;AL778))&lt;$AK778,1,0)</f>
        <v>74</v>
      </c>
      <c r="M778" s="2" t="n">
        <f aca="false">AF778+IF(SUMPRODUCT(--($AL778:$AQ778&gt;AM778))+SUMPRODUCT(--($AL778:AL778=AM778))&lt;$AK778,1,0)</f>
        <v>110</v>
      </c>
      <c r="N778" s="2" t="n">
        <f aca="false">AG778+IF(SUMPRODUCT(--($AL778:$AQ778&gt;AN778))+SUMPRODUCT(--($AL778:AM778=AN778))&lt;$AK778,1,0)</f>
        <v>71</v>
      </c>
      <c r="O778" s="2" t="n">
        <f aca="false">AH778+IF(SUMPRODUCT(--($AL778:$AQ778&gt;AO778))+SUMPRODUCT(--($AL778:AN778=AO778))&lt;$AK778,1,0)</f>
        <v>71</v>
      </c>
      <c r="P778" s="2" t="n">
        <f aca="false">AI778+IF(SUMPRODUCT(--($AL778:$AQ778&gt;AP778))+SUMPRODUCT(--($AL778:AO778=AP778))&lt;$AK778,1,0)</f>
        <v>75</v>
      </c>
      <c r="Q778" s="2" t="n">
        <f aca="false">AJ778+IF(SUMPRODUCT(--($AL778:$AQ778&gt;AQ778))+SUMPRODUCT(--($AL778:AP778=AQ778))&lt;$AK778,1,0)</f>
        <v>99</v>
      </c>
      <c r="R778" s="2" t="n">
        <f aca="false">SUM(L778:Q778)</f>
        <v>500</v>
      </c>
      <c r="S778" s="2" t="n">
        <f aca="false">Settings!$B$4*MAX(INDEX(Bases!$M$2:$M$53,B778),INDEX(Bases!$M$2:$M$53,C778))+Settings!$B$5*MIN(INDEX(Bases!$M$2:$M$53,B778),INDEX(Bases!$M$2:$M$53,C778))</f>
        <v>62</v>
      </c>
      <c r="T778" s="2" t="n">
        <f aca="false">Settings!$B$4*MAX(INDEX(Bases!$N$2:$N$53,B778),INDEX(Bases!$N$2:$N$53,C778))+Settings!$B$5*MIN(INDEX(Bases!$N$2:$N$53,B778),INDEX(Bases!$N$2:$N$53,C778))</f>
        <v>92.3333333333333</v>
      </c>
      <c r="U778" s="2" t="n">
        <f aca="false">Settings!$B$4*MAX(INDEX(Bases!$O$2:$O$53,B778),INDEX(Bases!$O$2:$O$53,C778))+Settings!$B$5*MIN(INDEX(Bases!$O$2:$O$53,B778),INDEX(Bases!$O$2:$O$53,C778))</f>
        <v>60</v>
      </c>
      <c r="V778" s="2" t="n">
        <f aca="false">Settings!$B$4*MAX(INDEX(Bases!$P$2:$P$53,B778),INDEX(Bases!$P$2:$P$53,C778))+Settings!$B$5*MIN(INDEX(Bases!$P$2:$P$53,B778),INDEX(Bases!$P$2:$P$53,C778))</f>
        <v>60</v>
      </c>
      <c r="W778" s="2" t="n">
        <f aca="false">Settings!$B$4*MAX(INDEX(Bases!$Q$2:$Q$53,B778),INDEX(Bases!$Q$2:$Q$53,C778))+Settings!$B$5*MIN(INDEX(Bases!$Q$2:$Q$53,B778),INDEX(Bases!$Q$2:$Q$53,C778))</f>
        <v>63.6666666666667</v>
      </c>
      <c r="X778" s="2" t="n">
        <f aca="false">Settings!$B$4*MAX(INDEX(Bases!$R$2:$R$53,B778),INDEX(Bases!$R$2:$R$53,C778))+Settings!$B$5*MIN(INDEX(Bases!$R$2:$R$53,B778),INDEX(Bases!$R$2:$R$53,C778))</f>
        <v>83.3333333333333</v>
      </c>
      <c r="Y778" s="2" t="n">
        <f aca="false">S778*Settings!$B$3/SUM(S778:X778)</f>
        <v>73.5759493670886</v>
      </c>
      <c r="Z778" s="2" t="n">
        <f aca="false">T778*Settings!$B$3/SUM(S778:X778)</f>
        <v>109.572784810127</v>
      </c>
      <c r="AA778" s="2" t="n">
        <f aca="false">U778*Settings!$B$3/SUM(S778:X778)</f>
        <v>71.2025316455696</v>
      </c>
      <c r="AB778" s="2" t="n">
        <f aca="false">V778*Settings!$B$3/SUM(S778:X778)</f>
        <v>71.2025316455696</v>
      </c>
      <c r="AC778" s="2" t="n">
        <f aca="false">W778*Settings!$B$3/SUM(S778:X778)</f>
        <v>75.5537974683545</v>
      </c>
      <c r="AD778" s="2" t="n">
        <f aca="false">X778*Settings!$B$3/SUM(S778:X778)</f>
        <v>98.8924050632911</v>
      </c>
      <c r="AE778" s="2" t="n">
        <f aca="false">INT(Y778)</f>
        <v>73</v>
      </c>
      <c r="AF778" s="2" t="n">
        <f aca="false">INT(Z778)</f>
        <v>109</v>
      </c>
      <c r="AG778" s="2" t="n">
        <f aca="false">INT(AA778)</f>
        <v>71</v>
      </c>
      <c r="AH778" s="2" t="n">
        <f aca="false">INT(AB778)</f>
        <v>71</v>
      </c>
      <c r="AI778" s="2" t="n">
        <f aca="false">INT(AC778)</f>
        <v>75</v>
      </c>
      <c r="AJ778" s="2" t="n">
        <f aca="false">INT(AD778)</f>
        <v>98</v>
      </c>
      <c r="AK778" s="2" t="n">
        <f aca="false">Settings!$B$3-SUM(AE778:AJ778)</f>
        <v>3</v>
      </c>
      <c r="AL778" s="2" t="n">
        <f aca="false">ROUND(Y778-AE778,9)</f>
        <v>0.575949367</v>
      </c>
      <c r="AM778" s="2" t="n">
        <f aca="false">ROUND(Z778-AF778,9)</f>
        <v>0.57278481</v>
      </c>
      <c r="AN778" s="2" t="n">
        <f aca="false">ROUND(AA778-AG778,9)</f>
        <v>0.202531646</v>
      </c>
      <c r="AO778" s="2" t="n">
        <f aca="false">ROUND(AB778-AH778,9)</f>
        <v>0.202531646</v>
      </c>
      <c r="AP778" s="2" t="n">
        <f aca="false">ROUND(AC778-AI778,9)</f>
        <v>0.553797468</v>
      </c>
      <c r="AQ778" s="2" t="n">
        <f aca="false">ROUND(AD778-AJ778,9)</f>
        <v>0.892405063</v>
      </c>
    </row>
    <row r="779" customFormat="false" ht="15" hidden="false" customHeight="false" outlineLevel="0" collapsed="false">
      <c r="A779" s="2" t="n">
        <v>778</v>
      </c>
      <c r="B779" s="6" t="n">
        <v>19</v>
      </c>
      <c r="C779" s="6" t="n">
        <v>32</v>
      </c>
      <c r="D779" s="8" t="str">
        <f aca="false">INDEX(Bases!$B$2:$B$53,B779)</f>
        <v>Mankey</v>
      </c>
      <c r="E779" s="8" t="str">
        <f aca="false">INDEX(Bases!$B$2:$B$53,C779)</f>
        <v>Spoink</v>
      </c>
      <c r="F779" s="2" t="str">
        <f aca="false">LEFT(D779,ROUNDUP(LEN(D779)/2,0))&amp;LOWER(MID(E779,ROUNDUP(LEN(E779)/2,0)+1,20))</f>
        <v>Manink</v>
      </c>
      <c r="G779" s="8" t="str">
        <f aca="false">INDEX(Bases!$C$2:$C$53,B779)</f>
        <v>Fighting</v>
      </c>
      <c r="H779" s="8" t="str">
        <f aca="false">IF(INDEX(Bases!$C$2:$C$53,C779)=G779,"",INDEX(Bases!$C$2:$C$53,C779))</f>
        <v>Psychic</v>
      </c>
      <c r="I779" s="8" t="str">
        <f aca="false">IF(INDEX(Bases!$E$2:$E$53,B779)="","",INDEX(Bases!$E$2:$E$53,B779))</f>
        <v/>
      </c>
      <c r="J779" s="8" t="str">
        <f aca="false">IF(INDEX(Bases!$E$2:$E$53,C779)="","",INDEX(Bases!$E$2:$E$53,C779))</f>
        <v/>
      </c>
      <c r="K779" s="5"/>
      <c r="L779" s="2" t="n">
        <f aca="false">AE779+IF(SUMPRODUCT(--($AL779:$AQ779&gt;AL779))&lt;$AK779,1,0)</f>
        <v>76</v>
      </c>
      <c r="M779" s="2" t="n">
        <f aca="false">AF779+IF(SUMPRODUCT(--($AL779:$AQ779&gt;AM779))+SUMPRODUCT(--($AL779:AL779=AM779))&lt;$AK779,1,0)</f>
        <v>92</v>
      </c>
      <c r="N779" s="2" t="n">
        <f aca="false">AG779+IF(SUMPRODUCT(--($AL779:$AQ779&gt;AN779))+SUMPRODUCT(--($AL779:AM779=AN779))&lt;$AK779,1,0)</f>
        <v>52</v>
      </c>
      <c r="O779" s="2" t="n">
        <f aca="false">AH779+IF(SUMPRODUCT(--($AL779:$AQ779&gt;AO779))+SUMPRODUCT(--($AL779:AN779=AO779))&lt;$AK779,1,0)</f>
        <v>83</v>
      </c>
      <c r="P779" s="2" t="n">
        <f aca="false">AI779+IF(SUMPRODUCT(--($AL779:$AQ779&gt;AP779))+SUMPRODUCT(--($AL779:AO779=AP779))&lt;$AK779,1,0)</f>
        <v>98</v>
      </c>
      <c r="Q779" s="2" t="n">
        <f aca="false">AJ779+IF(SUMPRODUCT(--($AL779:$AQ779&gt;AQ779))+SUMPRODUCT(--($AL779:AP779=AQ779))&lt;$AK779,1,0)</f>
        <v>99</v>
      </c>
      <c r="R779" s="2" t="n">
        <f aca="false">SUM(L779:Q779)</f>
        <v>500</v>
      </c>
      <c r="S779" s="2" t="n">
        <f aca="false">Settings!$B$4*MAX(INDEX(Bases!$M$2:$M$53,B779),INDEX(Bases!$M$2:$M$53,C779))+Settings!$B$5*MIN(INDEX(Bases!$M$2:$M$53,B779),INDEX(Bases!$M$2:$M$53,C779))</f>
        <v>66</v>
      </c>
      <c r="T779" s="2" t="n">
        <f aca="false">Settings!$B$4*MAX(INDEX(Bases!$N$2:$N$53,B779),INDEX(Bases!$N$2:$N$53,C779))+Settings!$B$5*MIN(INDEX(Bases!$N$2:$N$53,B779),INDEX(Bases!$N$2:$N$53,C779))</f>
        <v>80</v>
      </c>
      <c r="U779" s="2" t="n">
        <f aca="false">Settings!$B$4*MAX(INDEX(Bases!$O$2:$O$53,B779),INDEX(Bases!$O$2:$O$53,C779))+Settings!$B$5*MIN(INDEX(Bases!$O$2:$O$53,B779),INDEX(Bases!$O$2:$O$53,C779))</f>
        <v>44.6666666666667</v>
      </c>
      <c r="V779" s="2" t="n">
        <f aca="false">Settings!$B$4*MAX(INDEX(Bases!$P$2:$P$53,B779),INDEX(Bases!$P$2:$P$53,C779))+Settings!$B$5*MIN(INDEX(Bases!$P$2:$P$53,B779),INDEX(Bases!$P$2:$P$53,C779))</f>
        <v>72</v>
      </c>
      <c r="W779" s="2" t="n">
        <f aca="false">Settings!$B$4*MAX(INDEX(Bases!$Q$2:$Q$53,B779),INDEX(Bases!$Q$2:$Q$53,C779))+Settings!$B$5*MIN(INDEX(Bases!$Q$2:$Q$53,B779),INDEX(Bases!$Q$2:$Q$53,C779))</f>
        <v>84.3333333333333</v>
      </c>
      <c r="X779" s="2" t="n">
        <f aca="false">Settings!$B$4*MAX(INDEX(Bases!$R$2:$R$53,B779),INDEX(Bases!$R$2:$R$53,C779))+Settings!$B$5*MIN(INDEX(Bases!$R$2:$R$53,B779),INDEX(Bases!$R$2:$R$53,C779))</f>
        <v>85.6666666666667</v>
      </c>
      <c r="Y779" s="2" t="n">
        <f aca="false">S779*Settings!$B$3/SUM(S779:X779)</f>
        <v>76.271186440678</v>
      </c>
      <c r="Z779" s="2" t="n">
        <f aca="false">T779*Settings!$B$3/SUM(S779:X779)</f>
        <v>92.4499229583975</v>
      </c>
      <c r="AA779" s="2" t="n">
        <f aca="false">U779*Settings!$B$3/SUM(S779:X779)</f>
        <v>51.617873651772</v>
      </c>
      <c r="AB779" s="2" t="n">
        <f aca="false">V779*Settings!$B$3/SUM(S779:X779)</f>
        <v>83.2049306625578</v>
      </c>
      <c r="AC779" s="2" t="n">
        <f aca="false">W779*Settings!$B$3/SUM(S779:X779)</f>
        <v>97.4576271186441</v>
      </c>
      <c r="AD779" s="2" t="n">
        <f aca="false">X779*Settings!$B$3/SUM(S779:X779)</f>
        <v>98.9984591679507</v>
      </c>
      <c r="AE779" s="2" t="n">
        <f aca="false">INT(Y779)</f>
        <v>76</v>
      </c>
      <c r="AF779" s="2" t="n">
        <f aca="false">INT(Z779)</f>
        <v>92</v>
      </c>
      <c r="AG779" s="2" t="n">
        <f aca="false">INT(AA779)</f>
        <v>51</v>
      </c>
      <c r="AH779" s="2" t="n">
        <f aca="false">INT(AB779)</f>
        <v>83</v>
      </c>
      <c r="AI779" s="2" t="n">
        <f aca="false">INT(AC779)</f>
        <v>97</v>
      </c>
      <c r="AJ779" s="2" t="n">
        <f aca="false">INT(AD779)</f>
        <v>98</v>
      </c>
      <c r="AK779" s="2" t="n">
        <f aca="false">Settings!$B$3-SUM(AE779:AJ779)</f>
        <v>3</v>
      </c>
      <c r="AL779" s="2" t="n">
        <f aca="false">ROUND(Y779-AE779,9)</f>
        <v>0.271186441</v>
      </c>
      <c r="AM779" s="2" t="n">
        <f aca="false">ROUND(Z779-AF779,9)</f>
        <v>0.449922958</v>
      </c>
      <c r="AN779" s="2" t="n">
        <f aca="false">ROUND(AA779-AG779,9)</f>
        <v>0.617873652</v>
      </c>
      <c r="AO779" s="2" t="n">
        <f aca="false">ROUND(AB779-AH779,9)</f>
        <v>0.204930663</v>
      </c>
      <c r="AP779" s="2" t="n">
        <f aca="false">ROUND(AC779-AI779,9)</f>
        <v>0.457627119</v>
      </c>
      <c r="AQ779" s="2" t="n">
        <f aca="false">ROUND(AD779-AJ779,9)</f>
        <v>0.998459168</v>
      </c>
    </row>
    <row r="780" customFormat="false" ht="15" hidden="false" customHeight="false" outlineLevel="0" collapsed="false">
      <c r="A780" s="2" t="n">
        <v>779</v>
      </c>
      <c r="B780" s="6" t="n">
        <v>19</v>
      </c>
      <c r="C780" s="6" t="n">
        <v>33</v>
      </c>
      <c r="D780" s="8" t="str">
        <f aca="false">INDEX(Bases!$B$2:$B$53,B780)</f>
        <v>Mankey</v>
      </c>
      <c r="E780" s="8" t="str">
        <f aca="false">INDEX(Bases!$B$2:$B$53,C780)</f>
        <v>Jirachi</v>
      </c>
      <c r="F780" s="2" t="str">
        <f aca="false">LEFT(D780,ROUNDUP(LEN(D780)/2,0))&amp;LOWER(MID(E780,ROUNDUP(LEN(E780)/2,0)+1,20))</f>
        <v>Manchi</v>
      </c>
      <c r="G780" s="8" t="str">
        <f aca="false">INDEX(Bases!$C$2:$C$53,B780)</f>
        <v>Fighting</v>
      </c>
      <c r="H780" s="8" t="str">
        <f aca="false">IF(INDEX(Bases!$C$2:$C$53,C780)=G780,"",INDEX(Bases!$C$2:$C$53,C780))</f>
        <v>Psychic</v>
      </c>
      <c r="I780" s="8" t="str">
        <f aca="false">IF(INDEX(Bases!$E$2:$E$53,B780)="","",INDEX(Bases!$E$2:$E$53,B780))</f>
        <v/>
      </c>
      <c r="J780" s="8" t="str">
        <f aca="false">IF(INDEX(Bases!$E$2:$E$53,C780)="","",INDEX(Bases!$E$2:$E$53,C780))</f>
        <v/>
      </c>
      <c r="K780" s="5"/>
      <c r="L780" s="2" t="n">
        <f aca="false">AE780+IF(SUMPRODUCT(--($AL780:$AQ780&gt;AL780))&lt;$AK780,1,0)</f>
        <v>74</v>
      </c>
      <c r="M780" s="2" t="n">
        <f aca="false">AF780+IF(SUMPRODUCT(--($AL780:$AQ780&gt;AM780))+SUMPRODUCT(--($AL780:AL780=AM780))&lt;$AK780,1,0)</f>
        <v>110</v>
      </c>
      <c r="N780" s="2" t="n">
        <f aca="false">AG780+IF(SUMPRODUCT(--($AL780:$AQ780&gt;AN780))+SUMPRODUCT(--($AL780:AM780=AN780))&lt;$AK780,1,0)</f>
        <v>71</v>
      </c>
      <c r="O780" s="2" t="n">
        <f aca="false">AH780+IF(SUMPRODUCT(--($AL780:$AQ780&gt;AO780))+SUMPRODUCT(--($AL780:AN780=AO780))&lt;$AK780,1,0)</f>
        <v>71</v>
      </c>
      <c r="P780" s="2" t="n">
        <f aca="false">AI780+IF(SUMPRODUCT(--($AL780:$AQ780&gt;AP780))+SUMPRODUCT(--($AL780:AO780=AP780))&lt;$AK780,1,0)</f>
        <v>75</v>
      </c>
      <c r="Q780" s="2" t="n">
        <f aca="false">AJ780+IF(SUMPRODUCT(--($AL780:$AQ780&gt;AQ780))+SUMPRODUCT(--($AL780:AP780=AQ780))&lt;$AK780,1,0)</f>
        <v>99</v>
      </c>
      <c r="R780" s="2" t="n">
        <f aca="false">SUM(L780:Q780)</f>
        <v>500</v>
      </c>
      <c r="S780" s="2" t="n">
        <f aca="false">Settings!$B$4*MAX(INDEX(Bases!$M$2:$M$53,B780),INDEX(Bases!$M$2:$M$53,C780))+Settings!$B$5*MIN(INDEX(Bases!$M$2:$M$53,B780),INDEX(Bases!$M$2:$M$53,C780))</f>
        <v>62</v>
      </c>
      <c r="T780" s="2" t="n">
        <f aca="false">Settings!$B$4*MAX(INDEX(Bases!$N$2:$N$53,B780),INDEX(Bases!$N$2:$N$53,C780))+Settings!$B$5*MIN(INDEX(Bases!$N$2:$N$53,B780),INDEX(Bases!$N$2:$N$53,C780))</f>
        <v>92.3333333333333</v>
      </c>
      <c r="U780" s="2" t="n">
        <f aca="false">Settings!$B$4*MAX(INDEX(Bases!$O$2:$O$53,B780),INDEX(Bases!$O$2:$O$53,C780))+Settings!$B$5*MIN(INDEX(Bases!$O$2:$O$53,B780),INDEX(Bases!$O$2:$O$53,C780))</f>
        <v>60</v>
      </c>
      <c r="V780" s="2" t="n">
        <f aca="false">Settings!$B$4*MAX(INDEX(Bases!$P$2:$P$53,B780),INDEX(Bases!$P$2:$P$53,C780))+Settings!$B$5*MIN(INDEX(Bases!$P$2:$P$53,B780),INDEX(Bases!$P$2:$P$53,C780))</f>
        <v>60</v>
      </c>
      <c r="W780" s="2" t="n">
        <f aca="false">Settings!$B$4*MAX(INDEX(Bases!$Q$2:$Q$53,B780),INDEX(Bases!$Q$2:$Q$53,C780))+Settings!$B$5*MIN(INDEX(Bases!$Q$2:$Q$53,B780),INDEX(Bases!$Q$2:$Q$53,C780))</f>
        <v>63.6666666666667</v>
      </c>
      <c r="X780" s="2" t="n">
        <f aca="false">Settings!$B$4*MAX(INDEX(Bases!$R$2:$R$53,B780),INDEX(Bases!$R$2:$R$53,C780))+Settings!$B$5*MIN(INDEX(Bases!$R$2:$R$53,B780),INDEX(Bases!$R$2:$R$53,C780))</f>
        <v>83.3333333333333</v>
      </c>
      <c r="Y780" s="2" t="n">
        <f aca="false">S780*Settings!$B$3/SUM(S780:X780)</f>
        <v>73.5759493670886</v>
      </c>
      <c r="Z780" s="2" t="n">
        <f aca="false">T780*Settings!$B$3/SUM(S780:X780)</f>
        <v>109.572784810127</v>
      </c>
      <c r="AA780" s="2" t="n">
        <f aca="false">U780*Settings!$B$3/SUM(S780:X780)</f>
        <v>71.2025316455696</v>
      </c>
      <c r="AB780" s="2" t="n">
        <f aca="false">V780*Settings!$B$3/SUM(S780:X780)</f>
        <v>71.2025316455696</v>
      </c>
      <c r="AC780" s="2" t="n">
        <f aca="false">W780*Settings!$B$3/SUM(S780:X780)</f>
        <v>75.5537974683545</v>
      </c>
      <c r="AD780" s="2" t="n">
        <f aca="false">X780*Settings!$B$3/SUM(S780:X780)</f>
        <v>98.8924050632911</v>
      </c>
      <c r="AE780" s="2" t="n">
        <f aca="false">INT(Y780)</f>
        <v>73</v>
      </c>
      <c r="AF780" s="2" t="n">
        <f aca="false">INT(Z780)</f>
        <v>109</v>
      </c>
      <c r="AG780" s="2" t="n">
        <f aca="false">INT(AA780)</f>
        <v>71</v>
      </c>
      <c r="AH780" s="2" t="n">
        <f aca="false">INT(AB780)</f>
        <v>71</v>
      </c>
      <c r="AI780" s="2" t="n">
        <f aca="false">INT(AC780)</f>
        <v>75</v>
      </c>
      <c r="AJ780" s="2" t="n">
        <f aca="false">INT(AD780)</f>
        <v>98</v>
      </c>
      <c r="AK780" s="2" t="n">
        <f aca="false">Settings!$B$3-SUM(AE780:AJ780)</f>
        <v>3</v>
      </c>
      <c r="AL780" s="2" t="n">
        <f aca="false">ROUND(Y780-AE780,9)</f>
        <v>0.575949367</v>
      </c>
      <c r="AM780" s="2" t="n">
        <f aca="false">ROUND(Z780-AF780,9)</f>
        <v>0.57278481</v>
      </c>
      <c r="AN780" s="2" t="n">
        <f aca="false">ROUND(AA780-AG780,9)</f>
        <v>0.202531646</v>
      </c>
      <c r="AO780" s="2" t="n">
        <f aca="false">ROUND(AB780-AH780,9)</f>
        <v>0.202531646</v>
      </c>
      <c r="AP780" s="2" t="n">
        <f aca="false">ROUND(AC780-AI780,9)</f>
        <v>0.553797468</v>
      </c>
      <c r="AQ780" s="2" t="n">
        <f aca="false">ROUND(AD780-AJ780,9)</f>
        <v>0.892405063</v>
      </c>
    </row>
    <row r="781" customFormat="false" ht="15" hidden="false" customHeight="false" outlineLevel="0" collapsed="false">
      <c r="A781" s="2" t="n">
        <v>780</v>
      </c>
      <c r="B781" s="6" t="n">
        <v>19</v>
      </c>
      <c r="C781" s="6" t="n">
        <v>34</v>
      </c>
      <c r="D781" s="8" t="str">
        <f aca="false">INDEX(Bases!$B$2:$B$53,B781)</f>
        <v>Mankey</v>
      </c>
      <c r="E781" s="8" t="str">
        <f aca="false">INDEX(Bases!$B$2:$B$53,C781)</f>
        <v>Paras</v>
      </c>
      <c r="F781" s="2" t="str">
        <f aca="false">LEFT(D781,ROUNDUP(LEN(D781)/2,0))&amp;LOWER(MID(E781,ROUNDUP(LEN(E781)/2,0)+1,20))</f>
        <v>Manas</v>
      </c>
      <c r="G781" s="8" t="str">
        <f aca="false">INDEX(Bases!$C$2:$C$53,B781)</f>
        <v>Fighting</v>
      </c>
      <c r="H781" s="8" t="str">
        <f aca="false">IF(INDEX(Bases!$C$2:$C$53,C781)=G781,"",INDEX(Bases!$C$2:$C$53,C781))</f>
        <v>Bug</v>
      </c>
      <c r="I781" s="8" t="str">
        <f aca="false">IF(INDEX(Bases!$E$2:$E$53,B781)="","",INDEX(Bases!$E$2:$E$53,B781))</f>
        <v/>
      </c>
      <c r="J781" s="8" t="str">
        <f aca="false">IF(INDEX(Bases!$E$2:$E$53,C781)="","",INDEX(Bases!$E$2:$E$53,C781))</f>
        <v/>
      </c>
      <c r="K781" s="5"/>
      <c r="L781" s="2" t="n">
        <f aca="false">AE781+IF(SUMPRODUCT(--($AL781:$AQ781&gt;AL781))&lt;$AK781,1,0)</f>
        <v>60</v>
      </c>
      <c r="M781" s="2" t="n">
        <f aca="false">AF781+IF(SUMPRODUCT(--($AL781:$AQ781&gt;AM781))+SUMPRODUCT(--($AL781:AL781=AM781))&lt;$AK781,1,0)</f>
        <v>122</v>
      </c>
      <c r="N781" s="2" t="n">
        <f aca="false">AG781+IF(SUMPRODUCT(--($AL781:$AQ781&gt;AN781))+SUMPRODUCT(--($AL781:AM781=AN781))&lt;$AK781,1,0)</f>
        <v>79</v>
      </c>
      <c r="O781" s="2" t="n">
        <f aca="false">AH781+IF(SUMPRODUCT(--($AL781:$AQ781&gt;AO781))+SUMPRODUCT(--($AL781:AN781=AO781))&lt;$AK781,1,0)</f>
        <v>68</v>
      </c>
      <c r="P781" s="2" t="n">
        <f aca="false">AI781+IF(SUMPRODUCT(--($AL781:$AQ781&gt;AP781))+SUMPRODUCT(--($AL781:AO781=AP781))&lt;$AK781,1,0)</f>
        <v>84</v>
      </c>
      <c r="Q781" s="2" t="n">
        <f aca="false">AJ781+IF(SUMPRODUCT(--($AL781:$AQ781&gt;AQ781))+SUMPRODUCT(--($AL781:AP781=AQ781))&lt;$AK781,1,0)</f>
        <v>87</v>
      </c>
      <c r="R781" s="2" t="n">
        <f aca="false">SUM(L781:Q781)</f>
        <v>500</v>
      </c>
      <c r="S781" s="2" t="n">
        <f aca="false">Settings!$B$4*MAX(INDEX(Bases!$M$2:$M$53,B781),INDEX(Bases!$M$2:$M$53,C781))+Settings!$B$5*MIN(INDEX(Bases!$M$2:$M$53,B781),INDEX(Bases!$M$2:$M$53,C781))</f>
        <v>51</v>
      </c>
      <c r="T781" s="2" t="n">
        <f aca="false">Settings!$B$4*MAX(INDEX(Bases!$N$2:$N$53,B781),INDEX(Bases!$N$2:$N$53,C781))+Settings!$B$5*MIN(INDEX(Bases!$N$2:$N$53,B781),INDEX(Bases!$N$2:$N$53,C781))</f>
        <v>103</v>
      </c>
      <c r="U781" s="2" t="n">
        <f aca="false">Settings!$B$4*MAX(INDEX(Bases!$O$2:$O$53,B781),INDEX(Bases!$O$2:$O$53,C781))+Settings!$B$5*MIN(INDEX(Bases!$O$2:$O$53,B781),INDEX(Bases!$O$2:$O$53,C781))</f>
        <v>66.6666666666667</v>
      </c>
      <c r="V781" s="2" t="n">
        <f aca="false">Settings!$B$4*MAX(INDEX(Bases!$P$2:$P$53,B781),INDEX(Bases!$P$2:$P$53,C781))+Settings!$B$5*MIN(INDEX(Bases!$P$2:$P$53,B781),INDEX(Bases!$P$2:$P$53,C781))</f>
        <v>57.3333333333333</v>
      </c>
      <c r="W781" s="2" t="n">
        <f aca="false">Settings!$B$4*MAX(INDEX(Bases!$Q$2:$Q$53,B781),INDEX(Bases!$Q$2:$Q$53,C781))+Settings!$B$5*MIN(INDEX(Bases!$Q$2:$Q$53,B781),INDEX(Bases!$Q$2:$Q$53,C781))</f>
        <v>71</v>
      </c>
      <c r="X781" s="2" t="n">
        <f aca="false">Settings!$B$4*MAX(INDEX(Bases!$R$2:$R$53,B781),INDEX(Bases!$R$2:$R$53,C781))+Settings!$B$5*MIN(INDEX(Bases!$R$2:$R$53,B781),INDEX(Bases!$R$2:$R$53,C781))</f>
        <v>73</v>
      </c>
      <c r="Y781" s="2" t="n">
        <f aca="false">S781*Settings!$B$3/SUM(S781:X781)</f>
        <v>60.4265402843602</v>
      </c>
      <c r="Z781" s="2" t="n">
        <f aca="false">T781*Settings!$B$3/SUM(S781:X781)</f>
        <v>122.037914691943</v>
      </c>
      <c r="AA781" s="2" t="n">
        <f aca="false">U781*Settings!$B$3/SUM(S781:X781)</f>
        <v>78.9889415481833</v>
      </c>
      <c r="AB781" s="2" t="n">
        <f aca="false">V781*Settings!$B$3/SUM(S781:X781)</f>
        <v>67.9304897314376</v>
      </c>
      <c r="AC781" s="2" t="n">
        <f aca="false">W781*Settings!$B$3/SUM(S781:X781)</f>
        <v>84.1232227488152</v>
      </c>
      <c r="AD781" s="2" t="n">
        <f aca="false">X781*Settings!$B$3/SUM(S781:X781)</f>
        <v>86.4928909952607</v>
      </c>
      <c r="AE781" s="2" t="n">
        <f aca="false">INT(Y781)</f>
        <v>60</v>
      </c>
      <c r="AF781" s="2" t="n">
        <f aca="false">INT(Z781)</f>
        <v>122</v>
      </c>
      <c r="AG781" s="2" t="n">
        <f aca="false">INT(AA781)</f>
        <v>78</v>
      </c>
      <c r="AH781" s="2" t="n">
        <f aca="false">INT(AB781)</f>
        <v>67</v>
      </c>
      <c r="AI781" s="2" t="n">
        <f aca="false">INT(AC781)</f>
        <v>84</v>
      </c>
      <c r="AJ781" s="2" t="n">
        <f aca="false">INT(AD781)</f>
        <v>86</v>
      </c>
      <c r="AK781" s="2" t="n">
        <f aca="false">Settings!$B$3-SUM(AE781:AJ781)</f>
        <v>3</v>
      </c>
      <c r="AL781" s="2" t="n">
        <f aca="false">ROUND(Y781-AE781,9)</f>
        <v>0.426540284</v>
      </c>
      <c r="AM781" s="2" t="n">
        <f aca="false">ROUND(Z781-AF781,9)</f>
        <v>0.037914692</v>
      </c>
      <c r="AN781" s="2" t="n">
        <f aca="false">ROUND(AA781-AG781,9)</f>
        <v>0.988941548</v>
      </c>
      <c r="AO781" s="2" t="n">
        <f aca="false">ROUND(AB781-AH781,9)</f>
        <v>0.930489731</v>
      </c>
      <c r="AP781" s="2" t="n">
        <f aca="false">ROUND(AC781-AI781,9)</f>
        <v>0.123222749</v>
      </c>
      <c r="AQ781" s="2" t="n">
        <f aca="false">ROUND(AD781-AJ781,9)</f>
        <v>0.492890995</v>
      </c>
    </row>
    <row r="782" customFormat="false" ht="15" hidden="false" customHeight="false" outlineLevel="0" collapsed="false">
      <c r="A782" s="2" t="n">
        <v>781</v>
      </c>
      <c r="B782" s="6" t="n">
        <v>19</v>
      </c>
      <c r="C782" s="6" t="n">
        <v>35</v>
      </c>
      <c r="D782" s="8" t="str">
        <f aca="false">INDEX(Bases!$B$2:$B$53,B782)</f>
        <v>Mankey</v>
      </c>
      <c r="E782" s="8" t="str">
        <f aca="false">INDEX(Bases!$B$2:$B$53,C782)</f>
        <v>Pineco</v>
      </c>
      <c r="F782" s="2" t="str">
        <f aca="false">LEFT(D782,ROUNDUP(LEN(D782)/2,0))&amp;LOWER(MID(E782,ROUNDUP(LEN(E782)/2,0)+1,20))</f>
        <v>Maneco</v>
      </c>
      <c r="G782" s="8" t="str">
        <f aca="false">INDEX(Bases!$C$2:$C$53,B782)</f>
        <v>Fighting</v>
      </c>
      <c r="H782" s="8" t="str">
        <f aca="false">IF(INDEX(Bases!$C$2:$C$53,C782)=G782,"",INDEX(Bases!$C$2:$C$53,C782))</f>
        <v>Bug</v>
      </c>
      <c r="I782" s="8" t="str">
        <f aca="false">IF(INDEX(Bases!$E$2:$E$53,B782)="","",INDEX(Bases!$E$2:$E$53,B782))</f>
        <v/>
      </c>
      <c r="J782" s="8" t="str">
        <f aca="false">IF(INDEX(Bases!$E$2:$E$53,C782)="","",INDEX(Bases!$E$2:$E$53,C782))</f>
        <v/>
      </c>
      <c r="K782" s="5"/>
      <c r="L782" s="2" t="n">
        <f aca="false">AE782+IF(SUMPRODUCT(--($AL782:$AQ782&gt;AL782))&lt;$AK782,1,0)</f>
        <v>73</v>
      </c>
      <c r="M782" s="2" t="n">
        <f aca="false">AF782+IF(SUMPRODUCT(--($AL782:$AQ782&gt;AM782))+SUMPRODUCT(--($AL782:AL782=AM782))&lt;$AK782,1,0)</f>
        <v>116</v>
      </c>
      <c r="N782" s="2" t="n">
        <f aca="false">AG782+IF(SUMPRODUCT(--($AL782:$AQ782&gt;AN782))+SUMPRODUCT(--($AL782:AM782=AN782))&lt;$AK782,1,0)</f>
        <v>113</v>
      </c>
      <c r="O782" s="2" t="n">
        <f aca="false">AH782+IF(SUMPRODUCT(--($AL782:$AQ782&gt;AO782))+SUMPRODUCT(--($AL782:AN782=AO782))&lt;$AK782,1,0)</f>
        <v>55</v>
      </c>
      <c r="P782" s="2" t="n">
        <f aca="false">AI782+IF(SUMPRODUCT(--($AL782:$AQ782&gt;AP782))+SUMPRODUCT(--($AL782:AO782=AP782))&lt;$AK782,1,0)</f>
        <v>64</v>
      </c>
      <c r="Q782" s="2" t="n">
        <f aca="false">AJ782+IF(SUMPRODUCT(--($AL782:$AQ782&gt;AQ782))+SUMPRODUCT(--($AL782:AP782=AQ782))&lt;$AK782,1,0)</f>
        <v>79</v>
      </c>
      <c r="R782" s="2" t="n">
        <f aca="false">SUM(L782:Q782)</f>
        <v>500</v>
      </c>
      <c r="S782" s="2" t="n">
        <f aca="false">Settings!$B$4*MAX(INDEX(Bases!$M$2:$M$53,B782),INDEX(Bases!$M$2:$M$53,C782))+Settings!$B$5*MIN(INDEX(Bases!$M$2:$M$53,B782),INDEX(Bases!$M$2:$M$53,C782))</f>
        <v>63.3333333333333</v>
      </c>
      <c r="T782" s="2" t="n">
        <f aca="false">Settings!$B$4*MAX(INDEX(Bases!$N$2:$N$53,B782),INDEX(Bases!$N$2:$N$53,C782))+Settings!$B$5*MIN(INDEX(Bases!$N$2:$N$53,B782),INDEX(Bases!$N$2:$N$53,C782))</f>
        <v>100</v>
      </c>
      <c r="U782" s="2" t="n">
        <f aca="false">Settings!$B$4*MAX(INDEX(Bases!$O$2:$O$53,B782),INDEX(Bases!$O$2:$O$53,C782))+Settings!$B$5*MIN(INDEX(Bases!$O$2:$O$53,B782),INDEX(Bases!$O$2:$O$53,C782))</f>
        <v>98</v>
      </c>
      <c r="V782" s="2" t="n">
        <f aca="false">Settings!$B$4*MAX(INDEX(Bases!$P$2:$P$53,B782),INDEX(Bases!$P$2:$P$53,C782))+Settings!$B$5*MIN(INDEX(Bases!$P$2:$P$53,B782),INDEX(Bases!$P$2:$P$53,C782))</f>
        <v>47.3333333333333</v>
      </c>
      <c r="W782" s="2" t="n">
        <f aca="false">Settings!$B$4*MAX(INDEX(Bases!$Q$2:$Q$53,B782),INDEX(Bases!$Q$2:$Q$53,C782))+Settings!$B$5*MIN(INDEX(Bases!$Q$2:$Q$53,B782),INDEX(Bases!$Q$2:$Q$53,C782))</f>
        <v>55.3333333333333</v>
      </c>
      <c r="X782" s="2" t="n">
        <f aca="false">Settings!$B$4*MAX(INDEX(Bases!$R$2:$R$53,B782),INDEX(Bases!$R$2:$R$53,C782))+Settings!$B$5*MIN(INDEX(Bases!$R$2:$R$53,B782),INDEX(Bases!$R$2:$R$53,C782))</f>
        <v>68.3333333333333</v>
      </c>
      <c r="Y782" s="2" t="n">
        <f aca="false">S782*Settings!$B$3/SUM(S782:X782)</f>
        <v>73.2459521973786</v>
      </c>
      <c r="Z782" s="2" t="n">
        <f aca="false">T782*Settings!$B$3/SUM(S782:X782)</f>
        <v>115.651503469545</v>
      </c>
      <c r="AA782" s="2" t="n">
        <f aca="false">U782*Settings!$B$3/SUM(S782:X782)</f>
        <v>113.338473400154</v>
      </c>
      <c r="AB782" s="2" t="n">
        <f aca="false">V782*Settings!$B$3/SUM(S782:X782)</f>
        <v>54.7417116422514</v>
      </c>
      <c r="AC782" s="2" t="n">
        <f aca="false">W782*Settings!$B$3/SUM(S782:X782)</f>
        <v>63.993831919815</v>
      </c>
      <c r="AD782" s="2" t="n">
        <f aca="false">X782*Settings!$B$3/SUM(S782:X782)</f>
        <v>79.0285273708558</v>
      </c>
      <c r="AE782" s="2" t="n">
        <f aca="false">INT(Y782)</f>
        <v>73</v>
      </c>
      <c r="AF782" s="2" t="n">
        <f aca="false">INT(Z782)</f>
        <v>115</v>
      </c>
      <c r="AG782" s="2" t="n">
        <f aca="false">INT(AA782)</f>
        <v>113</v>
      </c>
      <c r="AH782" s="2" t="n">
        <f aca="false">INT(AB782)</f>
        <v>54</v>
      </c>
      <c r="AI782" s="2" t="n">
        <f aca="false">INT(AC782)</f>
        <v>63</v>
      </c>
      <c r="AJ782" s="2" t="n">
        <f aca="false">INT(AD782)</f>
        <v>79</v>
      </c>
      <c r="AK782" s="2" t="n">
        <f aca="false">Settings!$B$3-SUM(AE782:AJ782)</f>
        <v>3</v>
      </c>
      <c r="AL782" s="2" t="n">
        <f aca="false">ROUND(Y782-AE782,9)</f>
        <v>0.245952197</v>
      </c>
      <c r="AM782" s="2" t="n">
        <f aca="false">ROUND(Z782-AF782,9)</f>
        <v>0.65150347</v>
      </c>
      <c r="AN782" s="2" t="n">
        <f aca="false">ROUND(AA782-AG782,9)</f>
        <v>0.3384734</v>
      </c>
      <c r="AO782" s="2" t="n">
        <f aca="false">ROUND(AB782-AH782,9)</f>
        <v>0.741711642</v>
      </c>
      <c r="AP782" s="2" t="n">
        <f aca="false">ROUND(AC782-AI782,9)</f>
        <v>0.99383192</v>
      </c>
      <c r="AQ782" s="2" t="n">
        <f aca="false">ROUND(AD782-AJ782,9)</f>
        <v>0.028527371</v>
      </c>
    </row>
    <row r="783" customFormat="false" ht="15" hidden="false" customHeight="false" outlineLevel="0" collapsed="false">
      <c r="A783" s="2" t="n">
        <v>782</v>
      </c>
      <c r="B783" s="6" t="n">
        <v>19</v>
      </c>
      <c r="C783" s="6" t="n">
        <v>36</v>
      </c>
      <c r="D783" s="8" t="str">
        <f aca="false">INDEX(Bases!$B$2:$B$53,B783)</f>
        <v>Mankey</v>
      </c>
      <c r="E783" s="8" t="str">
        <f aca="false">INDEX(Bases!$B$2:$B$53,C783)</f>
        <v>Wurmple</v>
      </c>
      <c r="F783" s="2" t="str">
        <f aca="false">LEFT(D783,ROUNDUP(LEN(D783)/2,0))&amp;LOWER(MID(E783,ROUNDUP(LEN(E783)/2,0)+1,20))</f>
        <v>Manple</v>
      </c>
      <c r="G783" s="8" t="str">
        <f aca="false">INDEX(Bases!$C$2:$C$53,B783)</f>
        <v>Fighting</v>
      </c>
      <c r="H783" s="8" t="str">
        <f aca="false">IF(INDEX(Bases!$C$2:$C$53,C783)=G783,"",INDEX(Bases!$C$2:$C$53,C783))</f>
        <v>Bug</v>
      </c>
      <c r="I783" s="8" t="str">
        <f aca="false">IF(INDEX(Bases!$E$2:$E$53,B783)="","",INDEX(Bases!$E$2:$E$53,B783))</f>
        <v/>
      </c>
      <c r="J783" s="8" t="str">
        <f aca="false">IF(INDEX(Bases!$E$2:$E$53,C783)="","",INDEX(Bases!$E$2:$E$53,C783))</f>
        <v/>
      </c>
      <c r="K783" s="5"/>
      <c r="L783" s="2" t="n">
        <f aca="false">AE783+IF(SUMPRODUCT(--($AL783:$AQ783&gt;AL783))&lt;$AK783,1,0)</f>
        <v>93</v>
      </c>
      <c r="M783" s="2" t="n">
        <f aca="false">AF783+IF(SUMPRODUCT(--($AL783:$AQ783&gt;AM783))+SUMPRODUCT(--($AL783:AL783=AM783))&lt;$AK783,1,0)</f>
        <v>119</v>
      </c>
      <c r="N783" s="2" t="n">
        <f aca="false">AG783+IF(SUMPRODUCT(--($AL783:$AQ783&gt;AN783))+SUMPRODUCT(--($AL783:AM783=AN783))&lt;$AK783,1,0)</f>
        <v>75</v>
      </c>
      <c r="O783" s="2" t="n">
        <f aca="false">AH783+IF(SUMPRODUCT(--($AL783:$AQ783&gt;AO783))+SUMPRODUCT(--($AL783:AN783=AO783))&lt;$AK783,1,0)</f>
        <v>52</v>
      </c>
      <c r="P783" s="2" t="n">
        <f aca="false">AI783+IF(SUMPRODUCT(--($AL783:$AQ783&gt;AP783))+SUMPRODUCT(--($AL783:AO783=AP783))&lt;$AK783,1,0)</f>
        <v>72</v>
      </c>
      <c r="Q783" s="2" t="n">
        <f aca="false">AJ783+IF(SUMPRODUCT(--($AL783:$AQ783&gt;AQ783))+SUMPRODUCT(--($AL783:AP783=AQ783))&lt;$AK783,1,0)</f>
        <v>89</v>
      </c>
      <c r="R783" s="2" t="n">
        <f aca="false">SUM(L783:Q783)</f>
        <v>500</v>
      </c>
      <c r="S783" s="2" t="n">
        <f aca="false">Settings!$B$4*MAX(INDEX(Bases!$M$2:$M$53,B783),INDEX(Bases!$M$2:$M$53,C783))+Settings!$B$5*MIN(INDEX(Bases!$M$2:$M$53,B783),INDEX(Bases!$M$2:$M$53,C783))</f>
        <v>78.6666666666667</v>
      </c>
      <c r="T783" s="2" t="n">
        <f aca="false">Settings!$B$4*MAX(INDEX(Bases!$N$2:$N$53,B783),INDEX(Bases!$N$2:$N$53,C783))+Settings!$B$5*MIN(INDEX(Bases!$N$2:$N$53,B783),INDEX(Bases!$N$2:$N$53,C783))</f>
        <v>100.666666666667</v>
      </c>
      <c r="U783" s="2" t="n">
        <f aca="false">Settings!$B$4*MAX(INDEX(Bases!$O$2:$O$53,B783),INDEX(Bases!$O$2:$O$53,C783))+Settings!$B$5*MIN(INDEX(Bases!$O$2:$O$53,B783),INDEX(Bases!$O$2:$O$53,C783))</f>
        <v>63.3333333333333</v>
      </c>
      <c r="V783" s="2" t="n">
        <f aca="false">Settings!$B$4*MAX(INDEX(Bases!$P$2:$P$53,B783),INDEX(Bases!$P$2:$P$53,C783))+Settings!$B$5*MIN(INDEX(Bases!$P$2:$P$53,B783),INDEX(Bases!$P$2:$P$53,C783))</f>
        <v>44.3333333333333</v>
      </c>
      <c r="W783" s="2" t="n">
        <f aca="false">Settings!$B$4*MAX(INDEX(Bases!$Q$2:$Q$53,B783),INDEX(Bases!$Q$2:$Q$53,C783))+Settings!$B$5*MIN(INDEX(Bases!$Q$2:$Q$53,B783),INDEX(Bases!$Q$2:$Q$53,C783))</f>
        <v>61</v>
      </c>
      <c r="X783" s="2" t="n">
        <f aca="false">Settings!$B$4*MAX(INDEX(Bases!$R$2:$R$53,B783),INDEX(Bases!$R$2:$R$53,C783))+Settings!$B$5*MIN(INDEX(Bases!$R$2:$R$53,B783),INDEX(Bases!$R$2:$R$53,C783))</f>
        <v>75</v>
      </c>
      <c r="Y783" s="2" t="n">
        <f aca="false">S783*Settings!$B$3/SUM(S783:X783)</f>
        <v>92.9866036249015</v>
      </c>
      <c r="Z783" s="2" t="n">
        <f aca="false">T783*Settings!$B$3/SUM(S783:X783)</f>
        <v>118.991331757289</v>
      </c>
      <c r="AA783" s="2" t="n">
        <f aca="false">U783*Settings!$B$3/SUM(S783:X783)</f>
        <v>74.8620961386919</v>
      </c>
      <c r="AB783" s="2" t="n">
        <f aca="false">V783*Settings!$B$3/SUM(S783:X783)</f>
        <v>52.4034672970843</v>
      </c>
      <c r="AC783" s="2" t="n">
        <f aca="false">W783*Settings!$B$3/SUM(S783:X783)</f>
        <v>72.1040189125296</v>
      </c>
      <c r="AD783" s="2" t="n">
        <f aca="false">X783*Settings!$B$3/SUM(S783:X783)</f>
        <v>88.6524822695036</v>
      </c>
      <c r="AE783" s="2" t="n">
        <f aca="false">INT(Y783)</f>
        <v>92</v>
      </c>
      <c r="AF783" s="2" t="n">
        <f aca="false">INT(Z783)</f>
        <v>118</v>
      </c>
      <c r="AG783" s="2" t="n">
        <f aca="false">INT(AA783)</f>
        <v>74</v>
      </c>
      <c r="AH783" s="2" t="n">
        <f aca="false">INT(AB783)</f>
        <v>52</v>
      </c>
      <c r="AI783" s="2" t="n">
        <f aca="false">INT(AC783)</f>
        <v>72</v>
      </c>
      <c r="AJ783" s="2" t="n">
        <f aca="false">INT(AD783)</f>
        <v>88</v>
      </c>
      <c r="AK783" s="2" t="n">
        <f aca="false">Settings!$B$3-SUM(AE783:AJ783)</f>
        <v>4</v>
      </c>
      <c r="AL783" s="2" t="n">
        <f aca="false">ROUND(Y783-AE783,9)</f>
        <v>0.986603625</v>
      </c>
      <c r="AM783" s="2" t="n">
        <f aca="false">ROUND(Z783-AF783,9)</f>
        <v>0.991331757</v>
      </c>
      <c r="AN783" s="2" t="n">
        <f aca="false">ROUND(AA783-AG783,9)</f>
        <v>0.862096139</v>
      </c>
      <c r="AO783" s="2" t="n">
        <f aca="false">ROUND(AB783-AH783,9)</f>
        <v>0.403467297</v>
      </c>
      <c r="AP783" s="2" t="n">
        <f aca="false">ROUND(AC783-AI783,9)</f>
        <v>0.104018913</v>
      </c>
      <c r="AQ783" s="2" t="n">
        <f aca="false">ROUND(AD783-AJ783,9)</f>
        <v>0.65248227</v>
      </c>
    </row>
    <row r="784" customFormat="false" ht="15" hidden="false" customHeight="false" outlineLevel="0" collapsed="false">
      <c r="A784" s="2" t="n">
        <v>783</v>
      </c>
      <c r="B784" s="6" t="n">
        <v>19</v>
      </c>
      <c r="C784" s="6" t="n">
        <v>37</v>
      </c>
      <c r="D784" s="8" t="str">
        <f aca="false">INDEX(Bases!$B$2:$B$53,B784)</f>
        <v>Mankey</v>
      </c>
      <c r="E784" s="8" t="str">
        <f aca="false">INDEX(Bases!$B$2:$B$53,C784)</f>
        <v>Shuckle</v>
      </c>
      <c r="F784" s="2" t="str">
        <f aca="false">LEFT(D784,ROUNDUP(LEN(D784)/2,0))&amp;LOWER(MID(E784,ROUNDUP(LEN(E784)/2,0)+1,20))</f>
        <v>Mankle</v>
      </c>
      <c r="G784" s="8" t="str">
        <f aca="false">INDEX(Bases!$C$2:$C$53,B784)</f>
        <v>Fighting</v>
      </c>
      <c r="H784" s="8" t="str">
        <f aca="false">IF(INDEX(Bases!$C$2:$C$53,C784)=G784,"",INDEX(Bases!$C$2:$C$53,C784))</f>
        <v>Rock</v>
      </c>
      <c r="I784" s="8" t="str">
        <f aca="false">IF(INDEX(Bases!$E$2:$E$53,B784)="","",INDEX(Bases!$E$2:$E$53,B784))</f>
        <v/>
      </c>
      <c r="J784" s="8" t="str">
        <f aca="false">IF(INDEX(Bases!$E$2:$E$53,C784)="","",INDEX(Bases!$E$2:$E$53,C784))</f>
        <v/>
      </c>
      <c r="K784" s="5"/>
      <c r="L784" s="2" t="n">
        <f aca="false">AE784+IF(SUMPRODUCT(--($AL784:$AQ784&gt;AL784))&lt;$AK784,1,0)</f>
        <v>41</v>
      </c>
      <c r="M784" s="2" t="n">
        <f aca="false">AF784+IF(SUMPRODUCT(--($AL784:$AQ784&gt;AM784))+SUMPRODUCT(--($AL784:AL784=AM784))&lt;$AK784,1,0)</f>
        <v>75</v>
      </c>
      <c r="N784" s="2" t="n">
        <f aca="false">AG784+IF(SUMPRODUCT(--($AL784:$AQ784&gt;AN784))+SUMPRODUCT(--($AL784:AM784=AN784))&lt;$AK784,1,0)</f>
        <v>141</v>
      </c>
      <c r="O784" s="2" t="n">
        <f aca="false">AH784+IF(SUMPRODUCT(--($AL784:$AQ784&gt;AO784))+SUMPRODUCT(--($AL784:AN784=AO784))&lt;$AK784,1,0)</f>
        <v>34</v>
      </c>
      <c r="P784" s="2" t="n">
        <f aca="false">AI784+IF(SUMPRODUCT(--($AL784:$AQ784&gt;AP784))+SUMPRODUCT(--($AL784:AO784=AP784))&lt;$AK784,1,0)</f>
        <v>145</v>
      </c>
      <c r="Q784" s="2" t="n">
        <f aca="false">AJ784+IF(SUMPRODUCT(--($AL784:$AQ784&gt;AQ784))+SUMPRODUCT(--($AL784:AP784=AQ784))&lt;$AK784,1,0)</f>
        <v>64</v>
      </c>
      <c r="R784" s="2" t="n">
        <f aca="false">SUM(L784:Q784)</f>
        <v>500</v>
      </c>
      <c r="S784" s="2" t="n">
        <f aca="false">Settings!$B$4*MAX(INDEX(Bases!$M$2:$M$53,B784),INDEX(Bases!$M$2:$M$53,C784))+Settings!$B$5*MIN(INDEX(Bases!$M$2:$M$53,B784),INDEX(Bases!$M$2:$M$53,C784))</f>
        <v>40</v>
      </c>
      <c r="T784" s="2" t="n">
        <f aca="false">Settings!$B$4*MAX(INDEX(Bases!$N$2:$N$53,B784),INDEX(Bases!$N$2:$N$53,C784))+Settings!$B$5*MIN(INDEX(Bases!$N$2:$N$53,B784),INDEX(Bases!$N$2:$N$53,C784))</f>
        <v>72.6666666666667</v>
      </c>
      <c r="U784" s="2" t="n">
        <f aca="false">Settings!$B$4*MAX(INDEX(Bases!$O$2:$O$53,B784),INDEX(Bases!$O$2:$O$53,C784))+Settings!$B$5*MIN(INDEX(Bases!$O$2:$O$53,B784),INDEX(Bases!$O$2:$O$53,C784))</f>
        <v>136.666666666667</v>
      </c>
      <c r="V784" s="2" t="n">
        <f aca="false">Settings!$B$4*MAX(INDEX(Bases!$P$2:$P$53,B784),INDEX(Bases!$P$2:$P$53,C784))+Settings!$B$5*MIN(INDEX(Bases!$P$2:$P$53,B784),INDEX(Bases!$P$2:$P$53,C784))</f>
        <v>33.3333333333333</v>
      </c>
      <c r="W784" s="2" t="n">
        <f aca="false">Settings!$B$4*MAX(INDEX(Bases!$Q$2:$Q$53,B784),INDEX(Bases!$Q$2:$Q$53,C784))+Settings!$B$5*MIN(INDEX(Bases!$Q$2:$Q$53,B784),INDEX(Bases!$Q$2:$Q$53,C784))</f>
        <v>141</v>
      </c>
      <c r="X784" s="2" t="n">
        <f aca="false">Settings!$B$4*MAX(INDEX(Bases!$R$2:$R$53,B784),INDEX(Bases!$R$2:$R$53,C784))+Settings!$B$5*MIN(INDEX(Bases!$R$2:$R$53,B784),INDEX(Bases!$R$2:$R$53,C784))</f>
        <v>62.6666666666667</v>
      </c>
      <c r="Y784" s="2" t="n">
        <f aca="false">S784*Settings!$B$3/SUM(S784:X784)</f>
        <v>41.1240575736806</v>
      </c>
      <c r="Z784" s="2" t="n">
        <f aca="false">T784*Settings!$B$3/SUM(S784:X784)</f>
        <v>74.7087045921864</v>
      </c>
      <c r="AA784" s="2" t="n">
        <f aca="false">U784*Settings!$B$3/SUM(S784:X784)</f>
        <v>140.507196710075</v>
      </c>
      <c r="AB784" s="2" t="n">
        <f aca="false">V784*Settings!$B$3/SUM(S784:X784)</f>
        <v>34.2700479780672</v>
      </c>
      <c r="AC784" s="2" t="n">
        <f aca="false">W784*Settings!$B$3/SUM(S784:X784)</f>
        <v>144.962302947224</v>
      </c>
      <c r="AD784" s="2" t="n">
        <f aca="false">X784*Settings!$B$3/SUM(S784:X784)</f>
        <v>64.4276901987663</v>
      </c>
      <c r="AE784" s="2" t="n">
        <f aca="false">INT(Y784)</f>
        <v>41</v>
      </c>
      <c r="AF784" s="2" t="n">
        <f aca="false">INT(Z784)</f>
        <v>74</v>
      </c>
      <c r="AG784" s="2" t="n">
        <f aca="false">INT(AA784)</f>
        <v>140</v>
      </c>
      <c r="AH784" s="2" t="n">
        <f aca="false">INT(AB784)</f>
        <v>34</v>
      </c>
      <c r="AI784" s="2" t="n">
        <f aca="false">INT(AC784)</f>
        <v>144</v>
      </c>
      <c r="AJ784" s="2" t="n">
        <f aca="false">INT(AD784)</f>
        <v>64</v>
      </c>
      <c r="AK784" s="2" t="n">
        <f aca="false">Settings!$B$3-SUM(AE784:AJ784)</f>
        <v>3</v>
      </c>
      <c r="AL784" s="2" t="n">
        <f aca="false">ROUND(Y784-AE784,9)</f>
        <v>0.124057574</v>
      </c>
      <c r="AM784" s="2" t="n">
        <f aca="false">ROUND(Z784-AF784,9)</f>
        <v>0.708704592</v>
      </c>
      <c r="AN784" s="2" t="n">
        <f aca="false">ROUND(AA784-AG784,9)</f>
        <v>0.50719671</v>
      </c>
      <c r="AO784" s="2" t="n">
        <f aca="false">ROUND(AB784-AH784,9)</f>
        <v>0.270047978</v>
      </c>
      <c r="AP784" s="2" t="n">
        <f aca="false">ROUND(AC784-AI784,9)</f>
        <v>0.962302947</v>
      </c>
      <c r="AQ784" s="2" t="n">
        <f aca="false">ROUND(AD784-AJ784,9)</f>
        <v>0.427690199</v>
      </c>
    </row>
    <row r="785" customFormat="false" ht="15" hidden="false" customHeight="false" outlineLevel="0" collapsed="false">
      <c r="A785" s="2" t="n">
        <v>784</v>
      </c>
      <c r="B785" s="6" t="n">
        <v>19</v>
      </c>
      <c r="C785" s="6" t="n">
        <v>38</v>
      </c>
      <c r="D785" s="8" t="str">
        <f aca="false">INDEX(Bases!$B$2:$B$53,B785)</f>
        <v>Mankey</v>
      </c>
      <c r="E785" s="8" t="str">
        <f aca="false">INDEX(Bases!$B$2:$B$53,C785)</f>
        <v>Larvitar</v>
      </c>
      <c r="F785" s="2" t="str">
        <f aca="false">LEFT(D785,ROUNDUP(LEN(D785)/2,0))&amp;LOWER(MID(E785,ROUNDUP(LEN(E785)/2,0)+1,20))</f>
        <v>Manitar</v>
      </c>
      <c r="G785" s="8" t="str">
        <f aca="false">INDEX(Bases!$C$2:$C$53,B785)</f>
        <v>Fighting</v>
      </c>
      <c r="H785" s="8" t="str">
        <f aca="false">IF(INDEX(Bases!$C$2:$C$53,C785)=G785,"",INDEX(Bases!$C$2:$C$53,C785))</f>
        <v>Rock</v>
      </c>
      <c r="I785" s="8" t="str">
        <f aca="false">IF(INDEX(Bases!$E$2:$E$53,B785)="","",INDEX(Bases!$E$2:$E$53,B785))</f>
        <v/>
      </c>
      <c r="J785" s="8" t="str">
        <f aca="false">IF(INDEX(Bases!$E$2:$E$53,C785)="","",INDEX(Bases!$E$2:$E$53,C785))</f>
        <v/>
      </c>
      <c r="K785" s="5"/>
      <c r="L785" s="2" t="n">
        <f aca="false">AE785+IF(SUMPRODUCT(--($AL785:$AQ785&gt;AL785))&lt;$AK785,1,0)</f>
        <v>74</v>
      </c>
      <c r="M785" s="2" t="n">
        <f aca="false">AF785+IF(SUMPRODUCT(--($AL785:$AQ785&gt;AM785))+SUMPRODUCT(--($AL785:AL785=AM785))&lt;$AK785,1,0)</f>
        <v>117</v>
      </c>
      <c r="N785" s="2" t="n">
        <f aca="false">AG785+IF(SUMPRODUCT(--($AL785:$AQ785&gt;AN785))+SUMPRODUCT(--($AL785:AM785=AN785))&lt;$AK785,1,0)</f>
        <v>71</v>
      </c>
      <c r="O785" s="2" t="n">
        <f aca="false">AH785+IF(SUMPRODUCT(--($AL785:$AQ785&gt;AO785))+SUMPRODUCT(--($AL785:AN785=AO785))&lt;$AK785,1,0)</f>
        <v>66</v>
      </c>
      <c r="P785" s="2" t="n">
        <f aca="false">AI785+IF(SUMPRODUCT(--($AL785:$AQ785&gt;AP785))+SUMPRODUCT(--($AL785:AO785=AP785))&lt;$AK785,1,0)</f>
        <v>77</v>
      </c>
      <c r="Q785" s="2" t="n">
        <f aca="false">AJ785+IF(SUMPRODUCT(--($AL785:$AQ785&gt;AQ785))+SUMPRODUCT(--($AL785:AP785=AQ785))&lt;$AK785,1,0)</f>
        <v>95</v>
      </c>
      <c r="R785" s="2" t="n">
        <f aca="false">SUM(L785:Q785)</f>
        <v>500</v>
      </c>
      <c r="S785" s="2" t="n">
        <f aca="false">Settings!$B$4*MAX(INDEX(Bases!$M$2:$M$53,B785),INDEX(Bases!$M$2:$M$53,C785))+Settings!$B$5*MIN(INDEX(Bases!$M$2:$M$53,B785),INDEX(Bases!$M$2:$M$53,C785))</f>
        <v>62</v>
      </c>
      <c r="T785" s="2" t="n">
        <f aca="false">Settings!$B$4*MAX(INDEX(Bases!$N$2:$N$53,B785),INDEX(Bases!$N$2:$N$53,C785))+Settings!$B$5*MIN(INDEX(Bases!$N$2:$N$53,B785),INDEX(Bases!$N$2:$N$53,C785))</f>
        <v>98.3333333333333</v>
      </c>
      <c r="U785" s="2" t="n">
        <f aca="false">Settings!$B$4*MAX(INDEX(Bases!$O$2:$O$53,B785),INDEX(Bases!$O$2:$O$53,C785))+Settings!$B$5*MIN(INDEX(Bases!$O$2:$O$53,B785),INDEX(Bases!$O$2:$O$53,C785))</f>
        <v>60</v>
      </c>
      <c r="V785" s="2" t="n">
        <f aca="false">Settings!$B$4*MAX(INDEX(Bases!$P$2:$P$53,B785),INDEX(Bases!$P$2:$P$53,C785))+Settings!$B$5*MIN(INDEX(Bases!$P$2:$P$53,B785),INDEX(Bases!$P$2:$P$53,C785))</f>
        <v>55.3333333333333</v>
      </c>
      <c r="W785" s="2" t="n">
        <f aca="false">Settings!$B$4*MAX(INDEX(Bases!$Q$2:$Q$53,B785),INDEX(Bases!$Q$2:$Q$53,C785))+Settings!$B$5*MIN(INDEX(Bases!$Q$2:$Q$53,B785),INDEX(Bases!$Q$2:$Q$53,C785))</f>
        <v>64.3333333333333</v>
      </c>
      <c r="X785" s="2" t="n">
        <f aca="false">Settings!$B$4*MAX(INDEX(Bases!$R$2:$R$53,B785),INDEX(Bases!$R$2:$R$53,C785))+Settings!$B$5*MIN(INDEX(Bases!$R$2:$R$53,B785),INDEX(Bases!$R$2:$R$53,C785))</f>
        <v>79.3333333333333</v>
      </c>
      <c r="Y785" s="2" t="n">
        <f aca="false">S785*Settings!$B$3/SUM(S785:X785)</f>
        <v>73.9268680445151</v>
      </c>
      <c r="Z785" s="2" t="n">
        <f aca="false">T785*Settings!$B$3/SUM(S785:X785)</f>
        <v>117.24960254372</v>
      </c>
      <c r="AA785" s="2" t="n">
        <f aca="false">U785*Settings!$B$3/SUM(S785:X785)</f>
        <v>71.5421303656598</v>
      </c>
      <c r="AB785" s="2" t="n">
        <f aca="false">V785*Settings!$B$3/SUM(S785:X785)</f>
        <v>65.9777424483307</v>
      </c>
      <c r="AC785" s="2" t="n">
        <f aca="false">W785*Settings!$B$3/SUM(S785:X785)</f>
        <v>76.7090620031797</v>
      </c>
      <c r="AD785" s="2" t="n">
        <f aca="false">X785*Settings!$B$3/SUM(S785:X785)</f>
        <v>94.5945945945946</v>
      </c>
      <c r="AE785" s="2" t="n">
        <f aca="false">INT(Y785)</f>
        <v>73</v>
      </c>
      <c r="AF785" s="2" t="n">
        <f aca="false">INT(Z785)</f>
        <v>117</v>
      </c>
      <c r="AG785" s="2" t="n">
        <f aca="false">INT(AA785)</f>
        <v>71</v>
      </c>
      <c r="AH785" s="2" t="n">
        <f aca="false">INT(AB785)</f>
        <v>65</v>
      </c>
      <c r="AI785" s="2" t="n">
        <f aca="false">INT(AC785)</f>
        <v>76</v>
      </c>
      <c r="AJ785" s="2" t="n">
        <f aca="false">INT(AD785)</f>
        <v>94</v>
      </c>
      <c r="AK785" s="2" t="n">
        <f aca="false">Settings!$B$3-SUM(AE785:AJ785)</f>
        <v>4</v>
      </c>
      <c r="AL785" s="2" t="n">
        <f aca="false">ROUND(Y785-AE785,9)</f>
        <v>0.926868045</v>
      </c>
      <c r="AM785" s="2" t="n">
        <f aca="false">ROUND(Z785-AF785,9)</f>
        <v>0.249602544</v>
      </c>
      <c r="AN785" s="2" t="n">
        <f aca="false">ROUND(AA785-AG785,9)</f>
        <v>0.542130366</v>
      </c>
      <c r="AO785" s="2" t="n">
        <f aca="false">ROUND(AB785-AH785,9)</f>
        <v>0.977742448</v>
      </c>
      <c r="AP785" s="2" t="n">
        <f aca="false">ROUND(AC785-AI785,9)</f>
        <v>0.709062003</v>
      </c>
      <c r="AQ785" s="2" t="n">
        <f aca="false">ROUND(AD785-AJ785,9)</f>
        <v>0.594594595</v>
      </c>
    </row>
    <row r="786" customFormat="false" ht="15" hidden="false" customHeight="false" outlineLevel="0" collapsed="false">
      <c r="A786" s="2" t="n">
        <v>785</v>
      </c>
      <c r="B786" s="6" t="n">
        <v>19</v>
      </c>
      <c r="C786" s="6" t="n">
        <v>39</v>
      </c>
      <c r="D786" s="8" t="str">
        <f aca="false">INDEX(Bases!$B$2:$B$53,B786)</f>
        <v>Mankey</v>
      </c>
      <c r="E786" s="8" t="str">
        <f aca="false">INDEX(Bases!$B$2:$B$53,C786)</f>
        <v>Nosepass</v>
      </c>
      <c r="F786" s="2" t="str">
        <f aca="false">LEFT(D786,ROUNDUP(LEN(D786)/2,0))&amp;LOWER(MID(E786,ROUNDUP(LEN(E786)/2,0)+1,20))</f>
        <v>Manpass</v>
      </c>
      <c r="G786" s="8" t="str">
        <f aca="false">INDEX(Bases!$C$2:$C$53,B786)</f>
        <v>Fighting</v>
      </c>
      <c r="H786" s="8" t="str">
        <f aca="false">IF(INDEX(Bases!$C$2:$C$53,C786)=G786,"",INDEX(Bases!$C$2:$C$53,C786))</f>
        <v>Rock</v>
      </c>
      <c r="I786" s="8" t="str">
        <f aca="false">IF(INDEX(Bases!$E$2:$E$53,B786)="","",INDEX(Bases!$E$2:$E$53,B786))</f>
        <v/>
      </c>
      <c r="J786" s="8" t="str">
        <f aca="false">IF(INDEX(Bases!$E$2:$E$53,C786)="","",INDEX(Bases!$E$2:$E$53,C786))</f>
        <v/>
      </c>
      <c r="K786" s="5"/>
      <c r="L786" s="2" t="n">
        <f aca="false">AE786+IF(SUMPRODUCT(--($AL786:$AQ786&gt;AL786))&lt;$AK786,1,0)</f>
        <v>51</v>
      </c>
      <c r="M786" s="2" t="n">
        <f aca="false">AF786+IF(SUMPRODUCT(--($AL786:$AQ786&gt;AM786))+SUMPRODUCT(--($AL786:AL786=AM786))&lt;$AK786,1,0)</f>
        <v>96</v>
      </c>
      <c r="N786" s="2" t="n">
        <f aca="false">AG786+IF(SUMPRODUCT(--($AL786:$AQ786&gt;AN786))+SUMPRODUCT(--($AL786:AM786=AN786))&lt;$AK786,1,0)</f>
        <v>125</v>
      </c>
      <c r="O786" s="2" t="n">
        <f aca="false">AH786+IF(SUMPRODUCT(--($AL786:$AQ786&gt;AO786))+SUMPRODUCT(--($AL786:AN786=AO786))&lt;$AK786,1,0)</f>
        <v>53</v>
      </c>
      <c r="P786" s="2" t="n">
        <f aca="false">AI786+IF(SUMPRODUCT(--($AL786:$AQ786&gt;AP786))+SUMPRODUCT(--($AL786:AO786=AP786))&lt;$AK786,1,0)</f>
        <v>94</v>
      </c>
      <c r="Q786" s="2" t="n">
        <f aca="false">AJ786+IF(SUMPRODUCT(--($AL786:$AQ786&gt;AQ786))+SUMPRODUCT(--($AL786:AP786=AQ786))&lt;$AK786,1,0)</f>
        <v>81</v>
      </c>
      <c r="R786" s="2" t="n">
        <f aca="false">SUM(L786:Q786)</f>
        <v>500</v>
      </c>
      <c r="S786" s="2" t="n">
        <f aca="false">Settings!$B$4*MAX(INDEX(Bases!$M$2:$M$53,B786),INDEX(Bases!$M$2:$M$53,C786))+Settings!$B$5*MIN(INDEX(Bases!$M$2:$M$53,B786),INDEX(Bases!$M$2:$M$53,C786))</f>
        <v>45.3333333333333</v>
      </c>
      <c r="T786" s="2" t="n">
        <f aca="false">Settings!$B$4*MAX(INDEX(Bases!$N$2:$N$53,B786),INDEX(Bases!$N$2:$N$53,C786))+Settings!$B$5*MIN(INDEX(Bases!$N$2:$N$53,B786),INDEX(Bases!$N$2:$N$53,C786))</f>
        <v>86</v>
      </c>
      <c r="U786" s="2" t="n">
        <f aca="false">Settings!$B$4*MAX(INDEX(Bases!$O$2:$O$53,B786),INDEX(Bases!$O$2:$O$53,C786))+Settings!$B$5*MIN(INDEX(Bases!$O$2:$O$53,B786),INDEX(Bases!$O$2:$O$53,C786))</f>
        <v>111.333333333333</v>
      </c>
      <c r="V786" s="2" t="n">
        <f aca="false">Settings!$B$4*MAX(INDEX(Bases!$P$2:$P$53,B786),INDEX(Bases!$P$2:$P$53,C786))+Settings!$B$5*MIN(INDEX(Bases!$P$2:$P$53,B786),INDEX(Bases!$P$2:$P$53,C786))</f>
        <v>47.3333333333333</v>
      </c>
      <c r="W786" s="2" t="n">
        <f aca="false">Settings!$B$4*MAX(INDEX(Bases!$Q$2:$Q$53,B786),INDEX(Bases!$Q$2:$Q$53,C786))+Settings!$B$5*MIN(INDEX(Bases!$Q$2:$Q$53,B786),INDEX(Bases!$Q$2:$Q$53,C786))</f>
        <v>83.6666666666667</v>
      </c>
      <c r="X786" s="2" t="n">
        <f aca="false">Settings!$B$4*MAX(INDEX(Bases!$R$2:$R$53,B786),INDEX(Bases!$R$2:$R$53,C786))+Settings!$B$5*MIN(INDEX(Bases!$R$2:$R$53,B786),INDEX(Bases!$R$2:$R$53,C786))</f>
        <v>72</v>
      </c>
      <c r="Y786" s="2" t="n">
        <f aca="false">S786*Settings!$B$3/SUM(S786:X786)</f>
        <v>50.8601346297681</v>
      </c>
      <c r="Z786" s="2" t="n">
        <f aca="false">T786*Settings!$B$3/SUM(S786:X786)</f>
        <v>96.4846671652954</v>
      </c>
      <c r="AA786" s="2" t="n">
        <f aca="false">U786*Settings!$B$3/SUM(S786:X786)</f>
        <v>124.90650710546</v>
      </c>
      <c r="AB786" s="2" t="n">
        <f aca="false">V786*Settings!$B$3/SUM(S786:X786)</f>
        <v>53.1039640987285</v>
      </c>
      <c r="AC786" s="2" t="n">
        <f aca="false">W786*Settings!$B$3/SUM(S786:X786)</f>
        <v>93.866866118175</v>
      </c>
      <c r="AD786" s="2" t="n">
        <f aca="false">X786*Settings!$B$3/SUM(S786:X786)</f>
        <v>80.7778608825729</v>
      </c>
      <c r="AE786" s="2" t="n">
        <f aca="false">INT(Y786)</f>
        <v>50</v>
      </c>
      <c r="AF786" s="2" t="n">
        <f aca="false">INT(Z786)</f>
        <v>96</v>
      </c>
      <c r="AG786" s="2" t="n">
        <f aca="false">INT(AA786)</f>
        <v>124</v>
      </c>
      <c r="AH786" s="2" t="n">
        <f aca="false">INT(AB786)</f>
        <v>53</v>
      </c>
      <c r="AI786" s="2" t="n">
        <f aca="false">INT(AC786)</f>
        <v>93</v>
      </c>
      <c r="AJ786" s="2" t="n">
        <f aca="false">INT(AD786)</f>
        <v>80</v>
      </c>
      <c r="AK786" s="2" t="n">
        <f aca="false">Settings!$B$3-SUM(AE786:AJ786)</f>
        <v>4</v>
      </c>
      <c r="AL786" s="2" t="n">
        <f aca="false">ROUND(Y786-AE786,9)</f>
        <v>0.86013463</v>
      </c>
      <c r="AM786" s="2" t="n">
        <f aca="false">ROUND(Z786-AF786,9)</f>
        <v>0.484667165</v>
      </c>
      <c r="AN786" s="2" t="n">
        <f aca="false">ROUND(AA786-AG786,9)</f>
        <v>0.906507105</v>
      </c>
      <c r="AO786" s="2" t="n">
        <f aca="false">ROUND(AB786-AH786,9)</f>
        <v>0.103964099</v>
      </c>
      <c r="AP786" s="2" t="n">
        <f aca="false">ROUND(AC786-AI786,9)</f>
        <v>0.866866118</v>
      </c>
      <c r="AQ786" s="2" t="n">
        <f aca="false">ROUND(AD786-AJ786,9)</f>
        <v>0.777860883</v>
      </c>
    </row>
    <row r="787" customFormat="false" ht="15" hidden="false" customHeight="false" outlineLevel="0" collapsed="false">
      <c r="A787" s="2" t="n">
        <v>786</v>
      </c>
      <c r="B787" s="6" t="n">
        <v>19</v>
      </c>
      <c r="C787" s="6" t="n">
        <v>40</v>
      </c>
      <c r="D787" s="8" t="str">
        <f aca="false">INDEX(Bases!$B$2:$B$53,B787)</f>
        <v>Mankey</v>
      </c>
      <c r="E787" s="8" t="str">
        <f aca="false">INDEX(Bases!$B$2:$B$53,C787)</f>
        <v>Gastly</v>
      </c>
      <c r="F787" s="2" t="str">
        <f aca="false">LEFT(D787,ROUNDUP(LEN(D787)/2,0))&amp;LOWER(MID(E787,ROUNDUP(LEN(E787)/2,0)+1,20))</f>
        <v>Mantly</v>
      </c>
      <c r="G787" s="8" t="str">
        <f aca="false">INDEX(Bases!$C$2:$C$53,B787)</f>
        <v>Fighting</v>
      </c>
      <c r="H787" s="8" t="str">
        <f aca="false">IF(INDEX(Bases!$C$2:$C$53,C787)=G787,"",INDEX(Bases!$C$2:$C$53,C787))</f>
        <v>Ghost</v>
      </c>
      <c r="I787" s="8" t="str">
        <f aca="false">IF(INDEX(Bases!$E$2:$E$53,B787)="","",INDEX(Bases!$E$2:$E$53,B787))</f>
        <v/>
      </c>
      <c r="J787" s="8" t="str">
        <f aca="false">IF(INDEX(Bases!$E$2:$E$53,C787)="","",INDEX(Bases!$E$2:$E$53,C787))</f>
        <v/>
      </c>
      <c r="K787" s="5"/>
      <c r="L787" s="2" t="n">
        <f aca="false">AE787+IF(SUMPRODUCT(--($AL787:$AQ787&gt;AL787))&lt;$AK787,1,0)</f>
        <v>55</v>
      </c>
      <c r="M787" s="2" t="n">
        <f aca="false">AF787+IF(SUMPRODUCT(--($AL787:$AQ787&gt;AM787))+SUMPRODUCT(--($AL787:AL787=AM787))&lt;$AK787,1,0)</f>
        <v>99</v>
      </c>
      <c r="N787" s="2" t="n">
        <f aca="false">AG787+IF(SUMPRODUCT(--($AL787:$AQ787&gt;AN787))+SUMPRODUCT(--($AL787:AM787=AN787))&lt;$AK787,1,0)</f>
        <v>51</v>
      </c>
      <c r="O787" s="2" t="n">
        <f aca="false">AH787+IF(SUMPRODUCT(--($AL787:$AQ787&gt;AO787))+SUMPRODUCT(--($AL787:AN787=AO787))&lt;$AK787,1,0)</f>
        <v>117</v>
      </c>
      <c r="P787" s="2" t="n">
        <f aca="false">AI787+IF(SUMPRODUCT(--($AL787:$AQ787&gt;AP787))+SUMPRODUCT(--($AL787:AO787=AP787))&lt;$AK787,1,0)</f>
        <v>63</v>
      </c>
      <c r="Q787" s="2" t="n">
        <f aca="false">AJ787+IF(SUMPRODUCT(--($AL787:$AQ787&gt;AQ787))+SUMPRODUCT(--($AL787:AP787=AQ787))&lt;$AK787,1,0)</f>
        <v>115</v>
      </c>
      <c r="R787" s="2" t="n">
        <f aca="false">SUM(L787:Q787)</f>
        <v>500</v>
      </c>
      <c r="S787" s="2" t="n">
        <f aca="false">Settings!$B$4*MAX(INDEX(Bases!$M$2:$M$53,B787),INDEX(Bases!$M$2:$M$53,C787))+Settings!$B$5*MIN(INDEX(Bases!$M$2:$M$53,B787),INDEX(Bases!$M$2:$M$53,C787))</f>
        <v>47.6666666666667</v>
      </c>
      <c r="T787" s="2" t="n">
        <f aca="false">Settings!$B$4*MAX(INDEX(Bases!$N$2:$N$53,B787),INDEX(Bases!$N$2:$N$53,C787))+Settings!$B$5*MIN(INDEX(Bases!$N$2:$N$53,B787),INDEX(Bases!$N$2:$N$53,C787))</f>
        <v>85</v>
      </c>
      <c r="U787" s="2" t="n">
        <f aca="false">Settings!$B$4*MAX(INDEX(Bases!$O$2:$O$53,B787),INDEX(Bases!$O$2:$O$53,C787))+Settings!$B$5*MIN(INDEX(Bases!$O$2:$O$53,B787),INDEX(Bases!$O$2:$O$53,C787))</f>
        <v>43.6666666666667</v>
      </c>
      <c r="V787" s="2" t="n">
        <f aca="false">Settings!$B$4*MAX(INDEX(Bases!$P$2:$P$53,B787),INDEX(Bases!$P$2:$P$53,C787))+Settings!$B$5*MIN(INDEX(Bases!$P$2:$P$53,B787),INDEX(Bases!$P$2:$P$53,C787))</f>
        <v>101.333333333333</v>
      </c>
      <c r="W787" s="2" t="n">
        <f aca="false">Settings!$B$4*MAX(INDEX(Bases!$Q$2:$Q$53,B787),INDEX(Bases!$Q$2:$Q$53,C787))+Settings!$B$5*MIN(INDEX(Bases!$Q$2:$Q$53,B787),INDEX(Bases!$Q$2:$Q$53,C787))</f>
        <v>54.3333333333333</v>
      </c>
      <c r="X787" s="2" t="n">
        <f aca="false">Settings!$B$4*MAX(INDEX(Bases!$R$2:$R$53,B787),INDEX(Bases!$R$2:$R$53,C787))+Settings!$B$5*MIN(INDEX(Bases!$R$2:$R$53,B787),INDEX(Bases!$R$2:$R$53,C787))</f>
        <v>99.3333333333333</v>
      </c>
      <c r="Y787" s="2" t="n">
        <f aca="false">S787*Settings!$B$3/SUM(S787:X787)</f>
        <v>55.2550231839258</v>
      </c>
      <c r="Z787" s="2" t="n">
        <f aca="false">T787*Settings!$B$3/SUM(S787:X787)</f>
        <v>98.531684698609</v>
      </c>
      <c r="AA787" s="2" t="n">
        <f aca="false">U787*Settings!$B$3/SUM(S787:X787)</f>
        <v>50.6182380216383</v>
      </c>
      <c r="AB787" s="2" t="n">
        <f aca="false">V787*Settings!$B$3/SUM(S787:X787)</f>
        <v>117.465224111283</v>
      </c>
      <c r="AC787" s="2" t="n">
        <f aca="false">W787*Settings!$B$3/SUM(S787:X787)</f>
        <v>62.9829984544049</v>
      </c>
      <c r="AD787" s="2" t="n">
        <f aca="false">X787*Settings!$B$3/SUM(S787:X787)</f>
        <v>115.146831530139</v>
      </c>
      <c r="AE787" s="2" t="n">
        <f aca="false">INT(Y787)</f>
        <v>55</v>
      </c>
      <c r="AF787" s="2" t="n">
        <f aca="false">INT(Z787)</f>
        <v>98</v>
      </c>
      <c r="AG787" s="2" t="n">
        <f aca="false">INT(AA787)</f>
        <v>50</v>
      </c>
      <c r="AH787" s="2" t="n">
        <f aca="false">INT(AB787)</f>
        <v>117</v>
      </c>
      <c r="AI787" s="2" t="n">
        <f aca="false">INT(AC787)</f>
        <v>62</v>
      </c>
      <c r="AJ787" s="2" t="n">
        <f aca="false">INT(AD787)</f>
        <v>115</v>
      </c>
      <c r="AK787" s="2" t="n">
        <f aca="false">Settings!$B$3-SUM(AE787:AJ787)</f>
        <v>3</v>
      </c>
      <c r="AL787" s="2" t="n">
        <f aca="false">ROUND(Y787-AE787,9)</f>
        <v>0.255023184</v>
      </c>
      <c r="AM787" s="2" t="n">
        <f aca="false">ROUND(Z787-AF787,9)</f>
        <v>0.531684699</v>
      </c>
      <c r="AN787" s="2" t="n">
        <f aca="false">ROUND(AA787-AG787,9)</f>
        <v>0.618238022</v>
      </c>
      <c r="AO787" s="2" t="n">
        <f aca="false">ROUND(AB787-AH787,9)</f>
        <v>0.465224111</v>
      </c>
      <c r="AP787" s="2" t="n">
        <f aca="false">ROUND(AC787-AI787,9)</f>
        <v>0.982998454</v>
      </c>
      <c r="AQ787" s="2" t="n">
        <f aca="false">ROUND(AD787-AJ787,9)</f>
        <v>0.14683153</v>
      </c>
    </row>
    <row r="788" customFormat="false" ht="15" hidden="false" customHeight="false" outlineLevel="0" collapsed="false">
      <c r="A788" s="2" t="n">
        <v>787</v>
      </c>
      <c r="B788" s="6" t="n">
        <v>19</v>
      </c>
      <c r="C788" s="6" t="n">
        <v>41</v>
      </c>
      <c r="D788" s="8" t="str">
        <f aca="false">INDEX(Bases!$B$2:$B$53,B788)</f>
        <v>Mankey</v>
      </c>
      <c r="E788" s="8" t="str">
        <f aca="false">INDEX(Bases!$B$2:$B$53,C788)</f>
        <v>Misdreavus</v>
      </c>
      <c r="F788" s="2" t="str">
        <f aca="false">LEFT(D788,ROUNDUP(LEN(D788)/2,0))&amp;LOWER(MID(E788,ROUNDUP(LEN(E788)/2,0)+1,20))</f>
        <v>Maneavus</v>
      </c>
      <c r="G788" s="8" t="str">
        <f aca="false">INDEX(Bases!$C$2:$C$53,B788)</f>
        <v>Fighting</v>
      </c>
      <c r="H788" s="8" t="str">
        <f aca="false">IF(INDEX(Bases!$C$2:$C$53,C788)=G788,"",INDEX(Bases!$C$2:$C$53,C788))</f>
        <v>Ghost</v>
      </c>
      <c r="I788" s="8" t="str">
        <f aca="false">IF(INDEX(Bases!$E$2:$E$53,B788)="","",INDEX(Bases!$E$2:$E$53,B788))</f>
        <v/>
      </c>
      <c r="J788" s="8" t="str">
        <f aca="false">IF(INDEX(Bases!$E$2:$E$53,C788)="","",INDEX(Bases!$E$2:$E$53,C788))</f>
        <v/>
      </c>
      <c r="K788" s="5"/>
      <c r="L788" s="2" t="n">
        <f aca="false">AE788+IF(SUMPRODUCT(--($AL788:$AQ788&gt;AL788))&lt;$AK788,1,0)</f>
        <v>65</v>
      </c>
      <c r="M788" s="2" t="n">
        <f aca="false">AF788+IF(SUMPRODUCT(--($AL788:$AQ788&gt;AM788))+SUMPRODUCT(--($AL788:AL788=AM788))&lt;$AK788,1,0)</f>
        <v>105</v>
      </c>
      <c r="N788" s="2" t="n">
        <f aca="false">AG788+IF(SUMPRODUCT(--($AL788:$AQ788&gt;AN788))+SUMPRODUCT(--($AL788:AM788=AN788))&lt;$AK788,1,0)</f>
        <v>62</v>
      </c>
      <c r="O788" s="2" t="n">
        <f aca="false">AH788+IF(SUMPRODUCT(--($AL788:$AQ788&gt;AO788))+SUMPRODUCT(--($AL788:AN788=AO788))&lt;$AK788,1,0)</f>
        <v>80</v>
      </c>
      <c r="P788" s="2" t="n">
        <f aca="false">AI788+IF(SUMPRODUCT(--($AL788:$AQ788&gt;AP788))+SUMPRODUCT(--($AL788:AO788=AP788))&lt;$AK788,1,0)</f>
        <v>85</v>
      </c>
      <c r="Q788" s="2" t="n">
        <f aca="false">AJ788+IF(SUMPRODUCT(--($AL788:$AQ788&gt;AQ788))+SUMPRODUCT(--($AL788:AP788=AQ788))&lt;$AK788,1,0)</f>
        <v>103</v>
      </c>
      <c r="R788" s="2" t="n">
        <f aca="false">SUM(L788:Q788)</f>
        <v>500</v>
      </c>
      <c r="S788" s="2" t="n">
        <f aca="false">Settings!$B$4*MAX(INDEX(Bases!$M$2:$M$53,B788),INDEX(Bases!$M$2:$M$53,C788))+Settings!$B$5*MIN(INDEX(Bases!$M$2:$M$53,B788),INDEX(Bases!$M$2:$M$53,C788))</f>
        <v>54.6666666666667</v>
      </c>
      <c r="T788" s="2" t="n">
        <f aca="false">Settings!$B$4*MAX(INDEX(Bases!$N$2:$N$53,B788),INDEX(Bases!$N$2:$N$53,C788))+Settings!$B$5*MIN(INDEX(Bases!$N$2:$N$53,B788),INDEX(Bases!$N$2:$N$53,C788))</f>
        <v>88.3333333333333</v>
      </c>
      <c r="U788" s="2" t="n">
        <f aca="false">Settings!$B$4*MAX(INDEX(Bases!$O$2:$O$53,B788),INDEX(Bases!$O$2:$O$53,C788))+Settings!$B$5*MIN(INDEX(Bases!$O$2:$O$53,B788),INDEX(Bases!$O$2:$O$53,C788))</f>
        <v>52</v>
      </c>
      <c r="V788" s="2" t="n">
        <f aca="false">Settings!$B$4*MAX(INDEX(Bases!$P$2:$P$53,B788),INDEX(Bases!$P$2:$P$53,C788))+Settings!$B$5*MIN(INDEX(Bases!$P$2:$P$53,B788),INDEX(Bases!$P$2:$P$53,C788))</f>
        <v>67.3333333333333</v>
      </c>
      <c r="W788" s="2" t="n">
        <f aca="false">Settings!$B$4*MAX(INDEX(Bases!$Q$2:$Q$53,B788),INDEX(Bases!$Q$2:$Q$53,C788))+Settings!$B$5*MIN(INDEX(Bases!$Q$2:$Q$53,B788),INDEX(Bases!$Q$2:$Q$53,C788))</f>
        <v>71.6666666666667</v>
      </c>
      <c r="X788" s="2" t="n">
        <f aca="false">Settings!$B$4*MAX(INDEX(Bases!$R$2:$R$53,B788),INDEX(Bases!$R$2:$R$53,C788))+Settings!$B$5*MIN(INDEX(Bases!$R$2:$R$53,B788),INDEX(Bases!$R$2:$R$53,C788))</f>
        <v>87.3333333333333</v>
      </c>
      <c r="Y788" s="2" t="n">
        <f aca="false">S788*Settings!$B$3/SUM(S788:X788)</f>
        <v>64.873417721519</v>
      </c>
      <c r="Z788" s="2" t="n">
        <f aca="false">T788*Settings!$B$3/SUM(S788:X788)</f>
        <v>104.825949367089</v>
      </c>
      <c r="AA788" s="2" t="n">
        <f aca="false">U788*Settings!$B$3/SUM(S788:X788)</f>
        <v>61.7088607594937</v>
      </c>
      <c r="AB788" s="2" t="n">
        <f aca="false">V788*Settings!$B$3/SUM(S788:X788)</f>
        <v>79.9050632911393</v>
      </c>
      <c r="AC788" s="2" t="n">
        <f aca="false">W788*Settings!$B$3/SUM(S788:X788)</f>
        <v>85.0474683544304</v>
      </c>
      <c r="AD788" s="2" t="n">
        <f aca="false">X788*Settings!$B$3/SUM(S788:X788)</f>
        <v>103.639240506329</v>
      </c>
      <c r="AE788" s="2" t="n">
        <f aca="false">INT(Y788)</f>
        <v>64</v>
      </c>
      <c r="AF788" s="2" t="n">
        <f aca="false">INT(Z788)</f>
        <v>104</v>
      </c>
      <c r="AG788" s="2" t="n">
        <f aca="false">INT(AA788)</f>
        <v>61</v>
      </c>
      <c r="AH788" s="2" t="n">
        <f aca="false">INT(AB788)</f>
        <v>79</v>
      </c>
      <c r="AI788" s="2" t="n">
        <f aca="false">INT(AC788)</f>
        <v>85</v>
      </c>
      <c r="AJ788" s="2" t="n">
        <f aca="false">INT(AD788)</f>
        <v>103</v>
      </c>
      <c r="AK788" s="2" t="n">
        <f aca="false">Settings!$B$3-SUM(AE788:AJ788)</f>
        <v>4</v>
      </c>
      <c r="AL788" s="2" t="n">
        <f aca="false">ROUND(Y788-AE788,9)</f>
        <v>0.873417722</v>
      </c>
      <c r="AM788" s="2" t="n">
        <f aca="false">ROUND(Z788-AF788,9)</f>
        <v>0.825949367</v>
      </c>
      <c r="AN788" s="2" t="n">
        <f aca="false">ROUND(AA788-AG788,9)</f>
        <v>0.708860759</v>
      </c>
      <c r="AO788" s="2" t="n">
        <f aca="false">ROUND(AB788-AH788,9)</f>
        <v>0.905063291</v>
      </c>
      <c r="AP788" s="2" t="n">
        <f aca="false">ROUND(AC788-AI788,9)</f>
        <v>0.047468354</v>
      </c>
      <c r="AQ788" s="2" t="n">
        <f aca="false">ROUND(AD788-AJ788,9)</f>
        <v>0.639240506</v>
      </c>
    </row>
    <row r="789" customFormat="false" ht="15" hidden="false" customHeight="false" outlineLevel="0" collapsed="false">
      <c r="A789" s="2" t="n">
        <v>788</v>
      </c>
      <c r="B789" s="6" t="n">
        <v>19</v>
      </c>
      <c r="C789" s="6" t="n">
        <v>42</v>
      </c>
      <c r="D789" s="8" t="str">
        <f aca="false">INDEX(Bases!$B$2:$B$53,B789)</f>
        <v>Mankey</v>
      </c>
      <c r="E789" s="8" t="str">
        <f aca="false">INDEX(Bases!$B$2:$B$53,C789)</f>
        <v>Sableye</v>
      </c>
      <c r="F789" s="2" t="str">
        <f aca="false">LEFT(D789,ROUNDUP(LEN(D789)/2,0))&amp;LOWER(MID(E789,ROUNDUP(LEN(E789)/2,0)+1,20))</f>
        <v>Maneye</v>
      </c>
      <c r="G789" s="8" t="str">
        <f aca="false">INDEX(Bases!$C$2:$C$53,B789)</f>
        <v>Fighting</v>
      </c>
      <c r="H789" s="8" t="str">
        <f aca="false">IF(INDEX(Bases!$C$2:$C$53,C789)=G789,"",INDEX(Bases!$C$2:$C$53,C789))</f>
        <v>Ghost</v>
      </c>
      <c r="I789" s="8" t="str">
        <f aca="false">IF(INDEX(Bases!$E$2:$E$53,B789)="","",INDEX(Bases!$E$2:$E$53,B789))</f>
        <v/>
      </c>
      <c r="J789" s="8" t="str">
        <f aca="false">IF(INDEX(Bases!$E$2:$E$53,C789)="","",INDEX(Bases!$E$2:$E$53,C789))</f>
        <v/>
      </c>
      <c r="K789" s="5"/>
      <c r="L789" s="2" t="n">
        <f aca="false">AE789+IF(SUMPRODUCT(--($AL789:$AQ789&gt;AL789))&lt;$AK789,1,0)</f>
        <v>62</v>
      </c>
      <c r="M789" s="2" t="n">
        <f aca="false">AF789+IF(SUMPRODUCT(--($AL789:$AQ789&gt;AM789))+SUMPRODUCT(--($AL789:AL789=AM789))&lt;$AK789,1,0)</f>
        <v>114</v>
      </c>
      <c r="N789" s="2" t="n">
        <f aca="false">AG789+IF(SUMPRODUCT(--($AL789:$AQ789&gt;AN789))+SUMPRODUCT(--($AL789:AM789=AN789))&lt;$AK789,1,0)</f>
        <v>81</v>
      </c>
      <c r="O789" s="2" t="n">
        <f aca="false">AH789+IF(SUMPRODUCT(--($AL789:$AQ789&gt;AO789))+SUMPRODUCT(--($AL789:AN789=AO789))&lt;$AK789,1,0)</f>
        <v>72</v>
      </c>
      <c r="P789" s="2" t="n">
        <f aca="false">AI789+IF(SUMPRODUCT(--($AL789:$AQ789&gt;AP789))+SUMPRODUCT(--($AL789:AO789=AP789))&lt;$AK789,1,0)</f>
        <v>77</v>
      </c>
      <c r="Q789" s="2" t="n">
        <f aca="false">AJ789+IF(SUMPRODUCT(--($AL789:$AQ789&gt;AQ789))+SUMPRODUCT(--($AL789:AP789=AQ789))&lt;$AK789,1,0)</f>
        <v>94</v>
      </c>
      <c r="R789" s="2" t="n">
        <f aca="false">SUM(L789:Q789)</f>
        <v>500</v>
      </c>
      <c r="S789" s="2" t="n">
        <f aca="false">Settings!$B$4*MAX(INDEX(Bases!$M$2:$M$53,B789),INDEX(Bases!$M$2:$M$53,C789))+Settings!$B$5*MIN(INDEX(Bases!$M$2:$M$53,B789),INDEX(Bases!$M$2:$M$53,C789))</f>
        <v>52.6666666666667</v>
      </c>
      <c r="T789" s="2" t="n">
        <f aca="false">Settings!$B$4*MAX(INDEX(Bases!$N$2:$N$53,B789),INDEX(Bases!$N$2:$N$53,C789))+Settings!$B$5*MIN(INDEX(Bases!$N$2:$N$53,B789),INDEX(Bases!$N$2:$N$53,C789))</f>
        <v>96.3333333333333</v>
      </c>
      <c r="U789" s="2" t="n">
        <f aca="false">Settings!$B$4*MAX(INDEX(Bases!$O$2:$O$53,B789),INDEX(Bases!$O$2:$O$53,C789))+Settings!$B$5*MIN(INDEX(Bases!$O$2:$O$53,B789),INDEX(Bases!$O$2:$O$53,C789))</f>
        <v>68</v>
      </c>
      <c r="V789" s="2" t="n">
        <f aca="false">Settings!$B$4*MAX(INDEX(Bases!$P$2:$P$53,B789),INDEX(Bases!$P$2:$P$53,C789))+Settings!$B$5*MIN(INDEX(Bases!$P$2:$P$53,B789),INDEX(Bases!$P$2:$P$53,C789))</f>
        <v>60.6666666666667</v>
      </c>
      <c r="W789" s="2" t="n">
        <f aca="false">Settings!$B$4*MAX(INDEX(Bases!$Q$2:$Q$53,B789),INDEX(Bases!$Q$2:$Q$53,C789))+Settings!$B$5*MIN(INDEX(Bases!$Q$2:$Q$53,B789),INDEX(Bases!$Q$2:$Q$53,C789))</f>
        <v>65</v>
      </c>
      <c r="X789" s="2" t="n">
        <f aca="false">Settings!$B$4*MAX(INDEX(Bases!$R$2:$R$53,B789),INDEX(Bases!$R$2:$R$53,C789))+Settings!$B$5*MIN(INDEX(Bases!$R$2:$R$53,B789),INDEX(Bases!$R$2:$R$53,C789))</f>
        <v>79</v>
      </c>
      <c r="Y789" s="2" t="n">
        <f aca="false">S789*Settings!$B$3/SUM(S789:X789)</f>
        <v>62.4505928853755</v>
      </c>
      <c r="Z789" s="2" t="n">
        <f aca="false">T789*Settings!$B$3/SUM(S789:X789)</f>
        <v>114.229249011858</v>
      </c>
      <c r="AA789" s="2" t="n">
        <f aca="false">U789*Settings!$B$3/SUM(S789:X789)</f>
        <v>80.6324110671937</v>
      </c>
      <c r="AB789" s="2" t="n">
        <f aca="false">V789*Settings!$B$3/SUM(S789:X789)</f>
        <v>71.9367588932806</v>
      </c>
      <c r="AC789" s="2" t="n">
        <f aca="false">W789*Settings!$B$3/SUM(S789:X789)</f>
        <v>77.0750988142293</v>
      </c>
      <c r="AD789" s="2" t="n">
        <f aca="false">X789*Settings!$B$3/SUM(S789:X789)</f>
        <v>93.6758893280632</v>
      </c>
      <c r="AE789" s="2" t="n">
        <f aca="false">INT(Y789)</f>
        <v>62</v>
      </c>
      <c r="AF789" s="2" t="n">
        <f aca="false">INT(Z789)</f>
        <v>114</v>
      </c>
      <c r="AG789" s="2" t="n">
        <f aca="false">INT(AA789)</f>
        <v>80</v>
      </c>
      <c r="AH789" s="2" t="n">
        <f aca="false">INT(AB789)</f>
        <v>71</v>
      </c>
      <c r="AI789" s="2" t="n">
        <f aca="false">INT(AC789)</f>
        <v>77</v>
      </c>
      <c r="AJ789" s="2" t="n">
        <f aca="false">INT(AD789)</f>
        <v>93</v>
      </c>
      <c r="AK789" s="2" t="n">
        <f aca="false">Settings!$B$3-SUM(AE789:AJ789)</f>
        <v>3</v>
      </c>
      <c r="AL789" s="2" t="n">
        <f aca="false">ROUND(Y789-AE789,9)</f>
        <v>0.450592885</v>
      </c>
      <c r="AM789" s="2" t="n">
        <f aca="false">ROUND(Z789-AF789,9)</f>
        <v>0.229249012</v>
      </c>
      <c r="AN789" s="2" t="n">
        <f aca="false">ROUND(AA789-AG789,9)</f>
        <v>0.632411067</v>
      </c>
      <c r="AO789" s="2" t="n">
        <f aca="false">ROUND(AB789-AH789,9)</f>
        <v>0.936758893</v>
      </c>
      <c r="AP789" s="2" t="n">
        <f aca="false">ROUND(AC789-AI789,9)</f>
        <v>0.075098814</v>
      </c>
      <c r="AQ789" s="2" t="n">
        <f aca="false">ROUND(AD789-AJ789,9)</f>
        <v>0.675889328</v>
      </c>
    </row>
    <row r="790" customFormat="false" ht="15" hidden="false" customHeight="false" outlineLevel="0" collapsed="false">
      <c r="A790" s="2" t="n">
        <v>789</v>
      </c>
      <c r="B790" s="6" t="n">
        <v>19</v>
      </c>
      <c r="C790" s="6" t="n">
        <v>43</v>
      </c>
      <c r="D790" s="8" t="str">
        <f aca="false">INDEX(Bases!$B$2:$B$53,B790)</f>
        <v>Mankey</v>
      </c>
      <c r="E790" s="8" t="str">
        <f aca="false">INDEX(Bases!$B$2:$B$53,C790)</f>
        <v>Dratini</v>
      </c>
      <c r="F790" s="2" t="str">
        <f aca="false">LEFT(D790,ROUNDUP(LEN(D790)/2,0))&amp;LOWER(MID(E790,ROUNDUP(LEN(E790)/2,0)+1,20))</f>
        <v>Manini</v>
      </c>
      <c r="G790" s="8" t="str">
        <f aca="false">INDEX(Bases!$C$2:$C$53,B790)</f>
        <v>Fighting</v>
      </c>
      <c r="H790" s="8" t="str">
        <f aca="false">IF(INDEX(Bases!$C$2:$C$53,C790)=G790,"",INDEX(Bases!$C$2:$C$53,C790))</f>
        <v>Dragon</v>
      </c>
      <c r="I790" s="8" t="str">
        <f aca="false">IF(INDEX(Bases!$E$2:$E$53,B790)="","",INDEX(Bases!$E$2:$E$53,B790))</f>
        <v/>
      </c>
      <c r="J790" s="8" t="str">
        <f aca="false">IF(INDEX(Bases!$E$2:$E$53,C790)="","",INDEX(Bases!$E$2:$E$53,C790))</f>
        <v/>
      </c>
      <c r="K790" s="5"/>
      <c r="L790" s="2" t="n">
        <f aca="false">AE790+IF(SUMPRODUCT(--($AL790:$AQ790&gt;AL790))&lt;$AK790,1,0)</f>
        <v>65</v>
      </c>
      <c r="M790" s="2" t="n">
        <f aca="false">AF790+IF(SUMPRODUCT(--($AL790:$AQ790&gt;AM790))+SUMPRODUCT(--($AL790:AL790=AM790))&lt;$AK790,1,0)</f>
        <v>118</v>
      </c>
      <c r="N790" s="2" t="n">
        <f aca="false">AG790+IF(SUMPRODUCT(--($AL790:$AQ790&gt;AN790))+SUMPRODUCT(--($AL790:AM790=AN790))&lt;$AK790,1,0)</f>
        <v>67</v>
      </c>
      <c r="O790" s="2" t="n">
        <f aca="false">AH790+IF(SUMPRODUCT(--($AL790:$AQ790&gt;AO790))+SUMPRODUCT(--($AL790:AN790=AO790))&lt;$AK790,1,0)</f>
        <v>72</v>
      </c>
      <c r="P790" s="2" t="n">
        <f aca="false">AI790+IF(SUMPRODUCT(--($AL790:$AQ790&gt;AP790))+SUMPRODUCT(--($AL790:AO790=AP790))&lt;$AK790,1,0)</f>
        <v>78</v>
      </c>
      <c r="Q790" s="2" t="n">
        <f aca="false">AJ790+IF(SUMPRODUCT(--($AL790:$AQ790&gt;AQ790))+SUMPRODUCT(--($AL790:AP790=AQ790))&lt;$AK790,1,0)</f>
        <v>100</v>
      </c>
      <c r="R790" s="2" t="n">
        <f aca="false">SUM(L790:Q790)</f>
        <v>500</v>
      </c>
      <c r="S790" s="2" t="n">
        <f aca="false">Settings!$B$4*MAX(INDEX(Bases!$M$2:$M$53,B790),INDEX(Bases!$M$2:$M$53,C790))+Settings!$B$5*MIN(INDEX(Bases!$M$2:$M$53,B790),INDEX(Bases!$M$2:$M$53,C790))</f>
        <v>54</v>
      </c>
      <c r="T790" s="2" t="n">
        <f aca="false">Settings!$B$4*MAX(INDEX(Bases!$N$2:$N$53,B790),INDEX(Bases!$N$2:$N$53,C790))+Settings!$B$5*MIN(INDEX(Bases!$N$2:$N$53,B790),INDEX(Bases!$N$2:$N$53,C790))</f>
        <v>98.3333333333333</v>
      </c>
      <c r="U790" s="2" t="n">
        <f aca="false">Settings!$B$4*MAX(INDEX(Bases!$O$2:$O$53,B790),INDEX(Bases!$O$2:$O$53,C790))+Settings!$B$5*MIN(INDEX(Bases!$O$2:$O$53,B790),INDEX(Bases!$O$2:$O$53,C790))</f>
        <v>55.3333333333333</v>
      </c>
      <c r="V790" s="2" t="n">
        <f aca="false">Settings!$B$4*MAX(INDEX(Bases!$P$2:$P$53,B790),INDEX(Bases!$P$2:$P$53,C790))+Settings!$B$5*MIN(INDEX(Bases!$P$2:$P$53,B790),INDEX(Bases!$P$2:$P$53,C790))</f>
        <v>60</v>
      </c>
      <c r="W790" s="2" t="n">
        <f aca="false">Settings!$B$4*MAX(INDEX(Bases!$Q$2:$Q$53,B790),INDEX(Bases!$Q$2:$Q$53,C790))+Settings!$B$5*MIN(INDEX(Bases!$Q$2:$Q$53,B790),INDEX(Bases!$Q$2:$Q$53,C790))</f>
        <v>64.3333333333333</v>
      </c>
      <c r="X790" s="2" t="n">
        <f aca="false">Settings!$B$4*MAX(INDEX(Bases!$R$2:$R$53,B790),INDEX(Bases!$R$2:$R$53,C790))+Settings!$B$5*MIN(INDEX(Bases!$R$2:$R$53,B790),INDEX(Bases!$R$2:$R$53,C790))</f>
        <v>83.3333333333333</v>
      </c>
      <c r="Y790" s="2" t="n">
        <f aca="false">S790*Settings!$B$3/SUM(S790:X790)</f>
        <v>65.008025682183</v>
      </c>
      <c r="Z790" s="2" t="n">
        <f aca="false">T790*Settings!$B$3/SUM(S790:X790)</f>
        <v>118.378812199037</v>
      </c>
      <c r="AA790" s="2" t="n">
        <f aca="false">U790*Settings!$B$3/SUM(S790:X790)</f>
        <v>66.6131621187801</v>
      </c>
      <c r="AB790" s="2" t="n">
        <f aca="false">V790*Settings!$B$3/SUM(S790:X790)</f>
        <v>72.23113964687</v>
      </c>
      <c r="AC790" s="2" t="n">
        <f aca="false">W790*Settings!$B$3/SUM(S790:X790)</f>
        <v>77.4478330658106</v>
      </c>
      <c r="AD790" s="2" t="n">
        <f aca="false">X790*Settings!$B$3/SUM(S790:X790)</f>
        <v>100.321027287319</v>
      </c>
      <c r="AE790" s="2" t="n">
        <f aca="false">INT(Y790)</f>
        <v>65</v>
      </c>
      <c r="AF790" s="2" t="n">
        <f aca="false">INT(Z790)</f>
        <v>118</v>
      </c>
      <c r="AG790" s="2" t="n">
        <f aca="false">INT(AA790)</f>
        <v>66</v>
      </c>
      <c r="AH790" s="2" t="n">
        <f aca="false">INT(AB790)</f>
        <v>72</v>
      </c>
      <c r="AI790" s="2" t="n">
        <f aca="false">INT(AC790)</f>
        <v>77</v>
      </c>
      <c r="AJ790" s="2" t="n">
        <f aca="false">INT(AD790)</f>
        <v>100</v>
      </c>
      <c r="AK790" s="2" t="n">
        <f aca="false">Settings!$B$3-SUM(AE790:AJ790)</f>
        <v>2</v>
      </c>
      <c r="AL790" s="2" t="n">
        <f aca="false">ROUND(Y790-AE790,9)</f>
        <v>0.008025682</v>
      </c>
      <c r="AM790" s="2" t="n">
        <f aca="false">ROUND(Z790-AF790,9)</f>
        <v>0.378812199</v>
      </c>
      <c r="AN790" s="2" t="n">
        <f aca="false">ROUND(AA790-AG790,9)</f>
        <v>0.613162119</v>
      </c>
      <c r="AO790" s="2" t="n">
        <f aca="false">ROUND(AB790-AH790,9)</f>
        <v>0.231139647</v>
      </c>
      <c r="AP790" s="2" t="n">
        <f aca="false">ROUND(AC790-AI790,9)</f>
        <v>0.447833066</v>
      </c>
      <c r="AQ790" s="2" t="n">
        <f aca="false">ROUND(AD790-AJ790,9)</f>
        <v>0.321027287</v>
      </c>
    </row>
    <row r="791" customFormat="false" ht="15" hidden="false" customHeight="false" outlineLevel="0" collapsed="false">
      <c r="A791" s="2" t="n">
        <v>790</v>
      </c>
      <c r="B791" s="6" t="n">
        <v>19</v>
      </c>
      <c r="C791" s="6" t="n">
        <v>44</v>
      </c>
      <c r="D791" s="8" t="str">
        <f aca="false">INDEX(Bases!$B$2:$B$53,B791)</f>
        <v>Mankey</v>
      </c>
      <c r="E791" s="8" t="str">
        <f aca="false">INDEX(Bases!$B$2:$B$53,C791)</f>
        <v>Bagon</v>
      </c>
      <c r="F791" s="2" t="str">
        <f aca="false">LEFT(D791,ROUNDUP(LEN(D791)/2,0))&amp;LOWER(MID(E791,ROUNDUP(LEN(E791)/2,0)+1,20))</f>
        <v>Manon</v>
      </c>
      <c r="G791" s="8" t="str">
        <f aca="false">INDEX(Bases!$C$2:$C$53,B791)</f>
        <v>Fighting</v>
      </c>
      <c r="H791" s="8" t="str">
        <f aca="false">IF(INDEX(Bases!$C$2:$C$53,C791)=G791,"",INDEX(Bases!$C$2:$C$53,C791))</f>
        <v>Dragon</v>
      </c>
      <c r="I791" s="8" t="str">
        <f aca="false">IF(INDEX(Bases!$E$2:$E$53,B791)="","",INDEX(Bases!$E$2:$E$53,B791))</f>
        <v/>
      </c>
      <c r="J791" s="8" t="str">
        <f aca="false">IF(INDEX(Bases!$E$2:$E$53,C791)="","",INDEX(Bases!$E$2:$E$53,C791))</f>
        <v/>
      </c>
      <c r="K791" s="5"/>
      <c r="L791" s="2" t="n">
        <f aca="false">AE791+IF(SUMPRODUCT(--($AL791:$AQ791&gt;AL791))&lt;$AK791,1,0)</f>
        <v>69</v>
      </c>
      <c r="M791" s="2" t="n">
        <f aca="false">AF791+IF(SUMPRODUCT(--($AL791:$AQ791&gt;AM791))+SUMPRODUCT(--($AL791:AL791=AM791))&lt;$AK791,1,0)</f>
        <v>124</v>
      </c>
      <c r="N791" s="2" t="n">
        <f aca="false">AG791+IF(SUMPRODUCT(--($AL791:$AQ791&gt;AN791))+SUMPRODUCT(--($AL791:AM791=AN791))&lt;$AK791,1,0)</f>
        <v>82</v>
      </c>
      <c r="O791" s="2" t="n">
        <f aca="false">AH791+IF(SUMPRODUCT(--($AL791:$AQ791&gt;AO791))+SUMPRODUCT(--($AL791:AN791=AO791))&lt;$AK791,1,0)</f>
        <v>61</v>
      </c>
      <c r="P791" s="2" t="n">
        <f aca="false">AI791+IF(SUMPRODUCT(--($AL791:$AQ791&gt;AP791))+SUMPRODUCT(--($AL791:AO791=AP791))&lt;$AK791,1,0)</f>
        <v>63</v>
      </c>
      <c r="Q791" s="2" t="n">
        <f aca="false">AJ791+IF(SUMPRODUCT(--($AL791:$AQ791&gt;AQ791))+SUMPRODUCT(--($AL791:AP791=AQ791))&lt;$AK791,1,0)</f>
        <v>101</v>
      </c>
      <c r="R791" s="2" t="n">
        <f aca="false">SUM(L791:Q791)</f>
        <v>500</v>
      </c>
      <c r="S791" s="2" t="n">
        <f aca="false">Settings!$B$4*MAX(INDEX(Bases!$M$2:$M$53,B791),INDEX(Bases!$M$2:$M$53,C791))+Settings!$B$5*MIN(INDEX(Bases!$M$2:$M$53,B791),INDEX(Bases!$M$2:$M$53,C791))</f>
        <v>57.3333333333333</v>
      </c>
      <c r="T791" s="2" t="n">
        <f aca="false">Settings!$B$4*MAX(INDEX(Bases!$N$2:$N$53,B791),INDEX(Bases!$N$2:$N$53,C791))+Settings!$B$5*MIN(INDEX(Bases!$N$2:$N$53,B791),INDEX(Bases!$N$2:$N$53,C791))</f>
        <v>103.333333333333</v>
      </c>
      <c r="U791" s="2" t="n">
        <f aca="false">Settings!$B$4*MAX(INDEX(Bases!$O$2:$O$53,B791),INDEX(Bases!$O$2:$O$53,C791))+Settings!$B$5*MIN(INDEX(Bases!$O$2:$O$53,B791),INDEX(Bases!$O$2:$O$53,C791))</f>
        <v>68.6666666666667</v>
      </c>
      <c r="V791" s="2" t="n">
        <f aca="false">Settings!$B$4*MAX(INDEX(Bases!$P$2:$P$53,B791),INDEX(Bases!$P$2:$P$53,C791))+Settings!$B$5*MIN(INDEX(Bases!$P$2:$P$53,B791),INDEX(Bases!$P$2:$P$53,C791))</f>
        <v>50.6666666666667</v>
      </c>
      <c r="W791" s="2" t="n">
        <f aca="false">Settings!$B$4*MAX(INDEX(Bases!$Q$2:$Q$53,B791),INDEX(Bases!$Q$2:$Q$53,C791))+Settings!$B$5*MIN(INDEX(Bases!$Q$2:$Q$53,B791),INDEX(Bases!$Q$2:$Q$53,C791))</f>
        <v>52.6666666666667</v>
      </c>
      <c r="X791" s="2" t="n">
        <f aca="false">Settings!$B$4*MAX(INDEX(Bases!$R$2:$R$53,B791),INDEX(Bases!$R$2:$R$53,C791))+Settings!$B$5*MIN(INDEX(Bases!$R$2:$R$53,B791),INDEX(Bases!$R$2:$R$53,C791))</f>
        <v>83.6666666666667</v>
      </c>
      <c r="Y791" s="2" t="n">
        <f aca="false">S791*Settings!$B$3/SUM(S791:X791)</f>
        <v>68.8550840672538</v>
      </c>
      <c r="Z791" s="2" t="n">
        <f aca="false">T791*Settings!$B$3/SUM(S791:X791)</f>
        <v>124.099279423539</v>
      </c>
      <c r="AA791" s="2" t="n">
        <f aca="false">U791*Settings!$B$3/SUM(S791:X791)</f>
        <v>82.4659727782226</v>
      </c>
      <c r="AB791" s="2" t="n">
        <f aca="false">V791*Settings!$B$3/SUM(S791:X791)</f>
        <v>60.8486789431545</v>
      </c>
      <c r="AC791" s="2" t="n">
        <f aca="false">W791*Settings!$B$3/SUM(S791:X791)</f>
        <v>63.2506004803843</v>
      </c>
      <c r="AD791" s="2" t="n">
        <f aca="false">X791*Settings!$B$3/SUM(S791:X791)</f>
        <v>100.480384307446</v>
      </c>
      <c r="AE791" s="2" t="n">
        <f aca="false">INT(Y791)</f>
        <v>68</v>
      </c>
      <c r="AF791" s="2" t="n">
        <f aca="false">INT(Z791)</f>
        <v>124</v>
      </c>
      <c r="AG791" s="2" t="n">
        <f aca="false">INT(AA791)</f>
        <v>82</v>
      </c>
      <c r="AH791" s="2" t="n">
        <f aca="false">INT(AB791)</f>
        <v>60</v>
      </c>
      <c r="AI791" s="2" t="n">
        <f aca="false">INT(AC791)</f>
        <v>63</v>
      </c>
      <c r="AJ791" s="2" t="n">
        <f aca="false">INT(AD791)</f>
        <v>100</v>
      </c>
      <c r="AK791" s="2" t="n">
        <f aca="false">Settings!$B$3-SUM(AE791:AJ791)</f>
        <v>3</v>
      </c>
      <c r="AL791" s="2" t="n">
        <f aca="false">ROUND(Y791-AE791,9)</f>
        <v>0.855084067</v>
      </c>
      <c r="AM791" s="2" t="n">
        <f aca="false">ROUND(Z791-AF791,9)</f>
        <v>0.099279424</v>
      </c>
      <c r="AN791" s="2" t="n">
        <f aca="false">ROUND(AA791-AG791,9)</f>
        <v>0.465972778</v>
      </c>
      <c r="AO791" s="2" t="n">
        <f aca="false">ROUND(AB791-AH791,9)</f>
        <v>0.848678943</v>
      </c>
      <c r="AP791" s="2" t="n">
        <f aca="false">ROUND(AC791-AI791,9)</f>
        <v>0.25060048</v>
      </c>
      <c r="AQ791" s="2" t="n">
        <f aca="false">ROUND(AD791-AJ791,9)</f>
        <v>0.480384307</v>
      </c>
    </row>
    <row r="792" customFormat="false" ht="15" hidden="false" customHeight="false" outlineLevel="0" collapsed="false">
      <c r="A792" s="2" t="n">
        <v>791</v>
      </c>
      <c r="B792" s="6" t="n">
        <v>19</v>
      </c>
      <c r="C792" s="6" t="n">
        <v>45</v>
      </c>
      <c r="D792" s="8" t="str">
        <f aca="false">INDEX(Bases!$B$2:$B$53,B792)</f>
        <v>Mankey</v>
      </c>
      <c r="E792" s="8" t="str">
        <f aca="false">INDEX(Bases!$B$2:$B$53,C792)</f>
        <v>Sneasel</v>
      </c>
      <c r="F792" s="2" t="str">
        <f aca="false">LEFT(D792,ROUNDUP(LEN(D792)/2,0))&amp;LOWER(MID(E792,ROUNDUP(LEN(E792)/2,0)+1,20))</f>
        <v>Mansel</v>
      </c>
      <c r="G792" s="8" t="str">
        <f aca="false">INDEX(Bases!$C$2:$C$53,B792)</f>
        <v>Fighting</v>
      </c>
      <c r="H792" s="8" t="str">
        <f aca="false">IF(INDEX(Bases!$C$2:$C$53,C792)=G792,"",INDEX(Bases!$C$2:$C$53,C792))</f>
        <v>Dark</v>
      </c>
      <c r="I792" s="8" t="str">
        <f aca="false">IF(INDEX(Bases!$E$2:$E$53,B792)="","",INDEX(Bases!$E$2:$E$53,B792))</f>
        <v/>
      </c>
      <c r="J792" s="8" t="str">
        <f aca="false">IF(INDEX(Bases!$E$2:$E$53,C792)="","",INDEX(Bases!$E$2:$E$53,C792))</f>
        <v/>
      </c>
      <c r="K792" s="5"/>
      <c r="L792" s="2" t="n">
        <f aca="false">AE792+IF(SUMPRODUCT(--($AL792:$AQ792&gt;AL792))&lt;$AK792,1,0)</f>
        <v>63</v>
      </c>
      <c r="M792" s="2" t="n">
        <f aca="false">AF792+IF(SUMPRODUCT(--($AL792:$AQ792&gt;AM792))+SUMPRODUCT(--($AL792:AL792=AM792))&lt;$AK792,1,0)</f>
        <v>121</v>
      </c>
      <c r="N792" s="2" t="n">
        <f aca="false">AG792+IF(SUMPRODUCT(--($AL792:$AQ792&gt;AN792))+SUMPRODUCT(--($AL792:AM792=AN792))&lt;$AK792,1,0)</f>
        <v>60</v>
      </c>
      <c r="O792" s="2" t="n">
        <f aca="false">AH792+IF(SUMPRODUCT(--($AL792:$AQ792&gt;AO792))+SUMPRODUCT(--($AL792:AN792=AO792))&lt;$AK792,1,0)</f>
        <v>51</v>
      </c>
      <c r="P792" s="2" t="n">
        <f aca="false">AI792+IF(SUMPRODUCT(--($AL792:$AQ792&gt;AP792))+SUMPRODUCT(--($AL792:AO792=AP792))&lt;$AK792,1,0)</f>
        <v>81</v>
      </c>
      <c r="Q792" s="2" t="n">
        <f aca="false">AJ792+IF(SUMPRODUCT(--($AL792:$AQ792&gt;AQ792))+SUMPRODUCT(--($AL792:AP792=AQ792))&lt;$AK792,1,0)</f>
        <v>124</v>
      </c>
      <c r="R792" s="2" t="n">
        <f aca="false">SUM(L792:Q792)</f>
        <v>500</v>
      </c>
      <c r="S792" s="2" t="n">
        <f aca="false">Settings!$B$4*MAX(INDEX(Bases!$M$2:$M$53,B792),INDEX(Bases!$M$2:$M$53,C792))+Settings!$B$5*MIN(INDEX(Bases!$M$2:$M$53,B792),INDEX(Bases!$M$2:$M$53,C792))</f>
        <v>51.6666666666667</v>
      </c>
      <c r="T792" s="2" t="n">
        <f aca="false">Settings!$B$4*MAX(INDEX(Bases!$N$2:$N$53,B792),INDEX(Bases!$N$2:$N$53,C792))+Settings!$B$5*MIN(INDEX(Bases!$N$2:$N$53,B792),INDEX(Bases!$N$2:$N$53,C792))</f>
        <v>99.3333333333333</v>
      </c>
      <c r="U792" s="2" t="n">
        <f aca="false">Settings!$B$4*MAX(INDEX(Bases!$O$2:$O$53,B792),INDEX(Bases!$O$2:$O$53,C792))+Settings!$B$5*MIN(INDEX(Bases!$O$2:$O$53,B792),INDEX(Bases!$O$2:$O$53,C792))</f>
        <v>49.3333333333333</v>
      </c>
      <c r="V792" s="2" t="n">
        <f aca="false">Settings!$B$4*MAX(INDEX(Bases!$P$2:$P$53,B792),INDEX(Bases!$P$2:$P$53,C792))+Settings!$B$5*MIN(INDEX(Bases!$P$2:$P$53,B792),INDEX(Bases!$P$2:$P$53,C792))</f>
        <v>41.6666666666667</v>
      </c>
      <c r="W792" s="2" t="n">
        <f aca="false">Settings!$B$4*MAX(INDEX(Bases!$Q$2:$Q$53,B792),INDEX(Bases!$Q$2:$Q$53,C792))+Settings!$B$5*MIN(INDEX(Bases!$Q$2:$Q$53,B792),INDEX(Bases!$Q$2:$Q$53,C792))</f>
        <v>66.3333333333333</v>
      </c>
      <c r="X792" s="2" t="n">
        <f aca="false">Settings!$B$4*MAX(INDEX(Bases!$R$2:$R$53,B792),INDEX(Bases!$R$2:$R$53,C792))+Settings!$B$5*MIN(INDEX(Bases!$R$2:$R$53,B792),INDEX(Bases!$R$2:$R$53,C792))</f>
        <v>102</v>
      </c>
      <c r="Y792" s="2" t="n">
        <f aca="false">S792*Settings!$B$3/SUM(S792:X792)</f>
        <v>62.9569455727051</v>
      </c>
      <c r="Z792" s="2" t="n">
        <f aca="false">T792*Settings!$B$3/SUM(S792:X792)</f>
        <v>121.039805036556</v>
      </c>
      <c r="AA792" s="2" t="n">
        <f aca="false">U792*Settings!$B$3/SUM(S792:X792)</f>
        <v>60.1137286758733</v>
      </c>
      <c r="AB792" s="2" t="n">
        <f aca="false">V792*Settings!$B$3/SUM(S792:X792)</f>
        <v>50.7717303005686</v>
      </c>
      <c r="AC792" s="2" t="n">
        <f aca="false">W792*Settings!$B$3/SUM(S792:X792)</f>
        <v>80.8285946385053</v>
      </c>
      <c r="AD792" s="2" t="n">
        <f aca="false">X792*Settings!$B$3/SUM(S792:X792)</f>
        <v>124.289195775792</v>
      </c>
      <c r="AE792" s="2" t="n">
        <f aca="false">INT(Y792)</f>
        <v>62</v>
      </c>
      <c r="AF792" s="2" t="n">
        <f aca="false">INT(Z792)</f>
        <v>121</v>
      </c>
      <c r="AG792" s="2" t="n">
        <f aca="false">INT(AA792)</f>
        <v>60</v>
      </c>
      <c r="AH792" s="2" t="n">
        <f aca="false">INT(AB792)</f>
        <v>50</v>
      </c>
      <c r="AI792" s="2" t="n">
        <f aca="false">INT(AC792)</f>
        <v>80</v>
      </c>
      <c r="AJ792" s="2" t="n">
        <f aca="false">INT(AD792)</f>
        <v>124</v>
      </c>
      <c r="AK792" s="2" t="n">
        <f aca="false">Settings!$B$3-SUM(AE792:AJ792)</f>
        <v>3</v>
      </c>
      <c r="AL792" s="2" t="n">
        <f aca="false">ROUND(Y792-AE792,9)</f>
        <v>0.956945573</v>
      </c>
      <c r="AM792" s="2" t="n">
        <f aca="false">ROUND(Z792-AF792,9)</f>
        <v>0.039805037</v>
      </c>
      <c r="AN792" s="2" t="n">
        <f aca="false">ROUND(AA792-AG792,9)</f>
        <v>0.113728676</v>
      </c>
      <c r="AO792" s="2" t="n">
        <f aca="false">ROUND(AB792-AH792,9)</f>
        <v>0.771730301</v>
      </c>
      <c r="AP792" s="2" t="n">
        <f aca="false">ROUND(AC792-AI792,9)</f>
        <v>0.828594639</v>
      </c>
      <c r="AQ792" s="2" t="n">
        <f aca="false">ROUND(AD792-AJ792,9)</f>
        <v>0.289195776</v>
      </c>
    </row>
    <row r="793" customFormat="false" ht="15" hidden="false" customHeight="false" outlineLevel="0" collapsed="false">
      <c r="A793" s="2" t="n">
        <v>792</v>
      </c>
      <c r="B793" s="6" t="n">
        <v>19</v>
      </c>
      <c r="C793" s="6" t="n">
        <v>46</v>
      </c>
      <c r="D793" s="8" t="str">
        <f aca="false">INDEX(Bases!$B$2:$B$53,B793)</f>
        <v>Mankey</v>
      </c>
      <c r="E793" s="8" t="str">
        <f aca="false">INDEX(Bases!$B$2:$B$53,C793)</f>
        <v>Houndour</v>
      </c>
      <c r="F793" s="2" t="str">
        <f aca="false">LEFT(D793,ROUNDUP(LEN(D793)/2,0))&amp;LOWER(MID(E793,ROUNDUP(LEN(E793)/2,0)+1,20))</f>
        <v>Mandour</v>
      </c>
      <c r="G793" s="8" t="str">
        <f aca="false">INDEX(Bases!$C$2:$C$53,B793)</f>
        <v>Fighting</v>
      </c>
      <c r="H793" s="8" t="str">
        <f aca="false">IF(INDEX(Bases!$C$2:$C$53,C793)=G793,"",INDEX(Bases!$C$2:$C$53,C793))</f>
        <v>Dark</v>
      </c>
      <c r="I793" s="8" t="str">
        <f aca="false">IF(INDEX(Bases!$E$2:$E$53,B793)="","",INDEX(Bases!$E$2:$E$53,B793))</f>
        <v/>
      </c>
      <c r="J793" s="8" t="str">
        <f aca="false">IF(INDEX(Bases!$E$2:$E$53,C793)="","",INDEX(Bases!$E$2:$E$53,C793))</f>
        <v/>
      </c>
      <c r="K793" s="5"/>
      <c r="L793" s="2" t="n">
        <f aca="false">AE793+IF(SUMPRODUCT(--($AL793:$AQ793&gt;AL793))&lt;$AK793,1,0)</f>
        <v>64</v>
      </c>
      <c r="M793" s="2" t="n">
        <f aca="false">AF793+IF(SUMPRODUCT(--($AL793:$AQ793&gt;AM793))+SUMPRODUCT(--($AL793:AL793=AM793))&lt;$AK793,1,0)</f>
        <v>113</v>
      </c>
      <c r="N793" s="2" t="n">
        <f aca="false">AG793+IF(SUMPRODUCT(--($AL793:$AQ793&gt;AN793))+SUMPRODUCT(--($AL793:AM793=AN793))&lt;$AK793,1,0)</f>
        <v>51</v>
      </c>
      <c r="O793" s="2" t="n">
        <f aca="false">AH793+IF(SUMPRODUCT(--($AL793:$AQ793&gt;AO793))+SUMPRODUCT(--($AL793:AN793=AO793))&lt;$AK793,1,0)</f>
        <v>95</v>
      </c>
      <c r="P793" s="2" t="n">
        <f aca="false">AI793+IF(SUMPRODUCT(--($AL793:$AQ793&gt;AP793))+SUMPRODUCT(--($AL793:AO793=AP793))&lt;$AK793,1,0)</f>
        <v>72</v>
      </c>
      <c r="Q793" s="2" t="n">
        <f aca="false">AJ793+IF(SUMPRODUCT(--($AL793:$AQ793&gt;AQ793))+SUMPRODUCT(--($AL793:AP793=AQ793))&lt;$AK793,1,0)</f>
        <v>105</v>
      </c>
      <c r="R793" s="2" t="n">
        <f aca="false">SUM(L793:Q793)</f>
        <v>500</v>
      </c>
      <c r="S793" s="2" t="n">
        <f aca="false">Settings!$B$4*MAX(INDEX(Bases!$M$2:$M$53,B793),INDEX(Bases!$M$2:$M$53,C793))+Settings!$B$5*MIN(INDEX(Bases!$M$2:$M$53,B793),INDEX(Bases!$M$2:$M$53,C793))</f>
        <v>53.3333333333333</v>
      </c>
      <c r="T793" s="2" t="n">
        <f aca="false">Settings!$B$4*MAX(INDEX(Bases!$N$2:$N$53,B793),INDEX(Bases!$N$2:$N$53,C793))+Settings!$B$5*MIN(INDEX(Bases!$N$2:$N$53,B793),INDEX(Bases!$N$2:$N$53,C793))</f>
        <v>94.3333333333333</v>
      </c>
      <c r="U793" s="2" t="n">
        <f aca="false">Settings!$B$4*MAX(INDEX(Bases!$O$2:$O$53,B793),INDEX(Bases!$O$2:$O$53,C793))+Settings!$B$5*MIN(INDEX(Bases!$O$2:$O$53,B793),INDEX(Bases!$O$2:$O$53,C793))</f>
        <v>42.6666666666667</v>
      </c>
      <c r="V793" s="2" t="n">
        <f aca="false">Settings!$B$4*MAX(INDEX(Bases!$P$2:$P$53,B793),INDEX(Bases!$P$2:$P$53,C793))+Settings!$B$5*MIN(INDEX(Bases!$P$2:$P$53,B793),INDEX(Bases!$P$2:$P$53,C793))</f>
        <v>80</v>
      </c>
      <c r="W793" s="2" t="n">
        <f aca="false">Settings!$B$4*MAX(INDEX(Bases!$Q$2:$Q$53,B793),INDEX(Bases!$Q$2:$Q$53,C793))+Settings!$B$5*MIN(INDEX(Bases!$Q$2:$Q$53,B793),INDEX(Bases!$Q$2:$Q$53,C793))</f>
        <v>60.3333333333333</v>
      </c>
      <c r="X793" s="2" t="n">
        <f aca="false">Settings!$B$4*MAX(INDEX(Bases!$R$2:$R$53,B793),INDEX(Bases!$R$2:$R$53,C793))+Settings!$B$5*MIN(INDEX(Bases!$R$2:$R$53,B793),INDEX(Bases!$R$2:$R$53,C793))</f>
        <v>87.6666666666667</v>
      </c>
      <c r="Y793" s="2" t="n">
        <f aca="false">S793*Settings!$B$3/SUM(S793:X793)</f>
        <v>63.7450199203187</v>
      </c>
      <c r="Z793" s="2" t="n">
        <f aca="false">T793*Settings!$B$3/SUM(S793:X793)</f>
        <v>112.749003984064</v>
      </c>
      <c r="AA793" s="2" t="n">
        <f aca="false">U793*Settings!$B$3/SUM(S793:X793)</f>
        <v>50.996015936255</v>
      </c>
      <c r="AB793" s="2" t="n">
        <f aca="false">V793*Settings!$B$3/SUM(S793:X793)</f>
        <v>95.6175298804781</v>
      </c>
      <c r="AC793" s="2" t="n">
        <f aca="false">W793*Settings!$B$3/SUM(S793:X793)</f>
        <v>72.1115537848606</v>
      </c>
      <c r="AD793" s="2" t="n">
        <f aca="false">X793*Settings!$B$3/SUM(S793:X793)</f>
        <v>104.780876494024</v>
      </c>
      <c r="AE793" s="2" t="n">
        <f aca="false">INT(Y793)</f>
        <v>63</v>
      </c>
      <c r="AF793" s="2" t="n">
        <f aca="false">INT(Z793)</f>
        <v>112</v>
      </c>
      <c r="AG793" s="2" t="n">
        <f aca="false">INT(AA793)</f>
        <v>50</v>
      </c>
      <c r="AH793" s="2" t="n">
        <f aca="false">INT(AB793)</f>
        <v>95</v>
      </c>
      <c r="AI793" s="2" t="n">
        <f aca="false">INT(AC793)</f>
        <v>72</v>
      </c>
      <c r="AJ793" s="2" t="n">
        <f aca="false">INT(AD793)</f>
        <v>104</v>
      </c>
      <c r="AK793" s="2" t="n">
        <f aca="false">Settings!$B$3-SUM(AE793:AJ793)</f>
        <v>4</v>
      </c>
      <c r="AL793" s="2" t="n">
        <f aca="false">ROUND(Y793-AE793,9)</f>
        <v>0.74501992</v>
      </c>
      <c r="AM793" s="2" t="n">
        <f aca="false">ROUND(Z793-AF793,9)</f>
        <v>0.749003984</v>
      </c>
      <c r="AN793" s="2" t="n">
        <f aca="false">ROUND(AA793-AG793,9)</f>
        <v>0.996015936</v>
      </c>
      <c r="AO793" s="2" t="n">
        <f aca="false">ROUND(AB793-AH793,9)</f>
        <v>0.61752988</v>
      </c>
      <c r="AP793" s="2" t="n">
        <f aca="false">ROUND(AC793-AI793,9)</f>
        <v>0.111553785</v>
      </c>
      <c r="AQ793" s="2" t="n">
        <f aca="false">ROUND(AD793-AJ793,9)</f>
        <v>0.780876494</v>
      </c>
    </row>
    <row r="794" customFormat="false" ht="15" hidden="false" customHeight="false" outlineLevel="0" collapsed="false">
      <c r="A794" s="2" t="n">
        <v>793</v>
      </c>
      <c r="B794" s="6" t="n">
        <v>19</v>
      </c>
      <c r="C794" s="6" t="n">
        <v>47</v>
      </c>
      <c r="D794" s="8" t="str">
        <f aca="false">INDEX(Bases!$B$2:$B$53,B794)</f>
        <v>Mankey</v>
      </c>
      <c r="E794" s="8" t="str">
        <f aca="false">INDEX(Bases!$B$2:$B$53,C794)</f>
        <v>Carvanha</v>
      </c>
      <c r="F794" s="2" t="str">
        <f aca="false">LEFT(D794,ROUNDUP(LEN(D794)/2,0))&amp;LOWER(MID(E794,ROUNDUP(LEN(E794)/2,0)+1,20))</f>
        <v>Mananha</v>
      </c>
      <c r="G794" s="8" t="str">
        <f aca="false">INDEX(Bases!$C$2:$C$53,B794)</f>
        <v>Fighting</v>
      </c>
      <c r="H794" s="8" t="str">
        <f aca="false">IF(INDEX(Bases!$C$2:$C$53,C794)=G794,"",INDEX(Bases!$C$2:$C$53,C794))</f>
        <v>Dark</v>
      </c>
      <c r="I794" s="8" t="str">
        <f aca="false">IF(INDEX(Bases!$E$2:$E$53,B794)="","",INDEX(Bases!$E$2:$E$53,B794))</f>
        <v/>
      </c>
      <c r="J794" s="8" t="str">
        <f aca="false">IF(INDEX(Bases!$E$2:$E$53,C794)="","",INDEX(Bases!$E$2:$E$53,C794))</f>
        <v/>
      </c>
      <c r="K794" s="5"/>
      <c r="L794" s="2" t="n">
        <f aca="false">AE794+IF(SUMPRODUCT(--($AL794:$AQ794&gt;AL794))&lt;$AK794,1,0)</f>
        <v>67</v>
      </c>
      <c r="M794" s="2" t="n">
        <f aca="false">AF794+IF(SUMPRODUCT(--($AL794:$AQ794&gt;AM794))+SUMPRODUCT(--($AL794:AL794=AM794))&lt;$AK794,1,0)</f>
        <v>135</v>
      </c>
      <c r="N794" s="2" t="n">
        <f aca="false">AG794+IF(SUMPRODUCT(--($AL794:$AQ794&gt;AN794))+SUMPRODUCT(--($AL794:AM794=AN794))&lt;$AK794,1,0)</f>
        <v>47</v>
      </c>
      <c r="O794" s="2" t="n">
        <f aca="false">AH794+IF(SUMPRODUCT(--($AL794:$AQ794&gt;AO794))+SUMPRODUCT(--($AL794:AN794=AO794))&lt;$AK794,1,0)</f>
        <v>87</v>
      </c>
      <c r="P794" s="2" t="n">
        <f aca="false">AI794+IF(SUMPRODUCT(--($AL794:$AQ794&gt;AP794))+SUMPRODUCT(--($AL794:AO794=AP794))&lt;$AK794,1,0)</f>
        <v>57</v>
      </c>
      <c r="Q794" s="2" t="n">
        <f aca="false">AJ794+IF(SUMPRODUCT(--($AL794:$AQ794&gt;AQ794))+SUMPRODUCT(--($AL794:AP794=AQ794))&lt;$AK794,1,0)</f>
        <v>107</v>
      </c>
      <c r="R794" s="2" t="n">
        <f aca="false">SUM(L794:Q794)</f>
        <v>500</v>
      </c>
      <c r="S794" s="2" t="n">
        <f aca="false">Settings!$B$4*MAX(INDEX(Bases!$M$2:$M$53,B794),INDEX(Bases!$M$2:$M$53,C794))+Settings!$B$5*MIN(INDEX(Bases!$M$2:$M$53,B794),INDEX(Bases!$M$2:$M$53,C794))</f>
        <v>56.6666666666667</v>
      </c>
      <c r="T794" s="2" t="n">
        <f aca="false">Settings!$B$4*MAX(INDEX(Bases!$N$2:$N$53,B794),INDEX(Bases!$N$2:$N$53,C794))+Settings!$B$5*MIN(INDEX(Bases!$N$2:$N$53,B794),INDEX(Bases!$N$2:$N$53,C794))</f>
        <v>113.666666666667</v>
      </c>
      <c r="U794" s="2" t="n">
        <f aca="false">Settings!$B$4*MAX(INDEX(Bases!$O$2:$O$53,B794),INDEX(Bases!$O$2:$O$53,C794))+Settings!$B$5*MIN(INDEX(Bases!$O$2:$O$53,B794),INDEX(Bases!$O$2:$O$53,C794))</f>
        <v>39.3333333333333</v>
      </c>
      <c r="V794" s="2" t="n">
        <f aca="false">Settings!$B$4*MAX(INDEX(Bases!$P$2:$P$53,B794),INDEX(Bases!$P$2:$P$53,C794))+Settings!$B$5*MIN(INDEX(Bases!$P$2:$P$53,B794),INDEX(Bases!$P$2:$P$53,C794))</f>
        <v>72.6666666666667</v>
      </c>
      <c r="W794" s="2" t="n">
        <f aca="false">Settings!$B$4*MAX(INDEX(Bases!$Q$2:$Q$53,B794),INDEX(Bases!$Q$2:$Q$53,C794))+Settings!$B$5*MIN(INDEX(Bases!$Q$2:$Q$53,B794),INDEX(Bases!$Q$2:$Q$53,C794))</f>
        <v>48</v>
      </c>
      <c r="X794" s="2" t="n">
        <f aca="false">Settings!$B$4*MAX(INDEX(Bases!$R$2:$R$53,B794),INDEX(Bases!$R$2:$R$53,C794))+Settings!$B$5*MIN(INDEX(Bases!$R$2:$R$53,B794),INDEX(Bases!$R$2:$R$53,C794))</f>
        <v>89.6666666666667</v>
      </c>
      <c r="Y794" s="2" t="n">
        <f aca="false">S794*Settings!$B$3/SUM(S794:X794)</f>
        <v>67.4603174603175</v>
      </c>
      <c r="Z794" s="2" t="n">
        <f aca="false">T794*Settings!$B$3/SUM(S794:X794)</f>
        <v>135.31746031746</v>
      </c>
      <c r="AA794" s="2" t="n">
        <f aca="false">U794*Settings!$B$3/SUM(S794:X794)</f>
        <v>46.8253968253968</v>
      </c>
      <c r="AB794" s="2" t="n">
        <f aca="false">V794*Settings!$B$3/SUM(S794:X794)</f>
        <v>86.5079365079365</v>
      </c>
      <c r="AC794" s="2" t="n">
        <f aca="false">W794*Settings!$B$3/SUM(S794:X794)</f>
        <v>57.1428571428571</v>
      </c>
      <c r="AD794" s="2" t="n">
        <f aca="false">X794*Settings!$B$3/SUM(S794:X794)</f>
        <v>106.746031746032</v>
      </c>
      <c r="AE794" s="2" t="n">
        <f aca="false">INT(Y794)</f>
        <v>67</v>
      </c>
      <c r="AF794" s="2" t="n">
        <f aca="false">INT(Z794)</f>
        <v>135</v>
      </c>
      <c r="AG794" s="2" t="n">
        <f aca="false">INT(AA794)</f>
        <v>46</v>
      </c>
      <c r="AH794" s="2" t="n">
        <f aca="false">INT(AB794)</f>
        <v>86</v>
      </c>
      <c r="AI794" s="2" t="n">
        <f aca="false">INT(AC794)</f>
        <v>57</v>
      </c>
      <c r="AJ794" s="2" t="n">
        <f aca="false">INT(AD794)</f>
        <v>106</v>
      </c>
      <c r="AK794" s="2" t="n">
        <f aca="false">Settings!$B$3-SUM(AE794:AJ794)</f>
        <v>3</v>
      </c>
      <c r="AL794" s="2" t="n">
        <f aca="false">ROUND(Y794-AE794,9)</f>
        <v>0.46031746</v>
      </c>
      <c r="AM794" s="2" t="n">
        <f aca="false">ROUND(Z794-AF794,9)</f>
        <v>0.317460317</v>
      </c>
      <c r="AN794" s="2" t="n">
        <f aca="false">ROUND(AA794-AG794,9)</f>
        <v>0.825396825</v>
      </c>
      <c r="AO794" s="2" t="n">
        <f aca="false">ROUND(AB794-AH794,9)</f>
        <v>0.507936508</v>
      </c>
      <c r="AP794" s="2" t="n">
        <f aca="false">ROUND(AC794-AI794,9)</f>
        <v>0.142857143</v>
      </c>
      <c r="AQ794" s="2" t="n">
        <f aca="false">ROUND(AD794-AJ794,9)</f>
        <v>0.746031746</v>
      </c>
    </row>
    <row r="795" customFormat="false" ht="15" hidden="false" customHeight="false" outlineLevel="0" collapsed="false">
      <c r="A795" s="2" t="n">
        <v>794</v>
      </c>
      <c r="B795" s="6" t="n">
        <v>19</v>
      </c>
      <c r="C795" s="6" t="n">
        <v>48</v>
      </c>
      <c r="D795" s="8" t="str">
        <f aca="false">INDEX(Bases!$B$2:$B$53,B795)</f>
        <v>Mankey</v>
      </c>
      <c r="E795" s="8" t="str">
        <f aca="false">INDEX(Bases!$B$2:$B$53,C795)</f>
        <v>Magnemite</v>
      </c>
      <c r="F795" s="2" t="str">
        <f aca="false">LEFT(D795,ROUNDUP(LEN(D795)/2,0))&amp;LOWER(MID(E795,ROUNDUP(LEN(E795)/2,0)+1,20))</f>
        <v>Manmite</v>
      </c>
      <c r="G795" s="8" t="str">
        <f aca="false">INDEX(Bases!$C$2:$C$53,B795)</f>
        <v>Fighting</v>
      </c>
      <c r="H795" s="8" t="str">
        <f aca="false">IF(INDEX(Bases!$C$2:$C$53,C795)=G795,"",INDEX(Bases!$C$2:$C$53,C795))</f>
        <v>Steel</v>
      </c>
      <c r="I795" s="8" t="str">
        <f aca="false">IF(INDEX(Bases!$E$2:$E$53,B795)="","",INDEX(Bases!$E$2:$E$53,B795))</f>
        <v/>
      </c>
      <c r="J795" s="8" t="str">
        <f aca="false">IF(INDEX(Bases!$E$2:$E$53,C795)="","",INDEX(Bases!$E$2:$E$53,C795))</f>
        <v/>
      </c>
      <c r="K795" s="5"/>
      <c r="L795" s="2" t="n">
        <f aca="false">AE795+IF(SUMPRODUCT(--($AL795:$AQ795&gt;AL795))&lt;$AK795,1,0)</f>
        <v>51</v>
      </c>
      <c r="M795" s="2" t="n">
        <f aca="false">AF795+IF(SUMPRODUCT(--($AL795:$AQ795&gt;AM795))+SUMPRODUCT(--($AL795:AL795=AM795))&lt;$AK795,1,0)</f>
        <v>96</v>
      </c>
      <c r="N795" s="2" t="n">
        <f aca="false">AG795+IF(SUMPRODUCT(--($AL795:$AQ795&gt;AN795))+SUMPRODUCT(--($AL795:AM795=AN795))&lt;$AK795,1,0)</f>
        <v>83</v>
      </c>
      <c r="O795" s="2" t="n">
        <f aca="false">AH795+IF(SUMPRODUCT(--($AL795:$AQ795&gt;AO795))+SUMPRODUCT(--($AL795:AN795=AO795))&lt;$AK795,1,0)</f>
        <v>106</v>
      </c>
      <c r="P795" s="2" t="n">
        <f aca="false">AI795+IF(SUMPRODUCT(--($AL795:$AQ795&gt;AP795))+SUMPRODUCT(--($AL795:AO795=AP795))&lt;$AK795,1,0)</f>
        <v>74</v>
      </c>
      <c r="Q795" s="2" t="n">
        <f aca="false">AJ795+IF(SUMPRODUCT(--($AL795:$AQ795&gt;AQ795))+SUMPRODUCT(--($AL795:AP795=AQ795))&lt;$AK795,1,0)</f>
        <v>90</v>
      </c>
      <c r="R795" s="2" t="n">
        <f aca="false">SUM(L795:Q795)</f>
        <v>500</v>
      </c>
      <c r="S795" s="2" t="n">
        <f aca="false">Settings!$B$4*MAX(INDEX(Bases!$M$2:$M$53,B795),INDEX(Bases!$M$2:$M$53,C795))+Settings!$B$5*MIN(INDEX(Bases!$M$2:$M$53,B795),INDEX(Bases!$M$2:$M$53,C795))</f>
        <v>45</v>
      </c>
      <c r="T795" s="2" t="n">
        <f aca="false">Settings!$B$4*MAX(INDEX(Bases!$N$2:$N$53,B795),INDEX(Bases!$N$2:$N$53,C795))+Settings!$B$5*MIN(INDEX(Bases!$N$2:$N$53,B795),INDEX(Bases!$N$2:$N$53,C795))</f>
        <v>84.3333333333333</v>
      </c>
      <c r="U795" s="2" t="n">
        <f aca="false">Settings!$B$4*MAX(INDEX(Bases!$O$2:$O$53,B795),INDEX(Bases!$O$2:$O$53,C795))+Settings!$B$5*MIN(INDEX(Bases!$O$2:$O$53,B795),INDEX(Bases!$O$2:$O$53,C795))</f>
        <v>72.6666666666667</v>
      </c>
      <c r="V795" s="2" t="n">
        <f aca="false">Settings!$B$4*MAX(INDEX(Bases!$P$2:$P$53,B795),INDEX(Bases!$P$2:$P$53,C795))+Settings!$B$5*MIN(INDEX(Bases!$P$2:$P$53,B795),INDEX(Bases!$P$2:$P$53,C795))</f>
        <v>93.3333333333333</v>
      </c>
      <c r="W795" s="2" t="n">
        <f aca="false">Settings!$B$4*MAX(INDEX(Bases!$Q$2:$Q$53,B795),INDEX(Bases!$Q$2:$Q$53,C795))+Settings!$B$5*MIN(INDEX(Bases!$Q$2:$Q$53,B795),INDEX(Bases!$Q$2:$Q$53,C795))</f>
        <v>65</v>
      </c>
      <c r="X795" s="2" t="n">
        <f aca="false">Settings!$B$4*MAX(INDEX(Bases!$R$2:$R$53,B795),INDEX(Bases!$R$2:$R$53,C795))+Settings!$B$5*MIN(INDEX(Bases!$R$2:$R$53,B795),INDEX(Bases!$R$2:$R$53,C795))</f>
        <v>79.6666666666667</v>
      </c>
      <c r="Y795" s="2" t="n">
        <f aca="false">S795*Settings!$B$3/SUM(S795:X795)</f>
        <v>51.1363636363636</v>
      </c>
      <c r="Z795" s="2" t="n">
        <f aca="false">T795*Settings!$B$3/SUM(S795:X795)</f>
        <v>95.8333333333333</v>
      </c>
      <c r="AA795" s="2" t="n">
        <f aca="false">U795*Settings!$B$3/SUM(S795:X795)</f>
        <v>82.5757575757576</v>
      </c>
      <c r="AB795" s="2" t="n">
        <f aca="false">V795*Settings!$B$3/SUM(S795:X795)</f>
        <v>106.060606060606</v>
      </c>
      <c r="AC795" s="2" t="n">
        <f aca="false">W795*Settings!$B$3/SUM(S795:X795)</f>
        <v>73.8636363636364</v>
      </c>
      <c r="AD795" s="2" t="n">
        <f aca="false">X795*Settings!$B$3/SUM(S795:X795)</f>
        <v>90.530303030303</v>
      </c>
      <c r="AE795" s="2" t="n">
        <f aca="false">INT(Y795)</f>
        <v>51</v>
      </c>
      <c r="AF795" s="2" t="n">
        <f aca="false">INT(Z795)</f>
        <v>95</v>
      </c>
      <c r="AG795" s="2" t="n">
        <f aca="false">INT(AA795)</f>
        <v>82</v>
      </c>
      <c r="AH795" s="2" t="n">
        <f aca="false">INT(AB795)</f>
        <v>106</v>
      </c>
      <c r="AI795" s="2" t="n">
        <f aca="false">INT(AC795)</f>
        <v>73</v>
      </c>
      <c r="AJ795" s="2" t="n">
        <f aca="false">INT(AD795)</f>
        <v>90</v>
      </c>
      <c r="AK795" s="2" t="n">
        <f aca="false">Settings!$B$3-SUM(AE795:AJ795)</f>
        <v>3</v>
      </c>
      <c r="AL795" s="2" t="n">
        <f aca="false">ROUND(Y795-AE795,9)</f>
        <v>0.136363636</v>
      </c>
      <c r="AM795" s="2" t="n">
        <f aca="false">ROUND(Z795-AF795,9)</f>
        <v>0.833333333</v>
      </c>
      <c r="AN795" s="2" t="n">
        <f aca="false">ROUND(AA795-AG795,9)</f>
        <v>0.575757576</v>
      </c>
      <c r="AO795" s="2" t="n">
        <f aca="false">ROUND(AB795-AH795,9)</f>
        <v>0.060606061</v>
      </c>
      <c r="AP795" s="2" t="n">
        <f aca="false">ROUND(AC795-AI795,9)</f>
        <v>0.863636364</v>
      </c>
      <c r="AQ795" s="2" t="n">
        <f aca="false">ROUND(AD795-AJ795,9)</f>
        <v>0.53030303</v>
      </c>
    </row>
    <row r="796" customFormat="false" ht="15" hidden="false" customHeight="false" outlineLevel="0" collapsed="false">
      <c r="A796" s="2" t="n">
        <v>795</v>
      </c>
      <c r="B796" s="6" t="n">
        <v>19</v>
      </c>
      <c r="C796" s="6" t="n">
        <v>49</v>
      </c>
      <c r="D796" s="8" t="str">
        <f aca="false">INDEX(Bases!$B$2:$B$53,B796)</f>
        <v>Mankey</v>
      </c>
      <c r="E796" s="8" t="str">
        <f aca="false">INDEX(Bases!$B$2:$B$53,C796)</f>
        <v>Aron</v>
      </c>
      <c r="F796" s="2" t="str">
        <f aca="false">LEFT(D796,ROUNDUP(LEN(D796)/2,0))&amp;LOWER(MID(E796,ROUNDUP(LEN(E796)/2,0)+1,20))</f>
        <v>Manon</v>
      </c>
      <c r="G796" s="8" t="str">
        <f aca="false">INDEX(Bases!$C$2:$C$53,B796)</f>
        <v>Fighting</v>
      </c>
      <c r="H796" s="8" t="str">
        <f aca="false">IF(INDEX(Bases!$C$2:$C$53,C796)=G796,"",INDEX(Bases!$C$2:$C$53,C796))</f>
        <v>Steel</v>
      </c>
      <c r="I796" s="8" t="str">
        <f aca="false">IF(INDEX(Bases!$E$2:$E$53,B796)="","",INDEX(Bases!$E$2:$E$53,B796))</f>
        <v/>
      </c>
      <c r="J796" s="8" t="str">
        <f aca="false">IF(INDEX(Bases!$E$2:$E$53,C796)="","",INDEX(Bases!$E$2:$E$53,C796))</f>
        <v/>
      </c>
      <c r="K796" s="5"/>
      <c r="L796" s="2" t="n">
        <f aca="false">AE796+IF(SUMPRODUCT(--($AL796:$AQ796&gt;AL796))&lt;$AK796,1,0)</f>
        <v>68</v>
      </c>
      <c r="M796" s="2" t="n">
        <f aca="false">AF796+IF(SUMPRODUCT(--($AL796:$AQ796&gt;AM796))+SUMPRODUCT(--($AL796:AL796=AM796))&lt;$AK796,1,0)</f>
        <v>115</v>
      </c>
      <c r="N796" s="2" t="n">
        <f aca="false">AG796+IF(SUMPRODUCT(--($AL796:$AQ796&gt;AN796))+SUMPRODUCT(--($AL796:AM796=AN796))&lt;$AK796,1,0)</f>
        <v>112</v>
      </c>
      <c r="O796" s="2" t="n">
        <f aca="false">AH796+IF(SUMPRODUCT(--($AL796:$AQ796&gt;AO796))+SUMPRODUCT(--($AL796:AN796=AO796))&lt;$AK796,1,0)</f>
        <v>56</v>
      </c>
      <c r="P796" s="2" t="n">
        <f aca="false">AI796+IF(SUMPRODUCT(--($AL796:$AQ796&gt;AP796))+SUMPRODUCT(--($AL796:AO796=AP796))&lt;$AK796,1,0)</f>
        <v>64</v>
      </c>
      <c r="Q796" s="2" t="n">
        <f aca="false">AJ796+IF(SUMPRODUCT(--($AL796:$AQ796&gt;AQ796))+SUMPRODUCT(--($AL796:AP796=AQ796))&lt;$AK796,1,0)</f>
        <v>85</v>
      </c>
      <c r="R796" s="2" t="n">
        <f aca="false">SUM(L796:Q796)</f>
        <v>500</v>
      </c>
      <c r="S796" s="2" t="n">
        <f aca="false">Settings!$B$4*MAX(INDEX(Bases!$M$2:$M$53,B796),INDEX(Bases!$M$2:$M$53,C796))+Settings!$B$5*MIN(INDEX(Bases!$M$2:$M$53,B796),INDEX(Bases!$M$2:$M$53,C796))</f>
        <v>58</v>
      </c>
      <c r="T796" s="2" t="n">
        <f aca="false">Settings!$B$4*MAX(INDEX(Bases!$N$2:$N$53,B796),INDEX(Bases!$N$2:$N$53,C796))+Settings!$B$5*MIN(INDEX(Bases!$N$2:$N$53,B796),INDEX(Bases!$N$2:$N$53,C796))</f>
        <v>98.3333333333333</v>
      </c>
      <c r="U796" s="2" t="n">
        <f aca="false">Settings!$B$4*MAX(INDEX(Bases!$O$2:$O$53,B796),INDEX(Bases!$O$2:$O$53,C796))+Settings!$B$5*MIN(INDEX(Bases!$O$2:$O$53,B796),INDEX(Bases!$O$2:$O$53,C796))</f>
        <v>96</v>
      </c>
      <c r="V796" s="2" t="n">
        <f aca="false">Settings!$B$4*MAX(INDEX(Bases!$P$2:$P$53,B796),INDEX(Bases!$P$2:$P$53,C796))+Settings!$B$5*MIN(INDEX(Bases!$P$2:$P$53,B796),INDEX(Bases!$P$2:$P$53,C796))</f>
        <v>48</v>
      </c>
      <c r="W796" s="2" t="n">
        <f aca="false">Settings!$B$4*MAX(INDEX(Bases!$Q$2:$Q$53,B796),INDEX(Bases!$Q$2:$Q$53,C796))+Settings!$B$5*MIN(INDEX(Bases!$Q$2:$Q$53,B796),INDEX(Bases!$Q$2:$Q$53,C796))</f>
        <v>55.3333333333333</v>
      </c>
      <c r="X796" s="2" t="n">
        <f aca="false">Settings!$B$4*MAX(INDEX(Bases!$R$2:$R$53,B796),INDEX(Bases!$R$2:$R$53,C796))+Settings!$B$5*MIN(INDEX(Bases!$R$2:$R$53,B796),INDEX(Bases!$R$2:$R$53,C796))</f>
        <v>73.3333333333333</v>
      </c>
      <c r="Y796" s="2" t="n">
        <f aca="false">S796*Settings!$B$3/SUM(S796:X796)</f>
        <v>67.5990675990676</v>
      </c>
      <c r="Z796" s="2" t="n">
        <f aca="false">T796*Settings!$B$3/SUM(S796:X796)</f>
        <v>114.607614607615</v>
      </c>
      <c r="AA796" s="2" t="n">
        <f aca="false">U796*Settings!$B$3/SUM(S796:X796)</f>
        <v>111.888111888112</v>
      </c>
      <c r="AB796" s="2" t="n">
        <f aca="false">V796*Settings!$B$3/SUM(S796:X796)</f>
        <v>55.944055944056</v>
      </c>
      <c r="AC796" s="2" t="n">
        <f aca="false">W796*Settings!$B$3/SUM(S796:X796)</f>
        <v>64.4910644910645</v>
      </c>
      <c r="AD796" s="2" t="n">
        <f aca="false">X796*Settings!$B$3/SUM(S796:X796)</f>
        <v>85.4700854700855</v>
      </c>
      <c r="AE796" s="2" t="n">
        <f aca="false">INT(Y796)</f>
        <v>67</v>
      </c>
      <c r="AF796" s="2" t="n">
        <f aca="false">INT(Z796)</f>
        <v>114</v>
      </c>
      <c r="AG796" s="2" t="n">
        <f aca="false">INT(AA796)</f>
        <v>111</v>
      </c>
      <c r="AH796" s="2" t="n">
        <f aca="false">INT(AB796)</f>
        <v>55</v>
      </c>
      <c r="AI796" s="2" t="n">
        <f aca="false">INT(AC796)</f>
        <v>64</v>
      </c>
      <c r="AJ796" s="2" t="n">
        <f aca="false">INT(AD796)</f>
        <v>85</v>
      </c>
      <c r="AK796" s="2" t="n">
        <f aca="false">Settings!$B$3-SUM(AE796:AJ796)</f>
        <v>4</v>
      </c>
      <c r="AL796" s="2" t="n">
        <f aca="false">ROUND(Y796-AE796,9)</f>
        <v>0.599067599</v>
      </c>
      <c r="AM796" s="2" t="n">
        <f aca="false">ROUND(Z796-AF796,9)</f>
        <v>0.607614608</v>
      </c>
      <c r="AN796" s="2" t="n">
        <f aca="false">ROUND(AA796-AG796,9)</f>
        <v>0.888111888</v>
      </c>
      <c r="AO796" s="2" t="n">
        <f aca="false">ROUND(AB796-AH796,9)</f>
        <v>0.944055944</v>
      </c>
      <c r="AP796" s="2" t="n">
        <f aca="false">ROUND(AC796-AI796,9)</f>
        <v>0.491064491</v>
      </c>
      <c r="AQ796" s="2" t="n">
        <f aca="false">ROUND(AD796-AJ796,9)</f>
        <v>0.47008547</v>
      </c>
    </row>
    <row r="797" customFormat="false" ht="15" hidden="false" customHeight="false" outlineLevel="0" collapsed="false">
      <c r="A797" s="2" t="n">
        <v>796</v>
      </c>
      <c r="B797" s="6" t="n">
        <v>19</v>
      </c>
      <c r="C797" s="6" t="n">
        <v>50</v>
      </c>
      <c r="D797" s="8" t="str">
        <f aca="false">INDEX(Bases!$B$2:$B$53,B797)</f>
        <v>Mankey</v>
      </c>
      <c r="E797" s="8" t="str">
        <f aca="false">INDEX(Bases!$B$2:$B$53,C797)</f>
        <v>Beldum</v>
      </c>
      <c r="F797" s="2" t="str">
        <f aca="false">LEFT(D797,ROUNDUP(LEN(D797)/2,0))&amp;LOWER(MID(E797,ROUNDUP(LEN(E797)/2,0)+1,20))</f>
        <v>Mandum</v>
      </c>
      <c r="G797" s="8" t="str">
        <f aca="false">INDEX(Bases!$C$2:$C$53,B797)</f>
        <v>Fighting</v>
      </c>
      <c r="H797" s="8" t="str">
        <f aca="false">IF(INDEX(Bases!$C$2:$C$53,C797)=G797,"",INDEX(Bases!$C$2:$C$53,C797))</f>
        <v>Steel</v>
      </c>
      <c r="I797" s="8" t="str">
        <f aca="false">IF(INDEX(Bases!$E$2:$E$53,B797)="","",INDEX(Bases!$E$2:$E$53,B797))</f>
        <v/>
      </c>
      <c r="J797" s="8" t="str">
        <f aca="false">IF(INDEX(Bases!$E$2:$E$53,C797)="","",INDEX(Bases!$E$2:$E$53,C797))</f>
        <v/>
      </c>
      <c r="K797" s="5"/>
      <c r="L797" s="2" t="n">
        <f aca="false">AE797+IF(SUMPRODUCT(--($AL797:$AQ797&gt;AL797))&lt;$AK797,1,0)</f>
        <v>62</v>
      </c>
      <c r="M797" s="2" t="n">
        <f aca="false">AF797+IF(SUMPRODUCT(--($AL797:$AQ797&gt;AM797))+SUMPRODUCT(--($AL797:AL797=AM797))&lt;$AK797,1,0)</f>
        <v>110</v>
      </c>
      <c r="N797" s="2" t="n">
        <f aca="false">AG797+IF(SUMPRODUCT(--($AL797:$AQ797&gt;AN797))+SUMPRODUCT(--($AL797:AM797=AN797))&lt;$AK797,1,0)</f>
        <v>101</v>
      </c>
      <c r="O797" s="2" t="n">
        <f aca="false">AH797+IF(SUMPRODUCT(--($AL797:$AQ797&gt;AO797))+SUMPRODUCT(--($AL797:AN797=AO797))&lt;$AK797,1,0)</f>
        <v>55</v>
      </c>
      <c r="P797" s="2" t="n">
        <f aca="false">AI797+IF(SUMPRODUCT(--($AL797:$AQ797&gt;AP797))+SUMPRODUCT(--($AL797:AO797=AP797))&lt;$AK797,1,0)</f>
        <v>85</v>
      </c>
      <c r="Q797" s="2" t="n">
        <f aca="false">AJ797+IF(SUMPRODUCT(--($AL797:$AQ797&gt;AQ797))+SUMPRODUCT(--($AL797:AP797=AQ797))&lt;$AK797,1,0)</f>
        <v>87</v>
      </c>
      <c r="R797" s="2" t="n">
        <f aca="false">SUM(L797:Q797)</f>
        <v>500</v>
      </c>
      <c r="S797" s="2" t="n">
        <f aca="false">Settings!$B$4*MAX(INDEX(Bases!$M$2:$M$53,B797),INDEX(Bases!$M$2:$M$53,C797))+Settings!$B$5*MIN(INDEX(Bases!$M$2:$M$53,B797),INDEX(Bases!$M$2:$M$53,C797))</f>
        <v>52.6666666666667</v>
      </c>
      <c r="T797" s="2" t="n">
        <f aca="false">Settings!$B$4*MAX(INDEX(Bases!$N$2:$N$53,B797),INDEX(Bases!$N$2:$N$53,C797))+Settings!$B$5*MIN(INDEX(Bases!$N$2:$N$53,B797),INDEX(Bases!$N$2:$N$53,C797))</f>
        <v>94.3333333333333</v>
      </c>
      <c r="U797" s="2" t="n">
        <f aca="false">Settings!$B$4*MAX(INDEX(Bases!$O$2:$O$53,B797),INDEX(Bases!$O$2:$O$53,C797))+Settings!$B$5*MIN(INDEX(Bases!$O$2:$O$53,B797),INDEX(Bases!$O$2:$O$53,C797))</f>
        <v>86.6666666666667</v>
      </c>
      <c r="V797" s="2" t="n">
        <f aca="false">Settings!$B$4*MAX(INDEX(Bases!$P$2:$P$53,B797),INDEX(Bases!$P$2:$P$53,C797))+Settings!$B$5*MIN(INDEX(Bases!$P$2:$P$53,B797),INDEX(Bases!$P$2:$P$53,C797))</f>
        <v>46.6666666666667</v>
      </c>
      <c r="W797" s="2" t="n">
        <f aca="false">Settings!$B$4*MAX(INDEX(Bases!$Q$2:$Q$53,B797),INDEX(Bases!$Q$2:$Q$53,C797))+Settings!$B$5*MIN(INDEX(Bases!$Q$2:$Q$53,B797),INDEX(Bases!$Q$2:$Q$53,C797))</f>
        <v>73</v>
      </c>
      <c r="X797" s="2" t="n">
        <f aca="false">Settings!$B$4*MAX(INDEX(Bases!$R$2:$R$53,B797),INDEX(Bases!$R$2:$R$53,C797))+Settings!$B$5*MIN(INDEX(Bases!$R$2:$R$53,B797),INDEX(Bases!$R$2:$R$53,C797))</f>
        <v>74.6666666666667</v>
      </c>
      <c r="Y797" s="2" t="n">
        <f aca="false">S797*Settings!$B$3/SUM(S797:X797)</f>
        <v>61.5264797507788</v>
      </c>
      <c r="Z797" s="2" t="n">
        <f aca="false">T797*Settings!$B$3/SUM(S797:X797)</f>
        <v>110.202492211838</v>
      </c>
      <c r="AA797" s="2" t="n">
        <f aca="false">U797*Settings!$B$3/SUM(S797:X797)</f>
        <v>101.246105919003</v>
      </c>
      <c r="AB797" s="2" t="n">
        <f aca="false">V797*Settings!$B$3/SUM(S797:X797)</f>
        <v>54.5171339563863</v>
      </c>
      <c r="AC797" s="2" t="n">
        <f aca="false">W797*Settings!$B$3/SUM(S797:X797)</f>
        <v>85.2803738317757</v>
      </c>
      <c r="AD797" s="2" t="n">
        <f aca="false">X797*Settings!$B$3/SUM(S797:X797)</f>
        <v>87.2274143302181</v>
      </c>
      <c r="AE797" s="2" t="n">
        <f aca="false">INT(Y797)</f>
        <v>61</v>
      </c>
      <c r="AF797" s="2" t="n">
        <f aca="false">INT(Z797)</f>
        <v>110</v>
      </c>
      <c r="AG797" s="2" t="n">
        <f aca="false">INT(AA797)</f>
        <v>101</v>
      </c>
      <c r="AH797" s="2" t="n">
        <f aca="false">INT(AB797)</f>
        <v>54</v>
      </c>
      <c r="AI797" s="2" t="n">
        <f aca="false">INT(AC797)</f>
        <v>85</v>
      </c>
      <c r="AJ797" s="2" t="n">
        <f aca="false">INT(AD797)</f>
        <v>87</v>
      </c>
      <c r="AK797" s="2" t="n">
        <f aca="false">Settings!$B$3-SUM(AE797:AJ797)</f>
        <v>2</v>
      </c>
      <c r="AL797" s="2" t="n">
        <f aca="false">ROUND(Y797-AE797,9)</f>
        <v>0.526479751</v>
      </c>
      <c r="AM797" s="2" t="n">
        <f aca="false">ROUND(Z797-AF797,9)</f>
        <v>0.202492212</v>
      </c>
      <c r="AN797" s="2" t="n">
        <f aca="false">ROUND(AA797-AG797,9)</f>
        <v>0.246105919</v>
      </c>
      <c r="AO797" s="2" t="n">
        <f aca="false">ROUND(AB797-AH797,9)</f>
        <v>0.517133956</v>
      </c>
      <c r="AP797" s="2" t="n">
        <f aca="false">ROUND(AC797-AI797,9)</f>
        <v>0.280373832</v>
      </c>
      <c r="AQ797" s="2" t="n">
        <f aca="false">ROUND(AD797-AJ797,9)</f>
        <v>0.22741433</v>
      </c>
    </row>
    <row r="798" customFormat="false" ht="15" hidden="false" customHeight="false" outlineLevel="0" collapsed="false">
      <c r="A798" s="2" t="n">
        <v>797</v>
      </c>
      <c r="B798" s="6" t="n">
        <v>19</v>
      </c>
      <c r="C798" s="6" t="n">
        <v>51</v>
      </c>
      <c r="D798" s="8" t="str">
        <f aca="false">INDEX(Bases!$B$2:$B$53,B798)</f>
        <v>Mankey</v>
      </c>
      <c r="E798" s="8" t="str">
        <f aca="false">INDEX(Bases!$B$2:$B$53,C798)</f>
        <v>Cleffa</v>
      </c>
      <c r="F798" s="2" t="str">
        <f aca="false">LEFT(D798,ROUNDUP(LEN(D798)/2,0))&amp;LOWER(MID(E798,ROUNDUP(LEN(E798)/2,0)+1,20))</f>
        <v>Manffa</v>
      </c>
      <c r="G798" s="8" t="str">
        <f aca="false">INDEX(Bases!$C$2:$C$53,B798)</f>
        <v>Fighting</v>
      </c>
      <c r="H798" s="8" t="str">
        <f aca="false">IF(INDEX(Bases!$C$2:$C$53,C798)=G798,"",INDEX(Bases!$C$2:$C$53,C798))</f>
        <v>Fairy</v>
      </c>
      <c r="I798" s="8" t="str">
        <f aca="false">IF(INDEX(Bases!$E$2:$E$53,B798)="","",INDEX(Bases!$E$2:$E$53,B798))</f>
        <v/>
      </c>
      <c r="J798" s="8" t="str">
        <f aca="false">IF(INDEX(Bases!$E$2:$E$53,C798)="","",INDEX(Bases!$E$2:$E$53,C798))</f>
        <v/>
      </c>
      <c r="K798" s="5"/>
      <c r="L798" s="2" t="n">
        <f aca="false">AE798+IF(SUMPRODUCT(--($AL798:$AQ798&gt;AL798))&lt;$AK798,1,0)</f>
        <v>89</v>
      </c>
      <c r="M798" s="2" t="n">
        <f aca="false">AF798+IF(SUMPRODUCT(--($AL798:$AQ798&gt;AM798))+SUMPRODUCT(--($AL798:AL798=AM798))&lt;$AK798,1,0)</f>
        <v>97</v>
      </c>
      <c r="N798" s="2" t="n">
        <f aca="false">AG798+IF(SUMPRODUCT(--($AL798:$AQ798&gt;AN798))+SUMPRODUCT(--($AL798:AM798=AN798))&lt;$AK798,1,0)</f>
        <v>56</v>
      </c>
      <c r="O798" s="2" t="n">
        <f aca="false">AH798+IF(SUMPRODUCT(--($AL798:$AQ798&gt;AO798))+SUMPRODUCT(--($AL798:AN798=AO798))&lt;$AK798,1,0)</f>
        <v>80</v>
      </c>
      <c r="P798" s="2" t="n">
        <f aca="false">AI798+IF(SUMPRODUCT(--($AL798:$AQ798&gt;AP798))+SUMPRODUCT(--($AL798:AO798=AP798))&lt;$AK798,1,0)</f>
        <v>98</v>
      </c>
      <c r="Q798" s="2" t="n">
        <f aca="false">AJ798+IF(SUMPRODUCT(--($AL798:$AQ798&gt;AQ798))+SUMPRODUCT(--($AL798:AP798=AQ798))&lt;$AK798,1,0)</f>
        <v>80</v>
      </c>
      <c r="R798" s="2" t="n">
        <f aca="false">SUM(L798:Q798)</f>
        <v>500</v>
      </c>
      <c r="S798" s="2" t="n">
        <f aca="false">Settings!$B$4*MAX(INDEX(Bases!$M$2:$M$53,B798),INDEX(Bases!$M$2:$M$53,C798))+Settings!$B$5*MIN(INDEX(Bases!$M$2:$M$53,B798),INDEX(Bases!$M$2:$M$53,C798))</f>
        <v>78.6666666666667</v>
      </c>
      <c r="T798" s="2" t="n">
        <f aca="false">Settings!$B$4*MAX(INDEX(Bases!$N$2:$N$53,B798),INDEX(Bases!$N$2:$N$53,C798))+Settings!$B$5*MIN(INDEX(Bases!$N$2:$N$53,B798),INDEX(Bases!$N$2:$N$53,C798))</f>
        <v>85.3333333333333</v>
      </c>
      <c r="U798" s="2" t="n">
        <f aca="false">Settings!$B$4*MAX(INDEX(Bases!$O$2:$O$53,B798),INDEX(Bases!$O$2:$O$53,C798))+Settings!$B$5*MIN(INDEX(Bases!$O$2:$O$53,B798),INDEX(Bases!$O$2:$O$53,C798))</f>
        <v>49.3333333333333</v>
      </c>
      <c r="V798" s="2" t="n">
        <f aca="false">Settings!$B$4*MAX(INDEX(Bases!$P$2:$P$53,B798),INDEX(Bases!$P$2:$P$53,C798))+Settings!$B$5*MIN(INDEX(Bases!$P$2:$P$53,B798),INDEX(Bases!$P$2:$P$53,C798))</f>
        <v>70.6666666666667</v>
      </c>
      <c r="W798" s="2" t="n">
        <f aca="false">Settings!$B$4*MAX(INDEX(Bases!$Q$2:$Q$53,B798),INDEX(Bases!$Q$2:$Q$53,C798))+Settings!$B$5*MIN(INDEX(Bases!$Q$2:$Q$53,B798),INDEX(Bases!$Q$2:$Q$53,C798))</f>
        <v>87</v>
      </c>
      <c r="X798" s="2" t="n">
        <f aca="false">Settings!$B$4*MAX(INDEX(Bases!$R$2:$R$53,B798),INDEX(Bases!$R$2:$R$53,C798))+Settings!$B$5*MIN(INDEX(Bases!$R$2:$R$53,B798),INDEX(Bases!$R$2:$R$53,C798))</f>
        <v>70.3333333333333</v>
      </c>
      <c r="Y798" s="2" t="n">
        <f aca="false">S798*Settings!$B$3/SUM(S798:X798)</f>
        <v>89.1238670694864</v>
      </c>
      <c r="Z798" s="2" t="n">
        <f aca="false">T798*Settings!$B$3/SUM(S798:X798)</f>
        <v>96.6767371601209</v>
      </c>
      <c r="AA798" s="2" t="n">
        <f aca="false">U798*Settings!$B$3/SUM(S798:X798)</f>
        <v>55.8912386706949</v>
      </c>
      <c r="AB798" s="2" t="n">
        <f aca="false">V798*Settings!$B$3/SUM(S798:X798)</f>
        <v>80.0604229607251</v>
      </c>
      <c r="AC798" s="2" t="n">
        <f aca="false">W798*Settings!$B$3/SUM(S798:X798)</f>
        <v>98.5649546827795</v>
      </c>
      <c r="AD798" s="2" t="n">
        <f aca="false">X798*Settings!$B$3/SUM(S798:X798)</f>
        <v>79.6827794561933</v>
      </c>
      <c r="AE798" s="2" t="n">
        <f aca="false">INT(Y798)</f>
        <v>89</v>
      </c>
      <c r="AF798" s="2" t="n">
        <f aca="false">INT(Z798)</f>
        <v>96</v>
      </c>
      <c r="AG798" s="2" t="n">
        <f aca="false">INT(AA798)</f>
        <v>55</v>
      </c>
      <c r="AH798" s="2" t="n">
        <f aca="false">INT(AB798)</f>
        <v>80</v>
      </c>
      <c r="AI798" s="2" t="n">
        <f aca="false">INT(AC798)</f>
        <v>98</v>
      </c>
      <c r="AJ798" s="2" t="n">
        <f aca="false">INT(AD798)</f>
        <v>79</v>
      </c>
      <c r="AK798" s="2" t="n">
        <f aca="false">Settings!$B$3-SUM(AE798:AJ798)</f>
        <v>3</v>
      </c>
      <c r="AL798" s="2" t="n">
        <f aca="false">ROUND(Y798-AE798,9)</f>
        <v>0.123867069</v>
      </c>
      <c r="AM798" s="2" t="n">
        <f aca="false">ROUND(Z798-AF798,9)</f>
        <v>0.67673716</v>
      </c>
      <c r="AN798" s="2" t="n">
        <f aca="false">ROUND(AA798-AG798,9)</f>
        <v>0.891238671</v>
      </c>
      <c r="AO798" s="2" t="n">
        <f aca="false">ROUND(AB798-AH798,9)</f>
        <v>0.060422961</v>
      </c>
      <c r="AP798" s="2" t="n">
        <f aca="false">ROUND(AC798-AI798,9)</f>
        <v>0.564954683</v>
      </c>
      <c r="AQ798" s="2" t="n">
        <f aca="false">ROUND(AD798-AJ798,9)</f>
        <v>0.682779456</v>
      </c>
    </row>
    <row r="799" customFormat="false" ht="15" hidden="false" customHeight="false" outlineLevel="0" collapsed="false">
      <c r="A799" s="2" t="n">
        <v>798</v>
      </c>
      <c r="B799" s="6" t="n">
        <v>19</v>
      </c>
      <c r="C799" s="6" t="n">
        <v>52</v>
      </c>
      <c r="D799" s="8" t="str">
        <f aca="false">INDEX(Bases!$B$2:$B$53,B799)</f>
        <v>Mankey</v>
      </c>
      <c r="E799" s="8" t="str">
        <f aca="false">INDEX(Bases!$B$2:$B$53,C799)</f>
        <v>Togepi</v>
      </c>
      <c r="F799" s="2" t="str">
        <f aca="false">LEFT(D799,ROUNDUP(LEN(D799)/2,0))&amp;LOWER(MID(E799,ROUNDUP(LEN(E799)/2,0)+1,20))</f>
        <v>Manepi</v>
      </c>
      <c r="G799" s="8" t="str">
        <f aca="false">INDEX(Bases!$C$2:$C$53,B799)</f>
        <v>Fighting</v>
      </c>
      <c r="H799" s="8" t="str">
        <f aca="false">IF(INDEX(Bases!$C$2:$C$53,C799)=G799,"",INDEX(Bases!$C$2:$C$53,C799))</f>
        <v>Fairy</v>
      </c>
      <c r="I799" s="8" t="str">
        <f aca="false">IF(INDEX(Bases!$E$2:$E$53,B799)="","",INDEX(Bases!$E$2:$E$53,B799))</f>
        <v/>
      </c>
      <c r="J799" s="8" t="str">
        <f aca="false">IF(INDEX(Bases!$E$2:$E$53,C799)="","",INDEX(Bases!$E$2:$E$53,C799))</f>
        <v/>
      </c>
      <c r="K799" s="5"/>
      <c r="L799" s="2" t="n">
        <f aca="false">AE799+IF(SUMPRODUCT(--($AL799:$AQ799&gt;AL799))&lt;$AK799,1,0)</f>
        <v>62</v>
      </c>
      <c r="M799" s="2" t="n">
        <f aca="false">AF799+IF(SUMPRODUCT(--($AL799:$AQ799&gt;AM799))+SUMPRODUCT(--($AL799:AL799=AM799))&lt;$AK799,1,0)</f>
        <v>91</v>
      </c>
      <c r="N799" s="2" t="n">
        <f aca="false">AG799+IF(SUMPRODUCT(--($AL799:$AQ799&gt;AN799))+SUMPRODUCT(--($AL799:AM799=AN799))&lt;$AK799,1,0)</f>
        <v>97</v>
      </c>
      <c r="O799" s="2" t="n">
        <f aca="false">AH799+IF(SUMPRODUCT(--($AL799:$AQ799&gt;AO799))+SUMPRODUCT(--($AL799:AN799=AO799))&lt;$AK799,1,0)</f>
        <v>66</v>
      </c>
      <c r="P799" s="2" t="n">
        <f aca="false">AI799+IF(SUMPRODUCT(--($AL799:$AQ799&gt;AP799))+SUMPRODUCT(--($AL799:AO799=AP799))&lt;$AK799,1,0)</f>
        <v>102</v>
      </c>
      <c r="Q799" s="2" t="n">
        <f aca="false">AJ799+IF(SUMPRODUCT(--($AL799:$AQ799&gt;AQ799))+SUMPRODUCT(--($AL799:AP799=AQ799))&lt;$AK799,1,0)</f>
        <v>82</v>
      </c>
      <c r="R799" s="2" t="n">
        <f aca="false">SUM(L799:Q799)</f>
        <v>500</v>
      </c>
      <c r="S799" s="2" t="n">
        <f aca="false">Settings!$B$4*MAX(INDEX(Bases!$M$2:$M$53,B799),INDEX(Bases!$M$2:$M$53,C799))+Settings!$B$5*MIN(INDEX(Bases!$M$2:$M$53,B799),INDEX(Bases!$M$2:$M$53,C799))</f>
        <v>55.3333333333333</v>
      </c>
      <c r="T799" s="2" t="n">
        <f aca="false">Settings!$B$4*MAX(INDEX(Bases!$N$2:$N$53,B799),INDEX(Bases!$N$2:$N$53,C799))+Settings!$B$5*MIN(INDEX(Bases!$N$2:$N$53,B799),INDEX(Bases!$N$2:$N$53,C799))</f>
        <v>81</v>
      </c>
      <c r="U799" s="2" t="n">
        <f aca="false">Settings!$B$4*MAX(INDEX(Bases!$O$2:$O$53,B799),INDEX(Bases!$O$2:$O$53,C799))+Settings!$B$5*MIN(INDEX(Bases!$O$2:$O$53,B799),INDEX(Bases!$O$2:$O$53,C799))</f>
        <v>86</v>
      </c>
      <c r="V799" s="2" t="n">
        <f aca="false">Settings!$B$4*MAX(INDEX(Bases!$P$2:$P$53,B799),INDEX(Bases!$P$2:$P$53,C799))+Settings!$B$5*MIN(INDEX(Bases!$P$2:$P$53,B799),INDEX(Bases!$P$2:$P$53,C799))</f>
        <v>58.6666666666667</v>
      </c>
      <c r="W799" s="2" t="n">
        <f aca="false">Settings!$B$4*MAX(INDEX(Bases!$Q$2:$Q$53,B799),INDEX(Bases!$Q$2:$Q$53,C799))+Settings!$B$5*MIN(INDEX(Bases!$Q$2:$Q$53,B799),INDEX(Bases!$Q$2:$Q$53,C799))</f>
        <v>90.3333333333333</v>
      </c>
      <c r="X799" s="2" t="n">
        <f aca="false">Settings!$B$4*MAX(INDEX(Bases!$R$2:$R$53,B799),INDEX(Bases!$R$2:$R$53,C799))+Settings!$B$5*MIN(INDEX(Bases!$R$2:$R$53,B799),INDEX(Bases!$R$2:$R$53,C799))</f>
        <v>72.3333333333333</v>
      </c>
      <c r="Y799" s="2" t="n">
        <f aca="false">S799*Settings!$B$3/SUM(S799:X799)</f>
        <v>62.359128474831</v>
      </c>
      <c r="Z799" s="2" t="n">
        <f aca="false">T799*Settings!$B$3/SUM(S799:X799)</f>
        <v>91.2847483095417</v>
      </c>
      <c r="AA799" s="2" t="n">
        <f aca="false">U799*Settings!$B$3/SUM(S799:X799)</f>
        <v>96.9196093163035</v>
      </c>
      <c r="AB799" s="2" t="n">
        <f aca="false">V799*Settings!$B$3/SUM(S799:X799)</f>
        <v>66.1157024793389</v>
      </c>
      <c r="AC799" s="2" t="n">
        <f aca="false">W799*Settings!$B$3/SUM(S799:X799)</f>
        <v>101.803155522164</v>
      </c>
      <c r="AD799" s="2" t="n">
        <f aca="false">X799*Settings!$B$3/SUM(S799:X799)</f>
        <v>81.5176558978212</v>
      </c>
      <c r="AE799" s="2" t="n">
        <f aca="false">INT(Y799)</f>
        <v>62</v>
      </c>
      <c r="AF799" s="2" t="n">
        <f aca="false">INT(Z799)</f>
        <v>91</v>
      </c>
      <c r="AG799" s="2" t="n">
        <f aca="false">INT(AA799)</f>
        <v>96</v>
      </c>
      <c r="AH799" s="2" t="n">
        <f aca="false">INT(AB799)</f>
        <v>66</v>
      </c>
      <c r="AI799" s="2" t="n">
        <f aca="false">INT(AC799)</f>
        <v>101</v>
      </c>
      <c r="AJ799" s="2" t="n">
        <f aca="false">INT(AD799)</f>
        <v>81</v>
      </c>
      <c r="AK799" s="2" t="n">
        <f aca="false">Settings!$B$3-SUM(AE799:AJ799)</f>
        <v>3</v>
      </c>
      <c r="AL799" s="2" t="n">
        <f aca="false">ROUND(Y799-AE799,9)</f>
        <v>0.359128475</v>
      </c>
      <c r="AM799" s="2" t="n">
        <f aca="false">ROUND(Z799-AF799,9)</f>
        <v>0.28474831</v>
      </c>
      <c r="AN799" s="2" t="n">
        <f aca="false">ROUND(AA799-AG799,9)</f>
        <v>0.919609316</v>
      </c>
      <c r="AO799" s="2" t="n">
        <f aca="false">ROUND(AB799-AH799,9)</f>
        <v>0.115702479</v>
      </c>
      <c r="AP799" s="2" t="n">
        <f aca="false">ROUND(AC799-AI799,9)</f>
        <v>0.803155522</v>
      </c>
      <c r="AQ799" s="2" t="n">
        <f aca="false">ROUND(AD799-AJ799,9)</f>
        <v>0.517655898</v>
      </c>
    </row>
    <row r="800" customFormat="false" ht="15" hidden="false" customHeight="false" outlineLevel="0" collapsed="false">
      <c r="A800" s="2" t="n">
        <v>799</v>
      </c>
      <c r="B800" s="6" t="n">
        <v>20</v>
      </c>
      <c r="C800" s="6" t="n">
        <v>21</v>
      </c>
      <c r="D800" s="8" t="str">
        <f aca="false">INDEX(Bases!$B$2:$B$53,B800)</f>
        <v>Tyrogue</v>
      </c>
      <c r="E800" s="8" t="str">
        <f aca="false">INDEX(Bases!$B$2:$B$53,C800)</f>
        <v>Makuhita</v>
      </c>
      <c r="F800" s="2" t="str">
        <f aca="false">LEFT(D800,ROUNDUP(LEN(D800)/2,0))&amp;LOWER(MID(E800,ROUNDUP(LEN(E800)/2,0)+1,20))</f>
        <v>Tyrohita</v>
      </c>
      <c r="G800" s="8" t="str">
        <f aca="false">INDEX(Bases!$C$2:$C$53,B800)</f>
        <v>Fighting</v>
      </c>
      <c r="H800" s="8" t="str">
        <f aca="false">IF(INDEX(Bases!$C$2:$C$53,C800)=G800,"",INDEX(Bases!$C$2:$C$53,C800))</f>
        <v/>
      </c>
      <c r="I800" s="8" t="str">
        <f aca="false">IF(INDEX(Bases!$E$2:$E$53,B800)="","",INDEX(Bases!$E$2:$E$53,B800))</f>
        <v/>
      </c>
      <c r="J800" s="8" t="str">
        <f aca="false">IF(INDEX(Bases!$E$2:$E$53,C800)="","",INDEX(Bases!$E$2:$E$53,C800))</f>
        <v/>
      </c>
      <c r="K800" s="5"/>
      <c r="L800" s="2" t="n">
        <f aca="false">AE800+IF(SUMPRODUCT(--($AL800:$AQ800&gt;AL800))&lt;$AK800,1,0)</f>
        <v>120</v>
      </c>
      <c r="M800" s="2" t="n">
        <f aca="false">AF800+IF(SUMPRODUCT(--($AL800:$AQ800&gt;AM800))+SUMPRODUCT(--($AL800:AL800=AM800))&lt;$AK800,1,0)</f>
        <v>104</v>
      </c>
      <c r="N800" s="2" t="n">
        <f aca="false">AG800+IF(SUMPRODUCT(--($AL800:$AQ800&gt;AN800))+SUMPRODUCT(--($AL800:AM800=AN800))&lt;$AK800,1,0)</f>
        <v>72</v>
      </c>
      <c r="O800" s="2" t="n">
        <f aca="false">AH800+IF(SUMPRODUCT(--($AL800:$AQ800&gt;AO800))+SUMPRODUCT(--($AL800:AN800=AO800))&lt;$AK800,1,0)</f>
        <v>65</v>
      </c>
      <c r="P800" s="2" t="n">
        <f aca="false">AI800+IF(SUMPRODUCT(--($AL800:$AQ800&gt;AP800))+SUMPRODUCT(--($AL800:AO800=AP800))&lt;$AK800,1,0)</f>
        <v>71</v>
      </c>
      <c r="Q800" s="2" t="n">
        <f aca="false">AJ800+IF(SUMPRODUCT(--($AL800:$AQ800&gt;AQ800))+SUMPRODUCT(--($AL800:AP800=AQ800))&lt;$AK800,1,0)</f>
        <v>68</v>
      </c>
      <c r="R800" s="2" t="n">
        <f aca="false">SUM(L800:Q800)</f>
        <v>500</v>
      </c>
      <c r="S800" s="2" t="n">
        <f aca="false">Settings!$B$4*MAX(INDEX(Bases!$M$2:$M$53,B800),INDEX(Bases!$M$2:$M$53,C800))+Settings!$B$5*MIN(INDEX(Bases!$M$2:$M$53,B800),INDEX(Bases!$M$2:$M$53,C800))</f>
        <v>103</v>
      </c>
      <c r="T800" s="2" t="n">
        <f aca="false">Settings!$B$4*MAX(INDEX(Bases!$N$2:$N$53,B800),INDEX(Bases!$N$2:$N$53,C800))+Settings!$B$5*MIN(INDEX(Bases!$N$2:$N$53,B800),INDEX(Bases!$N$2:$N$53,C800))</f>
        <v>89.6666666666667</v>
      </c>
      <c r="U800" s="2" t="n">
        <f aca="false">Settings!$B$4*MAX(INDEX(Bases!$O$2:$O$53,B800),INDEX(Bases!$O$2:$O$53,C800))+Settings!$B$5*MIN(INDEX(Bases!$O$2:$O$53,B800),INDEX(Bases!$O$2:$O$53,C800))</f>
        <v>61.6666666666667</v>
      </c>
      <c r="V800" s="2" t="n">
        <f aca="false">Settings!$B$4*MAX(INDEX(Bases!$P$2:$P$53,B800),INDEX(Bases!$P$2:$P$53,C800))+Settings!$B$5*MIN(INDEX(Bases!$P$2:$P$53,B800),INDEX(Bases!$P$2:$P$53,C800))</f>
        <v>56</v>
      </c>
      <c r="W800" s="2" t="n">
        <f aca="false">Settings!$B$4*MAX(INDEX(Bases!$Q$2:$Q$53,B800),INDEX(Bases!$Q$2:$Q$53,C800))+Settings!$B$5*MIN(INDEX(Bases!$Q$2:$Q$53,B800),INDEX(Bases!$Q$2:$Q$53,C800))</f>
        <v>61</v>
      </c>
      <c r="X800" s="2" t="n">
        <f aca="false">Settings!$B$4*MAX(INDEX(Bases!$R$2:$R$53,B800),INDEX(Bases!$R$2:$R$53,C800))+Settings!$B$5*MIN(INDEX(Bases!$R$2:$R$53,B800),INDEX(Bases!$R$2:$R$53,C800))</f>
        <v>58</v>
      </c>
      <c r="Y800" s="2" t="n">
        <f aca="false">S800*Settings!$B$3/SUM(S800:X800)</f>
        <v>119.953416149068</v>
      </c>
      <c r="Z800" s="2" t="n">
        <f aca="false">T800*Settings!$B$3/SUM(S800:X800)</f>
        <v>104.425465838509</v>
      </c>
      <c r="AA800" s="2" t="n">
        <f aca="false">U800*Settings!$B$3/SUM(S800:X800)</f>
        <v>71.8167701863354</v>
      </c>
      <c r="AB800" s="2" t="n">
        <f aca="false">V800*Settings!$B$3/SUM(S800:X800)</f>
        <v>65.2173913043478</v>
      </c>
      <c r="AC800" s="2" t="n">
        <f aca="false">W800*Settings!$B$3/SUM(S800:X800)</f>
        <v>71.0403726708075</v>
      </c>
      <c r="AD800" s="2" t="n">
        <f aca="false">X800*Settings!$B$3/SUM(S800:X800)</f>
        <v>67.5465838509317</v>
      </c>
      <c r="AE800" s="2" t="n">
        <f aca="false">INT(Y800)</f>
        <v>119</v>
      </c>
      <c r="AF800" s="2" t="n">
        <f aca="false">INT(Z800)</f>
        <v>104</v>
      </c>
      <c r="AG800" s="2" t="n">
        <f aca="false">INT(AA800)</f>
        <v>71</v>
      </c>
      <c r="AH800" s="2" t="n">
        <f aca="false">INT(AB800)</f>
        <v>65</v>
      </c>
      <c r="AI800" s="2" t="n">
        <f aca="false">INT(AC800)</f>
        <v>71</v>
      </c>
      <c r="AJ800" s="2" t="n">
        <f aca="false">INT(AD800)</f>
        <v>67</v>
      </c>
      <c r="AK800" s="2" t="n">
        <f aca="false">Settings!$B$3-SUM(AE800:AJ800)</f>
        <v>3</v>
      </c>
      <c r="AL800" s="2" t="n">
        <f aca="false">ROUND(Y800-AE800,9)</f>
        <v>0.953416149</v>
      </c>
      <c r="AM800" s="2" t="n">
        <f aca="false">ROUND(Z800-AF800,9)</f>
        <v>0.425465839</v>
      </c>
      <c r="AN800" s="2" t="n">
        <f aca="false">ROUND(AA800-AG800,9)</f>
        <v>0.816770186</v>
      </c>
      <c r="AO800" s="2" t="n">
        <f aca="false">ROUND(AB800-AH800,9)</f>
        <v>0.217391304</v>
      </c>
      <c r="AP800" s="2" t="n">
        <f aca="false">ROUND(AC800-AI800,9)</f>
        <v>0.040372671</v>
      </c>
      <c r="AQ800" s="2" t="n">
        <f aca="false">ROUND(AD800-AJ800,9)</f>
        <v>0.546583851</v>
      </c>
    </row>
    <row r="801" customFormat="false" ht="15" hidden="false" customHeight="false" outlineLevel="0" collapsed="false">
      <c r="A801" s="2" t="n">
        <v>800</v>
      </c>
      <c r="B801" s="6" t="n">
        <v>20</v>
      </c>
      <c r="C801" s="6" t="n">
        <v>22</v>
      </c>
      <c r="D801" s="8" t="str">
        <f aca="false">INDEX(Bases!$B$2:$B$53,B801)</f>
        <v>Tyrogue</v>
      </c>
      <c r="E801" s="8" t="str">
        <f aca="false">INDEX(Bases!$B$2:$B$53,C801)</f>
        <v>Ekans</v>
      </c>
      <c r="F801" s="2" t="str">
        <f aca="false">LEFT(D801,ROUNDUP(LEN(D801)/2,0))&amp;LOWER(MID(E801,ROUNDUP(LEN(E801)/2,0)+1,20))</f>
        <v>Tyrons</v>
      </c>
      <c r="G801" s="8" t="str">
        <f aca="false">INDEX(Bases!$C$2:$C$53,B801)</f>
        <v>Fighting</v>
      </c>
      <c r="H801" s="8" t="str">
        <f aca="false">IF(INDEX(Bases!$C$2:$C$53,C801)=G801,"",INDEX(Bases!$C$2:$C$53,C801))</f>
        <v>Poison</v>
      </c>
      <c r="I801" s="8" t="str">
        <f aca="false">IF(INDEX(Bases!$E$2:$E$53,B801)="","",INDEX(Bases!$E$2:$E$53,B801))</f>
        <v/>
      </c>
      <c r="J801" s="8" t="str">
        <f aca="false">IF(INDEX(Bases!$E$2:$E$53,C801)="","",INDEX(Bases!$E$2:$E$53,C801))</f>
        <v/>
      </c>
      <c r="K801" s="5"/>
      <c r="L801" s="2" t="n">
        <f aca="false">AE801+IF(SUMPRODUCT(--($AL801:$AQ801&gt;AL801))&lt;$AK801,1,0)</f>
        <v>74</v>
      </c>
      <c r="M801" s="2" t="n">
        <f aca="false">AF801+IF(SUMPRODUCT(--($AL801:$AQ801&gt;AM801))+SUMPRODUCT(--($AL801:AL801=AM801))&lt;$AK801,1,0)</f>
        <v>94</v>
      </c>
      <c r="N801" s="2" t="n">
        <f aca="false">AG801+IF(SUMPRODUCT(--($AL801:$AQ801&gt;AN801))+SUMPRODUCT(--($AL801:AM801=AN801))&lt;$AK801,1,0)</f>
        <v>79</v>
      </c>
      <c r="O801" s="2" t="n">
        <f aca="false">AH801+IF(SUMPRODUCT(--($AL801:$AQ801&gt;AO801))+SUMPRODUCT(--($AL801:AN801=AO801))&lt;$AK801,1,0)</f>
        <v>77</v>
      </c>
      <c r="P801" s="2" t="n">
        <f aca="false">AI801+IF(SUMPRODUCT(--($AL801:$AQ801&gt;AP801))+SUMPRODUCT(--($AL801:AO801=AP801))&lt;$AK801,1,0)</f>
        <v>88</v>
      </c>
      <c r="Q801" s="2" t="n">
        <f aca="false">AJ801+IF(SUMPRODUCT(--($AL801:$AQ801&gt;AQ801))+SUMPRODUCT(--($AL801:AP801=AQ801))&lt;$AK801,1,0)</f>
        <v>88</v>
      </c>
      <c r="R801" s="2" t="n">
        <f aca="false">SUM(L801:Q801)</f>
        <v>500</v>
      </c>
      <c r="S801" s="2" t="n">
        <f aca="false">Settings!$B$4*MAX(INDEX(Bases!$M$2:$M$53,B801),INDEX(Bases!$M$2:$M$53,C801))+Settings!$B$5*MIN(INDEX(Bases!$M$2:$M$53,B801),INDEX(Bases!$M$2:$M$53,C801))</f>
        <v>61</v>
      </c>
      <c r="T801" s="2" t="n">
        <f aca="false">Settings!$B$4*MAX(INDEX(Bases!$N$2:$N$53,B801),INDEX(Bases!$N$2:$N$53,C801))+Settings!$B$5*MIN(INDEX(Bases!$N$2:$N$53,B801),INDEX(Bases!$N$2:$N$53,C801))</f>
        <v>77.6666666666667</v>
      </c>
      <c r="U801" s="2" t="n">
        <f aca="false">Settings!$B$4*MAX(INDEX(Bases!$O$2:$O$53,B801),INDEX(Bases!$O$2:$O$53,C801))+Settings!$B$5*MIN(INDEX(Bases!$O$2:$O$53,B801),INDEX(Bases!$O$2:$O$53,C801))</f>
        <v>65</v>
      </c>
      <c r="V801" s="2" t="n">
        <f aca="false">Settings!$B$4*MAX(INDEX(Bases!$P$2:$P$53,B801),INDEX(Bases!$P$2:$P$53,C801))+Settings!$B$5*MIN(INDEX(Bases!$P$2:$P$53,B801),INDEX(Bases!$P$2:$P$53,C801))</f>
        <v>63.3333333333333</v>
      </c>
      <c r="W801" s="2" t="n">
        <f aca="false">Settings!$B$4*MAX(INDEX(Bases!$Q$2:$Q$53,B801),INDEX(Bases!$Q$2:$Q$53,C801))+Settings!$B$5*MIN(INDEX(Bases!$Q$2:$Q$53,B801),INDEX(Bases!$Q$2:$Q$53,C801))</f>
        <v>72</v>
      </c>
      <c r="X801" s="2" t="n">
        <f aca="false">Settings!$B$4*MAX(INDEX(Bases!$R$2:$R$53,B801),INDEX(Bases!$R$2:$R$53,C801))+Settings!$B$5*MIN(INDEX(Bases!$R$2:$R$53,B801),INDEX(Bases!$R$2:$R$53,C801))</f>
        <v>72.6666666666667</v>
      </c>
      <c r="Y801" s="2" t="n">
        <f aca="false">S801*Settings!$B$3/SUM(S801:X801)</f>
        <v>74.0890688259109</v>
      </c>
      <c r="Z801" s="2" t="n">
        <f aca="false">T801*Settings!$B$3/SUM(S801:X801)</f>
        <v>94.331983805668</v>
      </c>
      <c r="AA801" s="2" t="n">
        <f aca="false">U801*Settings!$B$3/SUM(S801:X801)</f>
        <v>78.9473684210526</v>
      </c>
      <c r="AB801" s="2" t="n">
        <f aca="false">V801*Settings!$B$3/SUM(S801:X801)</f>
        <v>76.9230769230769</v>
      </c>
      <c r="AC801" s="2" t="n">
        <f aca="false">W801*Settings!$B$3/SUM(S801:X801)</f>
        <v>87.4493927125506</v>
      </c>
      <c r="AD801" s="2" t="n">
        <f aca="false">X801*Settings!$B$3/SUM(S801:X801)</f>
        <v>88.2591093117409</v>
      </c>
      <c r="AE801" s="2" t="n">
        <f aca="false">INT(Y801)</f>
        <v>74</v>
      </c>
      <c r="AF801" s="2" t="n">
        <f aca="false">INT(Z801)</f>
        <v>94</v>
      </c>
      <c r="AG801" s="2" t="n">
        <f aca="false">INT(AA801)</f>
        <v>78</v>
      </c>
      <c r="AH801" s="2" t="n">
        <f aca="false">INT(AB801)</f>
        <v>76</v>
      </c>
      <c r="AI801" s="2" t="n">
        <f aca="false">INT(AC801)</f>
        <v>87</v>
      </c>
      <c r="AJ801" s="2" t="n">
        <f aca="false">INT(AD801)</f>
        <v>88</v>
      </c>
      <c r="AK801" s="2" t="n">
        <f aca="false">Settings!$B$3-SUM(AE801:AJ801)</f>
        <v>3</v>
      </c>
      <c r="AL801" s="2" t="n">
        <f aca="false">ROUND(Y801-AE801,9)</f>
        <v>0.089068826</v>
      </c>
      <c r="AM801" s="2" t="n">
        <f aca="false">ROUND(Z801-AF801,9)</f>
        <v>0.331983806</v>
      </c>
      <c r="AN801" s="2" t="n">
        <f aca="false">ROUND(AA801-AG801,9)</f>
        <v>0.947368421</v>
      </c>
      <c r="AO801" s="2" t="n">
        <f aca="false">ROUND(AB801-AH801,9)</f>
        <v>0.923076923</v>
      </c>
      <c r="AP801" s="2" t="n">
        <f aca="false">ROUND(AC801-AI801,9)</f>
        <v>0.449392713</v>
      </c>
      <c r="AQ801" s="2" t="n">
        <f aca="false">ROUND(AD801-AJ801,9)</f>
        <v>0.259109312</v>
      </c>
    </row>
    <row r="802" customFormat="false" ht="15" hidden="false" customHeight="false" outlineLevel="0" collapsed="false">
      <c r="A802" s="2" t="n">
        <v>801</v>
      </c>
      <c r="B802" s="6" t="n">
        <v>20</v>
      </c>
      <c r="C802" s="6" t="n">
        <v>23</v>
      </c>
      <c r="D802" s="8" t="str">
        <f aca="false">INDEX(Bases!$B$2:$B$53,B802)</f>
        <v>Tyrogue</v>
      </c>
      <c r="E802" s="8" t="str">
        <f aca="false">INDEX(Bases!$B$2:$B$53,C802)</f>
        <v>Gulpin</v>
      </c>
      <c r="F802" s="2" t="str">
        <f aca="false">LEFT(D802,ROUNDUP(LEN(D802)/2,0))&amp;LOWER(MID(E802,ROUNDUP(LEN(E802)/2,0)+1,20))</f>
        <v>Tyropin</v>
      </c>
      <c r="G802" s="8" t="str">
        <f aca="false">INDEX(Bases!$C$2:$C$53,B802)</f>
        <v>Fighting</v>
      </c>
      <c r="H802" s="8" t="str">
        <f aca="false">IF(INDEX(Bases!$C$2:$C$53,C802)=G802,"",INDEX(Bases!$C$2:$C$53,C802))</f>
        <v>Poison</v>
      </c>
      <c r="I802" s="8" t="str">
        <f aca="false">IF(INDEX(Bases!$E$2:$E$53,B802)="","",INDEX(Bases!$E$2:$E$53,B802))</f>
        <v/>
      </c>
      <c r="J802" s="8" t="str">
        <f aca="false">IF(INDEX(Bases!$E$2:$E$53,C802)="","",INDEX(Bases!$E$2:$E$53,C802))</f>
        <v/>
      </c>
      <c r="K802" s="5"/>
      <c r="L802" s="2" t="n">
        <f aca="false">AE802+IF(SUMPRODUCT(--($AL802:$AQ802&gt;AL802))&lt;$AK802,1,0)</f>
        <v>103</v>
      </c>
      <c r="M802" s="2" t="n">
        <f aca="false">AF802+IF(SUMPRODUCT(--($AL802:$AQ802&gt;AM802))+SUMPRODUCT(--($AL802:AL802=AM802))&lt;$AK802,1,0)</f>
        <v>77</v>
      </c>
      <c r="N802" s="2" t="n">
        <f aca="false">AG802+IF(SUMPRODUCT(--($AL802:$AQ802&gt;AN802))+SUMPRODUCT(--($AL802:AM802=AN802))&lt;$AK802,1,0)</f>
        <v>84</v>
      </c>
      <c r="O802" s="2" t="n">
        <f aca="false">AH802+IF(SUMPRODUCT(--($AL802:$AQ802&gt;AO802))+SUMPRODUCT(--($AL802:AN802=AO802))&lt;$AK802,1,0)</f>
        <v>77</v>
      </c>
      <c r="P802" s="2" t="n">
        <f aca="false">AI802+IF(SUMPRODUCT(--($AL802:$AQ802&gt;AP802))+SUMPRODUCT(--($AL802:AO802=AP802))&lt;$AK802,1,0)</f>
        <v>84</v>
      </c>
      <c r="Q802" s="2" t="n">
        <f aca="false">AJ802+IF(SUMPRODUCT(--($AL802:$AQ802&gt;AQ802))+SUMPRODUCT(--($AL802:AP802=AQ802))&lt;$AK802,1,0)</f>
        <v>75</v>
      </c>
      <c r="R802" s="2" t="n">
        <f aca="false">SUM(L802:Q802)</f>
        <v>500</v>
      </c>
      <c r="S802" s="2" t="n">
        <f aca="false">Settings!$B$4*MAX(INDEX(Bases!$M$2:$M$53,B802),INDEX(Bases!$M$2:$M$53,C802))+Settings!$B$5*MIN(INDEX(Bases!$M$2:$M$53,B802),INDEX(Bases!$M$2:$M$53,C802))</f>
        <v>84.3333333333333</v>
      </c>
      <c r="T802" s="2" t="n">
        <f aca="false">Settings!$B$4*MAX(INDEX(Bases!$N$2:$N$53,B802),INDEX(Bases!$N$2:$N$53,C802))+Settings!$B$5*MIN(INDEX(Bases!$N$2:$N$53,B802),INDEX(Bases!$N$2:$N$53,C802))</f>
        <v>63.6666666666667</v>
      </c>
      <c r="U802" s="2" t="n">
        <f aca="false">Settings!$B$4*MAX(INDEX(Bases!$O$2:$O$53,B802),INDEX(Bases!$O$2:$O$53,C802))+Settings!$B$5*MIN(INDEX(Bases!$O$2:$O$53,B802),INDEX(Bases!$O$2:$O$53,C802))</f>
        <v>69</v>
      </c>
      <c r="V802" s="2" t="n">
        <f aca="false">Settings!$B$4*MAX(INDEX(Bases!$P$2:$P$53,B802),INDEX(Bases!$P$2:$P$53,C802))+Settings!$B$5*MIN(INDEX(Bases!$P$2:$P$53,B802),INDEX(Bases!$P$2:$P$53,C802))</f>
        <v>63.6666666666667</v>
      </c>
      <c r="W802" s="2" t="n">
        <f aca="false">Settings!$B$4*MAX(INDEX(Bases!$Q$2:$Q$53,B802),INDEX(Bases!$Q$2:$Q$53,C802))+Settings!$B$5*MIN(INDEX(Bases!$Q$2:$Q$53,B802),INDEX(Bases!$Q$2:$Q$53,C802))</f>
        <v>68.6666666666667</v>
      </c>
      <c r="X802" s="2" t="n">
        <f aca="false">Settings!$B$4*MAX(INDEX(Bases!$R$2:$R$53,B802),INDEX(Bases!$R$2:$R$53,C802))+Settings!$B$5*MIN(INDEX(Bases!$R$2:$R$53,B802),INDEX(Bases!$R$2:$R$53,C802))</f>
        <v>61.6666666666667</v>
      </c>
      <c r="Y802" s="2" t="n">
        <f aca="false">S802*Settings!$B$3/SUM(S802:X802)</f>
        <v>102.595296025953</v>
      </c>
      <c r="Z802" s="2" t="n">
        <f aca="false">T802*Settings!$B$3/SUM(S802:X802)</f>
        <v>77.4533657745337</v>
      </c>
      <c r="AA802" s="2" t="n">
        <f aca="false">U802*Settings!$B$3/SUM(S802:X802)</f>
        <v>83.941605839416</v>
      </c>
      <c r="AB802" s="2" t="n">
        <f aca="false">V802*Settings!$B$3/SUM(S802:X802)</f>
        <v>77.4533657745337</v>
      </c>
      <c r="AC802" s="2" t="n">
        <f aca="false">W802*Settings!$B$3/SUM(S802:X802)</f>
        <v>83.5360908353609</v>
      </c>
      <c r="AD802" s="2" t="n">
        <f aca="false">X802*Settings!$B$3/SUM(S802:X802)</f>
        <v>75.0202757502028</v>
      </c>
      <c r="AE802" s="2" t="n">
        <f aca="false">INT(Y802)</f>
        <v>102</v>
      </c>
      <c r="AF802" s="2" t="n">
        <f aca="false">INT(Z802)</f>
        <v>77</v>
      </c>
      <c r="AG802" s="2" t="n">
        <f aca="false">INT(AA802)</f>
        <v>83</v>
      </c>
      <c r="AH802" s="2" t="n">
        <f aca="false">INT(AB802)</f>
        <v>77</v>
      </c>
      <c r="AI802" s="2" t="n">
        <f aca="false">INT(AC802)</f>
        <v>83</v>
      </c>
      <c r="AJ802" s="2" t="n">
        <f aca="false">INT(AD802)</f>
        <v>75</v>
      </c>
      <c r="AK802" s="2" t="n">
        <f aca="false">Settings!$B$3-SUM(AE802:AJ802)</f>
        <v>3</v>
      </c>
      <c r="AL802" s="2" t="n">
        <f aca="false">ROUND(Y802-AE802,9)</f>
        <v>0.595296026</v>
      </c>
      <c r="AM802" s="2" t="n">
        <f aca="false">ROUND(Z802-AF802,9)</f>
        <v>0.453365775</v>
      </c>
      <c r="AN802" s="2" t="n">
        <f aca="false">ROUND(AA802-AG802,9)</f>
        <v>0.941605839</v>
      </c>
      <c r="AO802" s="2" t="n">
        <f aca="false">ROUND(AB802-AH802,9)</f>
        <v>0.453365775</v>
      </c>
      <c r="AP802" s="2" t="n">
        <f aca="false">ROUND(AC802-AI802,9)</f>
        <v>0.536090835</v>
      </c>
      <c r="AQ802" s="2" t="n">
        <f aca="false">ROUND(AD802-AJ802,9)</f>
        <v>0.02027575</v>
      </c>
    </row>
    <row r="803" customFormat="false" ht="15" hidden="false" customHeight="false" outlineLevel="0" collapsed="false">
      <c r="A803" s="2" t="n">
        <v>802</v>
      </c>
      <c r="B803" s="6" t="n">
        <v>20</v>
      </c>
      <c r="C803" s="6" t="n">
        <v>24</v>
      </c>
      <c r="D803" s="8" t="str">
        <f aca="false">INDEX(Bases!$B$2:$B$53,B803)</f>
        <v>Tyrogue</v>
      </c>
      <c r="E803" s="8" t="str">
        <f aca="false">INDEX(Bases!$B$2:$B$53,C803)</f>
        <v>Koffing</v>
      </c>
      <c r="F803" s="2" t="str">
        <f aca="false">LEFT(D803,ROUNDUP(LEN(D803)/2,0))&amp;LOWER(MID(E803,ROUNDUP(LEN(E803)/2,0)+1,20))</f>
        <v>Tyroing</v>
      </c>
      <c r="G803" s="8" t="str">
        <f aca="false">INDEX(Bases!$C$2:$C$53,B803)</f>
        <v>Fighting</v>
      </c>
      <c r="H803" s="8" t="str">
        <f aca="false">IF(INDEX(Bases!$C$2:$C$53,C803)=G803,"",INDEX(Bases!$C$2:$C$53,C803))</f>
        <v>Poison</v>
      </c>
      <c r="I803" s="8" t="str">
        <f aca="false">IF(INDEX(Bases!$E$2:$E$53,B803)="","",INDEX(Bases!$E$2:$E$53,B803))</f>
        <v/>
      </c>
      <c r="J803" s="8" t="str">
        <f aca="false">IF(INDEX(Bases!$E$2:$E$53,C803)="","",INDEX(Bases!$E$2:$E$53,C803))</f>
        <v/>
      </c>
      <c r="K803" s="5"/>
      <c r="L803" s="2" t="n">
        <f aca="false">AE803+IF(SUMPRODUCT(--($AL803:$AQ803&gt;AL803))&lt;$AK803,1,0)</f>
        <v>72</v>
      </c>
      <c r="M803" s="2" t="n">
        <f aca="false">AF803+IF(SUMPRODUCT(--($AL803:$AQ803&gt;AM803))+SUMPRODUCT(--($AL803:AL803=AM803))&lt;$AK803,1,0)</f>
        <v>87</v>
      </c>
      <c r="N803" s="2" t="n">
        <f aca="false">AG803+IF(SUMPRODUCT(--($AL803:$AQ803&gt;AN803))+SUMPRODUCT(--($AL803:AM803=AN803))&lt;$AK803,1,0)</f>
        <v>116</v>
      </c>
      <c r="O803" s="2" t="n">
        <f aca="false">AH803+IF(SUMPRODUCT(--($AL803:$AQ803&gt;AO803))+SUMPRODUCT(--($AL803:AN803=AO803))&lt;$AK803,1,0)</f>
        <v>83</v>
      </c>
      <c r="P803" s="2" t="n">
        <f aca="false">AI803+IF(SUMPRODUCT(--($AL803:$AQ803&gt;AP803))+SUMPRODUCT(--($AL803:AO803=AP803))&lt;$AK803,1,0)</f>
        <v>73</v>
      </c>
      <c r="Q803" s="2" t="n">
        <f aca="false">AJ803+IF(SUMPRODUCT(--($AL803:$AQ803&gt;AQ803))+SUMPRODUCT(--($AL803:AP803=AQ803))&lt;$AK803,1,0)</f>
        <v>69</v>
      </c>
      <c r="R803" s="2" t="n">
        <f aca="false">SUM(L803:Q803)</f>
        <v>500</v>
      </c>
      <c r="S803" s="2" t="n">
        <f aca="false">Settings!$B$4*MAX(INDEX(Bases!$M$2:$M$53,B803),INDEX(Bases!$M$2:$M$53,C803))+Settings!$B$5*MIN(INDEX(Bases!$M$2:$M$53,B803),INDEX(Bases!$M$2:$M$53,C803))</f>
        <v>60.3333333333333</v>
      </c>
      <c r="T803" s="2" t="n">
        <f aca="false">Settings!$B$4*MAX(INDEX(Bases!$N$2:$N$53,B803),INDEX(Bases!$N$2:$N$53,C803))+Settings!$B$5*MIN(INDEX(Bases!$N$2:$N$53,B803),INDEX(Bases!$N$2:$N$53,C803))</f>
        <v>73</v>
      </c>
      <c r="U803" s="2" t="n">
        <f aca="false">Settings!$B$4*MAX(INDEX(Bases!$O$2:$O$53,B803),INDEX(Bases!$O$2:$O$53,C803))+Settings!$B$5*MIN(INDEX(Bases!$O$2:$O$53,B803),INDEX(Bases!$O$2:$O$53,C803))</f>
        <v>97</v>
      </c>
      <c r="V803" s="2" t="n">
        <f aca="false">Settings!$B$4*MAX(INDEX(Bases!$P$2:$P$53,B803),INDEX(Bases!$P$2:$P$53,C803))+Settings!$B$5*MIN(INDEX(Bases!$P$2:$P$53,B803),INDEX(Bases!$P$2:$P$53,C803))</f>
        <v>69.6666666666667</v>
      </c>
      <c r="W803" s="2" t="n">
        <f aca="false">Settings!$B$4*MAX(INDEX(Bases!$Q$2:$Q$53,B803),INDEX(Bases!$Q$2:$Q$53,C803))+Settings!$B$5*MIN(INDEX(Bases!$Q$2:$Q$53,B803),INDEX(Bases!$Q$2:$Q$53,C803))</f>
        <v>61.6666666666667</v>
      </c>
      <c r="X803" s="2" t="n">
        <f aca="false">Settings!$B$4*MAX(INDEX(Bases!$R$2:$R$53,B803),INDEX(Bases!$R$2:$R$53,C803))+Settings!$B$5*MIN(INDEX(Bases!$R$2:$R$53,B803),INDEX(Bases!$R$2:$R$53,C803))</f>
        <v>57.6666666666667</v>
      </c>
      <c r="Y803" s="2" t="n">
        <f aca="false">S803*Settings!$B$3/SUM(S803:X803)</f>
        <v>71.939586645469</v>
      </c>
      <c r="Z803" s="2" t="n">
        <f aca="false">T803*Settings!$B$3/SUM(S803:X803)</f>
        <v>87.0429252782194</v>
      </c>
      <c r="AA803" s="2" t="n">
        <f aca="false">U803*Settings!$B$3/SUM(S803:X803)</f>
        <v>115.659777424483</v>
      </c>
      <c r="AB803" s="2" t="n">
        <f aca="false">V803*Settings!$B$3/SUM(S803:X803)</f>
        <v>83.0683624801272</v>
      </c>
      <c r="AC803" s="2" t="n">
        <f aca="false">W803*Settings!$B$3/SUM(S803:X803)</f>
        <v>73.5294117647059</v>
      </c>
      <c r="AD803" s="2" t="n">
        <f aca="false">X803*Settings!$B$3/SUM(S803:X803)</f>
        <v>68.7599364069952</v>
      </c>
      <c r="AE803" s="2" t="n">
        <f aca="false">INT(Y803)</f>
        <v>71</v>
      </c>
      <c r="AF803" s="2" t="n">
        <f aca="false">INT(Z803)</f>
        <v>87</v>
      </c>
      <c r="AG803" s="2" t="n">
        <f aca="false">INT(AA803)</f>
        <v>115</v>
      </c>
      <c r="AH803" s="2" t="n">
        <f aca="false">INT(AB803)</f>
        <v>83</v>
      </c>
      <c r="AI803" s="2" t="n">
        <f aca="false">INT(AC803)</f>
        <v>73</v>
      </c>
      <c r="AJ803" s="2" t="n">
        <f aca="false">INT(AD803)</f>
        <v>68</v>
      </c>
      <c r="AK803" s="2" t="n">
        <f aca="false">Settings!$B$3-SUM(AE803:AJ803)</f>
        <v>3</v>
      </c>
      <c r="AL803" s="2" t="n">
        <f aca="false">ROUND(Y803-AE803,9)</f>
        <v>0.939586645</v>
      </c>
      <c r="AM803" s="2" t="n">
        <f aca="false">ROUND(Z803-AF803,9)</f>
        <v>0.042925278</v>
      </c>
      <c r="AN803" s="2" t="n">
        <f aca="false">ROUND(AA803-AG803,9)</f>
        <v>0.659777424</v>
      </c>
      <c r="AO803" s="2" t="n">
        <f aca="false">ROUND(AB803-AH803,9)</f>
        <v>0.06836248</v>
      </c>
      <c r="AP803" s="2" t="n">
        <f aca="false">ROUND(AC803-AI803,9)</f>
        <v>0.529411765</v>
      </c>
      <c r="AQ803" s="2" t="n">
        <f aca="false">ROUND(AD803-AJ803,9)</f>
        <v>0.759936407</v>
      </c>
    </row>
    <row r="804" customFormat="false" ht="15" hidden="false" customHeight="false" outlineLevel="0" collapsed="false">
      <c r="A804" s="2" t="n">
        <v>803</v>
      </c>
      <c r="B804" s="6" t="n">
        <v>20</v>
      </c>
      <c r="C804" s="6" t="n">
        <v>25</v>
      </c>
      <c r="D804" s="8" t="str">
        <f aca="false">INDEX(Bases!$B$2:$B$53,B804)</f>
        <v>Tyrogue</v>
      </c>
      <c r="E804" s="8" t="str">
        <f aca="false">INDEX(Bases!$B$2:$B$53,C804)</f>
        <v>Sandshrew</v>
      </c>
      <c r="F804" s="2" t="str">
        <f aca="false">LEFT(D804,ROUNDUP(LEN(D804)/2,0))&amp;LOWER(MID(E804,ROUNDUP(LEN(E804)/2,0)+1,20))</f>
        <v>Tyrohrew</v>
      </c>
      <c r="G804" s="8" t="str">
        <f aca="false">INDEX(Bases!$C$2:$C$53,B804)</f>
        <v>Fighting</v>
      </c>
      <c r="H804" s="8" t="str">
        <f aca="false">IF(INDEX(Bases!$C$2:$C$53,C804)=G804,"",INDEX(Bases!$C$2:$C$53,C804))</f>
        <v>Ground</v>
      </c>
      <c r="I804" s="8" t="str">
        <f aca="false">IF(INDEX(Bases!$E$2:$E$53,B804)="","",INDEX(Bases!$E$2:$E$53,B804))</f>
        <v/>
      </c>
      <c r="J804" s="8" t="str">
        <f aca="false">IF(INDEX(Bases!$E$2:$E$53,C804)="","",INDEX(Bases!$E$2:$E$53,C804))</f>
        <v/>
      </c>
      <c r="K804" s="5"/>
      <c r="L804" s="2" t="n">
        <f aca="false">AE804+IF(SUMPRODUCT(--($AL804:$AQ804&gt;AL804))&lt;$AK804,1,0)</f>
        <v>79</v>
      </c>
      <c r="M804" s="2" t="n">
        <f aca="false">AF804+IF(SUMPRODUCT(--($AL804:$AQ804&gt;AM804))+SUMPRODUCT(--($AL804:AL804=AM804))&lt;$AK804,1,0)</f>
        <v>104</v>
      </c>
      <c r="N804" s="2" t="n">
        <f aca="false">AG804+IF(SUMPRODUCT(--($AL804:$AQ804&gt;AN804))+SUMPRODUCT(--($AL804:AM804=AN804))&lt;$AK804,1,0)</f>
        <v>115</v>
      </c>
      <c r="O804" s="2" t="n">
        <f aca="false">AH804+IF(SUMPRODUCT(--($AL804:$AQ804&gt;AO804))+SUMPRODUCT(--($AL804:AN804=AO804))&lt;$AK804,1,0)</f>
        <v>63</v>
      </c>
      <c r="P804" s="2" t="n">
        <f aca="false">AI804+IF(SUMPRODUCT(--($AL804:$AQ804&gt;AP804))+SUMPRODUCT(--($AL804:AO804=AP804))&lt;$AK804,1,0)</f>
        <v>67</v>
      </c>
      <c r="Q804" s="2" t="n">
        <f aca="false">AJ804+IF(SUMPRODUCT(--($AL804:$AQ804&gt;AQ804))+SUMPRODUCT(--($AL804:AP804=AQ804))&lt;$AK804,1,0)</f>
        <v>72</v>
      </c>
      <c r="R804" s="2" t="n">
        <f aca="false">SUM(L804:Q804)</f>
        <v>500</v>
      </c>
      <c r="S804" s="2" t="n">
        <f aca="false">Settings!$B$4*MAX(INDEX(Bases!$M$2:$M$53,B804),INDEX(Bases!$M$2:$M$53,C804))+Settings!$B$5*MIN(INDEX(Bases!$M$2:$M$53,B804),INDEX(Bases!$M$2:$M$53,C804))</f>
        <v>67</v>
      </c>
      <c r="T804" s="2" t="n">
        <f aca="false">Settings!$B$4*MAX(INDEX(Bases!$N$2:$N$53,B804),INDEX(Bases!$N$2:$N$53,C804))+Settings!$B$5*MIN(INDEX(Bases!$N$2:$N$53,B804),INDEX(Bases!$N$2:$N$53,C804))</f>
        <v>89</v>
      </c>
      <c r="U804" s="2" t="n">
        <f aca="false">Settings!$B$4*MAX(INDEX(Bases!$O$2:$O$53,B804),INDEX(Bases!$O$2:$O$53,C804))+Settings!$B$5*MIN(INDEX(Bases!$O$2:$O$53,B804),INDEX(Bases!$O$2:$O$53,C804))</f>
        <v>97.6666666666667</v>
      </c>
      <c r="V804" s="2" t="n">
        <f aca="false">Settings!$B$4*MAX(INDEX(Bases!$P$2:$P$53,B804),INDEX(Bases!$P$2:$P$53,C804))+Settings!$B$5*MIN(INDEX(Bases!$P$2:$P$53,B804),INDEX(Bases!$P$2:$P$53,C804))</f>
        <v>53.6666666666667</v>
      </c>
      <c r="W804" s="2" t="n">
        <f aca="false">Settings!$B$4*MAX(INDEX(Bases!$Q$2:$Q$53,B804),INDEX(Bases!$Q$2:$Q$53,C804))+Settings!$B$5*MIN(INDEX(Bases!$Q$2:$Q$53,B804),INDEX(Bases!$Q$2:$Q$53,C804))</f>
        <v>57.3333333333333</v>
      </c>
      <c r="X804" s="2" t="n">
        <f aca="false">Settings!$B$4*MAX(INDEX(Bases!$R$2:$R$53,B804),INDEX(Bases!$R$2:$R$53,C804))+Settings!$B$5*MIN(INDEX(Bases!$R$2:$R$53,B804),INDEX(Bases!$R$2:$R$53,C804))</f>
        <v>61.6666666666667</v>
      </c>
      <c r="Y804" s="2" t="n">
        <f aca="false">S804*Settings!$B$3/SUM(S804:X804)</f>
        <v>78.5770132916341</v>
      </c>
      <c r="Z804" s="2" t="n">
        <f aca="false">T804*Settings!$B$3/SUM(S804:X804)</f>
        <v>104.378420641126</v>
      </c>
      <c r="AA804" s="2" t="n">
        <f aca="false">U804*Settings!$B$3/SUM(S804:X804)</f>
        <v>114.542611415168</v>
      </c>
      <c r="AB804" s="2" t="n">
        <f aca="false">V804*Settings!$B$3/SUM(S804:X804)</f>
        <v>62.9397967161845</v>
      </c>
      <c r="AC804" s="2" t="n">
        <f aca="false">W804*Settings!$B$3/SUM(S804:X804)</f>
        <v>67.2400312744332</v>
      </c>
      <c r="AD804" s="2" t="n">
        <f aca="false">X804*Settings!$B$3/SUM(S804:X804)</f>
        <v>72.3221266614543</v>
      </c>
      <c r="AE804" s="2" t="n">
        <f aca="false">INT(Y804)</f>
        <v>78</v>
      </c>
      <c r="AF804" s="2" t="n">
        <f aca="false">INT(Z804)</f>
        <v>104</v>
      </c>
      <c r="AG804" s="2" t="n">
        <f aca="false">INT(AA804)</f>
        <v>114</v>
      </c>
      <c r="AH804" s="2" t="n">
        <f aca="false">INT(AB804)</f>
        <v>62</v>
      </c>
      <c r="AI804" s="2" t="n">
        <f aca="false">INT(AC804)</f>
        <v>67</v>
      </c>
      <c r="AJ804" s="2" t="n">
        <f aca="false">INT(AD804)</f>
        <v>72</v>
      </c>
      <c r="AK804" s="2" t="n">
        <f aca="false">Settings!$B$3-SUM(AE804:AJ804)</f>
        <v>3</v>
      </c>
      <c r="AL804" s="2" t="n">
        <f aca="false">ROUND(Y804-AE804,9)</f>
        <v>0.577013292</v>
      </c>
      <c r="AM804" s="2" t="n">
        <f aca="false">ROUND(Z804-AF804,9)</f>
        <v>0.378420641</v>
      </c>
      <c r="AN804" s="2" t="n">
        <f aca="false">ROUND(AA804-AG804,9)</f>
        <v>0.542611415</v>
      </c>
      <c r="AO804" s="2" t="n">
        <f aca="false">ROUND(AB804-AH804,9)</f>
        <v>0.939796716</v>
      </c>
      <c r="AP804" s="2" t="n">
        <f aca="false">ROUND(AC804-AI804,9)</f>
        <v>0.240031274</v>
      </c>
      <c r="AQ804" s="2" t="n">
        <f aca="false">ROUND(AD804-AJ804,9)</f>
        <v>0.322126661</v>
      </c>
    </row>
    <row r="805" customFormat="false" ht="15" hidden="false" customHeight="false" outlineLevel="0" collapsed="false">
      <c r="A805" s="2" t="n">
        <v>804</v>
      </c>
      <c r="B805" s="6" t="n">
        <v>20</v>
      </c>
      <c r="C805" s="6" t="n">
        <v>26</v>
      </c>
      <c r="D805" s="8" t="str">
        <f aca="false">INDEX(Bases!$B$2:$B$53,B805)</f>
        <v>Tyrogue</v>
      </c>
      <c r="E805" s="8" t="str">
        <f aca="false">INDEX(Bases!$B$2:$B$53,C805)</f>
        <v>Phanpy</v>
      </c>
      <c r="F805" s="2" t="str">
        <f aca="false">LEFT(D805,ROUNDUP(LEN(D805)/2,0))&amp;LOWER(MID(E805,ROUNDUP(LEN(E805)/2,0)+1,20))</f>
        <v>Tyronpy</v>
      </c>
      <c r="G805" s="8" t="str">
        <f aca="false">INDEX(Bases!$C$2:$C$53,B805)</f>
        <v>Fighting</v>
      </c>
      <c r="H805" s="8" t="str">
        <f aca="false">IF(INDEX(Bases!$C$2:$C$53,C805)=G805,"",INDEX(Bases!$C$2:$C$53,C805))</f>
        <v>Ground</v>
      </c>
      <c r="I805" s="8" t="str">
        <f aca="false">IF(INDEX(Bases!$E$2:$E$53,B805)="","",INDEX(Bases!$E$2:$E$53,B805))</f>
        <v/>
      </c>
      <c r="J805" s="8" t="str">
        <f aca="false">IF(INDEX(Bases!$E$2:$E$53,C805)="","",INDEX(Bases!$E$2:$E$53,C805))</f>
        <v/>
      </c>
      <c r="K805" s="5"/>
      <c r="L805" s="2" t="n">
        <f aca="false">AE805+IF(SUMPRODUCT(--($AL805:$AQ805&gt;AL805))&lt;$AK805,1,0)</f>
        <v>113</v>
      </c>
      <c r="M805" s="2" t="n">
        <f aca="false">AF805+IF(SUMPRODUCT(--($AL805:$AQ805&gt;AM805))+SUMPRODUCT(--($AL805:AL805=AM805))&lt;$AK805,1,0)</f>
        <v>85</v>
      </c>
      <c r="N805" s="2" t="n">
        <f aca="false">AG805+IF(SUMPRODUCT(--($AL805:$AQ805&gt;AN805))+SUMPRODUCT(--($AL805:AM805=AN805))&lt;$AK805,1,0)</f>
        <v>85</v>
      </c>
      <c r="O805" s="2" t="n">
        <f aca="false">AH805+IF(SUMPRODUCT(--($AL805:$AQ805&gt;AO805))+SUMPRODUCT(--($AL805:AN805=AO805))&lt;$AK805,1,0)</f>
        <v>73</v>
      </c>
      <c r="P805" s="2" t="n">
        <f aca="false">AI805+IF(SUMPRODUCT(--($AL805:$AQ805&gt;AP805))+SUMPRODUCT(--($AL805:AO805=AP805))&lt;$AK805,1,0)</f>
        <v>72</v>
      </c>
      <c r="Q805" s="2" t="n">
        <f aca="false">AJ805+IF(SUMPRODUCT(--($AL805:$AQ805&gt;AQ805))+SUMPRODUCT(--($AL805:AP805=AQ805))&lt;$AK805,1,0)</f>
        <v>72</v>
      </c>
      <c r="R805" s="2" t="n">
        <f aca="false">SUM(L805:Q805)</f>
        <v>500</v>
      </c>
      <c r="S805" s="2" t="n">
        <f aca="false">Settings!$B$4*MAX(INDEX(Bases!$M$2:$M$53,B805),INDEX(Bases!$M$2:$M$53,C805))+Settings!$B$5*MIN(INDEX(Bases!$M$2:$M$53,B805),INDEX(Bases!$M$2:$M$53,C805))</f>
        <v>95</v>
      </c>
      <c r="T805" s="2" t="n">
        <f aca="false">Settings!$B$4*MAX(INDEX(Bases!$N$2:$N$53,B805),INDEX(Bases!$N$2:$N$53,C805))+Settings!$B$5*MIN(INDEX(Bases!$N$2:$N$53,B805),INDEX(Bases!$N$2:$N$53,C805))</f>
        <v>71</v>
      </c>
      <c r="U805" s="2" t="n">
        <f aca="false">Settings!$B$4*MAX(INDEX(Bases!$O$2:$O$53,B805),INDEX(Bases!$O$2:$O$53,C805))+Settings!$B$5*MIN(INDEX(Bases!$O$2:$O$53,B805),INDEX(Bases!$O$2:$O$53,C805))</f>
        <v>71</v>
      </c>
      <c r="V805" s="2" t="n">
        <f aca="false">Settings!$B$4*MAX(INDEX(Bases!$P$2:$P$53,B805),INDEX(Bases!$P$2:$P$53,C805))+Settings!$B$5*MIN(INDEX(Bases!$P$2:$P$53,B805),INDEX(Bases!$P$2:$P$53,C805))</f>
        <v>61</v>
      </c>
      <c r="W805" s="2" t="n">
        <f aca="false">Settings!$B$4*MAX(INDEX(Bases!$Q$2:$Q$53,B805),INDEX(Bases!$Q$2:$Q$53,C805))+Settings!$B$5*MIN(INDEX(Bases!$Q$2:$Q$53,B805),INDEX(Bases!$Q$2:$Q$53,C805))</f>
        <v>60</v>
      </c>
      <c r="X805" s="2" t="n">
        <f aca="false">Settings!$B$4*MAX(INDEX(Bases!$R$2:$R$53,B805),INDEX(Bases!$R$2:$R$53,C805))+Settings!$B$5*MIN(INDEX(Bases!$R$2:$R$53,B805),INDEX(Bases!$R$2:$R$53,C805))</f>
        <v>60</v>
      </c>
      <c r="Y805" s="2" t="n">
        <f aca="false">S805*Settings!$B$3/SUM(S805:X805)</f>
        <v>113.636363636364</v>
      </c>
      <c r="Z805" s="2" t="n">
        <f aca="false">T805*Settings!$B$3/SUM(S805:X805)</f>
        <v>84.9282296650718</v>
      </c>
      <c r="AA805" s="2" t="n">
        <f aca="false">U805*Settings!$B$3/SUM(S805:X805)</f>
        <v>84.9282296650718</v>
      </c>
      <c r="AB805" s="2" t="n">
        <f aca="false">V805*Settings!$B$3/SUM(S805:X805)</f>
        <v>72.9665071770335</v>
      </c>
      <c r="AC805" s="2" t="n">
        <f aca="false">W805*Settings!$B$3/SUM(S805:X805)</f>
        <v>71.7703349282297</v>
      </c>
      <c r="AD805" s="2" t="n">
        <f aca="false">X805*Settings!$B$3/SUM(S805:X805)</f>
        <v>71.7703349282297</v>
      </c>
      <c r="AE805" s="2" t="n">
        <f aca="false">INT(Y805)</f>
        <v>113</v>
      </c>
      <c r="AF805" s="2" t="n">
        <f aca="false">INT(Z805)</f>
        <v>84</v>
      </c>
      <c r="AG805" s="2" t="n">
        <f aca="false">INT(AA805)</f>
        <v>84</v>
      </c>
      <c r="AH805" s="2" t="n">
        <f aca="false">INT(AB805)</f>
        <v>72</v>
      </c>
      <c r="AI805" s="2" t="n">
        <f aca="false">INT(AC805)</f>
        <v>71</v>
      </c>
      <c r="AJ805" s="2" t="n">
        <f aca="false">INT(AD805)</f>
        <v>71</v>
      </c>
      <c r="AK805" s="2" t="n">
        <f aca="false">Settings!$B$3-SUM(AE805:AJ805)</f>
        <v>5</v>
      </c>
      <c r="AL805" s="2" t="n">
        <f aca="false">ROUND(Y805-AE805,9)</f>
        <v>0.636363636</v>
      </c>
      <c r="AM805" s="2" t="n">
        <f aca="false">ROUND(Z805-AF805,9)</f>
        <v>0.928229665</v>
      </c>
      <c r="AN805" s="2" t="n">
        <f aca="false">ROUND(AA805-AG805,9)</f>
        <v>0.928229665</v>
      </c>
      <c r="AO805" s="2" t="n">
        <f aca="false">ROUND(AB805-AH805,9)</f>
        <v>0.966507177</v>
      </c>
      <c r="AP805" s="2" t="n">
        <f aca="false">ROUND(AC805-AI805,9)</f>
        <v>0.770334928</v>
      </c>
      <c r="AQ805" s="2" t="n">
        <f aca="false">ROUND(AD805-AJ805,9)</f>
        <v>0.770334928</v>
      </c>
    </row>
    <row r="806" customFormat="false" ht="15" hidden="false" customHeight="false" outlineLevel="0" collapsed="false">
      <c r="A806" s="2" t="n">
        <v>805</v>
      </c>
      <c r="B806" s="6" t="n">
        <v>20</v>
      </c>
      <c r="C806" s="6" t="n">
        <v>27</v>
      </c>
      <c r="D806" s="8" t="str">
        <f aca="false">INDEX(Bases!$B$2:$B$53,B806)</f>
        <v>Tyrogue</v>
      </c>
      <c r="E806" s="8" t="str">
        <f aca="false">INDEX(Bases!$B$2:$B$53,C806)</f>
        <v>Baltoy</v>
      </c>
      <c r="F806" s="2" t="str">
        <f aca="false">LEFT(D806,ROUNDUP(LEN(D806)/2,0))&amp;LOWER(MID(E806,ROUNDUP(LEN(E806)/2,0)+1,20))</f>
        <v>Tyrotoy</v>
      </c>
      <c r="G806" s="8" t="str">
        <f aca="false">INDEX(Bases!$C$2:$C$53,B806)</f>
        <v>Fighting</v>
      </c>
      <c r="H806" s="8" t="str">
        <f aca="false">IF(INDEX(Bases!$C$2:$C$53,C806)=G806,"",INDEX(Bases!$C$2:$C$53,C806))</f>
        <v>Ground</v>
      </c>
      <c r="I806" s="8" t="str">
        <f aca="false">IF(INDEX(Bases!$E$2:$E$53,B806)="","",INDEX(Bases!$E$2:$E$53,B806))</f>
        <v/>
      </c>
      <c r="J806" s="8" t="str">
        <f aca="false">IF(INDEX(Bases!$E$2:$E$53,C806)="","",INDEX(Bases!$E$2:$E$53,C806))</f>
        <v/>
      </c>
      <c r="K806" s="5"/>
      <c r="L806" s="2" t="n">
        <f aca="false">AE806+IF(SUMPRODUCT(--($AL806:$AQ806&gt;AL806))&lt;$AK806,1,0)</f>
        <v>76</v>
      </c>
      <c r="M806" s="2" t="n">
        <f aca="false">AF806+IF(SUMPRODUCT(--($AL806:$AQ806&gt;AM806))+SUMPRODUCT(--($AL806:AL806=AM806))&lt;$AK806,1,0)</f>
        <v>76</v>
      </c>
      <c r="N806" s="2" t="n">
        <f aca="false">AG806+IF(SUMPRODUCT(--($AL806:$AQ806&gt;AN806))+SUMPRODUCT(--($AL806:AM806=AN806))&lt;$AK806,1,0)</f>
        <v>86</v>
      </c>
      <c r="O806" s="2" t="n">
        <f aca="false">AH806+IF(SUMPRODUCT(--($AL806:$AQ806&gt;AO806))+SUMPRODUCT(--($AL806:AN806=AO806))&lt;$AK806,1,0)</f>
        <v>75</v>
      </c>
      <c r="P806" s="2" t="n">
        <f aca="false">AI806+IF(SUMPRODUCT(--($AL806:$AQ806&gt;AP806))+SUMPRODUCT(--($AL806:AO806=AP806))&lt;$AK806,1,0)</f>
        <v>102</v>
      </c>
      <c r="Q806" s="2" t="n">
        <f aca="false">AJ806+IF(SUMPRODUCT(--($AL806:$AQ806&gt;AQ806))+SUMPRODUCT(--($AL806:AP806=AQ806))&lt;$AK806,1,0)</f>
        <v>85</v>
      </c>
      <c r="R806" s="2" t="n">
        <f aca="false">SUM(L806:Q806)</f>
        <v>500</v>
      </c>
      <c r="S806" s="2" t="n">
        <f aca="false">Settings!$B$4*MAX(INDEX(Bases!$M$2:$M$53,B806),INDEX(Bases!$M$2:$M$53,C806))+Settings!$B$5*MIN(INDEX(Bases!$M$2:$M$53,B806),INDEX(Bases!$M$2:$M$53,C806))</f>
        <v>62.6666666666667</v>
      </c>
      <c r="T806" s="2" t="n">
        <f aca="false">Settings!$B$4*MAX(INDEX(Bases!$N$2:$N$53,B806),INDEX(Bases!$N$2:$N$53,C806))+Settings!$B$5*MIN(INDEX(Bases!$N$2:$N$53,B806),INDEX(Bases!$N$2:$N$53,C806))</f>
        <v>62.6666666666667</v>
      </c>
      <c r="U806" s="2" t="n">
        <f aca="false">Settings!$B$4*MAX(INDEX(Bases!$O$2:$O$53,B806),INDEX(Bases!$O$2:$O$53,C806))+Settings!$B$5*MIN(INDEX(Bases!$O$2:$O$53,B806),INDEX(Bases!$O$2:$O$53,C806))</f>
        <v>71</v>
      </c>
      <c r="V806" s="2" t="n">
        <f aca="false">Settings!$B$4*MAX(INDEX(Bases!$P$2:$P$53,B806),INDEX(Bases!$P$2:$P$53,C806))+Settings!$B$5*MIN(INDEX(Bases!$P$2:$P$53,B806),INDEX(Bases!$P$2:$P$53,C806))</f>
        <v>62.3333333333333</v>
      </c>
      <c r="W806" s="2" t="n">
        <f aca="false">Settings!$B$4*MAX(INDEX(Bases!$Q$2:$Q$53,B806),INDEX(Bases!$Q$2:$Q$53,C806))+Settings!$B$5*MIN(INDEX(Bases!$Q$2:$Q$53,B806),INDEX(Bases!$Q$2:$Q$53,C806))</f>
        <v>84</v>
      </c>
      <c r="X806" s="2" t="n">
        <f aca="false">Settings!$B$4*MAX(INDEX(Bases!$R$2:$R$53,B806),INDEX(Bases!$R$2:$R$53,C806))+Settings!$B$5*MIN(INDEX(Bases!$R$2:$R$53,B806),INDEX(Bases!$R$2:$R$53,C806))</f>
        <v>70.6666666666667</v>
      </c>
      <c r="Y806" s="2" t="n">
        <f aca="false">S806*Settings!$B$3/SUM(S806:X806)</f>
        <v>75.8064516129032</v>
      </c>
      <c r="Z806" s="2" t="n">
        <f aca="false">T806*Settings!$B$3/SUM(S806:X806)</f>
        <v>75.8064516129032</v>
      </c>
      <c r="AA806" s="2" t="n">
        <f aca="false">U806*Settings!$B$3/SUM(S806:X806)</f>
        <v>85.8870967741935</v>
      </c>
      <c r="AB806" s="2" t="n">
        <f aca="false">V806*Settings!$B$3/SUM(S806:X806)</f>
        <v>75.4032258064516</v>
      </c>
      <c r="AC806" s="2" t="n">
        <f aca="false">W806*Settings!$B$3/SUM(S806:X806)</f>
        <v>101.612903225806</v>
      </c>
      <c r="AD806" s="2" t="n">
        <f aca="false">X806*Settings!$B$3/SUM(S806:X806)</f>
        <v>85.4838709677419</v>
      </c>
      <c r="AE806" s="2" t="n">
        <f aca="false">INT(Y806)</f>
        <v>75</v>
      </c>
      <c r="AF806" s="2" t="n">
        <f aca="false">INT(Z806)</f>
        <v>75</v>
      </c>
      <c r="AG806" s="2" t="n">
        <f aca="false">INT(AA806)</f>
        <v>85</v>
      </c>
      <c r="AH806" s="2" t="n">
        <f aca="false">INT(AB806)</f>
        <v>75</v>
      </c>
      <c r="AI806" s="2" t="n">
        <f aca="false">INT(AC806)</f>
        <v>101</v>
      </c>
      <c r="AJ806" s="2" t="n">
        <f aca="false">INT(AD806)</f>
        <v>85</v>
      </c>
      <c r="AK806" s="2" t="n">
        <f aca="false">Settings!$B$3-SUM(AE806:AJ806)</f>
        <v>4</v>
      </c>
      <c r="AL806" s="2" t="n">
        <f aca="false">ROUND(Y806-AE806,9)</f>
        <v>0.806451613</v>
      </c>
      <c r="AM806" s="2" t="n">
        <f aca="false">ROUND(Z806-AF806,9)</f>
        <v>0.806451613</v>
      </c>
      <c r="AN806" s="2" t="n">
        <f aca="false">ROUND(AA806-AG806,9)</f>
        <v>0.887096774</v>
      </c>
      <c r="AO806" s="2" t="n">
        <f aca="false">ROUND(AB806-AH806,9)</f>
        <v>0.403225806</v>
      </c>
      <c r="AP806" s="2" t="n">
        <f aca="false">ROUND(AC806-AI806,9)</f>
        <v>0.612903226</v>
      </c>
      <c r="AQ806" s="2" t="n">
        <f aca="false">ROUND(AD806-AJ806,9)</f>
        <v>0.483870968</v>
      </c>
    </row>
    <row r="807" customFormat="false" ht="15" hidden="false" customHeight="false" outlineLevel="0" collapsed="false">
      <c r="A807" s="2" t="n">
        <v>806</v>
      </c>
      <c r="B807" s="6" t="n">
        <v>20</v>
      </c>
      <c r="C807" s="6" t="n">
        <v>28</v>
      </c>
      <c r="D807" s="8" t="str">
        <f aca="false">INDEX(Bases!$B$2:$B$53,B807)</f>
        <v>Tyrogue</v>
      </c>
      <c r="E807" s="8" t="str">
        <f aca="false">INDEX(Bases!$B$2:$B$53,C807)</f>
        <v>Zubat</v>
      </c>
      <c r="F807" s="2" t="str">
        <f aca="false">LEFT(D807,ROUNDUP(LEN(D807)/2,0))&amp;LOWER(MID(E807,ROUNDUP(LEN(E807)/2,0)+1,20))</f>
        <v>Tyroat</v>
      </c>
      <c r="G807" s="8" t="str">
        <f aca="false">INDEX(Bases!$C$2:$C$53,B807)</f>
        <v>Fighting</v>
      </c>
      <c r="H807" s="8" t="str">
        <f aca="false">IF(INDEX(Bases!$C$2:$C$53,C807)=G807,"",INDEX(Bases!$C$2:$C$53,C807))</f>
        <v>Flying</v>
      </c>
      <c r="I807" s="8" t="str">
        <f aca="false">IF(INDEX(Bases!$E$2:$E$53,B807)="","",INDEX(Bases!$E$2:$E$53,B807))</f>
        <v/>
      </c>
      <c r="J807" s="8" t="str">
        <f aca="false">IF(INDEX(Bases!$E$2:$E$53,C807)="","",INDEX(Bases!$E$2:$E$53,C807))</f>
        <v/>
      </c>
      <c r="K807" s="5"/>
      <c r="L807" s="2" t="n">
        <f aca="false">AE807+IF(SUMPRODUCT(--($AL807:$AQ807&gt;AL807))&lt;$AK807,1,0)</f>
        <v>81</v>
      </c>
      <c r="M807" s="2" t="n">
        <f aca="false">AF807+IF(SUMPRODUCT(--($AL807:$AQ807&gt;AM807))+SUMPRODUCT(--($AL807:AL807=AM807))&lt;$AK807,1,0)</f>
        <v>87</v>
      </c>
      <c r="N807" s="2" t="n">
        <f aca="false">AG807+IF(SUMPRODUCT(--($AL807:$AQ807&gt;AN807))+SUMPRODUCT(--($AL807:AM807=AN807))&lt;$AK807,1,0)</f>
        <v>78</v>
      </c>
      <c r="O807" s="2" t="n">
        <f aca="false">AH807+IF(SUMPRODUCT(--($AL807:$AQ807&gt;AO807))+SUMPRODUCT(--($AL807:AN807=AO807))&lt;$AK807,1,0)</f>
        <v>74</v>
      </c>
      <c r="P807" s="2" t="n">
        <f aca="false">AI807+IF(SUMPRODUCT(--($AL807:$AQ807&gt;AP807))+SUMPRODUCT(--($AL807:AO807=AP807))&lt;$AK807,1,0)</f>
        <v>80</v>
      </c>
      <c r="Q807" s="2" t="n">
        <f aca="false">AJ807+IF(SUMPRODUCT(--($AL807:$AQ807&gt;AQ807))+SUMPRODUCT(--($AL807:AP807=AQ807))&lt;$AK807,1,0)</f>
        <v>100</v>
      </c>
      <c r="R807" s="2" t="n">
        <f aca="false">SUM(L807:Q807)</f>
        <v>500</v>
      </c>
      <c r="S807" s="2" t="n">
        <f aca="false">Settings!$B$4*MAX(INDEX(Bases!$M$2:$M$53,B807),INDEX(Bases!$M$2:$M$53,C807))+Settings!$B$5*MIN(INDEX(Bases!$M$2:$M$53,B807),INDEX(Bases!$M$2:$M$53,C807))</f>
        <v>66.3333333333333</v>
      </c>
      <c r="T807" s="2" t="n">
        <f aca="false">Settings!$B$4*MAX(INDEX(Bases!$N$2:$N$53,B807),INDEX(Bases!$N$2:$N$53,C807))+Settings!$B$5*MIN(INDEX(Bases!$N$2:$N$53,B807),INDEX(Bases!$N$2:$N$53,C807))</f>
        <v>71.6666666666667</v>
      </c>
      <c r="U807" s="2" t="n">
        <f aca="false">Settings!$B$4*MAX(INDEX(Bases!$O$2:$O$53,B807),INDEX(Bases!$O$2:$O$53,C807))+Settings!$B$5*MIN(INDEX(Bases!$O$2:$O$53,B807),INDEX(Bases!$O$2:$O$53,C807))</f>
        <v>63.6666666666667</v>
      </c>
      <c r="V807" s="2" t="n">
        <f aca="false">Settings!$B$4*MAX(INDEX(Bases!$P$2:$P$53,B807),INDEX(Bases!$P$2:$P$53,C807))+Settings!$B$5*MIN(INDEX(Bases!$P$2:$P$53,B807),INDEX(Bases!$P$2:$P$53,C807))</f>
        <v>61</v>
      </c>
      <c r="W807" s="2" t="n">
        <f aca="false">Settings!$B$4*MAX(INDEX(Bases!$Q$2:$Q$53,B807),INDEX(Bases!$Q$2:$Q$53,C807))+Settings!$B$5*MIN(INDEX(Bases!$Q$2:$Q$53,B807),INDEX(Bases!$Q$2:$Q$53,C807))</f>
        <v>65.6666666666667</v>
      </c>
      <c r="X807" s="2" t="n">
        <f aca="false">Settings!$B$4*MAX(INDEX(Bases!$R$2:$R$53,B807),INDEX(Bases!$R$2:$R$53,C807))+Settings!$B$5*MIN(INDEX(Bases!$R$2:$R$53,B807),INDEX(Bases!$R$2:$R$53,C807))</f>
        <v>82</v>
      </c>
      <c r="Y807" s="2" t="n">
        <f aca="false">S807*Settings!$B$3/SUM(S807:X807)</f>
        <v>80.8285946385053</v>
      </c>
      <c r="Z807" s="2" t="n">
        <f aca="false">T807*Settings!$B$3/SUM(S807:X807)</f>
        <v>87.3273761169781</v>
      </c>
      <c r="AA807" s="2" t="n">
        <f aca="false">U807*Settings!$B$3/SUM(S807:X807)</f>
        <v>77.5792038992689</v>
      </c>
      <c r="AB807" s="2" t="n">
        <f aca="false">V807*Settings!$B$3/SUM(S807:X807)</f>
        <v>74.3298131600325</v>
      </c>
      <c r="AC807" s="2" t="n">
        <f aca="false">W807*Settings!$B$3/SUM(S807:X807)</f>
        <v>80.0162469536962</v>
      </c>
      <c r="AD807" s="2" t="n">
        <f aca="false">X807*Settings!$B$3/SUM(S807:X807)</f>
        <v>99.9187652315191</v>
      </c>
      <c r="AE807" s="2" t="n">
        <f aca="false">INT(Y807)</f>
        <v>80</v>
      </c>
      <c r="AF807" s="2" t="n">
        <f aca="false">INT(Z807)</f>
        <v>87</v>
      </c>
      <c r="AG807" s="2" t="n">
        <f aca="false">INT(AA807)</f>
        <v>77</v>
      </c>
      <c r="AH807" s="2" t="n">
        <f aca="false">INT(AB807)</f>
        <v>74</v>
      </c>
      <c r="AI807" s="2" t="n">
        <f aca="false">INT(AC807)</f>
        <v>80</v>
      </c>
      <c r="AJ807" s="2" t="n">
        <f aca="false">INT(AD807)</f>
        <v>99</v>
      </c>
      <c r="AK807" s="2" t="n">
        <f aca="false">Settings!$B$3-SUM(AE807:AJ807)</f>
        <v>3</v>
      </c>
      <c r="AL807" s="2" t="n">
        <f aca="false">ROUND(Y807-AE807,9)</f>
        <v>0.828594639</v>
      </c>
      <c r="AM807" s="2" t="n">
        <f aca="false">ROUND(Z807-AF807,9)</f>
        <v>0.327376117</v>
      </c>
      <c r="AN807" s="2" t="n">
        <f aca="false">ROUND(AA807-AG807,9)</f>
        <v>0.579203899</v>
      </c>
      <c r="AO807" s="2" t="n">
        <f aca="false">ROUND(AB807-AH807,9)</f>
        <v>0.32981316</v>
      </c>
      <c r="AP807" s="2" t="n">
        <f aca="false">ROUND(AC807-AI807,9)</f>
        <v>0.016246954</v>
      </c>
      <c r="AQ807" s="2" t="n">
        <f aca="false">ROUND(AD807-AJ807,9)</f>
        <v>0.918765232</v>
      </c>
    </row>
    <row r="808" customFormat="false" ht="15" hidden="false" customHeight="false" outlineLevel="0" collapsed="false">
      <c r="A808" s="2" t="n">
        <v>807</v>
      </c>
      <c r="B808" s="6" t="n">
        <v>20</v>
      </c>
      <c r="C808" s="6" t="n">
        <v>29</v>
      </c>
      <c r="D808" s="8" t="str">
        <f aca="false">INDEX(Bases!$B$2:$B$53,B808)</f>
        <v>Tyrogue</v>
      </c>
      <c r="E808" s="8" t="str">
        <f aca="false">INDEX(Bases!$B$2:$B$53,C808)</f>
        <v>Murkrow</v>
      </c>
      <c r="F808" s="2" t="str">
        <f aca="false">LEFT(D808,ROUNDUP(LEN(D808)/2,0))&amp;LOWER(MID(E808,ROUNDUP(LEN(E808)/2,0)+1,20))</f>
        <v>Tyrorow</v>
      </c>
      <c r="G808" s="8" t="str">
        <f aca="false">INDEX(Bases!$C$2:$C$53,B808)</f>
        <v>Fighting</v>
      </c>
      <c r="H808" s="8" t="str">
        <f aca="false">IF(INDEX(Bases!$C$2:$C$53,C808)=G808,"",INDEX(Bases!$C$2:$C$53,C808))</f>
        <v>Flying</v>
      </c>
      <c r="I808" s="8" t="str">
        <f aca="false">IF(INDEX(Bases!$E$2:$E$53,B808)="","",INDEX(Bases!$E$2:$E$53,B808))</f>
        <v/>
      </c>
      <c r="J808" s="8" t="str">
        <f aca="false">IF(INDEX(Bases!$E$2:$E$53,C808)="","",INDEX(Bases!$E$2:$E$53,C808))</f>
        <v/>
      </c>
      <c r="K808" s="5"/>
      <c r="L808" s="2" t="n">
        <f aca="false">AE808+IF(SUMPRODUCT(--($AL808:$AQ808&gt;AL808))&lt;$AK808,1,0)</f>
        <v>77</v>
      </c>
      <c r="M808" s="2" t="n">
        <f aca="false">AF808+IF(SUMPRODUCT(--($AL808:$AQ808&gt;AM808))+SUMPRODUCT(--($AL808:AL808=AM808))&lt;$AK808,1,0)</f>
        <v>93</v>
      </c>
      <c r="N808" s="2" t="n">
        <f aca="false">AG808+IF(SUMPRODUCT(--($AL808:$AQ808&gt;AN808))+SUMPRODUCT(--($AL808:AM808=AN808))&lt;$AK808,1,0)</f>
        <v>70</v>
      </c>
      <c r="O808" s="2" t="n">
        <f aca="false">AH808+IF(SUMPRODUCT(--($AL808:$AQ808&gt;AO808))+SUMPRODUCT(--($AL808:AN808=AO808))&lt;$AK808,1,0)</f>
        <v>93</v>
      </c>
      <c r="P808" s="2" t="n">
        <f aca="false">AI808+IF(SUMPRODUCT(--($AL808:$AQ808&gt;AP808))+SUMPRODUCT(--($AL808:AO808=AP808))&lt;$AK808,1,0)</f>
        <v>69</v>
      </c>
      <c r="Q808" s="2" t="n">
        <f aca="false">AJ808+IF(SUMPRODUCT(--($AL808:$AQ808&gt;AQ808))+SUMPRODUCT(--($AL808:AP808=AQ808))&lt;$AK808,1,0)</f>
        <v>98</v>
      </c>
      <c r="R808" s="2" t="n">
        <f aca="false">SUM(L808:Q808)</f>
        <v>500</v>
      </c>
      <c r="S808" s="2" t="n">
        <f aca="false">Settings!$B$4*MAX(INDEX(Bases!$M$2:$M$53,B808),INDEX(Bases!$M$2:$M$53,C808))+Settings!$B$5*MIN(INDEX(Bases!$M$2:$M$53,B808),INDEX(Bases!$M$2:$M$53,C808))</f>
        <v>64.3333333333333</v>
      </c>
      <c r="T808" s="2" t="n">
        <f aca="false">Settings!$B$4*MAX(INDEX(Bases!$N$2:$N$53,B808),INDEX(Bases!$N$2:$N$53,C808))+Settings!$B$5*MIN(INDEX(Bases!$N$2:$N$53,B808),INDEX(Bases!$N$2:$N$53,C808))</f>
        <v>78.3333333333333</v>
      </c>
      <c r="U808" s="2" t="n">
        <f aca="false">Settings!$B$4*MAX(INDEX(Bases!$O$2:$O$53,B808),INDEX(Bases!$O$2:$O$53,C808))+Settings!$B$5*MIN(INDEX(Bases!$O$2:$O$53,B808),INDEX(Bases!$O$2:$O$53,C808))</f>
        <v>58.6666666666667</v>
      </c>
      <c r="V808" s="2" t="n">
        <f aca="false">Settings!$B$4*MAX(INDEX(Bases!$P$2:$P$53,B808),INDEX(Bases!$P$2:$P$53,C808))+Settings!$B$5*MIN(INDEX(Bases!$P$2:$P$53,B808),INDEX(Bases!$P$2:$P$53,C808))</f>
        <v>78.3333333333333</v>
      </c>
      <c r="W808" s="2" t="n">
        <f aca="false">Settings!$B$4*MAX(INDEX(Bases!$Q$2:$Q$53,B808),INDEX(Bases!$Q$2:$Q$53,C808))+Settings!$B$5*MIN(INDEX(Bases!$Q$2:$Q$53,B808),INDEX(Bases!$Q$2:$Q$53,C808))</f>
        <v>57.6666666666667</v>
      </c>
      <c r="X808" s="2" t="n">
        <f aca="false">Settings!$B$4*MAX(INDEX(Bases!$R$2:$R$53,B808),INDEX(Bases!$R$2:$R$53,C808))+Settings!$B$5*MIN(INDEX(Bases!$R$2:$R$53,B808),INDEX(Bases!$R$2:$R$53,C808))</f>
        <v>82</v>
      </c>
      <c r="Y808" s="2" t="n">
        <f aca="false">S808*Settings!$B$3/SUM(S808:X808)</f>
        <v>76.7090620031796</v>
      </c>
      <c r="Z808" s="2" t="n">
        <f aca="false">T808*Settings!$B$3/SUM(S808:X808)</f>
        <v>93.4022257551669</v>
      </c>
      <c r="AA808" s="2" t="n">
        <f aca="false">U808*Settings!$B$3/SUM(S808:X808)</f>
        <v>69.9523052464229</v>
      </c>
      <c r="AB808" s="2" t="n">
        <f aca="false">V808*Settings!$B$3/SUM(S808:X808)</f>
        <v>93.4022257551669</v>
      </c>
      <c r="AC808" s="2" t="n">
        <f aca="false">W808*Settings!$B$3/SUM(S808:X808)</f>
        <v>68.7599364069952</v>
      </c>
      <c r="AD808" s="2" t="n">
        <f aca="false">X808*Settings!$B$3/SUM(S808:X808)</f>
        <v>97.7742448330684</v>
      </c>
      <c r="AE808" s="2" t="n">
        <f aca="false">INT(Y808)</f>
        <v>76</v>
      </c>
      <c r="AF808" s="2" t="n">
        <f aca="false">INT(Z808)</f>
        <v>93</v>
      </c>
      <c r="AG808" s="2" t="n">
        <f aca="false">INT(AA808)</f>
        <v>69</v>
      </c>
      <c r="AH808" s="2" t="n">
        <f aca="false">INT(AB808)</f>
        <v>93</v>
      </c>
      <c r="AI808" s="2" t="n">
        <f aca="false">INT(AC808)</f>
        <v>68</v>
      </c>
      <c r="AJ808" s="2" t="n">
        <f aca="false">INT(AD808)</f>
        <v>97</v>
      </c>
      <c r="AK808" s="2" t="n">
        <f aca="false">Settings!$B$3-SUM(AE808:AJ808)</f>
        <v>4</v>
      </c>
      <c r="AL808" s="2" t="n">
        <f aca="false">ROUND(Y808-AE808,9)</f>
        <v>0.709062003</v>
      </c>
      <c r="AM808" s="2" t="n">
        <f aca="false">ROUND(Z808-AF808,9)</f>
        <v>0.402225755</v>
      </c>
      <c r="AN808" s="2" t="n">
        <f aca="false">ROUND(AA808-AG808,9)</f>
        <v>0.952305246</v>
      </c>
      <c r="AO808" s="2" t="n">
        <f aca="false">ROUND(AB808-AH808,9)</f>
        <v>0.402225755</v>
      </c>
      <c r="AP808" s="2" t="n">
        <f aca="false">ROUND(AC808-AI808,9)</f>
        <v>0.759936407</v>
      </c>
      <c r="AQ808" s="2" t="n">
        <f aca="false">ROUND(AD808-AJ808,9)</f>
        <v>0.774244833</v>
      </c>
    </row>
    <row r="809" customFormat="false" ht="15" hidden="false" customHeight="false" outlineLevel="0" collapsed="false">
      <c r="A809" s="2" t="n">
        <v>808</v>
      </c>
      <c r="B809" s="6" t="n">
        <v>20</v>
      </c>
      <c r="C809" s="6" t="n">
        <v>30</v>
      </c>
      <c r="D809" s="8" t="str">
        <f aca="false">INDEX(Bases!$B$2:$B$53,B809)</f>
        <v>Tyrogue</v>
      </c>
      <c r="E809" s="8" t="str">
        <f aca="false">INDEX(Bases!$B$2:$B$53,C809)</f>
        <v>Swablu</v>
      </c>
      <c r="F809" s="2" t="str">
        <f aca="false">LEFT(D809,ROUNDUP(LEN(D809)/2,0))&amp;LOWER(MID(E809,ROUNDUP(LEN(E809)/2,0)+1,20))</f>
        <v>Tyroblu</v>
      </c>
      <c r="G809" s="8" t="str">
        <f aca="false">INDEX(Bases!$C$2:$C$53,B809)</f>
        <v>Fighting</v>
      </c>
      <c r="H809" s="8" t="str">
        <f aca="false">IF(INDEX(Bases!$C$2:$C$53,C809)=G809,"",INDEX(Bases!$C$2:$C$53,C809))</f>
        <v>Flying</v>
      </c>
      <c r="I809" s="8" t="str">
        <f aca="false">IF(INDEX(Bases!$E$2:$E$53,B809)="","",INDEX(Bases!$E$2:$E$53,B809))</f>
        <v/>
      </c>
      <c r="J809" s="8" t="str">
        <f aca="false">IF(INDEX(Bases!$E$2:$E$53,C809)="","",INDEX(Bases!$E$2:$E$53,C809))</f>
        <v/>
      </c>
      <c r="K809" s="5"/>
      <c r="L809" s="2" t="n">
        <f aca="false">AE809+IF(SUMPRODUCT(--($AL809:$AQ809&gt;AL809))&lt;$AK809,1,0)</f>
        <v>77</v>
      </c>
      <c r="M809" s="2" t="n">
        <f aca="false">AF809+IF(SUMPRODUCT(--($AL809:$AQ809&gt;AM809))+SUMPRODUCT(--($AL809:AL809=AM809))&lt;$AK809,1,0)</f>
        <v>75</v>
      </c>
      <c r="N809" s="2" t="n">
        <f aca="false">AG809+IF(SUMPRODUCT(--($AL809:$AQ809&gt;AN809))+SUMPRODUCT(--($AL809:AM809=AN809))&lt;$AK809,1,0)</f>
        <v>89</v>
      </c>
      <c r="O809" s="2" t="n">
        <f aca="false">AH809+IF(SUMPRODUCT(--($AL809:$AQ809&gt;AO809))+SUMPRODUCT(--($AL809:AN809=AO809))&lt;$AK809,1,0)</f>
        <v>75</v>
      </c>
      <c r="P809" s="2" t="n">
        <f aca="false">AI809+IF(SUMPRODUCT(--($AL809:$AQ809&gt;AP809))+SUMPRODUCT(--($AL809:AO809=AP809))&lt;$AK809,1,0)</f>
        <v>105</v>
      </c>
      <c r="Q809" s="2" t="n">
        <f aca="false">AJ809+IF(SUMPRODUCT(--($AL809:$AQ809&gt;AQ809))+SUMPRODUCT(--($AL809:AP809=AQ809))&lt;$AK809,1,0)</f>
        <v>79</v>
      </c>
      <c r="R809" s="2" t="n">
        <f aca="false">SUM(L809:Q809)</f>
        <v>500</v>
      </c>
      <c r="S809" s="2" t="n">
        <f aca="false">Settings!$B$4*MAX(INDEX(Bases!$M$2:$M$53,B809),INDEX(Bases!$M$2:$M$53,C809))+Settings!$B$5*MIN(INDEX(Bases!$M$2:$M$53,B809),INDEX(Bases!$M$2:$M$53,C809))</f>
        <v>64</v>
      </c>
      <c r="T809" s="2" t="n">
        <f aca="false">Settings!$B$4*MAX(INDEX(Bases!$N$2:$N$53,B809),INDEX(Bases!$N$2:$N$53,C809))+Settings!$B$5*MIN(INDEX(Bases!$N$2:$N$53,B809),INDEX(Bases!$N$2:$N$53,C809))</f>
        <v>62</v>
      </c>
      <c r="U809" s="2" t="n">
        <f aca="false">Settings!$B$4*MAX(INDEX(Bases!$O$2:$O$53,B809),INDEX(Bases!$O$2:$O$53,C809))+Settings!$B$5*MIN(INDEX(Bases!$O$2:$O$53,B809),INDEX(Bases!$O$2:$O$53,C809))</f>
        <v>73.6666666666667</v>
      </c>
      <c r="V809" s="2" t="n">
        <f aca="false">Settings!$B$4*MAX(INDEX(Bases!$P$2:$P$53,B809),INDEX(Bases!$P$2:$P$53,C809))+Settings!$B$5*MIN(INDEX(Bases!$P$2:$P$53,B809),INDEX(Bases!$P$2:$P$53,C809))</f>
        <v>62</v>
      </c>
      <c r="W809" s="2" t="n">
        <f aca="false">Settings!$B$4*MAX(INDEX(Bases!$Q$2:$Q$53,B809),INDEX(Bases!$Q$2:$Q$53,C809))+Settings!$B$5*MIN(INDEX(Bases!$Q$2:$Q$53,B809),INDEX(Bases!$Q$2:$Q$53,C809))</f>
        <v>86.6666666666667</v>
      </c>
      <c r="X809" s="2" t="n">
        <f aca="false">Settings!$B$4*MAX(INDEX(Bases!$R$2:$R$53,B809),INDEX(Bases!$R$2:$R$53,C809))+Settings!$B$5*MIN(INDEX(Bases!$R$2:$R$53,B809),INDEX(Bases!$R$2:$R$53,C809))</f>
        <v>65.3333333333333</v>
      </c>
      <c r="Y809" s="2" t="n">
        <f aca="false">S809*Settings!$B$3/SUM(S809:X809)</f>
        <v>77.3569701853344</v>
      </c>
      <c r="Z809" s="2" t="n">
        <f aca="false">T809*Settings!$B$3/SUM(S809:X809)</f>
        <v>74.9395648670427</v>
      </c>
      <c r="AA809" s="2" t="n">
        <f aca="false">U809*Settings!$B$3/SUM(S809:X809)</f>
        <v>89.041095890411</v>
      </c>
      <c r="AB809" s="2" t="n">
        <f aca="false">V809*Settings!$B$3/SUM(S809:X809)</f>
        <v>74.9395648670427</v>
      </c>
      <c r="AC809" s="2" t="n">
        <f aca="false">W809*Settings!$B$3/SUM(S809:X809)</f>
        <v>104.754230459307</v>
      </c>
      <c r="AD809" s="2" t="n">
        <f aca="false">X809*Settings!$B$3/SUM(S809:X809)</f>
        <v>78.9685737308622</v>
      </c>
      <c r="AE809" s="2" t="n">
        <f aca="false">INT(Y809)</f>
        <v>77</v>
      </c>
      <c r="AF809" s="2" t="n">
        <f aca="false">INT(Z809)</f>
        <v>74</v>
      </c>
      <c r="AG809" s="2" t="n">
        <f aca="false">INT(AA809)</f>
        <v>89</v>
      </c>
      <c r="AH809" s="2" t="n">
        <f aca="false">INT(AB809)</f>
        <v>74</v>
      </c>
      <c r="AI809" s="2" t="n">
        <f aca="false">INT(AC809)</f>
        <v>104</v>
      </c>
      <c r="AJ809" s="2" t="n">
        <f aca="false">INT(AD809)</f>
        <v>78</v>
      </c>
      <c r="AK809" s="2" t="n">
        <f aca="false">Settings!$B$3-SUM(AE809:AJ809)</f>
        <v>4</v>
      </c>
      <c r="AL809" s="2" t="n">
        <f aca="false">ROUND(Y809-AE809,9)</f>
        <v>0.356970185</v>
      </c>
      <c r="AM809" s="2" t="n">
        <f aca="false">ROUND(Z809-AF809,9)</f>
        <v>0.939564867</v>
      </c>
      <c r="AN809" s="2" t="n">
        <f aca="false">ROUND(AA809-AG809,9)</f>
        <v>0.04109589</v>
      </c>
      <c r="AO809" s="2" t="n">
        <f aca="false">ROUND(AB809-AH809,9)</f>
        <v>0.939564867</v>
      </c>
      <c r="AP809" s="2" t="n">
        <f aca="false">ROUND(AC809-AI809,9)</f>
        <v>0.754230459</v>
      </c>
      <c r="AQ809" s="2" t="n">
        <f aca="false">ROUND(AD809-AJ809,9)</f>
        <v>0.968573731</v>
      </c>
    </row>
    <row r="810" customFormat="false" ht="15" hidden="false" customHeight="false" outlineLevel="0" collapsed="false">
      <c r="A810" s="2" t="n">
        <v>809</v>
      </c>
      <c r="B810" s="6" t="n">
        <v>20</v>
      </c>
      <c r="C810" s="6" t="n">
        <v>31</v>
      </c>
      <c r="D810" s="8" t="str">
        <f aca="false">INDEX(Bases!$B$2:$B$53,B810)</f>
        <v>Tyrogue</v>
      </c>
      <c r="E810" s="8" t="str">
        <f aca="false">INDEX(Bases!$B$2:$B$53,C810)</f>
        <v>Mew</v>
      </c>
      <c r="F810" s="2" t="str">
        <f aca="false">LEFT(D810,ROUNDUP(LEN(D810)/2,0))&amp;LOWER(MID(E810,ROUNDUP(LEN(E810)/2,0)+1,20))</f>
        <v>Tyrow</v>
      </c>
      <c r="G810" s="8" t="str">
        <f aca="false">INDEX(Bases!$C$2:$C$53,B810)</f>
        <v>Fighting</v>
      </c>
      <c r="H810" s="8" t="str">
        <f aca="false">IF(INDEX(Bases!$C$2:$C$53,C810)=G810,"",INDEX(Bases!$C$2:$C$53,C810))</f>
        <v>Psychic</v>
      </c>
      <c r="I810" s="8" t="str">
        <f aca="false">IF(INDEX(Bases!$E$2:$E$53,B810)="","",INDEX(Bases!$E$2:$E$53,B810))</f>
        <v/>
      </c>
      <c r="J810" s="8" t="str">
        <f aca="false">IF(INDEX(Bases!$E$2:$E$53,C810)="","",INDEX(Bases!$E$2:$E$53,C810))</f>
        <v/>
      </c>
      <c r="K810" s="5"/>
      <c r="L810" s="2" t="n">
        <f aca="false">AE810+IF(SUMPRODUCT(--($AL810:$AQ810&gt;AL810))&lt;$AK810,1,0)</f>
        <v>84</v>
      </c>
      <c r="M810" s="2" t="n">
        <f aca="false">AF810+IF(SUMPRODUCT(--($AL810:$AQ810&gt;AM810))+SUMPRODUCT(--($AL810:AL810=AM810))&lt;$AK810,1,0)</f>
        <v>84</v>
      </c>
      <c r="N810" s="2" t="n">
        <f aca="false">AG810+IF(SUMPRODUCT(--($AL810:$AQ810&gt;AN810))+SUMPRODUCT(--($AL810:AM810=AN810))&lt;$AK810,1,0)</f>
        <v>84</v>
      </c>
      <c r="O810" s="2" t="n">
        <f aca="false">AH810+IF(SUMPRODUCT(--($AL810:$AQ810&gt;AO810))+SUMPRODUCT(--($AL810:AN810=AO810))&lt;$AK810,1,0)</f>
        <v>84</v>
      </c>
      <c r="P810" s="2" t="n">
        <f aca="false">AI810+IF(SUMPRODUCT(--($AL810:$AQ810&gt;AP810))+SUMPRODUCT(--($AL810:AO810=AP810))&lt;$AK810,1,0)</f>
        <v>82</v>
      </c>
      <c r="Q810" s="2" t="n">
        <f aca="false">AJ810+IF(SUMPRODUCT(--($AL810:$AQ810&gt;AQ810))+SUMPRODUCT(--($AL810:AP810=AQ810))&lt;$AK810,1,0)</f>
        <v>82</v>
      </c>
      <c r="R810" s="2" t="n">
        <f aca="false">SUM(L810:Q810)</f>
        <v>500</v>
      </c>
      <c r="S810" s="2" t="n">
        <f aca="false">Settings!$B$4*MAX(INDEX(Bases!$M$2:$M$53,B810),INDEX(Bases!$M$2:$M$53,C810))+Settings!$B$5*MIN(INDEX(Bases!$M$2:$M$53,B810),INDEX(Bases!$M$2:$M$53,C810))</f>
        <v>67</v>
      </c>
      <c r="T810" s="2" t="n">
        <f aca="false">Settings!$B$4*MAX(INDEX(Bases!$N$2:$N$53,B810),INDEX(Bases!$N$2:$N$53,C810))+Settings!$B$5*MIN(INDEX(Bases!$N$2:$N$53,B810),INDEX(Bases!$N$2:$N$53,C810))</f>
        <v>67</v>
      </c>
      <c r="U810" s="2" t="n">
        <f aca="false">Settings!$B$4*MAX(INDEX(Bases!$O$2:$O$53,B810),INDEX(Bases!$O$2:$O$53,C810))+Settings!$B$5*MIN(INDEX(Bases!$O$2:$O$53,B810),INDEX(Bases!$O$2:$O$53,C810))</f>
        <v>67</v>
      </c>
      <c r="V810" s="2" t="n">
        <f aca="false">Settings!$B$4*MAX(INDEX(Bases!$P$2:$P$53,B810),INDEX(Bases!$P$2:$P$53,C810))+Settings!$B$5*MIN(INDEX(Bases!$P$2:$P$53,B810),INDEX(Bases!$P$2:$P$53,C810))</f>
        <v>67</v>
      </c>
      <c r="W810" s="2" t="n">
        <f aca="false">Settings!$B$4*MAX(INDEX(Bases!$Q$2:$Q$53,B810),INDEX(Bases!$Q$2:$Q$53,C810))+Settings!$B$5*MIN(INDEX(Bases!$Q$2:$Q$53,B810),INDEX(Bases!$Q$2:$Q$53,C810))</f>
        <v>66</v>
      </c>
      <c r="X810" s="2" t="n">
        <f aca="false">Settings!$B$4*MAX(INDEX(Bases!$R$2:$R$53,B810),INDEX(Bases!$R$2:$R$53,C810))+Settings!$B$5*MIN(INDEX(Bases!$R$2:$R$53,B810),INDEX(Bases!$R$2:$R$53,C810))</f>
        <v>66</v>
      </c>
      <c r="Y810" s="2" t="n">
        <f aca="false">S810*Settings!$B$3/SUM(S810:X810)</f>
        <v>83.75</v>
      </c>
      <c r="Z810" s="2" t="n">
        <f aca="false">T810*Settings!$B$3/SUM(S810:X810)</f>
        <v>83.75</v>
      </c>
      <c r="AA810" s="2" t="n">
        <f aca="false">U810*Settings!$B$3/SUM(S810:X810)</f>
        <v>83.75</v>
      </c>
      <c r="AB810" s="2" t="n">
        <f aca="false">V810*Settings!$B$3/SUM(S810:X810)</f>
        <v>83.75</v>
      </c>
      <c r="AC810" s="2" t="n">
        <f aca="false">W810*Settings!$B$3/SUM(S810:X810)</f>
        <v>82.5</v>
      </c>
      <c r="AD810" s="2" t="n">
        <f aca="false">X810*Settings!$B$3/SUM(S810:X810)</f>
        <v>82.5</v>
      </c>
      <c r="AE810" s="2" t="n">
        <f aca="false">INT(Y810)</f>
        <v>83</v>
      </c>
      <c r="AF810" s="2" t="n">
        <f aca="false">INT(Z810)</f>
        <v>83</v>
      </c>
      <c r="AG810" s="2" t="n">
        <f aca="false">INT(AA810)</f>
        <v>83</v>
      </c>
      <c r="AH810" s="2" t="n">
        <f aca="false">INT(AB810)</f>
        <v>83</v>
      </c>
      <c r="AI810" s="2" t="n">
        <f aca="false">INT(AC810)</f>
        <v>82</v>
      </c>
      <c r="AJ810" s="2" t="n">
        <f aca="false">INT(AD810)</f>
        <v>82</v>
      </c>
      <c r="AK810" s="2" t="n">
        <f aca="false">Settings!$B$3-SUM(AE810:AJ810)</f>
        <v>4</v>
      </c>
      <c r="AL810" s="2" t="n">
        <f aca="false">ROUND(Y810-AE810,9)</f>
        <v>0.75</v>
      </c>
      <c r="AM810" s="2" t="n">
        <f aca="false">ROUND(Z810-AF810,9)</f>
        <v>0.75</v>
      </c>
      <c r="AN810" s="2" t="n">
        <f aca="false">ROUND(AA810-AG810,9)</f>
        <v>0.75</v>
      </c>
      <c r="AO810" s="2" t="n">
        <f aca="false">ROUND(AB810-AH810,9)</f>
        <v>0.75</v>
      </c>
      <c r="AP810" s="2" t="n">
        <f aca="false">ROUND(AC810-AI810,9)</f>
        <v>0.5</v>
      </c>
      <c r="AQ810" s="2" t="n">
        <f aca="false">ROUND(AD810-AJ810,9)</f>
        <v>0.5</v>
      </c>
    </row>
    <row r="811" customFormat="false" ht="15" hidden="false" customHeight="false" outlineLevel="0" collapsed="false">
      <c r="A811" s="2" t="n">
        <v>810</v>
      </c>
      <c r="B811" s="6" t="n">
        <v>20</v>
      </c>
      <c r="C811" s="6" t="n">
        <v>32</v>
      </c>
      <c r="D811" s="8" t="str">
        <f aca="false">INDEX(Bases!$B$2:$B$53,B811)</f>
        <v>Tyrogue</v>
      </c>
      <c r="E811" s="8" t="str">
        <f aca="false">INDEX(Bases!$B$2:$B$53,C811)</f>
        <v>Spoink</v>
      </c>
      <c r="F811" s="2" t="str">
        <f aca="false">LEFT(D811,ROUNDUP(LEN(D811)/2,0))&amp;LOWER(MID(E811,ROUNDUP(LEN(E811)/2,0)+1,20))</f>
        <v>Tyroink</v>
      </c>
      <c r="G811" s="8" t="str">
        <f aca="false">INDEX(Bases!$C$2:$C$53,B811)</f>
        <v>Fighting</v>
      </c>
      <c r="H811" s="8" t="str">
        <f aca="false">IF(INDEX(Bases!$C$2:$C$53,C811)=G811,"",INDEX(Bases!$C$2:$C$53,C811))</f>
        <v>Psychic</v>
      </c>
      <c r="I811" s="8" t="str">
        <f aca="false">IF(INDEX(Bases!$E$2:$E$53,B811)="","",INDEX(Bases!$E$2:$E$53,B811))</f>
        <v/>
      </c>
      <c r="J811" s="8" t="str">
        <f aca="false">IF(INDEX(Bases!$E$2:$E$53,C811)="","",INDEX(Bases!$E$2:$E$53,C811))</f>
        <v/>
      </c>
      <c r="K811" s="5"/>
      <c r="L811" s="2" t="n">
        <f aca="false">AE811+IF(SUMPRODUCT(--($AL811:$AQ811&gt;AL811))&lt;$AK811,1,0)</f>
        <v>84</v>
      </c>
      <c r="M811" s="2" t="n">
        <f aca="false">AF811+IF(SUMPRODUCT(--($AL811:$AQ811&gt;AM811))+SUMPRODUCT(--($AL811:AL811=AM811))&lt;$AK811,1,0)</f>
        <v>65</v>
      </c>
      <c r="N811" s="2" t="n">
        <f aca="false">AG811+IF(SUMPRODUCT(--($AL811:$AQ811&gt;AN811))+SUMPRODUCT(--($AL811:AM811=AN811))&lt;$AK811,1,0)</f>
        <v>70</v>
      </c>
      <c r="O811" s="2" t="n">
        <f aca="false">AH811+IF(SUMPRODUCT(--($AL811:$AQ811&gt;AO811))+SUMPRODUCT(--($AL811:AN811=AO811))&lt;$AK811,1,0)</f>
        <v>94</v>
      </c>
      <c r="P811" s="2" t="n">
        <f aca="false">AI811+IF(SUMPRODUCT(--($AL811:$AQ811&gt;AP811))+SUMPRODUCT(--($AL811:AO811=AP811))&lt;$AK811,1,0)</f>
        <v>103</v>
      </c>
      <c r="Q811" s="2" t="n">
        <f aca="false">AJ811+IF(SUMPRODUCT(--($AL811:$AQ811&gt;AQ811))+SUMPRODUCT(--($AL811:AP811=AQ811))&lt;$AK811,1,0)</f>
        <v>84</v>
      </c>
      <c r="R811" s="2" t="n">
        <f aca="false">SUM(L811:Q811)</f>
        <v>500</v>
      </c>
      <c r="S811" s="2" t="n">
        <f aca="false">Settings!$B$4*MAX(INDEX(Bases!$M$2:$M$53,B811),INDEX(Bases!$M$2:$M$53,C811))+Settings!$B$5*MIN(INDEX(Bases!$M$2:$M$53,B811),INDEX(Bases!$M$2:$M$53,C811))</f>
        <v>71</v>
      </c>
      <c r="T811" s="2" t="n">
        <f aca="false">Settings!$B$4*MAX(INDEX(Bases!$N$2:$N$53,B811),INDEX(Bases!$N$2:$N$53,C811))+Settings!$B$5*MIN(INDEX(Bases!$N$2:$N$53,B811),INDEX(Bases!$N$2:$N$53,C811))</f>
        <v>54.6666666666667</v>
      </c>
      <c r="U811" s="2" t="n">
        <f aca="false">Settings!$B$4*MAX(INDEX(Bases!$O$2:$O$53,B811),INDEX(Bases!$O$2:$O$53,C811))+Settings!$B$5*MIN(INDEX(Bases!$O$2:$O$53,B811),INDEX(Bases!$O$2:$O$53,C811))</f>
        <v>58.6666666666667</v>
      </c>
      <c r="V811" s="2" t="n">
        <f aca="false">Settings!$B$4*MAX(INDEX(Bases!$P$2:$P$53,B811),INDEX(Bases!$P$2:$P$53,C811))+Settings!$B$5*MIN(INDEX(Bases!$P$2:$P$53,B811),INDEX(Bases!$P$2:$P$53,C811))</f>
        <v>79</v>
      </c>
      <c r="W811" s="2" t="n">
        <f aca="false">Settings!$B$4*MAX(INDEX(Bases!$Q$2:$Q$53,B811),INDEX(Bases!$Q$2:$Q$53,C811))+Settings!$B$5*MIN(INDEX(Bases!$Q$2:$Q$53,B811),INDEX(Bases!$Q$2:$Q$53,C811))</f>
        <v>86.6666666666667</v>
      </c>
      <c r="X811" s="2" t="n">
        <f aca="false">Settings!$B$4*MAX(INDEX(Bases!$R$2:$R$53,B811),INDEX(Bases!$R$2:$R$53,C811))+Settings!$B$5*MIN(INDEX(Bases!$R$2:$R$53,B811),INDEX(Bases!$R$2:$R$53,C811))</f>
        <v>70.6666666666667</v>
      </c>
      <c r="Y811" s="2" t="n">
        <f aca="false">S811*Settings!$B$3/SUM(S811:X811)</f>
        <v>84.3898573692552</v>
      </c>
      <c r="Z811" s="2" t="n">
        <f aca="false">T811*Settings!$B$3/SUM(S811:X811)</f>
        <v>64.9762282091918</v>
      </c>
      <c r="AA811" s="2" t="n">
        <f aca="false">U811*Settings!$B$3/SUM(S811:X811)</f>
        <v>69.7305863708399</v>
      </c>
      <c r="AB811" s="2" t="n">
        <f aca="false">V811*Settings!$B$3/SUM(S811:X811)</f>
        <v>93.8985736925515</v>
      </c>
      <c r="AC811" s="2" t="n">
        <f aca="false">W811*Settings!$B$3/SUM(S811:X811)</f>
        <v>103.011093502377</v>
      </c>
      <c r="AD811" s="2" t="n">
        <f aca="false">X811*Settings!$B$3/SUM(S811:X811)</f>
        <v>83.9936608557845</v>
      </c>
      <c r="AE811" s="2" t="n">
        <f aca="false">INT(Y811)</f>
        <v>84</v>
      </c>
      <c r="AF811" s="2" t="n">
        <f aca="false">INT(Z811)</f>
        <v>64</v>
      </c>
      <c r="AG811" s="2" t="n">
        <f aca="false">INT(AA811)</f>
        <v>69</v>
      </c>
      <c r="AH811" s="2" t="n">
        <f aca="false">INT(AB811)</f>
        <v>93</v>
      </c>
      <c r="AI811" s="2" t="n">
        <f aca="false">INT(AC811)</f>
        <v>103</v>
      </c>
      <c r="AJ811" s="2" t="n">
        <f aca="false">INT(AD811)</f>
        <v>83</v>
      </c>
      <c r="AK811" s="2" t="n">
        <f aca="false">Settings!$B$3-SUM(AE811:AJ811)</f>
        <v>4</v>
      </c>
      <c r="AL811" s="2" t="n">
        <f aca="false">ROUND(Y811-AE811,9)</f>
        <v>0.389857369</v>
      </c>
      <c r="AM811" s="2" t="n">
        <f aca="false">ROUND(Z811-AF811,9)</f>
        <v>0.976228209</v>
      </c>
      <c r="AN811" s="2" t="n">
        <f aca="false">ROUND(AA811-AG811,9)</f>
        <v>0.730586371</v>
      </c>
      <c r="AO811" s="2" t="n">
        <f aca="false">ROUND(AB811-AH811,9)</f>
        <v>0.898573693</v>
      </c>
      <c r="AP811" s="2" t="n">
        <f aca="false">ROUND(AC811-AI811,9)</f>
        <v>0.011093502</v>
      </c>
      <c r="AQ811" s="2" t="n">
        <f aca="false">ROUND(AD811-AJ811,9)</f>
        <v>0.993660856</v>
      </c>
    </row>
    <row r="812" customFormat="false" ht="15" hidden="false" customHeight="false" outlineLevel="0" collapsed="false">
      <c r="A812" s="2" t="n">
        <v>811</v>
      </c>
      <c r="B812" s="6" t="n">
        <v>20</v>
      </c>
      <c r="C812" s="6" t="n">
        <v>33</v>
      </c>
      <c r="D812" s="8" t="str">
        <f aca="false">INDEX(Bases!$B$2:$B$53,B812)</f>
        <v>Tyrogue</v>
      </c>
      <c r="E812" s="8" t="str">
        <f aca="false">INDEX(Bases!$B$2:$B$53,C812)</f>
        <v>Jirachi</v>
      </c>
      <c r="F812" s="2" t="str">
        <f aca="false">LEFT(D812,ROUNDUP(LEN(D812)/2,0))&amp;LOWER(MID(E812,ROUNDUP(LEN(E812)/2,0)+1,20))</f>
        <v>Tyrochi</v>
      </c>
      <c r="G812" s="8" t="str">
        <f aca="false">INDEX(Bases!$C$2:$C$53,B812)</f>
        <v>Fighting</v>
      </c>
      <c r="H812" s="8" t="str">
        <f aca="false">IF(INDEX(Bases!$C$2:$C$53,C812)=G812,"",INDEX(Bases!$C$2:$C$53,C812))</f>
        <v>Psychic</v>
      </c>
      <c r="I812" s="8" t="str">
        <f aca="false">IF(INDEX(Bases!$E$2:$E$53,B812)="","",INDEX(Bases!$E$2:$E$53,B812))</f>
        <v/>
      </c>
      <c r="J812" s="8" t="str">
        <f aca="false">IF(INDEX(Bases!$E$2:$E$53,C812)="","",INDEX(Bases!$E$2:$E$53,C812))</f>
        <v/>
      </c>
      <c r="K812" s="5"/>
      <c r="L812" s="2" t="n">
        <f aca="false">AE812+IF(SUMPRODUCT(--($AL812:$AQ812&gt;AL812))&lt;$AK812,1,0)</f>
        <v>84</v>
      </c>
      <c r="M812" s="2" t="n">
        <f aca="false">AF812+IF(SUMPRODUCT(--($AL812:$AQ812&gt;AM812))+SUMPRODUCT(--($AL812:AL812=AM812))&lt;$AK812,1,0)</f>
        <v>84</v>
      </c>
      <c r="N812" s="2" t="n">
        <f aca="false">AG812+IF(SUMPRODUCT(--($AL812:$AQ812&gt;AN812))+SUMPRODUCT(--($AL812:AM812=AN812))&lt;$AK812,1,0)</f>
        <v>84</v>
      </c>
      <c r="O812" s="2" t="n">
        <f aca="false">AH812+IF(SUMPRODUCT(--($AL812:$AQ812&gt;AO812))+SUMPRODUCT(--($AL812:AN812=AO812))&lt;$AK812,1,0)</f>
        <v>84</v>
      </c>
      <c r="P812" s="2" t="n">
        <f aca="false">AI812+IF(SUMPRODUCT(--($AL812:$AQ812&gt;AP812))+SUMPRODUCT(--($AL812:AO812=AP812))&lt;$AK812,1,0)</f>
        <v>82</v>
      </c>
      <c r="Q812" s="2" t="n">
        <f aca="false">AJ812+IF(SUMPRODUCT(--($AL812:$AQ812&gt;AQ812))+SUMPRODUCT(--($AL812:AP812=AQ812))&lt;$AK812,1,0)</f>
        <v>82</v>
      </c>
      <c r="R812" s="2" t="n">
        <f aca="false">SUM(L812:Q812)</f>
        <v>500</v>
      </c>
      <c r="S812" s="2" t="n">
        <f aca="false">Settings!$B$4*MAX(INDEX(Bases!$M$2:$M$53,B812),INDEX(Bases!$M$2:$M$53,C812))+Settings!$B$5*MIN(INDEX(Bases!$M$2:$M$53,B812),INDEX(Bases!$M$2:$M$53,C812))</f>
        <v>67</v>
      </c>
      <c r="T812" s="2" t="n">
        <f aca="false">Settings!$B$4*MAX(INDEX(Bases!$N$2:$N$53,B812),INDEX(Bases!$N$2:$N$53,C812))+Settings!$B$5*MIN(INDEX(Bases!$N$2:$N$53,B812),INDEX(Bases!$N$2:$N$53,C812))</f>
        <v>67</v>
      </c>
      <c r="U812" s="2" t="n">
        <f aca="false">Settings!$B$4*MAX(INDEX(Bases!$O$2:$O$53,B812),INDEX(Bases!$O$2:$O$53,C812))+Settings!$B$5*MIN(INDEX(Bases!$O$2:$O$53,B812),INDEX(Bases!$O$2:$O$53,C812))</f>
        <v>67</v>
      </c>
      <c r="V812" s="2" t="n">
        <f aca="false">Settings!$B$4*MAX(INDEX(Bases!$P$2:$P$53,B812),INDEX(Bases!$P$2:$P$53,C812))+Settings!$B$5*MIN(INDEX(Bases!$P$2:$P$53,B812),INDEX(Bases!$P$2:$P$53,C812))</f>
        <v>67</v>
      </c>
      <c r="W812" s="2" t="n">
        <f aca="false">Settings!$B$4*MAX(INDEX(Bases!$Q$2:$Q$53,B812),INDEX(Bases!$Q$2:$Q$53,C812))+Settings!$B$5*MIN(INDEX(Bases!$Q$2:$Q$53,B812),INDEX(Bases!$Q$2:$Q$53,C812))</f>
        <v>66</v>
      </c>
      <c r="X812" s="2" t="n">
        <f aca="false">Settings!$B$4*MAX(INDEX(Bases!$R$2:$R$53,B812),INDEX(Bases!$R$2:$R$53,C812))+Settings!$B$5*MIN(INDEX(Bases!$R$2:$R$53,B812),INDEX(Bases!$R$2:$R$53,C812))</f>
        <v>66</v>
      </c>
      <c r="Y812" s="2" t="n">
        <f aca="false">S812*Settings!$B$3/SUM(S812:X812)</f>
        <v>83.75</v>
      </c>
      <c r="Z812" s="2" t="n">
        <f aca="false">T812*Settings!$B$3/SUM(S812:X812)</f>
        <v>83.75</v>
      </c>
      <c r="AA812" s="2" t="n">
        <f aca="false">U812*Settings!$B$3/SUM(S812:X812)</f>
        <v>83.75</v>
      </c>
      <c r="AB812" s="2" t="n">
        <f aca="false">V812*Settings!$B$3/SUM(S812:X812)</f>
        <v>83.75</v>
      </c>
      <c r="AC812" s="2" t="n">
        <f aca="false">W812*Settings!$B$3/SUM(S812:X812)</f>
        <v>82.5</v>
      </c>
      <c r="AD812" s="2" t="n">
        <f aca="false">X812*Settings!$B$3/SUM(S812:X812)</f>
        <v>82.5</v>
      </c>
      <c r="AE812" s="2" t="n">
        <f aca="false">INT(Y812)</f>
        <v>83</v>
      </c>
      <c r="AF812" s="2" t="n">
        <f aca="false">INT(Z812)</f>
        <v>83</v>
      </c>
      <c r="AG812" s="2" t="n">
        <f aca="false">INT(AA812)</f>
        <v>83</v>
      </c>
      <c r="AH812" s="2" t="n">
        <f aca="false">INT(AB812)</f>
        <v>83</v>
      </c>
      <c r="AI812" s="2" t="n">
        <f aca="false">INT(AC812)</f>
        <v>82</v>
      </c>
      <c r="AJ812" s="2" t="n">
        <f aca="false">INT(AD812)</f>
        <v>82</v>
      </c>
      <c r="AK812" s="2" t="n">
        <f aca="false">Settings!$B$3-SUM(AE812:AJ812)</f>
        <v>4</v>
      </c>
      <c r="AL812" s="2" t="n">
        <f aca="false">ROUND(Y812-AE812,9)</f>
        <v>0.75</v>
      </c>
      <c r="AM812" s="2" t="n">
        <f aca="false">ROUND(Z812-AF812,9)</f>
        <v>0.75</v>
      </c>
      <c r="AN812" s="2" t="n">
        <f aca="false">ROUND(AA812-AG812,9)</f>
        <v>0.75</v>
      </c>
      <c r="AO812" s="2" t="n">
        <f aca="false">ROUND(AB812-AH812,9)</f>
        <v>0.75</v>
      </c>
      <c r="AP812" s="2" t="n">
        <f aca="false">ROUND(AC812-AI812,9)</f>
        <v>0.5</v>
      </c>
      <c r="AQ812" s="2" t="n">
        <f aca="false">ROUND(AD812-AJ812,9)</f>
        <v>0.5</v>
      </c>
    </row>
    <row r="813" customFormat="false" ht="15" hidden="false" customHeight="false" outlineLevel="0" collapsed="false">
      <c r="A813" s="2" t="n">
        <v>812</v>
      </c>
      <c r="B813" s="6" t="n">
        <v>20</v>
      </c>
      <c r="C813" s="6" t="n">
        <v>34</v>
      </c>
      <c r="D813" s="8" t="str">
        <f aca="false">INDEX(Bases!$B$2:$B$53,B813)</f>
        <v>Tyrogue</v>
      </c>
      <c r="E813" s="8" t="str">
        <f aca="false">INDEX(Bases!$B$2:$B$53,C813)</f>
        <v>Paras</v>
      </c>
      <c r="F813" s="2" t="str">
        <f aca="false">LEFT(D813,ROUNDUP(LEN(D813)/2,0))&amp;LOWER(MID(E813,ROUNDUP(LEN(E813)/2,0)+1,20))</f>
        <v>Tyroas</v>
      </c>
      <c r="G813" s="8" t="str">
        <f aca="false">INDEX(Bases!$C$2:$C$53,B813)</f>
        <v>Fighting</v>
      </c>
      <c r="H813" s="8" t="str">
        <f aca="false">IF(INDEX(Bases!$C$2:$C$53,C813)=G813,"",INDEX(Bases!$C$2:$C$53,C813))</f>
        <v>Bug</v>
      </c>
      <c r="I813" s="8" t="str">
        <f aca="false">IF(INDEX(Bases!$E$2:$E$53,B813)="","",INDEX(Bases!$E$2:$E$53,B813))</f>
        <v/>
      </c>
      <c r="J813" s="8" t="str">
        <f aca="false">IF(INDEX(Bases!$E$2:$E$53,C813)="","",INDEX(Bases!$E$2:$E$53,C813))</f>
        <v/>
      </c>
      <c r="K813" s="5"/>
      <c r="L813" s="2" t="n">
        <f aca="false">AE813+IF(SUMPRODUCT(--($AL813:$AQ813&gt;AL813))&lt;$AK813,1,0)</f>
        <v>73</v>
      </c>
      <c r="M813" s="2" t="n">
        <f aca="false">AF813+IF(SUMPRODUCT(--($AL813:$AQ813&gt;AM813))+SUMPRODUCT(--($AL813:AL813=AM813))&lt;$AK813,1,0)</f>
        <v>106</v>
      </c>
      <c r="N813" s="2" t="n">
        <f aca="false">AG813+IF(SUMPRODUCT(--($AL813:$AQ813&gt;AN813))+SUMPRODUCT(--($AL813:AM813=AN813))&lt;$AK813,1,0)</f>
        <v>88</v>
      </c>
      <c r="O813" s="2" t="n">
        <f aca="false">AH813+IF(SUMPRODUCT(--($AL813:$AQ813&gt;AO813))+SUMPRODUCT(--($AL813:AN813=AO813))&lt;$AK813,1,0)</f>
        <v>78</v>
      </c>
      <c r="P813" s="2" t="n">
        <f aca="false">AI813+IF(SUMPRODUCT(--($AL813:$AQ813&gt;AP813))+SUMPRODUCT(--($AL813:AO813=AP813))&lt;$AK813,1,0)</f>
        <v>88</v>
      </c>
      <c r="Q813" s="2" t="n">
        <f aca="false">AJ813+IF(SUMPRODUCT(--($AL813:$AQ813&gt;AQ813))+SUMPRODUCT(--($AL813:AP813=AQ813))&lt;$AK813,1,0)</f>
        <v>67</v>
      </c>
      <c r="R813" s="2" t="n">
        <f aca="false">SUM(L813:Q813)</f>
        <v>500</v>
      </c>
      <c r="S813" s="2" t="n">
        <f aca="false">Settings!$B$4*MAX(INDEX(Bases!$M$2:$M$53,B813),INDEX(Bases!$M$2:$M$53,C813))+Settings!$B$5*MIN(INDEX(Bases!$M$2:$M$53,B813),INDEX(Bases!$M$2:$M$53,C813))</f>
        <v>61</v>
      </c>
      <c r="T813" s="2" t="n">
        <f aca="false">Settings!$B$4*MAX(INDEX(Bases!$N$2:$N$53,B813),INDEX(Bases!$N$2:$N$53,C813))+Settings!$B$5*MIN(INDEX(Bases!$N$2:$N$53,B813),INDEX(Bases!$N$2:$N$53,C813))</f>
        <v>88.3333333333333</v>
      </c>
      <c r="U813" s="2" t="n">
        <f aca="false">Settings!$B$4*MAX(INDEX(Bases!$O$2:$O$53,B813),INDEX(Bases!$O$2:$O$53,C813))+Settings!$B$5*MIN(INDEX(Bases!$O$2:$O$53,B813),INDEX(Bases!$O$2:$O$53,C813))</f>
        <v>73.6666666666667</v>
      </c>
      <c r="V813" s="2" t="n">
        <f aca="false">Settings!$B$4*MAX(INDEX(Bases!$P$2:$P$53,B813),INDEX(Bases!$P$2:$P$53,C813))+Settings!$B$5*MIN(INDEX(Bases!$P$2:$P$53,B813),INDEX(Bases!$P$2:$P$53,C813))</f>
        <v>65.6666666666667</v>
      </c>
      <c r="W813" s="2" t="n">
        <f aca="false">Settings!$B$4*MAX(INDEX(Bases!$Q$2:$Q$53,B813),INDEX(Bases!$Q$2:$Q$53,C813))+Settings!$B$5*MIN(INDEX(Bases!$Q$2:$Q$53,B813),INDEX(Bases!$Q$2:$Q$53,C813))</f>
        <v>73.3333333333333</v>
      </c>
      <c r="X813" s="2" t="n">
        <f aca="false">Settings!$B$4*MAX(INDEX(Bases!$R$2:$R$53,B813),INDEX(Bases!$R$2:$R$53,C813))+Settings!$B$5*MIN(INDEX(Bases!$R$2:$R$53,B813),INDEX(Bases!$R$2:$R$53,C813))</f>
        <v>55.6666666666667</v>
      </c>
      <c r="Y813" s="2" t="n">
        <f aca="false">S813*Settings!$B$3/SUM(S813:X813)</f>
        <v>73.024740622506</v>
      </c>
      <c r="Z813" s="2" t="n">
        <f aca="false">T813*Settings!$B$3/SUM(S813:X813)</f>
        <v>105.746209098164</v>
      </c>
      <c r="AA813" s="2" t="n">
        <f aca="false">U813*Settings!$B$3/SUM(S813:X813)</f>
        <v>88.1883479648843</v>
      </c>
      <c r="AB813" s="2" t="n">
        <f aca="false">V813*Settings!$B$3/SUM(S813:X813)</f>
        <v>78.6113328012769</v>
      </c>
      <c r="AC813" s="2" t="n">
        <f aca="false">W813*Settings!$B$3/SUM(S813:X813)</f>
        <v>87.7893056664006</v>
      </c>
      <c r="AD813" s="2" t="n">
        <f aca="false">X813*Settings!$B$3/SUM(S813:X813)</f>
        <v>66.6400638467678</v>
      </c>
      <c r="AE813" s="2" t="n">
        <f aca="false">INT(Y813)</f>
        <v>73</v>
      </c>
      <c r="AF813" s="2" t="n">
        <f aca="false">INT(Z813)</f>
        <v>105</v>
      </c>
      <c r="AG813" s="2" t="n">
        <f aca="false">INT(AA813)</f>
        <v>88</v>
      </c>
      <c r="AH813" s="2" t="n">
        <f aca="false">INT(AB813)</f>
        <v>78</v>
      </c>
      <c r="AI813" s="2" t="n">
        <f aca="false">INT(AC813)</f>
        <v>87</v>
      </c>
      <c r="AJ813" s="2" t="n">
        <f aca="false">INT(AD813)</f>
        <v>66</v>
      </c>
      <c r="AK813" s="2" t="n">
        <f aca="false">Settings!$B$3-SUM(AE813:AJ813)</f>
        <v>3</v>
      </c>
      <c r="AL813" s="2" t="n">
        <f aca="false">ROUND(Y813-AE813,9)</f>
        <v>0.024740623</v>
      </c>
      <c r="AM813" s="2" t="n">
        <f aca="false">ROUND(Z813-AF813,9)</f>
        <v>0.746209098</v>
      </c>
      <c r="AN813" s="2" t="n">
        <f aca="false">ROUND(AA813-AG813,9)</f>
        <v>0.188347965</v>
      </c>
      <c r="AO813" s="2" t="n">
        <f aca="false">ROUND(AB813-AH813,9)</f>
        <v>0.611332801</v>
      </c>
      <c r="AP813" s="2" t="n">
        <f aca="false">ROUND(AC813-AI813,9)</f>
        <v>0.789305666</v>
      </c>
      <c r="AQ813" s="2" t="n">
        <f aca="false">ROUND(AD813-AJ813,9)</f>
        <v>0.640063847</v>
      </c>
    </row>
    <row r="814" customFormat="false" ht="15" hidden="false" customHeight="false" outlineLevel="0" collapsed="false">
      <c r="A814" s="2" t="n">
        <v>813</v>
      </c>
      <c r="B814" s="6" t="n">
        <v>20</v>
      </c>
      <c r="C814" s="6" t="n">
        <v>35</v>
      </c>
      <c r="D814" s="8" t="str">
        <f aca="false">INDEX(Bases!$B$2:$B$53,B814)</f>
        <v>Tyrogue</v>
      </c>
      <c r="E814" s="8" t="str">
        <f aca="false">INDEX(Bases!$B$2:$B$53,C814)</f>
        <v>Pineco</v>
      </c>
      <c r="F814" s="2" t="str">
        <f aca="false">LEFT(D814,ROUNDUP(LEN(D814)/2,0))&amp;LOWER(MID(E814,ROUNDUP(LEN(E814)/2,0)+1,20))</f>
        <v>Tyroeco</v>
      </c>
      <c r="G814" s="8" t="str">
        <f aca="false">INDEX(Bases!$C$2:$C$53,B814)</f>
        <v>Fighting</v>
      </c>
      <c r="H814" s="8" t="str">
        <f aca="false">IF(INDEX(Bases!$C$2:$C$53,C814)=G814,"",INDEX(Bases!$C$2:$C$53,C814))</f>
        <v>Bug</v>
      </c>
      <c r="I814" s="8" t="str">
        <f aca="false">IF(INDEX(Bases!$E$2:$E$53,B814)="","",INDEX(Bases!$E$2:$E$53,B814))</f>
        <v/>
      </c>
      <c r="J814" s="8" t="str">
        <f aca="false">IF(INDEX(Bases!$E$2:$E$53,C814)="","",INDEX(Bases!$E$2:$E$53,C814))</f>
        <v/>
      </c>
      <c r="K814" s="5"/>
      <c r="L814" s="2" t="n">
        <f aca="false">AE814+IF(SUMPRODUCT(--($AL814:$AQ814&gt;AL814))&lt;$AK814,1,0)</f>
        <v>80</v>
      </c>
      <c r="M814" s="2" t="n">
        <f aca="false">AF814+IF(SUMPRODUCT(--($AL814:$AQ814&gt;AM814))+SUMPRODUCT(--($AL814:AL814=AM814))&lt;$AK814,1,0)</f>
        <v>96</v>
      </c>
      <c r="N814" s="2" t="n">
        <f aca="false">AG814+IF(SUMPRODUCT(--($AL814:$AQ814&gt;AN814))+SUMPRODUCT(--($AL814:AM814=AN814))&lt;$AK814,1,0)</f>
        <v>123</v>
      </c>
      <c r="O814" s="2" t="n">
        <f aca="false">AH814+IF(SUMPRODUCT(--($AL814:$AQ814&gt;AO814))+SUMPRODUCT(--($AL814:AN814=AO814))&lt;$AK814,1,0)</f>
        <v>71</v>
      </c>
      <c r="P814" s="2" t="n">
        <f aca="false">AI814+IF(SUMPRODUCT(--($AL814:$AQ814&gt;AP814))+SUMPRODUCT(--($AL814:AO814=AP814))&lt;$AK814,1,0)</f>
        <v>70</v>
      </c>
      <c r="Q814" s="2" t="n">
        <f aca="false">AJ814+IF(SUMPRODUCT(--($AL814:$AQ814&gt;AQ814))+SUMPRODUCT(--($AL814:AP814=AQ814))&lt;$AK814,1,0)</f>
        <v>60</v>
      </c>
      <c r="R814" s="2" t="n">
        <f aca="false">SUM(L814:Q814)</f>
        <v>500</v>
      </c>
      <c r="S814" s="2" t="n">
        <f aca="false">Settings!$B$4*MAX(INDEX(Bases!$M$2:$M$53,B814),INDEX(Bases!$M$2:$M$53,C814))+Settings!$B$5*MIN(INDEX(Bases!$M$2:$M$53,B814),INDEX(Bases!$M$2:$M$53,C814))</f>
        <v>68.3333333333333</v>
      </c>
      <c r="T814" s="2" t="n">
        <f aca="false">Settings!$B$4*MAX(INDEX(Bases!$N$2:$N$53,B814),INDEX(Bases!$N$2:$N$53,C814))+Settings!$B$5*MIN(INDEX(Bases!$N$2:$N$53,B814),INDEX(Bases!$N$2:$N$53,C814))</f>
        <v>82.3333333333333</v>
      </c>
      <c r="U814" s="2" t="n">
        <f aca="false">Settings!$B$4*MAX(INDEX(Bases!$O$2:$O$53,B814),INDEX(Bases!$O$2:$O$53,C814))+Settings!$B$5*MIN(INDEX(Bases!$O$2:$O$53,B814),INDEX(Bases!$O$2:$O$53,C814))</f>
        <v>105</v>
      </c>
      <c r="V814" s="2" t="n">
        <f aca="false">Settings!$B$4*MAX(INDEX(Bases!$P$2:$P$53,B814),INDEX(Bases!$P$2:$P$53,C814))+Settings!$B$5*MIN(INDEX(Bases!$P$2:$P$53,B814),INDEX(Bases!$P$2:$P$53,C814))</f>
        <v>60.6666666666667</v>
      </c>
      <c r="W814" s="2" t="n">
        <f aca="false">Settings!$B$4*MAX(INDEX(Bases!$Q$2:$Q$53,B814),INDEX(Bases!$Q$2:$Q$53,C814))+Settings!$B$5*MIN(INDEX(Bases!$Q$2:$Q$53,B814),INDEX(Bases!$Q$2:$Q$53,C814))</f>
        <v>60</v>
      </c>
      <c r="X814" s="2" t="n">
        <f aca="false">Settings!$B$4*MAX(INDEX(Bases!$R$2:$R$53,B814),INDEX(Bases!$R$2:$R$53,C814))+Settings!$B$5*MIN(INDEX(Bases!$R$2:$R$53,B814),INDEX(Bases!$R$2:$R$53,C814))</f>
        <v>51</v>
      </c>
      <c r="Y814" s="2" t="n">
        <f aca="false">S814*Settings!$B$3/SUM(S814:X814)</f>
        <v>79.9531981279251</v>
      </c>
      <c r="Z814" s="2" t="n">
        <f aca="false">T814*Settings!$B$3/SUM(S814:X814)</f>
        <v>96.3338533541342</v>
      </c>
      <c r="AA814" s="2" t="n">
        <f aca="false">U814*Settings!$B$3/SUM(S814:X814)</f>
        <v>122.854914196568</v>
      </c>
      <c r="AB814" s="2" t="n">
        <f aca="false">V814*Settings!$B$3/SUM(S814:X814)</f>
        <v>70.9828393135725</v>
      </c>
      <c r="AC814" s="2" t="n">
        <f aca="false">W814*Settings!$B$3/SUM(S814:X814)</f>
        <v>70.2028081123245</v>
      </c>
      <c r="AD814" s="2" t="n">
        <f aca="false">X814*Settings!$B$3/SUM(S814:X814)</f>
        <v>59.6723868954758</v>
      </c>
      <c r="AE814" s="2" t="n">
        <f aca="false">INT(Y814)</f>
        <v>79</v>
      </c>
      <c r="AF814" s="2" t="n">
        <f aca="false">INT(Z814)</f>
        <v>96</v>
      </c>
      <c r="AG814" s="2" t="n">
        <f aca="false">INT(AA814)</f>
        <v>122</v>
      </c>
      <c r="AH814" s="2" t="n">
        <f aca="false">INT(AB814)</f>
        <v>70</v>
      </c>
      <c r="AI814" s="2" t="n">
        <f aca="false">INT(AC814)</f>
        <v>70</v>
      </c>
      <c r="AJ814" s="2" t="n">
        <f aca="false">INT(AD814)</f>
        <v>59</v>
      </c>
      <c r="AK814" s="2" t="n">
        <f aca="false">Settings!$B$3-SUM(AE814:AJ814)</f>
        <v>4</v>
      </c>
      <c r="AL814" s="2" t="n">
        <f aca="false">ROUND(Y814-AE814,9)</f>
        <v>0.953198128</v>
      </c>
      <c r="AM814" s="2" t="n">
        <f aca="false">ROUND(Z814-AF814,9)</f>
        <v>0.333853354</v>
      </c>
      <c r="AN814" s="2" t="n">
        <f aca="false">ROUND(AA814-AG814,9)</f>
        <v>0.854914197</v>
      </c>
      <c r="AO814" s="2" t="n">
        <f aca="false">ROUND(AB814-AH814,9)</f>
        <v>0.982839314</v>
      </c>
      <c r="AP814" s="2" t="n">
        <f aca="false">ROUND(AC814-AI814,9)</f>
        <v>0.202808112</v>
      </c>
      <c r="AQ814" s="2" t="n">
        <f aca="false">ROUND(AD814-AJ814,9)</f>
        <v>0.672386895</v>
      </c>
    </row>
    <row r="815" customFormat="false" ht="15" hidden="false" customHeight="false" outlineLevel="0" collapsed="false">
      <c r="A815" s="2" t="n">
        <v>814</v>
      </c>
      <c r="B815" s="6" t="n">
        <v>20</v>
      </c>
      <c r="C815" s="6" t="n">
        <v>36</v>
      </c>
      <c r="D815" s="8" t="str">
        <f aca="false">INDEX(Bases!$B$2:$B$53,B815)</f>
        <v>Tyrogue</v>
      </c>
      <c r="E815" s="8" t="str">
        <f aca="false">INDEX(Bases!$B$2:$B$53,C815)</f>
        <v>Wurmple</v>
      </c>
      <c r="F815" s="2" t="str">
        <f aca="false">LEFT(D815,ROUNDUP(LEN(D815)/2,0))&amp;LOWER(MID(E815,ROUNDUP(LEN(E815)/2,0)+1,20))</f>
        <v>Tyrople</v>
      </c>
      <c r="G815" s="8" t="str">
        <f aca="false">INDEX(Bases!$C$2:$C$53,B815)</f>
        <v>Fighting</v>
      </c>
      <c r="H815" s="8" t="str">
        <f aca="false">IF(INDEX(Bases!$C$2:$C$53,C815)=G815,"",INDEX(Bases!$C$2:$C$53,C815))</f>
        <v>Bug</v>
      </c>
      <c r="I815" s="8" t="str">
        <f aca="false">IF(INDEX(Bases!$E$2:$E$53,B815)="","",INDEX(Bases!$E$2:$E$53,B815))</f>
        <v/>
      </c>
      <c r="J815" s="8" t="str">
        <f aca="false">IF(INDEX(Bases!$E$2:$E$53,C815)="","",INDEX(Bases!$E$2:$E$53,C815))</f>
        <v/>
      </c>
      <c r="K815" s="5"/>
      <c r="L815" s="2" t="n">
        <f aca="false">AE815+IF(SUMPRODUCT(--($AL815:$AQ815&gt;AL815))&lt;$AK815,1,0)</f>
        <v>100</v>
      </c>
      <c r="M815" s="2" t="n">
        <f aca="false">AF815+IF(SUMPRODUCT(--($AL815:$AQ815&gt;AM815))+SUMPRODUCT(--($AL815:AL815=AM815))&lt;$AK815,1,0)</f>
        <v>100</v>
      </c>
      <c r="N815" s="2" t="n">
        <f aca="false">AG815+IF(SUMPRODUCT(--($AL815:$AQ815&gt;AN815))+SUMPRODUCT(--($AL815:AM815=AN815))&lt;$AK815,1,0)</f>
        <v>84</v>
      </c>
      <c r="O815" s="2" t="n">
        <f aca="false">AH815+IF(SUMPRODUCT(--($AL815:$AQ815&gt;AO815))+SUMPRODUCT(--($AL815:AN815=AO815))&lt;$AK815,1,0)</f>
        <v>70</v>
      </c>
      <c r="P815" s="2" t="n">
        <f aca="false">AI815+IF(SUMPRODUCT(--($AL815:$AQ815&gt;AP815))+SUMPRODUCT(--($AL815:AO815=AP815))&lt;$AK815,1,0)</f>
        <v>77</v>
      </c>
      <c r="Q815" s="2" t="n">
        <f aca="false">AJ815+IF(SUMPRODUCT(--($AL815:$AQ815&gt;AQ815))+SUMPRODUCT(--($AL815:AP815=AQ815))&lt;$AK815,1,0)</f>
        <v>69</v>
      </c>
      <c r="R815" s="2" t="n">
        <f aca="false">SUM(L815:Q815)</f>
        <v>500</v>
      </c>
      <c r="S815" s="2" t="n">
        <f aca="false">Settings!$B$4*MAX(INDEX(Bases!$M$2:$M$53,B815),INDEX(Bases!$M$2:$M$53,C815))+Settings!$B$5*MIN(INDEX(Bases!$M$2:$M$53,B815),INDEX(Bases!$M$2:$M$53,C815))</f>
        <v>83.6666666666667</v>
      </c>
      <c r="T815" s="2" t="n">
        <f aca="false">Settings!$B$4*MAX(INDEX(Bases!$N$2:$N$53,B815),INDEX(Bases!$N$2:$N$53,C815))+Settings!$B$5*MIN(INDEX(Bases!$N$2:$N$53,B815),INDEX(Bases!$N$2:$N$53,C815))</f>
        <v>83.6666666666667</v>
      </c>
      <c r="U815" s="2" t="n">
        <f aca="false">Settings!$B$4*MAX(INDEX(Bases!$O$2:$O$53,B815),INDEX(Bases!$O$2:$O$53,C815))+Settings!$B$5*MIN(INDEX(Bases!$O$2:$O$53,B815),INDEX(Bases!$O$2:$O$53,C815))</f>
        <v>70.3333333333333</v>
      </c>
      <c r="V815" s="2" t="n">
        <f aca="false">Settings!$B$4*MAX(INDEX(Bases!$P$2:$P$53,B815),INDEX(Bases!$P$2:$P$53,C815))+Settings!$B$5*MIN(INDEX(Bases!$P$2:$P$53,B815),INDEX(Bases!$P$2:$P$53,C815))</f>
        <v>58.3333333333333</v>
      </c>
      <c r="W815" s="2" t="n">
        <f aca="false">Settings!$B$4*MAX(INDEX(Bases!$Q$2:$Q$53,B815),INDEX(Bases!$Q$2:$Q$53,C815))+Settings!$B$5*MIN(INDEX(Bases!$Q$2:$Q$53,B815),INDEX(Bases!$Q$2:$Q$53,C815))</f>
        <v>64.6666666666667</v>
      </c>
      <c r="X815" s="2" t="n">
        <f aca="false">Settings!$B$4*MAX(INDEX(Bases!$R$2:$R$53,B815),INDEX(Bases!$R$2:$R$53,C815))+Settings!$B$5*MIN(INDEX(Bases!$R$2:$R$53,B815),INDEX(Bases!$R$2:$R$53,C815))</f>
        <v>57.6666666666667</v>
      </c>
      <c r="Y815" s="2" t="n">
        <f aca="false">S815*Settings!$B$3/SUM(S815:X815)</f>
        <v>100</v>
      </c>
      <c r="Z815" s="2" t="n">
        <f aca="false">T815*Settings!$B$3/SUM(S815:X815)</f>
        <v>100</v>
      </c>
      <c r="AA815" s="2" t="n">
        <f aca="false">U815*Settings!$B$3/SUM(S815:X815)</f>
        <v>84.0637450199203</v>
      </c>
      <c r="AB815" s="2" t="n">
        <f aca="false">V815*Settings!$B$3/SUM(S815:X815)</f>
        <v>69.7211155378486</v>
      </c>
      <c r="AC815" s="2" t="n">
        <f aca="false">W815*Settings!$B$3/SUM(S815:X815)</f>
        <v>77.2908366533865</v>
      </c>
      <c r="AD815" s="2" t="n">
        <f aca="false">X815*Settings!$B$3/SUM(S815:X815)</f>
        <v>68.9243027888446</v>
      </c>
      <c r="AE815" s="2" t="n">
        <f aca="false">INT(Y815)</f>
        <v>100</v>
      </c>
      <c r="AF815" s="2" t="n">
        <f aca="false">INT(Z815)</f>
        <v>100</v>
      </c>
      <c r="AG815" s="2" t="n">
        <f aca="false">INT(AA815)</f>
        <v>84</v>
      </c>
      <c r="AH815" s="2" t="n">
        <f aca="false">INT(AB815)</f>
        <v>69</v>
      </c>
      <c r="AI815" s="2" t="n">
        <f aca="false">INT(AC815)</f>
        <v>77</v>
      </c>
      <c r="AJ815" s="2" t="n">
        <f aca="false">INT(AD815)</f>
        <v>68</v>
      </c>
      <c r="AK815" s="2" t="n">
        <f aca="false">Settings!$B$3-SUM(AE815:AJ815)</f>
        <v>2</v>
      </c>
      <c r="AL815" s="2" t="n">
        <f aca="false">ROUND(Y815-AE815,9)</f>
        <v>0</v>
      </c>
      <c r="AM815" s="2" t="n">
        <f aca="false">ROUND(Z815-AF815,9)</f>
        <v>0</v>
      </c>
      <c r="AN815" s="2" t="n">
        <f aca="false">ROUND(AA815-AG815,9)</f>
        <v>0.06374502</v>
      </c>
      <c r="AO815" s="2" t="n">
        <f aca="false">ROUND(AB815-AH815,9)</f>
        <v>0.721115538</v>
      </c>
      <c r="AP815" s="2" t="n">
        <f aca="false">ROUND(AC815-AI815,9)</f>
        <v>0.290836653</v>
      </c>
      <c r="AQ815" s="2" t="n">
        <f aca="false">ROUND(AD815-AJ815,9)</f>
        <v>0.924302789</v>
      </c>
    </row>
    <row r="816" customFormat="false" ht="15" hidden="false" customHeight="false" outlineLevel="0" collapsed="false">
      <c r="A816" s="2" t="n">
        <v>815</v>
      </c>
      <c r="B816" s="6" t="n">
        <v>20</v>
      </c>
      <c r="C816" s="6" t="n">
        <v>37</v>
      </c>
      <c r="D816" s="8" t="str">
        <f aca="false">INDEX(Bases!$B$2:$B$53,B816)</f>
        <v>Tyrogue</v>
      </c>
      <c r="E816" s="8" t="str">
        <f aca="false">INDEX(Bases!$B$2:$B$53,C816)</f>
        <v>Shuckle</v>
      </c>
      <c r="F816" s="2" t="str">
        <f aca="false">LEFT(D816,ROUNDUP(LEN(D816)/2,0))&amp;LOWER(MID(E816,ROUNDUP(LEN(E816)/2,0)+1,20))</f>
        <v>Tyrokle</v>
      </c>
      <c r="G816" s="8" t="str">
        <f aca="false">INDEX(Bases!$C$2:$C$53,B816)</f>
        <v>Fighting</v>
      </c>
      <c r="H816" s="8" t="str">
        <f aca="false">IF(INDEX(Bases!$C$2:$C$53,C816)=G816,"",INDEX(Bases!$C$2:$C$53,C816))</f>
        <v>Rock</v>
      </c>
      <c r="I816" s="8" t="str">
        <f aca="false">IF(INDEX(Bases!$E$2:$E$53,B816)="","",INDEX(Bases!$E$2:$E$53,B816))</f>
        <v/>
      </c>
      <c r="J816" s="8" t="str">
        <f aca="false">IF(INDEX(Bases!$E$2:$E$53,C816)="","",INDEX(Bases!$E$2:$E$53,C816))</f>
        <v/>
      </c>
      <c r="K816" s="5"/>
      <c r="L816" s="2" t="n">
        <f aca="false">AE816+IF(SUMPRODUCT(--($AL816:$AQ816&gt;AL816))&lt;$AK816,1,0)</f>
        <v>52</v>
      </c>
      <c r="M816" s="2" t="n">
        <f aca="false">AF816+IF(SUMPRODUCT(--($AL816:$AQ816&gt;AM816))+SUMPRODUCT(--($AL816:AL816=AM816))&lt;$AK816,1,0)</f>
        <v>50</v>
      </c>
      <c r="N816" s="2" t="n">
        <f aca="false">AG816+IF(SUMPRODUCT(--($AL816:$AQ816&gt;AN816))+SUMPRODUCT(--($AL816:AM816=AN816))&lt;$AK816,1,0)</f>
        <v>151</v>
      </c>
      <c r="O816" s="2" t="n">
        <f aca="false">AH816+IF(SUMPRODUCT(--($AL816:$AQ816&gt;AO816))+SUMPRODUCT(--($AL816:AN816=AO816))&lt;$AK816,1,0)</f>
        <v>50</v>
      </c>
      <c r="P816" s="2" t="n">
        <f aca="false">AI816+IF(SUMPRODUCT(--($AL816:$AQ816&gt;AP816))+SUMPRODUCT(--($AL816:AO816=AP816))&lt;$AK816,1,0)</f>
        <v>150</v>
      </c>
      <c r="Q816" s="2" t="n">
        <f aca="false">AJ816+IF(SUMPRODUCT(--($AL816:$AQ816&gt;AQ816))+SUMPRODUCT(--($AL816:AP816=AQ816))&lt;$AK816,1,0)</f>
        <v>47</v>
      </c>
      <c r="R816" s="2" t="n">
        <f aca="false">SUM(L816:Q816)</f>
        <v>500</v>
      </c>
      <c r="S816" s="2" t="n">
        <f aca="false">Settings!$B$4*MAX(INDEX(Bases!$M$2:$M$53,B816),INDEX(Bases!$M$2:$M$53,C816))+Settings!$B$5*MIN(INDEX(Bases!$M$2:$M$53,B816),INDEX(Bases!$M$2:$M$53,C816))</f>
        <v>50</v>
      </c>
      <c r="T816" s="2" t="n">
        <f aca="false">Settings!$B$4*MAX(INDEX(Bases!$N$2:$N$53,B816),INDEX(Bases!$N$2:$N$53,C816))+Settings!$B$5*MIN(INDEX(Bases!$N$2:$N$53,B816),INDEX(Bases!$N$2:$N$53,C816))</f>
        <v>47.3333333333333</v>
      </c>
      <c r="U816" s="2" t="n">
        <f aca="false">Settings!$B$4*MAX(INDEX(Bases!$O$2:$O$53,B816),INDEX(Bases!$O$2:$O$53,C816))+Settings!$B$5*MIN(INDEX(Bases!$O$2:$O$53,B816),INDEX(Bases!$O$2:$O$53,C816))</f>
        <v>143.666666666667</v>
      </c>
      <c r="V816" s="2" t="n">
        <f aca="false">Settings!$B$4*MAX(INDEX(Bases!$P$2:$P$53,B816),INDEX(Bases!$P$2:$P$53,C816))+Settings!$B$5*MIN(INDEX(Bases!$P$2:$P$53,B816),INDEX(Bases!$P$2:$P$53,C816))</f>
        <v>47.3333333333333</v>
      </c>
      <c r="W816" s="2" t="n">
        <f aca="false">Settings!$B$4*MAX(INDEX(Bases!$Q$2:$Q$53,B816),INDEX(Bases!$Q$2:$Q$53,C816))+Settings!$B$5*MIN(INDEX(Bases!$Q$2:$Q$53,B816),INDEX(Bases!$Q$2:$Q$53,C816))</f>
        <v>143.333333333333</v>
      </c>
      <c r="X816" s="2" t="n">
        <f aca="false">Settings!$B$4*MAX(INDEX(Bases!$R$2:$R$53,B816),INDEX(Bases!$R$2:$R$53,C816))+Settings!$B$5*MIN(INDEX(Bases!$R$2:$R$53,B816),INDEX(Bases!$R$2:$R$53,C816))</f>
        <v>45.3333333333333</v>
      </c>
      <c r="Y816" s="2" t="n">
        <f aca="false">S816*Settings!$B$3/SUM(S816:X816)</f>
        <v>52.4109014675053</v>
      </c>
      <c r="Z816" s="2" t="n">
        <f aca="false">T816*Settings!$B$3/SUM(S816:X816)</f>
        <v>49.6156533892383</v>
      </c>
      <c r="AA816" s="2" t="n">
        <f aca="false">U816*Settings!$B$3/SUM(S816:X816)</f>
        <v>150.593990216632</v>
      </c>
      <c r="AB816" s="2" t="n">
        <f aca="false">V816*Settings!$B$3/SUM(S816:X816)</f>
        <v>49.6156533892383</v>
      </c>
      <c r="AC816" s="2" t="n">
        <f aca="false">W816*Settings!$B$3/SUM(S816:X816)</f>
        <v>150.244584206848</v>
      </c>
      <c r="AD816" s="2" t="n">
        <f aca="false">X816*Settings!$B$3/SUM(S816:X816)</f>
        <v>47.5192173305381</v>
      </c>
      <c r="AE816" s="2" t="n">
        <f aca="false">INT(Y816)</f>
        <v>52</v>
      </c>
      <c r="AF816" s="2" t="n">
        <f aca="false">INT(Z816)</f>
        <v>49</v>
      </c>
      <c r="AG816" s="2" t="n">
        <f aca="false">INT(AA816)</f>
        <v>150</v>
      </c>
      <c r="AH816" s="2" t="n">
        <f aca="false">INT(AB816)</f>
        <v>49</v>
      </c>
      <c r="AI816" s="2" t="n">
        <f aca="false">INT(AC816)</f>
        <v>150</v>
      </c>
      <c r="AJ816" s="2" t="n">
        <f aca="false">INT(AD816)</f>
        <v>47</v>
      </c>
      <c r="AK816" s="2" t="n">
        <f aca="false">Settings!$B$3-SUM(AE816:AJ816)</f>
        <v>3</v>
      </c>
      <c r="AL816" s="2" t="n">
        <f aca="false">ROUND(Y816-AE816,9)</f>
        <v>0.410901468</v>
      </c>
      <c r="AM816" s="2" t="n">
        <f aca="false">ROUND(Z816-AF816,9)</f>
        <v>0.615653389</v>
      </c>
      <c r="AN816" s="2" t="n">
        <f aca="false">ROUND(AA816-AG816,9)</f>
        <v>0.593990217</v>
      </c>
      <c r="AO816" s="2" t="n">
        <f aca="false">ROUND(AB816-AH816,9)</f>
        <v>0.615653389</v>
      </c>
      <c r="AP816" s="2" t="n">
        <f aca="false">ROUND(AC816-AI816,9)</f>
        <v>0.244584207</v>
      </c>
      <c r="AQ816" s="2" t="n">
        <f aca="false">ROUND(AD816-AJ816,9)</f>
        <v>0.519217331</v>
      </c>
    </row>
    <row r="817" customFormat="false" ht="15" hidden="false" customHeight="false" outlineLevel="0" collapsed="false">
      <c r="A817" s="2" t="n">
        <v>816</v>
      </c>
      <c r="B817" s="6" t="n">
        <v>20</v>
      </c>
      <c r="C817" s="6" t="n">
        <v>38</v>
      </c>
      <c r="D817" s="8" t="str">
        <f aca="false">INDEX(Bases!$B$2:$B$53,B817)</f>
        <v>Tyrogue</v>
      </c>
      <c r="E817" s="8" t="str">
        <f aca="false">INDEX(Bases!$B$2:$B$53,C817)</f>
        <v>Larvitar</v>
      </c>
      <c r="F817" s="2" t="str">
        <f aca="false">LEFT(D817,ROUNDUP(LEN(D817)/2,0))&amp;LOWER(MID(E817,ROUNDUP(LEN(E817)/2,0)+1,20))</f>
        <v>Tyroitar</v>
      </c>
      <c r="G817" s="8" t="str">
        <f aca="false">INDEX(Bases!$C$2:$C$53,B817)</f>
        <v>Fighting</v>
      </c>
      <c r="H817" s="8" t="str">
        <f aca="false">IF(INDEX(Bases!$C$2:$C$53,C817)=G817,"",INDEX(Bases!$C$2:$C$53,C817))</f>
        <v>Rock</v>
      </c>
      <c r="I817" s="8" t="str">
        <f aca="false">IF(INDEX(Bases!$E$2:$E$53,B817)="","",INDEX(Bases!$E$2:$E$53,B817))</f>
        <v/>
      </c>
      <c r="J817" s="8" t="str">
        <f aca="false">IF(INDEX(Bases!$E$2:$E$53,C817)="","",INDEX(Bases!$E$2:$E$53,C817))</f>
        <v/>
      </c>
      <c r="K817" s="5"/>
      <c r="L817" s="2" t="n">
        <f aca="false">AE817+IF(SUMPRODUCT(--($AL817:$AQ817&gt;AL817))&lt;$AK817,1,0)</f>
        <v>83</v>
      </c>
      <c r="M817" s="2" t="n">
        <f aca="false">AF817+IF(SUMPRODUCT(--($AL817:$AQ817&gt;AM817))+SUMPRODUCT(--($AL817:AL817=AM817))&lt;$AK817,1,0)</f>
        <v>97</v>
      </c>
      <c r="N817" s="2" t="n">
        <f aca="false">AG817+IF(SUMPRODUCT(--($AL817:$AQ817&gt;AN817))+SUMPRODUCT(--($AL817:AM817=AN817))&lt;$AK817,1,0)</f>
        <v>82</v>
      </c>
      <c r="O817" s="2" t="n">
        <f aca="false">AH817+IF(SUMPRODUCT(--($AL817:$AQ817&gt;AO817))+SUMPRODUCT(--($AL817:AN817=AO817))&lt;$AK817,1,0)</f>
        <v>80</v>
      </c>
      <c r="P817" s="2" t="n">
        <f aca="false">AI817+IF(SUMPRODUCT(--($AL817:$AQ817&gt;AP817))+SUMPRODUCT(--($AL817:AO817=AP817))&lt;$AK817,1,0)</f>
        <v>82</v>
      </c>
      <c r="Q817" s="2" t="n">
        <f aca="false">AJ817+IF(SUMPRODUCT(--($AL817:$AQ817&gt;AQ817))+SUMPRODUCT(--($AL817:AP817=AQ817))&lt;$AK817,1,0)</f>
        <v>76</v>
      </c>
      <c r="R817" s="2" t="n">
        <f aca="false">SUM(L817:Q817)</f>
        <v>500</v>
      </c>
      <c r="S817" s="2" t="n">
        <f aca="false">Settings!$B$4*MAX(INDEX(Bases!$M$2:$M$53,B817),INDEX(Bases!$M$2:$M$53,C817))+Settings!$B$5*MIN(INDEX(Bases!$M$2:$M$53,B817),INDEX(Bases!$M$2:$M$53,C817))</f>
        <v>67</v>
      </c>
      <c r="T817" s="2" t="n">
        <f aca="false">Settings!$B$4*MAX(INDEX(Bases!$N$2:$N$53,B817),INDEX(Bases!$N$2:$N$53,C817))+Settings!$B$5*MIN(INDEX(Bases!$N$2:$N$53,B817),INDEX(Bases!$N$2:$N$53,C817))</f>
        <v>79</v>
      </c>
      <c r="U817" s="2" t="n">
        <f aca="false">Settings!$B$4*MAX(INDEX(Bases!$O$2:$O$53,B817),INDEX(Bases!$O$2:$O$53,C817))+Settings!$B$5*MIN(INDEX(Bases!$O$2:$O$53,B817),INDEX(Bases!$O$2:$O$53,C817))</f>
        <v>67</v>
      </c>
      <c r="V817" s="2" t="n">
        <f aca="false">Settings!$B$4*MAX(INDEX(Bases!$P$2:$P$53,B817),INDEX(Bases!$P$2:$P$53,C817))+Settings!$B$5*MIN(INDEX(Bases!$P$2:$P$53,B817),INDEX(Bases!$P$2:$P$53,C817))</f>
        <v>64.6666666666667</v>
      </c>
      <c r="W817" s="2" t="n">
        <f aca="false">Settings!$B$4*MAX(INDEX(Bases!$Q$2:$Q$53,B817),INDEX(Bases!$Q$2:$Q$53,C817))+Settings!$B$5*MIN(INDEX(Bases!$Q$2:$Q$53,B817),INDEX(Bases!$Q$2:$Q$53,C817))</f>
        <v>66.6666666666667</v>
      </c>
      <c r="X817" s="2" t="n">
        <f aca="false">Settings!$B$4*MAX(INDEX(Bases!$R$2:$R$53,B817),INDEX(Bases!$R$2:$R$53,C817))+Settings!$B$5*MIN(INDEX(Bases!$R$2:$R$53,B817),INDEX(Bases!$R$2:$R$53,C817))</f>
        <v>62</v>
      </c>
      <c r="Y817" s="2" t="n">
        <f aca="false">S817*Settings!$B$3/SUM(S817:X817)</f>
        <v>82.4446267432322</v>
      </c>
      <c r="Z817" s="2" t="n">
        <f aca="false">T817*Settings!$B$3/SUM(S817:X817)</f>
        <v>97.2108285479902</v>
      </c>
      <c r="AA817" s="2" t="n">
        <f aca="false">U817*Settings!$B$3/SUM(S817:X817)</f>
        <v>82.4446267432322</v>
      </c>
      <c r="AB817" s="2" t="n">
        <f aca="false">V817*Settings!$B$3/SUM(S817:X817)</f>
        <v>79.5734208367514</v>
      </c>
      <c r="AC817" s="2" t="n">
        <f aca="false">W817*Settings!$B$3/SUM(S817:X817)</f>
        <v>82.0344544708778</v>
      </c>
      <c r="AD817" s="2" t="n">
        <f aca="false">X817*Settings!$B$3/SUM(S817:X817)</f>
        <v>76.2920426579163</v>
      </c>
      <c r="AE817" s="2" t="n">
        <f aca="false">INT(Y817)</f>
        <v>82</v>
      </c>
      <c r="AF817" s="2" t="n">
        <f aca="false">INT(Z817)</f>
        <v>97</v>
      </c>
      <c r="AG817" s="2" t="n">
        <f aca="false">INT(AA817)</f>
        <v>82</v>
      </c>
      <c r="AH817" s="2" t="n">
        <f aca="false">INT(AB817)</f>
        <v>79</v>
      </c>
      <c r="AI817" s="2" t="n">
        <f aca="false">INT(AC817)</f>
        <v>82</v>
      </c>
      <c r="AJ817" s="2" t="n">
        <f aca="false">INT(AD817)</f>
        <v>76</v>
      </c>
      <c r="AK817" s="2" t="n">
        <f aca="false">Settings!$B$3-SUM(AE817:AJ817)</f>
        <v>2</v>
      </c>
      <c r="AL817" s="2" t="n">
        <f aca="false">ROUND(Y817-AE817,9)</f>
        <v>0.444626743</v>
      </c>
      <c r="AM817" s="2" t="n">
        <f aca="false">ROUND(Z817-AF817,9)</f>
        <v>0.210828548</v>
      </c>
      <c r="AN817" s="2" t="n">
        <f aca="false">ROUND(AA817-AG817,9)</f>
        <v>0.444626743</v>
      </c>
      <c r="AO817" s="2" t="n">
        <f aca="false">ROUND(AB817-AH817,9)</f>
        <v>0.573420837</v>
      </c>
      <c r="AP817" s="2" t="n">
        <f aca="false">ROUND(AC817-AI817,9)</f>
        <v>0.034454471</v>
      </c>
      <c r="AQ817" s="2" t="n">
        <f aca="false">ROUND(AD817-AJ817,9)</f>
        <v>0.292042658</v>
      </c>
    </row>
    <row r="818" customFormat="false" ht="15" hidden="false" customHeight="false" outlineLevel="0" collapsed="false">
      <c r="A818" s="2" t="n">
        <v>817</v>
      </c>
      <c r="B818" s="6" t="n">
        <v>20</v>
      </c>
      <c r="C818" s="6" t="n">
        <v>39</v>
      </c>
      <c r="D818" s="8" t="str">
        <f aca="false">INDEX(Bases!$B$2:$B$53,B818)</f>
        <v>Tyrogue</v>
      </c>
      <c r="E818" s="8" t="str">
        <f aca="false">INDEX(Bases!$B$2:$B$53,C818)</f>
        <v>Nosepass</v>
      </c>
      <c r="F818" s="2" t="str">
        <f aca="false">LEFT(D818,ROUNDUP(LEN(D818)/2,0))&amp;LOWER(MID(E818,ROUNDUP(LEN(E818)/2,0)+1,20))</f>
        <v>Tyropass</v>
      </c>
      <c r="G818" s="8" t="str">
        <f aca="false">INDEX(Bases!$C$2:$C$53,B818)</f>
        <v>Fighting</v>
      </c>
      <c r="H818" s="8" t="str">
        <f aca="false">IF(INDEX(Bases!$C$2:$C$53,C818)=G818,"",INDEX(Bases!$C$2:$C$53,C818))</f>
        <v>Rock</v>
      </c>
      <c r="I818" s="8" t="str">
        <f aca="false">IF(INDEX(Bases!$E$2:$E$53,B818)="","",INDEX(Bases!$E$2:$E$53,B818))</f>
        <v/>
      </c>
      <c r="J818" s="8" t="str">
        <f aca="false">IF(INDEX(Bases!$E$2:$E$53,C818)="","",INDEX(Bases!$E$2:$E$53,C818))</f>
        <v/>
      </c>
      <c r="K818" s="5"/>
      <c r="L818" s="2" t="n">
        <f aca="false">AE818+IF(SUMPRODUCT(--($AL818:$AQ818&gt;AL818))&lt;$AK818,1,0)</f>
        <v>63</v>
      </c>
      <c r="M818" s="2" t="n">
        <f aca="false">AF818+IF(SUMPRODUCT(--($AL818:$AQ818&gt;AM818))+SUMPRODUCT(--($AL818:AL818=AM818))&lt;$AK818,1,0)</f>
        <v>70</v>
      </c>
      <c r="N818" s="2" t="n">
        <f aca="false">AG818+IF(SUMPRODUCT(--($AL818:$AQ818&gt;AN818))+SUMPRODUCT(--($AL818:AM818=AN818))&lt;$AK818,1,0)</f>
        <v>136</v>
      </c>
      <c r="O818" s="2" t="n">
        <f aca="false">AH818+IF(SUMPRODUCT(--($AL818:$AQ818&gt;AO818))+SUMPRODUCT(--($AL818:AN818=AO818))&lt;$AK818,1,0)</f>
        <v>69</v>
      </c>
      <c r="P818" s="2" t="n">
        <f aca="false">AI818+IF(SUMPRODUCT(--($AL818:$AQ818&gt;AP818))+SUMPRODUCT(--($AL818:AO818=AP818))&lt;$AK818,1,0)</f>
        <v>99</v>
      </c>
      <c r="Q818" s="2" t="n">
        <f aca="false">AJ818+IF(SUMPRODUCT(--($AL818:$AQ818&gt;AQ818))+SUMPRODUCT(--($AL818:AP818=AQ818))&lt;$AK818,1,0)</f>
        <v>63</v>
      </c>
      <c r="R818" s="2" t="n">
        <f aca="false">SUM(L818:Q818)</f>
        <v>500</v>
      </c>
      <c r="S818" s="2" t="n">
        <f aca="false">Settings!$B$4*MAX(INDEX(Bases!$M$2:$M$53,B818),INDEX(Bases!$M$2:$M$53,C818))+Settings!$B$5*MIN(INDEX(Bases!$M$2:$M$53,B818),INDEX(Bases!$M$2:$M$53,C818))</f>
        <v>55.3333333333333</v>
      </c>
      <c r="T818" s="2" t="n">
        <f aca="false">Settings!$B$4*MAX(INDEX(Bases!$N$2:$N$53,B818),INDEX(Bases!$N$2:$N$53,C818))+Settings!$B$5*MIN(INDEX(Bases!$N$2:$N$53,B818),INDEX(Bases!$N$2:$N$53,C818))</f>
        <v>60.6666666666667</v>
      </c>
      <c r="U818" s="2" t="n">
        <f aca="false">Settings!$B$4*MAX(INDEX(Bases!$O$2:$O$53,B818),INDEX(Bases!$O$2:$O$53,C818))+Settings!$B$5*MIN(INDEX(Bases!$O$2:$O$53,B818),INDEX(Bases!$O$2:$O$53,C818))</f>
        <v>118.333333333333</v>
      </c>
      <c r="V818" s="2" t="n">
        <f aca="false">Settings!$B$4*MAX(INDEX(Bases!$P$2:$P$53,B818),INDEX(Bases!$P$2:$P$53,C818))+Settings!$B$5*MIN(INDEX(Bases!$P$2:$P$53,B818),INDEX(Bases!$P$2:$P$53,C818))</f>
        <v>60.6666666666667</v>
      </c>
      <c r="W818" s="2" t="n">
        <f aca="false">Settings!$B$4*MAX(INDEX(Bases!$Q$2:$Q$53,B818),INDEX(Bases!$Q$2:$Q$53,C818))+Settings!$B$5*MIN(INDEX(Bases!$Q$2:$Q$53,B818),INDEX(Bases!$Q$2:$Q$53,C818))</f>
        <v>86</v>
      </c>
      <c r="X818" s="2" t="n">
        <f aca="false">Settings!$B$4*MAX(INDEX(Bases!$R$2:$R$53,B818),INDEX(Bases!$R$2:$R$53,C818))+Settings!$B$5*MIN(INDEX(Bases!$R$2:$R$53,B818),INDEX(Bases!$R$2:$R$53,C818))</f>
        <v>54.6666666666667</v>
      </c>
      <c r="Y818" s="2" t="n">
        <f aca="false">S818*Settings!$B$3/SUM(S818:X818)</f>
        <v>63.504208110176</v>
      </c>
      <c r="Z818" s="2" t="n">
        <f aca="false">T818*Settings!$B$3/SUM(S818:X818)</f>
        <v>69.6250956388676</v>
      </c>
      <c r="AA818" s="2" t="n">
        <f aca="false">U818*Settings!$B$3/SUM(S818:X818)</f>
        <v>135.807192042846</v>
      </c>
      <c r="AB818" s="2" t="n">
        <f aca="false">V818*Settings!$B$3/SUM(S818:X818)</f>
        <v>69.6250956388676</v>
      </c>
      <c r="AC818" s="2" t="n">
        <f aca="false">W818*Settings!$B$3/SUM(S818:X818)</f>
        <v>98.699311400153</v>
      </c>
      <c r="AD818" s="2" t="n">
        <f aca="false">X818*Settings!$B$3/SUM(S818:X818)</f>
        <v>62.7390971690895</v>
      </c>
      <c r="AE818" s="2" t="n">
        <f aca="false">INT(Y818)</f>
        <v>63</v>
      </c>
      <c r="AF818" s="2" t="n">
        <f aca="false">INT(Z818)</f>
        <v>69</v>
      </c>
      <c r="AG818" s="2" t="n">
        <f aca="false">INT(AA818)</f>
        <v>135</v>
      </c>
      <c r="AH818" s="2" t="n">
        <f aca="false">INT(AB818)</f>
        <v>69</v>
      </c>
      <c r="AI818" s="2" t="n">
        <f aca="false">INT(AC818)</f>
        <v>98</v>
      </c>
      <c r="AJ818" s="2" t="n">
        <f aca="false">INT(AD818)</f>
        <v>62</v>
      </c>
      <c r="AK818" s="2" t="n">
        <f aca="false">Settings!$B$3-SUM(AE818:AJ818)</f>
        <v>4</v>
      </c>
      <c r="AL818" s="2" t="n">
        <f aca="false">ROUND(Y818-AE818,9)</f>
        <v>0.50420811</v>
      </c>
      <c r="AM818" s="2" t="n">
        <f aca="false">ROUND(Z818-AF818,9)</f>
        <v>0.625095639</v>
      </c>
      <c r="AN818" s="2" t="n">
        <f aca="false">ROUND(AA818-AG818,9)</f>
        <v>0.807192043</v>
      </c>
      <c r="AO818" s="2" t="n">
        <f aca="false">ROUND(AB818-AH818,9)</f>
        <v>0.625095639</v>
      </c>
      <c r="AP818" s="2" t="n">
        <f aca="false">ROUND(AC818-AI818,9)</f>
        <v>0.6993114</v>
      </c>
      <c r="AQ818" s="2" t="n">
        <f aca="false">ROUND(AD818-AJ818,9)</f>
        <v>0.739097169</v>
      </c>
    </row>
    <row r="819" customFormat="false" ht="15" hidden="false" customHeight="false" outlineLevel="0" collapsed="false">
      <c r="A819" s="2" t="n">
        <v>818</v>
      </c>
      <c r="B819" s="6" t="n">
        <v>20</v>
      </c>
      <c r="C819" s="6" t="n">
        <v>40</v>
      </c>
      <c r="D819" s="8" t="str">
        <f aca="false">INDEX(Bases!$B$2:$B$53,B819)</f>
        <v>Tyrogue</v>
      </c>
      <c r="E819" s="8" t="str">
        <f aca="false">INDEX(Bases!$B$2:$B$53,C819)</f>
        <v>Gastly</v>
      </c>
      <c r="F819" s="2" t="str">
        <f aca="false">LEFT(D819,ROUNDUP(LEN(D819)/2,0))&amp;LOWER(MID(E819,ROUNDUP(LEN(E819)/2,0)+1,20))</f>
        <v>Tyrotly</v>
      </c>
      <c r="G819" s="8" t="str">
        <f aca="false">INDEX(Bases!$C$2:$C$53,B819)</f>
        <v>Fighting</v>
      </c>
      <c r="H819" s="8" t="str">
        <f aca="false">IF(INDEX(Bases!$C$2:$C$53,C819)=G819,"",INDEX(Bases!$C$2:$C$53,C819))</f>
        <v>Ghost</v>
      </c>
      <c r="I819" s="8" t="str">
        <f aca="false">IF(INDEX(Bases!$E$2:$E$53,B819)="","",INDEX(Bases!$E$2:$E$53,B819))</f>
        <v/>
      </c>
      <c r="J819" s="8" t="str">
        <f aca="false">IF(INDEX(Bases!$E$2:$E$53,C819)="","",INDEX(Bases!$E$2:$E$53,C819))</f>
        <v/>
      </c>
      <c r="K819" s="5"/>
      <c r="L819" s="2" t="n">
        <f aca="false">AE819+IF(SUMPRODUCT(--($AL819:$AQ819&gt;AL819))&lt;$AK819,1,0)</f>
        <v>67</v>
      </c>
      <c r="M819" s="2" t="n">
        <f aca="false">AF819+IF(SUMPRODUCT(--($AL819:$AQ819&gt;AM819))+SUMPRODUCT(--($AL819:AL819=AM819))&lt;$AK819,1,0)</f>
        <v>69</v>
      </c>
      <c r="N819" s="2" t="n">
        <f aca="false">AG819+IF(SUMPRODUCT(--($AL819:$AQ819&gt;AN819))+SUMPRODUCT(--($AL819:AM819=AN819))&lt;$AK819,1,0)</f>
        <v>66</v>
      </c>
      <c r="O819" s="2" t="n">
        <f aca="false">AH819+IF(SUMPRODUCT(--($AL819:$AQ819&gt;AO819))+SUMPRODUCT(--($AL819:AN819=AO819))&lt;$AK819,1,0)</f>
        <v>125</v>
      </c>
      <c r="P819" s="2" t="n">
        <f aca="false">AI819+IF(SUMPRODUCT(--($AL819:$AQ819&gt;AP819))+SUMPRODUCT(--($AL819:AO819=AP819))&lt;$AK819,1,0)</f>
        <v>68</v>
      </c>
      <c r="Q819" s="2" t="n">
        <f aca="false">AJ819+IF(SUMPRODUCT(--($AL819:$AQ819&gt;AQ819))+SUMPRODUCT(--($AL819:AP819=AQ819))&lt;$AK819,1,0)</f>
        <v>105</v>
      </c>
      <c r="R819" s="2" t="n">
        <f aca="false">SUM(L819:Q819)</f>
        <v>500</v>
      </c>
      <c r="S819" s="2" t="n">
        <f aca="false">Settings!$B$4*MAX(INDEX(Bases!$M$2:$M$53,B819),INDEX(Bases!$M$2:$M$53,C819))+Settings!$B$5*MIN(INDEX(Bases!$M$2:$M$53,B819),INDEX(Bases!$M$2:$M$53,C819))</f>
        <v>57.6666666666667</v>
      </c>
      <c r="T819" s="2" t="n">
        <f aca="false">Settings!$B$4*MAX(INDEX(Bases!$N$2:$N$53,B819),INDEX(Bases!$N$2:$N$53,C819))+Settings!$B$5*MIN(INDEX(Bases!$N$2:$N$53,B819),INDEX(Bases!$N$2:$N$53,C819))</f>
        <v>59.6666666666667</v>
      </c>
      <c r="U819" s="2" t="n">
        <f aca="false">Settings!$B$4*MAX(INDEX(Bases!$O$2:$O$53,B819),INDEX(Bases!$O$2:$O$53,C819))+Settings!$B$5*MIN(INDEX(Bases!$O$2:$O$53,B819),INDEX(Bases!$O$2:$O$53,C819))</f>
        <v>57.6666666666667</v>
      </c>
      <c r="V819" s="2" t="n">
        <f aca="false">Settings!$B$4*MAX(INDEX(Bases!$P$2:$P$53,B819),INDEX(Bases!$P$2:$P$53,C819))+Settings!$B$5*MIN(INDEX(Bases!$P$2:$P$53,B819),INDEX(Bases!$P$2:$P$53,C819))</f>
        <v>108.333333333333</v>
      </c>
      <c r="W819" s="2" t="n">
        <f aca="false">Settings!$B$4*MAX(INDEX(Bases!$Q$2:$Q$53,B819),INDEX(Bases!$Q$2:$Q$53,C819))+Settings!$B$5*MIN(INDEX(Bases!$Q$2:$Q$53,B819),INDEX(Bases!$Q$2:$Q$53,C819))</f>
        <v>59</v>
      </c>
      <c r="X819" s="2" t="n">
        <f aca="false">Settings!$B$4*MAX(INDEX(Bases!$R$2:$R$53,B819),INDEX(Bases!$R$2:$R$53,C819))+Settings!$B$5*MIN(INDEX(Bases!$R$2:$R$53,B819),INDEX(Bases!$R$2:$R$53,C819))</f>
        <v>90.6666666666667</v>
      </c>
      <c r="Y819" s="2" t="n">
        <f aca="false">S819*Settings!$B$3/SUM(S819:X819)</f>
        <v>66.5896843725943</v>
      </c>
      <c r="Z819" s="2" t="n">
        <f aca="false">T819*Settings!$B$3/SUM(S819:X819)</f>
        <v>68.8991531947652</v>
      </c>
      <c r="AA819" s="2" t="n">
        <f aca="false">U819*Settings!$B$3/SUM(S819:X819)</f>
        <v>66.5896843725943</v>
      </c>
      <c r="AB819" s="2" t="n">
        <f aca="false">V819*Settings!$B$3/SUM(S819:X819)</f>
        <v>125.09622786759</v>
      </c>
      <c r="AC819" s="2" t="n">
        <f aca="false">W819*Settings!$B$3/SUM(S819:X819)</f>
        <v>68.1293302540416</v>
      </c>
      <c r="AD819" s="2" t="n">
        <f aca="false">X819*Settings!$B$3/SUM(S819:X819)</f>
        <v>104.695919938414</v>
      </c>
      <c r="AE819" s="2" t="n">
        <f aca="false">INT(Y819)</f>
        <v>66</v>
      </c>
      <c r="AF819" s="2" t="n">
        <f aca="false">INT(Z819)</f>
        <v>68</v>
      </c>
      <c r="AG819" s="2" t="n">
        <f aca="false">INT(AA819)</f>
        <v>66</v>
      </c>
      <c r="AH819" s="2" t="n">
        <f aca="false">INT(AB819)</f>
        <v>125</v>
      </c>
      <c r="AI819" s="2" t="n">
        <f aca="false">INT(AC819)</f>
        <v>68</v>
      </c>
      <c r="AJ819" s="2" t="n">
        <f aca="false">INT(AD819)</f>
        <v>104</v>
      </c>
      <c r="AK819" s="2" t="n">
        <f aca="false">Settings!$B$3-SUM(AE819:AJ819)</f>
        <v>3</v>
      </c>
      <c r="AL819" s="2" t="n">
        <f aca="false">ROUND(Y819-AE819,9)</f>
        <v>0.589684373</v>
      </c>
      <c r="AM819" s="2" t="n">
        <f aca="false">ROUND(Z819-AF819,9)</f>
        <v>0.899153195</v>
      </c>
      <c r="AN819" s="2" t="n">
        <f aca="false">ROUND(AA819-AG819,9)</f>
        <v>0.589684373</v>
      </c>
      <c r="AO819" s="2" t="n">
        <f aca="false">ROUND(AB819-AH819,9)</f>
        <v>0.096227868</v>
      </c>
      <c r="AP819" s="2" t="n">
        <f aca="false">ROUND(AC819-AI819,9)</f>
        <v>0.129330254</v>
      </c>
      <c r="AQ819" s="2" t="n">
        <f aca="false">ROUND(AD819-AJ819,9)</f>
        <v>0.695919938</v>
      </c>
    </row>
    <row r="820" customFormat="false" ht="15" hidden="false" customHeight="false" outlineLevel="0" collapsed="false">
      <c r="A820" s="2" t="n">
        <v>819</v>
      </c>
      <c r="B820" s="6" t="n">
        <v>20</v>
      </c>
      <c r="C820" s="6" t="n">
        <v>41</v>
      </c>
      <c r="D820" s="8" t="str">
        <f aca="false">INDEX(Bases!$B$2:$B$53,B820)</f>
        <v>Tyrogue</v>
      </c>
      <c r="E820" s="8" t="str">
        <f aca="false">INDEX(Bases!$B$2:$B$53,C820)</f>
        <v>Misdreavus</v>
      </c>
      <c r="F820" s="2" t="str">
        <f aca="false">LEFT(D820,ROUNDUP(LEN(D820)/2,0))&amp;LOWER(MID(E820,ROUNDUP(LEN(E820)/2,0)+1,20))</f>
        <v>Tyroeavus</v>
      </c>
      <c r="G820" s="8" t="str">
        <f aca="false">INDEX(Bases!$C$2:$C$53,B820)</f>
        <v>Fighting</v>
      </c>
      <c r="H820" s="8" t="str">
        <f aca="false">IF(INDEX(Bases!$C$2:$C$53,C820)=G820,"",INDEX(Bases!$C$2:$C$53,C820))</f>
        <v>Ghost</v>
      </c>
      <c r="I820" s="8" t="str">
        <f aca="false">IF(INDEX(Bases!$E$2:$E$53,B820)="","",INDEX(Bases!$E$2:$E$53,B820))</f>
        <v/>
      </c>
      <c r="J820" s="8" t="str">
        <f aca="false">IF(INDEX(Bases!$E$2:$E$53,C820)="","",INDEX(Bases!$E$2:$E$53,C820))</f>
        <v/>
      </c>
      <c r="K820" s="5"/>
      <c r="L820" s="2" t="n">
        <f aca="false">AE820+IF(SUMPRODUCT(--($AL820:$AQ820&gt;AL820))&lt;$AK820,1,0)</f>
        <v>77</v>
      </c>
      <c r="M820" s="2" t="n">
        <f aca="false">AF820+IF(SUMPRODUCT(--($AL820:$AQ820&gt;AM820))+SUMPRODUCT(--($AL820:AL820=AM820))&lt;$AK820,1,0)</f>
        <v>77</v>
      </c>
      <c r="N820" s="2" t="n">
        <f aca="false">AG820+IF(SUMPRODUCT(--($AL820:$AQ820&gt;AN820))+SUMPRODUCT(--($AL820:AM820=AN820))&lt;$AK820,1,0)</f>
        <v>76</v>
      </c>
      <c r="O820" s="2" t="n">
        <f aca="false">AH820+IF(SUMPRODUCT(--($AL820:$AQ820&gt;AO820))+SUMPRODUCT(--($AL820:AN820=AO820))&lt;$AK820,1,0)</f>
        <v>90</v>
      </c>
      <c r="P820" s="2" t="n">
        <f aca="false">AI820+IF(SUMPRODUCT(--($AL820:$AQ820&gt;AP820))+SUMPRODUCT(--($AL820:AO820=AP820))&lt;$AK820,1,0)</f>
        <v>90</v>
      </c>
      <c r="Q820" s="2" t="n">
        <f aca="false">AJ820+IF(SUMPRODUCT(--($AL820:$AQ820&gt;AQ820))+SUMPRODUCT(--($AL820:AP820=AQ820))&lt;$AK820,1,0)</f>
        <v>90</v>
      </c>
      <c r="R820" s="2" t="n">
        <f aca="false">SUM(L820:Q820)</f>
        <v>500</v>
      </c>
      <c r="S820" s="2" t="n">
        <f aca="false">Settings!$B$4*MAX(INDEX(Bases!$M$2:$M$53,B820),INDEX(Bases!$M$2:$M$53,C820))+Settings!$B$5*MIN(INDEX(Bases!$M$2:$M$53,B820),INDEX(Bases!$M$2:$M$53,C820))</f>
        <v>63.3333333333333</v>
      </c>
      <c r="T820" s="2" t="n">
        <f aca="false">Settings!$B$4*MAX(INDEX(Bases!$N$2:$N$53,B820),INDEX(Bases!$N$2:$N$53,C820))+Settings!$B$5*MIN(INDEX(Bases!$N$2:$N$53,B820),INDEX(Bases!$N$2:$N$53,C820))</f>
        <v>63</v>
      </c>
      <c r="U820" s="2" t="n">
        <f aca="false">Settings!$B$4*MAX(INDEX(Bases!$O$2:$O$53,B820),INDEX(Bases!$O$2:$O$53,C820))+Settings!$B$5*MIN(INDEX(Bases!$O$2:$O$53,B820),INDEX(Bases!$O$2:$O$53,C820))</f>
        <v>63</v>
      </c>
      <c r="V820" s="2" t="n">
        <f aca="false">Settings!$B$4*MAX(INDEX(Bases!$P$2:$P$53,B820),INDEX(Bases!$P$2:$P$53,C820))+Settings!$B$5*MIN(INDEX(Bases!$P$2:$P$53,B820),INDEX(Bases!$P$2:$P$53,C820))</f>
        <v>74.3333333333333</v>
      </c>
      <c r="W820" s="2" t="n">
        <f aca="false">Settings!$B$4*MAX(INDEX(Bases!$Q$2:$Q$53,B820),INDEX(Bases!$Q$2:$Q$53,C820))+Settings!$B$5*MIN(INDEX(Bases!$Q$2:$Q$53,B820),INDEX(Bases!$Q$2:$Q$53,C820))</f>
        <v>74</v>
      </c>
      <c r="X820" s="2" t="n">
        <f aca="false">Settings!$B$4*MAX(INDEX(Bases!$R$2:$R$53,B820),INDEX(Bases!$R$2:$R$53,C820))+Settings!$B$5*MIN(INDEX(Bases!$R$2:$R$53,B820),INDEX(Bases!$R$2:$R$53,C820))</f>
        <v>74</v>
      </c>
      <c r="Y820" s="2" t="n">
        <f aca="false">S820*Settings!$B$3/SUM(S820:X820)</f>
        <v>76.9230769230769</v>
      </c>
      <c r="Z820" s="2" t="n">
        <f aca="false">T820*Settings!$B$3/SUM(S820:X820)</f>
        <v>76.5182186234818</v>
      </c>
      <c r="AA820" s="2" t="n">
        <f aca="false">U820*Settings!$B$3/SUM(S820:X820)</f>
        <v>76.5182186234818</v>
      </c>
      <c r="AB820" s="2" t="n">
        <f aca="false">V820*Settings!$B$3/SUM(S820:X820)</f>
        <v>90.2834008097166</v>
      </c>
      <c r="AC820" s="2" t="n">
        <f aca="false">W820*Settings!$B$3/SUM(S820:X820)</f>
        <v>89.8785425101215</v>
      </c>
      <c r="AD820" s="2" t="n">
        <f aca="false">X820*Settings!$B$3/SUM(S820:X820)</f>
        <v>89.8785425101215</v>
      </c>
      <c r="AE820" s="2" t="n">
        <f aca="false">INT(Y820)</f>
        <v>76</v>
      </c>
      <c r="AF820" s="2" t="n">
        <f aca="false">INT(Z820)</f>
        <v>76</v>
      </c>
      <c r="AG820" s="2" t="n">
        <f aca="false">INT(AA820)</f>
        <v>76</v>
      </c>
      <c r="AH820" s="2" t="n">
        <f aca="false">INT(AB820)</f>
        <v>90</v>
      </c>
      <c r="AI820" s="2" t="n">
        <f aca="false">INT(AC820)</f>
        <v>89</v>
      </c>
      <c r="AJ820" s="2" t="n">
        <f aca="false">INT(AD820)</f>
        <v>89</v>
      </c>
      <c r="AK820" s="2" t="n">
        <f aca="false">Settings!$B$3-SUM(AE820:AJ820)</f>
        <v>4</v>
      </c>
      <c r="AL820" s="2" t="n">
        <f aca="false">ROUND(Y820-AE820,9)</f>
        <v>0.923076923</v>
      </c>
      <c r="AM820" s="2" t="n">
        <f aca="false">ROUND(Z820-AF820,9)</f>
        <v>0.518218623</v>
      </c>
      <c r="AN820" s="2" t="n">
        <f aca="false">ROUND(AA820-AG820,9)</f>
        <v>0.518218623</v>
      </c>
      <c r="AO820" s="2" t="n">
        <f aca="false">ROUND(AB820-AH820,9)</f>
        <v>0.28340081</v>
      </c>
      <c r="AP820" s="2" t="n">
        <f aca="false">ROUND(AC820-AI820,9)</f>
        <v>0.87854251</v>
      </c>
      <c r="AQ820" s="2" t="n">
        <f aca="false">ROUND(AD820-AJ820,9)</f>
        <v>0.87854251</v>
      </c>
    </row>
    <row r="821" customFormat="false" ht="15" hidden="false" customHeight="false" outlineLevel="0" collapsed="false">
      <c r="A821" s="2" t="n">
        <v>820</v>
      </c>
      <c r="B821" s="6" t="n">
        <v>20</v>
      </c>
      <c r="C821" s="6" t="n">
        <v>42</v>
      </c>
      <c r="D821" s="8" t="str">
        <f aca="false">INDEX(Bases!$B$2:$B$53,B821)</f>
        <v>Tyrogue</v>
      </c>
      <c r="E821" s="8" t="str">
        <f aca="false">INDEX(Bases!$B$2:$B$53,C821)</f>
        <v>Sableye</v>
      </c>
      <c r="F821" s="2" t="str">
        <f aca="false">LEFT(D821,ROUNDUP(LEN(D821)/2,0))&amp;LOWER(MID(E821,ROUNDUP(LEN(E821)/2,0)+1,20))</f>
        <v>Tyroeye</v>
      </c>
      <c r="G821" s="8" t="str">
        <f aca="false">INDEX(Bases!$C$2:$C$53,B821)</f>
        <v>Fighting</v>
      </c>
      <c r="H821" s="8" t="str">
        <f aca="false">IF(INDEX(Bases!$C$2:$C$53,C821)=G821,"",INDEX(Bases!$C$2:$C$53,C821))</f>
        <v>Ghost</v>
      </c>
      <c r="I821" s="8" t="str">
        <f aca="false">IF(INDEX(Bases!$E$2:$E$53,B821)="","",INDEX(Bases!$E$2:$E$53,B821))</f>
        <v/>
      </c>
      <c r="J821" s="8" t="str">
        <f aca="false">IF(INDEX(Bases!$E$2:$E$53,C821)="","",INDEX(Bases!$E$2:$E$53,C821))</f>
        <v/>
      </c>
      <c r="K821" s="5"/>
      <c r="L821" s="2" t="n">
        <f aca="false">AE821+IF(SUMPRODUCT(--($AL821:$AQ821&gt;AL821))&lt;$AK821,1,0)</f>
        <v>76</v>
      </c>
      <c r="M821" s="2" t="n">
        <f aca="false">AF821+IF(SUMPRODUCT(--($AL821:$AQ821&gt;AM821))+SUMPRODUCT(--($AL821:AL821=AM821))&lt;$AK821,1,0)</f>
        <v>92</v>
      </c>
      <c r="N821" s="2" t="n">
        <f aca="false">AG821+IF(SUMPRODUCT(--($AL821:$AQ821&gt;AN821))+SUMPRODUCT(--($AL821:AM821=AN821))&lt;$AK821,1,0)</f>
        <v>92</v>
      </c>
      <c r="O821" s="2" t="n">
        <f aca="false">AH821+IF(SUMPRODUCT(--($AL821:$AQ821&gt;AO821))+SUMPRODUCT(--($AL821:AN821=AO821))&lt;$AK821,1,0)</f>
        <v>83</v>
      </c>
      <c r="P821" s="2" t="n">
        <f aca="false">AI821+IF(SUMPRODUCT(--($AL821:$AQ821&gt;AP821))+SUMPRODUCT(--($AL821:AO821=AP821))&lt;$AK821,1,0)</f>
        <v>82</v>
      </c>
      <c r="Q821" s="2" t="n">
        <f aca="false">AJ821+IF(SUMPRODUCT(--($AL821:$AQ821&gt;AQ821))+SUMPRODUCT(--($AL821:AP821=AQ821))&lt;$AK821,1,0)</f>
        <v>75</v>
      </c>
      <c r="R821" s="2" t="n">
        <f aca="false">SUM(L821:Q821)</f>
        <v>500</v>
      </c>
      <c r="S821" s="2" t="n">
        <f aca="false">Settings!$B$4*MAX(INDEX(Bases!$M$2:$M$53,B821),INDEX(Bases!$M$2:$M$53,C821))+Settings!$B$5*MIN(INDEX(Bases!$M$2:$M$53,B821),INDEX(Bases!$M$2:$M$53,C821))</f>
        <v>62.3333333333333</v>
      </c>
      <c r="T821" s="2" t="n">
        <f aca="false">Settings!$B$4*MAX(INDEX(Bases!$N$2:$N$53,B821),INDEX(Bases!$N$2:$N$53,C821))+Settings!$B$5*MIN(INDEX(Bases!$N$2:$N$53,B821),INDEX(Bases!$N$2:$N$53,C821))</f>
        <v>75</v>
      </c>
      <c r="U821" s="2" t="n">
        <f aca="false">Settings!$B$4*MAX(INDEX(Bases!$O$2:$O$53,B821),INDEX(Bases!$O$2:$O$53,C821))+Settings!$B$5*MIN(INDEX(Bases!$O$2:$O$53,B821),INDEX(Bases!$O$2:$O$53,C821))</f>
        <v>75</v>
      </c>
      <c r="V821" s="2" t="n">
        <f aca="false">Settings!$B$4*MAX(INDEX(Bases!$P$2:$P$53,B821),INDEX(Bases!$P$2:$P$53,C821))+Settings!$B$5*MIN(INDEX(Bases!$P$2:$P$53,B821),INDEX(Bases!$P$2:$P$53,C821))</f>
        <v>67.6666666666667</v>
      </c>
      <c r="W821" s="2" t="n">
        <f aca="false">Settings!$B$4*MAX(INDEX(Bases!$Q$2:$Q$53,B821),INDEX(Bases!$Q$2:$Q$53,C821))+Settings!$B$5*MIN(INDEX(Bases!$Q$2:$Q$53,B821),INDEX(Bases!$Q$2:$Q$53,C821))</f>
        <v>67.3333333333333</v>
      </c>
      <c r="X821" s="2" t="n">
        <f aca="false">Settings!$B$4*MAX(INDEX(Bases!$R$2:$R$53,B821),INDEX(Bases!$R$2:$R$53,C821))+Settings!$B$5*MIN(INDEX(Bases!$R$2:$R$53,B821),INDEX(Bases!$R$2:$R$53,C821))</f>
        <v>61.6666666666667</v>
      </c>
      <c r="Y821" s="2" t="n">
        <f aca="false">S821*Settings!$B$3/SUM(S821:X821)</f>
        <v>76.2021189894051</v>
      </c>
      <c r="Z821" s="2" t="n">
        <f aca="false">T821*Settings!$B$3/SUM(S821:X821)</f>
        <v>91.6870415647922</v>
      </c>
      <c r="AA821" s="2" t="n">
        <f aca="false">U821*Settings!$B$3/SUM(S821:X821)</f>
        <v>91.6870415647922</v>
      </c>
      <c r="AB821" s="2" t="n">
        <f aca="false">V821*Settings!$B$3/SUM(S821:X821)</f>
        <v>82.722086389568</v>
      </c>
      <c r="AC821" s="2" t="n">
        <f aca="false">W821*Settings!$B$3/SUM(S821:X821)</f>
        <v>82.3145884270579</v>
      </c>
      <c r="AD821" s="2" t="n">
        <f aca="false">X821*Settings!$B$3/SUM(S821:X821)</f>
        <v>75.3871230643847</v>
      </c>
      <c r="AE821" s="2" t="n">
        <f aca="false">INT(Y821)</f>
        <v>76</v>
      </c>
      <c r="AF821" s="2" t="n">
        <f aca="false">INT(Z821)</f>
        <v>91</v>
      </c>
      <c r="AG821" s="2" t="n">
        <f aca="false">INT(AA821)</f>
        <v>91</v>
      </c>
      <c r="AH821" s="2" t="n">
        <f aca="false">INT(AB821)</f>
        <v>82</v>
      </c>
      <c r="AI821" s="2" t="n">
        <f aca="false">INT(AC821)</f>
        <v>82</v>
      </c>
      <c r="AJ821" s="2" t="n">
        <f aca="false">INT(AD821)</f>
        <v>75</v>
      </c>
      <c r="AK821" s="2" t="n">
        <f aca="false">Settings!$B$3-SUM(AE821:AJ821)</f>
        <v>3</v>
      </c>
      <c r="AL821" s="2" t="n">
        <f aca="false">ROUND(Y821-AE821,9)</f>
        <v>0.202118989</v>
      </c>
      <c r="AM821" s="2" t="n">
        <f aca="false">ROUND(Z821-AF821,9)</f>
        <v>0.687041565</v>
      </c>
      <c r="AN821" s="2" t="n">
        <f aca="false">ROUND(AA821-AG821,9)</f>
        <v>0.687041565</v>
      </c>
      <c r="AO821" s="2" t="n">
        <f aca="false">ROUND(AB821-AH821,9)</f>
        <v>0.72208639</v>
      </c>
      <c r="AP821" s="2" t="n">
        <f aca="false">ROUND(AC821-AI821,9)</f>
        <v>0.314588427</v>
      </c>
      <c r="AQ821" s="2" t="n">
        <f aca="false">ROUND(AD821-AJ821,9)</f>
        <v>0.387123064</v>
      </c>
    </row>
    <row r="822" customFormat="false" ht="15" hidden="false" customHeight="false" outlineLevel="0" collapsed="false">
      <c r="A822" s="2" t="n">
        <v>821</v>
      </c>
      <c r="B822" s="6" t="n">
        <v>20</v>
      </c>
      <c r="C822" s="6" t="n">
        <v>43</v>
      </c>
      <c r="D822" s="8" t="str">
        <f aca="false">INDEX(Bases!$B$2:$B$53,B822)</f>
        <v>Tyrogue</v>
      </c>
      <c r="E822" s="8" t="str">
        <f aca="false">INDEX(Bases!$B$2:$B$53,C822)</f>
        <v>Dratini</v>
      </c>
      <c r="F822" s="2" t="str">
        <f aca="false">LEFT(D822,ROUNDUP(LEN(D822)/2,0))&amp;LOWER(MID(E822,ROUNDUP(LEN(E822)/2,0)+1,20))</f>
        <v>Tyroini</v>
      </c>
      <c r="G822" s="8" t="str">
        <f aca="false">INDEX(Bases!$C$2:$C$53,B822)</f>
        <v>Fighting</v>
      </c>
      <c r="H822" s="8" t="str">
        <f aca="false">IF(INDEX(Bases!$C$2:$C$53,C822)=G822,"",INDEX(Bases!$C$2:$C$53,C822))</f>
        <v>Dragon</v>
      </c>
      <c r="I822" s="8" t="str">
        <f aca="false">IF(INDEX(Bases!$E$2:$E$53,B822)="","",INDEX(Bases!$E$2:$E$53,B822))</f>
        <v/>
      </c>
      <c r="J822" s="8" t="str">
        <f aca="false">IF(INDEX(Bases!$E$2:$E$53,C822)="","",INDEX(Bases!$E$2:$E$53,C822))</f>
        <v/>
      </c>
      <c r="K822" s="5"/>
      <c r="L822" s="2" t="n">
        <f aca="false">AE822+IF(SUMPRODUCT(--($AL822:$AQ822&gt;AL822))&lt;$AK822,1,0)</f>
        <v>78</v>
      </c>
      <c r="M822" s="2" t="n">
        <f aca="false">AF822+IF(SUMPRODUCT(--($AL822:$AQ822&gt;AM822))+SUMPRODUCT(--($AL822:AL822=AM822))&lt;$AK822,1,0)</f>
        <v>97</v>
      </c>
      <c r="N822" s="2" t="n">
        <f aca="false">AG822+IF(SUMPRODUCT(--($AL822:$AQ822&gt;AN822))+SUMPRODUCT(--($AL822:AM822=AN822))&lt;$AK822,1,0)</f>
        <v>80</v>
      </c>
      <c r="O822" s="2" t="n">
        <f aca="false">AH822+IF(SUMPRODUCT(--($AL822:$AQ822&gt;AO822))+SUMPRODUCT(--($AL822:AN822=AO822))&lt;$AK822,1,0)</f>
        <v>82</v>
      </c>
      <c r="P822" s="2" t="n">
        <f aca="false">AI822+IF(SUMPRODUCT(--($AL822:$AQ822&gt;AP822))+SUMPRODUCT(--($AL822:AO822=AP822))&lt;$AK822,1,0)</f>
        <v>82</v>
      </c>
      <c r="Q822" s="2" t="n">
        <f aca="false">AJ822+IF(SUMPRODUCT(--($AL822:$AQ822&gt;AQ822))+SUMPRODUCT(--($AL822:AP822=AQ822))&lt;$AK822,1,0)</f>
        <v>81</v>
      </c>
      <c r="R822" s="2" t="n">
        <f aca="false">SUM(L822:Q822)</f>
        <v>500</v>
      </c>
      <c r="S822" s="2" t="n">
        <f aca="false">Settings!$B$4*MAX(INDEX(Bases!$M$2:$M$53,B822),INDEX(Bases!$M$2:$M$53,C822))+Settings!$B$5*MIN(INDEX(Bases!$M$2:$M$53,B822),INDEX(Bases!$M$2:$M$53,C822))</f>
        <v>63</v>
      </c>
      <c r="T822" s="2" t="n">
        <f aca="false">Settings!$B$4*MAX(INDEX(Bases!$N$2:$N$53,B822),INDEX(Bases!$N$2:$N$53,C822))+Settings!$B$5*MIN(INDEX(Bases!$N$2:$N$53,B822),INDEX(Bases!$N$2:$N$53,C822))</f>
        <v>79</v>
      </c>
      <c r="U822" s="2" t="n">
        <f aca="false">Settings!$B$4*MAX(INDEX(Bases!$O$2:$O$53,B822),INDEX(Bases!$O$2:$O$53,C822))+Settings!$B$5*MIN(INDEX(Bases!$O$2:$O$53,B822),INDEX(Bases!$O$2:$O$53,C822))</f>
        <v>64.6666666666667</v>
      </c>
      <c r="V822" s="2" t="n">
        <f aca="false">Settings!$B$4*MAX(INDEX(Bases!$P$2:$P$53,B822),INDEX(Bases!$P$2:$P$53,C822))+Settings!$B$5*MIN(INDEX(Bases!$P$2:$P$53,B822),INDEX(Bases!$P$2:$P$53,C822))</f>
        <v>67</v>
      </c>
      <c r="W822" s="2" t="n">
        <f aca="false">Settings!$B$4*MAX(INDEX(Bases!$Q$2:$Q$53,B822),INDEX(Bases!$Q$2:$Q$53,C822))+Settings!$B$5*MIN(INDEX(Bases!$Q$2:$Q$53,B822),INDEX(Bases!$Q$2:$Q$53,C822))</f>
        <v>66.6666666666667</v>
      </c>
      <c r="X822" s="2" t="n">
        <f aca="false">Settings!$B$4*MAX(INDEX(Bases!$R$2:$R$53,B822),INDEX(Bases!$R$2:$R$53,C822))+Settings!$B$5*MIN(INDEX(Bases!$R$2:$R$53,B822),INDEX(Bases!$R$2:$R$53,C822))</f>
        <v>66</v>
      </c>
      <c r="Y822" s="2" t="n">
        <f aca="false">S822*Settings!$B$3/SUM(S822:X822)</f>
        <v>77.5225594749795</v>
      </c>
      <c r="Z822" s="2" t="n">
        <f aca="false">T822*Settings!$B$3/SUM(S822:X822)</f>
        <v>97.2108285479902</v>
      </c>
      <c r="AA822" s="2" t="n">
        <f aca="false">U822*Settings!$B$3/SUM(S822:X822)</f>
        <v>79.5734208367514</v>
      </c>
      <c r="AB822" s="2" t="n">
        <f aca="false">V822*Settings!$B$3/SUM(S822:X822)</f>
        <v>82.4446267432322</v>
      </c>
      <c r="AC822" s="2" t="n">
        <f aca="false">W822*Settings!$B$3/SUM(S822:X822)</f>
        <v>82.0344544708778</v>
      </c>
      <c r="AD822" s="2" t="n">
        <f aca="false">X822*Settings!$B$3/SUM(S822:X822)</f>
        <v>81.214109926169</v>
      </c>
      <c r="AE822" s="2" t="n">
        <f aca="false">INT(Y822)</f>
        <v>77</v>
      </c>
      <c r="AF822" s="2" t="n">
        <f aca="false">INT(Z822)</f>
        <v>97</v>
      </c>
      <c r="AG822" s="2" t="n">
        <f aca="false">INT(AA822)</f>
        <v>79</v>
      </c>
      <c r="AH822" s="2" t="n">
        <f aca="false">INT(AB822)</f>
        <v>82</v>
      </c>
      <c r="AI822" s="2" t="n">
        <f aca="false">INT(AC822)</f>
        <v>82</v>
      </c>
      <c r="AJ822" s="2" t="n">
        <f aca="false">INT(AD822)</f>
        <v>81</v>
      </c>
      <c r="AK822" s="2" t="n">
        <f aca="false">Settings!$B$3-SUM(AE822:AJ822)</f>
        <v>2</v>
      </c>
      <c r="AL822" s="2" t="n">
        <f aca="false">ROUND(Y822-AE822,9)</f>
        <v>0.522559475</v>
      </c>
      <c r="AM822" s="2" t="n">
        <f aca="false">ROUND(Z822-AF822,9)</f>
        <v>0.210828548</v>
      </c>
      <c r="AN822" s="2" t="n">
        <f aca="false">ROUND(AA822-AG822,9)</f>
        <v>0.573420837</v>
      </c>
      <c r="AO822" s="2" t="n">
        <f aca="false">ROUND(AB822-AH822,9)</f>
        <v>0.444626743</v>
      </c>
      <c r="AP822" s="2" t="n">
        <f aca="false">ROUND(AC822-AI822,9)</f>
        <v>0.034454471</v>
      </c>
      <c r="AQ822" s="2" t="n">
        <f aca="false">ROUND(AD822-AJ822,9)</f>
        <v>0.214109926</v>
      </c>
    </row>
    <row r="823" customFormat="false" ht="15" hidden="false" customHeight="false" outlineLevel="0" collapsed="false">
      <c r="A823" s="2" t="n">
        <v>822</v>
      </c>
      <c r="B823" s="6" t="n">
        <v>20</v>
      </c>
      <c r="C823" s="6" t="n">
        <v>44</v>
      </c>
      <c r="D823" s="8" t="str">
        <f aca="false">INDEX(Bases!$B$2:$B$53,B823)</f>
        <v>Tyrogue</v>
      </c>
      <c r="E823" s="8" t="str">
        <f aca="false">INDEX(Bases!$B$2:$B$53,C823)</f>
        <v>Bagon</v>
      </c>
      <c r="F823" s="2" t="str">
        <f aca="false">LEFT(D823,ROUNDUP(LEN(D823)/2,0))&amp;LOWER(MID(E823,ROUNDUP(LEN(E823)/2,0)+1,20))</f>
        <v>Tyroon</v>
      </c>
      <c r="G823" s="8" t="str">
        <f aca="false">INDEX(Bases!$C$2:$C$53,B823)</f>
        <v>Fighting</v>
      </c>
      <c r="H823" s="8" t="str">
        <f aca="false">IF(INDEX(Bases!$C$2:$C$53,C823)=G823,"",INDEX(Bases!$C$2:$C$53,C823))</f>
        <v>Dragon</v>
      </c>
      <c r="I823" s="8" t="str">
        <f aca="false">IF(INDEX(Bases!$E$2:$E$53,B823)="","",INDEX(Bases!$E$2:$E$53,B823))</f>
        <v/>
      </c>
      <c r="J823" s="8" t="str">
        <f aca="false">IF(INDEX(Bases!$E$2:$E$53,C823)="","",INDEX(Bases!$E$2:$E$53,C823))</f>
        <v/>
      </c>
      <c r="K823" s="5"/>
      <c r="L823" s="2" t="n">
        <f aca="false">AE823+IF(SUMPRODUCT(--($AL823:$AQ823&gt;AL823))&lt;$AK823,1,0)</f>
        <v>78</v>
      </c>
      <c r="M823" s="2" t="n">
        <f aca="false">AF823+IF(SUMPRODUCT(--($AL823:$AQ823&gt;AM823))+SUMPRODUCT(--($AL823:AL823=AM823))&lt;$AK823,1,0)</f>
        <v>107</v>
      </c>
      <c r="N823" s="2" t="n">
        <f aca="false">AG823+IF(SUMPRODUCT(--($AL823:$AQ823&gt;AN823))+SUMPRODUCT(--($AL823:AM823=AN823))&lt;$AK823,1,0)</f>
        <v>91</v>
      </c>
      <c r="O823" s="2" t="n">
        <f aca="false">AH823+IF(SUMPRODUCT(--($AL823:$AQ823&gt;AO823))+SUMPRODUCT(--($AL823:AN823=AO823))&lt;$AK823,1,0)</f>
        <v>75</v>
      </c>
      <c r="P823" s="2" t="n">
        <f aca="false">AI823+IF(SUMPRODUCT(--($AL823:$AQ823&gt;AP823))+SUMPRODUCT(--($AL823:AO823=AP823))&lt;$AK823,1,0)</f>
        <v>69</v>
      </c>
      <c r="Q823" s="2" t="n">
        <f aca="false">AJ823+IF(SUMPRODUCT(--($AL823:$AQ823&gt;AQ823))+SUMPRODUCT(--($AL823:AP823=AQ823))&lt;$AK823,1,0)</f>
        <v>80</v>
      </c>
      <c r="R823" s="2" t="n">
        <f aca="false">SUM(L823:Q823)</f>
        <v>500</v>
      </c>
      <c r="S823" s="2" t="n">
        <f aca="false">Settings!$B$4*MAX(INDEX(Bases!$M$2:$M$53,B823),INDEX(Bases!$M$2:$M$53,C823))+Settings!$B$5*MIN(INDEX(Bases!$M$2:$M$53,B823),INDEX(Bases!$M$2:$M$53,C823))</f>
        <v>64.6666666666667</v>
      </c>
      <c r="T823" s="2" t="n">
        <f aca="false">Settings!$B$4*MAX(INDEX(Bases!$N$2:$N$53,B823),INDEX(Bases!$N$2:$N$53,C823))+Settings!$B$5*MIN(INDEX(Bases!$N$2:$N$53,B823),INDEX(Bases!$N$2:$N$53,C823))</f>
        <v>89</v>
      </c>
      <c r="U823" s="2" t="n">
        <f aca="false">Settings!$B$4*MAX(INDEX(Bases!$O$2:$O$53,B823),INDEX(Bases!$O$2:$O$53,C823))+Settings!$B$5*MIN(INDEX(Bases!$O$2:$O$53,B823),INDEX(Bases!$O$2:$O$53,C823))</f>
        <v>75.6666666666667</v>
      </c>
      <c r="V823" s="2" t="n">
        <f aca="false">Settings!$B$4*MAX(INDEX(Bases!$P$2:$P$53,B823),INDEX(Bases!$P$2:$P$53,C823))+Settings!$B$5*MIN(INDEX(Bases!$P$2:$P$53,B823),INDEX(Bases!$P$2:$P$53,C823))</f>
        <v>62.3333333333333</v>
      </c>
      <c r="W823" s="2" t="n">
        <f aca="false">Settings!$B$4*MAX(INDEX(Bases!$Q$2:$Q$53,B823),INDEX(Bases!$Q$2:$Q$53,C823))+Settings!$B$5*MIN(INDEX(Bases!$Q$2:$Q$53,B823),INDEX(Bases!$Q$2:$Q$53,C823))</f>
        <v>57.3333333333333</v>
      </c>
      <c r="X823" s="2" t="n">
        <f aca="false">Settings!$B$4*MAX(INDEX(Bases!$R$2:$R$53,B823),INDEX(Bases!$R$2:$R$53,C823))+Settings!$B$5*MIN(INDEX(Bases!$R$2:$R$53,B823),INDEX(Bases!$R$2:$R$53,C823))</f>
        <v>66.6666666666667</v>
      </c>
      <c r="Y823" s="2" t="n">
        <f aca="false">S823*Settings!$B$3/SUM(S823:X823)</f>
        <v>77.7866880513232</v>
      </c>
      <c r="Z823" s="2" t="n">
        <f aca="false">T823*Settings!$B$3/SUM(S823:X823)</f>
        <v>107.056936647955</v>
      </c>
      <c r="AA823" s="2" t="n">
        <f aca="false">U823*Settings!$B$3/SUM(S823:X823)</f>
        <v>91.018444266239</v>
      </c>
      <c r="AB823" s="2" t="n">
        <f aca="false">V823*Settings!$B$3/SUM(S823:X823)</f>
        <v>74.9799518845229</v>
      </c>
      <c r="AC823" s="2" t="n">
        <f aca="false">W823*Settings!$B$3/SUM(S823:X823)</f>
        <v>68.9655172413793</v>
      </c>
      <c r="AD823" s="2" t="n">
        <f aca="false">X823*Settings!$B$3/SUM(S823:X823)</f>
        <v>80.1924619085806</v>
      </c>
      <c r="AE823" s="2" t="n">
        <f aca="false">INT(Y823)</f>
        <v>77</v>
      </c>
      <c r="AF823" s="2" t="n">
        <f aca="false">INT(Z823)</f>
        <v>107</v>
      </c>
      <c r="AG823" s="2" t="n">
        <f aca="false">INT(AA823)</f>
        <v>91</v>
      </c>
      <c r="AH823" s="2" t="n">
        <f aca="false">INT(AB823)</f>
        <v>74</v>
      </c>
      <c r="AI823" s="2" t="n">
        <f aca="false">INT(AC823)</f>
        <v>68</v>
      </c>
      <c r="AJ823" s="2" t="n">
        <f aca="false">INT(AD823)</f>
        <v>80</v>
      </c>
      <c r="AK823" s="2" t="n">
        <f aca="false">Settings!$B$3-SUM(AE823:AJ823)</f>
        <v>3</v>
      </c>
      <c r="AL823" s="2" t="n">
        <f aca="false">ROUND(Y823-AE823,9)</f>
        <v>0.786688051</v>
      </c>
      <c r="AM823" s="2" t="n">
        <f aca="false">ROUND(Z823-AF823,9)</f>
        <v>0.056936648</v>
      </c>
      <c r="AN823" s="2" t="n">
        <f aca="false">ROUND(AA823-AG823,9)</f>
        <v>0.018444266</v>
      </c>
      <c r="AO823" s="2" t="n">
        <f aca="false">ROUND(AB823-AH823,9)</f>
        <v>0.979951885</v>
      </c>
      <c r="AP823" s="2" t="n">
        <f aca="false">ROUND(AC823-AI823,9)</f>
        <v>0.965517241</v>
      </c>
      <c r="AQ823" s="2" t="n">
        <f aca="false">ROUND(AD823-AJ823,9)</f>
        <v>0.192461909</v>
      </c>
    </row>
    <row r="824" customFormat="false" ht="15" hidden="false" customHeight="false" outlineLevel="0" collapsed="false">
      <c r="A824" s="2" t="n">
        <v>823</v>
      </c>
      <c r="B824" s="6" t="n">
        <v>20</v>
      </c>
      <c r="C824" s="6" t="n">
        <v>45</v>
      </c>
      <c r="D824" s="8" t="str">
        <f aca="false">INDEX(Bases!$B$2:$B$53,B824)</f>
        <v>Tyrogue</v>
      </c>
      <c r="E824" s="8" t="str">
        <f aca="false">INDEX(Bases!$B$2:$B$53,C824)</f>
        <v>Sneasel</v>
      </c>
      <c r="F824" s="2" t="str">
        <f aca="false">LEFT(D824,ROUNDUP(LEN(D824)/2,0))&amp;LOWER(MID(E824,ROUNDUP(LEN(E824)/2,0)+1,20))</f>
        <v>Tyrosel</v>
      </c>
      <c r="G824" s="8" t="str">
        <f aca="false">INDEX(Bases!$C$2:$C$53,B824)</f>
        <v>Fighting</v>
      </c>
      <c r="H824" s="8" t="str">
        <f aca="false">IF(INDEX(Bases!$C$2:$C$53,C824)=G824,"",INDEX(Bases!$C$2:$C$53,C824))</f>
        <v>Dark</v>
      </c>
      <c r="I824" s="8" t="str">
        <f aca="false">IF(INDEX(Bases!$E$2:$E$53,B824)="","",INDEX(Bases!$E$2:$E$53,B824))</f>
        <v/>
      </c>
      <c r="J824" s="8" t="str">
        <f aca="false">IF(INDEX(Bases!$E$2:$E$53,C824)="","",INDEX(Bases!$E$2:$E$53,C824))</f>
        <v/>
      </c>
      <c r="K824" s="5"/>
      <c r="L824" s="2" t="n">
        <f aca="false">AE824+IF(SUMPRODUCT(--($AL824:$AQ824&gt;AL824))&lt;$AK824,1,0)</f>
        <v>73</v>
      </c>
      <c r="M824" s="2" t="n">
        <f aca="false">AF824+IF(SUMPRODUCT(--($AL824:$AQ824&gt;AM824))+SUMPRODUCT(--($AL824:AL824=AM824))&lt;$AK824,1,0)</f>
        <v>96</v>
      </c>
      <c r="N824" s="2" t="n">
        <f aca="false">AG824+IF(SUMPRODUCT(--($AL824:$AQ824&gt;AN824))+SUMPRODUCT(--($AL824:AM824=AN824))&lt;$AK824,1,0)</f>
        <v>73</v>
      </c>
      <c r="O824" s="2" t="n">
        <f aca="false">AH824+IF(SUMPRODUCT(--($AL824:$AQ824&gt;AO824))+SUMPRODUCT(--($AL824:AN824=AO824))&lt;$AK824,1,0)</f>
        <v>66</v>
      </c>
      <c r="P824" s="2" t="n">
        <f aca="false">AI824+IF(SUMPRODUCT(--($AL824:$AQ824&gt;AP824))+SUMPRODUCT(--($AL824:AO824=AP824))&lt;$AK824,1,0)</f>
        <v>81</v>
      </c>
      <c r="Q824" s="2" t="n">
        <f aca="false">AJ824+IF(SUMPRODUCT(--($AL824:$AQ824&gt;AQ824))+SUMPRODUCT(--($AL824:AP824=AQ824))&lt;$AK824,1,0)</f>
        <v>111</v>
      </c>
      <c r="R824" s="2" t="n">
        <f aca="false">SUM(L824:Q824)</f>
        <v>500</v>
      </c>
      <c r="S824" s="2" t="n">
        <f aca="false">Settings!$B$4*MAX(INDEX(Bases!$M$2:$M$53,B824),INDEX(Bases!$M$2:$M$53,C824))+Settings!$B$5*MIN(INDEX(Bases!$M$2:$M$53,B824),INDEX(Bases!$M$2:$M$53,C824))</f>
        <v>61.6666666666667</v>
      </c>
      <c r="T824" s="2" t="n">
        <f aca="false">Settings!$B$4*MAX(INDEX(Bases!$N$2:$N$53,B824),INDEX(Bases!$N$2:$N$53,C824))+Settings!$B$5*MIN(INDEX(Bases!$N$2:$N$53,B824),INDEX(Bases!$N$2:$N$53,C824))</f>
        <v>81</v>
      </c>
      <c r="U824" s="2" t="n">
        <f aca="false">Settings!$B$4*MAX(INDEX(Bases!$O$2:$O$53,B824),INDEX(Bases!$O$2:$O$53,C824))+Settings!$B$5*MIN(INDEX(Bases!$O$2:$O$53,B824),INDEX(Bases!$O$2:$O$53,C824))</f>
        <v>61.6666666666667</v>
      </c>
      <c r="V824" s="2" t="n">
        <f aca="false">Settings!$B$4*MAX(INDEX(Bases!$P$2:$P$53,B824),INDEX(Bases!$P$2:$P$53,C824))+Settings!$B$5*MIN(INDEX(Bases!$P$2:$P$53,B824),INDEX(Bases!$P$2:$P$53,C824))</f>
        <v>55.6666666666667</v>
      </c>
      <c r="W824" s="2" t="n">
        <f aca="false">Settings!$B$4*MAX(INDEX(Bases!$Q$2:$Q$53,B824),INDEX(Bases!$Q$2:$Q$53,C824))+Settings!$B$5*MIN(INDEX(Bases!$Q$2:$Q$53,B824),INDEX(Bases!$Q$2:$Q$53,C824))</f>
        <v>68.6666666666667</v>
      </c>
      <c r="X824" s="2" t="n">
        <f aca="false">Settings!$B$4*MAX(INDEX(Bases!$R$2:$R$53,B824),INDEX(Bases!$R$2:$R$53,C824))+Settings!$B$5*MIN(INDEX(Bases!$R$2:$R$53,B824),INDEX(Bases!$R$2:$R$53,C824))</f>
        <v>93.3333333333333</v>
      </c>
      <c r="Y824" s="2" t="n">
        <f aca="false">S824*Settings!$B$3/SUM(S824:X824)</f>
        <v>73.0647709320695</v>
      </c>
      <c r="Z824" s="2" t="n">
        <f aca="false">T824*Settings!$B$3/SUM(S824:X824)</f>
        <v>95.9715639810427</v>
      </c>
      <c r="AA824" s="2" t="n">
        <f aca="false">U824*Settings!$B$3/SUM(S824:X824)</f>
        <v>73.0647709320695</v>
      </c>
      <c r="AB824" s="2" t="n">
        <f aca="false">V824*Settings!$B$3/SUM(S824:X824)</f>
        <v>65.955766192733</v>
      </c>
      <c r="AC824" s="2" t="n">
        <f aca="false">W824*Settings!$B$3/SUM(S824:X824)</f>
        <v>81.3586097946288</v>
      </c>
      <c r="AD824" s="2" t="n">
        <f aca="false">X824*Settings!$B$3/SUM(S824:X824)</f>
        <v>110.584518167457</v>
      </c>
      <c r="AE824" s="2" t="n">
        <f aca="false">INT(Y824)</f>
        <v>73</v>
      </c>
      <c r="AF824" s="2" t="n">
        <f aca="false">INT(Z824)</f>
        <v>95</v>
      </c>
      <c r="AG824" s="2" t="n">
        <f aca="false">INT(AA824)</f>
        <v>73</v>
      </c>
      <c r="AH824" s="2" t="n">
        <f aca="false">INT(AB824)</f>
        <v>65</v>
      </c>
      <c r="AI824" s="2" t="n">
        <f aca="false">INT(AC824)</f>
        <v>81</v>
      </c>
      <c r="AJ824" s="2" t="n">
        <f aca="false">INT(AD824)</f>
        <v>110</v>
      </c>
      <c r="AK824" s="2" t="n">
        <f aca="false">Settings!$B$3-SUM(AE824:AJ824)</f>
        <v>3</v>
      </c>
      <c r="AL824" s="2" t="n">
        <f aca="false">ROUND(Y824-AE824,9)</f>
        <v>0.064770932</v>
      </c>
      <c r="AM824" s="2" t="n">
        <f aca="false">ROUND(Z824-AF824,9)</f>
        <v>0.971563981</v>
      </c>
      <c r="AN824" s="2" t="n">
        <f aca="false">ROUND(AA824-AG824,9)</f>
        <v>0.064770932</v>
      </c>
      <c r="AO824" s="2" t="n">
        <f aca="false">ROUND(AB824-AH824,9)</f>
        <v>0.955766193</v>
      </c>
      <c r="AP824" s="2" t="n">
        <f aca="false">ROUND(AC824-AI824,9)</f>
        <v>0.358609795</v>
      </c>
      <c r="AQ824" s="2" t="n">
        <f aca="false">ROUND(AD824-AJ824,9)</f>
        <v>0.584518167</v>
      </c>
    </row>
    <row r="825" customFormat="false" ht="15" hidden="false" customHeight="false" outlineLevel="0" collapsed="false">
      <c r="A825" s="2" t="n">
        <v>824</v>
      </c>
      <c r="B825" s="6" t="n">
        <v>20</v>
      </c>
      <c r="C825" s="6" t="n">
        <v>46</v>
      </c>
      <c r="D825" s="8" t="str">
        <f aca="false">INDEX(Bases!$B$2:$B$53,B825)</f>
        <v>Tyrogue</v>
      </c>
      <c r="E825" s="8" t="str">
        <f aca="false">INDEX(Bases!$B$2:$B$53,C825)</f>
        <v>Houndour</v>
      </c>
      <c r="F825" s="2" t="str">
        <f aca="false">LEFT(D825,ROUNDUP(LEN(D825)/2,0))&amp;LOWER(MID(E825,ROUNDUP(LEN(E825)/2,0)+1,20))</f>
        <v>Tyrodour</v>
      </c>
      <c r="G825" s="8" t="str">
        <f aca="false">INDEX(Bases!$C$2:$C$53,B825)</f>
        <v>Fighting</v>
      </c>
      <c r="H825" s="8" t="str">
        <f aca="false">IF(INDEX(Bases!$C$2:$C$53,C825)=G825,"",INDEX(Bases!$C$2:$C$53,C825))</f>
        <v>Dark</v>
      </c>
      <c r="I825" s="8" t="str">
        <f aca="false">IF(INDEX(Bases!$E$2:$E$53,B825)="","",INDEX(Bases!$E$2:$E$53,B825))</f>
        <v/>
      </c>
      <c r="J825" s="8" t="str">
        <f aca="false">IF(INDEX(Bases!$E$2:$E$53,C825)="","",INDEX(Bases!$E$2:$E$53,C825))</f>
        <v/>
      </c>
      <c r="K825" s="5"/>
      <c r="L825" s="2" t="n">
        <f aca="false">AE825+IF(SUMPRODUCT(--($AL825:$AQ825&gt;AL825))&lt;$AK825,1,0)</f>
        <v>75</v>
      </c>
      <c r="M825" s="2" t="n">
        <f aca="false">AF825+IF(SUMPRODUCT(--($AL825:$AQ825&gt;AM825))+SUMPRODUCT(--($AL825:AL825=AM825))&lt;$AK825,1,0)</f>
        <v>85</v>
      </c>
      <c r="N825" s="2" t="n">
        <f aca="false">AG825+IF(SUMPRODUCT(--($AL825:$AQ825&gt;AN825))+SUMPRODUCT(--($AL825:AM825=AN825))&lt;$AK825,1,0)</f>
        <v>68</v>
      </c>
      <c r="O825" s="2" t="n">
        <f aca="false">AH825+IF(SUMPRODUCT(--($AL825:$AQ825&gt;AO825))+SUMPRODUCT(--($AL825:AN825=AO825))&lt;$AK825,1,0)</f>
        <v>105</v>
      </c>
      <c r="P825" s="2" t="n">
        <f aca="false">AI825+IF(SUMPRODUCT(--($AL825:$AQ825&gt;AP825))+SUMPRODUCT(--($AL825:AO825=AP825))&lt;$AK825,1,0)</f>
        <v>77</v>
      </c>
      <c r="Q825" s="2" t="n">
        <f aca="false">AJ825+IF(SUMPRODUCT(--($AL825:$AQ825&gt;AQ825))+SUMPRODUCT(--($AL825:AP825=AQ825))&lt;$AK825,1,0)</f>
        <v>90</v>
      </c>
      <c r="R825" s="2" t="n">
        <f aca="false">SUM(L825:Q825)</f>
        <v>500</v>
      </c>
      <c r="S825" s="2" t="n">
        <f aca="false">Settings!$B$4*MAX(INDEX(Bases!$M$2:$M$53,B825),INDEX(Bases!$M$2:$M$53,C825))+Settings!$B$5*MIN(INDEX(Bases!$M$2:$M$53,B825),INDEX(Bases!$M$2:$M$53,C825))</f>
        <v>62.6666666666667</v>
      </c>
      <c r="T825" s="2" t="n">
        <f aca="false">Settings!$B$4*MAX(INDEX(Bases!$N$2:$N$53,B825),INDEX(Bases!$N$2:$N$53,C825))+Settings!$B$5*MIN(INDEX(Bases!$N$2:$N$53,B825),INDEX(Bases!$N$2:$N$53,C825))</f>
        <v>71</v>
      </c>
      <c r="U825" s="2" t="n">
        <f aca="false">Settings!$B$4*MAX(INDEX(Bases!$O$2:$O$53,B825),INDEX(Bases!$O$2:$O$53,C825))+Settings!$B$5*MIN(INDEX(Bases!$O$2:$O$53,B825),INDEX(Bases!$O$2:$O$53,C825))</f>
        <v>56.6666666666667</v>
      </c>
      <c r="V825" s="2" t="n">
        <f aca="false">Settings!$B$4*MAX(INDEX(Bases!$P$2:$P$53,B825),INDEX(Bases!$P$2:$P$53,C825))+Settings!$B$5*MIN(INDEX(Bases!$P$2:$P$53,B825),INDEX(Bases!$P$2:$P$53,C825))</f>
        <v>87</v>
      </c>
      <c r="W825" s="2" t="n">
        <f aca="false">Settings!$B$4*MAX(INDEX(Bases!$Q$2:$Q$53,B825),INDEX(Bases!$Q$2:$Q$53,C825))+Settings!$B$5*MIN(INDEX(Bases!$Q$2:$Q$53,B825),INDEX(Bases!$Q$2:$Q$53,C825))</f>
        <v>64.3333333333333</v>
      </c>
      <c r="X825" s="2" t="n">
        <f aca="false">Settings!$B$4*MAX(INDEX(Bases!$R$2:$R$53,B825),INDEX(Bases!$R$2:$R$53,C825))+Settings!$B$5*MIN(INDEX(Bases!$R$2:$R$53,B825),INDEX(Bases!$R$2:$R$53,C825))</f>
        <v>74.6666666666667</v>
      </c>
      <c r="Y825" s="2" t="n">
        <f aca="false">S825*Settings!$B$3/SUM(S825:X825)</f>
        <v>75.2602081665332</v>
      </c>
      <c r="Z825" s="2" t="n">
        <f aca="false">T825*Settings!$B$3/SUM(S825:X825)</f>
        <v>85.2682145716573</v>
      </c>
      <c r="AA825" s="2" t="n">
        <f aca="false">U825*Settings!$B$3/SUM(S825:X825)</f>
        <v>68.0544435548439</v>
      </c>
      <c r="AB825" s="2" t="n">
        <f aca="false">V825*Settings!$B$3/SUM(S825:X825)</f>
        <v>104.483586869496</v>
      </c>
      <c r="AC825" s="2" t="n">
        <f aca="false">W825*Settings!$B$3/SUM(S825:X825)</f>
        <v>77.2618094475581</v>
      </c>
      <c r="AD825" s="2" t="n">
        <f aca="false">X825*Settings!$B$3/SUM(S825:X825)</f>
        <v>89.6717373899119</v>
      </c>
      <c r="AE825" s="2" t="n">
        <f aca="false">INT(Y825)</f>
        <v>75</v>
      </c>
      <c r="AF825" s="2" t="n">
        <f aca="false">INT(Z825)</f>
        <v>85</v>
      </c>
      <c r="AG825" s="2" t="n">
        <f aca="false">INT(AA825)</f>
        <v>68</v>
      </c>
      <c r="AH825" s="2" t="n">
        <f aca="false">INT(AB825)</f>
        <v>104</v>
      </c>
      <c r="AI825" s="2" t="n">
        <f aca="false">INT(AC825)</f>
        <v>77</v>
      </c>
      <c r="AJ825" s="2" t="n">
        <f aca="false">INT(AD825)</f>
        <v>89</v>
      </c>
      <c r="AK825" s="2" t="n">
        <f aca="false">Settings!$B$3-SUM(AE825:AJ825)</f>
        <v>2</v>
      </c>
      <c r="AL825" s="2" t="n">
        <f aca="false">ROUND(Y825-AE825,9)</f>
        <v>0.260208167</v>
      </c>
      <c r="AM825" s="2" t="n">
        <f aca="false">ROUND(Z825-AF825,9)</f>
        <v>0.268214572</v>
      </c>
      <c r="AN825" s="2" t="n">
        <f aca="false">ROUND(AA825-AG825,9)</f>
        <v>0.054443555</v>
      </c>
      <c r="AO825" s="2" t="n">
        <f aca="false">ROUND(AB825-AH825,9)</f>
        <v>0.483586869</v>
      </c>
      <c r="AP825" s="2" t="n">
        <f aca="false">ROUND(AC825-AI825,9)</f>
        <v>0.261809448</v>
      </c>
      <c r="AQ825" s="2" t="n">
        <f aca="false">ROUND(AD825-AJ825,9)</f>
        <v>0.67173739</v>
      </c>
    </row>
    <row r="826" customFormat="false" ht="15" hidden="false" customHeight="false" outlineLevel="0" collapsed="false">
      <c r="A826" s="2" t="n">
        <v>825</v>
      </c>
      <c r="B826" s="6" t="n">
        <v>20</v>
      </c>
      <c r="C826" s="6" t="n">
        <v>47</v>
      </c>
      <c r="D826" s="8" t="str">
        <f aca="false">INDEX(Bases!$B$2:$B$53,B826)</f>
        <v>Tyrogue</v>
      </c>
      <c r="E826" s="8" t="str">
        <f aca="false">INDEX(Bases!$B$2:$B$53,C826)</f>
        <v>Carvanha</v>
      </c>
      <c r="F826" s="2" t="str">
        <f aca="false">LEFT(D826,ROUNDUP(LEN(D826)/2,0))&amp;LOWER(MID(E826,ROUNDUP(LEN(E826)/2,0)+1,20))</f>
        <v>Tyroanha</v>
      </c>
      <c r="G826" s="8" t="str">
        <f aca="false">INDEX(Bases!$C$2:$C$53,B826)</f>
        <v>Fighting</v>
      </c>
      <c r="H826" s="8" t="str">
        <f aca="false">IF(INDEX(Bases!$C$2:$C$53,C826)=G826,"",INDEX(Bases!$C$2:$C$53,C826))</f>
        <v>Dark</v>
      </c>
      <c r="I826" s="8" t="str">
        <f aca="false">IF(INDEX(Bases!$E$2:$E$53,B826)="","",INDEX(Bases!$E$2:$E$53,B826))</f>
        <v/>
      </c>
      <c r="J826" s="8" t="str">
        <f aca="false">IF(INDEX(Bases!$E$2:$E$53,C826)="","",INDEX(Bases!$E$2:$E$53,C826))</f>
        <v/>
      </c>
      <c r="K826" s="5"/>
      <c r="L826" s="2" t="n">
        <f aca="false">AE826+IF(SUMPRODUCT(--($AL826:$AQ826&gt;AL826))&lt;$AK826,1,0)</f>
        <v>75</v>
      </c>
      <c r="M826" s="2" t="n">
        <f aca="false">AF826+IF(SUMPRODUCT(--($AL826:$AQ826&gt;AM826))+SUMPRODUCT(--($AL826:AL826=AM826))&lt;$AK826,1,0)</f>
        <v>117</v>
      </c>
      <c r="N826" s="2" t="n">
        <f aca="false">AG826+IF(SUMPRODUCT(--($AL826:$AQ826&gt;AN826))+SUMPRODUCT(--($AL826:AM826=AN826))&lt;$AK826,1,0)</f>
        <v>62</v>
      </c>
      <c r="O826" s="2" t="n">
        <f aca="false">AH826+IF(SUMPRODUCT(--($AL826:$AQ826&gt;AO826))+SUMPRODUCT(--($AL826:AN826=AO826))&lt;$AK826,1,0)</f>
        <v>93</v>
      </c>
      <c r="P826" s="2" t="n">
        <f aca="false">AI826+IF(SUMPRODUCT(--($AL826:$AQ826&gt;AP826))+SUMPRODUCT(--($AL826:AO826=AP826))&lt;$AK826,1,0)</f>
        <v>61</v>
      </c>
      <c r="Q826" s="2" t="n">
        <f aca="false">AJ826+IF(SUMPRODUCT(--($AL826:$AQ826&gt;AQ826))+SUMPRODUCT(--($AL826:AP826=AQ826))&lt;$AK826,1,0)</f>
        <v>92</v>
      </c>
      <c r="R826" s="2" t="n">
        <f aca="false">SUM(L826:Q826)</f>
        <v>500</v>
      </c>
      <c r="S826" s="2" t="n">
        <f aca="false">Settings!$B$4*MAX(INDEX(Bases!$M$2:$M$53,B826),INDEX(Bases!$M$2:$M$53,C826))+Settings!$B$5*MIN(INDEX(Bases!$M$2:$M$53,B826),INDEX(Bases!$M$2:$M$53,C826))</f>
        <v>64.3333333333333</v>
      </c>
      <c r="T826" s="2" t="n">
        <f aca="false">Settings!$B$4*MAX(INDEX(Bases!$N$2:$N$53,B826),INDEX(Bases!$N$2:$N$53,C826))+Settings!$B$5*MIN(INDEX(Bases!$N$2:$N$53,B826),INDEX(Bases!$N$2:$N$53,C826))</f>
        <v>101</v>
      </c>
      <c r="U826" s="2" t="n">
        <f aca="false">Settings!$B$4*MAX(INDEX(Bases!$O$2:$O$53,B826),INDEX(Bases!$O$2:$O$53,C826))+Settings!$B$5*MIN(INDEX(Bases!$O$2:$O$53,B826),INDEX(Bases!$O$2:$O$53,C826))</f>
        <v>53.3333333333333</v>
      </c>
      <c r="V826" s="2" t="n">
        <f aca="false">Settings!$B$4*MAX(INDEX(Bases!$P$2:$P$53,B826),INDEX(Bases!$P$2:$P$53,C826))+Settings!$B$5*MIN(INDEX(Bases!$P$2:$P$53,B826),INDEX(Bases!$P$2:$P$53,C826))</f>
        <v>79.6666666666667</v>
      </c>
      <c r="W826" s="2" t="n">
        <f aca="false">Settings!$B$4*MAX(INDEX(Bases!$Q$2:$Q$53,B826),INDEX(Bases!$Q$2:$Q$53,C826))+Settings!$B$5*MIN(INDEX(Bases!$Q$2:$Q$53,B826),INDEX(Bases!$Q$2:$Q$53,C826))</f>
        <v>52.6666666666667</v>
      </c>
      <c r="X826" s="2" t="n">
        <f aca="false">Settings!$B$4*MAX(INDEX(Bases!$R$2:$R$53,B826),INDEX(Bases!$R$2:$R$53,C826))+Settings!$B$5*MIN(INDEX(Bases!$R$2:$R$53,B826),INDEX(Bases!$R$2:$R$53,C826))</f>
        <v>78.6666666666667</v>
      </c>
      <c r="Y826" s="2" t="n">
        <f aca="false">S826*Settings!$B$3/SUM(S826:X826)</f>
        <v>74.8642358417378</v>
      </c>
      <c r="Z826" s="2" t="n">
        <f aca="false">T826*Settings!$B$3/SUM(S826:X826)</f>
        <v>117.532971295578</v>
      </c>
      <c r="AA826" s="2" t="n">
        <f aca="false">U826*Settings!$B$3/SUM(S826:X826)</f>
        <v>62.0636152055857</v>
      </c>
      <c r="AB826" s="2" t="n">
        <f aca="false">V826*Settings!$B$3/SUM(S826:X826)</f>
        <v>92.7075252133437</v>
      </c>
      <c r="AC826" s="2" t="n">
        <f aca="false">W826*Settings!$B$3/SUM(S826:X826)</f>
        <v>61.2878200155159</v>
      </c>
      <c r="AD826" s="2" t="n">
        <f aca="false">X826*Settings!$B$3/SUM(S826:X826)</f>
        <v>91.5438324282389</v>
      </c>
      <c r="AE826" s="2" t="n">
        <f aca="false">INT(Y826)</f>
        <v>74</v>
      </c>
      <c r="AF826" s="2" t="n">
        <f aca="false">INT(Z826)</f>
        <v>117</v>
      </c>
      <c r="AG826" s="2" t="n">
        <f aca="false">INT(AA826)</f>
        <v>62</v>
      </c>
      <c r="AH826" s="2" t="n">
        <f aca="false">INT(AB826)</f>
        <v>92</v>
      </c>
      <c r="AI826" s="2" t="n">
        <f aca="false">INT(AC826)</f>
        <v>61</v>
      </c>
      <c r="AJ826" s="2" t="n">
        <f aca="false">INT(AD826)</f>
        <v>91</v>
      </c>
      <c r="AK826" s="2" t="n">
        <f aca="false">Settings!$B$3-SUM(AE826:AJ826)</f>
        <v>3</v>
      </c>
      <c r="AL826" s="2" t="n">
        <f aca="false">ROUND(Y826-AE826,9)</f>
        <v>0.864235842</v>
      </c>
      <c r="AM826" s="2" t="n">
        <f aca="false">ROUND(Z826-AF826,9)</f>
        <v>0.532971296</v>
      </c>
      <c r="AN826" s="2" t="n">
        <f aca="false">ROUND(AA826-AG826,9)</f>
        <v>0.063615206</v>
      </c>
      <c r="AO826" s="2" t="n">
        <f aca="false">ROUND(AB826-AH826,9)</f>
        <v>0.707525213</v>
      </c>
      <c r="AP826" s="2" t="n">
        <f aca="false">ROUND(AC826-AI826,9)</f>
        <v>0.287820016</v>
      </c>
      <c r="AQ826" s="2" t="n">
        <f aca="false">ROUND(AD826-AJ826,9)</f>
        <v>0.543832428</v>
      </c>
    </row>
    <row r="827" customFormat="false" ht="15" hidden="false" customHeight="false" outlineLevel="0" collapsed="false">
      <c r="A827" s="2" t="n">
        <v>826</v>
      </c>
      <c r="B827" s="6" t="n">
        <v>20</v>
      </c>
      <c r="C827" s="6" t="n">
        <v>48</v>
      </c>
      <c r="D827" s="8" t="str">
        <f aca="false">INDEX(Bases!$B$2:$B$53,B827)</f>
        <v>Tyrogue</v>
      </c>
      <c r="E827" s="8" t="str">
        <f aca="false">INDEX(Bases!$B$2:$B$53,C827)</f>
        <v>Magnemite</v>
      </c>
      <c r="F827" s="2" t="str">
        <f aca="false">LEFT(D827,ROUNDUP(LEN(D827)/2,0))&amp;LOWER(MID(E827,ROUNDUP(LEN(E827)/2,0)+1,20))</f>
        <v>Tyromite</v>
      </c>
      <c r="G827" s="8" t="str">
        <f aca="false">INDEX(Bases!$C$2:$C$53,B827)</f>
        <v>Fighting</v>
      </c>
      <c r="H827" s="8" t="str">
        <f aca="false">IF(INDEX(Bases!$C$2:$C$53,C827)=G827,"",INDEX(Bases!$C$2:$C$53,C827))</f>
        <v>Steel</v>
      </c>
      <c r="I827" s="8" t="str">
        <f aca="false">IF(INDEX(Bases!$E$2:$E$53,B827)="","",INDEX(Bases!$E$2:$E$53,B827))</f>
        <v/>
      </c>
      <c r="J827" s="8" t="str">
        <f aca="false">IF(INDEX(Bases!$E$2:$E$53,C827)="","",INDEX(Bases!$E$2:$E$53,C827))</f>
        <v/>
      </c>
      <c r="K827" s="5"/>
      <c r="L827" s="2" t="n">
        <f aca="false">AE827+IF(SUMPRODUCT(--($AL827:$AQ827&gt;AL827))&lt;$AK827,1,0)</f>
        <v>65</v>
      </c>
      <c r="M827" s="2" t="n">
        <f aca="false">AF827+IF(SUMPRODUCT(--($AL827:$AQ827&gt;AM827))+SUMPRODUCT(--($AL827:AL827=AM827))&lt;$AK827,1,0)</f>
        <v>70</v>
      </c>
      <c r="N827" s="2" t="n">
        <f aca="false">AG827+IF(SUMPRODUCT(--($AL827:$AQ827&gt;AN827))+SUMPRODUCT(--($AL827:AM827=AN827))&lt;$AK827,1,0)</f>
        <v>94</v>
      </c>
      <c r="O827" s="2" t="n">
        <f aca="false">AH827+IF(SUMPRODUCT(--($AL827:$AQ827&gt;AO827))+SUMPRODUCT(--($AL827:AN827=AO827))&lt;$AK827,1,0)</f>
        <v>118</v>
      </c>
      <c r="P827" s="2" t="n">
        <f aca="false">AI827+IF(SUMPRODUCT(--($AL827:$AQ827&gt;AP827))+SUMPRODUCT(--($AL827:AO827=AP827))&lt;$AK827,1,0)</f>
        <v>79</v>
      </c>
      <c r="Q827" s="2" t="n">
        <f aca="false">AJ827+IF(SUMPRODUCT(--($AL827:$AQ827&gt;AQ827))+SUMPRODUCT(--($AL827:AP827=AQ827))&lt;$AK827,1,0)</f>
        <v>74</v>
      </c>
      <c r="R827" s="2" t="n">
        <f aca="false">SUM(L827:Q827)</f>
        <v>500</v>
      </c>
      <c r="S827" s="2" t="n">
        <f aca="false">Settings!$B$4*MAX(INDEX(Bases!$M$2:$M$53,B827),INDEX(Bases!$M$2:$M$53,C827))+Settings!$B$5*MIN(INDEX(Bases!$M$2:$M$53,B827),INDEX(Bases!$M$2:$M$53,C827))</f>
        <v>55</v>
      </c>
      <c r="T827" s="2" t="n">
        <f aca="false">Settings!$B$4*MAX(INDEX(Bases!$N$2:$N$53,B827),INDEX(Bases!$N$2:$N$53,C827))+Settings!$B$5*MIN(INDEX(Bases!$N$2:$N$53,B827),INDEX(Bases!$N$2:$N$53,C827))</f>
        <v>59</v>
      </c>
      <c r="U827" s="2" t="n">
        <f aca="false">Settings!$B$4*MAX(INDEX(Bases!$O$2:$O$53,B827),INDEX(Bases!$O$2:$O$53,C827))+Settings!$B$5*MIN(INDEX(Bases!$O$2:$O$53,B827),INDEX(Bases!$O$2:$O$53,C827))</f>
        <v>79.6666666666667</v>
      </c>
      <c r="V827" s="2" t="n">
        <f aca="false">Settings!$B$4*MAX(INDEX(Bases!$P$2:$P$53,B827),INDEX(Bases!$P$2:$P$53,C827))+Settings!$B$5*MIN(INDEX(Bases!$P$2:$P$53,B827),INDEX(Bases!$P$2:$P$53,C827))</f>
        <v>100.333333333333</v>
      </c>
      <c r="W827" s="2" t="n">
        <f aca="false">Settings!$B$4*MAX(INDEX(Bases!$Q$2:$Q$53,B827),INDEX(Bases!$Q$2:$Q$53,C827))+Settings!$B$5*MIN(INDEX(Bases!$Q$2:$Q$53,B827),INDEX(Bases!$Q$2:$Q$53,C827))</f>
        <v>67.3333333333333</v>
      </c>
      <c r="X827" s="2" t="n">
        <f aca="false">Settings!$B$4*MAX(INDEX(Bases!$R$2:$R$53,B827),INDEX(Bases!$R$2:$R$53,C827))+Settings!$B$5*MIN(INDEX(Bases!$R$2:$R$53,B827),INDEX(Bases!$R$2:$R$53,C827))</f>
        <v>62.3333333333333</v>
      </c>
      <c r="Y827" s="2" t="n">
        <f aca="false">S827*Settings!$B$3/SUM(S827:X827)</f>
        <v>64.9095200629426</v>
      </c>
      <c r="Z827" s="2" t="n">
        <f aca="false">T827*Settings!$B$3/SUM(S827:X827)</f>
        <v>69.6302124311566</v>
      </c>
      <c r="AA827" s="2" t="n">
        <f aca="false">U827*Settings!$B$3/SUM(S827:X827)</f>
        <v>94.0204563335956</v>
      </c>
      <c r="AB827" s="2" t="n">
        <f aca="false">V827*Settings!$B$3/SUM(S827:X827)</f>
        <v>118.410700236035</v>
      </c>
      <c r="AC827" s="2" t="n">
        <f aca="false">W827*Settings!$B$3/SUM(S827:X827)</f>
        <v>79.4649881982691</v>
      </c>
      <c r="AD827" s="2" t="n">
        <f aca="false">X827*Settings!$B$3/SUM(S827:X827)</f>
        <v>73.5641227380016</v>
      </c>
      <c r="AE827" s="2" t="n">
        <f aca="false">INT(Y827)</f>
        <v>64</v>
      </c>
      <c r="AF827" s="2" t="n">
        <f aca="false">INT(Z827)</f>
        <v>69</v>
      </c>
      <c r="AG827" s="2" t="n">
        <f aca="false">INT(AA827)</f>
        <v>94</v>
      </c>
      <c r="AH827" s="2" t="n">
        <f aca="false">INT(AB827)</f>
        <v>118</v>
      </c>
      <c r="AI827" s="2" t="n">
        <f aca="false">INT(AC827)</f>
        <v>79</v>
      </c>
      <c r="AJ827" s="2" t="n">
        <f aca="false">INT(AD827)</f>
        <v>73</v>
      </c>
      <c r="AK827" s="2" t="n">
        <f aca="false">Settings!$B$3-SUM(AE827:AJ827)</f>
        <v>3</v>
      </c>
      <c r="AL827" s="2" t="n">
        <f aca="false">ROUND(Y827-AE827,9)</f>
        <v>0.909520063</v>
      </c>
      <c r="AM827" s="2" t="n">
        <f aca="false">ROUND(Z827-AF827,9)</f>
        <v>0.630212431</v>
      </c>
      <c r="AN827" s="2" t="n">
        <f aca="false">ROUND(AA827-AG827,9)</f>
        <v>0.020456334</v>
      </c>
      <c r="AO827" s="2" t="n">
        <f aca="false">ROUND(AB827-AH827,9)</f>
        <v>0.410700236</v>
      </c>
      <c r="AP827" s="2" t="n">
        <f aca="false">ROUND(AC827-AI827,9)</f>
        <v>0.464988198</v>
      </c>
      <c r="AQ827" s="2" t="n">
        <f aca="false">ROUND(AD827-AJ827,9)</f>
        <v>0.564122738</v>
      </c>
    </row>
    <row r="828" customFormat="false" ht="15" hidden="false" customHeight="false" outlineLevel="0" collapsed="false">
      <c r="A828" s="2" t="n">
        <v>827</v>
      </c>
      <c r="B828" s="6" t="n">
        <v>20</v>
      </c>
      <c r="C828" s="6" t="n">
        <v>49</v>
      </c>
      <c r="D828" s="8" t="str">
        <f aca="false">INDEX(Bases!$B$2:$B$53,B828)</f>
        <v>Tyrogue</v>
      </c>
      <c r="E828" s="8" t="str">
        <f aca="false">INDEX(Bases!$B$2:$B$53,C828)</f>
        <v>Aron</v>
      </c>
      <c r="F828" s="2" t="str">
        <f aca="false">LEFT(D828,ROUNDUP(LEN(D828)/2,0))&amp;LOWER(MID(E828,ROUNDUP(LEN(E828)/2,0)+1,20))</f>
        <v>Tyroon</v>
      </c>
      <c r="G828" s="8" t="str">
        <f aca="false">INDEX(Bases!$C$2:$C$53,B828)</f>
        <v>Fighting</v>
      </c>
      <c r="H828" s="8" t="str">
        <f aca="false">IF(INDEX(Bases!$C$2:$C$53,C828)=G828,"",INDEX(Bases!$C$2:$C$53,C828))</f>
        <v>Steel</v>
      </c>
      <c r="I828" s="8" t="str">
        <f aca="false">IF(INDEX(Bases!$E$2:$E$53,B828)="","",INDEX(Bases!$E$2:$E$53,B828))</f>
        <v/>
      </c>
      <c r="J828" s="8" t="str">
        <f aca="false">IF(INDEX(Bases!$E$2:$E$53,C828)="","",INDEX(Bases!$E$2:$E$53,C828))</f>
        <v/>
      </c>
      <c r="K828" s="5"/>
      <c r="L828" s="2" t="n">
        <f aca="false">AE828+IF(SUMPRODUCT(--($AL828:$AQ828&gt;AL828))&lt;$AK828,1,0)</f>
        <v>77</v>
      </c>
      <c r="M828" s="2" t="n">
        <f aca="false">AF828+IF(SUMPRODUCT(--($AL828:$AQ828&gt;AM828))+SUMPRODUCT(--($AL828:AL828=AM828))&lt;$AK828,1,0)</f>
        <v>93</v>
      </c>
      <c r="N828" s="2" t="n">
        <f aca="false">AG828+IF(SUMPRODUCT(--($AL828:$AQ828&gt;AN828))+SUMPRODUCT(--($AL828:AM828=AN828))&lt;$AK828,1,0)</f>
        <v>121</v>
      </c>
      <c r="O828" s="2" t="n">
        <f aca="false">AH828+IF(SUMPRODUCT(--($AL828:$AQ828&gt;AO828))+SUMPRODUCT(--($AL828:AN828=AO828))&lt;$AK828,1,0)</f>
        <v>72</v>
      </c>
      <c r="P828" s="2" t="n">
        <f aca="false">AI828+IF(SUMPRODUCT(--($AL828:$AQ828&gt;AP828))+SUMPRODUCT(--($AL828:AO828=AP828))&lt;$AK828,1,0)</f>
        <v>71</v>
      </c>
      <c r="Q828" s="2" t="n">
        <f aca="false">AJ828+IF(SUMPRODUCT(--($AL828:$AQ828&gt;AQ828))+SUMPRODUCT(--($AL828:AP828=AQ828))&lt;$AK828,1,0)</f>
        <v>66</v>
      </c>
      <c r="R828" s="2" t="n">
        <f aca="false">SUM(L828:Q828)</f>
        <v>500</v>
      </c>
      <c r="S828" s="2" t="n">
        <f aca="false">Settings!$B$4*MAX(INDEX(Bases!$M$2:$M$53,B828),INDEX(Bases!$M$2:$M$53,C828))+Settings!$B$5*MIN(INDEX(Bases!$M$2:$M$53,B828),INDEX(Bases!$M$2:$M$53,C828))</f>
        <v>65</v>
      </c>
      <c r="T828" s="2" t="n">
        <f aca="false">Settings!$B$4*MAX(INDEX(Bases!$N$2:$N$53,B828),INDEX(Bases!$N$2:$N$53,C828))+Settings!$B$5*MIN(INDEX(Bases!$N$2:$N$53,B828),INDEX(Bases!$N$2:$N$53,C828))</f>
        <v>79</v>
      </c>
      <c r="U828" s="2" t="n">
        <f aca="false">Settings!$B$4*MAX(INDEX(Bases!$O$2:$O$53,B828),INDEX(Bases!$O$2:$O$53,C828))+Settings!$B$5*MIN(INDEX(Bases!$O$2:$O$53,B828),INDEX(Bases!$O$2:$O$53,C828))</f>
        <v>103</v>
      </c>
      <c r="V828" s="2" t="n">
        <f aca="false">Settings!$B$4*MAX(INDEX(Bases!$P$2:$P$53,B828),INDEX(Bases!$P$2:$P$53,C828))+Settings!$B$5*MIN(INDEX(Bases!$P$2:$P$53,B828),INDEX(Bases!$P$2:$P$53,C828))</f>
        <v>61</v>
      </c>
      <c r="W828" s="2" t="n">
        <f aca="false">Settings!$B$4*MAX(INDEX(Bases!$Q$2:$Q$53,B828),INDEX(Bases!$Q$2:$Q$53,C828))+Settings!$B$5*MIN(INDEX(Bases!$Q$2:$Q$53,B828),INDEX(Bases!$Q$2:$Q$53,C828))</f>
        <v>60</v>
      </c>
      <c r="X828" s="2" t="n">
        <f aca="false">Settings!$B$4*MAX(INDEX(Bases!$R$2:$R$53,B828),INDEX(Bases!$R$2:$R$53,C828))+Settings!$B$5*MIN(INDEX(Bases!$R$2:$R$53,B828),INDEX(Bases!$R$2:$R$53,C828))</f>
        <v>56</v>
      </c>
      <c r="Y828" s="2" t="n">
        <f aca="false">S828*Settings!$B$3/SUM(S828:X828)</f>
        <v>76.6509433962264</v>
      </c>
      <c r="Z828" s="2" t="n">
        <f aca="false">T828*Settings!$B$3/SUM(S828:X828)</f>
        <v>93.1603773584906</v>
      </c>
      <c r="AA828" s="2" t="n">
        <f aca="false">U828*Settings!$B$3/SUM(S828:X828)</f>
        <v>121.462264150943</v>
      </c>
      <c r="AB828" s="2" t="n">
        <f aca="false">V828*Settings!$B$3/SUM(S828:X828)</f>
        <v>71.933962264151</v>
      </c>
      <c r="AC828" s="2" t="n">
        <f aca="false">W828*Settings!$B$3/SUM(S828:X828)</f>
        <v>70.7547169811321</v>
      </c>
      <c r="AD828" s="2" t="n">
        <f aca="false">X828*Settings!$B$3/SUM(S828:X828)</f>
        <v>66.0377358490566</v>
      </c>
      <c r="AE828" s="2" t="n">
        <f aca="false">INT(Y828)</f>
        <v>76</v>
      </c>
      <c r="AF828" s="2" t="n">
        <f aca="false">INT(Z828)</f>
        <v>93</v>
      </c>
      <c r="AG828" s="2" t="n">
        <f aca="false">INT(AA828)</f>
        <v>121</v>
      </c>
      <c r="AH828" s="2" t="n">
        <f aca="false">INT(AB828)</f>
        <v>71</v>
      </c>
      <c r="AI828" s="2" t="n">
        <f aca="false">INT(AC828)</f>
        <v>70</v>
      </c>
      <c r="AJ828" s="2" t="n">
        <f aca="false">INT(AD828)</f>
        <v>66</v>
      </c>
      <c r="AK828" s="2" t="n">
        <f aca="false">Settings!$B$3-SUM(AE828:AJ828)</f>
        <v>3</v>
      </c>
      <c r="AL828" s="2" t="n">
        <f aca="false">ROUND(Y828-AE828,9)</f>
        <v>0.650943396</v>
      </c>
      <c r="AM828" s="2" t="n">
        <f aca="false">ROUND(Z828-AF828,9)</f>
        <v>0.160377358</v>
      </c>
      <c r="AN828" s="2" t="n">
        <f aca="false">ROUND(AA828-AG828,9)</f>
        <v>0.462264151</v>
      </c>
      <c r="AO828" s="2" t="n">
        <f aca="false">ROUND(AB828-AH828,9)</f>
        <v>0.933962264</v>
      </c>
      <c r="AP828" s="2" t="n">
        <f aca="false">ROUND(AC828-AI828,9)</f>
        <v>0.754716981</v>
      </c>
      <c r="AQ828" s="2" t="n">
        <f aca="false">ROUND(AD828-AJ828,9)</f>
        <v>0.037735849</v>
      </c>
    </row>
    <row r="829" customFormat="false" ht="15" hidden="false" customHeight="false" outlineLevel="0" collapsed="false">
      <c r="A829" s="2" t="n">
        <v>828</v>
      </c>
      <c r="B829" s="6" t="n">
        <v>20</v>
      </c>
      <c r="C829" s="6" t="n">
        <v>50</v>
      </c>
      <c r="D829" s="8" t="str">
        <f aca="false">INDEX(Bases!$B$2:$B$53,B829)</f>
        <v>Tyrogue</v>
      </c>
      <c r="E829" s="8" t="str">
        <f aca="false">INDEX(Bases!$B$2:$B$53,C829)</f>
        <v>Beldum</v>
      </c>
      <c r="F829" s="2" t="str">
        <f aca="false">LEFT(D829,ROUNDUP(LEN(D829)/2,0))&amp;LOWER(MID(E829,ROUNDUP(LEN(E829)/2,0)+1,20))</f>
        <v>Tyrodum</v>
      </c>
      <c r="G829" s="8" t="str">
        <f aca="false">INDEX(Bases!$C$2:$C$53,B829)</f>
        <v>Fighting</v>
      </c>
      <c r="H829" s="8" t="str">
        <f aca="false">IF(INDEX(Bases!$C$2:$C$53,C829)=G829,"",INDEX(Bases!$C$2:$C$53,C829))</f>
        <v>Steel</v>
      </c>
      <c r="I829" s="8" t="str">
        <f aca="false">IF(INDEX(Bases!$E$2:$E$53,B829)="","",INDEX(Bases!$E$2:$E$53,B829))</f>
        <v/>
      </c>
      <c r="J829" s="8" t="str">
        <f aca="false">IF(INDEX(Bases!$E$2:$E$53,C829)="","",INDEX(Bases!$E$2:$E$53,C829))</f>
        <v/>
      </c>
      <c r="K829" s="5"/>
      <c r="L829" s="2" t="n">
        <f aca="false">AE829+IF(SUMPRODUCT(--($AL829:$AQ829&gt;AL829))&lt;$AK829,1,0)</f>
        <v>74</v>
      </c>
      <c r="M829" s="2" t="n">
        <f aca="false">AF829+IF(SUMPRODUCT(--($AL829:$AQ829&gt;AM829))+SUMPRODUCT(--($AL829:AL829=AM829))&lt;$AK829,1,0)</f>
        <v>85</v>
      </c>
      <c r="N829" s="2" t="n">
        <f aca="false">AG829+IF(SUMPRODUCT(--($AL829:$AQ829&gt;AN829))+SUMPRODUCT(--($AL829:AM829=AN829))&lt;$AK829,1,0)</f>
        <v>111</v>
      </c>
      <c r="O829" s="2" t="n">
        <f aca="false">AH829+IF(SUMPRODUCT(--($AL829:$AQ829&gt;AO829))+SUMPRODUCT(--($AL829:AN829=AO829))&lt;$AK829,1,0)</f>
        <v>72</v>
      </c>
      <c r="P829" s="2" t="n">
        <f aca="false">AI829+IF(SUMPRODUCT(--($AL829:$AQ829&gt;AP829))+SUMPRODUCT(--($AL829:AO829=AP829))&lt;$AK829,1,0)</f>
        <v>90</v>
      </c>
      <c r="Q829" s="2" t="n">
        <f aca="false">AJ829+IF(SUMPRODUCT(--($AL829:$AQ829&gt;AQ829))+SUMPRODUCT(--($AL829:AP829=AQ829))&lt;$AK829,1,0)</f>
        <v>68</v>
      </c>
      <c r="R829" s="2" t="n">
        <f aca="false">SUM(L829:Q829)</f>
        <v>500</v>
      </c>
      <c r="S829" s="2" t="n">
        <f aca="false">Settings!$B$4*MAX(INDEX(Bases!$M$2:$M$53,B829),INDEX(Bases!$M$2:$M$53,C829))+Settings!$B$5*MIN(INDEX(Bases!$M$2:$M$53,B829),INDEX(Bases!$M$2:$M$53,C829))</f>
        <v>62.3333333333333</v>
      </c>
      <c r="T829" s="2" t="n">
        <f aca="false">Settings!$B$4*MAX(INDEX(Bases!$N$2:$N$53,B829),INDEX(Bases!$N$2:$N$53,C829))+Settings!$B$5*MIN(INDEX(Bases!$N$2:$N$53,B829),INDEX(Bases!$N$2:$N$53,C829))</f>
        <v>71</v>
      </c>
      <c r="U829" s="2" t="n">
        <f aca="false">Settings!$B$4*MAX(INDEX(Bases!$O$2:$O$53,B829),INDEX(Bases!$O$2:$O$53,C829))+Settings!$B$5*MIN(INDEX(Bases!$O$2:$O$53,B829),INDEX(Bases!$O$2:$O$53,C829))</f>
        <v>93.6666666666667</v>
      </c>
      <c r="V829" s="2" t="n">
        <f aca="false">Settings!$B$4*MAX(INDEX(Bases!$P$2:$P$53,B829),INDEX(Bases!$P$2:$P$53,C829))+Settings!$B$5*MIN(INDEX(Bases!$P$2:$P$53,B829),INDEX(Bases!$P$2:$P$53,C829))</f>
        <v>60.3333333333333</v>
      </c>
      <c r="W829" s="2" t="n">
        <f aca="false">Settings!$B$4*MAX(INDEX(Bases!$Q$2:$Q$53,B829),INDEX(Bases!$Q$2:$Q$53,C829))+Settings!$B$5*MIN(INDEX(Bases!$Q$2:$Q$53,B829),INDEX(Bases!$Q$2:$Q$53,C829))</f>
        <v>75.3333333333333</v>
      </c>
      <c r="X829" s="2" t="n">
        <f aca="false">Settings!$B$4*MAX(INDEX(Bases!$R$2:$R$53,B829),INDEX(Bases!$R$2:$R$53,C829))+Settings!$B$5*MIN(INDEX(Bases!$R$2:$R$53,B829),INDEX(Bases!$R$2:$R$53,C829))</f>
        <v>57.3333333333333</v>
      </c>
      <c r="Y829" s="2" t="n">
        <f aca="false">S829*Settings!$B$3/SUM(S829:X829)</f>
        <v>74.2063492063492</v>
      </c>
      <c r="Z829" s="2" t="n">
        <f aca="false">T829*Settings!$B$3/SUM(S829:X829)</f>
        <v>84.5238095238095</v>
      </c>
      <c r="AA829" s="2" t="n">
        <f aca="false">U829*Settings!$B$3/SUM(S829:X829)</f>
        <v>111.507936507937</v>
      </c>
      <c r="AB829" s="2" t="n">
        <f aca="false">V829*Settings!$B$3/SUM(S829:X829)</f>
        <v>71.8253968253968</v>
      </c>
      <c r="AC829" s="2" t="n">
        <f aca="false">W829*Settings!$B$3/SUM(S829:X829)</f>
        <v>89.6825396825397</v>
      </c>
      <c r="AD829" s="2" t="n">
        <f aca="false">X829*Settings!$B$3/SUM(S829:X829)</f>
        <v>68.2539682539683</v>
      </c>
      <c r="AE829" s="2" t="n">
        <f aca="false">INT(Y829)</f>
        <v>74</v>
      </c>
      <c r="AF829" s="2" t="n">
        <f aca="false">INT(Z829)</f>
        <v>84</v>
      </c>
      <c r="AG829" s="2" t="n">
        <f aca="false">INT(AA829)</f>
        <v>111</v>
      </c>
      <c r="AH829" s="2" t="n">
        <f aca="false">INT(AB829)</f>
        <v>71</v>
      </c>
      <c r="AI829" s="2" t="n">
        <f aca="false">INT(AC829)</f>
        <v>89</v>
      </c>
      <c r="AJ829" s="2" t="n">
        <f aca="false">INT(AD829)</f>
        <v>68</v>
      </c>
      <c r="AK829" s="2" t="n">
        <f aca="false">Settings!$B$3-SUM(AE829:AJ829)</f>
        <v>3</v>
      </c>
      <c r="AL829" s="2" t="n">
        <f aca="false">ROUND(Y829-AE829,9)</f>
        <v>0.206349206</v>
      </c>
      <c r="AM829" s="2" t="n">
        <f aca="false">ROUND(Z829-AF829,9)</f>
        <v>0.523809524</v>
      </c>
      <c r="AN829" s="2" t="n">
        <f aca="false">ROUND(AA829-AG829,9)</f>
        <v>0.507936508</v>
      </c>
      <c r="AO829" s="2" t="n">
        <f aca="false">ROUND(AB829-AH829,9)</f>
        <v>0.825396825</v>
      </c>
      <c r="AP829" s="2" t="n">
        <f aca="false">ROUND(AC829-AI829,9)</f>
        <v>0.682539683</v>
      </c>
      <c r="AQ829" s="2" t="n">
        <f aca="false">ROUND(AD829-AJ829,9)</f>
        <v>0.253968254</v>
      </c>
    </row>
    <row r="830" customFormat="false" ht="15" hidden="false" customHeight="false" outlineLevel="0" collapsed="false">
      <c r="A830" s="2" t="n">
        <v>829</v>
      </c>
      <c r="B830" s="6" t="n">
        <v>20</v>
      </c>
      <c r="C830" s="6" t="n">
        <v>51</v>
      </c>
      <c r="D830" s="8" t="str">
        <f aca="false">INDEX(Bases!$B$2:$B$53,B830)</f>
        <v>Tyrogue</v>
      </c>
      <c r="E830" s="8" t="str">
        <f aca="false">INDEX(Bases!$B$2:$B$53,C830)</f>
        <v>Cleffa</v>
      </c>
      <c r="F830" s="2" t="str">
        <f aca="false">LEFT(D830,ROUNDUP(LEN(D830)/2,0))&amp;LOWER(MID(E830,ROUNDUP(LEN(E830)/2,0)+1,20))</f>
        <v>Tyroffa</v>
      </c>
      <c r="G830" s="8" t="str">
        <f aca="false">INDEX(Bases!$C$2:$C$53,B830)</f>
        <v>Fighting</v>
      </c>
      <c r="H830" s="8" t="str">
        <f aca="false">IF(INDEX(Bases!$C$2:$C$53,C830)=G830,"",INDEX(Bases!$C$2:$C$53,C830))</f>
        <v>Fairy</v>
      </c>
      <c r="I830" s="8" t="str">
        <f aca="false">IF(INDEX(Bases!$E$2:$E$53,B830)="","",INDEX(Bases!$E$2:$E$53,B830))</f>
        <v/>
      </c>
      <c r="J830" s="8" t="str">
        <f aca="false">IF(INDEX(Bases!$E$2:$E$53,C830)="","",INDEX(Bases!$E$2:$E$53,C830))</f>
        <v/>
      </c>
      <c r="K830" s="5"/>
      <c r="L830" s="2" t="n">
        <f aca="false">AE830+IF(SUMPRODUCT(--($AL830:$AQ830&gt;AL830))&lt;$AK830,1,0)</f>
        <v>98</v>
      </c>
      <c r="M830" s="2" t="n">
        <f aca="false">AF830+IF(SUMPRODUCT(--($AL830:$AQ830&gt;AM830))+SUMPRODUCT(--($AL830:AL830=AM830))&lt;$AK830,1,0)</f>
        <v>71</v>
      </c>
      <c r="N830" s="2" t="n">
        <f aca="false">AG830+IF(SUMPRODUCT(--($AL830:$AQ830&gt;AN830))+SUMPRODUCT(--($AL830:AM830=AN830))&lt;$AK830,1,0)</f>
        <v>73</v>
      </c>
      <c r="O830" s="2" t="n">
        <f aca="false">AH830+IF(SUMPRODUCT(--($AL830:$AQ830&gt;AO830))+SUMPRODUCT(--($AL830:AN830=AO830))&lt;$AK830,1,0)</f>
        <v>91</v>
      </c>
      <c r="P830" s="2" t="n">
        <f aca="false">AI830+IF(SUMPRODUCT(--($AL830:$AQ830&gt;AP830))+SUMPRODUCT(--($AL830:AO830=AP830))&lt;$AK830,1,0)</f>
        <v>105</v>
      </c>
      <c r="Q830" s="2" t="n">
        <f aca="false">AJ830+IF(SUMPRODUCT(--($AL830:$AQ830&gt;AQ830))+SUMPRODUCT(--($AL830:AP830=AQ830))&lt;$AK830,1,0)</f>
        <v>62</v>
      </c>
      <c r="R830" s="2" t="n">
        <f aca="false">SUM(L830:Q830)</f>
        <v>500</v>
      </c>
      <c r="S830" s="2" t="n">
        <f aca="false">Settings!$B$4*MAX(INDEX(Bases!$M$2:$M$53,B830),INDEX(Bases!$M$2:$M$53,C830))+Settings!$B$5*MIN(INDEX(Bases!$M$2:$M$53,B830),INDEX(Bases!$M$2:$M$53,C830))</f>
        <v>83.6666666666667</v>
      </c>
      <c r="T830" s="2" t="n">
        <f aca="false">Settings!$B$4*MAX(INDEX(Bases!$N$2:$N$53,B830),INDEX(Bases!$N$2:$N$53,C830))+Settings!$B$5*MIN(INDEX(Bases!$N$2:$N$53,B830),INDEX(Bases!$N$2:$N$53,C830))</f>
        <v>60</v>
      </c>
      <c r="U830" s="2" t="n">
        <f aca="false">Settings!$B$4*MAX(INDEX(Bases!$O$2:$O$53,B830),INDEX(Bases!$O$2:$O$53,C830))+Settings!$B$5*MIN(INDEX(Bases!$O$2:$O$53,B830),INDEX(Bases!$O$2:$O$53,C830))</f>
        <v>61.6666666666667</v>
      </c>
      <c r="V830" s="2" t="n">
        <f aca="false">Settings!$B$4*MAX(INDEX(Bases!$P$2:$P$53,B830),INDEX(Bases!$P$2:$P$53,C830))+Settings!$B$5*MIN(INDEX(Bases!$P$2:$P$53,B830),INDEX(Bases!$P$2:$P$53,C830))</f>
        <v>77.6666666666667</v>
      </c>
      <c r="W830" s="2" t="n">
        <f aca="false">Settings!$B$4*MAX(INDEX(Bases!$Q$2:$Q$53,B830),INDEX(Bases!$Q$2:$Q$53,C830))+Settings!$B$5*MIN(INDEX(Bases!$Q$2:$Q$53,B830),INDEX(Bases!$Q$2:$Q$53,C830))</f>
        <v>89.3333333333333</v>
      </c>
      <c r="X830" s="2" t="n">
        <f aca="false">Settings!$B$4*MAX(INDEX(Bases!$R$2:$R$53,B830),INDEX(Bases!$R$2:$R$53,C830))+Settings!$B$5*MIN(INDEX(Bases!$R$2:$R$53,B830),INDEX(Bases!$R$2:$R$53,C830))</f>
        <v>53</v>
      </c>
      <c r="Y830" s="2" t="n">
        <f aca="false">S830*Settings!$B$3/SUM(S830:X830)</f>
        <v>98.3542319749216</v>
      </c>
      <c r="Z830" s="2" t="n">
        <f aca="false">T830*Settings!$B$3/SUM(S830:X830)</f>
        <v>70.5329153605016</v>
      </c>
      <c r="AA830" s="2" t="n">
        <f aca="false">U830*Settings!$B$3/SUM(S830:X830)</f>
        <v>72.4921630094044</v>
      </c>
      <c r="AB830" s="2" t="n">
        <f aca="false">V830*Settings!$B$3/SUM(S830:X830)</f>
        <v>91.3009404388715</v>
      </c>
      <c r="AC830" s="2" t="n">
        <f aca="false">W830*Settings!$B$3/SUM(S830:X830)</f>
        <v>105.015673981191</v>
      </c>
      <c r="AD830" s="2" t="n">
        <f aca="false">X830*Settings!$B$3/SUM(S830:X830)</f>
        <v>62.3040752351097</v>
      </c>
      <c r="AE830" s="2" t="n">
        <f aca="false">INT(Y830)</f>
        <v>98</v>
      </c>
      <c r="AF830" s="2" t="n">
        <f aca="false">INT(Z830)</f>
        <v>70</v>
      </c>
      <c r="AG830" s="2" t="n">
        <f aca="false">INT(AA830)</f>
        <v>72</v>
      </c>
      <c r="AH830" s="2" t="n">
        <f aca="false">INT(AB830)</f>
        <v>91</v>
      </c>
      <c r="AI830" s="2" t="n">
        <f aca="false">INT(AC830)</f>
        <v>105</v>
      </c>
      <c r="AJ830" s="2" t="n">
        <f aca="false">INT(AD830)</f>
        <v>62</v>
      </c>
      <c r="AK830" s="2" t="n">
        <f aca="false">Settings!$B$3-SUM(AE830:AJ830)</f>
        <v>2</v>
      </c>
      <c r="AL830" s="2" t="n">
        <f aca="false">ROUND(Y830-AE830,9)</f>
        <v>0.354231975</v>
      </c>
      <c r="AM830" s="2" t="n">
        <f aca="false">ROUND(Z830-AF830,9)</f>
        <v>0.532915361</v>
      </c>
      <c r="AN830" s="2" t="n">
        <f aca="false">ROUND(AA830-AG830,9)</f>
        <v>0.492163009</v>
      </c>
      <c r="AO830" s="2" t="n">
        <f aca="false">ROUND(AB830-AH830,9)</f>
        <v>0.300940439</v>
      </c>
      <c r="AP830" s="2" t="n">
        <f aca="false">ROUND(AC830-AI830,9)</f>
        <v>0.015673981</v>
      </c>
      <c r="AQ830" s="2" t="n">
        <f aca="false">ROUND(AD830-AJ830,9)</f>
        <v>0.304075235</v>
      </c>
    </row>
    <row r="831" customFormat="false" ht="15" hidden="false" customHeight="false" outlineLevel="0" collapsed="false">
      <c r="A831" s="2" t="n">
        <v>830</v>
      </c>
      <c r="B831" s="6" t="n">
        <v>20</v>
      </c>
      <c r="C831" s="6" t="n">
        <v>52</v>
      </c>
      <c r="D831" s="8" t="str">
        <f aca="false">INDEX(Bases!$B$2:$B$53,B831)</f>
        <v>Tyrogue</v>
      </c>
      <c r="E831" s="8" t="str">
        <f aca="false">INDEX(Bases!$B$2:$B$53,C831)</f>
        <v>Togepi</v>
      </c>
      <c r="F831" s="2" t="str">
        <f aca="false">LEFT(D831,ROUNDUP(LEN(D831)/2,0))&amp;LOWER(MID(E831,ROUNDUP(LEN(E831)/2,0)+1,20))</f>
        <v>Tyroepi</v>
      </c>
      <c r="G831" s="8" t="str">
        <f aca="false">INDEX(Bases!$C$2:$C$53,B831)</f>
        <v>Fighting</v>
      </c>
      <c r="H831" s="8" t="str">
        <f aca="false">IF(INDEX(Bases!$C$2:$C$53,C831)=G831,"",INDEX(Bases!$C$2:$C$53,C831))</f>
        <v>Fairy</v>
      </c>
      <c r="I831" s="8" t="str">
        <f aca="false">IF(INDEX(Bases!$E$2:$E$53,B831)="","",INDEX(Bases!$E$2:$E$53,B831))</f>
        <v/>
      </c>
      <c r="J831" s="8" t="str">
        <f aca="false">IF(INDEX(Bases!$E$2:$E$53,C831)="","",INDEX(Bases!$E$2:$E$53,C831))</f>
        <v/>
      </c>
      <c r="K831" s="5"/>
      <c r="L831" s="2" t="n">
        <f aca="false">AE831+IF(SUMPRODUCT(--($AL831:$AQ831&gt;AL831))&lt;$AK831,1,0)</f>
        <v>75</v>
      </c>
      <c r="M831" s="2" t="n">
        <f aca="false">AF831+IF(SUMPRODUCT(--($AL831:$AQ831&gt;AM831))+SUMPRODUCT(--($AL831:AL831=AM831))&lt;$AK831,1,0)</f>
        <v>65</v>
      </c>
      <c r="N831" s="2" t="n">
        <f aca="false">AG831+IF(SUMPRODUCT(--($AL831:$AQ831&gt;AN831))+SUMPRODUCT(--($AL831:AM831=AN831))&lt;$AK831,1,0)</f>
        <v>109</v>
      </c>
      <c r="O831" s="2" t="n">
        <f aca="false">AH831+IF(SUMPRODUCT(--($AL831:$AQ831&gt;AO831))+SUMPRODUCT(--($AL831:AN831=AO831))&lt;$AK831,1,0)</f>
        <v>78</v>
      </c>
      <c r="P831" s="2" t="n">
        <f aca="false">AI831+IF(SUMPRODUCT(--($AL831:$AQ831&gt;AP831))+SUMPRODUCT(--($AL831:AO831=AP831))&lt;$AK831,1,0)</f>
        <v>109</v>
      </c>
      <c r="Q831" s="2" t="n">
        <f aca="false">AJ831+IF(SUMPRODUCT(--($AL831:$AQ831&gt;AQ831))+SUMPRODUCT(--($AL831:AP831=AQ831))&lt;$AK831,1,0)</f>
        <v>64</v>
      </c>
      <c r="R831" s="2" t="n">
        <f aca="false">SUM(L831:Q831)</f>
        <v>500</v>
      </c>
      <c r="S831" s="2" t="n">
        <f aca="false">Settings!$B$4*MAX(INDEX(Bases!$M$2:$M$53,B831),INDEX(Bases!$M$2:$M$53,C831))+Settings!$B$5*MIN(INDEX(Bases!$M$2:$M$53,B831),INDEX(Bases!$M$2:$M$53,C831))</f>
        <v>63.6666666666667</v>
      </c>
      <c r="T831" s="2" t="n">
        <f aca="false">Settings!$B$4*MAX(INDEX(Bases!$N$2:$N$53,B831),INDEX(Bases!$N$2:$N$53,C831))+Settings!$B$5*MIN(INDEX(Bases!$N$2:$N$53,B831),INDEX(Bases!$N$2:$N$53,C831))</f>
        <v>55.6666666666667</v>
      </c>
      <c r="U831" s="2" t="n">
        <f aca="false">Settings!$B$4*MAX(INDEX(Bases!$O$2:$O$53,B831),INDEX(Bases!$O$2:$O$53,C831))+Settings!$B$5*MIN(INDEX(Bases!$O$2:$O$53,B831),INDEX(Bases!$O$2:$O$53,C831))</f>
        <v>93</v>
      </c>
      <c r="V831" s="2" t="n">
        <f aca="false">Settings!$B$4*MAX(INDEX(Bases!$P$2:$P$53,B831),INDEX(Bases!$P$2:$P$53,C831))+Settings!$B$5*MIN(INDEX(Bases!$P$2:$P$53,B831),INDEX(Bases!$P$2:$P$53,C831))</f>
        <v>66.3333333333333</v>
      </c>
      <c r="W831" s="2" t="n">
        <f aca="false">Settings!$B$4*MAX(INDEX(Bases!$Q$2:$Q$53,B831),INDEX(Bases!$Q$2:$Q$53,C831))+Settings!$B$5*MIN(INDEX(Bases!$Q$2:$Q$53,B831),INDEX(Bases!$Q$2:$Q$53,C831))</f>
        <v>92.6666666666667</v>
      </c>
      <c r="X831" s="2" t="n">
        <f aca="false">Settings!$B$4*MAX(INDEX(Bases!$R$2:$R$53,B831),INDEX(Bases!$R$2:$R$53,C831))+Settings!$B$5*MIN(INDEX(Bases!$R$2:$R$53,B831),INDEX(Bases!$R$2:$R$53,C831))</f>
        <v>55</v>
      </c>
      <c r="Y831" s="2" t="n">
        <f aca="false">S831*Settings!$B$3/SUM(S831:X831)</f>
        <v>74.6677091477717</v>
      </c>
      <c r="Z831" s="2" t="n">
        <f aca="false">T831*Settings!$B$3/SUM(S831:X831)</f>
        <v>65.285379202502</v>
      </c>
      <c r="AA831" s="2" t="n">
        <f aca="false">U831*Settings!$B$3/SUM(S831:X831)</f>
        <v>109.069585613761</v>
      </c>
      <c r="AB831" s="2" t="n">
        <f aca="false">V831*Settings!$B$3/SUM(S831:X831)</f>
        <v>77.7951524628616</v>
      </c>
      <c r="AC831" s="2" t="n">
        <f aca="false">W831*Settings!$B$3/SUM(S831:X831)</f>
        <v>108.678655199375</v>
      </c>
      <c r="AD831" s="2" t="n">
        <f aca="false">X831*Settings!$B$3/SUM(S831:X831)</f>
        <v>64.5035183737295</v>
      </c>
      <c r="AE831" s="2" t="n">
        <f aca="false">INT(Y831)</f>
        <v>74</v>
      </c>
      <c r="AF831" s="2" t="n">
        <f aca="false">INT(Z831)</f>
        <v>65</v>
      </c>
      <c r="AG831" s="2" t="n">
        <f aca="false">INT(AA831)</f>
        <v>109</v>
      </c>
      <c r="AH831" s="2" t="n">
        <f aca="false">INT(AB831)</f>
        <v>77</v>
      </c>
      <c r="AI831" s="2" t="n">
        <f aca="false">INT(AC831)</f>
        <v>108</v>
      </c>
      <c r="AJ831" s="2" t="n">
        <f aca="false">INT(AD831)</f>
        <v>64</v>
      </c>
      <c r="AK831" s="2" t="n">
        <f aca="false">Settings!$B$3-SUM(AE831:AJ831)</f>
        <v>3</v>
      </c>
      <c r="AL831" s="2" t="n">
        <f aca="false">ROUND(Y831-AE831,9)</f>
        <v>0.667709148</v>
      </c>
      <c r="AM831" s="2" t="n">
        <f aca="false">ROUND(Z831-AF831,9)</f>
        <v>0.285379203</v>
      </c>
      <c r="AN831" s="2" t="n">
        <f aca="false">ROUND(AA831-AG831,9)</f>
        <v>0.069585614</v>
      </c>
      <c r="AO831" s="2" t="n">
        <f aca="false">ROUND(AB831-AH831,9)</f>
        <v>0.795152463</v>
      </c>
      <c r="AP831" s="2" t="n">
        <f aca="false">ROUND(AC831-AI831,9)</f>
        <v>0.678655199</v>
      </c>
      <c r="AQ831" s="2" t="n">
        <f aca="false">ROUND(AD831-AJ831,9)</f>
        <v>0.503518374</v>
      </c>
    </row>
    <row r="832" customFormat="false" ht="15" hidden="false" customHeight="false" outlineLevel="0" collapsed="false">
      <c r="A832" s="2" t="n">
        <v>831</v>
      </c>
      <c r="B832" s="6" t="n">
        <v>21</v>
      </c>
      <c r="C832" s="6" t="n">
        <v>22</v>
      </c>
      <c r="D832" s="8" t="str">
        <f aca="false">INDEX(Bases!$B$2:$B$53,B832)</f>
        <v>Makuhita</v>
      </c>
      <c r="E832" s="8" t="str">
        <f aca="false">INDEX(Bases!$B$2:$B$53,C832)</f>
        <v>Ekans</v>
      </c>
      <c r="F832" s="2" t="str">
        <f aca="false">LEFT(D832,ROUNDUP(LEN(D832)/2,0))&amp;LOWER(MID(E832,ROUNDUP(LEN(E832)/2,0)+1,20))</f>
        <v>Makuns</v>
      </c>
      <c r="G832" s="8" t="str">
        <f aca="false">INDEX(Bases!$C$2:$C$53,B832)</f>
        <v>Fighting</v>
      </c>
      <c r="H832" s="8" t="str">
        <f aca="false">IF(INDEX(Bases!$C$2:$C$53,C832)=G832,"",INDEX(Bases!$C$2:$C$53,C832))</f>
        <v>Poison</v>
      </c>
      <c r="I832" s="8" t="str">
        <f aca="false">IF(INDEX(Bases!$E$2:$E$53,B832)="","",INDEX(Bases!$E$2:$E$53,B832))</f>
        <v/>
      </c>
      <c r="J832" s="8" t="str">
        <f aca="false">IF(INDEX(Bases!$E$2:$E$53,C832)="","",INDEX(Bases!$E$2:$E$53,C832))</f>
        <v/>
      </c>
      <c r="K832" s="5"/>
      <c r="L832" s="2" t="n">
        <f aca="false">AE832+IF(SUMPRODUCT(--($AL832:$AQ832&gt;AL832))&lt;$AK832,1,0)</f>
        <v>113</v>
      </c>
      <c r="M832" s="2" t="n">
        <f aca="false">AF832+IF(SUMPRODUCT(--($AL832:$AQ832&gt;AM832))+SUMPRODUCT(--($AL832:AL832=AM832))&lt;$AK832,1,0)</f>
        <v>110</v>
      </c>
      <c r="N832" s="2" t="n">
        <f aca="false">AG832+IF(SUMPRODUCT(--($AL832:$AQ832&gt;AN832))+SUMPRODUCT(--($AL832:AM832=AN832))&lt;$AK832,1,0)</f>
        <v>67</v>
      </c>
      <c r="O832" s="2" t="n">
        <f aca="false">AH832+IF(SUMPRODUCT(--($AL832:$AQ832&gt;AO832))+SUMPRODUCT(--($AL832:AN832=AO832))&lt;$AK832,1,0)</f>
        <v>57</v>
      </c>
      <c r="P832" s="2" t="n">
        <f aca="false">AI832+IF(SUMPRODUCT(--($AL832:$AQ832&gt;AP832))+SUMPRODUCT(--($AL832:AO832=AP832))&lt;$AK832,1,0)</f>
        <v>78</v>
      </c>
      <c r="Q832" s="2" t="n">
        <f aca="false">AJ832+IF(SUMPRODUCT(--($AL832:$AQ832&gt;AQ832))+SUMPRODUCT(--($AL832:AP832=AQ832))&lt;$AK832,1,0)</f>
        <v>75</v>
      </c>
      <c r="R832" s="2" t="n">
        <f aca="false">SUM(L832:Q832)</f>
        <v>500</v>
      </c>
      <c r="S832" s="2" t="n">
        <f aca="false">Settings!$B$4*MAX(INDEX(Bases!$M$2:$M$53,B832),INDEX(Bases!$M$2:$M$53,C832))+Settings!$B$5*MIN(INDEX(Bases!$M$2:$M$53,B832),INDEX(Bases!$M$2:$M$53,C832))</f>
        <v>97</v>
      </c>
      <c r="T832" s="2" t="n">
        <f aca="false">Settings!$B$4*MAX(INDEX(Bases!$N$2:$N$53,B832),INDEX(Bases!$N$2:$N$53,C832))+Settings!$B$5*MIN(INDEX(Bases!$N$2:$N$53,B832),INDEX(Bases!$N$2:$N$53,C832))</f>
        <v>95</v>
      </c>
      <c r="U832" s="2" t="n">
        <f aca="false">Settings!$B$4*MAX(INDEX(Bases!$O$2:$O$53,B832),INDEX(Bases!$O$2:$O$53,C832))+Settings!$B$5*MIN(INDEX(Bases!$O$2:$O$53,B832),INDEX(Bases!$O$2:$O$53,C832))</f>
        <v>57.6666666666667</v>
      </c>
      <c r="V832" s="2" t="n">
        <f aca="false">Settings!$B$4*MAX(INDEX(Bases!$P$2:$P$53,B832),INDEX(Bases!$P$2:$P$53,C832))+Settings!$B$5*MIN(INDEX(Bases!$P$2:$P$53,B832),INDEX(Bases!$P$2:$P$53,C832))</f>
        <v>48.6666666666667</v>
      </c>
      <c r="W832" s="2" t="n">
        <f aca="false">Settings!$B$4*MAX(INDEX(Bases!$Q$2:$Q$53,B832),INDEX(Bases!$Q$2:$Q$53,C832))+Settings!$B$5*MIN(INDEX(Bases!$Q$2:$Q$53,B832),INDEX(Bases!$Q$2:$Q$53,C832))</f>
        <v>67</v>
      </c>
      <c r="X832" s="2" t="n">
        <f aca="false">Settings!$B$4*MAX(INDEX(Bases!$R$2:$R$53,B832),INDEX(Bases!$R$2:$R$53,C832))+Settings!$B$5*MIN(INDEX(Bases!$R$2:$R$53,B832),INDEX(Bases!$R$2:$R$53,C832))</f>
        <v>64.6666666666667</v>
      </c>
      <c r="Y832" s="2" t="n">
        <f aca="false">S832*Settings!$B$3/SUM(S832:X832)</f>
        <v>112.790697674419</v>
      </c>
      <c r="Z832" s="2" t="n">
        <f aca="false">T832*Settings!$B$3/SUM(S832:X832)</f>
        <v>110.46511627907</v>
      </c>
      <c r="AA832" s="2" t="n">
        <f aca="false">U832*Settings!$B$3/SUM(S832:X832)</f>
        <v>67.0542635658915</v>
      </c>
      <c r="AB832" s="2" t="n">
        <f aca="false">V832*Settings!$B$3/SUM(S832:X832)</f>
        <v>56.5891472868217</v>
      </c>
      <c r="AC832" s="2" t="n">
        <f aca="false">W832*Settings!$B$3/SUM(S832:X832)</f>
        <v>77.9069767441861</v>
      </c>
      <c r="AD832" s="2" t="n">
        <f aca="false">X832*Settings!$B$3/SUM(S832:X832)</f>
        <v>75.1937984496124</v>
      </c>
      <c r="AE832" s="2" t="n">
        <f aca="false">INT(Y832)</f>
        <v>112</v>
      </c>
      <c r="AF832" s="2" t="n">
        <f aca="false">INT(Z832)</f>
        <v>110</v>
      </c>
      <c r="AG832" s="2" t="n">
        <f aca="false">INT(AA832)</f>
        <v>67</v>
      </c>
      <c r="AH832" s="2" t="n">
        <f aca="false">INT(AB832)</f>
        <v>56</v>
      </c>
      <c r="AI832" s="2" t="n">
        <f aca="false">INT(AC832)</f>
        <v>77</v>
      </c>
      <c r="AJ832" s="2" t="n">
        <f aca="false">INT(AD832)</f>
        <v>75</v>
      </c>
      <c r="AK832" s="2" t="n">
        <f aca="false">Settings!$B$3-SUM(AE832:AJ832)</f>
        <v>3</v>
      </c>
      <c r="AL832" s="2" t="n">
        <f aca="false">ROUND(Y832-AE832,9)</f>
        <v>0.790697674</v>
      </c>
      <c r="AM832" s="2" t="n">
        <f aca="false">ROUND(Z832-AF832,9)</f>
        <v>0.465116279</v>
      </c>
      <c r="AN832" s="2" t="n">
        <f aca="false">ROUND(AA832-AG832,9)</f>
        <v>0.054263566</v>
      </c>
      <c r="AO832" s="2" t="n">
        <f aca="false">ROUND(AB832-AH832,9)</f>
        <v>0.589147287</v>
      </c>
      <c r="AP832" s="2" t="n">
        <f aca="false">ROUND(AC832-AI832,9)</f>
        <v>0.906976744</v>
      </c>
      <c r="AQ832" s="2" t="n">
        <f aca="false">ROUND(AD832-AJ832,9)</f>
        <v>0.19379845</v>
      </c>
    </row>
    <row r="833" customFormat="false" ht="15" hidden="false" customHeight="false" outlineLevel="0" collapsed="false">
      <c r="A833" s="2" t="n">
        <v>832</v>
      </c>
      <c r="B833" s="6" t="n">
        <v>21</v>
      </c>
      <c r="C833" s="6" t="n">
        <v>23</v>
      </c>
      <c r="D833" s="8" t="str">
        <f aca="false">INDEX(Bases!$B$2:$B$53,B833)</f>
        <v>Makuhita</v>
      </c>
      <c r="E833" s="8" t="str">
        <f aca="false">INDEX(Bases!$B$2:$B$53,C833)</f>
        <v>Gulpin</v>
      </c>
      <c r="F833" s="2" t="str">
        <f aca="false">LEFT(D833,ROUNDUP(LEN(D833)/2,0))&amp;LOWER(MID(E833,ROUNDUP(LEN(E833)/2,0)+1,20))</f>
        <v>Makupin</v>
      </c>
      <c r="G833" s="8" t="str">
        <f aca="false">INDEX(Bases!$C$2:$C$53,B833)</f>
        <v>Fighting</v>
      </c>
      <c r="H833" s="8" t="str">
        <f aca="false">IF(INDEX(Bases!$C$2:$C$53,C833)=G833,"",INDEX(Bases!$C$2:$C$53,C833))</f>
        <v>Poison</v>
      </c>
      <c r="I833" s="8" t="str">
        <f aca="false">IF(INDEX(Bases!$E$2:$E$53,B833)="","",INDEX(Bases!$E$2:$E$53,B833))</f>
        <v/>
      </c>
      <c r="J833" s="8" t="str">
        <f aca="false">IF(INDEX(Bases!$E$2:$E$53,C833)="","",INDEX(Bases!$E$2:$E$53,C833))</f>
        <v/>
      </c>
      <c r="K833" s="5"/>
      <c r="L833" s="2" t="n">
        <f aca="false">AE833+IF(SUMPRODUCT(--($AL833:$AQ833&gt;AL833))&lt;$AK833,1,0)</f>
        <v>132</v>
      </c>
      <c r="M833" s="2" t="n">
        <f aca="false">AF833+IF(SUMPRODUCT(--($AL833:$AQ833&gt;AM833))+SUMPRODUCT(--($AL833:AL833=AM833))&lt;$AK833,1,0)</f>
        <v>102</v>
      </c>
      <c r="N833" s="2" t="n">
        <f aca="false">AG833+IF(SUMPRODUCT(--($AL833:$AQ833&gt;AN833))+SUMPRODUCT(--($AL833:AM833=AN833))&lt;$AK833,1,0)</f>
        <v>75</v>
      </c>
      <c r="O833" s="2" t="n">
        <f aca="false">AH833+IF(SUMPRODUCT(--($AL833:$AQ833&gt;AO833))+SUMPRODUCT(--($AL833:AN833=AO833))&lt;$AK833,1,0)</f>
        <v>58</v>
      </c>
      <c r="P833" s="2" t="n">
        <f aca="false">AI833+IF(SUMPRODUCT(--($AL833:$AQ833&gt;AP833))+SUMPRODUCT(--($AL833:AO833=AP833))&lt;$AK833,1,0)</f>
        <v>75</v>
      </c>
      <c r="Q833" s="2" t="n">
        <f aca="false">AJ833+IF(SUMPRODUCT(--($AL833:$AQ833&gt;AQ833))+SUMPRODUCT(--($AL833:AP833=AQ833))&lt;$AK833,1,0)</f>
        <v>58</v>
      </c>
      <c r="R833" s="2" t="n">
        <f aca="false">SUM(L833:Q833)</f>
        <v>500</v>
      </c>
      <c r="S833" s="2" t="n">
        <f aca="false">Settings!$B$4*MAX(INDEX(Bases!$M$2:$M$53,B833),INDEX(Bases!$M$2:$M$53,C833))+Settings!$B$5*MIN(INDEX(Bases!$M$2:$M$53,B833),INDEX(Bases!$M$2:$M$53,C833))</f>
        <v>111.666666666667</v>
      </c>
      <c r="T833" s="2" t="n">
        <f aca="false">Settings!$B$4*MAX(INDEX(Bases!$N$2:$N$53,B833),INDEX(Bases!$N$2:$N$53,C833))+Settings!$B$5*MIN(INDEX(Bases!$N$2:$N$53,B833),INDEX(Bases!$N$2:$N$53,C833))</f>
        <v>86.3333333333333</v>
      </c>
      <c r="U833" s="2" t="n">
        <f aca="false">Settings!$B$4*MAX(INDEX(Bases!$O$2:$O$53,B833),INDEX(Bases!$O$2:$O$53,C833))+Settings!$B$5*MIN(INDEX(Bases!$O$2:$O$53,B833),INDEX(Bases!$O$2:$O$53,C833))</f>
        <v>63.6666666666667</v>
      </c>
      <c r="V833" s="2" t="n">
        <f aca="false">Settings!$B$4*MAX(INDEX(Bases!$P$2:$P$53,B833),INDEX(Bases!$P$2:$P$53,C833))+Settings!$B$5*MIN(INDEX(Bases!$P$2:$P$53,B833),INDEX(Bases!$P$2:$P$53,C833))</f>
        <v>49.3333333333333</v>
      </c>
      <c r="W833" s="2" t="n">
        <f aca="false">Settings!$B$4*MAX(INDEX(Bases!$Q$2:$Q$53,B833),INDEX(Bases!$Q$2:$Q$53,C833))+Settings!$B$5*MIN(INDEX(Bases!$Q$2:$Q$53,B833),INDEX(Bases!$Q$2:$Q$53,C833))</f>
        <v>63.6666666666667</v>
      </c>
      <c r="X833" s="2" t="n">
        <f aca="false">Settings!$B$4*MAX(INDEX(Bases!$R$2:$R$53,B833),INDEX(Bases!$R$2:$R$53,C833))+Settings!$B$5*MIN(INDEX(Bases!$R$2:$R$53,B833),INDEX(Bases!$R$2:$R$53,C833))</f>
        <v>49.3333333333333</v>
      </c>
      <c r="Y833" s="2" t="n">
        <f aca="false">S833*Settings!$B$3/SUM(S833:X833)</f>
        <v>131.682389937107</v>
      </c>
      <c r="Z833" s="2" t="n">
        <f aca="false">T833*Settings!$B$3/SUM(S833:X833)</f>
        <v>101.808176100629</v>
      </c>
      <c r="AA833" s="2" t="n">
        <f aca="false">U833*Settings!$B$3/SUM(S833:X833)</f>
        <v>75.0786163522013</v>
      </c>
      <c r="AB833" s="2" t="n">
        <f aca="false">V833*Settings!$B$3/SUM(S833:X833)</f>
        <v>58.1761006289308</v>
      </c>
      <c r="AC833" s="2" t="n">
        <f aca="false">W833*Settings!$B$3/SUM(S833:X833)</f>
        <v>75.0786163522013</v>
      </c>
      <c r="AD833" s="2" t="n">
        <f aca="false">X833*Settings!$B$3/SUM(S833:X833)</f>
        <v>58.1761006289308</v>
      </c>
      <c r="AE833" s="2" t="n">
        <f aca="false">INT(Y833)</f>
        <v>131</v>
      </c>
      <c r="AF833" s="2" t="n">
        <f aca="false">INT(Z833)</f>
        <v>101</v>
      </c>
      <c r="AG833" s="2" t="n">
        <f aca="false">INT(AA833)</f>
        <v>75</v>
      </c>
      <c r="AH833" s="2" t="n">
        <f aca="false">INT(AB833)</f>
        <v>58</v>
      </c>
      <c r="AI833" s="2" t="n">
        <f aca="false">INT(AC833)</f>
        <v>75</v>
      </c>
      <c r="AJ833" s="2" t="n">
        <f aca="false">INT(AD833)</f>
        <v>58</v>
      </c>
      <c r="AK833" s="2" t="n">
        <f aca="false">Settings!$B$3-SUM(AE833:AJ833)</f>
        <v>2</v>
      </c>
      <c r="AL833" s="2" t="n">
        <f aca="false">ROUND(Y833-AE833,9)</f>
        <v>0.682389937</v>
      </c>
      <c r="AM833" s="2" t="n">
        <f aca="false">ROUND(Z833-AF833,9)</f>
        <v>0.808176101</v>
      </c>
      <c r="AN833" s="2" t="n">
        <f aca="false">ROUND(AA833-AG833,9)</f>
        <v>0.078616352</v>
      </c>
      <c r="AO833" s="2" t="n">
        <f aca="false">ROUND(AB833-AH833,9)</f>
        <v>0.176100629</v>
      </c>
      <c r="AP833" s="2" t="n">
        <f aca="false">ROUND(AC833-AI833,9)</f>
        <v>0.078616352</v>
      </c>
      <c r="AQ833" s="2" t="n">
        <f aca="false">ROUND(AD833-AJ833,9)</f>
        <v>0.176100629</v>
      </c>
    </row>
    <row r="834" customFormat="false" ht="15" hidden="false" customHeight="false" outlineLevel="0" collapsed="false">
      <c r="A834" s="2" t="n">
        <v>833</v>
      </c>
      <c r="B834" s="6" t="n">
        <v>21</v>
      </c>
      <c r="C834" s="6" t="n">
        <v>24</v>
      </c>
      <c r="D834" s="8" t="str">
        <f aca="false">INDEX(Bases!$B$2:$B$53,B834)</f>
        <v>Makuhita</v>
      </c>
      <c r="E834" s="8" t="str">
        <f aca="false">INDEX(Bases!$B$2:$B$53,C834)</f>
        <v>Koffing</v>
      </c>
      <c r="F834" s="2" t="str">
        <f aca="false">LEFT(D834,ROUNDUP(LEN(D834)/2,0))&amp;LOWER(MID(E834,ROUNDUP(LEN(E834)/2,0)+1,20))</f>
        <v>Makuing</v>
      </c>
      <c r="G834" s="8" t="str">
        <f aca="false">INDEX(Bases!$C$2:$C$53,B834)</f>
        <v>Fighting</v>
      </c>
      <c r="H834" s="8" t="str">
        <f aca="false">IF(INDEX(Bases!$C$2:$C$53,C834)=G834,"",INDEX(Bases!$C$2:$C$53,C834))</f>
        <v>Poison</v>
      </c>
      <c r="I834" s="8" t="str">
        <f aca="false">IF(INDEX(Bases!$E$2:$E$53,B834)="","",INDEX(Bases!$E$2:$E$53,B834))</f>
        <v/>
      </c>
      <c r="J834" s="8" t="str">
        <f aca="false">IF(INDEX(Bases!$E$2:$E$53,C834)="","",INDEX(Bases!$E$2:$E$53,C834))</f>
        <v/>
      </c>
      <c r="K834" s="5"/>
      <c r="L834" s="2" t="n">
        <f aca="false">AE834+IF(SUMPRODUCT(--($AL834:$AQ834&gt;AL834))&lt;$AK834,1,0)</f>
        <v>111</v>
      </c>
      <c r="M834" s="2" t="n">
        <f aca="false">AF834+IF(SUMPRODUCT(--($AL834:$AQ834&gt;AM834))+SUMPRODUCT(--($AL834:AL834=AM834))&lt;$AK834,1,0)</f>
        <v>107</v>
      </c>
      <c r="N834" s="2" t="n">
        <f aca="false">AG834+IF(SUMPRODUCT(--($AL834:$AQ834&gt;AN834))+SUMPRODUCT(--($AL834:AM834=AN834))&lt;$AK834,1,0)</f>
        <v>106</v>
      </c>
      <c r="O834" s="2" t="n">
        <f aca="false">AH834+IF(SUMPRODUCT(--($AL834:$AQ834&gt;AO834))+SUMPRODUCT(--($AL834:AN834=AO834))&lt;$AK834,1,0)</f>
        <v>68</v>
      </c>
      <c r="P834" s="2" t="n">
        <f aca="false">AI834+IF(SUMPRODUCT(--($AL834:$AQ834&gt;AP834))+SUMPRODUCT(--($AL834:AO834=AP834))&lt;$AK834,1,0)</f>
        <v>60</v>
      </c>
      <c r="Q834" s="2" t="n">
        <f aca="false">AJ834+IF(SUMPRODUCT(--($AL834:$AQ834&gt;AQ834))+SUMPRODUCT(--($AL834:AP834=AQ834))&lt;$AK834,1,0)</f>
        <v>48</v>
      </c>
      <c r="R834" s="2" t="n">
        <f aca="false">SUM(L834:Q834)</f>
        <v>500</v>
      </c>
      <c r="S834" s="2" t="n">
        <f aca="false">Settings!$B$4*MAX(INDEX(Bases!$M$2:$M$53,B834),INDEX(Bases!$M$2:$M$53,C834))+Settings!$B$5*MIN(INDEX(Bases!$M$2:$M$53,B834),INDEX(Bases!$M$2:$M$53,C834))</f>
        <v>96.3333333333333</v>
      </c>
      <c r="T834" s="2" t="n">
        <f aca="false">Settings!$B$4*MAX(INDEX(Bases!$N$2:$N$53,B834),INDEX(Bases!$N$2:$N$53,C834))+Settings!$B$5*MIN(INDEX(Bases!$N$2:$N$53,B834),INDEX(Bases!$N$2:$N$53,C834))</f>
        <v>92.6666666666667</v>
      </c>
      <c r="U834" s="2" t="n">
        <f aca="false">Settings!$B$4*MAX(INDEX(Bases!$O$2:$O$53,B834),INDEX(Bases!$O$2:$O$53,C834))+Settings!$B$5*MIN(INDEX(Bases!$O$2:$O$53,B834),INDEX(Bases!$O$2:$O$53,C834))</f>
        <v>91.6666666666667</v>
      </c>
      <c r="V834" s="2" t="n">
        <f aca="false">Settings!$B$4*MAX(INDEX(Bases!$P$2:$P$53,B834),INDEX(Bases!$P$2:$P$53,C834))+Settings!$B$5*MIN(INDEX(Bases!$P$2:$P$53,B834),INDEX(Bases!$P$2:$P$53,C834))</f>
        <v>58.6666666666667</v>
      </c>
      <c r="W834" s="2" t="n">
        <f aca="false">Settings!$B$4*MAX(INDEX(Bases!$Q$2:$Q$53,B834),INDEX(Bases!$Q$2:$Q$53,C834))+Settings!$B$5*MIN(INDEX(Bases!$Q$2:$Q$53,B834),INDEX(Bases!$Q$2:$Q$53,C834))</f>
        <v>52.3333333333333</v>
      </c>
      <c r="X834" s="2" t="n">
        <f aca="false">Settings!$B$4*MAX(INDEX(Bases!$R$2:$R$53,B834),INDEX(Bases!$R$2:$R$53,C834))+Settings!$B$5*MIN(INDEX(Bases!$R$2:$R$53,B834),INDEX(Bases!$R$2:$R$53,C834))</f>
        <v>41.6666666666667</v>
      </c>
      <c r="Y834" s="2" t="n">
        <f aca="false">S834*Settings!$B$3/SUM(S834:X834)</f>
        <v>111.153846153846</v>
      </c>
      <c r="Z834" s="2" t="n">
        <f aca="false">T834*Settings!$B$3/SUM(S834:X834)</f>
        <v>106.923076923077</v>
      </c>
      <c r="AA834" s="2" t="n">
        <f aca="false">U834*Settings!$B$3/SUM(S834:X834)</f>
        <v>105.769230769231</v>
      </c>
      <c r="AB834" s="2" t="n">
        <f aca="false">V834*Settings!$B$3/SUM(S834:X834)</f>
        <v>67.6923076923077</v>
      </c>
      <c r="AC834" s="2" t="n">
        <f aca="false">W834*Settings!$B$3/SUM(S834:X834)</f>
        <v>60.3846153846154</v>
      </c>
      <c r="AD834" s="2" t="n">
        <f aca="false">X834*Settings!$B$3/SUM(S834:X834)</f>
        <v>48.0769230769231</v>
      </c>
      <c r="AE834" s="2" t="n">
        <f aca="false">INT(Y834)</f>
        <v>111</v>
      </c>
      <c r="AF834" s="2" t="n">
        <f aca="false">INT(Z834)</f>
        <v>106</v>
      </c>
      <c r="AG834" s="2" t="n">
        <f aca="false">INT(AA834)</f>
        <v>105</v>
      </c>
      <c r="AH834" s="2" t="n">
        <f aca="false">INT(AB834)</f>
        <v>67</v>
      </c>
      <c r="AI834" s="2" t="n">
        <f aca="false">INT(AC834)</f>
        <v>60</v>
      </c>
      <c r="AJ834" s="2" t="n">
        <f aca="false">INT(AD834)</f>
        <v>48</v>
      </c>
      <c r="AK834" s="2" t="n">
        <f aca="false">Settings!$B$3-SUM(AE834:AJ834)</f>
        <v>3</v>
      </c>
      <c r="AL834" s="2" t="n">
        <f aca="false">ROUND(Y834-AE834,9)</f>
        <v>0.153846154</v>
      </c>
      <c r="AM834" s="2" t="n">
        <f aca="false">ROUND(Z834-AF834,9)</f>
        <v>0.923076923</v>
      </c>
      <c r="AN834" s="2" t="n">
        <f aca="false">ROUND(AA834-AG834,9)</f>
        <v>0.769230769</v>
      </c>
      <c r="AO834" s="2" t="n">
        <f aca="false">ROUND(AB834-AH834,9)</f>
        <v>0.692307692</v>
      </c>
      <c r="AP834" s="2" t="n">
        <f aca="false">ROUND(AC834-AI834,9)</f>
        <v>0.384615385</v>
      </c>
      <c r="AQ834" s="2" t="n">
        <f aca="false">ROUND(AD834-AJ834,9)</f>
        <v>0.076923077</v>
      </c>
    </row>
    <row r="835" customFormat="false" ht="15" hidden="false" customHeight="false" outlineLevel="0" collapsed="false">
      <c r="A835" s="2" t="n">
        <v>834</v>
      </c>
      <c r="B835" s="6" t="n">
        <v>21</v>
      </c>
      <c r="C835" s="6" t="n">
        <v>25</v>
      </c>
      <c r="D835" s="8" t="str">
        <f aca="false">INDEX(Bases!$B$2:$B$53,B835)</f>
        <v>Makuhita</v>
      </c>
      <c r="E835" s="8" t="str">
        <f aca="false">INDEX(Bases!$B$2:$B$53,C835)</f>
        <v>Sandshrew</v>
      </c>
      <c r="F835" s="2" t="str">
        <f aca="false">LEFT(D835,ROUNDUP(LEN(D835)/2,0))&amp;LOWER(MID(E835,ROUNDUP(LEN(E835)/2,0)+1,20))</f>
        <v>Makuhrew</v>
      </c>
      <c r="G835" s="8" t="str">
        <f aca="false">INDEX(Bases!$C$2:$C$53,B835)</f>
        <v>Fighting</v>
      </c>
      <c r="H835" s="8" t="str">
        <f aca="false">IF(INDEX(Bases!$C$2:$C$53,C835)=G835,"",INDEX(Bases!$C$2:$C$53,C835))</f>
        <v>Ground</v>
      </c>
      <c r="I835" s="8" t="str">
        <f aca="false">IF(INDEX(Bases!$E$2:$E$53,B835)="","",INDEX(Bases!$E$2:$E$53,B835))</f>
        <v/>
      </c>
      <c r="J835" s="8" t="str">
        <f aca="false">IF(INDEX(Bases!$E$2:$E$53,C835)="","",INDEX(Bases!$E$2:$E$53,C835))</f>
        <v/>
      </c>
      <c r="K835" s="5"/>
      <c r="L835" s="2" t="n">
        <f aca="false">AE835+IF(SUMPRODUCT(--($AL835:$AQ835&gt;AL835))&lt;$AK835,1,0)</f>
        <v>121</v>
      </c>
      <c r="M835" s="2" t="n">
        <f aca="false">AF835+IF(SUMPRODUCT(--($AL835:$AQ835&gt;AM835))+SUMPRODUCT(--($AL835:AL835=AM835))&lt;$AK835,1,0)</f>
        <v>119</v>
      </c>
      <c r="N835" s="2" t="n">
        <f aca="false">AG835+IF(SUMPRODUCT(--($AL835:$AQ835&gt;AN835))+SUMPRODUCT(--($AL835:AM835=AN835))&lt;$AK835,1,0)</f>
        <v>109</v>
      </c>
      <c r="O835" s="2" t="n">
        <f aca="false">AH835+IF(SUMPRODUCT(--($AL835:$AQ835&gt;AO835))+SUMPRODUCT(--($AL835:AN835=AO835))&lt;$AK835,1,0)</f>
        <v>37</v>
      </c>
      <c r="P835" s="2" t="n">
        <f aca="false">AI835+IF(SUMPRODUCT(--($AL835:$AQ835&gt;AP835))+SUMPRODUCT(--($AL835:AO835=AP835))&lt;$AK835,1,0)</f>
        <v>56</v>
      </c>
      <c r="Q835" s="2" t="n">
        <f aca="false">AJ835+IF(SUMPRODUCT(--($AL835:$AQ835&gt;AQ835))+SUMPRODUCT(--($AL835:AP835=AQ835))&lt;$AK835,1,0)</f>
        <v>58</v>
      </c>
      <c r="R835" s="2" t="n">
        <f aca="false">SUM(L835:Q835)</f>
        <v>500</v>
      </c>
      <c r="S835" s="2" t="n">
        <f aca="false">Settings!$B$4*MAX(INDEX(Bases!$M$2:$M$53,B835),INDEX(Bases!$M$2:$M$53,C835))+Settings!$B$5*MIN(INDEX(Bases!$M$2:$M$53,B835),INDEX(Bases!$M$2:$M$53,C835))</f>
        <v>103</v>
      </c>
      <c r="T835" s="2" t="n">
        <f aca="false">Settings!$B$4*MAX(INDEX(Bases!$N$2:$N$53,B835),INDEX(Bases!$N$2:$N$53,C835))+Settings!$B$5*MIN(INDEX(Bases!$N$2:$N$53,B835),INDEX(Bases!$N$2:$N$53,C835))</f>
        <v>100.666666666667</v>
      </c>
      <c r="U835" s="2" t="n">
        <f aca="false">Settings!$B$4*MAX(INDEX(Bases!$O$2:$O$53,B835),INDEX(Bases!$O$2:$O$53,C835))+Settings!$B$5*MIN(INDEX(Bases!$O$2:$O$53,B835),INDEX(Bases!$O$2:$O$53,C835))</f>
        <v>92.3333333333333</v>
      </c>
      <c r="V835" s="2" t="n">
        <f aca="false">Settings!$B$4*MAX(INDEX(Bases!$P$2:$P$53,B835),INDEX(Bases!$P$2:$P$53,C835))+Settings!$B$5*MIN(INDEX(Bases!$P$2:$P$53,B835),INDEX(Bases!$P$2:$P$53,C835))</f>
        <v>31.6666666666667</v>
      </c>
      <c r="W835" s="2" t="n">
        <f aca="false">Settings!$B$4*MAX(INDEX(Bases!$Q$2:$Q$53,B835),INDEX(Bases!$Q$2:$Q$53,C835))+Settings!$B$5*MIN(INDEX(Bases!$Q$2:$Q$53,B835),INDEX(Bases!$Q$2:$Q$53,C835))</f>
        <v>47.3333333333333</v>
      </c>
      <c r="X835" s="2" t="n">
        <f aca="false">Settings!$B$4*MAX(INDEX(Bases!$R$2:$R$53,B835),INDEX(Bases!$R$2:$R$53,C835))+Settings!$B$5*MIN(INDEX(Bases!$R$2:$R$53,B835),INDEX(Bases!$R$2:$R$53,C835))</f>
        <v>49.3333333333333</v>
      </c>
      <c r="Y835" s="2" t="n">
        <f aca="false">S835*Settings!$B$3/SUM(S835:X835)</f>
        <v>121.366849960723</v>
      </c>
      <c r="Z835" s="2" t="n">
        <f aca="false">T835*Settings!$B$3/SUM(S835:X835)</f>
        <v>118.617439120189</v>
      </c>
      <c r="AA835" s="2" t="n">
        <f aca="false">U835*Settings!$B$3/SUM(S835:X835)</f>
        <v>108.798114689709</v>
      </c>
      <c r="AB835" s="2" t="n">
        <f aca="false">V835*Settings!$B$3/SUM(S835:X835)</f>
        <v>37.3134328358209</v>
      </c>
      <c r="AC835" s="2" t="n">
        <f aca="false">W835*Settings!$B$3/SUM(S835:X835)</f>
        <v>55.7737627651218</v>
      </c>
      <c r="AD835" s="2" t="n">
        <f aca="false">X835*Settings!$B$3/SUM(S835:X835)</f>
        <v>58.1304006284368</v>
      </c>
      <c r="AE835" s="2" t="n">
        <f aca="false">INT(Y835)</f>
        <v>121</v>
      </c>
      <c r="AF835" s="2" t="n">
        <f aca="false">INT(Z835)</f>
        <v>118</v>
      </c>
      <c r="AG835" s="2" t="n">
        <f aca="false">INT(AA835)</f>
        <v>108</v>
      </c>
      <c r="AH835" s="2" t="n">
        <f aca="false">INT(AB835)</f>
        <v>37</v>
      </c>
      <c r="AI835" s="2" t="n">
        <f aca="false">INT(AC835)</f>
        <v>55</v>
      </c>
      <c r="AJ835" s="2" t="n">
        <f aca="false">INT(AD835)</f>
        <v>58</v>
      </c>
      <c r="AK835" s="2" t="n">
        <f aca="false">Settings!$B$3-SUM(AE835:AJ835)</f>
        <v>3</v>
      </c>
      <c r="AL835" s="2" t="n">
        <f aca="false">ROUND(Y835-AE835,9)</f>
        <v>0.366849961</v>
      </c>
      <c r="AM835" s="2" t="n">
        <f aca="false">ROUND(Z835-AF835,9)</f>
        <v>0.61743912</v>
      </c>
      <c r="AN835" s="2" t="n">
        <f aca="false">ROUND(AA835-AG835,9)</f>
        <v>0.79811469</v>
      </c>
      <c r="AO835" s="2" t="n">
        <f aca="false">ROUND(AB835-AH835,9)</f>
        <v>0.313432836</v>
      </c>
      <c r="AP835" s="2" t="n">
        <f aca="false">ROUND(AC835-AI835,9)</f>
        <v>0.773762765</v>
      </c>
      <c r="AQ835" s="2" t="n">
        <f aca="false">ROUND(AD835-AJ835,9)</f>
        <v>0.130400628</v>
      </c>
    </row>
    <row r="836" customFormat="false" ht="15" hidden="false" customHeight="false" outlineLevel="0" collapsed="false">
      <c r="A836" s="2" t="n">
        <v>835</v>
      </c>
      <c r="B836" s="6" t="n">
        <v>21</v>
      </c>
      <c r="C836" s="6" t="n">
        <v>26</v>
      </c>
      <c r="D836" s="8" t="str">
        <f aca="false">INDEX(Bases!$B$2:$B$53,B836)</f>
        <v>Makuhita</v>
      </c>
      <c r="E836" s="8" t="str">
        <f aca="false">INDEX(Bases!$B$2:$B$53,C836)</f>
        <v>Phanpy</v>
      </c>
      <c r="F836" s="2" t="str">
        <f aca="false">LEFT(D836,ROUNDUP(LEN(D836)/2,0))&amp;LOWER(MID(E836,ROUNDUP(LEN(E836)/2,0)+1,20))</f>
        <v>Makunpy</v>
      </c>
      <c r="G836" s="8" t="str">
        <f aca="false">INDEX(Bases!$C$2:$C$53,B836)</f>
        <v>Fighting</v>
      </c>
      <c r="H836" s="8" t="str">
        <f aca="false">IF(INDEX(Bases!$C$2:$C$53,C836)=G836,"",INDEX(Bases!$C$2:$C$53,C836))</f>
        <v>Ground</v>
      </c>
      <c r="I836" s="8" t="str">
        <f aca="false">IF(INDEX(Bases!$E$2:$E$53,B836)="","",INDEX(Bases!$E$2:$E$53,B836))</f>
        <v/>
      </c>
      <c r="J836" s="8" t="str">
        <f aca="false">IF(INDEX(Bases!$E$2:$E$53,C836)="","",INDEX(Bases!$E$2:$E$53,C836))</f>
        <v/>
      </c>
      <c r="K836" s="5"/>
      <c r="L836" s="2" t="n">
        <f aca="false">AE836+IF(SUMPRODUCT(--($AL836:$AQ836&gt;AL836))&lt;$AK836,1,0)</f>
        <v>141</v>
      </c>
      <c r="M836" s="2" t="n">
        <f aca="false">AF836+IF(SUMPRODUCT(--($AL836:$AQ836&gt;AM836))+SUMPRODUCT(--($AL836:AL836=AM836))&lt;$AK836,1,0)</f>
        <v>111</v>
      </c>
      <c r="N836" s="2" t="n">
        <f aca="false">AG836+IF(SUMPRODUCT(--($AL836:$AQ836&gt;AN836))+SUMPRODUCT(--($AL836:AM836=AN836))&lt;$AK836,1,0)</f>
        <v>79</v>
      </c>
      <c r="O836" s="2" t="n">
        <f aca="false">AH836+IF(SUMPRODUCT(--($AL836:$AQ836&gt;AO836))+SUMPRODUCT(--($AL836:AN836=AO836))&lt;$AK836,1,0)</f>
        <v>53</v>
      </c>
      <c r="P836" s="2" t="n">
        <f aca="false">AI836+IF(SUMPRODUCT(--($AL836:$AQ836&gt;AP836))+SUMPRODUCT(--($AL836:AO836=AP836))&lt;$AK836,1,0)</f>
        <v>60</v>
      </c>
      <c r="Q836" s="2" t="n">
        <f aca="false">AJ836+IF(SUMPRODUCT(--($AL836:$AQ836&gt;AQ836))+SUMPRODUCT(--($AL836:AP836=AQ836))&lt;$AK836,1,0)</f>
        <v>56</v>
      </c>
      <c r="R836" s="2" t="n">
        <f aca="false">SUM(L836:Q836)</f>
        <v>500</v>
      </c>
      <c r="S836" s="2" t="n">
        <f aca="false">Settings!$B$4*MAX(INDEX(Bases!$M$2:$M$53,B836),INDEX(Bases!$M$2:$M$53,C836))+Settings!$B$5*MIN(INDEX(Bases!$M$2:$M$53,B836),INDEX(Bases!$M$2:$M$53,C836))</f>
        <v>117</v>
      </c>
      <c r="T836" s="2" t="n">
        <f aca="false">Settings!$B$4*MAX(INDEX(Bases!$N$2:$N$53,B836),INDEX(Bases!$N$2:$N$53,C836))+Settings!$B$5*MIN(INDEX(Bases!$N$2:$N$53,B836),INDEX(Bases!$N$2:$N$53,C836))</f>
        <v>91.6666666666667</v>
      </c>
      <c r="U836" s="2" t="n">
        <f aca="false">Settings!$B$4*MAX(INDEX(Bases!$O$2:$O$53,B836),INDEX(Bases!$O$2:$O$53,C836))+Settings!$B$5*MIN(INDEX(Bases!$O$2:$O$53,B836),INDEX(Bases!$O$2:$O$53,C836))</f>
        <v>65.6666666666667</v>
      </c>
      <c r="V836" s="2" t="n">
        <f aca="false">Settings!$B$4*MAX(INDEX(Bases!$P$2:$P$53,B836),INDEX(Bases!$P$2:$P$53,C836))+Settings!$B$5*MIN(INDEX(Bases!$P$2:$P$53,B836),INDEX(Bases!$P$2:$P$53,C836))</f>
        <v>44</v>
      </c>
      <c r="W836" s="2" t="n">
        <f aca="false">Settings!$B$4*MAX(INDEX(Bases!$Q$2:$Q$53,B836),INDEX(Bases!$Q$2:$Q$53,C836))+Settings!$B$5*MIN(INDEX(Bases!$Q$2:$Q$53,B836),INDEX(Bases!$Q$2:$Q$53,C836))</f>
        <v>50</v>
      </c>
      <c r="X836" s="2" t="n">
        <f aca="false">Settings!$B$4*MAX(INDEX(Bases!$R$2:$R$53,B836),INDEX(Bases!$R$2:$R$53,C836))+Settings!$B$5*MIN(INDEX(Bases!$R$2:$R$53,B836),INDEX(Bases!$R$2:$R$53,C836))</f>
        <v>46</v>
      </c>
      <c r="Y836" s="2" t="n">
        <f aca="false">S836*Settings!$B$3/SUM(S836:X836)</f>
        <v>141.19066773934</v>
      </c>
      <c r="Z836" s="2" t="n">
        <f aca="false">T836*Settings!$B$3/SUM(S836:X836)</f>
        <v>110.619469026549</v>
      </c>
      <c r="AA836" s="2" t="n">
        <f aca="false">U836*Settings!$B$3/SUM(S836:X836)</f>
        <v>79.2437650844731</v>
      </c>
      <c r="AB836" s="2" t="n">
        <f aca="false">V836*Settings!$B$3/SUM(S836:X836)</f>
        <v>53.0973451327434</v>
      </c>
      <c r="AC836" s="2" t="n">
        <f aca="false">W836*Settings!$B$3/SUM(S836:X836)</f>
        <v>60.3378921962993</v>
      </c>
      <c r="AD836" s="2" t="n">
        <f aca="false">X836*Settings!$B$3/SUM(S836:X836)</f>
        <v>55.5108608205953</v>
      </c>
      <c r="AE836" s="2" t="n">
        <f aca="false">INT(Y836)</f>
        <v>141</v>
      </c>
      <c r="AF836" s="2" t="n">
        <f aca="false">INT(Z836)</f>
        <v>110</v>
      </c>
      <c r="AG836" s="2" t="n">
        <f aca="false">INT(AA836)</f>
        <v>79</v>
      </c>
      <c r="AH836" s="2" t="n">
        <f aca="false">INT(AB836)</f>
        <v>53</v>
      </c>
      <c r="AI836" s="2" t="n">
        <f aca="false">INT(AC836)</f>
        <v>60</v>
      </c>
      <c r="AJ836" s="2" t="n">
        <f aca="false">INT(AD836)</f>
        <v>55</v>
      </c>
      <c r="AK836" s="2" t="n">
        <f aca="false">Settings!$B$3-SUM(AE836:AJ836)</f>
        <v>2</v>
      </c>
      <c r="AL836" s="2" t="n">
        <f aca="false">ROUND(Y836-AE836,9)</f>
        <v>0.190667739</v>
      </c>
      <c r="AM836" s="2" t="n">
        <f aca="false">ROUND(Z836-AF836,9)</f>
        <v>0.619469027</v>
      </c>
      <c r="AN836" s="2" t="n">
        <f aca="false">ROUND(AA836-AG836,9)</f>
        <v>0.243765084</v>
      </c>
      <c r="AO836" s="2" t="n">
        <f aca="false">ROUND(AB836-AH836,9)</f>
        <v>0.097345133</v>
      </c>
      <c r="AP836" s="2" t="n">
        <f aca="false">ROUND(AC836-AI836,9)</f>
        <v>0.337892196</v>
      </c>
      <c r="AQ836" s="2" t="n">
        <f aca="false">ROUND(AD836-AJ836,9)</f>
        <v>0.510860821</v>
      </c>
    </row>
    <row r="837" customFormat="false" ht="15" hidden="false" customHeight="false" outlineLevel="0" collapsed="false">
      <c r="A837" s="2" t="n">
        <v>836</v>
      </c>
      <c r="B837" s="6" t="n">
        <v>21</v>
      </c>
      <c r="C837" s="6" t="n">
        <v>27</v>
      </c>
      <c r="D837" s="8" t="str">
        <f aca="false">INDEX(Bases!$B$2:$B$53,B837)</f>
        <v>Makuhita</v>
      </c>
      <c r="E837" s="8" t="str">
        <f aca="false">INDEX(Bases!$B$2:$B$53,C837)</f>
        <v>Baltoy</v>
      </c>
      <c r="F837" s="2" t="str">
        <f aca="false">LEFT(D837,ROUNDUP(LEN(D837)/2,0))&amp;LOWER(MID(E837,ROUNDUP(LEN(E837)/2,0)+1,20))</f>
        <v>Makutoy</v>
      </c>
      <c r="G837" s="8" t="str">
        <f aca="false">INDEX(Bases!$C$2:$C$53,B837)</f>
        <v>Fighting</v>
      </c>
      <c r="H837" s="8" t="str">
        <f aca="false">IF(INDEX(Bases!$C$2:$C$53,C837)=G837,"",INDEX(Bases!$C$2:$C$53,C837))</f>
        <v>Ground</v>
      </c>
      <c r="I837" s="8" t="str">
        <f aca="false">IF(INDEX(Bases!$E$2:$E$53,B837)="","",INDEX(Bases!$E$2:$E$53,B837))</f>
        <v/>
      </c>
      <c r="J837" s="8" t="str">
        <f aca="false">IF(INDEX(Bases!$E$2:$E$53,C837)="","",INDEX(Bases!$E$2:$E$53,C837))</f>
        <v/>
      </c>
      <c r="K837" s="5"/>
      <c r="L837" s="2" t="n">
        <f aca="false">AE837+IF(SUMPRODUCT(--($AL837:$AQ837&gt;AL837))&lt;$AK837,1,0)</f>
        <v>113</v>
      </c>
      <c r="M837" s="2" t="n">
        <f aca="false">AF837+IF(SUMPRODUCT(--($AL837:$AQ837&gt;AM837))+SUMPRODUCT(--($AL837:AL837=AM837))&lt;$AK837,1,0)</f>
        <v>97</v>
      </c>
      <c r="N837" s="2" t="n">
        <f aca="false">AG837+IF(SUMPRODUCT(--($AL837:$AQ837&gt;AN837))+SUMPRODUCT(--($AL837:AM837=AN837))&lt;$AK837,1,0)</f>
        <v>75</v>
      </c>
      <c r="O837" s="2" t="n">
        <f aca="false">AH837+IF(SUMPRODUCT(--($AL837:$AQ837&gt;AO837))+SUMPRODUCT(--($AL837:AN837=AO837))&lt;$AK837,1,0)</f>
        <v>53</v>
      </c>
      <c r="P837" s="2" t="n">
        <f aca="false">AI837+IF(SUMPRODUCT(--($AL837:$AQ837&gt;AP837))+SUMPRODUCT(--($AL837:AO837=AP837))&lt;$AK837,1,0)</f>
        <v>90</v>
      </c>
      <c r="Q837" s="2" t="n">
        <f aca="false">AJ837+IF(SUMPRODUCT(--($AL837:$AQ837&gt;AQ837))+SUMPRODUCT(--($AL837:AP837=AQ837))&lt;$AK837,1,0)</f>
        <v>72</v>
      </c>
      <c r="R837" s="2" t="n">
        <f aca="false">SUM(L837:Q837)</f>
        <v>500</v>
      </c>
      <c r="S837" s="2" t="n">
        <f aca="false">Settings!$B$4*MAX(INDEX(Bases!$M$2:$M$53,B837),INDEX(Bases!$M$2:$M$53,C837))+Settings!$B$5*MIN(INDEX(Bases!$M$2:$M$53,B837),INDEX(Bases!$M$2:$M$53,C837))</f>
        <v>98.6666666666667</v>
      </c>
      <c r="T837" s="2" t="n">
        <f aca="false">Settings!$B$4*MAX(INDEX(Bases!$N$2:$N$53,B837),INDEX(Bases!$N$2:$N$53,C837))+Settings!$B$5*MIN(INDEX(Bases!$N$2:$N$53,B837),INDEX(Bases!$N$2:$N$53,C837))</f>
        <v>85.3333333333333</v>
      </c>
      <c r="U837" s="2" t="n">
        <f aca="false">Settings!$B$4*MAX(INDEX(Bases!$O$2:$O$53,B837),INDEX(Bases!$O$2:$O$53,C837))+Settings!$B$5*MIN(INDEX(Bases!$O$2:$O$53,B837),INDEX(Bases!$O$2:$O$53,C837))</f>
        <v>65.6666666666667</v>
      </c>
      <c r="V837" s="2" t="n">
        <f aca="false">Settings!$B$4*MAX(INDEX(Bases!$P$2:$P$53,B837),INDEX(Bases!$P$2:$P$53,C837))+Settings!$B$5*MIN(INDEX(Bases!$P$2:$P$53,B837),INDEX(Bases!$P$2:$P$53,C837))</f>
        <v>46.6666666666667</v>
      </c>
      <c r="W837" s="2" t="n">
        <f aca="false">Settings!$B$4*MAX(INDEX(Bases!$Q$2:$Q$53,B837),INDEX(Bases!$Q$2:$Q$53,C837))+Settings!$B$5*MIN(INDEX(Bases!$Q$2:$Q$53,B837),INDEX(Bases!$Q$2:$Q$53,C837))</f>
        <v>79</v>
      </c>
      <c r="X837" s="2" t="n">
        <f aca="false">Settings!$B$4*MAX(INDEX(Bases!$R$2:$R$53,B837),INDEX(Bases!$R$2:$R$53,C837))+Settings!$B$5*MIN(INDEX(Bases!$R$2:$R$53,B837),INDEX(Bases!$R$2:$R$53,C837))</f>
        <v>62.6666666666667</v>
      </c>
      <c r="Y837" s="2" t="n">
        <f aca="false">S837*Settings!$B$3/SUM(S837:X837)</f>
        <v>112.633181126332</v>
      </c>
      <c r="Z837" s="2" t="n">
        <f aca="false">T837*Settings!$B$3/SUM(S837:X837)</f>
        <v>97.4124809741248</v>
      </c>
      <c r="AA837" s="2" t="n">
        <f aca="false">U837*Settings!$B$3/SUM(S837:X837)</f>
        <v>74.9619482496195</v>
      </c>
      <c r="AB837" s="2" t="n">
        <f aca="false">V837*Settings!$B$3/SUM(S837:X837)</f>
        <v>53.2724505327245</v>
      </c>
      <c r="AC837" s="2" t="n">
        <f aca="false">W837*Settings!$B$3/SUM(S837:X837)</f>
        <v>90.1826484018265</v>
      </c>
      <c r="AD837" s="2" t="n">
        <f aca="false">X837*Settings!$B$3/SUM(S837:X837)</f>
        <v>71.5372907153729</v>
      </c>
      <c r="AE837" s="2" t="n">
        <f aca="false">INT(Y837)</f>
        <v>112</v>
      </c>
      <c r="AF837" s="2" t="n">
        <f aca="false">INT(Z837)</f>
        <v>97</v>
      </c>
      <c r="AG837" s="2" t="n">
        <f aca="false">INT(AA837)</f>
        <v>74</v>
      </c>
      <c r="AH837" s="2" t="n">
        <f aca="false">INT(AB837)</f>
        <v>53</v>
      </c>
      <c r="AI837" s="2" t="n">
        <f aca="false">INT(AC837)</f>
        <v>90</v>
      </c>
      <c r="AJ837" s="2" t="n">
        <f aca="false">INT(AD837)</f>
        <v>71</v>
      </c>
      <c r="AK837" s="2" t="n">
        <f aca="false">Settings!$B$3-SUM(AE837:AJ837)</f>
        <v>3</v>
      </c>
      <c r="AL837" s="2" t="n">
        <f aca="false">ROUND(Y837-AE837,9)</f>
        <v>0.633181126</v>
      </c>
      <c r="AM837" s="2" t="n">
        <f aca="false">ROUND(Z837-AF837,9)</f>
        <v>0.412480974</v>
      </c>
      <c r="AN837" s="2" t="n">
        <f aca="false">ROUND(AA837-AG837,9)</f>
        <v>0.96194825</v>
      </c>
      <c r="AO837" s="2" t="n">
        <f aca="false">ROUND(AB837-AH837,9)</f>
        <v>0.272450533</v>
      </c>
      <c r="AP837" s="2" t="n">
        <f aca="false">ROUND(AC837-AI837,9)</f>
        <v>0.182648402</v>
      </c>
      <c r="AQ837" s="2" t="n">
        <f aca="false">ROUND(AD837-AJ837,9)</f>
        <v>0.537290715</v>
      </c>
    </row>
    <row r="838" customFormat="false" ht="15" hidden="false" customHeight="false" outlineLevel="0" collapsed="false">
      <c r="A838" s="2" t="n">
        <v>837</v>
      </c>
      <c r="B838" s="6" t="n">
        <v>21</v>
      </c>
      <c r="C838" s="6" t="n">
        <v>28</v>
      </c>
      <c r="D838" s="8" t="str">
        <f aca="false">INDEX(Bases!$B$2:$B$53,B838)</f>
        <v>Makuhita</v>
      </c>
      <c r="E838" s="8" t="str">
        <f aca="false">INDEX(Bases!$B$2:$B$53,C838)</f>
        <v>Zubat</v>
      </c>
      <c r="F838" s="2" t="str">
        <f aca="false">LEFT(D838,ROUNDUP(LEN(D838)/2,0))&amp;LOWER(MID(E838,ROUNDUP(LEN(E838)/2,0)+1,20))</f>
        <v>Makuat</v>
      </c>
      <c r="G838" s="8" t="str">
        <f aca="false">INDEX(Bases!$C$2:$C$53,B838)</f>
        <v>Fighting</v>
      </c>
      <c r="H838" s="8" t="str">
        <f aca="false">IF(INDEX(Bases!$C$2:$C$53,C838)=G838,"",INDEX(Bases!$C$2:$C$53,C838))</f>
        <v>Flying</v>
      </c>
      <c r="I838" s="8" t="str">
        <f aca="false">IF(INDEX(Bases!$E$2:$E$53,B838)="","",INDEX(Bases!$E$2:$E$53,B838))</f>
        <v/>
      </c>
      <c r="J838" s="8" t="str">
        <f aca="false">IF(INDEX(Bases!$E$2:$E$53,C838)="","",INDEX(Bases!$E$2:$E$53,C838))</f>
        <v/>
      </c>
      <c r="K838" s="5"/>
      <c r="L838" s="2" t="n">
        <f aca="false">AE838+IF(SUMPRODUCT(--($AL838:$AQ838&gt;AL838))&lt;$AK838,1,0)</f>
        <v>120</v>
      </c>
      <c r="M838" s="2" t="n">
        <f aca="false">AF838+IF(SUMPRODUCT(--($AL838:$AQ838&gt;AM838))+SUMPRODUCT(--($AL838:AL838=AM838))&lt;$AK838,1,0)</f>
        <v>108</v>
      </c>
      <c r="N838" s="2" t="n">
        <f aca="false">AG838+IF(SUMPRODUCT(--($AL838:$AQ838&gt;AN838))+SUMPRODUCT(--($AL838:AM838=AN838))&lt;$AK838,1,0)</f>
        <v>64</v>
      </c>
      <c r="O838" s="2" t="n">
        <f aca="false">AH838+IF(SUMPRODUCT(--($AL838:$AQ838&gt;AO838))+SUMPRODUCT(--($AL838:AN838=AO838))&lt;$AK838,1,0)</f>
        <v>51</v>
      </c>
      <c r="P838" s="2" t="n">
        <f aca="false">AI838+IF(SUMPRODUCT(--($AL838:$AQ838&gt;AP838))+SUMPRODUCT(--($AL838:AO838=AP838))&lt;$AK838,1,0)</f>
        <v>71</v>
      </c>
      <c r="Q838" s="2" t="n">
        <f aca="false">AJ838+IF(SUMPRODUCT(--($AL838:$AQ838&gt;AQ838))+SUMPRODUCT(--($AL838:AP838=AQ838))&lt;$AK838,1,0)</f>
        <v>86</v>
      </c>
      <c r="R838" s="2" t="n">
        <f aca="false">SUM(L838:Q838)</f>
        <v>500</v>
      </c>
      <c r="S838" s="2" t="n">
        <f aca="false">Settings!$B$4*MAX(INDEX(Bases!$M$2:$M$53,B838),INDEX(Bases!$M$2:$M$53,C838))+Settings!$B$5*MIN(INDEX(Bases!$M$2:$M$53,B838),INDEX(Bases!$M$2:$M$53,C838))</f>
        <v>102.333333333333</v>
      </c>
      <c r="T838" s="2" t="n">
        <f aca="false">Settings!$B$4*MAX(INDEX(Bases!$N$2:$N$53,B838),INDEX(Bases!$N$2:$N$53,C838))+Settings!$B$5*MIN(INDEX(Bases!$N$2:$N$53,B838),INDEX(Bases!$N$2:$N$53,C838))</f>
        <v>92</v>
      </c>
      <c r="U838" s="2" t="n">
        <f aca="false">Settings!$B$4*MAX(INDEX(Bases!$O$2:$O$53,B838),INDEX(Bases!$O$2:$O$53,C838))+Settings!$B$5*MIN(INDEX(Bases!$O$2:$O$53,B838),INDEX(Bases!$O$2:$O$53,C838))</f>
        <v>55</v>
      </c>
      <c r="V838" s="2" t="n">
        <f aca="false">Settings!$B$4*MAX(INDEX(Bases!$P$2:$P$53,B838),INDEX(Bases!$P$2:$P$53,C838))+Settings!$B$5*MIN(INDEX(Bases!$P$2:$P$53,B838),INDEX(Bases!$P$2:$P$53,C838))</f>
        <v>44</v>
      </c>
      <c r="W838" s="2" t="n">
        <f aca="false">Settings!$B$4*MAX(INDEX(Bases!$Q$2:$Q$53,B838),INDEX(Bases!$Q$2:$Q$53,C838))+Settings!$B$5*MIN(INDEX(Bases!$Q$2:$Q$53,B838),INDEX(Bases!$Q$2:$Q$53,C838))</f>
        <v>60.3333333333333</v>
      </c>
      <c r="X838" s="2" t="n">
        <f aca="false">Settings!$B$4*MAX(INDEX(Bases!$R$2:$R$53,B838),INDEX(Bases!$R$2:$R$53,C838))+Settings!$B$5*MIN(INDEX(Bases!$R$2:$R$53,B838),INDEX(Bases!$R$2:$R$53,C838))</f>
        <v>74</v>
      </c>
      <c r="Y838" s="2" t="n">
        <f aca="false">S838*Settings!$B$3/SUM(S838:X838)</f>
        <v>119.641465315666</v>
      </c>
      <c r="Z838" s="2" t="n">
        <f aca="false">T838*Settings!$B$3/SUM(S838:X838)</f>
        <v>107.560405300078</v>
      </c>
      <c r="AA838" s="2" t="n">
        <f aca="false">U838*Settings!$B$3/SUM(S838:X838)</f>
        <v>64.3024162120031</v>
      </c>
      <c r="AB838" s="2" t="n">
        <f aca="false">V838*Settings!$B$3/SUM(S838:X838)</f>
        <v>51.4419329696025</v>
      </c>
      <c r="AC838" s="2" t="n">
        <f aca="false">W838*Settings!$B$3/SUM(S838:X838)</f>
        <v>70.5378020265004</v>
      </c>
      <c r="AD838" s="2" t="n">
        <f aca="false">X838*Settings!$B$3/SUM(S838:X838)</f>
        <v>86.5159781761497</v>
      </c>
      <c r="AE838" s="2" t="n">
        <f aca="false">INT(Y838)</f>
        <v>119</v>
      </c>
      <c r="AF838" s="2" t="n">
        <f aca="false">INT(Z838)</f>
        <v>107</v>
      </c>
      <c r="AG838" s="2" t="n">
        <f aca="false">INT(AA838)</f>
        <v>64</v>
      </c>
      <c r="AH838" s="2" t="n">
        <f aca="false">INT(AB838)</f>
        <v>51</v>
      </c>
      <c r="AI838" s="2" t="n">
        <f aca="false">INT(AC838)</f>
        <v>70</v>
      </c>
      <c r="AJ838" s="2" t="n">
        <f aca="false">INT(AD838)</f>
        <v>86</v>
      </c>
      <c r="AK838" s="2" t="n">
        <f aca="false">Settings!$B$3-SUM(AE838:AJ838)</f>
        <v>3</v>
      </c>
      <c r="AL838" s="2" t="n">
        <f aca="false">ROUND(Y838-AE838,9)</f>
        <v>0.641465316</v>
      </c>
      <c r="AM838" s="2" t="n">
        <f aca="false">ROUND(Z838-AF838,9)</f>
        <v>0.5604053</v>
      </c>
      <c r="AN838" s="2" t="n">
        <f aca="false">ROUND(AA838-AG838,9)</f>
        <v>0.302416212</v>
      </c>
      <c r="AO838" s="2" t="n">
        <f aca="false">ROUND(AB838-AH838,9)</f>
        <v>0.44193297</v>
      </c>
      <c r="AP838" s="2" t="n">
        <f aca="false">ROUND(AC838-AI838,9)</f>
        <v>0.537802027</v>
      </c>
      <c r="AQ838" s="2" t="n">
        <f aca="false">ROUND(AD838-AJ838,9)</f>
        <v>0.515978176</v>
      </c>
    </row>
    <row r="839" customFormat="false" ht="15" hidden="false" customHeight="false" outlineLevel="0" collapsed="false">
      <c r="A839" s="2" t="n">
        <v>838</v>
      </c>
      <c r="B839" s="6" t="n">
        <v>21</v>
      </c>
      <c r="C839" s="6" t="n">
        <v>29</v>
      </c>
      <c r="D839" s="8" t="str">
        <f aca="false">INDEX(Bases!$B$2:$B$53,B839)</f>
        <v>Makuhita</v>
      </c>
      <c r="E839" s="8" t="str">
        <f aca="false">INDEX(Bases!$B$2:$B$53,C839)</f>
        <v>Murkrow</v>
      </c>
      <c r="F839" s="2" t="str">
        <f aca="false">LEFT(D839,ROUNDUP(LEN(D839)/2,0))&amp;LOWER(MID(E839,ROUNDUP(LEN(E839)/2,0)+1,20))</f>
        <v>Makurow</v>
      </c>
      <c r="G839" s="8" t="str">
        <f aca="false">INDEX(Bases!$C$2:$C$53,B839)</f>
        <v>Fighting</v>
      </c>
      <c r="H839" s="8" t="str">
        <f aca="false">IF(INDEX(Bases!$C$2:$C$53,C839)=G839,"",INDEX(Bases!$C$2:$C$53,C839))</f>
        <v>Flying</v>
      </c>
      <c r="I839" s="8" t="str">
        <f aca="false">IF(INDEX(Bases!$E$2:$E$53,B839)="","",INDEX(Bases!$E$2:$E$53,B839))</f>
        <v/>
      </c>
      <c r="J839" s="8" t="str">
        <f aca="false">IF(INDEX(Bases!$E$2:$E$53,C839)="","",INDEX(Bases!$E$2:$E$53,C839))</f>
        <v/>
      </c>
      <c r="K839" s="5"/>
      <c r="L839" s="2" t="n">
        <f aca="false">AE839+IF(SUMPRODUCT(--($AL839:$AQ839&gt;AL839))&lt;$AK839,1,0)</f>
        <v>116</v>
      </c>
      <c r="M839" s="2" t="n">
        <f aca="false">AF839+IF(SUMPRODUCT(--($AL839:$AQ839&gt;AM839))+SUMPRODUCT(--($AL839:AL839=AM839))&lt;$AK839,1,0)</f>
        <v>110</v>
      </c>
      <c r="N839" s="2" t="n">
        <f aca="false">AG839+IF(SUMPRODUCT(--($AL839:$AQ839&gt;AN839))+SUMPRODUCT(--($AL839:AM839=AN839))&lt;$AK839,1,0)</f>
        <v>55</v>
      </c>
      <c r="O839" s="2" t="n">
        <f aca="false">AH839+IF(SUMPRODUCT(--($AL839:$AQ839&gt;AO839))+SUMPRODUCT(--($AL839:AN839=AO839))&lt;$AK839,1,0)</f>
        <v>78</v>
      </c>
      <c r="P839" s="2" t="n">
        <f aca="false">AI839+IF(SUMPRODUCT(--($AL839:$AQ839&gt;AP839))+SUMPRODUCT(--($AL839:AO839=AP839))&lt;$AK839,1,0)</f>
        <v>55</v>
      </c>
      <c r="Q839" s="2" t="n">
        <f aca="false">AJ839+IF(SUMPRODUCT(--($AL839:$AQ839&gt;AQ839))+SUMPRODUCT(--($AL839:AP839=AQ839))&lt;$AK839,1,0)</f>
        <v>86</v>
      </c>
      <c r="R839" s="2" t="n">
        <f aca="false">SUM(L839:Q839)</f>
        <v>500</v>
      </c>
      <c r="S839" s="2" t="n">
        <f aca="false">Settings!$B$4*MAX(INDEX(Bases!$M$2:$M$53,B839),INDEX(Bases!$M$2:$M$53,C839))+Settings!$B$5*MIN(INDEX(Bases!$M$2:$M$53,B839),INDEX(Bases!$M$2:$M$53,C839))</f>
        <v>100.333333333333</v>
      </c>
      <c r="T839" s="2" t="n">
        <f aca="false">Settings!$B$4*MAX(INDEX(Bases!$N$2:$N$53,B839),INDEX(Bases!$N$2:$N$53,C839))+Settings!$B$5*MIN(INDEX(Bases!$N$2:$N$53,B839),INDEX(Bases!$N$2:$N$53,C839))</f>
        <v>95.3333333333333</v>
      </c>
      <c r="U839" s="2" t="n">
        <f aca="false">Settings!$B$4*MAX(INDEX(Bases!$O$2:$O$53,B839),INDEX(Bases!$O$2:$O$53,C839))+Settings!$B$5*MIN(INDEX(Bases!$O$2:$O$53,B839),INDEX(Bases!$O$2:$O$53,C839))</f>
        <v>48</v>
      </c>
      <c r="V839" s="2" t="n">
        <f aca="false">Settings!$B$4*MAX(INDEX(Bases!$P$2:$P$53,B839),INDEX(Bases!$P$2:$P$53,C839))+Settings!$B$5*MIN(INDEX(Bases!$P$2:$P$53,B839),INDEX(Bases!$P$2:$P$53,C839))</f>
        <v>67.3333333333333</v>
      </c>
      <c r="W839" s="2" t="n">
        <f aca="false">Settings!$B$4*MAX(INDEX(Bases!$Q$2:$Q$53,B839),INDEX(Bases!$Q$2:$Q$53,C839))+Settings!$B$5*MIN(INDEX(Bases!$Q$2:$Q$53,B839),INDEX(Bases!$Q$2:$Q$53,C839))</f>
        <v>47.6666666666667</v>
      </c>
      <c r="X839" s="2" t="n">
        <f aca="false">Settings!$B$4*MAX(INDEX(Bases!$R$2:$R$53,B839),INDEX(Bases!$R$2:$R$53,C839))+Settings!$B$5*MIN(INDEX(Bases!$R$2:$R$53,B839),INDEX(Bases!$R$2:$R$53,C839))</f>
        <v>74</v>
      </c>
      <c r="Y839" s="2" t="n">
        <f aca="false">S839*Settings!$B$3/SUM(S839:X839)</f>
        <v>115.947611710324</v>
      </c>
      <c r="Z839" s="2" t="n">
        <f aca="false">T839*Settings!$B$3/SUM(S839:X839)</f>
        <v>110.169491525424</v>
      </c>
      <c r="AA839" s="2" t="n">
        <f aca="false">U839*Settings!$B$3/SUM(S839:X839)</f>
        <v>55.4699537750385</v>
      </c>
      <c r="AB839" s="2" t="n">
        <f aca="false">V839*Settings!$B$3/SUM(S839:X839)</f>
        <v>77.8120184899846</v>
      </c>
      <c r="AC839" s="2" t="n">
        <f aca="false">W839*Settings!$B$3/SUM(S839:X839)</f>
        <v>55.0847457627119</v>
      </c>
      <c r="AD839" s="2" t="n">
        <f aca="false">X839*Settings!$B$3/SUM(S839:X839)</f>
        <v>85.5161787365177</v>
      </c>
      <c r="AE839" s="2" t="n">
        <f aca="false">INT(Y839)</f>
        <v>115</v>
      </c>
      <c r="AF839" s="2" t="n">
        <f aca="false">INT(Z839)</f>
        <v>110</v>
      </c>
      <c r="AG839" s="2" t="n">
        <f aca="false">INT(AA839)</f>
        <v>55</v>
      </c>
      <c r="AH839" s="2" t="n">
        <f aca="false">INT(AB839)</f>
        <v>77</v>
      </c>
      <c r="AI839" s="2" t="n">
        <f aca="false">INT(AC839)</f>
        <v>55</v>
      </c>
      <c r="AJ839" s="2" t="n">
        <f aca="false">INT(AD839)</f>
        <v>85</v>
      </c>
      <c r="AK839" s="2" t="n">
        <f aca="false">Settings!$B$3-SUM(AE839:AJ839)</f>
        <v>3</v>
      </c>
      <c r="AL839" s="2" t="n">
        <f aca="false">ROUND(Y839-AE839,9)</f>
        <v>0.94761171</v>
      </c>
      <c r="AM839" s="2" t="n">
        <f aca="false">ROUND(Z839-AF839,9)</f>
        <v>0.169491525</v>
      </c>
      <c r="AN839" s="2" t="n">
        <f aca="false">ROUND(AA839-AG839,9)</f>
        <v>0.469953775</v>
      </c>
      <c r="AO839" s="2" t="n">
        <f aca="false">ROUND(AB839-AH839,9)</f>
        <v>0.81201849</v>
      </c>
      <c r="AP839" s="2" t="n">
        <f aca="false">ROUND(AC839-AI839,9)</f>
        <v>0.084745763</v>
      </c>
      <c r="AQ839" s="2" t="n">
        <f aca="false">ROUND(AD839-AJ839,9)</f>
        <v>0.516178737</v>
      </c>
    </row>
    <row r="840" customFormat="false" ht="15" hidden="false" customHeight="false" outlineLevel="0" collapsed="false">
      <c r="A840" s="2" t="n">
        <v>839</v>
      </c>
      <c r="B840" s="6" t="n">
        <v>21</v>
      </c>
      <c r="C840" s="6" t="n">
        <v>30</v>
      </c>
      <c r="D840" s="8" t="str">
        <f aca="false">INDEX(Bases!$B$2:$B$53,B840)</f>
        <v>Makuhita</v>
      </c>
      <c r="E840" s="8" t="str">
        <f aca="false">INDEX(Bases!$B$2:$B$53,C840)</f>
        <v>Swablu</v>
      </c>
      <c r="F840" s="2" t="str">
        <f aca="false">LEFT(D840,ROUNDUP(LEN(D840)/2,0))&amp;LOWER(MID(E840,ROUNDUP(LEN(E840)/2,0)+1,20))</f>
        <v>Makublu</v>
      </c>
      <c r="G840" s="8" t="str">
        <f aca="false">INDEX(Bases!$C$2:$C$53,B840)</f>
        <v>Fighting</v>
      </c>
      <c r="H840" s="8" t="str">
        <f aca="false">IF(INDEX(Bases!$C$2:$C$53,C840)=G840,"",INDEX(Bases!$C$2:$C$53,C840))</f>
        <v>Flying</v>
      </c>
      <c r="I840" s="8" t="str">
        <f aca="false">IF(INDEX(Bases!$E$2:$E$53,B840)="","",INDEX(Bases!$E$2:$E$53,B840))</f>
        <v/>
      </c>
      <c r="J840" s="8" t="str">
        <f aca="false">IF(INDEX(Bases!$E$2:$E$53,C840)="","",INDEX(Bases!$E$2:$E$53,C840))</f>
        <v/>
      </c>
      <c r="K840" s="5"/>
      <c r="L840" s="2" t="n">
        <f aca="false">AE840+IF(SUMPRODUCT(--($AL840:$AQ840&gt;AL840))&lt;$AK840,1,0)</f>
        <v>114</v>
      </c>
      <c r="M840" s="2" t="n">
        <f aca="false">AF840+IF(SUMPRODUCT(--($AL840:$AQ840&gt;AM840))+SUMPRODUCT(--($AL840:AL840=AM840))&lt;$AK840,1,0)</f>
        <v>97</v>
      </c>
      <c r="N840" s="2" t="n">
        <f aca="false">AG840+IF(SUMPRODUCT(--($AL840:$AQ840&gt;AN840))+SUMPRODUCT(--($AL840:AM840=AN840))&lt;$AK840,1,0)</f>
        <v>78</v>
      </c>
      <c r="O840" s="2" t="n">
        <f aca="false">AH840+IF(SUMPRODUCT(--($AL840:$AQ840&gt;AO840))+SUMPRODUCT(--($AL840:AN840=AO840))&lt;$AK840,1,0)</f>
        <v>53</v>
      </c>
      <c r="P840" s="2" t="n">
        <f aca="false">AI840+IF(SUMPRODUCT(--($AL840:$AQ840&gt;AP840))+SUMPRODUCT(--($AL840:AO840=AP840))&lt;$AK840,1,0)</f>
        <v>93</v>
      </c>
      <c r="Q840" s="2" t="n">
        <f aca="false">AJ840+IF(SUMPRODUCT(--($AL840:$AQ840&gt;AQ840))+SUMPRODUCT(--($AL840:AP840=AQ840))&lt;$AK840,1,0)</f>
        <v>65</v>
      </c>
      <c r="R840" s="2" t="n">
        <f aca="false">SUM(L840:Q840)</f>
        <v>500</v>
      </c>
      <c r="S840" s="2" t="n">
        <f aca="false">Settings!$B$4*MAX(INDEX(Bases!$M$2:$M$53,B840),INDEX(Bases!$M$2:$M$53,C840))+Settings!$B$5*MIN(INDEX(Bases!$M$2:$M$53,B840),INDEX(Bases!$M$2:$M$53,C840))</f>
        <v>100</v>
      </c>
      <c r="T840" s="2" t="n">
        <f aca="false">Settings!$B$4*MAX(INDEX(Bases!$N$2:$N$53,B840),INDEX(Bases!$N$2:$N$53,C840))+Settings!$B$5*MIN(INDEX(Bases!$N$2:$N$53,B840),INDEX(Bases!$N$2:$N$53,C840))</f>
        <v>84.6666666666667</v>
      </c>
      <c r="U840" s="2" t="n">
        <f aca="false">Settings!$B$4*MAX(INDEX(Bases!$O$2:$O$53,B840),INDEX(Bases!$O$2:$O$53,C840))+Settings!$B$5*MIN(INDEX(Bases!$O$2:$O$53,B840),INDEX(Bases!$O$2:$O$53,C840))</f>
        <v>68.3333333333333</v>
      </c>
      <c r="V840" s="2" t="n">
        <f aca="false">Settings!$B$4*MAX(INDEX(Bases!$P$2:$P$53,B840),INDEX(Bases!$P$2:$P$53,C840))+Settings!$B$5*MIN(INDEX(Bases!$P$2:$P$53,B840),INDEX(Bases!$P$2:$P$53,C840))</f>
        <v>46</v>
      </c>
      <c r="W840" s="2" t="n">
        <f aca="false">Settings!$B$4*MAX(INDEX(Bases!$Q$2:$Q$53,B840),INDEX(Bases!$Q$2:$Q$53,C840))+Settings!$B$5*MIN(INDEX(Bases!$Q$2:$Q$53,B840),INDEX(Bases!$Q$2:$Q$53,C840))</f>
        <v>81.6666666666667</v>
      </c>
      <c r="X840" s="2" t="n">
        <f aca="false">Settings!$B$4*MAX(INDEX(Bases!$R$2:$R$53,B840),INDEX(Bases!$R$2:$R$53,C840))+Settings!$B$5*MIN(INDEX(Bases!$R$2:$R$53,B840),INDEX(Bases!$R$2:$R$53,C840))</f>
        <v>56.6666666666667</v>
      </c>
      <c r="Y840" s="2" t="n">
        <f aca="false">S840*Settings!$B$3/SUM(S840:X840)</f>
        <v>114.329268292683</v>
      </c>
      <c r="Z840" s="2" t="n">
        <f aca="false">T840*Settings!$B$3/SUM(S840:X840)</f>
        <v>96.7987804878049</v>
      </c>
      <c r="AA840" s="2" t="n">
        <f aca="false">U840*Settings!$B$3/SUM(S840:X840)</f>
        <v>78.125</v>
      </c>
      <c r="AB840" s="2" t="n">
        <f aca="false">V840*Settings!$B$3/SUM(S840:X840)</f>
        <v>52.5914634146342</v>
      </c>
      <c r="AC840" s="2" t="n">
        <f aca="false">W840*Settings!$B$3/SUM(S840:X840)</f>
        <v>93.3689024390244</v>
      </c>
      <c r="AD840" s="2" t="n">
        <f aca="false">X840*Settings!$B$3/SUM(S840:X840)</f>
        <v>64.7865853658537</v>
      </c>
      <c r="AE840" s="2" t="n">
        <f aca="false">INT(Y840)</f>
        <v>114</v>
      </c>
      <c r="AF840" s="2" t="n">
        <f aca="false">INT(Z840)</f>
        <v>96</v>
      </c>
      <c r="AG840" s="2" t="n">
        <f aca="false">INT(AA840)</f>
        <v>78</v>
      </c>
      <c r="AH840" s="2" t="n">
        <f aca="false">INT(AB840)</f>
        <v>52</v>
      </c>
      <c r="AI840" s="2" t="n">
        <f aca="false">INT(AC840)</f>
        <v>93</v>
      </c>
      <c r="AJ840" s="2" t="n">
        <f aca="false">INT(AD840)</f>
        <v>64</v>
      </c>
      <c r="AK840" s="2" t="n">
        <f aca="false">Settings!$B$3-SUM(AE840:AJ840)</f>
        <v>3</v>
      </c>
      <c r="AL840" s="2" t="n">
        <f aca="false">ROUND(Y840-AE840,9)</f>
        <v>0.329268293</v>
      </c>
      <c r="AM840" s="2" t="n">
        <f aca="false">ROUND(Z840-AF840,9)</f>
        <v>0.798780488</v>
      </c>
      <c r="AN840" s="2" t="n">
        <f aca="false">ROUND(AA840-AG840,9)</f>
        <v>0.125</v>
      </c>
      <c r="AO840" s="2" t="n">
        <f aca="false">ROUND(AB840-AH840,9)</f>
        <v>0.591463415</v>
      </c>
      <c r="AP840" s="2" t="n">
        <f aca="false">ROUND(AC840-AI840,9)</f>
        <v>0.368902439</v>
      </c>
      <c r="AQ840" s="2" t="n">
        <f aca="false">ROUND(AD840-AJ840,9)</f>
        <v>0.786585366</v>
      </c>
    </row>
    <row r="841" customFormat="false" ht="15" hidden="false" customHeight="false" outlineLevel="0" collapsed="false">
      <c r="A841" s="2" t="n">
        <v>840</v>
      </c>
      <c r="B841" s="6" t="n">
        <v>21</v>
      </c>
      <c r="C841" s="6" t="n">
        <v>31</v>
      </c>
      <c r="D841" s="8" t="str">
        <f aca="false">INDEX(Bases!$B$2:$B$53,B841)</f>
        <v>Makuhita</v>
      </c>
      <c r="E841" s="8" t="str">
        <f aca="false">INDEX(Bases!$B$2:$B$53,C841)</f>
        <v>Mew</v>
      </c>
      <c r="F841" s="2" t="str">
        <f aca="false">LEFT(D841,ROUNDUP(LEN(D841)/2,0))&amp;LOWER(MID(E841,ROUNDUP(LEN(E841)/2,0)+1,20))</f>
        <v>Makuw</v>
      </c>
      <c r="G841" s="8" t="str">
        <f aca="false">INDEX(Bases!$C$2:$C$53,B841)</f>
        <v>Fighting</v>
      </c>
      <c r="H841" s="8" t="str">
        <f aca="false">IF(INDEX(Bases!$C$2:$C$53,C841)=G841,"",INDEX(Bases!$C$2:$C$53,C841))</f>
        <v>Psychic</v>
      </c>
      <c r="I841" s="8" t="str">
        <f aca="false">IF(INDEX(Bases!$E$2:$E$53,B841)="","",INDEX(Bases!$E$2:$E$53,B841))</f>
        <v/>
      </c>
      <c r="J841" s="8" t="str">
        <f aca="false">IF(INDEX(Bases!$E$2:$E$53,C841)="","",INDEX(Bases!$E$2:$E$53,C841))</f>
        <v/>
      </c>
      <c r="K841" s="5"/>
      <c r="L841" s="2" t="n">
        <f aca="false">AE841+IF(SUMPRODUCT(--($AL841:$AQ841&gt;AL841))&lt;$AK841,1,0)</f>
        <v>120</v>
      </c>
      <c r="M841" s="2" t="n">
        <f aca="false">AF841+IF(SUMPRODUCT(--($AL841:$AQ841&gt;AM841))+SUMPRODUCT(--($AL841:AL841=AM841))&lt;$AK841,1,0)</f>
        <v>104</v>
      </c>
      <c r="N841" s="2" t="n">
        <f aca="false">AG841+IF(SUMPRODUCT(--($AL841:$AQ841&gt;AN841))+SUMPRODUCT(--($AL841:AM841=AN841))&lt;$AK841,1,0)</f>
        <v>72</v>
      </c>
      <c r="O841" s="2" t="n">
        <f aca="false">AH841+IF(SUMPRODUCT(--($AL841:$AQ841&gt;AO841))+SUMPRODUCT(--($AL841:AN841=AO841))&lt;$AK841,1,0)</f>
        <v>65</v>
      </c>
      <c r="P841" s="2" t="n">
        <f aca="false">AI841+IF(SUMPRODUCT(--($AL841:$AQ841&gt;AP841))+SUMPRODUCT(--($AL841:AO841=AP841))&lt;$AK841,1,0)</f>
        <v>71</v>
      </c>
      <c r="Q841" s="2" t="n">
        <f aca="false">AJ841+IF(SUMPRODUCT(--($AL841:$AQ841&gt;AQ841))+SUMPRODUCT(--($AL841:AP841=AQ841))&lt;$AK841,1,0)</f>
        <v>68</v>
      </c>
      <c r="R841" s="2" t="n">
        <f aca="false">SUM(L841:Q841)</f>
        <v>500</v>
      </c>
      <c r="S841" s="2" t="n">
        <f aca="false">Settings!$B$4*MAX(INDEX(Bases!$M$2:$M$53,B841),INDEX(Bases!$M$2:$M$53,C841))+Settings!$B$5*MIN(INDEX(Bases!$M$2:$M$53,B841),INDEX(Bases!$M$2:$M$53,C841))</f>
        <v>103</v>
      </c>
      <c r="T841" s="2" t="n">
        <f aca="false">Settings!$B$4*MAX(INDEX(Bases!$N$2:$N$53,B841),INDEX(Bases!$N$2:$N$53,C841))+Settings!$B$5*MIN(INDEX(Bases!$N$2:$N$53,B841),INDEX(Bases!$N$2:$N$53,C841))</f>
        <v>89.6666666666667</v>
      </c>
      <c r="U841" s="2" t="n">
        <f aca="false">Settings!$B$4*MAX(INDEX(Bases!$O$2:$O$53,B841),INDEX(Bases!$O$2:$O$53,C841))+Settings!$B$5*MIN(INDEX(Bases!$O$2:$O$53,B841),INDEX(Bases!$O$2:$O$53,C841))</f>
        <v>61.6666666666667</v>
      </c>
      <c r="V841" s="2" t="n">
        <f aca="false">Settings!$B$4*MAX(INDEX(Bases!$P$2:$P$53,B841),INDEX(Bases!$P$2:$P$53,C841))+Settings!$B$5*MIN(INDEX(Bases!$P$2:$P$53,B841),INDEX(Bases!$P$2:$P$53,C841))</f>
        <v>56</v>
      </c>
      <c r="W841" s="2" t="n">
        <f aca="false">Settings!$B$4*MAX(INDEX(Bases!$Q$2:$Q$53,B841),INDEX(Bases!$Q$2:$Q$53,C841))+Settings!$B$5*MIN(INDEX(Bases!$Q$2:$Q$53,B841),INDEX(Bases!$Q$2:$Q$53,C841))</f>
        <v>61</v>
      </c>
      <c r="X841" s="2" t="n">
        <f aca="false">Settings!$B$4*MAX(INDEX(Bases!$R$2:$R$53,B841),INDEX(Bases!$R$2:$R$53,C841))+Settings!$B$5*MIN(INDEX(Bases!$R$2:$R$53,B841),INDEX(Bases!$R$2:$R$53,C841))</f>
        <v>58</v>
      </c>
      <c r="Y841" s="2" t="n">
        <f aca="false">S841*Settings!$B$3/SUM(S841:X841)</f>
        <v>119.953416149068</v>
      </c>
      <c r="Z841" s="2" t="n">
        <f aca="false">T841*Settings!$B$3/SUM(S841:X841)</f>
        <v>104.425465838509</v>
      </c>
      <c r="AA841" s="2" t="n">
        <f aca="false">U841*Settings!$B$3/SUM(S841:X841)</f>
        <v>71.8167701863354</v>
      </c>
      <c r="AB841" s="2" t="n">
        <f aca="false">V841*Settings!$B$3/SUM(S841:X841)</f>
        <v>65.2173913043478</v>
      </c>
      <c r="AC841" s="2" t="n">
        <f aca="false">W841*Settings!$B$3/SUM(S841:X841)</f>
        <v>71.0403726708075</v>
      </c>
      <c r="AD841" s="2" t="n">
        <f aca="false">X841*Settings!$B$3/SUM(S841:X841)</f>
        <v>67.5465838509317</v>
      </c>
      <c r="AE841" s="2" t="n">
        <f aca="false">INT(Y841)</f>
        <v>119</v>
      </c>
      <c r="AF841" s="2" t="n">
        <f aca="false">INT(Z841)</f>
        <v>104</v>
      </c>
      <c r="AG841" s="2" t="n">
        <f aca="false">INT(AA841)</f>
        <v>71</v>
      </c>
      <c r="AH841" s="2" t="n">
        <f aca="false">INT(AB841)</f>
        <v>65</v>
      </c>
      <c r="AI841" s="2" t="n">
        <f aca="false">INT(AC841)</f>
        <v>71</v>
      </c>
      <c r="AJ841" s="2" t="n">
        <f aca="false">INT(AD841)</f>
        <v>67</v>
      </c>
      <c r="AK841" s="2" t="n">
        <f aca="false">Settings!$B$3-SUM(AE841:AJ841)</f>
        <v>3</v>
      </c>
      <c r="AL841" s="2" t="n">
        <f aca="false">ROUND(Y841-AE841,9)</f>
        <v>0.953416149</v>
      </c>
      <c r="AM841" s="2" t="n">
        <f aca="false">ROUND(Z841-AF841,9)</f>
        <v>0.425465839</v>
      </c>
      <c r="AN841" s="2" t="n">
        <f aca="false">ROUND(AA841-AG841,9)</f>
        <v>0.816770186</v>
      </c>
      <c r="AO841" s="2" t="n">
        <f aca="false">ROUND(AB841-AH841,9)</f>
        <v>0.217391304</v>
      </c>
      <c r="AP841" s="2" t="n">
        <f aca="false">ROUND(AC841-AI841,9)</f>
        <v>0.040372671</v>
      </c>
      <c r="AQ841" s="2" t="n">
        <f aca="false">ROUND(AD841-AJ841,9)</f>
        <v>0.546583851</v>
      </c>
    </row>
    <row r="842" customFormat="false" ht="15" hidden="false" customHeight="false" outlineLevel="0" collapsed="false">
      <c r="A842" s="2" t="n">
        <v>841</v>
      </c>
      <c r="B842" s="6" t="n">
        <v>21</v>
      </c>
      <c r="C842" s="6" t="n">
        <v>32</v>
      </c>
      <c r="D842" s="8" t="str">
        <f aca="false">INDEX(Bases!$B$2:$B$53,B842)</f>
        <v>Makuhita</v>
      </c>
      <c r="E842" s="8" t="str">
        <f aca="false">INDEX(Bases!$B$2:$B$53,C842)</f>
        <v>Spoink</v>
      </c>
      <c r="F842" s="2" t="str">
        <f aca="false">LEFT(D842,ROUNDUP(LEN(D842)/2,0))&amp;LOWER(MID(E842,ROUNDUP(LEN(E842)/2,0)+1,20))</f>
        <v>Makuink</v>
      </c>
      <c r="G842" s="8" t="str">
        <f aca="false">INDEX(Bases!$C$2:$C$53,B842)</f>
        <v>Fighting</v>
      </c>
      <c r="H842" s="8" t="str">
        <f aca="false">IF(INDEX(Bases!$C$2:$C$53,C842)=G842,"",INDEX(Bases!$C$2:$C$53,C842))</f>
        <v>Psychic</v>
      </c>
      <c r="I842" s="8" t="str">
        <f aca="false">IF(INDEX(Bases!$E$2:$E$53,B842)="","",INDEX(Bases!$E$2:$E$53,B842))</f>
        <v/>
      </c>
      <c r="J842" s="8" t="str">
        <f aca="false">IF(INDEX(Bases!$E$2:$E$53,C842)="","",INDEX(Bases!$E$2:$E$53,C842))</f>
        <v/>
      </c>
      <c r="K842" s="5"/>
      <c r="L842" s="2" t="n">
        <f aca="false">AE842+IF(SUMPRODUCT(--($AL842:$AQ842&gt;AL842))&lt;$AK842,1,0)</f>
        <v>119</v>
      </c>
      <c r="M842" s="2" t="n">
        <f aca="false">AF842+IF(SUMPRODUCT(--($AL842:$AQ842&gt;AM842))+SUMPRODUCT(--($AL842:AL842=AM842))&lt;$AK842,1,0)</f>
        <v>87</v>
      </c>
      <c r="N842" s="2" t="n">
        <f aca="false">AG842+IF(SUMPRODUCT(--($AL842:$AQ842&gt;AN842))+SUMPRODUCT(--($AL842:AM842=AN842))&lt;$AK842,1,0)</f>
        <v>54</v>
      </c>
      <c r="O842" s="2" t="n">
        <f aca="false">AH842+IF(SUMPRODUCT(--($AL842:$AQ842&gt;AO842))+SUMPRODUCT(--($AL842:AN842=AO842))&lt;$AK842,1,0)</f>
        <v>77</v>
      </c>
      <c r="P842" s="2" t="n">
        <f aca="false">AI842+IF(SUMPRODUCT(--($AL842:$AQ842&gt;AP842))+SUMPRODUCT(--($AL842:AO842=AP842))&lt;$AK842,1,0)</f>
        <v>92</v>
      </c>
      <c r="Q842" s="2" t="n">
        <f aca="false">AJ842+IF(SUMPRODUCT(--($AL842:$AQ842&gt;AQ842))+SUMPRODUCT(--($AL842:AP842=AQ842))&lt;$AK842,1,0)</f>
        <v>71</v>
      </c>
      <c r="R842" s="2" t="n">
        <f aca="false">SUM(L842:Q842)</f>
        <v>500</v>
      </c>
      <c r="S842" s="2" t="n">
        <f aca="false">Settings!$B$4*MAX(INDEX(Bases!$M$2:$M$53,B842),INDEX(Bases!$M$2:$M$53,C842))+Settings!$B$5*MIN(INDEX(Bases!$M$2:$M$53,B842),INDEX(Bases!$M$2:$M$53,C842))</f>
        <v>105</v>
      </c>
      <c r="T842" s="2" t="n">
        <f aca="false">Settings!$B$4*MAX(INDEX(Bases!$N$2:$N$53,B842),INDEX(Bases!$N$2:$N$53,C842))+Settings!$B$5*MIN(INDEX(Bases!$N$2:$N$53,B842),INDEX(Bases!$N$2:$N$53,C842))</f>
        <v>77.3333333333333</v>
      </c>
      <c r="U842" s="2" t="n">
        <f aca="false">Settings!$B$4*MAX(INDEX(Bases!$O$2:$O$53,B842),INDEX(Bases!$O$2:$O$53,C842))+Settings!$B$5*MIN(INDEX(Bases!$O$2:$O$53,B842),INDEX(Bases!$O$2:$O$53,C842))</f>
        <v>48</v>
      </c>
      <c r="V842" s="2" t="n">
        <f aca="false">Settings!$B$4*MAX(INDEX(Bases!$P$2:$P$53,B842),INDEX(Bases!$P$2:$P$53,C842))+Settings!$B$5*MIN(INDEX(Bases!$P$2:$P$53,B842),INDEX(Bases!$P$2:$P$53,C842))</f>
        <v>68</v>
      </c>
      <c r="W842" s="2" t="n">
        <f aca="false">Settings!$B$4*MAX(INDEX(Bases!$Q$2:$Q$53,B842),INDEX(Bases!$Q$2:$Q$53,C842))+Settings!$B$5*MIN(INDEX(Bases!$Q$2:$Q$53,B842),INDEX(Bases!$Q$2:$Q$53,C842))</f>
        <v>81.6666666666667</v>
      </c>
      <c r="X842" s="2" t="n">
        <f aca="false">Settings!$B$4*MAX(INDEX(Bases!$R$2:$R$53,B842),INDEX(Bases!$R$2:$R$53,C842))+Settings!$B$5*MIN(INDEX(Bases!$R$2:$R$53,B842),INDEX(Bases!$R$2:$R$53,C842))</f>
        <v>62.6666666666667</v>
      </c>
      <c r="Y842" s="2" t="n">
        <f aca="false">S842*Settings!$B$3/SUM(S842:X842)</f>
        <v>118.599397590361</v>
      </c>
      <c r="Z842" s="2" t="n">
        <f aca="false">T842*Settings!$B$3/SUM(S842:X842)</f>
        <v>87.3493975903614</v>
      </c>
      <c r="AA842" s="2" t="n">
        <f aca="false">U842*Settings!$B$3/SUM(S842:X842)</f>
        <v>54.2168674698795</v>
      </c>
      <c r="AB842" s="2" t="n">
        <f aca="false">V842*Settings!$B$3/SUM(S842:X842)</f>
        <v>76.8072289156627</v>
      </c>
      <c r="AC842" s="2" t="n">
        <f aca="false">W842*Settings!$B$3/SUM(S842:X842)</f>
        <v>92.2439759036144</v>
      </c>
      <c r="AD842" s="2" t="n">
        <f aca="false">X842*Settings!$B$3/SUM(S842:X842)</f>
        <v>70.7831325301205</v>
      </c>
      <c r="AE842" s="2" t="n">
        <f aca="false">INT(Y842)</f>
        <v>118</v>
      </c>
      <c r="AF842" s="2" t="n">
        <f aca="false">INT(Z842)</f>
        <v>87</v>
      </c>
      <c r="AG842" s="2" t="n">
        <f aca="false">INT(AA842)</f>
        <v>54</v>
      </c>
      <c r="AH842" s="2" t="n">
        <f aca="false">INT(AB842)</f>
        <v>76</v>
      </c>
      <c r="AI842" s="2" t="n">
        <f aca="false">INT(AC842)</f>
        <v>92</v>
      </c>
      <c r="AJ842" s="2" t="n">
        <f aca="false">INT(AD842)</f>
        <v>70</v>
      </c>
      <c r="AK842" s="2" t="n">
        <f aca="false">Settings!$B$3-SUM(AE842:AJ842)</f>
        <v>3</v>
      </c>
      <c r="AL842" s="2" t="n">
        <f aca="false">ROUND(Y842-AE842,9)</f>
        <v>0.59939759</v>
      </c>
      <c r="AM842" s="2" t="n">
        <f aca="false">ROUND(Z842-AF842,9)</f>
        <v>0.34939759</v>
      </c>
      <c r="AN842" s="2" t="n">
        <f aca="false">ROUND(AA842-AG842,9)</f>
        <v>0.21686747</v>
      </c>
      <c r="AO842" s="2" t="n">
        <f aca="false">ROUND(AB842-AH842,9)</f>
        <v>0.807228916</v>
      </c>
      <c r="AP842" s="2" t="n">
        <f aca="false">ROUND(AC842-AI842,9)</f>
        <v>0.243975904</v>
      </c>
      <c r="AQ842" s="2" t="n">
        <f aca="false">ROUND(AD842-AJ842,9)</f>
        <v>0.78313253</v>
      </c>
    </row>
    <row r="843" customFormat="false" ht="15" hidden="false" customHeight="false" outlineLevel="0" collapsed="false">
      <c r="A843" s="2" t="n">
        <v>842</v>
      </c>
      <c r="B843" s="6" t="n">
        <v>21</v>
      </c>
      <c r="C843" s="6" t="n">
        <v>33</v>
      </c>
      <c r="D843" s="8" t="str">
        <f aca="false">INDEX(Bases!$B$2:$B$53,B843)</f>
        <v>Makuhita</v>
      </c>
      <c r="E843" s="8" t="str">
        <f aca="false">INDEX(Bases!$B$2:$B$53,C843)</f>
        <v>Jirachi</v>
      </c>
      <c r="F843" s="2" t="str">
        <f aca="false">LEFT(D843,ROUNDUP(LEN(D843)/2,0))&amp;LOWER(MID(E843,ROUNDUP(LEN(E843)/2,0)+1,20))</f>
        <v>Makuchi</v>
      </c>
      <c r="G843" s="8" t="str">
        <f aca="false">INDEX(Bases!$C$2:$C$53,B843)</f>
        <v>Fighting</v>
      </c>
      <c r="H843" s="8" t="str">
        <f aca="false">IF(INDEX(Bases!$C$2:$C$53,C843)=G843,"",INDEX(Bases!$C$2:$C$53,C843))</f>
        <v>Psychic</v>
      </c>
      <c r="I843" s="8" t="str">
        <f aca="false">IF(INDEX(Bases!$E$2:$E$53,B843)="","",INDEX(Bases!$E$2:$E$53,B843))</f>
        <v/>
      </c>
      <c r="J843" s="8" t="str">
        <f aca="false">IF(INDEX(Bases!$E$2:$E$53,C843)="","",INDEX(Bases!$E$2:$E$53,C843))</f>
        <v/>
      </c>
      <c r="K843" s="5"/>
      <c r="L843" s="2" t="n">
        <f aca="false">AE843+IF(SUMPRODUCT(--($AL843:$AQ843&gt;AL843))&lt;$AK843,1,0)</f>
        <v>120</v>
      </c>
      <c r="M843" s="2" t="n">
        <f aca="false">AF843+IF(SUMPRODUCT(--($AL843:$AQ843&gt;AM843))+SUMPRODUCT(--($AL843:AL843=AM843))&lt;$AK843,1,0)</f>
        <v>104</v>
      </c>
      <c r="N843" s="2" t="n">
        <f aca="false">AG843+IF(SUMPRODUCT(--($AL843:$AQ843&gt;AN843))+SUMPRODUCT(--($AL843:AM843=AN843))&lt;$AK843,1,0)</f>
        <v>72</v>
      </c>
      <c r="O843" s="2" t="n">
        <f aca="false">AH843+IF(SUMPRODUCT(--($AL843:$AQ843&gt;AO843))+SUMPRODUCT(--($AL843:AN843=AO843))&lt;$AK843,1,0)</f>
        <v>65</v>
      </c>
      <c r="P843" s="2" t="n">
        <f aca="false">AI843+IF(SUMPRODUCT(--($AL843:$AQ843&gt;AP843))+SUMPRODUCT(--($AL843:AO843=AP843))&lt;$AK843,1,0)</f>
        <v>71</v>
      </c>
      <c r="Q843" s="2" t="n">
        <f aca="false">AJ843+IF(SUMPRODUCT(--($AL843:$AQ843&gt;AQ843))+SUMPRODUCT(--($AL843:AP843=AQ843))&lt;$AK843,1,0)</f>
        <v>68</v>
      </c>
      <c r="R843" s="2" t="n">
        <f aca="false">SUM(L843:Q843)</f>
        <v>500</v>
      </c>
      <c r="S843" s="2" t="n">
        <f aca="false">Settings!$B$4*MAX(INDEX(Bases!$M$2:$M$53,B843),INDEX(Bases!$M$2:$M$53,C843))+Settings!$B$5*MIN(INDEX(Bases!$M$2:$M$53,B843),INDEX(Bases!$M$2:$M$53,C843))</f>
        <v>103</v>
      </c>
      <c r="T843" s="2" t="n">
        <f aca="false">Settings!$B$4*MAX(INDEX(Bases!$N$2:$N$53,B843),INDEX(Bases!$N$2:$N$53,C843))+Settings!$B$5*MIN(INDEX(Bases!$N$2:$N$53,B843),INDEX(Bases!$N$2:$N$53,C843))</f>
        <v>89.6666666666667</v>
      </c>
      <c r="U843" s="2" t="n">
        <f aca="false">Settings!$B$4*MAX(INDEX(Bases!$O$2:$O$53,B843),INDEX(Bases!$O$2:$O$53,C843))+Settings!$B$5*MIN(INDEX(Bases!$O$2:$O$53,B843),INDEX(Bases!$O$2:$O$53,C843))</f>
        <v>61.6666666666667</v>
      </c>
      <c r="V843" s="2" t="n">
        <f aca="false">Settings!$B$4*MAX(INDEX(Bases!$P$2:$P$53,B843),INDEX(Bases!$P$2:$P$53,C843))+Settings!$B$5*MIN(INDEX(Bases!$P$2:$P$53,B843),INDEX(Bases!$P$2:$P$53,C843))</f>
        <v>56</v>
      </c>
      <c r="W843" s="2" t="n">
        <f aca="false">Settings!$B$4*MAX(INDEX(Bases!$Q$2:$Q$53,B843),INDEX(Bases!$Q$2:$Q$53,C843))+Settings!$B$5*MIN(INDEX(Bases!$Q$2:$Q$53,B843),INDEX(Bases!$Q$2:$Q$53,C843))</f>
        <v>61</v>
      </c>
      <c r="X843" s="2" t="n">
        <f aca="false">Settings!$B$4*MAX(INDEX(Bases!$R$2:$R$53,B843),INDEX(Bases!$R$2:$R$53,C843))+Settings!$B$5*MIN(INDEX(Bases!$R$2:$R$53,B843),INDEX(Bases!$R$2:$R$53,C843))</f>
        <v>58</v>
      </c>
      <c r="Y843" s="2" t="n">
        <f aca="false">S843*Settings!$B$3/SUM(S843:X843)</f>
        <v>119.953416149068</v>
      </c>
      <c r="Z843" s="2" t="n">
        <f aca="false">T843*Settings!$B$3/SUM(S843:X843)</f>
        <v>104.425465838509</v>
      </c>
      <c r="AA843" s="2" t="n">
        <f aca="false">U843*Settings!$B$3/SUM(S843:X843)</f>
        <v>71.8167701863354</v>
      </c>
      <c r="AB843" s="2" t="n">
        <f aca="false">V843*Settings!$B$3/SUM(S843:X843)</f>
        <v>65.2173913043478</v>
      </c>
      <c r="AC843" s="2" t="n">
        <f aca="false">W843*Settings!$B$3/SUM(S843:X843)</f>
        <v>71.0403726708075</v>
      </c>
      <c r="AD843" s="2" t="n">
        <f aca="false">X843*Settings!$B$3/SUM(S843:X843)</f>
        <v>67.5465838509317</v>
      </c>
      <c r="AE843" s="2" t="n">
        <f aca="false">INT(Y843)</f>
        <v>119</v>
      </c>
      <c r="AF843" s="2" t="n">
        <f aca="false">INT(Z843)</f>
        <v>104</v>
      </c>
      <c r="AG843" s="2" t="n">
        <f aca="false">INT(AA843)</f>
        <v>71</v>
      </c>
      <c r="AH843" s="2" t="n">
        <f aca="false">INT(AB843)</f>
        <v>65</v>
      </c>
      <c r="AI843" s="2" t="n">
        <f aca="false">INT(AC843)</f>
        <v>71</v>
      </c>
      <c r="AJ843" s="2" t="n">
        <f aca="false">INT(AD843)</f>
        <v>67</v>
      </c>
      <c r="AK843" s="2" t="n">
        <f aca="false">Settings!$B$3-SUM(AE843:AJ843)</f>
        <v>3</v>
      </c>
      <c r="AL843" s="2" t="n">
        <f aca="false">ROUND(Y843-AE843,9)</f>
        <v>0.953416149</v>
      </c>
      <c r="AM843" s="2" t="n">
        <f aca="false">ROUND(Z843-AF843,9)</f>
        <v>0.425465839</v>
      </c>
      <c r="AN843" s="2" t="n">
        <f aca="false">ROUND(AA843-AG843,9)</f>
        <v>0.816770186</v>
      </c>
      <c r="AO843" s="2" t="n">
        <f aca="false">ROUND(AB843-AH843,9)</f>
        <v>0.217391304</v>
      </c>
      <c r="AP843" s="2" t="n">
        <f aca="false">ROUND(AC843-AI843,9)</f>
        <v>0.040372671</v>
      </c>
      <c r="AQ843" s="2" t="n">
        <f aca="false">ROUND(AD843-AJ843,9)</f>
        <v>0.546583851</v>
      </c>
    </row>
    <row r="844" customFormat="false" ht="15" hidden="false" customHeight="false" outlineLevel="0" collapsed="false">
      <c r="A844" s="2" t="n">
        <v>843</v>
      </c>
      <c r="B844" s="6" t="n">
        <v>21</v>
      </c>
      <c r="C844" s="6" t="n">
        <v>34</v>
      </c>
      <c r="D844" s="8" t="str">
        <f aca="false">INDEX(Bases!$B$2:$B$53,B844)</f>
        <v>Makuhita</v>
      </c>
      <c r="E844" s="8" t="str">
        <f aca="false">INDEX(Bases!$B$2:$B$53,C844)</f>
        <v>Paras</v>
      </c>
      <c r="F844" s="2" t="str">
        <f aca="false">LEFT(D844,ROUNDUP(LEN(D844)/2,0))&amp;LOWER(MID(E844,ROUNDUP(LEN(E844)/2,0)+1,20))</f>
        <v>Makuas</v>
      </c>
      <c r="G844" s="8" t="str">
        <f aca="false">INDEX(Bases!$C$2:$C$53,B844)</f>
        <v>Fighting</v>
      </c>
      <c r="H844" s="8" t="str">
        <f aca="false">IF(INDEX(Bases!$C$2:$C$53,C844)=G844,"",INDEX(Bases!$C$2:$C$53,C844))</f>
        <v>Bug</v>
      </c>
      <c r="I844" s="8" t="str">
        <f aca="false">IF(INDEX(Bases!$E$2:$E$53,B844)="","",INDEX(Bases!$E$2:$E$53,B844))</f>
        <v/>
      </c>
      <c r="J844" s="8" t="str">
        <f aca="false">IF(INDEX(Bases!$E$2:$E$53,C844)="","",INDEX(Bases!$E$2:$E$53,C844))</f>
        <v/>
      </c>
      <c r="K844" s="5"/>
      <c r="L844" s="2" t="n">
        <f aca="false">AE844+IF(SUMPRODUCT(--($AL844:$AQ844&gt;AL844))&lt;$AK844,1,0)</f>
        <v>114</v>
      </c>
      <c r="M844" s="2" t="n">
        <f aca="false">AF844+IF(SUMPRODUCT(--($AL844:$AQ844&gt;AM844))+SUMPRODUCT(--($AL844:AL844=AM844))&lt;$AK844,1,0)</f>
        <v>118</v>
      </c>
      <c r="N844" s="2" t="n">
        <f aca="false">AG844+IF(SUMPRODUCT(--($AL844:$AQ844&gt;AN844))+SUMPRODUCT(--($AL844:AM844=AN844))&lt;$AK844,1,0)</f>
        <v>80</v>
      </c>
      <c r="O844" s="2" t="n">
        <f aca="false">AH844+IF(SUMPRODUCT(--($AL844:$AQ844&gt;AO844))+SUMPRODUCT(--($AL844:AN844=AO844))&lt;$AK844,1,0)</f>
        <v>62</v>
      </c>
      <c r="P844" s="2" t="n">
        <f aca="false">AI844+IF(SUMPRODUCT(--($AL844:$AQ844&gt;AP844))+SUMPRODUCT(--($AL844:AO844=AP844))&lt;$AK844,1,0)</f>
        <v>80</v>
      </c>
      <c r="Q844" s="2" t="n">
        <f aca="false">AJ844+IF(SUMPRODUCT(--($AL844:$AQ844&gt;AQ844))+SUMPRODUCT(--($AL844:AP844=AQ844))&lt;$AK844,1,0)</f>
        <v>46</v>
      </c>
      <c r="R844" s="2" t="n">
        <f aca="false">SUM(L844:Q844)</f>
        <v>500</v>
      </c>
      <c r="S844" s="2" t="n">
        <f aca="false">Settings!$B$4*MAX(INDEX(Bases!$M$2:$M$53,B844),INDEX(Bases!$M$2:$M$53,C844))+Settings!$B$5*MIN(INDEX(Bases!$M$2:$M$53,B844),INDEX(Bases!$M$2:$M$53,C844))</f>
        <v>97</v>
      </c>
      <c r="T844" s="2" t="n">
        <f aca="false">Settings!$B$4*MAX(INDEX(Bases!$N$2:$N$53,B844),INDEX(Bases!$N$2:$N$53,C844))+Settings!$B$5*MIN(INDEX(Bases!$N$2:$N$53,B844),INDEX(Bases!$N$2:$N$53,C844))</f>
        <v>100.333333333333</v>
      </c>
      <c r="U844" s="2" t="n">
        <f aca="false">Settings!$B$4*MAX(INDEX(Bases!$O$2:$O$53,B844),INDEX(Bases!$O$2:$O$53,C844))+Settings!$B$5*MIN(INDEX(Bases!$O$2:$O$53,B844),INDEX(Bases!$O$2:$O$53,C844))</f>
        <v>68.3333333333333</v>
      </c>
      <c r="V844" s="2" t="n">
        <f aca="false">Settings!$B$4*MAX(INDEX(Bases!$P$2:$P$53,B844),INDEX(Bases!$P$2:$P$53,C844))+Settings!$B$5*MIN(INDEX(Bases!$P$2:$P$53,B844),INDEX(Bases!$P$2:$P$53,C844))</f>
        <v>53.3333333333333</v>
      </c>
      <c r="W844" s="2" t="n">
        <f aca="false">Settings!$B$4*MAX(INDEX(Bases!$Q$2:$Q$53,B844),INDEX(Bases!$Q$2:$Q$53,C844))+Settings!$B$5*MIN(INDEX(Bases!$Q$2:$Q$53,B844),INDEX(Bases!$Q$2:$Q$53,C844))</f>
        <v>68.3333333333333</v>
      </c>
      <c r="X844" s="2" t="n">
        <f aca="false">Settings!$B$4*MAX(INDEX(Bases!$R$2:$R$53,B844),INDEX(Bases!$R$2:$R$53,C844))+Settings!$B$5*MIN(INDEX(Bases!$R$2:$R$53,B844),INDEX(Bases!$R$2:$R$53,C844))</f>
        <v>39.6666666666667</v>
      </c>
      <c r="Y844" s="2" t="n">
        <f aca="false">S844*Settings!$B$3/SUM(S844:X844)</f>
        <v>113.583138173302</v>
      </c>
      <c r="Z844" s="2" t="n">
        <f aca="false">T844*Settings!$B$3/SUM(S844:X844)</f>
        <v>117.486338797814</v>
      </c>
      <c r="AA844" s="2" t="n">
        <f aca="false">U844*Settings!$B$3/SUM(S844:X844)</f>
        <v>80.015612802498</v>
      </c>
      <c r="AB844" s="2" t="n">
        <f aca="false">V844*Settings!$B$3/SUM(S844:X844)</f>
        <v>62.4512099921936</v>
      </c>
      <c r="AC844" s="2" t="n">
        <f aca="false">W844*Settings!$B$3/SUM(S844:X844)</f>
        <v>80.015612802498</v>
      </c>
      <c r="AD844" s="2" t="n">
        <f aca="false">X844*Settings!$B$3/SUM(S844:X844)</f>
        <v>46.448087431694</v>
      </c>
      <c r="AE844" s="2" t="n">
        <f aca="false">INT(Y844)</f>
        <v>113</v>
      </c>
      <c r="AF844" s="2" t="n">
        <f aca="false">INT(Z844)</f>
        <v>117</v>
      </c>
      <c r="AG844" s="2" t="n">
        <f aca="false">INT(AA844)</f>
        <v>80</v>
      </c>
      <c r="AH844" s="2" t="n">
        <f aca="false">INT(AB844)</f>
        <v>62</v>
      </c>
      <c r="AI844" s="2" t="n">
        <f aca="false">INT(AC844)</f>
        <v>80</v>
      </c>
      <c r="AJ844" s="2" t="n">
        <f aca="false">INT(AD844)</f>
        <v>46</v>
      </c>
      <c r="AK844" s="2" t="n">
        <f aca="false">Settings!$B$3-SUM(AE844:AJ844)</f>
        <v>2</v>
      </c>
      <c r="AL844" s="2" t="n">
        <f aca="false">ROUND(Y844-AE844,9)</f>
        <v>0.583138173</v>
      </c>
      <c r="AM844" s="2" t="n">
        <f aca="false">ROUND(Z844-AF844,9)</f>
        <v>0.486338798</v>
      </c>
      <c r="AN844" s="2" t="n">
        <f aca="false">ROUND(AA844-AG844,9)</f>
        <v>0.015612802</v>
      </c>
      <c r="AO844" s="2" t="n">
        <f aca="false">ROUND(AB844-AH844,9)</f>
        <v>0.451209992</v>
      </c>
      <c r="AP844" s="2" t="n">
        <f aca="false">ROUND(AC844-AI844,9)</f>
        <v>0.015612802</v>
      </c>
      <c r="AQ844" s="2" t="n">
        <f aca="false">ROUND(AD844-AJ844,9)</f>
        <v>0.448087432</v>
      </c>
    </row>
    <row r="845" customFormat="false" ht="15" hidden="false" customHeight="false" outlineLevel="0" collapsed="false">
      <c r="A845" s="2" t="n">
        <v>844</v>
      </c>
      <c r="B845" s="6" t="n">
        <v>21</v>
      </c>
      <c r="C845" s="6" t="n">
        <v>35</v>
      </c>
      <c r="D845" s="8" t="str">
        <f aca="false">INDEX(Bases!$B$2:$B$53,B845)</f>
        <v>Makuhita</v>
      </c>
      <c r="E845" s="8" t="str">
        <f aca="false">INDEX(Bases!$B$2:$B$53,C845)</f>
        <v>Pineco</v>
      </c>
      <c r="F845" s="2" t="str">
        <f aca="false">LEFT(D845,ROUNDUP(LEN(D845)/2,0))&amp;LOWER(MID(E845,ROUNDUP(LEN(E845)/2,0)+1,20))</f>
        <v>Makueco</v>
      </c>
      <c r="G845" s="8" t="str">
        <f aca="false">INDEX(Bases!$C$2:$C$53,B845)</f>
        <v>Fighting</v>
      </c>
      <c r="H845" s="8" t="str">
        <f aca="false">IF(INDEX(Bases!$C$2:$C$53,C845)=G845,"",INDEX(Bases!$C$2:$C$53,C845))</f>
        <v>Bug</v>
      </c>
      <c r="I845" s="8" t="str">
        <f aca="false">IF(INDEX(Bases!$E$2:$E$53,B845)="","",INDEX(Bases!$E$2:$E$53,B845))</f>
        <v/>
      </c>
      <c r="J845" s="8" t="str">
        <f aca="false">IF(INDEX(Bases!$E$2:$E$53,C845)="","",INDEX(Bases!$E$2:$E$53,C845))</f>
        <v/>
      </c>
      <c r="K845" s="5"/>
      <c r="L845" s="2" t="n">
        <f aca="false">AE845+IF(SUMPRODUCT(--($AL845:$AQ845&gt;AL845))&lt;$AK845,1,0)</f>
        <v>121</v>
      </c>
      <c r="M845" s="2" t="n">
        <f aca="false">AF845+IF(SUMPRODUCT(--($AL845:$AQ845&gt;AM845))+SUMPRODUCT(--($AL845:AL845=AM845))&lt;$AK845,1,0)</f>
        <v>113</v>
      </c>
      <c r="N845" s="2" t="n">
        <f aca="false">AG845+IF(SUMPRODUCT(--($AL845:$AQ845&gt;AN845))+SUMPRODUCT(--($AL845:AM845=AN845))&lt;$AK845,1,0)</f>
        <v>116</v>
      </c>
      <c r="O845" s="2" t="n">
        <f aca="false">AH845+IF(SUMPRODUCT(--($AL845:$AQ845&gt;AO845))+SUMPRODUCT(--($AL845:AN845=AO845))&lt;$AK845,1,0)</f>
        <v>51</v>
      </c>
      <c r="P845" s="2" t="n">
        <f aca="false">AI845+IF(SUMPRODUCT(--($AL845:$AQ845&gt;AP845))+SUMPRODUCT(--($AL845:AO845=AP845))&lt;$AK845,1,0)</f>
        <v>58</v>
      </c>
      <c r="Q845" s="2" t="n">
        <f aca="false">AJ845+IF(SUMPRODUCT(--($AL845:$AQ845&gt;AQ845))+SUMPRODUCT(--($AL845:AP845=AQ845))&lt;$AK845,1,0)</f>
        <v>41</v>
      </c>
      <c r="R845" s="2" t="n">
        <f aca="false">SUM(L845:Q845)</f>
        <v>500</v>
      </c>
      <c r="S845" s="2" t="n">
        <f aca="false">Settings!$B$4*MAX(INDEX(Bases!$M$2:$M$53,B845),INDEX(Bases!$M$2:$M$53,C845))+Settings!$B$5*MIN(INDEX(Bases!$M$2:$M$53,B845),INDEX(Bases!$M$2:$M$53,C845))</f>
        <v>103.666666666667</v>
      </c>
      <c r="T845" s="2" t="n">
        <f aca="false">Settings!$B$4*MAX(INDEX(Bases!$N$2:$N$53,B845),INDEX(Bases!$N$2:$N$53,C845))+Settings!$B$5*MIN(INDEX(Bases!$N$2:$N$53,B845),INDEX(Bases!$N$2:$N$53,C845))</f>
        <v>97.3333333333333</v>
      </c>
      <c r="U845" s="2" t="n">
        <f aca="false">Settings!$B$4*MAX(INDEX(Bases!$O$2:$O$53,B845),INDEX(Bases!$O$2:$O$53,C845))+Settings!$B$5*MIN(INDEX(Bases!$O$2:$O$53,B845),INDEX(Bases!$O$2:$O$53,C845))</f>
        <v>99.6666666666667</v>
      </c>
      <c r="V845" s="2" t="n">
        <f aca="false">Settings!$B$4*MAX(INDEX(Bases!$P$2:$P$53,B845),INDEX(Bases!$P$2:$P$53,C845))+Settings!$B$5*MIN(INDEX(Bases!$P$2:$P$53,B845),INDEX(Bases!$P$2:$P$53,C845))</f>
        <v>43.3333333333333</v>
      </c>
      <c r="W845" s="2" t="n">
        <f aca="false">Settings!$B$4*MAX(INDEX(Bases!$Q$2:$Q$53,B845),INDEX(Bases!$Q$2:$Q$53,C845))+Settings!$B$5*MIN(INDEX(Bases!$Q$2:$Q$53,B845),INDEX(Bases!$Q$2:$Q$53,C845))</f>
        <v>50</v>
      </c>
      <c r="X845" s="2" t="n">
        <f aca="false">Settings!$B$4*MAX(INDEX(Bases!$R$2:$R$53,B845),INDEX(Bases!$R$2:$R$53,C845))+Settings!$B$5*MIN(INDEX(Bases!$R$2:$R$53,B845),INDEX(Bases!$R$2:$R$53,C845))</f>
        <v>35</v>
      </c>
      <c r="Y845" s="2" t="n">
        <f aca="false">S845*Settings!$B$3/SUM(S845:X845)</f>
        <v>120.823620823621</v>
      </c>
      <c r="Z845" s="2" t="n">
        <f aca="false">T845*Settings!$B$3/SUM(S845:X845)</f>
        <v>113.442113442113</v>
      </c>
      <c r="AA845" s="2" t="n">
        <f aca="false">U845*Settings!$B$3/SUM(S845:X845)</f>
        <v>116.161616161616</v>
      </c>
      <c r="AB845" s="2" t="n">
        <f aca="false">V845*Settings!$B$3/SUM(S845:X845)</f>
        <v>50.5050505050505</v>
      </c>
      <c r="AC845" s="2" t="n">
        <f aca="false">W845*Settings!$B$3/SUM(S845:X845)</f>
        <v>58.2750582750583</v>
      </c>
      <c r="AD845" s="2" t="n">
        <f aca="false">X845*Settings!$B$3/SUM(S845:X845)</f>
        <v>40.7925407925408</v>
      </c>
      <c r="AE845" s="2" t="n">
        <f aca="false">INT(Y845)</f>
        <v>120</v>
      </c>
      <c r="AF845" s="2" t="n">
        <f aca="false">INT(Z845)</f>
        <v>113</v>
      </c>
      <c r="AG845" s="2" t="n">
        <f aca="false">INT(AA845)</f>
        <v>116</v>
      </c>
      <c r="AH845" s="2" t="n">
        <f aca="false">INT(AB845)</f>
        <v>50</v>
      </c>
      <c r="AI845" s="2" t="n">
        <f aca="false">INT(AC845)</f>
        <v>58</v>
      </c>
      <c r="AJ845" s="2" t="n">
        <f aca="false">INT(AD845)</f>
        <v>40</v>
      </c>
      <c r="AK845" s="2" t="n">
        <f aca="false">Settings!$B$3-SUM(AE845:AJ845)</f>
        <v>3</v>
      </c>
      <c r="AL845" s="2" t="n">
        <f aca="false">ROUND(Y845-AE845,9)</f>
        <v>0.823620824</v>
      </c>
      <c r="AM845" s="2" t="n">
        <f aca="false">ROUND(Z845-AF845,9)</f>
        <v>0.442113442</v>
      </c>
      <c r="AN845" s="2" t="n">
        <f aca="false">ROUND(AA845-AG845,9)</f>
        <v>0.161616162</v>
      </c>
      <c r="AO845" s="2" t="n">
        <f aca="false">ROUND(AB845-AH845,9)</f>
        <v>0.505050505</v>
      </c>
      <c r="AP845" s="2" t="n">
        <f aca="false">ROUND(AC845-AI845,9)</f>
        <v>0.275058275</v>
      </c>
      <c r="AQ845" s="2" t="n">
        <f aca="false">ROUND(AD845-AJ845,9)</f>
        <v>0.792540793</v>
      </c>
    </row>
    <row r="846" customFormat="false" ht="15" hidden="false" customHeight="false" outlineLevel="0" collapsed="false">
      <c r="A846" s="2" t="n">
        <v>845</v>
      </c>
      <c r="B846" s="6" t="n">
        <v>21</v>
      </c>
      <c r="C846" s="6" t="n">
        <v>36</v>
      </c>
      <c r="D846" s="8" t="str">
        <f aca="false">INDEX(Bases!$B$2:$B$53,B846)</f>
        <v>Makuhita</v>
      </c>
      <c r="E846" s="8" t="str">
        <f aca="false">INDEX(Bases!$B$2:$B$53,C846)</f>
        <v>Wurmple</v>
      </c>
      <c r="F846" s="2" t="str">
        <f aca="false">LEFT(D846,ROUNDUP(LEN(D846)/2,0))&amp;LOWER(MID(E846,ROUNDUP(LEN(E846)/2,0)+1,20))</f>
        <v>Makuple</v>
      </c>
      <c r="G846" s="8" t="str">
        <f aca="false">INDEX(Bases!$C$2:$C$53,B846)</f>
        <v>Fighting</v>
      </c>
      <c r="H846" s="8" t="str">
        <f aca="false">IF(INDEX(Bases!$C$2:$C$53,C846)=G846,"",INDEX(Bases!$C$2:$C$53,C846))</f>
        <v>Bug</v>
      </c>
      <c r="I846" s="8" t="str">
        <f aca="false">IF(INDEX(Bases!$E$2:$E$53,B846)="","",INDEX(Bases!$E$2:$E$53,B846))</f>
        <v/>
      </c>
      <c r="J846" s="8" t="str">
        <f aca="false">IF(INDEX(Bases!$E$2:$E$53,C846)="","",INDEX(Bases!$E$2:$E$53,C846))</f>
        <v/>
      </c>
      <c r="K846" s="5"/>
      <c r="L846" s="2" t="n">
        <f aca="false">AE846+IF(SUMPRODUCT(--($AL846:$AQ846&gt;AL846))&lt;$AK846,1,0)</f>
        <v>135</v>
      </c>
      <c r="M846" s="2" t="n">
        <f aca="false">AF846+IF(SUMPRODUCT(--($AL846:$AQ846&gt;AM846))+SUMPRODUCT(--($AL846:AL846=AM846))&lt;$AK846,1,0)</f>
        <v>119</v>
      </c>
      <c r="N846" s="2" t="n">
        <f aca="false">AG846+IF(SUMPRODUCT(--($AL846:$AQ846&gt;AN846))+SUMPRODUCT(--($AL846:AM846=AN846))&lt;$AK846,1,0)</f>
        <v>79</v>
      </c>
      <c r="O846" s="2" t="n">
        <f aca="false">AH846+IF(SUMPRODUCT(--($AL846:$AQ846&gt;AO846))+SUMPRODUCT(--($AL846:AN846=AO846))&lt;$AK846,1,0)</f>
        <v>47</v>
      </c>
      <c r="P846" s="2" t="n">
        <f aca="false">AI846+IF(SUMPRODUCT(--($AL846:$AQ846&gt;AP846))+SUMPRODUCT(--($AL846:AO846=AP846))&lt;$AK846,1,0)</f>
        <v>70</v>
      </c>
      <c r="Q846" s="2" t="n">
        <f aca="false">AJ846+IF(SUMPRODUCT(--($AL846:$AQ846&gt;AQ846))+SUMPRODUCT(--($AL846:AP846=AQ846))&lt;$AK846,1,0)</f>
        <v>50</v>
      </c>
      <c r="R846" s="2" t="n">
        <f aca="false">SUM(L846:Q846)</f>
        <v>500</v>
      </c>
      <c r="S846" s="2" t="n">
        <f aca="false">Settings!$B$4*MAX(INDEX(Bases!$M$2:$M$53,B846),INDEX(Bases!$M$2:$M$53,C846))+Settings!$B$5*MIN(INDEX(Bases!$M$2:$M$53,B846),INDEX(Bases!$M$2:$M$53,C846))</f>
        <v>111.333333333333</v>
      </c>
      <c r="T846" s="2" t="n">
        <f aca="false">Settings!$B$4*MAX(INDEX(Bases!$N$2:$N$53,B846),INDEX(Bases!$N$2:$N$53,C846))+Settings!$B$5*MIN(INDEX(Bases!$N$2:$N$53,B846),INDEX(Bases!$N$2:$N$53,C846))</f>
        <v>98</v>
      </c>
      <c r="U846" s="2" t="n">
        <f aca="false">Settings!$B$4*MAX(INDEX(Bases!$O$2:$O$53,B846),INDEX(Bases!$O$2:$O$53,C846))+Settings!$B$5*MIN(INDEX(Bases!$O$2:$O$53,B846),INDEX(Bases!$O$2:$O$53,C846))</f>
        <v>65</v>
      </c>
      <c r="V846" s="2" t="n">
        <f aca="false">Settings!$B$4*MAX(INDEX(Bases!$P$2:$P$53,B846),INDEX(Bases!$P$2:$P$53,C846))+Settings!$B$5*MIN(INDEX(Bases!$P$2:$P$53,B846),INDEX(Bases!$P$2:$P$53,C846))</f>
        <v>38.6666666666667</v>
      </c>
      <c r="W846" s="2" t="n">
        <f aca="false">Settings!$B$4*MAX(INDEX(Bases!$Q$2:$Q$53,B846),INDEX(Bases!$Q$2:$Q$53,C846))+Settings!$B$5*MIN(INDEX(Bases!$Q$2:$Q$53,B846),INDEX(Bases!$Q$2:$Q$53,C846))</f>
        <v>58.3333333333333</v>
      </c>
      <c r="X846" s="2" t="n">
        <f aca="false">Settings!$B$4*MAX(INDEX(Bases!$R$2:$R$53,B846),INDEX(Bases!$R$2:$R$53,C846))+Settings!$B$5*MIN(INDEX(Bases!$R$2:$R$53,B846),INDEX(Bases!$R$2:$R$53,C846))</f>
        <v>41.6666666666667</v>
      </c>
      <c r="Y846" s="2" t="n">
        <f aca="false">S846*Settings!$B$3/SUM(S846:X846)</f>
        <v>134.786117836965</v>
      </c>
      <c r="Z846" s="2" t="n">
        <f aca="false">T846*Settings!$B$3/SUM(S846:X846)</f>
        <v>118.64406779661</v>
      </c>
      <c r="AA846" s="2" t="n">
        <f aca="false">U846*Settings!$B$3/SUM(S846:X846)</f>
        <v>78.6924939467312</v>
      </c>
      <c r="AB846" s="2" t="n">
        <f aca="false">V846*Settings!$B$3/SUM(S846:X846)</f>
        <v>46.8119451170299</v>
      </c>
      <c r="AC846" s="2" t="n">
        <f aca="false">W846*Settings!$B$3/SUM(S846:X846)</f>
        <v>70.6214689265537</v>
      </c>
      <c r="AD846" s="2" t="n">
        <f aca="false">X846*Settings!$B$3/SUM(S846:X846)</f>
        <v>50.4439063761098</v>
      </c>
      <c r="AE846" s="2" t="n">
        <f aca="false">INT(Y846)</f>
        <v>134</v>
      </c>
      <c r="AF846" s="2" t="n">
        <f aca="false">INT(Z846)</f>
        <v>118</v>
      </c>
      <c r="AG846" s="2" t="n">
        <f aca="false">INT(AA846)</f>
        <v>78</v>
      </c>
      <c r="AH846" s="2" t="n">
        <f aca="false">INT(AB846)</f>
        <v>46</v>
      </c>
      <c r="AI846" s="2" t="n">
        <f aca="false">INT(AC846)</f>
        <v>70</v>
      </c>
      <c r="AJ846" s="2" t="n">
        <f aca="false">INT(AD846)</f>
        <v>50</v>
      </c>
      <c r="AK846" s="2" t="n">
        <f aca="false">Settings!$B$3-SUM(AE846:AJ846)</f>
        <v>4</v>
      </c>
      <c r="AL846" s="2" t="n">
        <f aca="false">ROUND(Y846-AE846,9)</f>
        <v>0.786117837</v>
      </c>
      <c r="AM846" s="2" t="n">
        <f aca="false">ROUND(Z846-AF846,9)</f>
        <v>0.644067797</v>
      </c>
      <c r="AN846" s="2" t="n">
        <f aca="false">ROUND(AA846-AG846,9)</f>
        <v>0.692493947</v>
      </c>
      <c r="AO846" s="2" t="n">
        <f aca="false">ROUND(AB846-AH846,9)</f>
        <v>0.811945117</v>
      </c>
      <c r="AP846" s="2" t="n">
        <f aca="false">ROUND(AC846-AI846,9)</f>
        <v>0.621468927</v>
      </c>
      <c r="AQ846" s="2" t="n">
        <f aca="false">ROUND(AD846-AJ846,9)</f>
        <v>0.443906376</v>
      </c>
    </row>
    <row r="847" customFormat="false" ht="15" hidden="false" customHeight="false" outlineLevel="0" collapsed="false">
      <c r="A847" s="2" t="n">
        <v>846</v>
      </c>
      <c r="B847" s="6" t="n">
        <v>21</v>
      </c>
      <c r="C847" s="6" t="n">
        <v>37</v>
      </c>
      <c r="D847" s="8" t="str">
        <f aca="false">INDEX(Bases!$B$2:$B$53,B847)</f>
        <v>Makuhita</v>
      </c>
      <c r="E847" s="8" t="str">
        <f aca="false">INDEX(Bases!$B$2:$B$53,C847)</f>
        <v>Shuckle</v>
      </c>
      <c r="F847" s="2" t="str">
        <f aca="false">LEFT(D847,ROUNDUP(LEN(D847)/2,0))&amp;LOWER(MID(E847,ROUNDUP(LEN(E847)/2,0)+1,20))</f>
        <v>Makukle</v>
      </c>
      <c r="G847" s="8" t="str">
        <f aca="false">INDEX(Bases!$C$2:$C$53,B847)</f>
        <v>Fighting</v>
      </c>
      <c r="H847" s="8" t="str">
        <f aca="false">IF(INDEX(Bases!$C$2:$C$53,C847)=G847,"",INDEX(Bases!$C$2:$C$53,C847))</f>
        <v>Rock</v>
      </c>
      <c r="I847" s="8" t="str">
        <f aca="false">IF(INDEX(Bases!$E$2:$E$53,B847)="","",INDEX(Bases!$E$2:$E$53,B847))</f>
        <v/>
      </c>
      <c r="J847" s="8" t="str">
        <f aca="false">IF(INDEX(Bases!$E$2:$E$53,C847)="","",INDEX(Bases!$E$2:$E$53,C847))</f>
        <v/>
      </c>
      <c r="K847" s="5"/>
      <c r="L847" s="2" t="n">
        <f aca="false">AE847+IF(SUMPRODUCT(--($AL847:$AQ847&gt;AL847))&lt;$AK847,1,0)</f>
        <v>88</v>
      </c>
      <c r="M847" s="2" t="n">
        <f aca="false">AF847+IF(SUMPRODUCT(--($AL847:$AQ847&gt;AM847))+SUMPRODUCT(--($AL847:AL847=AM847))&lt;$AK847,1,0)</f>
        <v>72</v>
      </c>
      <c r="N847" s="2" t="n">
        <f aca="false">AG847+IF(SUMPRODUCT(--($AL847:$AQ847&gt;AN847))+SUMPRODUCT(--($AL847:AM847=AN847))&lt;$AK847,1,0)</f>
        <v>142</v>
      </c>
      <c r="O847" s="2" t="n">
        <f aca="false">AH847+IF(SUMPRODUCT(--($AL847:$AQ847&gt;AO847))+SUMPRODUCT(--($AL847:AN847=AO847))&lt;$AK847,1,0)</f>
        <v>26</v>
      </c>
      <c r="P847" s="2" t="n">
        <f aca="false">AI847+IF(SUMPRODUCT(--($AL847:$AQ847&gt;AP847))+SUMPRODUCT(--($AL847:AO847=AP847))&lt;$AK847,1,0)</f>
        <v>142</v>
      </c>
      <c r="Q847" s="2" t="n">
        <f aca="false">AJ847+IF(SUMPRODUCT(--($AL847:$AQ847&gt;AQ847))+SUMPRODUCT(--($AL847:AP847=AQ847))&lt;$AK847,1,0)</f>
        <v>30</v>
      </c>
      <c r="R847" s="2" t="n">
        <f aca="false">SUM(L847:Q847)</f>
        <v>500</v>
      </c>
      <c r="S847" s="2" t="n">
        <f aca="false">Settings!$B$4*MAX(INDEX(Bases!$M$2:$M$53,B847),INDEX(Bases!$M$2:$M$53,C847))+Settings!$B$5*MIN(INDEX(Bases!$M$2:$M$53,B847),INDEX(Bases!$M$2:$M$53,C847))</f>
        <v>86</v>
      </c>
      <c r="T847" s="2" t="n">
        <f aca="false">Settings!$B$4*MAX(INDEX(Bases!$N$2:$N$53,B847),INDEX(Bases!$N$2:$N$53,C847))+Settings!$B$5*MIN(INDEX(Bases!$N$2:$N$53,B847),INDEX(Bases!$N$2:$N$53,C847))</f>
        <v>70</v>
      </c>
      <c r="U847" s="2" t="n">
        <f aca="false">Settings!$B$4*MAX(INDEX(Bases!$O$2:$O$53,B847),INDEX(Bases!$O$2:$O$53,C847))+Settings!$B$5*MIN(INDEX(Bases!$O$2:$O$53,B847),INDEX(Bases!$O$2:$O$53,C847))</f>
        <v>138.333333333333</v>
      </c>
      <c r="V847" s="2" t="n">
        <f aca="false">Settings!$B$4*MAX(INDEX(Bases!$P$2:$P$53,B847),INDEX(Bases!$P$2:$P$53,C847))+Settings!$B$5*MIN(INDEX(Bases!$P$2:$P$53,B847),INDEX(Bases!$P$2:$P$53,C847))</f>
        <v>25.3333333333333</v>
      </c>
      <c r="W847" s="2" t="n">
        <f aca="false">Settings!$B$4*MAX(INDEX(Bases!$Q$2:$Q$53,B847),INDEX(Bases!$Q$2:$Q$53,C847))+Settings!$B$5*MIN(INDEX(Bases!$Q$2:$Q$53,B847),INDEX(Bases!$Q$2:$Q$53,C847))</f>
        <v>138.333333333333</v>
      </c>
      <c r="X847" s="2" t="n">
        <f aca="false">Settings!$B$4*MAX(INDEX(Bases!$R$2:$R$53,B847),INDEX(Bases!$R$2:$R$53,C847))+Settings!$B$5*MIN(INDEX(Bases!$R$2:$R$53,B847),INDEX(Bases!$R$2:$R$53,C847))</f>
        <v>29.3333333333333</v>
      </c>
      <c r="Y847" s="2" t="n">
        <f aca="false">S847*Settings!$B$3/SUM(S847:X847)</f>
        <v>88.235294117647</v>
      </c>
      <c r="Z847" s="2" t="n">
        <f aca="false">T847*Settings!$B$3/SUM(S847:X847)</f>
        <v>71.8194254445965</v>
      </c>
      <c r="AA847" s="2" t="n">
        <f aca="false">U847*Settings!$B$3/SUM(S847:X847)</f>
        <v>141.928864569083</v>
      </c>
      <c r="AB847" s="2" t="n">
        <f aca="false">V847*Settings!$B$3/SUM(S847:X847)</f>
        <v>25.9917920656635</v>
      </c>
      <c r="AC847" s="2" t="n">
        <f aca="false">W847*Settings!$B$3/SUM(S847:X847)</f>
        <v>141.928864569083</v>
      </c>
      <c r="AD847" s="2" t="n">
        <f aca="false">X847*Settings!$B$3/SUM(S847:X847)</f>
        <v>30.0957592339261</v>
      </c>
      <c r="AE847" s="2" t="n">
        <f aca="false">INT(Y847)</f>
        <v>88</v>
      </c>
      <c r="AF847" s="2" t="n">
        <f aca="false">INT(Z847)</f>
        <v>71</v>
      </c>
      <c r="AG847" s="2" t="n">
        <f aca="false">INT(AA847)</f>
        <v>141</v>
      </c>
      <c r="AH847" s="2" t="n">
        <f aca="false">INT(AB847)</f>
        <v>25</v>
      </c>
      <c r="AI847" s="2" t="n">
        <f aca="false">INT(AC847)</f>
        <v>141</v>
      </c>
      <c r="AJ847" s="2" t="n">
        <f aca="false">INT(AD847)</f>
        <v>30</v>
      </c>
      <c r="AK847" s="2" t="n">
        <f aca="false">Settings!$B$3-SUM(AE847:AJ847)</f>
        <v>4</v>
      </c>
      <c r="AL847" s="2" t="n">
        <f aca="false">ROUND(Y847-AE847,9)</f>
        <v>0.235294118</v>
      </c>
      <c r="AM847" s="2" t="n">
        <f aca="false">ROUND(Z847-AF847,9)</f>
        <v>0.819425445</v>
      </c>
      <c r="AN847" s="2" t="n">
        <f aca="false">ROUND(AA847-AG847,9)</f>
        <v>0.928864569</v>
      </c>
      <c r="AO847" s="2" t="n">
        <f aca="false">ROUND(AB847-AH847,9)</f>
        <v>0.991792066</v>
      </c>
      <c r="AP847" s="2" t="n">
        <f aca="false">ROUND(AC847-AI847,9)</f>
        <v>0.928864569</v>
      </c>
      <c r="AQ847" s="2" t="n">
        <f aca="false">ROUND(AD847-AJ847,9)</f>
        <v>0.095759234</v>
      </c>
    </row>
    <row r="848" customFormat="false" ht="15" hidden="false" customHeight="false" outlineLevel="0" collapsed="false">
      <c r="A848" s="2" t="n">
        <v>847</v>
      </c>
      <c r="B848" s="6" t="n">
        <v>21</v>
      </c>
      <c r="C848" s="6" t="n">
        <v>38</v>
      </c>
      <c r="D848" s="8" t="str">
        <f aca="false">INDEX(Bases!$B$2:$B$53,B848)</f>
        <v>Makuhita</v>
      </c>
      <c r="E848" s="8" t="str">
        <f aca="false">INDEX(Bases!$B$2:$B$53,C848)</f>
        <v>Larvitar</v>
      </c>
      <c r="F848" s="2" t="str">
        <f aca="false">LEFT(D848,ROUNDUP(LEN(D848)/2,0))&amp;LOWER(MID(E848,ROUNDUP(LEN(E848)/2,0)+1,20))</f>
        <v>Makuitar</v>
      </c>
      <c r="G848" s="8" t="str">
        <f aca="false">INDEX(Bases!$C$2:$C$53,B848)</f>
        <v>Fighting</v>
      </c>
      <c r="H848" s="8" t="str">
        <f aca="false">IF(INDEX(Bases!$C$2:$C$53,C848)=G848,"",INDEX(Bases!$C$2:$C$53,C848))</f>
        <v>Rock</v>
      </c>
      <c r="I848" s="8" t="str">
        <f aca="false">IF(INDEX(Bases!$E$2:$E$53,B848)="","",INDEX(Bases!$E$2:$E$53,B848))</f>
        <v/>
      </c>
      <c r="J848" s="8" t="str">
        <f aca="false">IF(INDEX(Bases!$E$2:$E$53,C848)="","",INDEX(Bases!$E$2:$E$53,C848))</f>
        <v/>
      </c>
      <c r="K848" s="5"/>
      <c r="L848" s="2" t="n">
        <f aca="false">AE848+IF(SUMPRODUCT(--($AL848:$AQ848&gt;AL848))&lt;$AK848,1,0)</f>
        <v>122</v>
      </c>
      <c r="M848" s="2" t="n">
        <f aca="false">AF848+IF(SUMPRODUCT(--($AL848:$AQ848&gt;AM848))+SUMPRODUCT(--($AL848:AL848=AM848))&lt;$AK848,1,0)</f>
        <v>113</v>
      </c>
      <c r="N848" s="2" t="n">
        <f aca="false">AG848+IF(SUMPRODUCT(--($AL848:$AQ848&gt;AN848))+SUMPRODUCT(--($AL848:AM848=AN848))&lt;$AK848,1,0)</f>
        <v>73</v>
      </c>
      <c r="O848" s="2" t="n">
        <f aca="false">AH848+IF(SUMPRODUCT(--($AL848:$AQ848&gt;AO848))+SUMPRODUCT(--($AL848:AN848=AO848))&lt;$AK848,1,0)</f>
        <v>60</v>
      </c>
      <c r="P848" s="2" t="n">
        <f aca="false">AI848+IF(SUMPRODUCT(--($AL848:$AQ848&gt;AP848))+SUMPRODUCT(--($AL848:AO848=AP848))&lt;$AK848,1,0)</f>
        <v>73</v>
      </c>
      <c r="Q848" s="2" t="n">
        <f aca="false">AJ848+IF(SUMPRODUCT(--($AL848:$AQ848&gt;AQ848))+SUMPRODUCT(--($AL848:AP848=AQ848))&lt;$AK848,1,0)</f>
        <v>59</v>
      </c>
      <c r="R848" s="2" t="n">
        <f aca="false">SUM(L848:Q848)</f>
        <v>500</v>
      </c>
      <c r="S848" s="2" t="n">
        <f aca="false">Settings!$B$4*MAX(INDEX(Bases!$M$2:$M$53,B848),INDEX(Bases!$M$2:$M$53,C848))+Settings!$B$5*MIN(INDEX(Bases!$M$2:$M$53,B848),INDEX(Bases!$M$2:$M$53,C848))</f>
        <v>103</v>
      </c>
      <c r="T848" s="2" t="n">
        <f aca="false">Settings!$B$4*MAX(INDEX(Bases!$N$2:$N$53,B848),INDEX(Bases!$N$2:$N$53,C848))+Settings!$B$5*MIN(INDEX(Bases!$N$2:$N$53,B848),INDEX(Bases!$N$2:$N$53,C848))</f>
        <v>95.6666666666667</v>
      </c>
      <c r="U848" s="2" t="n">
        <f aca="false">Settings!$B$4*MAX(INDEX(Bases!$O$2:$O$53,B848),INDEX(Bases!$O$2:$O$53,C848))+Settings!$B$5*MIN(INDEX(Bases!$O$2:$O$53,B848),INDEX(Bases!$O$2:$O$53,C848))</f>
        <v>61.6666666666667</v>
      </c>
      <c r="V848" s="2" t="n">
        <f aca="false">Settings!$B$4*MAX(INDEX(Bases!$P$2:$P$53,B848),INDEX(Bases!$P$2:$P$53,C848))+Settings!$B$5*MIN(INDEX(Bases!$P$2:$P$53,B848),INDEX(Bases!$P$2:$P$53,C848))</f>
        <v>51.3333333333333</v>
      </c>
      <c r="W848" s="2" t="n">
        <f aca="false">Settings!$B$4*MAX(INDEX(Bases!$Q$2:$Q$53,B848),INDEX(Bases!$Q$2:$Q$53,C848))+Settings!$B$5*MIN(INDEX(Bases!$Q$2:$Q$53,B848),INDEX(Bases!$Q$2:$Q$53,C848))</f>
        <v>61.6666666666667</v>
      </c>
      <c r="X848" s="2" t="n">
        <f aca="false">Settings!$B$4*MAX(INDEX(Bases!$R$2:$R$53,B848),INDEX(Bases!$R$2:$R$53,C848))+Settings!$B$5*MIN(INDEX(Bases!$R$2:$R$53,B848),INDEX(Bases!$R$2:$R$53,C848))</f>
        <v>50</v>
      </c>
      <c r="Y848" s="2" t="n">
        <f aca="false">S848*Settings!$B$3/SUM(S848:X848)</f>
        <v>121.653543307087</v>
      </c>
      <c r="Z848" s="2" t="n">
        <f aca="false">T848*Settings!$B$3/SUM(S848:X848)</f>
        <v>112.992125984252</v>
      </c>
      <c r="AA848" s="2" t="n">
        <f aca="false">U848*Settings!$B$3/SUM(S848:X848)</f>
        <v>72.8346456692914</v>
      </c>
      <c r="AB848" s="2" t="n">
        <f aca="false">V848*Settings!$B$3/SUM(S848:X848)</f>
        <v>60.6299212598425</v>
      </c>
      <c r="AC848" s="2" t="n">
        <f aca="false">W848*Settings!$B$3/SUM(S848:X848)</f>
        <v>72.8346456692914</v>
      </c>
      <c r="AD848" s="2" t="n">
        <f aca="false">X848*Settings!$B$3/SUM(S848:X848)</f>
        <v>59.0551181102362</v>
      </c>
      <c r="AE848" s="2" t="n">
        <f aca="false">INT(Y848)</f>
        <v>121</v>
      </c>
      <c r="AF848" s="2" t="n">
        <f aca="false">INT(Z848)</f>
        <v>112</v>
      </c>
      <c r="AG848" s="2" t="n">
        <f aca="false">INT(AA848)</f>
        <v>72</v>
      </c>
      <c r="AH848" s="2" t="n">
        <f aca="false">INT(AB848)</f>
        <v>60</v>
      </c>
      <c r="AI848" s="2" t="n">
        <f aca="false">INT(AC848)</f>
        <v>72</v>
      </c>
      <c r="AJ848" s="2" t="n">
        <f aca="false">INT(AD848)</f>
        <v>59</v>
      </c>
      <c r="AK848" s="2" t="n">
        <f aca="false">Settings!$B$3-SUM(AE848:AJ848)</f>
        <v>4</v>
      </c>
      <c r="AL848" s="2" t="n">
        <f aca="false">ROUND(Y848-AE848,9)</f>
        <v>0.653543307</v>
      </c>
      <c r="AM848" s="2" t="n">
        <f aca="false">ROUND(Z848-AF848,9)</f>
        <v>0.992125984</v>
      </c>
      <c r="AN848" s="2" t="n">
        <f aca="false">ROUND(AA848-AG848,9)</f>
        <v>0.834645669</v>
      </c>
      <c r="AO848" s="2" t="n">
        <f aca="false">ROUND(AB848-AH848,9)</f>
        <v>0.62992126</v>
      </c>
      <c r="AP848" s="2" t="n">
        <f aca="false">ROUND(AC848-AI848,9)</f>
        <v>0.834645669</v>
      </c>
      <c r="AQ848" s="2" t="n">
        <f aca="false">ROUND(AD848-AJ848,9)</f>
        <v>0.05511811</v>
      </c>
    </row>
    <row r="849" customFormat="false" ht="15" hidden="false" customHeight="false" outlineLevel="0" collapsed="false">
      <c r="A849" s="2" t="n">
        <v>848</v>
      </c>
      <c r="B849" s="6" t="n">
        <v>21</v>
      </c>
      <c r="C849" s="6" t="n">
        <v>39</v>
      </c>
      <c r="D849" s="8" t="str">
        <f aca="false">INDEX(Bases!$B$2:$B$53,B849)</f>
        <v>Makuhita</v>
      </c>
      <c r="E849" s="8" t="str">
        <f aca="false">INDEX(Bases!$B$2:$B$53,C849)</f>
        <v>Nosepass</v>
      </c>
      <c r="F849" s="2" t="str">
        <f aca="false">LEFT(D849,ROUNDUP(LEN(D849)/2,0))&amp;LOWER(MID(E849,ROUNDUP(LEN(E849)/2,0)+1,20))</f>
        <v>Makupass</v>
      </c>
      <c r="G849" s="8" t="str">
        <f aca="false">INDEX(Bases!$C$2:$C$53,B849)</f>
        <v>Fighting</v>
      </c>
      <c r="H849" s="8" t="str">
        <f aca="false">IF(INDEX(Bases!$C$2:$C$53,C849)=G849,"",INDEX(Bases!$C$2:$C$53,C849))</f>
        <v>Rock</v>
      </c>
      <c r="I849" s="8" t="str">
        <f aca="false">IF(INDEX(Bases!$E$2:$E$53,B849)="","",INDEX(Bases!$E$2:$E$53,B849))</f>
        <v/>
      </c>
      <c r="J849" s="8" t="str">
        <f aca="false">IF(INDEX(Bases!$E$2:$E$53,C849)="","",INDEX(Bases!$E$2:$E$53,C849))</f>
        <v/>
      </c>
      <c r="K849" s="5"/>
      <c r="L849" s="2" t="n">
        <f aca="false">AE849+IF(SUMPRODUCT(--($AL849:$AQ849&gt;AL849))&lt;$AK849,1,0)</f>
        <v>101</v>
      </c>
      <c r="M849" s="2" t="n">
        <f aca="false">AF849+IF(SUMPRODUCT(--($AL849:$AQ849&gt;AM849))+SUMPRODUCT(--($AL849:AL849=AM849))&lt;$AK849,1,0)</f>
        <v>93</v>
      </c>
      <c r="N849" s="2" t="n">
        <f aca="false">AG849+IF(SUMPRODUCT(--($AL849:$AQ849&gt;AN849))+SUMPRODUCT(--($AL849:AM849=AN849))&lt;$AK849,1,0)</f>
        <v>125</v>
      </c>
      <c r="O849" s="2" t="n">
        <f aca="false">AH849+IF(SUMPRODUCT(--($AL849:$AQ849&gt;AO849))+SUMPRODUCT(--($AL849:AN849=AO849))&lt;$AK849,1,0)</f>
        <v>48</v>
      </c>
      <c r="P849" s="2" t="n">
        <f aca="false">AI849+IF(SUMPRODUCT(--($AL849:$AQ849&gt;AP849))+SUMPRODUCT(--($AL849:AO849=AP849))&lt;$AK849,1,0)</f>
        <v>90</v>
      </c>
      <c r="Q849" s="2" t="n">
        <f aca="false">AJ849+IF(SUMPRODUCT(--($AL849:$AQ849&gt;AQ849))+SUMPRODUCT(--($AL849:AP849=AQ849))&lt;$AK849,1,0)</f>
        <v>43</v>
      </c>
      <c r="R849" s="2" t="n">
        <f aca="false">SUM(L849:Q849)</f>
        <v>500</v>
      </c>
      <c r="S849" s="2" t="n">
        <f aca="false">Settings!$B$4*MAX(INDEX(Bases!$M$2:$M$53,B849),INDEX(Bases!$M$2:$M$53,C849))+Settings!$B$5*MIN(INDEX(Bases!$M$2:$M$53,B849),INDEX(Bases!$M$2:$M$53,C849))</f>
        <v>91.3333333333333</v>
      </c>
      <c r="T849" s="2" t="n">
        <f aca="false">Settings!$B$4*MAX(INDEX(Bases!$N$2:$N$53,B849),INDEX(Bases!$N$2:$N$53,C849))+Settings!$B$5*MIN(INDEX(Bases!$N$2:$N$53,B849),INDEX(Bases!$N$2:$N$53,C849))</f>
        <v>83.3333333333333</v>
      </c>
      <c r="U849" s="2" t="n">
        <f aca="false">Settings!$B$4*MAX(INDEX(Bases!$O$2:$O$53,B849),INDEX(Bases!$O$2:$O$53,C849))+Settings!$B$5*MIN(INDEX(Bases!$O$2:$O$53,B849),INDEX(Bases!$O$2:$O$53,C849))</f>
        <v>113</v>
      </c>
      <c r="V849" s="2" t="n">
        <f aca="false">Settings!$B$4*MAX(INDEX(Bases!$P$2:$P$53,B849),INDEX(Bases!$P$2:$P$53,C849))+Settings!$B$5*MIN(INDEX(Bases!$P$2:$P$53,B849),INDEX(Bases!$P$2:$P$53,C849))</f>
        <v>43.3333333333333</v>
      </c>
      <c r="W849" s="2" t="n">
        <f aca="false">Settings!$B$4*MAX(INDEX(Bases!$Q$2:$Q$53,B849),INDEX(Bases!$Q$2:$Q$53,C849))+Settings!$B$5*MIN(INDEX(Bases!$Q$2:$Q$53,B849),INDEX(Bases!$Q$2:$Q$53,C849))</f>
        <v>81</v>
      </c>
      <c r="X849" s="2" t="n">
        <f aca="false">Settings!$B$4*MAX(INDEX(Bases!$R$2:$R$53,B849),INDEX(Bases!$R$2:$R$53,C849))+Settings!$B$5*MIN(INDEX(Bases!$R$2:$R$53,B849),INDEX(Bases!$R$2:$R$53,C849))</f>
        <v>38.6666666666667</v>
      </c>
      <c r="Y849" s="2" t="n">
        <f aca="false">S849*Settings!$B$3/SUM(S849:X849)</f>
        <v>101.331360946746</v>
      </c>
      <c r="Z849" s="2" t="n">
        <f aca="false">T849*Settings!$B$3/SUM(S849:X849)</f>
        <v>92.4556213017751</v>
      </c>
      <c r="AA849" s="2" t="n">
        <f aca="false">U849*Settings!$B$3/SUM(S849:X849)</f>
        <v>125.369822485207</v>
      </c>
      <c r="AB849" s="2" t="n">
        <f aca="false">V849*Settings!$B$3/SUM(S849:X849)</f>
        <v>48.0769230769231</v>
      </c>
      <c r="AC849" s="2" t="n">
        <f aca="false">W849*Settings!$B$3/SUM(S849:X849)</f>
        <v>89.8668639053255</v>
      </c>
      <c r="AD849" s="2" t="n">
        <f aca="false">X849*Settings!$B$3/SUM(S849:X849)</f>
        <v>42.8994082840237</v>
      </c>
      <c r="AE849" s="2" t="n">
        <f aca="false">INT(Y849)</f>
        <v>101</v>
      </c>
      <c r="AF849" s="2" t="n">
        <f aca="false">INT(Z849)</f>
        <v>92</v>
      </c>
      <c r="AG849" s="2" t="n">
        <f aca="false">INT(AA849)</f>
        <v>125</v>
      </c>
      <c r="AH849" s="2" t="n">
        <f aca="false">INT(AB849)</f>
        <v>48</v>
      </c>
      <c r="AI849" s="2" t="n">
        <f aca="false">INT(AC849)</f>
        <v>89</v>
      </c>
      <c r="AJ849" s="2" t="n">
        <f aca="false">INT(AD849)</f>
        <v>42</v>
      </c>
      <c r="AK849" s="2" t="n">
        <f aca="false">Settings!$B$3-SUM(AE849:AJ849)</f>
        <v>3</v>
      </c>
      <c r="AL849" s="2" t="n">
        <f aca="false">ROUND(Y849-AE849,9)</f>
        <v>0.331360947</v>
      </c>
      <c r="AM849" s="2" t="n">
        <f aca="false">ROUND(Z849-AF849,9)</f>
        <v>0.455621302</v>
      </c>
      <c r="AN849" s="2" t="n">
        <f aca="false">ROUND(AA849-AG849,9)</f>
        <v>0.369822485</v>
      </c>
      <c r="AO849" s="2" t="n">
        <f aca="false">ROUND(AB849-AH849,9)</f>
        <v>0.076923077</v>
      </c>
      <c r="AP849" s="2" t="n">
        <f aca="false">ROUND(AC849-AI849,9)</f>
        <v>0.866863905</v>
      </c>
      <c r="AQ849" s="2" t="n">
        <f aca="false">ROUND(AD849-AJ849,9)</f>
        <v>0.899408284</v>
      </c>
    </row>
    <row r="850" customFormat="false" ht="15" hidden="false" customHeight="false" outlineLevel="0" collapsed="false">
      <c r="A850" s="2" t="n">
        <v>849</v>
      </c>
      <c r="B850" s="6" t="n">
        <v>21</v>
      </c>
      <c r="C850" s="6" t="n">
        <v>40</v>
      </c>
      <c r="D850" s="8" t="str">
        <f aca="false">INDEX(Bases!$B$2:$B$53,B850)</f>
        <v>Makuhita</v>
      </c>
      <c r="E850" s="8" t="str">
        <f aca="false">INDEX(Bases!$B$2:$B$53,C850)</f>
        <v>Gastly</v>
      </c>
      <c r="F850" s="2" t="str">
        <f aca="false">LEFT(D850,ROUNDUP(LEN(D850)/2,0))&amp;LOWER(MID(E850,ROUNDUP(LEN(E850)/2,0)+1,20))</f>
        <v>Makutly</v>
      </c>
      <c r="G850" s="8" t="str">
        <f aca="false">INDEX(Bases!$C$2:$C$53,B850)</f>
        <v>Fighting</v>
      </c>
      <c r="H850" s="8" t="str">
        <f aca="false">IF(INDEX(Bases!$C$2:$C$53,C850)=G850,"",INDEX(Bases!$C$2:$C$53,C850))</f>
        <v>Ghost</v>
      </c>
      <c r="I850" s="8" t="str">
        <f aca="false">IF(INDEX(Bases!$E$2:$E$53,B850)="","",INDEX(Bases!$E$2:$E$53,B850))</f>
        <v/>
      </c>
      <c r="J850" s="8" t="str">
        <f aca="false">IF(INDEX(Bases!$E$2:$E$53,C850)="","",INDEX(Bases!$E$2:$E$53,C850))</f>
        <v/>
      </c>
      <c r="K850" s="5"/>
      <c r="L850" s="2" t="n">
        <f aca="false">AE850+IF(SUMPRODUCT(--($AL850:$AQ850&gt;AL850))&lt;$AK850,1,0)</f>
        <v>104</v>
      </c>
      <c r="M850" s="2" t="n">
        <f aca="false">AF850+IF(SUMPRODUCT(--($AL850:$AQ850&gt;AM850))+SUMPRODUCT(--($AL850:AL850=AM850))&lt;$AK850,1,0)</f>
        <v>91</v>
      </c>
      <c r="N850" s="2" t="n">
        <f aca="false">AG850+IF(SUMPRODUCT(--($AL850:$AQ850&gt;AN850))+SUMPRODUCT(--($AL850:AM850=AN850))&lt;$AK850,1,0)</f>
        <v>52</v>
      </c>
      <c r="O850" s="2" t="n">
        <f aca="false">AH850+IF(SUMPRODUCT(--($AL850:$AQ850&gt;AO850))+SUMPRODUCT(--($AL850:AN850=AO850))&lt;$AK850,1,0)</f>
        <v>108</v>
      </c>
      <c r="P850" s="2" t="n">
        <f aca="false">AI850+IF(SUMPRODUCT(--($AL850:$AQ850&gt;AP850))+SUMPRODUCT(--($AL850:AO850=AP850))&lt;$AK850,1,0)</f>
        <v>54</v>
      </c>
      <c r="Q850" s="2" t="n">
        <f aca="false">AJ850+IF(SUMPRODUCT(--($AL850:$AQ850&gt;AQ850))+SUMPRODUCT(--($AL850:AP850=AQ850))&lt;$AK850,1,0)</f>
        <v>91</v>
      </c>
      <c r="R850" s="2" t="n">
        <f aca="false">SUM(L850:Q850)</f>
        <v>500</v>
      </c>
      <c r="S850" s="2" t="n">
        <f aca="false">Settings!$B$4*MAX(INDEX(Bases!$M$2:$M$53,B850),INDEX(Bases!$M$2:$M$53,C850))+Settings!$B$5*MIN(INDEX(Bases!$M$2:$M$53,B850),INDEX(Bases!$M$2:$M$53,C850))</f>
        <v>93.6666666666667</v>
      </c>
      <c r="T850" s="2" t="n">
        <f aca="false">Settings!$B$4*MAX(INDEX(Bases!$N$2:$N$53,B850),INDEX(Bases!$N$2:$N$53,C850))+Settings!$B$5*MIN(INDEX(Bases!$N$2:$N$53,B850),INDEX(Bases!$N$2:$N$53,C850))</f>
        <v>82.3333333333333</v>
      </c>
      <c r="U850" s="2" t="n">
        <f aca="false">Settings!$B$4*MAX(INDEX(Bases!$O$2:$O$53,B850),INDEX(Bases!$O$2:$O$53,C850))+Settings!$B$5*MIN(INDEX(Bases!$O$2:$O$53,B850),INDEX(Bases!$O$2:$O$53,C850))</f>
        <v>47</v>
      </c>
      <c r="V850" s="2" t="n">
        <f aca="false">Settings!$B$4*MAX(INDEX(Bases!$P$2:$P$53,B850),INDEX(Bases!$P$2:$P$53,C850))+Settings!$B$5*MIN(INDEX(Bases!$P$2:$P$53,B850),INDEX(Bases!$P$2:$P$53,C850))</f>
        <v>97.3333333333333</v>
      </c>
      <c r="W850" s="2" t="n">
        <f aca="false">Settings!$B$4*MAX(INDEX(Bases!$Q$2:$Q$53,B850),INDEX(Bases!$Q$2:$Q$53,C850))+Settings!$B$5*MIN(INDEX(Bases!$Q$2:$Q$53,B850),INDEX(Bases!$Q$2:$Q$53,C850))</f>
        <v>49</v>
      </c>
      <c r="X850" s="2" t="n">
        <f aca="false">Settings!$B$4*MAX(INDEX(Bases!$R$2:$R$53,B850),INDEX(Bases!$R$2:$R$53,C850))+Settings!$B$5*MIN(INDEX(Bases!$R$2:$R$53,B850),INDEX(Bases!$R$2:$R$53,C850))</f>
        <v>82.6666666666667</v>
      </c>
      <c r="Y850" s="2" t="n">
        <f aca="false">S850*Settings!$B$3/SUM(S850:X850)</f>
        <v>103.613569321534</v>
      </c>
      <c r="Z850" s="2" t="n">
        <f aca="false">T850*Settings!$B$3/SUM(S850:X850)</f>
        <v>91.0766961651917</v>
      </c>
      <c r="AA850" s="2" t="n">
        <f aca="false">U850*Settings!$B$3/SUM(S850:X850)</f>
        <v>51.9911504424779</v>
      </c>
      <c r="AB850" s="2" t="n">
        <f aca="false">V850*Settings!$B$3/SUM(S850:X850)</f>
        <v>107.669616519174</v>
      </c>
      <c r="AC850" s="2" t="n">
        <f aca="false">W850*Settings!$B$3/SUM(S850:X850)</f>
        <v>54.2035398230088</v>
      </c>
      <c r="AD850" s="2" t="n">
        <f aca="false">X850*Settings!$B$3/SUM(S850:X850)</f>
        <v>91.4454277286136</v>
      </c>
      <c r="AE850" s="2" t="n">
        <f aca="false">INT(Y850)</f>
        <v>103</v>
      </c>
      <c r="AF850" s="2" t="n">
        <f aca="false">INT(Z850)</f>
        <v>91</v>
      </c>
      <c r="AG850" s="2" t="n">
        <f aca="false">INT(AA850)</f>
        <v>51</v>
      </c>
      <c r="AH850" s="2" t="n">
        <f aca="false">INT(AB850)</f>
        <v>107</v>
      </c>
      <c r="AI850" s="2" t="n">
        <f aca="false">INT(AC850)</f>
        <v>54</v>
      </c>
      <c r="AJ850" s="2" t="n">
        <f aca="false">INT(AD850)</f>
        <v>91</v>
      </c>
      <c r="AK850" s="2" t="n">
        <f aca="false">Settings!$B$3-SUM(AE850:AJ850)</f>
        <v>3</v>
      </c>
      <c r="AL850" s="2" t="n">
        <f aca="false">ROUND(Y850-AE850,9)</f>
        <v>0.613569322</v>
      </c>
      <c r="AM850" s="2" t="n">
        <f aca="false">ROUND(Z850-AF850,9)</f>
        <v>0.076696165</v>
      </c>
      <c r="AN850" s="2" t="n">
        <f aca="false">ROUND(AA850-AG850,9)</f>
        <v>0.991150442</v>
      </c>
      <c r="AO850" s="2" t="n">
        <f aca="false">ROUND(AB850-AH850,9)</f>
        <v>0.669616519</v>
      </c>
      <c r="AP850" s="2" t="n">
        <f aca="false">ROUND(AC850-AI850,9)</f>
        <v>0.203539823</v>
      </c>
      <c r="AQ850" s="2" t="n">
        <f aca="false">ROUND(AD850-AJ850,9)</f>
        <v>0.445427729</v>
      </c>
    </row>
    <row r="851" customFormat="false" ht="15" hidden="false" customHeight="false" outlineLevel="0" collapsed="false">
      <c r="A851" s="2" t="n">
        <v>850</v>
      </c>
      <c r="B851" s="6" t="n">
        <v>21</v>
      </c>
      <c r="C851" s="6" t="n">
        <v>41</v>
      </c>
      <c r="D851" s="8" t="str">
        <f aca="false">INDEX(Bases!$B$2:$B$53,B851)</f>
        <v>Makuhita</v>
      </c>
      <c r="E851" s="8" t="str">
        <f aca="false">INDEX(Bases!$B$2:$B$53,C851)</f>
        <v>Misdreavus</v>
      </c>
      <c r="F851" s="2" t="str">
        <f aca="false">LEFT(D851,ROUNDUP(LEN(D851)/2,0))&amp;LOWER(MID(E851,ROUNDUP(LEN(E851)/2,0)+1,20))</f>
        <v>Makueavus</v>
      </c>
      <c r="G851" s="8" t="str">
        <f aca="false">INDEX(Bases!$C$2:$C$53,B851)</f>
        <v>Fighting</v>
      </c>
      <c r="H851" s="8" t="str">
        <f aca="false">IF(INDEX(Bases!$C$2:$C$53,C851)=G851,"",INDEX(Bases!$C$2:$C$53,C851))</f>
        <v>Ghost</v>
      </c>
      <c r="I851" s="8" t="str">
        <f aca="false">IF(INDEX(Bases!$E$2:$E$53,B851)="","",INDEX(Bases!$E$2:$E$53,B851))</f>
        <v/>
      </c>
      <c r="J851" s="8" t="str">
        <f aca="false">IF(INDEX(Bases!$E$2:$E$53,C851)="","",INDEX(Bases!$E$2:$E$53,C851))</f>
        <v/>
      </c>
      <c r="K851" s="5"/>
      <c r="L851" s="2" t="n">
        <f aca="false">AE851+IF(SUMPRODUCT(--($AL851:$AQ851&gt;AL851))&lt;$AK851,1,0)</f>
        <v>114</v>
      </c>
      <c r="M851" s="2" t="n">
        <f aca="false">AF851+IF(SUMPRODUCT(--($AL851:$AQ851&gt;AM851))+SUMPRODUCT(--($AL851:AL851=AM851))&lt;$AK851,1,0)</f>
        <v>98</v>
      </c>
      <c r="N851" s="2" t="n">
        <f aca="false">AG851+IF(SUMPRODUCT(--($AL851:$AQ851&gt;AN851))+SUMPRODUCT(--($AL851:AM851=AN851))&lt;$AK851,1,0)</f>
        <v>61</v>
      </c>
      <c r="O851" s="2" t="n">
        <f aca="false">AH851+IF(SUMPRODUCT(--($AL851:$AQ851&gt;AO851))+SUMPRODUCT(--($AL851:AN851=AO851))&lt;$AK851,1,0)</f>
        <v>72</v>
      </c>
      <c r="P851" s="2" t="n">
        <f aca="false">AI851+IF(SUMPRODUCT(--($AL851:$AQ851&gt;AP851))+SUMPRODUCT(--($AL851:AO851=AP851))&lt;$AK851,1,0)</f>
        <v>79</v>
      </c>
      <c r="Q851" s="2" t="n">
        <f aca="false">AJ851+IF(SUMPRODUCT(--($AL851:$AQ851&gt;AQ851))+SUMPRODUCT(--($AL851:AP851=AQ851))&lt;$AK851,1,0)</f>
        <v>76</v>
      </c>
      <c r="R851" s="2" t="n">
        <f aca="false">SUM(L851:Q851)</f>
        <v>500</v>
      </c>
      <c r="S851" s="2" t="n">
        <f aca="false">Settings!$B$4*MAX(INDEX(Bases!$M$2:$M$53,B851),INDEX(Bases!$M$2:$M$53,C851))+Settings!$B$5*MIN(INDEX(Bases!$M$2:$M$53,B851),INDEX(Bases!$M$2:$M$53,C851))</f>
        <v>99.3333333333333</v>
      </c>
      <c r="T851" s="2" t="n">
        <f aca="false">Settings!$B$4*MAX(INDEX(Bases!$N$2:$N$53,B851),INDEX(Bases!$N$2:$N$53,C851))+Settings!$B$5*MIN(INDEX(Bases!$N$2:$N$53,B851),INDEX(Bases!$N$2:$N$53,C851))</f>
        <v>85.6666666666667</v>
      </c>
      <c r="U851" s="2" t="n">
        <f aca="false">Settings!$B$4*MAX(INDEX(Bases!$O$2:$O$53,B851),INDEX(Bases!$O$2:$O$53,C851))+Settings!$B$5*MIN(INDEX(Bases!$O$2:$O$53,B851),INDEX(Bases!$O$2:$O$53,C851))</f>
        <v>53.6666666666667</v>
      </c>
      <c r="V851" s="2" t="n">
        <f aca="false">Settings!$B$4*MAX(INDEX(Bases!$P$2:$P$53,B851),INDEX(Bases!$P$2:$P$53,C851))+Settings!$B$5*MIN(INDEX(Bases!$P$2:$P$53,B851),INDEX(Bases!$P$2:$P$53,C851))</f>
        <v>63.3333333333333</v>
      </c>
      <c r="W851" s="2" t="n">
        <f aca="false">Settings!$B$4*MAX(INDEX(Bases!$Q$2:$Q$53,B851),INDEX(Bases!$Q$2:$Q$53,C851))+Settings!$B$5*MIN(INDEX(Bases!$Q$2:$Q$53,B851),INDEX(Bases!$Q$2:$Q$53,C851))</f>
        <v>69</v>
      </c>
      <c r="X851" s="2" t="n">
        <f aca="false">Settings!$B$4*MAX(INDEX(Bases!$R$2:$R$53,B851),INDEX(Bases!$R$2:$R$53,C851))+Settings!$B$5*MIN(INDEX(Bases!$R$2:$R$53,B851),INDEX(Bases!$R$2:$R$53,C851))</f>
        <v>66</v>
      </c>
      <c r="Y851" s="2" t="n">
        <f aca="false">S851*Settings!$B$3/SUM(S851:X851)</f>
        <v>113.653699466056</v>
      </c>
      <c r="Z851" s="2" t="n">
        <f aca="false">T851*Settings!$B$3/SUM(S851:X851)</f>
        <v>98.0167810831426</v>
      </c>
      <c r="AA851" s="2" t="n">
        <f aca="false">U851*Settings!$B$3/SUM(S851:X851)</f>
        <v>61.4035087719298</v>
      </c>
      <c r="AB851" s="2" t="n">
        <f aca="false">V851*Settings!$B$3/SUM(S851:X851)</f>
        <v>72.463768115942</v>
      </c>
      <c r="AC851" s="2" t="n">
        <f aca="false">W851*Settings!$B$3/SUM(S851:X851)</f>
        <v>78.9473684210526</v>
      </c>
      <c r="AD851" s="2" t="n">
        <f aca="false">X851*Settings!$B$3/SUM(S851:X851)</f>
        <v>75.5148741418764</v>
      </c>
      <c r="AE851" s="2" t="n">
        <f aca="false">INT(Y851)</f>
        <v>113</v>
      </c>
      <c r="AF851" s="2" t="n">
        <f aca="false">INT(Z851)</f>
        <v>98</v>
      </c>
      <c r="AG851" s="2" t="n">
        <f aca="false">INT(AA851)</f>
        <v>61</v>
      </c>
      <c r="AH851" s="2" t="n">
        <f aca="false">INT(AB851)</f>
        <v>72</v>
      </c>
      <c r="AI851" s="2" t="n">
        <f aca="false">INT(AC851)</f>
        <v>78</v>
      </c>
      <c r="AJ851" s="2" t="n">
        <f aca="false">INT(AD851)</f>
        <v>75</v>
      </c>
      <c r="AK851" s="2" t="n">
        <f aca="false">Settings!$B$3-SUM(AE851:AJ851)</f>
        <v>3</v>
      </c>
      <c r="AL851" s="2" t="n">
        <f aca="false">ROUND(Y851-AE851,9)</f>
        <v>0.653699466</v>
      </c>
      <c r="AM851" s="2" t="n">
        <f aca="false">ROUND(Z851-AF851,9)</f>
        <v>0.016781083</v>
      </c>
      <c r="AN851" s="2" t="n">
        <f aca="false">ROUND(AA851-AG851,9)</f>
        <v>0.403508772</v>
      </c>
      <c r="AO851" s="2" t="n">
        <f aca="false">ROUND(AB851-AH851,9)</f>
        <v>0.463768116</v>
      </c>
      <c r="AP851" s="2" t="n">
        <f aca="false">ROUND(AC851-AI851,9)</f>
        <v>0.947368421</v>
      </c>
      <c r="AQ851" s="2" t="n">
        <f aca="false">ROUND(AD851-AJ851,9)</f>
        <v>0.514874142</v>
      </c>
    </row>
    <row r="852" customFormat="false" ht="15" hidden="false" customHeight="false" outlineLevel="0" collapsed="false">
      <c r="A852" s="2" t="n">
        <v>851</v>
      </c>
      <c r="B852" s="6" t="n">
        <v>21</v>
      </c>
      <c r="C852" s="6" t="n">
        <v>42</v>
      </c>
      <c r="D852" s="8" t="str">
        <f aca="false">INDEX(Bases!$B$2:$B$53,B852)</f>
        <v>Makuhita</v>
      </c>
      <c r="E852" s="8" t="str">
        <f aca="false">INDEX(Bases!$B$2:$B$53,C852)</f>
        <v>Sableye</v>
      </c>
      <c r="F852" s="2" t="str">
        <f aca="false">LEFT(D852,ROUNDUP(LEN(D852)/2,0))&amp;LOWER(MID(E852,ROUNDUP(LEN(E852)/2,0)+1,20))</f>
        <v>Makueye</v>
      </c>
      <c r="G852" s="8" t="str">
        <f aca="false">INDEX(Bases!$C$2:$C$53,B852)</f>
        <v>Fighting</v>
      </c>
      <c r="H852" s="8" t="str">
        <f aca="false">IF(INDEX(Bases!$C$2:$C$53,C852)=G852,"",INDEX(Bases!$C$2:$C$53,C852))</f>
        <v>Ghost</v>
      </c>
      <c r="I852" s="8" t="str">
        <f aca="false">IF(INDEX(Bases!$E$2:$E$53,B852)="","",INDEX(Bases!$E$2:$E$53,B852))</f>
        <v/>
      </c>
      <c r="J852" s="8" t="str">
        <f aca="false">IF(INDEX(Bases!$E$2:$E$53,C852)="","",INDEX(Bases!$E$2:$E$53,C852))</f>
        <v/>
      </c>
      <c r="K852" s="5"/>
      <c r="L852" s="2" t="n">
        <f aca="false">AE852+IF(SUMPRODUCT(--($AL852:$AQ852&gt;AL852))&lt;$AK852,1,0)</f>
        <v>114</v>
      </c>
      <c r="M852" s="2" t="n">
        <f aca="false">AF852+IF(SUMPRODUCT(--($AL852:$AQ852&gt;AM852))+SUMPRODUCT(--($AL852:AL852=AM852))&lt;$AK852,1,0)</f>
        <v>109</v>
      </c>
      <c r="N852" s="2" t="n">
        <f aca="false">AG852+IF(SUMPRODUCT(--($AL852:$AQ852&gt;AN852))+SUMPRODUCT(--($AL852:AM852=AN852))&lt;$AK852,1,0)</f>
        <v>81</v>
      </c>
      <c r="O852" s="2" t="n">
        <f aca="false">AH852+IF(SUMPRODUCT(--($AL852:$AQ852&gt;AO852))+SUMPRODUCT(--($AL852:AN852=AO852))&lt;$AK852,1,0)</f>
        <v>66</v>
      </c>
      <c r="P852" s="2" t="n">
        <f aca="false">AI852+IF(SUMPRODUCT(--($AL852:$AQ852&gt;AP852))+SUMPRODUCT(--($AL852:AO852=AP852))&lt;$AK852,1,0)</f>
        <v>73</v>
      </c>
      <c r="Q852" s="2" t="n">
        <f aca="false">AJ852+IF(SUMPRODUCT(--($AL852:$AQ852&gt;AQ852))+SUMPRODUCT(--($AL852:AP852=AQ852))&lt;$AK852,1,0)</f>
        <v>57</v>
      </c>
      <c r="R852" s="2" t="n">
        <f aca="false">SUM(L852:Q852)</f>
        <v>500</v>
      </c>
      <c r="S852" s="2" t="n">
        <f aca="false">Settings!$B$4*MAX(INDEX(Bases!$M$2:$M$53,B852),INDEX(Bases!$M$2:$M$53,C852))+Settings!$B$5*MIN(INDEX(Bases!$M$2:$M$53,B852),INDEX(Bases!$M$2:$M$53,C852))</f>
        <v>98.3333333333333</v>
      </c>
      <c r="T852" s="2" t="n">
        <f aca="false">Settings!$B$4*MAX(INDEX(Bases!$N$2:$N$53,B852),INDEX(Bases!$N$2:$N$53,C852))+Settings!$B$5*MIN(INDEX(Bases!$N$2:$N$53,B852),INDEX(Bases!$N$2:$N$53,C852))</f>
        <v>93.6666666666667</v>
      </c>
      <c r="U852" s="2" t="n">
        <f aca="false">Settings!$B$4*MAX(INDEX(Bases!$O$2:$O$53,B852),INDEX(Bases!$O$2:$O$53,C852))+Settings!$B$5*MIN(INDEX(Bases!$O$2:$O$53,B852),INDEX(Bases!$O$2:$O$53,C852))</f>
        <v>69.6666666666667</v>
      </c>
      <c r="V852" s="2" t="n">
        <f aca="false">Settings!$B$4*MAX(INDEX(Bases!$P$2:$P$53,B852),INDEX(Bases!$P$2:$P$53,C852))+Settings!$B$5*MIN(INDEX(Bases!$P$2:$P$53,B852),INDEX(Bases!$P$2:$P$53,C852))</f>
        <v>56.6666666666667</v>
      </c>
      <c r="W852" s="2" t="n">
        <f aca="false">Settings!$B$4*MAX(INDEX(Bases!$Q$2:$Q$53,B852),INDEX(Bases!$Q$2:$Q$53,C852))+Settings!$B$5*MIN(INDEX(Bases!$Q$2:$Q$53,B852),INDEX(Bases!$Q$2:$Q$53,C852))</f>
        <v>62.3333333333333</v>
      </c>
      <c r="X852" s="2" t="n">
        <f aca="false">Settings!$B$4*MAX(INDEX(Bases!$R$2:$R$53,B852),INDEX(Bases!$R$2:$R$53,C852))+Settings!$B$5*MIN(INDEX(Bases!$R$2:$R$53,B852),INDEX(Bases!$R$2:$R$53,C852))</f>
        <v>49.3333333333333</v>
      </c>
      <c r="Y852" s="2" t="n">
        <f aca="false">S852*Settings!$B$3/SUM(S852:X852)</f>
        <v>114.341085271318</v>
      </c>
      <c r="Z852" s="2" t="n">
        <f aca="false">T852*Settings!$B$3/SUM(S852:X852)</f>
        <v>108.914728682171</v>
      </c>
      <c r="AA852" s="2" t="n">
        <f aca="false">U852*Settings!$B$3/SUM(S852:X852)</f>
        <v>81.0077519379845</v>
      </c>
      <c r="AB852" s="2" t="n">
        <f aca="false">V852*Settings!$B$3/SUM(S852:X852)</f>
        <v>65.8914728682171</v>
      </c>
      <c r="AC852" s="2" t="n">
        <f aca="false">W852*Settings!$B$3/SUM(S852:X852)</f>
        <v>72.4806201550388</v>
      </c>
      <c r="AD852" s="2" t="n">
        <f aca="false">X852*Settings!$B$3/SUM(S852:X852)</f>
        <v>57.3643410852713</v>
      </c>
      <c r="AE852" s="2" t="n">
        <f aca="false">INT(Y852)</f>
        <v>114</v>
      </c>
      <c r="AF852" s="2" t="n">
        <f aca="false">INT(Z852)</f>
        <v>108</v>
      </c>
      <c r="AG852" s="2" t="n">
        <f aca="false">INT(AA852)</f>
        <v>81</v>
      </c>
      <c r="AH852" s="2" t="n">
        <f aca="false">INT(AB852)</f>
        <v>65</v>
      </c>
      <c r="AI852" s="2" t="n">
        <f aca="false">INT(AC852)</f>
        <v>72</v>
      </c>
      <c r="AJ852" s="2" t="n">
        <f aca="false">INT(AD852)</f>
        <v>57</v>
      </c>
      <c r="AK852" s="2" t="n">
        <f aca="false">Settings!$B$3-SUM(AE852:AJ852)</f>
        <v>3</v>
      </c>
      <c r="AL852" s="2" t="n">
        <f aca="false">ROUND(Y852-AE852,9)</f>
        <v>0.341085271</v>
      </c>
      <c r="AM852" s="2" t="n">
        <f aca="false">ROUND(Z852-AF852,9)</f>
        <v>0.914728682</v>
      </c>
      <c r="AN852" s="2" t="n">
        <f aca="false">ROUND(AA852-AG852,9)</f>
        <v>0.007751938</v>
      </c>
      <c r="AO852" s="2" t="n">
        <f aca="false">ROUND(AB852-AH852,9)</f>
        <v>0.891472868</v>
      </c>
      <c r="AP852" s="2" t="n">
        <f aca="false">ROUND(AC852-AI852,9)</f>
        <v>0.480620155</v>
      </c>
      <c r="AQ852" s="2" t="n">
        <f aca="false">ROUND(AD852-AJ852,9)</f>
        <v>0.364341085</v>
      </c>
    </row>
    <row r="853" customFormat="false" ht="15" hidden="false" customHeight="false" outlineLevel="0" collapsed="false">
      <c r="A853" s="2" t="n">
        <v>852</v>
      </c>
      <c r="B853" s="6" t="n">
        <v>21</v>
      </c>
      <c r="C853" s="6" t="n">
        <v>43</v>
      </c>
      <c r="D853" s="8" t="str">
        <f aca="false">INDEX(Bases!$B$2:$B$53,B853)</f>
        <v>Makuhita</v>
      </c>
      <c r="E853" s="8" t="str">
        <f aca="false">INDEX(Bases!$B$2:$B$53,C853)</f>
        <v>Dratini</v>
      </c>
      <c r="F853" s="2" t="str">
        <f aca="false">LEFT(D853,ROUNDUP(LEN(D853)/2,0))&amp;LOWER(MID(E853,ROUNDUP(LEN(E853)/2,0)+1,20))</f>
        <v>Makuini</v>
      </c>
      <c r="G853" s="8" t="str">
        <f aca="false">INDEX(Bases!$C$2:$C$53,B853)</f>
        <v>Fighting</v>
      </c>
      <c r="H853" s="8" t="str">
        <f aca="false">IF(INDEX(Bases!$C$2:$C$53,C853)=G853,"",INDEX(Bases!$C$2:$C$53,C853))</f>
        <v>Dragon</v>
      </c>
      <c r="I853" s="8" t="str">
        <f aca="false">IF(INDEX(Bases!$E$2:$E$53,B853)="","",INDEX(Bases!$E$2:$E$53,B853))</f>
        <v/>
      </c>
      <c r="J853" s="8" t="str">
        <f aca="false">IF(INDEX(Bases!$E$2:$E$53,C853)="","",INDEX(Bases!$E$2:$E$53,C853))</f>
        <v/>
      </c>
      <c r="K853" s="5"/>
      <c r="L853" s="2" t="n">
        <f aca="false">AE853+IF(SUMPRODUCT(--($AL853:$AQ853&gt;AL853))&lt;$AK853,1,0)</f>
        <v>116</v>
      </c>
      <c r="M853" s="2" t="n">
        <f aca="false">AF853+IF(SUMPRODUCT(--($AL853:$AQ853&gt;AM853))+SUMPRODUCT(--($AL853:AL853=AM853))&lt;$AK853,1,0)</f>
        <v>112</v>
      </c>
      <c r="N853" s="2" t="n">
        <f aca="false">AG853+IF(SUMPRODUCT(--($AL853:$AQ853&gt;AN853))+SUMPRODUCT(--($AL853:AM853=AN853))&lt;$AK853,1,0)</f>
        <v>67</v>
      </c>
      <c r="O853" s="2" t="n">
        <f aca="false">AH853+IF(SUMPRODUCT(--($AL853:$AQ853&gt;AO853))+SUMPRODUCT(--($AL853:AN853=AO853))&lt;$AK853,1,0)</f>
        <v>65</v>
      </c>
      <c r="P853" s="2" t="n">
        <f aca="false">AI853+IF(SUMPRODUCT(--($AL853:$AQ853&gt;AP853))+SUMPRODUCT(--($AL853:AO853=AP853))&lt;$AK853,1,0)</f>
        <v>72</v>
      </c>
      <c r="Q853" s="2" t="n">
        <f aca="false">AJ853+IF(SUMPRODUCT(--($AL853:$AQ853&gt;AQ853))+SUMPRODUCT(--($AL853:AP853=AQ853))&lt;$AK853,1,0)</f>
        <v>68</v>
      </c>
      <c r="R853" s="2" t="n">
        <f aca="false">SUM(L853:Q853)</f>
        <v>500</v>
      </c>
      <c r="S853" s="2" t="n">
        <f aca="false">Settings!$B$4*MAX(INDEX(Bases!$M$2:$M$53,B853),INDEX(Bases!$M$2:$M$53,C853))+Settings!$B$5*MIN(INDEX(Bases!$M$2:$M$53,B853),INDEX(Bases!$M$2:$M$53,C853))</f>
        <v>99</v>
      </c>
      <c r="T853" s="2" t="n">
        <f aca="false">Settings!$B$4*MAX(INDEX(Bases!$N$2:$N$53,B853),INDEX(Bases!$N$2:$N$53,C853))+Settings!$B$5*MIN(INDEX(Bases!$N$2:$N$53,B853),INDEX(Bases!$N$2:$N$53,C853))</f>
        <v>95.6666666666667</v>
      </c>
      <c r="U853" s="2" t="n">
        <f aca="false">Settings!$B$4*MAX(INDEX(Bases!$O$2:$O$53,B853),INDEX(Bases!$O$2:$O$53,C853))+Settings!$B$5*MIN(INDEX(Bases!$O$2:$O$53,B853),INDEX(Bases!$O$2:$O$53,C853))</f>
        <v>57</v>
      </c>
      <c r="V853" s="2" t="n">
        <f aca="false">Settings!$B$4*MAX(INDEX(Bases!$P$2:$P$53,B853),INDEX(Bases!$P$2:$P$53,C853))+Settings!$B$5*MIN(INDEX(Bases!$P$2:$P$53,B853),INDEX(Bases!$P$2:$P$53,C853))</f>
        <v>56</v>
      </c>
      <c r="W853" s="2" t="n">
        <f aca="false">Settings!$B$4*MAX(INDEX(Bases!$Q$2:$Q$53,B853),INDEX(Bases!$Q$2:$Q$53,C853))+Settings!$B$5*MIN(INDEX(Bases!$Q$2:$Q$53,B853),INDEX(Bases!$Q$2:$Q$53,C853))</f>
        <v>61.6666666666667</v>
      </c>
      <c r="X853" s="2" t="n">
        <f aca="false">Settings!$B$4*MAX(INDEX(Bases!$R$2:$R$53,B853),INDEX(Bases!$R$2:$R$53,C853))+Settings!$B$5*MIN(INDEX(Bases!$R$2:$R$53,B853),INDEX(Bases!$R$2:$R$53,C853))</f>
        <v>58</v>
      </c>
      <c r="Y853" s="2" t="n">
        <f aca="false">S853*Settings!$B$3/SUM(S853:X853)</f>
        <v>115.834633385335</v>
      </c>
      <c r="Z853" s="2" t="n">
        <f aca="false">T853*Settings!$B$3/SUM(S853:X853)</f>
        <v>111.934477379095</v>
      </c>
      <c r="AA853" s="2" t="n">
        <f aca="false">U853*Settings!$B$3/SUM(S853:X853)</f>
        <v>66.6926677067083</v>
      </c>
      <c r="AB853" s="2" t="n">
        <f aca="false">V853*Settings!$B$3/SUM(S853:X853)</f>
        <v>65.5226209048362</v>
      </c>
      <c r="AC853" s="2" t="n">
        <f aca="false">W853*Settings!$B$3/SUM(S853:X853)</f>
        <v>72.1528861154446</v>
      </c>
      <c r="AD853" s="2" t="n">
        <f aca="false">X853*Settings!$B$3/SUM(S853:X853)</f>
        <v>67.8627145085803</v>
      </c>
      <c r="AE853" s="2" t="n">
        <f aca="false">INT(Y853)</f>
        <v>115</v>
      </c>
      <c r="AF853" s="2" t="n">
        <f aca="false">INT(Z853)</f>
        <v>111</v>
      </c>
      <c r="AG853" s="2" t="n">
        <f aca="false">INT(AA853)</f>
        <v>66</v>
      </c>
      <c r="AH853" s="2" t="n">
        <f aca="false">INT(AB853)</f>
        <v>65</v>
      </c>
      <c r="AI853" s="2" t="n">
        <f aca="false">INT(AC853)</f>
        <v>72</v>
      </c>
      <c r="AJ853" s="2" t="n">
        <f aca="false">INT(AD853)</f>
        <v>67</v>
      </c>
      <c r="AK853" s="2" t="n">
        <f aca="false">Settings!$B$3-SUM(AE853:AJ853)</f>
        <v>4</v>
      </c>
      <c r="AL853" s="2" t="n">
        <f aca="false">ROUND(Y853-AE853,9)</f>
        <v>0.834633385</v>
      </c>
      <c r="AM853" s="2" t="n">
        <f aca="false">ROUND(Z853-AF853,9)</f>
        <v>0.934477379</v>
      </c>
      <c r="AN853" s="2" t="n">
        <f aca="false">ROUND(AA853-AG853,9)</f>
        <v>0.692667707</v>
      </c>
      <c r="AO853" s="2" t="n">
        <f aca="false">ROUND(AB853-AH853,9)</f>
        <v>0.522620905</v>
      </c>
      <c r="AP853" s="2" t="n">
        <f aca="false">ROUND(AC853-AI853,9)</f>
        <v>0.152886115</v>
      </c>
      <c r="AQ853" s="2" t="n">
        <f aca="false">ROUND(AD853-AJ853,9)</f>
        <v>0.862714509</v>
      </c>
    </row>
    <row r="854" customFormat="false" ht="15" hidden="false" customHeight="false" outlineLevel="0" collapsed="false">
      <c r="A854" s="2" t="n">
        <v>853</v>
      </c>
      <c r="B854" s="6" t="n">
        <v>21</v>
      </c>
      <c r="C854" s="6" t="n">
        <v>44</v>
      </c>
      <c r="D854" s="8" t="str">
        <f aca="false">INDEX(Bases!$B$2:$B$53,B854)</f>
        <v>Makuhita</v>
      </c>
      <c r="E854" s="8" t="str">
        <f aca="false">INDEX(Bases!$B$2:$B$53,C854)</f>
        <v>Bagon</v>
      </c>
      <c r="F854" s="2" t="str">
        <f aca="false">LEFT(D854,ROUNDUP(LEN(D854)/2,0))&amp;LOWER(MID(E854,ROUNDUP(LEN(E854)/2,0)+1,20))</f>
        <v>Makuon</v>
      </c>
      <c r="G854" s="8" t="str">
        <f aca="false">INDEX(Bases!$C$2:$C$53,B854)</f>
        <v>Fighting</v>
      </c>
      <c r="H854" s="8" t="str">
        <f aca="false">IF(INDEX(Bases!$C$2:$C$53,C854)=G854,"",INDEX(Bases!$C$2:$C$53,C854))</f>
        <v>Dragon</v>
      </c>
      <c r="I854" s="8" t="str">
        <f aca="false">IF(INDEX(Bases!$E$2:$E$53,B854)="","",INDEX(Bases!$E$2:$E$53,B854))</f>
        <v/>
      </c>
      <c r="J854" s="8" t="str">
        <f aca="false">IF(INDEX(Bases!$E$2:$E$53,C854)="","",INDEX(Bases!$E$2:$E$53,C854))</f>
        <v/>
      </c>
      <c r="K854" s="5"/>
      <c r="L854" s="2" t="n">
        <f aca="false">AE854+IF(SUMPRODUCT(--($AL854:$AQ854&gt;AL854))&lt;$AK854,1,0)</f>
        <v>119</v>
      </c>
      <c r="M854" s="2" t="n">
        <f aca="false">AF854+IF(SUMPRODUCT(--($AL854:$AQ854&gt;AM854))+SUMPRODUCT(--($AL854:AL854=AM854))&lt;$AK854,1,0)</f>
        <v>118</v>
      </c>
      <c r="N854" s="2" t="n">
        <f aca="false">AG854+IF(SUMPRODUCT(--($AL854:$AQ854&gt;AN854))+SUMPRODUCT(--($AL854:AM854=AN854))&lt;$AK854,1,0)</f>
        <v>83</v>
      </c>
      <c r="O854" s="2" t="n">
        <f aca="false">AH854+IF(SUMPRODUCT(--($AL854:$AQ854&gt;AO854))+SUMPRODUCT(--($AL854:AN854=AO854))&lt;$AK854,1,0)</f>
        <v>55</v>
      </c>
      <c r="P854" s="2" t="n">
        <f aca="false">AI854+IF(SUMPRODUCT(--($AL854:$AQ854&gt;AP854))+SUMPRODUCT(--($AL854:AO854=AP854))&lt;$AK854,1,0)</f>
        <v>56</v>
      </c>
      <c r="Q854" s="2" t="n">
        <f aca="false">AJ854+IF(SUMPRODUCT(--($AL854:$AQ854&gt;AQ854))+SUMPRODUCT(--($AL854:AP854=AQ854))&lt;$AK854,1,0)</f>
        <v>69</v>
      </c>
      <c r="R854" s="2" t="n">
        <f aca="false">SUM(L854:Q854)</f>
        <v>500</v>
      </c>
      <c r="S854" s="2" t="n">
        <f aca="false">Settings!$B$4*MAX(INDEX(Bases!$M$2:$M$53,B854),INDEX(Bases!$M$2:$M$53,C854))+Settings!$B$5*MIN(INDEX(Bases!$M$2:$M$53,B854),INDEX(Bases!$M$2:$M$53,C854))</f>
        <v>100.666666666667</v>
      </c>
      <c r="T854" s="2" t="n">
        <f aca="false">Settings!$B$4*MAX(INDEX(Bases!$N$2:$N$53,B854),INDEX(Bases!$N$2:$N$53,C854))+Settings!$B$5*MIN(INDEX(Bases!$N$2:$N$53,B854),INDEX(Bases!$N$2:$N$53,C854))</f>
        <v>100.666666666667</v>
      </c>
      <c r="U854" s="2" t="n">
        <f aca="false">Settings!$B$4*MAX(INDEX(Bases!$O$2:$O$53,B854),INDEX(Bases!$O$2:$O$53,C854))+Settings!$B$5*MIN(INDEX(Bases!$O$2:$O$53,B854),INDEX(Bases!$O$2:$O$53,C854))</f>
        <v>70.3333333333333</v>
      </c>
      <c r="V854" s="2" t="n">
        <f aca="false">Settings!$B$4*MAX(INDEX(Bases!$P$2:$P$53,B854),INDEX(Bases!$P$2:$P$53,C854))+Settings!$B$5*MIN(INDEX(Bases!$P$2:$P$53,B854),INDEX(Bases!$P$2:$P$53,C854))</f>
        <v>46.6666666666667</v>
      </c>
      <c r="W854" s="2" t="n">
        <f aca="false">Settings!$B$4*MAX(INDEX(Bases!$Q$2:$Q$53,B854),INDEX(Bases!$Q$2:$Q$53,C854))+Settings!$B$5*MIN(INDEX(Bases!$Q$2:$Q$53,B854),INDEX(Bases!$Q$2:$Q$53,C854))</f>
        <v>47.3333333333333</v>
      </c>
      <c r="X854" s="2" t="n">
        <f aca="false">Settings!$B$4*MAX(INDEX(Bases!$R$2:$R$53,B854),INDEX(Bases!$R$2:$R$53,C854))+Settings!$B$5*MIN(INDEX(Bases!$R$2:$R$53,B854),INDEX(Bases!$R$2:$R$53,C854))</f>
        <v>58.6666666666667</v>
      </c>
      <c r="Y854" s="2" t="n">
        <f aca="false">S854*Settings!$B$3/SUM(S854:X854)</f>
        <v>118.617439120189</v>
      </c>
      <c r="Z854" s="2" t="n">
        <f aca="false">T854*Settings!$B$3/SUM(S854:X854)</f>
        <v>118.617439120189</v>
      </c>
      <c r="AA854" s="2" t="n">
        <f aca="false">U854*Settings!$B$3/SUM(S854:X854)</f>
        <v>82.8750981932443</v>
      </c>
      <c r="AB854" s="2" t="n">
        <f aca="false">V854*Settings!$B$3/SUM(S854:X854)</f>
        <v>54.9882168106834</v>
      </c>
      <c r="AC854" s="2" t="n">
        <f aca="false">W854*Settings!$B$3/SUM(S854:X854)</f>
        <v>55.7737627651218</v>
      </c>
      <c r="AD854" s="2" t="n">
        <f aca="false">X854*Settings!$B$3/SUM(S854:X854)</f>
        <v>69.1280439905735</v>
      </c>
      <c r="AE854" s="2" t="n">
        <f aca="false">INT(Y854)</f>
        <v>118</v>
      </c>
      <c r="AF854" s="2" t="n">
        <f aca="false">INT(Z854)</f>
        <v>118</v>
      </c>
      <c r="AG854" s="2" t="n">
        <f aca="false">INT(AA854)</f>
        <v>82</v>
      </c>
      <c r="AH854" s="2" t="n">
        <f aca="false">INT(AB854)</f>
        <v>54</v>
      </c>
      <c r="AI854" s="2" t="n">
        <f aca="false">INT(AC854)</f>
        <v>55</v>
      </c>
      <c r="AJ854" s="2" t="n">
        <f aca="false">INT(AD854)</f>
        <v>69</v>
      </c>
      <c r="AK854" s="2" t="n">
        <f aca="false">Settings!$B$3-SUM(AE854:AJ854)</f>
        <v>4</v>
      </c>
      <c r="AL854" s="2" t="n">
        <f aca="false">ROUND(Y854-AE854,9)</f>
        <v>0.61743912</v>
      </c>
      <c r="AM854" s="2" t="n">
        <f aca="false">ROUND(Z854-AF854,9)</f>
        <v>0.61743912</v>
      </c>
      <c r="AN854" s="2" t="n">
        <f aca="false">ROUND(AA854-AG854,9)</f>
        <v>0.875098193</v>
      </c>
      <c r="AO854" s="2" t="n">
        <f aca="false">ROUND(AB854-AH854,9)</f>
        <v>0.988216811</v>
      </c>
      <c r="AP854" s="2" t="n">
        <f aca="false">ROUND(AC854-AI854,9)</f>
        <v>0.773762765</v>
      </c>
      <c r="AQ854" s="2" t="n">
        <f aca="false">ROUND(AD854-AJ854,9)</f>
        <v>0.128043991</v>
      </c>
    </row>
    <row r="855" customFormat="false" ht="15" hidden="false" customHeight="false" outlineLevel="0" collapsed="false">
      <c r="A855" s="2" t="n">
        <v>854</v>
      </c>
      <c r="B855" s="6" t="n">
        <v>21</v>
      </c>
      <c r="C855" s="6" t="n">
        <v>45</v>
      </c>
      <c r="D855" s="8" t="str">
        <f aca="false">INDEX(Bases!$B$2:$B$53,B855)</f>
        <v>Makuhita</v>
      </c>
      <c r="E855" s="8" t="str">
        <f aca="false">INDEX(Bases!$B$2:$B$53,C855)</f>
        <v>Sneasel</v>
      </c>
      <c r="F855" s="2" t="str">
        <f aca="false">LEFT(D855,ROUNDUP(LEN(D855)/2,0))&amp;LOWER(MID(E855,ROUNDUP(LEN(E855)/2,0)+1,20))</f>
        <v>Makusel</v>
      </c>
      <c r="G855" s="8" t="str">
        <f aca="false">INDEX(Bases!$C$2:$C$53,B855)</f>
        <v>Fighting</v>
      </c>
      <c r="H855" s="8" t="str">
        <f aca="false">IF(INDEX(Bases!$C$2:$C$53,C855)=G855,"",INDEX(Bases!$C$2:$C$53,C855))</f>
        <v>Dark</v>
      </c>
      <c r="I855" s="8" t="str">
        <f aca="false">IF(INDEX(Bases!$E$2:$E$53,B855)="","",INDEX(Bases!$E$2:$E$53,B855))</f>
        <v/>
      </c>
      <c r="J855" s="8" t="str">
        <f aca="false">IF(INDEX(Bases!$E$2:$E$53,C855)="","",INDEX(Bases!$E$2:$E$53,C855))</f>
        <v/>
      </c>
      <c r="K855" s="5"/>
      <c r="L855" s="2" t="n">
        <f aca="false">AE855+IF(SUMPRODUCT(--($AL855:$AQ855&gt;AL855))&lt;$AK855,1,0)</f>
        <v>114</v>
      </c>
      <c r="M855" s="2" t="n">
        <f aca="false">AF855+IF(SUMPRODUCT(--($AL855:$AQ855&gt;AM855))+SUMPRODUCT(--($AL855:AL855=AM855))&lt;$AK855,1,0)</f>
        <v>113</v>
      </c>
      <c r="N855" s="2" t="n">
        <f aca="false">AG855+IF(SUMPRODUCT(--($AL855:$AQ855&gt;AN855))+SUMPRODUCT(--($AL855:AM855=AN855))&lt;$AK855,1,0)</f>
        <v>60</v>
      </c>
      <c r="O855" s="2" t="n">
        <f aca="false">AH855+IF(SUMPRODUCT(--($AL855:$AQ855&gt;AO855))+SUMPRODUCT(--($AL855:AN855=AO855))&lt;$AK855,1,0)</f>
        <v>39</v>
      </c>
      <c r="P855" s="2" t="n">
        <f aca="false">AI855+IF(SUMPRODUCT(--($AL855:$AQ855&gt;AP855))+SUMPRODUCT(--($AL855:AO855=AP855))&lt;$AK855,1,0)</f>
        <v>74</v>
      </c>
      <c r="Q855" s="2" t="n">
        <f aca="false">AJ855+IF(SUMPRODUCT(--($AL855:$AQ855&gt;AQ855))+SUMPRODUCT(--($AL855:AP855=AQ855))&lt;$AK855,1,0)</f>
        <v>100</v>
      </c>
      <c r="R855" s="2" t="n">
        <f aca="false">SUM(L855:Q855)</f>
        <v>500</v>
      </c>
      <c r="S855" s="2" t="n">
        <f aca="false">Settings!$B$4*MAX(INDEX(Bases!$M$2:$M$53,B855),INDEX(Bases!$M$2:$M$53,C855))+Settings!$B$5*MIN(INDEX(Bases!$M$2:$M$53,B855),INDEX(Bases!$M$2:$M$53,C855))</f>
        <v>97.6666666666667</v>
      </c>
      <c r="T855" s="2" t="n">
        <f aca="false">Settings!$B$4*MAX(INDEX(Bases!$N$2:$N$53,B855),INDEX(Bases!$N$2:$N$53,C855))+Settings!$B$5*MIN(INDEX(Bases!$N$2:$N$53,B855),INDEX(Bases!$N$2:$N$53,C855))</f>
        <v>96.6666666666667</v>
      </c>
      <c r="U855" s="2" t="n">
        <f aca="false">Settings!$B$4*MAX(INDEX(Bases!$O$2:$O$53,B855),INDEX(Bases!$O$2:$O$53,C855))+Settings!$B$5*MIN(INDEX(Bases!$O$2:$O$53,B855),INDEX(Bases!$O$2:$O$53,C855))</f>
        <v>51</v>
      </c>
      <c r="V855" s="2" t="n">
        <f aca="false">Settings!$B$4*MAX(INDEX(Bases!$P$2:$P$53,B855),INDEX(Bases!$P$2:$P$53,C855))+Settings!$B$5*MIN(INDEX(Bases!$P$2:$P$53,B855),INDEX(Bases!$P$2:$P$53,C855))</f>
        <v>33.6666666666667</v>
      </c>
      <c r="W855" s="2" t="n">
        <f aca="false">Settings!$B$4*MAX(INDEX(Bases!$Q$2:$Q$53,B855),INDEX(Bases!$Q$2:$Q$53,C855))+Settings!$B$5*MIN(INDEX(Bases!$Q$2:$Q$53,B855),INDEX(Bases!$Q$2:$Q$53,C855))</f>
        <v>63.6666666666667</v>
      </c>
      <c r="X855" s="2" t="n">
        <f aca="false">Settings!$B$4*MAX(INDEX(Bases!$R$2:$R$53,B855),INDEX(Bases!$R$2:$R$53,C855))+Settings!$B$5*MIN(INDEX(Bases!$R$2:$R$53,B855),INDEX(Bases!$R$2:$R$53,C855))</f>
        <v>85.3333333333333</v>
      </c>
      <c r="Y855" s="2" t="n">
        <f aca="false">S855*Settings!$B$3/SUM(S855:X855)</f>
        <v>114.096573208723</v>
      </c>
      <c r="Z855" s="2" t="n">
        <f aca="false">T855*Settings!$B$3/SUM(S855:X855)</f>
        <v>112.928348909657</v>
      </c>
      <c r="AA855" s="2" t="n">
        <f aca="false">U855*Settings!$B$3/SUM(S855:X855)</f>
        <v>59.5794392523365</v>
      </c>
      <c r="AB855" s="2" t="n">
        <f aca="false">V855*Settings!$B$3/SUM(S855:X855)</f>
        <v>39.3302180685358</v>
      </c>
      <c r="AC855" s="2" t="n">
        <f aca="false">W855*Settings!$B$3/SUM(S855:X855)</f>
        <v>74.3769470404985</v>
      </c>
      <c r="AD855" s="2" t="n">
        <f aca="false">X855*Settings!$B$3/SUM(S855:X855)</f>
        <v>99.6884735202492</v>
      </c>
      <c r="AE855" s="2" t="n">
        <f aca="false">INT(Y855)</f>
        <v>114</v>
      </c>
      <c r="AF855" s="2" t="n">
        <f aca="false">INT(Z855)</f>
        <v>112</v>
      </c>
      <c r="AG855" s="2" t="n">
        <f aca="false">INT(AA855)</f>
        <v>59</v>
      </c>
      <c r="AH855" s="2" t="n">
        <f aca="false">INT(AB855)</f>
        <v>39</v>
      </c>
      <c r="AI855" s="2" t="n">
        <f aca="false">INT(AC855)</f>
        <v>74</v>
      </c>
      <c r="AJ855" s="2" t="n">
        <f aca="false">INT(AD855)</f>
        <v>99</v>
      </c>
      <c r="AK855" s="2" t="n">
        <f aca="false">Settings!$B$3-SUM(AE855:AJ855)</f>
        <v>3</v>
      </c>
      <c r="AL855" s="2" t="n">
        <f aca="false">ROUND(Y855-AE855,9)</f>
        <v>0.096573209</v>
      </c>
      <c r="AM855" s="2" t="n">
        <f aca="false">ROUND(Z855-AF855,9)</f>
        <v>0.92834891</v>
      </c>
      <c r="AN855" s="2" t="n">
        <f aca="false">ROUND(AA855-AG855,9)</f>
        <v>0.579439252</v>
      </c>
      <c r="AO855" s="2" t="n">
        <f aca="false">ROUND(AB855-AH855,9)</f>
        <v>0.330218069</v>
      </c>
      <c r="AP855" s="2" t="n">
        <f aca="false">ROUND(AC855-AI855,9)</f>
        <v>0.37694704</v>
      </c>
      <c r="AQ855" s="2" t="n">
        <f aca="false">ROUND(AD855-AJ855,9)</f>
        <v>0.68847352</v>
      </c>
    </row>
    <row r="856" customFormat="false" ht="15" hidden="false" customHeight="false" outlineLevel="0" collapsed="false">
      <c r="A856" s="2" t="n">
        <v>855</v>
      </c>
      <c r="B856" s="6" t="n">
        <v>21</v>
      </c>
      <c r="C856" s="6" t="n">
        <v>46</v>
      </c>
      <c r="D856" s="8" t="str">
        <f aca="false">INDEX(Bases!$B$2:$B$53,B856)</f>
        <v>Makuhita</v>
      </c>
      <c r="E856" s="8" t="str">
        <f aca="false">INDEX(Bases!$B$2:$B$53,C856)</f>
        <v>Houndour</v>
      </c>
      <c r="F856" s="2" t="str">
        <f aca="false">LEFT(D856,ROUNDUP(LEN(D856)/2,0))&amp;LOWER(MID(E856,ROUNDUP(LEN(E856)/2,0)+1,20))</f>
        <v>Makudour</v>
      </c>
      <c r="G856" s="8" t="str">
        <f aca="false">INDEX(Bases!$C$2:$C$53,B856)</f>
        <v>Fighting</v>
      </c>
      <c r="H856" s="8" t="str">
        <f aca="false">IF(INDEX(Bases!$C$2:$C$53,C856)=G856,"",INDEX(Bases!$C$2:$C$53,C856))</f>
        <v>Dark</v>
      </c>
      <c r="I856" s="8" t="str">
        <f aca="false">IF(INDEX(Bases!$E$2:$E$53,B856)="","",INDEX(Bases!$E$2:$E$53,B856))</f>
        <v/>
      </c>
      <c r="J856" s="8" t="str">
        <f aca="false">IF(INDEX(Bases!$E$2:$E$53,C856)="","",INDEX(Bases!$E$2:$E$53,C856))</f>
        <v/>
      </c>
      <c r="K856" s="5"/>
      <c r="L856" s="2" t="n">
        <f aca="false">AE856+IF(SUMPRODUCT(--($AL856:$AQ856&gt;AL856))&lt;$AK856,1,0)</f>
        <v>113</v>
      </c>
      <c r="M856" s="2" t="n">
        <f aca="false">AF856+IF(SUMPRODUCT(--($AL856:$AQ856&gt;AM856))+SUMPRODUCT(--($AL856:AL856=AM856))&lt;$AK856,1,0)</f>
        <v>105</v>
      </c>
      <c r="N856" s="2" t="n">
        <f aca="false">AG856+IF(SUMPRODUCT(--($AL856:$AQ856&gt;AN856))+SUMPRODUCT(--($AL856:AM856=AN856))&lt;$AK856,1,0)</f>
        <v>53</v>
      </c>
      <c r="O856" s="2" t="n">
        <f aca="false">AH856+IF(SUMPRODUCT(--($AL856:$AQ856&gt;AO856))+SUMPRODUCT(--($AL856:AN856=AO856))&lt;$AK856,1,0)</f>
        <v>87</v>
      </c>
      <c r="P856" s="2" t="n">
        <f aca="false">AI856+IF(SUMPRODUCT(--($AL856:$AQ856&gt;AP856))+SUMPRODUCT(--($AL856:AO856=AP856))&lt;$AK856,1,0)</f>
        <v>66</v>
      </c>
      <c r="Q856" s="2" t="n">
        <f aca="false">AJ856+IF(SUMPRODUCT(--($AL856:$AQ856&gt;AQ856))+SUMPRODUCT(--($AL856:AP856=AQ856))&lt;$AK856,1,0)</f>
        <v>76</v>
      </c>
      <c r="R856" s="2" t="n">
        <f aca="false">SUM(L856:Q856)</f>
        <v>500</v>
      </c>
      <c r="S856" s="2" t="n">
        <f aca="false">Settings!$B$4*MAX(INDEX(Bases!$M$2:$M$53,B856),INDEX(Bases!$M$2:$M$53,C856))+Settings!$B$5*MIN(INDEX(Bases!$M$2:$M$53,B856),INDEX(Bases!$M$2:$M$53,C856))</f>
        <v>98.6666666666667</v>
      </c>
      <c r="T856" s="2" t="n">
        <f aca="false">Settings!$B$4*MAX(INDEX(Bases!$N$2:$N$53,B856),INDEX(Bases!$N$2:$N$53,C856))+Settings!$B$5*MIN(INDEX(Bases!$N$2:$N$53,B856),INDEX(Bases!$N$2:$N$53,C856))</f>
        <v>91.6666666666667</v>
      </c>
      <c r="U856" s="2" t="n">
        <f aca="false">Settings!$B$4*MAX(INDEX(Bases!$O$2:$O$53,B856),INDEX(Bases!$O$2:$O$53,C856))+Settings!$B$5*MIN(INDEX(Bases!$O$2:$O$53,B856),INDEX(Bases!$O$2:$O$53,C856))</f>
        <v>46</v>
      </c>
      <c r="V856" s="2" t="n">
        <f aca="false">Settings!$B$4*MAX(INDEX(Bases!$P$2:$P$53,B856),INDEX(Bases!$P$2:$P$53,C856))+Settings!$B$5*MIN(INDEX(Bases!$P$2:$P$53,B856),INDEX(Bases!$P$2:$P$53,C856))</f>
        <v>76</v>
      </c>
      <c r="W856" s="2" t="n">
        <f aca="false">Settings!$B$4*MAX(INDEX(Bases!$Q$2:$Q$53,B856),INDEX(Bases!$Q$2:$Q$53,C856))+Settings!$B$5*MIN(INDEX(Bases!$Q$2:$Q$53,B856),INDEX(Bases!$Q$2:$Q$53,C856))</f>
        <v>57.6666666666667</v>
      </c>
      <c r="X856" s="2" t="n">
        <f aca="false">Settings!$B$4*MAX(INDEX(Bases!$R$2:$R$53,B856),INDEX(Bases!$R$2:$R$53,C856))+Settings!$B$5*MIN(INDEX(Bases!$R$2:$R$53,B856),INDEX(Bases!$R$2:$R$53,C856))</f>
        <v>66.6666666666667</v>
      </c>
      <c r="Y856" s="2" t="n">
        <f aca="false">S856*Settings!$B$3/SUM(S856:X856)</f>
        <v>112.977099236641</v>
      </c>
      <c r="Z856" s="2" t="n">
        <f aca="false">T856*Settings!$B$3/SUM(S856:X856)</f>
        <v>104.961832061069</v>
      </c>
      <c r="AA856" s="2" t="n">
        <f aca="false">U856*Settings!$B$3/SUM(S856:X856)</f>
        <v>52.6717557251908</v>
      </c>
      <c r="AB856" s="2" t="n">
        <f aca="false">V856*Settings!$B$3/SUM(S856:X856)</f>
        <v>87.0229007633588</v>
      </c>
      <c r="AC856" s="2" t="n">
        <f aca="false">W856*Settings!$B$3/SUM(S856:X856)</f>
        <v>66.030534351145</v>
      </c>
      <c r="AD856" s="2" t="n">
        <f aca="false">X856*Settings!$B$3/SUM(S856:X856)</f>
        <v>76.3358778625954</v>
      </c>
      <c r="AE856" s="2" t="n">
        <f aca="false">INT(Y856)</f>
        <v>112</v>
      </c>
      <c r="AF856" s="2" t="n">
        <f aca="false">INT(Z856)</f>
        <v>104</v>
      </c>
      <c r="AG856" s="2" t="n">
        <f aca="false">INT(AA856)</f>
        <v>52</v>
      </c>
      <c r="AH856" s="2" t="n">
        <f aca="false">INT(AB856)</f>
        <v>87</v>
      </c>
      <c r="AI856" s="2" t="n">
        <f aca="false">INT(AC856)</f>
        <v>66</v>
      </c>
      <c r="AJ856" s="2" t="n">
        <f aca="false">INT(AD856)</f>
        <v>76</v>
      </c>
      <c r="AK856" s="2" t="n">
        <f aca="false">Settings!$B$3-SUM(AE856:AJ856)</f>
        <v>3</v>
      </c>
      <c r="AL856" s="2" t="n">
        <f aca="false">ROUND(Y856-AE856,9)</f>
        <v>0.977099237</v>
      </c>
      <c r="AM856" s="2" t="n">
        <f aca="false">ROUND(Z856-AF856,9)</f>
        <v>0.961832061</v>
      </c>
      <c r="AN856" s="2" t="n">
        <f aca="false">ROUND(AA856-AG856,9)</f>
        <v>0.671755725</v>
      </c>
      <c r="AO856" s="2" t="n">
        <f aca="false">ROUND(AB856-AH856,9)</f>
        <v>0.022900763</v>
      </c>
      <c r="AP856" s="2" t="n">
        <f aca="false">ROUND(AC856-AI856,9)</f>
        <v>0.030534351</v>
      </c>
      <c r="AQ856" s="2" t="n">
        <f aca="false">ROUND(AD856-AJ856,9)</f>
        <v>0.335877863</v>
      </c>
    </row>
    <row r="857" customFormat="false" ht="15" hidden="false" customHeight="false" outlineLevel="0" collapsed="false">
      <c r="A857" s="2" t="n">
        <v>856</v>
      </c>
      <c r="B857" s="6" t="n">
        <v>21</v>
      </c>
      <c r="C857" s="6" t="n">
        <v>47</v>
      </c>
      <c r="D857" s="8" t="str">
        <f aca="false">INDEX(Bases!$B$2:$B$53,B857)</f>
        <v>Makuhita</v>
      </c>
      <c r="E857" s="8" t="str">
        <f aca="false">INDEX(Bases!$B$2:$B$53,C857)</f>
        <v>Carvanha</v>
      </c>
      <c r="F857" s="2" t="str">
        <f aca="false">LEFT(D857,ROUNDUP(LEN(D857)/2,0))&amp;LOWER(MID(E857,ROUNDUP(LEN(E857)/2,0)+1,20))</f>
        <v>Makuanha</v>
      </c>
      <c r="G857" s="8" t="str">
        <f aca="false">INDEX(Bases!$C$2:$C$53,B857)</f>
        <v>Fighting</v>
      </c>
      <c r="H857" s="8" t="str">
        <f aca="false">IF(INDEX(Bases!$C$2:$C$53,C857)=G857,"",INDEX(Bases!$C$2:$C$53,C857))</f>
        <v>Dark</v>
      </c>
      <c r="I857" s="8" t="str">
        <f aca="false">IF(INDEX(Bases!$E$2:$E$53,B857)="","",INDEX(Bases!$E$2:$E$53,B857))</f>
        <v/>
      </c>
      <c r="J857" s="8" t="str">
        <f aca="false">IF(INDEX(Bases!$E$2:$E$53,C857)="","",INDEX(Bases!$E$2:$E$53,C857))</f>
        <v/>
      </c>
      <c r="K857" s="5"/>
      <c r="L857" s="2" t="n">
        <f aca="false">AE857+IF(SUMPRODUCT(--($AL857:$AQ857&gt;AL857))&lt;$AK857,1,0)</f>
        <v>115</v>
      </c>
      <c r="M857" s="2" t="n">
        <f aca="false">AF857+IF(SUMPRODUCT(--($AL857:$AQ857&gt;AM857))+SUMPRODUCT(--($AL857:AL857=AM857))&lt;$AK857,1,0)</f>
        <v>128</v>
      </c>
      <c r="N857" s="2" t="n">
        <f aca="false">AG857+IF(SUMPRODUCT(--($AL857:$AQ857&gt;AN857))+SUMPRODUCT(--($AL857:AM857=AN857))&lt;$AK857,1,0)</f>
        <v>49</v>
      </c>
      <c r="O857" s="2" t="n">
        <f aca="false">AH857+IF(SUMPRODUCT(--($AL857:$AQ857&gt;AO857))+SUMPRODUCT(--($AL857:AN857=AO857))&lt;$AK857,1,0)</f>
        <v>78</v>
      </c>
      <c r="P857" s="2" t="n">
        <f aca="false">AI857+IF(SUMPRODUCT(--($AL857:$AQ857&gt;AP857))+SUMPRODUCT(--($AL857:AO857=AP857))&lt;$AK857,1,0)</f>
        <v>49</v>
      </c>
      <c r="Q857" s="2" t="n">
        <f aca="false">AJ857+IF(SUMPRODUCT(--($AL857:$AQ857&gt;AQ857))+SUMPRODUCT(--($AL857:AP857=AQ857))&lt;$AK857,1,0)</f>
        <v>81</v>
      </c>
      <c r="R857" s="2" t="n">
        <f aca="false">SUM(L857:Q857)</f>
        <v>500</v>
      </c>
      <c r="S857" s="2" t="n">
        <f aca="false">Settings!$B$4*MAX(INDEX(Bases!$M$2:$M$53,B857),INDEX(Bases!$M$2:$M$53,C857))+Settings!$B$5*MIN(INDEX(Bases!$M$2:$M$53,B857),INDEX(Bases!$M$2:$M$53,C857))</f>
        <v>100.333333333333</v>
      </c>
      <c r="T857" s="2" t="n">
        <f aca="false">Settings!$B$4*MAX(INDEX(Bases!$N$2:$N$53,B857),INDEX(Bases!$N$2:$N$53,C857))+Settings!$B$5*MIN(INDEX(Bases!$N$2:$N$53,B857),INDEX(Bases!$N$2:$N$53,C857))</f>
        <v>112.333333333333</v>
      </c>
      <c r="U857" s="2" t="n">
        <f aca="false">Settings!$B$4*MAX(INDEX(Bases!$O$2:$O$53,B857),INDEX(Bases!$O$2:$O$53,C857))+Settings!$B$5*MIN(INDEX(Bases!$O$2:$O$53,B857),INDEX(Bases!$O$2:$O$53,C857))</f>
        <v>42.6666666666667</v>
      </c>
      <c r="V857" s="2" t="n">
        <f aca="false">Settings!$B$4*MAX(INDEX(Bases!$P$2:$P$53,B857),INDEX(Bases!$P$2:$P$53,C857))+Settings!$B$5*MIN(INDEX(Bases!$P$2:$P$53,B857),INDEX(Bases!$P$2:$P$53,C857))</f>
        <v>68.6666666666667</v>
      </c>
      <c r="W857" s="2" t="n">
        <f aca="false">Settings!$B$4*MAX(INDEX(Bases!$Q$2:$Q$53,B857),INDEX(Bases!$Q$2:$Q$53,C857))+Settings!$B$5*MIN(INDEX(Bases!$Q$2:$Q$53,B857),INDEX(Bases!$Q$2:$Q$53,C857))</f>
        <v>42.6666666666667</v>
      </c>
      <c r="X857" s="2" t="n">
        <f aca="false">Settings!$B$4*MAX(INDEX(Bases!$R$2:$R$53,B857),INDEX(Bases!$R$2:$R$53,C857))+Settings!$B$5*MIN(INDEX(Bases!$R$2:$R$53,B857),INDEX(Bases!$R$2:$R$53,C857))</f>
        <v>70.6666666666667</v>
      </c>
      <c r="Y857" s="2" t="n">
        <f aca="false">S857*Settings!$B$3/SUM(S857:X857)</f>
        <v>114.710365853659</v>
      </c>
      <c r="Z857" s="2" t="n">
        <f aca="false">T857*Settings!$B$3/SUM(S857:X857)</f>
        <v>128.429878048781</v>
      </c>
      <c r="AA857" s="2" t="n">
        <f aca="false">U857*Settings!$B$3/SUM(S857:X857)</f>
        <v>48.7804878048781</v>
      </c>
      <c r="AB857" s="2" t="n">
        <f aca="false">V857*Settings!$B$3/SUM(S857:X857)</f>
        <v>78.5060975609756</v>
      </c>
      <c r="AC857" s="2" t="n">
        <f aca="false">W857*Settings!$B$3/SUM(S857:X857)</f>
        <v>48.7804878048781</v>
      </c>
      <c r="AD857" s="2" t="n">
        <f aca="false">X857*Settings!$B$3/SUM(S857:X857)</f>
        <v>80.7926829268293</v>
      </c>
      <c r="AE857" s="2" t="n">
        <f aca="false">INT(Y857)</f>
        <v>114</v>
      </c>
      <c r="AF857" s="2" t="n">
        <f aca="false">INT(Z857)</f>
        <v>128</v>
      </c>
      <c r="AG857" s="2" t="n">
        <f aca="false">INT(AA857)</f>
        <v>48</v>
      </c>
      <c r="AH857" s="2" t="n">
        <f aca="false">INT(AB857)</f>
        <v>78</v>
      </c>
      <c r="AI857" s="2" t="n">
        <f aca="false">INT(AC857)</f>
        <v>48</v>
      </c>
      <c r="AJ857" s="2" t="n">
        <f aca="false">INT(AD857)</f>
        <v>80</v>
      </c>
      <c r="AK857" s="2" t="n">
        <f aca="false">Settings!$B$3-SUM(AE857:AJ857)</f>
        <v>4</v>
      </c>
      <c r="AL857" s="2" t="n">
        <f aca="false">ROUND(Y857-AE857,9)</f>
        <v>0.710365854</v>
      </c>
      <c r="AM857" s="2" t="n">
        <f aca="false">ROUND(Z857-AF857,9)</f>
        <v>0.429878049</v>
      </c>
      <c r="AN857" s="2" t="n">
        <f aca="false">ROUND(AA857-AG857,9)</f>
        <v>0.780487805</v>
      </c>
      <c r="AO857" s="2" t="n">
        <f aca="false">ROUND(AB857-AH857,9)</f>
        <v>0.506097561</v>
      </c>
      <c r="AP857" s="2" t="n">
        <f aca="false">ROUND(AC857-AI857,9)</f>
        <v>0.780487805</v>
      </c>
      <c r="AQ857" s="2" t="n">
        <f aca="false">ROUND(AD857-AJ857,9)</f>
        <v>0.792682927</v>
      </c>
    </row>
    <row r="858" customFormat="false" ht="15" hidden="false" customHeight="false" outlineLevel="0" collapsed="false">
      <c r="A858" s="2" t="n">
        <v>857</v>
      </c>
      <c r="B858" s="6" t="n">
        <v>21</v>
      </c>
      <c r="C858" s="6" t="n">
        <v>48</v>
      </c>
      <c r="D858" s="8" t="str">
        <f aca="false">INDEX(Bases!$B$2:$B$53,B858)</f>
        <v>Makuhita</v>
      </c>
      <c r="E858" s="8" t="str">
        <f aca="false">INDEX(Bases!$B$2:$B$53,C858)</f>
        <v>Magnemite</v>
      </c>
      <c r="F858" s="2" t="str">
        <f aca="false">LEFT(D858,ROUNDUP(LEN(D858)/2,0))&amp;LOWER(MID(E858,ROUNDUP(LEN(E858)/2,0)+1,20))</f>
        <v>Makumite</v>
      </c>
      <c r="G858" s="8" t="str">
        <f aca="false">INDEX(Bases!$C$2:$C$53,B858)</f>
        <v>Fighting</v>
      </c>
      <c r="H858" s="8" t="str">
        <f aca="false">IF(INDEX(Bases!$C$2:$C$53,C858)=G858,"",INDEX(Bases!$C$2:$C$53,C858))</f>
        <v>Steel</v>
      </c>
      <c r="I858" s="8" t="str">
        <f aca="false">IF(INDEX(Bases!$E$2:$E$53,B858)="","",INDEX(Bases!$E$2:$E$53,B858))</f>
        <v/>
      </c>
      <c r="J858" s="8" t="str">
        <f aca="false">IF(INDEX(Bases!$E$2:$E$53,C858)="","",INDEX(Bases!$E$2:$E$53,C858))</f>
        <v/>
      </c>
      <c r="K858" s="5"/>
      <c r="L858" s="2" t="n">
        <f aca="false">AE858+IF(SUMPRODUCT(--($AL858:$AQ858&gt;AL858))&lt;$AK858,1,0)</f>
        <v>101</v>
      </c>
      <c r="M858" s="2" t="n">
        <f aca="false">AF858+IF(SUMPRODUCT(--($AL858:$AQ858&gt;AM858))+SUMPRODUCT(--($AL858:AL858=AM858))&lt;$AK858,1,0)</f>
        <v>91</v>
      </c>
      <c r="N858" s="2" t="n">
        <f aca="false">AG858+IF(SUMPRODUCT(--($AL858:$AQ858&gt;AN858))+SUMPRODUCT(--($AL858:AM858=AN858))&lt;$AK858,1,0)</f>
        <v>83</v>
      </c>
      <c r="O858" s="2" t="n">
        <f aca="false">AH858+IF(SUMPRODUCT(--($AL858:$AQ858&gt;AO858))+SUMPRODUCT(--($AL858:AN858=AO858))&lt;$AK858,1,0)</f>
        <v>100</v>
      </c>
      <c r="P858" s="2" t="n">
        <f aca="false">AI858+IF(SUMPRODUCT(--($AL858:$AQ858&gt;AP858))+SUMPRODUCT(--($AL858:AO858=AP858))&lt;$AK858,1,0)</f>
        <v>69</v>
      </c>
      <c r="Q858" s="2" t="n">
        <f aca="false">AJ858+IF(SUMPRODUCT(--($AL858:$AQ858&gt;AQ858))+SUMPRODUCT(--($AL858:AP858=AQ858))&lt;$AK858,1,0)</f>
        <v>56</v>
      </c>
      <c r="R858" s="2" t="n">
        <f aca="false">SUM(L858:Q858)</f>
        <v>500</v>
      </c>
      <c r="S858" s="2" t="n">
        <f aca="false">Settings!$B$4*MAX(INDEX(Bases!$M$2:$M$53,B858),INDEX(Bases!$M$2:$M$53,C858))+Settings!$B$5*MIN(INDEX(Bases!$M$2:$M$53,B858),INDEX(Bases!$M$2:$M$53,C858))</f>
        <v>91</v>
      </c>
      <c r="T858" s="2" t="n">
        <f aca="false">Settings!$B$4*MAX(INDEX(Bases!$N$2:$N$53,B858),INDEX(Bases!$N$2:$N$53,C858))+Settings!$B$5*MIN(INDEX(Bases!$N$2:$N$53,B858),INDEX(Bases!$N$2:$N$53,C858))</f>
        <v>81.6666666666667</v>
      </c>
      <c r="U858" s="2" t="n">
        <f aca="false">Settings!$B$4*MAX(INDEX(Bases!$O$2:$O$53,B858),INDEX(Bases!$O$2:$O$53,C858))+Settings!$B$5*MIN(INDEX(Bases!$O$2:$O$53,B858),INDEX(Bases!$O$2:$O$53,C858))</f>
        <v>74.3333333333333</v>
      </c>
      <c r="V858" s="2" t="n">
        <f aca="false">Settings!$B$4*MAX(INDEX(Bases!$P$2:$P$53,B858),INDEX(Bases!$P$2:$P$53,C858))+Settings!$B$5*MIN(INDEX(Bases!$P$2:$P$53,B858),INDEX(Bases!$P$2:$P$53,C858))</f>
        <v>89.3333333333333</v>
      </c>
      <c r="W858" s="2" t="n">
        <f aca="false">Settings!$B$4*MAX(INDEX(Bases!$Q$2:$Q$53,B858),INDEX(Bases!$Q$2:$Q$53,C858))+Settings!$B$5*MIN(INDEX(Bases!$Q$2:$Q$53,B858),INDEX(Bases!$Q$2:$Q$53,C858))</f>
        <v>62.3333333333333</v>
      </c>
      <c r="X858" s="2" t="n">
        <f aca="false">Settings!$B$4*MAX(INDEX(Bases!$R$2:$R$53,B858),INDEX(Bases!$R$2:$R$53,C858))+Settings!$B$5*MIN(INDEX(Bases!$R$2:$R$53,B858),INDEX(Bases!$R$2:$R$53,C858))</f>
        <v>50.6666666666667</v>
      </c>
      <c r="Y858" s="2" t="n">
        <f aca="false">S858*Settings!$B$3/SUM(S858:X858)</f>
        <v>101.261127596439</v>
      </c>
      <c r="Z858" s="2" t="n">
        <f aca="false">T858*Settings!$B$3/SUM(S858:X858)</f>
        <v>90.8753709198813</v>
      </c>
      <c r="AA858" s="2" t="n">
        <f aca="false">U858*Settings!$B$3/SUM(S858:X858)</f>
        <v>82.7151335311573</v>
      </c>
      <c r="AB858" s="2" t="n">
        <f aca="false">V858*Settings!$B$3/SUM(S858:X858)</f>
        <v>99.406528189911</v>
      </c>
      <c r="AC858" s="2" t="n">
        <f aca="false">W858*Settings!$B$3/SUM(S858:X858)</f>
        <v>69.3620178041543</v>
      </c>
      <c r="AD858" s="2" t="n">
        <f aca="false">X858*Settings!$B$3/SUM(S858:X858)</f>
        <v>56.379821958457</v>
      </c>
      <c r="AE858" s="2" t="n">
        <f aca="false">INT(Y858)</f>
        <v>101</v>
      </c>
      <c r="AF858" s="2" t="n">
        <f aca="false">INT(Z858)</f>
        <v>90</v>
      </c>
      <c r="AG858" s="2" t="n">
        <f aca="false">INT(AA858)</f>
        <v>82</v>
      </c>
      <c r="AH858" s="2" t="n">
        <f aca="false">INT(AB858)</f>
        <v>99</v>
      </c>
      <c r="AI858" s="2" t="n">
        <f aca="false">INT(AC858)</f>
        <v>69</v>
      </c>
      <c r="AJ858" s="2" t="n">
        <f aca="false">INT(AD858)</f>
        <v>56</v>
      </c>
      <c r="AK858" s="2" t="n">
        <f aca="false">Settings!$B$3-SUM(AE858:AJ858)</f>
        <v>3</v>
      </c>
      <c r="AL858" s="2" t="n">
        <f aca="false">ROUND(Y858-AE858,9)</f>
        <v>0.261127596</v>
      </c>
      <c r="AM858" s="2" t="n">
        <f aca="false">ROUND(Z858-AF858,9)</f>
        <v>0.87537092</v>
      </c>
      <c r="AN858" s="2" t="n">
        <f aca="false">ROUND(AA858-AG858,9)</f>
        <v>0.715133531</v>
      </c>
      <c r="AO858" s="2" t="n">
        <f aca="false">ROUND(AB858-AH858,9)</f>
        <v>0.40652819</v>
      </c>
      <c r="AP858" s="2" t="n">
        <f aca="false">ROUND(AC858-AI858,9)</f>
        <v>0.362017804</v>
      </c>
      <c r="AQ858" s="2" t="n">
        <f aca="false">ROUND(AD858-AJ858,9)</f>
        <v>0.379821958</v>
      </c>
    </row>
    <row r="859" customFormat="false" ht="15" hidden="false" customHeight="false" outlineLevel="0" collapsed="false">
      <c r="A859" s="2" t="n">
        <v>858</v>
      </c>
      <c r="B859" s="6" t="n">
        <v>21</v>
      </c>
      <c r="C859" s="6" t="n">
        <v>49</v>
      </c>
      <c r="D859" s="8" t="str">
        <f aca="false">INDEX(Bases!$B$2:$B$53,B859)</f>
        <v>Makuhita</v>
      </c>
      <c r="E859" s="8" t="str">
        <f aca="false">INDEX(Bases!$B$2:$B$53,C859)</f>
        <v>Aron</v>
      </c>
      <c r="F859" s="2" t="str">
        <f aca="false">LEFT(D859,ROUNDUP(LEN(D859)/2,0))&amp;LOWER(MID(E859,ROUNDUP(LEN(E859)/2,0)+1,20))</f>
        <v>Makuon</v>
      </c>
      <c r="G859" s="8" t="str">
        <f aca="false">INDEX(Bases!$C$2:$C$53,B859)</f>
        <v>Fighting</v>
      </c>
      <c r="H859" s="8" t="str">
        <f aca="false">IF(INDEX(Bases!$C$2:$C$53,C859)=G859,"",INDEX(Bases!$C$2:$C$53,C859))</f>
        <v>Steel</v>
      </c>
      <c r="I859" s="8" t="str">
        <f aca="false">IF(INDEX(Bases!$E$2:$E$53,B859)="","",INDEX(Bases!$E$2:$E$53,B859))</f>
        <v/>
      </c>
      <c r="J859" s="8" t="str">
        <f aca="false">IF(INDEX(Bases!$E$2:$E$53,C859)="","",INDEX(Bases!$E$2:$E$53,C859))</f>
        <v/>
      </c>
      <c r="K859" s="5"/>
      <c r="L859" s="2" t="n">
        <f aca="false">AE859+IF(SUMPRODUCT(--($AL859:$AQ859&gt;AL859))&lt;$AK859,1,0)</f>
        <v>118</v>
      </c>
      <c r="M859" s="2" t="n">
        <f aca="false">AF859+IF(SUMPRODUCT(--($AL859:$AQ859&gt;AM859))+SUMPRODUCT(--($AL859:AL859=AM859))&lt;$AK859,1,0)</f>
        <v>112</v>
      </c>
      <c r="N859" s="2" t="n">
        <f aca="false">AG859+IF(SUMPRODUCT(--($AL859:$AQ859&gt;AN859))+SUMPRODUCT(--($AL859:AM859=AN859))&lt;$AK859,1,0)</f>
        <v>114</v>
      </c>
      <c r="O859" s="2" t="n">
        <f aca="false">AH859+IF(SUMPRODUCT(--($AL859:$AQ859&gt;AO859))+SUMPRODUCT(--($AL859:AN859=AO859))&lt;$AK859,1,0)</f>
        <v>51</v>
      </c>
      <c r="P859" s="2" t="n">
        <f aca="false">AI859+IF(SUMPRODUCT(--($AL859:$AQ859&gt;AP859))+SUMPRODUCT(--($AL859:AO859=AP859))&lt;$AK859,1,0)</f>
        <v>58</v>
      </c>
      <c r="Q859" s="2" t="n">
        <f aca="false">AJ859+IF(SUMPRODUCT(--($AL859:$AQ859&gt;AQ859))+SUMPRODUCT(--($AL859:AP859=AQ859))&lt;$AK859,1,0)</f>
        <v>47</v>
      </c>
      <c r="R859" s="2" t="n">
        <f aca="false">SUM(L859:Q859)</f>
        <v>500</v>
      </c>
      <c r="S859" s="2" t="n">
        <f aca="false">Settings!$B$4*MAX(INDEX(Bases!$M$2:$M$53,B859),INDEX(Bases!$M$2:$M$53,C859))+Settings!$B$5*MIN(INDEX(Bases!$M$2:$M$53,B859),INDEX(Bases!$M$2:$M$53,C859))</f>
        <v>101</v>
      </c>
      <c r="T859" s="2" t="n">
        <f aca="false">Settings!$B$4*MAX(INDEX(Bases!$N$2:$N$53,B859),INDEX(Bases!$N$2:$N$53,C859))+Settings!$B$5*MIN(INDEX(Bases!$N$2:$N$53,B859),INDEX(Bases!$N$2:$N$53,C859))</f>
        <v>95.6666666666667</v>
      </c>
      <c r="U859" s="2" t="n">
        <f aca="false">Settings!$B$4*MAX(INDEX(Bases!$O$2:$O$53,B859),INDEX(Bases!$O$2:$O$53,C859))+Settings!$B$5*MIN(INDEX(Bases!$O$2:$O$53,B859),INDEX(Bases!$O$2:$O$53,C859))</f>
        <v>97.6666666666667</v>
      </c>
      <c r="V859" s="2" t="n">
        <f aca="false">Settings!$B$4*MAX(INDEX(Bases!$P$2:$P$53,B859),INDEX(Bases!$P$2:$P$53,C859))+Settings!$B$5*MIN(INDEX(Bases!$P$2:$P$53,B859),INDEX(Bases!$P$2:$P$53,C859))</f>
        <v>44</v>
      </c>
      <c r="W859" s="2" t="n">
        <f aca="false">Settings!$B$4*MAX(INDEX(Bases!$Q$2:$Q$53,B859),INDEX(Bases!$Q$2:$Q$53,C859))+Settings!$B$5*MIN(INDEX(Bases!$Q$2:$Q$53,B859),INDEX(Bases!$Q$2:$Q$53,C859))</f>
        <v>50</v>
      </c>
      <c r="X859" s="2" t="n">
        <f aca="false">Settings!$B$4*MAX(INDEX(Bases!$R$2:$R$53,B859),INDEX(Bases!$R$2:$R$53,C859))+Settings!$B$5*MIN(INDEX(Bases!$R$2:$R$53,B859),INDEX(Bases!$R$2:$R$53,C859))</f>
        <v>40</v>
      </c>
      <c r="Y859" s="2" t="n">
        <f aca="false">S859*Settings!$B$3/SUM(S859:X859)</f>
        <v>117.898832684825</v>
      </c>
      <c r="Z859" s="2" t="n">
        <f aca="false">T859*Settings!$B$3/SUM(S859:X859)</f>
        <v>111.673151750973</v>
      </c>
      <c r="AA859" s="2" t="n">
        <f aca="false">U859*Settings!$B$3/SUM(S859:X859)</f>
        <v>114.007782101167</v>
      </c>
      <c r="AB859" s="2" t="n">
        <f aca="false">V859*Settings!$B$3/SUM(S859:X859)</f>
        <v>51.3618677042802</v>
      </c>
      <c r="AC859" s="2" t="n">
        <f aca="false">W859*Settings!$B$3/SUM(S859:X859)</f>
        <v>58.3657587548638</v>
      </c>
      <c r="AD859" s="2" t="n">
        <f aca="false">X859*Settings!$B$3/SUM(S859:X859)</f>
        <v>46.6926070038911</v>
      </c>
      <c r="AE859" s="2" t="n">
        <f aca="false">INT(Y859)</f>
        <v>117</v>
      </c>
      <c r="AF859" s="2" t="n">
        <f aca="false">INT(Z859)</f>
        <v>111</v>
      </c>
      <c r="AG859" s="2" t="n">
        <f aca="false">INT(AA859)</f>
        <v>114</v>
      </c>
      <c r="AH859" s="2" t="n">
        <f aca="false">INT(AB859)</f>
        <v>51</v>
      </c>
      <c r="AI859" s="2" t="n">
        <f aca="false">INT(AC859)</f>
        <v>58</v>
      </c>
      <c r="AJ859" s="2" t="n">
        <f aca="false">INT(AD859)</f>
        <v>46</v>
      </c>
      <c r="AK859" s="2" t="n">
        <f aca="false">Settings!$B$3-SUM(AE859:AJ859)</f>
        <v>3</v>
      </c>
      <c r="AL859" s="2" t="n">
        <f aca="false">ROUND(Y859-AE859,9)</f>
        <v>0.898832685</v>
      </c>
      <c r="AM859" s="2" t="n">
        <f aca="false">ROUND(Z859-AF859,9)</f>
        <v>0.673151751</v>
      </c>
      <c r="AN859" s="2" t="n">
        <f aca="false">ROUND(AA859-AG859,9)</f>
        <v>0.007782101</v>
      </c>
      <c r="AO859" s="2" t="n">
        <f aca="false">ROUND(AB859-AH859,9)</f>
        <v>0.361867704</v>
      </c>
      <c r="AP859" s="2" t="n">
        <f aca="false">ROUND(AC859-AI859,9)</f>
        <v>0.365758755</v>
      </c>
      <c r="AQ859" s="2" t="n">
        <f aca="false">ROUND(AD859-AJ859,9)</f>
        <v>0.692607004</v>
      </c>
    </row>
    <row r="860" customFormat="false" ht="15" hidden="false" customHeight="false" outlineLevel="0" collapsed="false">
      <c r="A860" s="2" t="n">
        <v>859</v>
      </c>
      <c r="B860" s="6" t="n">
        <v>21</v>
      </c>
      <c r="C860" s="6" t="n">
        <v>50</v>
      </c>
      <c r="D860" s="8" t="str">
        <f aca="false">INDEX(Bases!$B$2:$B$53,B860)</f>
        <v>Makuhita</v>
      </c>
      <c r="E860" s="8" t="str">
        <f aca="false">INDEX(Bases!$B$2:$B$53,C860)</f>
        <v>Beldum</v>
      </c>
      <c r="F860" s="2" t="str">
        <f aca="false">LEFT(D860,ROUNDUP(LEN(D860)/2,0))&amp;LOWER(MID(E860,ROUNDUP(LEN(E860)/2,0)+1,20))</f>
        <v>Makudum</v>
      </c>
      <c r="G860" s="8" t="str">
        <f aca="false">INDEX(Bases!$C$2:$C$53,B860)</f>
        <v>Fighting</v>
      </c>
      <c r="H860" s="8" t="str">
        <f aca="false">IF(INDEX(Bases!$C$2:$C$53,C860)=G860,"",INDEX(Bases!$C$2:$C$53,C860))</f>
        <v>Steel</v>
      </c>
      <c r="I860" s="8" t="str">
        <f aca="false">IF(INDEX(Bases!$E$2:$E$53,B860)="","",INDEX(Bases!$E$2:$E$53,B860))</f>
        <v/>
      </c>
      <c r="J860" s="8" t="str">
        <f aca="false">IF(INDEX(Bases!$E$2:$E$53,C860)="","",INDEX(Bases!$E$2:$E$53,C860))</f>
        <v/>
      </c>
      <c r="K860" s="5"/>
      <c r="L860" s="2" t="n">
        <f aca="false">AE860+IF(SUMPRODUCT(--($AL860:$AQ860&gt;AL860))&lt;$AK860,1,0)</f>
        <v>114</v>
      </c>
      <c r="M860" s="2" t="n">
        <f aca="false">AF860+IF(SUMPRODUCT(--($AL860:$AQ860&gt;AM860))+SUMPRODUCT(--($AL860:AL860=AM860))&lt;$AK860,1,0)</f>
        <v>106</v>
      </c>
      <c r="N860" s="2" t="n">
        <f aca="false">AG860+IF(SUMPRODUCT(--($AL860:$AQ860&gt;AN860))+SUMPRODUCT(--($AL860:AM860=AN860))&lt;$AK860,1,0)</f>
        <v>102</v>
      </c>
      <c r="O860" s="2" t="n">
        <f aca="false">AH860+IF(SUMPRODUCT(--($AL860:$AQ860&gt;AO860))+SUMPRODUCT(--($AL860:AN860=AO860))&lt;$AK860,1,0)</f>
        <v>49</v>
      </c>
      <c r="P860" s="2" t="n">
        <f aca="false">AI860+IF(SUMPRODUCT(--($AL860:$AQ860&gt;AP860))+SUMPRODUCT(--($AL860:AO860=AP860))&lt;$AK860,1,0)</f>
        <v>81</v>
      </c>
      <c r="Q860" s="2" t="n">
        <f aca="false">AJ860+IF(SUMPRODUCT(--($AL860:$AQ860&gt;AQ860))+SUMPRODUCT(--($AL860:AP860=AQ860))&lt;$AK860,1,0)</f>
        <v>48</v>
      </c>
      <c r="R860" s="2" t="n">
        <f aca="false">SUM(L860:Q860)</f>
        <v>500</v>
      </c>
      <c r="S860" s="2" t="n">
        <f aca="false">Settings!$B$4*MAX(INDEX(Bases!$M$2:$M$53,B860),INDEX(Bases!$M$2:$M$53,C860))+Settings!$B$5*MIN(INDEX(Bases!$M$2:$M$53,B860),INDEX(Bases!$M$2:$M$53,C860))</f>
        <v>98.3333333333333</v>
      </c>
      <c r="T860" s="2" t="n">
        <f aca="false">Settings!$B$4*MAX(INDEX(Bases!$N$2:$N$53,B860),INDEX(Bases!$N$2:$N$53,C860))+Settings!$B$5*MIN(INDEX(Bases!$N$2:$N$53,B860),INDEX(Bases!$N$2:$N$53,C860))</f>
        <v>91.6666666666667</v>
      </c>
      <c r="U860" s="2" t="n">
        <f aca="false">Settings!$B$4*MAX(INDEX(Bases!$O$2:$O$53,B860),INDEX(Bases!$O$2:$O$53,C860))+Settings!$B$5*MIN(INDEX(Bases!$O$2:$O$53,B860),INDEX(Bases!$O$2:$O$53,C860))</f>
        <v>88.3333333333333</v>
      </c>
      <c r="V860" s="2" t="n">
        <f aca="false">Settings!$B$4*MAX(INDEX(Bases!$P$2:$P$53,B860),INDEX(Bases!$P$2:$P$53,C860))+Settings!$B$5*MIN(INDEX(Bases!$P$2:$P$53,B860),INDEX(Bases!$P$2:$P$53,C860))</f>
        <v>42.6666666666667</v>
      </c>
      <c r="W860" s="2" t="n">
        <f aca="false">Settings!$B$4*MAX(INDEX(Bases!$Q$2:$Q$53,B860),INDEX(Bases!$Q$2:$Q$53,C860))+Settings!$B$5*MIN(INDEX(Bases!$Q$2:$Q$53,B860),INDEX(Bases!$Q$2:$Q$53,C860))</f>
        <v>70.3333333333333</v>
      </c>
      <c r="X860" s="2" t="n">
        <f aca="false">Settings!$B$4*MAX(INDEX(Bases!$R$2:$R$53,B860),INDEX(Bases!$R$2:$R$53,C860))+Settings!$B$5*MIN(INDEX(Bases!$R$2:$R$53,B860),INDEX(Bases!$R$2:$R$53,C860))</f>
        <v>41.3333333333333</v>
      </c>
      <c r="Y860" s="2" t="n">
        <f aca="false">S860*Settings!$B$3/SUM(S860:X860)</f>
        <v>113.636363636364</v>
      </c>
      <c r="Z860" s="2" t="n">
        <f aca="false">T860*Settings!$B$3/SUM(S860:X860)</f>
        <v>105.932203389831</v>
      </c>
      <c r="AA860" s="2" t="n">
        <f aca="false">U860*Settings!$B$3/SUM(S860:X860)</f>
        <v>102.080123266564</v>
      </c>
      <c r="AB860" s="2" t="n">
        <f aca="false">V860*Settings!$B$3/SUM(S860:X860)</f>
        <v>49.306625577812</v>
      </c>
      <c r="AC860" s="2" t="n">
        <f aca="false">W860*Settings!$B$3/SUM(S860:X860)</f>
        <v>81.2788906009245</v>
      </c>
      <c r="AD860" s="2" t="n">
        <f aca="false">X860*Settings!$B$3/SUM(S860:X860)</f>
        <v>47.7657935285054</v>
      </c>
      <c r="AE860" s="2" t="n">
        <f aca="false">INT(Y860)</f>
        <v>113</v>
      </c>
      <c r="AF860" s="2" t="n">
        <f aca="false">INT(Z860)</f>
        <v>105</v>
      </c>
      <c r="AG860" s="2" t="n">
        <f aca="false">INT(AA860)</f>
        <v>102</v>
      </c>
      <c r="AH860" s="2" t="n">
        <f aca="false">INT(AB860)</f>
        <v>49</v>
      </c>
      <c r="AI860" s="2" t="n">
        <f aca="false">INT(AC860)</f>
        <v>81</v>
      </c>
      <c r="AJ860" s="2" t="n">
        <f aca="false">INT(AD860)</f>
        <v>47</v>
      </c>
      <c r="AK860" s="2" t="n">
        <f aca="false">Settings!$B$3-SUM(AE860:AJ860)</f>
        <v>3</v>
      </c>
      <c r="AL860" s="2" t="n">
        <f aca="false">ROUND(Y860-AE860,9)</f>
        <v>0.636363636</v>
      </c>
      <c r="AM860" s="2" t="n">
        <f aca="false">ROUND(Z860-AF860,9)</f>
        <v>0.93220339</v>
      </c>
      <c r="AN860" s="2" t="n">
        <f aca="false">ROUND(AA860-AG860,9)</f>
        <v>0.080123267</v>
      </c>
      <c r="AO860" s="2" t="n">
        <f aca="false">ROUND(AB860-AH860,9)</f>
        <v>0.306625578</v>
      </c>
      <c r="AP860" s="2" t="n">
        <f aca="false">ROUND(AC860-AI860,9)</f>
        <v>0.278890601</v>
      </c>
      <c r="AQ860" s="2" t="n">
        <f aca="false">ROUND(AD860-AJ860,9)</f>
        <v>0.765793529</v>
      </c>
    </row>
    <row r="861" customFormat="false" ht="15" hidden="false" customHeight="false" outlineLevel="0" collapsed="false">
      <c r="A861" s="2" t="n">
        <v>860</v>
      </c>
      <c r="B861" s="6" t="n">
        <v>21</v>
      </c>
      <c r="C861" s="6" t="n">
        <v>51</v>
      </c>
      <c r="D861" s="8" t="str">
        <f aca="false">INDEX(Bases!$B$2:$B$53,B861)</f>
        <v>Makuhita</v>
      </c>
      <c r="E861" s="8" t="str">
        <f aca="false">INDEX(Bases!$B$2:$B$53,C861)</f>
        <v>Cleffa</v>
      </c>
      <c r="F861" s="2" t="str">
        <f aca="false">LEFT(D861,ROUNDUP(LEN(D861)/2,0))&amp;LOWER(MID(E861,ROUNDUP(LEN(E861)/2,0)+1,20))</f>
        <v>Makuffa</v>
      </c>
      <c r="G861" s="8" t="str">
        <f aca="false">INDEX(Bases!$C$2:$C$53,B861)</f>
        <v>Fighting</v>
      </c>
      <c r="H861" s="8" t="str">
        <f aca="false">IF(INDEX(Bases!$C$2:$C$53,C861)=G861,"",INDEX(Bases!$C$2:$C$53,C861))</f>
        <v>Fairy</v>
      </c>
      <c r="I861" s="8" t="str">
        <f aca="false">IF(INDEX(Bases!$E$2:$E$53,B861)="","",INDEX(Bases!$E$2:$E$53,B861))</f>
        <v/>
      </c>
      <c r="J861" s="8" t="str">
        <f aca="false">IF(INDEX(Bases!$E$2:$E$53,C861)="","",INDEX(Bases!$E$2:$E$53,C861))</f>
        <v/>
      </c>
      <c r="K861" s="5"/>
      <c r="L861" s="2" t="n">
        <f aca="false">AE861+IF(SUMPRODUCT(--($AL861:$AQ861&gt;AL861))&lt;$AK861,1,0)</f>
        <v>129</v>
      </c>
      <c r="M861" s="2" t="n">
        <f aca="false">AF861+IF(SUMPRODUCT(--($AL861:$AQ861&gt;AM861))+SUMPRODUCT(--($AL861:AL861=AM861))&lt;$AK861,1,0)</f>
        <v>95</v>
      </c>
      <c r="N861" s="2" t="n">
        <f aca="false">AG861+IF(SUMPRODUCT(--($AL861:$AQ861&gt;AN861))+SUMPRODUCT(--($AL861:AM861=AN861))&lt;$AK861,1,0)</f>
        <v>59</v>
      </c>
      <c r="O861" s="2" t="n">
        <f aca="false">AH861+IF(SUMPRODUCT(--($AL861:$AQ861&gt;AO861))+SUMPRODUCT(--($AL861:AN861=AO861))&lt;$AK861,1,0)</f>
        <v>77</v>
      </c>
      <c r="P861" s="2" t="n">
        <f aca="false">AI861+IF(SUMPRODUCT(--($AL861:$AQ861&gt;AP861))+SUMPRODUCT(--($AL861:AO861=AP861))&lt;$AK861,1,0)</f>
        <v>97</v>
      </c>
      <c r="Q861" s="2" t="n">
        <f aca="false">AJ861+IF(SUMPRODUCT(--($AL861:$AQ861&gt;AQ861))+SUMPRODUCT(--($AL861:AP861=AQ861))&lt;$AK861,1,0)</f>
        <v>43</v>
      </c>
      <c r="R861" s="2" t="n">
        <f aca="false">SUM(L861:Q861)</f>
        <v>500</v>
      </c>
      <c r="S861" s="2" t="n">
        <f aca="false">Settings!$B$4*MAX(INDEX(Bases!$M$2:$M$53,B861),INDEX(Bases!$M$2:$M$53,C861))+Settings!$B$5*MIN(INDEX(Bases!$M$2:$M$53,B861),INDEX(Bases!$M$2:$M$53,C861))</f>
        <v>111.333333333333</v>
      </c>
      <c r="T861" s="2" t="n">
        <f aca="false">Settings!$B$4*MAX(INDEX(Bases!$N$2:$N$53,B861),INDEX(Bases!$N$2:$N$53,C861))+Settings!$B$5*MIN(INDEX(Bases!$N$2:$N$53,B861),INDEX(Bases!$N$2:$N$53,C861))</f>
        <v>82.6666666666667</v>
      </c>
      <c r="U861" s="2" t="n">
        <f aca="false">Settings!$B$4*MAX(INDEX(Bases!$O$2:$O$53,B861),INDEX(Bases!$O$2:$O$53,C861))+Settings!$B$5*MIN(INDEX(Bases!$O$2:$O$53,B861),INDEX(Bases!$O$2:$O$53,C861))</f>
        <v>51</v>
      </c>
      <c r="V861" s="2" t="n">
        <f aca="false">Settings!$B$4*MAX(INDEX(Bases!$P$2:$P$53,B861),INDEX(Bases!$P$2:$P$53,C861))+Settings!$B$5*MIN(INDEX(Bases!$P$2:$P$53,B861),INDEX(Bases!$P$2:$P$53,C861))</f>
        <v>66.6666666666667</v>
      </c>
      <c r="W861" s="2" t="n">
        <f aca="false">Settings!$B$4*MAX(INDEX(Bases!$Q$2:$Q$53,B861),INDEX(Bases!$Q$2:$Q$53,C861))+Settings!$B$5*MIN(INDEX(Bases!$Q$2:$Q$53,B861),INDEX(Bases!$Q$2:$Q$53,C861))</f>
        <v>84.3333333333333</v>
      </c>
      <c r="X861" s="2" t="n">
        <f aca="false">Settings!$B$4*MAX(INDEX(Bases!$R$2:$R$53,B861),INDEX(Bases!$R$2:$R$53,C861))+Settings!$B$5*MIN(INDEX(Bases!$R$2:$R$53,B861),INDEX(Bases!$R$2:$R$53,C861))</f>
        <v>37</v>
      </c>
      <c r="Y861" s="2" t="n">
        <f aca="false">S861*Settings!$B$3/SUM(S861:X861)</f>
        <v>128.560431100847</v>
      </c>
      <c r="Z861" s="2" t="n">
        <f aca="false">T861*Settings!$B$3/SUM(S861:X861)</f>
        <v>95.4580446497306</v>
      </c>
      <c r="AA861" s="2" t="n">
        <f aca="false">U861*Settings!$B$3/SUM(S861:X861)</f>
        <v>58.891454965358</v>
      </c>
      <c r="AB861" s="2" t="n">
        <f aca="false">V861*Settings!$B$3/SUM(S861:X861)</f>
        <v>76.9822940723634</v>
      </c>
      <c r="AC861" s="2" t="n">
        <f aca="false">W861*Settings!$B$3/SUM(S861:X861)</f>
        <v>97.3826020015396</v>
      </c>
      <c r="AD861" s="2" t="n">
        <f aca="false">X861*Settings!$B$3/SUM(S861:X861)</f>
        <v>42.7251732101617</v>
      </c>
      <c r="AE861" s="2" t="n">
        <f aca="false">INT(Y861)</f>
        <v>128</v>
      </c>
      <c r="AF861" s="2" t="n">
        <f aca="false">INT(Z861)</f>
        <v>95</v>
      </c>
      <c r="AG861" s="2" t="n">
        <f aca="false">INT(AA861)</f>
        <v>58</v>
      </c>
      <c r="AH861" s="2" t="n">
        <f aca="false">INT(AB861)</f>
        <v>76</v>
      </c>
      <c r="AI861" s="2" t="n">
        <f aca="false">INT(AC861)</f>
        <v>97</v>
      </c>
      <c r="AJ861" s="2" t="n">
        <f aca="false">INT(AD861)</f>
        <v>42</v>
      </c>
      <c r="AK861" s="2" t="n">
        <f aca="false">Settings!$B$3-SUM(AE861:AJ861)</f>
        <v>4</v>
      </c>
      <c r="AL861" s="2" t="n">
        <f aca="false">ROUND(Y861-AE861,9)</f>
        <v>0.560431101</v>
      </c>
      <c r="AM861" s="2" t="n">
        <f aca="false">ROUND(Z861-AF861,9)</f>
        <v>0.45804465</v>
      </c>
      <c r="AN861" s="2" t="n">
        <f aca="false">ROUND(AA861-AG861,9)</f>
        <v>0.891454965</v>
      </c>
      <c r="AO861" s="2" t="n">
        <f aca="false">ROUND(AB861-AH861,9)</f>
        <v>0.982294072</v>
      </c>
      <c r="AP861" s="2" t="n">
        <f aca="false">ROUND(AC861-AI861,9)</f>
        <v>0.382602002</v>
      </c>
      <c r="AQ861" s="2" t="n">
        <f aca="false">ROUND(AD861-AJ861,9)</f>
        <v>0.72517321</v>
      </c>
    </row>
    <row r="862" customFormat="false" ht="15" hidden="false" customHeight="false" outlineLevel="0" collapsed="false">
      <c r="A862" s="2" t="n">
        <v>861</v>
      </c>
      <c r="B862" s="6" t="n">
        <v>21</v>
      </c>
      <c r="C862" s="6" t="n">
        <v>52</v>
      </c>
      <c r="D862" s="8" t="str">
        <f aca="false">INDEX(Bases!$B$2:$B$53,B862)</f>
        <v>Makuhita</v>
      </c>
      <c r="E862" s="8" t="str">
        <f aca="false">INDEX(Bases!$B$2:$B$53,C862)</f>
        <v>Togepi</v>
      </c>
      <c r="F862" s="2" t="str">
        <f aca="false">LEFT(D862,ROUNDUP(LEN(D862)/2,0))&amp;LOWER(MID(E862,ROUNDUP(LEN(E862)/2,0)+1,20))</f>
        <v>Makuepi</v>
      </c>
      <c r="G862" s="8" t="str">
        <f aca="false">INDEX(Bases!$C$2:$C$53,B862)</f>
        <v>Fighting</v>
      </c>
      <c r="H862" s="8" t="str">
        <f aca="false">IF(INDEX(Bases!$C$2:$C$53,C862)=G862,"",INDEX(Bases!$C$2:$C$53,C862))</f>
        <v>Fairy</v>
      </c>
      <c r="I862" s="8" t="str">
        <f aca="false">IF(INDEX(Bases!$E$2:$E$53,B862)="","",INDEX(Bases!$E$2:$E$53,B862))</f>
        <v/>
      </c>
      <c r="J862" s="8" t="str">
        <f aca="false">IF(INDEX(Bases!$E$2:$E$53,C862)="","",INDEX(Bases!$E$2:$E$53,C862))</f>
        <v/>
      </c>
      <c r="K862" s="5"/>
      <c r="L862" s="2" t="n">
        <f aca="false">AE862+IF(SUMPRODUCT(--($AL862:$AQ862&gt;AL862))&lt;$AK862,1,0)</f>
        <v>111</v>
      </c>
      <c r="M862" s="2" t="n">
        <f aca="false">AF862+IF(SUMPRODUCT(--($AL862:$AQ862&gt;AM862))+SUMPRODUCT(--($AL862:AL862=AM862))&lt;$AK862,1,0)</f>
        <v>88</v>
      </c>
      <c r="N862" s="2" t="n">
        <f aca="false">AG862+IF(SUMPRODUCT(--($AL862:$AQ862&gt;AN862))+SUMPRODUCT(--($AL862:AM862=AN862))&lt;$AK862,1,0)</f>
        <v>98</v>
      </c>
      <c r="O862" s="2" t="n">
        <f aca="false">AH862+IF(SUMPRODUCT(--($AL862:$AQ862&gt;AO862))+SUMPRODUCT(--($AL862:AN862=AO862))&lt;$AK862,1,0)</f>
        <v>61</v>
      </c>
      <c r="P862" s="2" t="n">
        <f aca="false">AI862+IF(SUMPRODUCT(--($AL862:$AQ862&gt;AP862))+SUMPRODUCT(--($AL862:AO862=AP862))&lt;$AK862,1,0)</f>
        <v>98</v>
      </c>
      <c r="Q862" s="2" t="n">
        <f aca="false">AJ862+IF(SUMPRODUCT(--($AL862:$AQ862&gt;AQ862))+SUMPRODUCT(--($AL862:AP862=AQ862))&lt;$AK862,1,0)</f>
        <v>44</v>
      </c>
      <c r="R862" s="2" t="n">
        <f aca="false">SUM(L862:Q862)</f>
        <v>500</v>
      </c>
      <c r="S862" s="2" t="n">
        <f aca="false">Settings!$B$4*MAX(INDEX(Bases!$M$2:$M$53,B862),INDEX(Bases!$M$2:$M$53,C862))+Settings!$B$5*MIN(INDEX(Bases!$M$2:$M$53,B862),INDEX(Bases!$M$2:$M$53,C862))</f>
        <v>99.6666666666667</v>
      </c>
      <c r="T862" s="2" t="n">
        <f aca="false">Settings!$B$4*MAX(INDEX(Bases!$N$2:$N$53,B862),INDEX(Bases!$N$2:$N$53,C862))+Settings!$B$5*MIN(INDEX(Bases!$N$2:$N$53,B862),INDEX(Bases!$N$2:$N$53,C862))</f>
        <v>78.3333333333333</v>
      </c>
      <c r="U862" s="2" t="n">
        <f aca="false">Settings!$B$4*MAX(INDEX(Bases!$O$2:$O$53,B862),INDEX(Bases!$O$2:$O$53,C862))+Settings!$B$5*MIN(INDEX(Bases!$O$2:$O$53,B862),INDEX(Bases!$O$2:$O$53,C862))</f>
        <v>87.6666666666667</v>
      </c>
      <c r="V862" s="2" t="n">
        <f aca="false">Settings!$B$4*MAX(INDEX(Bases!$P$2:$P$53,B862),INDEX(Bases!$P$2:$P$53,C862))+Settings!$B$5*MIN(INDEX(Bases!$P$2:$P$53,B862),INDEX(Bases!$P$2:$P$53,C862))</f>
        <v>54.6666666666667</v>
      </c>
      <c r="W862" s="2" t="n">
        <f aca="false">Settings!$B$4*MAX(INDEX(Bases!$Q$2:$Q$53,B862),INDEX(Bases!$Q$2:$Q$53,C862))+Settings!$B$5*MIN(INDEX(Bases!$Q$2:$Q$53,B862),INDEX(Bases!$Q$2:$Q$53,C862))</f>
        <v>87.6666666666667</v>
      </c>
      <c r="X862" s="2" t="n">
        <f aca="false">Settings!$B$4*MAX(INDEX(Bases!$R$2:$R$53,B862),INDEX(Bases!$R$2:$R$53,C862))+Settings!$B$5*MIN(INDEX(Bases!$R$2:$R$53,B862),INDEX(Bases!$R$2:$R$53,C862))</f>
        <v>39</v>
      </c>
      <c r="Y862" s="2" t="n">
        <f aca="false">S862*Settings!$B$3/SUM(S862:X862)</f>
        <v>111.483967188665</v>
      </c>
      <c r="Z862" s="2" t="n">
        <f aca="false">T862*Settings!$B$3/SUM(S862:X862)</f>
        <v>87.6211782252051</v>
      </c>
      <c r="AA862" s="2" t="n">
        <f aca="false">U862*Settings!$B$3/SUM(S862:X862)</f>
        <v>98.0611483967189</v>
      </c>
      <c r="AB862" s="2" t="n">
        <f aca="false">V862*Settings!$B$3/SUM(S862:X862)</f>
        <v>61.1483967188665</v>
      </c>
      <c r="AC862" s="2" t="n">
        <f aca="false">W862*Settings!$B$3/SUM(S862:X862)</f>
        <v>98.0611483967189</v>
      </c>
      <c r="AD862" s="2" t="n">
        <f aca="false">X862*Settings!$B$3/SUM(S862:X862)</f>
        <v>43.6241610738255</v>
      </c>
      <c r="AE862" s="2" t="n">
        <f aca="false">INT(Y862)</f>
        <v>111</v>
      </c>
      <c r="AF862" s="2" t="n">
        <f aca="false">INT(Z862)</f>
        <v>87</v>
      </c>
      <c r="AG862" s="2" t="n">
        <f aca="false">INT(AA862)</f>
        <v>98</v>
      </c>
      <c r="AH862" s="2" t="n">
        <f aca="false">INT(AB862)</f>
        <v>61</v>
      </c>
      <c r="AI862" s="2" t="n">
        <f aca="false">INT(AC862)</f>
        <v>98</v>
      </c>
      <c r="AJ862" s="2" t="n">
        <f aca="false">INT(AD862)</f>
        <v>43</v>
      </c>
      <c r="AK862" s="2" t="n">
        <f aca="false">Settings!$B$3-SUM(AE862:AJ862)</f>
        <v>2</v>
      </c>
      <c r="AL862" s="2" t="n">
        <f aca="false">ROUND(Y862-AE862,9)</f>
        <v>0.483967189</v>
      </c>
      <c r="AM862" s="2" t="n">
        <f aca="false">ROUND(Z862-AF862,9)</f>
        <v>0.621178225</v>
      </c>
      <c r="AN862" s="2" t="n">
        <f aca="false">ROUND(AA862-AG862,9)</f>
        <v>0.061148397</v>
      </c>
      <c r="AO862" s="2" t="n">
        <f aca="false">ROUND(AB862-AH862,9)</f>
        <v>0.148396719</v>
      </c>
      <c r="AP862" s="2" t="n">
        <f aca="false">ROUND(AC862-AI862,9)</f>
        <v>0.061148397</v>
      </c>
      <c r="AQ862" s="2" t="n">
        <f aca="false">ROUND(AD862-AJ862,9)</f>
        <v>0.624161074</v>
      </c>
    </row>
    <row r="863" customFormat="false" ht="15" hidden="false" customHeight="false" outlineLevel="0" collapsed="false">
      <c r="A863" s="2" t="n">
        <v>862</v>
      </c>
      <c r="B863" s="6" t="n">
        <v>22</v>
      </c>
      <c r="C863" s="6" t="n">
        <v>23</v>
      </c>
      <c r="D863" s="8" t="str">
        <f aca="false">INDEX(Bases!$B$2:$B$53,B863)</f>
        <v>Ekans</v>
      </c>
      <c r="E863" s="8" t="str">
        <f aca="false">INDEX(Bases!$B$2:$B$53,C863)</f>
        <v>Gulpin</v>
      </c>
      <c r="F863" s="2" t="str">
        <f aca="false">LEFT(D863,ROUNDUP(LEN(D863)/2,0))&amp;LOWER(MID(E863,ROUNDUP(LEN(E863)/2,0)+1,20))</f>
        <v>Ekapin</v>
      </c>
      <c r="G863" s="8" t="str">
        <f aca="false">INDEX(Bases!$C$2:$C$53,B863)</f>
        <v>Poison</v>
      </c>
      <c r="H863" s="8" t="str">
        <f aca="false">IF(INDEX(Bases!$C$2:$C$53,C863)=G863,"",INDEX(Bases!$C$2:$C$53,C863))</f>
        <v/>
      </c>
      <c r="I863" s="8" t="str">
        <f aca="false">IF(INDEX(Bases!$E$2:$E$53,B863)="","",INDEX(Bases!$E$2:$E$53,B863))</f>
        <v/>
      </c>
      <c r="J863" s="8" t="str">
        <f aca="false">IF(INDEX(Bases!$E$2:$E$53,C863)="","",INDEX(Bases!$E$2:$E$53,C863))</f>
        <v/>
      </c>
      <c r="K863" s="5"/>
      <c r="L863" s="2" t="n">
        <f aca="false">AE863+IF(SUMPRODUCT(--($AL863:$AQ863&gt;AL863))&lt;$AK863,1,0)</f>
        <v>93</v>
      </c>
      <c r="M863" s="2" t="n">
        <f aca="false">AF863+IF(SUMPRODUCT(--($AL863:$AQ863&gt;AM863))+SUMPRODUCT(--($AL863:AL863=AM863))&lt;$AK863,1,0)</f>
        <v>89</v>
      </c>
      <c r="N863" s="2" t="n">
        <f aca="false">AG863+IF(SUMPRODUCT(--($AL863:$AQ863&gt;AN863))+SUMPRODUCT(--($AL863:AM863=AN863))&lt;$AK863,1,0)</f>
        <v>80</v>
      </c>
      <c r="O863" s="2" t="n">
        <f aca="false">AH863+IF(SUMPRODUCT(--($AL863:$AQ863&gt;AO863))+SUMPRODUCT(--($AL863:AN863=AO863))&lt;$AK863,1,0)</f>
        <v>68</v>
      </c>
      <c r="P863" s="2" t="n">
        <f aca="false">AI863+IF(SUMPRODUCT(--($AL863:$AQ863&gt;AP863))+SUMPRODUCT(--($AL863:AO863=AP863))&lt;$AK863,1,0)</f>
        <v>88</v>
      </c>
      <c r="Q863" s="2" t="n">
        <f aca="false">AJ863+IF(SUMPRODUCT(--($AL863:$AQ863&gt;AQ863))+SUMPRODUCT(--($AL863:AP863=AQ863))&lt;$AK863,1,0)</f>
        <v>82</v>
      </c>
      <c r="R863" s="2" t="n">
        <f aca="false">SUM(L863:Q863)</f>
        <v>500</v>
      </c>
      <c r="S863" s="2" t="n">
        <f aca="false">Settings!$B$4*MAX(INDEX(Bases!$M$2:$M$53,B863),INDEX(Bases!$M$2:$M$53,C863))+Settings!$B$5*MIN(INDEX(Bases!$M$2:$M$53,B863),INDEX(Bases!$M$2:$M$53,C863))</f>
        <v>78.3333333333333</v>
      </c>
      <c r="T863" s="2" t="n">
        <f aca="false">Settings!$B$4*MAX(INDEX(Bases!$N$2:$N$53,B863),INDEX(Bases!$N$2:$N$53,C863))+Settings!$B$5*MIN(INDEX(Bases!$N$2:$N$53,B863),INDEX(Bases!$N$2:$N$53,C863))</f>
        <v>74.3333333333333</v>
      </c>
      <c r="U863" s="2" t="n">
        <f aca="false">Settings!$B$4*MAX(INDEX(Bases!$O$2:$O$53,B863),INDEX(Bases!$O$2:$O$53,C863))+Settings!$B$5*MIN(INDEX(Bases!$O$2:$O$53,B863),INDEX(Bases!$O$2:$O$53,C863))</f>
        <v>67</v>
      </c>
      <c r="V863" s="2" t="n">
        <f aca="false">Settings!$B$4*MAX(INDEX(Bases!$P$2:$P$53,B863),INDEX(Bases!$P$2:$P$53,C863))+Settings!$B$5*MIN(INDEX(Bases!$P$2:$P$53,B863),INDEX(Bases!$P$2:$P$53,C863))</f>
        <v>56.6666666666667</v>
      </c>
      <c r="W863" s="2" t="n">
        <f aca="false">Settings!$B$4*MAX(INDEX(Bases!$Q$2:$Q$53,B863),INDEX(Bases!$Q$2:$Q$53,C863))+Settings!$B$5*MIN(INDEX(Bases!$Q$2:$Q$53,B863),INDEX(Bases!$Q$2:$Q$53,C863))</f>
        <v>73.3333333333333</v>
      </c>
      <c r="X863" s="2" t="n">
        <f aca="false">Settings!$B$4*MAX(INDEX(Bases!$R$2:$R$53,B863),INDEX(Bases!$R$2:$R$53,C863))+Settings!$B$5*MIN(INDEX(Bases!$R$2:$R$53,B863),INDEX(Bases!$R$2:$R$53,C863))</f>
        <v>68.3333333333333</v>
      </c>
      <c r="Y863" s="2" t="n">
        <f aca="false">S863*Settings!$B$3/SUM(S863:X863)</f>
        <v>93.7001594896332</v>
      </c>
      <c r="Z863" s="2" t="n">
        <f aca="false">T863*Settings!$B$3/SUM(S863:X863)</f>
        <v>88.9154704944179</v>
      </c>
      <c r="AA863" s="2" t="n">
        <f aca="false">U863*Settings!$B$3/SUM(S863:X863)</f>
        <v>80.1435406698565</v>
      </c>
      <c r="AB863" s="2" t="n">
        <f aca="false">V863*Settings!$B$3/SUM(S863:X863)</f>
        <v>67.7830940988836</v>
      </c>
      <c r="AC863" s="2" t="n">
        <f aca="false">W863*Settings!$B$3/SUM(S863:X863)</f>
        <v>87.719298245614</v>
      </c>
      <c r="AD863" s="2" t="n">
        <f aca="false">X863*Settings!$B$3/SUM(S863:X863)</f>
        <v>81.7384370015949</v>
      </c>
      <c r="AE863" s="2" t="n">
        <f aca="false">INT(Y863)</f>
        <v>93</v>
      </c>
      <c r="AF863" s="2" t="n">
        <f aca="false">INT(Z863)</f>
        <v>88</v>
      </c>
      <c r="AG863" s="2" t="n">
        <f aca="false">INT(AA863)</f>
        <v>80</v>
      </c>
      <c r="AH863" s="2" t="n">
        <f aca="false">INT(AB863)</f>
        <v>67</v>
      </c>
      <c r="AI863" s="2" t="n">
        <f aca="false">INT(AC863)</f>
        <v>87</v>
      </c>
      <c r="AJ863" s="2" t="n">
        <f aca="false">INT(AD863)</f>
        <v>81</v>
      </c>
      <c r="AK863" s="2" t="n">
        <f aca="false">Settings!$B$3-SUM(AE863:AJ863)</f>
        <v>4</v>
      </c>
      <c r="AL863" s="2" t="n">
        <f aca="false">ROUND(Y863-AE863,9)</f>
        <v>0.70015949</v>
      </c>
      <c r="AM863" s="2" t="n">
        <f aca="false">ROUND(Z863-AF863,9)</f>
        <v>0.915470494</v>
      </c>
      <c r="AN863" s="2" t="n">
        <f aca="false">ROUND(AA863-AG863,9)</f>
        <v>0.14354067</v>
      </c>
      <c r="AO863" s="2" t="n">
        <f aca="false">ROUND(AB863-AH863,9)</f>
        <v>0.783094099</v>
      </c>
      <c r="AP863" s="2" t="n">
        <f aca="false">ROUND(AC863-AI863,9)</f>
        <v>0.719298246</v>
      </c>
      <c r="AQ863" s="2" t="n">
        <f aca="false">ROUND(AD863-AJ863,9)</f>
        <v>0.738437002</v>
      </c>
    </row>
    <row r="864" customFormat="false" ht="15" hidden="false" customHeight="false" outlineLevel="0" collapsed="false">
      <c r="A864" s="2" t="n">
        <v>863</v>
      </c>
      <c r="B864" s="6" t="n">
        <v>22</v>
      </c>
      <c r="C864" s="6" t="n">
        <v>24</v>
      </c>
      <c r="D864" s="8" t="str">
        <f aca="false">INDEX(Bases!$B$2:$B$53,B864)</f>
        <v>Ekans</v>
      </c>
      <c r="E864" s="8" t="str">
        <f aca="false">INDEX(Bases!$B$2:$B$53,C864)</f>
        <v>Koffing</v>
      </c>
      <c r="F864" s="2" t="str">
        <f aca="false">LEFT(D864,ROUNDUP(LEN(D864)/2,0))&amp;LOWER(MID(E864,ROUNDUP(LEN(E864)/2,0)+1,20))</f>
        <v>Ekaing</v>
      </c>
      <c r="G864" s="8" t="str">
        <f aca="false">INDEX(Bases!$C$2:$C$53,B864)</f>
        <v>Poison</v>
      </c>
      <c r="H864" s="8" t="str">
        <f aca="false">IF(INDEX(Bases!$C$2:$C$53,C864)=G864,"",INDEX(Bases!$C$2:$C$53,C864))</f>
        <v/>
      </c>
      <c r="I864" s="8" t="str">
        <f aca="false">IF(INDEX(Bases!$E$2:$E$53,B864)="","",INDEX(Bases!$E$2:$E$53,B864))</f>
        <v/>
      </c>
      <c r="J864" s="8" t="str">
        <f aca="false">IF(INDEX(Bases!$E$2:$E$53,C864)="","",INDEX(Bases!$E$2:$E$53,C864))</f>
        <v/>
      </c>
      <c r="K864" s="5"/>
      <c r="L864" s="2" t="n">
        <f aca="false">AE864+IF(SUMPRODUCT(--($AL864:$AQ864&gt;AL864))&lt;$AK864,1,0)</f>
        <v>57</v>
      </c>
      <c r="M864" s="2" t="n">
        <f aca="false">AF864+IF(SUMPRODUCT(--($AL864:$AQ864&gt;AM864))+SUMPRODUCT(--($AL864:AL864=AM864))&lt;$AK864,1,0)</f>
        <v>96</v>
      </c>
      <c r="N864" s="2" t="n">
        <f aca="false">AG864+IF(SUMPRODUCT(--($AL864:$AQ864&gt;AN864))+SUMPRODUCT(--($AL864:AM864=AN864))&lt;$AK864,1,0)</f>
        <v>113</v>
      </c>
      <c r="O864" s="2" t="n">
        <f aca="false">AH864+IF(SUMPRODUCT(--($AL864:$AQ864&gt;AO864))+SUMPRODUCT(--($AL864:AN864=AO864))&lt;$AK864,1,0)</f>
        <v>78</v>
      </c>
      <c r="P864" s="2" t="n">
        <f aca="false">AI864+IF(SUMPRODUCT(--($AL864:$AQ864&gt;AP864))+SUMPRODUCT(--($AL864:AO864=AP864))&lt;$AK864,1,0)</f>
        <v>80</v>
      </c>
      <c r="Q864" s="2" t="n">
        <f aca="false">AJ864+IF(SUMPRODUCT(--($AL864:$AQ864&gt;AQ864))+SUMPRODUCT(--($AL864:AP864=AQ864))&lt;$AK864,1,0)</f>
        <v>76</v>
      </c>
      <c r="R864" s="2" t="n">
        <f aca="false">SUM(L864:Q864)</f>
        <v>500</v>
      </c>
      <c r="S864" s="2" t="n">
        <f aca="false">Settings!$B$4*MAX(INDEX(Bases!$M$2:$M$53,B864),INDEX(Bases!$M$2:$M$53,C864))+Settings!$B$5*MIN(INDEX(Bases!$M$2:$M$53,B864),INDEX(Bases!$M$2:$M$53,C864))</f>
        <v>48.3333333333333</v>
      </c>
      <c r="T864" s="2" t="n">
        <f aca="false">Settings!$B$4*MAX(INDEX(Bases!$N$2:$N$53,B864),INDEX(Bases!$N$2:$N$53,C864))+Settings!$B$5*MIN(INDEX(Bases!$N$2:$N$53,B864),INDEX(Bases!$N$2:$N$53,C864))</f>
        <v>80.6666666666667</v>
      </c>
      <c r="U864" s="2" t="n">
        <f aca="false">Settings!$B$4*MAX(INDEX(Bases!$O$2:$O$53,B864),INDEX(Bases!$O$2:$O$53,C864))+Settings!$B$5*MIN(INDEX(Bases!$O$2:$O$53,B864),INDEX(Bases!$O$2:$O$53,C864))</f>
        <v>95</v>
      </c>
      <c r="V864" s="2" t="n">
        <f aca="false">Settings!$B$4*MAX(INDEX(Bases!$P$2:$P$53,B864),INDEX(Bases!$P$2:$P$53,C864))+Settings!$B$5*MIN(INDEX(Bases!$P$2:$P$53,B864),INDEX(Bases!$P$2:$P$53,C864))</f>
        <v>66</v>
      </c>
      <c r="W864" s="2" t="n">
        <f aca="false">Settings!$B$4*MAX(INDEX(Bases!$Q$2:$Q$53,B864),INDEX(Bases!$Q$2:$Q$53,C864))+Settings!$B$5*MIN(INDEX(Bases!$Q$2:$Q$53,B864),INDEX(Bases!$Q$2:$Q$53,C864))</f>
        <v>67.6666666666667</v>
      </c>
      <c r="X864" s="2" t="n">
        <f aca="false">Settings!$B$4*MAX(INDEX(Bases!$R$2:$R$53,B864),INDEX(Bases!$R$2:$R$53,C864))+Settings!$B$5*MIN(INDEX(Bases!$R$2:$R$53,B864),INDEX(Bases!$R$2:$R$53,C864))</f>
        <v>64.3333333333333</v>
      </c>
      <c r="Y864" s="2" t="n">
        <f aca="false">S864*Settings!$B$3/SUM(S864:X864)</f>
        <v>57.2669826224329</v>
      </c>
      <c r="Z864" s="2" t="n">
        <f aca="false">T864*Settings!$B$3/SUM(S864:X864)</f>
        <v>95.5766192733017</v>
      </c>
      <c r="AA864" s="2" t="n">
        <f aca="false">U864*Settings!$B$3/SUM(S864:X864)</f>
        <v>112.559241706161</v>
      </c>
      <c r="AB864" s="2" t="n">
        <f aca="false">V864*Settings!$B$3/SUM(S864:X864)</f>
        <v>78.1990521327014</v>
      </c>
      <c r="AC864" s="2" t="n">
        <f aca="false">W864*Settings!$B$3/SUM(S864:X864)</f>
        <v>80.173775671406</v>
      </c>
      <c r="AD864" s="2" t="n">
        <f aca="false">X864*Settings!$B$3/SUM(S864:X864)</f>
        <v>76.2243285939968</v>
      </c>
      <c r="AE864" s="2" t="n">
        <f aca="false">INT(Y864)</f>
        <v>57</v>
      </c>
      <c r="AF864" s="2" t="n">
        <f aca="false">INT(Z864)</f>
        <v>95</v>
      </c>
      <c r="AG864" s="2" t="n">
        <f aca="false">INT(AA864)</f>
        <v>112</v>
      </c>
      <c r="AH864" s="2" t="n">
        <f aca="false">INT(AB864)</f>
        <v>78</v>
      </c>
      <c r="AI864" s="2" t="n">
        <f aca="false">INT(AC864)</f>
        <v>80</v>
      </c>
      <c r="AJ864" s="2" t="n">
        <f aca="false">INT(AD864)</f>
        <v>76</v>
      </c>
      <c r="AK864" s="2" t="n">
        <f aca="false">Settings!$B$3-SUM(AE864:AJ864)</f>
        <v>2</v>
      </c>
      <c r="AL864" s="2" t="n">
        <f aca="false">ROUND(Y864-AE864,9)</f>
        <v>0.266982622</v>
      </c>
      <c r="AM864" s="2" t="n">
        <f aca="false">ROUND(Z864-AF864,9)</f>
        <v>0.576619273</v>
      </c>
      <c r="AN864" s="2" t="n">
        <f aca="false">ROUND(AA864-AG864,9)</f>
        <v>0.559241706</v>
      </c>
      <c r="AO864" s="2" t="n">
        <f aca="false">ROUND(AB864-AH864,9)</f>
        <v>0.199052133</v>
      </c>
      <c r="AP864" s="2" t="n">
        <f aca="false">ROUND(AC864-AI864,9)</f>
        <v>0.173775671</v>
      </c>
      <c r="AQ864" s="2" t="n">
        <f aca="false">ROUND(AD864-AJ864,9)</f>
        <v>0.224328594</v>
      </c>
    </row>
    <row r="865" customFormat="false" ht="15" hidden="false" customHeight="false" outlineLevel="0" collapsed="false">
      <c r="A865" s="2" t="n">
        <v>864</v>
      </c>
      <c r="B865" s="6" t="n">
        <v>22</v>
      </c>
      <c r="C865" s="6" t="n">
        <v>25</v>
      </c>
      <c r="D865" s="8" t="str">
        <f aca="false">INDEX(Bases!$B$2:$B$53,B865)</f>
        <v>Ekans</v>
      </c>
      <c r="E865" s="8" t="str">
        <f aca="false">INDEX(Bases!$B$2:$B$53,C865)</f>
        <v>Sandshrew</v>
      </c>
      <c r="F865" s="2" t="str">
        <f aca="false">LEFT(D865,ROUNDUP(LEN(D865)/2,0))&amp;LOWER(MID(E865,ROUNDUP(LEN(E865)/2,0)+1,20))</f>
        <v>Ekahrew</v>
      </c>
      <c r="G865" s="8" t="str">
        <f aca="false">INDEX(Bases!$C$2:$C$53,B865)</f>
        <v>Poison</v>
      </c>
      <c r="H865" s="8" t="str">
        <f aca="false">IF(INDEX(Bases!$C$2:$C$53,C865)=G865,"",INDEX(Bases!$C$2:$C$53,C865))</f>
        <v>Ground</v>
      </c>
      <c r="I865" s="8" t="str">
        <f aca="false">IF(INDEX(Bases!$E$2:$E$53,B865)="","",INDEX(Bases!$E$2:$E$53,B865))</f>
        <v/>
      </c>
      <c r="J865" s="8" t="str">
        <f aca="false">IF(INDEX(Bases!$E$2:$E$53,C865)="","",INDEX(Bases!$E$2:$E$53,C865))</f>
        <v/>
      </c>
      <c r="K865" s="5"/>
      <c r="L865" s="2" t="n">
        <f aca="false">AE865+IF(SUMPRODUCT(--($AL865:$AQ865&gt;AL865))&lt;$AK865,1,0)</f>
        <v>71</v>
      </c>
      <c r="M865" s="2" t="n">
        <f aca="false">AF865+IF(SUMPRODUCT(--($AL865:$AQ865&gt;AM865))+SUMPRODUCT(--($AL865:AL865=AM865))&lt;$AK865,1,0)</f>
        <v>110</v>
      </c>
      <c r="N865" s="2" t="n">
        <f aca="false">AG865+IF(SUMPRODUCT(--($AL865:$AQ865&gt;AN865))+SUMPRODUCT(--($AL865:AM865=AN865))&lt;$AK865,1,0)</f>
        <v>111</v>
      </c>
      <c r="O865" s="2" t="n">
        <f aca="false">AH865+IF(SUMPRODUCT(--($AL865:$AQ865&gt;AO865))+SUMPRODUCT(--($AL865:AN865=AO865))&lt;$AK865,1,0)</f>
        <v>54</v>
      </c>
      <c r="P865" s="2" t="n">
        <f aca="false">AI865+IF(SUMPRODUCT(--($AL865:$AQ865&gt;AP865))+SUMPRODUCT(--($AL865:AO865=AP865))&lt;$AK865,1,0)</f>
        <v>74</v>
      </c>
      <c r="Q865" s="2" t="n">
        <f aca="false">AJ865+IF(SUMPRODUCT(--($AL865:$AQ865&gt;AQ865))+SUMPRODUCT(--($AL865:AP865=AQ865))&lt;$AK865,1,0)</f>
        <v>80</v>
      </c>
      <c r="R865" s="2" t="n">
        <f aca="false">SUM(L865:Q865)</f>
        <v>500</v>
      </c>
      <c r="S865" s="2" t="n">
        <f aca="false">Settings!$B$4*MAX(INDEX(Bases!$M$2:$M$53,B865),INDEX(Bases!$M$2:$M$53,C865))+Settings!$B$5*MIN(INDEX(Bases!$M$2:$M$53,B865),INDEX(Bases!$M$2:$M$53,C865))</f>
        <v>61</v>
      </c>
      <c r="T865" s="2" t="n">
        <f aca="false">Settings!$B$4*MAX(INDEX(Bases!$N$2:$N$53,B865),INDEX(Bases!$N$2:$N$53,C865))+Settings!$B$5*MIN(INDEX(Bases!$N$2:$N$53,B865),INDEX(Bases!$N$2:$N$53,C865))</f>
        <v>94.3333333333333</v>
      </c>
      <c r="U865" s="2" t="n">
        <f aca="false">Settings!$B$4*MAX(INDEX(Bases!$O$2:$O$53,B865),INDEX(Bases!$O$2:$O$53,C865))+Settings!$B$5*MIN(INDEX(Bases!$O$2:$O$53,B865),INDEX(Bases!$O$2:$O$53,C865))</f>
        <v>95.6666666666667</v>
      </c>
      <c r="V865" s="2" t="n">
        <f aca="false">Settings!$B$4*MAX(INDEX(Bases!$P$2:$P$53,B865),INDEX(Bases!$P$2:$P$53,C865))+Settings!$B$5*MIN(INDEX(Bases!$P$2:$P$53,B865),INDEX(Bases!$P$2:$P$53,C865))</f>
        <v>46.3333333333333</v>
      </c>
      <c r="W865" s="2" t="n">
        <f aca="false">Settings!$B$4*MAX(INDEX(Bases!$Q$2:$Q$53,B865),INDEX(Bases!$Q$2:$Q$53,C865))+Settings!$B$5*MIN(INDEX(Bases!$Q$2:$Q$53,B865),INDEX(Bases!$Q$2:$Q$53,C865))</f>
        <v>63.3333333333333</v>
      </c>
      <c r="X865" s="2" t="n">
        <f aca="false">Settings!$B$4*MAX(INDEX(Bases!$R$2:$R$53,B865),INDEX(Bases!$R$2:$R$53,C865))+Settings!$B$5*MIN(INDEX(Bases!$R$2:$R$53,B865),INDEX(Bases!$R$2:$R$53,C865))</f>
        <v>68.3333333333333</v>
      </c>
      <c r="Y865" s="2" t="n">
        <f aca="false">S865*Settings!$B$3/SUM(S865:X865)</f>
        <v>71.0955710955711</v>
      </c>
      <c r="Z865" s="2" t="n">
        <f aca="false">T865*Settings!$B$3/SUM(S865:X865)</f>
        <v>109.94560994561</v>
      </c>
      <c r="AA865" s="2" t="n">
        <f aca="false">U865*Settings!$B$3/SUM(S865:X865)</f>
        <v>111.499611499612</v>
      </c>
      <c r="AB865" s="2" t="n">
        <f aca="false">V865*Settings!$B$3/SUM(S865:X865)</f>
        <v>54.001554001554</v>
      </c>
      <c r="AC865" s="2" t="n">
        <f aca="false">W865*Settings!$B$3/SUM(S865:X865)</f>
        <v>73.8150738150738</v>
      </c>
      <c r="AD865" s="2" t="n">
        <f aca="false">X865*Settings!$B$3/SUM(S865:X865)</f>
        <v>79.6425796425797</v>
      </c>
      <c r="AE865" s="2" t="n">
        <f aca="false">INT(Y865)</f>
        <v>71</v>
      </c>
      <c r="AF865" s="2" t="n">
        <f aca="false">INT(Z865)</f>
        <v>109</v>
      </c>
      <c r="AG865" s="2" t="n">
        <f aca="false">INT(AA865)</f>
        <v>111</v>
      </c>
      <c r="AH865" s="2" t="n">
        <f aca="false">INT(AB865)</f>
        <v>54</v>
      </c>
      <c r="AI865" s="2" t="n">
        <f aca="false">INT(AC865)</f>
        <v>73</v>
      </c>
      <c r="AJ865" s="2" t="n">
        <f aca="false">INT(AD865)</f>
        <v>79</v>
      </c>
      <c r="AK865" s="2" t="n">
        <f aca="false">Settings!$B$3-SUM(AE865:AJ865)</f>
        <v>3</v>
      </c>
      <c r="AL865" s="2" t="n">
        <f aca="false">ROUND(Y865-AE865,9)</f>
        <v>0.095571096</v>
      </c>
      <c r="AM865" s="2" t="n">
        <f aca="false">ROUND(Z865-AF865,9)</f>
        <v>0.945609946</v>
      </c>
      <c r="AN865" s="2" t="n">
        <f aca="false">ROUND(AA865-AG865,9)</f>
        <v>0.4996115</v>
      </c>
      <c r="AO865" s="2" t="n">
        <f aca="false">ROUND(AB865-AH865,9)</f>
        <v>0.001554002</v>
      </c>
      <c r="AP865" s="2" t="n">
        <f aca="false">ROUND(AC865-AI865,9)</f>
        <v>0.815073815</v>
      </c>
      <c r="AQ865" s="2" t="n">
        <f aca="false">ROUND(AD865-AJ865,9)</f>
        <v>0.642579643</v>
      </c>
    </row>
    <row r="866" customFormat="false" ht="15" hidden="false" customHeight="false" outlineLevel="0" collapsed="false">
      <c r="A866" s="2" t="n">
        <v>865</v>
      </c>
      <c r="B866" s="6" t="n">
        <v>22</v>
      </c>
      <c r="C866" s="6" t="n">
        <v>26</v>
      </c>
      <c r="D866" s="8" t="str">
        <f aca="false">INDEX(Bases!$B$2:$B$53,B866)</f>
        <v>Ekans</v>
      </c>
      <c r="E866" s="8" t="str">
        <f aca="false">INDEX(Bases!$B$2:$B$53,C866)</f>
        <v>Phanpy</v>
      </c>
      <c r="F866" s="2" t="str">
        <f aca="false">LEFT(D866,ROUNDUP(LEN(D866)/2,0))&amp;LOWER(MID(E866,ROUNDUP(LEN(E866)/2,0)+1,20))</f>
        <v>Ekanpy</v>
      </c>
      <c r="G866" s="8" t="str">
        <f aca="false">INDEX(Bases!$C$2:$C$53,B866)</f>
        <v>Poison</v>
      </c>
      <c r="H866" s="8" t="str">
        <f aca="false">IF(INDEX(Bases!$C$2:$C$53,C866)=G866,"",INDEX(Bases!$C$2:$C$53,C866))</f>
        <v>Ground</v>
      </c>
      <c r="I866" s="8" t="str">
        <f aca="false">IF(INDEX(Bases!$E$2:$E$53,B866)="","",INDEX(Bases!$E$2:$E$53,B866))</f>
        <v/>
      </c>
      <c r="J866" s="8" t="str">
        <f aca="false">IF(INDEX(Bases!$E$2:$E$53,C866)="","",INDEX(Bases!$E$2:$E$53,C866))</f>
        <v/>
      </c>
      <c r="K866" s="5"/>
      <c r="L866" s="2" t="n">
        <f aca="false">AE866+IF(SUMPRODUCT(--($AL866:$AQ866&gt;AL866))&lt;$AK866,1,0)</f>
        <v>105</v>
      </c>
      <c r="M866" s="2" t="n">
        <f aca="false">AF866+IF(SUMPRODUCT(--($AL866:$AQ866&gt;AM866))+SUMPRODUCT(--($AL866:AL866=AM866))&lt;$AK866,1,0)</f>
        <v>94</v>
      </c>
      <c r="N866" s="2" t="n">
        <f aca="false">AG866+IF(SUMPRODUCT(--($AL866:$AQ866&gt;AN866))+SUMPRODUCT(--($AL866:AM866=AN866))&lt;$AK866,1,0)</f>
        <v>81</v>
      </c>
      <c r="O866" s="2" t="n">
        <f aca="false">AH866+IF(SUMPRODUCT(--($AL866:$AQ866&gt;AO866))+SUMPRODUCT(--($AL866:AN866=AO866))&lt;$AK866,1,0)</f>
        <v>63</v>
      </c>
      <c r="P866" s="2" t="n">
        <f aca="false">AI866+IF(SUMPRODUCT(--($AL866:$AQ866&gt;AP866))+SUMPRODUCT(--($AL866:AO866=AP866))&lt;$AK866,1,0)</f>
        <v>78</v>
      </c>
      <c r="Q866" s="2" t="n">
        <f aca="false">AJ866+IF(SUMPRODUCT(--($AL866:$AQ866&gt;AQ866))+SUMPRODUCT(--($AL866:AP866=AQ866))&lt;$AK866,1,0)</f>
        <v>79</v>
      </c>
      <c r="R866" s="2" t="n">
        <f aca="false">SUM(L866:Q866)</f>
        <v>500</v>
      </c>
      <c r="S866" s="2" t="n">
        <f aca="false">Settings!$B$4*MAX(INDEX(Bases!$M$2:$M$53,B866),INDEX(Bases!$M$2:$M$53,C866))+Settings!$B$5*MIN(INDEX(Bases!$M$2:$M$53,B866),INDEX(Bases!$M$2:$M$53,C866))</f>
        <v>89</v>
      </c>
      <c r="T866" s="2" t="n">
        <f aca="false">Settings!$B$4*MAX(INDEX(Bases!$N$2:$N$53,B866),INDEX(Bases!$N$2:$N$53,C866))+Settings!$B$5*MIN(INDEX(Bases!$N$2:$N$53,B866),INDEX(Bases!$N$2:$N$53,C866))</f>
        <v>79.6666666666667</v>
      </c>
      <c r="U866" s="2" t="n">
        <f aca="false">Settings!$B$4*MAX(INDEX(Bases!$O$2:$O$53,B866),INDEX(Bases!$O$2:$O$53,C866))+Settings!$B$5*MIN(INDEX(Bases!$O$2:$O$53,B866),INDEX(Bases!$O$2:$O$53,C866))</f>
        <v>69</v>
      </c>
      <c r="V866" s="2" t="n">
        <f aca="false">Settings!$B$4*MAX(INDEX(Bases!$P$2:$P$53,B866),INDEX(Bases!$P$2:$P$53,C866))+Settings!$B$5*MIN(INDEX(Bases!$P$2:$P$53,B866),INDEX(Bases!$P$2:$P$53,C866))</f>
        <v>53.6666666666667</v>
      </c>
      <c r="W866" s="2" t="n">
        <f aca="false">Settings!$B$4*MAX(INDEX(Bases!$Q$2:$Q$53,B866),INDEX(Bases!$Q$2:$Q$53,C866))+Settings!$B$5*MIN(INDEX(Bases!$Q$2:$Q$53,B866),INDEX(Bases!$Q$2:$Q$53,C866))</f>
        <v>66</v>
      </c>
      <c r="X866" s="2" t="n">
        <f aca="false">Settings!$B$4*MAX(INDEX(Bases!$R$2:$R$53,B866),INDEX(Bases!$R$2:$R$53,C866))+Settings!$B$5*MIN(INDEX(Bases!$R$2:$R$53,B866),INDEX(Bases!$R$2:$R$53,C866))</f>
        <v>66.6666666666667</v>
      </c>
      <c r="Y866" s="2" t="n">
        <f aca="false">S866*Settings!$B$3/SUM(S866:X866)</f>
        <v>104.952830188679</v>
      </c>
      <c r="Z866" s="2" t="n">
        <f aca="false">T866*Settings!$B$3/SUM(S866:X866)</f>
        <v>93.9465408805031</v>
      </c>
      <c r="AA866" s="2" t="n">
        <f aca="false">U866*Settings!$B$3/SUM(S866:X866)</f>
        <v>81.3679245283019</v>
      </c>
      <c r="AB866" s="2" t="n">
        <f aca="false">V866*Settings!$B$3/SUM(S866:X866)</f>
        <v>63.2861635220126</v>
      </c>
      <c r="AC866" s="2" t="n">
        <f aca="false">W866*Settings!$B$3/SUM(S866:X866)</f>
        <v>77.8301886792453</v>
      </c>
      <c r="AD866" s="2" t="n">
        <f aca="false">X866*Settings!$B$3/SUM(S866:X866)</f>
        <v>78.6163522012579</v>
      </c>
      <c r="AE866" s="2" t="n">
        <f aca="false">INT(Y866)</f>
        <v>104</v>
      </c>
      <c r="AF866" s="2" t="n">
        <f aca="false">INT(Z866)</f>
        <v>93</v>
      </c>
      <c r="AG866" s="2" t="n">
        <f aca="false">INT(AA866)</f>
        <v>81</v>
      </c>
      <c r="AH866" s="2" t="n">
        <f aca="false">INT(AB866)</f>
        <v>63</v>
      </c>
      <c r="AI866" s="2" t="n">
        <f aca="false">INT(AC866)</f>
        <v>77</v>
      </c>
      <c r="AJ866" s="2" t="n">
        <f aca="false">INT(AD866)</f>
        <v>78</v>
      </c>
      <c r="AK866" s="2" t="n">
        <f aca="false">Settings!$B$3-SUM(AE866:AJ866)</f>
        <v>4</v>
      </c>
      <c r="AL866" s="2" t="n">
        <f aca="false">ROUND(Y866-AE866,9)</f>
        <v>0.952830189</v>
      </c>
      <c r="AM866" s="2" t="n">
        <f aca="false">ROUND(Z866-AF866,9)</f>
        <v>0.946540881</v>
      </c>
      <c r="AN866" s="2" t="n">
        <f aca="false">ROUND(AA866-AG866,9)</f>
        <v>0.367924528</v>
      </c>
      <c r="AO866" s="2" t="n">
        <f aca="false">ROUND(AB866-AH866,9)</f>
        <v>0.286163522</v>
      </c>
      <c r="AP866" s="2" t="n">
        <f aca="false">ROUND(AC866-AI866,9)</f>
        <v>0.830188679</v>
      </c>
      <c r="AQ866" s="2" t="n">
        <f aca="false">ROUND(AD866-AJ866,9)</f>
        <v>0.616352201</v>
      </c>
    </row>
    <row r="867" customFormat="false" ht="15" hidden="false" customHeight="false" outlineLevel="0" collapsed="false">
      <c r="A867" s="2" t="n">
        <v>866</v>
      </c>
      <c r="B867" s="6" t="n">
        <v>22</v>
      </c>
      <c r="C867" s="6" t="n">
        <v>27</v>
      </c>
      <c r="D867" s="8" t="str">
        <f aca="false">INDEX(Bases!$B$2:$B$53,B867)</f>
        <v>Ekans</v>
      </c>
      <c r="E867" s="8" t="str">
        <f aca="false">INDEX(Bases!$B$2:$B$53,C867)</f>
        <v>Baltoy</v>
      </c>
      <c r="F867" s="2" t="str">
        <f aca="false">LEFT(D867,ROUNDUP(LEN(D867)/2,0))&amp;LOWER(MID(E867,ROUNDUP(LEN(E867)/2,0)+1,20))</f>
        <v>Ekatoy</v>
      </c>
      <c r="G867" s="8" t="str">
        <f aca="false">INDEX(Bases!$C$2:$C$53,B867)</f>
        <v>Poison</v>
      </c>
      <c r="H867" s="8" t="str">
        <f aca="false">IF(INDEX(Bases!$C$2:$C$53,C867)=G867,"",INDEX(Bases!$C$2:$C$53,C867))</f>
        <v>Ground</v>
      </c>
      <c r="I867" s="8" t="str">
        <f aca="false">IF(INDEX(Bases!$E$2:$E$53,B867)="","",INDEX(Bases!$E$2:$E$53,B867))</f>
        <v/>
      </c>
      <c r="J867" s="8" t="str">
        <f aca="false">IF(INDEX(Bases!$E$2:$E$53,C867)="","",INDEX(Bases!$E$2:$E$53,C867))</f>
        <v/>
      </c>
      <c r="K867" s="5"/>
      <c r="L867" s="2" t="n">
        <f aca="false">AE867+IF(SUMPRODUCT(--($AL867:$AQ867&gt;AL867))&lt;$AK867,1,0)</f>
        <v>63</v>
      </c>
      <c r="M867" s="2" t="n">
        <f aca="false">AF867+IF(SUMPRODUCT(--($AL867:$AQ867&gt;AM867))+SUMPRODUCT(--($AL867:AL867=AM867))&lt;$AK867,1,0)</f>
        <v>89</v>
      </c>
      <c r="N867" s="2" t="n">
        <f aca="false">AG867+IF(SUMPRODUCT(--($AL867:$AQ867&gt;AN867))+SUMPRODUCT(--($AL867:AM867=AN867))&lt;$AK867,1,0)</f>
        <v>84</v>
      </c>
      <c r="O867" s="2" t="n">
        <f aca="false">AH867+IF(SUMPRODUCT(--($AL867:$AQ867&gt;AO867))+SUMPRODUCT(--($AL867:AN867=AO867))&lt;$AK867,1,0)</f>
        <v>67</v>
      </c>
      <c r="P867" s="2" t="n">
        <f aca="false">AI867+IF(SUMPRODUCT(--($AL867:$AQ867&gt;AP867))+SUMPRODUCT(--($AL867:AO867=AP867))&lt;$AK867,1,0)</f>
        <v>106</v>
      </c>
      <c r="Q867" s="2" t="n">
        <f aca="false">AJ867+IF(SUMPRODUCT(--($AL867:$AQ867&gt;AQ867))+SUMPRODUCT(--($AL867:AP867=AQ867))&lt;$AK867,1,0)</f>
        <v>91</v>
      </c>
      <c r="R867" s="2" t="n">
        <f aca="false">SUM(L867:Q867)</f>
        <v>500</v>
      </c>
      <c r="S867" s="2" t="n">
        <f aca="false">Settings!$B$4*MAX(INDEX(Bases!$M$2:$M$53,B867),INDEX(Bases!$M$2:$M$53,C867))+Settings!$B$5*MIN(INDEX(Bases!$M$2:$M$53,B867),INDEX(Bases!$M$2:$M$53,C867))</f>
        <v>52.3333333333333</v>
      </c>
      <c r="T867" s="2" t="n">
        <f aca="false">Settings!$B$4*MAX(INDEX(Bases!$N$2:$N$53,B867),INDEX(Bases!$N$2:$N$53,C867))+Settings!$B$5*MIN(INDEX(Bases!$N$2:$N$53,B867),INDEX(Bases!$N$2:$N$53,C867))</f>
        <v>73.3333333333333</v>
      </c>
      <c r="U867" s="2" t="n">
        <f aca="false">Settings!$B$4*MAX(INDEX(Bases!$O$2:$O$53,B867),INDEX(Bases!$O$2:$O$53,C867))+Settings!$B$5*MIN(INDEX(Bases!$O$2:$O$53,B867),INDEX(Bases!$O$2:$O$53,C867))</f>
        <v>69</v>
      </c>
      <c r="V867" s="2" t="n">
        <f aca="false">Settings!$B$4*MAX(INDEX(Bases!$P$2:$P$53,B867),INDEX(Bases!$P$2:$P$53,C867))+Settings!$B$5*MIN(INDEX(Bases!$P$2:$P$53,B867),INDEX(Bases!$P$2:$P$53,C867))</f>
        <v>55</v>
      </c>
      <c r="W867" s="2" t="n">
        <f aca="false">Settings!$B$4*MAX(INDEX(Bases!$Q$2:$Q$53,B867),INDEX(Bases!$Q$2:$Q$53,C867))+Settings!$B$5*MIN(INDEX(Bases!$Q$2:$Q$53,B867),INDEX(Bases!$Q$2:$Q$53,C867))</f>
        <v>87</v>
      </c>
      <c r="X867" s="2" t="n">
        <f aca="false">Settings!$B$4*MAX(INDEX(Bases!$R$2:$R$53,B867),INDEX(Bases!$R$2:$R$53,C867))+Settings!$B$5*MIN(INDEX(Bases!$R$2:$R$53,B867),INDEX(Bases!$R$2:$R$53,C867))</f>
        <v>75</v>
      </c>
      <c r="Y867" s="2" t="n">
        <f aca="false">S867*Settings!$B$3/SUM(S867:X867)</f>
        <v>63.5627530364373</v>
      </c>
      <c r="Z867" s="2" t="n">
        <f aca="false">T867*Settings!$B$3/SUM(S867:X867)</f>
        <v>89.0688259109312</v>
      </c>
      <c r="AA867" s="2" t="n">
        <f aca="false">U867*Settings!$B$3/SUM(S867:X867)</f>
        <v>83.8056680161943</v>
      </c>
      <c r="AB867" s="2" t="n">
        <f aca="false">V867*Settings!$B$3/SUM(S867:X867)</f>
        <v>66.8016194331984</v>
      </c>
      <c r="AC867" s="2" t="n">
        <f aca="false">W867*Settings!$B$3/SUM(S867:X867)</f>
        <v>105.668016194332</v>
      </c>
      <c r="AD867" s="2" t="n">
        <f aca="false">X867*Settings!$B$3/SUM(S867:X867)</f>
        <v>91.0931174089069</v>
      </c>
      <c r="AE867" s="2" t="n">
        <f aca="false">INT(Y867)</f>
        <v>63</v>
      </c>
      <c r="AF867" s="2" t="n">
        <f aca="false">INT(Z867)</f>
        <v>89</v>
      </c>
      <c r="AG867" s="2" t="n">
        <f aca="false">INT(AA867)</f>
        <v>83</v>
      </c>
      <c r="AH867" s="2" t="n">
        <f aca="false">INT(AB867)</f>
        <v>66</v>
      </c>
      <c r="AI867" s="2" t="n">
        <f aca="false">INT(AC867)</f>
        <v>105</v>
      </c>
      <c r="AJ867" s="2" t="n">
        <f aca="false">INT(AD867)</f>
        <v>91</v>
      </c>
      <c r="AK867" s="2" t="n">
        <f aca="false">Settings!$B$3-SUM(AE867:AJ867)</f>
        <v>3</v>
      </c>
      <c r="AL867" s="2" t="n">
        <f aca="false">ROUND(Y867-AE867,9)</f>
        <v>0.562753036</v>
      </c>
      <c r="AM867" s="2" t="n">
        <f aca="false">ROUND(Z867-AF867,9)</f>
        <v>0.068825911</v>
      </c>
      <c r="AN867" s="2" t="n">
        <f aca="false">ROUND(AA867-AG867,9)</f>
        <v>0.805668016</v>
      </c>
      <c r="AO867" s="2" t="n">
        <f aca="false">ROUND(AB867-AH867,9)</f>
        <v>0.801619433</v>
      </c>
      <c r="AP867" s="2" t="n">
        <f aca="false">ROUND(AC867-AI867,9)</f>
        <v>0.668016194</v>
      </c>
      <c r="AQ867" s="2" t="n">
        <f aca="false">ROUND(AD867-AJ867,9)</f>
        <v>0.093117409</v>
      </c>
    </row>
    <row r="868" customFormat="false" ht="15" hidden="false" customHeight="false" outlineLevel="0" collapsed="false">
      <c r="A868" s="2" t="n">
        <v>867</v>
      </c>
      <c r="B868" s="6" t="n">
        <v>22</v>
      </c>
      <c r="C868" s="6" t="n">
        <v>28</v>
      </c>
      <c r="D868" s="8" t="str">
        <f aca="false">INDEX(Bases!$B$2:$B$53,B868)</f>
        <v>Ekans</v>
      </c>
      <c r="E868" s="8" t="str">
        <f aca="false">INDEX(Bases!$B$2:$B$53,C868)</f>
        <v>Zubat</v>
      </c>
      <c r="F868" s="2" t="str">
        <f aca="false">LEFT(D868,ROUNDUP(LEN(D868)/2,0))&amp;LOWER(MID(E868,ROUNDUP(LEN(E868)/2,0)+1,20))</f>
        <v>Ekaat</v>
      </c>
      <c r="G868" s="8" t="str">
        <f aca="false">INDEX(Bases!$C$2:$C$53,B868)</f>
        <v>Poison</v>
      </c>
      <c r="H868" s="8" t="str">
        <f aca="false">IF(INDEX(Bases!$C$2:$C$53,C868)=G868,"",INDEX(Bases!$C$2:$C$53,C868))</f>
        <v>Flying</v>
      </c>
      <c r="I868" s="8" t="str">
        <f aca="false">IF(INDEX(Bases!$E$2:$E$53,B868)="","",INDEX(Bases!$E$2:$E$53,B868))</f>
        <v/>
      </c>
      <c r="J868" s="8" t="str">
        <f aca="false">IF(INDEX(Bases!$E$2:$E$53,C868)="","",INDEX(Bases!$E$2:$E$53,C868))</f>
        <v/>
      </c>
      <c r="K868" s="5"/>
      <c r="L868" s="2" t="n">
        <f aca="false">AE868+IF(SUMPRODUCT(--($AL868:$AQ868&gt;AL868))&lt;$AK868,1,0)</f>
        <v>73</v>
      </c>
      <c r="M868" s="2" t="n">
        <f aca="false">AF868+IF(SUMPRODUCT(--($AL868:$AQ868&gt;AM868))+SUMPRODUCT(--($AL868:AL868=AM868))&lt;$AK868,1,0)</f>
        <v>98</v>
      </c>
      <c r="N868" s="2" t="n">
        <f aca="false">AG868+IF(SUMPRODUCT(--($AL868:$AQ868&gt;AN868))+SUMPRODUCT(--($AL868:AM868=AN868))&lt;$AK868,1,0)</f>
        <v>73</v>
      </c>
      <c r="O868" s="2" t="n">
        <f aca="false">AH868+IF(SUMPRODUCT(--($AL868:$AQ868&gt;AO868))+SUMPRODUCT(--($AL868:AN868=AO868))&lt;$AK868,1,0)</f>
        <v>65</v>
      </c>
      <c r="P868" s="2" t="n">
        <f aca="false">AI868+IF(SUMPRODUCT(--($AL868:$AQ868&gt;AP868))+SUMPRODUCT(--($AL868:AO868=AP868))&lt;$AK868,1,0)</f>
        <v>87</v>
      </c>
      <c r="Q868" s="2" t="n">
        <f aca="false">AJ868+IF(SUMPRODUCT(--($AL868:$AQ868&gt;AQ868))+SUMPRODUCT(--($AL868:AP868=AQ868))&lt;$AK868,1,0)</f>
        <v>104</v>
      </c>
      <c r="R868" s="2" t="n">
        <f aca="false">SUM(L868:Q868)</f>
        <v>500</v>
      </c>
      <c r="S868" s="2" t="n">
        <f aca="false">Settings!$B$4*MAX(INDEX(Bases!$M$2:$M$53,B868),INDEX(Bases!$M$2:$M$53,C868))+Settings!$B$5*MIN(INDEX(Bases!$M$2:$M$53,B868),INDEX(Bases!$M$2:$M$53,C868))</f>
        <v>59.6666666666667</v>
      </c>
      <c r="T868" s="2" t="n">
        <f aca="false">Settings!$B$4*MAX(INDEX(Bases!$N$2:$N$53,B868),INDEX(Bases!$N$2:$N$53,C868))+Settings!$B$5*MIN(INDEX(Bases!$N$2:$N$53,B868),INDEX(Bases!$N$2:$N$53,C868))</f>
        <v>80</v>
      </c>
      <c r="U868" s="2" t="n">
        <f aca="false">Settings!$B$4*MAX(INDEX(Bases!$O$2:$O$53,B868),INDEX(Bases!$O$2:$O$53,C868))+Settings!$B$5*MIN(INDEX(Bases!$O$2:$O$53,B868),INDEX(Bases!$O$2:$O$53,C868))</f>
        <v>59.6666666666667</v>
      </c>
      <c r="V868" s="2" t="n">
        <f aca="false">Settings!$B$4*MAX(INDEX(Bases!$P$2:$P$53,B868),INDEX(Bases!$P$2:$P$53,C868))+Settings!$B$5*MIN(INDEX(Bases!$P$2:$P$53,B868),INDEX(Bases!$P$2:$P$53,C868))</f>
        <v>53.6666666666667</v>
      </c>
      <c r="W868" s="2" t="n">
        <f aca="false">Settings!$B$4*MAX(INDEX(Bases!$Q$2:$Q$53,B868),INDEX(Bases!$Q$2:$Q$53,C868))+Settings!$B$5*MIN(INDEX(Bases!$Q$2:$Q$53,B868),INDEX(Bases!$Q$2:$Q$53,C868))</f>
        <v>71.6666666666667</v>
      </c>
      <c r="X868" s="2" t="n">
        <f aca="false">Settings!$B$4*MAX(INDEX(Bases!$R$2:$R$53,B868),INDEX(Bases!$R$2:$R$53,C868))+Settings!$B$5*MIN(INDEX(Bases!$R$2:$R$53,B868),INDEX(Bases!$R$2:$R$53,C868))</f>
        <v>85.3333333333333</v>
      </c>
      <c r="Y868" s="2" t="n">
        <f aca="false">S868*Settings!$B$3/SUM(S868:X868)</f>
        <v>72.7642276422764</v>
      </c>
      <c r="Z868" s="2" t="n">
        <f aca="false">T868*Settings!$B$3/SUM(S868:X868)</f>
        <v>97.5609756097561</v>
      </c>
      <c r="AA868" s="2" t="n">
        <f aca="false">U868*Settings!$B$3/SUM(S868:X868)</f>
        <v>72.7642276422764</v>
      </c>
      <c r="AB868" s="2" t="n">
        <f aca="false">V868*Settings!$B$3/SUM(S868:X868)</f>
        <v>65.4471544715447</v>
      </c>
      <c r="AC868" s="2" t="n">
        <f aca="false">W868*Settings!$B$3/SUM(S868:X868)</f>
        <v>87.3983739837398</v>
      </c>
      <c r="AD868" s="2" t="n">
        <f aca="false">X868*Settings!$B$3/SUM(S868:X868)</f>
        <v>104.065040650407</v>
      </c>
      <c r="AE868" s="2" t="n">
        <f aca="false">INT(Y868)</f>
        <v>72</v>
      </c>
      <c r="AF868" s="2" t="n">
        <f aca="false">INT(Z868)</f>
        <v>97</v>
      </c>
      <c r="AG868" s="2" t="n">
        <f aca="false">INT(AA868)</f>
        <v>72</v>
      </c>
      <c r="AH868" s="2" t="n">
        <f aca="false">INT(AB868)</f>
        <v>65</v>
      </c>
      <c r="AI868" s="2" t="n">
        <f aca="false">INT(AC868)</f>
        <v>87</v>
      </c>
      <c r="AJ868" s="2" t="n">
        <f aca="false">INT(AD868)</f>
        <v>104</v>
      </c>
      <c r="AK868" s="2" t="n">
        <f aca="false">Settings!$B$3-SUM(AE868:AJ868)</f>
        <v>3</v>
      </c>
      <c r="AL868" s="2" t="n">
        <f aca="false">ROUND(Y868-AE868,9)</f>
        <v>0.764227642</v>
      </c>
      <c r="AM868" s="2" t="n">
        <f aca="false">ROUND(Z868-AF868,9)</f>
        <v>0.56097561</v>
      </c>
      <c r="AN868" s="2" t="n">
        <f aca="false">ROUND(AA868-AG868,9)</f>
        <v>0.764227642</v>
      </c>
      <c r="AO868" s="2" t="n">
        <f aca="false">ROUND(AB868-AH868,9)</f>
        <v>0.447154472</v>
      </c>
      <c r="AP868" s="2" t="n">
        <f aca="false">ROUND(AC868-AI868,9)</f>
        <v>0.398373984</v>
      </c>
      <c r="AQ868" s="2" t="n">
        <f aca="false">ROUND(AD868-AJ868,9)</f>
        <v>0.06504065</v>
      </c>
    </row>
    <row r="869" customFormat="false" ht="15" hidden="false" customHeight="false" outlineLevel="0" collapsed="false">
      <c r="A869" s="2" t="n">
        <v>868</v>
      </c>
      <c r="B869" s="6" t="n">
        <v>22</v>
      </c>
      <c r="C869" s="6" t="n">
        <v>29</v>
      </c>
      <c r="D869" s="8" t="str">
        <f aca="false">INDEX(Bases!$B$2:$B$53,B869)</f>
        <v>Ekans</v>
      </c>
      <c r="E869" s="8" t="str">
        <f aca="false">INDEX(Bases!$B$2:$B$53,C869)</f>
        <v>Murkrow</v>
      </c>
      <c r="F869" s="2" t="str">
        <f aca="false">LEFT(D869,ROUNDUP(LEN(D869)/2,0))&amp;LOWER(MID(E869,ROUNDUP(LEN(E869)/2,0)+1,20))</f>
        <v>Ekarow</v>
      </c>
      <c r="G869" s="8" t="str">
        <f aca="false">INDEX(Bases!$C$2:$C$53,B869)</f>
        <v>Poison</v>
      </c>
      <c r="H869" s="8" t="str">
        <f aca="false">IF(INDEX(Bases!$C$2:$C$53,C869)=G869,"",INDEX(Bases!$C$2:$C$53,C869))</f>
        <v>Flying</v>
      </c>
      <c r="I869" s="8" t="str">
        <f aca="false">IF(INDEX(Bases!$E$2:$E$53,B869)="","",INDEX(Bases!$E$2:$E$53,B869))</f>
        <v/>
      </c>
      <c r="J869" s="8" t="str">
        <f aca="false">IF(INDEX(Bases!$E$2:$E$53,C869)="","",INDEX(Bases!$E$2:$E$53,C869))</f>
        <v/>
      </c>
      <c r="K869" s="5"/>
      <c r="L869" s="2" t="n">
        <f aca="false">AE869+IF(SUMPRODUCT(--($AL869:$AQ869&gt;AL869))&lt;$AK869,1,0)</f>
        <v>67</v>
      </c>
      <c r="M869" s="2" t="n">
        <f aca="false">AF869+IF(SUMPRODUCT(--($AL869:$AQ869&gt;AM869))+SUMPRODUCT(--($AL869:AL869=AM869))&lt;$AK869,1,0)</f>
        <v>100</v>
      </c>
      <c r="N869" s="2" t="n">
        <f aca="false">AG869+IF(SUMPRODUCT(--($AL869:$AQ869&gt;AN869))+SUMPRODUCT(--($AL869:AM869=AN869))&lt;$AK869,1,0)</f>
        <v>66</v>
      </c>
      <c r="O869" s="2" t="n">
        <f aca="false">AH869+IF(SUMPRODUCT(--($AL869:$AQ869&gt;AO869))+SUMPRODUCT(--($AL869:AN869=AO869))&lt;$AK869,1,0)</f>
        <v>89</v>
      </c>
      <c r="P869" s="2" t="n">
        <f aca="false">AI869+IF(SUMPRODUCT(--($AL869:$AQ869&gt;AP869))+SUMPRODUCT(--($AL869:AO869=AP869))&lt;$AK869,1,0)</f>
        <v>76</v>
      </c>
      <c r="Q869" s="2" t="n">
        <f aca="false">AJ869+IF(SUMPRODUCT(--($AL869:$AQ869&gt;AQ869))+SUMPRODUCT(--($AL869:AP869=AQ869))&lt;$AK869,1,0)</f>
        <v>102</v>
      </c>
      <c r="R869" s="2" t="n">
        <f aca="false">SUM(L869:Q869)</f>
        <v>500</v>
      </c>
      <c r="S869" s="2" t="n">
        <f aca="false">Settings!$B$4*MAX(INDEX(Bases!$M$2:$M$53,B869),INDEX(Bases!$M$2:$M$53,C869))+Settings!$B$5*MIN(INDEX(Bases!$M$2:$M$53,B869),INDEX(Bases!$M$2:$M$53,C869))</f>
        <v>55.6666666666667</v>
      </c>
      <c r="T869" s="2" t="n">
        <f aca="false">Settings!$B$4*MAX(INDEX(Bases!$N$2:$N$53,B869),INDEX(Bases!$N$2:$N$53,C869))+Settings!$B$5*MIN(INDEX(Bases!$N$2:$N$53,B869),INDEX(Bases!$N$2:$N$53,C869))</f>
        <v>83.6666666666667</v>
      </c>
      <c r="U869" s="2" t="n">
        <f aca="false">Settings!$B$4*MAX(INDEX(Bases!$O$2:$O$53,B869),INDEX(Bases!$O$2:$O$53,C869))+Settings!$B$5*MIN(INDEX(Bases!$O$2:$O$53,B869),INDEX(Bases!$O$2:$O$53,C869))</f>
        <v>54.6666666666667</v>
      </c>
      <c r="V869" s="2" t="n">
        <f aca="false">Settings!$B$4*MAX(INDEX(Bases!$P$2:$P$53,B869),INDEX(Bases!$P$2:$P$53,C869))+Settings!$B$5*MIN(INDEX(Bases!$P$2:$P$53,B869),INDEX(Bases!$P$2:$P$53,C869))</f>
        <v>74.6666666666667</v>
      </c>
      <c r="W869" s="2" t="n">
        <f aca="false">Settings!$B$4*MAX(INDEX(Bases!$Q$2:$Q$53,B869),INDEX(Bases!$Q$2:$Q$53,C869))+Settings!$B$5*MIN(INDEX(Bases!$Q$2:$Q$53,B869),INDEX(Bases!$Q$2:$Q$53,C869))</f>
        <v>63.6666666666667</v>
      </c>
      <c r="X869" s="2" t="n">
        <f aca="false">Settings!$B$4*MAX(INDEX(Bases!$R$2:$R$53,B869),INDEX(Bases!$R$2:$R$53,C869))+Settings!$B$5*MIN(INDEX(Bases!$R$2:$R$53,B869),INDEX(Bases!$R$2:$R$53,C869))</f>
        <v>85.3333333333333</v>
      </c>
      <c r="Y869" s="2" t="n">
        <f aca="false">S869*Settings!$B$3/SUM(S869:X869)</f>
        <v>66.6400638467678</v>
      </c>
      <c r="Z869" s="2" t="n">
        <f aca="false">T869*Settings!$B$3/SUM(S869:X869)</f>
        <v>100.159616919393</v>
      </c>
      <c r="AA869" s="2" t="n">
        <f aca="false">U869*Settings!$B$3/SUM(S869:X869)</f>
        <v>65.4429369513168</v>
      </c>
      <c r="AB869" s="2" t="n">
        <f aca="false">V869*Settings!$B$3/SUM(S869:X869)</f>
        <v>89.3854748603352</v>
      </c>
      <c r="AC869" s="2" t="n">
        <f aca="false">W869*Settings!$B$3/SUM(S869:X869)</f>
        <v>76.2170790103751</v>
      </c>
      <c r="AD869" s="2" t="n">
        <f aca="false">X869*Settings!$B$3/SUM(S869:X869)</f>
        <v>102.154828411812</v>
      </c>
      <c r="AE869" s="2" t="n">
        <f aca="false">INT(Y869)</f>
        <v>66</v>
      </c>
      <c r="AF869" s="2" t="n">
        <f aca="false">INT(Z869)</f>
        <v>100</v>
      </c>
      <c r="AG869" s="2" t="n">
        <f aca="false">INT(AA869)</f>
        <v>65</v>
      </c>
      <c r="AH869" s="2" t="n">
        <f aca="false">INT(AB869)</f>
        <v>89</v>
      </c>
      <c r="AI869" s="2" t="n">
        <f aca="false">INT(AC869)</f>
        <v>76</v>
      </c>
      <c r="AJ869" s="2" t="n">
        <f aca="false">INT(AD869)</f>
        <v>102</v>
      </c>
      <c r="AK869" s="2" t="n">
        <f aca="false">Settings!$B$3-SUM(AE869:AJ869)</f>
        <v>2</v>
      </c>
      <c r="AL869" s="2" t="n">
        <f aca="false">ROUND(Y869-AE869,9)</f>
        <v>0.640063847</v>
      </c>
      <c r="AM869" s="2" t="n">
        <f aca="false">ROUND(Z869-AF869,9)</f>
        <v>0.159616919</v>
      </c>
      <c r="AN869" s="2" t="n">
        <f aca="false">ROUND(AA869-AG869,9)</f>
        <v>0.442936951</v>
      </c>
      <c r="AO869" s="2" t="n">
        <f aca="false">ROUND(AB869-AH869,9)</f>
        <v>0.38547486</v>
      </c>
      <c r="AP869" s="2" t="n">
        <f aca="false">ROUND(AC869-AI869,9)</f>
        <v>0.21707901</v>
      </c>
      <c r="AQ869" s="2" t="n">
        <f aca="false">ROUND(AD869-AJ869,9)</f>
        <v>0.154828412</v>
      </c>
    </row>
    <row r="870" customFormat="false" ht="15" hidden="false" customHeight="false" outlineLevel="0" collapsed="false">
      <c r="A870" s="2" t="n">
        <v>869</v>
      </c>
      <c r="B870" s="6" t="n">
        <v>22</v>
      </c>
      <c r="C870" s="6" t="n">
        <v>30</v>
      </c>
      <c r="D870" s="8" t="str">
        <f aca="false">INDEX(Bases!$B$2:$B$53,B870)</f>
        <v>Ekans</v>
      </c>
      <c r="E870" s="8" t="str">
        <f aca="false">INDEX(Bases!$B$2:$B$53,C870)</f>
        <v>Swablu</v>
      </c>
      <c r="F870" s="2" t="str">
        <f aca="false">LEFT(D870,ROUNDUP(LEN(D870)/2,0))&amp;LOWER(MID(E870,ROUNDUP(LEN(E870)/2,0)+1,20))</f>
        <v>Ekablu</v>
      </c>
      <c r="G870" s="8" t="str">
        <f aca="false">INDEX(Bases!$C$2:$C$53,B870)</f>
        <v>Poison</v>
      </c>
      <c r="H870" s="8" t="str">
        <f aca="false">IF(INDEX(Bases!$C$2:$C$53,C870)=G870,"",INDEX(Bases!$C$2:$C$53,C870))</f>
        <v>Flying</v>
      </c>
      <c r="I870" s="8" t="str">
        <f aca="false">IF(INDEX(Bases!$E$2:$E$53,B870)="","",INDEX(Bases!$E$2:$E$53,B870))</f>
        <v/>
      </c>
      <c r="J870" s="8" t="str">
        <f aca="false">IF(INDEX(Bases!$E$2:$E$53,C870)="","",INDEX(Bases!$E$2:$E$53,C870))</f>
        <v/>
      </c>
      <c r="K870" s="5"/>
      <c r="L870" s="2" t="n">
        <f aca="false">AE870+IF(SUMPRODUCT(--($AL870:$AQ870&gt;AL870))&lt;$AK870,1,0)</f>
        <v>66</v>
      </c>
      <c r="M870" s="2" t="n">
        <f aca="false">AF870+IF(SUMPRODUCT(--($AL870:$AQ870&gt;AM870))+SUMPRODUCT(--($AL870:AL870=AM870))&lt;$AK870,1,0)</f>
        <v>87</v>
      </c>
      <c r="N870" s="2" t="n">
        <f aca="false">AG870+IF(SUMPRODUCT(--($AL870:$AQ870&gt;AN870))+SUMPRODUCT(--($AL870:AM870=AN870))&lt;$AK870,1,0)</f>
        <v>86</v>
      </c>
      <c r="O870" s="2" t="n">
        <f aca="false">AH870+IF(SUMPRODUCT(--($AL870:$AQ870&gt;AO870))+SUMPRODUCT(--($AL870:AN870=AO870))&lt;$AK870,1,0)</f>
        <v>66</v>
      </c>
      <c r="P870" s="2" t="n">
        <f aca="false">AI870+IF(SUMPRODUCT(--($AL870:$AQ870&gt;AP870))+SUMPRODUCT(--($AL870:AO870=AP870))&lt;$AK870,1,0)</f>
        <v>108</v>
      </c>
      <c r="Q870" s="2" t="n">
        <f aca="false">AJ870+IF(SUMPRODUCT(--($AL870:$AQ870&gt;AQ870))+SUMPRODUCT(--($AL870:AP870=AQ870))&lt;$AK870,1,0)</f>
        <v>87</v>
      </c>
      <c r="R870" s="2" t="n">
        <f aca="false">SUM(L870:Q870)</f>
        <v>500</v>
      </c>
      <c r="S870" s="2" t="n">
        <f aca="false">Settings!$B$4*MAX(INDEX(Bases!$M$2:$M$53,B870),INDEX(Bases!$M$2:$M$53,C870))+Settings!$B$5*MIN(INDEX(Bases!$M$2:$M$53,B870),INDEX(Bases!$M$2:$M$53,C870))</f>
        <v>55</v>
      </c>
      <c r="T870" s="2" t="n">
        <f aca="false">Settings!$B$4*MAX(INDEX(Bases!$N$2:$N$53,B870),INDEX(Bases!$N$2:$N$53,C870))+Settings!$B$5*MIN(INDEX(Bases!$N$2:$N$53,B870),INDEX(Bases!$N$2:$N$53,C870))</f>
        <v>72.6666666666667</v>
      </c>
      <c r="U870" s="2" t="n">
        <f aca="false">Settings!$B$4*MAX(INDEX(Bases!$O$2:$O$53,B870),INDEX(Bases!$O$2:$O$53,C870))+Settings!$B$5*MIN(INDEX(Bases!$O$2:$O$53,B870),INDEX(Bases!$O$2:$O$53,C870))</f>
        <v>71.6666666666667</v>
      </c>
      <c r="V870" s="2" t="n">
        <f aca="false">Settings!$B$4*MAX(INDEX(Bases!$P$2:$P$53,B870),INDEX(Bases!$P$2:$P$53,C870))+Settings!$B$5*MIN(INDEX(Bases!$P$2:$P$53,B870),INDEX(Bases!$P$2:$P$53,C870))</f>
        <v>54.6666666666667</v>
      </c>
      <c r="W870" s="2" t="n">
        <f aca="false">Settings!$B$4*MAX(INDEX(Bases!$Q$2:$Q$53,B870),INDEX(Bases!$Q$2:$Q$53,C870))+Settings!$B$5*MIN(INDEX(Bases!$Q$2:$Q$53,B870),INDEX(Bases!$Q$2:$Q$53,C870))</f>
        <v>89.6666666666667</v>
      </c>
      <c r="X870" s="2" t="n">
        <f aca="false">Settings!$B$4*MAX(INDEX(Bases!$R$2:$R$53,B870),INDEX(Bases!$R$2:$R$53,C870))+Settings!$B$5*MIN(INDEX(Bases!$R$2:$R$53,B870),INDEX(Bases!$R$2:$R$53,C870))</f>
        <v>72</v>
      </c>
      <c r="Y870" s="2" t="n">
        <f aca="false">S870*Settings!$B$3/SUM(S870:X870)</f>
        <v>66.158781074579</v>
      </c>
      <c r="Z870" s="2" t="n">
        <f aca="false">T870*Settings!$B$3/SUM(S870:X870)</f>
        <v>87.4097834803528</v>
      </c>
      <c r="AA870" s="2" t="n">
        <f aca="false">U870*Settings!$B$3/SUM(S870:X870)</f>
        <v>86.2068965517241</v>
      </c>
      <c r="AB870" s="2" t="n">
        <f aca="false">V870*Settings!$B$3/SUM(S870:X870)</f>
        <v>65.7578187650361</v>
      </c>
      <c r="AC870" s="2" t="n">
        <f aca="false">W870*Settings!$B$3/SUM(S870:X870)</f>
        <v>107.858861267041</v>
      </c>
      <c r="AD870" s="2" t="n">
        <f aca="false">X870*Settings!$B$3/SUM(S870:X870)</f>
        <v>86.6078588612671</v>
      </c>
      <c r="AE870" s="2" t="n">
        <f aca="false">INT(Y870)</f>
        <v>66</v>
      </c>
      <c r="AF870" s="2" t="n">
        <f aca="false">INT(Z870)</f>
        <v>87</v>
      </c>
      <c r="AG870" s="2" t="n">
        <f aca="false">INT(AA870)</f>
        <v>86</v>
      </c>
      <c r="AH870" s="2" t="n">
        <f aca="false">INT(AB870)</f>
        <v>65</v>
      </c>
      <c r="AI870" s="2" t="n">
        <f aca="false">INT(AC870)</f>
        <v>107</v>
      </c>
      <c r="AJ870" s="2" t="n">
        <f aca="false">INT(AD870)</f>
        <v>86</v>
      </c>
      <c r="AK870" s="2" t="n">
        <f aca="false">Settings!$B$3-SUM(AE870:AJ870)</f>
        <v>3</v>
      </c>
      <c r="AL870" s="2" t="n">
        <f aca="false">ROUND(Y870-AE870,9)</f>
        <v>0.158781075</v>
      </c>
      <c r="AM870" s="2" t="n">
        <f aca="false">ROUND(Z870-AF870,9)</f>
        <v>0.40978348</v>
      </c>
      <c r="AN870" s="2" t="n">
        <f aca="false">ROUND(AA870-AG870,9)</f>
        <v>0.206896552</v>
      </c>
      <c r="AO870" s="2" t="n">
        <f aca="false">ROUND(AB870-AH870,9)</f>
        <v>0.757818765</v>
      </c>
      <c r="AP870" s="2" t="n">
        <f aca="false">ROUND(AC870-AI870,9)</f>
        <v>0.858861267</v>
      </c>
      <c r="AQ870" s="2" t="n">
        <f aca="false">ROUND(AD870-AJ870,9)</f>
        <v>0.607858861</v>
      </c>
    </row>
    <row r="871" customFormat="false" ht="15" hidden="false" customHeight="false" outlineLevel="0" collapsed="false">
      <c r="A871" s="2" t="n">
        <v>870</v>
      </c>
      <c r="B871" s="6" t="n">
        <v>22</v>
      </c>
      <c r="C871" s="6" t="n">
        <v>31</v>
      </c>
      <c r="D871" s="8" t="str">
        <f aca="false">INDEX(Bases!$B$2:$B$53,B871)</f>
        <v>Ekans</v>
      </c>
      <c r="E871" s="8" t="str">
        <f aca="false">INDEX(Bases!$B$2:$B$53,C871)</f>
        <v>Mew</v>
      </c>
      <c r="F871" s="2" t="str">
        <f aca="false">LEFT(D871,ROUNDUP(LEN(D871)/2,0))&amp;LOWER(MID(E871,ROUNDUP(LEN(E871)/2,0)+1,20))</f>
        <v>Ekaw</v>
      </c>
      <c r="G871" s="8" t="str">
        <f aca="false">INDEX(Bases!$C$2:$C$53,B871)</f>
        <v>Poison</v>
      </c>
      <c r="H871" s="8" t="str">
        <f aca="false">IF(INDEX(Bases!$C$2:$C$53,C871)=G871,"",INDEX(Bases!$C$2:$C$53,C871))</f>
        <v>Psychic</v>
      </c>
      <c r="I871" s="8" t="str">
        <f aca="false">IF(INDEX(Bases!$E$2:$E$53,B871)="","",INDEX(Bases!$E$2:$E$53,B871))</f>
        <v/>
      </c>
      <c r="J871" s="8" t="str">
        <f aca="false">IF(INDEX(Bases!$E$2:$E$53,C871)="","",INDEX(Bases!$E$2:$E$53,C871))</f>
        <v/>
      </c>
      <c r="K871" s="5"/>
      <c r="L871" s="2" t="n">
        <f aca="false">AE871+IF(SUMPRODUCT(--($AL871:$AQ871&gt;AL871))&lt;$AK871,1,0)</f>
        <v>74</v>
      </c>
      <c r="M871" s="2" t="n">
        <f aca="false">AF871+IF(SUMPRODUCT(--($AL871:$AQ871&gt;AM871))+SUMPRODUCT(--($AL871:AL871=AM871))&lt;$AK871,1,0)</f>
        <v>94</v>
      </c>
      <c r="N871" s="2" t="n">
        <f aca="false">AG871+IF(SUMPRODUCT(--($AL871:$AQ871&gt;AN871))+SUMPRODUCT(--($AL871:AM871=AN871))&lt;$AK871,1,0)</f>
        <v>79</v>
      </c>
      <c r="O871" s="2" t="n">
        <f aca="false">AH871+IF(SUMPRODUCT(--($AL871:$AQ871&gt;AO871))+SUMPRODUCT(--($AL871:AN871=AO871))&lt;$AK871,1,0)</f>
        <v>77</v>
      </c>
      <c r="P871" s="2" t="n">
        <f aca="false">AI871+IF(SUMPRODUCT(--($AL871:$AQ871&gt;AP871))+SUMPRODUCT(--($AL871:AO871=AP871))&lt;$AK871,1,0)</f>
        <v>88</v>
      </c>
      <c r="Q871" s="2" t="n">
        <f aca="false">AJ871+IF(SUMPRODUCT(--($AL871:$AQ871&gt;AQ871))+SUMPRODUCT(--($AL871:AP871=AQ871))&lt;$AK871,1,0)</f>
        <v>88</v>
      </c>
      <c r="R871" s="2" t="n">
        <f aca="false">SUM(L871:Q871)</f>
        <v>500</v>
      </c>
      <c r="S871" s="2" t="n">
        <f aca="false">Settings!$B$4*MAX(INDEX(Bases!$M$2:$M$53,B871),INDEX(Bases!$M$2:$M$53,C871))+Settings!$B$5*MIN(INDEX(Bases!$M$2:$M$53,B871),INDEX(Bases!$M$2:$M$53,C871))</f>
        <v>61</v>
      </c>
      <c r="T871" s="2" t="n">
        <f aca="false">Settings!$B$4*MAX(INDEX(Bases!$N$2:$N$53,B871),INDEX(Bases!$N$2:$N$53,C871))+Settings!$B$5*MIN(INDEX(Bases!$N$2:$N$53,B871),INDEX(Bases!$N$2:$N$53,C871))</f>
        <v>77.6666666666667</v>
      </c>
      <c r="U871" s="2" t="n">
        <f aca="false">Settings!$B$4*MAX(INDEX(Bases!$O$2:$O$53,B871),INDEX(Bases!$O$2:$O$53,C871))+Settings!$B$5*MIN(INDEX(Bases!$O$2:$O$53,B871),INDEX(Bases!$O$2:$O$53,C871))</f>
        <v>65</v>
      </c>
      <c r="V871" s="2" t="n">
        <f aca="false">Settings!$B$4*MAX(INDEX(Bases!$P$2:$P$53,B871),INDEX(Bases!$P$2:$P$53,C871))+Settings!$B$5*MIN(INDEX(Bases!$P$2:$P$53,B871),INDEX(Bases!$P$2:$P$53,C871))</f>
        <v>63.3333333333333</v>
      </c>
      <c r="W871" s="2" t="n">
        <f aca="false">Settings!$B$4*MAX(INDEX(Bases!$Q$2:$Q$53,B871),INDEX(Bases!$Q$2:$Q$53,C871))+Settings!$B$5*MIN(INDEX(Bases!$Q$2:$Q$53,B871),INDEX(Bases!$Q$2:$Q$53,C871))</f>
        <v>72</v>
      </c>
      <c r="X871" s="2" t="n">
        <f aca="false">Settings!$B$4*MAX(INDEX(Bases!$R$2:$R$53,B871),INDEX(Bases!$R$2:$R$53,C871))+Settings!$B$5*MIN(INDEX(Bases!$R$2:$R$53,B871),INDEX(Bases!$R$2:$R$53,C871))</f>
        <v>72.6666666666667</v>
      </c>
      <c r="Y871" s="2" t="n">
        <f aca="false">S871*Settings!$B$3/SUM(S871:X871)</f>
        <v>74.0890688259109</v>
      </c>
      <c r="Z871" s="2" t="n">
        <f aca="false">T871*Settings!$B$3/SUM(S871:X871)</f>
        <v>94.331983805668</v>
      </c>
      <c r="AA871" s="2" t="n">
        <f aca="false">U871*Settings!$B$3/SUM(S871:X871)</f>
        <v>78.9473684210526</v>
      </c>
      <c r="AB871" s="2" t="n">
        <f aca="false">V871*Settings!$B$3/SUM(S871:X871)</f>
        <v>76.9230769230769</v>
      </c>
      <c r="AC871" s="2" t="n">
        <f aca="false">W871*Settings!$B$3/SUM(S871:X871)</f>
        <v>87.4493927125506</v>
      </c>
      <c r="AD871" s="2" t="n">
        <f aca="false">X871*Settings!$B$3/SUM(S871:X871)</f>
        <v>88.2591093117409</v>
      </c>
      <c r="AE871" s="2" t="n">
        <f aca="false">INT(Y871)</f>
        <v>74</v>
      </c>
      <c r="AF871" s="2" t="n">
        <f aca="false">INT(Z871)</f>
        <v>94</v>
      </c>
      <c r="AG871" s="2" t="n">
        <f aca="false">INT(AA871)</f>
        <v>78</v>
      </c>
      <c r="AH871" s="2" t="n">
        <f aca="false">INT(AB871)</f>
        <v>76</v>
      </c>
      <c r="AI871" s="2" t="n">
        <f aca="false">INT(AC871)</f>
        <v>87</v>
      </c>
      <c r="AJ871" s="2" t="n">
        <f aca="false">INT(AD871)</f>
        <v>88</v>
      </c>
      <c r="AK871" s="2" t="n">
        <f aca="false">Settings!$B$3-SUM(AE871:AJ871)</f>
        <v>3</v>
      </c>
      <c r="AL871" s="2" t="n">
        <f aca="false">ROUND(Y871-AE871,9)</f>
        <v>0.089068826</v>
      </c>
      <c r="AM871" s="2" t="n">
        <f aca="false">ROUND(Z871-AF871,9)</f>
        <v>0.331983806</v>
      </c>
      <c r="AN871" s="2" t="n">
        <f aca="false">ROUND(AA871-AG871,9)</f>
        <v>0.947368421</v>
      </c>
      <c r="AO871" s="2" t="n">
        <f aca="false">ROUND(AB871-AH871,9)</f>
        <v>0.923076923</v>
      </c>
      <c r="AP871" s="2" t="n">
        <f aca="false">ROUND(AC871-AI871,9)</f>
        <v>0.449392713</v>
      </c>
      <c r="AQ871" s="2" t="n">
        <f aca="false">ROUND(AD871-AJ871,9)</f>
        <v>0.259109312</v>
      </c>
    </row>
    <row r="872" customFormat="false" ht="15" hidden="false" customHeight="false" outlineLevel="0" collapsed="false">
      <c r="A872" s="2" t="n">
        <v>871</v>
      </c>
      <c r="B872" s="6" t="n">
        <v>22</v>
      </c>
      <c r="C872" s="6" t="n">
        <v>32</v>
      </c>
      <c r="D872" s="8" t="str">
        <f aca="false">INDEX(Bases!$B$2:$B$53,B872)</f>
        <v>Ekans</v>
      </c>
      <c r="E872" s="8" t="str">
        <f aca="false">INDEX(Bases!$B$2:$B$53,C872)</f>
        <v>Spoink</v>
      </c>
      <c r="F872" s="2" t="str">
        <f aca="false">LEFT(D872,ROUNDUP(LEN(D872)/2,0))&amp;LOWER(MID(E872,ROUNDUP(LEN(E872)/2,0)+1,20))</f>
        <v>Ekaink</v>
      </c>
      <c r="G872" s="8" t="str">
        <f aca="false">INDEX(Bases!$C$2:$C$53,B872)</f>
        <v>Poison</v>
      </c>
      <c r="H872" s="8" t="str">
        <f aca="false">IF(INDEX(Bases!$C$2:$C$53,C872)=G872,"",INDEX(Bases!$C$2:$C$53,C872))</f>
        <v>Psychic</v>
      </c>
      <c r="I872" s="8" t="str">
        <f aca="false">IF(INDEX(Bases!$E$2:$E$53,B872)="","",INDEX(Bases!$E$2:$E$53,B872))</f>
        <v/>
      </c>
      <c r="J872" s="8" t="str">
        <f aca="false">IF(INDEX(Bases!$E$2:$E$53,C872)="","",INDEX(Bases!$E$2:$E$53,C872))</f>
        <v/>
      </c>
      <c r="K872" s="5"/>
      <c r="L872" s="2" t="n">
        <f aca="false">AE872+IF(SUMPRODUCT(--($AL872:$AQ872&gt;AL872))&lt;$AK872,1,0)</f>
        <v>76</v>
      </c>
      <c r="M872" s="2" t="n">
        <f aca="false">AF872+IF(SUMPRODUCT(--($AL872:$AQ872&gt;AM872))+SUMPRODUCT(--($AL872:AL872=AM872))&lt;$AK872,1,0)</f>
        <v>77</v>
      </c>
      <c r="N872" s="2" t="n">
        <f aca="false">AG872+IF(SUMPRODUCT(--($AL872:$AQ872&gt;AN872))+SUMPRODUCT(--($AL872:AM872=AN872))&lt;$AK872,1,0)</f>
        <v>64</v>
      </c>
      <c r="O872" s="2" t="n">
        <f aca="false">AH872+IF(SUMPRODUCT(--($AL872:$AQ872&gt;AO872))+SUMPRODUCT(--($AL872:AN872=AO872))&lt;$AK872,1,0)</f>
        <v>89</v>
      </c>
      <c r="P872" s="2" t="n">
        <f aca="false">AI872+IF(SUMPRODUCT(--($AL872:$AQ872&gt;AP872))+SUMPRODUCT(--($AL872:AO872=AP872))&lt;$AK872,1,0)</f>
        <v>106</v>
      </c>
      <c r="Q872" s="2" t="n">
        <f aca="false">AJ872+IF(SUMPRODUCT(--($AL872:$AQ872&gt;AQ872))+SUMPRODUCT(--($AL872:AP872=AQ872))&lt;$AK872,1,0)</f>
        <v>88</v>
      </c>
      <c r="R872" s="2" t="n">
        <f aca="false">SUM(L872:Q872)</f>
        <v>500</v>
      </c>
      <c r="S872" s="2" t="n">
        <f aca="false">Settings!$B$4*MAX(INDEX(Bases!$M$2:$M$53,B872),INDEX(Bases!$M$2:$M$53,C872))+Settings!$B$5*MIN(INDEX(Bases!$M$2:$M$53,B872),INDEX(Bases!$M$2:$M$53,C872))</f>
        <v>65</v>
      </c>
      <c r="T872" s="2" t="n">
        <f aca="false">Settings!$B$4*MAX(INDEX(Bases!$N$2:$N$53,B872),INDEX(Bases!$N$2:$N$53,C872))+Settings!$B$5*MIN(INDEX(Bases!$N$2:$N$53,B872),INDEX(Bases!$N$2:$N$53,C872))</f>
        <v>65.3333333333333</v>
      </c>
      <c r="U872" s="2" t="n">
        <f aca="false">Settings!$B$4*MAX(INDEX(Bases!$O$2:$O$53,B872),INDEX(Bases!$O$2:$O$53,C872))+Settings!$B$5*MIN(INDEX(Bases!$O$2:$O$53,B872),INDEX(Bases!$O$2:$O$53,C872))</f>
        <v>54.6666666666667</v>
      </c>
      <c r="V872" s="2" t="n">
        <f aca="false">Settings!$B$4*MAX(INDEX(Bases!$P$2:$P$53,B872),INDEX(Bases!$P$2:$P$53,C872))+Settings!$B$5*MIN(INDEX(Bases!$P$2:$P$53,B872),INDEX(Bases!$P$2:$P$53,C872))</f>
        <v>75.3333333333333</v>
      </c>
      <c r="W872" s="2" t="n">
        <f aca="false">Settings!$B$4*MAX(INDEX(Bases!$Q$2:$Q$53,B872),INDEX(Bases!$Q$2:$Q$53,C872))+Settings!$B$5*MIN(INDEX(Bases!$Q$2:$Q$53,B872),INDEX(Bases!$Q$2:$Q$53,C872))</f>
        <v>89.6666666666667</v>
      </c>
      <c r="X872" s="2" t="n">
        <f aca="false">Settings!$B$4*MAX(INDEX(Bases!$R$2:$R$53,B872),INDEX(Bases!$R$2:$R$53,C872))+Settings!$B$5*MIN(INDEX(Bases!$R$2:$R$53,B872),INDEX(Bases!$R$2:$R$53,C872))</f>
        <v>75</v>
      </c>
      <c r="Y872" s="2" t="n">
        <f aca="false">S872*Settings!$B$3/SUM(S872:X872)</f>
        <v>76.4705882352941</v>
      </c>
      <c r="Z872" s="2" t="n">
        <f aca="false">T872*Settings!$B$3/SUM(S872:X872)</f>
        <v>76.8627450980392</v>
      </c>
      <c r="AA872" s="2" t="n">
        <f aca="false">U872*Settings!$B$3/SUM(S872:X872)</f>
        <v>64.3137254901961</v>
      </c>
      <c r="AB872" s="2" t="n">
        <f aca="false">V872*Settings!$B$3/SUM(S872:X872)</f>
        <v>88.6274509803922</v>
      </c>
      <c r="AC872" s="2" t="n">
        <f aca="false">W872*Settings!$B$3/SUM(S872:X872)</f>
        <v>105.490196078431</v>
      </c>
      <c r="AD872" s="2" t="n">
        <f aca="false">X872*Settings!$B$3/SUM(S872:X872)</f>
        <v>88.2352941176471</v>
      </c>
      <c r="AE872" s="2" t="n">
        <f aca="false">INT(Y872)</f>
        <v>76</v>
      </c>
      <c r="AF872" s="2" t="n">
        <f aca="false">INT(Z872)</f>
        <v>76</v>
      </c>
      <c r="AG872" s="2" t="n">
        <f aca="false">INT(AA872)</f>
        <v>64</v>
      </c>
      <c r="AH872" s="2" t="n">
        <f aca="false">INT(AB872)</f>
        <v>88</v>
      </c>
      <c r="AI872" s="2" t="n">
        <f aca="false">INT(AC872)</f>
        <v>105</v>
      </c>
      <c r="AJ872" s="2" t="n">
        <f aca="false">INT(AD872)</f>
        <v>88</v>
      </c>
      <c r="AK872" s="2" t="n">
        <f aca="false">Settings!$B$3-SUM(AE872:AJ872)</f>
        <v>3</v>
      </c>
      <c r="AL872" s="2" t="n">
        <f aca="false">ROUND(Y872-AE872,9)</f>
        <v>0.470588235</v>
      </c>
      <c r="AM872" s="2" t="n">
        <f aca="false">ROUND(Z872-AF872,9)</f>
        <v>0.862745098</v>
      </c>
      <c r="AN872" s="2" t="n">
        <f aca="false">ROUND(AA872-AG872,9)</f>
        <v>0.31372549</v>
      </c>
      <c r="AO872" s="2" t="n">
        <f aca="false">ROUND(AB872-AH872,9)</f>
        <v>0.62745098</v>
      </c>
      <c r="AP872" s="2" t="n">
        <f aca="false">ROUND(AC872-AI872,9)</f>
        <v>0.490196078</v>
      </c>
      <c r="AQ872" s="2" t="n">
        <f aca="false">ROUND(AD872-AJ872,9)</f>
        <v>0.235294118</v>
      </c>
    </row>
    <row r="873" customFormat="false" ht="15" hidden="false" customHeight="false" outlineLevel="0" collapsed="false">
      <c r="A873" s="2" t="n">
        <v>872</v>
      </c>
      <c r="B873" s="6" t="n">
        <v>22</v>
      </c>
      <c r="C873" s="6" t="n">
        <v>33</v>
      </c>
      <c r="D873" s="8" t="str">
        <f aca="false">INDEX(Bases!$B$2:$B$53,B873)</f>
        <v>Ekans</v>
      </c>
      <c r="E873" s="8" t="str">
        <f aca="false">INDEX(Bases!$B$2:$B$53,C873)</f>
        <v>Jirachi</v>
      </c>
      <c r="F873" s="2" t="str">
        <f aca="false">LEFT(D873,ROUNDUP(LEN(D873)/2,0))&amp;LOWER(MID(E873,ROUNDUP(LEN(E873)/2,0)+1,20))</f>
        <v>Ekachi</v>
      </c>
      <c r="G873" s="8" t="str">
        <f aca="false">INDEX(Bases!$C$2:$C$53,B873)</f>
        <v>Poison</v>
      </c>
      <c r="H873" s="8" t="str">
        <f aca="false">IF(INDEX(Bases!$C$2:$C$53,C873)=G873,"",INDEX(Bases!$C$2:$C$53,C873))</f>
        <v>Psychic</v>
      </c>
      <c r="I873" s="8" t="str">
        <f aca="false">IF(INDEX(Bases!$E$2:$E$53,B873)="","",INDEX(Bases!$E$2:$E$53,B873))</f>
        <v/>
      </c>
      <c r="J873" s="8" t="str">
        <f aca="false">IF(INDEX(Bases!$E$2:$E$53,C873)="","",INDEX(Bases!$E$2:$E$53,C873))</f>
        <v/>
      </c>
      <c r="K873" s="5"/>
      <c r="L873" s="2" t="n">
        <f aca="false">AE873+IF(SUMPRODUCT(--($AL873:$AQ873&gt;AL873))&lt;$AK873,1,0)</f>
        <v>74</v>
      </c>
      <c r="M873" s="2" t="n">
        <f aca="false">AF873+IF(SUMPRODUCT(--($AL873:$AQ873&gt;AM873))+SUMPRODUCT(--($AL873:AL873=AM873))&lt;$AK873,1,0)</f>
        <v>94</v>
      </c>
      <c r="N873" s="2" t="n">
        <f aca="false">AG873+IF(SUMPRODUCT(--($AL873:$AQ873&gt;AN873))+SUMPRODUCT(--($AL873:AM873=AN873))&lt;$AK873,1,0)</f>
        <v>79</v>
      </c>
      <c r="O873" s="2" t="n">
        <f aca="false">AH873+IF(SUMPRODUCT(--($AL873:$AQ873&gt;AO873))+SUMPRODUCT(--($AL873:AN873=AO873))&lt;$AK873,1,0)</f>
        <v>77</v>
      </c>
      <c r="P873" s="2" t="n">
        <f aca="false">AI873+IF(SUMPRODUCT(--($AL873:$AQ873&gt;AP873))+SUMPRODUCT(--($AL873:AO873=AP873))&lt;$AK873,1,0)</f>
        <v>88</v>
      </c>
      <c r="Q873" s="2" t="n">
        <f aca="false">AJ873+IF(SUMPRODUCT(--($AL873:$AQ873&gt;AQ873))+SUMPRODUCT(--($AL873:AP873=AQ873))&lt;$AK873,1,0)</f>
        <v>88</v>
      </c>
      <c r="R873" s="2" t="n">
        <f aca="false">SUM(L873:Q873)</f>
        <v>500</v>
      </c>
      <c r="S873" s="2" t="n">
        <f aca="false">Settings!$B$4*MAX(INDEX(Bases!$M$2:$M$53,B873),INDEX(Bases!$M$2:$M$53,C873))+Settings!$B$5*MIN(INDEX(Bases!$M$2:$M$53,B873),INDEX(Bases!$M$2:$M$53,C873))</f>
        <v>61</v>
      </c>
      <c r="T873" s="2" t="n">
        <f aca="false">Settings!$B$4*MAX(INDEX(Bases!$N$2:$N$53,B873),INDEX(Bases!$N$2:$N$53,C873))+Settings!$B$5*MIN(INDEX(Bases!$N$2:$N$53,B873),INDEX(Bases!$N$2:$N$53,C873))</f>
        <v>77.6666666666667</v>
      </c>
      <c r="U873" s="2" t="n">
        <f aca="false">Settings!$B$4*MAX(INDEX(Bases!$O$2:$O$53,B873),INDEX(Bases!$O$2:$O$53,C873))+Settings!$B$5*MIN(INDEX(Bases!$O$2:$O$53,B873),INDEX(Bases!$O$2:$O$53,C873))</f>
        <v>65</v>
      </c>
      <c r="V873" s="2" t="n">
        <f aca="false">Settings!$B$4*MAX(INDEX(Bases!$P$2:$P$53,B873),INDEX(Bases!$P$2:$P$53,C873))+Settings!$B$5*MIN(INDEX(Bases!$P$2:$P$53,B873),INDEX(Bases!$P$2:$P$53,C873))</f>
        <v>63.3333333333333</v>
      </c>
      <c r="W873" s="2" t="n">
        <f aca="false">Settings!$B$4*MAX(INDEX(Bases!$Q$2:$Q$53,B873),INDEX(Bases!$Q$2:$Q$53,C873))+Settings!$B$5*MIN(INDEX(Bases!$Q$2:$Q$53,B873),INDEX(Bases!$Q$2:$Q$53,C873))</f>
        <v>72</v>
      </c>
      <c r="X873" s="2" t="n">
        <f aca="false">Settings!$B$4*MAX(INDEX(Bases!$R$2:$R$53,B873),INDEX(Bases!$R$2:$R$53,C873))+Settings!$B$5*MIN(INDEX(Bases!$R$2:$R$53,B873),INDEX(Bases!$R$2:$R$53,C873))</f>
        <v>72.6666666666667</v>
      </c>
      <c r="Y873" s="2" t="n">
        <f aca="false">S873*Settings!$B$3/SUM(S873:X873)</f>
        <v>74.0890688259109</v>
      </c>
      <c r="Z873" s="2" t="n">
        <f aca="false">T873*Settings!$B$3/SUM(S873:X873)</f>
        <v>94.331983805668</v>
      </c>
      <c r="AA873" s="2" t="n">
        <f aca="false">U873*Settings!$B$3/SUM(S873:X873)</f>
        <v>78.9473684210526</v>
      </c>
      <c r="AB873" s="2" t="n">
        <f aca="false">V873*Settings!$B$3/SUM(S873:X873)</f>
        <v>76.9230769230769</v>
      </c>
      <c r="AC873" s="2" t="n">
        <f aca="false">W873*Settings!$B$3/SUM(S873:X873)</f>
        <v>87.4493927125506</v>
      </c>
      <c r="AD873" s="2" t="n">
        <f aca="false">X873*Settings!$B$3/SUM(S873:X873)</f>
        <v>88.2591093117409</v>
      </c>
      <c r="AE873" s="2" t="n">
        <f aca="false">INT(Y873)</f>
        <v>74</v>
      </c>
      <c r="AF873" s="2" t="n">
        <f aca="false">INT(Z873)</f>
        <v>94</v>
      </c>
      <c r="AG873" s="2" t="n">
        <f aca="false">INT(AA873)</f>
        <v>78</v>
      </c>
      <c r="AH873" s="2" t="n">
        <f aca="false">INT(AB873)</f>
        <v>76</v>
      </c>
      <c r="AI873" s="2" t="n">
        <f aca="false">INT(AC873)</f>
        <v>87</v>
      </c>
      <c r="AJ873" s="2" t="n">
        <f aca="false">INT(AD873)</f>
        <v>88</v>
      </c>
      <c r="AK873" s="2" t="n">
        <f aca="false">Settings!$B$3-SUM(AE873:AJ873)</f>
        <v>3</v>
      </c>
      <c r="AL873" s="2" t="n">
        <f aca="false">ROUND(Y873-AE873,9)</f>
        <v>0.089068826</v>
      </c>
      <c r="AM873" s="2" t="n">
        <f aca="false">ROUND(Z873-AF873,9)</f>
        <v>0.331983806</v>
      </c>
      <c r="AN873" s="2" t="n">
        <f aca="false">ROUND(AA873-AG873,9)</f>
        <v>0.947368421</v>
      </c>
      <c r="AO873" s="2" t="n">
        <f aca="false">ROUND(AB873-AH873,9)</f>
        <v>0.923076923</v>
      </c>
      <c r="AP873" s="2" t="n">
        <f aca="false">ROUND(AC873-AI873,9)</f>
        <v>0.449392713</v>
      </c>
      <c r="AQ873" s="2" t="n">
        <f aca="false">ROUND(AD873-AJ873,9)</f>
        <v>0.259109312</v>
      </c>
    </row>
    <row r="874" customFormat="false" ht="15" hidden="false" customHeight="false" outlineLevel="0" collapsed="false">
      <c r="A874" s="2" t="n">
        <v>873</v>
      </c>
      <c r="B874" s="6" t="n">
        <v>22</v>
      </c>
      <c r="C874" s="6" t="n">
        <v>34</v>
      </c>
      <c r="D874" s="8" t="str">
        <f aca="false">INDEX(Bases!$B$2:$B$53,B874)</f>
        <v>Ekans</v>
      </c>
      <c r="E874" s="8" t="str">
        <f aca="false">INDEX(Bases!$B$2:$B$53,C874)</f>
        <v>Paras</v>
      </c>
      <c r="F874" s="2" t="str">
        <f aca="false">LEFT(D874,ROUNDUP(LEN(D874)/2,0))&amp;LOWER(MID(E874,ROUNDUP(LEN(E874)/2,0)+1,20))</f>
        <v>Ekaas</v>
      </c>
      <c r="G874" s="8" t="str">
        <f aca="false">INDEX(Bases!$C$2:$C$53,B874)</f>
        <v>Poison</v>
      </c>
      <c r="H874" s="8" t="str">
        <f aca="false">IF(INDEX(Bases!$C$2:$C$53,C874)=G874,"",INDEX(Bases!$C$2:$C$53,C874))</f>
        <v>Bug</v>
      </c>
      <c r="I874" s="8" t="str">
        <f aca="false">IF(INDEX(Bases!$E$2:$E$53,B874)="","",INDEX(Bases!$E$2:$E$53,B874))</f>
        <v/>
      </c>
      <c r="J874" s="8" t="str">
        <f aca="false">IF(INDEX(Bases!$E$2:$E$53,C874)="","",INDEX(Bases!$E$2:$E$53,C874))</f>
        <v/>
      </c>
      <c r="K874" s="5"/>
      <c r="L874" s="2" t="n">
        <f aca="false">AE874+IF(SUMPRODUCT(--($AL874:$AQ874&gt;AL874))&lt;$AK874,1,0)</f>
        <v>59</v>
      </c>
      <c r="M874" s="2" t="n">
        <f aca="false">AF874+IF(SUMPRODUCT(--($AL874:$AQ874&gt;AM874))+SUMPRODUCT(--($AL874:AL874=AM874))&lt;$AK874,1,0)</f>
        <v>113</v>
      </c>
      <c r="N874" s="2" t="n">
        <f aca="false">AG874+IF(SUMPRODUCT(--($AL874:$AQ874&gt;AN874))+SUMPRODUCT(--($AL874:AM874=AN874))&lt;$AK874,1,0)</f>
        <v>87</v>
      </c>
      <c r="O874" s="2" t="n">
        <f aca="false">AH874+IF(SUMPRODUCT(--($AL874:$AQ874&gt;AO874))+SUMPRODUCT(--($AL874:AN874=AO874))&lt;$AK874,1,0)</f>
        <v>73</v>
      </c>
      <c r="P874" s="2" t="n">
        <f aca="false">AI874+IF(SUMPRODUCT(--($AL874:$AQ874&gt;AP874))+SUMPRODUCT(--($AL874:AO874=AP874))&lt;$AK874,1,0)</f>
        <v>92</v>
      </c>
      <c r="Q874" s="2" t="n">
        <f aca="false">AJ874+IF(SUMPRODUCT(--($AL874:$AQ874&gt;AQ874))+SUMPRODUCT(--($AL874:AP874=AQ874))&lt;$AK874,1,0)</f>
        <v>76</v>
      </c>
      <c r="R874" s="2" t="n">
        <f aca="false">SUM(L874:Q874)</f>
        <v>500</v>
      </c>
      <c r="S874" s="2" t="n">
        <f aca="false">Settings!$B$4*MAX(INDEX(Bases!$M$2:$M$53,B874),INDEX(Bases!$M$2:$M$53,C874))+Settings!$B$5*MIN(INDEX(Bases!$M$2:$M$53,B874),INDEX(Bases!$M$2:$M$53,C874))</f>
        <v>49</v>
      </c>
      <c r="T874" s="2" t="n">
        <f aca="false">Settings!$B$4*MAX(INDEX(Bases!$N$2:$N$53,B874),INDEX(Bases!$N$2:$N$53,C874))+Settings!$B$5*MIN(INDEX(Bases!$N$2:$N$53,B874),INDEX(Bases!$N$2:$N$53,C874))</f>
        <v>93.6666666666667</v>
      </c>
      <c r="U874" s="2" t="n">
        <f aca="false">Settings!$B$4*MAX(INDEX(Bases!$O$2:$O$53,B874),INDEX(Bases!$O$2:$O$53,C874))+Settings!$B$5*MIN(INDEX(Bases!$O$2:$O$53,B874),INDEX(Bases!$O$2:$O$53,C874))</f>
        <v>71.6666666666667</v>
      </c>
      <c r="V874" s="2" t="n">
        <f aca="false">Settings!$B$4*MAX(INDEX(Bases!$P$2:$P$53,B874),INDEX(Bases!$P$2:$P$53,C874))+Settings!$B$5*MIN(INDEX(Bases!$P$2:$P$53,B874),INDEX(Bases!$P$2:$P$53,C874))</f>
        <v>60.6666666666667</v>
      </c>
      <c r="W874" s="2" t="n">
        <f aca="false">Settings!$B$4*MAX(INDEX(Bases!$Q$2:$Q$53,B874),INDEX(Bases!$Q$2:$Q$53,C874))+Settings!$B$5*MIN(INDEX(Bases!$Q$2:$Q$53,B874),INDEX(Bases!$Q$2:$Q$53,C874))</f>
        <v>76.3333333333333</v>
      </c>
      <c r="X874" s="2" t="n">
        <f aca="false">Settings!$B$4*MAX(INDEX(Bases!$R$2:$R$53,B874),INDEX(Bases!$R$2:$R$53,C874))+Settings!$B$5*MIN(INDEX(Bases!$R$2:$R$53,B874),INDEX(Bases!$R$2:$R$53,C874))</f>
        <v>62.3333333333333</v>
      </c>
      <c r="Y874" s="2" t="n">
        <f aca="false">S874*Settings!$B$3/SUM(S874:X874)</f>
        <v>59.2264302981467</v>
      </c>
      <c r="Z874" s="2" t="n">
        <f aca="false">T874*Settings!$B$3/SUM(S874:X874)</f>
        <v>113.215149073328</v>
      </c>
      <c r="AA874" s="2" t="n">
        <f aca="false">U874*Settings!$B$3/SUM(S874:X874)</f>
        <v>86.6236905721193</v>
      </c>
      <c r="AB874" s="2" t="n">
        <f aca="false">V874*Settings!$B$3/SUM(S874:X874)</f>
        <v>73.3279613215149</v>
      </c>
      <c r="AC874" s="2" t="n">
        <f aca="false">W874*Settings!$B$3/SUM(S874:X874)</f>
        <v>92.2643029814666</v>
      </c>
      <c r="AD874" s="2" t="n">
        <f aca="false">X874*Settings!$B$3/SUM(S874:X874)</f>
        <v>75.3424657534247</v>
      </c>
      <c r="AE874" s="2" t="n">
        <f aca="false">INT(Y874)</f>
        <v>59</v>
      </c>
      <c r="AF874" s="2" t="n">
        <f aca="false">INT(Z874)</f>
        <v>113</v>
      </c>
      <c r="AG874" s="2" t="n">
        <f aca="false">INT(AA874)</f>
        <v>86</v>
      </c>
      <c r="AH874" s="2" t="n">
        <f aca="false">INT(AB874)</f>
        <v>73</v>
      </c>
      <c r="AI874" s="2" t="n">
        <f aca="false">INT(AC874)</f>
        <v>92</v>
      </c>
      <c r="AJ874" s="2" t="n">
        <f aca="false">INT(AD874)</f>
        <v>75</v>
      </c>
      <c r="AK874" s="2" t="n">
        <f aca="false">Settings!$B$3-SUM(AE874:AJ874)</f>
        <v>2</v>
      </c>
      <c r="AL874" s="2" t="n">
        <f aca="false">ROUND(Y874-AE874,9)</f>
        <v>0.226430298</v>
      </c>
      <c r="AM874" s="2" t="n">
        <f aca="false">ROUND(Z874-AF874,9)</f>
        <v>0.215149073</v>
      </c>
      <c r="AN874" s="2" t="n">
        <f aca="false">ROUND(AA874-AG874,9)</f>
        <v>0.623690572</v>
      </c>
      <c r="AO874" s="2" t="n">
        <f aca="false">ROUND(AB874-AH874,9)</f>
        <v>0.327961322</v>
      </c>
      <c r="AP874" s="2" t="n">
        <f aca="false">ROUND(AC874-AI874,9)</f>
        <v>0.264302981</v>
      </c>
      <c r="AQ874" s="2" t="n">
        <f aca="false">ROUND(AD874-AJ874,9)</f>
        <v>0.342465753</v>
      </c>
    </row>
    <row r="875" customFormat="false" ht="15" hidden="false" customHeight="false" outlineLevel="0" collapsed="false">
      <c r="A875" s="2" t="n">
        <v>874</v>
      </c>
      <c r="B875" s="6" t="n">
        <v>22</v>
      </c>
      <c r="C875" s="6" t="n">
        <v>35</v>
      </c>
      <c r="D875" s="8" t="str">
        <f aca="false">INDEX(Bases!$B$2:$B$53,B875)</f>
        <v>Ekans</v>
      </c>
      <c r="E875" s="8" t="str">
        <f aca="false">INDEX(Bases!$B$2:$B$53,C875)</f>
        <v>Pineco</v>
      </c>
      <c r="F875" s="2" t="str">
        <f aca="false">LEFT(D875,ROUNDUP(LEN(D875)/2,0))&amp;LOWER(MID(E875,ROUNDUP(LEN(E875)/2,0)+1,20))</f>
        <v>Ekaeco</v>
      </c>
      <c r="G875" s="8" t="str">
        <f aca="false">INDEX(Bases!$C$2:$C$53,B875)</f>
        <v>Poison</v>
      </c>
      <c r="H875" s="8" t="str">
        <f aca="false">IF(INDEX(Bases!$C$2:$C$53,C875)=G875,"",INDEX(Bases!$C$2:$C$53,C875))</f>
        <v>Bug</v>
      </c>
      <c r="I875" s="8" t="str">
        <f aca="false">IF(INDEX(Bases!$E$2:$E$53,B875)="","",INDEX(Bases!$E$2:$E$53,B875))</f>
        <v/>
      </c>
      <c r="J875" s="8" t="str">
        <f aca="false">IF(INDEX(Bases!$E$2:$E$53,C875)="","",INDEX(Bases!$E$2:$E$53,C875))</f>
        <v/>
      </c>
      <c r="K875" s="5"/>
      <c r="L875" s="2" t="n">
        <f aca="false">AE875+IF(SUMPRODUCT(--($AL875:$AQ875&gt;AL875))&lt;$AK875,1,0)</f>
        <v>72</v>
      </c>
      <c r="M875" s="2" t="n">
        <f aca="false">AF875+IF(SUMPRODUCT(--($AL875:$AQ875&gt;AM875))+SUMPRODUCT(--($AL875:AL875=AM875))&lt;$AK875,1,0)</f>
        <v>102</v>
      </c>
      <c r="N875" s="2" t="n">
        <f aca="false">AG875+IF(SUMPRODUCT(--($AL875:$AQ875&gt;AN875))+SUMPRODUCT(--($AL875:AM875=AN875))&lt;$AK875,1,0)</f>
        <v>120</v>
      </c>
      <c r="O875" s="2" t="n">
        <f aca="false">AH875+IF(SUMPRODUCT(--($AL875:$AQ875&gt;AO875))+SUMPRODUCT(--($AL875:AN875=AO875))&lt;$AK875,1,0)</f>
        <v>62</v>
      </c>
      <c r="P875" s="2" t="n">
        <f aca="false">AI875+IF(SUMPRODUCT(--($AL875:$AQ875&gt;AP875))+SUMPRODUCT(--($AL875:AO875=AP875))&lt;$AK875,1,0)</f>
        <v>77</v>
      </c>
      <c r="Q875" s="2" t="n">
        <f aca="false">AJ875+IF(SUMPRODUCT(--($AL875:$AQ875&gt;AQ875))+SUMPRODUCT(--($AL875:AP875=AQ875))&lt;$AK875,1,0)</f>
        <v>67</v>
      </c>
      <c r="R875" s="2" t="n">
        <f aca="false">SUM(L875:Q875)</f>
        <v>500</v>
      </c>
      <c r="S875" s="2" t="n">
        <f aca="false">Settings!$B$4*MAX(INDEX(Bases!$M$2:$M$53,B875),INDEX(Bases!$M$2:$M$53,C875))+Settings!$B$5*MIN(INDEX(Bases!$M$2:$M$53,B875),INDEX(Bases!$M$2:$M$53,C875))</f>
        <v>62.3333333333333</v>
      </c>
      <c r="T875" s="2" t="n">
        <f aca="false">Settings!$B$4*MAX(INDEX(Bases!$N$2:$N$53,B875),INDEX(Bases!$N$2:$N$53,C875))+Settings!$B$5*MIN(INDEX(Bases!$N$2:$N$53,B875),INDEX(Bases!$N$2:$N$53,C875))</f>
        <v>87.6666666666667</v>
      </c>
      <c r="U875" s="2" t="n">
        <f aca="false">Settings!$B$4*MAX(INDEX(Bases!$O$2:$O$53,B875),INDEX(Bases!$O$2:$O$53,C875))+Settings!$B$5*MIN(INDEX(Bases!$O$2:$O$53,B875),INDEX(Bases!$O$2:$O$53,C875))</f>
        <v>103</v>
      </c>
      <c r="V875" s="2" t="n">
        <f aca="false">Settings!$B$4*MAX(INDEX(Bases!$P$2:$P$53,B875),INDEX(Bases!$P$2:$P$53,C875))+Settings!$B$5*MIN(INDEX(Bases!$P$2:$P$53,B875),INDEX(Bases!$P$2:$P$53,C875))</f>
        <v>53.3333333333333</v>
      </c>
      <c r="W875" s="2" t="n">
        <f aca="false">Settings!$B$4*MAX(INDEX(Bases!$Q$2:$Q$53,B875),INDEX(Bases!$Q$2:$Q$53,C875))+Settings!$B$5*MIN(INDEX(Bases!$Q$2:$Q$53,B875),INDEX(Bases!$Q$2:$Q$53,C875))</f>
        <v>66</v>
      </c>
      <c r="X875" s="2" t="n">
        <f aca="false">Settings!$B$4*MAX(INDEX(Bases!$R$2:$R$53,B875),INDEX(Bases!$R$2:$R$53,C875))+Settings!$B$5*MIN(INDEX(Bases!$R$2:$R$53,B875),INDEX(Bases!$R$2:$R$53,C875))</f>
        <v>57.6666666666667</v>
      </c>
      <c r="Y875" s="2" t="n">
        <f aca="false">S875*Settings!$B$3/SUM(S875:X875)</f>
        <v>72.4806201550388</v>
      </c>
      <c r="Z875" s="2" t="n">
        <f aca="false">T875*Settings!$B$3/SUM(S875:X875)</f>
        <v>101.937984496124</v>
      </c>
      <c r="AA875" s="2" t="n">
        <f aca="false">U875*Settings!$B$3/SUM(S875:X875)</f>
        <v>119.767441860465</v>
      </c>
      <c r="AB875" s="2" t="n">
        <f aca="false">V875*Settings!$B$3/SUM(S875:X875)</f>
        <v>62.015503875969</v>
      </c>
      <c r="AC875" s="2" t="n">
        <f aca="false">W875*Settings!$B$3/SUM(S875:X875)</f>
        <v>76.7441860465116</v>
      </c>
      <c r="AD875" s="2" t="n">
        <f aca="false">X875*Settings!$B$3/SUM(S875:X875)</f>
        <v>67.0542635658915</v>
      </c>
      <c r="AE875" s="2" t="n">
        <f aca="false">INT(Y875)</f>
        <v>72</v>
      </c>
      <c r="AF875" s="2" t="n">
        <f aca="false">INT(Z875)</f>
        <v>101</v>
      </c>
      <c r="AG875" s="2" t="n">
        <f aca="false">INT(AA875)</f>
        <v>119</v>
      </c>
      <c r="AH875" s="2" t="n">
        <f aca="false">INT(AB875)</f>
        <v>62</v>
      </c>
      <c r="AI875" s="2" t="n">
        <f aca="false">INT(AC875)</f>
        <v>76</v>
      </c>
      <c r="AJ875" s="2" t="n">
        <f aca="false">INT(AD875)</f>
        <v>67</v>
      </c>
      <c r="AK875" s="2" t="n">
        <f aca="false">Settings!$B$3-SUM(AE875:AJ875)</f>
        <v>3</v>
      </c>
      <c r="AL875" s="2" t="n">
        <f aca="false">ROUND(Y875-AE875,9)</f>
        <v>0.480620155</v>
      </c>
      <c r="AM875" s="2" t="n">
        <f aca="false">ROUND(Z875-AF875,9)</f>
        <v>0.937984496</v>
      </c>
      <c r="AN875" s="2" t="n">
        <f aca="false">ROUND(AA875-AG875,9)</f>
        <v>0.76744186</v>
      </c>
      <c r="AO875" s="2" t="n">
        <f aca="false">ROUND(AB875-AH875,9)</f>
        <v>0.015503876</v>
      </c>
      <c r="AP875" s="2" t="n">
        <f aca="false">ROUND(AC875-AI875,9)</f>
        <v>0.744186047</v>
      </c>
      <c r="AQ875" s="2" t="n">
        <f aca="false">ROUND(AD875-AJ875,9)</f>
        <v>0.054263566</v>
      </c>
    </row>
    <row r="876" customFormat="false" ht="15" hidden="false" customHeight="false" outlineLevel="0" collapsed="false">
      <c r="A876" s="2" t="n">
        <v>875</v>
      </c>
      <c r="B876" s="6" t="n">
        <v>22</v>
      </c>
      <c r="C876" s="6" t="n">
        <v>36</v>
      </c>
      <c r="D876" s="8" t="str">
        <f aca="false">INDEX(Bases!$B$2:$B$53,B876)</f>
        <v>Ekans</v>
      </c>
      <c r="E876" s="8" t="str">
        <f aca="false">INDEX(Bases!$B$2:$B$53,C876)</f>
        <v>Wurmple</v>
      </c>
      <c r="F876" s="2" t="str">
        <f aca="false">LEFT(D876,ROUNDUP(LEN(D876)/2,0))&amp;LOWER(MID(E876,ROUNDUP(LEN(E876)/2,0)+1,20))</f>
        <v>Ekaple</v>
      </c>
      <c r="G876" s="8" t="str">
        <f aca="false">INDEX(Bases!$C$2:$C$53,B876)</f>
        <v>Poison</v>
      </c>
      <c r="H876" s="8" t="str">
        <f aca="false">IF(INDEX(Bases!$C$2:$C$53,C876)=G876,"",INDEX(Bases!$C$2:$C$53,C876))</f>
        <v>Bug</v>
      </c>
      <c r="I876" s="8" t="str">
        <f aca="false">IF(INDEX(Bases!$E$2:$E$53,B876)="","",INDEX(Bases!$E$2:$E$53,B876))</f>
        <v/>
      </c>
      <c r="J876" s="8" t="str">
        <f aca="false">IF(INDEX(Bases!$E$2:$E$53,C876)="","",INDEX(Bases!$E$2:$E$53,C876))</f>
        <v/>
      </c>
      <c r="K876" s="5"/>
      <c r="L876" s="2" t="n">
        <f aca="false">AE876+IF(SUMPRODUCT(--($AL876:$AQ876&gt;AL876))&lt;$AK876,1,0)</f>
        <v>92</v>
      </c>
      <c r="M876" s="2" t="n">
        <f aca="false">AF876+IF(SUMPRODUCT(--($AL876:$AQ876&gt;AM876))+SUMPRODUCT(--($AL876:AL876=AM876))&lt;$AK876,1,0)</f>
        <v>106</v>
      </c>
      <c r="N876" s="2" t="n">
        <f aca="false">AG876+IF(SUMPRODUCT(--($AL876:$AQ876&gt;AN876))+SUMPRODUCT(--($AL876:AM876=AN876))&lt;$AK876,1,0)</f>
        <v>81</v>
      </c>
      <c r="O876" s="2" t="n">
        <f aca="false">AH876+IF(SUMPRODUCT(--($AL876:$AQ876&gt;AO876))+SUMPRODUCT(--($AL876:AN876=AO876))&lt;$AK876,1,0)</f>
        <v>61</v>
      </c>
      <c r="P876" s="2" t="n">
        <f aca="false">AI876+IF(SUMPRODUCT(--($AL876:$AQ876&gt;AP876))+SUMPRODUCT(--($AL876:AO876=AP876))&lt;$AK876,1,0)</f>
        <v>84</v>
      </c>
      <c r="Q876" s="2" t="n">
        <f aca="false">AJ876+IF(SUMPRODUCT(--($AL876:$AQ876&gt;AQ876))+SUMPRODUCT(--($AL876:AP876=AQ876))&lt;$AK876,1,0)</f>
        <v>76</v>
      </c>
      <c r="R876" s="2" t="n">
        <f aca="false">SUM(L876:Q876)</f>
        <v>500</v>
      </c>
      <c r="S876" s="2" t="n">
        <f aca="false">Settings!$B$4*MAX(INDEX(Bases!$M$2:$M$53,B876),INDEX(Bases!$M$2:$M$53,C876))+Settings!$B$5*MIN(INDEX(Bases!$M$2:$M$53,B876),INDEX(Bases!$M$2:$M$53,C876))</f>
        <v>77.6666666666667</v>
      </c>
      <c r="T876" s="2" t="n">
        <f aca="false">Settings!$B$4*MAX(INDEX(Bases!$N$2:$N$53,B876),INDEX(Bases!$N$2:$N$53,C876))+Settings!$B$5*MIN(INDEX(Bases!$N$2:$N$53,B876),INDEX(Bases!$N$2:$N$53,C876))</f>
        <v>89</v>
      </c>
      <c r="U876" s="2" t="n">
        <f aca="false">Settings!$B$4*MAX(INDEX(Bases!$O$2:$O$53,B876),INDEX(Bases!$O$2:$O$53,C876))+Settings!$B$5*MIN(INDEX(Bases!$O$2:$O$53,B876),INDEX(Bases!$O$2:$O$53,C876))</f>
        <v>68.3333333333333</v>
      </c>
      <c r="V876" s="2" t="n">
        <f aca="false">Settings!$B$4*MAX(INDEX(Bases!$P$2:$P$53,B876),INDEX(Bases!$P$2:$P$53,C876))+Settings!$B$5*MIN(INDEX(Bases!$P$2:$P$53,B876),INDEX(Bases!$P$2:$P$53,C876))</f>
        <v>51</v>
      </c>
      <c r="W876" s="2" t="n">
        <f aca="false">Settings!$B$4*MAX(INDEX(Bases!$Q$2:$Q$53,B876),INDEX(Bases!$Q$2:$Q$53,C876))+Settings!$B$5*MIN(INDEX(Bases!$Q$2:$Q$53,B876),INDEX(Bases!$Q$2:$Q$53,C876))</f>
        <v>70.6666666666667</v>
      </c>
      <c r="X876" s="2" t="n">
        <f aca="false">Settings!$B$4*MAX(INDEX(Bases!$R$2:$R$53,B876),INDEX(Bases!$R$2:$R$53,C876))+Settings!$B$5*MIN(INDEX(Bases!$R$2:$R$53,B876),INDEX(Bases!$R$2:$R$53,C876))</f>
        <v>64.3333333333333</v>
      </c>
      <c r="Y876" s="2" t="n">
        <f aca="false">S876*Settings!$B$3/SUM(S876:X876)</f>
        <v>92.2406967537609</v>
      </c>
      <c r="Z876" s="2" t="n">
        <f aca="false">T876*Settings!$B$3/SUM(S876:X876)</f>
        <v>105.700712589074</v>
      </c>
      <c r="AA876" s="2" t="n">
        <f aca="false">U876*Settings!$B$3/SUM(S876:X876)</f>
        <v>81.1559778305622</v>
      </c>
      <c r="AB876" s="2" t="n">
        <f aca="false">V876*Settings!$B$3/SUM(S876:X876)</f>
        <v>60.5700712589074</v>
      </c>
      <c r="AC876" s="2" t="n">
        <f aca="false">W876*Settings!$B$3/SUM(S876:X876)</f>
        <v>83.9271575613618</v>
      </c>
      <c r="AD876" s="2" t="n">
        <f aca="false">X876*Settings!$B$3/SUM(S876:X876)</f>
        <v>76.4053840063341</v>
      </c>
      <c r="AE876" s="2" t="n">
        <f aca="false">INT(Y876)</f>
        <v>92</v>
      </c>
      <c r="AF876" s="2" t="n">
        <f aca="false">INT(Z876)</f>
        <v>105</v>
      </c>
      <c r="AG876" s="2" t="n">
        <f aca="false">INT(AA876)</f>
        <v>81</v>
      </c>
      <c r="AH876" s="2" t="n">
        <f aca="false">INT(AB876)</f>
        <v>60</v>
      </c>
      <c r="AI876" s="2" t="n">
        <f aca="false">INT(AC876)</f>
        <v>83</v>
      </c>
      <c r="AJ876" s="2" t="n">
        <f aca="false">INT(AD876)</f>
        <v>76</v>
      </c>
      <c r="AK876" s="2" t="n">
        <f aca="false">Settings!$B$3-SUM(AE876:AJ876)</f>
        <v>3</v>
      </c>
      <c r="AL876" s="2" t="n">
        <f aca="false">ROUND(Y876-AE876,9)</f>
        <v>0.240696754</v>
      </c>
      <c r="AM876" s="2" t="n">
        <f aca="false">ROUND(Z876-AF876,9)</f>
        <v>0.700712589</v>
      </c>
      <c r="AN876" s="2" t="n">
        <f aca="false">ROUND(AA876-AG876,9)</f>
        <v>0.155977831</v>
      </c>
      <c r="AO876" s="2" t="n">
        <f aca="false">ROUND(AB876-AH876,9)</f>
        <v>0.570071259</v>
      </c>
      <c r="AP876" s="2" t="n">
        <f aca="false">ROUND(AC876-AI876,9)</f>
        <v>0.927157561</v>
      </c>
      <c r="AQ876" s="2" t="n">
        <f aca="false">ROUND(AD876-AJ876,9)</f>
        <v>0.405384006</v>
      </c>
    </row>
    <row r="877" customFormat="false" ht="15" hidden="false" customHeight="false" outlineLevel="0" collapsed="false">
      <c r="A877" s="2" t="n">
        <v>876</v>
      </c>
      <c r="B877" s="6" t="n">
        <v>22</v>
      </c>
      <c r="C877" s="6" t="n">
        <v>37</v>
      </c>
      <c r="D877" s="8" t="str">
        <f aca="false">INDEX(Bases!$B$2:$B$53,B877)</f>
        <v>Ekans</v>
      </c>
      <c r="E877" s="8" t="str">
        <f aca="false">INDEX(Bases!$B$2:$B$53,C877)</f>
        <v>Shuckle</v>
      </c>
      <c r="F877" s="2" t="str">
        <f aca="false">LEFT(D877,ROUNDUP(LEN(D877)/2,0))&amp;LOWER(MID(E877,ROUNDUP(LEN(E877)/2,0)+1,20))</f>
        <v>Ekakle</v>
      </c>
      <c r="G877" s="8" t="str">
        <f aca="false">INDEX(Bases!$C$2:$C$53,B877)</f>
        <v>Poison</v>
      </c>
      <c r="H877" s="8" t="str">
        <f aca="false">IF(INDEX(Bases!$C$2:$C$53,C877)=G877,"",INDEX(Bases!$C$2:$C$53,C877))</f>
        <v>Rock</v>
      </c>
      <c r="I877" s="8" t="str">
        <f aca="false">IF(INDEX(Bases!$E$2:$E$53,B877)="","",INDEX(Bases!$E$2:$E$53,B877))</f>
        <v/>
      </c>
      <c r="J877" s="8" t="str">
        <f aca="false">IF(INDEX(Bases!$E$2:$E$53,C877)="","",INDEX(Bases!$E$2:$E$53,C877))</f>
        <v/>
      </c>
      <c r="K877" s="5"/>
      <c r="L877" s="2" t="n">
        <f aca="false">AE877+IF(SUMPRODUCT(--($AL877:$AQ877&gt;AL877))&lt;$AK877,1,0)</f>
        <v>40</v>
      </c>
      <c r="M877" s="2" t="n">
        <f aca="false">AF877+IF(SUMPRODUCT(--($AL877:$AQ877&gt;AM877))+SUMPRODUCT(--($AL877:AL877=AM877))&lt;$AK877,1,0)</f>
        <v>61</v>
      </c>
      <c r="N877" s="2" t="n">
        <f aca="false">AG877+IF(SUMPRODUCT(--($AL877:$AQ877&gt;AN877))+SUMPRODUCT(--($AL877:AM877=AN877))&lt;$AK877,1,0)</f>
        <v>149</v>
      </c>
      <c r="O877" s="2" t="n">
        <f aca="false">AH877+IF(SUMPRODUCT(--($AL877:$AQ877&gt;AO877))+SUMPRODUCT(--($AL877:AN877=AO877))&lt;$AK877,1,0)</f>
        <v>42</v>
      </c>
      <c r="P877" s="2" t="n">
        <f aca="false">AI877+IF(SUMPRODUCT(--($AL877:$AQ877&gt;AP877))+SUMPRODUCT(--($AL877:AO877=AP877))&lt;$AK877,1,0)</f>
        <v>154</v>
      </c>
      <c r="Q877" s="2" t="n">
        <f aca="false">AJ877+IF(SUMPRODUCT(--($AL877:$AQ877&gt;AQ877))+SUMPRODUCT(--($AL877:AP877=AQ877))&lt;$AK877,1,0)</f>
        <v>54</v>
      </c>
      <c r="R877" s="2" t="n">
        <f aca="false">SUM(L877:Q877)</f>
        <v>500</v>
      </c>
      <c r="S877" s="2" t="n">
        <f aca="false">Settings!$B$4*MAX(INDEX(Bases!$M$2:$M$53,B877),INDEX(Bases!$M$2:$M$53,C877))+Settings!$B$5*MIN(INDEX(Bases!$M$2:$M$53,B877),INDEX(Bases!$M$2:$M$53,C877))</f>
        <v>38</v>
      </c>
      <c r="T877" s="2" t="n">
        <f aca="false">Settings!$B$4*MAX(INDEX(Bases!$N$2:$N$53,B877),INDEX(Bases!$N$2:$N$53,C877))+Settings!$B$5*MIN(INDEX(Bases!$N$2:$N$53,B877),INDEX(Bases!$N$2:$N$53,C877))</f>
        <v>58</v>
      </c>
      <c r="U877" s="2" t="n">
        <f aca="false">Settings!$B$4*MAX(INDEX(Bases!$O$2:$O$53,B877),INDEX(Bases!$O$2:$O$53,C877))+Settings!$B$5*MIN(INDEX(Bases!$O$2:$O$53,B877),INDEX(Bases!$O$2:$O$53,C877))</f>
        <v>141.666666666667</v>
      </c>
      <c r="V877" s="2" t="n">
        <f aca="false">Settings!$B$4*MAX(INDEX(Bases!$P$2:$P$53,B877),INDEX(Bases!$P$2:$P$53,C877))+Settings!$B$5*MIN(INDEX(Bases!$P$2:$P$53,B877),INDEX(Bases!$P$2:$P$53,C877))</f>
        <v>40</v>
      </c>
      <c r="W877" s="2" t="n">
        <f aca="false">Settings!$B$4*MAX(INDEX(Bases!$Q$2:$Q$53,B877),INDEX(Bases!$Q$2:$Q$53,C877))+Settings!$B$5*MIN(INDEX(Bases!$Q$2:$Q$53,B877),INDEX(Bases!$Q$2:$Q$53,C877))</f>
        <v>146.333333333333</v>
      </c>
      <c r="X877" s="2" t="n">
        <f aca="false">Settings!$B$4*MAX(INDEX(Bases!$R$2:$R$53,B877),INDEX(Bases!$R$2:$R$53,C877))+Settings!$B$5*MIN(INDEX(Bases!$R$2:$R$53,B877),INDEX(Bases!$R$2:$R$53,C877))</f>
        <v>52</v>
      </c>
      <c r="Y877" s="2" t="n">
        <f aca="false">S877*Settings!$B$3/SUM(S877:X877)</f>
        <v>39.9159663865546</v>
      </c>
      <c r="Z877" s="2" t="n">
        <f aca="false">T877*Settings!$B$3/SUM(S877:X877)</f>
        <v>60.9243697478992</v>
      </c>
      <c r="AA877" s="2" t="n">
        <f aca="false">U877*Settings!$B$3/SUM(S877:X877)</f>
        <v>148.809523809524</v>
      </c>
      <c r="AB877" s="2" t="n">
        <f aca="false">V877*Settings!$B$3/SUM(S877:X877)</f>
        <v>42.0168067226891</v>
      </c>
      <c r="AC877" s="2" t="n">
        <f aca="false">W877*Settings!$B$3/SUM(S877:X877)</f>
        <v>153.711484593838</v>
      </c>
      <c r="AD877" s="2" t="n">
        <f aca="false">X877*Settings!$B$3/SUM(S877:X877)</f>
        <v>54.6218487394958</v>
      </c>
      <c r="AE877" s="2" t="n">
        <f aca="false">INT(Y877)</f>
        <v>39</v>
      </c>
      <c r="AF877" s="2" t="n">
        <f aca="false">INT(Z877)</f>
        <v>60</v>
      </c>
      <c r="AG877" s="2" t="n">
        <f aca="false">INT(AA877)</f>
        <v>148</v>
      </c>
      <c r="AH877" s="2" t="n">
        <f aca="false">INT(AB877)</f>
        <v>42</v>
      </c>
      <c r="AI877" s="2" t="n">
        <f aca="false">INT(AC877)</f>
        <v>153</v>
      </c>
      <c r="AJ877" s="2" t="n">
        <f aca="false">INT(AD877)</f>
        <v>54</v>
      </c>
      <c r="AK877" s="2" t="n">
        <f aca="false">Settings!$B$3-SUM(AE877:AJ877)</f>
        <v>4</v>
      </c>
      <c r="AL877" s="2" t="n">
        <f aca="false">ROUND(Y877-AE877,9)</f>
        <v>0.915966387</v>
      </c>
      <c r="AM877" s="2" t="n">
        <f aca="false">ROUND(Z877-AF877,9)</f>
        <v>0.924369748</v>
      </c>
      <c r="AN877" s="2" t="n">
        <f aca="false">ROUND(AA877-AG877,9)</f>
        <v>0.80952381</v>
      </c>
      <c r="AO877" s="2" t="n">
        <f aca="false">ROUND(AB877-AH877,9)</f>
        <v>0.016806723</v>
      </c>
      <c r="AP877" s="2" t="n">
        <f aca="false">ROUND(AC877-AI877,9)</f>
        <v>0.711484594</v>
      </c>
      <c r="AQ877" s="2" t="n">
        <f aca="false">ROUND(AD877-AJ877,9)</f>
        <v>0.621848739</v>
      </c>
    </row>
    <row r="878" customFormat="false" ht="15" hidden="false" customHeight="false" outlineLevel="0" collapsed="false">
      <c r="A878" s="2" t="n">
        <v>877</v>
      </c>
      <c r="B878" s="6" t="n">
        <v>22</v>
      </c>
      <c r="C878" s="6" t="n">
        <v>38</v>
      </c>
      <c r="D878" s="8" t="str">
        <f aca="false">INDEX(Bases!$B$2:$B$53,B878)</f>
        <v>Ekans</v>
      </c>
      <c r="E878" s="8" t="str">
        <f aca="false">INDEX(Bases!$B$2:$B$53,C878)</f>
        <v>Larvitar</v>
      </c>
      <c r="F878" s="2" t="str">
        <f aca="false">LEFT(D878,ROUNDUP(LEN(D878)/2,0))&amp;LOWER(MID(E878,ROUNDUP(LEN(E878)/2,0)+1,20))</f>
        <v>Ekaitar</v>
      </c>
      <c r="G878" s="8" t="str">
        <f aca="false">INDEX(Bases!$C$2:$C$53,B878)</f>
        <v>Poison</v>
      </c>
      <c r="H878" s="8" t="str">
        <f aca="false">IF(INDEX(Bases!$C$2:$C$53,C878)=G878,"",INDEX(Bases!$C$2:$C$53,C878))</f>
        <v>Rock</v>
      </c>
      <c r="I878" s="8" t="str">
        <f aca="false">IF(INDEX(Bases!$E$2:$E$53,B878)="","",INDEX(Bases!$E$2:$E$53,B878))</f>
        <v/>
      </c>
      <c r="J878" s="8" t="str">
        <f aca="false">IF(INDEX(Bases!$E$2:$E$53,C878)="","",INDEX(Bases!$E$2:$E$53,C878))</f>
        <v/>
      </c>
      <c r="K878" s="5"/>
      <c r="L878" s="2" t="n">
        <f aca="false">AE878+IF(SUMPRODUCT(--($AL878:$AQ878&gt;AL878))&lt;$AK878,1,0)</f>
        <v>74</v>
      </c>
      <c r="M878" s="2" t="n">
        <f aca="false">AF878+IF(SUMPRODUCT(--($AL878:$AQ878&gt;AM878))+SUMPRODUCT(--($AL878:AL878=AM878))&lt;$AK878,1,0)</f>
        <v>103</v>
      </c>
      <c r="N878" s="2" t="n">
        <f aca="false">AG878+IF(SUMPRODUCT(--($AL878:$AQ878&gt;AN878))+SUMPRODUCT(--($AL878:AM878=AN878))&lt;$AK878,1,0)</f>
        <v>79</v>
      </c>
      <c r="O878" s="2" t="n">
        <f aca="false">AH878+IF(SUMPRODUCT(--($AL878:$AQ878&gt;AO878))+SUMPRODUCT(--($AL878:AN878=AO878))&lt;$AK878,1,0)</f>
        <v>72</v>
      </c>
      <c r="P878" s="2" t="n">
        <f aca="false">AI878+IF(SUMPRODUCT(--($AL878:$AQ878&gt;AP878))+SUMPRODUCT(--($AL878:AO878=AP878))&lt;$AK878,1,0)</f>
        <v>88</v>
      </c>
      <c r="Q878" s="2" t="n">
        <f aca="false">AJ878+IF(SUMPRODUCT(--($AL878:$AQ878&gt;AQ878))+SUMPRODUCT(--($AL878:AP878=AQ878))&lt;$AK878,1,0)</f>
        <v>84</v>
      </c>
      <c r="R878" s="2" t="n">
        <f aca="false">SUM(L878:Q878)</f>
        <v>500</v>
      </c>
      <c r="S878" s="2" t="n">
        <f aca="false">Settings!$B$4*MAX(INDEX(Bases!$M$2:$M$53,B878),INDEX(Bases!$M$2:$M$53,C878))+Settings!$B$5*MIN(INDEX(Bases!$M$2:$M$53,B878),INDEX(Bases!$M$2:$M$53,C878))</f>
        <v>61</v>
      </c>
      <c r="T878" s="2" t="n">
        <f aca="false">Settings!$B$4*MAX(INDEX(Bases!$N$2:$N$53,B878),INDEX(Bases!$N$2:$N$53,C878))+Settings!$B$5*MIN(INDEX(Bases!$N$2:$N$53,B878),INDEX(Bases!$N$2:$N$53,C878))</f>
        <v>84.3333333333333</v>
      </c>
      <c r="U878" s="2" t="n">
        <f aca="false">Settings!$B$4*MAX(INDEX(Bases!$O$2:$O$53,B878),INDEX(Bases!$O$2:$O$53,C878))+Settings!$B$5*MIN(INDEX(Bases!$O$2:$O$53,B878),INDEX(Bases!$O$2:$O$53,C878))</f>
        <v>65</v>
      </c>
      <c r="V878" s="2" t="n">
        <f aca="false">Settings!$B$4*MAX(INDEX(Bases!$P$2:$P$53,B878),INDEX(Bases!$P$2:$P$53,C878))+Settings!$B$5*MIN(INDEX(Bases!$P$2:$P$53,B878),INDEX(Bases!$P$2:$P$53,C878))</f>
        <v>58.6666666666667</v>
      </c>
      <c r="W878" s="2" t="n">
        <f aca="false">Settings!$B$4*MAX(INDEX(Bases!$Q$2:$Q$53,B878),INDEX(Bases!$Q$2:$Q$53,C878))+Settings!$B$5*MIN(INDEX(Bases!$Q$2:$Q$53,B878),INDEX(Bases!$Q$2:$Q$53,C878))</f>
        <v>72.3333333333333</v>
      </c>
      <c r="X878" s="2" t="n">
        <f aca="false">Settings!$B$4*MAX(INDEX(Bases!$R$2:$R$53,B878),INDEX(Bases!$R$2:$R$53,C878))+Settings!$B$5*MIN(INDEX(Bases!$R$2:$R$53,B878),INDEX(Bases!$R$2:$R$53,C878))</f>
        <v>68.6666666666667</v>
      </c>
      <c r="Y878" s="2" t="n">
        <f aca="false">S878*Settings!$B$3/SUM(S878:X878)</f>
        <v>74.390243902439</v>
      </c>
      <c r="Z878" s="2" t="n">
        <f aca="false">T878*Settings!$B$3/SUM(S878:X878)</f>
        <v>102.845528455285</v>
      </c>
      <c r="AA878" s="2" t="n">
        <f aca="false">U878*Settings!$B$3/SUM(S878:X878)</f>
        <v>79.2682926829268</v>
      </c>
      <c r="AB878" s="2" t="n">
        <f aca="false">V878*Settings!$B$3/SUM(S878:X878)</f>
        <v>71.5447154471545</v>
      </c>
      <c r="AC878" s="2" t="n">
        <f aca="false">W878*Settings!$B$3/SUM(S878:X878)</f>
        <v>88.2113821138211</v>
      </c>
      <c r="AD878" s="2" t="n">
        <f aca="false">X878*Settings!$B$3/SUM(S878:X878)</f>
        <v>83.739837398374</v>
      </c>
      <c r="AE878" s="2" t="n">
        <f aca="false">INT(Y878)</f>
        <v>74</v>
      </c>
      <c r="AF878" s="2" t="n">
        <f aca="false">INT(Z878)</f>
        <v>102</v>
      </c>
      <c r="AG878" s="2" t="n">
        <f aca="false">INT(AA878)</f>
        <v>79</v>
      </c>
      <c r="AH878" s="2" t="n">
        <f aca="false">INT(AB878)</f>
        <v>71</v>
      </c>
      <c r="AI878" s="2" t="n">
        <f aca="false">INT(AC878)</f>
        <v>88</v>
      </c>
      <c r="AJ878" s="2" t="n">
        <f aca="false">INT(AD878)</f>
        <v>83</v>
      </c>
      <c r="AK878" s="2" t="n">
        <f aca="false">Settings!$B$3-SUM(AE878:AJ878)</f>
        <v>3</v>
      </c>
      <c r="AL878" s="2" t="n">
        <f aca="false">ROUND(Y878-AE878,9)</f>
        <v>0.390243902</v>
      </c>
      <c r="AM878" s="2" t="n">
        <f aca="false">ROUND(Z878-AF878,9)</f>
        <v>0.845528455</v>
      </c>
      <c r="AN878" s="2" t="n">
        <f aca="false">ROUND(AA878-AG878,9)</f>
        <v>0.268292683</v>
      </c>
      <c r="AO878" s="2" t="n">
        <f aca="false">ROUND(AB878-AH878,9)</f>
        <v>0.544715447</v>
      </c>
      <c r="AP878" s="2" t="n">
        <f aca="false">ROUND(AC878-AI878,9)</f>
        <v>0.211382114</v>
      </c>
      <c r="AQ878" s="2" t="n">
        <f aca="false">ROUND(AD878-AJ878,9)</f>
        <v>0.739837398</v>
      </c>
    </row>
    <row r="879" customFormat="false" ht="15" hidden="false" customHeight="false" outlineLevel="0" collapsed="false">
      <c r="A879" s="2" t="n">
        <v>878</v>
      </c>
      <c r="B879" s="6" t="n">
        <v>22</v>
      </c>
      <c r="C879" s="6" t="n">
        <v>39</v>
      </c>
      <c r="D879" s="8" t="str">
        <f aca="false">INDEX(Bases!$B$2:$B$53,B879)</f>
        <v>Ekans</v>
      </c>
      <c r="E879" s="8" t="str">
        <f aca="false">INDEX(Bases!$B$2:$B$53,C879)</f>
        <v>Nosepass</v>
      </c>
      <c r="F879" s="2" t="str">
        <f aca="false">LEFT(D879,ROUNDUP(LEN(D879)/2,0))&amp;LOWER(MID(E879,ROUNDUP(LEN(E879)/2,0)+1,20))</f>
        <v>Ekapass</v>
      </c>
      <c r="G879" s="8" t="str">
        <f aca="false">INDEX(Bases!$C$2:$C$53,B879)</f>
        <v>Poison</v>
      </c>
      <c r="H879" s="8" t="str">
        <f aca="false">IF(INDEX(Bases!$C$2:$C$53,C879)=G879,"",INDEX(Bases!$C$2:$C$53,C879))</f>
        <v>Rock</v>
      </c>
      <c r="I879" s="8" t="str">
        <f aca="false">IF(INDEX(Bases!$E$2:$E$53,B879)="","",INDEX(Bases!$E$2:$E$53,B879))</f>
        <v/>
      </c>
      <c r="J879" s="8" t="str">
        <f aca="false">IF(INDEX(Bases!$E$2:$E$53,C879)="","",INDEX(Bases!$E$2:$E$53,C879))</f>
        <v/>
      </c>
      <c r="K879" s="5"/>
      <c r="L879" s="2" t="n">
        <f aca="false">AE879+IF(SUMPRODUCT(--($AL879:$AQ879&gt;AL879))&lt;$AK879,1,0)</f>
        <v>50</v>
      </c>
      <c r="M879" s="2" t="n">
        <f aca="false">AF879+IF(SUMPRODUCT(--($AL879:$AQ879&gt;AM879))+SUMPRODUCT(--($AL879:AL879=AM879))&lt;$AK879,1,0)</f>
        <v>82</v>
      </c>
      <c r="N879" s="2" t="n">
        <f aca="false">AG879+IF(SUMPRODUCT(--($AL879:$AQ879&gt;AN879))+SUMPRODUCT(--($AL879:AM879=AN879))&lt;$AK879,1,0)</f>
        <v>134</v>
      </c>
      <c r="O879" s="2" t="n">
        <f aca="false">AH879+IF(SUMPRODUCT(--($AL879:$AQ879&gt;AO879))+SUMPRODUCT(--($AL879:AN879=AO879))&lt;$AK879,1,0)</f>
        <v>61</v>
      </c>
      <c r="P879" s="2" t="n">
        <f aca="false">AI879+IF(SUMPRODUCT(--($AL879:$AQ879&gt;AP879))+SUMPRODUCT(--($AL879:AO879=AP879))&lt;$AK879,1,0)</f>
        <v>102</v>
      </c>
      <c r="Q879" s="2" t="n">
        <f aca="false">AJ879+IF(SUMPRODUCT(--($AL879:$AQ879&gt;AQ879))+SUMPRODUCT(--($AL879:AP879=AQ879))&lt;$AK879,1,0)</f>
        <v>71</v>
      </c>
      <c r="R879" s="2" t="n">
        <f aca="false">SUM(L879:Q879)</f>
        <v>500</v>
      </c>
      <c r="S879" s="2" t="n">
        <f aca="false">Settings!$B$4*MAX(INDEX(Bases!$M$2:$M$53,B879),INDEX(Bases!$M$2:$M$53,C879))+Settings!$B$5*MIN(INDEX(Bases!$M$2:$M$53,B879),INDEX(Bases!$M$2:$M$53,C879))</f>
        <v>43.3333333333333</v>
      </c>
      <c r="T879" s="2" t="n">
        <f aca="false">Settings!$B$4*MAX(INDEX(Bases!$N$2:$N$53,B879),INDEX(Bases!$N$2:$N$53,C879))+Settings!$B$5*MIN(INDEX(Bases!$N$2:$N$53,B879),INDEX(Bases!$N$2:$N$53,C879))</f>
        <v>71.3333333333333</v>
      </c>
      <c r="U879" s="2" t="n">
        <f aca="false">Settings!$B$4*MAX(INDEX(Bases!$O$2:$O$53,B879),INDEX(Bases!$O$2:$O$53,C879))+Settings!$B$5*MIN(INDEX(Bases!$O$2:$O$53,B879),INDEX(Bases!$O$2:$O$53,C879))</f>
        <v>116.333333333333</v>
      </c>
      <c r="V879" s="2" t="n">
        <f aca="false">Settings!$B$4*MAX(INDEX(Bases!$P$2:$P$53,B879),INDEX(Bases!$P$2:$P$53,C879))+Settings!$B$5*MIN(INDEX(Bases!$P$2:$P$53,B879),INDEX(Bases!$P$2:$P$53,C879))</f>
        <v>53.3333333333333</v>
      </c>
      <c r="W879" s="2" t="n">
        <f aca="false">Settings!$B$4*MAX(INDEX(Bases!$Q$2:$Q$53,B879),INDEX(Bases!$Q$2:$Q$53,C879))+Settings!$B$5*MIN(INDEX(Bases!$Q$2:$Q$53,B879),INDEX(Bases!$Q$2:$Q$53,C879))</f>
        <v>89</v>
      </c>
      <c r="X879" s="2" t="n">
        <f aca="false">Settings!$B$4*MAX(INDEX(Bases!$R$2:$R$53,B879),INDEX(Bases!$R$2:$R$53,C879))+Settings!$B$5*MIN(INDEX(Bases!$R$2:$R$53,B879),INDEX(Bases!$R$2:$R$53,C879))</f>
        <v>61.3333333333333</v>
      </c>
      <c r="Y879" s="2" t="n">
        <f aca="false">S879*Settings!$B$3/SUM(S879:X879)</f>
        <v>49.8466257668712</v>
      </c>
      <c r="Z879" s="2" t="n">
        <f aca="false">T879*Settings!$B$3/SUM(S879:X879)</f>
        <v>82.0552147239264</v>
      </c>
      <c r="AA879" s="2" t="n">
        <f aca="false">U879*Settings!$B$3/SUM(S879:X879)</f>
        <v>133.819018404908</v>
      </c>
      <c r="AB879" s="2" t="n">
        <f aca="false">V879*Settings!$B$3/SUM(S879:X879)</f>
        <v>61.3496932515337</v>
      </c>
      <c r="AC879" s="2" t="n">
        <f aca="false">W879*Settings!$B$3/SUM(S879:X879)</f>
        <v>102.377300613497</v>
      </c>
      <c r="AD879" s="2" t="n">
        <f aca="false">X879*Settings!$B$3/SUM(S879:X879)</f>
        <v>70.5521472392638</v>
      </c>
      <c r="AE879" s="2" t="n">
        <f aca="false">INT(Y879)</f>
        <v>49</v>
      </c>
      <c r="AF879" s="2" t="n">
        <f aca="false">INT(Z879)</f>
        <v>82</v>
      </c>
      <c r="AG879" s="2" t="n">
        <f aca="false">INT(AA879)</f>
        <v>133</v>
      </c>
      <c r="AH879" s="2" t="n">
        <f aca="false">INT(AB879)</f>
        <v>61</v>
      </c>
      <c r="AI879" s="2" t="n">
        <f aca="false">INT(AC879)</f>
        <v>102</v>
      </c>
      <c r="AJ879" s="2" t="n">
        <f aca="false">INT(AD879)</f>
        <v>70</v>
      </c>
      <c r="AK879" s="2" t="n">
        <f aca="false">Settings!$B$3-SUM(AE879:AJ879)</f>
        <v>3</v>
      </c>
      <c r="AL879" s="2" t="n">
        <f aca="false">ROUND(Y879-AE879,9)</f>
        <v>0.846625767</v>
      </c>
      <c r="AM879" s="2" t="n">
        <f aca="false">ROUND(Z879-AF879,9)</f>
        <v>0.055214724</v>
      </c>
      <c r="AN879" s="2" t="n">
        <f aca="false">ROUND(AA879-AG879,9)</f>
        <v>0.819018405</v>
      </c>
      <c r="AO879" s="2" t="n">
        <f aca="false">ROUND(AB879-AH879,9)</f>
        <v>0.349693252</v>
      </c>
      <c r="AP879" s="2" t="n">
        <f aca="false">ROUND(AC879-AI879,9)</f>
        <v>0.377300613</v>
      </c>
      <c r="AQ879" s="2" t="n">
        <f aca="false">ROUND(AD879-AJ879,9)</f>
        <v>0.552147239</v>
      </c>
    </row>
    <row r="880" customFormat="false" ht="15" hidden="false" customHeight="false" outlineLevel="0" collapsed="false">
      <c r="A880" s="2" t="n">
        <v>879</v>
      </c>
      <c r="B880" s="6" t="n">
        <v>22</v>
      </c>
      <c r="C880" s="6" t="n">
        <v>40</v>
      </c>
      <c r="D880" s="8" t="str">
        <f aca="false">INDEX(Bases!$B$2:$B$53,B880)</f>
        <v>Ekans</v>
      </c>
      <c r="E880" s="8" t="str">
        <f aca="false">INDEX(Bases!$B$2:$B$53,C880)</f>
        <v>Gastly</v>
      </c>
      <c r="F880" s="2" t="str">
        <f aca="false">LEFT(D880,ROUNDUP(LEN(D880)/2,0))&amp;LOWER(MID(E880,ROUNDUP(LEN(E880)/2,0)+1,20))</f>
        <v>Ekatly</v>
      </c>
      <c r="G880" s="8" t="str">
        <f aca="false">INDEX(Bases!$C$2:$C$53,B880)</f>
        <v>Poison</v>
      </c>
      <c r="H880" s="8" t="str">
        <f aca="false">IF(INDEX(Bases!$C$2:$C$53,C880)=G880,"",INDEX(Bases!$C$2:$C$53,C880))</f>
        <v>Ghost</v>
      </c>
      <c r="I880" s="8" t="str">
        <f aca="false">IF(INDEX(Bases!$E$2:$E$53,B880)="","",INDEX(Bases!$E$2:$E$53,B880))</f>
        <v/>
      </c>
      <c r="J880" s="8" t="str">
        <f aca="false">IF(INDEX(Bases!$E$2:$E$53,C880)="","",INDEX(Bases!$E$2:$E$53,C880))</f>
        <v/>
      </c>
      <c r="K880" s="5"/>
      <c r="L880" s="2" t="n">
        <f aca="false">AE880+IF(SUMPRODUCT(--($AL880:$AQ880&gt;AL880))&lt;$AK880,1,0)</f>
        <v>53</v>
      </c>
      <c r="M880" s="2" t="n">
        <f aca="false">AF880+IF(SUMPRODUCT(--($AL880:$AQ880&gt;AM880))+SUMPRODUCT(--($AL880:AL880=AM880))&lt;$AK880,1,0)</f>
        <v>81</v>
      </c>
      <c r="N880" s="2" t="n">
        <f aca="false">AG880+IF(SUMPRODUCT(--($AL880:$AQ880&gt;AN880))+SUMPRODUCT(--($AL880:AM880=AN880))&lt;$AK880,1,0)</f>
        <v>62</v>
      </c>
      <c r="O880" s="2" t="n">
        <f aca="false">AH880+IF(SUMPRODUCT(--($AL880:$AQ880&gt;AO880))+SUMPRODUCT(--($AL880:AN880=AO880))&lt;$AK880,1,0)</f>
        <v>121</v>
      </c>
      <c r="P880" s="2" t="n">
        <f aca="false">AI880+IF(SUMPRODUCT(--($AL880:$AQ880&gt;AP880))+SUMPRODUCT(--($AL880:AO880=AP880))&lt;$AK880,1,0)</f>
        <v>75</v>
      </c>
      <c r="Q880" s="2" t="n">
        <f aca="false">AJ880+IF(SUMPRODUCT(--($AL880:$AQ880&gt;AQ880))+SUMPRODUCT(--($AL880:AP880=AQ880))&lt;$AK880,1,0)</f>
        <v>108</v>
      </c>
      <c r="R880" s="2" t="n">
        <f aca="false">SUM(L880:Q880)</f>
        <v>500</v>
      </c>
      <c r="S880" s="2" t="n">
        <f aca="false">Settings!$B$4*MAX(INDEX(Bases!$M$2:$M$53,B880),INDEX(Bases!$M$2:$M$53,C880))+Settings!$B$5*MIN(INDEX(Bases!$M$2:$M$53,B880),INDEX(Bases!$M$2:$M$53,C880))</f>
        <v>45.6666666666667</v>
      </c>
      <c r="T880" s="2" t="n">
        <f aca="false">Settings!$B$4*MAX(INDEX(Bases!$N$2:$N$53,B880),INDEX(Bases!$N$2:$N$53,C880))+Settings!$B$5*MIN(INDEX(Bases!$N$2:$N$53,B880),INDEX(Bases!$N$2:$N$53,C880))</f>
        <v>70.3333333333333</v>
      </c>
      <c r="U880" s="2" t="n">
        <f aca="false">Settings!$B$4*MAX(INDEX(Bases!$O$2:$O$53,B880),INDEX(Bases!$O$2:$O$53,C880))+Settings!$B$5*MIN(INDEX(Bases!$O$2:$O$53,B880),INDEX(Bases!$O$2:$O$53,C880))</f>
        <v>53.6666666666667</v>
      </c>
      <c r="V880" s="2" t="n">
        <f aca="false">Settings!$B$4*MAX(INDEX(Bases!$P$2:$P$53,B880),INDEX(Bases!$P$2:$P$53,C880))+Settings!$B$5*MIN(INDEX(Bases!$P$2:$P$53,B880),INDEX(Bases!$P$2:$P$53,C880))</f>
        <v>104.666666666667</v>
      </c>
      <c r="W880" s="2" t="n">
        <f aca="false">Settings!$B$4*MAX(INDEX(Bases!$Q$2:$Q$53,B880),INDEX(Bases!$Q$2:$Q$53,C880))+Settings!$B$5*MIN(INDEX(Bases!$Q$2:$Q$53,B880),INDEX(Bases!$Q$2:$Q$53,C880))</f>
        <v>65</v>
      </c>
      <c r="X880" s="2" t="n">
        <f aca="false">Settings!$B$4*MAX(INDEX(Bases!$R$2:$R$53,B880),INDEX(Bases!$R$2:$R$53,C880))+Settings!$B$5*MIN(INDEX(Bases!$R$2:$R$53,B880),INDEX(Bases!$R$2:$R$53,C880))</f>
        <v>94</v>
      </c>
      <c r="Y880" s="2" t="n">
        <f aca="false">S880*Settings!$B$3/SUM(S880:X880)</f>
        <v>52.6923076923077</v>
      </c>
      <c r="Z880" s="2" t="n">
        <f aca="false">T880*Settings!$B$3/SUM(S880:X880)</f>
        <v>81.1538461538462</v>
      </c>
      <c r="AA880" s="2" t="n">
        <f aca="false">U880*Settings!$B$3/SUM(S880:X880)</f>
        <v>61.9230769230769</v>
      </c>
      <c r="AB880" s="2" t="n">
        <f aca="false">V880*Settings!$B$3/SUM(S880:X880)</f>
        <v>120.769230769231</v>
      </c>
      <c r="AC880" s="2" t="n">
        <f aca="false">W880*Settings!$B$3/SUM(S880:X880)</f>
        <v>75</v>
      </c>
      <c r="AD880" s="2" t="n">
        <f aca="false">X880*Settings!$B$3/SUM(S880:X880)</f>
        <v>108.461538461538</v>
      </c>
      <c r="AE880" s="2" t="n">
        <f aca="false">INT(Y880)</f>
        <v>52</v>
      </c>
      <c r="AF880" s="2" t="n">
        <f aca="false">INT(Z880)</f>
        <v>81</v>
      </c>
      <c r="AG880" s="2" t="n">
        <f aca="false">INT(AA880)</f>
        <v>61</v>
      </c>
      <c r="AH880" s="2" t="n">
        <f aca="false">INT(AB880)</f>
        <v>120</v>
      </c>
      <c r="AI880" s="2" t="n">
        <f aca="false">INT(AC880)</f>
        <v>75</v>
      </c>
      <c r="AJ880" s="2" t="n">
        <f aca="false">INT(AD880)</f>
        <v>108</v>
      </c>
      <c r="AK880" s="2" t="n">
        <f aca="false">Settings!$B$3-SUM(AE880:AJ880)</f>
        <v>3</v>
      </c>
      <c r="AL880" s="2" t="n">
        <f aca="false">ROUND(Y880-AE880,9)</f>
        <v>0.692307692</v>
      </c>
      <c r="AM880" s="2" t="n">
        <f aca="false">ROUND(Z880-AF880,9)</f>
        <v>0.153846154</v>
      </c>
      <c r="AN880" s="2" t="n">
        <f aca="false">ROUND(AA880-AG880,9)</f>
        <v>0.923076923</v>
      </c>
      <c r="AO880" s="2" t="n">
        <f aca="false">ROUND(AB880-AH880,9)</f>
        <v>0.769230769</v>
      </c>
      <c r="AP880" s="2" t="n">
        <f aca="false">ROUND(AC880-AI880,9)</f>
        <v>0</v>
      </c>
      <c r="AQ880" s="2" t="n">
        <f aca="false">ROUND(AD880-AJ880,9)</f>
        <v>0.461538462</v>
      </c>
    </row>
    <row r="881" customFormat="false" ht="15" hidden="false" customHeight="false" outlineLevel="0" collapsed="false">
      <c r="A881" s="2" t="n">
        <v>880</v>
      </c>
      <c r="B881" s="6" t="n">
        <v>22</v>
      </c>
      <c r="C881" s="6" t="n">
        <v>41</v>
      </c>
      <c r="D881" s="8" t="str">
        <f aca="false">INDEX(Bases!$B$2:$B$53,B881)</f>
        <v>Ekans</v>
      </c>
      <c r="E881" s="8" t="str">
        <f aca="false">INDEX(Bases!$B$2:$B$53,C881)</f>
        <v>Misdreavus</v>
      </c>
      <c r="F881" s="2" t="str">
        <f aca="false">LEFT(D881,ROUNDUP(LEN(D881)/2,0))&amp;LOWER(MID(E881,ROUNDUP(LEN(E881)/2,0)+1,20))</f>
        <v>Ekaeavus</v>
      </c>
      <c r="G881" s="8" t="str">
        <f aca="false">INDEX(Bases!$C$2:$C$53,B881)</f>
        <v>Poison</v>
      </c>
      <c r="H881" s="8" t="str">
        <f aca="false">IF(INDEX(Bases!$C$2:$C$53,C881)=G881,"",INDEX(Bases!$C$2:$C$53,C881))</f>
        <v>Ghost</v>
      </c>
      <c r="I881" s="8" t="str">
        <f aca="false">IF(INDEX(Bases!$E$2:$E$53,B881)="","",INDEX(Bases!$E$2:$E$53,B881))</f>
        <v/>
      </c>
      <c r="J881" s="8" t="str">
        <f aca="false">IF(INDEX(Bases!$E$2:$E$53,C881)="","",INDEX(Bases!$E$2:$E$53,C881))</f>
        <v/>
      </c>
      <c r="K881" s="5"/>
      <c r="L881" s="2" t="n">
        <f aca="false">AE881+IF(SUMPRODUCT(--($AL881:$AQ881&gt;AL881))&lt;$AK881,1,0)</f>
        <v>65</v>
      </c>
      <c r="M881" s="2" t="n">
        <f aca="false">AF881+IF(SUMPRODUCT(--($AL881:$AQ881&gt;AM881))+SUMPRODUCT(--($AL881:AL881=AM881))&lt;$AK881,1,0)</f>
        <v>89</v>
      </c>
      <c r="N881" s="2" t="n">
        <f aca="false">AG881+IF(SUMPRODUCT(--($AL881:$AQ881&gt;AN881))+SUMPRODUCT(--($AL881:AM881=AN881))&lt;$AK881,1,0)</f>
        <v>72</v>
      </c>
      <c r="O881" s="2" t="n">
        <f aca="false">AH881+IF(SUMPRODUCT(--($AL881:$AQ881&gt;AO881))+SUMPRODUCT(--($AL881:AN881=AO881))&lt;$AK881,1,0)</f>
        <v>86</v>
      </c>
      <c r="P881" s="2" t="n">
        <f aca="false">AI881+IF(SUMPRODUCT(--($AL881:$AQ881&gt;AP881))+SUMPRODUCT(--($AL881:AO881=AP881))&lt;$AK881,1,0)</f>
        <v>94</v>
      </c>
      <c r="Q881" s="2" t="n">
        <f aca="false">AJ881+IF(SUMPRODUCT(--($AL881:$AQ881&gt;AQ881))+SUMPRODUCT(--($AL881:AP881=AQ881))&lt;$AK881,1,0)</f>
        <v>94</v>
      </c>
      <c r="R881" s="2" t="n">
        <f aca="false">SUM(L881:Q881)</f>
        <v>500</v>
      </c>
      <c r="S881" s="2" t="n">
        <f aca="false">Settings!$B$4*MAX(INDEX(Bases!$M$2:$M$53,B881),INDEX(Bases!$M$2:$M$53,C881))+Settings!$B$5*MIN(INDEX(Bases!$M$2:$M$53,B881),INDEX(Bases!$M$2:$M$53,C881))</f>
        <v>53.6666666666667</v>
      </c>
      <c r="T881" s="2" t="n">
        <f aca="false">Settings!$B$4*MAX(INDEX(Bases!$N$2:$N$53,B881),INDEX(Bases!$N$2:$N$53,C881))+Settings!$B$5*MIN(INDEX(Bases!$N$2:$N$53,B881),INDEX(Bases!$N$2:$N$53,C881))</f>
        <v>73.6666666666667</v>
      </c>
      <c r="U881" s="2" t="n">
        <f aca="false">Settings!$B$4*MAX(INDEX(Bases!$O$2:$O$53,B881),INDEX(Bases!$O$2:$O$53,C881))+Settings!$B$5*MIN(INDEX(Bases!$O$2:$O$53,B881),INDEX(Bases!$O$2:$O$53,C881))</f>
        <v>59</v>
      </c>
      <c r="V881" s="2" t="n">
        <f aca="false">Settings!$B$4*MAX(INDEX(Bases!$P$2:$P$53,B881),INDEX(Bases!$P$2:$P$53,C881))+Settings!$B$5*MIN(INDEX(Bases!$P$2:$P$53,B881),INDEX(Bases!$P$2:$P$53,C881))</f>
        <v>70.6666666666667</v>
      </c>
      <c r="W881" s="2" t="n">
        <f aca="false">Settings!$B$4*MAX(INDEX(Bases!$Q$2:$Q$53,B881),INDEX(Bases!$Q$2:$Q$53,C881))+Settings!$B$5*MIN(INDEX(Bases!$Q$2:$Q$53,B881),INDEX(Bases!$Q$2:$Q$53,C881))</f>
        <v>77</v>
      </c>
      <c r="X881" s="2" t="n">
        <f aca="false">Settings!$B$4*MAX(INDEX(Bases!$R$2:$R$53,B881),INDEX(Bases!$R$2:$R$53,C881))+Settings!$B$5*MIN(INDEX(Bases!$R$2:$R$53,B881),INDEX(Bases!$R$2:$R$53,C881))</f>
        <v>77.3333333333333</v>
      </c>
      <c r="Y881" s="2" t="n">
        <f aca="false">S881*Settings!$B$3/SUM(S881:X881)</f>
        <v>65.2350081037277</v>
      </c>
      <c r="Z881" s="2" t="n">
        <f aca="false">T881*Settings!$B$3/SUM(S881:X881)</f>
        <v>89.5461912479741</v>
      </c>
      <c r="AA881" s="2" t="n">
        <f aca="false">U881*Settings!$B$3/SUM(S881:X881)</f>
        <v>71.7179902755267</v>
      </c>
      <c r="AB881" s="2" t="n">
        <f aca="false">V881*Settings!$B$3/SUM(S881:X881)</f>
        <v>85.8995137763371</v>
      </c>
      <c r="AC881" s="2" t="n">
        <f aca="false">W881*Settings!$B$3/SUM(S881:X881)</f>
        <v>93.5980551053485</v>
      </c>
      <c r="AD881" s="2" t="n">
        <f aca="false">X881*Settings!$B$3/SUM(S881:X881)</f>
        <v>94.0032414910859</v>
      </c>
      <c r="AE881" s="2" t="n">
        <f aca="false">INT(Y881)</f>
        <v>65</v>
      </c>
      <c r="AF881" s="2" t="n">
        <f aca="false">INT(Z881)</f>
        <v>89</v>
      </c>
      <c r="AG881" s="2" t="n">
        <f aca="false">INT(AA881)</f>
        <v>71</v>
      </c>
      <c r="AH881" s="2" t="n">
        <f aca="false">INT(AB881)</f>
        <v>85</v>
      </c>
      <c r="AI881" s="2" t="n">
        <f aca="false">INT(AC881)</f>
        <v>93</v>
      </c>
      <c r="AJ881" s="2" t="n">
        <f aca="false">INT(AD881)</f>
        <v>94</v>
      </c>
      <c r="AK881" s="2" t="n">
        <f aca="false">Settings!$B$3-SUM(AE881:AJ881)</f>
        <v>3</v>
      </c>
      <c r="AL881" s="2" t="n">
        <f aca="false">ROUND(Y881-AE881,9)</f>
        <v>0.235008104</v>
      </c>
      <c r="AM881" s="2" t="n">
        <f aca="false">ROUND(Z881-AF881,9)</f>
        <v>0.546191248</v>
      </c>
      <c r="AN881" s="2" t="n">
        <f aca="false">ROUND(AA881-AG881,9)</f>
        <v>0.717990276</v>
      </c>
      <c r="AO881" s="2" t="n">
        <f aca="false">ROUND(AB881-AH881,9)</f>
        <v>0.899513776</v>
      </c>
      <c r="AP881" s="2" t="n">
        <f aca="false">ROUND(AC881-AI881,9)</f>
        <v>0.598055105</v>
      </c>
      <c r="AQ881" s="2" t="n">
        <f aca="false">ROUND(AD881-AJ881,9)</f>
        <v>0.003241491</v>
      </c>
    </row>
    <row r="882" customFormat="false" ht="15" hidden="false" customHeight="false" outlineLevel="0" collapsed="false">
      <c r="A882" s="2" t="n">
        <v>881</v>
      </c>
      <c r="B882" s="6" t="n">
        <v>22</v>
      </c>
      <c r="C882" s="6" t="n">
        <v>42</v>
      </c>
      <c r="D882" s="8" t="str">
        <f aca="false">INDEX(Bases!$B$2:$B$53,B882)</f>
        <v>Ekans</v>
      </c>
      <c r="E882" s="8" t="str">
        <f aca="false">INDEX(Bases!$B$2:$B$53,C882)</f>
        <v>Sableye</v>
      </c>
      <c r="F882" s="2" t="str">
        <f aca="false">LEFT(D882,ROUNDUP(LEN(D882)/2,0))&amp;LOWER(MID(E882,ROUNDUP(LEN(E882)/2,0)+1,20))</f>
        <v>Ekaeye</v>
      </c>
      <c r="G882" s="8" t="str">
        <f aca="false">INDEX(Bases!$C$2:$C$53,B882)</f>
        <v>Poison</v>
      </c>
      <c r="H882" s="8" t="str">
        <f aca="false">IF(INDEX(Bases!$C$2:$C$53,C882)=G882,"",INDEX(Bases!$C$2:$C$53,C882))</f>
        <v>Ghost</v>
      </c>
      <c r="I882" s="8" t="str">
        <f aca="false">IF(INDEX(Bases!$E$2:$E$53,B882)="","",INDEX(Bases!$E$2:$E$53,B882))</f>
        <v/>
      </c>
      <c r="J882" s="8" t="str">
        <f aca="false">IF(INDEX(Bases!$E$2:$E$53,C882)="","",INDEX(Bases!$E$2:$E$53,C882))</f>
        <v/>
      </c>
      <c r="K882" s="5"/>
      <c r="L882" s="2" t="n">
        <f aca="false">AE882+IF(SUMPRODUCT(--($AL882:$AQ882&gt;AL882))&lt;$AK882,1,0)</f>
        <v>63</v>
      </c>
      <c r="M882" s="2" t="n">
        <f aca="false">AF882+IF(SUMPRODUCT(--($AL882:$AQ882&gt;AM882))+SUMPRODUCT(--($AL882:AL882=AM882))&lt;$AK882,1,0)</f>
        <v>99</v>
      </c>
      <c r="N882" s="2" t="n">
        <f aca="false">AG882+IF(SUMPRODUCT(--($AL882:$AQ882&gt;AN882))+SUMPRODUCT(--($AL882:AM882=AN882))&lt;$AK882,1,0)</f>
        <v>89</v>
      </c>
      <c r="O882" s="2" t="n">
        <f aca="false">AH882+IF(SUMPRODUCT(--($AL882:$AQ882&gt;AO882))+SUMPRODUCT(--($AL882:AN882=AO882))&lt;$AK882,1,0)</f>
        <v>78</v>
      </c>
      <c r="P882" s="2" t="n">
        <f aca="false">AI882+IF(SUMPRODUCT(--($AL882:$AQ882&gt;AP882))+SUMPRODUCT(--($AL882:AO882=AP882))&lt;$AK882,1,0)</f>
        <v>88</v>
      </c>
      <c r="Q882" s="2" t="n">
        <f aca="false">AJ882+IF(SUMPRODUCT(--($AL882:$AQ882&gt;AQ882))+SUMPRODUCT(--($AL882:AP882=AQ882))&lt;$AK882,1,0)</f>
        <v>83</v>
      </c>
      <c r="R882" s="2" t="n">
        <f aca="false">SUM(L882:Q882)</f>
        <v>500</v>
      </c>
      <c r="S882" s="2" t="n">
        <f aca="false">Settings!$B$4*MAX(INDEX(Bases!$M$2:$M$53,B882),INDEX(Bases!$M$2:$M$53,C882))+Settings!$B$5*MIN(INDEX(Bases!$M$2:$M$53,B882),INDEX(Bases!$M$2:$M$53,C882))</f>
        <v>51.6666666666667</v>
      </c>
      <c r="T882" s="2" t="n">
        <f aca="false">Settings!$B$4*MAX(INDEX(Bases!$N$2:$N$53,B882),INDEX(Bases!$N$2:$N$53,C882))+Settings!$B$5*MIN(INDEX(Bases!$N$2:$N$53,B882),INDEX(Bases!$N$2:$N$53,C882))</f>
        <v>81.6666666666667</v>
      </c>
      <c r="U882" s="2" t="n">
        <f aca="false">Settings!$B$4*MAX(INDEX(Bases!$O$2:$O$53,B882),INDEX(Bases!$O$2:$O$53,C882))+Settings!$B$5*MIN(INDEX(Bases!$O$2:$O$53,B882),INDEX(Bases!$O$2:$O$53,C882))</f>
        <v>73</v>
      </c>
      <c r="V882" s="2" t="n">
        <f aca="false">Settings!$B$4*MAX(INDEX(Bases!$P$2:$P$53,B882),INDEX(Bases!$P$2:$P$53,C882))+Settings!$B$5*MIN(INDEX(Bases!$P$2:$P$53,B882),INDEX(Bases!$P$2:$P$53,C882))</f>
        <v>64</v>
      </c>
      <c r="W882" s="2" t="n">
        <f aca="false">Settings!$B$4*MAX(INDEX(Bases!$Q$2:$Q$53,B882),INDEX(Bases!$Q$2:$Q$53,C882))+Settings!$B$5*MIN(INDEX(Bases!$Q$2:$Q$53,B882),INDEX(Bases!$Q$2:$Q$53,C882))</f>
        <v>72.6666666666667</v>
      </c>
      <c r="X882" s="2" t="n">
        <f aca="false">Settings!$B$4*MAX(INDEX(Bases!$R$2:$R$53,B882),INDEX(Bases!$R$2:$R$53,C882))+Settings!$B$5*MIN(INDEX(Bases!$R$2:$R$53,B882),INDEX(Bases!$R$2:$R$53,C882))</f>
        <v>68.3333333333333</v>
      </c>
      <c r="Y882" s="2" t="n">
        <f aca="false">S882*Settings!$B$3/SUM(S882:X882)</f>
        <v>62.8038897893031</v>
      </c>
      <c r="Z882" s="2" t="n">
        <f aca="false">T882*Settings!$B$3/SUM(S882:X882)</f>
        <v>99.2706645056726</v>
      </c>
      <c r="AA882" s="2" t="n">
        <f aca="false">U882*Settings!$B$3/SUM(S882:X882)</f>
        <v>88.7358184764992</v>
      </c>
      <c r="AB882" s="2" t="n">
        <f aca="false">V882*Settings!$B$3/SUM(S882:X882)</f>
        <v>77.7957860615883</v>
      </c>
      <c r="AC882" s="2" t="n">
        <f aca="false">W882*Settings!$B$3/SUM(S882:X882)</f>
        <v>88.3306320907618</v>
      </c>
      <c r="AD882" s="2" t="n">
        <f aca="false">X882*Settings!$B$3/SUM(S882:X882)</f>
        <v>83.063209076175</v>
      </c>
      <c r="AE882" s="2" t="n">
        <f aca="false">INT(Y882)</f>
        <v>62</v>
      </c>
      <c r="AF882" s="2" t="n">
        <f aca="false">INT(Z882)</f>
        <v>99</v>
      </c>
      <c r="AG882" s="2" t="n">
        <f aca="false">INT(AA882)</f>
        <v>88</v>
      </c>
      <c r="AH882" s="2" t="n">
        <f aca="false">INT(AB882)</f>
        <v>77</v>
      </c>
      <c r="AI882" s="2" t="n">
        <f aca="false">INT(AC882)</f>
        <v>88</v>
      </c>
      <c r="AJ882" s="2" t="n">
        <f aca="false">INT(AD882)</f>
        <v>83</v>
      </c>
      <c r="AK882" s="2" t="n">
        <f aca="false">Settings!$B$3-SUM(AE882:AJ882)</f>
        <v>3</v>
      </c>
      <c r="AL882" s="2" t="n">
        <f aca="false">ROUND(Y882-AE882,9)</f>
        <v>0.803889789</v>
      </c>
      <c r="AM882" s="2" t="n">
        <f aca="false">ROUND(Z882-AF882,9)</f>
        <v>0.270664506</v>
      </c>
      <c r="AN882" s="2" t="n">
        <f aca="false">ROUND(AA882-AG882,9)</f>
        <v>0.735818476</v>
      </c>
      <c r="AO882" s="2" t="n">
        <f aca="false">ROUND(AB882-AH882,9)</f>
        <v>0.795786062</v>
      </c>
      <c r="AP882" s="2" t="n">
        <f aca="false">ROUND(AC882-AI882,9)</f>
        <v>0.330632091</v>
      </c>
      <c r="AQ882" s="2" t="n">
        <f aca="false">ROUND(AD882-AJ882,9)</f>
        <v>0.063209076</v>
      </c>
    </row>
    <row r="883" customFormat="false" ht="15" hidden="false" customHeight="false" outlineLevel="0" collapsed="false">
      <c r="A883" s="2" t="n">
        <v>882</v>
      </c>
      <c r="B883" s="6" t="n">
        <v>22</v>
      </c>
      <c r="C883" s="6" t="n">
        <v>43</v>
      </c>
      <c r="D883" s="8" t="str">
        <f aca="false">INDEX(Bases!$B$2:$B$53,B883)</f>
        <v>Ekans</v>
      </c>
      <c r="E883" s="8" t="str">
        <f aca="false">INDEX(Bases!$B$2:$B$53,C883)</f>
        <v>Dratini</v>
      </c>
      <c r="F883" s="2" t="str">
        <f aca="false">LEFT(D883,ROUNDUP(LEN(D883)/2,0))&amp;LOWER(MID(E883,ROUNDUP(LEN(E883)/2,0)+1,20))</f>
        <v>Ekaini</v>
      </c>
      <c r="G883" s="8" t="str">
        <f aca="false">INDEX(Bases!$C$2:$C$53,B883)</f>
        <v>Poison</v>
      </c>
      <c r="H883" s="8" t="str">
        <f aca="false">IF(INDEX(Bases!$C$2:$C$53,C883)=G883,"",INDEX(Bases!$C$2:$C$53,C883))</f>
        <v>Dragon</v>
      </c>
      <c r="I883" s="8" t="str">
        <f aca="false">IF(INDEX(Bases!$E$2:$E$53,B883)="","",INDEX(Bases!$E$2:$E$53,B883))</f>
        <v/>
      </c>
      <c r="J883" s="8" t="str">
        <f aca="false">IF(INDEX(Bases!$E$2:$E$53,C883)="","",INDEX(Bases!$E$2:$E$53,C883))</f>
        <v/>
      </c>
      <c r="K883" s="5"/>
      <c r="L883" s="2" t="n">
        <f aca="false">AE883+IF(SUMPRODUCT(--($AL883:$AQ883&gt;AL883))&lt;$AK883,1,0)</f>
        <v>65</v>
      </c>
      <c r="M883" s="2" t="n">
        <f aca="false">AF883+IF(SUMPRODUCT(--($AL883:$AQ883&gt;AM883))+SUMPRODUCT(--($AL883:AL883=AM883))&lt;$AK883,1,0)</f>
        <v>104</v>
      </c>
      <c r="N883" s="2" t="n">
        <f aca="false">AG883+IF(SUMPRODUCT(--($AL883:$AQ883&gt;AN883))+SUMPRODUCT(--($AL883:AM883=AN883))&lt;$AK883,1,0)</f>
        <v>75</v>
      </c>
      <c r="O883" s="2" t="n">
        <f aca="false">AH883+IF(SUMPRODUCT(--($AL883:$AQ883&gt;AO883))+SUMPRODUCT(--($AL883:AN883=AO883))&lt;$AK883,1,0)</f>
        <v>78</v>
      </c>
      <c r="P883" s="2" t="n">
        <f aca="false">AI883+IF(SUMPRODUCT(--($AL883:$AQ883&gt;AP883))+SUMPRODUCT(--($AL883:AO883=AP883))&lt;$AK883,1,0)</f>
        <v>89</v>
      </c>
      <c r="Q883" s="2" t="n">
        <f aca="false">AJ883+IF(SUMPRODUCT(--($AL883:$AQ883&gt;AQ883))+SUMPRODUCT(--($AL883:AP883=AQ883))&lt;$AK883,1,0)</f>
        <v>89</v>
      </c>
      <c r="R883" s="2" t="n">
        <f aca="false">SUM(L883:Q883)</f>
        <v>500</v>
      </c>
      <c r="S883" s="2" t="n">
        <f aca="false">Settings!$B$4*MAX(INDEX(Bases!$M$2:$M$53,B883),INDEX(Bases!$M$2:$M$53,C883))+Settings!$B$5*MIN(INDEX(Bases!$M$2:$M$53,B883),INDEX(Bases!$M$2:$M$53,C883))</f>
        <v>53</v>
      </c>
      <c r="T883" s="2" t="n">
        <f aca="false">Settings!$B$4*MAX(INDEX(Bases!$N$2:$N$53,B883),INDEX(Bases!$N$2:$N$53,C883))+Settings!$B$5*MIN(INDEX(Bases!$N$2:$N$53,B883),INDEX(Bases!$N$2:$N$53,C883))</f>
        <v>84.3333333333333</v>
      </c>
      <c r="U883" s="2" t="n">
        <f aca="false">Settings!$B$4*MAX(INDEX(Bases!$O$2:$O$53,B883),INDEX(Bases!$O$2:$O$53,C883))+Settings!$B$5*MIN(INDEX(Bases!$O$2:$O$53,B883),INDEX(Bases!$O$2:$O$53,C883))</f>
        <v>60.6666666666667</v>
      </c>
      <c r="V883" s="2" t="n">
        <f aca="false">Settings!$B$4*MAX(INDEX(Bases!$P$2:$P$53,B883),INDEX(Bases!$P$2:$P$53,C883))+Settings!$B$5*MIN(INDEX(Bases!$P$2:$P$53,B883),INDEX(Bases!$P$2:$P$53,C883))</f>
        <v>63.3333333333333</v>
      </c>
      <c r="W883" s="2" t="n">
        <f aca="false">Settings!$B$4*MAX(INDEX(Bases!$Q$2:$Q$53,B883),INDEX(Bases!$Q$2:$Q$53,C883))+Settings!$B$5*MIN(INDEX(Bases!$Q$2:$Q$53,B883),INDEX(Bases!$Q$2:$Q$53,C883))</f>
        <v>72.3333333333333</v>
      </c>
      <c r="X883" s="2" t="n">
        <f aca="false">Settings!$B$4*MAX(INDEX(Bases!$R$2:$R$53,B883),INDEX(Bases!$R$2:$R$53,C883))+Settings!$B$5*MIN(INDEX(Bases!$R$2:$R$53,B883),INDEX(Bases!$R$2:$R$53,C883))</f>
        <v>72.6666666666667</v>
      </c>
      <c r="Y883" s="2" t="n">
        <f aca="false">S883*Settings!$B$3/SUM(S883:X883)</f>
        <v>65.2173913043478</v>
      </c>
      <c r="Z883" s="2" t="n">
        <f aca="false">T883*Settings!$B$3/SUM(S883:X883)</f>
        <v>103.77358490566</v>
      </c>
      <c r="AA883" s="2" t="n">
        <f aca="false">U883*Settings!$B$3/SUM(S883:X883)</f>
        <v>74.6513535684988</v>
      </c>
      <c r="AB883" s="2" t="n">
        <f aca="false">V883*Settings!$B$3/SUM(S883:X883)</f>
        <v>77.9327317473339</v>
      </c>
      <c r="AC883" s="2" t="n">
        <f aca="false">W883*Settings!$B$3/SUM(S883:X883)</f>
        <v>89.0073831009024</v>
      </c>
      <c r="AD883" s="2" t="n">
        <f aca="false">X883*Settings!$B$3/SUM(S883:X883)</f>
        <v>89.4175553732568</v>
      </c>
      <c r="AE883" s="2" t="n">
        <f aca="false">INT(Y883)</f>
        <v>65</v>
      </c>
      <c r="AF883" s="2" t="n">
        <f aca="false">INT(Z883)</f>
        <v>103</v>
      </c>
      <c r="AG883" s="2" t="n">
        <f aca="false">INT(AA883)</f>
        <v>74</v>
      </c>
      <c r="AH883" s="2" t="n">
        <f aca="false">INT(AB883)</f>
        <v>77</v>
      </c>
      <c r="AI883" s="2" t="n">
        <f aca="false">INT(AC883)</f>
        <v>89</v>
      </c>
      <c r="AJ883" s="2" t="n">
        <f aca="false">INT(AD883)</f>
        <v>89</v>
      </c>
      <c r="AK883" s="2" t="n">
        <f aca="false">Settings!$B$3-SUM(AE883:AJ883)</f>
        <v>3</v>
      </c>
      <c r="AL883" s="2" t="n">
        <f aca="false">ROUND(Y883-AE883,9)</f>
        <v>0.217391304</v>
      </c>
      <c r="AM883" s="2" t="n">
        <f aca="false">ROUND(Z883-AF883,9)</f>
        <v>0.773584906</v>
      </c>
      <c r="AN883" s="2" t="n">
        <f aca="false">ROUND(AA883-AG883,9)</f>
        <v>0.651353568</v>
      </c>
      <c r="AO883" s="2" t="n">
        <f aca="false">ROUND(AB883-AH883,9)</f>
        <v>0.932731747</v>
      </c>
      <c r="AP883" s="2" t="n">
        <f aca="false">ROUND(AC883-AI883,9)</f>
        <v>0.007383101</v>
      </c>
      <c r="AQ883" s="2" t="n">
        <f aca="false">ROUND(AD883-AJ883,9)</f>
        <v>0.417555373</v>
      </c>
    </row>
    <row r="884" customFormat="false" ht="15" hidden="false" customHeight="false" outlineLevel="0" collapsed="false">
      <c r="A884" s="2" t="n">
        <v>883</v>
      </c>
      <c r="B884" s="6" t="n">
        <v>22</v>
      </c>
      <c r="C884" s="6" t="n">
        <v>44</v>
      </c>
      <c r="D884" s="8" t="str">
        <f aca="false">INDEX(Bases!$B$2:$B$53,B884)</f>
        <v>Ekans</v>
      </c>
      <c r="E884" s="8" t="str">
        <f aca="false">INDEX(Bases!$B$2:$B$53,C884)</f>
        <v>Bagon</v>
      </c>
      <c r="F884" s="2" t="str">
        <f aca="false">LEFT(D884,ROUNDUP(LEN(D884)/2,0))&amp;LOWER(MID(E884,ROUNDUP(LEN(E884)/2,0)+1,20))</f>
        <v>Ekaon</v>
      </c>
      <c r="G884" s="8" t="str">
        <f aca="false">INDEX(Bases!$C$2:$C$53,B884)</f>
        <v>Poison</v>
      </c>
      <c r="H884" s="8" t="str">
        <f aca="false">IF(INDEX(Bases!$C$2:$C$53,C884)=G884,"",INDEX(Bases!$C$2:$C$53,C884))</f>
        <v>Dragon</v>
      </c>
      <c r="I884" s="8" t="str">
        <f aca="false">IF(INDEX(Bases!$E$2:$E$53,B884)="","",INDEX(Bases!$E$2:$E$53,B884))</f>
        <v/>
      </c>
      <c r="J884" s="8" t="str">
        <f aca="false">IF(INDEX(Bases!$E$2:$E$53,C884)="","",INDEX(Bases!$E$2:$E$53,C884))</f>
        <v/>
      </c>
      <c r="K884" s="5"/>
      <c r="L884" s="2" t="n">
        <f aca="false">AE884+IF(SUMPRODUCT(--($AL884:$AQ884&gt;AL884))&lt;$AK884,1,0)</f>
        <v>68</v>
      </c>
      <c r="M884" s="2" t="n">
        <f aca="false">AF884+IF(SUMPRODUCT(--($AL884:$AQ884&gt;AM884))+SUMPRODUCT(--($AL884:AL884=AM884))&lt;$AK884,1,0)</f>
        <v>113</v>
      </c>
      <c r="N884" s="2" t="n">
        <f aca="false">AG884+IF(SUMPRODUCT(--($AL884:$AQ884&gt;AN884))+SUMPRODUCT(--($AL884:AM884=AN884))&lt;$AK884,1,0)</f>
        <v>89</v>
      </c>
      <c r="O884" s="2" t="n">
        <f aca="false">AH884+IF(SUMPRODUCT(--($AL884:$AQ884&gt;AO884))+SUMPRODUCT(--($AL884:AN884=AO884))&lt;$AK884,1,0)</f>
        <v>66</v>
      </c>
      <c r="P884" s="2" t="n">
        <f aca="false">AI884+IF(SUMPRODUCT(--($AL884:$AQ884&gt;AP884))+SUMPRODUCT(--($AL884:AO884=AP884))&lt;$AK884,1,0)</f>
        <v>76</v>
      </c>
      <c r="Q884" s="2" t="n">
        <f aca="false">AJ884+IF(SUMPRODUCT(--($AL884:$AQ884&gt;AQ884))+SUMPRODUCT(--($AL884:AP884=AQ884))&lt;$AK884,1,0)</f>
        <v>88</v>
      </c>
      <c r="R884" s="2" t="n">
        <f aca="false">SUM(L884:Q884)</f>
        <v>500</v>
      </c>
      <c r="S884" s="2" t="n">
        <f aca="false">Settings!$B$4*MAX(INDEX(Bases!$M$2:$M$53,B884),INDEX(Bases!$M$2:$M$53,C884))+Settings!$B$5*MIN(INDEX(Bases!$M$2:$M$53,B884),INDEX(Bases!$M$2:$M$53,C884))</f>
        <v>56.3333333333333</v>
      </c>
      <c r="T884" s="2" t="n">
        <f aca="false">Settings!$B$4*MAX(INDEX(Bases!$N$2:$N$53,B884),INDEX(Bases!$N$2:$N$53,C884))+Settings!$B$5*MIN(INDEX(Bases!$N$2:$N$53,B884),INDEX(Bases!$N$2:$N$53,C884))</f>
        <v>94.3333333333333</v>
      </c>
      <c r="U884" s="2" t="n">
        <f aca="false">Settings!$B$4*MAX(INDEX(Bases!$O$2:$O$53,B884),INDEX(Bases!$O$2:$O$53,C884))+Settings!$B$5*MIN(INDEX(Bases!$O$2:$O$53,B884),INDEX(Bases!$O$2:$O$53,C884))</f>
        <v>73.6666666666667</v>
      </c>
      <c r="V884" s="2" t="n">
        <f aca="false">Settings!$B$4*MAX(INDEX(Bases!$P$2:$P$53,B884),INDEX(Bases!$P$2:$P$53,C884))+Settings!$B$5*MIN(INDEX(Bases!$P$2:$P$53,B884),INDEX(Bases!$P$2:$P$53,C884))</f>
        <v>55</v>
      </c>
      <c r="W884" s="2" t="n">
        <f aca="false">Settings!$B$4*MAX(INDEX(Bases!$Q$2:$Q$53,B884),INDEX(Bases!$Q$2:$Q$53,C884))+Settings!$B$5*MIN(INDEX(Bases!$Q$2:$Q$53,B884),INDEX(Bases!$Q$2:$Q$53,C884))</f>
        <v>63.3333333333333</v>
      </c>
      <c r="X884" s="2" t="n">
        <f aca="false">Settings!$B$4*MAX(INDEX(Bases!$R$2:$R$53,B884),INDEX(Bases!$R$2:$R$53,C884))+Settings!$B$5*MIN(INDEX(Bases!$R$2:$R$53,B884),INDEX(Bases!$R$2:$R$53,C884))</f>
        <v>73</v>
      </c>
      <c r="Y884" s="2" t="n">
        <f aca="false">S884*Settings!$B$3/SUM(S884:X884)</f>
        <v>67.7626303127506</v>
      </c>
      <c r="Z884" s="2" t="n">
        <f aca="false">T884*Settings!$B$3/SUM(S884:X884)</f>
        <v>113.472333600642</v>
      </c>
      <c r="AA884" s="2" t="n">
        <f aca="false">U884*Settings!$B$3/SUM(S884:X884)</f>
        <v>88.6126704089816</v>
      </c>
      <c r="AB884" s="2" t="n">
        <f aca="false">V884*Settings!$B$3/SUM(S884:X884)</f>
        <v>66.158781074579</v>
      </c>
      <c r="AC884" s="2" t="n">
        <f aca="false">W884*Settings!$B$3/SUM(S884:X884)</f>
        <v>76.1828388131516</v>
      </c>
      <c r="AD884" s="2" t="n">
        <f aca="false">X884*Settings!$B$3/SUM(S884:X884)</f>
        <v>87.8107457898958</v>
      </c>
      <c r="AE884" s="2" t="n">
        <f aca="false">INT(Y884)</f>
        <v>67</v>
      </c>
      <c r="AF884" s="2" t="n">
        <f aca="false">INT(Z884)</f>
        <v>113</v>
      </c>
      <c r="AG884" s="2" t="n">
        <f aca="false">INT(AA884)</f>
        <v>88</v>
      </c>
      <c r="AH884" s="2" t="n">
        <f aca="false">INT(AB884)</f>
        <v>66</v>
      </c>
      <c r="AI884" s="2" t="n">
        <f aca="false">INT(AC884)</f>
        <v>76</v>
      </c>
      <c r="AJ884" s="2" t="n">
        <f aca="false">INT(AD884)</f>
        <v>87</v>
      </c>
      <c r="AK884" s="2" t="n">
        <f aca="false">Settings!$B$3-SUM(AE884:AJ884)</f>
        <v>3</v>
      </c>
      <c r="AL884" s="2" t="n">
        <f aca="false">ROUND(Y884-AE884,9)</f>
        <v>0.762630313</v>
      </c>
      <c r="AM884" s="2" t="n">
        <f aca="false">ROUND(Z884-AF884,9)</f>
        <v>0.472333601</v>
      </c>
      <c r="AN884" s="2" t="n">
        <f aca="false">ROUND(AA884-AG884,9)</f>
        <v>0.612670409</v>
      </c>
      <c r="AO884" s="2" t="n">
        <f aca="false">ROUND(AB884-AH884,9)</f>
        <v>0.158781075</v>
      </c>
      <c r="AP884" s="2" t="n">
        <f aca="false">ROUND(AC884-AI884,9)</f>
        <v>0.182838813</v>
      </c>
      <c r="AQ884" s="2" t="n">
        <f aca="false">ROUND(AD884-AJ884,9)</f>
        <v>0.81074579</v>
      </c>
    </row>
    <row r="885" customFormat="false" ht="15" hidden="false" customHeight="false" outlineLevel="0" collapsed="false">
      <c r="A885" s="2" t="n">
        <v>884</v>
      </c>
      <c r="B885" s="6" t="n">
        <v>22</v>
      </c>
      <c r="C885" s="6" t="n">
        <v>45</v>
      </c>
      <c r="D885" s="8" t="str">
        <f aca="false">INDEX(Bases!$B$2:$B$53,B885)</f>
        <v>Ekans</v>
      </c>
      <c r="E885" s="8" t="str">
        <f aca="false">INDEX(Bases!$B$2:$B$53,C885)</f>
        <v>Sneasel</v>
      </c>
      <c r="F885" s="2" t="str">
        <f aca="false">LEFT(D885,ROUNDUP(LEN(D885)/2,0))&amp;LOWER(MID(E885,ROUNDUP(LEN(E885)/2,0)+1,20))</f>
        <v>Ekasel</v>
      </c>
      <c r="G885" s="8" t="str">
        <f aca="false">INDEX(Bases!$C$2:$C$53,B885)</f>
        <v>Poison</v>
      </c>
      <c r="H885" s="8" t="str">
        <f aca="false">IF(INDEX(Bases!$C$2:$C$53,C885)=G885,"",INDEX(Bases!$C$2:$C$53,C885))</f>
        <v>Dark</v>
      </c>
      <c r="I885" s="8" t="str">
        <f aca="false">IF(INDEX(Bases!$E$2:$E$53,B885)="","",INDEX(Bases!$E$2:$E$53,B885))</f>
        <v/>
      </c>
      <c r="J885" s="8" t="str">
        <f aca="false">IF(INDEX(Bases!$E$2:$E$53,C885)="","",INDEX(Bases!$E$2:$E$53,C885))</f>
        <v/>
      </c>
      <c r="K885" s="5"/>
      <c r="L885" s="2" t="n">
        <f aca="false">AE885+IF(SUMPRODUCT(--($AL885:$AQ885&gt;AL885))&lt;$AK885,1,0)</f>
        <v>61</v>
      </c>
      <c r="M885" s="2" t="n">
        <f aca="false">AF885+IF(SUMPRODUCT(--($AL885:$AQ885&gt;AM885))+SUMPRODUCT(--($AL885:AL885=AM885))&lt;$AK885,1,0)</f>
        <v>105</v>
      </c>
      <c r="N885" s="2" t="n">
        <f aca="false">AG885+IF(SUMPRODUCT(--($AL885:$AQ885&gt;AN885))+SUMPRODUCT(--($AL885:AM885=AN885))&lt;$AK885,1,0)</f>
        <v>70</v>
      </c>
      <c r="O885" s="2" t="n">
        <f aca="false">AH885+IF(SUMPRODUCT(--($AL885:$AQ885&gt;AO885))+SUMPRODUCT(--($AL885:AN885=AO885))&lt;$AK885,1,0)</f>
        <v>58</v>
      </c>
      <c r="P885" s="2" t="n">
        <f aca="false">AI885+IF(SUMPRODUCT(--($AL885:$AQ885&gt;AP885))+SUMPRODUCT(--($AL885:AO885=AP885))&lt;$AK885,1,0)</f>
        <v>89</v>
      </c>
      <c r="Q885" s="2" t="n">
        <f aca="false">AJ885+IF(SUMPRODUCT(--($AL885:$AQ885&gt;AQ885))+SUMPRODUCT(--($AL885:AP885=AQ885))&lt;$AK885,1,0)</f>
        <v>117</v>
      </c>
      <c r="R885" s="2" t="n">
        <f aca="false">SUM(L885:Q885)</f>
        <v>500</v>
      </c>
      <c r="S885" s="2" t="n">
        <f aca="false">Settings!$B$4*MAX(INDEX(Bases!$M$2:$M$53,B885),INDEX(Bases!$M$2:$M$53,C885))+Settings!$B$5*MIN(INDEX(Bases!$M$2:$M$53,B885),INDEX(Bases!$M$2:$M$53,C885))</f>
        <v>50.3333333333333</v>
      </c>
      <c r="T885" s="2" t="n">
        <f aca="false">Settings!$B$4*MAX(INDEX(Bases!$N$2:$N$53,B885),INDEX(Bases!$N$2:$N$53,C885))+Settings!$B$5*MIN(INDEX(Bases!$N$2:$N$53,B885),INDEX(Bases!$N$2:$N$53,C885))</f>
        <v>86.3333333333333</v>
      </c>
      <c r="U885" s="2" t="n">
        <f aca="false">Settings!$B$4*MAX(INDEX(Bases!$O$2:$O$53,B885),INDEX(Bases!$O$2:$O$53,C885))+Settings!$B$5*MIN(INDEX(Bases!$O$2:$O$53,B885),INDEX(Bases!$O$2:$O$53,C885))</f>
        <v>57.6666666666667</v>
      </c>
      <c r="V885" s="2" t="n">
        <f aca="false">Settings!$B$4*MAX(INDEX(Bases!$P$2:$P$53,B885),INDEX(Bases!$P$2:$P$53,C885))+Settings!$B$5*MIN(INDEX(Bases!$P$2:$P$53,B885),INDEX(Bases!$P$2:$P$53,C885))</f>
        <v>48.3333333333333</v>
      </c>
      <c r="W885" s="2" t="n">
        <f aca="false">Settings!$B$4*MAX(INDEX(Bases!$Q$2:$Q$53,B885),INDEX(Bases!$Q$2:$Q$53,C885))+Settings!$B$5*MIN(INDEX(Bases!$Q$2:$Q$53,B885),INDEX(Bases!$Q$2:$Q$53,C885))</f>
        <v>73.3333333333333</v>
      </c>
      <c r="X885" s="2" t="n">
        <f aca="false">Settings!$B$4*MAX(INDEX(Bases!$R$2:$R$53,B885),INDEX(Bases!$R$2:$R$53,C885))+Settings!$B$5*MIN(INDEX(Bases!$R$2:$R$53,B885),INDEX(Bases!$R$2:$R$53,C885))</f>
        <v>96.6666666666667</v>
      </c>
      <c r="Y885" s="2" t="n">
        <f aca="false">S885*Settings!$B$3/SUM(S885:X885)</f>
        <v>60.9854604200323</v>
      </c>
      <c r="Z885" s="2" t="n">
        <f aca="false">T885*Settings!$B$3/SUM(S885:X885)</f>
        <v>104.604200323102</v>
      </c>
      <c r="AA885" s="2" t="n">
        <f aca="false">U885*Settings!$B$3/SUM(S885:X885)</f>
        <v>69.8707592891761</v>
      </c>
      <c r="AB885" s="2" t="n">
        <f aca="false">V885*Settings!$B$3/SUM(S885:X885)</f>
        <v>58.562197092084</v>
      </c>
      <c r="AC885" s="2" t="n">
        <f aca="false">W885*Settings!$B$3/SUM(S885:X885)</f>
        <v>88.8529886914378</v>
      </c>
      <c r="AD885" s="2" t="n">
        <f aca="false">X885*Settings!$B$3/SUM(S885:X885)</f>
        <v>117.124394184168</v>
      </c>
      <c r="AE885" s="2" t="n">
        <f aca="false">INT(Y885)</f>
        <v>60</v>
      </c>
      <c r="AF885" s="2" t="n">
        <f aca="false">INT(Z885)</f>
        <v>104</v>
      </c>
      <c r="AG885" s="2" t="n">
        <f aca="false">INT(AA885)</f>
        <v>69</v>
      </c>
      <c r="AH885" s="2" t="n">
        <f aca="false">INT(AB885)</f>
        <v>58</v>
      </c>
      <c r="AI885" s="2" t="n">
        <f aca="false">INT(AC885)</f>
        <v>88</v>
      </c>
      <c r="AJ885" s="2" t="n">
        <f aca="false">INT(AD885)</f>
        <v>117</v>
      </c>
      <c r="AK885" s="2" t="n">
        <f aca="false">Settings!$B$3-SUM(AE885:AJ885)</f>
        <v>4</v>
      </c>
      <c r="AL885" s="2" t="n">
        <f aca="false">ROUND(Y885-AE885,9)</f>
        <v>0.98546042</v>
      </c>
      <c r="AM885" s="2" t="n">
        <f aca="false">ROUND(Z885-AF885,9)</f>
        <v>0.604200323</v>
      </c>
      <c r="AN885" s="2" t="n">
        <f aca="false">ROUND(AA885-AG885,9)</f>
        <v>0.870759289</v>
      </c>
      <c r="AO885" s="2" t="n">
        <f aca="false">ROUND(AB885-AH885,9)</f>
        <v>0.562197092</v>
      </c>
      <c r="AP885" s="2" t="n">
        <f aca="false">ROUND(AC885-AI885,9)</f>
        <v>0.852988691</v>
      </c>
      <c r="AQ885" s="2" t="n">
        <f aca="false">ROUND(AD885-AJ885,9)</f>
        <v>0.124394184</v>
      </c>
    </row>
    <row r="886" customFormat="false" ht="15" hidden="false" customHeight="false" outlineLevel="0" collapsed="false">
      <c r="A886" s="2" t="n">
        <v>885</v>
      </c>
      <c r="B886" s="6" t="n">
        <v>22</v>
      </c>
      <c r="C886" s="6" t="n">
        <v>46</v>
      </c>
      <c r="D886" s="8" t="str">
        <f aca="false">INDEX(Bases!$B$2:$B$53,B886)</f>
        <v>Ekans</v>
      </c>
      <c r="E886" s="8" t="str">
        <f aca="false">INDEX(Bases!$B$2:$B$53,C886)</f>
        <v>Houndour</v>
      </c>
      <c r="F886" s="2" t="str">
        <f aca="false">LEFT(D886,ROUNDUP(LEN(D886)/2,0))&amp;LOWER(MID(E886,ROUNDUP(LEN(E886)/2,0)+1,20))</f>
        <v>Ekadour</v>
      </c>
      <c r="G886" s="8" t="str">
        <f aca="false">INDEX(Bases!$C$2:$C$53,B886)</f>
        <v>Poison</v>
      </c>
      <c r="H886" s="8" t="str">
        <f aca="false">IF(INDEX(Bases!$C$2:$C$53,C886)=G886,"",INDEX(Bases!$C$2:$C$53,C886))</f>
        <v>Dark</v>
      </c>
      <c r="I886" s="8" t="str">
        <f aca="false">IF(INDEX(Bases!$E$2:$E$53,B886)="","",INDEX(Bases!$E$2:$E$53,B886))</f>
        <v/>
      </c>
      <c r="J886" s="8" t="str">
        <f aca="false">IF(INDEX(Bases!$E$2:$E$53,C886)="","",INDEX(Bases!$E$2:$E$53,C886))</f>
        <v/>
      </c>
      <c r="K886" s="5"/>
      <c r="L886" s="2" t="n">
        <f aca="false">AE886+IF(SUMPRODUCT(--($AL886:$AQ886&gt;AL886))&lt;$AK886,1,0)</f>
        <v>63</v>
      </c>
      <c r="M886" s="2" t="n">
        <f aca="false">AF886+IF(SUMPRODUCT(--($AL886:$AQ886&gt;AM886))+SUMPRODUCT(--($AL886:AL886=AM886))&lt;$AK886,1,0)</f>
        <v>96</v>
      </c>
      <c r="N886" s="2" t="n">
        <f aca="false">AG886+IF(SUMPRODUCT(--($AL886:$AQ886&gt;AN886))+SUMPRODUCT(--($AL886:AM886=AN886))&lt;$AK886,1,0)</f>
        <v>63</v>
      </c>
      <c r="O886" s="2" t="n">
        <f aca="false">AH886+IF(SUMPRODUCT(--($AL886:$AQ886&gt;AO886))+SUMPRODUCT(--($AL886:AN886=AO886))&lt;$AK886,1,0)</f>
        <v>100</v>
      </c>
      <c r="P886" s="2" t="n">
        <f aca="false">AI886+IF(SUMPRODUCT(--($AL886:$AQ886&gt;AP886))+SUMPRODUCT(--($AL886:AO886=AP886))&lt;$AK886,1,0)</f>
        <v>84</v>
      </c>
      <c r="Q886" s="2" t="n">
        <f aca="false">AJ886+IF(SUMPRODUCT(--($AL886:$AQ886&gt;AQ886))+SUMPRODUCT(--($AL886:AP886=AQ886))&lt;$AK886,1,0)</f>
        <v>94</v>
      </c>
      <c r="R886" s="2" t="n">
        <f aca="false">SUM(L886:Q886)</f>
        <v>500</v>
      </c>
      <c r="S886" s="2" t="n">
        <f aca="false">Settings!$B$4*MAX(INDEX(Bases!$M$2:$M$53,B886),INDEX(Bases!$M$2:$M$53,C886))+Settings!$B$5*MIN(INDEX(Bases!$M$2:$M$53,B886),INDEX(Bases!$M$2:$M$53,C886))</f>
        <v>52.3333333333333</v>
      </c>
      <c r="T886" s="2" t="n">
        <f aca="false">Settings!$B$4*MAX(INDEX(Bases!$N$2:$N$53,B886),INDEX(Bases!$N$2:$N$53,C886))+Settings!$B$5*MIN(INDEX(Bases!$N$2:$N$53,B886),INDEX(Bases!$N$2:$N$53,C886))</f>
        <v>79.6666666666667</v>
      </c>
      <c r="U886" s="2" t="n">
        <f aca="false">Settings!$B$4*MAX(INDEX(Bases!$O$2:$O$53,B886),INDEX(Bases!$O$2:$O$53,C886))+Settings!$B$5*MIN(INDEX(Bases!$O$2:$O$53,B886),INDEX(Bases!$O$2:$O$53,C886))</f>
        <v>52.6666666666667</v>
      </c>
      <c r="V886" s="2" t="n">
        <f aca="false">Settings!$B$4*MAX(INDEX(Bases!$P$2:$P$53,B886),INDEX(Bases!$P$2:$P$53,C886))+Settings!$B$5*MIN(INDEX(Bases!$P$2:$P$53,B886),INDEX(Bases!$P$2:$P$53,C886))</f>
        <v>83.3333333333333</v>
      </c>
      <c r="W886" s="2" t="n">
        <f aca="false">Settings!$B$4*MAX(INDEX(Bases!$Q$2:$Q$53,B886),INDEX(Bases!$Q$2:$Q$53,C886))+Settings!$B$5*MIN(INDEX(Bases!$Q$2:$Q$53,B886),INDEX(Bases!$Q$2:$Q$53,C886))</f>
        <v>70.3333333333333</v>
      </c>
      <c r="X886" s="2" t="n">
        <f aca="false">Settings!$B$4*MAX(INDEX(Bases!$R$2:$R$53,B886),INDEX(Bases!$R$2:$R$53,C886))+Settings!$B$5*MIN(INDEX(Bases!$R$2:$R$53,B886),INDEX(Bases!$R$2:$R$53,C886))</f>
        <v>78</v>
      </c>
      <c r="Y886" s="2" t="n">
        <f aca="false">S886*Settings!$B$3/SUM(S886:X886)</f>
        <v>62.8502802241794</v>
      </c>
      <c r="Z886" s="2" t="n">
        <f aca="false">T886*Settings!$B$3/SUM(S886:X886)</f>
        <v>95.6765412329864</v>
      </c>
      <c r="AA886" s="2" t="n">
        <f aca="false">U886*Settings!$B$3/SUM(S886:X886)</f>
        <v>63.2506004803843</v>
      </c>
      <c r="AB886" s="2" t="n">
        <f aca="false">V886*Settings!$B$3/SUM(S886:X886)</f>
        <v>100.080064051241</v>
      </c>
      <c r="AC886" s="2" t="n">
        <f aca="false">W886*Settings!$B$3/SUM(S886:X886)</f>
        <v>84.4675740592474</v>
      </c>
      <c r="AD886" s="2" t="n">
        <f aca="false">X886*Settings!$B$3/SUM(S886:X886)</f>
        <v>93.6749399519616</v>
      </c>
      <c r="AE886" s="2" t="n">
        <f aca="false">INT(Y886)</f>
        <v>62</v>
      </c>
      <c r="AF886" s="2" t="n">
        <f aca="false">INT(Z886)</f>
        <v>95</v>
      </c>
      <c r="AG886" s="2" t="n">
        <f aca="false">INT(AA886)</f>
        <v>63</v>
      </c>
      <c r="AH886" s="2" t="n">
        <f aca="false">INT(AB886)</f>
        <v>100</v>
      </c>
      <c r="AI886" s="2" t="n">
        <f aca="false">INT(AC886)</f>
        <v>84</v>
      </c>
      <c r="AJ886" s="2" t="n">
        <f aca="false">INT(AD886)</f>
        <v>93</v>
      </c>
      <c r="AK886" s="2" t="n">
        <f aca="false">Settings!$B$3-SUM(AE886:AJ886)</f>
        <v>3</v>
      </c>
      <c r="AL886" s="2" t="n">
        <f aca="false">ROUND(Y886-AE886,9)</f>
        <v>0.850280224</v>
      </c>
      <c r="AM886" s="2" t="n">
        <f aca="false">ROUND(Z886-AF886,9)</f>
        <v>0.676541233</v>
      </c>
      <c r="AN886" s="2" t="n">
        <f aca="false">ROUND(AA886-AG886,9)</f>
        <v>0.25060048</v>
      </c>
      <c r="AO886" s="2" t="n">
        <f aca="false">ROUND(AB886-AH886,9)</f>
        <v>0.080064051</v>
      </c>
      <c r="AP886" s="2" t="n">
        <f aca="false">ROUND(AC886-AI886,9)</f>
        <v>0.467574059</v>
      </c>
      <c r="AQ886" s="2" t="n">
        <f aca="false">ROUND(AD886-AJ886,9)</f>
        <v>0.674939952</v>
      </c>
    </row>
    <row r="887" customFormat="false" ht="15" hidden="false" customHeight="false" outlineLevel="0" collapsed="false">
      <c r="A887" s="2" t="n">
        <v>886</v>
      </c>
      <c r="B887" s="6" t="n">
        <v>22</v>
      </c>
      <c r="C887" s="6" t="n">
        <v>47</v>
      </c>
      <c r="D887" s="8" t="str">
        <f aca="false">INDEX(Bases!$B$2:$B$53,B887)</f>
        <v>Ekans</v>
      </c>
      <c r="E887" s="8" t="str">
        <f aca="false">INDEX(Bases!$B$2:$B$53,C887)</f>
        <v>Carvanha</v>
      </c>
      <c r="F887" s="2" t="str">
        <f aca="false">LEFT(D887,ROUNDUP(LEN(D887)/2,0))&amp;LOWER(MID(E887,ROUNDUP(LEN(E887)/2,0)+1,20))</f>
        <v>Ekaanha</v>
      </c>
      <c r="G887" s="8" t="str">
        <f aca="false">INDEX(Bases!$C$2:$C$53,B887)</f>
        <v>Poison</v>
      </c>
      <c r="H887" s="8" t="str">
        <f aca="false">IF(INDEX(Bases!$C$2:$C$53,C887)=G887,"",INDEX(Bases!$C$2:$C$53,C887))</f>
        <v>Dark</v>
      </c>
      <c r="I887" s="8" t="str">
        <f aca="false">IF(INDEX(Bases!$E$2:$E$53,B887)="","",INDEX(Bases!$E$2:$E$53,B887))</f>
        <v/>
      </c>
      <c r="J887" s="8" t="str">
        <f aca="false">IF(INDEX(Bases!$E$2:$E$53,C887)="","",INDEX(Bases!$E$2:$E$53,C887))</f>
        <v/>
      </c>
      <c r="K887" s="5"/>
      <c r="L887" s="2" t="n">
        <f aca="false">AE887+IF(SUMPRODUCT(--($AL887:$AQ887&gt;AL887))&lt;$AK887,1,0)</f>
        <v>65</v>
      </c>
      <c r="M887" s="2" t="n">
        <f aca="false">AF887+IF(SUMPRODUCT(--($AL887:$AQ887&gt;AM887))+SUMPRODUCT(--($AL887:AL887=AM887))&lt;$AK887,1,0)</f>
        <v>124</v>
      </c>
      <c r="N887" s="2" t="n">
        <f aca="false">AG887+IF(SUMPRODUCT(--($AL887:$AQ887&gt;AN887))+SUMPRODUCT(--($AL887:AM887=AN887))&lt;$AK887,1,0)</f>
        <v>58</v>
      </c>
      <c r="O887" s="2" t="n">
        <f aca="false">AH887+IF(SUMPRODUCT(--($AL887:$AQ887&gt;AO887))+SUMPRODUCT(--($AL887:AN887=AO887))&lt;$AK887,1,0)</f>
        <v>89</v>
      </c>
      <c r="P887" s="2" t="n">
        <f aca="false">AI887+IF(SUMPRODUCT(--($AL887:$AQ887&gt;AP887))+SUMPRODUCT(--($AL887:AO887=AP887))&lt;$AK887,1,0)</f>
        <v>68</v>
      </c>
      <c r="Q887" s="2" t="n">
        <f aca="false">AJ887+IF(SUMPRODUCT(--($AL887:$AQ887&gt;AQ887))+SUMPRODUCT(--($AL887:AP887=AQ887))&lt;$AK887,1,0)</f>
        <v>96</v>
      </c>
      <c r="R887" s="2" t="n">
        <f aca="false">SUM(L887:Q887)</f>
        <v>500</v>
      </c>
      <c r="S887" s="2" t="n">
        <f aca="false">Settings!$B$4*MAX(INDEX(Bases!$M$2:$M$53,B887),INDEX(Bases!$M$2:$M$53,C887))+Settings!$B$5*MIN(INDEX(Bases!$M$2:$M$53,B887),INDEX(Bases!$M$2:$M$53,C887))</f>
        <v>55.6666666666667</v>
      </c>
      <c r="T887" s="2" t="n">
        <f aca="false">Settings!$B$4*MAX(INDEX(Bases!$N$2:$N$53,B887),INDEX(Bases!$N$2:$N$53,C887))+Settings!$B$5*MIN(INDEX(Bases!$N$2:$N$53,B887),INDEX(Bases!$N$2:$N$53,C887))</f>
        <v>106.333333333333</v>
      </c>
      <c r="U887" s="2" t="n">
        <f aca="false">Settings!$B$4*MAX(INDEX(Bases!$O$2:$O$53,B887),INDEX(Bases!$O$2:$O$53,C887))+Settings!$B$5*MIN(INDEX(Bases!$O$2:$O$53,B887),INDEX(Bases!$O$2:$O$53,C887))</f>
        <v>49.3333333333333</v>
      </c>
      <c r="V887" s="2" t="n">
        <f aca="false">Settings!$B$4*MAX(INDEX(Bases!$P$2:$P$53,B887),INDEX(Bases!$P$2:$P$53,C887))+Settings!$B$5*MIN(INDEX(Bases!$P$2:$P$53,B887),INDEX(Bases!$P$2:$P$53,C887))</f>
        <v>76</v>
      </c>
      <c r="W887" s="2" t="n">
        <f aca="false">Settings!$B$4*MAX(INDEX(Bases!$Q$2:$Q$53,B887),INDEX(Bases!$Q$2:$Q$53,C887))+Settings!$B$5*MIN(INDEX(Bases!$Q$2:$Q$53,B887),INDEX(Bases!$Q$2:$Q$53,C887))</f>
        <v>58.6666666666667</v>
      </c>
      <c r="X887" s="2" t="n">
        <f aca="false">Settings!$B$4*MAX(INDEX(Bases!$R$2:$R$53,B887),INDEX(Bases!$R$2:$R$53,C887))+Settings!$B$5*MIN(INDEX(Bases!$R$2:$R$53,B887),INDEX(Bases!$R$2:$R$53,C887))</f>
        <v>82</v>
      </c>
      <c r="Y887" s="2" t="n">
        <f aca="false">S887*Settings!$B$3/SUM(S887:X887)</f>
        <v>65.0311526479751</v>
      </c>
      <c r="Z887" s="2" t="n">
        <f aca="false">T887*Settings!$B$3/SUM(S887:X887)</f>
        <v>124.221183800623</v>
      </c>
      <c r="AA887" s="2" t="n">
        <f aca="false">U887*Settings!$B$3/SUM(S887:X887)</f>
        <v>57.6323987538941</v>
      </c>
      <c r="AB887" s="2" t="n">
        <f aca="false">V887*Settings!$B$3/SUM(S887:X887)</f>
        <v>88.785046728972</v>
      </c>
      <c r="AC887" s="2" t="n">
        <f aca="false">W887*Settings!$B$3/SUM(S887:X887)</f>
        <v>68.5358255451714</v>
      </c>
      <c r="AD887" s="2" t="n">
        <f aca="false">X887*Settings!$B$3/SUM(S887:X887)</f>
        <v>95.7943925233645</v>
      </c>
      <c r="AE887" s="2" t="n">
        <f aca="false">INT(Y887)</f>
        <v>65</v>
      </c>
      <c r="AF887" s="2" t="n">
        <f aca="false">INT(Z887)</f>
        <v>124</v>
      </c>
      <c r="AG887" s="2" t="n">
        <f aca="false">INT(AA887)</f>
        <v>57</v>
      </c>
      <c r="AH887" s="2" t="n">
        <f aca="false">INT(AB887)</f>
        <v>88</v>
      </c>
      <c r="AI887" s="2" t="n">
        <f aca="false">INT(AC887)</f>
        <v>68</v>
      </c>
      <c r="AJ887" s="2" t="n">
        <f aca="false">INT(AD887)</f>
        <v>95</v>
      </c>
      <c r="AK887" s="2" t="n">
        <f aca="false">Settings!$B$3-SUM(AE887:AJ887)</f>
        <v>3</v>
      </c>
      <c r="AL887" s="2" t="n">
        <f aca="false">ROUND(Y887-AE887,9)</f>
        <v>0.031152648</v>
      </c>
      <c r="AM887" s="2" t="n">
        <f aca="false">ROUND(Z887-AF887,9)</f>
        <v>0.221183801</v>
      </c>
      <c r="AN887" s="2" t="n">
        <f aca="false">ROUND(AA887-AG887,9)</f>
        <v>0.632398754</v>
      </c>
      <c r="AO887" s="2" t="n">
        <f aca="false">ROUND(AB887-AH887,9)</f>
        <v>0.785046729</v>
      </c>
      <c r="AP887" s="2" t="n">
        <f aca="false">ROUND(AC887-AI887,9)</f>
        <v>0.535825545</v>
      </c>
      <c r="AQ887" s="2" t="n">
        <f aca="false">ROUND(AD887-AJ887,9)</f>
        <v>0.794392523</v>
      </c>
    </row>
    <row r="888" customFormat="false" ht="15" hidden="false" customHeight="false" outlineLevel="0" collapsed="false">
      <c r="A888" s="2" t="n">
        <v>887</v>
      </c>
      <c r="B888" s="6" t="n">
        <v>22</v>
      </c>
      <c r="C888" s="6" t="n">
        <v>48</v>
      </c>
      <c r="D888" s="8" t="str">
        <f aca="false">INDEX(Bases!$B$2:$B$53,B888)</f>
        <v>Ekans</v>
      </c>
      <c r="E888" s="8" t="str">
        <f aca="false">INDEX(Bases!$B$2:$B$53,C888)</f>
        <v>Magnemite</v>
      </c>
      <c r="F888" s="2" t="str">
        <f aca="false">LEFT(D888,ROUNDUP(LEN(D888)/2,0))&amp;LOWER(MID(E888,ROUNDUP(LEN(E888)/2,0)+1,20))</f>
        <v>Ekamite</v>
      </c>
      <c r="G888" s="8" t="str">
        <f aca="false">INDEX(Bases!$C$2:$C$53,B888)</f>
        <v>Poison</v>
      </c>
      <c r="H888" s="8" t="str">
        <f aca="false">IF(INDEX(Bases!$C$2:$C$53,C888)=G888,"",INDEX(Bases!$C$2:$C$53,C888))</f>
        <v>Steel</v>
      </c>
      <c r="I888" s="8" t="str">
        <f aca="false">IF(INDEX(Bases!$E$2:$E$53,B888)="","",INDEX(Bases!$E$2:$E$53,B888))</f>
        <v/>
      </c>
      <c r="J888" s="8" t="str">
        <f aca="false">IF(INDEX(Bases!$E$2:$E$53,C888)="","",INDEX(Bases!$E$2:$E$53,C888))</f>
        <v/>
      </c>
      <c r="K888" s="5"/>
      <c r="L888" s="2" t="n">
        <f aca="false">AE888+IF(SUMPRODUCT(--($AL888:$AQ888&gt;AL888))&lt;$AK888,1,0)</f>
        <v>50</v>
      </c>
      <c r="M888" s="2" t="n">
        <f aca="false">AF888+IF(SUMPRODUCT(--($AL888:$AQ888&gt;AM888))+SUMPRODUCT(--($AL888:AL888=AM888))&lt;$AK888,1,0)</f>
        <v>81</v>
      </c>
      <c r="N888" s="2" t="n">
        <f aca="false">AG888+IF(SUMPRODUCT(--($AL888:$AQ888&gt;AN888))+SUMPRODUCT(--($AL888:AM888=AN888))&lt;$AK888,1,0)</f>
        <v>91</v>
      </c>
      <c r="O888" s="2" t="n">
        <f aca="false">AH888+IF(SUMPRODUCT(--($AL888:$AQ888&gt;AO888))+SUMPRODUCT(--($AL888:AN888=AO888))&lt;$AK888,1,0)</f>
        <v>113</v>
      </c>
      <c r="P888" s="2" t="n">
        <f aca="false">AI888+IF(SUMPRODUCT(--($AL888:$AQ888&gt;AP888))+SUMPRODUCT(--($AL888:AO888=AP888))&lt;$AK888,1,0)</f>
        <v>85</v>
      </c>
      <c r="Q888" s="2" t="n">
        <f aca="false">AJ888+IF(SUMPRODUCT(--($AL888:$AQ888&gt;AQ888))+SUMPRODUCT(--($AL888:AP888=AQ888))&lt;$AK888,1,0)</f>
        <v>80</v>
      </c>
      <c r="R888" s="2" t="n">
        <f aca="false">SUM(L888:Q888)</f>
        <v>500</v>
      </c>
      <c r="S888" s="2" t="n">
        <f aca="false">Settings!$B$4*MAX(INDEX(Bases!$M$2:$M$53,B888),INDEX(Bases!$M$2:$M$53,C888))+Settings!$B$5*MIN(INDEX(Bases!$M$2:$M$53,B888),INDEX(Bases!$M$2:$M$53,C888))</f>
        <v>43</v>
      </c>
      <c r="T888" s="2" t="n">
        <f aca="false">Settings!$B$4*MAX(INDEX(Bases!$N$2:$N$53,B888),INDEX(Bases!$N$2:$N$53,C888))+Settings!$B$5*MIN(INDEX(Bases!$N$2:$N$53,B888),INDEX(Bases!$N$2:$N$53,C888))</f>
        <v>69.6666666666667</v>
      </c>
      <c r="U888" s="2" t="n">
        <f aca="false">Settings!$B$4*MAX(INDEX(Bases!$O$2:$O$53,B888),INDEX(Bases!$O$2:$O$53,C888))+Settings!$B$5*MIN(INDEX(Bases!$O$2:$O$53,B888),INDEX(Bases!$O$2:$O$53,C888))</f>
        <v>77.6666666666667</v>
      </c>
      <c r="V888" s="2" t="n">
        <f aca="false">Settings!$B$4*MAX(INDEX(Bases!$P$2:$P$53,B888),INDEX(Bases!$P$2:$P$53,C888))+Settings!$B$5*MIN(INDEX(Bases!$P$2:$P$53,B888),INDEX(Bases!$P$2:$P$53,C888))</f>
        <v>96.6666666666667</v>
      </c>
      <c r="W888" s="2" t="n">
        <f aca="false">Settings!$B$4*MAX(INDEX(Bases!$Q$2:$Q$53,B888),INDEX(Bases!$Q$2:$Q$53,C888))+Settings!$B$5*MIN(INDEX(Bases!$Q$2:$Q$53,B888),INDEX(Bases!$Q$2:$Q$53,C888))</f>
        <v>72.6666666666667</v>
      </c>
      <c r="X888" s="2" t="n">
        <f aca="false">Settings!$B$4*MAX(INDEX(Bases!$R$2:$R$53,B888),INDEX(Bases!$R$2:$R$53,C888))+Settings!$B$5*MIN(INDEX(Bases!$R$2:$R$53,B888),INDEX(Bases!$R$2:$R$53,C888))</f>
        <v>69</v>
      </c>
      <c r="Y888" s="2" t="n">
        <f aca="false">S888*Settings!$B$3/SUM(S888:X888)</f>
        <v>50.1555209953344</v>
      </c>
      <c r="Z888" s="2" t="n">
        <f aca="false">T888*Settings!$B$3/SUM(S888:X888)</f>
        <v>81.2597200622084</v>
      </c>
      <c r="AA888" s="2" t="n">
        <f aca="false">U888*Settings!$B$3/SUM(S888:X888)</f>
        <v>90.5909797822706</v>
      </c>
      <c r="AB888" s="2" t="n">
        <f aca="false">V888*Settings!$B$3/SUM(S888:X888)</f>
        <v>112.752721617418</v>
      </c>
      <c r="AC888" s="2" t="n">
        <f aca="false">W888*Settings!$B$3/SUM(S888:X888)</f>
        <v>84.7589424572317</v>
      </c>
      <c r="AD888" s="2" t="n">
        <f aca="false">X888*Settings!$B$3/SUM(S888:X888)</f>
        <v>80.4821150855366</v>
      </c>
      <c r="AE888" s="2" t="n">
        <f aca="false">INT(Y888)</f>
        <v>50</v>
      </c>
      <c r="AF888" s="2" t="n">
        <f aca="false">INT(Z888)</f>
        <v>81</v>
      </c>
      <c r="AG888" s="2" t="n">
        <f aca="false">INT(AA888)</f>
        <v>90</v>
      </c>
      <c r="AH888" s="2" t="n">
        <f aca="false">INT(AB888)</f>
        <v>112</v>
      </c>
      <c r="AI888" s="2" t="n">
        <f aca="false">INT(AC888)</f>
        <v>84</v>
      </c>
      <c r="AJ888" s="2" t="n">
        <f aca="false">INT(AD888)</f>
        <v>80</v>
      </c>
      <c r="AK888" s="2" t="n">
        <f aca="false">Settings!$B$3-SUM(AE888:AJ888)</f>
        <v>3</v>
      </c>
      <c r="AL888" s="2" t="n">
        <f aca="false">ROUND(Y888-AE888,9)</f>
        <v>0.155520995</v>
      </c>
      <c r="AM888" s="2" t="n">
        <f aca="false">ROUND(Z888-AF888,9)</f>
        <v>0.259720062</v>
      </c>
      <c r="AN888" s="2" t="n">
        <f aca="false">ROUND(AA888-AG888,9)</f>
        <v>0.590979782</v>
      </c>
      <c r="AO888" s="2" t="n">
        <f aca="false">ROUND(AB888-AH888,9)</f>
        <v>0.752721617</v>
      </c>
      <c r="AP888" s="2" t="n">
        <f aca="false">ROUND(AC888-AI888,9)</f>
        <v>0.758942457</v>
      </c>
      <c r="AQ888" s="2" t="n">
        <f aca="false">ROUND(AD888-AJ888,9)</f>
        <v>0.482115086</v>
      </c>
    </row>
    <row r="889" customFormat="false" ht="15" hidden="false" customHeight="false" outlineLevel="0" collapsed="false">
      <c r="A889" s="2" t="n">
        <v>888</v>
      </c>
      <c r="B889" s="6" t="n">
        <v>22</v>
      </c>
      <c r="C889" s="6" t="n">
        <v>49</v>
      </c>
      <c r="D889" s="8" t="str">
        <f aca="false">INDEX(Bases!$B$2:$B$53,B889)</f>
        <v>Ekans</v>
      </c>
      <c r="E889" s="8" t="str">
        <f aca="false">INDEX(Bases!$B$2:$B$53,C889)</f>
        <v>Aron</v>
      </c>
      <c r="F889" s="2" t="str">
        <f aca="false">LEFT(D889,ROUNDUP(LEN(D889)/2,0))&amp;LOWER(MID(E889,ROUNDUP(LEN(E889)/2,0)+1,20))</f>
        <v>Ekaon</v>
      </c>
      <c r="G889" s="8" t="str">
        <f aca="false">INDEX(Bases!$C$2:$C$53,B889)</f>
        <v>Poison</v>
      </c>
      <c r="H889" s="8" t="str">
        <f aca="false">IF(INDEX(Bases!$C$2:$C$53,C889)=G889,"",INDEX(Bases!$C$2:$C$53,C889))</f>
        <v>Steel</v>
      </c>
      <c r="I889" s="8" t="str">
        <f aca="false">IF(INDEX(Bases!$E$2:$E$53,B889)="","",INDEX(Bases!$E$2:$E$53,B889))</f>
        <v/>
      </c>
      <c r="J889" s="8" t="str">
        <f aca="false">IF(INDEX(Bases!$E$2:$E$53,C889)="","",INDEX(Bases!$E$2:$E$53,C889))</f>
        <v/>
      </c>
      <c r="K889" s="5"/>
      <c r="L889" s="2" t="n">
        <f aca="false">AE889+IF(SUMPRODUCT(--($AL889:$AQ889&gt;AL889))&lt;$AK889,1,0)</f>
        <v>67</v>
      </c>
      <c r="M889" s="2" t="n">
        <f aca="false">AF889+IF(SUMPRODUCT(--($AL889:$AQ889&gt;AM889))+SUMPRODUCT(--($AL889:AL889=AM889))&lt;$AK889,1,0)</f>
        <v>99</v>
      </c>
      <c r="N889" s="2" t="n">
        <f aca="false">AG889+IF(SUMPRODUCT(--($AL889:$AQ889&gt;AN889))+SUMPRODUCT(--($AL889:AM889=AN889))&lt;$AK889,1,0)</f>
        <v>119</v>
      </c>
      <c r="O889" s="2" t="n">
        <f aca="false">AH889+IF(SUMPRODUCT(--($AL889:$AQ889&gt;AO889))+SUMPRODUCT(--($AL889:AN889=AO889))&lt;$AK889,1,0)</f>
        <v>63</v>
      </c>
      <c r="P889" s="2" t="n">
        <f aca="false">AI889+IF(SUMPRODUCT(--($AL889:$AQ889&gt;AP889))+SUMPRODUCT(--($AL889:AO889=AP889))&lt;$AK889,1,0)</f>
        <v>78</v>
      </c>
      <c r="Q889" s="2" t="n">
        <f aca="false">AJ889+IF(SUMPRODUCT(--($AL889:$AQ889&gt;AQ889))+SUMPRODUCT(--($AL889:AP889=AQ889))&lt;$AK889,1,0)</f>
        <v>74</v>
      </c>
      <c r="R889" s="2" t="n">
        <f aca="false">SUM(L889:Q889)</f>
        <v>500</v>
      </c>
      <c r="S889" s="2" t="n">
        <f aca="false">Settings!$B$4*MAX(INDEX(Bases!$M$2:$M$53,B889),INDEX(Bases!$M$2:$M$53,C889))+Settings!$B$5*MIN(INDEX(Bases!$M$2:$M$53,B889),INDEX(Bases!$M$2:$M$53,C889))</f>
        <v>57</v>
      </c>
      <c r="T889" s="2" t="n">
        <f aca="false">Settings!$B$4*MAX(INDEX(Bases!$N$2:$N$53,B889),INDEX(Bases!$N$2:$N$53,C889))+Settings!$B$5*MIN(INDEX(Bases!$N$2:$N$53,B889),INDEX(Bases!$N$2:$N$53,C889))</f>
        <v>84.3333333333333</v>
      </c>
      <c r="U889" s="2" t="n">
        <f aca="false">Settings!$B$4*MAX(INDEX(Bases!$O$2:$O$53,B889),INDEX(Bases!$O$2:$O$53,C889))+Settings!$B$5*MIN(INDEX(Bases!$O$2:$O$53,B889),INDEX(Bases!$O$2:$O$53,C889))</f>
        <v>101</v>
      </c>
      <c r="V889" s="2" t="n">
        <f aca="false">Settings!$B$4*MAX(INDEX(Bases!$P$2:$P$53,B889),INDEX(Bases!$P$2:$P$53,C889))+Settings!$B$5*MIN(INDEX(Bases!$P$2:$P$53,B889),INDEX(Bases!$P$2:$P$53,C889))</f>
        <v>53.6666666666667</v>
      </c>
      <c r="W889" s="2" t="n">
        <f aca="false">Settings!$B$4*MAX(INDEX(Bases!$Q$2:$Q$53,B889),INDEX(Bases!$Q$2:$Q$53,C889))+Settings!$B$5*MIN(INDEX(Bases!$Q$2:$Q$53,B889),INDEX(Bases!$Q$2:$Q$53,C889))</f>
        <v>66</v>
      </c>
      <c r="X889" s="2" t="n">
        <f aca="false">Settings!$B$4*MAX(INDEX(Bases!$R$2:$R$53,B889),INDEX(Bases!$R$2:$R$53,C889))+Settings!$B$5*MIN(INDEX(Bases!$R$2:$R$53,B889),INDEX(Bases!$R$2:$R$53,C889))</f>
        <v>62.6666666666667</v>
      </c>
      <c r="Y889" s="2" t="n">
        <f aca="false">S889*Settings!$B$3/SUM(S889:X889)</f>
        <v>67.1114599686028</v>
      </c>
      <c r="Z889" s="2" t="n">
        <f aca="false">T889*Settings!$B$3/SUM(S889:X889)</f>
        <v>99.2935635792779</v>
      </c>
      <c r="AA889" s="2" t="n">
        <f aca="false">U889*Settings!$B$3/SUM(S889:X889)</f>
        <v>118.916797488226</v>
      </c>
      <c r="AB889" s="2" t="n">
        <f aca="false">V889*Settings!$B$3/SUM(S889:X889)</f>
        <v>63.1868131868132</v>
      </c>
      <c r="AC889" s="2" t="n">
        <f aca="false">W889*Settings!$B$3/SUM(S889:X889)</f>
        <v>77.7080062794348</v>
      </c>
      <c r="AD889" s="2" t="n">
        <f aca="false">X889*Settings!$B$3/SUM(S889:X889)</f>
        <v>73.7833594976452</v>
      </c>
      <c r="AE889" s="2" t="n">
        <f aca="false">INT(Y889)</f>
        <v>67</v>
      </c>
      <c r="AF889" s="2" t="n">
        <f aca="false">INT(Z889)</f>
        <v>99</v>
      </c>
      <c r="AG889" s="2" t="n">
        <f aca="false">INT(AA889)</f>
        <v>118</v>
      </c>
      <c r="AH889" s="2" t="n">
        <f aca="false">INT(AB889)</f>
        <v>63</v>
      </c>
      <c r="AI889" s="2" t="n">
        <f aca="false">INT(AC889)</f>
        <v>77</v>
      </c>
      <c r="AJ889" s="2" t="n">
        <f aca="false">INT(AD889)</f>
        <v>73</v>
      </c>
      <c r="AK889" s="2" t="n">
        <f aca="false">Settings!$B$3-SUM(AE889:AJ889)</f>
        <v>3</v>
      </c>
      <c r="AL889" s="2" t="n">
        <f aca="false">ROUND(Y889-AE889,9)</f>
        <v>0.111459969</v>
      </c>
      <c r="AM889" s="2" t="n">
        <f aca="false">ROUND(Z889-AF889,9)</f>
        <v>0.293563579</v>
      </c>
      <c r="AN889" s="2" t="n">
        <f aca="false">ROUND(AA889-AG889,9)</f>
        <v>0.916797488</v>
      </c>
      <c r="AO889" s="2" t="n">
        <f aca="false">ROUND(AB889-AH889,9)</f>
        <v>0.186813187</v>
      </c>
      <c r="AP889" s="2" t="n">
        <f aca="false">ROUND(AC889-AI889,9)</f>
        <v>0.708006279</v>
      </c>
      <c r="AQ889" s="2" t="n">
        <f aca="false">ROUND(AD889-AJ889,9)</f>
        <v>0.783359498</v>
      </c>
    </row>
    <row r="890" customFormat="false" ht="15" hidden="false" customHeight="false" outlineLevel="0" collapsed="false">
      <c r="A890" s="2" t="n">
        <v>889</v>
      </c>
      <c r="B890" s="6" t="n">
        <v>22</v>
      </c>
      <c r="C890" s="6" t="n">
        <v>50</v>
      </c>
      <c r="D890" s="8" t="str">
        <f aca="false">INDEX(Bases!$B$2:$B$53,B890)</f>
        <v>Ekans</v>
      </c>
      <c r="E890" s="8" t="str">
        <f aca="false">INDEX(Bases!$B$2:$B$53,C890)</f>
        <v>Beldum</v>
      </c>
      <c r="F890" s="2" t="str">
        <f aca="false">LEFT(D890,ROUNDUP(LEN(D890)/2,0))&amp;LOWER(MID(E890,ROUNDUP(LEN(E890)/2,0)+1,20))</f>
        <v>Ekadum</v>
      </c>
      <c r="G890" s="8" t="str">
        <f aca="false">INDEX(Bases!$C$2:$C$53,B890)</f>
        <v>Poison</v>
      </c>
      <c r="H890" s="8" t="str">
        <f aca="false">IF(INDEX(Bases!$C$2:$C$53,C890)=G890,"",INDEX(Bases!$C$2:$C$53,C890))</f>
        <v>Steel</v>
      </c>
      <c r="I890" s="8" t="str">
        <f aca="false">IF(INDEX(Bases!$E$2:$E$53,B890)="","",INDEX(Bases!$E$2:$E$53,B890))</f>
        <v/>
      </c>
      <c r="J890" s="8" t="str">
        <f aca="false">IF(INDEX(Bases!$E$2:$E$53,C890)="","",INDEX(Bases!$E$2:$E$53,C890))</f>
        <v/>
      </c>
      <c r="K890" s="5"/>
      <c r="L890" s="2" t="n">
        <f aca="false">AE890+IF(SUMPRODUCT(--($AL890:$AQ890&gt;AL890))&lt;$AK890,1,0)</f>
        <v>62</v>
      </c>
      <c r="M890" s="2" t="n">
        <f aca="false">AF890+IF(SUMPRODUCT(--($AL890:$AQ890&gt;AM890))+SUMPRODUCT(--($AL890:AL890=AM890))&lt;$AK890,1,0)</f>
        <v>95</v>
      </c>
      <c r="N890" s="2" t="n">
        <f aca="false">AG890+IF(SUMPRODUCT(--($AL890:$AQ890&gt;AN890))+SUMPRODUCT(--($AL890:AM890=AN890))&lt;$AK890,1,0)</f>
        <v>110</v>
      </c>
      <c r="O890" s="2" t="n">
        <f aca="false">AH890+IF(SUMPRODUCT(--($AL890:$AQ890&gt;AO890))+SUMPRODUCT(--($AL890:AN890=AO890))&lt;$AK890,1,0)</f>
        <v>63</v>
      </c>
      <c r="P890" s="2" t="n">
        <f aca="false">AI890+IF(SUMPRODUCT(--($AL890:$AQ890&gt;AP890))+SUMPRODUCT(--($AL890:AO890=AP890))&lt;$AK890,1,0)</f>
        <v>94</v>
      </c>
      <c r="Q890" s="2" t="n">
        <f aca="false">AJ890+IF(SUMPRODUCT(--($AL890:$AQ890&gt;AQ890))+SUMPRODUCT(--($AL890:AP890=AQ890))&lt;$AK890,1,0)</f>
        <v>76</v>
      </c>
      <c r="R890" s="2" t="n">
        <f aca="false">SUM(L890:Q890)</f>
        <v>500</v>
      </c>
      <c r="S890" s="2" t="n">
        <f aca="false">Settings!$B$4*MAX(INDEX(Bases!$M$2:$M$53,B890),INDEX(Bases!$M$2:$M$53,C890))+Settings!$B$5*MIN(INDEX(Bases!$M$2:$M$53,B890),INDEX(Bases!$M$2:$M$53,C890))</f>
        <v>51.6666666666667</v>
      </c>
      <c r="T890" s="2" t="n">
        <f aca="false">Settings!$B$4*MAX(INDEX(Bases!$N$2:$N$53,B890),INDEX(Bases!$N$2:$N$53,C890))+Settings!$B$5*MIN(INDEX(Bases!$N$2:$N$53,B890),INDEX(Bases!$N$2:$N$53,C890))</f>
        <v>79.6666666666667</v>
      </c>
      <c r="U890" s="2" t="n">
        <f aca="false">Settings!$B$4*MAX(INDEX(Bases!$O$2:$O$53,B890),INDEX(Bases!$O$2:$O$53,C890))+Settings!$B$5*MIN(INDEX(Bases!$O$2:$O$53,B890),INDEX(Bases!$O$2:$O$53,C890))</f>
        <v>91.6666666666667</v>
      </c>
      <c r="V890" s="2" t="n">
        <f aca="false">Settings!$B$4*MAX(INDEX(Bases!$P$2:$P$53,B890),INDEX(Bases!$P$2:$P$53,C890))+Settings!$B$5*MIN(INDEX(Bases!$P$2:$P$53,B890),INDEX(Bases!$P$2:$P$53,C890))</f>
        <v>53</v>
      </c>
      <c r="W890" s="2" t="n">
        <f aca="false">Settings!$B$4*MAX(INDEX(Bases!$Q$2:$Q$53,B890),INDEX(Bases!$Q$2:$Q$53,C890))+Settings!$B$5*MIN(INDEX(Bases!$Q$2:$Q$53,B890),INDEX(Bases!$Q$2:$Q$53,C890))</f>
        <v>78.3333333333333</v>
      </c>
      <c r="X890" s="2" t="n">
        <f aca="false">Settings!$B$4*MAX(INDEX(Bases!$R$2:$R$53,B890),INDEX(Bases!$R$2:$R$53,C890))+Settings!$B$5*MIN(INDEX(Bases!$R$2:$R$53,B890),INDEX(Bases!$R$2:$R$53,C890))</f>
        <v>64</v>
      </c>
      <c r="Y890" s="2" t="n">
        <f aca="false">S890*Settings!$B$3/SUM(S890:X890)</f>
        <v>61.7529880478088</v>
      </c>
      <c r="Z890" s="2" t="n">
        <f aca="false">T890*Settings!$B$3/SUM(S890:X890)</f>
        <v>95.2191235059761</v>
      </c>
      <c r="AA890" s="2" t="n">
        <f aca="false">U890*Settings!$B$3/SUM(S890:X890)</f>
        <v>109.561752988048</v>
      </c>
      <c r="AB890" s="2" t="n">
        <f aca="false">V890*Settings!$B$3/SUM(S890:X890)</f>
        <v>63.3466135458167</v>
      </c>
      <c r="AC890" s="2" t="n">
        <f aca="false">W890*Settings!$B$3/SUM(S890:X890)</f>
        <v>93.6254980079681</v>
      </c>
      <c r="AD890" s="2" t="n">
        <f aca="false">X890*Settings!$B$3/SUM(S890:X890)</f>
        <v>76.4940239043825</v>
      </c>
      <c r="AE890" s="2" t="n">
        <f aca="false">INT(Y890)</f>
        <v>61</v>
      </c>
      <c r="AF890" s="2" t="n">
        <f aca="false">INT(Z890)</f>
        <v>95</v>
      </c>
      <c r="AG890" s="2" t="n">
        <f aca="false">INT(AA890)</f>
        <v>109</v>
      </c>
      <c r="AH890" s="2" t="n">
        <f aca="false">INT(AB890)</f>
        <v>63</v>
      </c>
      <c r="AI890" s="2" t="n">
        <f aca="false">INT(AC890)</f>
        <v>93</v>
      </c>
      <c r="AJ890" s="2" t="n">
        <f aca="false">INT(AD890)</f>
        <v>76</v>
      </c>
      <c r="AK890" s="2" t="n">
        <f aca="false">Settings!$B$3-SUM(AE890:AJ890)</f>
        <v>3</v>
      </c>
      <c r="AL890" s="2" t="n">
        <f aca="false">ROUND(Y890-AE890,9)</f>
        <v>0.752988048</v>
      </c>
      <c r="AM890" s="2" t="n">
        <f aca="false">ROUND(Z890-AF890,9)</f>
        <v>0.219123506</v>
      </c>
      <c r="AN890" s="2" t="n">
        <f aca="false">ROUND(AA890-AG890,9)</f>
        <v>0.561752988</v>
      </c>
      <c r="AO890" s="2" t="n">
        <f aca="false">ROUND(AB890-AH890,9)</f>
        <v>0.346613546</v>
      </c>
      <c r="AP890" s="2" t="n">
        <f aca="false">ROUND(AC890-AI890,9)</f>
        <v>0.625498008</v>
      </c>
      <c r="AQ890" s="2" t="n">
        <f aca="false">ROUND(AD890-AJ890,9)</f>
        <v>0.494023904</v>
      </c>
    </row>
    <row r="891" customFormat="false" ht="15" hidden="false" customHeight="false" outlineLevel="0" collapsed="false">
      <c r="A891" s="2" t="n">
        <v>890</v>
      </c>
      <c r="B891" s="6" t="n">
        <v>22</v>
      </c>
      <c r="C891" s="6" t="n">
        <v>51</v>
      </c>
      <c r="D891" s="8" t="str">
        <f aca="false">INDEX(Bases!$B$2:$B$53,B891)</f>
        <v>Ekans</v>
      </c>
      <c r="E891" s="8" t="str">
        <f aca="false">INDEX(Bases!$B$2:$B$53,C891)</f>
        <v>Cleffa</v>
      </c>
      <c r="F891" s="2" t="str">
        <f aca="false">LEFT(D891,ROUNDUP(LEN(D891)/2,0))&amp;LOWER(MID(E891,ROUNDUP(LEN(E891)/2,0)+1,20))</f>
        <v>Ekaffa</v>
      </c>
      <c r="G891" s="8" t="str">
        <f aca="false">INDEX(Bases!$C$2:$C$53,B891)</f>
        <v>Poison</v>
      </c>
      <c r="H891" s="8" t="str">
        <f aca="false">IF(INDEX(Bases!$C$2:$C$53,C891)=G891,"",INDEX(Bases!$C$2:$C$53,C891))</f>
        <v>Fairy</v>
      </c>
      <c r="I891" s="8" t="str">
        <f aca="false">IF(INDEX(Bases!$E$2:$E$53,B891)="","",INDEX(Bases!$E$2:$E$53,B891))</f>
        <v/>
      </c>
      <c r="J891" s="8" t="str">
        <f aca="false">IF(INDEX(Bases!$E$2:$E$53,C891)="","",INDEX(Bases!$E$2:$E$53,C891))</f>
        <v/>
      </c>
      <c r="K891" s="5"/>
      <c r="L891" s="2" t="n">
        <f aca="false">AE891+IF(SUMPRODUCT(--($AL891:$AQ891&gt;AL891))&lt;$AK891,1,0)</f>
        <v>90</v>
      </c>
      <c r="M891" s="2" t="n">
        <f aca="false">AF891+IF(SUMPRODUCT(--($AL891:$AQ891&gt;AM891))+SUMPRODUCT(--($AL891:AL891=AM891))&lt;$AK891,1,0)</f>
        <v>82</v>
      </c>
      <c r="N891" s="2" t="n">
        <f aca="false">AG891+IF(SUMPRODUCT(--($AL891:$AQ891&gt;AN891))+SUMPRODUCT(--($AL891:AM891=AN891))&lt;$AK891,1,0)</f>
        <v>67</v>
      </c>
      <c r="O891" s="2" t="n">
        <f aca="false">AH891+IF(SUMPRODUCT(--($AL891:$AQ891&gt;AO891))+SUMPRODUCT(--($AL891:AN891=AO891))&lt;$AK891,1,0)</f>
        <v>85</v>
      </c>
      <c r="P891" s="2" t="n">
        <f aca="false">AI891+IF(SUMPRODUCT(--($AL891:$AQ891&gt;AP891))+SUMPRODUCT(--($AL891:AO891=AP891))&lt;$AK891,1,0)</f>
        <v>107</v>
      </c>
      <c r="Q891" s="2" t="n">
        <f aca="false">AJ891+IF(SUMPRODUCT(--($AL891:$AQ891&gt;AQ891))+SUMPRODUCT(--($AL891:AP891=AQ891))&lt;$AK891,1,0)</f>
        <v>69</v>
      </c>
      <c r="R891" s="2" t="n">
        <f aca="false">SUM(L891:Q891)</f>
        <v>500</v>
      </c>
      <c r="S891" s="2" t="n">
        <f aca="false">Settings!$B$4*MAX(INDEX(Bases!$M$2:$M$53,B891),INDEX(Bases!$M$2:$M$53,C891))+Settings!$B$5*MIN(INDEX(Bases!$M$2:$M$53,B891),INDEX(Bases!$M$2:$M$53,C891))</f>
        <v>77.6666666666667</v>
      </c>
      <c r="T891" s="2" t="n">
        <f aca="false">Settings!$B$4*MAX(INDEX(Bases!$N$2:$N$53,B891),INDEX(Bases!$N$2:$N$53,C891))+Settings!$B$5*MIN(INDEX(Bases!$N$2:$N$53,B891),INDEX(Bases!$N$2:$N$53,C891))</f>
        <v>70.6666666666667</v>
      </c>
      <c r="U891" s="2" t="n">
        <f aca="false">Settings!$B$4*MAX(INDEX(Bases!$O$2:$O$53,B891),INDEX(Bases!$O$2:$O$53,C891))+Settings!$B$5*MIN(INDEX(Bases!$O$2:$O$53,B891),INDEX(Bases!$O$2:$O$53,C891))</f>
        <v>57.6666666666667</v>
      </c>
      <c r="V891" s="2" t="n">
        <f aca="false">Settings!$B$4*MAX(INDEX(Bases!$P$2:$P$53,B891),INDEX(Bases!$P$2:$P$53,C891))+Settings!$B$5*MIN(INDEX(Bases!$P$2:$P$53,B891),INDEX(Bases!$P$2:$P$53,C891))</f>
        <v>74</v>
      </c>
      <c r="W891" s="2" t="n">
        <f aca="false">Settings!$B$4*MAX(INDEX(Bases!$Q$2:$Q$53,B891),INDEX(Bases!$Q$2:$Q$53,C891))+Settings!$B$5*MIN(INDEX(Bases!$Q$2:$Q$53,B891),INDEX(Bases!$Q$2:$Q$53,C891))</f>
        <v>92.3333333333333</v>
      </c>
      <c r="X891" s="2" t="n">
        <f aca="false">Settings!$B$4*MAX(INDEX(Bases!$R$2:$R$53,B891),INDEX(Bases!$R$2:$R$53,C891))+Settings!$B$5*MIN(INDEX(Bases!$R$2:$R$53,B891),INDEX(Bases!$R$2:$R$53,C891))</f>
        <v>59.6666666666667</v>
      </c>
      <c r="Y891" s="2" t="n">
        <f aca="false">S891*Settings!$B$3/SUM(S891:X891)</f>
        <v>89.891975308642</v>
      </c>
      <c r="Z891" s="2" t="n">
        <f aca="false">T891*Settings!$B$3/SUM(S891:X891)</f>
        <v>81.7901234567901</v>
      </c>
      <c r="AA891" s="2" t="n">
        <f aca="false">U891*Settings!$B$3/SUM(S891:X891)</f>
        <v>66.7438271604938</v>
      </c>
      <c r="AB891" s="2" t="n">
        <f aca="false">V891*Settings!$B$3/SUM(S891:X891)</f>
        <v>85.6481481481482</v>
      </c>
      <c r="AC891" s="2" t="n">
        <f aca="false">W891*Settings!$B$3/SUM(S891:X891)</f>
        <v>106.867283950617</v>
      </c>
      <c r="AD891" s="2" t="n">
        <f aca="false">X891*Settings!$B$3/SUM(S891:X891)</f>
        <v>69.0586419753087</v>
      </c>
      <c r="AE891" s="2" t="n">
        <f aca="false">INT(Y891)</f>
        <v>89</v>
      </c>
      <c r="AF891" s="2" t="n">
        <f aca="false">INT(Z891)</f>
        <v>81</v>
      </c>
      <c r="AG891" s="2" t="n">
        <f aca="false">INT(AA891)</f>
        <v>66</v>
      </c>
      <c r="AH891" s="2" t="n">
        <f aca="false">INT(AB891)</f>
        <v>85</v>
      </c>
      <c r="AI891" s="2" t="n">
        <f aca="false">INT(AC891)</f>
        <v>106</v>
      </c>
      <c r="AJ891" s="2" t="n">
        <f aca="false">INT(AD891)</f>
        <v>69</v>
      </c>
      <c r="AK891" s="2" t="n">
        <f aca="false">Settings!$B$3-SUM(AE891:AJ891)</f>
        <v>4</v>
      </c>
      <c r="AL891" s="2" t="n">
        <f aca="false">ROUND(Y891-AE891,9)</f>
        <v>0.891975309</v>
      </c>
      <c r="AM891" s="2" t="n">
        <f aca="false">ROUND(Z891-AF891,9)</f>
        <v>0.790123457</v>
      </c>
      <c r="AN891" s="2" t="n">
        <f aca="false">ROUND(AA891-AG891,9)</f>
        <v>0.74382716</v>
      </c>
      <c r="AO891" s="2" t="n">
        <f aca="false">ROUND(AB891-AH891,9)</f>
        <v>0.648148148</v>
      </c>
      <c r="AP891" s="2" t="n">
        <f aca="false">ROUND(AC891-AI891,9)</f>
        <v>0.867283951</v>
      </c>
      <c r="AQ891" s="2" t="n">
        <f aca="false">ROUND(AD891-AJ891,9)</f>
        <v>0.058641975</v>
      </c>
    </row>
    <row r="892" customFormat="false" ht="15" hidden="false" customHeight="false" outlineLevel="0" collapsed="false">
      <c r="A892" s="2" t="n">
        <v>891</v>
      </c>
      <c r="B892" s="6" t="n">
        <v>22</v>
      </c>
      <c r="C892" s="6" t="n">
        <v>52</v>
      </c>
      <c r="D892" s="8" t="str">
        <f aca="false">INDEX(Bases!$B$2:$B$53,B892)</f>
        <v>Ekans</v>
      </c>
      <c r="E892" s="8" t="str">
        <f aca="false">INDEX(Bases!$B$2:$B$53,C892)</f>
        <v>Togepi</v>
      </c>
      <c r="F892" s="2" t="str">
        <f aca="false">LEFT(D892,ROUNDUP(LEN(D892)/2,0))&amp;LOWER(MID(E892,ROUNDUP(LEN(E892)/2,0)+1,20))</f>
        <v>Ekaepi</v>
      </c>
      <c r="G892" s="8" t="str">
        <f aca="false">INDEX(Bases!$C$2:$C$53,B892)</f>
        <v>Poison</v>
      </c>
      <c r="H892" s="8" t="str">
        <f aca="false">IF(INDEX(Bases!$C$2:$C$53,C892)=G892,"",INDEX(Bases!$C$2:$C$53,C892))</f>
        <v>Fairy</v>
      </c>
      <c r="I892" s="8" t="str">
        <f aca="false">IF(INDEX(Bases!$E$2:$E$53,B892)="","",INDEX(Bases!$E$2:$E$53,B892))</f>
        <v/>
      </c>
      <c r="J892" s="8" t="str">
        <f aca="false">IF(INDEX(Bases!$E$2:$E$53,C892)="","",INDEX(Bases!$E$2:$E$53,C892))</f>
        <v/>
      </c>
      <c r="K892" s="5"/>
      <c r="L892" s="2" t="n">
        <f aca="false">AE892+IF(SUMPRODUCT(--($AL892:$AQ892&gt;AL892))&lt;$AK892,1,0)</f>
        <v>63</v>
      </c>
      <c r="M892" s="2" t="n">
        <f aca="false">AF892+IF(SUMPRODUCT(--($AL892:$AQ892&gt;AM892))+SUMPRODUCT(--($AL892:AL892=AM892))&lt;$AK892,1,0)</f>
        <v>77</v>
      </c>
      <c r="N892" s="2" t="n">
        <f aca="false">AG892+IF(SUMPRODUCT(--($AL892:$AQ892&gt;AN892))+SUMPRODUCT(--($AL892:AM892=AN892))&lt;$AK892,1,0)</f>
        <v>106</v>
      </c>
      <c r="O892" s="2" t="n">
        <f aca="false">AH892+IF(SUMPRODUCT(--($AL892:$AQ892&gt;AO892))+SUMPRODUCT(--($AL892:AN892=AO892))&lt;$AK892,1,0)</f>
        <v>72</v>
      </c>
      <c r="P892" s="2" t="n">
        <f aca="false">AI892+IF(SUMPRODUCT(--($AL892:$AQ892&gt;AP892))+SUMPRODUCT(--($AL892:AO892=AP892))&lt;$AK892,1,0)</f>
        <v>111</v>
      </c>
      <c r="Q892" s="2" t="n">
        <f aca="false">AJ892+IF(SUMPRODUCT(--($AL892:$AQ892&gt;AQ892))+SUMPRODUCT(--($AL892:AP892=AQ892))&lt;$AK892,1,0)</f>
        <v>71</v>
      </c>
      <c r="R892" s="2" t="n">
        <f aca="false">SUM(L892:Q892)</f>
        <v>500</v>
      </c>
      <c r="S892" s="2" t="n">
        <f aca="false">Settings!$B$4*MAX(INDEX(Bases!$M$2:$M$53,B892),INDEX(Bases!$M$2:$M$53,C892))+Settings!$B$5*MIN(INDEX(Bases!$M$2:$M$53,B892),INDEX(Bases!$M$2:$M$53,C892))</f>
        <v>54.3333333333333</v>
      </c>
      <c r="T892" s="2" t="n">
        <f aca="false">Settings!$B$4*MAX(INDEX(Bases!$N$2:$N$53,B892),INDEX(Bases!$N$2:$N$53,C892))+Settings!$B$5*MIN(INDEX(Bases!$N$2:$N$53,B892),INDEX(Bases!$N$2:$N$53,C892))</f>
        <v>66.3333333333333</v>
      </c>
      <c r="U892" s="2" t="n">
        <f aca="false">Settings!$B$4*MAX(INDEX(Bases!$O$2:$O$53,B892),INDEX(Bases!$O$2:$O$53,C892))+Settings!$B$5*MIN(INDEX(Bases!$O$2:$O$53,B892),INDEX(Bases!$O$2:$O$53,C892))</f>
        <v>91</v>
      </c>
      <c r="V892" s="2" t="n">
        <f aca="false">Settings!$B$4*MAX(INDEX(Bases!$P$2:$P$53,B892),INDEX(Bases!$P$2:$P$53,C892))+Settings!$B$5*MIN(INDEX(Bases!$P$2:$P$53,B892),INDEX(Bases!$P$2:$P$53,C892))</f>
        <v>62</v>
      </c>
      <c r="W892" s="2" t="n">
        <f aca="false">Settings!$B$4*MAX(INDEX(Bases!$Q$2:$Q$53,B892),INDEX(Bases!$Q$2:$Q$53,C892))+Settings!$B$5*MIN(INDEX(Bases!$Q$2:$Q$53,B892),INDEX(Bases!$Q$2:$Q$53,C892))</f>
        <v>95.6666666666667</v>
      </c>
      <c r="X892" s="2" t="n">
        <f aca="false">Settings!$B$4*MAX(INDEX(Bases!$R$2:$R$53,B892),INDEX(Bases!$R$2:$R$53,C892))+Settings!$B$5*MIN(INDEX(Bases!$R$2:$R$53,B892),INDEX(Bases!$R$2:$R$53,C892))</f>
        <v>61.6666666666667</v>
      </c>
      <c r="Y892" s="2" t="n">
        <f aca="false">S892*Settings!$B$3/SUM(S892:X892)</f>
        <v>63.0317092034029</v>
      </c>
      <c r="Z892" s="2" t="n">
        <f aca="false">T892*Settings!$B$3/SUM(S892:X892)</f>
        <v>76.9528228924981</v>
      </c>
      <c r="AA892" s="2" t="n">
        <f aca="false">U892*Settings!$B$3/SUM(S892:X892)</f>
        <v>105.568445475638</v>
      </c>
      <c r="AB892" s="2" t="n">
        <f aca="false">V892*Settings!$B$3/SUM(S892:X892)</f>
        <v>71.9257540603248</v>
      </c>
      <c r="AC892" s="2" t="n">
        <f aca="false">W892*Settings!$B$3/SUM(S892:X892)</f>
        <v>110.982211910286</v>
      </c>
      <c r="AD892" s="2" t="n">
        <f aca="false">X892*Settings!$B$3/SUM(S892:X892)</f>
        <v>71.53905645785</v>
      </c>
      <c r="AE892" s="2" t="n">
        <f aca="false">INT(Y892)</f>
        <v>63</v>
      </c>
      <c r="AF892" s="2" t="n">
        <f aca="false">INT(Z892)</f>
        <v>76</v>
      </c>
      <c r="AG892" s="2" t="n">
        <f aca="false">INT(AA892)</f>
        <v>105</v>
      </c>
      <c r="AH892" s="2" t="n">
        <f aca="false">INT(AB892)</f>
        <v>71</v>
      </c>
      <c r="AI892" s="2" t="n">
        <f aca="false">INT(AC892)</f>
        <v>110</v>
      </c>
      <c r="AJ892" s="2" t="n">
        <f aca="false">INT(AD892)</f>
        <v>71</v>
      </c>
      <c r="AK892" s="2" t="n">
        <f aca="false">Settings!$B$3-SUM(AE892:AJ892)</f>
        <v>4</v>
      </c>
      <c r="AL892" s="2" t="n">
        <f aca="false">ROUND(Y892-AE892,9)</f>
        <v>0.031709203</v>
      </c>
      <c r="AM892" s="2" t="n">
        <f aca="false">ROUND(Z892-AF892,9)</f>
        <v>0.952822892</v>
      </c>
      <c r="AN892" s="2" t="n">
        <f aca="false">ROUND(AA892-AG892,9)</f>
        <v>0.568445476</v>
      </c>
      <c r="AO892" s="2" t="n">
        <f aca="false">ROUND(AB892-AH892,9)</f>
        <v>0.92575406</v>
      </c>
      <c r="AP892" s="2" t="n">
        <f aca="false">ROUND(AC892-AI892,9)</f>
        <v>0.98221191</v>
      </c>
      <c r="AQ892" s="2" t="n">
        <f aca="false">ROUND(AD892-AJ892,9)</f>
        <v>0.539056458</v>
      </c>
    </row>
    <row r="893" customFormat="false" ht="15" hidden="false" customHeight="false" outlineLevel="0" collapsed="false">
      <c r="A893" s="2" t="n">
        <v>892</v>
      </c>
      <c r="B893" s="6" t="n">
        <v>23</v>
      </c>
      <c r="C893" s="6" t="n">
        <v>24</v>
      </c>
      <c r="D893" s="8" t="str">
        <f aca="false">INDEX(Bases!$B$2:$B$53,B893)</f>
        <v>Gulpin</v>
      </c>
      <c r="E893" s="8" t="str">
        <f aca="false">INDEX(Bases!$B$2:$B$53,C893)</f>
        <v>Koffing</v>
      </c>
      <c r="F893" s="2" t="str">
        <f aca="false">LEFT(D893,ROUNDUP(LEN(D893)/2,0))&amp;LOWER(MID(E893,ROUNDUP(LEN(E893)/2,0)+1,20))</f>
        <v>Guling</v>
      </c>
      <c r="G893" s="8" t="str">
        <f aca="false">INDEX(Bases!$C$2:$C$53,B893)</f>
        <v>Poison</v>
      </c>
      <c r="H893" s="8" t="str">
        <f aca="false">IF(INDEX(Bases!$C$2:$C$53,C893)=G893,"",INDEX(Bases!$C$2:$C$53,C893))</f>
        <v/>
      </c>
      <c r="I893" s="8" t="str">
        <f aca="false">IF(INDEX(Bases!$E$2:$E$53,B893)="","",INDEX(Bases!$E$2:$E$53,B893))</f>
        <v/>
      </c>
      <c r="J893" s="8" t="str">
        <f aca="false">IF(INDEX(Bases!$E$2:$E$53,C893)="","",INDEX(Bases!$E$2:$E$53,C893))</f>
        <v/>
      </c>
      <c r="K893" s="5"/>
      <c r="L893" s="2" t="n">
        <f aca="false">AE893+IF(SUMPRODUCT(--($AL893:$AQ893&gt;AL893))&lt;$AK893,1,0)</f>
        <v>91</v>
      </c>
      <c r="M893" s="2" t="n">
        <f aca="false">AF893+IF(SUMPRODUCT(--($AL893:$AQ893&gt;AM893))+SUMPRODUCT(--($AL893:AL893=AM893))&lt;$AK893,1,0)</f>
        <v>82</v>
      </c>
      <c r="N893" s="2" t="n">
        <f aca="false">AG893+IF(SUMPRODUCT(--($AL893:$AQ893&gt;AN893))+SUMPRODUCT(--($AL893:AM893=AN893))&lt;$AK893,1,0)</f>
        <v>115</v>
      </c>
      <c r="O893" s="2" t="n">
        <f aca="false">AH893+IF(SUMPRODUCT(--($AL893:$AQ893&gt;AO893))+SUMPRODUCT(--($AL893:AN893=AO893))&lt;$AK893,1,0)</f>
        <v>78</v>
      </c>
      <c r="P893" s="2" t="n">
        <f aca="false">AI893+IF(SUMPRODUCT(--($AL893:$AQ893&gt;AP893))+SUMPRODUCT(--($AL893:AO893=AP893))&lt;$AK893,1,0)</f>
        <v>76</v>
      </c>
      <c r="Q893" s="2" t="n">
        <f aca="false">AJ893+IF(SUMPRODUCT(--($AL893:$AQ893&gt;AQ893))+SUMPRODUCT(--($AL893:AP893=AQ893))&lt;$AK893,1,0)</f>
        <v>58</v>
      </c>
      <c r="R893" s="2" t="n">
        <f aca="false">SUM(L893:Q893)</f>
        <v>500</v>
      </c>
      <c r="S893" s="2" t="n">
        <f aca="false">Settings!$B$4*MAX(INDEX(Bases!$M$2:$M$53,B893),INDEX(Bases!$M$2:$M$53,C893))+Settings!$B$5*MIN(INDEX(Bases!$M$2:$M$53,B893),INDEX(Bases!$M$2:$M$53,C893))</f>
        <v>77.6666666666667</v>
      </c>
      <c r="T893" s="2" t="n">
        <f aca="false">Settings!$B$4*MAX(INDEX(Bases!$N$2:$N$53,B893),INDEX(Bases!$N$2:$N$53,C893))+Settings!$B$5*MIN(INDEX(Bases!$N$2:$N$53,B893),INDEX(Bases!$N$2:$N$53,C893))</f>
        <v>69.6666666666667</v>
      </c>
      <c r="U893" s="2" t="n">
        <f aca="false">Settings!$B$4*MAX(INDEX(Bases!$O$2:$O$53,B893),INDEX(Bases!$O$2:$O$53,C893))+Settings!$B$5*MIN(INDEX(Bases!$O$2:$O$53,B893),INDEX(Bases!$O$2:$O$53,C893))</f>
        <v>98</v>
      </c>
      <c r="V893" s="2" t="n">
        <f aca="false">Settings!$B$4*MAX(INDEX(Bases!$P$2:$P$53,B893),INDEX(Bases!$P$2:$P$53,C893))+Settings!$B$5*MIN(INDEX(Bases!$P$2:$P$53,B893),INDEX(Bases!$P$2:$P$53,C893))</f>
        <v>66.3333333333333</v>
      </c>
      <c r="W893" s="2" t="n">
        <f aca="false">Settings!$B$4*MAX(INDEX(Bases!$Q$2:$Q$53,B893),INDEX(Bases!$Q$2:$Q$53,C893))+Settings!$B$5*MIN(INDEX(Bases!$Q$2:$Q$53,B893),INDEX(Bases!$Q$2:$Q$53,C893))</f>
        <v>64.3333333333333</v>
      </c>
      <c r="X893" s="2" t="n">
        <f aca="false">Settings!$B$4*MAX(INDEX(Bases!$R$2:$R$53,B893),INDEX(Bases!$R$2:$R$53,C893))+Settings!$B$5*MIN(INDEX(Bases!$R$2:$R$53,B893),INDEX(Bases!$R$2:$R$53,C893))</f>
        <v>49</v>
      </c>
      <c r="Y893" s="2" t="n">
        <f aca="false">S893*Settings!$B$3/SUM(S893:X893)</f>
        <v>91.3725490196079</v>
      </c>
      <c r="Z893" s="2" t="n">
        <f aca="false">T893*Settings!$B$3/SUM(S893:X893)</f>
        <v>81.9607843137255</v>
      </c>
      <c r="AA893" s="2" t="n">
        <f aca="false">U893*Settings!$B$3/SUM(S893:X893)</f>
        <v>115.294117647059</v>
      </c>
      <c r="AB893" s="2" t="n">
        <f aca="false">V893*Settings!$B$3/SUM(S893:X893)</f>
        <v>78.0392156862745</v>
      </c>
      <c r="AC893" s="2" t="n">
        <f aca="false">W893*Settings!$B$3/SUM(S893:X893)</f>
        <v>75.6862745098039</v>
      </c>
      <c r="AD893" s="2" t="n">
        <f aca="false">X893*Settings!$B$3/SUM(S893:X893)</f>
        <v>57.6470588235294</v>
      </c>
      <c r="AE893" s="2" t="n">
        <f aca="false">INT(Y893)</f>
        <v>91</v>
      </c>
      <c r="AF893" s="2" t="n">
        <f aca="false">INT(Z893)</f>
        <v>81</v>
      </c>
      <c r="AG893" s="2" t="n">
        <f aca="false">INT(AA893)</f>
        <v>115</v>
      </c>
      <c r="AH893" s="2" t="n">
        <f aca="false">INT(AB893)</f>
        <v>78</v>
      </c>
      <c r="AI893" s="2" t="n">
        <f aca="false">INT(AC893)</f>
        <v>75</v>
      </c>
      <c r="AJ893" s="2" t="n">
        <f aca="false">INT(AD893)</f>
        <v>57</v>
      </c>
      <c r="AK893" s="2" t="n">
        <f aca="false">Settings!$B$3-SUM(AE893:AJ893)</f>
        <v>3</v>
      </c>
      <c r="AL893" s="2" t="n">
        <f aca="false">ROUND(Y893-AE893,9)</f>
        <v>0.37254902</v>
      </c>
      <c r="AM893" s="2" t="n">
        <f aca="false">ROUND(Z893-AF893,9)</f>
        <v>0.960784314</v>
      </c>
      <c r="AN893" s="2" t="n">
        <f aca="false">ROUND(AA893-AG893,9)</f>
        <v>0.294117647</v>
      </c>
      <c r="AO893" s="2" t="n">
        <f aca="false">ROUND(AB893-AH893,9)</f>
        <v>0.039215686</v>
      </c>
      <c r="AP893" s="2" t="n">
        <f aca="false">ROUND(AC893-AI893,9)</f>
        <v>0.68627451</v>
      </c>
      <c r="AQ893" s="2" t="n">
        <f aca="false">ROUND(AD893-AJ893,9)</f>
        <v>0.647058824</v>
      </c>
    </row>
    <row r="894" customFormat="false" ht="15" hidden="false" customHeight="false" outlineLevel="0" collapsed="false">
      <c r="A894" s="2" t="n">
        <v>893</v>
      </c>
      <c r="B894" s="6" t="n">
        <v>23</v>
      </c>
      <c r="C894" s="6" t="n">
        <v>25</v>
      </c>
      <c r="D894" s="8" t="str">
        <f aca="false">INDEX(Bases!$B$2:$B$53,B894)</f>
        <v>Gulpin</v>
      </c>
      <c r="E894" s="8" t="str">
        <f aca="false">INDEX(Bases!$B$2:$B$53,C894)</f>
        <v>Sandshrew</v>
      </c>
      <c r="F894" s="2" t="str">
        <f aca="false">LEFT(D894,ROUNDUP(LEN(D894)/2,0))&amp;LOWER(MID(E894,ROUNDUP(LEN(E894)/2,0)+1,20))</f>
        <v>Gulhrew</v>
      </c>
      <c r="G894" s="8" t="str">
        <f aca="false">INDEX(Bases!$C$2:$C$53,B894)</f>
        <v>Poison</v>
      </c>
      <c r="H894" s="8" t="str">
        <f aca="false">IF(INDEX(Bases!$C$2:$C$53,C894)=G894,"",INDEX(Bases!$C$2:$C$53,C894))</f>
        <v>Ground</v>
      </c>
      <c r="I894" s="8" t="str">
        <f aca="false">IF(INDEX(Bases!$E$2:$E$53,B894)="","",INDEX(Bases!$E$2:$E$53,B894))</f>
        <v/>
      </c>
      <c r="J894" s="8" t="str">
        <f aca="false">IF(INDEX(Bases!$E$2:$E$53,C894)="","",INDEX(Bases!$E$2:$E$53,C894))</f>
        <v/>
      </c>
      <c r="K894" s="5"/>
      <c r="L894" s="2" t="n">
        <f aca="false">AE894+IF(SUMPRODUCT(--($AL894:$AQ894&gt;AL894))&lt;$AK894,1,0)</f>
        <v>98</v>
      </c>
      <c r="M894" s="2" t="n">
        <f aca="false">AF894+IF(SUMPRODUCT(--($AL894:$AQ894&gt;AM894))+SUMPRODUCT(--($AL894:AL894=AM894))&lt;$AK894,1,0)</f>
        <v>100</v>
      </c>
      <c r="N894" s="2" t="n">
        <f aca="false">AG894+IF(SUMPRODUCT(--($AL894:$AQ894&gt;AN894))+SUMPRODUCT(--($AL894:AM894=AN894))&lt;$AK894,1,0)</f>
        <v>115</v>
      </c>
      <c r="O894" s="2" t="n">
        <f aca="false">AH894+IF(SUMPRODUCT(--($AL894:$AQ894&gt;AO894))+SUMPRODUCT(--($AL894:AN894=AO894))&lt;$AK894,1,0)</f>
        <v>55</v>
      </c>
      <c r="P894" s="2" t="n">
        <f aca="false">AI894+IF(SUMPRODUCT(--($AL894:$AQ894&gt;AP894))+SUMPRODUCT(--($AL894:AO894=AP894))&lt;$AK894,1,0)</f>
        <v>70</v>
      </c>
      <c r="Q894" s="2" t="n">
        <f aca="false">AJ894+IF(SUMPRODUCT(--($AL894:$AQ894&gt;AQ894))+SUMPRODUCT(--($AL894:AP894=AQ894))&lt;$AK894,1,0)</f>
        <v>62</v>
      </c>
      <c r="R894" s="2" t="n">
        <f aca="false">SUM(L894:Q894)</f>
        <v>500</v>
      </c>
      <c r="S894" s="2" t="n">
        <f aca="false">Settings!$B$4*MAX(INDEX(Bases!$M$2:$M$53,B894),INDEX(Bases!$M$2:$M$53,C894))+Settings!$B$5*MIN(INDEX(Bases!$M$2:$M$53,B894),INDEX(Bases!$M$2:$M$53,C894))</f>
        <v>84.3333333333333</v>
      </c>
      <c r="T894" s="2" t="n">
        <f aca="false">Settings!$B$4*MAX(INDEX(Bases!$N$2:$N$53,B894),INDEX(Bases!$N$2:$N$53,C894))+Settings!$B$5*MIN(INDEX(Bases!$N$2:$N$53,B894),INDEX(Bases!$N$2:$N$53,C894))</f>
        <v>85.6666666666667</v>
      </c>
      <c r="U894" s="2" t="n">
        <f aca="false">Settings!$B$4*MAX(INDEX(Bases!$O$2:$O$53,B894),INDEX(Bases!$O$2:$O$53,C894))+Settings!$B$5*MIN(INDEX(Bases!$O$2:$O$53,B894),INDEX(Bases!$O$2:$O$53,C894))</f>
        <v>98.6666666666667</v>
      </c>
      <c r="V894" s="2" t="n">
        <f aca="false">Settings!$B$4*MAX(INDEX(Bases!$P$2:$P$53,B894),INDEX(Bases!$P$2:$P$53,C894))+Settings!$B$5*MIN(INDEX(Bases!$P$2:$P$53,B894),INDEX(Bases!$P$2:$P$53,C894))</f>
        <v>47</v>
      </c>
      <c r="W894" s="2" t="n">
        <f aca="false">Settings!$B$4*MAX(INDEX(Bases!$Q$2:$Q$53,B894),INDEX(Bases!$Q$2:$Q$53,C894))+Settings!$B$5*MIN(INDEX(Bases!$Q$2:$Q$53,B894),INDEX(Bases!$Q$2:$Q$53,C894))</f>
        <v>60</v>
      </c>
      <c r="X894" s="2" t="n">
        <f aca="false">Settings!$B$4*MAX(INDEX(Bases!$R$2:$R$53,B894),INDEX(Bases!$R$2:$R$53,C894))+Settings!$B$5*MIN(INDEX(Bases!$R$2:$R$53,B894),INDEX(Bases!$R$2:$R$53,C894))</f>
        <v>53</v>
      </c>
      <c r="Y894" s="2" t="n">
        <f aca="false">S894*Settings!$B$3/SUM(S894:X894)</f>
        <v>98.3670295489891</v>
      </c>
      <c r="Z894" s="2" t="n">
        <f aca="false">T894*Settings!$B$3/SUM(S894:X894)</f>
        <v>99.9222395023328</v>
      </c>
      <c r="AA894" s="2" t="n">
        <f aca="false">U894*Settings!$B$3/SUM(S894:X894)</f>
        <v>115.085536547434</v>
      </c>
      <c r="AB894" s="2" t="n">
        <f aca="false">V894*Settings!$B$3/SUM(S894:X894)</f>
        <v>54.8211508553655</v>
      </c>
      <c r="AC894" s="2" t="n">
        <f aca="false">W894*Settings!$B$3/SUM(S894:X894)</f>
        <v>69.9844479004666</v>
      </c>
      <c r="AD894" s="2" t="n">
        <f aca="false">X894*Settings!$B$3/SUM(S894:X894)</f>
        <v>61.8195956454121</v>
      </c>
      <c r="AE894" s="2" t="n">
        <f aca="false">INT(Y894)</f>
        <v>98</v>
      </c>
      <c r="AF894" s="2" t="n">
        <f aca="false">INT(Z894)</f>
        <v>99</v>
      </c>
      <c r="AG894" s="2" t="n">
        <f aca="false">INT(AA894)</f>
        <v>115</v>
      </c>
      <c r="AH894" s="2" t="n">
        <f aca="false">INT(AB894)</f>
        <v>54</v>
      </c>
      <c r="AI894" s="2" t="n">
        <f aca="false">INT(AC894)</f>
        <v>69</v>
      </c>
      <c r="AJ894" s="2" t="n">
        <f aca="false">INT(AD894)</f>
        <v>61</v>
      </c>
      <c r="AK894" s="2" t="n">
        <f aca="false">Settings!$B$3-SUM(AE894:AJ894)</f>
        <v>4</v>
      </c>
      <c r="AL894" s="2" t="n">
        <f aca="false">ROUND(Y894-AE894,9)</f>
        <v>0.367029549</v>
      </c>
      <c r="AM894" s="2" t="n">
        <f aca="false">ROUND(Z894-AF894,9)</f>
        <v>0.922239502</v>
      </c>
      <c r="AN894" s="2" t="n">
        <f aca="false">ROUND(AA894-AG894,9)</f>
        <v>0.085536547</v>
      </c>
      <c r="AO894" s="2" t="n">
        <f aca="false">ROUND(AB894-AH894,9)</f>
        <v>0.821150855</v>
      </c>
      <c r="AP894" s="2" t="n">
        <f aca="false">ROUND(AC894-AI894,9)</f>
        <v>0.9844479</v>
      </c>
      <c r="AQ894" s="2" t="n">
        <f aca="false">ROUND(AD894-AJ894,9)</f>
        <v>0.819595645</v>
      </c>
    </row>
    <row r="895" customFormat="false" ht="15" hidden="false" customHeight="false" outlineLevel="0" collapsed="false">
      <c r="A895" s="2" t="n">
        <v>894</v>
      </c>
      <c r="B895" s="6" t="n">
        <v>23</v>
      </c>
      <c r="C895" s="6" t="n">
        <v>26</v>
      </c>
      <c r="D895" s="8" t="str">
        <f aca="false">INDEX(Bases!$B$2:$B$53,B895)</f>
        <v>Gulpin</v>
      </c>
      <c r="E895" s="8" t="str">
        <f aca="false">INDEX(Bases!$B$2:$B$53,C895)</f>
        <v>Phanpy</v>
      </c>
      <c r="F895" s="2" t="str">
        <f aca="false">LEFT(D895,ROUNDUP(LEN(D895)/2,0))&amp;LOWER(MID(E895,ROUNDUP(LEN(E895)/2,0)+1,20))</f>
        <v>Gulnpy</v>
      </c>
      <c r="G895" s="8" t="str">
        <f aca="false">INDEX(Bases!$C$2:$C$53,B895)</f>
        <v>Poison</v>
      </c>
      <c r="H895" s="8" t="str">
        <f aca="false">IF(INDEX(Bases!$C$2:$C$53,C895)=G895,"",INDEX(Bases!$C$2:$C$53,C895))</f>
        <v>Ground</v>
      </c>
      <c r="I895" s="8" t="str">
        <f aca="false">IF(INDEX(Bases!$E$2:$E$53,B895)="","",INDEX(Bases!$E$2:$E$53,B895))</f>
        <v/>
      </c>
      <c r="J895" s="8" t="str">
        <f aca="false">IF(INDEX(Bases!$E$2:$E$53,C895)="","",INDEX(Bases!$E$2:$E$53,C895))</f>
        <v/>
      </c>
      <c r="K895" s="5"/>
      <c r="L895" s="2" t="n">
        <f aca="false">AE895+IF(SUMPRODUCT(--($AL895:$AQ895&gt;AL895))&lt;$AK895,1,0)</f>
        <v>126</v>
      </c>
      <c r="M895" s="2" t="n">
        <f aca="false">AF895+IF(SUMPRODUCT(--($AL895:$AQ895&gt;AM895))+SUMPRODUCT(--($AL895:AL895=AM895))&lt;$AK895,1,0)</f>
        <v>82</v>
      </c>
      <c r="N895" s="2" t="n">
        <f aca="false">AG895+IF(SUMPRODUCT(--($AL895:$AQ895&gt;AN895))+SUMPRODUCT(--($AL895:AM895=AN895))&lt;$AK895,1,0)</f>
        <v>88</v>
      </c>
      <c r="O895" s="2" t="n">
        <f aca="false">AH895+IF(SUMPRODUCT(--($AL895:$AQ895&gt;AO895))+SUMPRODUCT(--($AL895:AN895=AO895))&lt;$AK895,1,0)</f>
        <v>66</v>
      </c>
      <c r="P895" s="2" t="n">
        <f aca="false">AI895+IF(SUMPRODUCT(--($AL895:$AQ895&gt;AP895))+SUMPRODUCT(--($AL895:AO895=AP895))&lt;$AK895,1,0)</f>
        <v>76</v>
      </c>
      <c r="Q895" s="2" t="n">
        <f aca="false">AJ895+IF(SUMPRODUCT(--($AL895:$AQ895&gt;AQ895))+SUMPRODUCT(--($AL895:AP895=AQ895))&lt;$AK895,1,0)</f>
        <v>62</v>
      </c>
      <c r="R895" s="2" t="n">
        <f aca="false">SUM(L895:Q895)</f>
        <v>500</v>
      </c>
      <c r="S895" s="2" t="n">
        <f aca="false">Settings!$B$4*MAX(INDEX(Bases!$M$2:$M$53,B895),INDEX(Bases!$M$2:$M$53,C895))+Settings!$B$5*MIN(INDEX(Bases!$M$2:$M$53,B895),INDEX(Bases!$M$2:$M$53,C895))</f>
        <v>103.666666666667</v>
      </c>
      <c r="T895" s="2" t="n">
        <f aca="false">Settings!$B$4*MAX(INDEX(Bases!$N$2:$N$53,B895),INDEX(Bases!$N$2:$N$53,C895))+Settings!$B$5*MIN(INDEX(Bases!$N$2:$N$53,B895),INDEX(Bases!$N$2:$N$53,C895))</f>
        <v>67.6666666666667</v>
      </c>
      <c r="U895" s="2" t="n">
        <f aca="false">Settings!$B$4*MAX(INDEX(Bases!$O$2:$O$53,B895),INDEX(Bases!$O$2:$O$53,C895))+Settings!$B$5*MIN(INDEX(Bases!$O$2:$O$53,B895),INDEX(Bases!$O$2:$O$53,C895))</f>
        <v>72</v>
      </c>
      <c r="V895" s="2" t="n">
        <f aca="false">Settings!$B$4*MAX(INDEX(Bases!$P$2:$P$53,B895),INDEX(Bases!$P$2:$P$53,C895))+Settings!$B$5*MIN(INDEX(Bases!$P$2:$P$53,B895),INDEX(Bases!$P$2:$P$53,C895))</f>
        <v>54.3333333333333</v>
      </c>
      <c r="W895" s="2" t="n">
        <f aca="false">Settings!$B$4*MAX(INDEX(Bases!$Q$2:$Q$53,B895),INDEX(Bases!$Q$2:$Q$53,C895))+Settings!$B$5*MIN(INDEX(Bases!$Q$2:$Q$53,B895),INDEX(Bases!$Q$2:$Q$53,C895))</f>
        <v>62.6666666666667</v>
      </c>
      <c r="X895" s="2" t="n">
        <f aca="false">Settings!$B$4*MAX(INDEX(Bases!$R$2:$R$53,B895),INDEX(Bases!$R$2:$R$53,C895))+Settings!$B$5*MIN(INDEX(Bases!$R$2:$R$53,B895),INDEX(Bases!$R$2:$R$53,C895))</f>
        <v>51.3333333333333</v>
      </c>
      <c r="Y895" s="2" t="n">
        <f aca="false">S895*Settings!$B$3/SUM(S895:X895)</f>
        <v>125.910931174089</v>
      </c>
      <c r="Z895" s="2" t="n">
        <f aca="false">T895*Settings!$B$3/SUM(S895:X895)</f>
        <v>82.1862348178138</v>
      </c>
      <c r="AA895" s="2" t="n">
        <f aca="false">U895*Settings!$B$3/SUM(S895:X895)</f>
        <v>87.4493927125506</v>
      </c>
      <c r="AB895" s="2" t="n">
        <f aca="false">V895*Settings!$B$3/SUM(S895:X895)</f>
        <v>65.9919028340081</v>
      </c>
      <c r="AC895" s="2" t="n">
        <f aca="false">W895*Settings!$B$3/SUM(S895:X895)</f>
        <v>76.1133603238866</v>
      </c>
      <c r="AD895" s="2" t="n">
        <f aca="false">X895*Settings!$B$3/SUM(S895:X895)</f>
        <v>62.3481781376518</v>
      </c>
      <c r="AE895" s="2" t="n">
        <f aca="false">INT(Y895)</f>
        <v>125</v>
      </c>
      <c r="AF895" s="2" t="n">
        <f aca="false">INT(Z895)</f>
        <v>82</v>
      </c>
      <c r="AG895" s="2" t="n">
        <f aca="false">INT(AA895)</f>
        <v>87</v>
      </c>
      <c r="AH895" s="2" t="n">
        <f aca="false">INT(AB895)</f>
        <v>65</v>
      </c>
      <c r="AI895" s="2" t="n">
        <f aca="false">INT(AC895)</f>
        <v>76</v>
      </c>
      <c r="AJ895" s="2" t="n">
        <f aca="false">INT(AD895)</f>
        <v>62</v>
      </c>
      <c r="AK895" s="2" t="n">
        <f aca="false">Settings!$B$3-SUM(AE895:AJ895)</f>
        <v>3</v>
      </c>
      <c r="AL895" s="2" t="n">
        <f aca="false">ROUND(Y895-AE895,9)</f>
        <v>0.910931174</v>
      </c>
      <c r="AM895" s="2" t="n">
        <f aca="false">ROUND(Z895-AF895,9)</f>
        <v>0.186234818</v>
      </c>
      <c r="AN895" s="2" t="n">
        <f aca="false">ROUND(AA895-AG895,9)</f>
        <v>0.449392713</v>
      </c>
      <c r="AO895" s="2" t="n">
        <f aca="false">ROUND(AB895-AH895,9)</f>
        <v>0.991902834</v>
      </c>
      <c r="AP895" s="2" t="n">
        <f aca="false">ROUND(AC895-AI895,9)</f>
        <v>0.113360324</v>
      </c>
      <c r="AQ895" s="2" t="n">
        <f aca="false">ROUND(AD895-AJ895,9)</f>
        <v>0.348178138</v>
      </c>
    </row>
    <row r="896" customFormat="false" ht="15" hidden="false" customHeight="false" outlineLevel="0" collapsed="false">
      <c r="A896" s="2" t="n">
        <v>895</v>
      </c>
      <c r="B896" s="6" t="n">
        <v>23</v>
      </c>
      <c r="C896" s="6" t="n">
        <v>27</v>
      </c>
      <c r="D896" s="8" t="str">
        <f aca="false">INDEX(Bases!$B$2:$B$53,B896)</f>
        <v>Gulpin</v>
      </c>
      <c r="E896" s="8" t="str">
        <f aca="false">INDEX(Bases!$B$2:$B$53,C896)</f>
        <v>Baltoy</v>
      </c>
      <c r="F896" s="2" t="str">
        <f aca="false">LEFT(D896,ROUNDUP(LEN(D896)/2,0))&amp;LOWER(MID(E896,ROUNDUP(LEN(E896)/2,0)+1,20))</f>
        <v>Gultoy</v>
      </c>
      <c r="G896" s="8" t="str">
        <f aca="false">INDEX(Bases!$C$2:$C$53,B896)</f>
        <v>Poison</v>
      </c>
      <c r="H896" s="8" t="str">
        <f aca="false">IF(INDEX(Bases!$C$2:$C$53,C896)=G896,"",INDEX(Bases!$C$2:$C$53,C896))</f>
        <v>Ground</v>
      </c>
      <c r="I896" s="8" t="str">
        <f aca="false">IF(INDEX(Bases!$E$2:$E$53,B896)="","",INDEX(Bases!$E$2:$E$53,B896))</f>
        <v/>
      </c>
      <c r="J896" s="8" t="str">
        <f aca="false">IF(INDEX(Bases!$E$2:$E$53,C896)="","",INDEX(Bases!$E$2:$E$53,C896))</f>
        <v/>
      </c>
      <c r="K896" s="5"/>
      <c r="L896" s="2" t="n">
        <f aca="false">AE896+IF(SUMPRODUCT(--($AL896:$AQ896&gt;AL896))&lt;$AK896,1,0)</f>
        <v>96</v>
      </c>
      <c r="M896" s="2" t="n">
        <f aca="false">AF896+IF(SUMPRODUCT(--($AL896:$AQ896&gt;AM896))+SUMPRODUCT(--($AL896:AL896=AM896))&lt;$AK896,1,0)</f>
        <v>67</v>
      </c>
      <c r="N896" s="2" t="n">
        <f aca="false">AG896+IF(SUMPRODUCT(--($AL896:$AQ896&gt;AN896))+SUMPRODUCT(--($AL896:AM896=AN896))&lt;$AK896,1,0)</f>
        <v>87</v>
      </c>
      <c r="O896" s="2" t="n">
        <f aca="false">AH896+IF(SUMPRODUCT(--($AL896:$AQ896&gt;AO896))+SUMPRODUCT(--($AL896:AN896=AO896))&lt;$AK896,1,0)</f>
        <v>67</v>
      </c>
      <c r="P896" s="2" t="n">
        <f aca="false">AI896+IF(SUMPRODUCT(--($AL896:$AQ896&gt;AP896))+SUMPRODUCT(--($AL896:AO896=AP896))&lt;$AK896,1,0)</f>
        <v>103</v>
      </c>
      <c r="Q896" s="2" t="n">
        <f aca="false">AJ896+IF(SUMPRODUCT(--($AL896:$AQ896&gt;AQ896))+SUMPRODUCT(--($AL896:AP896=AQ896))&lt;$AK896,1,0)</f>
        <v>80</v>
      </c>
      <c r="R896" s="2" t="n">
        <f aca="false">SUM(L896:Q896)</f>
        <v>500</v>
      </c>
      <c r="S896" s="2" t="n">
        <f aca="false">Settings!$B$4*MAX(INDEX(Bases!$M$2:$M$53,B896),INDEX(Bases!$M$2:$M$53,C896))+Settings!$B$5*MIN(INDEX(Bases!$M$2:$M$53,B896),INDEX(Bases!$M$2:$M$53,C896))</f>
        <v>80</v>
      </c>
      <c r="T896" s="2" t="n">
        <f aca="false">Settings!$B$4*MAX(INDEX(Bases!$N$2:$N$53,B896),INDEX(Bases!$N$2:$N$53,C896))+Settings!$B$5*MIN(INDEX(Bases!$N$2:$N$53,B896),INDEX(Bases!$N$2:$N$53,C896))</f>
        <v>56</v>
      </c>
      <c r="U896" s="2" t="n">
        <f aca="false">Settings!$B$4*MAX(INDEX(Bases!$O$2:$O$53,B896),INDEX(Bases!$O$2:$O$53,C896))+Settings!$B$5*MIN(INDEX(Bases!$O$2:$O$53,B896),INDEX(Bases!$O$2:$O$53,C896))</f>
        <v>72</v>
      </c>
      <c r="V896" s="2" t="n">
        <f aca="false">Settings!$B$4*MAX(INDEX(Bases!$P$2:$P$53,B896),INDEX(Bases!$P$2:$P$53,C896))+Settings!$B$5*MIN(INDEX(Bases!$P$2:$P$53,B896),INDEX(Bases!$P$2:$P$53,C896))</f>
        <v>55.6666666666667</v>
      </c>
      <c r="W896" s="2" t="n">
        <f aca="false">Settings!$B$4*MAX(INDEX(Bases!$Q$2:$Q$53,B896),INDEX(Bases!$Q$2:$Q$53,C896))+Settings!$B$5*MIN(INDEX(Bases!$Q$2:$Q$53,B896),INDEX(Bases!$Q$2:$Q$53,C896))</f>
        <v>85.3333333333333</v>
      </c>
      <c r="X896" s="2" t="n">
        <f aca="false">Settings!$B$4*MAX(INDEX(Bases!$R$2:$R$53,B896),INDEX(Bases!$R$2:$R$53,C896))+Settings!$B$5*MIN(INDEX(Bases!$R$2:$R$53,B896),INDEX(Bases!$R$2:$R$53,C896))</f>
        <v>66.3333333333333</v>
      </c>
      <c r="Y896" s="2" t="n">
        <f aca="false">S896*Settings!$B$3/SUM(S896:X896)</f>
        <v>96.3081861958267</v>
      </c>
      <c r="Z896" s="2" t="n">
        <f aca="false">T896*Settings!$B$3/SUM(S896:X896)</f>
        <v>67.4157303370787</v>
      </c>
      <c r="AA896" s="2" t="n">
        <f aca="false">U896*Settings!$B$3/SUM(S896:X896)</f>
        <v>86.677367576244</v>
      </c>
      <c r="AB896" s="2" t="n">
        <f aca="false">V896*Settings!$B$3/SUM(S896:X896)</f>
        <v>67.0144462279294</v>
      </c>
      <c r="AC896" s="2" t="n">
        <f aca="false">W896*Settings!$B$3/SUM(S896:X896)</f>
        <v>102.728731942215</v>
      </c>
      <c r="AD896" s="2" t="n">
        <f aca="false">X896*Settings!$B$3/SUM(S896:X896)</f>
        <v>79.8555377207063</v>
      </c>
      <c r="AE896" s="2" t="n">
        <f aca="false">INT(Y896)</f>
        <v>96</v>
      </c>
      <c r="AF896" s="2" t="n">
        <f aca="false">INT(Z896)</f>
        <v>67</v>
      </c>
      <c r="AG896" s="2" t="n">
        <f aca="false">INT(AA896)</f>
        <v>86</v>
      </c>
      <c r="AH896" s="2" t="n">
        <f aca="false">INT(AB896)</f>
        <v>67</v>
      </c>
      <c r="AI896" s="2" t="n">
        <f aca="false">INT(AC896)</f>
        <v>102</v>
      </c>
      <c r="AJ896" s="2" t="n">
        <f aca="false">INT(AD896)</f>
        <v>79</v>
      </c>
      <c r="AK896" s="2" t="n">
        <f aca="false">Settings!$B$3-SUM(AE896:AJ896)</f>
        <v>3</v>
      </c>
      <c r="AL896" s="2" t="n">
        <f aca="false">ROUND(Y896-AE896,9)</f>
        <v>0.308186196</v>
      </c>
      <c r="AM896" s="2" t="n">
        <f aca="false">ROUND(Z896-AF896,9)</f>
        <v>0.415730337</v>
      </c>
      <c r="AN896" s="2" t="n">
        <f aca="false">ROUND(AA896-AG896,9)</f>
        <v>0.677367576</v>
      </c>
      <c r="AO896" s="2" t="n">
        <f aca="false">ROUND(AB896-AH896,9)</f>
        <v>0.014446228</v>
      </c>
      <c r="AP896" s="2" t="n">
        <f aca="false">ROUND(AC896-AI896,9)</f>
        <v>0.728731942</v>
      </c>
      <c r="AQ896" s="2" t="n">
        <f aca="false">ROUND(AD896-AJ896,9)</f>
        <v>0.855537721</v>
      </c>
    </row>
    <row r="897" customFormat="false" ht="15" hidden="false" customHeight="false" outlineLevel="0" collapsed="false">
      <c r="A897" s="2" t="n">
        <v>896</v>
      </c>
      <c r="B897" s="6" t="n">
        <v>23</v>
      </c>
      <c r="C897" s="6" t="n">
        <v>28</v>
      </c>
      <c r="D897" s="8" t="str">
        <f aca="false">INDEX(Bases!$B$2:$B$53,B897)</f>
        <v>Gulpin</v>
      </c>
      <c r="E897" s="8" t="str">
        <f aca="false">INDEX(Bases!$B$2:$B$53,C897)</f>
        <v>Zubat</v>
      </c>
      <c r="F897" s="2" t="str">
        <f aca="false">LEFT(D897,ROUNDUP(LEN(D897)/2,0))&amp;LOWER(MID(E897,ROUNDUP(LEN(E897)/2,0)+1,20))</f>
        <v>Gulat</v>
      </c>
      <c r="G897" s="8" t="str">
        <f aca="false">INDEX(Bases!$C$2:$C$53,B897)</f>
        <v>Poison</v>
      </c>
      <c r="H897" s="8" t="str">
        <f aca="false">IF(INDEX(Bases!$C$2:$C$53,C897)=G897,"",INDEX(Bases!$C$2:$C$53,C897))</f>
        <v>Flying</v>
      </c>
      <c r="I897" s="8" t="str">
        <f aca="false">IF(INDEX(Bases!$E$2:$E$53,B897)="","",INDEX(Bases!$E$2:$E$53,B897))</f>
        <v/>
      </c>
      <c r="J897" s="8" t="str">
        <f aca="false">IF(INDEX(Bases!$E$2:$E$53,C897)="","",INDEX(Bases!$E$2:$E$53,C897))</f>
        <v/>
      </c>
      <c r="K897" s="5"/>
      <c r="L897" s="2" t="n">
        <f aca="false">AE897+IF(SUMPRODUCT(--($AL897:$AQ897&gt;AL897))&lt;$AK897,1,0)</f>
        <v>100</v>
      </c>
      <c r="M897" s="2" t="n">
        <f aca="false">AF897+IF(SUMPRODUCT(--($AL897:$AQ897&gt;AM897))+SUMPRODUCT(--($AL897:AL897=AM897))&lt;$AK897,1,0)</f>
        <v>82</v>
      </c>
      <c r="N897" s="2" t="n">
        <f aca="false">AG897+IF(SUMPRODUCT(--($AL897:$AQ897&gt;AN897))+SUMPRODUCT(--($AL897:AM897=AN897))&lt;$AK897,1,0)</f>
        <v>78</v>
      </c>
      <c r="O897" s="2" t="n">
        <f aca="false">AH897+IF(SUMPRODUCT(--($AL897:$AQ897&gt;AO897))+SUMPRODUCT(--($AL897:AN897=AO897))&lt;$AK897,1,0)</f>
        <v>65</v>
      </c>
      <c r="P897" s="2" t="n">
        <f aca="false">AI897+IF(SUMPRODUCT(--($AL897:$AQ897&gt;AP897))+SUMPRODUCT(--($AL897:AO897=AP897))&lt;$AK897,1,0)</f>
        <v>82</v>
      </c>
      <c r="Q897" s="2" t="n">
        <f aca="false">AJ897+IF(SUMPRODUCT(--($AL897:$AQ897&gt;AQ897))+SUMPRODUCT(--($AL897:AP897=AQ897))&lt;$AK897,1,0)</f>
        <v>93</v>
      </c>
      <c r="R897" s="2" t="n">
        <f aca="false">SUM(L897:Q897)</f>
        <v>500</v>
      </c>
      <c r="S897" s="2" t="n">
        <f aca="false">Settings!$B$4*MAX(INDEX(Bases!$M$2:$M$53,B897),INDEX(Bases!$M$2:$M$53,C897))+Settings!$B$5*MIN(INDEX(Bases!$M$2:$M$53,B897),INDEX(Bases!$M$2:$M$53,C897))</f>
        <v>83.6666666666667</v>
      </c>
      <c r="T897" s="2" t="n">
        <f aca="false">Settings!$B$4*MAX(INDEX(Bases!$N$2:$N$53,B897),INDEX(Bases!$N$2:$N$53,C897))+Settings!$B$5*MIN(INDEX(Bases!$N$2:$N$53,B897),INDEX(Bases!$N$2:$N$53,C897))</f>
        <v>68.3333333333333</v>
      </c>
      <c r="U897" s="2" t="n">
        <f aca="false">Settings!$B$4*MAX(INDEX(Bases!$O$2:$O$53,B897),INDEX(Bases!$O$2:$O$53,C897))+Settings!$B$5*MIN(INDEX(Bases!$O$2:$O$53,B897),INDEX(Bases!$O$2:$O$53,C897))</f>
        <v>65.6666666666667</v>
      </c>
      <c r="V897" s="2" t="n">
        <f aca="false">Settings!$B$4*MAX(INDEX(Bases!$P$2:$P$53,B897),INDEX(Bases!$P$2:$P$53,C897))+Settings!$B$5*MIN(INDEX(Bases!$P$2:$P$53,B897),INDEX(Bases!$P$2:$P$53,C897))</f>
        <v>54.3333333333333</v>
      </c>
      <c r="W897" s="2" t="n">
        <f aca="false">Settings!$B$4*MAX(INDEX(Bases!$Q$2:$Q$53,B897),INDEX(Bases!$Q$2:$Q$53,C897))+Settings!$B$5*MIN(INDEX(Bases!$Q$2:$Q$53,B897),INDEX(Bases!$Q$2:$Q$53,C897))</f>
        <v>68.3333333333333</v>
      </c>
      <c r="X897" s="2" t="n">
        <f aca="false">Settings!$B$4*MAX(INDEX(Bases!$R$2:$R$53,B897),INDEX(Bases!$R$2:$R$53,C897))+Settings!$B$5*MIN(INDEX(Bases!$R$2:$R$53,B897),INDEX(Bases!$R$2:$R$53,C897))</f>
        <v>77.6666666666667</v>
      </c>
      <c r="Y897" s="2" t="n">
        <f aca="false">S897*Settings!$B$3/SUM(S897:X897)</f>
        <v>100.079744816587</v>
      </c>
      <c r="Z897" s="2" t="n">
        <f aca="false">T897*Settings!$B$3/SUM(S897:X897)</f>
        <v>81.7384370015949</v>
      </c>
      <c r="AA897" s="2" t="n">
        <f aca="false">U897*Settings!$B$3/SUM(S897:X897)</f>
        <v>78.548644338118</v>
      </c>
      <c r="AB897" s="2" t="n">
        <f aca="false">V897*Settings!$B$3/SUM(S897:X897)</f>
        <v>64.9920255183413</v>
      </c>
      <c r="AC897" s="2" t="n">
        <f aca="false">W897*Settings!$B$3/SUM(S897:X897)</f>
        <v>81.7384370015949</v>
      </c>
      <c r="AD897" s="2" t="n">
        <f aca="false">X897*Settings!$B$3/SUM(S897:X897)</f>
        <v>92.902711323764</v>
      </c>
      <c r="AE897" s="2" t="n">
        <f aca="false">INT(Y897)</f>
        <v>100</v>
      </c>
      <c r="AF897" s="2" t="n">
        <f aca="false">INT(Z897)</f>
        <v>81</v>
      </c>
      <c r="AG897" s="2" t="n">
        <f aca="false">INT(AA897)</f>
        <v>78</v>
      </c>
      <c r="AH897" s="2" t="n">
        <f aca="false">INT(AB897)</f>
        <v>64</v>
      </c>
      <c r="AI897" s="2" t="n">
        <f aca="false">INT(AC897)</f>
        <v>81</v>
      </c>
      <c r="AJ897" s="2" t="n">
        <f aca="false">INT(AD897)</f>
        <v>92</v>
      </c>
      <c r="AK897" s="2" t="n">
        <f aca="false">Settings!$B$3-SUM(AE897:AJ897)</f>
        <v>4</v>
      </c>
      <c r="AL897" s="2" t="n">
        <f aca="false">ROUND(Y897-AE897,9)</f>
        <v>0.079744817</v>
      </c>
      <c r="AM897" s="2" t="n">
        <f aca="false">ROUND(Z897-AF897,9)</f>
        <v>0.738437002</v>
      </c>
      <c r="AN897" s="2" t="n">
        <f aca="false">ROUND(AA897-AG897,9)</f>
        <v>0.548644338</v>
      </c>
      <c r="AO897" s="2" t="n">
        <f aca="false">ROUND(AB897-AH897,9)</f>
        <v>0.992025518</v>
      </c>
      <c r="AP897" s="2" t="n">
        <f aca="false">ROUND(AC897-AI897,9)</f>
        <v>0.738437002</v>
      </c>
      <c r="AQ897" s="2" t="n">
        <f aca="false">ROUND(AD897-AJ897,9)</f>
        <v>0.902711324</v>
      </c>
    </row>
    <row r="898" customFormat="false" ht="15" hidden="false" customHeight="false" outlineLevel="0" collapsed="false">
      <c r="A898" s="2" t="n">
        <v>897</v>
      </c>
      <c r="B898" s="6" t="n">
        <v>23</v>
      </c>
      <c r="C898" s="6" t="n">
        <v>29</v>
      </c>
      <c r="D898" s="8" t="str">
        <f aca="false">INDEX(Bases!$B$2:$B$53,B898)</f>
        <v>Gulpin</v>
      </c>
      <c r="E898" s="8" t="str">
        <f aca="false">INDEX(Bases!$B$2:$B$53,C898)</f>
        <v>Murkrow</v>
      </c>
      <c r="F898" s="2" t="str">
        <f aca="false">LEFT(D898,ROUNDUP(LEN(D898)/2,0))&amp;LOWER(MID(E898,ROUNDUP(LEN(E898)/2,0)+1,20))</f>
        <v>Gulrow</v>
      </c>
      <c r="G898" s="8" t="str">
        <f aca="false">INDEX(Bases!$C$2:$C$53,B898)</f>
        <v>Poison</v>
      </c>
      <c r="H898" s="8" t="str">
        <f aca="false">IF(INDEX(Bases!$C$2:$C$53,C898)=G898,"",INDEX(Bases!$C$2:$C$53,C898))</f>
        <v>Flying</v>
      </c>
      <c r="I898" s="8" t="str">
        <f aca="false">IF(INDEX(Bases!$E$2:$E$53,B898)="","",INDEX(Bases!$E$2:$E$53,B898))</f>
        <v/>
      </c>
      <c r="J898" s="8" t="str">
        <f aca="false">IF(INDEX(Bases!$E$2:$E$53,C898)="","",INDEX(Bases!$E$2:$E$53,C898))</f>
        <v/>
      </c>
      <c r="K898" s="5"/>
      <c r="L898" s="2" t="n">
        <f aca="false">AE898+IF(SUMPRODUCT(--($AL898:$AQ898&gt;AL898))&lt;$AK898,1,0)</f>
        <v>95</v>
      </c>
      <c r="M898" s="2" t="n">
        <f aca="false">AF898+IF(SUMPRODUCT(--($AL898:$AQ898&gt;AM898))+SUMPRODUCT(--($AL898:AL898=AM898))&lt;$AK898,1,0)</f>
        <v>87</v>
      </c>
      <c r="N898" s="2" t="n">
        <f aca="false">AG898+IF(SUMPRODUCT(--($AL898:$AQ898&gt;AN898))+SUMPRODUCT(--($AL898:AM898=AN898))&lt;$AK898,1,0)</f>
        <v>71</v>
      </c>
      <c r="O898" s="2" t="n">
        <f aca="false">AH898+IF(SUMPRODUCT(--($AL898:$AQ898&gt;AO898))+SUMPRODUCT(--($AL898:AN898=AO898))&lt;$AK898,1,0)</f>
        <v>87</v>
      </c>
      <c r="P898" s="2" t="n">
        <f aca="false">AI898+IF(SUMPRODUCT(--($AL898:$AQ898&gt;AP898))+SUMPRODUCT(--($AL898:AO898=AP898))&lt;$AK898,1,0)</f>
        <v>70</v>
      </c>
      <c r="Q898" s="2" t="n">
        <f aca="false">AJ898+IF(SUMPRODUCT(--($AL898:$AQ898&gt;AQ898))+SUMPRODUCT(--($AL898:AP898=AQ898))&lt;$AK898,1,0)</f>
        <v>90</v>
      </c>
      <c r="R898" s="2" t="n">
        <f aca="false">SUM(L898:Q898)</f>
        <v>500</v>
      </c>
      <c r="S898" s="2" t="n">
        <f aca="false">Settings!$B$4*MAX(INDEX(Bases!$M$2:$M$53,B898),INDEX(Bases!$M$2:$M$53,C898))+Settings!$B$5*MIN(INDEX(Bases!$M$2:$M$53,B898),INDEX(Bases!$M$2:$M$53,C898))</f>
        <v>81.6666666666667</v>
      </c>
      <c r="T898" s="2" t="n">
        <f aca="false">Settings!$B$4*MAX(INDEX(Bases!$N$2:$N$53,B898),INDEX(Bases!$N$2:$N$53,C898))+Settings!$B$5*MIN(INDEX(Bases!$N$2:$N$53,B898),INDEX(Bases!$N$2:$N$53,C898))</f>
        <v>75</v>
      </c>
      <c r="U898" s="2" t="n">
        <f aca="false">Settings!$B$4*MAX(INDEX(Bases!$O$2:$O$53,B898),INDEX(Bases!$O$2:$O$53,C898))+Settings!$B$5*MIN(INDEX(Bases!$O$2:$O$53,B898),INDEX(Bases!$O$2:$O$53,C898))</f>
        <v>60.6666666666667</v>
      </c>
      <c r="V898" s="2" t="n">
        <f aca="false">Settings!$B$4*MAX(INDEX(Bases!$P$2:$P$53,B898),INDEX(Bases!$P$2:$P$53,C898))+Settings!$B$5*MIN(INDEX(Bases!$P$2:$P$53,B898),INDEX(Bases!$P$2:$P$53,C898))</f>
        <v>75</v>
      </c>
      <c r="W898" s="2" t="n">
        <f aca="false">Settings!$B$4*MAX(INDEX(Bases!$Q$2:$Q$53,B898),INDEX(Bases!$Q$2:$Q$53,C898))+Settings!$B$5*MIN(INDEX(Bases!$Q$2:$Q$53,B898),INDEX(Bases!$Q$2:$Q$53,C898))</f>
        <v>60.3333333333333</v>
      </c>
      <c r="X898" s="2" t="n">
        <f aca="false">Settings!$B$4*MAX(INDEX(Bases!$R$2:$R$53,B898),INDEX(Bases!$R$2:$R$53,C898))+Settings!$B$5*MIN(INDEX(Bases!$R$2:$R$53,B898),INDEX(Bases!$R$2:$R$53,C898))</f>
        <v>77.6666666666667</v>
      </c>
      <c r="Y898" s="2" t="n">
        <f aca="false">S898*Settings!$B$3/SUM(S898:X898)</f>
        <v>94.8876839659179</v>
      </c>
      <c r="Z898" s="2" t="n">
        <f aca="false">T898*Settings!$B$3/SUM(S898:X898)</f>
        <v>87.141750580945</v>
      </c>
      <c r="AA898" s="2" t="n">
        <f aca="false">U898*Settings!$B$3/SUM(S898:X898)</f>
        <v>70.4879938032533</v>
      </c>
      <c r="AB898" s="2" t="n">
        <f aca="false">V898*Settings!$B$3/SUM(S898:X898)</f>
        <v>87.141750580945</v>
      </c>
      <c r="AC898" s="2" t="n">
        <f aca="false">W898*Settings!$B$3/SUM(S898:X898)</f>
        <v>70.1006971340046</v>
      </c>
      <c r="AD898" s="2" t="n">
        <f aca="false">X898*Settings!$B$3/SUM(S898:X898)</f>
        <v>90.2401239349342</v>
      </c>
      <c r="AE898" s="2" t="n">
        <f aca="false">INT(Y898)</f>
        <v>94</v>
      </c>
      <c r="AF898" s="2" t="n">
        <f aca="false">INT(Z898)</f>
        <v>87</v>
      </c>
      <c r="AG898" s="2" t="n">
        <f aca="false">INT(AA898)</f>
        <v>70</v>
      </c>
      <c r="AH898" s="2" t="n">
        <f aca="false">INT(AB898)</f>
        <v>87</v>
      </c>
      <c r="AI898" s="2" t="n">
        <f aca="false">INT(AC898)</f>
        <v>70</v>
      </c>
      <c r="AJ898" s="2" t="n">
        <f aca="false">INT(AD898)</f>
        <v>90</v>
      </c>
      <c r="AK898" s="2" t="n">
        <f aca="false">Settings!$B$3-SUM(AE898:AJ898)</f>
        <v>2</v>
      </c>
      <c r="AL898" s="2" t="n">
        <f aca="false">ROUND(Y898-AE898,9)</f>
        <v>0.887683966</v>
      </c>
      <c r="AM898" s="2" t="n">
        <f aca="false">ROUND(Z898-AF898,9)</f>
        <v>0.141750581</v>
      </c>
      <c r="AN898" s="2" t="n">
        <f aca="false">ROUND(AA898-AG898,9)</f>
        <v>0.487993803</v>
      </c>
      <c r="AO898" s="2" t="n">
        <f aca="false">ROUND(AB898-AH898,9)</f>
        <v>0.141750581</v>
      </c>
      <c r="AP898" s="2" t="n">
        <f aca="false">ROUND(AC898-AI898,9)</f>
        <v>0.100697134</v>
      </c>
      <c r="AQ898" s="2" t="n">
        <f aca="false">ROUND(AD898-AJ898,9)</f>
        <v>0.240123935</v>
      </c>
    </row>
    <row r="899" customFormat="false" ht="15" hidden="false" customHeight="false" outlineLevel="0" collapsed="false">
      <c r="A899" s="2" t="n">
        <v>898</v>
      </c>
      <c r="B899" s="6" t="n">
        <v>23</v>
      </c>
      <c r="C899" s="6" t="n">
        <v>30</v>
      </c>
      <c r="D899" s="8" t="str">
        <f aca="false">INDEX(Bases!$B$2:$B$53,B899)</f>
        <v>Gulpin</v>
      </c>
      <c r="E899" s="8" t="str">
        <f aca="false">INDEX(Bases!$B$2:$B$53,C899)</f>
        <v>Swablu</v>
      </c>
      <c r="F899" s="2" t="str">
        <f aca="false">LEFT(D899,ROUNDUP(LEN(D899)/2,0))&amp;LOWER(MID(E899,ROUNDUP(LEN(E899)/2,0)+1,20))</f>
        <v>Gulblu</v>
      </c>
      <c r="G899" s="8" t="str">
        <f aca="false">INDEX(Bases!$C$2:$C$53,B899)</f>
        <v>Poison</v>
      </c>
      <c r="H899" s="8" t="str">
        <f aca="false">IF(INDEX(Bases!$C$2:$C$53,C899)=G899,"",INDEX(Bases!$C$2:$C$53,C899))</f>
        <v>Flying</v>
      </c>
      <c r="I899" s="8" t="str">
        <f aca="false">IF(INDEX(Bases!$E$2:$E$53,B899)="","",INDEX(Bases!$E$2:$E$53,B899))</f>
        <v/>
      </c>
      <c r="J899" s="8" t="str">
        <f aca="false">IF(INDEX(Bases!$E$2:$E$53,C899)="","",INDEX(Bases!$E$2:$E$53,C899))</f>
        <v/>
      </c>
      <c r="K899" s="5"/>
      <c r="L899" s="2" t="n">
        <f aca="false">AE899+IF(SUMPRODUCT(--($AL899:$AQ899&gt;AL899))&lt;$AK899,1,0)</f>
        <v>98</v>
      </c>
      <c r="M899" s="2" t="n">
        <f aca="false">AF899+IF(SUMPRODUCT(--($AL899:$AQ899&gt;AM899))+SUMPRODUCT(--($AL899:AL899=AM899))&lt;$AK899,1,0)</f>
        <v>67</v>
      </c>
      <c r="N899" s="2" t="n">
        <f aca="false">AG899+IF(SUMPRODUCT(--($AL899:$AQ899&gt;AN899))+SUMPRODUCT(--($AL899:AM899=AN899))&lt;$AK899,1,0)</f>
        <v>90</v>
      </c>
      <c r="O899" s="2" t="n">
        <f aca="false">AH899+IF(SUMPRODUCT(--($AL899:$AQ899&gt;AO899))+SUMPRODUCT(--($AL899:AN899=AO899))&lt;$AK899,1,0)</f>
        <v>66</v>
      </c>
      <c r="P899" s="2" t="n">
        <f aca="false">AI899+IF(SUMPRODUCT(--($AL899:$AQ899&gt;AP899))+SUMPRODUCT(--($AL899:AO899=AP899))&lt;$AK899,1,0)</f>
        <v>106</v>
      </c>
      <c r="Q899" s="2" t="n">
        <f aca="false">AJ899+IF(SUMPRODUCT(--($AL899:$AQ899&gt;AQ899))+SUMPRODUCT(--($AL899:AP899=AQ899))&lt;$AK899,1,0)</f>
        <v>73</v>
      </c>
      <c r="R899" s="2" t="n">
        <f aca="false">SUM(L899:Q899)</f>
        <v>500</v>
      </c>
      <c r="S899" s="2" t="n">
        <f aca="false">Settings!$B$4*MAX(INDEX(Bases!$M$2:$M$53,B899),INDEX(Bases!$M$2:$M$53,C899))+Settings!$B$5*MIN(INDEX(Bases!$M$2:$M$53,B899),INDEX(Bases!$M$2:$M$53,C899))</f>
        <v>81.3333333333333</v>
      </c>
      <c r="T899" s="2" t="n">
        <f aca="false">Settings!$B$4*MAX(INDEX(Bases!$N$2:$N$53,B899),INDEX(Bases!$N$2:$N$53,C899))+Settings!$B$5*MIN(INDEX(Bases!$N$2:$N$53,B899),INDEX(Bases!$N$2:$N$53,C899))</f>
        <v>55.3333333333333</v>
      </c>
      <c r="U899" s="2" t="n">
        <f aca="false">Settings!$B$4*MAX(INDEX(Bases!$O$2:$O$53,B899),INDEX(Bases!$O$2:$O$53,C899))+Settings!$B$5*MIN(INDEX(Bases!$O$2:$O$53,B899),INDEX(Bases!$O$2:$O$53,C899))</f>
        <v>74.6666666666667</v>
      </c>
      <c r="V899" s="2" t="n">
        <f aca="false">Settings!$B$4*MAX(INDEX(Bases!$P$2:$P$53,B899),INDEX(Bases!$P$2:$P$53,C899))+Settings!$B$5*MIN(INDEX(Bases!$P$2:$P$53,B899),INDEX(Bases!$P$2:$P$53,C899))</f>
        <v>55.3333333333333</v>
      </c>
      <c r="W899" s="2" t="n">
        <f aca="false">Settings!$B$4*MAX(INDEX(Bases!$Q$2:$Q$53,B899),INDEX(Bases!$Q$2:$Q$53,C899))+Settings!$B$5*MIN(INDEX(Bases!$Q$2:$Q$53,B899),INDEX(Bases!$Q$2:$Q$53,C899))</f>
        <v>88</v>
      </c>
      <c r="X899" s="2" t="n">
        <f aca="false">Settings!$B$4*MAX(INDEX(Bases!$R$2:$R$53,B899),INDEX(Bases!$R$2:$R$53,C899))+Settings!$B$5*MIN(INDEX(Bases!$R$2:$R$53,B899),INDEX(Bases!$R$2:$R$53,C899))</f>
        <v>60.3333333333333</v>
      </c>
      <c r="Y899" s="2" t="n">
        <f aca="false">S899*Settings!$B$3/SUM(S899:X899)</f>
        <v>97.991967871486</v>
      </c>
      <c r="Z899" s="2" t="n">
        <f aca="false">T899*Settings!$B$3/SUM(S899:X899)</f>
        <v>66.6666666666667</v>
      </c>
      <c r="AA899" s="2" t="n">
        <f aca="false">U899*Settings!$B$3/SUM(S899:X899)</f>
        <v>89.9598393574297</v>
      </c>
      <c r="AB899" s="2" t="n">
        <f aca="false">V899*Settings!$B$3/SUM(S899:X899)</f>
        <v>66.6666666666667</v>
      </c>
      <c r="AC899" s="2" t="n">
        <f aca="false">W899*Settings!$B$3/SUM(S899:X899)</f>
        <v>106.024096385542</v>
      </c>
      <c r="AD899" s="2" t="n">
        <f aca="false">X899*Settings!$B$3/SUM(S899:X899)</f>
        <v>72.6907630522088</v>
      </c>
      <c r="AE899" s="2" t="n">
        <f aca="false">INT(Y899)</f>
        <v>97</v>
      </c>
      <c r="AF899" s="2" t="n">
        <f aca="false">INT(Z899)</f>
        <v>66</v>
      </c>
      <c r="AG899" s="2" t="n">
        <f aca="false">INT(AA899)</f>
        <v>89</v>
      </c>
      <c r="AH899" s="2" t="n">
        <f aca="false">INT(AB899)</f>
        <v>66</v>
      </c>
      <c r="AI899" s="2" t="n">
        <f aca="false">INT(AC899)</f>
        <v>106</v>
      </c>
      <c r="AJ899" s="2" t="n">
        <f aca="false">INT(AD899)</f>
        <v>72</v>
      </c>
      <c r="AK899" s="2" t="n">
        <f aca="false">Settings!$B$3-SUM(AE899:AJ899)</f>
        <v>4</v>
      </c>
      <c r="AL899" s="2" t="n">
        <f aca="false">ROUND(Y899-AE899,9)</f>
        <v>0.991967871</v>
      </c>
      <c r="AM899" s="2" t="n">
        <f aca="false">ROUND(Z899-AF899,9)</f>
        <v>0.666666667</v>
      </c>
      <c r="AN899" s="2" t="n">
        <f aca="false">ROUND(AA899-AG899,9)</f>
        <v>0.959839357</v>
      </c>
      <c r="AO899" s="2" t="n">
        <f aca="false">ROUND(AB899-AH899,9)</f>
        <v>0.666666667</v>
      </c>
      <c r="AP899" s="2" t="n">
        <f aca="false">ROUND(AC899-AI899,9)</f>
        <v>0.024096386</v>
      </c>
      <c r="AQ899" s="2" t="n">
        <f aca="false">ROUND(AD899-AJ899,9)</f>
        <v>0.690763052</v>
      </c>
    </row>
    <row r="900" customFormat="false" ht="15" hidden="false" customHeight="false" outlineLevel="0" collapsed="false">
      <c r="A900" s="2" t="n">
        <v>899</v>
      </c>
      <c r="B900" s="6" t="n">
        <v>23</v>
      </c>
      <c r="C900" s="6" t="n">
        <v>31</v>
      </c>
      <c r="D900" s="8" t="str">
        <f aca="false">INDEX(Bases!$B$2:$B$53,B900)</f>
        <v>Gulpin</v>
      </c>
      <c r="E900" s="8" t="str">
        <f aca="false">INDEX(Bases!$B$2:$B$53,C900)</f>
        <v>Mew</v>
      </c>
      <c r="F900" s="2" t="str">
        <f aca="false">LEFT(D900,ROUNDUP(LEN(D900)/2,0))&amp;LOWER(MID(E900,ROUNDUP(LEN(E900)/2,0)+1,20))</f>
        <v>Gulw</v>
      </c>
      <c r="G900" s="8" t="str">
        <f aca="false">INDEX(Bases!$C$2:$C$53,B900)</f>
        <v>Poison</v>
      </c>
      <c r="H900" s="8" t="str">
        <f aca="false">IF(INDEX(Bases!$C$2:$C$53,C900)=G900,"",INDEX(Bases!$C$2:$C$53,C900))</f>
        <v>Psychic</v>
      </c>
      <c r="I900" s="8" t="str">
        <f aca="false">IF(INDEX(Bases!$E$2:$E$53,B900)="","",INDEX(Bases!$E$2:$E$53,B900))</f>
        <v/>
      </c>
      <c r="J900" s="8" t="str">
        <f aca="false">IF(INDEX(Bases!$E$2:$E$53,C900)="","",INDEX(Bases!$E$2:$E$53,C900))</f>
        <v/>
      </c>
      <c r="K900" s="5"/>
      <c r="L900" s="2" t="n">
        <f aca="false">AE900+IF(SUMPRODUCT(--($AL900:$AQ900&gt;AL900))&lt;$AK900,1,0)</f>
        <v>103</v>
      </c>
      <c r="M900" s="2" t="n">
        <f aca="false">AF900+IF(SUMPRODUCT(--($AL900:$AQ900&gt;AM900))+SUMPRODUCT(--($AL900:AL900=AM900))&lt;$AK900,1,0)</f>
        <v>77</v>
      </c>
      <c r="N900" s="2" t="n">
        <f aca="false">AG900+IF(SUMPRODUCT(--($AL900:$AQ900&gt;AN900))+SUMPRODUCT(--($AL900:AM900=AN900))&lt;$AK900,1,0)</f>
        <v>84</v>
      </c>
      <c r="O900" s="2" t="n">
        <f aca="false">AH900+IF(SUMPRODUCT(--($AL900:$AQ900&gt;AO900))+SUMPRODUCT(--($AL900:AN900=AO900))&lt;$AK900,1,0)</f>
        <v>77</v>
      </c>
      <c r="P900" s="2" t="n">
        <f aca="false">AI900+IF(SUMPRODUCT(--($AL900:$AQ900&gt;AP900))+SUMPRODUCT(--($AL900:AO900=AP900))&lt;$AK900,1,0)</f>
        <v>84</v>
      </c>
      <c r="Q900" s="2" t="n">
        <f aca="false">AJ900+IF(SUMPRODUCT(--($AL900:$AQ900&gt;AQ900))+SUMPRODUCT(--($AL900:AP900=AQ900))&lt;$AK900,1,0)</f>
        <v>75</v>
      </c>
      <c r="R900" s="2" t="n">
        <f aca="false">SUM(L900:Q900)</f>
        <v>500</v>
      </c>
      <c r="S900" s="2" t="n">
        <f aca="false">Settings!$B$4*MAX(INDEX(Bases!$M$2:$M$53,B900),INDEX(Bases!$M$2:$M$53,C900))+Settings!$B$5*MIN(INDEX(Bases!$M$2:$M$53,B900),INDEX(Bases!$M$2:$M$53,C900))</f>
        <v>84.3333333333333</v>
      </c>
      <c r="T900" s="2" t="n">
        <f aca="false">Settings!$B$4*MAX(INDEX(Bases!$N$2:$N$53,B900),INDEX(Bases!$N$2:$N$53,C900))+Settings!$B$5*MIN(INDEX(Bases!$N$2:$N$53,B900),INDEX(Bases!$N$2:$N$53,C900))</f>
        <v>63.6666666666667</v>
      </c>
      <c r="U900" s="2" t="n">
        <f aca="false">Settings!$B$4*MAX(INDEX(Bases!$O$2:$O$53,B900),INDEX(Bases!$O$2:$O$53,C900))+Settings!$B$5*MIN(INDEX(Bases!$O$2:$O$53,B900),INDEX(Bases!$O$2:$O$53,C900))</f>
        <v>69</v>
      </c>
      <c r="V900" s="2" t="n">
        <f aca="false">Settings!$B$4*MAX(INDEX(Bases!$P$2:$P$53,B900),INDEX(Bases!$P$2:$P$53,C900))+Settings!$B$5*MIN(INDEX(Bases!$P$2:$P$53,B900),INDEX(Bases!$P$2:$P$53,C900))</f>
        <v>63.6666666666667</v>
      </c>
      <c r="W900" s="2" t="n">
        <f aca="false">Settings!$B$4*MAX(INDEX(Bases!$Q$2:$Q$53,B900),INDEX(Bases!$Q$2:$Q$53,C900))+Settings!$B$5*MIN(INDEX(Bases!$Q$2:$Q$53,B900),INDEX(Bases!$Q$2:$Q$53,C900))</f>
        <v>68.6666666666667</v>
      </c>
      <c r="X900" s="2" t="n">
        <f aca="false">Settings!$B$4*MAX(INDEX(Bases!$R$2:$R$53,B900),INDEX(Bases!$R$2:$R$53,C900))+Settings!$B$5*MIN(INDEX(Bases!$R$2:$R$53,B900),INDEX(Bases!$R$2:$R$53,C900))</f>
        <v>61.6666666666667</v>
      </c>
      <c r="Y900" s="2" t="n">
        <f aca="false">S900*Settings!$B$3/SUM(S900:X900)</f>
        <v>102.595296025953</v>
      </c>
      <c r="Z900" s="2" t="n">
        <f aca="false">T900*Settings!$B$3/SUM(S900:X900)</f>
        <v>77.4533657745337</v>
      </c>
      <c r="AA900" s="2" t="n">
        <f aca="false">U900*Settings!$B$3/SUM(S900:X900)</f>
        <v>83.941605839416</v>
      </c>
      <c r="AB900" s="2" t="n">
        <f aca="false">V900*Settings!$B$3/SUM(S900:X900)</f>
        <v>77.4533657745337</v>
      </c>
      <c r="AC900" s="2" t="n">
        <f aca="false">W900*Settings!$B$3/SUM(S900:X900)</f>
        <v>83.5360908353609</v>
      </c>
      <c r="AD900" s="2" t="n">
        <f aca="false">X900*Settings!$B$3/SUM(S900:X900)</f>
        <v>75.0202757502028</v>
      </c>
      <c r="AE900" s="2" t="n">
        <f aca="false">INT(Y900)</f>
        <v>102</v>
      </c>
      <c r="AF900" s="2" t="n">
        <f aca="false">INT(Z900)</f>
        <v>77</v>
      </c>
      <c r="AG900" s="2" t="n">
        <f aca="false">INT(AA900)</f>
        <v>83</v>
      </c>
      <c r="AH900" s="2" t="n">
        <f aca="false">INT(AB900)</f>
        <v>77</v>
      </c>
      <c r="AI900" s="2" t="n">
        <f aca="false">INT(AC900)</f>
        <v>83</v>
      </c>
      <c r="AJ900" s="2" t="n">
        <f aca="false">INT(AD900)</f>
        <v>75</v>
      </c>
      <c r="AK900" s="2" t="n">
        <f aca="false">Settings!$B$3-SUM(AE900:AJ900)</f>
        <v>3</v>
      </c>
      <c r="AL900" s="2" t="n">
        <f aca="false">ROUND(Y900-AE900,9)</f>
        <v>0.595296026</v>
      </c>
      <c r="AM900" s="2" t="n">
        <f aca="false">ROUND(Z900-AF900,9)</f>
        <v>0.453365775</v>
      </c>
      <c r="AN900" s="2" t="n">
        <f aca="false">ROUND(AA900-AG900,9)</f>
        <v>0.941605839</v>
      </c>
      <c r="AO900" s="2" t="n">
        <f aca="false">ROUND(AB900-AH900,9)</f>
        <v>0.453365775</v>
      </c>
      <c r="AP900" s="2" t="n">
        <f aca="false">ROUND(AC900-AI900,9)</f>
        <v>0.536090835</v>
      </c>
      <c r="AQ900" s="2" t="n">
        <f aca="false">ROUND(AD900-AJ900,9)</f>
        <v>0.02027575</v>
      </c>
    </row>
    <row r="901" customFormat="false" ht="15" hidden="false" customHeight="false" outlineLevel="0" collapsed="false">
      <c r="A901" s="2" t="n">
        <v>900</v>
      </c>
      <c r="B901" s="6" t="n">
        <v>23</v>
      </c>
      <c r="C901" s="6" t="n">
        <v>32</v>
      </c>
      <c r="D901" s="8" t="str">
        <f aca="false">INDEX(Bases!$B$2:$B$53,B901)</f>
        <v>Gulpin</v>
      </c>
      <c r="E901" s="8" t="str">
        <f aca="false">INDEX(Bases!$B$2:$B$53,C901)</f>
        <v>Spoink</v>
      </c>
      <c r="F901" s="2" t="str">
        <f aca="false">LEFT(D901,ROUNDUP(LEN(D901)/2,0))&amp;LOWER(MID(E901,ROUNDUP(LEN(E901)/2,0)+1,20))</f>
        <v>Gulink</v>
      </c>
      <c r="G901" s="8" t="str">
        <f aca="false">INDEX(Bases!$C$2:$C$53,B901)</f>
        <v>Poison</v>
      </c>
      <c r="H901" s="8" t="str">
        <f aca="false">IF(INDEX(Bases!$C$2:$C$53,C901)=G901,"",INDEX(Bases!$C$2:$C$53,C901))</f>
        <v>Psychic</v>
      </c>
      <c r="I901" s="8" t="str">
        <f aca="false">IF(INDEX(Bases!$E$2:$E$53,B901)="","",INDEX(Bases!$E$2:$E$53,B901))</f>
        <v/>
      </c>
      <c r="J901" s="8" t="str">
        <f aca="false">IF(INDEX(Bases!$E$2:$E$53,C901)="","",INDEX(Bases!$E$2:$E$53,C901))</f>
        <v/>
      </c>
      <c r="K901" s="5"/>
      <c r="L901" s="2" t="n">
        <f aca="false">AE901+IF(SUMPRODUCT(--($AL901:$AQ901&gt;AL901))&lt;$AK901,1,0)</f>
        <v>102</v>
      </c>
      <c r="M901" s="2" t="n">
        <f aca="false">AF901+IF(SUMPRODUCT(--($AL901:$AQ901&gt;AM901))+SUMPRODUCT(--($AL901:AL901=AM901))&lt;$AK901,1,0)</f>
        <v>56</v>
      </c>
      <c r="N901" s="2" t="n">
        <f aca="false">AG901+IF(SUMPRODUCT(--($AL901:$AQ901&gt;AN901))+SUMPRODUCT(--($AL901:AM901=AN901))&lt;$AK901,1,0)</f>
        <v>71</v>
      </c>
      <c r="O901" s="2" t="n">
        <f aca="false">AH901+IF(SUMPRODUCT(--($AL901:$AQ901&gt;AO901))+SUMPRODUCT(--($AL901:AN901=AO901))&lt;$AK901,1,0)</f>
        <v>89</v>
      </c>
      <c r="P901" s="2" t="n">
        <f aca="false">AI901+IF(SUMPRODUCT(--($AL901:$AQ901&gt;AP901))+SUMPRODUCT(--($AL901:AO901=AP901))&lt;$AK901,1,0)</f>
        <v>104</v>
      </c>
      <c r="Q901" s="2" t="n">
        <f aca="false">AJ901+IF(SUMPRODUCT(--($AL901:$AQ901&gt;AQ901))+SUMPRODUCT(--($AL901:AP901=AQ901))&lt;$AK901,1,0)</f>
        <v>78</v>
      </c>
      <c r="R901" s="2" t="n">
        <f aca="false">SUM(L901:Q901)</f>
        <v>500</v>
      </c>
      <c r="S901" s="2" t="n">
        <f aca="false">Settings!$B$4*MAX(INDEX(Bases!$M$2:$M$53,B901),INDEX(Bases!$M$2:$M$53,C901))+Settings!$B$5*MIN(INDEX(Bases!$M$2:$M$53,B901),INDEX(Bases!$M$2:$M$53,C901))</f>
        <v>86.3333333333333</v>
      </c>
      <c r="T901" s="2" t="n">
        <f aca="false">Settings!$B$4*MAX(INDEX(Bases!$N$2:$N$53,B901),INDEX(Bases!$N$2:$N$53,C901))+Settings!$B$5*MIN(INDEX(Bases!$N$2:$N$53,B901),INDEX(Bases!$N$2:$N$53,C901))</f>
        <v>48</v>
      </c>
      <c r="U901" s="2" t="n">
        <f aca="false">Settings!$B$4*MAX(INDEX(Bases!$O$2:$O$53,B901),INDEX(Bases!$O$2:$O$53,C901))+Settings!$B$5*MIN(INDEX(Bases!$O$2:$O$53,B901),INDEX(Bases!$O$2:$O$53,C901))</f>
        <v>60.6666666666667</v>
      </c>
      <c r="V901" s="2" t="n">
        <f aca="false">Settings!$B$4*MAX(INDEX(Bases!$P$2:$P$53,B901),INDEX(Bases!$P$2:$P$53,C901))+Settings!$B$5*MIN(INDEX(Bases!$P$2:$P$53,B901),INDEX(Bases!$P$2:$P$53,C901))</f>
        <v>75.6666666666667</v>
      </c>
      <c r="W901" s="2" t="n">
        <f aca="false">Settings!$B$4*MAX(INDEX(Bases!$Q$2:$Q$53,B901),INDEX(Bases!$Q$2:$Q$53,C901))+Settings!$B$5*MIN(INDEX(Bases!$Q$2:$Q$53,B901),INDEX(Bases!$Q$2:$Q$53,C901))</f>
        <v>88</v>
      </c>
      <c r="X901" s="2" t="n">
        <f aca="false">Settings!$B$4*MAX(INDEX(Bases!$R$2:$R$53,B901),INDEX(Bases!$R$2:$R$53,C901))+Settings!$B$5*MIN(INDEX(Bases!$R$2:$R$53,B901),INDEX(Bases!$R$2:$R$53,C901))</f>
        <v>66.3333333333333</v>
      </c>
      <c r="Y901" s="2" t="n">
        <f aca="false">S901*Settings!$B$3/SUM(S901:X901)</f>
        <v>101.56862745098</v>
      </c>
      <c r="Z901" s="2" t="n">
        <f aca="false">T901*Settings!$B$3/SUM(S901:X901)</f>
        <v>56.4705882352941</v>
      </c>
      <c r="AA901" s="2" t="n">
        <f aca="false">U901*Settings!$B$3/SUM(S901:X901)</f>
        <v>71.3725490196079</v>
      </c>
      <c r="AB901" s="2" t="n">
        <f aca="false">V901*Settings!$B$3/SUM(S901:X901)</f>
        <v>89.0196078431373</v>
      </c>
      <c r="AC901" s="2" t="n">
        <f aca="false">W901*Settings!$B$3/SUM(S901:X901)</f>
        <v>103.529411764706</v>
      </c>
      <c r="AD901" s="2" t="n">
        <f aca="false">X901*Settings!$B$3/SUM(S901:X901)</f>
        <v>78.0392156862745</v>
      </c>
      <c r="AE901" s="2" t="n">
        <f aca="false">INT(Y901)</f>
        <v>101</v>
      </c>
      <c r="AF901" s="2" t="n">
        <f aca="false">INT(Z901)</f>
        <v>56</v>
      </c>
      <c r="AG901" s="2" t="n">
        <f aca="false">INT(AA901)</f>
        <v>71</v>
      </c>
      <c r="AH901" s="2" t="n">
        <f aca="false">INT(AB901)</f>
        <v>89</v>
      </c>
      <c r="AI901" s="2" t="n">
        <f aca="false">INT(AC901)</f>
        <v>103</v>
      </c>
      <c r="AJ901" s="2" t="n">
        <f aca="false">INT(AD901)</f>
        <v>78</v>
      </c>
      <c r="AK901" s="2" t="n">
        <f aca="false">Settings!$B$3-SUM(AE901:AJ901)</f>
        <v>2</v>
      </c>
      <c r="AL901" s="2" t="n">
        <f aca="false">ROUND(Y901-AE901,9)</f>
        <v>0.568627451</v>
      </c>
      <c r="AM901" s="2" t="n">
        <f aca="false">ROUND(Z901-AF901,9)</f>
        <v>0.470588235</v>
      </c>
      <c r="AN901" s="2" t="n">
        <f aca="false">ROUND(AA901-AG901,9)</f>
        <v>0.37254902</v>
      </c>
      <c r="AO901" s="2" t="n">
        <f aca="false">ROUND(AB901-AH901,9)</f>
        <v>0.019607843</v>
      </c>
      <c r="AP901" s="2" t="n">
        <f aca="false">ROUND(AC901-AI901,9)</f>
        <v>0.529411765</v>
      </c>
      <c r="AQ901" s="2" t="n">
        <f aca="false">ROUND(AD901-AJ901,9)</f>
        <v>0.039215686</v>
      </c>
    </row>
    <row r="902" customFormat="false" ht="15" hidden="false" customHeight="false" outlineLevel="0" collapsed="false">
      <c r="A902" s="2" t="n">
        <v>901</v>
      </c>
      <c r="B902" s="6" t="n">
        <v>23</v>
      </c>
      <c r="C902" s="6" t="n">
        <v>33</v>
      </c>
      <c r="D902" s="8" t="str">
        <f aca="false">INDEX(Bases!$B$2:$B$53,B902)</f>
        <v>Gulpin</v>
      </c>
      <c r="E902" s="8" t="str">
        <f aca="false">INDEX(Bases!$B$2:$B$53,C902)</f>
        <v>Jirachi</v>
      </c>
      <c r="F902" s="2" t="str">
        <f aca="false">LEFT(D902,ROUNDUP(LEN(D902)/2,0))&amp;LOWER(MID(E902,ROUNDUP(LEN(E902)/2,0)+1,20))</f>
        <v>Gulchi</v>
      </c>
      <c r="G902" s="8" t="str">
        <f aca="false">INDEX(Bases!$C$2:$C$53,B902)</f>
        <v>Poison</v>
      </c>
      <c r="H902" s="8" t="str">
        <f aca="false">IF(INDEX(Bases!$C$2:$C$53,C902)=G902,"",INDEX(Bases!$C$2:$C$53,C902))</f>
        <v>Psychic</v>
      </c>
      <c r="I902" s="8" t="str">
        <f aca="false">IF(INDEX(Bases!$E$2:$E$53,B902)="","",INDEX(Bases!$E$2:$E$53,B902))</f>
        <v/>
      </c>
      <c r="J902" s="8" t="str">
        <f aca="false">IF(INDEX(Bases!$E$2:$E$53,C902)="","",INDEX(Bases!$E$2:$E$53,C902))</f>
        <v/>
      </c>
      <c r="K902" s="5"/>
      <c r="L902" s="2" t="n">
        <f aca="false">AE902+IF(SUMPRODUCT(--($AL902:$AQ902&gt;AL902))&lt;$AK902,1,0)</f>
        <v>103</v>
      </c>
      <c r="M902" s="2" t="n">
        <f aca="false">AF902+IF(SUMPRODUCT(--($AL902:$AQ902&gt;AM902))+SUMPRODUCT(--($AL902:AL902=AM902))&lt;$AK902,1,0)</f>
        <v>77</v>
      </c>
      <c r="N902" s="2" t="n">
        <f aca="false">AG902+IF(SUMPRODUCT(--($AL902:$AQ902&gt;AN902))+SUMPRODUCT(--($AL902:AM902=AN902))&lt;$AK902,1,0)</f>
        <v>84</v>
      </c>
      <c r="O902" s="2" t="n">
        <f aca="false">AH902+IF(SUMPRODUCT(--($AL902:$AQ902&gt;AO902))+SUMPRODUCT(--($AL902:AN902=AO902))&lt;$AK902,1,0)</f>
        <v>77</v>
      </c>
      <c r="P902" s="2" t="n">
        <f aca="false">AI902+IF(SUMPRODUCT(--($AL902:$AQ902&gt;AP902))+SUMPRODUCT(--($AL902:AO902=AP902))&lt;$AK902,1,0)</f>
        <v>84</v>
      </c>
      <c r="Q902" s="2" t="n">
        <f aca="false">AJ902+IF(SUMPRODUCT(--($AL902:$AQ902&gt;AQ902))+SUMPRODUCT(--($AL902:AP902=AQ902))&lt;$AK902,1,0)</f>
        <v>75</v>
      </c>
      <c r="R902" s="2" t="n">
        <f aca="false">SUM(L902:Q902)</f>
        <v>500</v>
      </c>
      <c r="S902" s="2" t="n">
        <f aca="false">Settings!$B$4*MAX(INDEX(Bases!$M$2:$M$53,B902),INDEX(Bases!$M$2:$M$53,C902))+Settings!$B$5*MIN(INDEX(Bases!$M$2:$M$53,B902),INDEX(Bases!$M$2:$M$53,C902))</f>
        <v>84.3333333333333</v>
      </c>
      <c r="T902" s="2" t="n">
        <f aca="false">Settings!$B$4*MAX(INDEX(Bases!$N$2:$N$53,B902),INDEX(Bases!$N$2:$N$53,C902))+Settings!$B$5*MIN(INDEX(Bases!$N$2:$N$53,B902),INDEX(Bases!$N$2:$N$53,C902))</f>
        <v>63.6666666666667</v>
      </c>
      <c r="U902" s="2" t="n">
        <f aca="false">Settings!$B$4*MAX(INDEX(Bases!$O$2:$O$53,B902),INDEX(Bases!$O$2:$O$53,C902))+Settings!$B$5*MIN(INDEX(Bases!$O$2:$O$53,B902),INDEX(Bases!$O$2:$O$53,C902))</f>
        <v>69</v>
      </c>
      <c r="V902" s="2" t="n">
        <f aca="false">Settings!$B$4*MAX(INDEX(Bases!$P$2:$P$53,B902),INDEX(Bases!$P$2:$P$53,C902))+Settings!$B$5*MIN(INDEX(Bases!$P$2:$P$53,B902),INDEX(Bases!$P$2:$P$53,C902))</f>
        <v>63.6666666666667</v>
      </c>
      <c r="W902" s="2" t="n">
        <f aca="false">Settings!$B$4*MAX(INDEX(Bases!$Q$2:$Q$53,B902),INDEX(Bases!$Q$2:$Q$53,C902))+Settings!$B$5*MIN(INDEX(Bases!$Q$2:$Q$53,B902),INDEX(Bases!$Q$2:$Q$53,C902))</f>
        <v>68.6666666666667</v>
      </c>
      <c r="X902" s="2" t="n">
        <f aca="false">Settings!$B$4*MAX(INDEX(Bases!$R$2:$R$53,B902),INDEX(Bases!$R$2:$R$53,C902))+Settings!$B$5*MIN(INDEX(Bases!$R$2:$R$53,B902),INDEX(Bases!$R$2:$R$53,C902))</f>
        <v>61.6666666666667</v>
      </c>
      <c r="Y902" s="2" t="n">
        <f aca="false">S902*Settings!$B$3/SUM(S902:X902)</f>
        <v>102.595296025953</v>
      </c>
      <c r="Z902" s="2" t="n">
        <f aca="false">T902*Settings!$B$3/SUM(S902:X902)</f>
        <v>77.4533657745337</v>
      </c>
      <c r="AA902" s="2" t="n">
        <f aca="false">U902*Settings!$B$3/SUM(S902:X902)</f>
        <v>83.941605839416</v>
      </c>
      <c r="AB902" s="2" t="n">
        <f aca="false">V902*Settings!$B$3/SUM(S902:X902)</f>
        <v>77.4533657745337</v>
      </c>
      <c r="AC902" s="2" t="n">
        <f aca="false">W902*Settings!$B$3/SUM(S902:X902)</f>
        <v>83.5360908353609</v>
      </c>
      <c r="AD902" s="2" t="n">
        <f aca="false">X902*Settings!$B$3/SUM(S902:X902)</f>
        <v>75.0202757502028</v>
      </c>
      <c r="AE902" s="2" t="n">
        <f aca="false">INT(Y902)</f>
        <v>102</v>
      </c>
      <c r="AF902" s="2" t="n">
        <f aca="false">INT(Z902)</f>
        <v>77</v>
      </c>
      <c r="AG902" s="2" t="n">
        <f aca="false">INT(AA902)</f>
        <v>83</v>
      </c>
      <c r="AH902" s="2" t="n">
        <f aca="false">INT(AB902)</f>
        <v>77</v>
      </c>
      <c r="AI902" s="2" t="n">
        <f aca="false">INT(AC902)</f>
        <v>83</v>
      </c>
      <c r="AJ902" s="2" t="n">
        <f aca="false">INT(AD902)</f>
        <v>75</v>
      </c>
      <c r="AK902" s="2" t="n">
        <f aca="false">Settings!$B$3-SUM(AE902:AJ902)</f>
        <v>3</v>
      </c>
      <c r="AL902" s="2" t="n">
        <f aca="false">ROUND(Y902-AE902,9)</f>
        <v>0.595296026</v>
      </c>
      <c r="AM902" s="2" t="n">
        <f aca="false">ROUND(Z902-AF902,9)</f>
        <v>0.453365775</v>
      </c>
      <c r="AN902" s="2" t="n">
        <f aca="false">ROUND(AA902-AG902,9)</f>
        <v>0.941605839</v>
      </c>
      <c r="AO902" s="2" t="n">
        <f aca="false">ROUND(AB902-AH902,9)</f>
        <v>0.453365775</v>
      </c>
      <c r="AP902" s="2" t="n">
        <f aca="false">ROUND(AC902-AI902,9)</f>
        <v>0.536090835</v>
      </c>
      <c r="AQ902" s="2" t="n">
        <f aca="false">ROUND(AD902-AJ902,9)</f>
        <v>0.02027575</v>
      </c>
    </row>
    <row r="903" customFormat="false" ht="15" hidden="false" customHeight="false" outlineLevel="0" collapsed="false">
      <c r="A903" s="2" t="n">
        <v>902</v>
      </c>
      <c r="B903" s="6" t="n">
        <v>23</v>
      </c>
      <c r="C903" s="6" t="n">
        <v>34</v>
      </c>
      <c r="D903" s="8" t="str">
        <f aca="false">INDEX(Bases!$B$2:$B$53,B903)</f>
        <v>Gulpin</v>
      </c>
      <c r="E903" s="8" t="str">
        <f aca="false">INDEX(Bases!$B$2:$B$53,C903)</f>
        <v>Paras</v>
      </c>
      <c r="F903" s="2" t="str">
        <f aca="false">LEFT(D903,ROUNDUP(LEN(D903)/2,0))&amp;LOWER(MID(E903,ROUNDUP(LEN(E903)/2,0)+1,20))</f>
        <v>Gulas</v>
      </c>
      <c r="G903" s="8" t="str">
        <f aca="false">INDEX(Bases!$C$2:$C$53,B903)</f>
        <v>Poison</v>
      </c>
      <c r="H903" s="8" t="str">
        <f aca="false">IF(INDEX(Bases!$C$2:$C$53,C903)=G903,"",INDEX(Bases!$C$2:$C$53,C903))</f>
        <v>Bug</v>
      </c>
      <c r="I903" s="8" t="str">
        <f aca="false">IF(INDEX(Bases!$E$2:$E$53,B903)="","",INDEX(Bases!$E$2:$E$53,B903))</f>
        <v/>
      </c>
      <c r="J903" s="8" t="str">
        <f aca="false">IF(INDEX(Bases!$E$2:$E$53,C903)="","",INDEX(Bases!$E$2:$E$53,C903))</f>
        <v/>
      </c>
      <c r="K903" s="5"/>
      <c r="L903" s="2" t="n">
        <f aca="false">AE903+IF(SUMPRODUCT(--($AL903:$AQ903&gt;AL903))&lt;$AK903,1,0)</f>
        <v>93</v>
      </c>
      <c r="M903" s="2" t="n">
        <f aca="false">AF903+IF(SUMPRODUCT(--($AL903:$AQ903&gt;AM903))+SUMPRODUCT(--($AL903:AL903=AM903))&lt;$AK903,1,0)</f>
        <v>101</v>
      </c>
      <c r="N903" s="2" t="n">
        <f aca="false">AG903+IF(SUMPRODUCT(--($AL903:$AQ903&gt;AN903))+SUMPRODUCT(--($AL903:AM903=AN903))&lt;$AK903,1,0)</f>
        <v>89</v>
      </c>
      <c r="O903" s="2" t="n">
        <f aca="false">AH903+IF(SUMPRODUCT(--($AL903:$AQ903&gt;AO903))+SUMPRODUCT(--($AL903:AN903=AO903))&lt;$AK903,1,0)</f>
        <v>72</v>
      </c>
      <c r="P903" s="2" t="n">
        <f aca="false">AI903+IF(SUMPRODUCT(--($AL903:$AQ903&gt;AP903))+SUMPRODUCT(--($AL903:AO903=AP903))&lt;$AK903,1,0)</f>
        <v>89</v>
      </c>
      <c r="Q903" s="2" t="n">
        <f aca="false">AJ903+IF(SUMPRODUCT(--($AL903:$AQ903&gt;AQ903))+SUMPRODUCT(--($AL903:AP903=AQ903))&lt;$AK903,1,0)</f>
        <v>56</v>
      </c>
      <c r="R903" s="2" t="n">
        <f aca="false">SUM(L903:Q903)</f>
        <v>500</v>
      </c>
      <c r="S903" s="2" t="n">
        <f aca="false">Settings!$B$4*MAX(INDEX(Bases!$M$2:$M$53,B903),INDEX(Bases!$M$2:$M$53,C903))+Settings!$B$5*MIN(INDEX(Bases!$M$2:$M$53,B903),INDEX(Bases!$M$2:$M$53,C903))</f>
        <v>78.3333333333333</v>
      </c>
      <c r="T903" s="2" t="n">
        <f aca="false">Settings!$B$4*MAX(INDEX(Bases!$N$2:$N$53,B903),INDEX(Bases!$N$2:$N$53,C903))+Settings!$B$5*MIN(INDEX(Bases!$N$2:$N$53,B903),INDEX(Bases!$N$2:$N$53,C903))</f>
        <v>85</v>
      </c>
      <c r="U903" s="2" t="n">
        <f aca="false">Settings!$B$4*MAX(INDEX(Bases!$O$2:$O$53,B903),INDEX(Bases!$O$2:$O$53,C903))+Settings!$B$5*MIN(INDEX(Bases!$O$2:$O$53,B903),INDEX(Bases!$O$2:$O$53,C903))</f>
        <v>74.6666666666667</v>
      </c>
      <c r="V903" s="2" t="n">
        <f aca="false">Settings!$B$4*MAX(INDEX(Bases!$P$2:$P$53,B903),INDEX(Bases!$P$2:$P$53,C903))+Settings!$B$5*MIN(INDEX(Bases!$P$2:$P$53,B903),INDEX(Bases!$P$2:$P$53,C903))</f>
        <v>61</v>
      </c>
      <c r="W903" s="2" t="n">
        <f aca="false">Settings!$B$4*MAX(INDEX(Bases!$Q$2:$Q$53,B903),INDEX(Bases!$Q$2:$Q$53,C903))+Settings!$B$5*MIN(INDEX(Bases!$Q$2:$Q$53,B903),INDEX(Bases!$Q$2:$Q$53,C903))</f>
        <v>74.6666666666667</v>
      </c>
      <c r="X903" s="2" t="n">
        <f aca="false">Settings!$B$4*MAX(INDEX(Bases!$R$2:$R$53,B903),INDEX(Bases!$R$2:$R$53,C903))+Settings!$B$5*MIN(INDEX(Bases!$R$2:$R$53,B903),INDEX(Bases!$R$2:$R$53,C903))</f>
        <v>47</v>
      </c>
      <c r="Y903" s="2" t="n">
        <f aca="false">S903*Settings!$B$3/SUM(S903:X903)</f>
        <v>93.1061806656102</v>
      </c>
      <c r="Z903" s="2" t="n">
        <f aca="false">T903*Settings!$B$3/SUM(S903:X903)</f>
        <v>101.030110935024</v>
      </c>
      <c r="AA903" s="2" t="n">
        <f aca="false">U903*Settings!$B$3/SUM(S903:X903)</f>
        <v>88.7480190174326</v>
      </c>
      <c r="AB903" s="2" t="n">
        <f aca="false">V903*Settings!$B$3/SUM(S903:X903)</f>
        <v>72.5039619651347</v>
      </c>
      <c r="AC903" s="2" t="n">
        <f aca="false">W903*Settings!$B$3/SUM(S903:X903)</f>
        <v>88.7480190174326</v>
      </c>
      <c r="AD903" s="2" t="n">
        <f aca="false">X903*Settings!$B$3/SUM(S903:X903)</f>
        <v>55.8637083993661</v>
      </c>
      <c r="AE903" s="2" t="n">
        <f aca="false">INT(Y903)</f>
        <v>93</v>
      </c>
      <c r="AF903" s="2" t="n">
        <f aca="false">INT(Z903)</f>
        <v>101</v>
      </c>
      <c r="AG903" s="2" t="n">
        <f aca="false">INT(AA903)</f>
        <v>88</v>
      </c>
      <c r="AH903" s="2" t="n">
        <f aca="false">INT(AB903)</f>
        <v>72</v>
      </c>
      <c r="AI903" s="2" t="n">
        <f aca="false">INT(AC903)</f>
        <v>88</v>
      </c>
      <c r="AJ903" s="2" t="n">
        <f aca="false">INT(AD903)</f>
        <v>55</v>
      </c>
      <c r="AK903" s="2" t="n">
        <f aca="false">Settings!$B$3-SUM(AE903:AJ903)</f>
        <v>3</v>
      </c>
      <c r="AL903" s="2" t="n">
        <f aca="false">ROUND(Y903-AE903,9)</f>
        <v>0.106180666</v>
      </c>
      <c r="AM903" s="2" t="n">
        <f aca="false">ROUND(Z903-AF903,9)</f>
        <v>0.030110935</v>
      </c>
      <c r="AN903" s="2" t="n">
        <f aca="false">ROUND(AA903-AG903,9)</f>
        <v>0.748019017</v>
      </c>
      <c r="AO903" s="2" t="n">
        <f aca="false">ROUND(AB903-AH903,9)</f>
        <v>0.503961965</v>
      </c>
      <c r="AP903" s="2" t="n">
        <f aca="false">ROUND(AC903-AI903,9)</f>
        <v>0.748019017</v>
      </c>
      <c r="AQ903" s="2" t="n">
        <f aca="false">ROUND(AD903-AJ903,9)</f>
        <v>0.863708399</v>
      </c>
    </row>
    <row r="904" customFormat="false" ht="15" hidden="false" customHeight="false" outlineLevel="0" collapsed="false">
      <c r="A904" s="2" t="n">
        <v>903</v>
      </c>
      <c r="B904" s="6" t="n">
        <v>23</v>
      </c>
      <c r="C904" s="6" t="n">
        <v>35</v>
      </c>
      <c r="D904" s="8" t="str">
        <f aca="false">INDEX(Bases!$B$2:$B$53,B904)</f>
        <v>Gulpin</v>
      </c>
      <c r="E904" s="8" t="str">
        <f aca="false">INDEX(Bases!$B$2:$B$53,C904)</f>
        <v>Pineco</v>
      </c>
      <c r="F904" s="2" t="str">
        <f aca="false">LEFT(D904,ROUNDUP(LEN(D904)/2,0))&amp;LOWER(MID(E904,ROUNDUP(LEN(E904)/2,0)+1,20))</f>
        <v>Guleco</v>
      </c>
      <c r="G904" s="8" t="str">
        <f aca="false">INDEX(Bases!$C$2:$C$53,B904)</f>
        <v>Poison</v>
      </c>
      <c r="H904" s="8" t="str">
        <f aca="false">IF(INDEX(Bases!$C$2:$C$53,C904)=G904,"",INDEX(Bases!$C$2:$C$53,C904))</f>
        <v>Bug</v>
      </c>
      <c r="I904" s="8" t="str">
        <f aca="false">IF(INDEX(Bases!$E$2:$E$53,B904)="","",INDEX(Bases!$E$2:$E$53,B904))</f>
        <v/>
      </c>
      <c r="J904" s="8" t="str">
        <f aca="false">IF(INDEX(Bases!$E$2:$E$53,C904)="","",INDEX(Bases!$E$2:$E$53,C904))</f>
        <v/>
      </c>
      <c r="K904" s="5"/>
      <c r="L904" s="2" t="n">
        <f aca="false">AE904+IF(SUMPRODUCT(--($AL904:$AQ904&gt;AL904))&lt;$AK904,1,0)</f>
        <v>99</v>
      </c>
      <c r="M904" s="2" t="n">
        <f aca="false">AF904+IF(SUMPRODUCT(--($AL904:$AQ904&gt;AM904))+SUMPRODUCT(--($AL904:AL904=AM904))&lt;$AK904,1,0)</f>
        <v>92</v>
      </c>
      <c r="N904" s="2" t="n">
        <f aca="false">AG904+IF(SUMPRODUCT(--($AL904:$AQ904&gt;AN904))+SUMPRODUCT(--($AL904:AM904=AN904))&lt;$AK904,1,0)</f>
        <v>124</v>
      </c>
      <c r="O904" s="2" t="n">
        <f aca="false">AH904+IF(SUMPRODUCT(--($AL904:$AQ904&gt;AO904))+SUMPRODUCT(--($AL904:AN904=AO904))&lt;$AK904,1,0)</f>
        <v>63</v>
      </c>
      <c r="P904" s="2" t="n">
        <f aca="false">AI904+IF(SUMPRODUCT(--($AL904:$AQ904&gt;AP904))+SUMPRODUCT(--($AL904:AO904=AP904))&lt;$AK904,1,0)</f>
        <v>73</v>
      </c>
      <c r="Q904" s="2" t="n">
        <f aca="false">AJ904+IF(SUMPRODUCT(--($AL904:$AQ904&gt;AQ904))+SUMPRODUCT(--($AL904:AP904=AQ904))&lt;$AK904,1,0)</f>
        <v>49</v>
      </c>
      <c r="R904" s="2" t="n">
        <f aca="false">SUM(L904:Q904)</f>
        <v>500</v>
      </c>
      <c r="S904" s="2" t="n">
        <f aca="false">Settings!$B$4*MAX(INDEX(Bases!$M$2:$M$53,B904),INDEX(Bases!$M$2:$M$53,C904))+Settings!$B$5*MIN(INDEX(Bases!$M$2:$M$53,B904),INDEX(Bases!$M$2:$M$53,C904))</f>
        <v>85</v>
      </c>
      <c r="T904" s="2" t="n">
        <f aca="false">Settings!$B$4*MAX(INDEX(Bases!$N$2:$N$53,B904),INDEX(Bases!$N$2:$N$53,C904))+Settings!$B$5*MIN(INDEX(Bases!$N$2:$N$53,B904),INDEX(Bases!$N$2:$N$53,C904))</f>
        <v>79</v>
      </c>
      <c r="U904" s="2" t="n">
        <f aca="false">Settings!$B$4*MAX(INDEX(Bases!$O$2:$O$53,B904),INDEX(Bases!$O$2:$O$53,C904))+Settings!$B$5*MIN(INDEX(Bases!$O$2:$O$53,B904),INDEX(Bases!$O$2:$O$53,C904))</f>
        <v>106</v>
      </c>
      <c r="V904" s="2" t="n">
        <f aca="false">Settings!$B$4*MAX(INDEX(Bases!$P$2:$P$53,B904),INDEX(Bases!$P$2:$P$53,C904))+Settings!$B$5*MIN(INDEX(Bases!$P$2:$P$53,B904),INDEX(Bases!$P$2:$P$53,C904))</f>
        <v>54</v>
      </c>
      <c r="W904" s="2" t="n">
        <f aca="false">Settings!$B$4*MAX(INDEX(Bases!$Q$2:$Q$53,B904),INDEX(Bases!$Q$2:$Q$53,C904))+Settings!$B$5*MIN(INDEX(Bases!$Q$2:$Q$53,B904),INDEX(Bases!$Q$2:$Q$53,C904))</f>
        <v>62.6666666666667</v>
      </c>
      <c r="X904" s="2" t="n">
        <f aca="false">Settings!$B$4*MAX(INDEX(Bases!$R$2:$R$53,B904),INDEX(Bases!$R$2:$R$53,C904))+Settings!$B$5*MIN(INDEX(Bases!$R$2:$R$53,B904),INDEX(Bases!$R$2:$R$53,C904))</f>
        <v>42.3333333333333</v>
      </c>
      <c r="Y904" s="2" t="n">
        <f aca="false">S904*Settings!$B$3/SUM(S904:X904)</f>
        <v>99.0675990675991</v>
      </c>
      <c r="Z904" s="2" t="n">
        <f aca="false">T904*Settings!$B$3/SUM(S904:X904)</f>
        <v>92.0745920745921</v>
      </c>
      <c r="AA904" s="2" t="n">
        <f aca="false">U904*Settings!$B$3/SUM(S904:X904)</f>
        <v>123.543123543124</v>
      </c>
      <c r="AB904" s="2" t="n">
        <f aca="false">V904*Settings!$B$3/SUM(S904:X904)</f>
        <v>62.9370629370629</v>
      </c>
      <c r="AC904" s="2" t="n">
        <f aca="false">W904*Settings!$B$3/SUM(S904:X904)</f>
        <v>73.038073038073</v>
      </c>
      <c r="AD904" s="2" t="n">
        <f aca="false">X904*Settings!$B$3/SUM(S904:X904)</f>
        <v>49.3395493395493</v>
      </c>
      <c r="AE904" s="2" t="n">
        <f aca="false">INT(Y904)</f>
        <v>99</v>
      </c>
      <c r="AF904" s="2" t="n">
        <f aca="false">INT(Z904)</f>
        <v>92</v>
      </c>
      <c r="AG904" s="2" t="n">
        <f aca="false">INT(AA904)</f>
        <v>123</v>
      </c>
      <c r="AH904" s="2" t="n">
        <f aca="false">INT(AB904)</f>
        <v>62</v>
      </c>
      <c r="AI904" s="2" t="n">
        <f aca="false">INT(AC904)</f>
        <v>73</v>
      </c>
      <c r="AJ904" s="2" t="n">
        <f aca="false">INT(AD904)</f>
        <v>49</v>
      </c>
      <c r="AK904" s="2" t="n">
        <f aca="false">Settings!$B$3-SUM(AE904:AJ904)</f>
        <v>2</v>
      </c>
      <c r="AL904" s="2" t="n">
        <f aca="false">ROUND(Y904-AE904,9)</f>
        <v>0.067599068</v>
      </c>
      <c r="AM904" s="2" t="n">
        <f aca="false">ROUND(Z904-AF904,9)</f>
        <v>0.074592075</v>
      </c>
      <c r="AN904" s="2" t="n">
        <f aca="false">ROUND(AA904-AG904,9)</f>
        <v>0.543123543</v>
      </c>
      <c r="AO904" s="2" t="n">
        <f aca="false">ROUND(AB904-AH904,9)</f>
        <v>0.937062937</v>
      </c>
      <c r="AP904" s="2" t="n">
        <f aca="false">ROUND(AC904-AI904,9)</f>
        <v>0.038073038</v>
      </c>
      <c r="AQ904" s="2" t="n">
        <f aca="false">ROUND(AD904-AJ904,9)</f>
        <v>0.33954934</v>
      </c>
    </row>
    <row r="905" customFormat="false" ht="15" hidden="false" customHeight="false" outlineLevel="0" collapsed="false">
      <c r="A905" s="2" t="n">
        <v>904</v>
      </c>
      <c r="B905" s="6" t="n">
        <v>23</v>
      </c>
      <c r="C905" s="6" t="n">
        <v>36</v>
      </c>
      <c r="D905" s="8" t="str">
        <f aca="false">INDEX(Bases!$B$2:$B$53,B905)</f>
        <v>Gulpin</v>
      </c>
      <c r="E905" s="8" t="str">
        <f aca="false">INDEX(Bases!$B$2:$B$53,C905)</f>
        <v>Wurmple</v>
      </c>
      <c r="F905" s="2" t="str">
        <f aca="false">LEFT(D905,ROUNDUP(LEN(D905)/2,0))&amp;LOWER(MID(E905,ROUNDUP(LEN(E905)/2,0)+1,20))</f>
        <v>Gulple</v>
      </c>
      <c r="G905" s="8" t="str">
        <f aca="false">INDEX(Bases!$C$2:$C$53,B905)</f>
        <v>Poison</v>
      </c>
      <c r="H905" s="8" t="str">
        <f aca="false">IF(INDEX(Bases!$C$2:$C$53,C905)=G905,"",INDEX(Bases!$C$2:$C$53,C905))</f>
        <v>Bug</v>
      </c>
      <c r="I905" s="8" t="str">
        <f aca="false">IF(INDEX(Bases!$E$2:$E$53,B905)="","",INDEX(Bases!$E$2:$E$53,B905))</f>
        <v/>
      </c>
      <c r="J905" s="8" t="str">
        <f aca="false">IF(INDEX(Bases!$E$2:$E$53,C905)="","",INDEX(Bases!$E$2:$E$53,C905))</f>
        <v/>
      </c>
      <c r="K905" s="5"/>
      <c r="L905" s="2" t="n">
        <f aca="false">AE905+IF(SUMPRODUCT(--($AL905:$AQ905&gt;AL905))&lt;$AK905,1,0)</f>
        <v>112</v>
      </c>
      <c r="M905" s="2" t="n">
        <f aca="false">AF905+IF(SUMPRODUCT(--($AL905:$AQ905&gt;AM905))+SUMPRODUCT(--($AL905:AL905=AM905))&lt;$AK905,1,0)</f>
        <v>97</v>
      </c>
      <c r="N905" s="2" t="n">
        <f aca="false">AG905+IF(SUMPRODUCT(--($AL905:$AQ905&gt;AN905))+SUMPRODUCT(--($AL905:AM905=AN905))&lt;$AK905,1,0)</f>
        <v>87</v>
      </c>
      <c r="O905" s="2" t="n">
        <f aca="false">AH905+IF(SUMPRODUCT(--($AL905:$AQ905&gt;AO905))+SUMPRODUCT(--($AL905:AN905=AO905))&lt;$AK905,1,0)</f>
        <v>63</v>
      </c>
      <c r="P905" s="2" t="n">
        <f aca="false">AI905+IF(SUMPRODUCT(--($AL905:$AQ905&gt;AP905))+SUMPRODUCT(--($AL905:AO905=AP905))&lt;$AK905,1,0)</f>
        <v>82</v>
      </c>
      <c r="Q905" s="2" t="n">
        <f aca="false">AJ905+IF(SUMPRODUCT(--($AL905:$AQ905&gt;AQ905))+SUMPRODUCT(--($AL905:AP905=AQ905))&lt;$AK905,1,0)</f>
        <v>59</v>
      </c>
      <c r="R905" s="2" t="n">
        <f aca="false">SUM(L905:Q905)</f>
        <v>500</v>
      </c>
      <c r="S905" s="2" t="n">
        <f aca="false">Settings!$B$4*MAX(INDEX(Bases!$M$2:$M$53,B905),INDEX(Bases!$M$2:$M$53,C905))+Settings!$B$5*MIN(INDEX(Bases!$M$2:$M$53,B905),INDEX(Bases!$M$2:$M$53,C905))</f>
        <v>92.6666666666667</v>
      </c>
      <c r="T905" s="2" t="n">
        <f aca="false">Settings!$B$4*MAX(INDEX(Bases!$N$2:$N$53,B905),INDEX(Bases!$N$2:$N$53,C905))+Settings!$B$5*MIN(INDEX(Bases!$N$2:$N$53,B905),INDEX(Bases!$N$2:$N$53,C905))</f>
        <v>80.3333333333333</v>
      </c>
      <c r="U905" s="2" t="n">
        <f aca="false">Settings!$B$4*MAX(INDEX(Bases!$O$2:$O$53,B905),INDEX(Bases!$O$2:$O$53,C905))+Settings!$B$5*MIN(INDEX(Bases!$O$2:$O$53,B905),INDEX(Bases!$O$2:$O$53,C905))</f>
        <v>71.3333333333333</v>
      </c>
      <c r="V905" s="2" t="n">
        <f aca="false">Settings!$B$4*MAX(INDEX(Bases!$P$2:$P$53,B905),INDEX(Bases!$P$2:$P$53,C905))+Settings!$B$5*MIN(INDEX(Bases!$P$2:$P$53,B905),INDEX(Bases!$P$2:$P$53,C905))</f>
        <v>51.6666666666667</v>
      </c>
      <c r="W905" s="2" t="n">
        <f aca="false">Settings!$B$4*MAX(INDEX(Bases!$Q$2:$Q$53,B905),INDEX(Bases!$Q$2:$Q$53,C905))+Settings!$B$5*MIN(INDEX(Bases!$Q$2:$Q$53,B905),INDEX(Bases!$Q$2:$Q$53,C905))</f>
        <v>67.3333333333333</v>
      </c>
      <c r="X905" s="2" t="n">
        <f aca="false">Settings!$B$4*MAX(INDEX(Bases!$R$2:$R$53,B905),INDEX(Bases!$R$2:$R$53,C905))+Settings!$B$5*MIN(INDEX(Bases!$R$2:$R$53,B905),INDEX(Bases!$R$2:$R$53,C905))</f>
        <v>49</v>
      </c>
      <c r="Y905" s="2" t="n">
        <f aca="false">S905*Settings!$B$3/SUM(S905:X905)</f>
        <v>112.368633791431</v>
      </c>
      <c r="Z905" s="2" t="n">
        <f aca="false">T905*Settings!$B$3/SUM(S905:X905)</f>
        <v>97.413096200485</v>
      </c>
      <c r="AA905" s="2" t="n">
        <f aca="false">U905*Settings!$B$3/SUM(S905:X905)</f>
        <v>86.4995957962813</v>
      </c>
      <c r="AB905" s="2" t="n">
        <f aca="false">V905*Settings!$B$3/SUM(S905:X905)</f>
        <v>62.6515763945028</v>
      </c>
      <c r="AC905" s="2" t="n">
        <f aca="false">W905*Settings!$B$3/SUM(S905:X905)</f>
        <v>81.6491511721908</v>
      </c>
      <c r="AD905" s="2" t="n">
        <f aca="false">X905*Settings!$B$3/SUM(S905:X905)</f>
        <v>59.4179466451091</v>
      </c>
      <c r="AE905" s="2" t="n">
        <f aca="false">INT(Y905)</f>
        <v>112</v>
      </c>
      <c r="AF905" s="2" t="n">
        <f aca="false">INT(Z905)</f>
        <v>97</v>
      </c>
      <c r="AG905" s="2" t="n">
        <f aca="false">INT(AA905)</f>
        <v>86</v>
      </c>
      <c r="AH905" s="2" t="n">
        <f aca="false">INT(AB905)</f>
        <v>62</v>
      </c>
      <c r="AI905" s="2" t="n">
        <f aca="false">INT(AC905)</f>
        <v>81</v>
      </c>
      <c r="AJ905" s="2" t="n">
        <f aca="false">INT(AD905)</f>
        <v>59</v>
      </c>
      <c r="AK905" s="2" t="n">
        <f aca="false">Settings!$B$3-SUM(AE905:AJ905)</f>
        <v>3</v>
      </c>
      <c r="AL905" s="2" t="n">
        <f aca="false">ROUND(Y905-AE905,9)</f>
        <v>0.368633791</v>
      </c>
      <c r="AM905" s="2" t="n">
        <f aca="false">ROUND(Z905-AF905,9)</f>
        <v>0.4130962</v>
      </c>
      <c r="AN905" s="2" t="n">
        <f aca="false">ROUND(AA905-AG905,9)</f>
        <v>0.499595796</v>
      </c>
      <c r="AO905" s="2" t="n">
        <f aca="false">ROUND(AB905-AH905,9)</f>
        <v>0.651576395</v>
      </c>
      <c r="AP905" s="2" t="n">
        <f aca="false">ROUND(AC905-AI905,9)</f>
        <v>0.649151172</v>
      </c>
      <c r="AQ905" s="2" t="n">
        <f aca="false">ROUND(AD905-AJ905,9)</f>
        <v>0.417946645</v>
      </c>
    </row>
    <row r="906" customFormat="false" ht="15" hidden="false" customHeight="false" outlineLevel="0" collapsed="false">
      <c r="A906" s="2" t="n">
        <v>905</v>
      </c>
      <c r="B906" s="6" t="n">
        <v>23</v>
      </c>
      <c r="C906" s="6" t="n">
        <v>37</v>
      </c>
      <c r="D906" s="8" t="str">
        <f aca="false">INDEX(Bases!$B$2:$B$53,B906)</f>
        <v>Gulpin</v>
      </c>
      <c r="E906" s="8" t="str">
        <f aca="false">INDEX(Bases!$B$2:$B$53,C906)</f>
        <v>Shuckle</v>
      </c>
      <c r="F906" s="2" t="str">
        <f aca="false">LEFT(D906,ROUNDUP(LEN(D906)/2,0))&amp;LOWER(MID(E906,ROUNDUP(LEN(E906)/2,0)+1,20))</f>
        <v>Gulkle</v>
      </c>
      <c r="G906" s="8" t="str">
        <f aca="false">INDEX(Bases!$C$2:$C$53,B906)</f>
        <v>Poison</v>
      </c>
      <c r="H906" s="8" t="str">
        <f aca="false">IF(INDEX(Bases!$C$2:$C$53,C906)=G906,"",INDEX(Bases!$C$2:$C$53,C906))</f>
        <v>Rock</v>
      </c>
      <c r="I906" s="8" t="str">
        <f aca="false">IF(INDEX(Bases!$E$2:$E$53,B906)="","",INDEX(Bases!$E$2:$E$53,B906))</f>
        <v/>
      </c>
      <c r="J906" s="8" t="str">
        <f aca="false">IF(INDEX(Bases!$E$2:$E$53,C906)="","",INDEX(Bases!$E$2:$E$53,C906))</f>
        <v/>
      </c>
      <c r="K906" s="5"/>
      <c r="L906" s="2" t="n">
        <f aca="false">AE906+IF(SUMPRODUCT(--($AL906:$AQ906&gt;AL906))&lt;$AK906,1,0)</f>
        <v>71</v>
      </c>
      <c r="M906" s="2" t="n">
        <f aca="false">AF906+IF(SUMPRODUCT(--($AL906:$AQ906&gt;AM906))+SUMPRODUCT(--($AL906:AL906=AM906))&lt;$AK906,1,0)</f>
        <v>43</v>
      </c>
      <c r="N906" s="2" t="n">
        <f aca="false">AG906+IF(SUMPRODUCT(--($AL906:$AQ906&gt;AN906))+SUMPRODUCT(--($AL906:AM906=AN906))&lt;$AK906,1,0)</f>
        <v>152</v>
      </c>
      <c r="O906" s="2" t="n">
        <f aca="false">AH906+IF(SUMPRODUCT(--($AL906:$AQ906&gt;AO906))+SUMPRODUCT(--($AL906:AN906=AO906))&lt;$AK906,1,0)</f>
        <v>43</v>
      </c>
      <c r="P906" s="2" t="n">
        <f aca="false">AI906+IF(SUMPRODUCT(--($AL906:$AQ906&gt;AP906))+SUMPRODUCT(--($AL906:AO906=AP906))&lt;$AK906,1,0)</f>
        <v>152</v>
      </c>
      <c r="Q906" s="2" t="n">
        <f aca="false">AJ906+IF(SUMPRODUCT(--($AL906:$AQ906&gt;AQ906))+SUMPRODUCT(--($AL906:AP906=AQ906))&lt;$AK906,1,0)</f>
        <v>39</v>
      </c>
      <c r="R906" s="2" t="n">
        <f aca="false">SUM(L906:Q906)</f>
        <v>500</v>
      </c>
      <c r="S906" s="2" t="n">
        <f aca="false">Settings!$B$4*MAX(INDEX(Bases!$M$2:$M$53,B906),INDEX(Bases!$M$2:$M$53,C906))+Settings!$B$5*MIN(INDEX(Bases!$M$2:$M$53,B906),INDEX(Bases!$M$2:$M$53,C906))</f>
        <v>67.3333333333333</v>
      </c>
      <c r="T906" s="2" t="n">
        <f aca="false">Settings!$B$4*MAX(INDEX(Bases!$N$2:$N$53,B906),INDEX(Bases!$N$2:$N$53,C906))+Settings!$B$5*MIN(INDEX(Bases!$N$2:$N$53,B906),INDEX(Bases!$N$2:$N$53,C906))</f>
        <v>40.6666666666667</v>
      </c>
      <c r="U906" s="2" t="n">
        <f aca="false">Settings!$B$4*MAX(INDEX(Bases!$O$2:$O$53,B906),INDEX(Bases!$O$2:$O$53,C906))+Settings!$B$5*MIN(INDEX(Bases!$O$2:$O$53,B906),INDEX(Bases!$O$2:$O$53,C906))</f>
        <v>144.666666666667</v>
      </c>
      <c r="V906" s="2" t="n">
        <f aca="false">Settings!$B$4*MAX(INDEX(Bases!$P$2:$P$53,B906),INDEX(Bases!$P$2:$P$53,C906))+Settings!$B$5*MIN(INDEX(Bases!$P$2:$P$53,B906),INDEX(Bases!$P$2:$P$53,C906))</f>
        <v>40.6666666666667</v>
      </c>
      <c r="W906" s="2" t="n">
        <f aca="false">Settings!$B$4*MAX(INDEX(Bases!$Q$2:$Q$53,B906),INDEX(Bases!$Q$2:$Q$53,C906))+Settings!$B$5*MIN(INDEX(Bases!$Q$2:$Q$53,B906),INDEX(Bases!$Q$2:$Q$53,C906))</f>
        <v>144.666666666667</v>
      </c>
      <c r="X906" s="2" t="n">
        <f aca="false">Settings!$B$4*MAX(INDEX(Bases!$R$2:$R$53,B906),INDEX(Bases!$R$2:$R$53,C906))+Settings!$B$5*MIN(INDEX(Bases!$R$2:$R$53,B906),INDEX(Bases!$R$2:$R$53,C906))</f>
        <v>36.6666666666667</v>
      </c>
      <c r="Y906" s="2" t="n">
        <f aca="false">S906*Settings!$B$3/SUM(S906:X906)</f>
        <v>70.9269662921348</v>
      </c>
      <c r="Z906" s="2" t="n">
        <f aca="false">T906*Settings!$B$3/SUM(S906:X906)</f>
        <v>42.8370786516854</v>
      </c>
      <c r="AA906" s="2" t="n">
        <f aca="false">U906*Settings!$B$3/SUM(S906:X906)</f>
        <v>152.387640449438</v>
      </c>
      <c r="AB906" s="2" t="n">
        <f aca="false">V906*Settings!$B$3/SUM(S906:X906)</f>
        <v>42.8370786516854</v>
      </c>
      <c r="AC906" s="2" t="n">
        <f aca="false">W906*Settings!$B$3/SUM(S906:X906)</f>
        <v>152.387640449438</v>
      </c>
      <c r="AD906" s="2" t="n">
        <f aca="false">X906*Settings!$B$3/SUM(S906:X906)</f>
        <v>38.623595505618</v>
      </c>
      <c r="AE906" s="2" t="n">
        <f aca="false">INT(Y906)</f>
        <v>70</v>
      </c>
      <c r="AF906" s="2" t="n">
        <f aca="false">INT(Z906)</f>
        <v>42</v>
      </c>
      <c r="AG906" s="2" t="n">
        <f aca="false">INT(AA906)</f>
        <v>152</v>
      </c>
      <c r="AH906" s="2" t="n">
        <f aca="false">INT(AB906)</f>
        <v>42</v>
      </c>
      <c r="AI906" s="2" t="n">
        <f aca="false">INT(AC906)</f>
        <v>152</v>
      </c>
      <c r="AJ906" s="2" t="n">
        <f aca="false">INT(AD906)</f>
        <v>38</v>
      </c>
      <c r="AK906" s="2" t="n">
        <f aca="false">Settings!$B$3-SUM(AE906:AJ906)</f>
        <v>4</v>
      </c>
      <c r="AL906" s="2" t="n">
        <f aca="false">ROUND(Y906-AE906,9)</f>
        <v>0.926966292</v>
      </c>
      <c r="AM906" s="2" t="n">
        <f aca="false">ROUND(Z906-AF906,9)</f>
        <v>0.837078652</v>
      </c>
      <c r="AN906" s="2" t="n">
        <f aca="false">ROUND(AA906-AG906,9)</f>
        <v>0.387640449</v>
      </c>
      <c r="AO906" s="2" t="n">
        <f aca="false">ROUND(AB906-AH906,9)</f>
        <v>0.837078652</v>
      </c>
      <c r="AP906" s="2" t="n">
        <f aca="false">ROUND(AC906-AI906,9)</f>
        <v>0.387640449</v>
      </c>
      <c r="AQ906" s="2" t="n">
        <f aca="false">ROUND(AD906-AJ906,9)</f>
        <v>0.623595506</v>
      </c>
    </row>
    <row r="907" customFormat="false" ht="15" hidden="false" customHeight="false" outlineLevel="0" collapsed="false">
      <c r="A907" s="2" t="n">
        <v>906</v>
      </c>
      <c r="B907" s="6" t="n">
        <v>23</v>
      </c>
      <c r="C907" s="6" t="n">
        <v>38</v>
      </c>
      <c r="D907" s="8" t="str">
        <f aca="false">INDEX(Bases!$B$2:$B$53,B907)</f>
        <v>Gulpin</v>
      </c>
      <c r="E907" s="8" t="str">
        <f aca="false">INDEX(Bases!$B$2:$B$53,C907)</f>
        <v>Larvitar</v>
      </c>
      <c r="F907" s="2" t="str">
        <f aca="false">LEFT(D907,ROUNDUP(LEN(D907)/2,0))&amp;LOWER(MID(E907,ROUNDUP(LEN(E907)/2,0)+1,20))</f>
        <v>Gulitar</v>
      </c>
      <c r="G907" s="8" t="str">
        <f aca="false">INDEX(Bases!$C$2:$C$53,B907)</f>
        <v>Poison</v>
      </c>
      <c r="H907" s="8" t="str">
        <f aca="false">IF(INDEX(Bases!$C$2:$C$53,C907)=G907,"",INDEX(Bases!$C$2:$C$53,C907))</f>
        <v>Rock</v>
      </c>
      <c r="I907" s="8" t="str">
        <f aca="false">IF(INDEX(Bases!$E$2:$E$53,B907)="","",INDEX(Bases!$E$2:$E$53,B907))</f>
        <v/>
      </c>
      <c r="J907" s="8" t="str">
        <f aca="false">IF(INDEX(Bases!$E$2:$E$53,C907)="","",INDEX(Bases!$E$2:$E$53,C907))</f>
        <v/>
      </c>
      <c r="K907" s="5"/>
      <c r="L907" s="2" t="n">
        <f aca="false">AE907+IF(SUMPRODUCT(--($AL907:$AQ907&gt;AL907))&lt;$AK907,1,0)</f>
        <v>103</v>
      </c>
      <c r="M907" s="2" t="n">
        <f aca="false">AF907+IF(SUMPRODUCT(--($AL907:$AQ907&gt;AM907))+SUMPRODUCT(--($AL907:AL907=AM907))&lt;$AK907,1,0)</f>
        <v>92</v>
      </c>
      <c r="N907" s="2" t="n">
        <f aca="false">AG907+IF(SUMPRODUCT(--($AL907:$AQ907&gt;AN907))+SUMPRODUCT(--($AL907:AM907=AN907))&lt;$AK907,1,0)</f>
        <v>84</v>
      </c>
      <c r="O907" s="2" t="n">
        <f aca="false">AH907+IF(SUMPRODUCT(--($AL907:$AQ907&gt;AO907))+SUMPRODUCT(--($AL907:AN907=AO907))&lt;$AK907,1,0)</f>
        <v>72</v>
      </c>
      <c r="P907" s="2" t="n">
        <f aca="false">AI907+IF(SUMPRODUCT(--($AL907:$AQ907&gt;AP907))+SUMPRODUCT(--($AL907:AO907=AP907))&lt;$AK907,1,0)</f>
        <v>84</v>
      </c>
      <c r="Q907" s="2" t="n">
        <f aca="false">AJ907+IF(SUMPRODUCT(--($AL907:$AQ907&gt;AQ907))+SUMPRODUCT(--($AL907:AP907=AQ907))&lt;$AK907,1,0)</f>
        <v>65</v>
      </c>
      <c r="R907" s="2" t="n">
        <f aca="false">SUM(L907:Q907)</f>
        <v>500</v>
      </c>
      <c r="S907" s="2" t="n">
        <f aca="false">Settings!$B$4*MAX(INDEX(Bases!$M$2:$M$53,B907),INDEX(Bases!$M$2:$M$53,C907))+Settings!$B$5*MIN(INDEX(Bases!$M$2:$M$53,B907),INDEX(Bases!$M$2:$M$53,C907))</f>
        <v>84.3333333333333</v>
      </c>
      <c r="T907" s="2" t="n">
        <f aca="false">Settings!$B$4*MAX(INDEX(Bases!$N$2:$N$53,B907),INDEX(Bases!$N$2:$N$53,C907))+Settings!$B$5*MIN(INDEX(Bases!$N$2:$N$53,B907),INDEX(Bases!$N$2:$N$53,C907))</f>
        <v>75.6666666666667</v>
      </c>
      <c r="U907" s="2" t="n">
        <f aca="false">Settings!$B$4*MAX(INDEX(Bases!$O$2:$O$53,B907),INDEX(Bases!$O$2:$O$53,C907))+Settings!$B$5*MIN(INDEX(Bases!$O$2:$O$53,B907),INDEX(Bases!$O$2:$O$53,C907))</f>
        <v>69</v>
      </c>
      <c r="V907" s="2" t="n">
        <f aca="false">Settings!$B$4*MAX(INDEX(Bases!$P$2:$P$53,B907),INDEX(Bases!$P$2:$P$53,C907))+Settings!$B$5*MIN(INDEX(Bases!$P$2:$P$53,B907),INDEX(Bases!$P$2:$P$53,C907))</f>
        <v>59</v>
      </c>
      <c r="W907" s="2" t="n">
        <f aca="false">Settings!$B$4*MAX(INDEX(Bases!$Q$2:$Q$53,B907),INDEX(Bases!$Q$2:$Q$53,C907))+Settings!$B$5*MIN(INDEX(Bases!$Q$2:$Q$53,B907),INDEX(Bases!$Q$2:$Q$53,C907))</f>
        <v>69</v>
      </c>
      <c r="X907" s="2" t="n">
        <f aca="false">Settings!$B$4*MAX(INDEX(Bases!$R$2:$R$53,B907),INDEX(Bases!$R$2:$R$53,C907))+Settings!$B$5*MIN(INDEX(Bases!$R$2:$R$53,B907),INDEX(Bases!$R$2:$R$53,C907))</f>
        <v>53.6666666666667</v>
      </c>
      <c r="Y907" s="2" t="n">
        <f aca="false">S907*Settings!$B$3/SUM(S907:X907)</f>
        <v>102.678571428571</v>
      </c>
      <c r="Z907" s="2" t="n">
        <f aca="false">T907*Settings!$B$3/SUM(S907:X907)</f>
        <v>92.1266233766234</v>
      </c>
      <c r="AA907" s="2" t="n">
        <f aca="false">U907*Settings!$B$3/SUM(S907:X907)</f>
        <v>84.0097402597403</v>
      </c>
      <c r="AB907" s="2" t="n">
        <f aca="false">V907*Settings!$B$3/SUM(S907:X907)</f>
        <v>71.8344155844156</v>
      </c>
      <c r="AC907" s="2" t="n">
        <f aca="false">W907*Settings!$B$3/SUM(S907:X907)</f>
        <v>84.0097402597403</v>
      </c>
      <c r="AD907" s="2" t="n">
        <f aca="false">X907*Settings!$B$3/SUM(S907:X907)</f>
        <v>65.3409090909091</v>
      </c>
      <c r="AE907" s="2" t="n">
        <f aca="false">INT(Y907)</f>
        <v>102</v>
      </c>
      <c r="AF907" s="2" t="n">
        <f aca="false">INT(Z907)</f>
        <v>92</v>
      </c>
      <c r="AG907" s="2" t="n">
        <f aca="false">INT(AA907)</f>
        <v>84</v>
      </c>
      <c r="AH907" s="2" t="n">
        <f aca="false">INT(AB907)</f>
        <v>71</v>
      </c>
      <c r="AI907" s="2" t="n">
        <f aca="false">INT(AC907)</f>
        <v>84</v>
      </c>
      <c r="AJ907" s="2" t="n">
        <f aca="false">INT(AD907)</f>
        <v>65</v>
      </c>
      <c r="AK907" s="2" t="n">
        <f aca="false">Settings!$B$3-SUM(AE907:AJ907)</f>
        <v>2</v>
      </c>
      <c r="AL907" s="2" t="n">
        <f aca="false">ROUND(Y907-AE907,9)</f>
        <v>0.678571429</v>
      </c>
      <c r="AM907" s="2" t="n">
        <f aca="false">ROUND(Z907-AF907,9)</f>
        <v>0.126623377</v>
      </c>
      <c r="AN907" s="2" t="n">
        <f aca="false">ROUND(AA907-AG907,9)</f>
        <v>0.00974026</v>
      </c>
      <c r="AO907" s="2" t="n">
        <f aca="false">ROUND(AB907-AH907,9)</f>
        <v>0.834415584</v>
      </c>
      <c r="AP907" s="2" t="n">
        <f aca="false">ROUND(AC907-AI907,9)</f>
        <v>0.00974026</v>
      </c>
      <c r="AQ907" s="2" t="n">
        <f aca="false">ROUND(AD907-AJ907,9)</f>
        <v>0.340909091</v>
      </c>
    </row>
    <row r="908" customFormat="false" ht="15" hidden="false" customHeight="false" outlineLevel="0" collapsed="false">
      <c r="A908" s="2" t="n">
        <v>907</v>
      </c>
      <c r="B908" s="6" t="n">
        <v>23</v>
      </c>
      <c r="C908" s="6" t="n">
        <v>39</v>
      </c>
      <c r="D908" s="8" t="str">
        <f aca="false">INDEX(Bases!$B$2:$B$53,B908)</f>
        <v>Gulpin</v>
      </c>
      <c r="E908" s="8" t="str">
        <f aca="false">INDEX(Bases!$B$2:$B$53,C908)</f>
        <v>Nosepass</v>
      </c>
      <c r="F908" s="2" t="str">
        <f aca="false">LEFT(D908,ROUNDUP(LEN(D908)/2,0))&amp;LOWER(MID(E908,ROUNDUP(LEN(E908)/2,0)+1,20))</f>
        <v>Gulpass</v>
      </c>
      <c r="G908" s="8" t="str">
        <f aca="false">INDEX(Bases!$C$2:$C$53,B908)</f>
        <v>Poison</v>
      </c>
      <c r="H908" s="8" t="str">
        <f aca="false">IF(INDEX(Bases!$C$2:$C$53,C908)=G908,"",INDEX(Bases!$C$2:$C$53,C908))</f>
        <v>Rock</v>
      </c>
      <c r="I908" s="8" t="str">
        <f aca="false">IF(INDEX(Bases!$E$2:$E$53,B908)="","",INDEX(Bases!$E$2:$E$53,B908))</f>
        <v/>
      </c>
      <c r="J908" s="8" t="str">
        <f aca="false">IF(INDEX(Bases!$E$2:$E$53,C908)="","",INDEX(Bases!$E$2:$E$53,C908))</f>
        <v/>
      </c>
      <c r="K908" s="5"/>
      <c r="L908" s="2" t="n">
        <f aca="false">AE908+IF(SUMPRODUCT(--($AL908:$AQ908&gt;AL908))&lt;$AK908,1,0)</f>
        <v>84</v>
      </c>
      <c r="M908" s="2" t="n">
        <f aca="false">AF908+IF(SUMPRODUCT(--($AL908:$AQ908&gt;AM908))+SUMPRODUCT(--($AL908:AL908=AM908))&lt;$AK908,1,0)</f>
        <v>62</v>
      </c>
      <c r="N908" s="2" t="n">
        <f aca="false">AG908+IF(SUMPRODUCT(--($AL908:$AQ908&gt;AN908))+SUMPRODUCT(--($AL908:AM908=AN908))&lt;$AK908,1,0)</f>
        <v>138</v>
      </c>
      <c r="O908" s="2" t="n">
        <f aca="false">AH908+IF(SUMPRODUCT(--($AL908:$AQ908&gt;AO908))+SUMPRODUCT(--($AL908:AN908=AO908))&lt;$AK908,1,0)</f>
        <v>62</v>
      </c>
      <c r="P908" s="2" t="n">
        <f aca="false">AI908+IF(SUMPRODUCT(--($AL908:$AQ908&gt;AP908))+SUMPRODUCT(--($AL908:AO908=AP908))&lt;$AK908,1,0)</f>
        <v>101</v>
      </c>
      <c r="Q908" s="2" t="n">
        <f aca="false">AJ908+IF(SUMPRODUCT(--($AL908:$AQ908&gt;AQ908))+SUMPRODUCT(--($AL908:AP908=AQ908))&lt;$AK908,1,0)</f>
        <v>53</v>
      </c>
      <c r="R908" s="2" t="n">
        <f aca="false">SUM(L908:Q908)</f>
        <v>500</v>
      </c>
      <c r="S908" s="2" t="n">
        <f aca="false">Settings!$B$4*MAX(INDEX(Bases!$M$2:$M$53,B908),INDEX(Bases!$M$2:$M$53,C908))+Settings!$B$5*MIN(INDEX(Bases!$M$2:$M$53,B908),INDEX(Bases!$M$2:$M$53,C908))</f>
        <v>72.6666666666667</v>
      </c>
      <c r="T908" s="2" t="n">
        <f aca="false">Settings!$B$4*MAX(INDEX(Bases!$N$2:$N$53,B908),INDEX(Bases!$N$2:$N$53,C908))+Settings!$B$5*MIN(INDEX(Bases!$N$2:$N$53,B908),INDEX(Bases!$N$2:$N$53,C908))</f>
        <v>54</v>
      </c>
      <c r="U908" s="2" t="n">
        <f aca="false">Settings!$B$4*MAX(INDEX(Bases!$O$2:$O$53,B908),INDEX(Bases!$O$2:$O$53,C908))+Settings!$B$5*MIN(INDEX(Bases!$O$2:$O$53,B908),INDEX(Bases!$O$2:$O$53,C908))</f>
        <v>119.333333333333</v>
      </c>
      <c r="V908" s="2" t="n">
        <f aca="false">Settings!$B$4*MAX(INDEX(Bases!$P$2:$P$53,B908),INDEX(Bases!$P$2:$P$53,C908))+Settings!$B$5*MIN(INDEX(Bases!$P$2:$P$53,B908),INDEX(Bases!$P$2:$P$53,C908))</f>
        <v>54</v>
      </c>
      <c r="W908" s="2" t="n">
        <f aca="false">Settings!$B$4*MAX(INDEX(Bases!$Q$2:$Q$53,B908),INDEX(Bases!$Q$2:$Q$53,C908))+Settings!$B$5*MIN(INDEX(Bases!$Q$2:$Q$53,B908),INDEX(Bases!$Q$2:$Q$53,C908))</f>
        <v>87.3333333333333</v>
      </c>
      <c r="X908" s="2" t="n">
        <f aca="false">Settings!$B$4*MAX(INDEX(Bases!$R$2:$R$53,B908),INDEX(Bases!$R$2:$R$53,C908))+Settings!$B$5*MIN(INDEX(Bases!$R$2:$R$53,B908),INDEX(Bases!$R$2:$R$53,C908))</f>
        <v>46</v>
      </c>
      <c r="Y908" s="2" t="n">
        <f aca="false">S908*Settings!$B$3/SUM(S908:X908)</f>
        <v>83.8461538461538</v>
      </c>
      <c r="Z908" s="2" t="n">
        <f aca="false">T908*Settings!$B$3/SUM(S908:X908)</f>
        <v>62.3076923076923</v>
      </c>
      <c r="AA908" s="2" t="n">
        <f aca="false">U908*Settings!$B$3/SUM(S908:X908)</f>
        <v>137.692307692308</v>
      </c>
      <c r="AB908" s="2" t="n">
        <f aca="false">V908*Settings!$B$3/SUM(S908:X908)</f>
        <v>62.3076923076923</v>
      </c>
      <c r="AC908" s="2" t="n">
        <f aca="false">W908*Settings!$B$3/SUM(S908:X908)</f>
        <v>100.769230769231</v>
      </c>
      <c r="AD908" s="2" t="n">
        <f aca="false">X908*Settings!$B$3/SUM(S908:X908)</f>
        <v>53.0769230769231</v>
      </c>
      <c r="AE908" s="2" t="n">
        <f aca="false">INT(Y908)</f>
        <v>83</v>
      </c>
      <c r="AF908" s="2" t="n">
        <f aca="false">INT(Z908)</f>
        <v>62</v>
      </c>
      <c r="AG908" s="2" t="n">
        <f aca="false">INT(AA908)</f>
        <v>137</v>
      </c>
      <c r="AH908" s="2" t="n">
        <f aca="false">INT(AB908)</f>
        <v>62</v>
      </c>
      <c r="AI908" s="2" t="n">
        <f aca="false">INT(AC908)</f>
        <v>100</v>
      </c>
      <c r="AJ908" s="2" t="n">
        <f aca="false">INT(AD908)</f>
        <v>53</v>
      </c>
      <c r="AK908" s="2" t="n">
        <f aca="false">Settings!$B$3-SUM(AE908:AJ908)</f>
        <v>3</v>
      </c>
      <c r="AL908" s="2" t="n">
        <f aca="false">ROUND(Y908-AE908,9)</f>
        <v>0.846153846</v>
      </c>
      <c r="AM908" s="2" t="n">
        <f aca="false">ROUND(Z908-AF908,9)</f>
        <v>0.307692308</v>
      </c>
      <c r="AN908" s="2" t="n">
        <f aca="false">ROUND(AA908-AG908,9)</f>
        <v>0.692307692</v>
      </c>
      <c r="AO908" s="2" t="n">
        <f aca="false">ROUND(AB908-AH908,9)</f>
        <v>0.307692308</v>
      </c>
      <c r="AP908" s="2" t="n">
        <f aca="false">ROUND(AC908-AI908,9)</f>
        <v>0.769230769</v>
      </c>
      <c r="AQ908" s="2" t="n">
        <f aca="false">ROUND(AD908-AJ908,9)</f>
        <v>0.076923077</v>
      </c>
    </row>
    <row r="909" customFormat="false" ht="15" hidden="false" customHeight="false" outlineLevel="0" collapsed="false">
      <c r="A909" s="2" t="n">
        <v>908</v>
      </c>
      <c r="B909" s="6" t="n">
        <v>23</v>
      </c>
      <c r="C909" s="6" t="n">
        <v>40</v>
      </c>
      <c r="D909" s="8" t="str">
        <f aca="false">INDEX(Bases!$B$2:$B$53,B909)</f>
        <v>Gulpin</v>
      </c>
      <c r="E909" s="8" t="str">
        <f aca="false">INDEX(Bases!$B$2:$B$53,C909)</f>
        <v>Gastly</v>
      </c>
      <c r="F909" s="2" t="str">
        <f aca="false">LEFT(D909,ROUNDUP(LEN(D909)/2,0))&amp;LOWER(MID(E909,ROUNDUP(LEN(E909)/2,0)+1,20))</f>
        <v>Gultly</v>
      </c>
      <c r="G909" s="8" t="str">
        <f aca="false">INDEX(Bases!$C$2:$C$53,B909)</f>
        <v>Poison</v>
      </c>
      <c r="H909" s="8" t="str">
        <f aca="false">IF(INDEX(Bases!$C$2:$C$53,C909)=G909,"",INDEX(Bases!$C$2:$C$53,C909))</f>
        <v>Ghost</v>
      </c>
      <c r="I909" s="8" t="str">
        <f aca="false">IF(INDEX(Bases!$E$2:$E$53,B909)="","",INDEX(Bases!$E$2:$E$53,B909))</f>
        <v/>
      </c>
      <c r="J909" s="8" t="str">
        <f aca="false">IF(INDEX(Bases!$E$2:$E$53,C909)="","",INDEX(Bases!$E$2:$E$53,C909))</f>
        <v/>
      </c>
      <c r="K909" s="5"/>
      <c r="L909" s="2" t="n">
        <f aca="false">AE909+IF(SUMPRODUCT(--($AL909:$AQ909&gt;AL909))&lt;$AK909,1,0)</f>
        <v>85</v>
      </c>
      <c r="M909" s="2" t="n">
        <f aca="false">AF909+IF(SUMPRODUCT(--($AL909:$AQ909&gt;AM909))+SUMPRODUCT(--($AL909:AL909=AM909))&lt;$AK909,1,0)</f>
        <v>60</v>
      </c>
      <c r="N909" s="2" t="n">
        <f aca="false">AG909+IF(SUMPRODUCT(--($AL909:$AQ909&gt;AN909))+SUMPRODUCT(--($AL909:AM909=AN909))&lt;$AK909,1,0)</f>
        <v>68</v>
      </c>
      <c r="O909" s="2" t="n">
        <f aca="false">AH909+IF(SUMPRODUCT(--($AL909:$AQ909&gt;AO909))+SUMPRODUCT(--($AL909:AN909=AO909))&lt;$AK909,1,0)</f>
        <v>119</v>
      </c>
      <c r="P909" s="2" t="n">
        <f aca="false">AI909+IF(SUMPRODUCT(--($AL909:$AQ909&gt;AP909))+SUMPRODUCT(--($AL909:AO909=AP909))&lt;$AK909,1,0)</f>
        <v>70</v>
      </c>
      <c r="Q909" s="2" t="n">
        <f aca="false">AJ909+IF(SUMPRODUCT(--($AL909:$AQ909&gt;AQ909))+SUMPRODUCT(--($AL909:AP909=AQ909))&lt;$AK909,1,0)</f>
        <v>98</v>
      </c>
      <c r="R909" s="2" t="n">
        <f aca="false">SUM(L909:Q909)</f>
        <v>500</v>
      </c>
      <c r="S909" s="2" t="n">
        <f aca="false">Settings!$B$4*MAX(INDEX(Bases!$M$2:$M$53,B909),INDEX(Bases!$M$2:$M$53,C909))+Settings!$B$5*MIN(INDEX(Bases!$M$2:$M$53,B909),INDEX(Bases!$M$2:$M$53,C909))</f>
        <v>75</v>
      </c>
      <c r="T909" s="2" t="n">
        <f aca="false">Settings!$B$4*MAX(INDEX(Bases!$N$2:$N$53,B909),INDEX(Bases!$N$2:$N$53,C909))+Settings!$B$5*MIN(INDEX(Bases!$N$2:$N$53,B909),INDEX(Bases!$N$2:$N$53,C909))</f>
        <v>53</v>
      </c>
      <c r="U909" s="2" t="n">
        <f aca="false">Settings!$B$4*MAX(INDEX(Bases!$O$2:$O$53,B909),INDEX(Bases!$O$2:$O$53,C909))+Settings!$B$5*MIN(INDEX(Bases!$O$2:$O$53,B909),INDEX(Bases!$O$2:$O$53,C909))</f>
        <v>59.6666666666667</v>
      </c>
      <c r="V909" s="2" t="n">
        <f aca="false">Settings!$B$4*MAX(INDEX(Bases!$P$2:$P$53,B909),INDEX(Bases!$P$2:$P$53,C909))+Settings!$B$5*MIN(INDEX(Bases!$P$2:$P$53,B909),INDEX(Bases!$P$2:$P$53,C909))</f>
        <v>105</v>
      </c>
      <c r="W909" s="2" t="n">
        <f aca="false">Settings!$B$4*MAX(INDEX(Bases!$Q$2:$Q$53,B909),INDEX(Bases!$Q$2:$Q$53,C909))+Settings!$B$5*MIN(INDEX(Bases!$Q$2:$Q$53,B909),INDEX(Bases!$Q$2:$Q$53,C909))</f>
        <v>61.6666666666667</v>
      </c>
      <c r="X909" s="2" t="n">
        <f aca="false">Settings!$B$4*MAX(INDEX(Bases!$R$2:$R$53,B909),INDEX(Bases!$R$2:$R$53,C909))+Settings!$B$5*MIN(INDEX(Bases!$R$2:$R$53,B909),INDEX(Bases!$R$2:$R$53,C909))</f>
        <v>86.3333333333333</v>
      </c>
      <c r="Y909" s="2" t="n">
        <f aca="false">S909*Settings!$B$3/SUM(S909:X909)</f>
        <v>85.0983358547655</v>
      </c>
      <c r="Z909" s="2" t="n">
        <f aca="false">T909*Settings!$B$3/SUM(S909:X909)</f>
        <v>60.1361573373676</v>
      </c>
      <c r="AA909" s="2" t="n">
        <f aca="false">U909*Settings!$B$3/SUM(S909:X909)</f>
        <v>67.7004538577912</v>
      </c>
      <c r="AB909" s="2" t="n">
        <f aca="false">V909*Settings!$B$3/SUM(S909:X909)</f>
        <v>119.137670196672</v>
      </c>
      <c r="AC909" s="2" t="n">
        <f aca="false">W909*Settings!$B$3/SUM(S909:X909)</f>
        <v>69.9697428139183</v>
      </c>
      <c r="AD909" s="2" t="n">
        <f aca="false">X909*Settings!$B$3/SUM(S909:X909)</f>
        <v>97.9576399394856</v>
      </c>
      <c r="AE909" s="2" t="n">
        <f aca="false">INT(Y909)</f>
        <v>85</v>
      </c>
      <c r="AF909" s="2" t="n">
        <f aca="false">INT(Z909)</f>
        <v>60</v>
      </c>
      <c r="AG909" s="2" t="n">
        <f aca="false">INT(AA909)</f>
        <v>67</v>
      </c>
      <c r="AH909" s="2" t="n">
        <f aca="false">INT(AB909)</f>
        <v>119</v>
      </c>
      <c r="AI909" s="2" t="n">
        <f aca="false">INT(AC909)</f>
        <v>69</v>
      </c>
      <c r="AJ909" s="2" t="n">
        <f aca="false">INT(AD909)</f>
        <v>97</v>
      </c>
      <c r="AK909" s="2" t="n">
        <f aca="false">Settings!$B$3-SUM(AE909:AJ909)</f>
        <v>3</v>
      </c>
      <c r="AL909" s="2" t="n">
        <f aca="false">ROUND(Y909-AE909,9)</f>
        <v>0.098335855</v>
      </c>
      <c r="AM909" s="2" t="n">
        <f aca="false">ROUND(Z909-AF909,9)</f>
        <v>0.136157337</v>
      </c>
      <c r="AN909" s="2" t="n">
        <f aca="false">ROUND(AA909-AG909,9)</f>
        <v>0.700453858</v>
      </c>
      <c r="AO909" s="2" t="n">
        <f aca="false">ROUND(AB909-AH909,9)</f>
        <v>0.137670197</v>
      </c>
      <c r="AP909" s="2" t="n">
        <f aca="false">ROUND(AC909-AI909,9)</f>
        <v>0.969742814</v>
      </c>
      <c r="AQ909" s="2" t="n">
        <f aca="false">ROUND(AD909-AJ909,9)</f>
        <v>0.957639939</v>
      </c>
    </row>
    <row r="910" customFormat="false" ht="15" hidden="false" customHeight="false" outlineLevel="0" collapsed="false">
      <c r="A910" s="2" t="n">
        <v>909</v>
      </c>
      <c r="B910" s="6" t="n">
        <v>23</v>
      </c>
      <c r="C910" s="6" t="n">
        <v>41</v>
      </c>
      <c r="D910" s="8" t="str">
        <f aca="false">INDEX(Bases!$B$2:$B$53,B910)</f>
        <v>Gulpin</v>
      </c>
      <c r="E910" s="8" t="str">
        <f aca="false">INDEX(Bases!$B$2:$B$53,C910)</f>
        <v>Misdreavus</v>
      </c>
      <c r="F910" s="2" t="str">
        <f aca="false">LEFT(D910,ROUNDUP(LEN(D910)/2,0))&amp;LOWER(MID(E910,ROUNDUP(LEN(E910)/2,0)+1,20))</f>
        <v>Guleavus</v>
      </c>
      <c r="G910" s="8" t="str">
        <f aca="false">INDEX(Bases!$C$2:$C$53,B910)</f>
        <v>Poison</v>
      </c>
      <c r="H910" s="8" t="str">
        <f aca="false">IF(INDEX(Bases!$C$2:$C$53,C910)=G910,"",INDEX(Bases!$C$2:$C$53,C910))</f>
        <v>Ghost</v>
      </c>
      <c r="I910" s="8" t="str">
        <f aca="false">IF(INDEX(Bases!$E$2:$E$53,B910)="","",INDEX(Bases!$E$2:$E$53,B910))</f>
        <v/>
      </c>
      <c r="J910" s="8" t="str">
        <f aca="false">IF(INDEX(Bases!$E$2:$E$53,C910)="","",INDEX(Bases!$E$2:$E$53,C910))</f>
        <v/>
      </c>
      <c r="K910" s="5"/>
      <c r="L910" s="2" t="n">
        <f aca="false">AE910+IF(SUMPRODUCT(--($AL910:$AQ910&gt;AL910))&lt;$AK910,1,0)</f>
        <v>97</v>
      </c>
      <c r="M910" s="2" t="n">
        <f aca="false">AF910+IF(SUMPRODUCT(--($AL910:$AQ910&gt;AM910))+SUMPRODUCT(--($AL910:AL910=AM910))&lt;$AK910,1,0)</f>
        <v>67</v>
      </c>
      <c r="N910" s="2" t="n">
        <f aca="false">AG910+IF(SUMPRODUCT(--($AL910:$AQ910&gt;AN910))+SUMPRODUCT(--($AL910:AM910=AN910))&lt;$AK910,1,0)</f>
        <v>78</v>
      </c>
      <c r="O910" s="2" t="n">
        <f aca="false">AH910+IF(SUMPRODUCT(--($AL910:$AQ910&gt;AO910))+SUMPRODUCT(--($AL910:AN910=AO910))&lt;$AK910,1,0)</f>
        <v>85</v>
      </c>
      <c r="P910" s="2" t="n">
        <f aca="false">AI910+IF(SUMPRODUCT(--($AL910:$AQ910&gt;AP910))+SUMPRODUCT(--($AL910:AO910=AP910))&lt;$AK910,1,0)</f>
        <v>90</v>
      </c>
      <c r="Q910" s="2" t="n">
        <f aca="false">AJ910+IF(SUMPRODUCT(--($AL910:$AQ910&gt;AQ910))+SUMPRODUCT(--($AL910:AP910=AQ910))&lt;$AK910,1,0)</f>
        <v>83</v>
      </c>
      <c r="R910" s="2" t="n">
        <f aca="false">SUM(L910:Q910)</f>
        <v>500</v>
      </c>
      <c r="S910" s="2" t="n">
        <f aca="false">Settings!$B$4*MAX(INDEX(Bases!$M$2:$M$53,B910),INDEX(Bases!$M$2:$M$53,C910))+Settings!$B$5*MIN(INDEX(Bases!$M$2:$M$53,B910),INDEX(Bases!$M$2:$M$53,C910))</f>
        <v>80.6666666666667</v>
      </c>
      <c r="T910" s="2" t="n">
        <f aca="false">Settings!$B$4*MAX(INDEX(Bases!$N$2:$N$53,B910),INDEX(Bases!$N$2:$N$53,C910))+Settings!$B$5*MIN(INDEX(Bases!$N$2:$N$53,B910),INDEX(Bases!$N$2:$N$53,C910))</f>
        <v>56.3333333333333</v>
      </c>
      <c r="U910" s="2" t="n">
        <f aca="false">Settings!$B$4*MAX(INDEX(Bases!$O$2:$O$53,B910),INDEX(Bases!$O$2:$O$53,C910))+Settings!$B$5*MIN(INDEX(Bases!$O$2:$O$53,B910),INDEX(Bases!$O$2:$O$53,C910))</f>
        <v>65</v>
      </c>
      <c r="V910" s="2" t="n">
        <f aca="false">Settings!$B$4*MAX(INDEX(Bases!$P$2:$P$53,B910),INDEX(Bases!$P$2:$P$53,C910))+Settings!$B$5*MIN(INDEX(Bases!$P$2:$P$53,B910),INDEX(Bases!$P$2:$P$53,C910))</f>
        <v>71</v>
      </c>
      <c r="W910" s="2" t="n">
        <f aca="false">Settings!$B$4*MAX(INDEX(Bases!$Q$2:$Q$53,B910),INDEX(Bases!$Q$2:$Q$53,C910))+Settings!$B$5*MIN(INDEX(Bases!$Q$2:$Q$53,B910),INDEX(Bases!$Q$2:$Q$53,C910))</f>
        <v>75.3333333333333</v>
      </c>
      <c r="X910" s="2" t="n">
        <f aca="false">Settings!$B$4*MAX(INDEX(Bases!$R$2:$R$53,B910),INDEX(Bases!$R$2:$R$53,C910))+Settings!$B$5*MIN(INDEX(Bases!$R$2:$R$53,B910),INDEX(Bases!$R$2:$R$53,C910))</f>
        <v>69.6666666666667</v>
      </c>
      <c r="Y910" s="2" t="n">
        <f aca="false">S910*Settings!$B$3/SUM(S910:X910)</f>
        <v>96.4912280701754</v>
      </c>
      <c r="Z910" s="2" t="n">
        <f aca="false">T910*Settings!$B$3/SUM(S910:X910)</f>
        <v>67.384370015949</v>
      </c>
      <c r="AA910" s="2" t="n">
        <f aca="false">U910*Settings!$B$3/SUM(S910:X910)</f>
        <v>77.7511961722488</v>
      </c>
      <c r="AB910" s="2" t="n">
        <f aca="false">V910*Settings!$B$3/SUM(S910:X910)</f>
        <v>84.9282296650718</v>
      </c>
      <c r="AC910" s="2" t="n">
        <f aca="false">W910*Settings!$B$3/SUM(S910:X910)</f>
        <v>90.1116427432217</v>
      </c>
      <c r="AD910" s="2" t="n">
        <f aca="false">X910*Settings!$B$3/SUM(S910:X910)</f>
        <v>83.3333333333333</v>
      </c>
      <c r="AE910" s="2" t="n">
        <f aca="false">INT(Y910)</f>
        <v>96</v>
      </c>
      <c r="AF910" s="2" t="n">
        <f aca="false">INT(Z910)</f>
        <v>67</v>
      </c>
      <c r="AG910" s="2" t="n">
        <f aca="false">INT(AA910)</f>
        <v>77</v>
      </c>
      <c r="AH910" s="2" t="n">
        <f aca="false">INT(AB910)</f>
        <v>84</v>
      </c>
      <c r="AI910" s="2" t="n">
        <f aca="false">INT(AC910)</f>
        <v>90</v>
      </c>
      <c r="AJ910" s="2" t="n">
        <f aca="false">INT(AD910)</f>
        <v>83</v>
      </c>
      <c r="AK910" s="2" t="n">
        <f aca="false">Settings!$B$3-SUM(AE910:AJ910)</f>
        <v>3</v>
      </c>
      <c r="AL910" s="2" t="n">
        <f aca="false">ROUND(Y910-AE910,9)</f>
        <v>0.49122807</v>
      </c>
      <c r="AM910" s="2" t="n">
        <f aca="false">ROUND(Z910-AF910,9)</f>
        <v>0.384370016</v>
      </c>
      <c r="AN910" s="2" t="n">
        <f aca="false">ROUND(AA910-AG910,9)</f>
        <v>0.751196172</v>
      </c>
      <c r="AO910" s="2" t="n">
        <f aca="false">ROUND(AB910-AH910,9)</f>
        <v>0.928229665</v>
      </c>
      <c r="AP910" s="2" t="n">
        <f aca="false">ROUND(AC910-AI910,9)</f>
        <v>0.111642743</v>
      </c>
      <c r="AQ910" s="2" t="n">
        <f aca="false">ROUND(AD910-AJ910,9)</f>
        <v>0.333333333</v>
      </c>
    </row>
    <row r="911" customFormat="false" ht="15" hidden="false" customHeight="false" outlineLevel="0" collapsed="false">
      <c r="A911" s="2" t="n">
        <v>910</v>
      </c>
      <c r="B911" s="6" t="n">
        <v>23</v>
      </c>
      <c r="C911" s="6" t="n">
        <v>42</v>
      </c>
      <c r="D911" s="8" t="str">
        <f aca="false">INDEX(Bases!$B$2:$B$53,B911)</f>
        <v>Gulpin</v>
      </c>
      <c r="E911" s="8" t="str">
        <f aca="false">INDEX(Bases!$B$2:$B$53,C911)</f>
        <v>Sableye</v>
      </c>
      <c r="F911" s="2" t="str">
        <f aca="false">LEFT(D911,ROUNDUP(LEN(D911)/2,0))&amp;LOWER(MID(E911,ROUNDUP(LEN(E911)/2,0)+1,20))</f>
        <v>Guleye</v>
      </c>
      <c r="G911" s="8" t="str">
        <f aca="false">INDEX(Bases!$C$2:$C$53,B911)</f>
        <v>Poison</v>
      </c>
      <c r="H911" s="8" t="str">
        <f aca="false">IF(INDEX(Bases!$C$2:$C$53,C911)=G911,"",INDEX(Bases!$C$2:$C$53,C911))</f>
        <v>Ghost</v>
      </c>
      <c r="I911" s="8" t="str">
        <f aca="false">IF(INDEX(Bases!$E$2:$E$53,B911)="","",INDEX(Bases!$E$2:$E$53,B911))</f>
        <v/>
      </c>
      <c r="J911" s="8" t="str">
        <f aca="false">IF(INDEX(Bases!$E$2:$E$53,C911)="","",INDEX(Bases!$E$2:$E$53,C911))</f>
        <v/>
      </c>
      <c r="K911" s="5"/>
      <c r="L911" s="2" t="n">
        <f aca="false">AE911+IF(SUMPRODUCT(--($AL911:$AQ911&gt;AL911))&lt;$AK911,1,0)</f>
        <v>96</v>
      </c>
      <c r="M911" s="2" t="n">
        <f aca="false">AF911+IF(SUMPRODUCT(--($AL911:$AQ911&gt;AM911))+SUMPRODUCT(--($AL911:AL911=AM911))&lt;$AK911,1,0)</f>
        <v>86</v>
      </c>
      <c r="N911" s="2" t="n">
        <f aca="false">AG911+IF(SUMPRODUCT(--($AL911:$AQ911&gt;AN911))+SUMPRODUCT(--($AL911:AM911=AN911))&lt;$AK911,1,0)</f>
        <v>92</v>
      </c>
      <c r="O911" s="2" t="n">
        <f aca="false">AH911+IF(SUMPRODUCT(--($AL911:$AQ911&gt;AO911))+SUMPRODUCT(--($AL911:AN911=AO911))&lt;$AK911,1,0)</f>
        <v>78</v>
      </c>
      <c r="P911" s="2" t="n">
        <f aca="false">AI911+IF(SUMPRODUCT(--($AL911:$AQ911&gt;AP911))+SUMPRODUCT(--($AL911:AO911=AP911))&lt;$AK911,1,0)</f>
        <v>84</v>
      </c>
      <c r="Q911" s="2" t="n">
        <f aca="false">AJ911+IF(SUMPRODUCT(--($AL911:$AQ911&gt;AQ911))+SUMPRODUCT(--($AL911:AP911=AQ911))&lt;$AK911,1,0)</f>
        <v>64</v>
      </c>
      <c r="R911" s="2" t="n">
        <f aca="false">SUM(L911:Q911)</f>
        <v>500</v>
      </c>
      <c r="S911" s="2" t="n">
        <f aca="false">Settings!$B$4*MAX(INDEX(Bases!$M$2:$M$53,B911),INDEX(Bases!$M$2:$M$53,C911))+Settings!$B$5*MIN(INDEX(Bases!$M$2:$M$53,B911),INDEX(Bases!$M$2:$M$53,C911))</f>
        <v>79.6666666666667</v>
      </c>
      <c r="T911" s="2" t="n">
        <f aca="false">Settings!$B$4*MAX(INDEX(Bases!$N$2:$N$53,B911),INDEX(Bases!$N$2:$N$53,C911))+Settings!$B$5*MIN(INDEX(Bases!$N$2:$N$53,B911),INDEX(Bases!$N$2:$N$53,C911))</f>
        <v>71.6666666666667</v>
      </c>
      <c r="U911" s="2" t="n">
        <f aca="false">Settings!$B$4*MAX(INDEX(Bases!$O$2:$O$53,B911),INDEX(Bases!$O$2:$O$53,C911))+Settings!$B$5*MIN(INDEX(Bases!$O$2:$O$53,B911),INDEX(Bases!$O$2:$O$53,C911))</f>
        <v>76</v>
      </c>
      <c r="V911" s="2" t="n">
        <f aca="false">Settings!$B$4*MAX(INDEX(Bases!$P$2:$P$53,B911),INDEX(Bases!$P$2:$P$53,C911))+Settings!$B$5*MIN(INDEX(Bases!$P$2:$P$53,B911),INDEX(Bases!$P$2:$P$53,C911))</f>
        <v>64.3333333333333</v>
      </c>
      <c r="W911" s="2" t="n">
        <f aca="false">Settings!$B$4*MAX(INDEX(Bases!$Q$2:$Q$53,B911),INDEX(Bases!$Q$2:$Q$53,C911))+Settings!$B$5*MIN(INDEX(Bases!$Q$2:$Q$53,B911),INDEX(Bases!$Q$2:$Q$53,C911))</f>
        <v>69.3333333333333</v>
      </c>
      <c r="X911" s="2" t="n">
        <f aca="false">Settings!$B$4*MAX(INDEX(Bases!$R$2:$R$53,B911),INDEX(Bases!$R$2:$R$53,C911))+Settings!$B$5*MIN(INDEX(Bases!$R$2:$R$53,B911),INDEX(Bases!$R$2:$R$53,C911))</f>
        <v>53</v>
      </c>
      <c r="Y911" s="2" t="n">
        <f aca="false">S911*Settings!$B$3/SUM(S911:X911)</f>
        <v>96.2157809983897</v>
      </c>
      <c r="Z911" s="2" t="n">
        <f aca="false">T911*Settings!$B$3/SUM(S911:X911)</f>
        <v>86.5539452495974</v>
      </c>
      <c r="AA911" s="2" t="n">
        <f aca="false">U911*Settings!$B$3/SUM(S911:X911)</f>
        <v>91.7874396135266</v>
      </c>
      <c r="AB911" s="2" t="n">
        <f aca="false">V911*Settings!$B$3/SUM(S911:X911)</f>
        <v>77.6972624798712</v>
      </c>
      <c r="AC911" s="2" t="n">
        <f aca="false">W911*Settings!$B$3/SUM(S911:X911)</f>
        <v>83.7359098228663</v>
      </c>
      <c r="AD911" s="2" t="n">
        <f aca="false">X911*Settings!$B$3/SUM(S911:X911)</f>
        <v>64.0096618357488</v>
      </c>
      <c r="AE911" s="2" t="n">
        <f aca="false">INT(Y911)</f>
        <v>96</v>
      </c>
      <c r="AF911" s="2" t="n">
        <f aca="false">INT(Z911)</f>
        <v>86</v>
      </c>
      <c r="AG911" s="2" t="n">
        <f aca="false">INT(AA911)</f>
        <v>91</v>
      </c>
      <c r="AH911" s="2" t="n">
        <f aca="false">INT(AB911)</f>
        <v>77</v>
      </c>
      <c r="AI911" s="2" t="n">
        <f aca="false">INT(AC911)</f>
        <v>83</v>
      </c>
      <c r="AJ911" s="2" t="n">
        <f aca="false">INT(AD911)</f>
        <v>64</v>
      </c>
      <c r="AK911" s="2" t="n">
        <f aca="false">Settings!$B$3-SUM(AE911:AJ911)</f>
        <v>3</v>
      </c>
      <c r="AL911" s="2" t="n">
        <f aca="false">ROUND(Y911-AE911,9)</f>
        <v>0.215780998</v>
      </c>
      <c r="AM911" s="2" t="n">
        <f aca="false">ROUND(Z911-AF911,9)</f>
        <v>0.55394525</v>
      </c>
      <c r="AN911" s="2" t="n">
        <f aca="false">ROUND(AA911-AG911,9)</f>
        <v>0.787439614</v>
      </c>
      <c r="AO911" s="2" t="n">
        <f aca="false">ROUND(AB911-AH911,9)</f>
        <v>0.69726248</v>
      </c>
      <c r="AP911" s="2" t="n">
        <f aca="false">ROUND(AC911-AI911,9)</f>
        <v>0.735909823</v>
      </c>
      <c r="AQ911" s="2" t="n">
        <f aca="false">ROUND(AD911-AJ911,9)</f>
        <v>0.009661836</v>
      </c>
    </row>
    <row r="912" customFormat="false" ht="15" hidden="false" customHeight="false" outlineLevel="0" collapsed="false">
      <c r="A912" s="2" t="n">
        <v>911</v>
      </c>
      <c r="B912" s="6" t="n">
        <v>23</v>
      </c>
      <c r="C912" s="6" t="n">
        <v>43</v>
      </c>
      <c r="D912" s="8" t="str">
        <f aca="false">INDEX(Bases!$B$2:$B$53,B912)</f>
        <v>Gulpin</v>
      </c>
      <c r="E912" s="8" t="str">
        <f aca="false">INDEX(Bases!$B$2:$B$53,C912)</f>
        <v>Dratini</v>
      </c>
      <c r="F912" s="2" t="str">
        <f aca="false">LEFT(D912,ROUNDUP(LEN(D912)/2,0))&amp;LOWER(MID(E912,ROUNDUP(LEN(E912)/2,0)+1,20))</f>
        <v>Gulini</v>
      </c>
      <c r="G912" s="8" t="str">
        <f aca="false">INDEX(Bases!$C$2:$C$53,B912)</f>
        <v>Poison</v>
      </c>
      <c r="H912" s="8" t="str">
        <f aca="false">IF(INDEX(Bases!$C$2:$C$53,C912)=G912,"",INDEX(Bases!$C$2:$C$53,C912))</f>
        <v>Dragon</v>
      </c>
      <c r="I912" s="8" t="str">
        <f aca="false">IF(INDEX(Bases!$E$2:$E$53,B912)="","",INDEX(Bases!$E$2:$E$53,B912))</f>
        <v/>
      </c>
      <c r="J912" s="8" t="str">
        <f aca="false">IF(INDEX(Bases!$E$2:$E$53,C912)="","",INDEX(Bases!$E$2:$E$53,C912))</f>
        <v/>
      </c>
      <c r="K912" s="5"/>
      <c r="L912" s="2" t="n">
        <f aca="false">AE912+IF(SUMPRODUCT(--($AL912:$AQ912&gt;AL912))&lt;$AK912,1,0)</f>
        <v>96</v>
      </c>
      <c r="M912" s="2" t="n">
        <f aca="false">AF912+IF(SUMPRODUCT(--($AL912:$AQ912&gt;AM912))+SUMPRODUCT(--($AL912:AL912=AM912))&lt;$AK912,1,0)</f>
        <v>91</v>
      </c>
      <c r="N912" s="2" t="n">
        <f aca="false">AG912+IF(SUMPRODUCT(--($AL912:$AQ912&gt;AN912))+SUMPRODUCT(--($AL912:AM912=AN912))&lt;$AK912,1,0)</f>
        <v>80</v>
      </c>
      <c r="O912" s="2" t="n">
        <f aca="false">AH912+IF(SUMPRODUCT(--($AL912:$AQ912&gt;AO912))+SUMPRODUCT(--($AL912:AN912=AO912))&lt;$AK912,1,0)</f>
        <v>76</v>
      </c>
      <c r="P912" s="2" t="n">
        <f aca="false">AI912+IF(SUMPRODUCT(--($AL912:$AQ912&gt;AP912))+SUMPRODUCT(--($AL912:AO912=AP912))&lt;$AK912,1,0)</f>
        <v>83</v>
      </c>
      <c r="Q912" s="2" t="n">
        <f aca="false">AJ912+IF(SUMPRODUCT(--($AL912:$AQ912&gt;AQ912))+SUMPRODUCT(--($AL912:AP912=AQ912))&lt;$AK912,1,0)</f>
        <v>74</v>
      </c>
      <c r="R912" s="2" t="n">
        <f aca="false">SUM(L912:Q912)</f>
        <v>500</v>
      </c>
      <c r="S912" s="2" t="n">
        <f aca="false">Settings!$B$4*MAX(INDEX(Bases!$M$2:$M$53,B912),INDEX(Bases!$M$2:$M$53,C912))+Settings!$B$5*MIN(INDEX(Bases!$M$2:$M$53,B912),INDEX(Bases!$M$2:$M$53,C912))</f>
        <v>80.3333333333333</v>
      </c>
      <c r="T912" s="2" t="n">
        <f aca="false">Settings!$B$4*MAX(INDEX(Bases!$N$2:$N$53,B912),INDEX(Bases!$N$2:$N$53,C912))+Settings!$B$5*MIN(INDEX(Bases!$N$2:$N$53,B912),INDEX(Bases!$N$2:$N$53,C912))</f>
        <v>75.6666666666667</v>
      </c>
      <c r="U912" s="2" t="n">
        <f aca="false">Settings!$B$4*MAX(INDEX(Bases!$O$2:$O$53,B912),INDEX(Bases!$O$2:$O$53,C912))+Settings!$B$5*MIN(INDEX(Bases!$O$2:$O$53,B912),INDEX(Bases!$O$2:$O$53,C912))</f>
        <v>66.6666666666667</v>
      </c>
      <c r="V912" s="2" t="n">
        <f aca="false">Settings!$B$4*MAX(INDEX(Bases!$P$2:$P$53,B912),INDEX(Bases!$P$2:$P$53,C912))+Settings!$B$5*MIN(INDEX(Bases!$P$2:$P$53,B912),INDEX(Bases!$P$2:$P$53,C912))</f>
        <v>63.6666666666667</v>
      </c>
      <c r="W912" s="2" t="n">
        <f aca="false">Settings!$B$4*MAX(INDEX(Bases!$Q$2:$Q$53,B912),INDEX(Bases!$Q$2:$Q$53,C912))+Settings!$B$5*MIN(INDEX(Bases!$Q$2:$Q$53,B912),INDEX(Bases!$Q$2:$Q$53,C912))</f>
        <v>69</v>
      </c>
      <c r="X912" s="2" t="n">
        <f aca="false">Settings!$B$4*MAX(INDEX(Bases!$R$2:$R$53,B912),INDEX(Bases!$R$2:$R$53,C912))+Settings!$B$5*MIN(INDEX(Bases!$R$2:$R$53,B912),INDEX(Bases!$R$2:$R$53,C912))</f>
        <v>61.6666666666667</v>
      </c>
      <c r="Y912" s="2" t="n">
        <f aca="false">S912*Settings!$B$3/SUM(S912:X912)</f>
        <v>96.3229416466827</v>
      </c>
      <c r="Z912" s="2" t="n">
        <f aca="false">T912*Settings!$B$3/SUM(S912:X912)</f>
        <v>90.7274180655476</v>
      </c>
      <c r="AA912" s="2" t="n">
        <f aca="false">U912*Settings!$B$3/SUM(S912:X912)</f>
        <v>79.9360511590727</v>
      </c>
      <c r="AB912" s="2" t="n">
        <f aca="false">V912*Settings!$B$3/SUM(S912:X912)</f>
        <v>76.3389288569145</v>
      </c>
      <c r="AC912" s="2" t="n">
        <f aca="false">W912*Settings!$B$3/SUM(S912:X912)</f>
        <v>82.7338129496403</v>
      </c>
      <c r="AD912" s="2" t="n">
        <f aca="false">X912*Settings!$B$3/SUM(S912:X912)</f>
        <v>73.9408473221423</v>
      </c>
      <c r="AE912" s="2" t="n">
        <f aca="false">INT(Y912)</f>
        <v>96</v>
      </c>
      <c r="AF912" s="2" t="n">
        <f aca="false">INT(Z912)</f>
        <v>90</v>
      </c>
      <c r="AG912" s="2" t="n">
        <f aca="false">INT(AA912)</f>
        <v>79</v>
      </c>
      <c r="AH912" s="2" t="n">
        <f aca="false">INT(AB912)</f>
        <v>76</v>
      </c>
      <c r="AI912" s="2" t="n">
        <f aca="false">INT(AC912)</f>
        <v>82</v>
      </c>
      <c r="AJ912" s="2" t="n">
        <f aca="false">INT(AD912)</f>
        <v>73</v>
      </c>
      <c r="AK912" s="2" t="n">
        <f aca="false">Settings!$B$3-SUM(AE912:AJ912)</f>
        <v>4</v>
      </c>
      <c r="AL912" s="2" t="n">
        <f aca="false">ROUND(Y912-AE912,9)</f>
        <v>0.322941647</v>
      </c>
      <c r="AM912" s="2" t="n">
        <f aca="false">ROUND(Z912-AF912,9)</f>
        <v>0.727418066</v>
      </c>
      <c r="AN912" s="2" t="n">
        <f aca="false">ROUND(AA912-AG912,9)</f>
        <v>0.936051159</v>
      </c>
      <c r="AO912" s="2" t="n">
        <f aca="false">ROUND(AB912-AH912,9)</f>
        <v>0.338928857</v>
      </c>
      <c r="AP912" s="2" t="n">
        <f aca="false">ROUND(AC912-AI912,9)</f>
        <v>0.73381295</v>
      </c>
      <c r="AQ912" s="2" t="n">
        <f aca="false">ROUND(AD912-AJ912,9)</f>
        <v>0.940847322</v>
      </c>
    </row>
    <row r="913" customFormat="false" ht="15" hidden="false" customHeight="false" outlineLevel="0" collapsed="false">
      <c r="A913" s="2" t="n">
        <v>912</v>
      </c>
      <c r="B913" s="6" t="n">
        <v>23</v>
      </c>
      <c r="C913" s="6" t="n">
        <v>44</v>
      </c>
      <c r="D913" s="8" t="str">
        <f aca="false">INDEX(Bases!$B$2:$B$53,B913)</f>
        <v>Gulpin</v>
      </c>
      <c r="E913" s="8" t="str">
        <f aca="false">INDEX(Bases!$B$2:$B$53,C913)</f>
        <v>Bagon</v>
      </c>
      <c r="F913" s="2" t="str">
        <f aca="false">LEFT(D913,ROUNDUP(LEN(D913)/2,0))&amp;LOWER(MID(E913,ROUNDUP(LEN(E913)/2,0)+1,20))</f>
        <v>Gulon</v>
      </c>
      <c r="G913" s="8" t="str">
        <f aca="false">INDEX(Bases!$C$2:$C$53,B913)</f>
        <v>Poison</v>
      </c>
      <c r="H913" s="8" t="str">
        <f aca="false">IF(INDEX(Bases!$C$2:$C$53,C913)=G913,"",INDEX(Bases!$C$2:$C$53,C913))</f>
        <v>Dragon</v>
      </c>
      <c r="I913" s="8" t="str">
        <f aca="false">IF(INDEX(Bases!$E$2:$E$53,B913)="","",INDEX(Bases!$E$2:$E$53,B913))</f>
        <v/>
      </c>
      <c r="J913" s="8" t="str">
        <f aca="false">IF(INDEX(Bases!$E$2:$E$53,C913)="","",INDEX(Bases!$E$2:$E$53,C913))</f>
        <v/>
      </c>
      <c r="K913" s="5"/>
      <c r="L913" s="2" t="n">
        <f aca="false">AE913+IF(SUMPRODUCT(--($AL913:$AQ913&gt;AL913))&lt;$AK913,1,0)</f>
        <v>97</v>
      </c>
      <c r="M913" s="2" t="n">
        <f aca="false">AF913+IF(SUMPRODUCT(--($AL913:$AQ913&gt;AM913))+SUMPRODUCT(--($AL913:AL913=AM913))&lt;$AK913,1,0)</f>
        <v>101</v>
      </c>
      <c r="N913" s="2" t="n">
        <f aca="false">AG913+IF(SUMPRODUCT(--($AL913:$AQ913&gt;AN913))+SUMPRODUCT(--($AL913:AM913=AN913))&lt;$AK913,1,0)</f>
        <v>91</v>
      </c>
      <c r="O913" s="2" t="n">
        <f aca="false">AH913+IF(SUMPRODUCT(--($AL913:$AQ913&gt;AO913))+SUMPRODUCT(--($AL913:AN913=AO913))&lt;$AK913,1,0)</f>
        <v>66</v>
      </c>
      <c r="P913" s="2" t="n">
        <f aca="false">AI913+IF(SUMPRODUCT(--($AL913:$AQ913&gt;AP913))+SUMPRODUCT(--($AL913:AO913=AP913))&lt;$AK913,1,0)</f>
        <v>71</v>
      </c>
      <c r="Q913" s="2" t="n">
        <f aca="false">AJ913+IF(SUMPRODUCT(--($AL913:$AQ913&gt;AQ913))+SUMPRODUCT(--($AL913:AP913=AQ913))&lt;$AK913,1,0)</f>
        <v>74</v>
      </c>
      <c r="R913" s="2" t="n">
        <f aca="false">SUM(L913:Q913)</f>
        <v>500</v>
      </c>
      <c r="S913" s="2" t="n">
        <f aca="false">Settings!$B$4*MAX(INDEX(Bases!$M$2:$M$53,B913),INDEX(Bases!$M$2:$M$53,C913))+Settings!$B$5*MIN(INDEX(Bases!$M$2:$M$53,B913),INDEX(Bases!$M$2:$M$53,C913))</f>
        <v>82</v>
      </c>
      <c r="T913" s="2" t="n">
        <f aca="false">Settings!$B$4*MAX(INDEX(Bases!$N$2:$N$53,B913),INDEX(Bases!$N$2:$N$53,C913))+Settings!$B$5*MIN(INDEX(Bases!$N$2:$N$53,B913),INDEX(Bases!$N$2:$N$53,C913))</f>
        <v>85.6666666666667</v>
      </c>
      <c r="U913" s="2" t="n">
        <f aca="false">Settings!$B$4*MAX(INDEX(Bases!$O$2:$O$53,B913),INDEX(Bases!$O$2:$O$53,C913))+Settings!$B$5*MIN(INDEX(Bases!$O$2:$O$53,B913),INDEX(Bases!$O$2:$O$53,C913))</f>
        <v>76.6666666666667</v>
      </c>
      <c r="V913" s="2" t="n">
        <f aca="false">Settings!$B$4*MAX(INDEX(Bases!$P$2:$P$53,B913),INDEX(Bases!$P$2:$P$53,C913))+Settings!$B$5*MIN(INDEX(Bases!$P$2:$P$53,B913),INDEX(Bases!$P$2:$P$53,C913))</f>
        <v>55.6666666666667</v>
      </c>
      <c r="W913" s="2" t="n">
        <f aca="false">Settings!$B$4*MAX(INDEX(Bases!$Q$2:$Q$53,B913),INDEX(Bases!$Q$2:$Q$53,C913))+Settings!$B$5*MIN(INDEX(Bases!$Q$2:$Q$53,B913),INDEX(Bases!$Q$2:$Q$53,C913))</f>
        <v>60</v>
      </c>
      <c r="X913" s="2" t="n">
        <f aca="false">Settings!$B$4*MAX(INDEX(Bases!$R$2:$R$53,B913),INDEX(Bases!$R$2:$R$53,C913))+Settings!$B$5*MIN(INDEX(Bases!$R$2:$R$53,B913),INDEX(Bases!$R$2:$R$53,C913))</f>
        <v>62.3333333333333</v>
      </c>
      <c r="Y913" s="2" t="n">
        <f aca="false">S913*Settings!$B$3/SUM(S913:X913)</f>
        <v>97.0797158642463</v>
      </c>
      <c r="Z913" s="2" t="n">
        <f aca="false">T913*Settings!$B$3/SUM(S913:X913)</f>
        <v>101.420678768745</v>
      </c>
      <c r="AA913" s="2" t="n">
        <f aca="false">U913*Settings!$B$3/SUM(S913:X913)</f>
        <v>90.7655880031571</v>
      </c>
      <c r="AB913" s="2" t="n">
        <f aca="false">V913*Settings!$B$3/SUM(S913:X913)</f>
        <v>65.9037095501184</v>
      </c>
      <c r="AC913" s="2" t="n">
        <f aca="false">W913*Settings!$B$3/SUM(S913:X913)</f>
        <v>71.0339384372534</v>
      </c>
      <c r="AD913" s="2" t="n">
        <f aca="false">X913*Settings!$B$3/SUM(S913:X913)</f>
        <v>73.7963693764799</v>
      </c>
      <c r="AE913" s="2" t="n">
        <f aca="false">INT(Y913)</f>
        <v>97</v>
      </c>
      <c r="AF913" s="2" t="n">
        <f aca="false">INT(Z913)</f>
        <v>101</v>
      </c>
      <c r="AG913" s="2" t="n">
        <f aca="false">INT(AA913)</f>
        <v>90</v>
      </c>
      <c r="AH913" s="2" t="n">
        <f aca="false">INT(AB913)</f>
        <v>65</v>
      </c>
      <c r="AI913" s="2" t="n">
        <f aca="false">INT(AC913)</f>
        <v>71</v>
      </c>
      <c r="AJ913" s="2" t="n">
        <f aca="false">INT(AD913)</f>
        <v>73</v>
      </c>
      <c r="AK913" s="2" t="n">
        <f aca="false">Settings!$B$3-SUM(AE913:AJ913)</f>
        <v>3</v>
      </c>
      <c r="AL913" s="2" t="n">
        <f aca="false">ROUND(Y913-AE913,9)</f>
        <v>0.079715864</v>
      </c>
      <c r="AM913" s="2" t="n">
        <f aca="false">ROUND(Z913-AF913,9)</f>
        <v>0.420678769</v>
      </c>
      <c r="AN913" s="2" t="n">
        <f aca="false">ROUND(AA913-AG913,9)</f>
        <v>0.765588003</v>
      </c>
      <c r="AO913" s="2" t="n">
        <f aca="false">ROUND(AB913-AH913,9)</f>
        <v>0.90370955</v>
      </c>
      <c r="AP913" s="2" t="n">
        <f aca="false">ROUND(AC913-AI913,9)</f>
        <v>0.033938437</v>
      </c>
      <c r="AQ913" s="2" t="n">
        <f aca="false">ROUND(AD913-AJ913,9)</f>
        <v>0.796369376</v>
      </c>
    </row>
    <row r="914" customFormat="false" ht="15" hidden="false" customHeight="false" outlineLevel="0" collapsed="false">
      <c r="A914" s="2" t="n">
        <v>913</v>
      </c>
      <c r="B914" s="6" t="n">
        <v>23</v>
      </c>
      <c r="C914" s="6" t="n">
        <v>45</v>
      </c>
      <c r="D914" s="8" t="str">
        <f aca="false">INDEX(Bases!$B$2:$B$53,B914)</f>
        <v>Gulpin</v>
      </c>
      <c r="E914" s="8" t="str">
        <f aca="false">INDEX(Bases!$B$2:$B$53,C914)</f>
        <v>Sneasel</v>
      </c>
      <c r="F914" s="2" t="str">
        <f aca="false">LEFT(D914,ROUNDUP(LEN(D914)/2,0))&amp;LOWER(MID(E914,ROUNDUP(LEN(E914)/2,0)+1,20))</f>
        <v>Gulsel</v>
      </c>
      <c r="G914" s="8" t="str">
        <f aca="false">INDEX(Bases!$C$2:$C$53,B914)</f>
        <v>Poison</v>
      </c>
      <c r="H914" s="8" t="str">
        <f aca="false">IF(INDEX(Bases!$C$2:$C$53,C914)=G914,"",INDEX(Bases!$C$2:$C$53,C914))</f>
        <v>Dark</v>
      </c>
      <c r="I914" s="8" t="str">
        <f aca="false">IF(INDEX(Bases!$E$2:$E$53,B914)="","",INDEX(Bases!$E$2:$E$53,B914))</f>
        <v/>
      </c>
      <c r="J914" s="8" t="str">
        <f aca="false">IF(INDEX(Bases!$E$2:$E$53,C914)="","",INDEX(Bases!$E$2:$E$53,C914))</f>
        <v/>
      </c>
      <c r="K914" s="5"/>
      <c r="L914" s="2" t="n">
        <f aca="false">AE914+IF(SUMPRODUCT(--($AL914:$AQ914&gt;AL914))&lt;$AK914,1,0)</f>
        <v>92</v>
      </c>
      <c r="M914" s="2" t="n">
        <f aca="false">AF914+IF(SUMPRODUCT(--($AL914:$AQ914&gt;AM914))+SUMPRODUCT(--($AL914:AL914=AM914))&lt;$AK914,1,0)</f>
        <v>91</v>
      </c>
      <c r="N914" s="2" t="n">
        <f aca="false">AG914+IF(SUMPRODUCT(--($AL914:$AQ914&gt;AN914))+SUMPRODUCT(--($AL914:AM914=AN914))&lt;$AK914,1,0)</f>
        <v>74</v>
      </c>
      <c r="O914" s="2" t="n">
        <f aca="false">AH914+IF(SUMPRODUCT(--($AL914:$AQ914&gt;AO914))+SUMPRODUCT(--($AL914:AN914=AO914))&lt;$AK914,1,0)</f>
        <v>57</v>
      </c>
      <c r="P914" s="2" t="n">
        <f aca="false">AI914+IF(SUMPRODUCT(--($AL914:$AQ914&gt;AP914))+SUMPRODUCT(--($AL914:AO914=AP914))&lt;$AK914,1,0)</f>
        <v>82</v>
      </c>
      <c r="Q914" s="2" t="n">
        <f aca="false">AJ914+IF(SUMPRODUCT(--($AL914:$AQ914&gt;AQ914))+SUMPRODUCT(--($AL914:AP914=AQ914))&lt;$AK914,1,0)</f>
        <v>104</v>
      </c>
      <c r="R914" s="2" t="n">
        <f aca="false">SUM(L914:Q914)</f>
        <v>500</v>
      </c>
      <c r="S914" s="2" t="n">
        <f aca="false">Settings!$B$4*MAX(INDEX(Bases!$M$2:$M$53,B914),INDEX(Bases!$M$2:$M$53,C914))+Settings!$B$5*MIN(INDEX(Bases!$M$2:$M$53,B914),INDEX(Bases!$M$2:$M$53,C914))</f>
        <v>79</v>
      </c>
      <c r="T914" s="2" t="n">
        <f aca="false">Settings!$B$4*MAX(INDEX(Bases!$N$2:$N$53,B914),INDEX(Bases!$N$2:$N$53,C914))+Settings!$B$5*MIN(INDEX(Bases!$N$2:$N$53,B914),INDEX(Bases!$N$2:$N$53,C914))</f>
        <v>77.6666666666667</v>
      </c>
      <c r="U914" s="2" t="n">
        <f aca="false">Settings!$B$4*MAX(INDEX(Bases!$O$2:$O$53,B914),INDEX(Bases!$O$2:$O$53,C914))+Settings!$B$5*MIN(INDEX(Bases!$O$2:$O$53,B914),INDEX(Bases!$O$2:$O$53,C914))</f>
        <v>63.6666666666667</v>
      </c>
      <c r="V914" s="2" t="n">
        <f aca="false">Settings!$B$4*MAX(INDEX(Bases!$P$2:$P$53,B914),INDEX(Bases!$P$2:$P$53,C914))+Settings!$B$5*MIN(INDEX(Bases!$P$2:$P$53,B914),INDEX(Bases!$P$2:$P$53,C914))</f>
        <v>49</v>
      </c>
      <c r="W914" s="2" t="n">
        <f aca="false">Settings!$B$4*MAX(INDEX(Bases!$Q$2:$Q$53,B914),INDEX(Bases!$Q$2:$Q$53,C914))+Settings!$B$5*MIN(INDEX(Bases!$Q$2:$Q$53,B914),INDEX(Bases!$Q$2:$Q$53,C914))</f>
        <v>70</v>
      </c>
      <c r="X914" s="2" t="n">
        <f aca="false">Settings!$B$4*MAX(INDEX(Bases!$R$2:$R$53,B914),INDEX(Bases!$R$2:$R$53,C914))+Settings!$B$5*MIN(INDEX(Bases!$R$2:$R$53,B914),INDEX(Bases!$R$2:$R$53,C914))</f>
        <v>89</v>
      </c>
      <c r="Y914" s="2" t="n">
        <f aca="false">S914*Settings!$B$3/SUM(S914:X914)</f>
        <v>92.2178988326848</v>
      </c>
      <c r="Z914" s="2" t="n">
        <f aca="false">T914*Settings!$B$3/SUM(S914:X914)</f>
        <v>90.6614785992218</v>
      </c>
      <c r="AA914" s="2" t="n">
        <f aca="false">U914*Settings!$B$3/SUM(S914:X914)</f>
        <v>74.3190661478599</v>
      </c>
      <c r="AB914" s="2" t="n">
        <f aca="false">V914*Settings!$B$3/SUM(S914:X914)</f>
        <v>57.1984435797665</v>
      </c>
      <c r="AC914" s="2" t="n">
        <f aca="false">W914*Settings!$B$3/SUM(S914:X914)</f>
        <v>81.7120622568093</v>
      </c>
      <c r="AD914" s="2" t="n">
        <f aca="false">X914*Settings!$B$3/SUM(S914:X914)</f>
        <v>103.891050583658</v>
      </c>
      <c r="AE914" s="2" t="n">
        <f aca="false">INT(Y914)</f>
        <v>92</v>
      </c>
      <c r="AF914" s="2" t="n">
        <f aca="false">INT(Z914)</f>
        <v>90</v>
      </c>
      <c r="AG914" s="2" t="n">
        <f aca="false">INT(AA914)</f>
        <v>74</v>
      </c>
      <c r="AH914" s="2" t="n">
        <f aca="false">INT(AB914)</f>
        <v>57</v>
      </c>
      <c r="AI914" s="2" t="n">
        <f aca="false">INT(AC914)</f>
        <v>81</v>
      </c>
      <c r="AJ914" s="2" t="n">
        <f aca="false">INT(AD914)</f>
        <v>103</v>
      </c>
      <c r="AK914" s="2" t="n">
        <f aca="false">Settings!$B$3-SUM(AE914:AJ914)</f>
        <v>3</v>
      </c>
      <c r="AL914" s="2" t="n">
        <f aca="false">ROUND(Y914-AE914,9)</f>
        <v>0.217898833</v>
      </c>
      <c r="AM914" s="2" t="n">
        <f aca="false">ROUND(Z914-AF914,9)</f>
        <v>0.661478599</v>
      </c>
      <c r="AN914" s="2" t="n">
        <f aca="false">ROUND(AA914-AG914,9)</f>
        <v>0.319066148</v>
      </c>
      <c r="AO914" s="2" t="n">
        <f aca="false">ROUND(AB914-AH914,9)</f>
        <v>0.19844358</v>
      </c>
      <c r="AP914" s="2" t="n">
        <f aca="false">ROUND(AC914-AI914,9)</f>
        <v>0.712062257</v>
      </c>
      <c r="AQ914" s="2" t="n">
        <f aca="false">ROUND(AD914-AJ914,9)</f>
        <v>0.891050584</v>
      </c>
    </row>
    <row r="915" customFormat="false" ht="15" hidden="false" customHeight="false" outlineLevel="0" collapsed="false">
      <c r="A915" s="2" t="n">
        <v>914</v>
      </c>
      <c r="B915" s="6" t="n">
        <v>23</v>
      </c>
      <c r="C915" s="6" t="n">
        <v>46</v>
      </c>
      <c r="D915" s="8" t="str">
        <f aca="false">INDEX(Bases!$B$2:$B$53,B915)</f>
        <v>Gulpin</v>
      </c>
      <c r="E915" s="8" t="str">
        <f aca="false">INDEX(Bases!$B$2:$B$53,C915)</f>
        <v>Houndour</v>
      </c>
      <c r="F915" s="2" t="str">
        <f aca="false">LEFT(D915,ROUNDUP(LEN(D915)/2,0))&amp;LOWER(MID(E915,ROUNDUP(LEN(E915)/2,0)+1,20))</f>
        <v>Guldour</v>
      </c>
      <c r="G915" s="8" t="str">
        <f aca="false">INDEX(Bases!$C$2:$C$53,B915)</f>
        <v>Poison</v>
      </c>
      <c r="H915" s="8" t="str">
        <f aca="false">IF(INDEX(Bases!$C$2:$C$53,C915)=G915,"",INDEX(Bases!$C$2:$C$53,C915))</f>
        <v>Dark</v>
      </c>
      <c r="I915" s="8" t="str">
        <f aca="false">IF(INDEX(Bases!$E$2:$E$53,B915)="","",INDEX(Bases!$E$2:$E$53,B915))</f>
        <v/>
      </c>
      <c r="J915" s="8" t="str">
        <f aca="false">IF(INDEX(Bases!$E$2:$E$53,C915)="","",INDEX(Bases!$E$2:$E$53,C915))</f>
        <v/>
      </c>
      <c r="K915" s="5"/>
      <c r="L915" s="2" t="n">
        <f aca="false">AE915+IF(SUMPRODUCT(--($AL915:$AQ915&gt;AL915))&lt;$AK915,1,0)</f>
        <v>94</v>
      </c>
      <c r="M915" s="2" t="n">
        <f aca="false">AF915+IF(SUMPRODUCT(--($AL915:$AQ915&gt;AM915))+SUMPRODUCT(--($AL915:AL915=AM915))&lt;$AK915,1,0)</f>
        <v>79</v>
      </c>
      <c r="N915" s="2" t="n">
        <f aca="false">AG915+IF(SUMPRODUCT(--($AL915:$AQ915&gt;AN915))+SUMPRODUCT(--($AL915:AM915=AN915))&lt;$AK915,1,0)</f>
        <v>69</v>
      </c>
      <c r="O915" s="2" t="n">
        <f aca="false">AH915+IF(SUMPRODUCT(--($AL915:$AQ915&gt;AO915))+SUMPRODUCT(--($AL915:AN915=AO915))&lt;$AK915,1,0)</f>
        <v>98</v>
      </c>
      <c r="P915" s="2" t="n">
        <f aca="false">AI915+IF(SUMPRODUCT(--($AL915:$AQ915&gt;AP915))+SUMPRODUCT(--($AL915:AO915=AP915))&lt;$AK915,1,0)</f>
        <v>78</v>
      </c>
      <c r="Q915" s="2" t="n">
        <f aca="false">AJ915+IF(SUMPRODUCT(--($AL915:$AQ915&gt;AQ915))+SUMPRODUCT(--($AL915:AP915=AQ915))&lt;$AK915,1,0)</f>
        <v>82</v>
      </c>
      <c r="R915" s="2" t="n">
        <f aca="false">SUM(L915:Q915)</f>
        <v>500</v>
      </c>
      <c r="S915" s="2" t="n">
        <f aca="false">Settings!$B$4*MAX(INDEX(Bases!$M$2:$M$53,B915),INDEX(Bases!$M$2:$M$53,C915))+Settings!$B$5*MIN(INDEX(Bases!$M$2:$M$53,B915),INDEX(Bases!$M$2:$M$53,C915))</f>
        <v>80</v>
      </c>
      <c r="T915" s="2" t="n">
        <f aca="false">Settings!$B$4*MAX(INDEX(Bases!$N$2:$N$53,B915),INDEX(Bases!$N$2:$N$53,C915))+Settings!$B$5*MIN(INDEX(Bases!$N$2:$N$53,B915),INDEX(Bases!$N$2:$N$53,C915))</f>
        <v>67.6666666666667</v>
      </c>
      <c r="U915" s="2" t="n">
        <f aca="false">Settings!$B$4*MAX(INDEX(Bases!$O$2:$O$53,B915),INDEX(Bases!$O$2:$O$53,C915))+Settings!$B$5*MIN(INDEX(Bases!$O$2:$O$53,B915),INDEX(Bases!$O$2:$O$53,C915))</f>
        <v>58.6666666666667</v>
      </c>
      <c r="V915" s="2" t="n">
        <f aca="false">Settings!$B$4*MAX(INDEX(Bases!$P$2:$P$53,B915),INDEX(Bases!$P$2:$P$53,C915))+Settings!$B$5*MIN(INDEX(Bases!$P$2:$P$53,B915),INDEX(Bases!$P$2:$P$53,C915))</f>
        <v>83.6666666666667</v>
      </c>
      <c r="W915" s="2" t="n">
        <f aca="false">Settings!$B$4*MAX(INDEX(Bases!$Q$2:$Q$53,B915),INDEX(Bases!$Q$2:$Q$53,C915))+Settings!$B$5*MIN(INDEX(Bases!$Q$2:$Q$53,B915),INDEX(Bases!$Q$2:$Q$53,C915))</f>
        <v>67</v>
      </c>
      <c r="X915" s="2" t="n">
        <f aca="false">Settings!$B$4*MAX(INDEX(Bases!$R$2:$R$53,B915),INDEX(Bases!$R$2:$R$53,C915))+Settings!$B$5*MIN(INDEX(Bases!$R$2:$R$53,B915),INDEX(Bases!$R$2:$R$53,C915))</f>
        <v>70.3333333333333</v>
      </c>
      <c r="Y915" s="2" t="n">
        <f aca="false">S915*Settings!$B$3/SUM(S915:X915)</f>
        <v>93.603744149766</v>
      </c>
      <c r="Z915" s="2" t="n">
        <f aca="false">T915*Settings!$B$3/SUM(S915:X915)</f>
        <v>79.1731669266771</v>
      </c>
      <c r="AA915" s="2" t="n">
        <f aca="false">U915*Settings!$B$3/SUM(S915:X915)</f>
        <v>68.6427457098284</v>
      </c>
      <c r="AB915" s="2" t="n">
        <f aca="false">V915*Settings!$B$3/SUM(S915:X915)</f>
        <v>97.8939157566303</v>
      </c>
      <c r="AC915" s="2" t="n">
        <f aca="false">W915*Settings!$B$3/SUM(S915:X915)</f>
        <v>78.393135725429</v>
      </c>
      <c r="AD915" s="2" t="n">
        <f aca="false">X915*Settings!$B$3/SUM(S915:X915)</f>
        <v>82.2932917316693</v>
      </c>
      <c r="AE915" s="2" t="n">
        <f aca="false">INT(Y915)</f>
        <v>93</v>
      </c>
      <c r="AF915" s="2" t="n">
        <f aca="false">INT(Z915)</f>
        <v>79</v>
      </c>
      <c r="AG915" s="2" t="n">
        <f aca="false">INT(AA915)</f>
        <v>68</v>
      </c>
      <c r="AH915" s="2" t="n">
        <f aca="false">INT(AB915)</f>
        <v>97</v>
      </c>
      <c r="AI915" s="2" t="n">
        <f aca="false">INT(AC915)</f>
        <v>78</v>
      </c>
      <c r="AJ915" s="2" t="n">
        <f aca="false">INT(AD915)</f>
        <v>82</v>
      </c>
      <c r="AK915" s="2" t="n">
        <f aca="false">Settings!$B$3-SUM(AE915:AJ915)</f>
        <v>3</v>
      </c>
      <c r="AL915" s="2" t="n">
        <f aca="false">ROUND(Y915-AE915,9)</f>
        <v>0.60374415</v>
      </c>
      <c r="AM915" s="2" t="n">
        <f aca="false">ROUND(Z915-AF915,9)</f>
        <v>0.173166927</v>
      </c>
      <c r="AN915" s="2" t="n">
        <f aca="false">ROUND(AA915-AG915,9)</f>
        <v>0.64274571</v>
      </c>
      <c r="AO915" s="2" t="n">
        <f aca="false">ROUND(AB915-AH915,9)</f>
        <v>0.893915757</v>
      </c>
      <c r="AP915" s="2" t="n">
        <f aca="false">ROUND(AC915-AI915,9)</f>
        <v>0.393135725</v>
      </c>
      <c r="AQ915" s="2" t="n">
        <f aca="false">ROUND(AD915-AJ915,9)</f>
        <v>0.293291732</v>
      </c>
    </row>
    <row r="916" customFormat="false" ht="15" hidden="false" customHeight="false" outlineLevel="0" collapsed="false">
      <c r="A916" s="2" t="n">
        <v>915</v>
      </c>
      <c r="B916" s="6" t="n">
        <v>23</v>
      </c>
      <c r="C916" s="6" t="n">
        <v>47</v>
      </c>
      <c r="D916" s="8" t="str">
        <f aca="false">INDEX(Bases!$B$2:$B$53,B916)</f>
        <v>Gulpin</v>
      </c>
      <c r="E916" s="8" t="str">
        <f aca="false">INDEX(Bases!$B$2:$B$53,C916)</f>
        <v>Carvanha</v>
      </c>
      <c r="F916" s="2" t="str">
        <f aca="false">LEFT(D916,ROUNDUP(LEN(D916)/2,0))&amp;LOWER(MID(E916,ROUNDUP(LEN(E916)/2,0)+1,20))</f>
        <v>Gulanha</v>
      </c>
      <c r="G916" s="8" t="str">
        <f aca="false">INDEX(Bases!$C$2:$C$53,B916)</f>
        <v>Poison</v>
      </c>
      <c r="H916" s="8" t="str">
        <f aca="false">IF(INDEX(Bases!$C$2:$C$53,C916)=G916,"",INDEX(Bases!$C$2:$C$53,C916))</f>
        <v>Dark</v>
      </c>
      <c r="I916" s="8" t="str">
        <f aca="false">IF(INDEX(Bases!$E$2:$E$53,B916)="","",INDEX(Bases!$E$2:$E$53,B916))</f>
        <v/>
      </c>
      <c r="J916" s="8" t="str">
        <f aca="false">IF(INDEX(Bases!$E$2:$E$53,C916)="","",INDEX(Bases!$E$2:$E$53,C916))</f>
        <v/>
      </c>
      <c r="K916" s="5"/>
      <c r="L916" s="2" t="n">
        <f aca="false">AE916+IF(SUMPRODUCT(--($AL916:$AQ916&gt;AL916))&lt;$AK916,1,0)</f>
        <v>93</v>
      </c>
      <c r="M916" s="2" t="n">
        <f aca="false">AF916+IF(SUMPRODUCT(--($AL916:$AQ916&gt;AM916))+SUMPRODUCT(--($AL916:AL916=AM916))&lt;$AK916,1,0)</f>
        <v>111</v>
      </c>
      <c r="N916" s="2" t="n">
        <f aca="false">AG916+IF(SUMPRODUCT(--($AL916:$AQ916&gt;AN916))+SUMPRODUCT(--($AL916:AM916=AN916))&lt;$AK916,1,0)</f>
        <v>63</v>
      </c>
      <c r="O916" s="2" t="n">
        <f aca="false">AH916+IF(SUMPRODUCT(--($AL916:$AQ916&gt;AO916))+SUMPRODUCT(--($AL916:AN916=AO916))&lt;$AK916,1,0)</f>
        <v>86</v>
      </c>
      <c r="P916" s="2" t="n">
        <f aca="false">AI916+IF(SUMPRODUCT(--($AL916:$AQ916&gt;AP916))+SUMPRODUCT(--($AL916:AO916=AP916))&lt;$AK916,1,0)</f>
        <v>63</v>
      </c>
      <c r="Q916" s="2" t="n">
        <f aca="false">AJ916+IF(SUMPRODUCT(--($AL916:$AQ916&gt;AQ916))+SUMPRODUCT(--($AL916:AP916=AQ916))&lt;$AK916,1,0)</f>
        <v>84</v>
      </c>
      <c r="R916" s="2" t="n">
        <f aca="false">SUM(L916:Q916)</f>
        <v>500</v>
      </c>
      <c r="S916" s="2" t="n">
        <f aca="false">Settings!$B$4*MAX(INDEX(Bases!$M$2:$M$53,B916),INDEX(Bases!$M$2:$M$53,C916))+Settings!$B$5*MIN(INDEX(Bases!$M$2:$M$53,B916),INDEX(Bases!$M$2:$M$53,C916))</f>
        <v>81.6666666666667</v>
      </c>
      <c r="T916" s="2" t="n">
        <f aca="false">Settings!$B$4*MAX(INDEX(Bases!$N$2:$N$53,B916),INDEX(Bases!$N$2:$N$53,C916))+Settings!$B$5*MIN(INDEX(Bases!$N$2:$N$53,B916),INDEX(Bases!$N$2:$N$53,C916))</f>
        <v>97.6666666666667</v>
      </c>
      <c r="U916" s="2" t="n">
        <f aca="false">Settings!$B$4*MAX(INDEX(Bases!$O$2:$O$53,B916),INDEX(Bases!$O$2:$O$53,C916))+Settings!$B$5*MIN(INDEX(Bases!$O$2:$O$53,B916),INDEX(Bases!$O$2:$O$53,C916))</f>
        <v>55.3333333333333</v>
      </c>
      <c r="V916" s="2" t="n">
        <f aca="false">Settings!$B$4*MAX(INDEX(Bases!$P$2:$P$53,B916),INDEX(Bases!$P$2:$P$53,C916))+Settings!$B$5*MIN(INDEX(Bases!$P$2:$P$53,B916),INDEX(Bases!$P$2:$P$53,C916))</f>
        <v>76.3333333333333</v>
      </c>
      <c r="W916" s="2" t="n">
        <f aca="false">Settings!$B$4*MAX(INDEX(Bases!$Q$2:$Q$53,B916),INDEX(Bases!$Q$2:$Q$53,C916))+Settings!$B$5*MIN(INDEX(Bases!$Q$2:$Q$53,B916),INDEX(Bases!$Q$2:$Q$53,C916))</f>
        <v>55.3333333333333</v>
      </c>
      <c r="X916" s="2" t="n">
        <f aca="false">Settings!$B$4*MAX(INDEX(Bases!$R$2:$R$53,B916),INDEX(Bases!$R$2:$R$53,C916))+Settings!$B$5*MIN(INDEX(Bases!$R$2:$R$53,B916),INDEX(Bases!$R$2:$R$53,C916))</f>
        <v>74.3333333333333</v>
      </c>
      <c r="Y916" s="2" t="n">
        <f aca="false">S916*Settings!$B$3/SUM(S916:X916)</f>
        <v>92.6626323751891</v>
      </c>
      <c r="Z916" s="2" t="n">
        <f aca="false">T916*Settings!$B$3/SUM(S916:X916)</f>
        <v>110.816944024206</v>
      </c>
      <c r="AA916" s="2" t="n">
        <f aca="false">U916*Settings!$B$3/SUM(S916:X916)</f>
        <v>62.7836611195159</v>
      </c>
      <c r="AB916" s="2" t="n">
        <f aca="false">V916*Settings!$B$3/SUM(S916:X916)</f>
        <v>86.6111951588502</v>
      </c>
      <c r="AC916" s="2" t="n">
        <f aca="false">W916*Settings!$B$3/SUM(S916:X916)</f>
        <v>62.7836611195159</v>
      </c>
      <c r="AD916" s="2" t="n">
        <f aca="false">X916*Settings!$B$3/SUM(S916:X916)</f>
        <v>84.3419062027232</v>
      </c>
      <c r="AE916" s="2" t="n">
        <f aca="false">INT(Y916)</f>
        <v>92</v>
      </c>
      <c r="AF916" s="2" t="n">
        <f aca="false">INT(Z916)</f>
        <v>110</v>
      </c>
      <c r="AG916" s="2" t="n">
        <f aca="false">INT(AA916)</f>
        <v>62</v>
      </c>
      <c r="AH916" s="2" t="n">
        <f aca="false">INT(AB916)</f>
        <v>86</v>
      </c>
      <c r="AI916" s="2" t="n">
        <f aca="false">INT(AC916)</f>
        <v>62</v>
      </c>
      <c r="AJ916" s="2" t="n">
        <f aca="false">INT(AD916)</f>
        <v>84</v>
      </c>
      <c r="AK916" s="2" t="n">
        <f aca="false">Settings!$B$3-SUM(AE916:AJ916)</f>
        <v>4</v>
      </c>
      <c r="AL916" s="2" t="n">
        <f aca="false">ROUND(Y916-AE916,9)</f>
        <v>0.662632375</v>
      </c>
      <c r="AM916" s="2" t="n">
        <f aca="false">ROUND(Z916-AF916,9)</f>
        <v>0.816944024</v>
      </c>
      <c r="AN916" s="2" t="n">
        <f aca="false">ROUND(AA916-AG916,9)</f>
        <v>0.78366112</v>
      </c>
      <c r="AO916" s="2" t="n">
        <f aca="false">ROUND(AB916-AH916,9)</f>
        <v>0.611195159</v>
      </c>
      <c r="AP916" s="2" t="n">
        <f aca="false">ROUND(AC916-AI916,9)</f>
        <v>0.78366112</v>
      </c>
      <c r="AQ916" s="2" t="n">
        <f aca="false">ROUND(AD916-AJ916,9)</f>
        <v>0.341906203</v>
      </c>
    </row>
    <row r="917" customFormat="false" ht="15" hidden="false" customHeight="false" outlineLevel="0" collapsed="false">
      <c r="A917" s="2" t="n">
        <v>916</v>
      </c>
      <c r="B917" s="6" t="n">
        <v>23</v>
      </c>
      <c r="C917" s="6" t="n">
        <v>48</v>
      </c>
      <c r="D917" s="8" t="str">
        <f aca="false">INDEX(Bases!$B$2:$B$53,B917)</f>
        <v>Gulpin</v>
      </c>
      <c r="E917" s="8" t="str">
        <f aca="false">INDEX(Bases!$B$2:$B$53,C917)</f>
        <v>Magnemite</v>
      </c>
      <c r="F917" s="2" t="str">
        <f aca="false">LEFT(D917,ROUNDUP(LEN(D917)/2,0))&amp;LOWER(MID(E917,ROUNDUP(LEN(E917)/2,0)+1,20))</f>
        <v>Gulmite</v>
      </c>
      <c r="G917" s="8" t="str">
        <f aca="false">INDEX(Bases!$C$2:$C$53,B917)</f>
        <v>Poison</v>
      </c>
      <c r="H917" s="8" t="str">
        <f aca="false">IF(INDEX(Bases!$C$2:$C$53,C917)=G917,"",INDEX(Bases!$C$2:$C$53,C917))</f>
        <v>Steel</v>
      </c>
      <c r="I917" s="8" t="str">
        <f aca="false">IF(INDEX(Bases!$E$2:$E$53,B917)="","",INDEX(Bases!$E$2:$E$53,B917))</f>
        <v/>
      </c>
      <c r="J917" s="8" t="str">
        <f aca="false">IF(INDEX(Bases!$E$2:$E$53,C917)="","",INDEX(Bases!$E$2:$E$53,C917))</f>
        <v/>
      </c>
      <c r="K917" s="5"/>
      <c r="L917" s="2" t="n">
        <f aca="false">AE917+IF(SUMPRODUCT(--($AL917:$AQ917&gt;AL917))&lt;$AK917,1,0)</f>
        <v>85</v>
      </c>
      <c r="M917" s="2" t="n">
        <f aca="false">AF917+IF(SUMPRODUCT(--($AL917:$AQ917&gt;AM917))+SUMPRODUCT(--($AL917:AL917=AM917))&lt;$AK917,1,0)</f>
        <v>61</v>
      </c>
      <c r="N917" s="2" t="n">
        <f aca="false">AG917+IF(SUMPRODUCT(--($AL917:$AQ917&gt;AN917))+SUMPRODUCT(--($AL917:AM917=AN917))&lt;$AK917,1,0)</f>
        <v>95</v>
      </c>
      <c r="O917" s="2" t="n">
        <f aca="false">AH917+IF(SUMPRODUCT(--($AL917:$AQ917&gt;AO917))+SUMPRODUCT(--($AL917:AN917=AO917))&lt;$AK917,1,0)</f>
        <v>114</v>
      </c>
      <c r="P917" s="2" t="n">
        <f aca="false">AI917+IF(SUMPRODUCT(--($AL917:$AQ917&gt;AP917))+SUMPRODUCT(--($AL917:AO917=AP917))&lt;$AK917,1,0)</f>
        <v>81</v>
      </c>
      <c r="Q917" s="2" t="n">
        <f aca="false">AJ917+IF(SUMPRODUCT(--($AL917:$AQ917&gt;AQ917))+SUMPRODUCT(--($AL917:AP917=AQ917))&lt;$AK917,1,0)</f>
        <v>64</v>
      </c>
      <c r="R917" s="2" t="n">
        <f aca="false">SUM(L917:Q917)</f>
        <v>500</v>
      </c>
      <c r="S917" s="2" t="n">
        <f aca="false">Settings!$B$4*MAX(INDEX(Bases!$M$2:$M$53,B917),INDEX(Bases!$M$2:$M$53,C917))+Settings!$B$5*MIN(INDEX(Bases!$M$2:$M$53,B917),INDEX(Bases!$M$2:$M$53,C917))</f>
        <v>72.3333333333333</v>
      </c>
      <c r="T917" s="2" t="n">
        <f aca="false">Settings!$B$4*MAX(INDEX(Bases!$N$2:$N$53,B917),INDEX(Bases!$N$2:$N$53,C917))+Settings!$B$5*MIN(INDEX(Bases!$N$2:$N$53,B917),INDEX(Bases!$N$2:$N$53,C917))</f>
        <v>52.3333333333333</v>
      </c>
      <c r="U917" s="2" t="n">
        <f aca="false">Settings!$B$4*MAX(INDEX(Bases!$O$2:$O$53,B917),INDEX(Bases!$O$2:$O$53,C917))+Settings!$B$5*MIN(INDEX(Bases!$O$2:$O$53,B917),INDEX(Bases!$O$2:$O$53,C917))</f>
        <v>80.6666666666667</v>
      </c>
      <c r="V917" s="2" t="n">
        <f aca="false">Settings!$B$4*MAX(INDEX(Bases!$P$2:$P$53,B917),INDEX(Bases!$P$2:$P$53,C917))+Settings!$B$5*MIN(INDEX(Bases!$P$2:$P$53,B917),INDEX(Bases!$P$2:$P$53,C917))</f>
        <v>97</v>
      </c>
      <c r="W917" s="2" t="n">
        <f aca="false">Settings!$B$4*MAX(INDEX(Bases!$Q$2:$Q$53,B917),INDEX(Bases!$Q$2:$Q$53,C917))+Settings!$B$5*MIN(INDEX(Bases!$Q$2:$Q$53,B917),INDEX(Bases!$Q$2:$Q$53,C917))</f>
        <v>69.3333333333333</v>
      </c>
      <c r="X917" s="2" t="n">
        <f aca="false">Settings!$B$4*MAX(INDEX(Bases!$R$2:$R$53,B917),INDEX(Bases!$R$2:$R$53,C917))+Settings!$B$5*MIN(INDEX(Bases!$R$2:$R$53,B917),INDEX(Bases!$R$2:$R$53,C917))</f>
        <v>54.3333333333333</v>
      </c>
      <c r="Y917" s="2" t="n">
        <f aca="false">S917*Settings!$B$3/SUM(S917:X917)</f>
        <v>84.8982785602504</v>
      </c>
      <c r="Z917" s="2" t="n">
        <f aca="false">T917*Settings!$B$3/SUM(S917:X917)</f>
        <v>61.4241001564945</v>
      </c>
      <c r="AA917" s="2" t="n">
        <f aca="false">U917*Settings!$B$3/SUM(S917:X917)</f>
        <v>94.679186228482</v>
      </c>
      <c r="AB917" s="2" t="n">
        <f aca="false">V917*Settings!$B$3/SUM(S917:X917)</f>
        <v>113.849765258216</v>
      </c>
      <c r="AC917" s="2" t="n">
        <f aca="false">W917*Settings!$B$3/SUM(S917:X917)</f>
        <v>81.377151799687</v>
      </c>
      <c r="AD917" s="2" t="n">
        <f aca="false">X917*Settings!$B$3/SUM(S917:X917)</f>
        <v>63.7715179968701</v>
      </c>
      <c r="AE917" s="2" t="n">
        <f aca="false">INT(Y917)</f>
        <v>84</v>
      </c>
      <c r="AF917" s="2" t="n">
        <f aca="false">INT(Z917)</f>
        <v>61</v>
      </c>
      <c r="AG917" s="2" t="n">
        <f aca="false">INT(AA917)</f>
        <v>94</v>
      </c>
      <c r="AH917" s="2" t="n">
        <f aca="false">INT(AB917)</f>
        <v>113</v>
      </c>
      <c r="AI917" s="2" t="n">
        <f aca="false">INT(AC917)</f>
        <v>81</v>
      </c>
      <c r="AJ917" s="2" t="n">
        <f aca="false">INT(AD917)</f>
        <v>63</v>
      </c>
      <c r="AK917" s="2" t="n">
        <f aca="false">Settings!$B$3-SUM(AE917:AJ917)</f>
        <v>4</v>
      </c>
      <c r="AL917" s="2" t="n">
        <f aca="false">ROUND(Y917-AE917,9)</f>
        <v>0.89827856</v>
      </c>
      <c r="AM917" s="2" t="n">
        <f aca="false">ROUND(Z917-AF917,9)</f>
        <v>0.424100156</v>
      </c>
      <c r="AN917" s="2" t="n">
        <f aca="false">ROUND(AA917-AG917,9)</f>
        <v>0.679186228</v>
      </c>
      <c r="AO917" s="2" t="n">
        <f aca="false">ROUND(AB917-AH917,9)</f>
        <v>0.849765258</v>
      </c>
      <c r="AP917" s="2" t="n">
        <f aca="false">ROUND(AC917-AI917,9)</f>
        <v>0.3771518</v>
      </c>
      <c r="AQ917" s="2" t="n">
        <f aca="false">ROUND(AD917-AJ917,9)</f>
        <v>0.771517997</v>
      </c>
    </row>
    <row r="918" customFormat="false" ht="15" hidden="false" customHeight="false" outlineLevel="0" collapsed="false">
      <c r="A918" s="2" t="n">
        <v>917</v>
      </c>
      <c r="B918" s="6" t="n">
        <v>23</v>
      </c>
      <c r="C918" s="6" t="n">
        <v>49</v>
      </c>
      <c r="D918" s="8" t="str">
        <f aca="false">INDEX(Bases!$B$2:$B$53,B918)</f>
        <v>Gulpin</v>
      </c>
      <c r="E918" s="8" t="str">
        <f aca="false">INDEX(Bases!$B$2:$B$53,C918)</f>
        <v>Aron</v>
      </c>
      <c r="F918" s="2" t="str">
        <f aca="false">LEFT(D918,ROUNDUP(LEN(D918)/2,0))&amp;LOWER(MID(E918,ROUNDUP(LEN(E918)/2,0)+1,20))</f>
        <v>Gulon</v>
      </c>
      <c r="G918" s="8" t="str">
        <f aca="false">INDEX(Bases!$C$2:$C$53,B918)</f>
        <v>Poison</v>
      </c>
      <c r="H918" s="8" t="str">
        <f aca="false">IF(INDEX(Bases!$C$2:$C$53,C918)=G918,"",INDEX(Bases!$C$2:$C$53,C918))</f>
        <v>Steel</v>
      </c>
      <c r="I918" s="8" t="str">
        <f aca="false">IF(INDEX(Bases!$E$2:$E$53,B918)="","",INDEX(Bases!$E$2:$E$53,B918))</f>
        <v/>
      </c>
      <c r="J918" s="8" t="str">
        <f aca="false">IF(INDEX(Bases!$E$2:$E$53,C918)="","",INDEX(Bases!$E$2:$E$53,C918))</f>
        <v/>
      </c>
      <c r="K918" s="5"/>
      <c r="L918" s="2" t="n">
        <f aca="false">AE918+IF(SUMPRODUCT(--($AL918:$AQ918&gt;AL918))&lt;$AK918,1,0)</f>
        <v>97</v>
      </c>
      <c r="M918" s="2" t="n">
        <f aca="false">AF918+IF(SUMPRODUCT(--($AL918:$AQ918&gt;AM918))+SUMPRODUCT(--($AL918:AL918=AM918))&lt;$AK918,1,0)</f>
        <v>89</v>
      </c>
      <c r="N918" s="2" t="n">
        <f aca="false">AG918+IF(SUMPRODUCT(--($AL918:$AQ918&gt;AN918))+SUMPRODUCT(--($AL918:AM918=AN918))&lt;$AK918,1,0)</f>
        <v>122</v>
      </c>
      <c r="O918" s="2" t="n">
        <f aca="false">AH918+IF(SUMPRODUCT(--($AL918:$AQ918&gt;AO918))+SUMPRODUCT(--($AL918:AN918=AO918))&lt;$AK918,1,0)</f>
        <v>64</v>
      </c>
      <c r="P918" s="2" t="n">
        <f aca="false">AI918+IF(SUMPRODUCT(--($AL918:$AQ918&gt;AP918))+SUMPRODUCT(--($AL918:AO918=AP918))&lt;$AK918,1,0)</f>
        <v>73</v>
      </c>
      <c r="Q918" s="2" t="n">
        <f aca="false">AJ918+IF(SUMPRODUCT(--($AL918:$AQ918&gt;AQ918))+SUMPRODUCT(--($AL918:AP918=AQ918))&lt;$AK918,1,0)</f>
        <v>55</v>
      </c>
      <c r="R918" s="2" t="n">
        <f aca="false">SUM(L918:Q918)</f>
        <v>500</v>
      </c>
      <c r="S918" s="2" t="n">
        <f aca="false">Settings!$B$4*MAX(INDEX(Bases!$M$2:$M$53,B918),INDEX(Bases!$M$2:$M$53,C918))+Settings!$B$5*MIN(INDEX(Bases!$M$2:$M$53,B918),INDEX(Bases!$M$2:$M$53,C918))</f>
        <v>82.3333333333333</v>
      </c>
      <c r="T918" s="2" t="n">
        <f aca="false">Settings!$B$4*MAX(INDEX(Bases!$N$2:$N$53,B918),INDEX(Bases!$N$2:$N$53,C918))+Settings!$B$5*MIN(INDEX(Bases!$N$2:$N$53,B918),INDEX(Bases!$N$2:$N$53,C918))</f>
        <v>75.6666666666667</v>
      </c>
      <c r="U918" s="2" t="n">
        <f aca="false">Settings!$B$4*MAX(INDEX(Bases!$O$2:$O$53,B918),INDEX(Bases!$O$2:$O$53,C918))+Settings!$B$5*MIN(INDEX(Bases!$O$2:$O$53,B918),INDEX(Bases!$O$2:$O$53,C918))</f>
        <v>104</v>
      </c>
      <c r="V918" s="2" t="n">
        <f aca="false">Settings!$B$4*MAX(INDEX(Bases!$P$2:$P$53,B918),INDEX(Bases!$P$2:$P$53,C918))+Settings!$B$5*MIN(INDEX(Bases!$P$2:$P$53,B918),INDEX(Bases!$P$2:$P$53,C918))</f>
        <v>54.3333333333333</v>
      </c>
      <c r="W918" s="2" t="n">
        <f aca="false">Settings!$B$4*MAX(INDEX(Bases!$Q$2:$Q$53,B918),INDEX(Bases!$Q$2:$Q$53,C918))+Settings!$B$5*MIN(INDEX(Bases!$Q$2:$Q$53,B918),INDEX(Bases!$Q$2:$Q$53,C918))</f>
        <v>62.6666666666667</v>
      </c>
      <c r="X918" s="2" t="n">
        <f aca="false">Settings!$B$4*MAX(INDEX(Bases!$R$2:$R$53,B918),INDEX(Bases!$R$2:$R$53,C918))+Settings!$B$5*MIN(INDEX(Bases!$R$2:$R$53,B918),INDEX(Bases!$R$2:$R$53,C918))</f>
        <v>47.3333333333333</v>
      </c>
      <c r="Y918" s="2" t="n">
        <f aca="false">S918*Settings!$B$3/SUM(S918:X918)</f>
        <v>96.5598123534011</v>
      </c>
      <c r="Z918" s="2" t="n">
        <f aca="false">T918*Settings!$B$3/SUM(S918:X918)</f>
        <v>88.7412040656763</v>
      </c>
      <c r="AA918" s="2" t="n">
        <f aca="false">U918*Settings!$B$3/SUM(S918:X918)</f>
        <v>121.970289288507</v>
      </c>
      <c r="AB918" s="2" t="n">
        <f aca="false">V918*Settings!$B$3/SUM(S918:X918)</f>
        <v>63.721657544957</v>
      </c>
      <c r="AC918" s="2" t="n">
        <f aca="false">W918*Settings!$B$3/SUM(S918:X918)</f>
        <v>73.494917904613</v>
      </c>
      <c r="AD918" s="2" t="n">
        <f aca="false">X918*Settings!$B$3/SUM(S918:X918)</f>
        <v>55.512118842846</v>
      </c>
      <c r="AE918" s="2" t="n">
        <f aca="false">INT(Y918)</f>
        <v>96</v>
      </c>
      <c r="AF918" s="2" t="n">
        <f aca="false">INT(Z918)</f>
        <v>88</v>
      </c>
      <c r="AG918" s="2" t="n">
        <f aca="false">INT(AA918)</f>
        <v>121</v>
      </c>
      <c r="AH918" s="2" t="n">
        <f aca="false">INT(AB918)</f>
        <v>63</v>
      </c>
      <c r="AI918" s="2" t="n">
        <f aca="false">INT(AC918)</f>
        <v>73</v>
      </c>
      <c r="AJ918" s="2" t="n">
        <f aca="false">INT(AD918)</f>
        <v>55</v>
      </c>
      <c r="AK918" s="2" t="n">
        <f aca="false">Settings!$B$3-SUM(AE918:AJ918)</f>
        <v>4</v>
      </c>
      <c r="AL918" s="2" t="n">
        <f aca="false">ROUND(Y918-AE918,9)</f>
        <v>0.559812353</v>
      </c>
      <c r="AM918" s="2" t="n">
        <f aca="false">ROUND(Z918-AF918,9)</f>
        <v>0.741204066</v>
      </c>
      <c r="AN918" s="2" t="n">
        <f aca="false">ROUND(AA918-AG918,9)</f>
        <v>0.970289289</v>
      </c>
      <c r="AO918" s="2" t="n">
        <f aca="false">ROUND(AB918-AH918,9)</f>
        <v>0.721657545</v>
      </c>
      <c r="AP918" s="2" t="n">
        <f aca="false">ROUND(AC918-AI918,9)</f>
        <v>0.494917905</v>
      </c>
      <c r="AQ918" s="2" t="n">
        <f aca="false">ROUND(AD918-AJ918,9)</f>
        <v>0.512118843</v>
      </c>
    </row>
    <row r="919" customFormat="false" ht="15" hidden="false" customHeight="false" outlineLevel="0" collapsed="false">
      <c r="A919" s="2" t="n">
        <v>918</v>
      </c>
      <c r="B919" s="6" t="n">
        <v>23</v>
      </c>
      <c r="C919" s="6" t="n">
        <v>50</v>
      </c>
      <c r="D919" s="8" t="str">
        <f aca="false">INDEX(Bases!$B$2:$B$53,B919)</f>
        <v>Gulpin</v>
      </c>
      <c r="E919" s="8" t="str">
        <f aca="false">INDEX(Bases!$B$2:$B$53,C919)</f>
        <v>Beldum</v>
      </c>
      <c r="F919" s="2" t="str">
        <f aca="false">LEFT(D919,ROUNDUP(LEN(D919)/2,0))&amp;LOWER(MID(E919,ROUNDUP(LEN(E919)/2,0)+1,20))</f>
        <v>Guldum</v>
      </c>
      <c r="G919" s="8" t="str">
        <f aca="false">INDEX(Bases!$C$2:$C$53,B919)</f>
        <v>Poison</v>
      </c>
      <c r="H919" s="8" t="str">
        <f aca="false">IF(INDEX(Bases!$C$2:$C$53,C919)=G919,"",INDEX(Bases!$C$2:$C$53,C919))</f>
        <v>Steel</v>
      </c>
      <c r="I919" s="8" t="str">
        <f aca="false">IF(INDEX(Bases!$E$2:$E$53,B919)="","",INDEX(Bases!$E$2:$E$53,B919))</f>
        <v/>
      </c>
      <c r="J919" s="8" t="str">
        <f aca="false">IF(INDEX(Bases!$E$2:$E$53,C919)="","",INDEX(Bases!$E$2:$E$53,C919))</f>
        <v/>
      </c>
      <c r="K919" s="5"/>
      <c r="L919" s="2" t="n">
        <f aca="false">AE919+IF(SUMPRODUCT(--($AL919:$AQ919&gt;AL919))&lt;$AK919,1,0)</f>
        <v>95</v>
      </c>
      <c r="M919" s="2" t="n">
        <f aca="false">AF919+IF(SUMPRODUCT(--($AL919:$AQ919&gt;AM919))+SUMPRODUCT(--($AL919:AL919=AM919))&lt;$AK919,1,0)</f>
        <v>80</v>
      </c>
      <c r="N919" s="2" t="n">
        <f aca="false">AG919+IF(SUMPRODUCT(--($AL919:$AQ919&gt;AN919))+SUMPRODUCT(--($AL919:AM919=AN919))&lt;$AK919,1,0)</f>
        <v>112</v>
      </c>
      <c r="O919" s="2" t="n">
        <f aca="false">AH919+IF(SUMPRODUCT(--($AL919:$AQ919&gt;AO919))+SUMPRODUCT(--($AL919:AN919=AO919))&lt;$AK919,1,0)</f>
        <v>64</v>
      </c>
      <c r="P919" s="2" t="n">
        <f aca="false">AI919+IF(SUMPRODUCT(--($AL919:$AQ919&gt;AP919))+SUMPRODUCT(--($AL919:AO919=AP919))&lt;$AK919,1,0)</f>
        <v>91</v>
      </c>
      <c r="Q919" s="2" t="n">
        <f aca="false">AJ919+IF(SUMPRODUCT(--($AL919:$AQ919&gt;AQ919))+SUMPRODUCT(--($AL919:AP919=AQ919))&lt;$AK919,1,0)</f>
        <v>58</v>
      </c>
      <c r="R919" s="2" t="n">
        <f aca="false">SUM(L919:Q919)</f>
        <v>500</v>
      </c>
      <c r="S919" s="2" t="n">
        <f aca="false">Settings!$B$4*MAX(INDEX(Bases!$M$2:$M$53,B919),INDEX(Bases!$M$2:$M$53,C919))+Settings!$B$5*MIN(INDEX(Bases!$M$2:$M$53,B919),INDEX(Bases!$M$2:$M$53,C919))</f>
        <v>79.6666666666667</v>
      </c>
      <c r="T919" s="2" t="n">
        <f aca="false">Settings!$B$4*MAX(INDEX(Bases!$N$2:$N$53,B919),INDEX(Bases!$N$2:$N$53,C919))+Settings!$B$5*MIN(INDEX(Bases!$N$2:$N$53,B919),INDEX(Bases!$N$2:$N$53,C919))</f>
        <v>67.6666666666667</v>
      </c>
      <c r="U919" s="2" t="n">
        <f aca="false">Settings!$B$4*MAX(INDEX(Bases!$O$2:$O$53,B919),INDEX(Bases!$O$2:$O$53,C919))+Settings!$B$5*MIN(INDEX(Bases!$O$2:$O$53,B919),INDEX(Bases!$O$2:$O$53,C919))</f>
        <v>94.6666666666667</v>
      </c>
      <c r="V919" s="2" t="n">
        <f aca="false">Settings!$B$4*MAX(INDEX(Bases!$P$2:$P$53,B919),INDEX(Bases!$P$2:$P$53,C919))+Settings!$B$5*MIN(INDEX(Bases!$P$2:$P$53,B919),INDEX(Bases!$P$2:$P$53,C919))</f>
        <v>53.6666666666667</v>
      </c>
      <c r="W919" s="2" t="n">
        <f aca="false">Settings!$B$4*MAX(INDEX(Bases!$Q$2:$Q$53,B919),INDEX(Bases!$Q$2:$Q$53,C919))+Settings!$B$5*MIN(INDEX(Bases!$Q$2:$Q$53,B919),INDEX(Bases!$Q$2:$Q$53,C919))</f>
        <v>76.6666666666667</v>
      </c>
      <c r="X919" s="2" t="n">
        <f aca="false">Settings!$B$4*MAX(INDEX(Bases!$R$2:$R$53,B919),INDEX(Bases!$R$2:$R$53,C919))+Settings!$B$5*MIN(INDEX(Bases!$R$2:$R$53,B919),INDEX(Bases!$R$2:$R$53,C919))</f>
        <v>48.6666666666667</v>
      </c>
      <c r="Y919" s="2" t="n">
        <f aca="false">S919*Settings!$B$3/SUM(S919:X919)</f>
        <v>94.6159936658749</v>
      </c>
      <c r="Z919" s="2" t="n">
        <f aca="false">T919*Settings!$B$3/SUM(S919:X919)</f>
        <v>80.3642121931908</v>
      </c>
      <c r="AA919" s="2" t="n">
        <f aca="false">U919*Settings!$B$3/SUM(S919:X919)</f>
        <v>112.43072050673</v>
      </c>
      <c r="AB919" s="2" t="n">
        <f aca="false">V919*Settings!$B$3/SUM(S919:X919)</f>
        <v>63.7371338083927</v>
      </c>
      <c r="AC919" s="2" t="n">
        <f aca="false">W919*Settings!$B$3/SUM(S919:X919)</f>
        <v>91.0530482977039</v>
      </c>
      <c r="AD919" s="2" t="n">
        <f aca="false">X919*Settings!$B$3/SUM(S919:X919)</f>
        <v>57.7988915281077</v>
      </c>
      <c r="AE919" s="2" t="n">
        <f aca="false">INT(Y919)</f>
        <v>94</v>
      </c>
      <c r="AF919" s="2" t="n">
        <f aca="false">INT(Z919)</f>
        <v>80</v>
      </c>
      <c r="AG919" s="2" t="n">
        <f aca="false">INT(AA919)</f>
        <v>112</v>
      </c>
      <c r="AH919" s="2" t="n">
        <f aca="false">INT(AB919)</f>
        <v>63</v>
      </c>
      <c r="AI919" s="2" t="n">
        <f aca="false">INT(AC919)</f>
        <v>91</v>
      </c>
      <c r="AJ919" s="2" t="n">
        <f aca="false">INT(AD919)</f>
        <v>57</v>
      </c>
      <c r="AK919" s="2" t="n">
        <f aca="false">Settings!$B$3-SUM(AE919:AJ919)</f>
        <v>3</v>
      </c>
      <c r="AL919" s="2" t="n">
        <f aca="false">ROUND(Y919-AE919,9)</f>
        <v>0.615993666</v>
      </c>
      <c r="AM919" s="2" t="n">
        <f aca="false">ROUND(Z919-AF919,9)</f>
        <v>0.364212193</v>
      </c>
      <c r="AN919" s="2" t="n">
        <f aca="false">ROUND(AA919-AG919,9)</f>
        <v>0.430720507</v>
      </c>
      <c r="AO919" s="2" t="n">
        <f aca="false">ROUND(AB919-AH919,9)</f>
        <v>0.737133808</v>
      </c>
      <c r="AP919" s="2" t="n">
        <f aca="false">ROUND(AC919-AI919,9)</f>
        <v>0.053048298</v>
      </c>
      <c r="AQ919" s="2" t="n">
        <f aca="false">ROUND(AD919-AJ919,9)</f>
        <v>0.798891528</v>
      </c>
    </row>
    <row r="920" customFormat="false" ht="15" hidden="false" customHeight="false" outlineLevel="0" collapsed="false">
      <c r="A920" s="2" t="n">
        <v>919</v>
      </c>
      <c r="B920" s="6" t="n">
        <v>23</v>
      </c>
      <c r="C920" s="6" t="n">
        <v>51</v>
      </c>
      <c r="D920" s="8" t="str">
        <f aca="false">INDEX(Bases!$B$2:$B$53,B920)</f>
        <v>Gulpin</v>
      </c>
      <c r="E920" s="8" t="str">
        <f aca="false">INDEX(Bases!$B$2:$B$53,C920)</f>
        <v>Cleffa</v>
      </c>
      <c r="F920" s="2" t="str">
        <f aca="false">LEFT(D920,ROUNDUP(LEN(D920)/2,0))&amp;LOWER(MID(E920,ROUNDUP(LEN(E920)/2,0)+1,20))</f>
        <v>Gulffa</v>
      </c>
      <c r="G920" s="8" t="str">
        <f aca="false">INDEX(Bases!$C$2:$C$53,B920)</f>
        <v>Poison</v>
      </c>
      <c r="H920" s="8" t="str">
        <f aca="false">IF(INDEX(Bases!$C$2:$C$53,C920)=G920,"",INDEX(Bases!$C$2:$C$53,C920))</f>
        <v>Fairy</v>
      </c>
      <c r="I920" s="8" t="str">
        <f aca="false">IF(INDEX(Bases!$E$2:$E$53,B920)="","",INDEX(Bases!$E$2:$E$53,B920))</f>
        <v/>
      </c>
      <c r="J920" s="8" t="str">
        <f aca="false">IF(INDEX(Bases!$E$2:$E$53,C920)="","",INDEX(Bases!$E$2:$E$53,C920))</f>
        <v/>
      </c>
      <c r="K920" s="5"/>
      <c r="L920" s="2" t="n">
        <f aca="false">AE920+IF(SUMPRODUCT(--($AL920:$AQ920&gt;AL920))&lt;$AK920,1,0)</f>
        <v>110</v>
      </c>
      <c r="M920" s="2" t="n">
        <f aca="false">AF920+IF(SUMPRODUCT(--($AL920:$AQ920&gt;AM920))+SUMPRODUCT(--($AL920:AL920=AM920))&lt;$AK920,1,0)</f>
        <v>64</v>
      </c>
      <c r="N920" s="2" t="n">
        <f aca="false">AG920+IF(SUMPRODUCT(--($AL920:$AQ920&gt;AN920))+SUMPRODUCT(--($AL920:AM920=AN920))&lt;$AK920,1,0)</f>
        <v>76</v>
      </c>
      <c r="O920" s="2" t="n">
        <f aca="false">AH920+IF(SUMPRODUCT(--($AL920:$AQ920&gt;AO920))+SUMPRODUCT(--($AL920:AN920=AO920))&lt;$AK920,1,0)</f>
        <v>89</v>
      </c>
      <c r="P920" s="2" t="n">
        <f aca="false">AI920+IF(SUMPRODUCT(--($AL920:$AQ920&gt;AP920))+SUMPRODUCT(--($AL920:AO920=AP920))&lt;$AK920,1,0)</f>
        <v>108</v>
      </c>
      <c r="Q920" s="2" t="n">
        <f aca="false">AJ920+IF(SUMPRODUCT(--($AL920:$AQ920&gt;AQ920))+SUMPRODUCT(--($AL920:AP920=AQ920))&lt;$AK920,1,0)</f>
        <v>53</v>
      </c>
      <c r="R920" s="2" t="n">
        <f aca="false">SUM(L920:Q920)</f>
        <v>500</v>
      </c>
      <c r="S920" s="2" t="n">
        <f aca="false">Settings!$B$4*MAX(INDEX(Bases!$M$2:$M$53,B920),INDEX(Bases!$M$2:$M$53,C920))+Settings!$B$5*MIN(INDEX(Bases!$M$2:$M$53,B920),INDEX(Bases!$M$2:$M$53,C920))</f>
        <v>92.6666666666667</v>
      </c>
      <c r="T920" s="2" t="n">
        <f aca="false">Settings!$B$4*MAX(INDEX(Bases!$N$2:$N$53,B920),INDEX(Bases!$N$2:$N$53,C920))+Settings!$B$5*MIN(INDEX(Bases!$N$2:$N$53,B920),INDEX(Bases!$N$2:$N$53,C920))</f>
        <v>53.3333333333333</v>
      </c>
      <c r="U920" s="2" t="n">
        <f aca="false">Settings!$B$4*MAX(INDEX(Bases!$O$2:$O$53,B920),INDEX(Bases!$O$2:$O$53,C920))+Settings!$B$5*MIN(INDEX(Bases!$O$2:$O$53,B920),INDEX(Bases!$O$2:$O$53,C920))</f>
        <v>63.6666666666667</v>
      </c>
      <c r="V920" s="2" t="n">
        <f aca="false">Settings!$B$4*MAX(INDEX(Bases!$P$2:$P$53,B920),INDEX(Bases!$P$2:$P$53,C920))+Settings!$B$5*MIN(INDEX(Bases!$P$2:$P$53,B920),INDEX(Bases!$P$2:$P$53,C920))</f>
        <v>74.3333333333333</v>
      </c>
      <c r="W920" s="2" t="n">
        <f aca="false">Settings!$B$4*MAX(INDEX(Bases!$Q$2:$Q$53,B920),INDEX(Bases!$Q$2:$Q$53,C920))+Settings!$B$5*MIN(INDEX(Bases!$Q$2:$Q$53,B920),INDEX(Bases!$Q$2:$Q$53,C920))</f>
        <v>90.6666666666667</v>
      </c>
      <c r="X920" s="2" t="n">
        <f aca="false">Settings!$B$4*MAX(INDEX(Bases!$R$2:$R$53,B920),INDEX(Bases!$R$2:$R$53,C920))+Settings!$B$5*MIN(INDEX(Bases!$R$2:$R$53,B920),INDEX(Bases!$R$2:$R$53,C920))</f>
        <v>44.3333333333333</v>
      </c>
      <c r="Y920" s="2" t="n">
        <f aca="false">S920*Settings!$B$3/SUM(S920:X920)</f>
        <v>110.580747812251</v>
      </c>
      <c r="Z920" s="2" t="n">
        <f aca="false">T920*Settings!$B$3/SUM(S920:X920)</f>
        <v>63.6435958631663</v>
      </c>
      <c r="AA920" s="2" t="n">
        <f aca="false">U920*Settings!$B$3/SUM(S920:X920)</f>
        <v>75.9745425616547</v>
      </c>
      <c r="AB920" s="2" t="n">
        <f aca="false">V920*Settings!$B$3/SUM(S920:X920)</f>
        <v>88.703261734288</v>
      </c>
      <c r="AC920" s="2" t="n">
        <f aca="false">W920*Settings!$B$3/SUM(S920:X920)</f>
        <v>108.194112967383</v>
      </c>
      <c r="AD920" s="2" t="n">
        <f aca="false">X920*Settings!$B$3/SUM(S920:X920)</f>
        <v>52.903739061257</v>
      </c>
      <c r="AE920" s="2" t="n">
        <f aca="false">INT(Y920)</f>
        <v>110</v>
      </c>
      <c r="AF920" s="2" t="n">
        <f aca="false">INT(Z920)</f>
        <v>63</v>
      </c>
      <c r="AG920" s="2" t="n">
        <f aca="false">INT(AA920)</f>
        <v>75</v>
      </c>
      <c r="AH920" s="2" t="n">
        <f aca="false">INT(AB920)</f>
        <v>88</v>
      </c>
      <c r="AI920" s="2" t="n">
        <f aca="false">INT(AC920)</f>
        <v>108</v>
      </c>
      <c r="AJ920" s="2" t="n">
        <f aca="false">INT(AD920)</f>
        <v>52</v>
      </c>
      <c r="AK920" s="2" t="n">
        <f aca="false">Settings!$B$3-SUM(AE920:AJ920)</f>
        <v>4</v>
      </c>
      <c r="AL920" s="2" t="n">
        <f aca="false">ROUND(Y920-AE920,9)</f>
        <v>0.580747812</v>
      </c>
      <c r="AM920" s="2" t="n">
        <f aca="false">ROUND(Z920-AF920,9)</f>
        <v>0.643595863</v>
      </c>
      <c r="AN920" s="2" t="n">
        <f aca="false">ROUND(AA920-AG920,9)</f>
        <v>0.974542562</v>
      </c>
      <c r="AO920" s="2" t="n">
        <f aca="false">ROUND(AB920-AH920,9)</f>
        <v>0.703261734</v>
      </c>
      <c r="AP920" s="2" t="n">
        <f aca="false">ROUND(AC920-AI920,9)</f>
        <v>0.194112967</v>
      </c>
      <c r="AQ920" s="2" t="n">
        <f aca="false">ROUND(AD920-AJ920,9)</f>
        <v>0.903739061</v>
      </c>
    </row>
    <row r="921" customFormat="false" ht="15" hidden="false" customHeight="false" outlineLevel="0" collapsed="false">
      <c r="A921" s="2" t="n">
        <v>920</v>
      </c>
      <c r="B921" s="6" t="n">
        <v>23</v>
      </c>
      <c r="C921" s="6" t="n">
        <v>52</v>
      </c>
      <c r="D921" s="8" t="str">
        <f aca="false">INDEX(Bases!$B$2:$B$53,B921)</f>
        <v>Gulpin</v>
      </c>
      <c r="E921" s="8" t="str">
        <f aca="false">INDEX(Bases!$B$2:$B$53,C921)</f>
        <v>Togepi</v>
      </c>
      <c r="F921" s="2" t="str">
        <f aca="false">LEFT(D921,ROUNDUP(LEN(D921)/2,0))&amp;LOWER(MID(E921,ROUNDUP(LEN(E921)/2,0)+1,20))</f>
        <v>Gulepi</v>
      </c>
      <c r="G921" s="8" t="str">
        <f aca="false">INDEX(Bases!$C$2:$C$53,B921)</f>
        <v>Poison</v>
      </c>
      <c r="H921" s="8" t="str">
        <f aca="false">IF(INDEX(Bases!$C$2:$C$53,C921)=G921,"",INDEX(Bases!$C$2:$C$53,C921))</f>
        <v>Fairy</v>
      </c>
      <c r="I921" s="8" t="str">
        <f aca="false">IF(INDEX(Bases!$E$2:$E$53,B921)="","",INDEX(Bases!$E$2:$E$53,B921))</f>
        <v/>
      </c>
      <c r="J921" s="8" t="str">
        <f aca="false">IF(INDEX(Bases!$E$2:$E$53,C921)="","",INDEX(Bases!$E$2:$E$53,C921))</f>
        <v/>
      </c>
      <c r="K921" s="5"/>
      <c r="L921" s="2" t="n">
        <f aca="false">AE921+IF(SUMPRODUCT(--($AL921:$AQ921&gt;AL921))&lt;$AK921,1,0)</f>
        <v>95</v>
      </c>
      <c r="M921" s="2" t="n">
        <f aca="false">AF921+IF(SUMPRODUCT(--($AL921:$AQ921&gt;AM921))+SUMPRODUCT(--($AL921:AL921=AM921))&lt;$AK921,1,0)</f>
        <v>58</v>
      </c>
      <c r="N921" s="2" t="n">
        <f aca="false">AG921+IF(SUMPRODUCT(--($AL921:$AQ921&gt;AN921))+SUMPRODUCT(--($AL921:AM921=AN921))&lt;$AK921,1,0)</f>
        <v>110</v>
      </c>
      <c r="O921" s="2" t="n">
        <f aca="false">AH921+IF(SUMPRODUCT(--($AL921:$AQ921&gt;AO921))+SUMPRODUCT(--($AL921:AN921=AO921))&lt;$AK921,1,0)</f>
        <v>73</v>
      </c>
      <c r="P921" s="2" t="n">
        <f aca="false">AI921+IF(SUMPRODUCT(--($AL921:$AQ921&gt;AP921))+SUMPRODUCT(--($AL921:AO921=AP921))&lt;$AK921,1,0)</f>
        <v>110</v>
      </c>
      <c r="Q921" s="2" t="n">
        <f aca="false">AJ921+IF(SUMPRODUCT(--($AL921:$AQ921&gt;AQ921))+SUMPRODUCT(--($AL921:AP921=AQ921))&lt;$AK921,1,0)</f>
        <v>54</v>
      </c>
      <c r="R921" s="2" t="n">
        <f aca="false">SUM(L921:Q921)</f>
        <v>500</v>
      </c>
      <c r="S921" s="2" t="n">
        <f aca="false">Settings!$B$4*MAX(INDEX(Bases!$M$2:$M$53,B921),INDEX(Bases!$M$2:$M$53,C921))+Settings!$B$5*MIN(INDEX(Bases!$M$2:$M$53,B921),INDEX(Bases!$M$2:$M$53,C921))</f>
        <v>81</v>
      </c>
      <c r="T921" s="2" t="n">
        <f aca="false">Settings!$B$4*MAX(INDEX(Bases!$N$2:$N$53,B921),INDEX(Bases!$N$2:$N$53,C921))+Settings!$B$5*MIN(INDEX(Bases!$N$2:$N$53,B921),INDEX(Bases!$N$2:$N$53,C921))</f>
        <v>49</v>
      </c>
      <c r="U921" s="2" t="n">
        <f aca="false">Settings!$B$4*MAX(INDEX(Bases!$O$2:$O$53,B921),INDEX(Bases!$O$2:$O$53,C921))+Settings!$B$5*MIN(INDEX(Bases!$O$2:$O$53,B921),INDEX(Bases!$O$2:$O$53,C921))</f>
        <v>94</v>
      </c>
      <c r="V921" s="2" t="n">
        <f aca="false">Settings!$B$4*MAX(INDEX(Bases!$P$2:$P$53,B921),INDEX(Bases!$P$2:$P$53,C921))+Settings!$B$5*MIN(INDEX(Bases!$P$2:$P$53,B921),INDEX(Bases!$P$2:$P$53,C921))</f>
        <v>62.3333333333333</v>
      </c>
      <c r="W921" s="2" t="n">
        <f aca="false">Settings!$B$4*MAX(INDEX(Bases!$Q$2:$Q$53,B921),INDEX(Bases!$Q$2:$Q$53,C921))+Settings!$B$5*MIN(INDEX(Bases!$Q$2:$Q$53,B921),INDEX(Bases!$Q$2:$Q$53,C921))</f>
        <v>94</v>
      </c>
      <c r="X921" s="2" t="n">
        <f aca="false">Settings!$B$4*MAX(INDEX(Bases!$R$2:$R$53,B921),INDEX(Bases!$R$2:$R$53,C921))+Settings!$B$5*MIN(INDEX(Bases!$R$2:$R$53,B921),INDEX(Bases!$R$2:$R$53,C921))</f>
        <v>46.3333333333333</v>
      </c>
      <c r="Y921" s="2" t="n">
        <f aca="false">S921*Settings!$B$3/SUM(S921:X921)</f>
        <v>94.921875</v>
      </c>
      <c r="Z921" s="2" t="n">
        <f aca="false">T921*Settings!$B$3/SUM(S921:X921)</f>
        <v>57.421875</v>
      </c>
      <c r="AA921" s="2" t="n">
        <f aca="false">U921*Settings!$B$3/SUM(S921:X921)</f>
        <v>110.15625</v>
      </c>
      <c r="AB921" s="2" t="n">
        <f aca="false">V921*Settings!$B$3/SUM(S921:X921)</f>
        <v>73.046875</v>
      </c>
      <c r="AC921" s="2" t="n">
        <f aca="false">W921*Settings!$B$3/SUM(S921:X921)</f>
        <v>110.15625</v>
      </c>
      <c r="AD921" s="2" t="n">
        <f aca="false">X921*Settings!$B$3/SUM(S921:X921)</f>
        <v>54.296875</v>
      </c>
      <c r="AE921" s="2" t="n">
        <f aca="false">INT(Y921)</f>
        <v>94</v>
      </c>
      <c r="AF921" s="2" t="n">
        <f aca="false">INT(Z921)</f>
        <v>57</v>
      </c>
      <c r="AG921" s="2" t="n">
        <f aca="false">INT(AA921)</f>
        <v>110</v>
      </c>
      <c r="AH921" s="2" t="n">
        <f aca="false">INT(AB921)</f>
        <v>73</v>
      </c>
      <c r="AI921" s="2" t="n">
        <f aca="false">INT(AC921)</f>
        <v>110</v>
      </c>
      <c r="AJ921" s="2" t="n">
        <f aca="false">INT(AD921)</f>
        <v>54</v>
      </c>
      <c r="AK921" s="2" t="n">
        <f aca="false">Settings!$B$3-SUM(AE921:AJ921)</f>
        <v>2</v>
      </c>
      <c r="AL921" s="2" t="n">
        <f aca="false">ROUND(Y921-AE921,9)</f>
        <v>0.921875</v>
      </c>
      <c r="AM921" s="2" t="n">
        <f aca="false">ROUND(Z921-AF921,9)</f>
        <v>0.421875</v>
      </c>
      <c r="AN921" s="2" t="n">
        <f aca="false">ROUND(AA921-AG921,9)</f>
        <v>0.15625</v>
      </c>
      <c r="AO921" s="2" t="n">
        <f aca="false">ROUND(AB921-AH921,9)</f>
        <v>0.046875</v>
      </c>
      <c r="AP921" s="2" t="n">
        <f aca="false">ROUND(AC921-AI921,9)</f>
        <v>0.15625</v>
      </c>
      <c r="AQ921" s="2" t="n">
        <f aca="false">ROUND(AD921-AJ921,9)</f>
        <v>0.296875</v>
      </c>
    </row>
    <row r="922" customFormat="false" ht="15" hidden="false" customHeight="false" outlineLevel="0" collapsed="false">
      <c r="A922" s="2" t="n">
        <v>921</v>
      </c>
      <c r="B922" s="6" t="n">
        <v>24</v>
      </c>
      <c r="C922" s="6" t="n">
        <v>25</v>
      </c>
      <c r="D922" s="8" t="str">
        <f aca="false">INDEX(Bases!$B$2:$B$53,B922)</f>
        <v>Koffing</v>
      </c>
      <c r="E922" s="8" t="str">
        <f aca="false">INDEX(Bases!$B$2:$B$53,C922)</f>
        <v>Sandshrew</v>
      </c>
      <c r="F922" s="2" t="str">
        <f aca="false">LEFT(D922,ROUNDUP(LEN(D922)/2,0))&amp;LOWER(MID(E922,ROUNDUP(LEN(E922)/2,0)+1,20))</f>
        <v>Koffhrew</v>
      </c>
      <c r="G922" s="8" t="str">
        <f aca="false">INDEX(Bases!$C$2:$C$53,B922)</f>
        <v>Poison</v>
      </c>
      <c r="H922" s="8" t="str">
        <f aca="false">IF(INDEX(Bases!$C$2:$C$53,C922)=G922,"",INDEX(Bases!$C$2:$C$53,C922))</f>
        <v>Ground</v>
      </c>
      <c r="I922" s="8" t="str">
        <f aca="false">IF(INDEX(Bases!$E$2:$E$53,B922)="","",INDEX(Bases!$E$2:$E$53,B922))</f>
        <v/>
      </c>
      <c r="J922" s="8" t="str">
        <f aca="false">IF(INDEX(Bases!$E$2:$E$53,C922)="","",INDEX(Bases!$E$2:$E$53,C922))</f>
        <v/>
      </c>
      <c r="K922" s="5"/>
      <c r="L922" s="2" t="n">
        <f aca="false">AE922+IF(SUMPRODUCT(--($AL922:$AQ922&gt;AL922))&lt;$AK922,1,0)</f>
        <v>72</v>
      </c>
      <c r="M922" s="2" t="n">
        <f aca="false">AF922+IF(SUMPRODUCT(--($AL922:$AQ922&gt;AM922))+SUMPRODUCT(--($AL922:AL922=AM922))&lt;$AK922,1,0)</f>
        <v>110</v>
      </c>
      <c r="N922" s="2" t="n">
        <f aca="false">AG922+IF(SUMPRODUCT(--($AL922:$AQ922&gt;AN922))+SUMPRODUCT(--($AL922:AM922=AN922))&lt;$AK922,1,0)</f>
        <v>134</v>
      </c>
      <c r="O922" s="2" t="n">
        <f aca="false">AH922+IF(SUMPRODUCT(--($AL922:$AQ922&gt;AO922))+SUMPRODUCT(--($AL922:AN922=AO922))&lt;$AK922,1,0)</f>
        <v>67</v>
      </c>
      <c r="P922" s="2" t="n">
        <f aca="false">AI922+IF(SUMPRODUCT(--($AL922:$AQ922&gt;AP922))+SUMPRODUCT(--($AL922:AO922=AP922))&lt;$AK922,1,0)</f>
        <v>58</v>
      </c>
      <c r="Q922" s="2" t="n">
        <f aca="false">AJ922+IF(SUMPRODUCT(--($AL922:$AQ922&gt;AQ922))+SUMPRODUCT(--($AL922:AP922=AQ922))&lt;$AK922,1,0)</f>
        <v>59</v>
      </c>
      <c r="R922" s="2" t="n">
        <f aca="false">SUM(L922:Q922)</f>
        <v>500</v>
      </c>
      <c r="S922" s="2" t="n">
        <f aca="false">Settings!$B$4*MAX(INDEX(Bases!$M$2:$M$53,B922),INDEX(Bases!$M$2:$M$53,C922))+Settings!$B$5*MIN(INDEX(Bases!$M$2:$M$53,B922),INDEX(Bases!$M$2:$M$53,C922))</f>
        <v>60.3333333333333</v>
      </c>
      <c r="T922" s="2" t="n">
        <f aca="false">Settings!$B$4*MAX(INDEX(Bases!$N$2:$N$53,B922),INDEX(Bases!$N$2:$N$53,C922))+Settings!$B$5*MIN(INDEX(Bases!$N$2:$N$53,B922),INDEX(Bases!$N$2:$N$53,C922))</f>
        <v>92</v>
      </c>
      <c r="U922" s="2" t="n">
        <f aca="false">Settings!$B$4*MAX(INDEX(Bases!$O$2:$O$53,B922),INDEX(Bases!$O$2:$O$53,C922))+Settings!$B$5*MIN(INDEX(Bases!$O$2:$O$53,B922),INDEX(Bases!$O$2:$O$53,C922))</f>
        <v>112.666666666667</v>
      </c>
      <c r="V922" s="2" t="n">
        <f aca="false">Settings!$B$4*MAX(INDEX(Bases!$P$2:$P$53,B922),INDEX(Bases!$P$2:$P$53,C922))+Settings!$B$5*MIN(INDEX(Bases!$P$2:$P$53,B922),INDEX(Bases!$P$2:$P$53,C922))</f>
        <v>56.3333333333333</v>
      </c>
      <c r="W922" s="2" t="n">
        <f aca="false">Settings!$B$4*MAX(INDEX(Bases!$Q$2:$Q$53,B922),INDEX(Bases!$Q$2:$Q$53,C922))+Settings!$B$5*MIN(INDEX(Bases!$Q$2:$Q$53,B922),INDEX(Bases!$Q$2:$Q$53,C922))</f>
        <v>48.6666666666667</v>
      </c>
      <c r="X922" s="2" t="n">
        <f aca="false">Settings!$B$4*MAX(INDEX(Bases!$R$2:$R$53,B922),INDEX(Bases!$R$2:$R$53,C922))+Settings!$B$5*MIN(INDEX(Bases!$R$2:$R$53,B922),INDEX(Bases!$R$2:$R$53,C922))</f>
        <v>49</v>
      </c>
      <c r="Y922" s="2" t="n">
        <f aca="false">S922*Settings!$B$3/SUM(S922:X922)</f>
        <v>71.9968178202068</v>
      </c>
      <c r="Z922" s="2" t="n">
        <f aca="false">T922*Settings!$B$3/SUM(S922:X922)</f>
        <v>109.785202863962</v>
      </c>
      <c r="AA922" s="2" t="n">
        <f aca="false">U922*Settings!$B$3/SUM(S922:X922)</f>
        <v>134.447096260939</v>
      </c>
      <c r="AB922" s="2" t="n">
        <f aca="false">V922*Settings!$B$3/SUM(S922:X922)</f>
        <v>67.2235481304694</v>
      </c>
      <c r="AC922" s="2" t="n">
        <f aca="false">W922*Settings!$B$3/SUM(S922:X922)</f>
        <v>58.0747812251392</v>
      </c>
      <c r="AD922" s="2" t="n">
        <f aca="false">X922*Settings!$B$3/SUM(S922:X922)</f>
        <v>58.472553699284</v>
      </c>
      <c r="AE922" s="2" t="n">
        <f aca="false">INT(Y922)</f>
        <v>71</v>
      </c>
      <c r="AF922" s="2" t="n">
        <f aca="false">INT(Z922)</f>
        <v>109</v>
      </c>
      <c r="AG922" s="2" t="n">
        <f aca="false">INT(AA922)</f>
        <v>134</v>
      </c>
      <c r="AH922" s="2" t="n">
        <f aca="false">INT(AB922)</f>
        <v>67</v>
      </c>
      <c r="AI922" s="2" t="n">
        <f aca="false">INT(AC922)</f>
        <v>58</v>
      </c>
      <c r="AJ922" s="2" t="n">
        <f aca="false">INT(AD922)</f>
        <v>58</v>
      </c>
      <c r="AK922" s="2" t="n">
        <f aca="false">Settings!$B$3-SUM(AE922:AJ922)</f>
        <v>3</v>
      </c>
      <c r="AL922" s="2" t="n">
        <f aca="false">ROUND(Y922-AE922,9)</f>
        <v>0.99681782</v>
      </c>
      <c r="AM922" s="2" t="n">
        <f aca="false">ROUND(Z922-AF922,9)</f>
        <v>0.785202864</v>
      </c>
      <c r="AN922" s="2" t="n">
        <f aca="false">ROUND(AA922-AG922,9)</f>
        <v>0.447096261</v>
      </c>
      <c r="AO922" s="2" t="n">
        <f aca="false">ROUND(AB922-AH922,9)</f>
        <v>0.22354813</v>
      </c>
      <c r="AP922" s="2" t="n">
        <f aca="false">ROUND(AC922-AI922,9)</f>
        <v>0.074781225</v>
      </c>
      <c r="AQ922" s="2" t="n">
        <f aca="false">ROUND(AD922-AJ922,9)</f>
        <v>0.472553699</v>
      </c>
    </row>
    <row r="923" customFormat="false" ht="15" hidden="false" customHeight="false" outlineLevel="0" collapsed="false">
      <c r="A923" s="2" t="n">
        <v>922</v>
      </c>
      <c r="B923" s="6" t="n">
        <v>24</v>
      </c>
      <c r="C923" s="6" t="n">
        <v>26</v>
      </c>
      <c r="D923" s="8" t="str">
        <f aca="false">INDEX(Bases!$B$2:$B$53,B923)</f>
        <v>Koffing</v>
      </c>
      <c r="E923" s="8" t="str">
        <f aca="false">INDEX(Bases!$B$2:$B$53,C923)</f>
        <v>Phanpy</v>
      </c>
      <c r="F923" s="2" t="str">
        <f aca="false">LEFT(D923,ROUNDUP(LEN(D923)/2,0))&amp;LOWER(MID(E923,ROUNDUP(LEN(E923)/2,0)+1,20))</f>
        <v>Koffnpy</v>
      </c>
      <c r="G923" s="8" t="str">
        <f aca="false">INDEX(Bases!$C$2:$C$53,B923)</f>
        <v>Poison</v>
      </c>
      <c r="H923" s="8" t="str">
        <f aca="false">IF(INDEX(Bases!$C$2:$C$53,C923)=G923,"",INDEX(Bases!$C$2:$C$53,C923))</f>
        <v>Ground</v>
      </c>
      <c r="I923" s="8" t="str">
        <f aca="false">IF(INDEX(Bases!$E$2:$E$53,B923)="","",INDEX(Bases!$E$2:$E$53,B923))</f>
        <v/>
      </c>
      <c r="J923" s="8" t="str">
        <f aca="false">IF(INDEX(Bases!$E$2:$E$53,C923)="","",INDEX(Bases!$E$2:$E$53,C923))</f>
        <v/>
      </c>
      <c r="K923" s="5"/>
      <c r="L923" s="2" t="n">
        <f aca="false">AE923+IF(SUMPRODUCT(--($AL923:$AQ923&gt;AL923))&lt;$AK923,1,0)</f>
        <v>104</v>
      </c>
      <c r="M923" s="2" t="n">
        <f aca="false">AF923+IF(SUMPRODUCT(--($AL923:$AQ923&gt;AM923))+SUMPRODUCT(--($AL923:AL923=AM923))&lt;$AK923,1,0)</f>
        <v>89</v>
      </c>
      <c r="N923" s="2" t="n">
        <f aca="false">AG923+IF(SUMPRODUCT(--($AL923:$AQ923&gt;AN923))+SUMPRODUCT(--($AL923:AM923=AN923))&lt;$AK923,1,0)</f>
        <v>117</v>
      </c>
      <c r="O923" s="2" t="n">
        <f aca="false">AH923+IF(SUMPRODUCT(--($AL923:$AQ923&gt;AO923))+SUMPRODUCT(--($AL923:AN923=AO923))&lt;$AK923,1,0)</f>
        <v>75</v>
      </c>
      <c r="P923" s="2" t="n">
        <f aca="false">AI923+IF(SUMPRODUCT(--($AL923:$AQ923&gt;AP923))+SUMPRODUCT(--($AL923:AO923=AP923))&lt;$AK923,1,0)</f>
        <v>61</v>
      </c>
      <c r="Q923" s="2" t="n">
        <f aca="false">AJ923+IF(SUMPRODUCT(--($AL923:$AQ923&gt;AQ923))+SUMPRODUCT(--($AL923:AP923=AQ923))&lt;$AK923,1,0)</f>
        <v>54</v>
      </c>
      <c r="R923" s="2" t="n">
        <f aca="false">SUM(L923:Q923)</f>
        <v>500</v>
      </c>
      <c r="S923" s="2" t="n">
        <f aca="false">Settings!$B$4*MAX(INDEX(Bases!$M$2:$M$53,B923),INDEX(Bases!$M$2:$M$53,C923))+Settings!$B$5*MIN(INDEX(Bases!$M$2:$M$53,B923),INDEX(Bases!$M$2:$M$53,C923))</f>
        <v>88.3333333333333</v>
      </c>
      <c r="T923" s="2" t="n">
        <f aca="false">Settings!$B$4*MAX(INDEX(Bases!$N$2:$N$53,B923),INDEX(Bases!$N$2:$N$53,C923))+Settings!$B$5*MIN(INDEX(Bases!$N$2:$N$53,B923),INDEX(Bases!$N$2:$N$53,C923))</f>
        <v>75</v>
      </c>
      <c r="U923" s="2" t="n">
        <f aca="false">Settings!$B$4*MAX(INDEX(Bases!$O$2:$O$53,B923),INDEX(Bases!$O$2:$O$53,C923))+Settings!$B$5*MIN(INDEX(Bases!$O$2:$O$53,B923),INDEX(Bases!$O$2:$O$53,C923))</f>
        <v>99</v>
      </c>
      <c r="V923" s="2" t="n">
        <f aca="false">Settings!$B$4*MAX(INDEX(Bases!$P$2:$P$53,B923),INDEX(Bases!$P$2:$P$53,C923))+Settings!$B$5*MIN(INDEX(Bases!$P$2:$P$53,B923),INDEX(Bases!$P$2:$P$53,C923))</f>
        <v>63.6666666666667</v>
      </c>
      <c r="W923" s="2" t="n">
        <f aca="false">Settings!$B$4*MAX(INDEX(Bases!$Q$2:$Q$53,B923),INDEX(Bases!$Q$2:$Q$53,C923))+Settings!$B$5*MIN(INDEX(Bases!$Q$2:$Q$53,B923),INDEX(Bases!$Q$2:$Q$53,C923))</f>
        <v>51.3333333333333</v>
      </c>
      <c r="X923" s="2" t="n">
        <f aca="false">Settings!$B$4*MAX(INDEX(Bases!$R$2:$R$53,B923),INDEX(Bases!$R$2:$R$53,C923))+Settings!$B$5*MIN(INDEX(Bases!$R$2:$R$53,B923),INDEX(Bases!$R$2:$R$53,C923))</f>
        <v>45.6666666666667</v>
      </c>
      <c r="Y923" s="2" t="n">
        <f aca="false">S923*Settings!$B$3/SUM(S923:X923)</f>
        <v>104.41292356186</v>
      </c>
      <c r="Z923" s="2" t="n">
        <f aca="false">T923*Settings!$B$3/SUM(S923:X923)</f>
        <v>88.6524822695036</v>
      </c>
      <c r="AA923" s="2" t="n">
        <f aca="false">U923*Settings!$B$3/SUM(S923:X923)</f>
        <v>117.021276595745</v>
      </c>
      <c r="AB923" s="2" t="n">
        <f aca="false">V923*Settings!$B$3/SUM(S923:X923)</f>
        <v>75.2561071710008</v>
      </c>
      <c r="AC923" s="2" t="n">
        <f aca="false">W923*Settings!$B$3/SUM(S923:X923)</f>
        <v>60.6776989755713</v>
      </c>
      <c r="AD923" s="2" t="n">
        <f aca="false">X923*Settings!$B$3/SUM(S923:X923)</f>
        <v>53.9795114263199</v>
      </c>
      <c r="AE923" s="2" t="n">
        <f aca="false">INT(Y923)</f>
        <v>104</v>
      </c>
      <c r="AF923" s="2" t="n">
        <f aca="false">INT(Z923)</f>
        <v>88</v>
      </c>
      <c r="AG923" s="2" t="n">
        <f aca="false">INT(AA923)</f>
        <v>117</v>
      </c>
      <c r="AH923" s="2" t="n">
        <f aca="false">INT(AB923)</f>
        <v>75</v>
      </c>
      <c r="AI923" s="2" t="n">
        <f aca="false">INT(AC923)</f>
        <v>60</v>
      </c>
      <c r="AJ923" s="2" t="n">
        <f aca="false">INT(AD923)</f>
        <v>53</v>
      </c>
      <c r="AK923" s="2" t="n">
        <f aca="false">Settings!$B$3-SUM(AE923:AJ923)</f>
        <v>3</v>
      </c>
      <c r="AL923" s="2" t="n">
        <f aca="false">ROUND(Y923-AE923,9)</f>
        <v>0.412923562</v>
      </c>
      <c r="AM923" s="2" t="n">
        <f aca="false">ROUND(Z923-AF923,9)</f>
        <v>0.65248227</v>
      </c>
      <c r="AN923" s="2" t="n">
        <f aca="false">ROUND(AA923-AG923,9)</f>
        <v>0.021276596</v>
      </c>
      <c r="AO923" s="2" t="n">
        <f aca="false">ROUND(AB923-AH923,9)</f>
        <v>0.256107171</v>
      </c>
      <c r="AP923" s="2" t="n">
        <f aca="false">ROUND(AC923-AI923,9)</f>
        <v>0.677698976</v>
      </c>
      <c r="AQ923" s="2" t="n">
        <f aca="false">ROUND(AD923-AJ923,9)</f>
        <v>0.979511426</v>
      </c>
    </row>
    <row r="924" customFormat="false" ht="15" hidden="false" customHeight="false" outlineLevel="0" collapsed="false">
      <c r="A924" s="2" t="n">
        <v>923</v>
      </c>
      <c r="B924" s="6" t="n">
        <v>24</v>
      </c>
      <c r="C924" s="6" t="n">
        <v>27</v>
      </c>
      <c r="D924" s="8" t="str">
        <f aca="false">INDEX(Bases!$B$2:$B$53,B924)</f>
        <v>Koffing</v>
      </c>
      <c r="E924" s="8" t="str">
        <f aca="false">INDEX(Bases!$B$2:$B$53,C924)</f>
        <v>Baltoy</v>
      </c>
      <c r="F924" s="2" t="str">
        <f aca="false">LEFT(D924,ROUNDUP(LEN(D924)/2,0))&amp;LOWER(MID(E924,ROUNDUP(LEN(E924)/2,0)+1,20))</f>
        <v>Kofftoy</v>
      </c>
      <c r="G924" s="8" t="str">
        <f aca="false">INDEX(Bases!$C$2:$C$53,B924)</f>
        <v>Poison</v>
      </c>
      <c r="H924" s="8" t="str">
        <f aca="false">IF(INDEX(Bases!$C$2:$C$53,C924)=G924,"",INDEX(Bases!$C$2:$C$53,C924))</f>
        <v>Ground</v>
      </c>
      <c r="I924" s="8" t="str">
        <f aca="false">IF(INDEX(Bases!$E$2:$E$53,B924)="","",INDEX(Bases!$E$2:$E$53,B924))</f>
        <v/>
      </c>
      <c r="J924" s="8" t="str">
        <f aca="false">IF(INDEX(Bases!$E$2:$E$53,C924)="","",INDEX(Bases!$E$2:$E$53,C924))</f>
        <v/>
      </c>
      <c r="K924" s="5"/>
      <c r="L924" s="2" t="n">
        <f aca="false">AE924+IF(SUMPRODUCT(--($AL924:$AQ924&gt;AL924))&lt;$AK924,1,0)</f>
        <v>61</v>
      </c>
      <c r="M924" s="2" t="n">
        <f aca="false">AF924+IF(SUMPRODUCT(--($AL924:$AQ924&gt;AM924))+SUMPRODUCT(--($AL924:AL924=AM924))&lt;$AK924,1,0)</f>
        <v>81</v>
      </c>
      <c r="N924" s="2" t="n">
        <f aca="false">AG924+IF(SUMPRODUCT(--($AL924:$AQ924&gt;AN924))+SUMPRODUCT(--($AL924:AM924=AN924))&lt;$AK924,1,0)</f>
        <v>116</v>
      </c>
      <c r="O924" s="2" t="n">
        <f aca="false">AH924+IF(SUMPRODUCT(--($AL924:$AQ924&gt;AO924))+SUMPRODUCT(--($AL924:AN924=AO924))&lt;$AK924,1,0)</f>
        <v>76</v>
      </c>
      <c r="P924" s="2" t="n">
        <f aca="false">AI924+IF(SUMPRODUCT(--($AL924:$AQ924&gt;AP924))+SUMPRODUCT(--($AL924:AO924=AP924))&lt;$AK924,1,0)</f>
        <v>93</v>
      </c>
      <c r="Q924" s="2" t="n">
        <f aca="false">AJ924+IF(SUMPRODUCT(--($AL924:$AQ924&gt;AQ924))+SUMPRODUCT(--($AL924:AP924=AQ924))&lt;$AK924,1,0)</f>
        <v>73</v>
      </c>
      <c r="R924" s="2" t="n">
        <f aca="false">SUM(L924:Q924)</f>
        <v>500</v>
      </c>
      <c r="S924" s="2" t="n">
        <f aca="false">Settings!$B$4*MAX(INDEX(Bases!$M$2:$M$53,B924),INDEX(Bases!$M$2:$M$53,C924))+Settings!$B$5*MIN(INDEX(Bases!$M$2:$M$53,B924),INDEX(Bases!$M$2:$M$53,C924))</f>
        <v>51.6666666666667</v>
      </c>
      <c r="T924" s="2" t="n">
        <f aca="false">Settings!$B$4*MAX(INDEX(Bases!$N$2:$N$53,B924),INDEX(Bases!$N$2:$N$53,C924))+Settings!$B$5*MIN(INDEX(Bases!$N$2:$N$53,B924),INDEX(Bases!$N$2:$N$53,C924))</f>
        <v>68.6666666666667</v>
      </c>
      <c r="U924" s="2" t="n">
        <f aca="false">Settings!$B$4*MAX(INDEX(Bases!$O$2:$O$53,B924),INDEX(Bases!$O$2:$O$53,C924))+Settings!$B$5*MIN(INDEX(Bases!$O$2:$O$53,B924),INDEX(Bases!$O$2:$O$53,C924))</f>
        <v>99</v>
      </c>
      <c r="V924" s="2" t="n">
        <f aca="false">Settings!$B$4*MAX(INDEX(Bases!$P$2:$P$53,B924),INDEX(Bases!$P$2:$P$53,C924))+Settings!$B$5*MIN(INDEX(Bases!$P$2:$P$53,B924),INDEX(Bases!$P$2:$P$53,C924))</f>
        <v>65</v>
      </c>
      <c r="W924" s="2" t="n">
        <f aca="false">Settings!$B$4*MAX(INDEX(Bases!$Q$2:$Q$53,B924),INDEX(Bases!$Q$2:$Q$53,C924))+Settings!$B$5*MIN(INDEX(Bases!$Q$2:$Q$53,B924),INDEX(Bases!$Q$2:$Q$53,C924))</f>
        <v>79.6666666666667</v>
      </c>
      <c r="X924" s="2" t="n">
        <f aca="false">Settings!$B$4*MAX(INDEX(Bases!$R$2:$R$53,B924),INDEX(Bases!$R$2:$R$53,C924))+Settings!$B$5*MIN(INDEX(Bases!$R$2:$R$53,B924),INDEX(Bases!$R$2:$R$53,C924))</f>
        <v>62.3333333333333</v>
      </c>
      <c r="Y924" s="2" t="n">
        <f aca="false">S924*Settings!$B$3/SUM(S924:X924)</f>
        <v>60.5942142298671</v>
      </c>
      <c r="Z924" s="2" t="n">
        <f aca="false">T924*Settings!$B$3/SUM(S924:X924)</f>
        <v>80.5316653635653</v>
      </c>
      <c r="AA924" s="2" t="n">
        <f aca="false">U924*Settings!$B$3/SUM(S924:X924)</f>
        <v>116.106333072713</v>
      </c>
      <c r="AB924" s="2" t="n">
        <f aca="false">V924*Settings!$B$3/SUM(S924:X924)</f>
        <v>76.2314308053167</v>
      </c>
      <c r="AC924" s="2" t="n">
        <f aca="false">W924*Settings!$B$3/SUM(S924:X924)</f>
        <v>93.4323690383112</v>
      </c>
      <c r="AD924" s="2" t="n">
        <f aca="false">X924*Settings!$B$3/SUM(S924:X924)</f>
        <v>73.1039874902267</v>
      </c>
      <c r="AE924" s="2" t="n">
        <f aca="false">INT(Y924)</f>
        <v>60</v>
      </c>
      <c r="AF924" s="2" t="n">
        <f aca="false">INT(Z924)</f>
        <v>80</v>
      </c>
      <c r="AG924" s="2" t="n">
        <f aca="false">INT(AA924)</f>
        <v>116</v>
      </c>
      <c r="AH924" s="2" t="n">
        <f aca="false">INT(AB924)</f>
        <v>76</v>
      </c>
      <c r="AI924" s="2" t="n">
        <f aca="false">INT(AC924)</f>
        <v>93</v>
      </c>
      <c r="AJ924" s="2" t="n">
        <f aca="false">INT(AD924)</f>
        <v>73</v>
      </c>
      <c r="AK924" s="2" t="n">
        <f aca="false">Settings!$B$3-SUM(AE924:AJ924)</f>
        <v>2</v>
      </c>
      <c r="AL924" s="2" t="n">
        <f aca="false">ROUND(Y924-AE924,9)</f>
        <v>0.59421423</v>
      </c>
      <c r="AM924" s="2" t="n">
        <f aca="false">ROUND(Z924-AF924,9)</f>
        <v>0.531665364</v>
      </c>
      <c r="AN924" s="2" t="n">
        <f aca="false">ROUND(AA924-AG924,9)</f>
        <v>0.106333073</v>
      </c>
      <c r="AO924" s="2" t="n">
        <f aca="false">ROUND(AB924-AH924,9)</f>
        <v>0.231430805</v>
      </c>
      <c r="AP924" s="2" t="n">
        <f aca="false">ROUND(AC924-AI924,9)</f>
        <v>0.432369038</v>
      </c>
      <c r="AQ924" s="2" t="n">
        <f aca="false">ROUND(AD924-AJ924,9)</f>
        <v>0.10398749</v>
      </c>
    </row>
    <row r="925" customFormat="false" ht="15" hidden="false" customHeight="false" outlineLevel="0" collapsed="false">
      <c r="A925" s="2" t="n">
        <v>924</v>
      </c>
      <c r="B925" s="6" t="n">
        <v>24</v>
      </c>
      <c r="C925" s="6" t="n">
        <v>28</v>
      </c>
      <c r="D925" s="8" t="str">
        <f aca="false">INDEX(Bases!$B$2:$B$53,B925)</f>
        <v>Koffing</v>
      </c>
      <c r="E925" s="8" t="str">
        <f aca="false">INDEX(Bases!$B$2:$B$53,C925)</f>
        <v>Zubat</v>
      </c>
      <c r="F925" s="2" t="str">
        <f aca="false">LEFT(D925,ROUNDUP(LEN(D925)/2,0))&amp;LOWER(MID(E925,ROUNDUP(LEN(E925)/2,0)+1,20))</f>
        <v>Koffat</v>
      </c>
      <c r="G925" s="8" t="str">
        <f aca="false">INDEX(Bases!$C$2:$C$53,B925)</f>
        <v>Poison</v>
      </c>
      <c r="H925" s="8" t="str">
        <f aca="false">IF(INDEX(Bases!$C$2:$C$53,C925)=G925,"",INDEX(Bases!$C$2:$C$53,C925))</f>
        <v>Flying</v>
      </c>
      <c r="I925" s="8" t="str">
        <f aca="false">IF(INDEX(Bases!$E$2:$E$53,B925)="","",INDEX(Bases!$E$2:$E$53,B925))</f>
        <v/>
      </c>
      <c r="J925" s="8" t="str">
        <f aca="false">IF(INDEX(Bases!$E$2:$E$53,C925)="","",INDEX(Bases!$E$2:$E$53,C925))</f>
        <v/>
      </c>
      <c r="K925" s="5"/>
      <c r="L925" s="2" t="n">
        <f aca="false">AE925+IF(SUMPRODUCT(--($AL925:$AQ925&gt;AL925))&lt;$AK925,1,0)</f>
        <v>69</v>
      </c>
      <c r="M925" s="2" t="n">
        <f aca="false">AF925+IF(SUMPRODUCT(--($AL925:$AQ925&gt;AM925))+SUMPRODUCT(--($AL925:AL925=AM925))&lt;$AK925,1,0)</f>
        <v>88</v>
      </c>
      <c r="N925" s="2" t="n">
        <f aca="false">AG925+IF(SUMPRODUCT(--($AL925:$AQ925&gt;AN925))+SUMPRODUCT(--($AL925:AM925=AN925))&lt;$AK925,1,0)</f>
        <v>110</v>
      </c>
      <c r="O925" s="2" t="n">
        <f aca="false">AH925+IF(SUMPRODUCT(--($AL925:$AQ925&gt;AO925))+SUMPRODUCT(--($AL925:AN925=AO925))&lt;$AK925,1,0)</f>
        <v>75</v>
      </c>
      <c r="P925" s="2" t="n">
        <f aca="false">AI925+IF(SUMPRODUCT(--($AL925:$AQ925&gt;AP925))+SUMPRODUCT(--($AL925:AO925=AP925))&lt;$AK925,1,0)</f>
        <v>72</v>
      </c>
      <c r="Q925" s="2" t="n">
        <f aca="false">AJ925+IF(SUMPRODUCT(--($AL925:$AQ925&gt;AQ925))+SUMPRODUCT(--($AL925:AP925=AQ925))&lt;$AK925,1,0)</f>
        <v>86</v>
      </c>
      <c r="R925" s="2" t="n">
        <f aca="false">SUM(L925:Q925)</f>
        <v>500</v>
      </c>
      <c r="S925" s="2" t="n">
        <f aca="false">Settings!$B$4*MAX(INDEX(Bases!$M$2:$M$53,B925),INDEX(Bases!$M$2:$M$53,C925))+Settings!$B$5*MIN(INDEX(Bases!$M$2:$M$53,B925),INDEX(Bases!$M$2:$M$53,C925))</f>
        <v>59</v>
      </c>
      <c r="T925" s="2" t="n">
        <f aca="false">Settings!$B$4*MAX(INDEX(Bases!$N$2:$N$53,B925),INDEX(Bases!$N$2:$N$53,C925))+Settings!$B$5*MIN(INDEX(Bases!$N$2:$N$53,B925),INDEX(Bases!$N$2:$N$53,C925))</f>
        <v>75.3333333333333</v>
      </c>
      <c r="U925" s="2" t="n">
        <f aca="false">Settings!$B$4*MAX(INDEX(Bases!$O$2:$O$53,B925),INDEX(Bases!$O$2:$O$53,C925))+Settings!$B$5*MIN(INDEX(Bases!$O$2:$O$53,B925),INDEX(Bases!$O$2:$O$53,C925))</f>
        <v>93.6666666666667</v>
      </c>
      <c r="V925" s="2" t="n">
        <f aca="false">Settings!$B$4*MAX(INDEX(Bases!$P$2:$P$53,B925),INDEX(Bases!$P$2:$P$53,C925))+Settings!$B$5*MIN(INDEX(Bases!$P$2:$P$53,B925),INDEX(Bases!$P$2:$P$53,C925))</f>
        <v>63.6666666666667</v>
      </c>
      <c r="W925" s="2" t="n">
        <f aca="false">Settings!$B$4*MAX(INDEX(Bases!$Q$2:$Q$53,B925),INDEX(Bases!$Q$2:$Q$53,C925))+Settings!$B$5*MIN(INDEX(Bases!$Q$2:$Q$53,B925),INDEX(Bases!$Q$2:$Q$53,C925))</f>
        <v>61</v>
      </c>
      <c r="X925" s="2" t="n">
        <f aca="false">Settings!$B$4*MAX(INDEX(Bases!$R$2:$R$53,B925),INDEX(Bases!$R$2:$R$53,C925))+Settings!$B$5*MIN(INDEX(Bases!$R$2:$R$53,B925),INDEX(Bases!$R$2:$R$53,C925))</f>
        <v>73.6666666666667</v>
      </c>
      <c r="Y925" s="2" t="n">
        <f aca="false">S925*Settings!$B$3/SUM(S925:X925)</f>
        <v>69.1946833463644</v>
      </c>
      <c r="Z925" s="2" t="n">
        <f aca="false">T925*Settings!$B$3/SUM(S925:X925)</f>
        <v>88.3502736512901</v>
      </c>
      <c r="AA925" s="2" t="n">
        <f aca="false">U925*Settings!$B$3/SUM(S925:X925)</f>
        <v>109.851446442533</v>
      </c>
      <c r="AB925" s="2" t="n">
        <f aca="false">V925*Settings!$B$3/SUM(S925:X925)</f>
        <v>74.6677091477717</v>
      </c>
      <c r="AC925" s="2" t="n">
        <f aca="false">W925*Settings!$B$3/SUM(S925:X925)</f>
        <v>71.5402658326818</v>
      </c>
      <c r="AD925" s="2" t="n">
        <f aca="false">X925*Settings!$B$3/SUM(S925:X925)</f>
        <v>86.3956215793589</v>
      </c>
      <c r="AE925" s="2" t="n">
        <f aca="false">INT(Y925)</f>
        <v>69</v>
      </c>
      <c r="AF925" s="2" t="n">
        <f aca="false">INT(Z925)</f>
        <v>88</v>
      </c>
      <c r="AG925" s="2" t="n">
        <f aca="false">INT(AA925)</f>
        <v>109</v>
      </c>
      <c r="AH925" s="2" t="n">
        <f aca="false">INT(AB925)</f>
        <v>74</v>
      </c>
      <c r="AI925" s="2" t="n">
        <f aca="false">INT(AC925)</f>
        <v>71</v>
      </c>
      <c r="AJ925" s="2" t="n">
        <f aca="false">INT(AD925)</f>
        <v>86</v>
      </c>
      <c r="AK925" s="2" t="n">
        <f aca="false">Settings!$B$3-SUM(AE925:AJ925)</f>
        <v>3</v>
      </c>
      <c r="AL925" s="2" t="n">
        <f aca="false">ROUND(Y925-AE925,9)</f>
        <v>0.194683346</v>
      </c>
      <c r="AM925" s="2" t="n">
        <f aca="false">ROUND(Z925-AF925,9)</f>
        <v>0.350273651</v>
      </c>
      <c r="AN925" s="2" t="n">
        <f aca="false">ROUND(AA925-AG925,9)</f>
        <v>0.851446443</v>
      </c>
      <c r="AO925" s="2" t="n">
        <f aca="false">ROUND(AB925-AH925,9)</f>
        <v>0.667709148</v>
      </c>
      <c r="AP925" s="2" t="n">
        <f aca="false">ROUND(AC925-AI925,9)</f>
        <v>0.540265833</v>
      </c>
      <c r="AQ925" s="2" t="n">
        <f aca="false">ROUND(AD925-AJ925,9)</f>
        <v>0.395621579</v>
      </c>
    </row>
    <row r="926" customFormat="false" ht="15" hidden="false" customHeight="false" outlineLevel="0" collapsed="false">
      <c r="A926" s="2" t="n">
        <v>925</v>
      </c>
      <c r="B926" s="6" t="n">
        <v>24</v>
      </c>
      <c r="C926" s="6" t="n">
        <v>29</v>
      </c>
      <c r="D926" s="8" t="str">
        <f aca="false">INDEX(Bases!$B$2:$B$53,B926)</f>
        <v>Koffing</v>
      </c>
      <c r="E926" s="8" t="str">
        <f aca="false">INDEX(Bases!$B$2:$B$53,C926)</f>
        <v>Murkrow</v>
      </c>
      <c r="F926" s="2" t="str">
        <f aca="false">LEFT(D926,ROUNDUP(LEN(D926)/2,0))&amp;LOWER(MID(E926,ROUNDUP(LEN(E926)/2,0)+1,20))</f>
        <v>Koffrow</v>
      </c>
      <c r="G926" s="8" t="str">
        <f aca="false">INDEX(Bases!$C$2:$C$53,B926)</f>
        <v>Poison</v>
      </c>
      <c r="H926" s="8" t="str">
        <f aca="false">IF(INDEX(Bases!$C$2:$C$53,C926)=G926,"",INDEX(Bases!$C$2:$C$53,C926))</f>
        <v>Flying</v>
      </c>
      <c r="I926" s="8" t="str">
        <f aca="false">IF(INDEX(Bases!$E$2:$E$53,B926)="","",INDEX(Bases!$E$2:$E$53,B926))</f>
        <v/>
      </c>
      <c r="J926" s="8" t="str">
        <f aca="false">IF(INDEX(Bases!$E$2:$E$53,C926)="","",INDEX(Bases!$E$2:$E$53,C926))</f>
        <v/>
      </c>
      <c r="K926" s="5"/>
      <c r="L926" s="2" t="n">
        <f aca="false">AE926+IF(SUMPRODUCT(--($AL926:$AQ926&gt;AL926))&lt;$AK926,1,0)</f>
        <v>65</v>
      </c>
      <c r="M926" s="2" t="n">
        <f aca="false">AF926+IF(SUMPRODUCT(--($AL926:$AQ926&gt;AM926))+SUMPRODUCT(--($AL926:AL926=AM926))&lt;$AK926,1,0)</f>
        <v>95</v>
      </c>
      <c r="N926" s="2" t="n">
        <f aca="false">AG926+IF(SUMPRODUCT(--($AL926:$AQ926&gt;AN926))+SUMPRODUCT(--($AL926:AM926=AN926))&lt;$AK926,1,0)</f>
        <v>104</v>
      </c>
      <c r="O926" s="2" t="n">
        <f aca="false">AH926+IF(SUMPRODUCT(--($AL926:$AQ926&gt;AO926))+SUMPRODUCT(--($AL926:AN926=AO926))&lt;$AK926,1,0)</f>
        <v>93</v>
      </c>
      <c r="P926" s="2" t="n">
        <f aca="false">AI926+IF(SUMPRODUCT(--($AL926:$AQ926&gt;AP926))+SUMPRODUCT(--($AL926:AO926=AP926))&lt;$AK926,1,0)</f>
        <v>57</v>
      </c>
      <c r="Q926" s="2" t="n">
        <f aca="false">AJ926+IF(SUMPRODUCT(--($AL926:$AQ926&gt;AQ926))+SUMPRODUCT(--($AL926:AP926=AQ926))&lt;$AK926,1,0)</f>
        <v>86</v>
      </c>
      <c r="R926" s="2" t="n">
        <f aca="false">SUM(L926:Q926)</f>
        <v>500</v>
      </c>
      <c r="S926" s="2" t="n">
        <f aca="false">Settings!$B$4*MAX(INDEX(Bases!$M$2:$M$53,B926),INDEX(Bases!$M$2:$M$53,C926))+Settings!$B$5*MIN(INDEX(Bases!$M$2:$M$53,B926),INDEX(Bases!$M$2:$M$53,C926))</f>
        <v>55</v>
      </c>
      <c r="T926" s="2" t="n">
        <f aca="false">Settings!$B$4*MAX(INDEX(Bases!$N$2:$N$53,B926),INDEX(Bases!$N$2:$N$53,C926))+Settings!$B$5*MIN(INDEX(Bases!$N$2:$N$53,B926),INDEX(Bases!$N$2:$N$53,C926))</f>
        <v>81.3333333333333</v>
      </c>
      <c r="U926" s="2" t="n">
        <f aca="false">Settings!$B$4*MAX(INDEX(Bases!$O$2:$O$53,B926),INDEX(Bases!$O$2:$O$53,C926))+Settings!$B$5*MIN(INDEX(Bases!$O$2:$O$53,B926),INDEX(Bases!$O$2:$O$53,C926))</f>
        <v>88.6666666666667</v>
      </c>
      <c r="V926" s="2" t="n">
        <f aca="false">Settings!$B$4*MAX(INDEX(Bases!$P$2:$P$53,B926),INDEX(Bases!$P$2:$P$53,C926))+Settings!$B$5*MIN(INDEX(Bases!$P$2:$P$53,B926),INDEX(Bases!$P$2:$P$53,C926))</f>
        <v>79.6666666666667</v>
      </c>
      <c r="W926" s="2" t="n">
        <f aca="false">Settings!$B$4*MAX(INDEX(Bases!$Q$2:$Q$53,B926),INDEX(Bases!$Q$2:$Q$53,C926))+Settings!$B$5*MIN(INDEX(Bases!$Q$2:$Q$53,B926),INDEX(Bases!$Q$2:$Q$53,C926))</f>
        <v>49</v>
      </c>
      <c r="X926" s="2" t="n">
        <f aca="false">Settings!$B$4*MAX(INDEX(Bases!$R$2:$R$53,B926),INDEX(Bases!$R$2:$R$53,C926))+Settings!$B$5*MIN(INDEX(Bases!$R$2:$R$53,B926),INDEX(Bases!$R$2:$R$53,C926))</f>
        <v>73.6666666666667</v>
      </c>
      <c r="Y926" s="2" t="n">
        <f aca="false">S926*Settings!$B$3/SUM(S926:X926)</f>
        <v>64.3525741029641</v>
      </c>
      <c r="Z926" s="2" t="n">
        <f aca="false">T926*Settings!$B$3/SUM(S926:X926)</f>
        <v>95.1638065522621</v>
      </c>
      <c r="AA926" s="2" t="n">
        <f aca="false">U926*Settings!$B$3/SUM(S926:X926)</f>
        <v>103.744149765991</v>
      </c>
      <c r="AB926" s="2" t="n">
        <f aca="false">V926*Settings!$B$3/SUM(S926:X926)</f>
        <v>93.213728549142</v>
      </c>
      <c r="AC926" s="2" t="n">
        <f aca="false">W926*Settings!$B$3/SUM(S926:X926)</f>
        <v>57.3322932917317</v>
      </c>
      <c r="AD926" s="2" t="n">
        <f aca="false">X926*Settings!$B$3/SUM(S926:X926)</f>
        <v>86.1934477379095</v>
      </c>
      <c r="AE926" s="2" t="n">
        <f aca="false">INT(Y926)</f>
        <v>64</v>
      </c>
      <c r="AF926" s="2" t="n">
        <f aca="false">INT(Z926)</f>
        <v>95</v>
      </c>
      <c r="AG926" s="2" t="n">
        <f aca="false">INT(AA926)</f>
        <v>103</v>
      </c>
      <c r="AH926" s="2" t="n">
        <f aca="false">INT(AB926)</f>
        <v>93</v>
      </c>
      <c r="AI926" s="2" t="n">
        <f aca="false">INT(AC926)</f>
        <v>57</v>
      </c>
      <c r="AJ926" s="2" t="n">
        <f aca="false">INT(AD926)</f>
        <v>86</v>
      </c>
      <c r="AK926" s="2" t="n">
        <f aca="false">Settings!$B$3-SUM(AE926:AJ926)</f>
        <v>2</v>
      </c>
      <c r="AL926" s="2" t="n">
        <f aca="false">ROUND(Y926-AE926,9)</f>
        <v>0.352574103</v>
      </c>
      <c r="AM926" s="2" t="n">
        <f aca="false">ROUND(Z926-AF926,9)</f>
        <v>0.163806552</v>
      </c>
      <c r="AN926" s="2" t="n">
        <f aca="false">ROUND(AA926-AG926,9)</f>
        <v>0.744149766</v>
      </c>
      <c r="AO926" s="2" t="n">
        <f aca="false">ROUND(AB926-AH926,9)</f>
        <v>0.213728549</v>
      </c>
      <c r="AP926" s="2" t="n">
        <f aca="false">ROUND(AC926-AI926,9)</f>
        <v>0.332293292</v>
      </c>
      <c r="AQ926" s="2" t="n">
        <f aca="false">ROUND(AD926-AJ926,9)</f>
        <v>0.193447738</v>
      </c>
    </row>
    <row r="927" customFormat="false" ht="15" hidden="false" customHeight="false" outlineLevel="0" collapsed="false">
      <c r="A927" s="2" t="n">
        <v>926</v>
      </c>
      <c r="B927" s="6" t="n">
        <v>24</v>
      </c>
      <c r="C927" s="6" t="n">
        <v>30</v>
      </c>
      <c r="D927" s="8" t="str">
        <f aca="false">INDEX(Bases!$B$2:$B$53,B927)</f>
        <v>Koffing</v>
      </c>
      <c r="E927" s="8" t="str">
        <f aca="false">INDEX(Bases!$B$2:$B$53,C927)</f>
        <v>Swablu</v>
      </c>
      <c r="F927" s="2" t="str">
        <f aca="false">LEFT(D927,ROUNDUP(LEN(D927)/2,0))&amp;LOWER(MID(E927,ROUNDUP(LEN(E927)/2,0)+1,20))</f>
        <v>Koffblu</v>
      </c>
      <c r="G927" s="8" t="str">
        <f aca="false">INDEX(Bases!$C$2:$C$53,B927)</f>
        <v>Poison</v>
      </c>
      <c r="H927" s="8" t="str">
        <f aca="false">IF(INDEX(Bases!$C$2:$C$53,C927)=G927,"",INDEX(Bases!$C$2:$C$53,C927))</f>
        <v>Flying</v>
      </c>
      <c r="I927" s="8" t="str">
        <f aca="false">IF(INDEX(Bases!$E$2:$E$53,B927)="","",INDEX(Bases!$E$2:$E$53,B927))</f>
        <v/>
      </c>
      <c r="J927" s="8" t="str">
        <f aca="false">IF(INDEX(Bases!$E$2:$E$53,C927)="","",INDEX(Bases!$E$2:$E$53,C927))</f>
        <v/>
      </c>
      <c r="K927" s="5"/>
      <c r="L927" s="2" t="n">
        <f aca="false">AE927+IF(SUMPRODUCT(--($AL927:$AQ927&gt;AL927))&lt;$AK927,1,0)</f>
        <v>64</v>
      </c>
      <c r="M927" s="2" t="n">
        <f aca="false">AF927+IF(SUMPRODUCT(--($AL927:$AQ927&gt;AM927))+SUMPRODUCT(--($AL927:AL927=AM927))&lt;$AK927,1,0)</f>
        <v>80</v>
      </c>
      <c r="N927" s="2" t="n">
        <f aca="false">AG927+IF(SUMPRODUCT(--($AL927:$AQ927&gt;AN927))+SUMPRODUCT(--($AL927:AM927=AN927))&lt;$AK927,1,0)</f>
        <v>118</v>
      </c>
      <c r="O927" s="2" t="n">
        <f aca="false">AH927+IF(SUMPRODUCT(--($AL927:$AQ927&gt;AO927))+SUMPRODUCT(--($AL927:AN927=AO927))&lt;$AK927,1,0)</f>
        <v>76</v>
      </c>
      <c r="P927" s="2" t="n">
        <f aca="false">AI927+IF(SUMPRODUCT(--($AL927:$AQ927&gt;AP927))+SUMPRODUCT(--($AL927:AO927=AP927))&lt;$AK927,1,0)</f>
        <v>96</v>
      </c>
      <c r="Q927" s="2" t="n">
        <f aca="false">AJ927+IF(SUMPRODUCT(--($AL927:$AQ927&gt;AQ927))+SUMPRODUCT(--($AL927:AP927=AQ927))&lt;$AK927,1,0)</f>
        <v>66</v>
      </c>
      <c r="R927" s="2" t="n">
        <f aca="false">SUM(L927:Q927)</f>
        <v>500</v>
      </c>
      <c r="S927" s="2" t="n">
        <f aca="false">Settings!$B$4*MAX(INDEX(Bases!$M$2:$M$53,B927),INDEX(Bases!$M$2:$M$53,C927))+Settings!$B$5*MIN(INDEX(Bases!$M$2:$M$53,B927),INDEX(Bases!$M$2:$M$53,C927))</f>
        <v>54.3333333333333</v>
      </c>
      <c r="T927" s="2" t="n">
        <f aca="false">Settings!$B$4*MAX(INDEX(Bases!$N$2:$N$53,B927),INDEX(Bases!$N$2:$N$53,C927))+Settings!$B$5*MIN(INDEX(Bases!$N$2:$N$53,B927),INDEX(Bases!$N$2:$N$53,C927))</f>
        <v>68</v>
      </c>
      <c r="U927" s="2" t="n">
        <f aca="false">Settings!$B$4*MAX(INDEX(Bases!$O$2:$O$53,B927),INDEX(Bases!$O$2:$O$53,C927))+Settings!$B$5*MIN(INDEX(Bases!$O$2:$O$53,B927),INDEX(Bases!$O$2:$O$53,C927))</f>
        <v>100.333333333333</v>
      </c>
      <c r="V927" s="2" t="n">
        <f aca="false">Settings!$B$4*MAX(INDEX(Bases!$P$2:$P$53,B927),INDEX(Bases!$P$2:$P$53,C927))+Settings!$B$5*MIN(INDEX(Bases!$P$2:$P$53,B927),INDEX(Bases!$P$2:$P$53,C927))</f>
        <v>64.6666666666667</v>
      </c>
      <c r="W927" s="2" t="n">
        <f aca="false">Settings!$B$4*MAX(INDEX(Bases!$Q$2:$Q$53,B927),INDEX(Bases!$Q$2:$Q$53,C927))+Settings!$B$5*MIN(INDEX(Bases!$Q$2:$Q$53,B927),INDEX(Bases!$Q$2:$Q$53,C927))</f>
        <v>82.3333333333333</v>
      </c>
      <c r="X927" s="2" t="n">
        <f aca="false">Settings!$B$4*MAX(INDEX(Bases!$R$2:$R$53,B927),INDEX(Bases!$R$2:$R$53,C927))+Settings!$B$5*MIN(INDEX(Bases!$R$2:$R$53,B927),INDEX(Bases!$R$2:$R$53,C927))</f>
        <v>56.3333333333333</v>
      </c>
      <c r="Y927" s="2" t="n">
        <f aca="false">S927*Settings!$B$3/SUM(S927:X927)</f>
        <v>63.7715179968701</v>
      </c>
      <c r="Z927" s="2" t="n">
        <f aca="false">T927*Settings!$B$3/SUM(S927:X927)</f>
        <v>79.81220657277</v>
      </c>
      <c r="AA927" s="2" t="n">
        <f aca="false">U927*Settings!$B$3/SUM(S927:X927)</f>
        <v>117.762128325509</v>
      </c>
      <c r="AB927" s="2" t="n">
        <f aca="false">V927*Settings!$B$3/SUM(S927:X927)</f>
        <v>75.8998435054773</v>
      </c>
      <c r="AC927" s="2" t="n">
        <f aca="false">W927*Settings!$B$3/SUM(S927:X927)</f>
        <v>96.6353677621283</v>
      </c>
      <c r="AD927" s="2" t="n">
        <f aca="false">X927*Settings!$B$3/SUM(S927:X927)</f>
        <v>66.1189358372457</v>
      </c>
      <c r="AE927" s="2" t="n">
        <f aca="false">INT(Y927)</f>
        <v>63</v>
      </c>
      <c r="AF927" s="2" t="n">
        <f aca="false">INT(Z927)</f>
        <v>79</v>
      </c>
      <c r="AG927" s="2" t="n">
        <f aca="false">INT(AA927)</f>
        <v>117</v>
      </c>
      <c r="AH927" s="2" t="n">
        <f aca="false">INT(AB927)</f>
        <v>75</v>
      </c>
      <c r="AI927" s="2" t="n">
        <f aca="false">INT(AC927)</f>
        <v>96</v>
      </c>
      <c r="AJ927" s="2" t="n">
        <f aca="false">INT(AD927)</f>
        <v>66</v>
      </c>
      <c r="AK927" s="2" t="n">
        <f aca="false">Settings!$B$3-SUM(AE927:AJ927)</f>
        <v>4</v>
      </c>
      <c r="AL927" s="2" t="n">
        <f aca="false">ROUND(Y927-AE927,9)</f>
        <v>0.771517997</v>
      </c>
      <c r="AM927" s="2" t="n">
        <f aca="false">ROUND(Z927-AF927,9)</f>
        <v>0.812206573</v>
      </c>
      <c r="AN927" s="2" t="n">
        <f aca="false">ROUND(AA927-AG927,9)</f>
        <v>0.762128326</v>
      </c>
      <c r="AO927" s="2" t="n">
        <f aca="false">ROUND(AB927-AH927,9)</f>
        <v>0.899843505</v>
      </c>
      <c r="AP927" s="2" t="n">
        <f aca="false">ROUND(AC927-AI927,9)</f>
        <v>0.635367762</v>
      </c>
      <c r="AQ927" s="2" t="n">
        <f aca="false">ROUND(AD927-AJ927,9)</f>
        <v>0.118935837</v>
      </c>
    </row>
    <row r="928" customFormat="false" ht="15" hidden="false" customHeight="false" outlineLevel="0" collapsed="false">
      <c r="A928" s="2" t="n">
        <v>927</v>
      </c>
      <c r="B928" s="6" t="n">
        <v>24</v>
      </c>
      <c r="C928" s="6" t="n">
        <v>31</v>
      </c>
      <c r="D928" s="8" t="str">
        <f aca="false">INDEX(Bases!$B$2:$B$53,B928)</f>
        <v>Koffing</v>
      </c>
      <c r="E928" s="8" t="str">
        <f aca="false">INDEX(Bases!$B$2:$B$53,C928)</f>
        <v>Mew</v>
      </c>
      <c r="F928" s="2" t="str">
        <f aca="false">LEFT(D928,ROUNDUP(LEN(D928)/2,0))&amp;LOWER(MID(E928,ROUNDUP(LEN(E928)/2,0)+1,20))</f>
        <v>Koffw</v>
      </c>
      <c r="G928" s="8" t="str">
        <f aca="false">INDEX(Bases!$C$2:$C$53,B928)</f>
        <v>Poison</v>
      </c>
      <c r="H928" s="8" t="str">
        <f aca="false">IF(INDEX(Bases!$C$2:$C$53,C928)=G928,"",INDEX(Bases!$C$2:$C$53,C928))</f>
        <v>Psychic</v>
      </c>
      <c r="I928" s="8" t="str">
        <f aca="false">IF(INDEX(Bases!$E$2:$E$53,B928)="","",INDEX(Bases!$E$2:$E$53,B928))</f>
        <v/>
      </c>
      <c r="J928" s="8" t="str">
        <f aca="false">IF(INDEX(Bases!$E$2:$E$53,C928)="","",INDEX(Bases!$E$2:$E$53,C928))</f>
        <v/>
      </c>
      <c r="K928" s="5"/>
      <c r="L928" s="2" t="n">
        <f aca="false">AE928+IF(SUMPRODUCT(--($AL928:$AQ928&gt;AL928))&lt;$AK928,1,0)</f>
        <v>72</v>
      </c>
      <c r="M928" s="2" t="n">
        <f aca="false">AF928+IF(SUMPRODUCT(--($AL928:$AQ928&gt;AM928))+SUMPRODUCT(--($AL928:AL928=AM928))&lt;$AK928,1,0)</f>
        <v>87</v>
      </c>
      <c r="N928" s="2" t="n">
        <f aca="false">AG928+IF(SUMPRODUCT(--($AL928:$AQ928&gt;AN928))+SUMPRODUCT(--($AL928:AM928=AN928))&lt;$AK928,1,0)</f>
        <v>116</v>
      </c>
      <c r="O928" s="2" t="n">
        <f aca="false">AH928+IF(SUMPRODUCT(--($AL928:$AQ928&gt;AO928))+SUMPRODUCT(--($AL928:AN928=AO928))&lt;$AK928,1,0)</f>
        <v>83</v>
      </c>
      <c r="P928" s="2" t="n">
        <f aca="false">AI928+IF(SUMPRODUCT(--($AL928:$AQ928&gt;AP928))+SUMPRODUCT(--($AL928:AO928=AP928))&lt;$AK928,1,0)</f>
        <v>73</v>
      </c>
      <c r="Q928" s="2" t="n">
        <f aca="false">AJ928+IF(SUMPRODUCT(--($AL928:$AQ928&gt;AQ928))+SUMPRODUCT(--($AL928:AP928=AQ928))&lt;$AK928,1,0)</f>
        <v>69</v>
      </c>
      <c r="R928" s="2" t="n">
        <f aca="false">SUM(L928:Q928)</f>
        <v>500</v>
      </c>
      <c r="S928" s="2" t="n">
        <f aca="false">Settings!$B$4*MAX(INDEX(Bases!$M$2:$M$53,B928),INDEX(Bases!$M$2:$M$53,C928))+Settings!$B$5*MIN(INDEX(Bases!$M$2:$M$53,B928),INDEX(Bases!$M$2:$M$53,C928))</f>
        <v>60.3333333333333</v>
      </c>
      <c r="T928" s="2" t="n">
        <f aca="false">Settings!$B$4*MAX(INDEX(Bases!$N$2:$N$53,B928),INDEX(Bases!$N$2:$N$53,C928))+Settings!$B$5*MIN(INDEX(Bases!$N$2:$N$53,B928),INDEX(Bases!$N$2:$N$53,C928))</f>
        <v>73</v>
      </c>
      <c r="U928" s="2" t="n">
        <f aca="false">Settings!$B$4*MAX(INDEX(Bases!$O$2:$O$53,B928),INDEX(Bases!$O$2:$O$53,C928))+Settings!$B$5*MIN(INDEX(Bases!$O$2:$O$53,B928),INDEX(Bases!$O$2:$O$53,C928))</f>
        <v>97</v>
      </c>
      <c r="V928" s="2" t="n">
        <f aca="false">Settings!$B$4*MAX(INDEX(Bases!$P$2:$P$53,B928),INDEX(Bases!$P$2:$P$53,C928))+Settings!$B$5*MIN(INDEX(Bases!$P$2:$P$53,B928),INDEX(Bases!$P$2:$P$53,C928))</f>
        <v>69.6666666666667</v>
      </c>
      <c r="W928" s="2" t="n">
        <f aca="false">Settings!$B$4*MAX(INDEX(Bases!$Q$2:$Q$53,B928),INDEX(Bases!$Q$2:$Q$53,C928))+Settings!$B$5*MIN(INDEX(Bases!$Q$2:$Q$53,B928),INDEX(Bases!$Q$2:$Q$53,C928))</f>
        <v>61.6666666666667</v>
      </c>
      <c r="X928" s="2" t="n">
        <f aca="false">Settings!$B$4*MAX(INDEX(Bases!$R$2:$R$53,B928),INDEX(Bases!$R$2:$R$53,C928))+Settings!$B$5*MIN(INDEX(Bases!$R$2:$R$53,B928),INDEX(Bases!$R$2:$R$53,C928))</f>
        <v>57.6666666666667</v>
      </c>
      <c r="Y928" s="2" t="n">
        <f aca="false">S928*Settings!$B$3/SUM(S928:X928)</f>
        <v>71.939586645469</v>
      </c>
      <c r="Z928" s="2" t="n">
        <f aca="false">T928*Settings!$B$3/SUM(S928:X928)</f>
        <v>87.0429252782194</v>
      </c>
      <c r="AA928" s="2" t="n">
        <f aca="false">U928*Settings!$B$3/SUM(S928:X928)</f>
        <v>115.659777424483</v>
      </c>
      <c r="AB928" s="2" t="n">
        <f aca="false">V928*Settings!$B$3/SUM(S928:X928)</f>
        <v>83.0683624801272</v>
      </c>
      <c r="AC928" s="2" t="n">
        <f aca="false">W928*Settings!$B$3/SUM(S928:X928)</f>
        <v>73.5294117647059</v>
      </c>
      <c r="AD928" s="2" t="n">
        <f aca="false">X928*Settings!$B$3/SUM(S928:X928)</f>
        <v>68.7599364069952</v>
      </c>
      <c r="AE928" s="2" t="n">
        <f aca="false">INT(Y928)</f>
        <v>71</v>
      </c>
      <c r="AF928" s="2" t="n">
        <f aca="false">INT(Z928)</f>
        <v>87</v>
      </c>
      <c r="AG928" s="2" t="n">
        <f aca="false">INT(AA928)</f>
        <v>115</v>
      </c>
      <c r="AH928" s="2" t="n">
        <f aca="false">INT(AB928)</f>
        <v>83</v>
      </c>
      <c r="AI928" s="2" t="n">
        <f aca="false">INT(AC928)</f>
        <v>73</v>
      </c>
      <c r="AJ928" s="2" t="n">
        <f aca="false">INT(AD928)</f>
        <v>68</v>
      </c>
      <c r="AK928" s="2" t="n">
        <f aca="false">Settings!$B$3-SUM(AE928:AJ928)</f>
        <v>3</v>
      </c>
      <c r="AL928" s="2" t="n">
        <f aca="false">ROUND(Y928-AE928,9)</f>
        <v>0.939586645</v>
      </c>
      <c r="AM928" s="2" t="n">
        <f aca="false">ROUND(Z928-AF928,9)</f>
        <v>0.042925278</v>
      </c>
      <c r="AN928" s="2" t="n">
        <f aca="false">ROUND(AA928-AG928,9)</f>
        <v>0.659777424</v>
      </c>
      <c r="AO928" s="2" t="n">
        <f aca="false">ROUND(AB928-AH928,9)</f>
        <v>0.06836248</v>
      </c>
      <c r="AP928" s="2" t="n">
        <f aca="false">ROUND(AC928-AI928,9)</f>
        <v>0.529411765</v>
      </c>
      <c r="AQ928" s="2" t="n">
        <f aca="false">ROUND(AD928-AJ928,9)</f>
        <v>0.759936407</v>
      </c>
    </row>
    <row r="929" customFormat="false" ht="15" hidden="false" customHeight="false" outlineLevel="0" collapsed="false">
      <c r="A929" s="2" t="n">
        <v>928</v>
      </c>
      <c r="B929" s="6" t="n">
        <v>24</v>
      </c>
      <c r="C929" s="6" t="n">
        <v>32</v>
      </c>
      <c r="D929" s="8" t="str">
        <f aca="false">INDEX(Bases!$B$2:$B$53,B929)</f>
        <v>Koffing</v>
      </c>
      <c r="E929" s="8" t="str">
        <f aca="false">INDEX(Bases!$B$2:$B$53,C929)</f>
        <v>Spoink</v>
      </c>
      <c r="F929" s="2" t="str">
        <f aca="false">LEFT(D929,ROUNDUP(LEN(D929)/2,0))&amp;LOWER(MID(E929,ROUNDUP(LEN(E929)/2,0)+1,20))</f>
        <v>Koffink</v>
      </c>
      <c r="G929" s="8" t="str">
        <f aca="false">INDEX(Bases!$C$2:$C$53,B929)</f>
        <v>Poison</v>
      </c>
      <c r="H929" s="8" t="str">
        <f aca="false">IF(INDEX(Bases!$C$2:$C$53,C929)=G929,"",INDEX(Bases!$C$2:$C$53,C929))</f>
        <v>Psychic</v>
      </c>
      <c r="I929" s="8" t="str">
        <f aca="false">IF(INDEX(Bases!$E$2:$E$53,B929)="","",INDEX(Bases!$E$2:$E$53,B929))</f>
        <v/>
      </c>
      <c r="J929" s="8" t="str">
        <f aca="false">IF(INDEX(Bases!$E$2:$E$53,C929)="","",INDEX(Bases!$E$2:$E$53,C929))</f>
        <v/>
      </c>
      <c r="K929" s="5"/>
      <c r="L929" s="2" t="n">
        <f aca="false">AE929+IF(SUMPRODUCT(--($AL929:$AQ929&gt;AL929))&lt;$AK929,1,0)</f>
        <v>73</v>
      </c>
      <c r="M929" s="2" t="n">
        <f aca="false">AF929+IF(SUMPRODUCT(--($AL929:$AQ929&gt;AM929))+SUMPRODUCT(--($AL929:AL929=AM929))&lt;$AK929,1,0)</f>
        <v>69</v>
      </c>
      <c r="N929" s="2" t="n">
        <f aca="false">AG929+IF(SUMPRODUCT(--($AL929:$AQ929&gt;AN929))+SUMPRODUCT(--($AL929:AM929=AN929))&lt;$AK929,1,0)</f>
        <v>101</v>
      </c>
      <c r="O929" s="2" t="n">
        <f aca="false">AH929+IF(SUMPRODUCT(--($AL929:$AQ929&gt;AO929))+SUMPRODUCT(--($AL929:AN929=AO929))&lt;$AK929,1,0)</f>
        <v>92</v>
      </c>
      <c r="P929" s="2" t="n">
        <f aca="false">AI929+IF(SUMPRODUCT(--($AL929:$AQ929&gt;AP929))+SUMPRODUCT(--($AL929:AO929=AP929))&lt;$AK929,1,0)</f>
        <v>94</v>
      </c>
      <c r="Q929" s="2" t="n">
        <f aca="false">AJ929+IF(SUMPRODUCT(--($AL929:$AQ929&gt;AQ929))+SUMPRODUCT(--($AL929:AP929=AQ929))&lt;$AK929,1,0)</f>
        <v>71</v>
      </c>
      <c r="R929" s="2" t="n">
        <f aca="false">SUM(L929:Q929)</f>
        <v>500</v>
      </c>
      <c r="S929" s="2" t="n">
        <f aca="false">Settings!$B$4*MAX(INDEX(Bases!$M$2:$M$53,B929),INDEX(Bases!$M$2:$M$53,C929))+Settings!$B$5*MIN(INDEX(Bases!$M$2:$M$53,B929),INDEX(Bases!$M$2:$M$53,C929))</f>
        <v>64.3333333333333</v>
      </c>
      <c r="T929" s="2" t="n">
        <f aca="false">Settings!$B$4*MAX(INDEX(Bases!$N$2:$N$53,B929),INDEX(Bases!$N$2:$N$53,C929))+Settings!$B$5*MIN(INDEX(Bases!$N$2:$N$53,B929),INDEX(Bases!$N$2:$N$53,C929))</f>
        <v>60.6666666666667</v>
      </c>
      <c r="U929" s="2" t="n">
        <f aca="false">Settings!$B$4*MAX(INDEX(Bases!$O$2:$O$53,B929),INDEX(Bases!$O$2:$O$53,C929))+Settings!$B$5*MIN(INDEX(Bases!$O$2:$O$53,B929),INDEX(Bases!$O$2:$O$53,C929))</f>
        <v>88.6666666666667</v>
      </c>
      <c r="V929" s="2" t="n">
        <f aca="false">Settings!$B$4*MAX(INDEX(Bases!$P$2:$P$53,B929),INDEX(Bases!$P$2:$P$53,C929))+Settings!$B$5*MIN(INDEX(Bases!$P$2:$P$53,B929),INDEX(Bases!$P$2:$P$53,C929))</f>
        <v>80.3333333333333</v>
      </c>
      <c r="W929" s="2" t="n">
        <f aca="false">Settings!$B$4*MAX(INDEX(Bases!$Q$2:$Q$53,B929),INDEX(Bases!$Q$2:$Q$53,C929))+Settings!$B$5*MIN(INDEX(Bases!$Q$2:$Q$53,B929),INDEX(Bases!$Q$2:$Q$53,C929))</f>
        <v>82.3333333333333</v>
      </c>
      <c r="X929" s="2" t="n">
        <f aca="false">Settings!$B$4*MAX(INDEX(Bases!$R$2:$R$53,B929),INDEX(Bases!$R$2:$R$53,C929))+Settings!$B$5*MIN(INDEX(Bases!$R$2:$R$53,B929),INDEX(Bases!$R$2:$R$53,C929))</f>
        <v>62.3333333333333</v>
      </c>
      <c r="Y929" s="2" t="n">
        <f aca="false">S929*Settings!$B$3/SUM(S929:X929)</f>
        <v>73.3282674772037</v>
      </c>
      <c r="Z929" s="2" t="n">
        <f aca="false">T929*Settings!$B$3/SUM(S929:X929)</f>
        <v>69.1489361702128</v>
      </c>
      <c r="AA929" s="2" t="n">
        <f aca="false">U929*Settings!$B$3/SUM(S929:X929)</f>
        <v>101.063829787234</v>
      </c>
      <c r="AB929" s="2" t="n">
        <f aca="false">V929*Settings!$B$3/SUM(S929:X929)</f>
        <v>91.5653495440729</v>
      </c>
      <c r="AC929" s="2" t="n">
        <f aca="false">W929*Settings!$B$3/SUM(S929:X929)</f>
        <v>93.8449848024316</v>
      </c>
      <c r="AD929" s="2" t="n">
        <f aca="false">X929*Settings!$B$3/SUM(S929:X929)</f>
        <v>71.048632218845</v>
      </c>
      <c r="AE929" s="2" t="n">
        <f aca="false">INT(Y929)</f>
        <v>73</v>
      </c>
      <c r="AF929" s="2" t="n">
        <f aca="false">INT(Z929)</f>
        <v>69</v>
      </c>
      <c r="AG929" s="2" t="n">
        <f aca="false">INT(AA929)</f>
        <v>101</v>
      </c>
      <c r="AH929" s="2" t="n">
        <f aca="false">INT(AB929)</f>
        <v>91</v>
      </c>
      <c r="AI929" s="2" t="n">
        <f aca="false">INT(AC929)</f>
        <v>93</v>
      </c>
      <c r="AJ929" s="2" t="n">
        <f aca="false">INT(AD929)</f>
        <v>71</v>
      </c>
      <c r="AK929" s="2" t="n">
        <f aca="false">Settings!$B$3-SUM(AE929:AJ929)</f>
        <v>2</v>
      </c>
      <c r="AL929" s="2" t="n">
        <f aca="false">ROUND(Y929-AE929,9)</f>
        <v>0.328267477</v>
      </c>
      <c r="AM929" s="2" t="n">
        <f aca="false">ROUND(Z929-AF929,9)</f>
        <v>0.14893617</v>
      </c>
      <c r="AN929" s="2" t="n">
        <f aca="false">ROUND(AA929-AG929,9)</f>
        <v>0.063829787</v>
      </c>
      <c r="AO929" s="2" t="n">
        <f aca="false">ROUND(AB929-AH929,9)</f>
        <v>0.565349544</v>
      </c>
      <c r="AP929" s="2" t="n">
        <f aca="false">ROUND(AC929-AI929,9)</f>
        <v>0.844984802</v>
      </c>
      <c r="AQ929" s="2" t="n">
        <f aca="false">ROUND(AD929-AJ929,9)</f>
        <v>0.048632219</v>
      </c>
    </row>
    <row r="930" customFormat="false" ht="15" hidden="false" customHeight="false" outlineLevel="0" collapsed="false">
      <c r="A930" s="2" t="n">
        <v>929</v>
      </c>
      <c r="B930" s="6" t="n">
        <v>24</v>
      </c>
      <c r="C930" s="6" t="n">
        <v>33</v>
      </c>
      <c r="D930" s="8" t="str">
        <f aca="false">INDEX(Bases!$B$2:$B$53,B930)</f>
        <v>Koffing</v>
      </c>
      <c r="E930" s="8" t="str">
        <f aca="false">INDEX(Bases!$B$2:$B$53,C930)</f>
        <v>Jirachi</v>
      </c>
      <c r="F930" s="2" t="str">
        <f aca="false">LEFT(D930,ROUNDUP(LEN(D930)/2,0))&amp;LOWER(MID(E930,ROUNDUP(LEN(E930)/2,0)+1,20))</f>
        <v>Koffchi</v>
      </c>
      <c r="G930" s="8" t="str">
        <f aca="false">INDEX(Bases!$C$2:$C$53,B930)</f>
        <v>Poison</v>
      </c>
      <c r="H930" s="8" t="str">
        <f aca="false">IF(INDEX(Bases!$C$2:$C$53,C930)=G930,"",INDEX(Bases!$C$2:$C$53,C930))</f>
        <v>Psychic</v>
      </c>
      <c r="I930" s="8" t="str">
        <f aca="false">IF(INDEX(Bases!$E$2:$E$53,B930)="","",INDEX(Bases!$E$2:$E$53,B930))</f>
        <v/>
      </c>
      <c r="J930" s="8" t="str">
        <f aca="false">IF(INDEX(Bases!$E$2:$E$53,C930)="","",INDEX(Bases!$E$2:$E$53,C930))</f>
        <v/>
      </c>
      <c r="K930" s="5"/>
      <c r="L930" s="2" t="n">
        <f aca="false">AE930+IF(SUMPRODUCT(--($AL930:$AQ930&gt;AL930))&lt;$AK930,1,0)</f>
        <v>72</v>
      </c>
      <c r="M930" s="2" t="n">
        <f aca="false">AF930+IF(SUMPRODUCT(--($AL930:$AQ930&gt;AM930))+SUMPRODUCT(--($AL930:AL930=AM930))&lt;$AK930,1,0)</f>
        <v>87</v>
      </c>
      <c r="N930" s="2" t="n">
        <f aca="false">AG930+IF(SUMPRODUCT(--($AL930:$AQ930&gt;AN930))+SUMPRODUCT(--($AL930:AM930=AN930))&lt;$AK930,1,0)</f>
        <v>116</v>
      </c>
      <c r="O930" s="2" t="n">
        <f aca="false">AH930+IF(SUMPRODUCT(--($AL930:$AQ930&gt;AO930))+SUMPRODUCT(--($AL930:AN930=AO930))&lt;$AK930,1,0)</f>
        <v>83</v>
      </c>
      <c r="P930" s="2" t="n">
        <f aca="false">AI930+IF(SUMPRODUCT(--($AL930:$AQ930&gt;AP930))+SUMPRODUCT(--($AL930:AO930=AP930))&lt;$AK930,1,0)</f>
        <v>73</v>
      </c>
      <c r="Q930" s="2" t="n">
        <f aca="false">AJ930+IF(SUMPRODUCT(--($AL930:$AQ930&gt;AQ930))+SUMPRODUCT(--($AL930:AP930=AQ930))&lt;$AK930,1,0)</f>
        <v>69</v>
      </c>
      <c r="R930" s="2" t="n">
        <f aca="false">SUM(L930:Q930)</f>
        <v>500</v>
      </c>
      <c r="S930" s="2" t="n">
        <f aca="false">Settings!$B$4*MAX(INDEX(Bases!$M$2:$M$53,B930),INDEX(Bases!$M$2:$M$53,C930))+Settings!$B$5*MIN(INDEX(Bases!$M$2:$M$53,B930),INDEX(Bases!$M$2:$M$53,C930))</f>
        <v>60.3333333333333</v>
      </c>
      <c r="T930" s="2" t="n">
        <f aca="false">Settings!$B$4*MAX(INDEX(Bases!$N$2:$N$53,B930),INDEX(Bases!$N$2:$N$53,C930))+Settings!$B$5*MIN(INDEX(Bases!$N$2:$N$53,B930),INDEX(Bases!$N$2:$N$53,C930))</f>
        <v>73</v>
      </c>
      <c r="U930" s="2" t="n">
        <f aca="false">Settings!$B$4*MAX(INDEX(Bases!$O$2:$O$53,B930),INDEX(Bases!$O$2:$O$53,C930))+Settings!$B$5*MIN(INDEX(Bases!$O$2:$O$53,B930),INDEX(Bases!$O$2:$O$53,C930))</f>
        <v>97</v>
      </c>
      <c r="V930" s="2" t="n">
        <f aca="false">Settings!$B$4*MAX(INDEX(Bases!$P$2:$P$53,B930),INDEX(Bases!$P$2:$P$53,C930))+Settings!$B$5*MIN(INDEX(Bases!$P$2:$P$53,B930),INDEX(Bases!$P$2:$P$53,C930))</f>
        <v>69.6666666666667</v>
      </c>
      <c r="W930" s="2" t="n">
        <f aca="false">Settings!$B$4*MAX(INDEX(Bases!$Q$2:$Q$53,B930),INDEX(Bases!$Q$2:$Q$53,C930))+Settings!$B$5*MIN(INDEX(Bases!$Q$2:$Q$53,B930),INDEX(Bases!$Q$2:$Q$53,C930))</f>
        <v>61.6666666666667</v>
      </c>
      <c r="X930" s="2" t="n">
        <f aca="false">Settings!$B$4*MAX(INDEX(Bases!$R$2:$R$53,B930),INDEX(Bases!$R$2:$R$53,C930))+Settings!$B$5*MIN(INDEX(Bases!$R$2:$R$53,B930),INDEX(Bases!$R$2:$R$53,C930))</f>
        <v>57.6666666666667</v>
      </c>
      <c r="Y930" s="2" t="n">
        <f aca="false">S930*Settings!$B$3/SUM(S930:X930)</f>
        <v>71.939586645469</v>
      </c>
      <c r="Z930" s="2" t="n">
        <f aca="false">T930*Settings!$B$3/SUM(S930:X930)</f>
        <v>87.0429252782194</v>
      </c>
      <c r="AA930" s="2" t="n">
        <f aca="false">U930*Settings!$B$3/SUM(S930:X930)</f>
        <v>115.659777424483</v>
      </c>
      <c r="AB930" s="2" t="n">
        <f aca="false">V930*Settings!$B$3/SUM(S930:X930)</f>
        <v>83.0683624801272</v>
      </c>
      <c r="AC930" s="2" t="n">
        <f aca="false">W930*Settings!$B$3/SUM(S930:X930)</f>
        <v>73.5294117647059</v>
      </c>
      <c r="AD930" s="2" t="n">
        <f aca="false">X930*Settings!$B$3/SUM(S930:X930)</f>
        <v>68.7599364069952</v>
      </c>
      <c r="AE930" s="2" t="n">
        <f aca="false">INT(Y930)</f>
        <v>71</v>
      </c>
      <c r="AF930" s="2" t="n">
        <f aca="false">INT(Z930)</f>
        <v>87</v>
      </c>
      <c r="AG930" s="2" t="n">
        <f aca="false">INT(AA930)</f>
        <v>115</v>
      </c>
      <c r="AH930" s="2" t="n">
        <f aca="false">INT(AB930)</f>
        <v>83</v>
      </c>
      <c r="AI930" s="2" t="n">
        <f aca="false">INT(AC930)</f>
        <v>73</v>
      </c>
      <c r="AJ930" s="2" t="n">
        <f aca="false">INT(AD930)</f>
        <v>68</v>
      </c>
      <c r="AK930" s="2" t="n">
        <f aca="false">Settings!$B$3-SUM(AE930:AJ930)</f>
        <v>3</v>
      </c>
      <c r="AL930" s="2" t="n">
        <f aca="false">ROUND(Y930-AE930,9)</f>
        <v>0.939586645</v>
      </c>
      <c r="AM930" s="2" t="n">
        <f aca="false">ROUND(Z930-AF930,9)</f>
        <v>0.042925278</v>
      </c>
      <c r="AN930" s="2" t="n">
        <f aca="false">ROUND(AA930-AG930,9)</f>
        <v>0.659777424</v>
      </c>
      <c r="AO930" s="2" t="n">
        <f aca="false">ROUND(AB930-AH930,9)</f>
        <v>0.06836248</v>
      </c>
      <c r="AP930" s="2" t="n">
        <f aca="false">ROUND(AC930-AI930,9)</f>
        <v>0.529411765</v>
      </c>
      <c r="AQ930" s="2" t="n">
        <f aca="false">ROUND(AD930-AJ930,9)</f>
        <v>0.759936407</v>
      </c>
    </row>
    <row r="931" customFormat="false" ht="15" hidden="false" customHeight="false" outlineLevel="0" collapsed="false">
      <c r="A931" s="2" t="n">
        <v>930</v>
      </c>
      <c r="B931" s="6" t="n">
        <v>24</v>
      </c>
      <c r="C931" s="6" t="n">
        <v>34</v>
      </c>
      <c r="D931" s="8" t="str">
        <f aca="false">INDEX(Bases!$B$2:$B$53,B931)</f>
        <v>Koffing</v>
      </c>
      <c r="E931" s="8" t="str">
        <f aca="false">INDEX(Bases!$B$2:$B$53,C931)</f>
        <v>Paras</v>
      </c>
      <c r="F931" s="2" t="str">
        <f aca="false">LEFT(D931,ROUNDUP(LEN(D931)/2,0))&amp;LOWER(MID(E931,ROUNDUP(LEN(E931)/2,0)+1,20))</f>
        <v>Koffas</v>
      </c>
      <c r="G931" s="8" t="str">
        <f aca="false">INDEX(Bases!$C$2:$C$53,B931)</f>
        <v>Poison</v>
      </c>
      <c r="H931" s="8" t="str">
        <f aca="false">IF(INDEX(Bases!$C$2:$C$53,C931)=G931,"",INDEX(Bases!$C$2:$C$53,C931))</f>
        <v>Bug</v>
      </c>
      <c r="I931" s="8" t="str">
        <f aca="false">IF(INDEX(Bases!$E$2:$E$53,B931)="","",INDEX(Bases!$E$2:$E$53,B931))</f>
        <v/>
      </c>
      <c r="J931" s="8" t="str">
        <f aca="false">IF(INDEX(Bases!$E$2:$E$53,C931)="","",INDEX(Bases!$E$2:$E$53,C931))</f>
        <v/>
      </c>
      <c r="K931" s="5"/>
      <c r="L931" s="2" t="n">
        <f aca="false">AE931+IF(SUMPRODUCT(--($AL931:$AQ931&gt;AL931))&lt;$AK931,1,0)</f>
        <v>58</v>
      </c>
      <c r="M931" s="2" t="n">
        <f aca="false">AF931+IF(SUMPRODUCT(--($AL931:$AQ931&gt;AM931))+SUMPRODUCT(--($AL931:AL931=AM931))&lt;$AK931,1,0)</f>
        <v>110</v>
      </c>
      <c r="N931" s="2" t="n">
        <f aca="false">AG931+IF(SUMPRODUCT(--($AL931:$AQ931&gt;AN931))+SUMPRODUCT(--($AL931:AM931=AN931))&lt;$AK931,1,0)</f>
        <v>120</v>
      </c>
      <c r="O931" s="2" t="n">
        <f aca="false">AH931+IF(SUMPRODUCT(--($AL931:$AQ931&gt;AO931))+SUMPRODUCT(--($AL931:AN931=AO931))&lt;$AK931,1,0)</f>
        <v>82</v>
      </c>
      <c r="P931" s="2" t="n">
        <f aca="false">AI931+IF(SUMPRODUCT(--($AL931:$AQ931&gt;AP931))+SUMPRODUCT(--($AL931:AO931=AP931))&lt;$AK931,1,0)</f>
        <v>83</v>
      </c>
      <c r="Q931" s="2" t="n">
        <f aca="false">AJ931+IF(SUMPRODUCT(--($AL931:$AQ931&gt;AQ931))+SUMPRODUCT(--($AL931:AP931=AQ931))&lt;$AK931,1,0)</f>
        <v>47</v>
      </c>
      <c r="R931" s="2" t="n">
        <f aca="false">SUM(L931:Q931)</f>
        <v>500</v>
      </c>
      <c r="S931" s="2" t="n">
        <f aca="false">Settings!$B$4*MAX(INDEX(Bases!$M$2:$M$53,B931),INDEX(Bases!$M$2:$M$53,C931))+Settings!$B$5*MIN(INDEX(Bases!$M$2:$M$53,B931),INDEX(Bases!$M$2:$M$53,C931))</f>
        <v>48.3333333333333</v>
      </c>
      <c r="T931" s="2" t="n">
        <f aca="false">Settings!$B$4*MAX(INDEX(Bases!$N$2:$N$53,B931),INDEX(Bases!$N$2:$N$53,C931))+Settings!$B$5*MIN(INDEX(Bases!$N$2:$N$53,B931),INDEX(Bases!$N$2:$N$53,C931))</f>
        <v>91.3333333333333</v>
      </c>
      <c r="U931" s="2" t="n">
        <f aca="false">Settings!$B$4*MAX(INDEX(Bases!$O$2:$O$53,B931),INDEX(Bases!$O$2:$O$53,C931))+Settings!$B$5*MIN(INDEX(Bases!$O$2:$O$53,B931),INDEX(Bases!$O$2:$O$53,C931))</f>
        <v>100.333333333333</v>
      </c>
      <c r="V931" s="2" t="n">
        <f aca="false">Settings!$B$4*MAX(INDEX(Bases!$P$2:$P$53,B931),INDEX(Bases!$P$2:$P$53,C931))+Settings!$B$5*MIN(INDEX(Bases!$P$2:$P$53,B931),INDEX(Bases!$P$2:$P$53,C931))</f>
        <v>68.3333333333333</v>
      </c>
      <c r="W931" s="2" t="n">
        <f aca="false">Settings!$B$4*MAX(INDEX(Bases!$Q$2:$Q$53,B931),INDEX(Bases!$Q$2:$Q$53,C931))+Settings!$B$5*MIN(INDEX(Bases!$Q$2:$Q$53,B931),INDEX(Bases!$Q$2:$Q$53,C931))</f>
        <v>69</v>
      </c>
      <c r="X931" s="2" t="n">
        <f aca="false">Settings!$B$4*MAX(INDEX(Bases!$R$2:$R$53,B931),INDEX(Bases!$R$2:$R$53,C931))+Settings!$B$5*MIN(INDEX(Bases!$R$2:$R$53,B931),INDEX(Bases!$R$2:$R$53,C931))</f>
        <v>39</v>
      </c>
      <c r="Y931" s="2" t="n">
        <f aca="false">S931*Settings!$B$3/SUM(S931:X931)</f>
        <v>58.0464371497198</v>
      </c>
      <c r="Z931" s="2" t="n">
        <f aca="false">T931*Settings!$B$3/SUM(S931:X931)</f>
        <v>109.68775020016</v>
      </c>
      <c r="AA931" s="2" t="n">
        <f aca="false">U931*Settings!$B$3/SUM(S931:X931)</f>
        <v>120.496397117694</v>
      </c>
      <c r="AB931" s="2" t="n">
        <f aca="false">V931*Settings!$B$3/SUM(S931:X931)</f>
        <v>82.0656525220176</v>
      </c>
      <c r="AC931" s="2" t="n">
        <f aca="false">W931*Settings!$B$3/SUM(S931:X931)</f>
        <v>82.8662930344275</v>
      </c>
      <c r="AD931" s="2" t="n">
        <f aca="false">X931*Settings!$B$3/SUM(S931:X931)</f>
        <v>46.8374699759808</v>
      </c>
      <c r="AE931" s="2" t="n">
        <f aca="false">INT(Y931)</f>
        <v>58</v>
      </c>
      <c r="AF931" s="2" t="n">
        <f aca="false">INT(Z931)</f>
        <v>109</v>
      </c>
      <c r="AG931" s="2" t="n">
        <f aca="false">INT(AA931)</f>
        <v>120</v>
      </c>
      <c r="AH931" s="2" t="n">
        <f aca="false">INT(AB931)</f>
        <v>82</v>
      </c>
      <c r="AI931" s="2" t="n">
        <f aca="false">INT(AC931)</f>
        <v>82</v>
      </c>
      <c r="AJ931" s="2" t="n">
        <f aca="false">INT(AD931)</f>
        <v>46</v>
      </c>
      <c r="AK931" s="2" t="n">
        <f aca="false">Settings!$B$3-SUM(AE931:AJ931)</f>
        <v>3</v>
      </c>
      <c r="AL931" s="2" t="n">
        <f aca="false">ROUND(Y931-AE931,9)</f>
        <v>0.04643715</v>
      </c>
      <c r="AM931" s="2" t="n">
        <f aca="false">ROUND(Z931-AF931,9)</f>
        <v>0.6877502</v>
      </c>
      <c r="AN931" s="2" t="n">
        <f aca="false">ROUND(AA931-AG931,9)</f>
        <v>0.496397118</v>
      </c>
      <c r="AO931" s="2" t="n">
        <f aca="false">ROUND(AB931-AH931,9)</f>
        <v>0.065652522</v>
      </c>
      <c r="AP931" s="2" t="n">
        <f aca="false">ROUND(AC931-AI931,9)</f>
        <v>0.866293034</v>
      </c>
      <c r="AQ931" s="2" t="n">
        <f aca="false">ROUND(AD931-AJ931,9)</f>
        <v>0.837469976</v>
      </c>
    </row>
    <row r="932" customFormat="false" ht="15" hidden="false" customHeight="false" outlineLevel="0" collapsed="false">
      <c r="A932" s="2" t="n">
        <v>931</v>
      </c>
      <c r="B932" s="6" t="n">
        <v>24</v>
      </c>
      <c r="C932" s="6" t="n">
        <v>35</v>
      </c>
      <c r="D932" s="8" t="str">
        <f aca="false">INDEX(Bases!$B$2:$B$53,B932)</f>
        <v>Koffing</v>
      </c>
      <c r="E932" s="8" t="str">
        <f aca="false">INDEX(Bases!$B$2:$B$53,C932)</f>
        <v>Pineco</v>
      </c>
      <c r="F932" s="2" t="str">
        <f aca="false">LEFT(D932,ROUNDUP(LEN(D932)/2,0))&amp;LOWER(MID(E932,ROUNDUP(LEN(E932)/2,0)+1,20))</f>
        <v>Koffeco</v>
      </c>
      <c r="G932" s="8" t="str">
        <f aca="false">INDEX(Bases!$C$2:$C$53,B932)</f>
        <v>Poison</v>
      </c>
      <c r="H932" s="8" t="str">
        <f aca="false">IF(INDEX(Bases!$C$2:$C$53,C932)=G932,"",INDEX(Bases!$C$2:$C$53,C932))</f>
        <v>Bug</v>
      </c>
      <c r="I932" s="8" t="str">
        <f aca="false">IF(INDEX(Bases!$E$2:$E$53,B932)="","",INDEX(Bases!$E$2:$E$53,B932))</f>
        <v/>
      </c>
      <c r="J932" s="8" t="str">
        <f aca="false">IF(INDEX(Bases!$E$2:$E$53,C932)="","",INDEX(Bases!$E$2:$E$53,C932))</f>
        <v/>
      </c>
      <c r="K932" s="5"/>
      <c r="L932" s="2" t="n">
        <f aca="false">AE932+IF(SUMPRODUCT(--($AL932:$AQ932&gt;AL932))&lt;$AK932,1,0)</f>
        <v>74</v>
      </c>
      <c r="M932" s="2" t="n">
        <f aca="false">AF932+IF(SUMPRODUCT(--($AL932:$AQ932&gt;AM932))+SUMPRODUCT(--($AL932:AL932=AM932))&lt;$AK932,1,0)</f>
        <v>103</v>
      </c>
      <c r="N932" s="2" t="n">
        <f aca="false">AG932+IF(SUMPRODUCT(--($AL932:$AQ932&gt;AN932))+SUMPRODUCT(--($AL932:AM932=AN932))&lt;$AK932,1,0)</f>
        <v>144</v>
      </c>
      <c r="O932" s="2" t="n">
        <f aca="false">AH932+IF(SUMPRODUCT(--($AL932:$AQ932&gt;AO932))+SUMPRODUCT(--($AL932:AN932=AO932))&lt;$AK932,1,0)</f>
        <v>76</v>
      </c>
      <c r="P932" s="2" t="n">
        <f aca="false">AI932+IF(SUMPRODUCT(--($AL932:$AQ932&gt;AP932))+SUMPRODUCT(--($AL932:AO932=AP932))&lt;$AK932,1,0)</f>
        <v>62</v>
      </c>
      <c r="Q932" s="2" t="n">
        <f aca="false">AJ932+IF(SUMPRODUCT(--($AL932:$AQ932&gt;AQ932))+SUMPRODUCT(--($AL932:AP932=AQ932))&lt;$AK932,1,0)</f>
        <v>41</v>
      </c>
      <c r="R932" s="2" t="n">
        <f aca="false">SUM(L932:Q932)</f>
        <v>500</v>
      </c>
      <c r="S932" s="2" t="n">
        <f aca="false">Settings!$B$4*MAX(INDEX(Bases!$M$2:$M$53,B932),INDEX(Bases!$M$2:$M$53,C932))+Settings!$B$5*MIN(INDEX(Bases!$M$2:$M$53,B932),INDEX(Bases!$M$2:$M$53,C932))</f>
        <v>61.6666666666667</v>
      </c>
      <c r="T932" s="2" t="n">
        <f aca="false">Settings!$B$4*MAX(INDEX(Bases!$N$2:$N$53,B932),INDEX(Bases!$N$2:$N$53,C932))+Settings!$B$5*MIN(INDEX(Bases!$N$2:$N$53,B932),INDEX(Bases!$N$2:$N$53,C932))</f>
        <v>85.3333333333333</v>
      </c>
      <c r="U932" s="2" t="n">
        <f aca="false">Settings!$B$4*MAX(INDEX(Bases!$O$2:$O$53,B932),INDEX(Bases!$O$2:$O$53,C932))+Settings!$B$5*MIN(INDEX(Bases!$O$2:$O$53,B932),INDEX(Bases!$O$2:$O$53,C932))</f>
        <v>120</v>
      </c>
      <c r="V932" s="2" t="n">
        <f aca="false">Settings!$B$4*MAX(INDEX(Bases!$P$2:$P$53,B932),INDEX(Bases!$P$2:$P$53,C932))+Settings!$B$5*MIN(INDEX(Bases!$P$2:$P$53,B932),INDEX(Bases!$P$2:$P$53,C932))</f>
        <v>63.3333333333333</v>
      </c>
      <c r="W932" s="2" t="n">
        <f aca="false">Settings!$B$4*MAX(INDEX(Bases!$Q$2:$Q$53,B932),INDEX(Bases!$Q$2:$Q$53,C932))+Settings!$B$5*MIN(INDEX(Bases!$Q$2:$Q$53,B932),INDEX(Bases!$Q$2:$Q$53,C932))</f>
        <v>51.3333333333333</v>
      </c>
      <c r="X932" s="2" t="n">
        <f aca="false">Settings!$B$4*MAX(INDEX(Bases!$R$2:$R$53,B932),INDEX(Bases!$R$2:$R$53,C932))+Settings!$B$5*MIN(INDEX(Bases!$R$2:$R$53,B932),INDEX(Bases!$R$2:$R$53,C932))</f>
        <v>34.3333333333333</v>
      </c>
      <c r="Y932" s="2" t="n">
        <f aca="false">S932*Settings!$B$3/SUM(S932:X932)</f>
        <v>74.1185897435898</v>
      </c>
      <c r="Z932" s="2" t="n">
        <f aca="false">T932*Settings!$B$3/SUM(S932:X932)</f>
        <v>102.564102564103</v>
      </c>
      <c r="AA932" s="2" t="n">
        <f aca="false">U932*Settings!$B$3/SUM(S932:X932)</f>
        <v>144.230769230769</v>
      </c>
      <c r="AB932" s="2" t="n">
        <f aca="false">V932*Settings!$B$3/SUM(S932:X932)</f>
        <v>76.1217948717949</v>
      </c>
      <c r="AC932" s="2" t="n">
        <f aca="false">W932*Settings!$B$3/SUM(S932:X932)</f>
        <v>61.6987179487179</v>
      </c>
      <c r="AD932" s="2" t="n">
        <f aca="false">X932*Settings!$B$3/SUM(S932:X932)</f>
        <v>41.2660256410256</v>
      </c>
      <c r="AE932" s="2" t="n">
        <f aca="false">INT(Y932)</f>
        <v>74</v>
      </c>
      <c r="AF932" s="2" t="n">
        <f aca="false">INT(Z932)</f>
        <v>102</v>
      </c>
      <c r="AG932" s="2" t="n">
        <f aca="false">INT(AA932)</f>
        <v>144</v>
      </c>
      <c r="AH932" s="2" t="n">
        <f aca="false">INT(AB932)</f>
        <v>76</v>
      </c>
      <c r="AI932" s="2" t="n">
        <f aca="false">INT(AC932)</f>
        <v>61</v>
      </c>
      <c r="AJ932" s="2" t="n">
        <f aca="false">INT(AD932)</f>
        <v>41</v>
      </c>
      <c r="AK932" s="2" t="n">
        <f aca="false">Settings!$B$3-SUM(AE932:AJ932)</f>
        <v>2</v>
      </c>
      <c r="AL932" s="2" t="n">
        <f aca="false">ROUND(Y932-AE932,9)</f>
        <v>0.118589744</v>
      </c>
      <c r="AM932" s="2" t="n">
        <f aca="false">ROUND(Z932-AF932,9)</f>
        <v>0.564102564</v>
      </c>
      <c r="AN932" s="2" t="n">
        <f aca="false">ROUND(AA932-AG932,9)</f>
        <v>0.230769231</v>
      </c>
      <c r="AO932" s="2" t="n">
        <f aca="false">ROUND(AB932-AH932,9)</f>
        <v>0.121794872</v>
      </c>
      <c r="AP932" s="2" t="n">
        <f aca="false">ROUND(AC932-AI932,9)</f>
        <v>0.698717949</v>
      </c>
      <c r="AQ932" s="2" t="n">
        <f aca="false">ROUND(AD932-AJ932,9)</f>
        <v>0.266025641</v>
      </c>
    </row>
    <row r="933" customFormat="false" ht="15" hidden="false" customHeight="false" outlineLevel="0" collapsed="false">
      <c r="A933" s="2" t="n">
        <v>932</v>
      </c>
      <c r="B933" s="6" t="n">
        <v>24</v>
      </c>
      <c r="C933" s="6" t="n">
        <v>36</v>
      </c>
      <c r="D933" s="8" t="str">
        <f aca="false">INDEX(Bases!$B$2:$B$53,B933)</f>
        <v>Koffing</v>
      </c>
      <c r="E933" s="8" t="str">
        <f aca="false">INDEX(Bases!$B$2:$B$53,C933)</f>
        <v>Wurmple</v>
      </c>
      <c r="F933" s="2" t="str">
        <f aca="false">LEFT(D933,ROUNDUP(LEN(D933)/2,0))&amp;LOWER(MID(E933,ROUNDUP(LEN(E933)/2,0)+1,20))</f>
        <v>Koffple</v>
      </c>
      <c r="G933" s="8" t="str">
        <f aca="false">INDEX(Bases!$C$2:$C$53,B933)</f>
        <v>Poison</v>
      </c>
      <c r="H933" s="8" t="str">
        <f aca="false">IF(INDEX(Bases!$C$2:$C$53,C933)=G933,"",INDEX(Bases!$C$2:$C$53,C933))</f>
        <v>Bug</v>
      </c>
      <c r="I933" s="8" t="str">
        <f aca="false">IF(INDEX(Bases!$E$2:$E$53,B933)="","",INDEX(Bases!$E$2:$E$53,B933))</f>
        <v/>
      </c>
      <c r="J933" s="8" t="str">
        <f aca="false">IF(INDEX(Bases!$E$2:$E$53,C933)="","",INDEX(Bases!$E$2:$E$53,C933))</f>
        <v/>
      </c>
      <c r="K933" s="5"/>
      <c r="L933" s="2" t="n">
        <f aca="false">AE933+IF(SUMPRODUCT(--($AL933:$AQ933&gt;AL933))&lt;$AK933,1,0)</f>
        <v>91</v>
      </c>
      <c r="M933" s="2" t="n">
        <f aca="false">AF933+IF(SUMPRODUCT(--($AL933:$AQ933&gt;AM933))+SUMPRODUCT(--($AL933:AL933=AM933))&lt;$AK933,1,0)</f>
        <v>102</v>
      </c>
      <c r="N933" s="2" t="n">
        <f aca="false">AG933+IF(SUMPRODUCT(--($AL933:$AQ933&gt;AN933))+SUMPRODUCT(--($AL933:AM933=AN933))&lt;$AK933,1,0)</f>
        <v>117</v>
      </c>
      <c r="O933" s="2" t="n">
        <f aca="false">AH933+IF(SUMPRODUCT(--($AL933:$AQ933&gt;AO933))+SUMPRODUCT(--($AL933:AN933=AO933))&lt;$AK933,1,0)</f>
        <v>72</v>
      </c>
      <c r="P933" s="2" t="n">
        <f aca="false">AI933+IF(SUMPRODUCT(--($AL933:$AQ933&gt;AP933))+SUMPRODUCT(--($AL933:AO933=AP933))&lt;$AK933,1,0)</f>
        <v>70</v>
      </c>
      <c r="Q933" s="2" t="n">
        <f aca="false">AJ933+IF(SUMPRODUCT(--($AL933:$AQ933&gt;AQ933))+SUMPRODUCT(--($AL933:AP933=AQ933))&lt;$AK933,1,0)</f>
        <v>48</v>
      </c>
      <c r="R933" s="2" t="n">
        <f aca="false">SUM(L933:Q933)</f>
        <v>500</v>
      </c>
      <c r="S933" s="2" t="n">
        <f aca="false">Settings!$B$4*MAX(INDEX(Bases!$M$2:$M$53,B933),INDEX(Bases!$M$2:$M$53,C933))+Settings!$B$5*MIN(INDEX(Bases!$M$2:$M$53,B933),INDEX(Bases!$M$2:$M$53,C933))</f>
        <v>77</v>
      </c>
      <c r="T933" s="2" t="n">
        <f aca="false">Settings!$B$4*MAX(INDEX(Bases!$N$2:$N$53,B933),INDEX(Bases!$N$2:$N$53,C933))+Settings!$B$5*MIN(INDEX(Bases!$N$2:$N$53,B933),INDEX(Bases!$N$2:$N$53,C933))</f>
        <v>86.6666666666667</v>
      </c>
      <c r="U933" s="2" t="n">
        <f aca="false">Settings!$B$4*MAX(INDEX(Bases!$O$2:$O$53,B933),INDEX(Bases!$O$2:$O$53,C933))+Settings!$B$5*MIN(INDEX(Bases!$O$2:$O$53,B933),INDEX(Bases!$O$2:$O$53,C933))</f>
        <v>98.6666666666667</v>
      </c>
      <c r="V933" s="2" t="n">
        <f aca="false">Settings!$B$4*MAX(INDEX(Bases!$P$2:$P$53,B933),INDEX(Bases!$P$2:$P$53,C933))+Settings!$B$5*MIN(INDEX(Bases!$P$2:$P$53,B933),INDEX(Bases!$P$2:$P$53,C933))</f>
        <v>61</v>
      </c>
      <c r="W933" s="2" t="n">
        <f aca="false">Settings!$B$4*MAX(INDEX(Bases!$Q$2:$Q$53,B933),INDEX(Bases!$Q$2:$Q$53,C933))+Settings!$B$5*MIN(INDEX(Bases!$Q$2:$Q$53,B933),INDEX(Bases!$Q$2:$Q$53,C933))</f>
        <v>59</v>
      </c>
      <c r="X933" s="2" t="n">
        <f aca="false">Settings!$B$4*MAX(INDEX(Bases!$R$2:$R$53,B933),INDEX(Bases!$R$2:$R$53,C933))+Settings!$B$5*MIN(INDEX(Bases!$R$2:$R$53,B933),INDEX(Bases!$R$2:$R$53,C933))</f>
        <v>41</v>
      </c>
      <c r="Y933" s="2" t="n">
        <f aca="false">S933*Settings!$B$3/SUM(S933:X933)</f>
        <v>90.9448818897638</v>
      </c>
      <c r="Z933" s="2" t="n">
        <f aca="false">T933*Settings!$B$3/SUM(S933:X933)</f>
        <v>102.362204724409</v>
      </c>
      <c r="AA933" s="2" t="n">
        <f aca="false">U933*Settings!$B$3/SUM(S933:X933)</f>
        <v>116.535433070866</v>
      </c>
      <c r="AB933" s="2" t="n">
        <f aca="false">V933*Settings!$B$3/SUM(S933:X933)</f>
        <v>72.0472440944882</v>
      </c>
      <c r="AC933" s="2" t="n">
        <f aca="false">W933*Settings!$B$3/SUM(S933:X933)</f>
        <v>69.6850393700787</v>
      </c>
      <c r="AD933" s="2" t="n">
        <f aca="false">X933*Settings!$B$3/SUM(S933:X933)</f>
        <v>48.4251968503937</v>
      </c>
      <c r="AE933" s="2" t="n">
        <f aca="false">INT(Y933)</f>
        <v>90</v>
      </c>
      <c r="AF933" s="2" t="n">
        <f aca="false">INT(Z933)</f>
        <v>102</v>
      </c>
      <c r="AG933" s="2" t="n">
        <f aca="false">INT(AA933)</f>
        <v>116</v>
      </c>
      <c r="AH933" s="2" t="n">
        <f aca="false">INT(AB933)</f>
        <v>72</v>
      </c>
      <c r="AI933" s="2" t="n">
        <f aca="false">INT(AC933)</f>
        <v>69</v>
      </c>
      <c r="AJ933" s="2" t="n">
        <f aca="false">INT(AD933)</f>
        <v>48</v>
      </c>
      <c r="AK933" s="2" t="n">
        <f aca="false">Settings!$B$3-SUM(AE933:AJ933)</f>
        <v>3</v>
      </c>
      <c r="AL933" s="2" t="n">
        <f aca="false">ROUND(Y933-AE933,9)</f>
        <v>0.94488189</v>
      </c>
      <c r="AM933" s="2" t="n">
        <f aca="false">ROUND(Z933-AF933,9)</f>
        <v>0.362204724</v>
      </c>
      <c r="AN933" s="2" t="n">
        <f aca="false">ROUND(AA933-AG933,9)</f>
        <v>0.535433071</v>
      </c>
      <c r="AO933" s="2" t="n">
        <f aca="false">ROUND(AB933-AH933,9)</f>
        <v>0.047244094</v>
      </c>
      <c r="AP933" s="2" t="n">
        <f aca="false">ROUND(AC933-AI933,9)</f>
        <v>0.68503937</v>
      </c>
      <c r="AQ933" s="2" t="n">
        <f aca="false">ROUND(AD933-AJ933,9)</f>
        <v>0.42519685</v>
      </c>
    </row>
    <row r="934" customFormat="false" ht="15" hidden="false" customHeight="false" outlineLevel="0" collapsed="false">
      <c r="A934" s="2" t="n">
        <v>933</v>
      </c>
      <c r="B934" s="6" t="n">
        <v>24</v>
      </c>
      <c r="C934" s="6" t="n">
        <v>37</v>
      </c>
      <c r="D934" s="8" t="str">
        <f aca="false">INDEX(Bases!$B$2:$B$53,B934)</f>
        <v>Koffing</v>
      </c>
      <c r="E934" s="8" t="str">
        <f aca="false">INDEX(Bases!$B$2:$B$53,C934)</f>
        <v>Shuckle</v>
      </c>
      <c r="F934" s="2" t="str">
        <f aca="false">LEFT(D934,ROUNDUP(LEN(D934)/2,0))&amp;LOWER(MID(E934,ROUNDUP(LEN(E934)/2,0)+1,20))</f>
        <v>Koffkle</v>
      </c>
      <c r="G934" s="8" t="str">
        <f aca="false">INDEX(Bases!$C$2:$C$53,B934)</f>
        <v>Poison</v>
      </c>
      <c r="H934" s="8" t="str">
        <f aca="false">IF(INDEX(Bases!$C$2:$C$53,C934)=G934,"",INDEX(Bases!$C$2:$C$53,C934))</f>
        <v>Rock</v>
      </c>
      <c r="I934" s="8" t="str">
        <f aca="false">IF(INDEX(Bases!$E$2:$E$53,B934)="","",INDEX(Bases!$E$2:$E$53,B934))</f>
        <v/>
      </c>
      <c r="J934" s="8" t="str">
        <f aca="false">IF(INDEX(Bases!$E$2:$E$53,C934)="","",INDEX(Bases!$E$2:$E$53,C934))</f>
        <v/>
      </c>
      <c r="K934" s="5"/>
      <c r="L934" s="2" t="n">
        <f aca="false">AE934+IF(SUMPRODUCT(--($AL934:$AQ934&gt;AL934))&lt;$AK934,1,0)</f>
        <v>39</v>
      </c>
      <c r="M934" s="2" t="n">
        <f aca="false">AF934+IF(SUMPRODUCT(--($AL934:$AQ934&gt;AM934))+SUMPRODUCT(--($AL934:AL934=AM934))&lt;$AK934,1,0)</f>
        <v>57</v>
      </c>
      <c r="N934" s="2" t="n">
        <f aca="false">AG934+IF(SUMPRODUCT(--($AL934:$AQ934&gt;AN934))+SUMPRODUCT(--($AL934:AM934=AN934))&lt;$AK934,1,0)</f>
        <v>170</v>
      </c>
      <c r="O934" s="2" t="n">
        <f aca="false">AH934+IF(SUMPRODUCT(--($AL934:$AQ934&gt;AO934))+SUMPRODUCT(--($AL934:AN934=AO934))&lt;$AK934,1,0)</f>
        <v>54</v>
      </c>
      <c r="P934" s="2" t="n">
        <f aca="false">AI934+IF(SUMPRODUCT(--($AL934:$AQ934&gt;AP934))+SUMPRODUCT(--($AL934:AO934=AP934))&lt;$AK934,1,0)</f>
        <v>149</v>
      </c>
      <c r="Q934" s="2" t="n">
        <f aca="false">AJ934+IF(SUMPRODUCT(--($AL934:$AQ934&gt;AQ934))+SUMPRODUCT(--($AL934:AP934=AQ934))&lt;$AK934,1,0)</f>
        <v>31</v>
      </c>
      <c r="R934" s="2" t="n">
        <f aca="false">SUM(L934:Q934)</f>
        <v>500</v>
      </c>
      <c r="S934" s="2" t="n">
        <f aca="false">Settings!$B$4*MAX(INDEX(Bases!$M$2:$M$53,B934),INDEX(Bases!$M$2:$M$53,C934))+Settings!$B$5*MIN(INDEX(Bases!$M$2:$M$53,B934),INDEX(Bases!$M$2:$M$53,C934))</f>
        <v>36.6666666666667</v>
      </c>
      <c r="T934" s="2" t="n">
        <f aca="false">Settings!$B$4*MAX(INDEX(Bases!$N$2:$N$53,B934),INDEX(Bases!$N$2:$N$53,C934))+Settings!$B$5*MIN(INDEX(Bases!$N$2:$N$53,B934),INDEX(Bases!$N$2:$N$53,C934))</f>
        <v>53.3333333333333</v>
      </c>
      <c r="U934" s="2" t="n">
        <f aca="false">Settings!$B$4*MAX(INDEX(Bases!$O$2:$O$53,B934),INDEX(Bases!$O$2:$O$53,C934))+Settings!$B$5*MIN(INDEX(Bases!$O$2:$O$53,B934),INDEX(Bases!$O$2:$O$53,C934))</f>
        <v>158.666666666667</v>
      </c>
      <c r="V934" s="2" t="n">
        <f aca="false">Settings!$B$4*MAX(INDEX(Bases!$P$2:$P$53,B934),INDEX(Bases!$P$2:$P$53,C934))+Settings!$B$5*MIN(INDEX(Bases!$P$2:$P$53,B934),INDEX(Bases!$P$2:$P$53,C934))</f>
        <v>50</v>
      </c>
      <c r="W934" s="2" t="n">
        <f aca="false">Settings!$B$4*MAX(INDEX(Bases!$Q$2:$Q$53,B934),INDEX(Bases!$Q$2:$Q$53,C934))+Settings!$B$5*MIN(INDEX(Bases!$Q$2:$Q$53,B934),INDEX(Bases!$Q$2:$Q$53,C934))</f>
        <v>139</v>
      </c>
      <c r="X934" s="2" t="n">
        <f aca="false">Settings!$B$4*MAX(INDEX(Bases!$R$2:$R$53,B934),INDEX(Bases!$R$2:$R$53,C934))+Settings!$B$5*MIN(INDEX(Bases!$R$2:$R$53,B934),INDEX(Bases!$R$2:$R$53,C934))</f>
        <v>28.6666666666667</v>
      </c>
      <c r="Y934" s="2" t="n">
        <f aca="false">S934*Settings!$B$3/SUM(S934:X934)</f>
        <v>39.313795568263</v>
      </c>
      <c r="Z934" s="2" t="n">
        <f aca="false">T934*Settings!$B$3/SUM(S934:X934)</f>
        <v>57.1837026447463</v>
      </c>
      <c r="AA934" s="2" t="n">
        <f aca="false">U934*Settings!$B$3/SUM(S934:X934)</f>
        <v>170.12151536812</v>
      </c>
      <c r="AB934" s="2" t="n">
        <f aca="false">V934*Settings!$B$3/SUM(S934:X934)</f>
        <v>53.6097212294496</v>
      </c>
      <c r="AC934" s="2" t="n">
        <f aca="false">W934*Settings!$B$3/SUM(S934:X934)</f>
        <v>149.03502501787</v>
      </c>
      <c r="AD934" s="2" t="n">
        <f aca="false">X934*Settings!$B$3/SUM(S934:X934)</f>
        <v>30.7362401715511</v>
      </c>
      <c r="AE934" s="2" t="n">
        <f aca="false">INT(Y934)</f>
        <v>39</v>
      </c>
      <c r="AF934" s="2" t="n">
        <f aca="false">INT(Z934)</f>
        <v>57</v>
      </c>
      <c r="AG934" s="2" t="n">
        <f aca="false">INT(AA934)</f>
        <v>170</v>
      </c>
      <c r="AH934" s="2" t="n">
        <f aca="false">INT(AB934)</f>
        <v>53</v>
      </c>
      <c r="AI934" s="2" t="n">
        <f aca="false">INT(AC934)</f>
        <v>149</v>
      </c>
      <c r="AJ934" s="2" t="n">
        <f aca="false">INT(AD934)</f>
        <v>30</v>
      </c>
      <c r="AK934" s="2" t="n">
        <f aca="false">Settings!$B$3-SUM(AE934:AJ934)</f>
        <v>2</v>
      </c>
      <c r="AL934" s="2" t="n">
        <f aca="false">ROUND(Y934-AE934,9)</f>
        <v>0.313795568</v>
      </c>
      <c r="AM934" s="2" t="n">
        <f aca="false">ROUND(Z934-AF934,9)</f>
        <v>0.183702645</v>
      </c>
      <c r="AN934" s="2" t="n">
        <f aca="false">ROUND(AA934-AG934,9)</f>
        <v>0.121515368</v>
      </c>
      <c r="AO934" s="2" t="n">
        <f aca="false">ROUND(AB934-AH934,9)</f>
        <v>0.609721229</v>
      </c>
      <c r="AP934" s="2" t="n">
        <f aca="false">ROUND(AC934-AI934,9)</f>
        <v>0.035025018</v>
      </c>
      <c r="AQ934" s="2" t="n">
        <f aca="false">ROUND(AD934-AJ934,9)</f>
        <v>0.736240172</v>
      </c>
    </row>
    <row r="935" customFormat="false" ht="15" hidden="false" customHeight="false" outlineLevel="0" collapsed="false">
      <c r="A935" s="2" t="n">
        <v>934</v>
      </c>
      <c r="B935" s="6" t="n">
        <v>24</v>
      </c>
      <c r="C935" s="6" t="n">
        <v>38</v>
      </c>
      <c r="D935" s="8" t="str">
        <f aca="false">INDEX(Bases!$B$2:$B$53,B935)</f>
        <v>Koffing</v>
      </c>
      <c r="E935" s="8" t="str">
        <f aca="false">INDEX(Bases!$B$2:$B$53,C935)</f>
        <v>Larvitar</v>
      </c>
      <c r="F935" s="2" t="str">
        <f aca="false">LEFT(D935,ROUNDUP(LEN(D935)/2,0))&amp;LOWER(MID(E935,ROUNDUP(LEN(E935)/2,0)+1,20))</f>
        <v>Koffitar</v>
      </c>
      <c r="G935" s="8" t="str">
        <f aca="false">INDEX(Bases!$C$2:$C$53,B935)</f>
        <v>Poison</v>
      </c>
      <c r="H935" s="8" t="str">
        <f aca="false">IF(INDEX(Bases!$C$2:$C$53,C935)=G935,"",INDEX(Bases!$C$2:$C$53,C935))</f>
        <v>Rock</v>
      </c>
      <c r="I935" s="8" t="str">
        <f aca="false">IF(INDEX(Bases!$E$2:$E$53,B935)="","",INDEX(Bases!$E$2:$E$53,B935))</f>
        <v/>
      </c>
      <c r="J935" s="8" t="str">
        <f aca="false">IF(INDEX(Bases!$E$2:$E$53,C935)="","",INDEX(Bases!$E$2:$E$53,C935))</f>
        <v/>
      </c>
      <c r="K935" s="5"/>
      <c r="L935" s="2" t="n">
        <f aca="false">AE935+IF(SUMPRODUCT(--($AL935:$AQ935&gt;AL935))&lt;$AK935,1,0)</f>
        <v>72</v>
      </c>
      <c r="M935" s="2" t="n">
        <f aca="false">AF935+IF(SUMPRODUCT(--($AL935:$AQ935&gt;AM935))+SUMPRODUCT(--($AL935:AL935=AM935))&lt;$AK935,1,0)</f>
        <v>98</v>
      </c>
      <c r="N935" s="2" t="n">
        <f aca="false">AG935+IF(SUMPRODUCT(--($AL935:$AQ935&gt;AN935))+SUMPRODUCT(--($AL935:AM935=AN935))&lt;$AK935,1,0)</f>
        <v>116</v>
      </c>
      <c r="O935" s="2" t="n">
        <f aca="false">AH935+IF(SUMPRODUCT(--($AL935:$AQ935&gt;AO935))+SUMPRODUCT(--($AL935:AN935=AO935))&lt;$AK935,1,0)</f>
        <v>80</v>
      </c>
      <c r="P935" s="2" t="n">
        <f aca="false">AI935+IF(SUMPRODUCT(--($AL935:$AQ935&gt;AP935))+SUMPRODUCT(--($AL935:AO935=AP935))&lt;$AK935,1,0)</f>
        <v>75</v>
      </c>
      <c r="Q935" s="2" t="n">
        <f aca="false">AJ935+IF(SUMPRODUCT(--($AL935:$AQ935&gt;AQ935))+SUMPRODUCT(--($AL935:AP935=AQ935))&lt;$AK935,1,0)</f>
        <v>59</v>
      </c>
      <c r="R935" s="2" t="n">
        <f aca="false">SUM(L935:Q935)</f>
        <v>500</v>
      </c>
      <c r="S935" s="2" t="n">
        <f aca="false">Settings!$B$4*MAX(INDEX(Bases!$M$2:$M$53,B935),INDEX(Bases!$M$2:$M$53,C935))+Settings!$B$5*MIN(INDEX(Bases!$M$2:$M$53,B935),INDEX(Bases!$M$2:$M$53,C935))</f>
        <v>60.3333333333333</v>
      </c>
      <c r="T935" s="2" t="n">
        <f aca="false">Settings!$B$4*MAX(INDEX(Bases!$N$2:$N$53,B935),INDEX(Bases!$N$2:$N$53,C935))+Settings!$B$5*MIN(INDEX(Bases!$N$2:$N$53,B935),INDEX(Bases!$N$2:$N$53,C935))</f>
        <v>82</v>
      </c>
      <c r="U935" s="2" t="n">
        <f aca="false">Settings!$B$4*MAX(INDEX(Bases!$O$2:$O$53,B935),INDEX(Bases!$O$2:$O$53,C935))+Settings!$B$5*MIN(INDEX(Bases!$O$2:$O$53,B935),INDEX(Bases!$O$2:$O$53,C935))</f>
        <v>97</v>
      </c>
      <c r="V935" s="2" t="n">
        <f aca="false">Settings!$B$4*MAX(INDEX(Bases!$P$2:$P$53,B935),INDEX(Bases!$P$2:$P$53,C935))+Settings!$B$5*MIN(INDEX(Bases!$P$2:$P$53,B935),INDEX(Bases!$P$2:$P$53,C935))</f>
        <v>67.3333333333333</v>
      </c>
      <c r="W935" s="2" t="n">
        <f aca="false">Settings!$B$4*MAX(INDEX(Bases!$Q$2:$Q$53,B935),INDEX(Bases!$Q$2:$Q$53,C935))+Settings!$B$5*MIN(INDEX(Bases!$Q$2:$Q$53,B935),INDEX(Bases!$Q$2:$Q$53,C935))</f>
        <v>62.3333333333333</v>
      </c>
      <c r="X935" s="2" t="n">
        <f aca="false">Settings!$B$4*MAX(INDEX(Bases!$R$2:$R$53,B935),INDEX(Bases!$R$2:$R$53,C935))+Settings!$B$5*MIN(INDEX(Bases!$R$2:$R$53,B935),INDEX(Bases!$R$2:$R$53,C935))</f>
        <v>49.6666666666667</v>
      </c>
      <c r="Y935" s="2" t="n">
        <f aca="false">S935*Settings!$B$3/SUM(S935:X935)</f>
        <v>72.0541401273885</v>
      </c>
      <c r="Z935" s="2" t="n">
        <f aca="false">T935*Settings!$B$3/SUM(S935:X935)</f>
        <v>97.9299363057325</v>
      </c>
      <c r="AA935" s="2" t="n">
        <f aca="false">U935*Settings!$B$3/SUM(S935:X935)</f>
        <v>115.843949044586</v>
      </c>
      <c r="AB935" s="2" t="n">
        <f aca="false">V935*Settings!$B$3/SUM(S935:X935)</f>
        <v>80.4140127388535</v>
      </c>
      <c r="AC935" s="2" t="n">
        <f aca="false">W935*Settings!$B$3/SUM(S935:X935)</f>
        <v>74.4426751592357</v>
      </c>
      <c r="AD935" s="2" t="n">
        <f aca="false">X935*Settings!$B$3/SUM(S935:X935)</f>
        <v>59.3152866242038</v>
      </c>
      <c r="AE935" s="2" t="n">
        <f aca="false">INT(Y935)</f>
        <v>72</v>
      </c>
      <c r="AF935" s="2" t="n">
        <f aca="false">INT(Z935)</f>
        <v>97</v>
      </c>
      <c r="AG935" s="2" t="n">
        <f aca="false">INT(AA935)</f>
        <v>115</v>
      </c>
      <c r="AH935" s="2" t="n">
        <f aca="false">INT(AB935)</f>
        <v>80</v>
      </c>
      <c r="AI935" s="2" t="n">
        <f aca="false">INT(AC935)</f>
        <v>74</v>
      </c>
      <c r="AJ935" s="2" t="n">
        <f aca="false">INT(AD935)</f>
        <v>59</v>
      </c>
      <c r="AK935" s="2" t="n">
        <f aca="false">Settings!$B$3-SUM(AE935:AJ935)</f>
        <v>3</v>
      </c>
      <c r="AL935" s="2" t="n">
        <f aca="false">ROUND(Y935-AE935,9)</f>
        <v>0.054140127</v>
      </c>
      <c r="AM935" s="2" t="n">
        <f aca="false">ROUND(Z935-AF935,9)</f>
        <v>0.929936306</v>
      </c>
      <c r="AN935" s="2" t="n">
        <f aca="false">ROUND(AA935-AG935,9)</f>
        <v>0.843949045</v>
      </c>
      <c r="AO935" s="2" t="n">
        <f aca="false">ROUND(AB935-AH935,9)</f>
        <v>0.414012739</v>
      </c>
      <c r="AP935" s="2" t="n">
        <f aca="false">ROUND(AC935-AI935,9)</f>
        <v>0.442675159</v>
      </c>
      <c r="AQ935" s="2" t="n">
        <f aca="false">ROUND(AD935-AJ935,9)</f>
        <v>0.315286624</v>
      </c>
    </row>
    <row r="936" customFormat="false" ht="15" hidden="false" customHeight="false" outlineLevel="0" collapsed="false">
      <c r="A936" s="2" t="n">
        <v>935</v>
      </c>
      <c r="B936" s="6" t="n">
        <v>24</v>
      </c>
      <c r="C936" s="6" t="n">
        <v>39</v>
      </c>
      <c r="D936" s="8" t="str">
        <f aca="false">INDEX(Bases!$B$2:$B$53,B936)</f>
        <v>Koffing</v>
      </c>
      <c r="E936" s="8" t="str">
        <f aca="false">INDEX(Bases!$B$2:$B$53,C936)</f>
        <v>Nosepass</v>
      </c>
      <c r="F936" s="2" t="str">
        <f aca="false">LEFT(D936,ROUNDUP(LEN(D936)/2,0))&amp;LOWER(MID(E936,ROUNDUP(LEN(E936)/2,0)+1,20))</f>
        <v>Koffpass</v>
      </c>
      <c r="G936" s="8" t="str">
        <f aca="false">INDEX(Bases!$C$2:$C$53,B936)</f>
        <v>Poison</v>
      </c>
      <c r="H936" s="8" t="str">
        <f aca="false">IF(INDEX(Bases!$C$2:$C$53,C936)=G936,"",INDEX(Bases!$C$2:$C$53,C936))</f>
        <v>Rock</v>
      </c>
      <c r="I936" s="8" t="str">
        <f aca="false">IF(INDEX(Bases!$E$2:$E$53,B936)="","",INDEX(Bases!$E$2:$E$53,B936))</f>
        <v/>
      </c>
      <c r="J936" s="8" t="str">
        <f aca="false">IF(INDEX(Bases!$E$2:$E$53,C936)="","",INDEX(Bases!$E$2:$E$53,C936))</f>
        <v/>
      </c>
      <c r="K936" s="5"/>
      <c r="L936" s="2" t="n">
        <f aca="false">AE936+IF(SUMPRODUCT(--($AL936:$AQ936&gt;AL936))&lt;$AK936,1,0)</f>
        <v>49</v>
      </c>
      <c r="M936" s="2" t="n">
        <f aca="false">AF936+IF(SUMPRODUCT(--($AL936:$AQ936&gt;AM936))+SUMPRODUCT(--($AL936:AL936=AM936))&lt;$AK936,1,0)</f>
        <v>78</v>
      </c>
      <c r="N936" s="2" t="n">
        <f aca="false">AG936+IF(SUMPRODUCT(--($AL936:$AQ936&gt;AN936))+SUMPRODUCT(--($AL936:AM936=AN936))&lt;$AK936,1,0)</f>
        <v>157</v>
      </c>
      <c r="O936" s="2" t="n">
        <f aca="false">AH936+IF(SUMPRODUCT(--($AL936:$AQ936&gt;AO936))+SUMPRODUCT(--($AL936:AN936=AO936))&lt;$AK936,1,0)</f>
        <v>75</v>
      </c>
      <c r="P936" s="2" t="n">
        <f aca="false">AI936+IF(SUMPRODUCT(--($AL936:$AQ936&gt;AP936))+SUMPRODUCT(--($AL936:AO936=AP936))&lt;$AK936,1,0)</f>
        <v>96</v>
      </c>
      <c r="Q936" s="2" t="n">
        <f aca="false">AJ936+IF(SUMPRODUCT(--($AL936:$AQ936&gt;AQ936))+SUMPRODUCT(--($AL936:AP936=AQ936))&lt;$AK936,1,0)</f>
        <v>45</v>
      </c>
      <c r="R936" s="2" t="n">
        <f aca="false">SUM(L936:Q936)</f>
        <v>500</v>
      </c>
      <c r="S936" s="2" t="n">
        <f aca="false">Settings!$B$4*MAX(INDEX(Bases!$M$2:$M$53,B936),INDEX(Bases!$M$2:$M$53,C936))+Settings!$B$5*MIN(INDEX(Bases!$M$2:$M$53,B936),INDEX(Bases!$M$2:$M$53,C936))</f>
        <v>42</v>
      </c>
      <c r="T936" s="2" t="n">
        <f aca="false">Settings!$B$4*MAX(INDEX(Bases!$N$2:$N$53,B936),INDEX(Bases!$N$2:$N$53,C936))+Settings!$B$5*MIN(INDEX(Bases!$N$2:$N$53,B936),INDEX(Bases!$N$2:$N$53,C936))</f>
        <v>66.6666666666667</v>
      </c>
      <c r="U936" s="2" t="n">
        <f aca="false">Settings!$B$4*MAX(INDEX(Bases!$O$2:$O$53,B936),INDEX(Bases!$O$2:$O$53,C936))+Settings!$B$5*MIN(INDEX(Bases!$O$2:$O$53,B936),INDEX(Bases!$O$2:$O$53,C936))</f>
        <v>133.333333333333</v>
      </c>
      <c r="V936" s="2" t="n">
        <f aca="false">Settings!$B$4*MAX(INDEX(Bases!$P$2:$P$53,B936),INDEX(Bases!$P$2:$P$53,C936))+Settings!$B$5*MIN(INDEX(Bases!$P$2:$P$53,B936),INDEX(Bases!$P$2:$P$53,C936))</f>
        <v>63.3333333333333</v>
      </c>
      <c r="W936" s="2" t="n">
        <f aca="false">Settings!$B$4*MAX(INDEX(Bases!$Q$2:$Q$53,B936),INDEX(Bases!$Q$2:$Q$53,C936))+Settings!$B$5*MIN(INDEX(Bases!$Q$2:$Q$53,B936),INDEX(Bases!$Q$2:$Q$53,C936))</f>
        <v>81.6666666666667</v>
      </c>
      <c r="X936" s="2" t="n">
        <f aca="false">Settings!$B$4*MAX(INDEX(Bases!$R$2:$R$53,B936),INDEX(Bases!$R$2:$R$53,C936))+Settings!$B$5*MIN(INDEX(Bases!$R$2:$R$53,B936),INDEX(Bases!$R$2:$R$53,C936))</f>
        <v>38</v>
      </c>
      <c r="Y936" s="2" t="n">
        <f aca="false">S936*Settings!$B$3/SUM(S936:X936)</f>
        <v>49.4117647058824</v>
      </c>
      <c r="Z936" s="2" t="n">
        <f aca="false">T936*Settings!$B$3/SUM(S936:X936)</f>
        <v>78.4313725490196</v>
      </c>
      <c r="AA936" s="2" t="n">
        <f aca="false">U936*Settings!$B$3/SUM(S936:X936)</f>
        <v>156.862745098039</v>
      </c>
      <c r="AB936" s="2" t="n">
        <f aca="false">V936*Settings!$B$3/SUM(S936:X936)</f>
        <v>74.5098039215686</v>
      </c>
      <c r="AC936" s="2" t="n">
        <f aca="false">W936*Settings!$B$3/SUM(S936:X936)</f>
        <v>96.078431372549</v>
      </c>
      <c r="AD936" s="2" t="n">
        <f aca="false">X936*Settings!$B$3/SUM(S936:X936)</f>
        <v>44.7058823529412</v>
      </c>
      <c r="AE936" s="2" t="n">
        <f aca="false">INT(Y936)</f>
        <v>49</v>
      </c>
      <c r="AF936" s="2" t="n">
        <f aca="false">INT(Z936)</f>
        <v>78</v>
      </c>
      <c r="AG936" s="2" t="n">
        <f aca="false">INT(AA936)</f>
        <v>156</v>
      </c>
      <c r="AH936" s="2" t="n">
        <f aca="false">INT(AB936)</f>
        <v>74</v>
      </c>
      <c r="AI936" s="2" t="n">
        <f aca="false">INT(AC936)</f>
        <v>96</v>
      </c>
      <c r="AJ936" s="2" t="n">
        <f aca="false">INT(AD936)</f>
        <v>44</v>
      </c>
      <c r="AK936" s="2" t="n">
        <f aca="false">Settings!$B$3-SUM(AE936:AJ936)</f>
        <v>3</v>
      </c>
      <c r="AL936" s="2" t="n">
        <f aca="false">ROUND(Y936-AE936,9)</f>
        <v>0.411764706</v>
      </c>
      <c r="AM936" s="2" t="n">
        <f aca="false">ROUND(Z936-AF936,9)</f>
        <v>0.431372549</v>
      </c>
      <c r="AN936" s="2" t="n">
        <f aca="false">ROUND(AA936-AG936,9)</f>
        <v>0.862745098</v>
      </c>
      <c r="AO936" s="2" t="n">
        <f aca="false">ROUND(AB936-AH936,9)</f>
        <v>0.509803922</v>
      </c>
      <c r="AP936" s="2" t="n">
        <f aca="false">ROUND(AC936-AI936,9)</f>
        <v>0.078431373</v>
      </c>
      <c r="AQ936" s="2" t="n">
        <f aca="false">ROUND(AD936-AJ936,9)</f>
        <v>0.705882353</v>
      </c>
    </row>
    <row r="937" customFormat="false" ht="15" hidden="false" customHeight="false" outlineLevel="0" collapsed="false">
      <c r="A937" s="2" t="n">
        <v>936</v>
      </c>
      <c r="B937" s="6" t="n">
        <v>24</v>
      </c>
      <c r="C937" s="6" t="n">
        <v>40</v>
      </c>
      <c r="D937" s="8" t="str">
        <f aca="false">INDEX(Bases!$B$2:$B$53,B937)</f>
        <v>Koffing</v>
      </c>
      <c r="E937" s="8" t="str">
        <f aca="false">INDEX(Bases!$B$2:$B$53,C937)</f>
        <v>Gastly</v>
      </c>
      <c r="F937" s="2" t="str">
        <f aca="false">LEFT(D937,ROUNDUP(LEN(D937)/2,0))&amp;LOWER(MID(E937,ROUNDUP(LEN(E937)/2,0)+1,20))</f>
        <v>Kofftly</v>
      </c>
      <c r="G937" s="8" t="str">
        <f aca="false">INDEX(Bases!$C$2:$C$53,B937)</f>
        <v>Poison</v>
      </c>
      <c r="H937" s="8" t="str">
        <f aca="false">IF(INDEX(Bases!$C$2:$C$53,C937)=G937,"",INDEX(Bases!$C$2:$C$53,C937))</f>
        <v>Ghost</v>
      </c>
      <c r="I937" s="8" t="str">
        <f aca="false">IF(INDEX(Bases!$E$2:$E$53,B937)="","",INDEX(Bases!$E$2:$E$53,B937))</f>
        <v/>
      </c>
      <c r="J937" s="8" t="str">
        <f aca="false">IF(INDEX(Bases!$E$2:$E$53,C937)="","",INDEX(Bases!$E$2:$E$53,C937))</f>
        <v/>
      </c>
      <c r="K937" s="5"/>
      <c r="L937" s="2" t="n">
        <f aca="false">AE937+IF(SUMPRODUCT(--($AL937:$AQ937&gt;AL937))&lt;$AK937,1,0)</f>
        <v>50</v>
      </c>
      <c r="M937" s="2" t="n">
        <f aca="false">AF937+IF(SUMPRODUCT(--($AL937:$AQ937&gt;AM937))+SUMPRODUCT(--($AL937:AL937=AM937))&lt;$AK937,1,0)</f>
        <v>75</v>
      </c>
      <c r="N937" s="2" t="n">
        <f aca="false">AG937+IF(SUMPRODUCT(--($AL937:$AQ937&gt;AN937))+SUMPRODUCT(--($AL937:AM937=AN937))&lt;$AK937,1,0)</f>
        <v>100</v>
      </c>
      <c r="O937" s="2" t="n">
        <f aca="false">AH937+IF(SUMPRODUCT(--($AL937:$AQ937&gt;AO937))+SUMPRODUCT(--($AL937:AN937=AO937))&lt;$AK937,1,0)</f>
        <v>125</v>
      </c>
      <c r="P937" s="2" t="n">
        <f aca="false">AI937+IF(SUMPRODUCT(--($AL937:$AQ937&gt;AP937))+SUMPRODUCT(--($AL937:AO937=AP937))&lt;$AK937,1,0)</f>
        <v>57</v>
      </c>
      <c r="Q937" s="2" t="n">
        <f aca="false">AJ937+IF(SUMPRODUCT(--($AL937:$AQ937&gt;AQ937))+SUMPRODUCT(--($AL937:AP937=AQ937))&lt;$AK937,1,0)</f>
        <v>93</v>
      </c>
      <c r="R937" s="2" t="n">
        <f aca="false">SUM(L937:Q937)</f>
        <v>500</v>
      </c>
      <c r="S937" s="2" t="n">
        <f aca="false">Settings!$B$4*MAX(INDEX(Bases!$M$2:$M$53,B937),INDEX(Bases!$M$2:$M$53,C937))+Settings!$B$5*MIN(INDEX(Bases!$M$2:$M$53,B937),INDEX(Bases!$M$2:$M$53,C937))</f>
        <v>44.3333333333333</v>
      </c>
      <c r="T937" s="2" t="n">
        <f aca="false">Settings!$B$4*MAX(INDEX(Bases!$N$2:$N$53,B937),INDEX(Bases!$N$2:$N$53,C937))+Settings!$B$5*MIN(INDEX(Bases!$N$2:$N$53,B937),INDEX(Bases!$N$2:$N$53,C937))</f>
        <v>65.6666666666667</v>
      </c>
      <c r="U937" s="2" t="n">
        <f aca="false">Settings!$B$4*MAX(INDEX(Bases!$O$2:$O$53,B937),INDEX(Bases!$O$2:$O$53,C937))+Settings!$B$5*MIN(INDEX(Bases!$O$2:$O$53,B937),INDEX(Bases!$O$2:$O$53,C937))</f>
        <v>87.6666666666667</v>
      </c>
      <c r="V937" s="2" t="n">
        <f aca="false">Settings!$B$4*MAX(INDEX(Bases!$P$2:$P$53,B937),INDEX(Bases!$P$2:$P$53,C937))+Settings!$B$5*MIN(INDEX(Bases!$P$2:$P$53,B937),INDEX(Bases!$P$2:$P$53,C937))</f>
        <v>109.666666666667</v>
      </c>
      <c r="W937" s="2" t="n">
        <f aca="false">Settings!$B$4*MAX(INDEX(Bases!$Q$2:$Q$53,B937),INDEX(Bases!$Q$2:$Q$53,C937))+Settings!$B$5*MIN(INDEX(Bases!$Q$2:$Q$53,B937),INDEX(Bases!$Q$2:$Q$53,C937))</f>
        <v>50.3333333333333</v>
      </c>
      <c r="X937" s="2" t="n">
        <f aca="false">Settings!$B$4*MAX(INDEX(Bases!$R$2:$R$53,B937),INDEX(Bases!$R$2:$R$53,C937))+Settings!$B$5*MIN(INDEX(Bases!$R$2:$R$53,B937),INDEX(Bases!$R$2:$R$53,C937))</f>
        <v>82.3333333333333</v>
      </c>
      <c r="Y937" s="2" t="n">
        <f aca="false">S937*Settings!$B$3/SUM(S937:X937)</f>
        <v>50.3787878787879</v>
      </c>
      <c r="Z937" s="2" t="n">
        <f aca="false">T937*Settings!$B$3/SUM(S937:X937)</f>
        <v>74.6212121212121</v>
      </c>
      <c r="AA937" s="2" t="n">
        <f aca="false">U937*Settings!$B$3/SUM(S937:X937)</f>
        <v>99.6212121212121</v>
      </c>
      <c r="AB937" s="2" t="n">
        <f aca="false">V937*Settings!$B$3/SUM(S937:X937)</f>
        <v>124.621212121212</v>
      </c>
      <c r="AC937" s="2" t="n">
        <f aca="false">W937*Settings!$B$3/SUM(S937:X937)</f>
        <v>57.1969696969697</v>
      </c>
      <c r="AD937" s="2" t="n">
        <f aca="false">X937*Settings!$B$3/SUM(S937:X937)</f>
        <v>93.5606060606061</v>
      </c>
      <c r="AE937" s="2" t="n">
        <f aca="false">INT(Y937)</f>
        <v>50</v>
      </c>
      <c r="AF937" s="2" t="n">
        <f aca="false">INT(Z937)</f>
        <v>74</v>
      </c>
      <c r="AG937" s="2" t="n">
        <f aca="false">INT(AA937)</f>
        <v>99</v>
      </c>
      <c r="AH937" s="2" t="n">
        <f aca="false">INT(AB937)</f>
        <v>124</v>
      </c>
      <c r="AI937" s="2" t="n">
        <f aca="false">INT(AC937)</f>
        <v>57</v>
      </c>
      <c r="AJ937" s="2" t="n">
        <f aca="false">INT(AD937)</f>
        <v>93</v>
      </c>
      <c r="AK937" s="2" t="n">
        <f aca="false">Settings!$B$3-SUM(AE937:AJ937)</f>
        <v>3</v>
      </c>
      <c r="AL937" s="2" t="n">
        <f aca="false">ROUND(Y937-AE937,9)</f>
        <v>0.378787879</v>
      </c>
      <c r="AM937" s="2" t="n">
        <f aca="false">ROUND(Z937-AF937,9)</f>
        <v>0.621212121</v>
      </c>
      <c r="AN937" s="2" t="n">
        <f aca="false">ROUND(AA937-AG937,9)</f>
        <v>0.621212121</v>
      </c>
      <c r="AO937" s="2" t="n">
        <f aca="false">ROUND(AB937-AH937,9)</f>
        <v>0.621212121</v>
      </c>
      <c r="AP937" s="2" t="n">
        <f aca="false">ROUND(AC937-AI937,9)</f>
        <v>0.196969697</v>
      </c>
      <c r="AQ937" s="2" t="n">
        <f aca="false">ROUND(AD937-AJ937,9)</f>
        <v>0.560606061</v>
      </c>
    </row>
    <row r="938" customFormat="false" ht="15" hidden="false" customHeight="false" outlineLevel="0" collapsed="false">
      <c r="A938" s="2" t="n">
        <v>937</v>
      </c>
      <c r="B938" s="6" t="n">
        <v>24</v>
      </c>
      <c r="C938" s="6" t="n">
        <v>41</v>
      </c>
      <c r="D938" s="8" t="str">
        <f aca="false">INDEX(Bases!$B$2:$B$53,B938)</f>
        <v>Koffing</v>
      </c>
      <c r="E938" s="8" t="str">
        <f aca="false">INDEX(Bases!$B$2:$B$53,C938)</f>
        <v>Misdreavus</v>
      </c>
      <c r="F938" s="2" t="str">
        <f aca="false">LEFT(D938,ROUNDUP(LEN(D938)/2,0))&amp;LOWER(MID(E938,ROUNDUP(LEN(E938)/2,0)+1,20))</f>
        <v>Koffeavus</v>
      </c>
      <c r="G938" s="8" t="str">
        <f aca="false">INDEX(Bases!$C$2:$C$53,B938)</f>
        <v>Poison</v>
      </c>
      <c r="H938" s="8" t="str">
        <f aca="false">IF(INDEX(Bases!$C$2:$C$53,C938)=G938,"",INDEX(Bases!$C$2:$C$53,C938))</f>
        <v>Ghost</v>
      </c>
      <c r="I938" s="8" t="str">
        <f aca="false">IF(INDEX(Bases!$E$2:$E$53,B938)="","",INDEX(Bases!$E$2:$E$53,B938))</f>
        <v/>
      </c>
      <c r="J938" s="8" t="str">
        <f aca="false">IF(INDEX(Bases!$E$2:$E$53,C938)="","",INDEX(Bases!$E$2:$E$53,C938))</f>
        <v/>
      </c>
      <c r="K938" s="5"/>
      <c r="L938" s="2" t="n">
        <f aca="false">AE938+IF(SUMPRODUCT(--($AL938:$AQ938&gt;AL938))&lt;$AK938,1,0)</f>
        <v>62</v>
      </c>
      <c r="M938" s="2" t="n">
        <f aca="false">AF938+IF(SUMPRODUCT(--($AL938:$AQ938&gt;AM938))+SUMPRODUCT(--($AL938:AL938=AM938))&lt;$AK938,1,0)</f>
        <v>81</v>
      </c>
      <c r="N938" s="2" t="n">
        <f aca="false">AG938+IF(SUMPRODUCT(--($AL938:$AQ938&gt;AN938))+SUMPRODUCT(--($AL938:AM938=AN938))&lt;$AK938,1,0)</f>
        <v>109</v>
      </c>
      <c r="O938" s="2" t="n">
        <f aca="false">AH938+IF(SUMPRODUCT(--($AL938:$AQ938&gt;AO938))+SUMPRODUCT(--($AL938:AN938=AO938))&lt;$AK938,1,0)</f>
        <v>89</v>
      </c>
      <c r="P938" s="2" t="n">
        <f aca="false">AI938+IF(SUMPRODUCT(--($AL938:$AQ938&gt;AP938))+SUMPRODUCT(--($AL938:AO938=AP938))&lt;$AK938,1,0)</f>
        <v>82</v>
      </c>
      <c r="Q938" s="2" t="n">
        <f aca="false">AJ938+IF(SUMPRODUCT(--($AL938:$AQ938&gt;AQ938))+SUMPRODUCT(--($AL938:AP938=AQ938))&lt;$AK938,1,0)</f>
        <v>77</v>
      </c>
      <c r="R938" s="2" t="n">
        <f aca="false">SUM(L938:Q938)</f>
        <v>500</v>
      </c>
      <c r="S938" s="2" t="n">
        <f aca="false">Settings!$B$4*MAX(INDEX(Bases!$M$2:$M$53,B938),INDEX(Bases!$M$2:$M$53,C938))+Settings!$B$5*MIN(INDEX(Bases!$M$2:$M$53,B938),INDEX(Bases!$M$2:$M$53,C938))</f>
        <v>53</v>
      </c>
      <c r="T938" s="2" t="n">
        <f aca="false">Settings!$B$4*MAX(INDEX(Bases!$N$2:$N$53,B938),INDEX(Bases!$N$2:$N$53,C938))+Settings!$B$5*MIN(INDEX(Bases!$N$2:$N$53,B938),INDEX(Bases!$N$2:$N$53,C938))</f>
        <v>69</v>
      </c>
      <c r="U938" s="2" t="n">
        <f aca="false">Settings!$B$4*MAX(INDEX(Bases!$O$2:$O$53,B938),INDEX(Bases!$O$2:$O$53,C938))+Settings!$B$5*MIN(INDEX(Bases!$O$2:$O$53,B938),INDEX(Bases!$O$2:$O$53,C938))</f>
        <v>93</v>
      </c>
      <c r="V938" s="2" t="n">
        <f aca="false">Settings!$B$4*MAX(INDEX(Bases!$P$2:$P$53,B938),INDEX(Bases!$P$2:$P$53,C938))+Settings!$B$5*MIN(INDEX(Bases!$P$2:$P$53,B938),INDEX(Bases!$P$2:$P$53,C938))</f>
        <v>75.6666666666667</v>
      </c>
      <c r="W938" s="2" t="n">
        <f aca="false">Settings!$B$4*MAX(INDEX(Bases!$Q$2:$Q$53,B938),INDEX(Bases!$Q$2:$Q$53,C938))+Settings!$B$5*MIN(INDEX(Bases!$Q$2:$Q$53,B938),INDEX(Bases!$Q$2:$Q$53,C938))</f>
        <v>69.6666666666667</v>
      </c>
      <c r="X938" s="2" t="n">
        <f aca="false">Settings!$B$4*MAX(INDEX(Bases!$R$2:$R$53,B938),INDEX(Bases!$R$2:$R$53,C938))+Settings!$B$5*MIN(INDEX(Bases!$R$2:$R$53,B938),INDEX(Bases!$R$2:$R$53,C938))</f>
        <v>65.6666666666667</v>
      </c>
      <c r="Y938" s="2" t="n">
        <f aca="false">S938*Settings!$B$3/SUM(S938:X938)</f>
        <v>62.206572769953</v>
      </c>
      <c r="Z938" s="2" t="n">
        <f aca="false">T938*Settings!$B$3/SUM(S938:X938)</f>
        <v>80.9859154929577</v>
      </c>
      <c r="AA938" s="2" t="n">
        <f aca="false">U938*Settings!$B$3/SUM(S938:X938)</f>
        <v>109.154929577465</v>
      </c>
      <c r="AB938" s="2" t="n">
        <f aca="false">V938*Settings!$B$3/SUM(S938:X938)</f>
        <v>88.810641627543</v>
      </c>
      <c r="AC938" s="2" t="n">
        <f aca="false">W938*Settings!$B$3/SUM(S938:X938)</f>
        <v>81.7683881064163</v>
      </c>
      <c r="AD938" s="2" t="n">
        <f aca="false">X938*Settings!$B$3/SUM(S938:X938)</f>
        <v>77.0735524256651</v>
      </c>
      <c r="AE938" s="2" t="n">
        <f aca="false">INT(Y938)</f>
        <v>62</v>
      </c>
      <c r="AF938" s="2" t="n">
        <f aca="false">INT(Z938)</f>
        <v>80</v>
      </c>
      <c r="AG938" s="2" t="n">
        <f aca="false">INT(AA938)</f>
        <v>109</v>
      </c>
      <c r="AH938" s="2" t="n">
        <f aca="false">INT(AB938)</f>
        <v>88</v>
      </c>
      <c r="AI938" s="2" t="n">
        <f aca="false">INT(AC938)</f>
        <v>81</v>
      </c>
      <c r="AJ938" s="2" t="n">
        <f aca="false">INT(AD938)</f>
        <v>77</v>
      </c>
      <c r="AK938" s="2" t="n">
        <f aca="false">Settings!$B$3-SUM(AE938:AJ938)</f>
        <v>3</v>
      </c>
      <c r="AL938" s="2" t="n">
        <f aca="false">ROUND(Y938-AE938,9)</f>
        <v>0.20657277</v>
      </c>
      <c r="AM938" s="2" t="n">
        <f aca="false">ROUND(Z938-AF938,9)</f>
        <v>0.985915493</v>
      </c>
      <c r="AN938" s="2" t="n">
        <f aca="false">ROUND(AA938-AG938,9)</f>
        <v>0.154929577</v>
      </c>
      <c r="AO938" s="2" t="n">
        <f aca="false">ROUND(AB938-AH938,9)</f>
        <v>0.810641628</v>
      </c>
      <c r="AP938" s="2" t="n">
        <f aca="false">ROUND(AC938-AI938,9)</f>
        <v>0.768388106</v>
      </c>
      <c r="AQ938" s="2" t="n">
        <f aca="false">ROUND(AD938-AJ938,9)</f>
        <v>0.073552426</v>
      </c>
    </row>
    <row r="939" customFormat="false" ht="15" hidden="false" customHeight="false" outlineLevel="0" collapsed="false">
      <c r="A939" s="2" t="n">
        <v>938</v>
      </c>
      <c r="B939" s="6" t="n">
        <v>24</v>
      </c>
      <c r="C939" s="6" t="n">
        <v>42</v>
      </c>
      <c r="D939" s="8" t="str">
        <f aca="false">INDEX(Bases!$B$2:$B$53,B939)</f>
        <v>Koffing</v>
      </c>
      <c r="E939" s="8" t="str">
        <f aca="false">INDEX(Bases!$B$2:$B$53,C939)</f>
        <v>Sableye</v>
      </c>
      <c r="F939" s="2" t="str">
        <f aca="false">LEFT(D939,ROUNDUP(LEN(D939)/2,0))&amp;LOWER(MID(E939,ROUNDUP(LEN(E939)/2,0)+1,20))</f>
        <v>Koffeye</v>
      </c>
      <c r="G939" s="8" t="str">
        <f aca="false">INDEX(Bases!$C$2:$C$53,B939)</f>
        <v>Poison</v>
      </c>
      <c r="H939" s="8" t="str">
        <f aca="false">IF(INDEX(Bases!$C$2:$C$53,C939)=G939,"",INDEX(Bases!$C$2:$C$53,C939))</f>
        <v>Ghost</v>
      </c>
      <c r="I939" s="8" t="str">
        <f aca="false">IF(INDEX(Bases!$E$2:$E$53,B939)="","",INDEX(Bases!$E$2:$E$53,B939))</f>
        <v/>
      </c>
      <c r="J939" s="8" t="str">
        <f aca="false">IF(INDEX(Bases!$E$2:$E$53,C939)="","",INDEX(Bases!$E$2:$E$53,C939))</f>
        <v/>
      </c>
      <c r="K939" s="5"/>
      <c r="L939" s="2" t="n">
        <f aca="false">AE939+IF(SUMPRODUCT(--($AL939:$AQ939&gt;AL939))&lt;$AK939,1,0)</f>
        <v>62</v>
      </c>
      <c r="M939" s="2" t="n">
        <f aca="false">AF939+IF(SUMPRODUCT(--($AL939:$AQ939&gt;AM939))+SUMPRODUCT(--($AL939:AL939=AM939))&lt;$AK939,1,0)</f>
        <v>95</v>
      </c>
      <c r="N939" s="2" t="n">
        <f aca="false">AG939+IF(SUMPRODUCT(--($AL939:$AQ939&gt;AN939))+SUMPRODUCT(--($AL939:AM939=AN939))&lt;$AK939,1,0)</f>
        <v>123</v>
      </c>
      <c r="O939" s="2" t="n">
        <f aca="false">AH939+IF(SUMPRODUCT(--($AL939:$AQ939&gt;AO939))+SUMPRODUCT(--($AL939:AN939=AO939))&lt;$AK939,1,0)</f>
        <v>85</v>
      </c>
      <c r="P939" s="2" t="n">
        <f aca="false">AI939+IF(SUMPRODUCT(--($AL939:$AQ939&gt;AP939))+SUMPRODUCT(--($AL939:AO939=AP939))&lt;$AK939,1,0)</f>
        <v>76</v>
      </c>
      <c r="Q939" s="2" t="n">
        <f aca="false">AJ939+IF(SUMPRODUCT(--($AL939:$AQ939&gt;AQ939))+SUMPRODUCT(--($AL939:AP939=AQ939))&lt;$AK939,1,0)</f>
        <v>59</v>
      </c>
      <c r="R939" s="2" t="n">
        <f aca="false">SUM(L939:Q939)</f>
        <v>500</v>
      </c>
      <c r="S939" s="2" t="n">
        <f aca="false">Settings!$B$4*MAX(INDEX(Bases!$M$2:$M$53,B939),INDEX(Bases!$M$2:$M$53,C939))+Settings!$B$5*MIN(INDEX(Bases!$M$2:$M$53,B939),INDEX(Bases!$M$2:$M$53,C939))</f>
        <v>51</v>
      </c>
      <c r="T939" s="2" t="n">
        <f aca="false">Settings!$B$4*MAX(INDEX(Bases!$N$2:$N$53,B939),INDEX(Bases!$N$2:$N$53,C939))+Settings!$B$5*MIN(INDEX(Bases!$N$2:$N$53,B939),INDEX(Bases!$N$2:$N$53,C939))</f>
        <v>78</v>
      </c>
      <c r="U939" s="2" t="n">
        <f aca="false">Settings!$B$4*MAX(INDEX(Bases!$O$2:$O$53,B939),INDEX(Bases!$O$2:$O$53,C939))+Settings!$B$5*MIN(INDEX(Bases!$O$2:$O$53,B939),INDEX(Bases!$O$2:$O$53,C939))</f>
        <v>101</v>
      </c>
      <c r="V939" s="2" t="n">
        <f aca="false">Settings!$B$4*MAX(INDEX(Bases!$P$2:$P$53,B939),INDEX(Bases!$P$2:$P$53,C939))+Settings!$B$5*MIN(INDEX(Bases!$P$2:$P$53,B939),INDEX(Bases!$P$2:$P$53,C939))</f>
        <v>70</v>
      </c>
      <c r="W939" s="2" t="n">
        <f aca="false">Settings!$B$4*MAX(INDEX(Bases!$Q$2:$Q$53,B939),INDEX(Bases!$Q$2:$Q$53,C939))+Settings!$B$5*MIN(INDEX(Bases!$Q$2:$Q$53,B939),INDEX(Bases!$Q$2:$Q$53,C939))</f>
        <v>63</v>
      </c>
      <c r="X939" s="2" t="n">
        <f aca="false">Settings!$B$4*MAX(INDEX(Bases!$R$2:$R$53,B939),INDEX(Bases!$R$2:$R$53,C939))+Settings!$B$5*MIN(INDEX(Bases!$R$2:$R$53,B939),INDEX(Bases!$R$2:$R$53,C939))</f>
        <v>49</v>
      </c>
      <c r="Y939" s="2" t="n">
        <f aca="false">S939*Settings!$B$3/SUM(S939:X939)</f>
        <v>61.8932038834952</v>
      </c>
      <c r="Z939" s="2" t="n">
        <f aca="false">T939*Settings!$B$3/SUM(S939:X939)</f>
        <v>94.6601941747573</v>
      </c>
      <c r="AA939" s="2" t="n">
        <f aca="false">U939*Settings!$B$3/SUM(S939:X939)</f>
        <v>122.572815533981</v>
      </c>
      <c r="AB939" s="2" t="n">
        <f aca="false">V939*Settings!$B$3/SUM(S939:X939)</f>
        <v>84.9514563106796</v>
      </c>
      <c r="AC939" s="2" t="n">
        <f aca="false">W939*Settings!$B$3/SUM(S939:X939)</f>
        <v>76.4563106796117</v>
      </c>
      <c r="AD939" s="2" t="n">
        <f aca="false">X939*Settings!$B$3/SUM(S939:X939)</f>
        <v>59.4660194174757</v>
      </c>
      <c r="AE939" s="2" t="n">
        <f aca="false">INT(Y939)</f>
        <v>61</v>
      </c>
      <c r="AF939" s="2" t="n">
        <f aca="false">INT(Z939)</f>
        <v>94</v>
      </c>
      <c r="AG939" s="2" t="n">
        <f aca="false">INT(AA939)</f>
        <v>122</v>
      </c>
      <c r="AH939" s="2" t="n">
        <f aca="false">INT(AB939)</f>
        <v>84</v>
      </c>
      <c r="AI939" s="2" t="n">
        <f aca="false">INT(AC939)</f>
        <v>76</v>
      </c>
      <c r="AJ939" s="2" t="n">
        <f aca="false">INT(AD939)</f>
        <v>59</v>
      </c>
      <c r="AK939" s="2" t="n">
        <f aca="false">Settings!$B$3-SUM(AE939:AJ939)</f>
        <v>4</v>
      </c>
      <c r="AL939" s="2" t="n">
        <f aca="false">ROUND(Y939-AE939,9)</f>
        <v>0.893203883</v>
      </c>
      <c r="AM939" s="2" t="n">
        <f aca="false">ROUND(Z939-AF939,9)</f>
        <v>0.660194175</v>
      </c>
      <c r="AN939" s="2" t="n">
        <f aca="false">ROUND(AA939-AG939,9)</f>
        <v>0.572815534</v>
      </c>
      <c r="AO939" s="2" t="n">
        <f aca="false">ROUND(AB939-AH939,9)</f>
        <v>0.951456311</v>
      </c>
      <c r="AP939" s="2" t="n">
        <f aca="false">ROUND(AC939-AI939,9)</f>
        <v>0.45631068</v>
      </c>
      <c r="AQ939" s="2" t="n">
        <f aca="false">ROUND(AD939-AJ939,9)</f>
        <v>0.466019417</v>
      </c>
    </row>
    <row r="940" customFormat="false" ht="15" hidden="false" customHeight="false" outlineLevel="0" collapsed="false">
      <c r="A940" s="2" t="n">
        <v>939</v>
      </c>
      <c r="B940" s="6" t="n">
        <v>24</v>
      </c>
      <c r="C940" s="6" t="n">
        <v>43</v>
      </c>
      <c r="D940" s="8" t="str">
        <f aca="false">INDEX(Bases!$B$2:$B$53,B940)</f>
        <v>Koffing</v>
      </c>
      <c r="E940" s="8" t="str">
        <f aca="false">INDEX(Bases!$B$2:$B$53,C940)</f>
        <v>Dratini</v>
      </c>
      <c r="F940" s="2" t="str">
        <f aca="false">LEFT(D940,ROUNDUP(LEN(D940)/2,0))&amp;LOWER(MID(E940,ROUNDUP(LEN(E940)/2,0)+1,20))</f>
        <v>Koffini</v>
      </c>
      <c r="G940" s="8" t="str">
        <f aca="false">INDEX(Bases!$C$2:$C$53,B940)</f>
        <v>Poison</v>
      </c>
      <c r="H940" s="8" t="str">
        <f aca="false">IF(INDEX(Bases!$C$2:$C$53,C940)=G940,"",INDEX(Bases!$C$2:$C$53,C940))</f>
        <v>Dragon</v>
      </c>
      <c r="I940" s="8" t="str">
        <f aca="false">IF(INDEX(Bases!$E$2:$E$53,B940)="","",INDEX(Bases!$E$2:$E$53,B940))</f>
        <v/>
      </c>
      <c r="J940" s="8" t="str">
        <f aca="false">IF(INDEX(Bases!$E$2:$E$53,C940)="","",INDEX(Bases!$E$2:$E$53,C940))</f>
        <v/>
      </c>
      <c r="K940" s="5"/>
      <c r="L940" s="2" t="n">
        <f aca="false">AE940+IF(SUMPRODUCT(--($AL940:$AQ940&gt;AL940))&lt;$AK940,1,0)</f>
        <v>63</v>
      </c>
      <c r="M940" s="2" t="n">
        <f aca="false">AF940+IF(SUMPRODUCT(--($AL940:$AQ940&gt;AM940))+SUMPRODUCT(--($AL940:AL940=AM940))&lt;$AK940,1,0)</f>
        <v>98</v>
      </c>
      <c r="N940" s="2" t="n">
        <f aca="false">AG940+IF(SUMPRODUCT(--($AL940:$AQ940&gt;AN940))+SUMPRODUCT(--($AL940:AM940=AN940))&lt;$AK940,1,0)</f>
        <v>113</v>
      </c>
      <c r="O940" s="2" t="n">
        <f aca="false">AH940+IF(SUMPRODUCT(--($AL940:$AQ940&gt;AO940))+SUMPRODUCT(--($AL940:AN940=AO940))&lt;$AK940,1,0)</f>
        <v>83</v>
      </c>
      <c r="P940" s="2" t="n">
        <f aca="false">AI940+IF(SUMPRODUCT(--($AL940:$AQ940&gt;AP940))+SUMPRODUCT(--($AL940:AO940=AP940))&lt;$AK940,1,0)</f>
        <v>74</v>
      </c>
      <c r="Q940" s="2" t="n">
        <f aca="false">AJ940+IF(SUMPRODUCT(--($AL940:$AQ940&gt;AQ940))+SUMPRODUCT(--($AL940:AP940=AQ940))&lt;$AK940,1,0)</f>
        <v>69</v>
      </c>
      <c r="R940" s="2" t="n">
        <f aca="false">SUM(L940:Q940)</f>
        <v>500</v>
      </c>
      <c r="S940" s="2" t="n">
        <f aca="false">Settings!$B$4*MAX(INDEX(Bases!$M$2:$M$53,B940),INDEX(Bases!$M$2:$M$53,C940))+Settings!$B$5*MIN(INDEX(Bases!$M$2:$M$53,B940),INDEX(Bases!$M$2:$M$53,C940))</f>
        <v>52.3333333333333</v>
      </c>
      <c r="T940" s="2" t="n">
        <f aca="false">Settings!$B$4*MAX(INDEX(Bases!$N$2:$N$53,B940),INDEX(Bases!$N$2:$N$53,C940))+Settings!$B$5*MIN(INDEX(Bases!$N$2:$N$53,B940),INDEX(Bases!$N$2:$N$53,C940))</f>
        <v>82</v>
      </c>
      <c r="U940" s="2" t="n">
        <f aca="false">Settings!$B$4*MAX(INDEX(Bases!$O$2:$O$53,B940),INDEX(Bases!$O$2:$O$53,C940))+Settings!$B$5*MIN(INDEX(Bases!$O$2:$O$53,B940),INDEX(Bases!$O$2:$O$53,C940))</f>
        <v>94.6666666666667</v>
      </c>
      <c r="V940" s="2" t="n">
        <f aca="false">Settings!$B$4*MAX(INDEX(Bases!$P$2:$P$53,B940),INDEX(Bases!$P$2:$P$53,C940))+Settings!$B$5*MIN(INDEX(Bases!$P$2:$P$53,B940),INDEX(Bases!$P$2:$P$53,C940))</f>
        <v>69.6666666666667</v>
      </c>
      <c r="W940" s="2" t="n">
        <f aca="false">Settings!$B$4*MAX(INDEX(Bases!$Q$2:$Q$53,B940),INDEX(Bases!$Q$2:$Q$53,C940))+Settings!$B$5*MIN(INDEX(Bases!$Q$2:$Q$53,B940),INDEX(Bases!$Q$2:$Q$53,C940))</f>
        <v>62.3333333333333</v>
      </c>
      <c r="X940" s="2" t="n">
        <f aca="false">Settings!$B$4*MAX(INDEX(Bases!$R$2:$R$53,B940),INDEX(Bases!$R$2:$R$53,C940))+Settings!$B$5*MIN(INDEX(Bases!$R$2:$R$53,B940),INDEX(Bases!$R$2:$R$53,C940))</f>
        <v>57.6666666666667</v>
      </c>
      <c r="Y940" s="2" t="n">
        <f aca="false">S940*Settings!$B$3/SUM(S940:X940)</f>
        <v>62.5</v>
      </c>
      <c r="Z940" s="2" t="n">
        <f aca="false">T940*Settings!$B$3/SUM(S940:X940)</f>
        <v>97.9299363057325</v>
      </c>
      <c r="AA940" s="2" t="n">
        <f aca="false">U940*Settings!$B$3/SUM(S940:X940)</f>
        <v>113.057324840764</v>
      </c>
      <c r="AB940" s="2" t="n">
        <f aca="false">V940*Settings!$B$3/SUM(S940:X940)</f>
        <v>83.2006369426752</v>
      </c>
      <c r="AC940" s="2" t="n">
        <f aca="false">W940*Settings!$B$3/SUM(S940:X940)</f>
        <v>74.4426751592357</v>
      </c>
      <c r="AD940" s="2" t="n">
        <f aca="false">X940*Settings!$B$3/SUM(S940:X940)</f>
        <v>68.8694267515924</v>
      </c>
      <c r="AE940" s="2" t="n">
        <f aca="false">INT(Y940)</f>
        <v>62</v>
      </c>
      <c r="AF940" s="2" t="n">
        <f aca="false">INT(Z940)</f>
        <v>97</v>
      </c>
      <c r="AG940" s="2" t="n">
        <f aca="false">INT(AA940)</f>
        <v>113</v>
      </c>
      <c r="AH940" s="2" t="n">
        <f aca="false">INT(AB940)</f>
        <v>83</v>
      </c>
      <c r="AI940" s="2" t="n">
        <f aca="false">INT(AC940)</f>
        <v>74</v>
      </c>
      <c r="AJ940" s="2" t="n">
        <f aca="false">INT(AD940)</f>
        <v>68</v>
      </c>
      <c r="AK940" s="2" t="n">
        <f aca="false">Settings!$B$3-SUM(AE940:AJ940)</f>
        <v>3</v>
      </c>
      <c r="AL940" s="2" t="n">
        <f aca="false">ROUND(Y940-AE940,9)</f>
        <v>0.5</v>
      </c>
      <c r="AM940" s="2" t="n">
        <f aca="false">ROUND(Z940-AF940,9)</f>
        <v>0.929936306</v>
      </c>
      <c r="AN940" s="2" t="n">
        <f aca="false">ROUND(AA940-AG940,9)</f>
        <v>0.057324841</v>
      </c>
      <c r="AO940" s="2" t="n">
        <f aca="false">ROUND(AB940-AH940,9)</f>
        <v>0.200636943</v>
      </c>
      <c r="AP940" s="2" t="n">
        <f aca="false">ROUND(AC940-AI940,9)</f>
        <v>0.442675159</v>
      </c>
      <c r="AQ940" s="2" t="n">
        <f aca="false">ROUND(AD940-AJ940,9)</f>
        <v>0.869426752</v>
      </c>
    </row>
    <row r="941" customFormat="false" ht="15" hidden="false" customHeight="false" outlineLevel="0" collapsed="false">
      <c r="A941" s="2" t="n">
        <v>940</v>
      </c>
      <c r="B941" s="6" t="n">
        <v>24</v>
      </c>
      <c r="C941" s="6" t="n">
        <v>44</v>
      </c>
      <c r="D941" s="8" t="str">
        <f aca="false">INDEX(Bases!$B$2:$B$53,B941)</f>
        <v>Koffing</v>
      </c>
      <c r="E941" s="8" t="str">
        <f aca="false">INDEX(Bases!$B$2:$B$53,C941)</f>
        <v>Bagon</v>
      </c>
      <c r="F941" s="2" t="str">
        <f aca="false">LEFT(D941,ROUNDUP(LEN(D941)/2,0))&amp;LOWER(MID(E941,ROUNDUP(LEN(E941)/2,0)+1,20))</f>
        <v>Koffon</v>
      </c>
      <c r="G941" s="8" t="str">
        <f aca="false">INDEX(Bases!$C$2:$C$53,B941)</f>
        <v>Poison</v>
      </c>
      <c r="H941" s="8" t="str">
        <f aca="false">IF(INDEX(Bases!$C$2:$C$53,C941)=G941,"",INDEX(Bases!$C$2:$C$53,C941))</f>
        <v>Dragon</v>
      </c>
      <c r="I941" s="8" t="str">
        <f aca="false">IF(INDEX(Bases!$E$2:$E$53,B941)="","",INDEX(Bases!$E$2:$E$53,B941))</f>
        <v/>
      </c>
      <c r="J941" s="8" t="str">
        <f aca="false">IF(INDEX(Bases!$E$2:$E$53,C941)="","",INDEX(Bases!$E$2:$E$53,C941))</f>
        <v/>
      </c>
      <c r="K941" s="5"/>
      <c r="L941" s="2" t="n">
        <f aca="false">AE941+IF(SUMPRODUCT(--($AL941:$AQ941&gt;AL941))&lt;$AK941,1,0)</f>
        <v>66</v>
      </c>
      <c r="M941" s="2" t="n">
        <f aca="false">AF941+IF(SUMPRODUCT(--($AL941:$AQ941&gt;AM941))+SUMPRODUCT(--($AL941:AL941=AM941))&lt;$AK941,1,0)</f>
        <v>109</v>
      </c>
      <c r="N941" s="2" t="n">
        <f aca="false">AG941+IF(SUMPRODUCT(--($AL941:$AQ941&gt;AN941))+SUMPRODUCT(--($AL941:AM941=AN941))&lt;$AK941,1,0)</f>
        <v>121</v>
      </c>
      <c r="O941" s="2" t="n">
        <f aca="false">AH941+IF(SUMPRODUCT(--($AL941:$AQ941&gt;AO941))+SUMPRODUCT(--($AL941:AN941=AO941))&lt;$AK941,1,0)</f>
        <v>77</v>
      </c>
      <c r="P941" s="2" t="n">
        <f aca="false">AI941+IF(SUMPRODUCT(--($AL941:$AQ941&gt;AP941))+SUMPRODUCT(--($AL941:AO941=AP941))&lt;$AK941,1,0)</f>
        <v>58</v>
      </c>
      <c r="Q941" s="2" t="n">
        <f aca="false">AJ941+IF(SUMPRODUCT(--($AL941:$AQ941&gt;AQ941))+SUMPRODUCT(--($AL941:AP941=AQ941))&lt;$AK941,1,0)</f>
        <v>69</v>
      </c>
      <c r="R941" s="2" t="n">
        <f aca="false">SUM(L941:Q941)</f>
        <v>500</v>
      </c>
      <c r="S941" s="2" t="n">
        <f aca="false">Settings!$B$4*MAX(INDEX(Bases!$M$2:$M$53,B941),INDEX(Bases!$M$2:$M$53,C941))+Settings!$B$5*MIN(INDEX(Bases!$M$2:$M$53,B941),INDEX(Bases!$M$2:$M$53,C941))</f>
        <v>55.6666666666667</v>
      </c>
      <c r="T941" s="2" t="n">
        <f aca="false">Settings!$B$4*MAX(INDEX(Bases!$N$2:$N$53,B941),INDEX(Bases!$N$2:$N$53,C941))+Settings!$B$5*MIN(INDEX(Bases!$N$2:$N$53,B941),INDEX(Bases!$N$2:$N$53,C941))</f>
        <v>92</v>
      </c>
      <c r="U941" s="2" t="n">
        <f aca="false">Settings!$B$4*MAX(INDEX(Bases!$O$2:$O$53,B941),INDEX(Bases!$O$2:$O$53,C941))+Settings!$B$5*MIN(INDEX(Bases!$O$2:$O$53,B941),INDEX(Bases!$O$2:$O$53,C941))</f>
        <v>101.333333333333</v>
      </c>
      <c r="V941" s="2" t="n">
        <f aca="false">Settings!$B$4*MAX(INDEX(Bases!$P$2:$P$53,B941),INDEX(Bases!$P$2:$P$53,C941))+Settings!$B$5*MIN(INDEX(Bases!$P$2:$P$53,B941),INDEX(Bases!$P$2:$P$53,C941))</f>
        <v>65</v>
      </c>
      <c r="W941" s="2" t="n">
        <f aca="false">Settings!$B$4*MAX(INDEX(Bases!$Q$2:$Q$53,B941),INDEX(Bases!$Q$2:$Q$53,C941))+Settings!$B$5*MIN(INDEX(Bases!$Q$2:$Q$53,B941),INDEX(Bases!$Q$2:$Q$53,C941))</f>
        <v>48.6666666666667</v>
      </c>
      <c r="X941" s="2" t="n">
        <f aca="false">Settings!$B$4*MAX(INDEX(Bases!$R$2:$R$53,B941),INDEX(Bases!$R$2:$R$53,C941))+Settings!$B$5*MIN(INDEX(Bases!$R$2:$R$53,B941),INDEX(Bases!$R$2:$R$53,C941))</f>
        <v>58.3333333333333</v>
      </c>
      <c r="Y941" s="2" t="n">
        <f aca="false">S941*Settings!$B$3/SUM(S941:X941)</f>
        <v>66.1124307205067</v>
      </c>
      <c r="Z941" s="2" t="n">
        <f aca="false">T941*Settings!$B$3/SUM(S941:X941)</f>
        <v>109.263657957245</v>
      </c>
      <c r="AA941" s="2" t="n">
        <f aca="false">U941*Settings!$B$3/SUM(S941:X941)</f>
        <v>120.348376880443</v>
      </c>
      <c r="AB941" s="2" t="n">
        <f aca="false">V941*Settings!$B$3/SUM(S941:X941)</f>
        <v>77.1971496437055</v>
      </c>
      <c r="AC941" s="2" t="n">
        <f aca="false">W941*Settings!$B$3/SUM(S941:X941)</f>
        <v>57.7988915281077</v>
      </c>
      <c r="AD941" s="2" t="n">
        <f aca="false">X941*Settings!$B$3/SUM(S941:X941)</f>
        <v>69.2794932699921</v>
      </c>
      <c r="AE941" s="2" t="n">
        <f aca="false">INT(Y941)</f>
        <v>66</v>
      </c>
      <c r="AF941" s="2" t="n">
        <f aca="false">INT(Z941)</f>
        <v>109</v>
      </c>
      <c r="AG941" s="2" t="n">
        <f aca="false">INT(AA941)</f>
        <v>120</v>
      </c>
      <c r="AH941" s="2" t="n">
        <f aca="false">INT(AB941)</f>
        <v>77</v>
      </c>
      <c r="AI941" s="2" t="n">
        <f aca="false">INT(AC941)</f>
        <v>57</v>
      </c>
      <c r="AJ941" s="2" t="n">
        <f aca="false">INT(AD941)</f>
        <v>69</v>
      </c>
      <c r="AK941" s="2" t="n">
        <f aca="false">Settings!$B$3-SUM(AE941:AJ941)</f>
        <v>2</v>
      </c>
      <c r="AL941" s="2" t="n">
        <f aca="false">ROUND(Y941-AE941,9)</f>
        <v>0.112430721</v>
      </c>
      <c r="AM941" s="2" t="n">
        <f aca="false">ROUND(Z941-AF941,9)</f>
        <v>0.263657957</v>
      </c>
      <c r="AN941" s="2" t="n">
        <f aca="false">ROUND(AA941-AG941,9)</f>
        <v>0.34837688</v>
      </c>
      <c r="AO941" s="2" t="n">
        <f aca="false">ROUND(AB941-AH941,9)</f>
        <v>0.197149644</v>
      </c>
      <c r="AP941" s="2" t="n">
        <f aca="false">ROUND(AC941-AI941,9)</f>
        <v>0.798891528</v>
      </c>
      <c r="AQ941" s="2" t="n">
        <f aca="false">ROUND(AD941-AJ941,9)</f>
        <v>0.27949327</v>
      </c>
    </row>
    <row r="942" customFormat="false" ht="15" hidden="false" customHeight="false" outlineLevel="0" collapsed="false">
      <c r="A942" s="2" t="n">
        <v>941</v>
      </c>
      <c r="B942" s="6" t="n">
        <v>24</v>
      </c>
      <c r="C942" s="6" t="n">
        <v>45</v>
      </c>
      <c r="D942" s="8" t="str">
        <f aca="false">INDEX(Bases!$B$2:$B$53,B942)</f>
        <v>Koffing</v>
      </c>
      <c r="E942" s="8" t="str">
        <f aca="false">INDEX(Bases!$B$2:$B$53,C942)</f>
        <v>Sneasel</v>
      </c>
      <c r="F942" s="2" t="str">
        <f aca="false">LEFT(D942,ROUNDUP(LEN(D942)/2,0))&amp;LOWER(MID(E942,ROUNDUP(LEN(E942)/2,0)+1,20))</f>
        <v>Koffsel</v>
      </c>
      <c r="G942" s="8" t="str">
        <f aca="false">INDEX(Bases!$C$2:$C$53,B942)</f>
        <v>Poison</v>
      </c>
      <c r="H942" s="8" t="str">
        <f aca="false">IF(INDEX(Bases!$C$2:$C$53,C942)=G942,"",INDEX(Bases!$C$2:$C$53,C942))</f>
        <v>Dark</v>
      </c>
      <c r="I942" s="8" t="str">
        <f aca="false">IF(INDEX(Bases!$E$2:$E$53,B942)="","",INDEX(Bases!$E$2:$E$53,B942))</f>
        <v/>
      </c>
      <c r="J942" s="8" t="str">
        <f aca="false">IF(INDEX(Bases!$E$2:$E$53,C942)="","",INDEX(Bases!$E$2:$E$53,C942))</f>
        <v/>
      </c>
      <c r="K942" s="5"/>
      <c r="L942" s="2" t="n">
        <f aca="false">AE942+IF(SUMPRODUCT(--($AL942:$AQ942&gt;AL942))&lt;$AK942,1,0)</f>
        <v>57</v>
      </c>
      <c r="M942" s="2" t="n">
        <f aca="false">AF942+IF(SUMPRODUCT(--($AL942:$AQ942&gt;AM942))+SUMPRODUCT(--($AL942:AL942=AM942))&lt;$AK942,1,0)</f>
        <v>97</v>
      </c>
      <c r="N942" s="2" t="n">
        <f aca="false">AG942+IF(SUMPRODUCT(--($AL942:$AQ942&gt;AN942))+SUMPRODUCT(--($AL942:AM942=AN942))&lt;$AK942,1,0)</f>
        <v>106</v>
      </c>
      <c r="O942" s="2" t="n">
        <f aca="false">AH942+IF(SUMPRODUCT(--($AL942:$AQ942&gt;AO942))+SUMPRODUCT(--($AL942:AN942=AO942))&lt;$AK942,1,0)</f>
        <v>68</v>
      </c>
      <c r="P942" s="2" t="n">
        <f aca="false">AI942+IF(SUMPRODUCT(--($AL942:$AQ942&gt;AP942))+SUMPRODUCT(--($AL942:AO942=AP942))&lt;$AK942,1,0)</f>
        <v>74</v>
      </c>
      <c r="Q942" s="2" t="n">
        <f aca="false">AJ942+IF(SUMPRODUCT(--($AL942:$AQ942&gt;AQ942))+SUMPRODUCT(--($AL942:AP942=AQ942))&lt;$AK942,1,0)</f>
        <v>98</v>
      </c>
      <c r="R942" s="2" t="n">
        <f aca="false">SUM(L942:Q942)</f>
        <v>500</v>
      </c>
      <c r="S942" s="2" t="n">
        <f aca="false">Settings!$B$4*MAX(INDEX(Bases!$M$2:$M$53,B942),INDEX(Bases!$M$2:$M$53,C942))+Settings!$B$5*MIN(INDEX(Bases!$M$2:$M$53,B942),INDEX(Bases!$M$2:$M$53,C942))</f>
        <v>49.6666666666667</v>
      </c>
      <c r="T942" s="2" t="n">
        <f aca="false">Settings!$B$4*MAX(INDEX(Bases!$N$2:$N$53,B942),INDEX(Bases!$N$2:$N$53,C942))+Settings!$B$5*MIN(INDEX(Bases!$N$2:$N$53,B942),INDEX(Bases!$N$2:$N$53,C942))</f>
        <v>84</v>
      </c>
      <c r="U942" s="2" t="n">
        <f aca="false">Settings!$B$4*MAX(INDEX(Bases!$O$2:$O$53,B942),INDEX(Bases!$O$2:$O$53,C942))+Settings!$B$5*MIN(INDEX(Bases!$O$2:$O$53,B942),INDEX(Bases!$O$2:$O$53,C942))</f>
        <v>91.6666666666667</v>
      </c>
      <c r="V942" s="2" t="n">
        <f aca="false">Settings!$B$4*MAX(INDEX(Bases!$P$2:$P$53,B942),INDEX(Bases!$P$2:$P$53,C942))+Settings!$B$5*MIN(INDEX(Bases!$P$2:$P$53,B942),INDEX(Bases!$P$2:$P$53,C942))</f>
        <v>58.3333333333333</v>
      </c>
      <c r="W942" s="2" t="n">
        <f aca="false">Settings!$B$4*MAX(INDEX(Bases!$Q$2:$Q$53,B942),INDEX(Bases!$Q$2:$Q$53,C942))+Settings!$B$5*MIN(INDEX(Bases!$Q$2:$Q$53,B942),INDEX(Bases!$Q$2:$Q$53,C942))</f>
        <v>64.3333333333333</v>
      </c>
      <c r="X942" s="2" t="n">
        <f aca="false">Settings!$B$4*MAX(INDEX(Bases!$R$2:$R$53,B942),INDEX(Bases!$R$2:$R$53,C942))+Settings!$B$5*MIN(INDEX(Bases!$R$2:$R$53,B942),INDEX(Bases!$R$2:$R$53,C942))</f>
        <v>85</v>
      </c>
      <c r="Y942" s="2" t="n">
        <f aca="false">S942*Settings!$B$3/SUM(S942:X942)</f>
        <v>57.3518090839107</v>
      </c>
      <c r="Z942" s="2" t="n">
        <f aca="false">T942*Settings!$B$3/SUM(S942:X942)</f>
        <v>96.9976905311778</v>
      </c>
      <c r="AA942" s="2" t="n">
        <f aca="false">U942*Settings!$B$3/SUM(S942:X942)</f>
        <v>105.8506543495</v>
      </c>
      <c r="AB942" s="2" t="n">
        <f aca="false">V942*Settings!$B$3/SUM(S942:X942)</f>
        <v>67.3595073133179</v>
      </c>
      <c r="AC942" s="2" t="n">
        <f aca="false">W942*Settings!$B$3/SUM(S942:X942)</f>
        <v>74.2879137798306</v>
      </c>
      <c r="AD942" s="2" t="n">
        <f aca="false">X942*Settings!$B$3/SUM(S942:X942)</f>
        <v>98.1524249422633</v>
      </c>
      <c r="AE942" s="2" t="n">
        <f aca="false">INT(Y942)</f>
        <v>57</v>
      </c>
      <c r="AF942" s="2" t="n">
        <f aca="false">INT(Z942)</f>
        <v>96</v>
      </c>
      <c r="AG942" s="2" t="n">
        <f aca="false">INT(AA942)</f>
        <v>105</v>
      </c>
      <c r="AH942" s="2" t="n">
        <f aca="false">INT(AB942)</f>
        <v>67</v>
      </c>
      <c r="AI942" s="2" t="n">
        <f aca="false">INT(AC942)</f>
        <v>74</v>
      </c>
      <c r="AJ942" s="2" t="n">
        <f aca="false">INT(AD942)</f>
        <v>98</v>
      </c>
      <c r="AK942" s="2" t="n">
        <f aca="false">Settings!$B$3-SUM(AE942:AJ942)</f>
        <v>3</v>
      </c>
      <c r="AL942" s="2" t="n">
        <f aca="false">ROUND(Y942-AE942,9)</f>
        <v>0.351809084</v>
      </c>
      <c r="AM942" s="2" t="n">
        <f aca="false">ROUND(Z942-AF942,9)</f>
        <v>0.997690531</v>
      </c>
      <c r="AN942" s="2" t="n">
        <f aca="false">ROUND(AA942-AG942,9)</f>
        <v>0.850654349</v>
      </c>
      <c r="AO942" s="2" t="n">
        <f aca="false">ROUND(AB942-AH942,9)</f>
        <v>0.359507313</v>
      </c>
      <c r="AP942" s="2" t="n">
        <f aca="false">ROUND(AC942-AI942,9)</f>
        <v>0.28791378</v>
      </c>
      <c r="AQ942" s="2" t="n">
        <f aca="false">ROUND(AD942-AJ942,9)</f>
        <v>0.152424942</v>
      </c>
    </row>
    <row r="943" customFormat="false" ht="15" hidden="false" customHeight="false" outlineLevel="0" collapsed="false">
      <c r="A943" s="2" t="n">
        <v>942</v>
      </c>
      <c r="B943" s="6" t="n">
        <v>24</v>
      </c>
      <c r="C943" s="6" t="n">
        <v>46</v>
      </c>
      <c r="D943" s="8" t="str">
        <f aca="false">INDEX(Bases!$B$2:$B$53,B943)</f>
        <v>Koffing</v>
      </c>
      <c r="E943" s="8" t="str">
        <f aca="false">INDEX(Bases!$B$2:$B$53,C943)</f>
        <v>Houndour</v>
      </c>
      <c r="F943" s="2" t="str">
        <f aca="false">LEFT(D943,ROUNDUP(LEN(D943)/2,0))&amp;LOWER(MID(E943,ROUNDUP(LEN(E943)/2,0)+1,20))</f>
        <v>Koffdour</v>
      </c>
      <c r="G943" s="8" t="str">
        <f aca="false">INDEX(Bases!$C$2:$C$53,B943)</f>
        <v>Poison</v>
      </c>
      <c r="H943" s="8" t="str">
        <f aca="false">IF(INDEX(Bases!$C$2:$C$53,C943)=G943,"",INDEX(Bases!$C$2:$C$53,C943))</f>
        <v>Dark</v>
      </c>
      <c r="I943" s="8" t="str">
        <f aca="false">IF(INDEX(Bases!$E$2:$E$53,B943)="","",INDEX(Bases!$E$2:$E$53,B943))</f>
        <v/>
      </c>
      <c r="J943" s="8" t="str">
        <f aca="false">IF(INDEX(Bases!$E$2:$E$53,C943)="","",INDEX(Bases!$E$2:$E$53,C943))</f>
        <v/>
      </c>
      <c r="K943" s="5"/>
      <c r="L943" s="2" t="n">
        <f aca="false">AE943+IF(SUMPRODUCT(--($AL943:$AQ943&gt;AL943))&lt;$AK943,1,0)</f>
        <v>60</v>
      </c>
      <c r="M943" s="2" t="n">
        <f aca="false">AF943+IF(SUMPRODUCT(--($AL943:$AQ943&gt;AM943))+SUMPRODUCT(--($AL943:AL943=AM943))&lt;$AK943,1,0)</f>
        <v>88</v>
      </c>
      <c r="N943" s="2" t="n">
        <f aca="false">AG943+IF(SUMPRODUCT(--($AL943:$AQ943&gt;AN943))+SUMPRODUCT(--($AL943:AM943=AN943))&lt;$AK943,1,0)</f>
        <v>102</v>
      </c>
      <c r="O943" s="2" t="n">
        <f aca="false">AH943+IF(SUMPRODUCT(--($AL943:$AQ943&gt;AO943))+SUMPRODUCT(--($AL943:AN943=AO943))&lt;$AK943,1,0)</f>
        <v>104</v>
      </c>
      <c r="P943" s="2" t="n">
        <f aca="false">AI943+IF(SUMPRODUCT(--($AL943:$AQ943&gt;AP943))+SUMPRODUCT(--($AL943:AO943=AP943))&lt;$AK943,1,0)</f>
        <v>68</v>
      </c>
      <c r="Q943" s="2" t="n">
        <f aca="false">AJ943+IF(SUMPRODUCT(--($AL943:$AQ943&gt;AQ943))+SUMPRODUCT(--($AL943:AP943=AQ943))&lt;$AK943,1,0)</f>
        <v>78</v>
      </c>
      <c r="R943" s="2" t="n">
        <f aca="false">SUM(L943:Q943)</f>
        <v>500</v>
      </c>
      <c r="S943" s="2" t="n">
        <f aca="false">Settings!$B$4*MAX(INDEX(Bases!$M$2:$M$53,B943),INDEX(Bases!$M$2:$M$53,C943))+Settings!$B$5*MIN(INDEX(Bases!$M$2:$M$53,B943),INDEX(Bases!$M$2:$M$53,C943))</f>
        <v>51.6666666666667</v>
      </c>
      <c r="T943" s="2" t="n">
        <f aca="false">Settings!$B$4*MAX(INDEX(Bases!$N$2:$N$53,B943),INDEX(Bases!$N$2:$N$53,C943))+Settings!$B$5*MIN(INDEX(Bases!$N$2:$N$53,B943),INDEX(Bases!$N$2:$N$53,C943))</f>
        <v>75</v>
      </c>
      <c r="U943" s="2" t="n">
        <f aca="false">Settings!$B$4*MAX(INDEX(Bases!$O$2:$O$53,B943),INDEX(Bases!$O$2:$O$53,C943))+Settings!$B$5*MIN(INDEX(Bases!$O$2:$O$53,B943),INDEX(Bases!$O$2:$O$53,C943))</f>
        <v>86.6666666666667</v>
      </c>
      <c r="V943" s="2" t="n">
        <f aca="false">Settings!$B$4*MAX(INDEX(Bases!$P$2:$P$53,B943),INDEX(Bases!$P$2:$P$53,C943))+Settings!$B$5*MIN(INDEX(Bases!$P$2:$P$53,B943),INDEX(Bases!$P$2:$P$53,C943))</f>
        <v>88.3333333333333</v>
      </c>
      <c r="W943" s="2" t="n">
        <f aca="false">Settings!$B$4*MAX(INDEX(Bases!$Q$2:$Q$53,B943),INDEX(Bases!$Q$2:$Q$53,C943))+Settings!$B$5*MIN(INDEX(Bases!$Q$2:$Q$53,B943),INDEX(Bases!$Q$2:$Q$53,C943))</f>
        <v>58.3333333333333</v>
      </c>
      <c r="X943" s="2" t="n">
        <f aca="false">Settings!$B$4*MAX(INDEX(Bases!$R$2:$R$53,B943),INDEX(Bases!$R$2:$R$53,C943))+Settings!$B$5*MIN(INDEX(Bases!$R$2:$R$53,B943),INDEX(Bases!$R$2:$R$53,C943))</f>
        <v>66.3333333333333</v>
      </c>
      <c r="Y943" s="2" t="n">
        <f aca="false">S943*Settings!$B$3/SUM(S943:X943)</f>
        <v>60.5942142298671</v>
      </c>
      <c r="Z943" s="2" t="n">
        <f aca="false">T943*Settings!$B$3/SUM(S943:X943)</f>
        <v>87.9593432369038</v>
      </c>
      <c r="AA943" s="2" t="n">
        <f aca="false">U943*Settings!$B$3/SUM(S943:X943)</f>
        <v>101.641907740422</v>
      </c>
      <c r="AB943" s="2" t="n">
        <f aca="false">V943*Settings!$B$3/SUM(S943:X943)</f>
        <v>103.596559812353</v>
      </c>
      <c r="AC943" s="2" t="n">
        <f aca="false">W943*Settings!$B$3/SUM(S943:X943)</f>
        <v>68.4128225175919</v>
      </c>
      <c r="AD943" s="2" t="n">
        <f aca="false">X943*Settings!$B$3/SUM(S943:X943)</f>
        <v>77.7951524628616</v>
      </c>
      <c r="AE943" s="2" t="n">
        <f aca="false">INT(Y943)</f>
        <v>60</v>
      </c>
      <c r="AF943" s="2" t="n">
        <f aca="false">INT(Z943)</f>
        <v>87</v>
      </c>
      <c r="AG943" s="2" t="n">
        <f aca="false">INT(AA943)</f>
        <v>101</v>
      </c>
      <c r="AH943" s="2" t="n">
        <f aca="false">INT(AB943)</f>
        <v>103</v>
      </c>
      <c r="AI943" s="2" t="n">
        <f aca="false">INT(AC943)</f>
        <v>68</v>
      </c>
      <c r="AJ943" s="2" t="n">
        <f aca="false">INT(AD943)</f>
        <v>77</v>
      </c>
      <c r="AK943" s="2" t="n">
        <f aca="false">Settings!$B$3-SUM(AE943:AJ943)</f>
        <v>4</v>
      </c>
      <c r="AL943" s="2" t="n">
        <f aca="false">ROUND(Y943-AE943,9)</f>
        <v>0.59421423</v>
      </c>
      <c r="AM943" s="2" t="n">
        <f aca="false">ROUND(Z943-AF943,9)</f>
        <v>0.959343237</v>
      </c>
      <c r="AN943" s="2" t="n">
        <f aca="false">ROUND(AA943-AG943,9)</f>
        <v>0.64190774</v>
      </c>
      <c r="AO943" s="2" t="n">
        <f aca="false">ROUND(AB943-AH943,9)</f>
        <v>0.596559812</v>
      </c>
      <c r="AP943" s="2" t="n">
        <f aca="false">ROUND(AC943-AI943,9)</f>
        <v>0.412822518</v>
      </c>
      <c r="AQ943" s="2" t="n">
        <f aca="false">ROUND(AD943-AJ943,9)</f>
        <v>0.795152463</v>
      </c>
    </row>
    <row r="944" customFormat="false" ht="15" hidden="false" customHeight="false" outlineLevel="0" collapsed="false">
      <c r="A944" s="2" t="n">
        <v>943</v>
      </c>
      <c r="B944" s="6" t="n">
        <v>24</v>
      </c>
      <c r="C944" s="6" t="n">
        <v>47</v>
      </c>
      <c r="D944" s="8" t="str">
        <f aca="false">INDEX(Bases!$B$2:$B$53,B944)</f>
        <v>Koffing</v>
      </c>
      <c r="E944" s="8" t="str">
        <f aca="false">INDEX(Bases!$B$2:$B$53,C944)</f>
        <v>Carvanha</v>
      </c>
      <c r="F944" s="2" t="str">
        <f aca="false">LEFT(D944,ROUNDUP(LEN(D944)/2,0))&amp;LOWER(MID(E944,ROUNDUP(LEN(E944)/2,0)+1,20))</f>
        <v>Koffanha</v>
      </c>
      <c r="G944" s="8" t="str">
        <f aca="false">INDEX(Bases!$C$2:$C$53,B944)</f>
        <v>Poison</v>
      </c>
      <c r="H944" s="8" t="str">
        <f aca="false">IF(INDEX(Bases!$C$2:$C$53,C944)=G944,"",INDEX(Bases!$C$2:$C$53,C944))</f>
        <v>Dark</v>
      </c>
      <c r="I944" s="8" t="str">
        <f aca="false">IF(INDEX(Bases!$E$2:$E$53,B944)="","",INDEX(Bases!$E$2:$E$53,B944))</f>
        <v/>
      </c>
      <c r="J944" s="8" t="str">
        <f aca="false">IF(INDEX(Bases!$E$2:$E$53,C944)="","",INDEX(Bases!$E$2:$E$53,C944))</f>
        <v/>
      </c>
      <c r="K944" s="5"/>
      <c r="L944" s="2" t="n">
        <f aca="false">AE944+IF(SUMPRODUCT(--($AL944:$AQ944&gt;AL944))&lt;$AK944,1,0)</f>
        <v>63</v>
      </c>
      <c r="M944" s="2" t="n">
        <f aca="false">AF944+IF(SUMPRODUCT(--($AL944:$AQ944&gt;AM944))+SUMPRODUCT(--($AL944:AL944=AM944))&lt;$AK944,1,0)</f>
        <v>119</v>
      </c>
      <c r="N944" s="2" t="n">
        <f aca="false">AG944+IF(SUMPRODUCT(--($AL944:$AQ944&gt;AN944))+SUMPRODUCT(--($AL944:AM944=AN944))&lt;$AK944,1,0)</f>
        <v>95</v>
      </c>
      <c r="O944" s="2" t="n">
        <f aca="false">AH944+IF(SUMPRODUCT(--($AL944:$AQ944&gt;AO944))+SUMPRODUCT(--($AL944:AN944=AO944))&lt;$AK944,1,0)</f>
        <v>93</v>
      </c>
      <c r="P944" s="2" t="n">
        <f aca="false">AI944+IF(SUMPRODUCT(--($AL944:$AQ944&gt;AP944))+SUMPRODUCT(--($AL944:AO944=AP944))&lt;$AK944,1,0)</f>
        <v>50</v>
      </c>
      <c r="Q944" s="2" t="n">
        <f aca="false">AJ944+IF(SUMPRODUCT(--($AL944:$AQ944&gt;AQ944))+SUMPRODUCT(--($AL944:AP944=AQ944))&lt;$AK944,1,0)</f>
        <v>80</v>
      </c>
      <c r="R944" s="2" t="n">
        <f aca="false">SUM(L944:Q944)</f>
        <v>500</v>
      </c>
      <c r="S944" s="2" t="n">
        <f aca="false">Settings!$B$4*MAX(INDEX(Bases!$M$2:$M$53,B944),INDEX(Bases!$M$2:$M$53,C944))+Settings!$B$5*MIN(INDEX(Bases!$M$2:$M$53,B944),INDEX(Bases!$M$2:$M$53,C944))</f>
        <v>55</v>
      </c>
      <c r="T944" s="2" t="n">
        <f aca="false">Settings!$B$4*MAX(INDEX(Bases!$N$2:$N$53,B944),INDEX(Bases!$N$2:$N$53,C944))+Settings!$B$5*MIN(INDEX(Bases!$N$2:$N$53,B944),INDEX(Bases!$N$2:$N$53,C944))</f>
        <v>104</v>
      </c>
      <c r="U944" s="2" t="n">
        <f aca="false">Settings!$B$4*MAX(INDEX(Bases!$O$2:$O$53,B944),INDEX(Bases!$O$2:$O$53,C944))+Settings!$B$5*MIN(INDEX(Bases!$O$2:$O$53,B944),INDEX(Bases!$O$2:$O$53,C944))</f>
        <v>83.3333333333333</v>
      </c>
      <c r="V944" s="2" t="n">
        <f aca="false">Settings!$B$4*MAX(INDEX(Bases!$P$2:$P$53,B944),INDEX(Bases!$P$2:$P$53,C944))+Settings!$B$5*MIN(INDEX(Bases!$P$2:$P$53,B944),INDEX(Bases!$P$2:$P$53,C944))</f>
        <v>81</v>
      </c>
      <c r="W944" s="2" t="n">
        <f aca="false">Settings!$B$4*MAX(INDEX(Bases!$Q$2:$Q$53,B944),INDEX(Bases!$Q$2:$Q$53,C944))+Settings!$B$5*MIN(INDEX(Bases!$Q$2:$Q$53,B944),INDEX(Bases!$Q$2:$Q$53,C944))</f>
        <v>44</v>
      </c>
      <c r="X944" s="2" t="n">
        <f aca="false">Settings!$B$4*MAX(INDEX(Bases!$R$2:$R$53,B944),INDEX(Bases!$R$2:$R$53,C944))+Settings!$B$5*MIN(INDEX(Bases!$R$2:$R$53,B944),INDEX(Bases!$R$2:$R$53,C944))</f>
        <v>70.3333333333333</v>
      </c>
      <c r="Y944" s="2" t="n">
        <f aca="false">S944*Settings!$B$3/SUM(S944:X944)</f>
        <v>62.8332063975628</v>
      </c>
      <c r="Z944" s="2" t="n">
        <f aca="false">T944*Settings!$B$3/SUM(S944:X944)</f>
        <v>118.811881188119</v>
      </c>
      <c r="AA944" s="2" t="n">
        <f aca="false">U944*Settings!$B$3/SUM(S944:X944)</f>
        <v>95.2018278750952</v>
      </c>
      <c r="AB944" s="2" t="n">
        <f aca="false">V944*Settings!$B$3/SUM(S944:X944)</f>
        <v>92.5361766945925</v>
      </c>
      <c r="AC944" s="2" t="n">
        <f aca="false">W944*Settings!$B$3/SUM(S944:X944)</f>
        <v>50.2665651180503</v>
      </c>
      <c r="AD944" s="2" t="n">
        <f aca="false">X944*Settings!$B$3/SUM(S944:X944)</f>
        <v>80.3503427265804</v>
      </c>
      <c r="AE944" s="2" t="n">
        <f aca="false">INT(Y944)</f>
        <v>62</v>
      </c>
      <c r="AF944" s="2" t="n">
        <f aca="false">INT(Z944)</f>
        <v>118</v>
      </c>
      <c r="AG944" s="2" t="n">
        <f aca="false">INT(AA944)</f>
        <v>95</v>
      </c>
      <c r="AH944" s="2" t="n">
        <f aca="false">INT(AB944)</f>
        <v>92</v>
      </c>
      <c r="AI944" s="2" t="n">
        <f aca="false">INT(AC944)</f>
        <v>50</v>
      </c>
      <c r="AJ944" s="2" t="n">
        <f aca="false">INT(AD944)</f>
        <v>80</v>
      </c>
      <c r="AK944" s="2" t="n">
        <f aca="false">Settings!$B$3-SUM(AE944:AJ944)</f>
        <v>3</v>
      </c>
      <c r="AL944" s="2" t="n">
        <f aca="false">ROUND(Y944-AE944,9)</f>
        <v>0.833206398</v>
      </c>
      <c r="AM944" s="2" t="n">
        <f aca="false">ROUND(Z944-AF944,9)</f>
        <v>0.811881188</v>
      </c>
      <c r="AN944" s="2" t="n">
        <f aca="false">ROUND(AA944-AG944,9)</f>
        <v>0.201827875</v>
      </c>
      <c r="AO944" s="2" t="n">
        <f aca="false">ROUND(AB944-AH944,9)</f>
        <v>0.536176695</v>
      </c>
      <c r="AP944" s="2" t="n">
        <f aca="false">ROUND(AC944-AI944,9)</f>
        <v>0.266565118</v>
      </c>
      <c r="AQ944" s="2" t="n">
        <f aca="false">ROUND(AD944-AJ944,9)</f>
        <v>0.350342727</v>
      </c>
    </row>
    <row r="945" customFormat="false" ht="15" hidden="false" customHeight="false" outlineLevel="0" collapsed="false">
      <c r="A945" s="2" t="n">
        <v>944</v>
      </c>
      <c r="B945" s="6" t="n">
        <v>24</v>
      </c>
      <c r="C945" s="6" t="n">
        <v>48</v>
      </c>
      <c r="D945" s="8" t="str">
        <f aca="false">INDEX(Bases!$B$2:$B$53,B945)</f>
        <v>Koffing</v>
      </c>
      <c r="E945" s="8" t="str">
        <f aca="false">INDEX(Bases!$B$2:$B$53,C945)</f>
        <v>Magnemite</v>
      </c>
      <c r="F945" s="2" t="str">
        <f aca="false">LEFT(D945,ROUNDUP(LEN(D945)/2,0))&amp;LOWER(MID(E945,ROUNDUP(LEN(E945)/2,0)+1,20))</f>
        <v>Koffmite</v>
      </c>
      <c r="G945" s="8" t="str">
        <f aca="false">INDEX(Bases!$C$2:$C$53,B945)</f>
        <v>Poison</v>
      </c>
      <c r="H945" s="8" t="str">
        <f aca="false">IF(INDEX(Bases!$C$2:$C$53,C945)=G945,"",INDEX(Bases!$C$2:$C$53,C945))</f>
        <v>Steel</v>
      </c>
      <c r="I945" s="8" t="str">
        <f aca="false">IF(INDEX(Bases!$E$2:$E$53,B945)="","",INDEX(Bases!$E$2:$E$53,B945))</f>
        <v/>
      </c>
      <c r="J945" s="8" t="str">
        <f aca="false">IF(INDEX(Bases!$E$2:$E$53,C945)="","",INDEX(Bases!$E$2:$E$53,C945))</f>
        <v/>
      </c>
      <c r="K945" s="5"/>
      <c r="L945" s="2" t="n">
        <f aca="false">AE945+IF(SUMPRODUCT(--($AL945:$AQ945&gt;AL945))&lt;$AK945,1,0)</f>
        <v>49</v>
      </c>
      <c r="M945" s="2" t="n">
        <f aca="false">AF945+IF(SUMPRODUCT(--($AL945:$AQ945&gt;AM945))+SUMPRODUCT(--($AL945:AL945=AM945))&lt;$AK945,1,0)</f>
        <v>76</v>
      </c>
      <c r="N945" s="2" t="n">
        <f aca="false">AG945+IF(SUMPRODUCT(--($AL945:$AQ945&gt;AN945))+SUMPRODUCT(--($AL945:AM945=AN945))&lt;$AK945,1,0)</f>
        <v>122</v>
      </c>
      <c r="O945" s="2" t="n">
        <f aca="false">AH945+IF(SUMPRODUCT(--($AL945:$AQ945&gt;AO945))+SUMPRODUCT(--($AL945:AN945=AO945))&lt;$AK945,1,0)</f>
        <v>120</v>
      </c>
      <c r="P945" s="2" t="n">
        <f aca="false">AI945+IF(SUMPRODUCT(--($AL945:$AQ945&gt;AP945))+SUMPRODUCT(--($AL945:AO945=AP945))&lt;$AK945,1,0)</f>
        <v>74</v>
      </c>
      <c r="Q945" s="2" t="n">
        <f aca="false">AJ945+IF(SUMPRODUCT(--($AL945:$AQ945&gt;AQ945))+SUMPRODUCT(--($AL945:AP945=AQ945))&lt;$AK945,1,0)</f>
        <v>59</v>
      </c>
      <c r="R945" s="2" t="n">
        <f aca="false">SUM(L945:Q945)</f>
        <v>500</v>
      </c>
      <c r="S945" s="2" t="n">
        <f aca="false">Settings!$B$4*MAX(INDEX(Bases!$M$2:$M$53,B945),INDEX(Bases!$M$2:$M$53,C945))+Settings!$B$5*MIN(INDEX(Bases!$M$2:$M$53,B945),INDEX(Bases!$M$2:$M$53,C945))</f>
        <v>41.6666666666667</v>
      </c>
      <c r="T945" s="2" t="n">
        <f aca="false">Settings!$B$4*MAX(INDEX(Bases!$N$2:$N$53,B945),INDEX(Bases!$N$2:$N$53,C945))+Settings!$B$5*MIN(INDEX(Bases!$N$2:$N$53,B945),INDEX(Bases!$N$2:$N$53,C945))</f>
        <v>65</v>
      </c>
      <c r="U945" s="2" t="n">
        <f aca="false">Settings!$B$4*MAX(INDEX(Bases!$O$2:$O$53,B945),INDEX(Bases!$O$2:$O$53,C945))+Settings!$B$5*MIN(INDEX(Bases!$O$2:$O$53,B945),INDEX(Bases!$O$2:$O$53,C945))</f>
        <v>103.333333333333</v>
      </c>
      <c r="V945" s="2" t="n">
        <f aca="false">Settings!$B$4*MAX(INDEX(Bases!$P$2:$P$53,B945),INDEX(Bases!$P$2:$P$53,C945))+Settings!$B$5*MIN(INDEX(Bases!$P$2:$P$53,B945),INDEX(Bases!$P$2:$P$53,C945))</f>
        <v>101.666666666667</v>
      </c>
      <c r="W945" s="2" t="n">
        <f aca="false">Settings!$B$4*MAX(INDEX(Bases!$Q$2:$Q$53,B945),INDEX(Bases!$Q$2:$Q$53,C945))+Settings!$B$5*MIN(INDEX(Bases!$Q$2:$Q$53,B945),INDEX(Bases!$Q$2:$Q$53,C945))</f>
        <v>63</v>
      </c>
      <c r="X945" s="2" t="n">
        <f aca="false">Settings!$B$4*MAX(INDEX(Bases!$R$2:$R$53,B945),INDEX(Bases!$R$2:$R$53,C945))+Settings!$B$5*MIN(INDEX(Bases!$R$2:$R$53,B945),INDEX(Bases!$R$2:$R$53,C945))</f>
        <v>50.3333333333333</v>
      </c>
      <c r="Y945" s="2" t="n">
        <f aca="false">S945*Settings!$B$3/SUM(S945:X945)</f>
        <v>49.0196078431373</v>
      </c>
      <c r="Z945" s="2" t="n">
        <f aca="false">T945*Settings!$B$3/SUM(S945:X945)</f>
        <v>76.4705882352941</v>
      </c>
      <c r="AA945" s="2" t="n">
        <f aca="false">U945*Settings!$B$3/SUM(S945:X945)</f>
        <v>121.56862745098</v>
      </c>
      <c r="AB945" s="2" t="n">
        <f aca="false">V945*Settings!$B$3/SUM(S945:X945)</f>
        <v>119.607843137255</v>
      </c>
      <c r="AC945" s="2" t="n">
        <f aca="false">W945*Settings!$B$3/SUM(S945:X945)</f>
        <v>74.1176470588235</v>
      </c>
      <c r="AD945" s="2" t="n">
        <f aca="false">X945*Settings!$B$3/SUM(S945:X945)</f>
        <v>59.2156862745098</v>
      </c>
      <c r="AE945" s="2" t="n">
        <f aca="false">INT(Y945)</f>
        <v>49</v>
      </c>
      <c r="AF945" s="2" t="n">
        <f aca="false">INT(Z945)</f>
        <v>76</v>
      </c>
      <c r="AG945" s="2" t="n">
        <f aca="false">INT(AA945)</f>
        <v>121</v>
      </c>
      <c r="AH945" s="2" t="n">
        <f aca="false">INT(AB945)</f>
        <v>119</v>
      </c>
      <c r="AI945" s="2" t="n">
        <f aca="false">INT(AC945)</f>
        <v>74</v>
      </c>
      <c r="AJ945" s="2" t="n">
        <f aca="false">INT(AD945)</f>
        <v>59</v>
      </c>
      <c r="AK945" s="2" t="n">
        <f aca="false">Settings!$B$3-SUM(AE945:AJ945)</f>
        <v>2</v>
      </c>
      <c r="AL945" s="2" t="n">
        <f aca="false">ROUND(Y945-AE945,9)</f>
        <v>0.019607843</v>
      </c>
      <c r="AM945" s="2" t="n">
        <f aca="false">ROUND(Z945-AF945,9)</f>
        <v>0.470588235</v>
      </c>
      <c r="AN945" s="2" t="n">
        <f aca="false">ROUND(AA945-AG945,9)</f>
        <v>0.568627451</v>
      </c>
      <c r="AO945" s="2" t="n">
        <f aca="false">ROUND(AB945-AH945,9)</f>
        <v>0.607843137</v>
      </c>
      <c r="AP945" s="2" t="n">
        <f aca="false">ROUND(AC945-AI945,9)</f>
        <v>0.117647059</v>
      </c>
      <c r="AQ945" s="2" t="n">
        <f aca="false">ROUND(AD945-AJ945,9)</f>
        <v>0.215686275</v>
      </c>
    </row>
    <row r="946" customFormat="false" ht="15" hidden="false" customHeight="false" outlineLevel="0" collapsed="false">
      <c r="A946" s="2" t="n">
        <v>945</v>
      </c>
      <c r="B946" s="6" t="n">
        <v>24</v>
      </c>
      <c r="C946" s="6" t="n">
        <v>49</v>
      </c>
      <c r="D946" s="8" t="str">
        <f aca="false">INDEX(Bases!$B$2:$B$53,B946)</f>
        <v>Koffing</v>
      </c>
      <c r="E946" s="8" t="str">
        <f aca="false">INDEX(Bases!$B$2:$B$53,C946)</f>
        <v>Aron</v>
      </c>
      <c r="F946" s="2" t="str">
        <f aca="false">LEFT(D946,ROUNDUP(LEN(D946)/2,0))&amp;LOWER(MID(E946,ROUNDUP(LEN(E946)/2,0)+1,20))</f>
        <v>Koffon</v>
      </c>
      <c r="G946" s="8" t="str">
        <f aca="false">INDEX(Bases!$C$2:$C$53,B946)</f>
        <v>Poison</v>
      </c>
      <c r="H946" s="8" t="str">
        <f aca="false">IF(INDEX(Bases!$C$2:$C$53,C946)=G946,"",INDEX(Bases!$C$2:$C$53,C946))</f>
        <v>Steel</v>
      </c>
      <c r="I946" s="8" t="str">
        <f aca="false">IF(INDEX(Bases!$E$2:$E$53,B946)="","",INDEX(Bases!$E$2:$E$53,B946))</f>
        <v/>
      </c>
      <c r="J946" s="8" t="str">
        <f aca="false">IF(INDEX(Bases!$E$2:$E$53,C946)="","",INDEX(Bases!$E$2:$E$53,C946))</f>
        <v/>
      </c>
      <c r="K946" s="5"/>
      <c r="L946" s="2" t="n">
        <f aca="false">AE946+IF(SUMPRODUCT(--($AL946:$AQ946&gt;AL946))&lt;$AK946,1,0)</f>
        <v>69</v>
      </c>
      <c r="M946" s="2" t="n">
        <f aca="false">AF946+IF(SUMPRODUCT(--($AL946:$AQ946&gt;AM946))+SUMPRODUCT(--($AL946:AL946=AM946))&lt;$AK946,1,0)</f>
        <v>100</v>
      </c>
      <c r="N946" s="2" t="n">
        <f aca="false">AG946+IF(SUMPRODUCT(--($AL946:$AQ946&gt;AN946))+SUMPRODUCT(--($AL946:AM946=AN946))&lt;$AK946,1,0)</f>
        <v>144</v>
      </c>
      <c r="O946" s="2" t="n">
        <f aca="false">AH946+IF(SUMPRODUCT(--($AL946:$AQ946&gt;AO946))+SUMPRODUCT(--($AL946:AN946=AO946))&lt;$AK946,1,0)</f>
        <v>77</v>
      </c>
      <c r="P946" s="2" t="n">
        <f aca="false">AI946+IF(SUMPRODUCT(--($AL946:$AQ946&gt;AP946))+SUMPRODUCT(--($AL946:AO946=AP946))&lt;$AK946,1,0)</f>
        <v>62</v>
      </c>
      <c r="Q946" s="2" t="n">
        <f aca="false">AJ946+IF(SUMPRODUCT(--($AL946:$AQ946&gt;AQ946))+SUMPRODUCT(--($AL946:AP946=AQ946))&lt;$AK946,1,0)</f>
        <v>48</v>
      </c>
      <c r="R946" s="2" t="n">
        <f aca="false">SUM(L946:Q946)</f>
        <v>500</v>
      </c>
      <c r="S946" s="2" t="n">
        <f aca="false">Settings!$B$4*MAX(INDEX(Bases!$M$2:$M$53,B946),INDEX(Bases!$M$2:$M$53,C946))+Settings!$B$5*MIN(INDEX(Bases!$M$2:$M$53,B946),INDEX(Bases!$M$2:$M$53,C946))</f>
        <v>56.3333333333333</v>
      </c>
      <c r="T946" s="2" t="n">
        <f aca="false">Settings!$B$4*MAX(INDEX(Bases!$N$2:$N$53,B946),INDEX(Bases!$N$2:$N$53,C946))+Settings!$B$5*MIN(INDEX(Bases!$N$2:$N$53,B946),INDEX(Bases!$N$2:$N$53,C946))</f>
        <v>82</v>
      </c>
      <c r="U946" s="2" t="n">
        <f aca="false">Settings!$B$4*MAX(INDEX(Bases!$O$2:$O$53,B946),INDEX(Bases!$O$2:$O$53,C946))+Settings!$B$5*MIN(INDEX(Bases!$O$2:$O$53,B946),INDEX(Bases!$O$2:$O$53,C946))</f>
        <v>118</v>
      </c>
      <c r="V946" s="2" t="n">
        <f aca="false">Settings!$B$4*MAX(INDEX(Bases!$P$2:$P$53,B946),INDEX(Bases!$P$2:$P$53,C946))+Settings!$B$5*MIN(INDEX(Bases!$P$2:$P$53,B946),INDEX(Bases!$P$2:$P$53,C946))</f>
        <v>63.6666666666667</v>
      </c>
      <c r="W946" s="2" t="n">
        <f aca="false">Settings!$B$4*MAX(INDEX(Bases!$Q$2:$Q$53,B946),INDEX(Bases!$Q$2:$Q$53,C946))+Settings!$B$5*MIN(INDEX(Bases!$Q$2:$Q$53,B946),INDEX(Bases!$Q$2:$Q$53,C946))</f>
        <v>51.3333333333333</v>
      </c>
      <c r="X946" s="2" t="n">
        <f aca="false">Settings!$B$4*MAX(INDEX(Bases!$R$2:$R$53,B946),INDEX(Bases!$R$2:$R$53,C946))+Settings!$B$5*MIN(INDEX(Bases!$R$2:$R$53,B946),INDEX(Bases!$R$2:$R$53,C946))</f>
        <v>39.3333333333333</v>
      </c>
      <c r="Y946" s="2" t="n">
        <f aca="false">S946*Settings!$B$3/SUM(S946:X946)</f>
        <v>68.5876623376623</v>
      </c>
      <c r="Z946" s="2" t="n">
        <f aca="false">T946*Settings!$B$3/SUM(S946:X946)</f>
        <v>99.8376623376624</v>
      </c>
      <c r="AA946" s="2" t="n">
        <f aca="false">U946*Settings!$B$3/SUM(S946:X946)</f>
        <v>143.668831168831</v>
      </c>
      <c r="AB946" s="2" t="n">
        <f aca="false">V946*Settings!$B$3/SUM(S946:X946)</f>
        <v>77.5162337662338</v>
      </c>
      <c r="AC946" s="2" t="n">
        <f aca="false">W946*Settings!$B$3/SUM(S946:X946)</f>
        <v>62.5</v>
      </c>
      <c r="AD946" s="2" t="n">
        <f aca="false">X946*Settings!$B$3/SUM(S946:X946)</f>
        <v>47.8896103896104</v>
      </c>
      <c r="AE946" s="2" t="n">
        <f aca="false">INT(Y946)</f>
        <v>68</v>
      </c>
      <c r="AF946" s="2" t="n">
        <f aca="false">INT(Z946)</f>
        <v>99</v>
      </c>
      <c r="AG946" s="2" t="n">
        <f aca="false">INT(AA946)</f>
        <v>143</v>
      </c>
      <c r="AH946" s="2" t="n">
        <f aca="false">INT(AB946)</f>
        <v>77</v>
      </c>
      <c r="AI946" s="2" t="n">
        <f aca="false">INT(AC946)</f>
        <v>62</v>
      </c>
      <c r="AJ946" s="2" t="n">
        <f aca="false">INT(AD946)</f>
        <v>47</v>
      </c>
      <c r="AK946" s="2" t="n">
        <f aca="false">Settings!$B$3-SUM(AE946:AJ946)</f>
        <v>4</v>
      </c>
      <c r="AL946" s="2" t="n">
        <f aca="false">ROUND(Y946-AE946,9)</f>
        <v>0.587662338</v>
      </c>
      <c r="AM946" s="2" t="n">
        <f aca="false">ROUND(Z946-AF946,9)</f>
        <v>0.837662338</v>
      </c>
      <c r="AN946" s="2" t="n">
        <f aca="false">ROUND(AA946-AG946,9)</f>
        <v>0.668831169</v>
      </c>
      <c r="AO946" s="2" t="n">
        <f aca="false">ROUND(AB946-AH946,9)</f>
        <v>0.516233766</v>
      </c>
      <c r="AP946" s="2" t="n">
        <f aca="false">ROUND(AC946-AI946,9)</f>
        <v>0.5</v>
      </c>
      <c r="AQ946" s="2" t="n">
        <f aca="false">ROUND(AD946-AJ946,9)</f>
        <v>0.88961039</v>
      </c>
    </row>
    <row r="947" customFormat="false" ht="15" hidden="false" customHeight="false" outlineLevel="0" collapsed="false">
      <c r="A947" s="2" t="n">
        <v>946</v>
      </c>
      <c r="B947" s="6" t="n">
        <v>24</v>
      </c>
      <c r="C947" s="6" t="n">
        <v>50</v>
      </c>
      <c r="D947" s="8" t="str">
        <f aca="false">INDEX(Bases!$B$2:$B$53,B947)</f>
        <v>Koffing</v>
      </c>
      <c r="E947" s="8" t="str">
        <f aca="false">INDEX(Bases!$B$2:$B$53,C947)</f>
        <v>Beldum</v>
      </c>
      <c r="F947" s="2" t="str">
        <f aca="false">LEFT(D947,ROUNDUP(LEN(D947)/2,0))&amp;LOWER(MID(E947,ROUNDUP(LEN(E947)/2,0)+1,20))</f>
        <v>Koffdum</v>
      </c>
      <c r="G947" s="8" t="str">
        <f aca="false">INDEX(Bases!$C$2:$C$53,B947)</f>
        <v>Poison</v>
      </c>
      <c r="H947" s="8" t="str">
        <f aca="false">IF(INDEX(Bases!$C$2:$C$53,C947)=G947,"",INDEX(Bases!$C$2:$C$53,C947))</f>
        <v>Steel</v>
      </c>
      <c r="I947" s="8" t="str">
        <f aca="false">IF(INDEX(Bases!$E$2:$E$53,B947)="","",INDEX(Bases!$E$2:$E$53,B947))</f>
        <v/>
      </c>
      <c r="J947" s="8" t="str">
        <f aca="false">IF(INDEX(Bases!$E$2:$E$53,C947)="","",INDEX(Bases!$E$2:$E$53,C947))</f>
        <v/>
      </c>
      <c r="K947" s="5"/>
      <c r="L947" s="2" t="n">
        <f aca="false">AE947+IF(SUMPRODUCT(--($AL947:$AQ947&gt;AL947))&lt;$AK947,1,0)</f>
        <v>62</v>
      </c>
      <c r="M947" s="2" t="n">
        <f aca="false">AF947+IF(SUMPRODUCT(--($AL947:$AQ947&gt;AM947))+SUMPRODUCT(--($AL947:AL947=AM947))&lt;$AK947,1,0)</f>
        <v>91</v>
      </c>
      <c r="N947" s="2" t="n">
        <f aca="false">AG947+IF(SUMPRODUCT(--($AL947:$AQ947&gt;AN947))+SUMPRODUCT(--($AL947:AM947=AN947))&lt;$AK947,1,0)</f>
        <v>134</v>
      </c>
      <c r="O947" s="2" t="n">
        <f aca="false">AH947+IF(SUMPRODUCT(--($AL947:$AQ947&gt;AO947))+SUMPRODUCT(--($AL947:AN947=AO947))&lt;$AK947,1,0)</f>
        <v>77</v>
      </c>
      <c r="P947" s="2" t="n">
        <f aca="false">AI947+IF(SUMPRODUCT(--($AL947:$AQ947&gt;AP947))+SUMPRODUCT(--($AL947:AO947=AP947))&lt;$AK947,1,0)</f>
        <v>86</v>
      </c>
      <c r="Q947" s="2" t="n">
        <f aca="false">AJ947+IF(SUMPRODUCT(--($AL947:$AQ947&gt;AQ947))+SUMPRODUCT(--($AL947:AP947=AQ947))&lt;$AK947,1,0)</f>
        <v>50</v>
      </c>
      <c r="R947" s="2" t="n">
        <f aca="false">SUM(L947:Q947)</f>
        <v>500</v>
      </c>
      <c r="S947" s="2" t="n">
        <f aca="false">Settings!$B$4*MAX(INDEX(Bases!$M$2:$M$53,B947),INDEX(Bases!$M$2:$M$53,C947))+Settings!$B$5*MIN(INDEX(Bases!$M$2:$M$53,B947),INDEX(Bases!$M$2:$M$53,C947))</f>
        <v>51</v>
      </c>
      <c r="T947" s="2" t="n">
        <f aca="false">Settings!$B$4*MAX(INDEX(Bases!$N$2:$N$53,B947),INDEX(Bases!$N$2:$N$53,C947))+Settings!$B$5*MIN(INDEX(Bases!$N$2:$N$53,B947),INDEX(Bases!$N$2:$N$53,C947))</f>
        <v>75</v>
      </c>
      <c r="U947" s="2" t="n">
        <f aca="false">Settings!$B$4*MAX(INDEX(Bases!$O$2:$O$53,B947),INDEX(Bases!$O$2:$O$53,C947))+Settings!$B$5*MIN(INDEX(Bases!$O$2:$O$53,B947),INDEX(Bases!$O$2:$O$53,C947))</f>
        <v>110.333333333333</v>
      </c>
      <c r="V947" s="2" t="n">
        <f aca="false">Settings!$B$4*MAX(INDEX(Bases!$P$2:$P$53,B947),INDEX(Bases!$P$2:$P$53,C947))+Settings!$B$5*MIN(INDEX(Bases!$P$2:$P$53,B947),INDEX(Bases!$P$2:$P$53,C947))</f>
        <v>63</v>
      </c>
      <c r="W947" s="2" t="n">
        <f aca="false">Settings!$B$4*MAX(INDEX(Bases!$Q$2:$Q$53,B947),INDEX(Bases!$Q$2:$Q$53,C947))+Settings!$B$5*MIN(INDEX(Bases!$Q$2:$Q$53,B947),INDEX(Bases!$Q$2:$Q$53,C947))</f>
        <v>71</v>
      </c>
      <c r="X947" s="2" t="n">
        <f aca="false">Settings!$B$4*MAX(INDEX(Bases!$R$2:$R$53,B947),INDEX(Bases!$R$2:$R$53,C947))+Settings!$B$5*MIN(INDEX(Bases!$R$2:$R$53,B947),INDEX(Bases!$R$2:$R$53,C947))</f>
        <v>40.6666666666667</v>
      </c>
      <c r="Y947" s="2" t="n">
        <f aca="false">S947*Settings!$B$3/SUM(S947:X947)</f>
        <v>62.043795620438</v>
      </c>
      <c r="Z947" s="2" t="n">
        <f aca="false">T947*Settings!$B$3/SUM(S947:X947)</f>
        <v>91.2408759124088</v>
      </c>
      <c r="AA947" s="2" t="n">
        <f aca="false">U947*Settings!$B$3/SUM(S947:X947)</f>
        <v>134.225466342255</v>
      </c>
      <c r="AB947" s="2" t="n">
        <f aca="false">V947*Settings!$B$3/SUM(S947:X947)</f>
        <v>76.6423357664234</v>
      </c>
      <c r="AC947" s="2" t="n">
        <f aca="false">W947*Settings!$B$3/SUM(S947:X947)</f>
        <v>86.374695863747</v>
      </c>
      <c r="AD947" s="2" t="n">
        <f aca="false">X947*Settings!$B$3/SUM(S947:X947)</f>
        <v>49.4728304947283</v>
      </c>
      <c r="AE947" s="2" t="n">
        <f aca="false">INT(Y947)</f>
        <v>62</v>
      </c>
      <c r="AF947" s="2" t="n">
        <f aca="false">INT(Z947)</f>
        <v>91</v>
      </c>
      <c r="AG947" s="2" t="n">
        <f aca="false">INT(AA947)</f>
        <v>134</v>
      </c>
      <c r="AH947" s="2" t="n">
        <f aca="false">INT(AB947)</f>
        <v>76</v>
      </c>
      <c r="AI947" s="2" t="n">
        <f aca="false">INT(AC947)</f>
        <v>86</v>
      </c>
      <c r="AJ947" s="2" t="n">
        <f aca="false">INT(AD947)</f>
        <v>49</v>
      </c>
      <c r="AK947" s="2" t="n">
        <f aca="false">Settings!$B$3-SUM(AE947:AJ947)</f>
        <v>2</v>
      </c>
      <c r="AL947" s="2" t="n">
        <f aca="false">ROUND(Y947-AE947,9)</f>
        <v>0.04379562</v>
      </c>
      <c r="AM947" s="2" t="n">
        <f aca="false">ROUND(Z947-AF947,9)</f>
        <v>0.240875912</v>
      </c>
      <c r="AN947" s="2" t="n">
        <f aca="false">ROUND(AA947-AG947,9)</f>
        <v>0.225466342</v>
      </c>
      <c r="AO947" s="2" t="n">
        <f aca="false">ROUND(AB947-AH947,9)</f>
        <v>0.642335766</v>
      </c>
      <c r="AP947" s="2" t="n">
        <f aca="false">ROUND(AC947-AI947,9)</f>
        <v>0.374695864</v>
      </c>
      <c r="AQ947" s="2" t="n">
        <f aca="false">ROUND(AD947-AJ947,9)</f>
        <v>0.472830495</v>
      </c>
    </row>
    <row r="948" customFormat="false" ht="15" hidden="false" customHeight="false" outlineLevel="0" collapsed="false">
      <c r="A948" s="2" t="n">
        <v>947</v>
      </c>
      <c r="B948" s="6" t="n">
        <v>24</v>
      </c>
      <c r="C948" s="6" t="n">
        <v>51</v>
      </c>
      <c r="D948" s="8" t="str">
        <f aca="false">INDEX(Bases!$B$2:$B$53,B948)</f>
        <v>Koffing</v>
      </c>
      <c r="E948" s="8" t="str">
        <f aca="false">INDEX(Bases!$B$2:$B$53,C948)</f>
        <v>Cleffa</v>
      </c>
      <c r="F948" s="2" t="str">
        <f aca="false">LEFT(D948,ROUNDUP(LEN(D948)/2,0))&amp;LOWER(MID(E948,ROUNDUP(LEN(E948)/2,0)+1,20))</f>
        <v>Koffffa</v>
      </c>
      <c r="G948" s="8" t="str">
        <f aca="false">INDEX(Bases!$C$2:$C$53,B948)</f>
        <v>Poison</v>
      </c>
      <c r="H948" s="8" t="str">
        <f aca="false">IF(INDEX(Bases!$C$2:$C$53,C948)=G948,"",INDEX(Bases!$C$2:$C$53,C948))</f>
        <v>Fairy</v>
      </c>
      <c r="I948" s="8" t="str">
        <f aca="false">IF(INDEX(Bases!$E$2:$E$53,B948)="","",INDEX(Bases!$E$2:$E$53,B948))</f>
        <v/>
      </c>
      <c r="J948" s="8" t="str">
        <f aca="false">IF(INDEX(Bases!$E$2:$E$53,C948)="","",INDEX(Bases!$E$2:$E$53,C948))</f>
        <v/>
      </c>
      <c r="K948" s="5"/>
      <c r="L948" s="2" t="n">
        <f aca="false">AE948+IF(SUMPRODUCT(--($AL948:$AQ948&gt;AL948))&lt;$AK948,1,0)</f>
        <v>88</v>
      </c>
      <c r="M948" s="2" t="n">
        <f aca="false">AF948+IF(SUMPRODUCT(--($AL948:$AQ948&gt;AM948))+SUMPRODUCT(--($AL948:AL948=AM948))&lt;$AK948,1,0)</f>
        <v>76</v>
      </c>
      <c r="N948" s="2" t="n">
        <f aca="false">AG948+IF(SUMPRODUCT(--($AL948:$AQ948&gt;AN948))+SUMPRODUCT(--($AL948:AM948=AN948))&lt;$AK948,1,0)</f>
        <v>105</v>
      </c>
      <c r="O948" s="2" t="n">
        <f aca="false">AH948+IF(SUMPRODUCT(--($AL948:$AQ948&gt;AO948))+SUMPRODUCT(--($AL948:AN948=AO948))&lt;$AK948,1,0)</f>
        <v>91</v>
      </c>
      <c r="P948" s="2" t="n">
        <f aca="false">AI948+IF(SUMPRODUCT(--($AL948:$AQ948&gt;AP948))+SUMPRODUCT(--($AL948:AO948=AP948))&lt;$AK948,1,0)</f>
        <v>98</v>
      </c>
      <c r="Q948" s="2" t="n">
        <f aca="false">AJ948+IF(SUMPRODUCT(--($AL948:$AQ948&gt;AQ948))+SUMPRODUCT(--($AL948:AP948=AQ948))&lt;$AK948,1,0)</f>
        <v>42</v>
      </c>
      <c r="R948" s="2" t="n">
        <f aca="false">SUM(L948:Q948)</f>
        <v>500</v>
      </c>
      <c r="S948" s="2" t="n">
        <f aca="false">Settings!$B$4*MAX(INDEX(Bases!$M$2:$M$53,B948),INDEX(Bases!$M$2:$M$53,C948))+Settings!$B$5*MIN(INDEX(Bases!$M$2:$M$53,B948),INDEX(Bases!$M$2:$M$53,C948))</f>
        <v>77</v>
      </c>
      <c r="T948" s="2" t="n">
        <f aca="false">Settings!$B$4*MAX(INDEX(Bases!$N$2:$N$53,B948),INDEX(Bases!$N$2:$N$53,C948))+Settings!$B$5*MIN(INDEX(Bases!$N$2:$N$53,B948),INDEX(Bases!$N$2:$N$53,C948))</f>
        <v>66</v>
      </c>
      <c r="U948" s="2" t="n">
        <f aca="false">Settings!$B$4*MAX(INDEX(Bases!$O$2:$O$53,B948),INDEX(Bases!$O$2:$O$53,C948))+Settings!$B$5*MIN(INDEX(Bases!$O$2:$O$53,B948),INDEX(Bases!$O$2:$O$53,C948))</f>
        <v>91.6666666666667</v>
      </c>
      <c r="V948" s="2" t="n">
        <f aca="false">Settings!$B$4*MAX(INDEX(Bases!$P$2:$P$53,B948),INDEX(Bases!$P$2:$P$53,C948))+Settings!$B$5*MIN(INDEX(Bases!$P$2:$P$53,B948),INDEX(Bases!$P$2:$P$53,C948))</f>
        <v>79</v>
      </c>
      <c r="W948" s="2" t="n">
        <f aca="false">Settings!$B$4*MAX(INDEX(Bases!$Q$2:$Q$53,B948),INDEX(Bases!$Q$2:$Q$53,C948))+Settings!$B$5*MIN(INDEX(Bases!$Q$2:$Q$53,B948),INDEX(Bases!$Q$2:$Q$53,C948))</f>
        <v>85</v>
      </c>
      <c r="X948" s="2" t="n">
        <f aca="false">Settings!$B$4*MAX(INDEX(Bases!$R$2:$R$53,B948),INDEX(Bases!$R$2:$R$53,C948))+Settings!$B$5*MIN(INDEX(Bases!$R$2:$R$53,B948),INDEX(Bases!$R$2:$R$53,C948))</f>
        <v>36.3333333333333</v>
      </c>
      <c r="Y948" s="2" t="n">
        <f aca="false">S948*Settings!$B$3/SUM(S948:X948)</f>
        <v>88.5057471264368</v>
      </c>
      <c r="Z948" s="2" t="n">
        <f aca="false">T948*Settings!$B$3/SUM(S948:X948)</f>
        <v>75.8620689655173</v>
      </c>
      <c r="AA948" s="2" t="n">
        <f aca="false">U948*Settings!$B$3/SUM(S948:X948)</f>
        <v>105.36398467433</v>
      </c>
      <c r="AB948" s="2" t="n">
        <f aca="false">V948*Settings!$B$3/SUM(S948:X948)</f>
        <v>90.8045977011494</v>
      </c>
      <c r="AC948" s="2" t="n">
        <f aca="false">W948*Settings!$B$3/SUM(S948:X948)</f>
        <v>97.7011494252874</v>
      </c>
      <c r="AD948" s="2" t="n">
        <f aca="false">X948*Settings!$B$3/SUM(S948:X948)</f>
        <v>41.7624521072797</v>
      </c>
      <c r="AE948" s="2" t="n">
        <f aca="false">INT(Y948)</f>
        <v>88</v>
      </c>
      <c r="AF948" s="2" t="n">
        <f aca="false">INT(Z948)</f>
        <v>75</v>
      </c>
      <c r="AG948" s="2" t="n">
        <f aca="false">INT(AA948)</f>
        <v>105</v>
      </c>
      <c r="AH948" s="2" t="n">
        <f aca="false">INT(AB948)</f>
        <v>90</v>
      </c>
      <c r="AI948" s="2" t="n">
        <f aca="false">INT(AC948)</f>
        <v>97</v>
      </c>
      <c r="AJ948" s="2" t="n">
        <f aca="false">INT(AD948)</f>
        <v>41</v>
      </c>
      <c r="AK948" s="2" t="n">
        <f aca="false">Settings!$B$3-SUM(AE948:AJ948)</f>
        <v>4</v>
      </c>
      <c r="AL948" s="2" t="n">
        <f aca="false">ROUND(Y948-AE948,9)</f>
        <v>0.505747126</v>
      </c>
      <c r="AM948" s="2" t="n">
        <f aca="false">ROUND(Z948-AF948,9)</f>
        <v>0.862068966</v>
      </c>
      <c r="AN948" s="2" t="n">
        <f aca="false">ROUND(AA948-AG948,9)</f>
        <v>0.363984674</v>
      </c>
      <c r="AO948" s="2" t="n">
        <f aca="false">ROUND(AB948-AH948,9)</f>
        <v>0.804597701</v>
      </c>
      <c r="AP948" s="2" t="n">
        <f aca="false">ROUND(AC948-AI948,9)</f>
        <v>0.701149425</v>
      </c>
      <c r="AQ948" s="2" t="n">
        <f aca="false">ROUND(AD948-AJ948,9)</f>
        <v>0.762452107</v>
      </c>
    </row>
    <row r="949" customFormat="false" ht="15" hidden="false" customHeight="false" outlineLevel="0" collapsed="false">
      <c r="A949" s="2" t="n">
        <v>948</v>
      </c>
      <c r="B949" s="6" t="n">
        <v>24</v>
      </c>
      <c r="C949" s="6" t="n">
        <v>52</v>
      </c>
      <c r="D949" s="8" t="str">
        <f aca="false">INDEX(Bases!$B$2:$B$53,B949)</f>
        <v>Koffing</v>
      </c>
      <c r="E949" s="8" t="str">
        <f aca="false">INDEX(Bases!$B$2:$B$53,C949)</f>
        <v>Togepi</v>
      </c>
      <c r="F949" s="2" t="str">
        <f aca="false">LEFT(D949,ROUNDUP(LEN(D949)/2,0))&amp;LOWER(MID(E949,ROUNDUP(LEN(E949)/2,0)+1,20))</f>
        <v>Koffepi</v>
      </c>
      <c r="G949" s="8" t="str">
        <f aca="false">INDEX(Bases!$C$2:$C$53,B949)</f>
        <v>Poison</v>
      </c>
      <c r="H949" s="8" t="str">
        <f aca="false">IF(INDEX(Bases!$C$2:$C$53,C949)=G949,"",INDEX(Bases!$C$2:$C$53,C949))</f>
        <v>Fairy</v>
      </c>
      <c r="I949" s="8" t="str">
        <f aca="false">IF(INDEX(Bases!$E$2:$E$53,B949)="","",INDEX(Bases!$E$2:$E$53,B949))</f>
        <v/>
      </c>
      <c r="J949" s="8" t="str">
        <f aca="false">IF(INDEX(Bases!$E$2:$E$53,C949)="","",INDEX(Bases!$E$2:$E$53,C949))</f>
        <v/>
      </c>
      <c r="K949" s="5"/>
      <c r="L949" s="2" t="n">
        <f aca="false">AE949+IF(SUMPRODUCT(--($AL949:$AQ949&gt;AL949))&lt;$AK949,1,0)</f>
        <v>64</v>
      </c>
      <c r="M949" s="2" t="n">
        <f aca="false">AF949+IF(SUMPRODUCT(--($AL949:$AQ949&gt;AM949))+SUMPRODUCT(--($AL949:AL949=AM949))&lt;$AK949,1,0)</f>
        <v>73</v>
      </c>
      <c r="N949" s="2" t="n">
        <f aca="false">AG949+IF(SUMPRODUCT(--($AL949:$AQ949&gt;AN949))+SUMPRODUCT(--($AL949:AM949=AN949))&lt;$AK949,1,0)</f>
        <v>131</v>
      </c>
      <c r="O949" s="2" t="n">
        <f aca="false">AH949+IF(SUMPRODUCT(--($AL949:$AQ949&gt;AO949))+SUMPRODUCT(--($AL949:AN949=AO949))&lt;$AK949,1,0)</f>
        <v>82</v>
      </c>
      <c r="P949" s="2" t="n">
        <f aca="false">AI949+IF(SUMPRODUCT(--($AL949:$AQ949&gt;AP949))+SUMPRODUCT(--($AL949:AO949=AP949))&lt;$AK949,1,0)</f>
        <v>105</v>
      </c>
      <c r="Q949" s="2" t="n">
        <f aca="false">AJ949+IF(SUMPRODUCT(--($AL949:$AQ949&gt;AQ949))+SUMPRODUCT(--($AL949:AP949=AQ949))&lt;$AK949,1,0)</f>
        <v>45</v>
      </c>
      <c r="R949" s="2" t="n">
        <f aca="false">SUM(L949:Q949)</f>
        <v>500</v>
      </c>
      <c r="S949" s="2" t="n">
        <f aca="false">Settings!$B$4*MAX(INDEX(Bases!$M$2:$M$53,B949),INDEX(Bases!$M$2:$M$53,C949))+Settings!$B$5*MIN(INDEX(Bases!$M$2:$M$53,B949),INDEX(Bases!$M$2:$M$53,C949))</f>
        <v>53.6666666666667</v>
      </c>
      <c r="T949" s="2" t="n">
        <f aca="false">Settings!$B$4*MAX(INDEX(Bases!$N$2:$N$53,B949),INDEX(Bases!$N$2:$N$53,C949))+Settings!$B$5*MIN(INDEX(Bases!$N$2:$N$53,B949),INDEX(Bases!$N$2:$N$53,C949))</f>
        <v>61.6666666666667</v>
      </c>
      <c r="U949" s="2" t="n">
        <f aca="false">Settings!$B$4*MAX(INDEX(Bases!$O$2:$O$53,B949),INDEX(Bases!$O$2:$O$53,C949))+Settings!$B$5*MIN(INDEX(Bases!$O$2:$O$53,B949),INDEX(Bases!$O$2:$O$53,C949))</f>
        <v>110</v>
      </c>
      <c r="V949" s="2" t="n">
        <f aca="false">Settings!$B$4*MAX(INDEX(Bases!$P$2:$P$53,B949),INDEX(Bases!$P$2:$P$53,C949))+Settings!$B$5*MIN(INDEX(Bases!$P$2:$P$53,B949),INDEX(Bases!$P$2:$P$53,C949))</f>
        <v>69</v>
      </c>
      <c r="W949" s="2" t="n">
        <f aca="false">Settings!$B$4*MAX(INDEX(Bases!$Q$2:$Q$53,B949),INDEX(Bases!$Q$2:$Q$53,C949))+Settings!$B$5*MIN(INDEX(Bases!$Q$2:$Q$53,B949),INDEX(Bases!$Q$2:$Q$53,C949))</f>
        <v>88.3333333333333</v>
      </c>
      <c r="X949" s="2" t="n">
        <f aca="false">Settings!$B$4*MAX(INDEX(Bases!$R$2:$R$53,B949),INDEX(Bases!$R$2:$R$53,C949))+Settings!$B$5*MIN(INDEX(Bases!$R$2:$R$53,B949),INDEX(Bases!$R$2:$R$53,C949))</f>
        <v>38.3333333333333</v>
      </c>
      <c r="Y949" s="2" t="n">
        <f aca="false">S949*Settings!$B$3/SUM(S949:X949)</f>
        <v>63.7371338083927</v>
      </c>
      <c r="Z949" s="2" t="n">
        <f aca="false">T949*Settings!$B$3/SUM(S949:X949)</f>
        <v>73.2383214568488</v>
      </c>
      <c r="AA949" s="2" t="n">
        <f aca="false">U949*Settings!$B$3/SUM(S949:X949)</f>
        <v>130.641330166271</v>
      </c>
      <c r="AB949" s="2" t="n">
        <f aca="false">V949*Settings!$B$3/SUM(S949:X949)</f>
        <v>81.9477434679335</v>
      </c>
      <c r="AC949" s="2" t="n">
        <f aca="false">W949*Settings!$B$3/SUM(S949:X949)</f>
        <v>104.908946951702</v>
      </c>
      <c r="AD949" s="2" t="n">
        <f aca="false">X949*Settings!$B$3/SUM(S949:X949)</f>
        <v>45.5265241488519</v>
      </c>
      <c r="AE949" s="2" t="n">
        <f aca="false">INT(Y949)</f>
        <v>63</v>
      </c>
      <c r="AF949" s="2" t="n">
        <f aca="false">INT(Z949)</f>
        <v>73</v>
      </c>
      <c r="AG949" s="2" t="n">
        <f aca="false">INT(AA949)</f>
        <v>130</v>
      </c>
      <c r="AH949" s="2" t="n">
        <f aca="false">INT(AB949)</f>
        <v>81</v>
      </c>
      <c r="AI949" s="2" t="n">
        <f aca="false">INT(AC949)</f>
        <v>104</v>
      </c>
      <c r="AJ949" s="2" t="n">
        <f aca="false">INT(AD949)</f>
        <v>45</v>
      </c>
      <c r="AK949" s="2" t="n">
        <f aca="false">Settings!$B$3-SUM(AE949:AJ949)</f>
        <v>4</v>
      </c>
      <c r="AL949" s="2" t="n">
        <f aca="false">ROUND(Y949-AE949,9)</f>
        <v>0.737133808</v>
      </c>
      <c r="AM949" s="2" t="n">
        <f aca="false">ROUND(Z949-AF949,9)</f>
        <v>0.238321457</v>
      </c>
      <c r="AN949" s="2" t="n">
        <f aca="false">ROUND(AA949-AG949,9)</f>
        <v>0.641330166</v>
      </c>
      <c r="AO949" s="2" t="n">
        <f aca="false">ROUND(AB949-AH949,9)</f>
        <v>0.947743468</v>
      </c>
      <c r="AP949" s="2" t="n">
        <f aca="false">ROUND(AC949-AI949,9)</f>
        <v>0.908946952</v>
      </c>
      <c r="AQ949" s="2" t="n">
        <f aca="false">ROUND(AD949-AJ949,9)</f>
        <v>0.526524149</v>
      </c>
    </row>
    <row r="950" customFormat="false" ht="15" hidden="false" customHeight="false" outlineLevel="0" collapsed="false">
      <c r="A950" s="2" t="n">
        <v>949</v>
      </c>
      <c r="B950" s="6" t="n">
        <v>25</v>
      </c>
      <c r="C950" s="6" t="n">
        <v>26</v>
      </c>
      <c r="D950" s="8" t="str">
        <f aca="false">INDEX(Bases!$B$2:$B$53,B950)</f>
        <v>Sandshrew</v>
      </c>
      <c r="E950" s="8" t="str">
        <f aca="false">INDEX(Bases!$B$2:$B$53,C950)</f>
        <v>Phanpy</v>
      </c>
      <c r="F950" s="2" t="str">
        <f aca="false">LEFT(D950,ROUNDUP(LEN(D950)/2,0))&amp;LOWER(MID(E950,ROUNDUP(LEN(E950)/2,0)+1,20))</f>
        <v>Sandsnpy</v>
      </c>
      <c r="G950" s="8" t="str">
        <f aca="false">INDEX(Bases!$C$2:$C$53,B950)</f>
        <v>Ground</v>
      </c>
      <c r="H950" s="8" t="str">
        <f aca="false">IF(INDEX(Bases!$C$2:$C$53,C950)=G950,"",INDEX(Bases!$C$2:$C$53,C950))</f>
        <v/>
      </c>
      <c r="I950" s="8" t="str">
        <f aca="false">IF(INDEX(Bases!$E$2:$E$53,B950)="","",INDEX(Bases!$E$2:$E$53,B950))</f>
        <v/>
      </c>
      <c r="J950" s="8" t="str">
        <f aca="false">IF(INDEX(Bases!$E$2:$E$53,C950)="","",INDEX(Bases!$E$2:$E$53,C950))</f>
        <v/>
      </c>
      <c r="K950" s="5"/>
      <c r="L950" s="2" t="n">
        <f aca="false">AE950+IF(SUMPRODUCT(--($AL950:$AQ950&gt;AL950))&lt;$AK950,1,0)</f>
        <v>112</v>
      </c>
      <c r="M950" s="2" t="n">
        <f aca="false">AF950+IF(SUMPRODUCT(--($AL950:$AQ950&gt;AM950))+SUMPRODUCT(--($AL950:AL950=AM950))&lt;$AK950,1,0)</f>
        <v>107</v>
      </c>
      <c r="N950" s="2" t="n">
        <f aca="false">AG950+IF(SUMPRODUCT(--($AL950:$AQ950&gt;AN950))+SUMPRODUCT(--($AL950:AM950=AN950))&lt;$AK950,1,0)</f>
        <v>118</v>
      </c>
      <c r="O950" s="2" t="n">
        <f aca="false">AH950+IF(SUMPRODUCT(--($AL950:$AQ950&gt;AO950))+SUMPRODUCT(--($AL950:AN950=AO950))&lt;$AK950,1,0)</f>
        <v>49</v>
      </c>
      <c r="P950" s="2" t="n">
        <f aca="false">AI950+IF(SUMPRODUCT(--($AL950:$AQ950&gt;AP950))+SUMPRODUCT(--($AL950:AO950=AP950))&lt;$AK950,1,0)</f>
        <v>53</v>
      </c>
      <c r="Q950" s="2" t="n">
        <f aca="false">AJ950+IF(SUMPRODUCT(--($AL950:$AQ950&gt;AQ950))+SUMPRODUCT(--($AL950:AP950=AQ950))&lt;$AK950,1,0)</f>
        <v>61</v>
      </c>
      <c r="R950" s="2" t="n">
        <f aca="false">SUM(L950:Q950)</f>
        <v>500</v>
      </c>
      <c r="S950" s="2" t="n">
        <f aca="false">Settings!$B$4*MAX(INDEX(Bases!$M$2:$M$53,B950),INDEX(Bases!$M$2:$M$53,C950))+Settings!$B$5*MIN(INDEX(Bases!$M$2:$M$53,B950),INDEX(Bases!$M$2:$M$53,C950))</f>
        <v>95</v>
      </c>
      <c r="T950" s="2" t="n">
        <f aca="false">Settings!$B$4*MAX(INDEX(Bases!$N$2:$N$53,B950),INDEX(Bases!$N$2:$N$53,C950))+Settings!$B$5*MIN(INDEX(Bases!$N$2:$N$53,B950),INDEX(Bases!$N$2:$N$53,C950))</f>
        <v>91</v>
      </c>
      <c r="U950" s="2" t="n">
        <f aca="false">Settings!$B$4*MAX(INDEX(Bases!$O$2:$O$53,B950),INDEX(Bases!$O$2:$O$53,C950))+Settings!$B$5*MIN(INDEX(Bases!$O$2:$O$53,B950),INDEX(Bases!$O$2:$O$53,C950))</f>
        <v>99.6666666666667</v>
      </c>
      <c r="V950" s="2" t="n">
        <f aca="false">Settings!$B$4*MAX(INDEX(Bases!$P$2:$P$53,B950),INDEX(Bases!$P$2:$P$53,C950))+Settings!$B$5*MIN(INDEX(Bases!$P$2:$P$53,B950),INDEX(Bases!$P$2:$P$53,C950))</f>
        <v>41.6666666666667</v>
      </c>
      <c r="W950" s="2" t="n">
        <f aca="false">Settings!$B$4*MAX(INDEX(Bases!$Q$2:$Q$53,B950),INDEX(Bases!$Q$2:$Q$53,C950))+Settings!$B$5*MIN(INDEX(Bases!$Q$2:$Q$53,B950),INDEX(Bases!$Q$2:$Q$53,C950))</f>
        <v>45.3333333333333</v>
      </c>
      <c r="X950" s="2" t="n">
        <f aca="false">Settings!$B$4*MAX(INDEX(Bases!$R$2:$R$53,B950),INDEX(Bases!$R$2:$R$53,C950))+Settings!$B$5*MIN(INDEX(Bases!$R$2:$R$53,B950),INDEX(Bases!$R$2:$R$53,C950))</f>
        <v>51.3333333333333</v>
      </c>
      <c r="Y950" s="2" t="n">
        <f aca="false">S950*Settings!$B$3/SUM(S950:X950)</f>
        <v>112.028301886792</v>
      </c>
      <c r="Z950" s="2" t="n">
        <f aca="false">T950*Settings!$B$3/SUM(S950:X950)</f>
        <v>107.311320754717</v>
      </c>
      <c r="AA950" s="2" t="n">
        <f aca="false">U950*Settings!$B$3/SUM(S950:X950)</f>
        <v>117.531446540881</v>
      </c>
      <c r="AB950" s="2" t="n">
        <f aca="false">V950*Settings!$B$3/SUM(S950:X950)</f>
        <v>49.1352201257862</v>
      </c>
      <c r="AC950" s="2" t="n">
        <f aca="false">W950*Settings!$B$3/SUM(S950:X950)</f>
        <v>53.4591194968554</v>
      </c>
      <c r="AD950" s="2" t="n">
        <f aca="false">X950*Settings!$B$3/SUM(S950:X950)</f>
        <v>60.5345911949686</v>
      </c>
      <c r="AE950" s="2" t="n">
        <f aca="false">INT(Y950)</f>
        <v>112</v>
      </c>
      <c r="AF950" s="2" t="n">
        <f aca="false">INT(Z950)</f>
        <v>107</v>
      </c>
      <c r="AG950" s="2" t="n">
        <f aca="false">INT(AA950)</f>
        <v>117</v>
      </c>
      <c r="AH950" s="2" t="n">
        <f aca="false">INT(AB950)</f>
        <v>49</v>
      </c>
      <c r="AI950" s="2" t="n">
        <f aca="false">INT(AC950)</f>
        <v>53</v>
      </c>
      <c r="AJ950" s="2" t="n">
        <f aca="false">INT(AD950)</f>
        <v>60</v>
      </c>
      <c r="AK950" s="2" t="n">
        <f aca="false">Settings!$B$3-SUM(AE950:AJ950)</f>
        <v>2</v>
      </c>
      <c r="AL950" s="2" t="n">
        <f aca="false">ROUND(Y950-AE950,9)</f>
        <v>0.028301887</v>
      </c>
      <c r="AM950" s="2" t="n">
        <f aca="false">ROUND(Z950-AF950,9)</f>
        <v>0.311320755</v>
      </c>
      <c r="AN950" s="2" t="n">
        <f aca="false">ROUND(AA950-AG950,9)</f>
        <v>0.531446541</v>
      </c>
      <c r="AO950" s="2" t="n">
        <f aca="false">ROUND(AB950-AH950,9)</f>
        <v>0.135220126</v>
      </c>
      <c r="AP950" s="2" t="n">
        <f aca="false">ROUND(AC950-AI950,9)</f>
        <v>0.459119497</v>
      </c>
      <c r="AQ950" s="2" t="n">
        <f aca="false">ROUND(AD950-AJ950,9)</f>
        <v>0.534591195</v>
      </c>
    </row>
    <row r="951" customFormat="false" ht="15" hidden="false" customHeight="false" outlineLevel="0" collapsed="false">
      <c r="A951" s="2" t="n">
        <v>950</v>
      </c>
      <c r="B951" s="6" t="n">
        <v>25</v>
      </c>
      <c r="C951" s="6" t="n">
        <v>27</v>
      </c>
      <c r="D951" s="8" t="str">
        <f aca="false">INDEX(Bases!$B$2:$B$53,B951)</f>
        <v>Sandshrew</v>
      </c>
      <c r="E951" s="8" t="str">
        <f aca="false">INDEX(Bases!$B$2:$B$53,C951)</f>
        <v>Baltoy</v>
      </c>
      <c r="F951" s="2" t="str">
        <f aca="false">LEFT(D951,ROUNDUP(LEN(D951)/2,0))&amp;LOWER(MID(E951,ROUNDUP(LEN(E951)/2,0)+1,20))</f>
        <v>Sandstoy</v>
      </c>
      <c r="G951" s="8" t="str">
        <f aca="false">INDEX(Bases!$C$2:$C$53,B951)</f>
        <v>Ground</v>
      </c>
      <c r="H951" s="8" t="str">
        <f aca="false">IF(INDEX(Bases!$C$2:$C$53,C951)=G951,"",INDEX(Bases!$C$2:$C$53,C951))</f>
        <v/>
      </c>
      <c r="I951" s="8" t="str">
        <f aca="false">IF(INDEX(Bases!$E$2:$E$53,B951)="","",INDEX(Bases!$E$2:$E$53,B951))</f>
        <v/>
      </c>
      <c r="J951" s="8" t="str">
        <f aca="false">IF(INDEX(Bases!$E$2:$E$53,C951)="","",INDEX(Bases!$E$2:$E$53,C951))</f>
        <v/>
      </c>
      <c r="K951" s="5"/>
      <c r="L951" s="2" t="n">
        <f aca="false">AE951+IF(SUMPRODUCT(--($AL951:$AQ951&gt;AL951))&lt;$AK951,1,0)</f>
        <v>72</v>
      </c>
      <c r="M951" s="2" t="n">
        <f aca="false">AF951+IF(SUMPRODUCT(--($AL951:$AQ951&gt;AM951))+SUMPRODUCT(--($AL951:AL951=AM951))&lt;$AK951,1,0)</f>
        <v>98</v>
      </c>
      <c r="N951" s="2" t="n">
        <f aca="false">AG951+IF(SUMPRODUCT(--($AL951:$AQ951&gt;AN951))+SUMPRODUCT(--($AL951:AM951=AN951))&lt;$AK951,1,0)</f>
        <v>115</v>
      </c>
      <c r="O951" s="2" t="n">
        <f aca="false">AH951+IF(SUMPRODUCT(--($AL951:$AQ951&gt;AO951))+SUMPRODUCT(--($AL951:AN951=AO951))&lt;$AK951,1,0)</f>
        <v>51</v>
      </c>
      <c r="P951" s="2" t="n">
        <f aca="false">AI951+IF(SUMPRODUCT(--($AL951:$AQ951&gt;AP951))+SUMPRODUCT(--($AL951:AO951=AP951))&lt;$AK951,1,0)</f>
        <v>87</v>
      </c>
      <c r="Q951" s="2" t="n">
        <f aca="false">AJ951+IF(SUMPRODUCT(--($AL951:$AQ951&gt;AQ951))+SUMPRODUCT(--($AL951:AP951=AQ951))&lt;$AK951,1,0)</f>
        <v>77</v>
      </c>
      <c r="R951" s="2" t="n">
        <f aca="false">SUM(L951:Q951)</f>
        <v>500</v>
      </c>
      <c r="S951" s="2" t="n">
        <f aca="false">Settings!$B$4*MAX(INDEX(Bases!$M$2:$M$53,B951),INDEX(Bases!$M$2:$M$53,C951))+Settings!$B$5*MIN(INDEX(Bases!$M$2:$M$53,B951),INDEX(Bases!$M$2:$M$53,C951))</f>
        <v>62.6666666666667</v>
      </c>
      <c r="T951" s="2" t="n">
        <f aca="false">Settings!$B$4*MAX(INDEX(Bases!$N$2:$N$53,B951),INDEX(Bases!$N$2:$N$53,C951))+Settings!$B$5*MIN(INDEX(Bases!$N$2:$N$53,B951),INDEX(Bases!$N$2:$N$53,C951))</f>
        <v>84.6666666666667</v>
      </c>
      <c r="U951" s="2" t="n">
        <f aca="false">Settings!$B$4*MAX(INDEX(Bases!$O$2:$O$53,B951),INDEX(Bases!$O$2:$O$53,C951))+Settings!$B$5*MIN(INDEX(Bases!$O$2:$O$53,B951),INDEX(Bases!$O$2:$O$53,C951))</f>
        <v>99.6666666666667</v>
      </c>
      <c r="V951" s="2" t="n">
        <f aca="false">Settings!$B$4*MAX(INDEX(Bases!$P$2:$P$53,B951),INDEX(Bases!$P$2:$P$53,C951))+Settings!$B$5*MIN(INDEX(Bases!$P$2:$P$53,B951),INDEX(Bases!$P$2:$P$53,C951))</f>
        <v>44.3333333333333</v>
      </c>
      <c r="W951" s="2" t="n">
        <f aca="false">Settings!$B$4*MAX(INDEX(Bases!$Q$2:$Q$53,B951),INDEX(Bases!$Q$2:$Q$53,C951))+Settings!$B$5*MIN(INDEX(Bases!$Q$2:$Q$53,B951),INDEX(Bases!$Q$2:$Q$53,C951))</f>
        <v>75.3333333333333</v>
      </c>
      <c r="X951" s="2" t="n">
        <f aca="false">Settings!$B$4*MAX(INDEX(Bases!$R$2:$R$53,B951),INDEX(Bases!$R$2:$R$53,C951))+Settings!$B$5*MIN(INDEX(Bases!$R$2:$R$53,B951),INDEX(Bases!$R$2:$R$53,C951))</f>
        <v>66.3333333333333</v>
      </c>
      <c r="Y951" s="2" t="n">
        <f aca="false">S951*Settings!$B$3/SUM(S951:X951)</f>
        <v>72.3633564280216</v>
      </c>
      <c r="Z951" s="2" t="n">
        <f aca="false">T951*Settings!$B$3/SUM(S951:X951)</f>
        <v>97.7675134719015</v>
      </c>
      <c r="AA951" s="2" t="n">
        <f aca="false">U951*Settings!$B$3/SUM(S951:X951)</f>
        <v>115.088529638183</v>
      </c>
      <c r="AB951" s="2" t="n">
        <f aca="false">V951*Settings!$B$3/SUM(S951:X951)</f>
        <v>51.1932255581216</v>
      </c>
      <c r="AC951" s="2" t="n">
        <f aca="false">W951*Settings!$B$3/SUM(S951:X951)</f>
        <v>86.9899923017706</v>
      </c>
      <c r="AD951" s="2" t="n">
        <f aca="false">X951*Settings!$B$3/SUM(S951:X951)</f>
        <v>76.5973826020016</v>
      </c>
      <c r="AE951" s="2" t="n">
        <f aca="false">INT(Y951)</f>
        <v>72</v>
      </c>
      <c r="AF951" s="2" t="n">
        <f aca="false">INT(Z951)</f>
        <v>97</v>
      </c>
      <c r="AG951" s="2" t="n">
        <f aca="false">INT(AA951)</f>
        <v>115</v>
      </c>
      <c r="AH951" s="2" t="n">
        <f aca="false">INT(AB951)</f>
        <v>51</v>
      </c>
      <c r="AI951" s="2" t="n">
        <f aca="false">INT(AC951)</f>
        <v>86</v>
      </c>
      <c r="AJ951" s="2" t="n">
        <f aca="false">INT(AD951)</f>
        <v>76</v>
      </c>
      <c r="AK951" s="2" t="n">
        <f aca="false">Settings!$B$3-SUM(AE951:AJ951)</f>
        <v>3</v>
      </c>
      <c r="AL951" s="2" t="n">
        <f aca="false">ROUND(Y951-AE951,9)</f>
        <v>0.363356428</v>
      </c>
      <c r="AM951" s="2" t="n">
        <f aca="false">ROUND(Z951-AF951,9)</f>
        <v>0.767513472</v>
      </c>
      <c r="AN951" s="2" t="n">
        <f aca="false">ROUND(AA951-AG951,9)</f>
        <v>0.088529638</v>
      </c>
      <c r="AO951" s="2" t="n">
        <f aca="false">ROUND(AB951-AH951,9)</f>
        <v>0.193225558</v>
      </c>
      <c r="AP951" s="2" t="n">
        <f aca="false">ROUND(AC951-AI951,9)</f>
        <v>0.989992302</v>
      </c>
      <c r="AQ951" s="2" t="n">
        <f aca="false">ROUND(AD951-AJ951,9)</f>
        <v>0.597382602</v>
      </c>
    </row>
    <row r="952" customFormat="false" ht="15" hidden="false" customHeight="false" outlineLevel="0" collapsed="false">
      <c r="A952" s="2" t="n">
        <v>951</v>
      </c>
      <c r="B952" s="6" t="n">
        <v>25</v>
      </c>
      <c r="C952" s="6" t="n">
        <v>28</v>
      </c>
      <c r="D952" s="8" t="str">
        <f aca="false">INDEX(Bases!$B$2:$B$53,B952)</f>
        <v>Sandshrew</v>
      </c>
      <c r="E952" s="8" t="str">
        <f aca="false">INDEX(Bases!$B$2:$B$53,C952)</f>
        <v>Zubat</v>
      </c>
      <c r="F952" s="2" t="str">
        <f aca="false">LEFT(D952,ROUNDUP(LEN(D952)/2,0))&amp;LOWER(MID(E952,ROUNDUP(LEN(E952)/2,0)+1,20))</f>
        <v>Sandsat</v>
      </c>
      <c r="G952" s="8" t="str">
        <f aca="false">INDEX(Bases!$C$2:$C$53,B952)</f>
        <v>Ground</v>
      </c>
      <c r="H952" s="8" t="str">
        <f aca="false">IF(INDEX(Bases!$C$2:$C$53,C952)=G952,"",INDEX(Bases!$C$2:$C$53,C952))</f>
        <v>Flying</v>
      </c>
      <c r="I952" s="8" t="str">
        <f aca="false">IF(INDEX(Bases!$E$2:$E$53,B952)="","",INDEX(Bases!$E$2:$E$53,B952))</f>
        <v/>
      </c>
      <c r="J952" s="8" t="str">
        <f aca="false">IF(INDEX(Bases!$E$2:$E$53,C952)="","",INDEX(Bases!$E$2:$E$53,C952))</f>
        <v/>
      </c>
      <c r="K952" s="5"/>
      <c r="L952" s="2" t="n">
        <f aca="false">AE952+IF(SUMPRODUCT(--($AL952:$AQ952&gt;AL952))&lt;$AK952,1,0)</f>
        <v>77</v>
      </c>
      <c r="M952" s="2" t="n">
        <f aca="false">AF952+IF(SUMPRODUCT(--($AL952:$AQ952&gt;AM952))+SUMPRODUCT(--($AL952:AL952=AM952))&lt;$AK952,1,0)</f>
        <v>107</v>
      </c>
      <c r="N952" s="2" t="n">
        <f aca="false">AG952+IF(SUMPRODUCT(--($AL952:$AQ952&gt;AN952))+SUMPRODUCT(--($AL952:AM952=AN952))&lt;$AK952,1,0)</f>
        <v>110</v>
      </c>
      <c r="O952" s="2" t="n">
        <f aca="false">AH952+IF(SUMPRODUCT(--($AL952:$AQ952&gt;AO952))+SUMPRODUCT(--($AL952:AN952=AO952))&lt;$AK952,1,0)</f>
        <v>49</v>
      </c>
      <c r="P952" s="2" t="n">
        <f aca="false">AI952+IF(SUMPRODUCT(--($AL952:$AQ952&gt;AP952))+SUMPRODUCT(--($AL952:AO952=AP952))&lt;$AK952,1,0)</f>
        <v>66</v>
      </c>
      <c r="Q952" s="2" t="n">
        <f aca="false">AJ952+IF(SUMPRODUCT(--($AL952:$AQ952&gt;AQ952))+SUMPRODUCT(--($AL952:AP952=AQ952))&lt;$AK952,1,0)</f>
        <v>91</v>
      </c>
      <c r="R952" s="2" t="n">
        <f aca="false">SUM(L952:Q952)</f>
        <v>500</v>
      </c>
      <c r="S952" s="2" t="n">
        <f aca="false">Settings!$B$4*MAX(INDEX(Bases!$M$2:$M$53,B952),INDEX(Bases!$M$2:$M$53,C952))+Settings!$B$5*MIN(INDEX(Bases!$M$2:$M$53,B952),INDEX(Bases!$M$2:$M$53,C952))</f>
        <v>66.3333333333333</v>
      </c>
      <c r="T952" s="2" t="n">
        <f aca="false">Settings!$B$4*MAX(INDEX(Bases!$N$2:$N$53,B952),INDEX(Bases!$N$2:$N$53,C952))+Settings!$B$5*MIN(INDEX(Bases!$N$2:$N$53,B952),INDEX(Bases!$N$2:$N$53,C952))</f>
        <v>91.3333333333333</v>
      </c>
      <c r="U952" s="2" t="n">
        <f aca="false">Settings!$B$4*MAX(INDEX(Bases!$O$2:$O$53,B952),INDEX(Bases!$O$2:$O$53,C952))+Settings!$B$5*MIN(INDEX(Bases!$O$2:$O$53,B952),INDEX(Bases!$O$2:$O$53,C952))</f>
        <v>94.3333333333333</v>
      </c>
      <c r="V952" s="2" t="n">
        <f aca="false">Settings!$B$4*MAX(INDEX(Bases!$P$2:$P$53,B952),INDEX(Bases!$P$2:$P$53,C952))+Settings!$B$5*MIN(INDEX(Bases!$P$2:$P$53,B952),INDEX(Bases!$P$2:$P$53,C952))</f>
        <v>41.6666666666667</v>
      </c>
      <c r="W952" s="2" t="n">
        <f aca="false">Settings!$B$4*MAX(INDEX(Bases!$Q$2:$Q$53,B952),INDEX(Bases!$Q$2:$Q$53,C952))+Settings!$B$5*MIN(INDEX(Bases!$Q$2:$Q$53,B952),INDEX(Bases!$Q$2:$Q$53,C952))</f>
        <v>56.6666666666667</v>
      </c>
      <c r="X952" s="2" t="n">
        <f aca="false">Settings!$B$4*MAX(INDEX(Bases!$R$2:$R$53,B952),INDEX(Bases!$R$2:$R$53,C952))+Settings!$B$5*MIN(INDEX(Bases!$R$2:$R$53,B952),INDEX(Bases!$R$2:$R$53,C952))</f>
        <v>77.6666666666667</v>
      </c>
      <c r="Y952" s="2" t="n">
        <f aca="false">S952*Settings!$B$3/SUM(S952:X952)</f>
        <v>77.4922118380062</v>
      </c>
      <c r="Z952" s="2" t="n">
        <f aca="false">T952*Settings!$B$3/SUM(S952:X952)</f>
        <v>106.697819314642</v>
      </c>
      <c r="AA952" s="2" t="n">
        <f aca="false">U952*Settings!$B$3/SUM(S952:X952)</f>
        <v>110.202492211838</v>
      </c>
      <c r="AB952" s="2" t="n">
        <f aca="false">V952*Settings!$B$3/SUM(S952:X952)</f>
        <v>48.6760124610592</v>
      </c>
      <c r="AC952" s="2" t="n">
        <f aca="false">W952*Settings!$B$3/SUM(S952:X952)</f>
        <v>66.1993769470405</v>
      </c>
      <c r="AD952" s="2" t="n">
        <f aca="false">X952*Settings!$B$3/SUM(S952:X952)</f>
        <v>90.7320872274143</v>
      </c>
      <c r="AE952" s="2" t="n">
        <f aca="false">INT(Y952)</f>
        <v>77</v>
      </c>
      <c r="AF952" s="2" t="n">
        <f aca="false">INT(Z952)</f>
        <v>106</v>
      </c>
      <c r="AG952" s="2" t="n">
        <f aca="false">INT(AA952)</f>
        <v>110</v>
      </c>
      <c r="AH952" s="2" t="n">
        <f aca="false">INT(AB952)</f>
        <v>48</v>
      </c>
      <c r="AI952" s="2" t="n">
        <f aca="false">INT(AC952)</f>
        <v>66</v>
      </c>
      <c r="AJ952" s="2" t="n">
        <f aca="false">INT(AD952)</f>
        <v>90</v>
      </c>
      <c r="AK952" s="2" t="n">
        <f aca="false">Settings!$B$3-SUM(AE952:AJ952)</f>
        <v>3</v>
      </c>
      <c r="AL952" s="2" t="n">
        <f aca="false">ROUND(Y952-AE952,9)</f>
        <v>0.492211838</v>
      </c>
      <c r="AM952" s="2" t="n">
        <f aca="false">ROUND(Z952-AF952,9)</f>
        <v>0.697819315</v>
      </c>
      <c r="AN952" s="2" t="n">
        <f aca="false">ROUND(AA952-AG952,9)</f>
        <v>0.202492212</v>
      </c>
      <c r="AO952" s="2" t="n">
        <f aca="false">ROUND(AB952-AH952,9)</f>
        <v>0.676012461</v>
      </c>
      <c r="AP952" s="2" t="n">
        <f aca="false">ROUND(AC952-AI952,9)</f>
        <v>0.199376947</v>
      </c>
      <c r="AQ952" s="2" t="n">
        <f aca="false">ROUND(AD952-AJ952,9)</f>
        <v>0.732087227</v>
      </c>
    </row>
    <row r="953" customFormat="false" ht="15" hidden="false" customHeight="false" outlineLevel="0" collapsed="false">
      <c r="A953" s="2" t="n">
        <v>952</v>
      </c>
      <c r="B953" s="6" t="n">
        <v>25</v>
      </c>
      <c r="C953" s="6" t="n">
        <v>29</v>
      </c>
      <c r="D953" s="8" t="str">
        <f aca="false">INDEX(Bases!$B$2:$B$53,B953)</f>
        <v>Sandshrew</v>
      </c>
      <c r="E953" s="8" t="str">
        <f aca="false">INDEX(Bases!$B$2:$B$53,C953)</f>
        <v>Murkrow</v>
      </c>
      <c r="F953" s="2" t="str">
        <f aca="false">LEFT(D953,ROUNDUP(LEN(D953)/2,0))&amp;LOWER(MID(E953,ROUNDUP(LEN(E953)/2,0)+1,20))</f>
        <v>Sandsrow</v>
      </c>
      <c r="G953" s="8" t="str">
        <f aca="false">INDEX(Bases!$C$2:$C$53,B953)</f>
        <v>Ground</v>
      </c>
      <c r="H953" s="8" t="str">
        <f aca="false">IF(INDEX(Bases!$C$2:$C$53,C953)=G953,"",INDEX(Bases!$C$2:$C$53,C953))</f>
        <v>Flying</v>
      </c>
      <c r="I953" s="8" t="str">
        <f aca="false">IF(INDEX(Bases!$E$2:$E$53,B953)="","",INDEX(Bases!$E$2:$E$53,B953))</f>
        <v/>
      </c>
      <c r="J953" s="8" t="str">
        <f aca="false">IF(INDEX(Bases!$E$2:$E$53,C953)="","",INDEX(Bases!$E$2:$E$53,C953))</f>
        <v/>
      </c>
      <c r="K953" s="5"/>
      <c r="L953" s="2" t="n">
        <f aca="false">AE953+IF(SUMPRODUCT(--($AL953:$AQ953&gt;AL953))&lt;$AK953,1,0)</f>
        <v>75</v>
      </c>
      <c r="M953" s="2" t="n">
        <f aca="false">AF953+IF(SUMPRODUCT(--($AL953:$AQ953&gt;AM953))+SUMPRODUCT(--($AL953:AL953=AM953))&lt;$AK953,1,0)</f>
        <v>110</v>
      </c>
      <c r="N953" s="2" t="n">
        <f aca="false">AG953+IF(SUMPRODUCT(--($AL953:$AQ953&gt;AN953))+SUMPRODUCT(--($AL953:AM953=AN953))&lt;$AK953,1,0)</f>
        <v>103</v>
      </c>
      <c r="O953" s="2" t="n">
        <f aca="false">AH953+IF(SUMPRODUCT(--($AL953:$AQ953&gt;AO953))+SUMPRODUCT(--($AL953:AN953=AO953))&lt;$AK953,1,0)</f>
        <v>75</v>
      </c>
      <c r="P953" s="2" t="n">
        <f aca="false">AI953+IF(SUMPRODUCT(--($AL953:$AQ953&gt;AP953))+SUMPRODUCT(--($AL953:AO953=AP953))&lt;$AK953,1,0)</f>
        <v>47</v>
      </c>
      <c r="Q953" s="2" t="n">
        <f aca="false">AJ953+IF(SUMPRODUCT(--($AL953:$AQ953&gt;AQ953))+SUMPRODUCT(--($AL953:AP953=AQ953))&lt;$AK953,1,0)</f>
        <v>90</v>
      </c>
      <c r="R953" s="2" t="n">
        <f aca="false">SUM(L953:Q953)</f>
        <v>500</v>
      </c>
      <c r="S953" s="2" t="n">
        <f aca="false">Settings!$B$4*MAX(INDEX(Bases!$M$2:$M$53,B953),INDEX(Bases!$M$2:$M$53,C953))+Settings!$B$5*MIN(INDEX(Bases!$M$2:$M$53,B953),INDEX(Bases!$M$2:$M$53,C953))</f>
        <v>64.3333333333333</v>
      </c>
      <c r="T953" s="2" t="n">
        <f aca="false">Settings!$B$4*MAX(INDEX(Bases!$N$2:$N$53,B953),INDEX(Bases!$N$2:$N$53,C953))+Settings!$B$5*MIN(INDEX(Bases!$N$2:$N$53,B953),INDEX(Bases!$N$2:$N$53,C953))</f>
        <v>94.6666666666667</v>
      </c>
      <c r="U953" s="2" t="n">
        <f aca="false">Settings!$B$4*MAX(INDEX(Bases!$O$2:$O$53,B953),INDEX(Bases!$O$2:$O$53,C953))+Settings!$B$5*MIN(INDEX(Bases!$O$2:$O$53,B953),INDEX(Bases!$O$2:$O$53,C953))</f>
        <v>89.3333333333333</v>
      </c>
      <c r="V953" s="2" t="n">
        <f aca="false">Settings!$B$4*MAX(INDEX(Bases!$P$2:$P$53,B953),INDEX(Bases!$P$2:$P$53,C953))+Settings!$B$5*MIN(INDEX(Bases!$P$2:$P$53,B953),INDEX(Bases!$P$2:$P$53,C953))</f>
        <v>65</v>
      </c>
      <c r="W953" s="2" t="n">
        <f aca="false">Settings!$B$4*MAX(INDEX(Bases!$Q$2:$Q$53,B953),INDEX(Bases!$Q$2:$Q$53,C953))+Settings!$B$5*MIN(INDEX(Bases!$Q$2:$Q$53,B953),INDEX(Bases!$Q$2:$Q$53,C953))</f>
        <v>40.6666666666667</v>
      </c>
      <c r="X953" s="2" t="n">
        <f aca="false">Settings!$B$4*MAX(INDEX(Bases!$R$2:$R$53,B953),INDEX(Bases!$R$2:$R$53,C953))+Settings!$B$5*MIN(INDEX(Bases!$R$2:$R$53,B953),INDEX(Bases!$R$2:$R$53,C953))</f>
        <v>77.6666666666667</v>
      </c>
      <c r="Y953" s="2" t="n">
        <f aca="false">S953*Settings!$B$3/SUM(S953:X953)</f>
        <v>74.5173745173745</v>
      </c>
      <c r="Z953" s="2" t="n">
        <f aca="false">T953*Settings!$B$3/SUM(S953:X953)</f>
        <v>109.65250965251</v>
      </c>
      <c r="AA953" s="2" t="n">
        <f aca="false">U953*Settings!$B$3/SUM(S953:X953)</f>
        <v>103.474903474903</v>
      </c>
      <c r="AB953" s="2" t="n">
        <f aca="false">V953*Settings!$B$3/SUM(S953:X953)</f>
        <v>75.2895752895753</v>
      </c>
      <c r="AC953" s="2" t="n">
        <f aca="false">W953*Settings!$B$3/SUM(S953:X953)</f>
        <v>47.1042471042471</v>
      </c>
      <c r="AD953" s="2" t="n">
        <f aca="false">X953*Settings!$B$3/SUM(S953:X953)</f>
        <v>89.96138996139</v>
      </c>
      <c r="AE953" s="2" t="n">
        <f aca="false">INT(Y953)</f>
        <v>74</v>
      </c>
      <c r="AF953" s="2" t="n">
        <f aca="false">INT(Z953)</f>
        <v>109</v>
      </c>
      <c r="AG953" s="2" t="n">
        <f aca="false">INT(AA953)</f>
        <v>103</v>
      </c>
      <c r="AH953" s="2" t="n">
        <f aca="false">INT(AB953)</f>
        <v>75</v>
      </c>
      <c r="AI953" s="2" t="n">
        <f aca="false">INT(AC953)</f>
        <v>47</v>
      </c>
      <c r="AJ953" s="2" t="n">
        <f aca="false">INT(AD953)</f>
        <v>89</v>
      </c>
      <c r="AK953" s="2" t="n">
        <f aca="false">Settings!$B$3-SUM(AE953:AJ953)</f>
        <v>3</v>
      </c>
      <c r="AL953" s="2" t="n">
        <f aca="false">ROUND(Y953-AE953,9)</f>
        <v>0.517374517</v>
      </c>
      <c r="AM953" s="2" t="n">
        <f aca="false">ROUND(Z953-AF953,9)</f>
        <v>0.652509653</v>
      </c>
      <c r="AN953" s="2" t="n">
        <f aca="false">ROUND(AA953-AG953,9)</f>
        <v>0.474903475</v>
      </c>
      <c r="AO953" s="2" t="n">
        <f aca="false">ROUND(AB953-AH953,9)</f>
        <v>0.28957529</v>
      </c>
      <c r="AP953" s="2" t="n">
        <f aca="false">ROUND(AC953-AI953,9)</f>
        <v>0.104247104</v>
      </c>
      <c r="AQ953" s="2" t="n">
        <f aca="false">ROUND(AD953-AJ953,9)</f>
        <v>0.961389961</v>
      </c>
    </row>
    <row r="954" customFormat="false" ht="15" hidden="false" customHeight="false" outlineLevel="0" collapsed="false">
      <c r="A954" s="2" t="n">
        <v>953</v>
      </c>
      <c r="B954" s="6" t="n">
        <v>25</v>
      </c>
      <c r="C954" s="6" t="n">
        <v>30</v>
      </c>
      <c r="D954" s="8" t="str">
        <f aca="false">INDEX(Bases!$B$2:$B$53,B954)</f>
        <v>Sandshrew</v>
      </c>
      <c r="E954" s="8" t="str">
        <f aca="false">INDEX(Bases!$B$2:$B$53,C954)</f>
        <v>Swablu</v>
      </c>
      <c r="F954" s="2" t="str">
        <f aca="false">LEFT(D954,ROUNDUP(LEN(D954)/2,0))&amp;LOWER(MID(E954,ROUNDUP(LEN(E954)/2,0)+1,20))</f>
        <v>Sandsblu</v>
      </c>
      <c r="G954" s="8" t="str">
        <f aca="false">INDEX(Bases!$C$2:$C$53,B954)</f>
        <v>Ground</v>
      </c>
      <c r="H954" s="8" t="str">
        <f aca="false">IF(INDEX(Bases!$C$2:$C$53,C954)=G954,"",INDEX(Bases!$C$2:$C$53,C954))</f>
        <v>Flying</v>
      </c>
      <c r="I954" s="8" t="str">
        <f aca="false">IF(INDEX(Bases!$E$2:$E$53,B954)="","",INDEX(Bases!$E$2:$E$53,B954))</f>
        <v/>
      </c>
      <c r="J954" s="8" t="str">
        <f aca="false">IF(INDEX(Bases!$E$2:$E$53,C954)="","",INDEX(Bases!$E$2:$E$53,C954))</f>
        <v/>
      </c>
      <c r="K954" s="5"/>
      <c r="L954" s="2" t="n">
        <f aca="false">AE954+IF(SUMPRODUCT(--($AL954:$AQ954&gt;AL954))&lt;$AK954,1,0)</f>
        <v>74</v>
      </c>
      <c r="M954" s="2" t="n">
        <f aca="false">AF954+IF(SUMPRODUCT(--($AL954:$AQ954&gt;AM954))+SUMPRODUCT(--($AL954:AL954=AM954))&lt;$AK954,1,0)</f>
        <v>97</v>
      </c>
      <c r="N954" s="2" t="n">
        <f aca="false">AG954+IF(SUMPRODUCT(--($AL954:$AQ954&gt;AN954))+SUMPRODUCT(--($AL954:AM954=AN954))&lt;$AK954,1,0)</f>
        <v>117</v>
      </c>
      <c r="O954" s="2" t="n">
        <f aca="false">AH954+IF(SUMPRODUCT(--($AL954:$AQ954&gt;AO954))+SUMPRODUCT(--($AL954:AN954=AO954))&lt;$AK954,1,0)</f>
        <v>51</v>
      </c>
      <c r="P954" s="2" t="n">
        <f aca="false">AI954+IF(SUMPRODUCT(--($AL954:$AQ954&gt;AP954))+SUMPRODUCT(--($AL954:AO954=AP954))&lt;$AK954,1,0)</f>
        <v>91</v>
      </c>
      <c r="Q954" s="2" t="n">
        <f aca="false">AJ954+IF(SUMPRODUCT(--($AL954:$AQ954&gt;AQ954))+SUMPRODUCT(--($AL954:AP954=AQ954))&lt;$AK954,1,0)</f>
        <v>70</v>
      </c>
      <c r="R954" s="2" t="n">
        <f aca="false">SUM(L954:Q954)</f>
        <v>500</v>
      </c>
      <c r="S954" s="2" t="n">
        <f aca="false">Settings!$B$4*MAX(INDEX(Bases!$M$2:$M$53,B954),INDEX(Bases!$M$2:$M$53,C954))+Settings!$B$5*MIN(INDEX(Bases!$M$2:$M$53,B954),INDEX(Bases!$M$2:$M$53,C954))</f>
        <v>64</v>
      </c>
      <c r="T954" s="2" t="n">
        <f aca="false">Settings!$B$4*MAX(INDEX(Bases!$N$2:$N$53,B954),INDEX(Bases!$N$2:$N$53,C954))+Settings!$B$5*MIN(INDEX(Bases!$N$2:$N$53,B954),INDEX(Bases!$N$2:$N$53,C954))</f>
        <v>84</v>
      </c>
      <c r="U954" s="2" t="n">
        <f aca="false">Settings!$B$4*MAX(INDEX(Bases!$O$2:$O$53,B954),INDEX(Bases!$O$2:$O$53,C954))+Settings!$B$5*MIN(INDEX(Bases!$O$2:$O$53,B954),INDEX(Bases!$O$2:$O$53,C954))</f>
        <v>101</v>
      </c>
      <c r="V954" s="2" t="n">
        <f aca="false">Settings!$B$4*MAX(INDEX(Bases!$P$2:$P$53,B954),INDEX(Bases!$P$2:$P$53,C954))+Settings!$B$5*MIN(INDEX(Bases!$P$2:$P$53,B954),INDEX(Bases!$P$2:$P$53,C954))</f>
        <v>43.6666666666667</v>
      </c>
      <c r="W954" s="2" t="n">
        <f aca="false">Settings!$B$4*MAX(INDEX(Bases!$Q$2:$Q$53,B954),INDEX(Bases!$Q$2:$Q$53,C954))+Settings!$B$5*MIN(INDEX(Bases!$Q$2:$Q$53,B954),INDEX(Bases!$Q$2:$Q$53,C954))</f>
        <v>78</v>
      </c>
      <c r="X954" s="2" t="n">
        <f aca="false">Settings!$B$4*MAX(INDEX(Bases!$R$2:$R$53,B954),INDEX(Bases!$R$2:$R$53,C954))+Settings!$B$5*MIN(INDEX(Bases!$R$2:$R$53,B954),INDEX(Bases!$R$2:$R$53,C954))</f>
        <v>60.3333333333333</v>
      </c>
      <c r="Y954" s="2" t="n">
        <f aca="false">S954*Settings!$B$3/SUM(S954:X954)</f>
        <v>74.245939675174</v>
      </c>
      <c r="Z954" s="2" t="n">
        <f aca="false">T954*Settings!$B$3/SUM(S954:X954)</f>
        <v>97.4477958236659</v>
      </c>
      <c r="AA954" s="2" t="n">
        <f aca="false">U954*Settings!$B$3/SUM(S954:X954)</f>
        <v>117.169373549884</v>
      </c>
      <c r="AB954" s="2" t="n">
        <f aca="false">V954*Settings!$B$3/SUM(S954:X954)</f>
        <v>50.6573859242073</v>
      </c>
      <c r="AC954" s="2" t="n">
        <f aca="false">W954*Settings!$B$3/SUM(S954:X954)</f>
        <v>90.4872389791183</v>
      </c>
      <c r="AD954" s="2" t="n">
        <f aca="false">X954*Settings!$B$3/SUM(S954:X954)</f>
        <v>69.9922660479505</v>
      </c>
      <c r="AE954" s="2" t="n">
        <f aca="false">INT(Y954)</f>
        <v>74</v>
      </c>
      <c r="AF954" s="2" t="n">
        <f aca="false">INT(Z954)</f>
        <v>97</v>
      </c>
      <c r="AG954" s="2" t="n">
        <f aca="false">INT(AA954)</f>
        <v>117</v>
      </c>
      <c r="AH954" s="2" t="n">
        <f aca="false">INT(AB954)</f>
        <v>50</v>
      </c>
      <c r="AI954" s="2" t="n">
        <f aca="false">INT(AC954)</f>
        <v>90</v>
      </c>
      <c r="AJ954" s="2" t="n">
        <f aca="false">INT(AD954)</f>
        <v>69</v>
      </c>
      <c r="AK954" s="2" t="n">
        <f aca="false">Settings!$B$3-SUM(AE954:AJ954)</f>
        <v>3</v>
      </c>
      <c r="AL954" s="2" t="n">
        <f aca="false">ROUND(Y954-AE954,9)</f>
        <v>0.245939675</v>
      </c>
      <c r="AM954" s="2" t="n">
        <f aca="false">ROUND(Z954-AF954,9)</f>
        <v>0.447795824</v>
      </c>
      <c r="AN954" s="2" t="n">
        <f aca="false">ROUND(AA954-AG954,9)</f>
        <v>0.16937355</v>
      </c>
      <c r="AO954" s="2" t="n">
        <f aca="false">ROUND(AB954-AH954,9)</f>
        <v>0.657385924</v>
      </c>
      <c r="AP954" s="2" t="n">
        <f aca="false">ROUND(AC954-AI954,9)</f>
        <v>0.487238979</v>
      </c>
      <c r="AQ954" s="2" t="n">
        <f aca="false">ROUND(AD954-AJ954,9)</f>
        <v>0.992266048</v>
      </c>
    </row>
    <row r="955" customFormat="false" ht="15" hidden="false" customHeight="false" outlineLevel="0" collapsed="false">
      <c r="A955" s="2" t="n">
        <v>954</v>
      </c>
      <c r="B955" s="6" t="n">
        <v>25</v>
      </c>
      <c r="C955" s="6" t="n">
        <v>31</v>
      </c>
      <c r="D955" s="8" t="str">
        <f aca="false">INDEX(Bases!$B$2:$B$53,B955)</f>
        <v>Sandshrew</v>
      </c>
      <c r="E955" s="8" t="str">
        <f aca="false">INDEX(Bases!$B$2:$B$53,C955)</f>
        <v>Mew</v>
      </c>
      <c r="F955" s="2" t="str">
        <f aca="false">LEFT(D955,ROUNDUP(LEN(D955)/2,0))&amp;LOWER(MID(E955,ROUNDUP(LEN(E955)/2,0)+1,20))</f>
        <v>Sandsw</v>
      </c>
      <c r="G955" s="8" t="str">
        <f aca="false">INDEX(Bases!$C$2:$C$53,B955)</f>
        <v>Ground</v>
      </c>
      <c r="H955" s="8" t="str">
        <f aca="false">IF(INDEX(Bases!$C$2:$C$53,C955)=G955,"",INDEX(Bases!$C$2:$C$53,C955))</f>
        <v>Psychic</v>
      </c>
      <c r="I955" s="8" t="str">
        <f aca="false">IF(INDEX(Bases!$E$2:$E$53,B955)="","",INDEX(Bases!$E$2:$E$53,B955))</f>
        <v/>
      </c>
      <c r="J955" s="8" t="str">
        <f aca="false">IF(INDEX(Bases!$E$2:$E$53,C955)="","",INDEX(Bases!$E$2:$E$53,C955))</f>
        <v/>
      </c>
      <c r="K955" s="5"/>
      <c r="L955" s="2" t="n">
        <f aca="false">AE955+IF(SUMPRODUCT(--($AL955:$AQ955&gt;AL955))&lt;$AK955,1,0)</f>
        <v>79</v>
      </c>
      <c r="M955" s="2" t="n">
        <f aca="false">AF955+IF(SUMPRODUCT(--($AL955:$AQ955&gt;AM955))+SUMPRODUCT(--($AL955:AL955=AM955))&lt;$AK955,1,0)</f>
        <v>104</v>
      </c>
      <c r="N955" s="2" t="n">
        <f aca="false">AG955+IF(SUMPRODUCT(--($AL955:$AQ955&gt;AN955))+SUMPRODUCT(--($AL955:AM955=AN955))&lt;$AK955,1,0)</f>
        <v>115</v>
      </c>
      <c r="O955" s="2" t="n">
        <f aca="false">AH955+IF(SUMPRODUCT(--($AL955:$AQ955&gt;AO955))+SUMPRODUCT(--($AL955:AN955=AO955))&lt;$AK955,1,0)</f>
        <v>63</v>
      </c>
      <c r="P955" s="2" t="n">
        <f aca="false">AI955+IF(SUMPRODUCT(--($AL955:$AQ955&gt;AP955))+SUMPRODUCT(--($AL955:AO955=AP955))&lt;$AK955,1,0)</f>
        <v>67</v>
      </c>
      <c r="Q955" s="2" t="n">
        <f aca="false">AJ955+IF(SUMPRODUCT(--($AL955:$AQ955&gt;AQ955))+SUMPRODUCT(--($AL955:AP955=AQ955))&lt;$AK955,1,0)</f>
        <v>72</v>
      </c>
      <c r="R955" s="2" t="n">
        <f aca="false">SUM(L955:Q955)</f>
        <v>500</v>
      </c>
      <c r="S955" s="2" t="n">
        <f aca="false">Settings!$B$4*MAX(INDEX(Bases!$M$2:$M$53,B955),INDEX(Bases!$M$2:$M$53,C955))+Settings!$B$5*MIN(INDEX(Bases!$M$2:$M$53,B955),INDEX(Bases!$M$2:$M$53,C955))</f>
        <v>67</v>
      </c>
      <c r="T955" s="2" t="n">
        <f aca="false">Settings!$B$4*MAX(INDEX(Bases!$N$2:$N$53,B955),INDEX(Bases!$N$2:$N$53,C955))+Settings!$B$5*MIN(INDEX(Bases!$N$2:$N$53,B955),INDEX(Bases!$N$2:$N$53,C955))</f>
        <v>89</v>
      </c>
      <c r="U955" s="2" t="n">
        <f aca="false">Settings!$B$4*MAX(INDEX(Bases!$O$2:$O$53,B955),INDEX(Bases!$O$2:$O$53,C955))+Settings!$B$5*MIN(INDEX(Bases!$O$2:$O$53,B955),INDEX(Bases!$O$2:$O$53,C955))</f>
        <v>97.6666666666667</v>
      </c>
      <c r="V955" s="2" t="n">
        <f aca="false">Settings!$B$4*MAX(INDEX(Bases!$P$2:$P$53,B955),INDEX(Bases!$P$2:$P$53,C955))+Settings!$B$5*MIN(INDEX(Bases!$P$2:$P$53,B955),INDEX(Bases!$P$2:$P$53,C955))</f>
        <v>53.6666666666667</v>
      </c>
      <c r="W955" s="2" t="n">
        <f aca="false">Settings!$B$4*MAX(INDEX(Bases!$Q$2:$Q$53,B955),INDEX(Bases!$Q$2:$Q$53,C955))+Settings!$B$5*MIN(INDEX(Bases!$Q$2:$Q$53,B955),INDEX(Bases!$Q$2:$Q$53,C955))</f>
        <v>57.3333333333333</v>
      </c>
      <c r="X955" s="2" t="n">
        <f aca="false">Settings!$B$4*MAX(INDEX(Bases!$R$2:$R$53,B955),INDEX(Bases!$R$2:$R$53,C955))+Settings!$B$5*MIN(INDEX(Bases!$R$2:$R$53,B955),INDEX(Bases!$R$2:$R$53,C955))</f>
        <v>61.6666666666667</v>
      </c>
      <c r="Y955" s="2" t="n">
        <f aca="false">S955*Settings!$B$3/SUM(S955:X955)</f>
        <v>78.5770132916341</v>
      </c>
      <c r="Z955" s="2" t="n">
        <f aca="false">T955*Settings!$B$3/SUM(S955:X955)</f>
        <v>104.378420641126</v>
      </c>
      <c r="AA955" s="2" t="n">
        <f aca="false">U955*Settings!$B$3/SUM(S955:X955)</f>
        <v>114.542611415168</v>
      </c>
      <c r="AB955" s="2" t="n">
        <f aca="false">V955*Settings!$B$3/SUM(S955:X955)</f>
        <v>62.9397967161845</v>
      </c>
      <c r="AC955" s="2" t="n">
        <f aca="false">W955*Settings!$B$3/SUM(S955:X955)</f>
        <v>67.2400312744332</v>
      </c>
      <c r="AD955" s="2" t="n">
        <f aca="false">X955*Settings!$B$3/SUM(S955:X955)</f>
        <v>72.3221266614543</v>
      </c>
      <c r="AE955" s="2" t="n">
        <f aca="false">INT(Y955)</f>
        <v>78</v>
      </c>
      <c r="AF955" s="2" t="n">
        <f aca="false">INT(Z955)</f>
        <v>104</v>
      </c>
      <c r="AG955" s="2" t="n">
        <f aca="false">INT(AA955)</f>
        <v>114</v>
      </c>
      <c r="AH955" s="2" t="n">
        <f aca="false">INT(AB955)</f>
        <v>62</v>
      </c>
      <c r="AI955" s="2" t="n">
        <f aca="false">INT(AC955)</f>
        <v>67</v>
      </c>
      <c r="AJ955" s="2" t="n">
        <f aca="false">INT(AD955)</f>
        <v>72</v>
      </c>
      <c r="AK955" s="2" t="n">
        <f aca="false">Settings!$B$3-SUM(AE955:AJ955)</f>
        <v>3</v>
      </c>
      <c r="AL955" s="2" t="n">
        <f aca="false">ROUND(Y955-AE955,9)</f>
        <v>0.577013292</v>
      </c>
      <c r="AM955" s="2" t="n">
        <f aca="false">ROUND(Z955-AF955,9)</f>
        <v>0.378420641</v>
      </c>
      <c r="AN955" s="2" t="n">
        <f aca="false">ROUND(AA955-AG955,9)</f>
        <v>0.542611415</v>
      </c>
      <c r="AO955" s="2" t="n">
        <f aca="false">ROUND(AB955-AH955,9)</f>
        <v>0.939796716</v>
      </c>
      <c r="AP955" s="2" t="n">
        <f aca="false">ROUND(AC955-AI955,9)</f>
        <v>0.240031274</v>
      </c>
      <c r="AQ955" s="2" t="n">
        <f aca="false">ROUND(AD955-AJ955,9)</f>
        <v>0.322126661</v>
      </c>
    </row>
    <row r="956" customFormat="false" ht="15" hidden="false" customHeight="false" outlineLevel="0" collapsed="false">
      <c r="A956" s="2" t="n">
        <v>955</v>
      </c>
      <c r="B956" s="6" t="n">
        <v>25</v>
      </c>
      <c r="C956" s="6" t="n">
        <v>32</v>
      </c>
      <c r="D956" s="8" t="str">
        <f aca="false">INDEX(Bases!$B$2:$B$53,B956)</f>
        <v>Sandshrew</v>
      </c>
      <c r="E956" s="8" t="str">
        <f aca="false">INDEX(Bases!$B$2:$B$53,C956)</f>
        <v>Spoink</v>
      </c>
      <c r="F956" s="2" t="str">
        <f aca="false">LEFT(D956,ROUNDUP(LEN(D956)/2,0))&amp;LOWER(MID(E956,ROUNDUP(LEN(E956)/2,0)+1,20))</f>
        <v>Sandsink</v>
      </c>
      <c r="G956" s="8" t="str">
        <f aca="false">INDEX(Bases!$C$2:$C$53,B956)</f>
        <v>Ground</v>
      </c>
      <c r="H956" s="8" t="str">
        <f aca="false">IF(INDEX(Bases!$C$2:$C$53,C956)=G956,"",INDEX(Bases!$C$2:$C$53,C956))</f>
        <v>Psychic</v>
      </c>
      <c r="I956" s="8" t="str">
        <f aca="false">IF(INDEX(Bases!$E$2:$E$53,B956)="","",INDEX(Bases!$E$2:$E$53,B956))</f>
        <v/>
      </c>
      <c r="J956" s="8" t="str">
        <f aca="false">IF(INDEX(Bases!$E$2:$E$53,C956)="","",INDEX(Bases!$E$2:$E$53,C956))</f>
        <v/>
      </c>
      <c r="K956" s="5"/>
      <c r="L956" s="2" t="n">
        <f aca="false">AE956+IF(SUMPRODUCT(--($AL956:$AQ956&gt;AL956))&lt;$AK956,1,0)</f>
        <v>79</v>
      </c>
      <c r="M956" s="2" t="n">
        <f aca="false">AF956+IF(SUMPRODUCT(--($AL956:$AQ956&gt;AM956))+SUMPRODUCT(--($AL956:AL956=AM956))&lt;$AK956,1,0)</f>
        <v>86</v>
      </c>
      <c r="N956" s="2" t="n">
        <f aca="false">AG956+IF(SUMPRODUCT(--($AL956:$AQ956&gt;AN956))+SUMPRODUCT(--($AL956:AM956=AN956))&lt;$AK956,1,0)</f>
        <v>100</v>
      </c>
      <c r="O956" s="2" t="n">
        <f aca="false">AH956+IF(SUMPRODUCT(--($AL956:$AQ956&gt;AO956))+SUMPRODUCT(--($AL956:AN956=AO956))&lt;$AK956,1,0)</f>
        <v>74</v>
      </c>
      <c r="P956" s="2" t="n">
        <f aca="false">AI956+IF(SUMPRODUCT(--($AL956:$AQ956&gt;AP956))+SUMPRODUCT(--($AL956:AO956=AP956))&lt;$AK956,1,0)</f>
        <v>87</v>
      </c>
      <c r="Q956" s="2" t="n">
        <f aca="false">AJ956+IF(SUMPRODUCT(--($AL956:$AQ956&gt;AQ956))+SUMPRODUCT(--($AL956:AP956=AQ956))&lt;$AK956,1,0)</f>
        <v>74</v>
      </c>
      <c r="R956" s="2" t="n">
        <f aca="false">SUM(L956:Q956)</f>
        <v>500</v>
      </c>
      <c r="S956" s="2" t="n">
        <f aca="false">Settings!$B$4*MAX(INDEX(Bases!$M$2:$M$53,B956),INDEX(Bases!$M$2:$M$53,C956))+Settings!$B$5*MIN(INDEX(Bases!$M$2:$M$53,B956),INDEX(Bases!$M$2:$M$53,C956))</f>
        <v>71</v>
      </c>
      <c r="T956" s="2" t="n">
        <f aca="false">Settings!$B$4*MAX(INDEX(Bases!$N$2:$N$53,B956),INDEX(Bases!$N$2:$N$53,C956))+Settings!$B$5*MIN(INDEX(Bases!$N$2:$N$53,B956),INDEX(Bases!$N$2:$N$53,C956))</f>
        <v>76.6666666666667</v>
      </c>
      <c r="U956" s="2" t="n">
        <f aca="false">Settings!$B$4*MAX(INDEX(Bases!$O$2:$O$53,B956),INDEX(Bases!$O$2:$O$53,C956))+Settings!$B$5*MIN(INDEX(Bases!$O$2:$O$53,B956),INDEX(Bases!$O$2:$O$53,C956))</f>
        <v>89.3333333333333</v>
      </c>
      <c r="V956" s="2" t="n">
        <f aca="false">Settings!$B$4*MAX(INDEX(Bases!$P$2:$P$53,B956),INDEX(Bases!$P$2:$P$53,C956))+Settings!$B$5*MIN(INDEX(Bases!$P$2:$P$53,B956),INDEX(Bases!$P$2:$P$53,C956))</f>
        <v>65.6666666666667</v>
      </c>
      <c r="W956" s="2" t="n">
        <f aca="false">Settings!$B$4*MAX(INDEX(Bases!$Q$2:$Q$53,B956),INDEX(Bases!$Q$2:$Q$53,C956))+Settings!$B$5*MIN(INDEX(Bases!$Q$2:$Q$53,B956),INDEX(Bases!$Q$2:$Q$53,C956))</f>
        <v>78</v>
      </c>
      <c r="X956" s="2" t="n">
        <f aca="false">Settings!$B$4*MAX(INDEX(Bases!$R$2:$R$53,B956),INDEX(Bases!$R$2:$R$53,C956))+Settings!$B$5*MIN(INDEX(Bases!$R$2:$R$53,B956),INDEX(Bases!$R$2:$R$53,C956))</f>
        <v>66.3333333333333</v>
      </c>
      <c r="Y956" s="2" t="n">
        <f aca="false">S956*Settings!$B$3/SUM(S956:X956)</f>
        <v>79.4183445190157</v>
      </c>
      <c r="Z956" s="2" t="n">
        <f aca="false">T956*Settings!$B$3/SUM(S956:X956)</f>
        <v>85.7568978374348</v>
      </c>
      <c r="AA956" s="2" t="n">
        <f aca="false">U956*Settings!$B$3/SUM(S956:X956)</f>
        <v>99.9254287844892</v>
      </c>
      <c r="AB956" s="2" t="n">
        <f aca="false">V956*Settings!$B$3/SUM(S956:X956)</f>
        <v>73.4526472781507</v>
      </c>
      <c r="AC956" s="2" t="n">
        <f aca="false">W956*Settings!$B$3/SUM(S956:X956)</f>
        <v>87.248322147651</v>
      </c>
      <c r="AD956" s="2" t="n">
        <f aca="false">X956*Settings!$B$3/SUM(S956:X956)</f>
        <v>74.1983594332588</v>
      </c>
      <c r="AE956" s="2" t="n">
        <f aca="false">INT(Y956)</f>
        <v>79</v>
      </c>
      <c r="AF956" s="2" t="n">
        <f aca="false">INT(Z956)</f>
        <v>85</v>
      </c>
      <c r="AG956" s="2" t="n">
        <f aca="false">INT(AA956)</f>
        <v>99</v>
      </c>
      <c r="AH956" s="2" t="n">
        <f aca="false">INT(AB956)</f>
        <v>73</v>
      </c>
      <c r="AI956" s="2" t="n">
        <f aca="false">INT(AC956)</f>
        <v>87</v>
      </c>
      <c r="AJ956" s="2" t="n">
        <f aca="false">INT(AD956)</f>
        <v>74</v>
      </c>
      <c r="AK956" s="2" t="n">
        <f aca="false">Settings!$B$3-SUM(AE956:AJ956)</f>
        <v>3</v>
      </c>
      <c r="AL956" s="2" t="n">
        <f aca="false">ROUND(Y956-AE956,9)</f>
        <v>0.418344519</v>
      </c>
      <c r="AM956" s="2" t="n">
        <f aca="false">ROUND(Z956-AF956,9)</f>
        <v>0.756897837</v>
      </c>
      <c r="AN956" s="2" t="n">
        <f aca="false">ROUND(AA956-AG956,9)</f>
        <v>0.925428784</v>
      </c>
      <c r="AO956" s="2" t="n">
        <f aca="false">ROUND(AB956-AH956,9)</f>
        <v>0.452647278</v>
      </c>
      <c r="AP956" s="2" t="n">
        <f aca="false">ROUND(AC956-AI956,9)</f>
        <v>0.248322148</v>
      </c>
      <c r="AQ956" s="2" t="n">
        <f aca="false">ROUND(AD956-AJ956,9)</f>
        <v>0.198359433</v>
      </c>
    </row>
    <row r="957" customFormat="false" ht="15" hidden="false" customHeight="false" outlineLevel="0" collapsed="false">
      <c r="A957" s="2" t="n">
        <v>956</v>
      </c>
      <c r="B957" s="6" t="n">
        <v>25</v>
      </c>
      <c r="C957" s="6" t="n">
        <v>33</v>
      </c>
      <c r="D957" s="8" t="str">
        <f aca="false">INDEX(Bases!$B$2:$B$53,B957)</f>
        <v>Sandshrew</v>
      </c>
      <c r="E957" s="8" t="str">
        <f aca="false">INDEX(Bases!$B$2:$B$53,C957)</f>
        <v>Jirachi</v>
      </c>
      <c r="F957" s="2" t="str">
        <f aca="false">LEFT(D957,ROUNDUP(LEN(D957)/2,0))&amp;LOWER(MID(E957,ROUNDUP(LEN(E957)/2,0)+1,20))</f>
        <v>Sandschi</v>
      </c>
      <c r="G957" s="8" t="str">
        <f aca="false">INDEX(Bases!$C$2:$C$53,B957)</f>
        <v>Ground</v>
      </c>
      <c r="H957" s="8" t="str">
        <f aca="false">IF(INDEX(Bases!$C$2:$C$53,C957)=G957,"",INDEX(Bases!$C$2:$C$53,C957))</f>
        <v>Psychic</v>
      </c>
      <c r="I957" s="8" t="str">
        <f aca="false">IF(INDEX(Bases!$E$2:$E$53,B957)="","",INDEX(Bases!$E$2:$E$53,B957))</f>
        <v/>
      </c>
      <c r="J957" s="8" t="str">
        <f aca="false">IF(INDEX(Bases!$E$2:$E$53,C957)="","",INDEX(Bases!$E$2:$E$53,C957))</f>
        <v/>
      </c>
      <c r="K957" s="5"/>
      <c r="L957" s="2" t="n">
        <f aca="false">AE957+IF(SUMPRODUCT(--($AL957:$AQ957&gt;AL957))&lt;$AK957,1,0)</f>
        <v>79</v>
      </c>
      <c r="M957" s="2" t="n">
        <f aca="false">AF957+IF(SUMPRODUCT(--($AL957:$AQ957&gt;AM957))+SUMPRODUCT(--($AL957:AL957=AM957))&lt;$AK957,1,0)</f>
        <v>104</v>
      </c>
      <c r="N957" s="2" t="n">
        <f aca="false">AG957+IF(SUMPRODUCT(--($AL957:$AQ957&gt;AN957))+SUMPRODUCT(--($AL957:AM957=AN957))&lt;$AK957,1,0)</f>
        <v>115</v>
      </c>
      <c r="O957" s="2" t="n">
        <f aca="false">AH957+IF(SUMPRODUCT(--($AL957:$AQ957&gt;AO957))+SUMPRODUCT(--($AL957:AN957=AO957))&lt;$AK957,1,0)</f>
        <v>63</v>
      </c>
      <c r="P957" s="2" t="n">
        <f aca="false">AI957+IF(SUMPRODUCT(--($AL957:$AQ957&gt;AP957))+SUMPRODUCT(--($AL957:AO957=AP957))&lt;$AK957,1,0)</f>
        <v>67</v>
      </c>
      <c r="Q957" s="2" t="n">
        <f aca="false">AJ957+IF(SUMPRODUCT(--($AL957:$AQ957&gt;AQ957))+SUMPRODUCT(--($AL957:AP957=AQ957))&lt;$AK957,1,0)</f>
        <v>72</v>
      </c>
      <c r="R957" s="2" t="n">
        <f aca="false">SUM(L957:Q957)</f>
        <v>500</v>
      </c>
      <c r="S957" s="2" t="n">
        <f aca="false">Settings!$B$4*MAX(INDEX(Bases!$M$2:$M$53,B957),INDEX(Bases!$M$2:$M$53,C957))+Settings!$B$5*MIN(INDEX(Bases!$M$2:$M$53,B957),INDEX(Bases!$M$2:$M$53,C957))</f>
        <v>67</v>
      </c>
      <c r="T957" s="2" t="n">
        <f aca="false">Settings!$B$4*MAX(INDEX(Bases!$N$2:$N$53,B957),INDEX(Bases!$N$2:$N$53,C957))+Settings!$B$5*MIN(INDEX(Bases!$N$2:$N$53,B957),INDEX(Bases!$N$2:$N$53,C957))</f>
        <v>89</v>
      </c>
      <c r="U957" s="2" t="n">
        <f aca="false">Settings!$B$4*MAX(INDEX(Bases!$O$2:$O$53,B957),INDEX(Bases!$O$2:$O$53,C957))+Settings!$B$5*MIN(INDEX(Bases!$O$2:$O$53,B957),INDEX(Bases!$O$2:$O$53,C957))</f>
        <v>97.6666666666667</v>
      </c>
      <c r="V957" s="2" t="n">
        <f aca="false">Settings!$B$4*MAX(INDEX(Bases!$P$2:$P$53,B957),INDEX(Bases!$P$2:$P$53,C957))+Settings!$B$5*MIN(INDEX(Bases!$P$2:$P$53,B957),INDEX(Bases!$P$2:$P$53,C957))</f>
        <v>53.6666666666667</v>
      </c>
      <c r="W957" s="2" t="n">
        <f aca="false">Settings!$B$4*MAX(INDEX(Bases!$Q$2:$Q$53,B957),INDEX(Bases!$Q$2:$Q$53,C957))+Settings!$B$5*MIN(INDEX(Bases!$Q$2:$Q$53,B957),INDEX(Bases!$Q$2:$Q$53,C957))</f>
        <v>57.3333333333333</v>
      </c>
      <c r="X957" s="2" t="n">
        <f aca="false">Settings!$B$4*MAX(INDEX(Bases!$R$2:$R$53,B957),INDEX(Bases!$R$2:$R$53,C957))+Settings!$B$5*MIN(INDEX(Bases!$R$2:$R$53,B957),INDEX(Bases!$R$2:$R$53,C957))</f>
        <v>61.6666666666667</v>
      </c>
      <c r="Y957" s="2" t="n">
        <f aca="false">S957*Settings!$B$3/SUM(S957:X957)</f>
        <v>78.5770132916341</v>
      </c>
      <c r="Z957" s="2" t="n">
        <f aca="false">T957*Settings!$B$3/SUM(S957:X957)</f>
        <v>104.378420641126</v>
      </c>
      <c r="AA957" s="2" t="n">
        <f aca="false">U957*Settings!$B$3/SUM(S957:X957)</f>
        <v>114.542611415168</v>
      </c>
      <c r="AB957" s="2" t="n">
        <f aca="false">V957*Settings!$B$3/SUM(S957:X957)</f>
        <v>62.9397967161845</v>
      </c>
      <c r="AC957" s="2" t="n">
        <f aca="false">W957*Settings!$B$3/SUM(S957:X957)</f>
        <v>67.2400312744332</v>
      </c>
      <c r="AD957" s="2" t="n">
        <f aca="false">X957*Settings!$B$3/SUM(S957:X957)</f>
        <v>72.3221266614543</v>
      </c>
      <c r="AE957" s="2" t="n">
        <f aca="false">INT(Y957)</f>
        <v>78</v>
      </c>
      <c r="AF957" s="2" t="n">
        <f aca="false">INT(Z957)</f>
        <v>104</v>
      </c>
      <c r="AG957" s="2" t="n">
        <f aca="false">INT(AA957)</f>
        <v>114</v>
      </c>
      <c r="AH957" s="2" t="n">
        <f aca="false">INT(AB957)</f>
        <v>62</v>
      </c>
      <c r="AI957" s="2" t="n">
        <f aca="false">INT(AC957)</f>
        <v>67</v>
      </c>
      <c r="AJ957" s="2" t="n">
        <f aca="false">INT(AD957)</f>
        <v>72</v>
      </c>
      <c r="AK957" s="2" t="n">
        <f aca="false">Settings!$B$3-SUM(AE957:AJ957)</f>
        <v>3</v>
      </c>
      <c r="AL957" s="2" t="n">
        <f aca="false">ROUND(Y957-AE957,9)</f>
        <v>0.577013292</v>
      </c>
      <c r="AM957" s="2" t="n">
        <f aca="false">ROUND(Z957-AF957,9)</f>
        <v>0.378420641</v>
      </c>
      <c r="AN957" s="2" t="n">
        <f aca="false">ROUND(AA957-AG957,9)</f>
        <v>0.542611415</v>
      </c>
      <c r="AO957" s="2" t="n">
        <f aca="false">ROUND(AB957-AH957,9)</f>
        <v>0.939796716</v>
      </c>
      <c r="AP957" s="2" t="n">
        <f aca="false">ROUND(AC957-AI957,9)</f>
        <v>0.240031274</v>
      </c>
      <c r="AQ957" s="2" t="n">
        <f aca="false">ROUND(AD957-AJ957,9)</f>
        <v>0.322126661</v>
      </c>
    </row>
    <row r="958" customFormat="false" ht="15" hidden="false" customHeight="false" outlineLevel="0" collapsed="false">
      <c r="A958" s="2" t="n">
        <v>957</v>
      </c>
      <c r="B958" s="6" t="n">
        <v>25</v>
      </c>
      <c r="C958" s="6" t="n">
        <v>34</v>
      </c>
      <c r="D958" s="8" t="str">
        <f aca="false">INDEX(Bases!$B$2:$B$53,B958)</f>
        <v>Sandshrew</v>
      </c>
      <c r="E958" s="8" t="str">
        <f aca="false">INDEX(Bases!$B$2:$B$53,C958)</f>
        <v>Paras</v>
      </c>
      <c r="F958" s="2" t="str">
        <f aca="false">LEFT(D958,ROUNDUP(LEN(D958)/2,0))&amp;LOWER(MID(E958,ROUNDUP(LEN(E958)/2,0)+1,20))</f>
        <v>Sandsas</v>
      </c>
      <c r="G958" s="8" t="str">
        <f aca="false">INDEX(Bases!$C$2:$C$53,B958)</f>
        <v>Ground</v>
      </c>
      <c r="H958" s="8" t="str">
        <f aca="false">IF(INDEX(Bases!$C$2:$C$53,C958)=G958,"",INDEX(Bases!$C$2:$C$53,C958))</f>
        <v>Bug</v>
      </c>
      <c r="I958" s="8" t="str">
        <f aca="false">IF(INDEX(Bases!$E$2:$E$53,B958)="","",INDEX(Bases!$E$2:$E$53,B958))</f>
        <v/>
      </c>
      <c r="J958" s="8" t="str">
        <f aca="false">IF(INDEX(Bases!$E$2:$E$53,C958)="","",INDEX(Bases!$E$2:$E$53,C958))</f>
        <v/>
      </c>
      <c r="K958" s="5"/>
      <c r="L958" s="2" t="n">
        <f aca="false">AE958+IF(SUMPRODUCT(--($AL958:$AQ958&gt;AL958))&lt;$AK958,1,0)</f>
        <v>72</v>
      </c>
      <c r="M958" s="2" t="n">
        <f aca="false">AF958+IF(SUMPRODUCT(--($AL958:$AQ958&gt;AM958))+SUMPRODUCT(--($AL958:AL958=AM958))&lt;$AK958,1,0)</f>
        <v>118</v>
      </c>
      <c r="N958" s="2" t="n">
        <f aca="false">AG958+IF(SUMPRODUCT(--($AL958:$AQ958&gt;AN958))+SUMPRODUCT(--($AL958:AM958=AN958))&lt;$AK958,1,0)</f>
        <v>119</v>
      </c>
      <c r="O958" s="2" t="n">
        <f aca="false">AH958+IF(SUMPRODUCT(--($AL958:$AQ958&gt;AO958))+SUMPRODUCT(--($AL958:AN958=AO958))&lt;$AK958,1,0)</f>
        <v>60</v>
      </c>
      <c r="P958" s="2" t="n">
        <f aca="false">AI958+IF(SUMPRODUCT(--($AL958:$AQ958&gt;AP958))+SUMPRODUCT(--($AL958:AO958=AP958))&lt;$AK958,1,0)</f>
        <v>76</v>
      </c>
      <c r="Q958" s="2" t="n">
        <f aca="false">AJ958+IF(SUMPRODUCT(--($AL958:$AQ958&gt;AQ958))+SUMPRODUCT(--($AL958:AP958=AQ958))&lt;$AK958,1,0)</f>
        <v>55</v>
      </c>
      <c r="R958" s="2" t="n">
        <f aca="false">SUM(L958:Q958)</f>
        <v>500</v>
      </c>
      <c r="S958" s="2" t="n">
        <f aca="false">Settings!$B$4*MAX(INDEX(Bases!$M$2:$M$53,B958),INDEX(Bases!$M$2:$M$53,C958))+Settings!$B$5*MIN(INDEX(Bases!$M$2:$M$53,B958),INDEX(Bases!$M$2:$M$53,C958))</f>
        <v>61</v>
      </c>
      <c r="T958" s="2" t="n">
        <f aca="false">Settings!$B$4*MAX(INDEX(Bases!$N$2:$N$53,B958),INDEX(Bases!$N$2:$N$53,C958))+Settings!$B$5*MIN(INDEX(Bases!$N$2:$N$53,B958),INDEX(Bases!$N$2:$N$53,C958))</f>
        <v>99.6666666666667</v>
      </c>
      <c r="U958" s="2" t="n">
        <f aca="false">Settings!$B$4*MAX(INDEX(Bases!$O$2:$O$53,B958),INDEX(Bases!$O$2:$O$53,C958))+Settings!$B$5*MIN(INDEX(Bases!$O$2:$O$53,B958),INDEX(Bases!$O$2:$O$53,C958))</f>
        <v>101</v>
      </c>
      <c r="V958" s="2" t="n">
        <f aca="false">Settings!$B$4*MAX(INDEX(Bases!$P$2:$P$53,B958),INDEX(Bases!$P$2:$P$53,C958))+Settings!$B$5*MIN(INDEX(Bases!$P$2:$P$53,B958),INDEX(Bases!$P$2:$P$53,C958))</f>
        <v>51</v>
      </c>
      <c r="W958" s="2" t="n">
        <f aca="false">Settings!$B$4*MAX(INDEX(Bases!$Q$2:$Q$53,B958),INDEX(Bases!$Q$2:$Q$53,C958))+Settings!$B$5*MIN(INDEX(Bases!$Q$2:$Q$53,B958),INDEX(Bases!$Q$2:$Q$53,C958))</f>
        <v>64.6666666666667</v>
      </c>
      <c r="X958" s="2" t="n">
        <f aca="false">Settings!$B$4*MAX(INDEX(Bases!$R$2:$R$53,B958),INDEX(Bases!$R$2:$R$53,C958))+Settings!$B$5*MIN(INDEX(Bases!$R$2:$R$53,B958),INDEX(Bases!$R$2:$R$53,C958))</f>
        <v>47</v>
      </c>
      <c r="Y958" s="2" t="n">
        <f aca="false">S958*Settings!$B$3/SUM(S958:X958)</f>
        <v>71.8774548311076</v>
      </c>
      <c r="Z958" s="2" t="n">
        <f aca="false">T958*Settings!$B$3/SUM(S958:X958)</f>
        <v>117.439120188531</v>
      </c>
      <c r="AA958" s="2" t="n">
        <f aca="false">U958*Settings!$B$3/SUM(S958:X958)</f>
        <v>119.010212097408</v>
      </c>
      <c r="AB958" s="2" t="n">
        <f aca="false">V958*Settings!$B$3/SUM(S958:X958)</f>
        <v>60.0942655145326</v>
      </c>
      <c r="AC958" s="2" t="n">
        <f aca="false">W958*Settings!$B$3/SUM(S958:X958)</f>
        <v>76.1979575805185</v>
      </c>
      <c r="AD958" s="2" t="n">
        <f aca="false">X958*Settings!$B$3/SUM(S958:X958)</f>
        <v>55.3809897879026</v>
      </c>
      <c r="AE958" s="2" t="n">
        <f aca="false">INT(Y958)</f>
        <v>71</v>
      </c>
      <c r="AF958" s="2" t="n">
        <f aca="false">INT(Z958)</f>
        <v>117</v>
      </c>
      <c r="AG958" s="2" t="n">
        <f aca="false">INT(AA958)</f>
        <v>119</v>
      </c>
      <c r="AH958" s="2" t="n">
        <f aca="false">INT(AB958)</f>
        <v>60</v>
      </c>
      <c r="AI958" s="2" t="n">
        <f aca="false">INT(AC958)</f>
        <v>76</v>
      </c>
      <c r="AJ958" s="2" t="n">
        <f aca="false">INT(AD958)</f>
        <v>55</v>
      </c>
      <c r="AK958" s="2" t="n">
        <f aca="false">Settings!$B$3-SUM(AE958:AJ958)</f>
        <v>2</v>
      </c>
      <c r="AL958" s="2" t="n">
        <f aca="false">ROUND(Y958-AE958,9)</f>
        <v>0.877454831</v>
      </c>
      <c r="AM958" s="2" t="n">
        <f aca="false">ROUND(Z958-AF958,9)</f>
        <v>0.439120189</v>
      </c>
      <c r="AN958" s="2" t="n">
        <f aca="false">ROUND(AA958-AG958,9)</f>
        <v>0.010212097</v>
      </c>
      <c r="AO958" s="2" t="n">
        <f aca="false">ROUND(AB958-AH958,9)</f>
        <v>0.094265515</v>
      </c>
      <c r="AP958" s="2" t="n">
        <f aca="false">ROUND(AC958-AI958,9)</f>
        <v>0.197957581</v>
      </c>
      <c r="AQ958" s="2" t="n">
        <f aca="false">ROUND(AD958-AJ958,9)</f>
        <v>0.380989788</v>
      </c>
    </row>
    <row r="959" customFormat="false" ht="15" hidden="false" customHeight="false" outlineLevel="0" collapsed="false">
      <c r="A959" s="2" t="n">
        <v>958</v>
      </c>
      <c r="B959" s="6" t="n">
        <v>25</v>
      </c>
      <c r="C959" s="6" t="n">
        <v>35</v>
      </c>
      <c r="D959" s="8" t="str">
        <f aca="false">INDEX(Bases!$B$2:$B$53,B959)</f>
        <v>Sandshrew</v>
      </c>
      <c r="E959" s="8" t="str">
        <f aca="false">INDEX(Bases!$B$2:$B$53,C959)</f>
        <v>Pineco</v>
      </c>
      <c r="F959" s="2" t="str">
        <f aca="false">LEFT(D959,ROUNDUP(LEN(D959)/2,0))&amp;LOWER(MID(E959,ROUNDUP(LEN(E959)/2,0)+1,20))</f>
        <v>Sandseco</v>
      </c>
      <c r="G959" s="8" t="str">
        <f aca="false">INDEX(Bases!$C$2:$C$53,B959)</f>
        <v>Ground</v>
      </c>
      <c r="H959" s="8" t="str">
        <f aca="false">IF(INDEX(Bases!$C$2:$C$53,C959)=G959,"",INDEX(Bases!$C$2:$C$53,C959))</f>
        <v>Bug</v>
      </c>
      <c r="I959" s="8" t="str">
        <f aca="false">IF(INDEX(Bases!$E$2:$E$53,B959)="","",INDEX(Bases!$E$2:$E$53,B959))</f>
        <v/>
      </c>
      <c r="J959" s="8" t="str">
        <f aca="false">IF(INDEX(Bases!$E$2:$E$53,C959)="","",INDEX(Bases!$E$2:$E$53,C959))</f>
        <v/>
      </c>
      <c r="K959" s="5"/>
      <c r="L959" s="2" t="n">
        <f aca="false">AE959+IF(SUMPRODUCT(--($AL959:$AQ959&gt;AL959))&lt;$AK959,1,0)</f>
        <v>83</v>
      </c>
      <c r="M959" s="2" t="n">
        <f aca="false">AF959+IF(SUMPRODUCT(--($AL959:$AQ959&gt;AM959))+SUMPRODUCT(--($AL959:AL959=AM959))&lt;$AK959,1,0)</f>
        <v>117</v>
      </c>
      <c r="N959" s="2" t="n">
        <f aca="false">AG959+IF(SUMPRODUCT(--($AL959:$AQ959&gt;AN959))+SUMPRODUCT(--($AL959:AM959=AN959))&lt;$AK959,1,0)</f>
        <v>145</v>
      </c>
      <c r="O959" s="2" t="n">
        <f aca="false">AH959+IF(SUMPRODUCT(--($AL959:$AQ959&gt;AO959))+SUMPRODUCT(--($AL959:AN959=AO959))&lt;$AK959,1,0)</f>
        <v>49</v>
      </c>
      <c r="P959" s="2" t="n">
        <f aca="false">AI959+IF(SUMPRODUCT(--($AL959:$AQ959&gt;AP959))+SUMPRODUCT(--($AL959:AO959=AP959))&lt;$AK959,1,0)</f>
        <v>55</v>
      </c>
      <c r="Q959" s="2" t="n">
        <f aca="false">AJ959+IF(SUMPRODUCT(--($AL959:$AQ959&gt;AQ959))+SUMPRODUCT(--($AL959:AP959=AQ959))&lt;$AK959,1,0)</f>
        <v>51</v>
      </c>
      <c r="R959" s="2" t="n">
        <f aca="false">SUM(L959:Q959)</f>
        <v>500</v>
      </c>
      <c r="S959" s="2" t="n">
        <f aca="false">Settings!$B$4*MAX(INDEX(Bases!$M$2:$M$53,B959),INDEX(Bases!$M$2:$M$53,C959))+Settings!$B$5*MIN(INDEX(Bases!$M$2:$M$53,B959),INDEX(Bases!$M$2:$M$53,C959))</f>
        <v>68.3333333333333</v>
      </c>
      <c r="T959" s="2" t="n">
        <f aca="false">Settings!$B$4*MAX(INDEX(Bases!$N$2:$N$53,B959),INDEX(Bases!$N$2:$N$53,C959))+Settings!$B$5*MIN(INDEX(Bases!$N$2:$N$53,B959),INDEX(Bases!$N$2:$N$53,C959))</f>
        <v>96.6666666666667</v>
      </c>
      <c r="U959" s="2" t="n">
        <f aca="false">Settings!$B$4*MAX(INDEX(Bases!$O$2:$O$53,B959),INDEX(Bases!$O$2:$O$53,C959))+Settings!$B$5*MIN(INDEX(Bases!$O$2:$O$53,B959),INDEX(Bases!$O$2:$O$53,C959))</f>
        <v>120.333333333333</v>
      </c>
      <c r="V959" s="2" t="n">
        <f aca="false">Settings!$B$4*MAX(INDEX(Bases!$P$2:$P$53,B959),INDEX(Bases!$P$2:$P$53,C959))+Settings!$B$5*MIN(INDEX(Bases!$P$2:$P$53,B959),INDEX(Bases!$P$2:$P$53,C959))</f>
        <v>41</v>
      </c>
      <c r="W959" s="2" t="n">
        <f aca="false">Settings!$B$4*MAX(INDEX(Bases!$Q$2:$Q$53,B959),INDEX(Bases!$Q$2:$Q$53,C959))+Settings!$B$5*MIN(INDEX(Bases!$Q$2:$Q$53,B959),INDEX(Bases!$Q$2:$Q$53,C959))</f>
        <v>45.3333333333333</v>
      </c>
      <c r="X959" s="2" t="n">
        <f aca="false">Settings!$B$4*MAX(INDEX(Bases!$R$2:$R$53,B959),INDEX(Bases!$R$2:$R$53,C959))+Settings!$B$5*MIN(INDEX(Bases!$R$2:$R$53,B959),INDEX(Bases!$R$2:$R$53,C959))</f>
        <v>42.3333333333333</v>
      </c>
      <c r="Y959" s="2" t="n">
        <f aca="false">S959*Settings!$B$3/SUM(S959:X959)</f>
        <v>82.5281803542673</v>
      </c>
      <c r="Z959" s="2" t="n">
        <f aca="false">T959*Settings!$B$3/SUM(S959:X959)</f>
        <v>116.747181964573</v>
      </c>
      <c r="AA959" s="2" t="n">
        <f aca="false">U959*Settings!$B$3/SUM(S959:X959)</f>
        <v>145.330112721417</v>
      </c>
      <c r="AB959" s="2" t="n">
        <f aca="false">V959*Settings!$B$3/SUM(S959:X959)</f>
        <v>49.5169082125604</v>
      </c>
      <c r="AC959" s="2" t="n">
        <f aca="false">W959*Settings!$B$3/SUM(S959:X959)</f>
        <v>54.7504025764895</v>
      </c>
      <c r="AD959" s="2" t="n">
        <f aca="false">X959*Settings!$B$3/SUM(S959:X959)</f>
        <v>51.1272141706924</v>
      </c>
      <c r="AE959" s="2" t="n">
        <f aca="false">INT(Y959)</f>
        <v>82</v>
      </c>
      <c r="AF959" s="2" t="n">
        <f aca="false">INT(Z959)</f>
        <v>116</v>
      </c>
      <c r="AG959" s="2" t="n">
        <f aca="false">INT(AA959)</f>
        <v>145</v>
      </c>
      <c r="AH959" s="2" t="n">
        <f aca="false">INT(AB959)</f>
        <v>49</v>
      </c>
      <c r="AI959" s="2" t="n">
        <f aca="false">INT(AC959)</f>
        <v>54</v>
      </c>
      <c r="AJ959" s="2" t="n">
        <f aca="false">INT(AD959)</f>
        <v>51</v>
      </c>
      <c r="AK959" s="2" t="n">
        <f aca="false">Settings!$B$3-SUM(AE959:AJ959)</f>
        <v>3</v>
      </c>
      <c r="AL959" s="2" t="n">
        <f aca="false">ROUND(Y959-AE959,9)</f>
        <v>0.528180354</v>
      </c>
      <c r="AM959" s="2" t="n">
        <f aca="false">ROUND(Z959-AF959,9)</f>
        <v>0.747181965</v>
      </c>
      <c r="AN959" s="2" t="n">
        <f aca="false">ROUND(AA959-AG959,9)</f>
        <v>0.330112721</v>
      </c>
      <c r="AO959" s="2" t="n">
        <f aca="false">ROUND(AB959-AH959,9)</f>
        <v>0.516908213</v>
      </c>
      <c r="AP959" s="2" t="n">
        <f aca="false">ROUND(AC959-AI959,9)</f>
        <v>0.750402576</v>
      </c>
      <c r="AQ959" s="2" t="n">
        <f aca="false">ROUND(AD959-AJ959,9)</f>
        <v>0.127214171</v>
      </c>
    </row>
    <row r="960" customFormat="false" ht="15" hidden="false" customHeight="false" outlineLevel="0" collapsed="false">
      <c r="A960" s="2" t="n">
        <v>959</v>
      </c>
      <c r="B960" s="6" t="n">
        <v>25</v>
      </c>
      <c r="C960" s="6" t="n">
        <v>36</v>
      </c>
      <c r="D960" s="8" t="str">
        <f aca="false">INDEX(Bases!$B$2:$B$53,B960)</f>
        <v>Sandshrew</v>
      </c>
      <c r="E960" s="8" t="str">
        <f aca="false">INDEX(Bases!$B$2:$B$53,C960)</f>
        <v>Wurmple</v>
      </c>
      <c r="F960" s="2" t="str">
        <f aca="false">LEFT(D960,ROUNDUP(LEN(D960)/2,0))&amp;LOWER(MID(E960,ROUNDUP(LEN(E960)/2,0)+1,20))</f>
        <v>Sandsple</v>
      </c>
      <c r="G960" s="8" t="str">
        <f aca="false">INDEX(Bases!$C$2:$C$53,B960)</f>
        <v>Ground</v>
      </c>
      <c r="H960" s="8" t="str">
        <f aca="false">IF(INDEX(Bases!$C$2:$C$53,C960)=G960,"",INDEX(Bases!$C$2:$C$53,C960))</f>
        <v>Bug</v>
      </c>
      <c r="I960" s="8" t="str">
        <f aca="false">IF(INDEX(Bases!$E$2:$E$53,B960)="","",INDEX(Bases!$E$2:$E$53,B960))</f>
        <v/>
      </c>
      <c r="J960" s="8" t="str">
        <f aca="false">IF(INDEX(Bases!$E$2:$E$53,C960)="","",INDEX(Bases!$E$2:$E$53,C960))</f>
        <v/>
      </c>
      <c r="K960" s="5"/>
      <c r="L960" s="2" t="n">
        <f aca="false">AE960+IF(SUMPRODUCT(--($AL960:$AQ960&gt;AL960))&lt;$AK960,1,0)</f>
        <v>100</v>
      </c>
      <c r="M960" s="2" t="n">
        <f aca="false">AF960+IF(SUMPRODUCT(--($AL960:$AQ960&gt;AM960))+SUMPRODUCT(--($AL960:AL960=AM960))&lt;$AK960,1,0)</f>
        <v>116</v>
      </c>
      <c r="N960" s="2" t="n">
        <f aca="false">AG960+IF(SUMPRODUCT(--($AL960:$AQ960&gt;AN960))+SUMPRODUCT(--($AL960:AM960=AN960))&lt;$AK960,1,0)</f>
        <v>118</v>
      </c>
      <c r="O960" s="2" t="n">
        <f aca="false">AH960+IF(SUMPRODUCT(--($AL960:$AQ960&gt;AO960))+SUMPRODUCT(--($AL960:AN960=AO960))&lt;$AK960,1,0)</f>
        <v>43</v>
      </c>
      <c r="P960" s="2" t="n">
        <f aca="false">AI960+IF(SUMPRODUCT(--($AL960:$AQ960&gt;AP960))+SUMPRODUCT(--($AL960:AO960=AP960))&lt;$AK960,1,0)</f>
        <v>65</v>
      </c>
      <c r="Q960" s="2" t="n">
        <f aca="false">AJ960+IF(SUMPRODUCT(--($AL960:$AQ960&gt;AQ960))+SUMPRODUCT(--($AL960:AP960=AQ960))&lt;$AK960,1,0)</f>
        <v>58</v>
      </c>
      <c r="R960" s="2" t="n">
        <f aca="false">SUM(L960:Q960)</f>
        <v>500</v>
      </c>
      <c r="S960" s="2" t="n">
        <f aca="false">Settings!$B$4*MAX(INDEX(Bases!$M$2:$M$53,B960),INDEX(Bases!$M$2:$M$53,C960))+Settings!$B$5*MIN(INDEX(Bases!$M$2:$M$53,B960),INDEX(Bases!$M$2:$M$53,C960))</f>
        <v>83.6666666666667</v>
      </c>
      <c r="T960" s="2" t="n">
        <f aca="false">Settings!$B$4*MAX(INDEX(Bases!$N$2:$N$53,B960),INDEX(Bases!$N$2:$N$53,C960))+Settings!$B$5*MIN(INDEX(Bases!$N$2:$N$53,B960),INDEX(Bases!$N$2:$N$53,C960))</f>
        <v>97.3333333333333</v>
      </c>
      <c r="U960" s="2" t="n">
        <f aca="false">Settings!$B$4*MAX(INDEX(Bases!$O$2:$O$53,B960),INDEX(Bases!$O$2:$O$53,C960))+Settings!$B$5*MIN(INDEX(Bases!$O$2:$O$53,B960),INDEX(Bases!$O$2:$O$53,C960))</f>
        <v>99.3333333333333</v>
      </c>
      <c r="V960" s="2" t="n">
        <f aca="false">Settings!$B$4*MAX(INDEX(Bases!$P$2:$P$53,B960),INDEX(Bases!$P$2:$P$53,C960))+Settings!$B$5*MIN(INDEX(Bases!$P$2:$P$53,B960),INDEX(Bases!$P$2:$P$53,C960))</f>
        <v>36.3333333333333</v>
      </c>
      <c r="W960" s="2" t="n">
        <f aca="false">Settings!$B$4*MAX(INDEX(Bases!$Q$2:$Q$53,B960),INDEX(Bases!$Q$2:$Q$53,C960))+Settings!$B$5*MIN(INDEX(Bases!$Q$2:$Q$53,B960),INDEX(Bases!$Q$2:$Q$53,C960))</f>
        <v>54.6666666666667</v>
      </c>
      <c r="X960" s="2" t="n">
        <f aca="false">Settings!$B$4*MAX(INDEX(Bases!$R$2:$R$53,B960),INDEX(Bases!$R$2:$R$53,C960))+Settings!$B$5*MIN(INDEX(Bases!$R$2:$R$53,B960),INDEX(Bases!$R$2:$R$53,C960))</f>
        <v>49</v>
      </c>
      <c r="Y960" s="2" t="n">
        <f aca="false">S960*Settings!$B$3/SUM(S960:X960)</f>
        <v>99.5241871530531</v>
      </c>
      <c r="Z960" s="2" t="n">
        <f aca="false">T960*Settings!$B$3/SUM(S960:X960)</f>
        <v>115.781126090404</v>
      </c>
      <c r="AA960" s="2" t="n">
        <f aca="false">U960*Settings!$B$3/SUM(S960:X960)</f>
        <v>118.160190325139</v>
      </c>
      <c r="AB960" s="2" t="n">
        <f aca="false">V960*Settings!$B$3/SUM(S960:X960)</f>
        <v>43.2196669310071</v>
      </c>
      <c r="AC960" s="2" t="n">
        <f aca="false">W960*Settings!$B$3/SUM(S960:X960)</f>
        <v>65.0277557494052</v>
      </c>
      <c r="AD960" s="2" t="n">
        <f aca="false">X960*Settings!$B$3/SUM(S960:X960)</f>
        <v>58.2870737509913</v>
      </c>
      <c r="AE960" s="2" t="n">
        <f aca="false">INT(Y960)</f>
        <v>99</v>
      </c>
      <c r="AF960" s="2" t="n">
        <f aca="false">INT(Z960)</f>
        <v>115</v>
      </c>
      <c r="AG960" s="2" t="n">
        <f aca="false">INT(AA960)</f>
        <v>118</v>
      </c>
      <c r="AH960" s="2" t="n">
        <f aca="false">INT(AB960)</f>
        <v>43</v>
      </c>
      <c r="AI960" s="2" t="n">
        <f aca="false">INT(AC960)</f>
        <v>65</v>
      </c>
      <c r="AJ960" s="2" t="n">
        <f aca="false">INT(AD960)</f>
        <v>58</v>
      </c>
      <c r="AK960" s="2" t="n">
        <f aca="false">Settings!$B$3-SUM(AE960:AJ960)</f>
        <v>2</v>
      </c>
      <c r="AL960" s="2" t="n">
        <f aca="false">ROUND(Y960-AE960,9)</f>
        <v>0.524187153</v>
      </c>
      <c r="AM960" s="2" t="n">
        <f aca="false">ROUND(Z960-AF960,9)</f>
        <v>0.78112609</v>
      </c>
      <c r="AN960" s="2" t="n">
        <f aca="false">ROUND(AA960-AG960,9)</f>
        <v>0.160190325</v>
      </c>
      <c r="AO960" s="2" t="n">
        <f aca="false">ROUND(AB960-AH960,9)</f>
        <v>0.219666931</v>
      </c>
      <c r="AP960" s="2" t="n">
        <f aca="false">ROUND(AC960-AI960,9)</f>
        <v>0.027755749</v>
      </c>
      <c r="AQ960" s="2" t="n">
        <f aca="false">ROUND(AD960-AJ960,9)</f>
        <v>0.287073751</v>
      </c>
    </row>
    <row r="961" customFormat="false" ht="15" hidden="false" customHeight="false" outlineLevel="0" collapsed="false">
      <c r="A961" s="2" t="n">
        <v>960</v>
      </c>
      <c r="B961" s="6" t="n">
        <v>25</v>
      </c>
      <c r="C961" s="6" t="n">
        <v>37</v>
      </c>
      <c r="D961" s="8" t="str">
        <f aca="false">INDEX(Bases!$B$2:$B$53,B961)</f>
        <v>Sandshrew</v>
      </c>
      <c r="E961" s="8" t="str">
        <f aca="false">INDEX(Bases!$B$2:$B$53,C961)</f>
        <v>Shuckle</v>
      </c>
      <c r="F961" s="2" t="str">
        <f aca="false">LEFT(D961,ROUNDUP(LEN(D961)/2,0))&amp;LOWER(MID(E961,ROUNDUP(LEN(E961)/2,0)+1,20))</f>
        <v>Sandskle</v>
      </c>
      <c r="G961" s="8" t="str">
        <f aca="false">INDEX(Bases!$C$2:$C$53,B961)</f>
        <v>Ground</v>
      </c>
      <c r="H961" s="8" t="str">
        <f aca="false">IF(INDEX(Bases!$C$2:$C$53,C961)=G961,"",INDEX(Bases!$C$2:$C$53,C961))</f>
        <v>Rock</v>
      </c>
      <c r="I961" s="8" t="str">
        <f aca="false">IF(INDEX(Bases!$E$2:$E$53,B961)="","",INDEX(Bases!$E$2:$E$53,B961))</f>
        <v/>
      </c>
      <c r="J961" s="8" t="str">
        <f aca="false">IF(INDEX(Bases!$E$2:$E$53,C961)="","",INDEX(Bases!$E$2:$E$53,C961))</f>
        <v/>
      </c>
      <c r="K961" s="5"/>
      <c r="L961" s="2" t="n">
        <f aca="false">AE961+IF(SUMPRODUCT(--($AL961:$AQ961&gt;AL961))&lt;$AK961,1,0)</f>
        <v>53</v>
      </c>
      <c r="M961" s="2" t="n">
        <f aca="false">AF961+IF(SUMPRODUCT(--($AL961:$AQ961&gt;AM961))+SUMPRODUCT(--($AL961:AL961=AM961))&lt;$AK961,1,0)</f>
        <v>74</v>
      </c>
      <c r="N961" s="2" t="n">
        <f aca="false">AG961+IF(SUMPRODUCT(--($AL961:$AQ961&gt;AN961))+SUMPRODUCT(--($AL961:AM961=AN961))&lt;$AK961,1,0)</f>
        <v>169</v>
      </c>
      <c r="O961" s="2" t="n">
        <f aca="false">AH961+IF(SUMPRODUCT(--($AL961:$AQ961&gt;AO961))+SUMPRODUCT(--($AL961:AN961=AO961))&lt;$AK961,1,0)</f>
        <v>22</v>
      </c>
      <c r="P961" s="2" t="n">
        <f aca="false">AI961+IF(SUMPRODUCT(--($AL961:$AQ961&gt;AP961))+SUMPRODUCT(--($AL961:AO961=AP961))&lt;$AK961,1,0)</f>
        <v>143</v>
      </c>
      <c r="Q961" s="2" t="n">
        <f aca="false">AJ961+IF(SUMPRODUCT(--($AL961:$AQ961&gt;AQ961))+SUMPRODUCT(--($AL961:AP961=AQ961))&lt;$AK961,1,0)</f>
        <v>39</v>
      </c>
      <c r="R961" s="2" t="n">
        <f aca="false">SUM(L961:Q961)</f>
        <v>500</v>
      </c>
      <c r="S961" s="2" t="n">
        <f aca="false">Settings!$B$4*MAX(INDEX(Bases!$M$2:$M$53,B961),INDEX(Bases!$M$2:$M$53,C961))+Settings!$B$5*MIN(INDEX(Bases!$M$2:$M$53,B961),INDEX(Bases!$M$2:$M$53,C961))</f>
        <v>50</v>
      </c>
      <c r="T961" s="2" t="n">
        <f aca="false">Settings!$B$4*MAX(INDEX(Bases!$N$2:$N$53,B961),INDEX(Bases!$N$2:$N$53,C961))+Settings!$B$5*MIN(INDEX(Bases!$N$2:$N$53,B961),INDEX(Bases!$N$2:$N$53,C961))</f>
        <v>69.3333333333333</v>
      </c>
      <c r="U961" s="2" t="n">
        <f aca="false">Settings!$B$4*MAX(INDEX(Bases!$O$2:$O$53,B961),INDEX(Bases!$O$2:$O$53,C961))+Settings!$B$5*MIN(INDEX(Bases!$O$2:$O$53,B961),INDEX(Bases!$O$2:$O$53,C961))</f>
        <v>159</v>
      </c>
      <c r="V961" s="2" t="n">
        <f aca="false">Settings!$B$4*MAX(INDEX(Bases!$P$2:$P$53,B961),INDEX(Bases!$P$2:$P$53,C961))+Settings!$B$5*MIN(INDEX(Bases!$P$2:$P$53,B961),INDEX(Bases!$P$2:$P$53,C961))</f>
        <v>20.6666666666667</v>
      </c>
      <c r="W961" s="2" t="n">
        <f aca="false">Settings!$B$4*MAX(INDEX(Bases!$Q$2:$Q$53,B961),INDEX(Bases!$Q$2:$Q$53,C961))+Settings!$B$5*MIN(INDEX(Bases!$Q$2:$Q$53,B961),INDEX(Bases!$Q$2:$Q$53,C961))</f>
        <v>134.666666666667</v>
      </c>
      <c r="X961" s="2" t="n">
        <f aca="false">Settings!$B$4*MAX(INDEX(Bases!$R$2:$R$53,B961),INDEX(Bases!$R$2:$R$53,C961))+Settings!$B$5*MIN(INDEX(Bases!$R$2:$R$53,B961),INDEX(Bases!$R$2:$R$53,C961))</f>
        <v>36.6666666666667</v>
      </c>
      <c r="Y961" s="2" t="n">
        <f aca="false">S961*Settings!$B$3/SUM(S961:X961)</f>
        <v>53.1537916371368</v>
      </c>
      <c r="Z961" s="2" t="n">
        <f aca="false">T961*Settings!$B$3/SUM(S961:X961)</f>
        <v>73.706591070163</v>
      </c>
      <c r="AA961" s="2" t="n">
        <f aca="false">U961*Settings!$B$3/SUM(S961:X961)</f>
        <v>169.029057406095</v>
      </c>
      <c r="AB961" s="2" t="n">
        <f aca="false">V961*Settings!$B$3/SUM(S961:X961)</f>
        <v>21.9702338766832</v>
      </c>
      <c r="AC961" s="2" t="n">
        <f aca="false">W961*Settings!$B$3/SUM(S961:X961)</f>
        <v>143.160878809355</v>
      </c>
      <c r="AD961" s="2" t="n">
        <f aca="false">X961*Settings!$B$3/SUM(S961:X961)</f>
        <v>38.979447200567</v>
      </c>
      <c r="AE961" s="2" t="n">
        <f aca="false">INT(Y961)</f>
        <v>53</v>
      </c>
      <c r="AF961" s="2" t="n">
        <f aca="false">INT(Z961)</f>
        <v>73</v>
      </c>
      <c r="AG961" s="2" t="n">
        <f aca="false">INT(AA961)</f>
        <v>169</v>
      </c>
      <c r="AH961" s="2" t="n">
        <f aca="false">INT(AB961)</f>
        <v>21</v>
      </c>
      <c r="AI961" s="2" t="n">
        <f aca="false">INT(AC961)</f>
        <v>143</v>
      </c>
      <c r="AJ961" s="2" t="n">
        <f aca="false">INT(AD961)</f>
        <v>38</v>
      </c>
      <c r="AK961" s="2" t="n">
        <f aca="false">Settings!$B$3-SUM(AE961:AJ961)</f>
        <v>3</v>
      </c>
      <c r="AL961" s="2" t="n">
        <f aca="false">ROUND(Y961-AE961,9)</f>
        <v>0.153791637</v>
      </c>
      <c r="AM961" s="2" t="n">
        <f aca="false">ROUND(Z961-AF961,9)</f>
        <v>0.70659107</v>
      </c>
      <c r="AN961" s="2" t="n">
        <f aca="false">ROUND(AA961-AG961,9)</f>
        <v>0.029057406</v>
      </c>
      <c r="AO961" s="2" t="n">
        <f aca="false">ROUND(AB961-AH961,9)</f>
        <v>0.970233877</v>
      </c>
      <c r="AP961" s="2" t="n">
        <f aca="false">ROUND(AC961-AI961,9)</f>
        <v>0.160878809</v>
      </c>
      <c r="AQ961" s="2" t="n">
        <f aca="false">ROUND(AD961-AJ961,9)</f>
        <v>0.979447201</v>
      </c>
    </row>
    <row r="962" customFormat="false" ht="15" hidden="false" customHeight="false" outlineLevel="0" collapsed="false">
      <c r="A962" s="2" t="n">
        <v>961</v>
      </c>
      <c r="B962" s="6" t="n">
        <v>25</v>
      </c>
      <c r="C962" s="6" t="n">
        <v>38</v>
      </c>
      <c r="D962" s="8" t="str">
        <f aca="false">INDEX(Bases!$B$2:$B$53,B962)</f>
        <v>Sandshrew</v>
      </c>
      <c r="E962" s="8" t="str">
        <f aca="false">INDEX(Bases!$B$2:$B$53,C962)</f>
        <v>Larvitar</v>
      </c>
      <c r="F962" s="2" t="str">
        <f aca="false">LEFT(D962,ROUNDUP(LEN(D962)/2,0))&amp;LOWER(MID(E962,ROUNDUP(LEN(E962)/2,0)+1,20))</f>
        <v>Sandsitar</v>
      </c>
      <c r="G962" s="8" t="str">
        <f aca="false">INDEX(Bases!$C$2:$C$53,B962)</f>
        <v>Ground</v>
      </c>
      <c r="H962" s="8" t="str">
        <f aca="false">IF(INDEX(Bases!$C$2:$C$53,C962)=G962,"",INDEX(Bases!$C$2:$C$53,C962))</f>
        <v>Rock</v>
      </c>
      <c r="I962" s="8" t="str">
        <f aca="false">IF(INDEX(Bases!$E$2:$E$53,B962)="","",INDEX(Bases!$E$2:$E$53,B962))</f>
        <v/>
      </c>
      <c r="J962" s="8" t="str">
        <f aca="false">IF(INDEX(Bases!$E$2:$E$53,C962)="","",INDEX(Bases!$E$2:$E$53,C962))</f>
        <v/>
      </c>
      <c r="K962" s="5"/>
      <c r="L962" s="2" t="n">
        <f aca="false">AE962+IF(SUMPRODUCT(--($AL962:$AQ962&gt;AL962))&lt;$AK962,1,0)</f>
        <v>80</v>
      </c>
      <c r="M962" s="2" t="n">
        <f aca="false">AF962+IF(SUMPRODUCT(--($AL962:$AQ962&gt;AM962))+SUMPRODUCT(--($AL962:AL962=AM962))&lt;$AK962,1,0)</f>
        <v>113</v>
      </c>
      <c r="N962" s="2" t="n">
        <f aca="false">AG962+IF(SUMPRODUCT(--($AL962:$AQ962&gt;AN962))+SUMPRODUCT(--($AL962:AM962=AN962))&lt;$AK962,1,0)</f>
        <v>116</v>
      </c>
      <c r="O962" s="2" t="n">
        <f aca="false">AH962+IF(SUMPRODUCT(--($AL962:$AQ962&gt;AO962))+SUMPRODUCT(--($AL962:AN962=AO962))&lt;$AK962,1,0)</f>
        <v>58</v>
      </c>
      <c r="P962" s="2" t="n">
        <f aca="false">AI962+IF(SUMPRODUCT(--($AL962:$AQ962&gt;AP962))+SUMPRODUCT(--($AL962:AO962=AP962))&lt;$AK962,1,0)</f>
        <v>69</v>
      </c>
      <c r="Q962" s="2" t="n">
        <f aca="false">AJ962+IF(SUMPRODUCT(--($AL962:$AQ962&gt;AQ962))+SUMPRODUCT(--($AL962:AP962=AQ962))&lt;$AK962,1,0)</f>
        <v>64</v>
      </c>
      <c r="R962" s="2" t="n">
        <f aca="false">SUM(L962:Q962)</f>
        <v>500</v>
      </c>
      <c r="S962" s="2" t="n">
        <f aca="false">Settings!$B$4*MAX(INDEX(Bases!$M$2:$M$53,B962),INDEX(Bases!$M$2:$M$53,C962))+Settings!$B$5*MIN(INDEX(Bases!$M$2:$M$53,B962),INDEX(Bases!$M$2:$M$53,C962))</f>
        <v>67</v>
      </c>
      <c r="T962" s="2" t="n">
        <f aca="false">Settings!$B$4*MAX(INDEX(Bases!$N$2:$N$53,B962),INDEX(Bases!$N$2:$N$53,C962))+Settings!$B$5*MIN(INDEX(Bases!$N$2:$N$53,B962),INDEX(Bases!$N$2:$N$53,C962))</f>
        <v>95</v>
      </c>
      <c r="U962" s="2" t="n">
        <f aca="false">Settings!$B$4*MAX(INDEX(Bases!$O$2:$O$53,B962),INDEX(Bases!$O$2:$O$53,C962))+Settings!$B$5*MIN(INDEX(Bases!$O$2:$O$53,B962),INDEX(Bases!$O$2:$O$53,C962))</f>
        <v>97.6666666666667</v>
      </c>
      <c r="V962" s="2" t="n">
        <f aca="false">Settings!$B$4*MAX(INDEX(Bases!$P$2:$P$53,B962),INDEX(Bases!$P$2:$P$53,C962))+Settings!$B$5*MIN(INDEX(Bases!$P$2:$P$53,B962),INDEX(Bases!$P$2:$P$53,C962))</f>
        <v>49</v>
      </c>
      <c r="W962" s="2" t="n">
        <f aca="false">Settings!$B$4*MAX(INDEX(Bases!$Q$2:$Q$53,B962),INDEX(Bases!$Q$2:$Q$53,C962))+Settings!$B$5*MIN(INDEX(Bases!$Q$2:$Q$53,B962),INDEX(Bases!$Q$2:$Q$53,C962))</f>
        <v>58</v>
      </c>
      <c r="X962" s="2" t="n">
        <f aca="false">Settings!$B$4*MAX(INDEX(Bases!$R$2:$R$53,B962),INDEX(Bases!$R$2:$R$53,C962))+Settings!$B$5*MIN(INDEX(Bases!$R$2:$R$53,B962),INDEX(Bases!$R$2:$R$53,C962))</f>
        <v>53.6666666666667</v>
      </c>
      <c r="Y962" s="2" t="n">
        <f aca="false">S962*Settings!$B$3/SUM(S962:X962)</f>
        <v>79.6986518636003</v>
      </c>
      <c r="Z962" s="2" t="n">
        <f aca="false">T962*Settings!$B$3/SUM(S962:X962)</f>
        <v>113.005551149881</v>
      </c>
      <c r="AA962" s="2" t="n">
        <f aca="false">U962*Settings!$B$3/SUM(S962:X962)</f>
        <v>116.177636796194</v>
      </c>
      <c r="AB962" s="2" t="n">
        <f aca="false">V962*Settings!$B$3/SUM(S962:X962)</f>
        <v>58.2870737509913</v>
      </c>
      <c r="AC962" s="2" t="n">
        <f aca="false">W962*Settings!$B$3/SUM(S962:X962)</f>
        <v>68.9928628072958</v>
      </c>
      <c r="AD962" s="2" t="n">
        <f aca="false">X962*Settings!$B$3/SUM(S962:X962)</f>
        <v>63.8382236320381</v>
      </c>
      <c r="AE962" s="2" t="n">
        <f aca="false">INT(Y962)</f>
        <v>79</v>
      </c>
      <c r="AF962" s="2" t="n">
        <f aca="false">INT(Z962)</f>
        <v>113</v>
      </c>
      <c r="AG962" s="2" t="n">
        <f aca="false">INT(AA962)</f>
        <v>116</v>
      </c>
      <c r="AH962" s="2" t="n">
        <f aca="false">INT(AB962)</f>
        <v>58</v>
      </c>
      <c r="AI962" s="2" t="n">
        <f aca="false">INT(AC962)</f>
        <v>68</v>
      </c>
      <c r="AJ962" s="2" t="n">
        <f aca="false">INT(AD962)</f>
        <v>63</v>
      </c>
      <c r="AK962" s="2" t="n">
        <f aca="false">Settings!$B$3-SUM(AE962:AJ962)</f>
        <v>3</v>
      </c>
      <c r="AL962" s="2" t="n">
        <f aca="false">ROUND(Y962-AE962,9)</f>
        <v>0.698651864</v>
      </c>
      <c r="AM962" s="2" t="n">
        <f aca="false">ROUND(Z962-AF962,9)</f>
        <v>0.00555115</v>
      </c>
      <c r="AN962" s="2" t="n">
        <f aca="false">ROUND(AA962-AG962,9)</f>
        <v>0.177636796</v>
      </c>
      <c r="AO962" s="2" t="n">
        <f aca="false">ROUND(AB962-AH962,9)</f>
        <v>0.287073751</v>
      </c>
      <c r="AP962" s="2" t="n">
        <f aca="false">ROUND(AC962-AI962,9)</f>
        <v>0.992862807</v>
      </c>
      <c r="AQ962" s="2" t="n">
        <f aca="false">ROUND(AD962-AJ962,9)</f>
        <v>0.838223632</v>
      </c>
    </row>
    <row r="963" customFormat="false" ht="15" hidden="false" customHeight="false" outlineLevel="0" collapsed="false">
      <c r="A963" s="2" t="n">
        <v>962</v>
      </c>
      <c r="B963" s="6" t="n">
        <v>25</v>
      </c>
      <c r="C963" s="6" t="n">
        <v>39</v>
      </c>
      <c r="D963" s="8" t="str">
        <f aca="false">INDEX(Bases!$B$2:$B$53,B963)</f>
        <v>Sandshrew</v>
      </c>
      <c r="E963" s="8" t="str">
        <f aca="false">INDEX(Bases!$B$2:$B$53,C963)</f>
        <v>Nosepass</v>
      </c>
      <c r="F963" s="2" t="str">
        <f aca="false">LEFT(D963,ROUNDUP(LEN(D963)/2,0))&amp;LOWER(MID(E963,ROUNDUP(LEN(E963)/2,0)+1,20))</f>
        <v>Sandspass</v>
      </c>
      <c r="G963" s="8" t="str">
        <f aca="false">INDEX(Bases!$C$2:$C$53,B963)</f>
        <v>Ground</v>
      </c>
      <c r="H963" s="8" t="str">
        <f aca="false">IF(INDEX(Bases!$C$2:$C$53,C963)=G963,"",INDEX(Bases!$C$2:$C$53,C963))</f>
        <v>Rock</v>
      </c>
      <c r="I963" s="8" t="str">
        <f aca="false">IF(INDEX(Bases!$E$2:$E$53,B963)="","",INDEX(Bases!$E$2:$E$53,B963))</f>
        <v/>
      </c>
      <c r="J963" s="8" t="str">
        <f aca="false">IF(INDEX(Bases!$E$2:$E$53,C963)="","",INDEX(Bases!$E$2:$E$53,C963))</f>
        <v/>
      </c>
      <c r="K963" s="5"/>
      <c r="L963" s="2" t="n">
        <f aca="false">AE963+IF(SUMPRODUCT(--($AL963:$AQ963&gt;AL963))&lt;$AK963,1,0)</f>
        <v>63</v>
      </c>
      <c r="M963" s="2" t="n">
        <f aca="false">AF963+IF(SUMPRODUCT(--($AL963:$AQ963&gt;AM963))+SUMPRODUCT(--($AL963:AL963=AM963))&lt;$AK963,1,0)</f>
        <v>95</v>
      </c>
      <c r="N963" s="2" t="n">
        <f aca="false">AG963+IF(SUMPRODUCT(--($AL963:$AQ963&gt;AN963))+SUMPRODUCT(--($AL963:AM963=AN963))&lt;$AK963,1,0)</f>
        <v>153</v>
      </c>
      <c r="O963" s="2" t="n">
        <f aca="false">AH963+IF(SUMPRODUCT(--($AL963:$AQ963&gt;AO963))+SUMPRODUCT(--($AL963:AN963=AO963))&lt;$AK963,1,0)</f>
        <v>47</v>
      </c>
      <c r="P963" s="2" t="n">
        <f aca="false">AI963+IF(SUMPRODUCT(--($AL963:$AQ963&gt;AP963))+SUMPRODUCT(--($AL963:AO963=AP963))&lt;$AK963,1,0)</f>
        <v>89</v>
      </c>
      <c r="Q963" s="2" t="n">
        <f aca="false">AJ963+IF(SUMPRODUCT(--($AL963:$AQ963&gt;AQ963))+SUMPRODUCT(--($AL963:AP963=AQ963))&lt;$AK963,1,0)</f>
        <v>53</v>
      </c>
      <c r="R963" s="2" t="n">
        <f aca="false">SUM(L963:Q963)</f>
        <v>500</v>
      </c>
      <c r="S963" s="2" t="n">
        <f aca="false">Settings!$B$4*MAX(INDEX(Bases!$M$2:$M$53,B963),INDEX(Bases!$M$2:$M$53,C963))+Settings!$B$5*MIN(INDEX(Bases!$M$2:$M$53,B963),INDEX(Bases!$M$2:$M$53,C963))</f>
        <v>55.3333333333333</v>
      </c>
      <c r="T963" s="2" t="n">
        <f aca="false">Settings!$B$4*MAX(INDEX(Bases!$N$2:$N$53,B963),INDEX(Bases!$N$2:$N$53,C963))+Settings!$B$5*MIN(INDEX(Bases!$N$2:$N$53,B963),INDEX(Bases!$N$2:$N$53,C963))</f>
        <v>82.6666666666667</v>
      </c>
      <c r="U963" s="2" t="n">
        <f aca="false">Settings!$B$4*MAX(INDEX(Bases!$O$2:$O$53,B963),INDEX(Bases!$O$2:$O$53,C963))+Settings!$B$5*MIN(INDEX(Bases!$O$2:$O$53,B963),INDEX(Bases!$O$2:$O$53,C963))</f>
        <v>133.666666666667</v>
      </c>
      <c r="V963" s="2" t="n">
        <f aca="false">Settings!$B$4*MAX(INDEX(Bases!$P$2:$P$53,B963),INDEX(Bases!$P$2:$P$53,C963))+Settings!$B$5*MIN(INDEX(Bases!$P$2:$P$53,B963),INDEX(Bases!$P$2:$P$53,C963))</f>
        <v>41</v>
      </c>
      <c r="W963" s="2" t="n">
        <f aca="false">Settings!$B$4*MAX(INDEX(Bases!$Q$2:$Q$53,B963),INDEX(Bases!$Q$2:$Q$53,C963))+Settings!$B$5*MIN(INDEX(Bases!$Q$2:$Q$53,B963),INDEX(Bases!$Q$2:$Q$53,C963))</f>
        <v>77.3333333333333</v>
      </c>
      <c r="X963" s="2" t="n">
        <f aca="false">Settings!$B$4*MAX(INDEX(Bases!$R$2:$R$53,B963),INDEX(Bases!$R$2:$R$53,C963))+Settings!$B$5*MIN(INDEX(Bases!$R$2:$R$53,B963),INDEX(Bases!$R$2:$R$53,C963))</f>
        <v>46</v>
      </c>
      <c r="Y963" s="2" t="n">
        <f aca="false">S963*Settings!$B$3/SUM(S963:X963)</f>
        <v>63.4556574923547</v>
      </c>
      <c r="Z963" s="2" t="n">
        <f aca="false">T963*Settings!$B$3/SUM(S963:X963)</f>
        <v>94.8012232415902</v>
      </c>
      <c r="AA963" s="2" t="n">
        <f aca="false">U963*Settings!$B$3/SUM(S963:X963)</f>
        <v>153.2874617737</v>
      </c>
      <c r="AB963" s="2" t="n">
        <f aca="false">V963*Settings!$B$3/SUM(S963:X963)</f>
        <v>47.0183486238532</v>
      </c>
      <c r="AC963" s="2" t="n">
        <f aca="false">W963*Settings!$B$3/SUM(S963:X963)</f>
        <v>88.6850152905199</v>
      </c>
      <c r="AD963" s="2" t="n">
        <f aca="false">X963*Settings!$B$3/SUM(S963:X963)</f>
        <v>52.7522935779817</v>
      </c>
      <c r="AE963" s="2" t="n">
        <f aca="false">INT(Y963)</f>
        <v>63</v>
      </c>
      <c r="AF963" s="2" t="n">
        <f aca="false">INT(Z963)</f>
        <v>94</v>
      </c>
      <c r="AG963" s="2" t="n">
        <f aca="false">INT(AA963)</f>
        <v>153</v>
      </c>
      <c r="AH963" s="2" t="n">
        <f aca="false">INT(AB963)</f>
        <v>47</v>
      </c>
      <c r="AI963" s="2" t="n">
        <f aca="false">INT(AC963)</f>
        <v>88</v>
      </c>
      <c r="AJ963" s="2" t="n">
        <f aca="false">INT(AD963)</f>
        <v>52</v>
      </c>
      <c r="AK963" s="2" t="n">
        <f aca="false">Settings!$B$3-SUM(AE963:AJ963)</f>
        <v>3</v>
      </c>
      <c r="AL963" s="2" t="n">
        <f aca="false">ROUND(Y963-AE963,9)</f>
        <v>0.455657492</v>
      </c>
      <c r="AM963" s="2" t="n">
        <f aca="false">ROUND(Z963-AF963,9)</f>
        <v>0.801223242</v>
      </c>
      <c r="AN963" s="2" t="n">
        <f aca="false">ROUND(AA963-AG963,9)</f>
        <v>0.287461774</v>
      </c>
      <c r="AO963" s="2" t="n">
        <f aca="false">ROUND(AB963-AH963,9)</f>
        <v>0.018348624</v>
      </c>
      <c r="AP963" s="2" t="n">
        <f aca="false">ROUND(AC963-AI963,9)</f>
        <v>0.685015291</v>
      </c>
      <c r="AQ963" s="2" t="n">
        <f aca="false">ROUND(AD963-AJ963,9)</f>
        <v>0.752293578</v>
      </c>
    </row>
    <row r="964" customFormat="false" ht="15" hidden="false" customHeight="false" outlineLevel="0" collapsed="false">
      <c r="A964" s="2" t="n">
        <v>963</v>
      </c>
      <c r="B964" s="6" t="n">
        <v>25</v>
      </c>
      <c r="C964" s="6" t="n">
        <v>40</v>
      </c>
      <c r="D964" s="8" t="str">
        <f aca="false">INDEX(Bases!$B$2:$B$53,B964)</f>
        <v>Sandshrew</v>
      </c>
      <c r="E964" s="8" t="str">
        <f aca="false">INDEX(Bases!$B$2:$B$53,C964)</f>
        <v>Gastly</v>
      </c>
      <c r="F964" s="2" t="str">
        <f aca="false">LEFT(D964,ROUNDUP(LEN(D964)/2,0))&amp;LOWER(MID(E964,ROUNDUP(LEN(E964)/2,0)+1,20))</f>
        <v>Sandstly</v>
      </c>
      <c r="G964" s="8" t="str">
        <f aca="false">INDEX(Bases!$C$2:$C$53,B964)</f>
        <v>Ground</v>
      </c>
      <c r="H964" s="8" t="str">
        <f aca="false">IF(INDEX(Bases!$C$2:$C$53,C964)=G964,"",INDEX(Bases!$C$2:$C$53,C964))</f>
        <v>Ghost</v>
      </c>
      <c r="I964" s="8" t="str">
        <f aca="false">IF(INDEX(Bases!$E$2:$E$53,B964)="","",INDEX(Bases!$E$2:$E$53,B964))</f>
        <v/>
      </c>
      <c r="J964" s="8" t="str">
        <f aca="false">IF(INDEX(Bases!$E$2:$E$53,C964)="","",INDEX(Bases!$E$2:$E$53,C964))</f>
        <v/>
      </c>
      <c r="K964" s="5"/>
      <c r="L964" s="2" t="n">
        <f aca="false">AE964+IF(SUMPRODUCT(--($AL964:$AQ964&gt;AL964))&lt;$AK964,1,0)</f>
        <v>64</v>
      </c>
      <c r="M964" s="2" t="n">
        <f aca="false">AF964+IF(SUMPRODUCT(--($AL964:$AQ964&gt;AM964))+SUMPRODUCT(--($AL964:AL964=AM964))&lt;$AK964,1,0)</f>
        <v>90</v>
      </c>
      <c r="N964" s="2" t="n">
        <f aca="false">AG964+IF(SUMPRODUCT(--($AL964:$AQ964&gt;AN964))+SUMPRODUCT(--($AL964:AM964=AN964))&lt;$AK964,1,0)</f>
        <v>98</v>
      </c>
      <c r="O964" s="2" t="n">
        <f aca="false">AH964+IF(SUMPRODUCT(--($AL964:$AQ964&gt;AO964))+SUMPRODUCT(--($AL964:AN964=AO964))&lt;$AK964,1,0)</f>
        <v>105</v>
      </c>
      <c r="P964" s="2" t="n">
        <f aca="false">AI964+IF(SUMPRODUCT(--($AL964:$AQ964&gt;AP964))+SUMPRODUCT(--($AL964:AO964=AP964))&lt;$AK964,1,0)</f>
        <v>48</v>
      </c>
      <c r="Q964" s="2" t="n">
        <f aca="false">AJ964+IF(SUMPRODUCT(--($AL964:$AQ964&gt;AQ964))+SUMPRODUCT(--($AL964:AP964=AQ964))&lt;$AK964,1,0)</f>
        <v>95</v>
      </c>
      <c r="R964" s="2" t="n">
        <f aca="false">SUM(L964:Q964)</f>
        <v>500</v>
      </c>
      <c r="S964" s="2" t="n">
        <f aca="false">Settings!$B$4*MAX(INDEX(Bases!$M$2:$M$53,B964),INDEX(Bases!$M$2:$M$53,C964))+Settings!$B$5*MIN(INDEX(Bases!$M$2:$M$53,B964),INDEX(Bases!$M$2:$M$53,C964))</f>
        <v>57.6666666666667</v>
      </c>
      <c r="T964" s="2" t="n">
        <f aca="false">Settings!$B$4*MAX(INDEX(Bases!$N$2:$N$53,B964),INDEX(Bases!$N$2:$N$53,C964))+Settings!$B$5*MIN(INDEX(Bases!$N$2:$N$53,B964),INDEX(Bases!$N$2:$N$53,C964))</f>
        <v>81.6666666666667</v>
      </c>
      <c r="U964" s="2" t="n">
        <f aca="false">Settings!$B$4*MAX(INDEX(Bases!$O$2:$O$53,B964),INDEX(Bases!$O$2:$O$53,C964))+Settings!$B$5*MIN(INDEX(Bases!$O$2:$O$53,B964),INDEX(Bases!$O$2:$O$53,C964))</f>
        <v>88.3333333333333</v>
      </c>
      <c r="V964" s="2" t="n">
        <f aca="false">Settings!$B$4*MAX(INDEX(Bases!$P$2:$P$53,B964),INDEX(Bases!$P$2:$P$53,C964))+Settings!$B$5*MIN(INDEX(Bases!$P$2:$P$53,B964),INDEX(Bases!$P$2:$P$53,C964))</f>
        <v>95</v>
      </c>
      <c r="W964" s="2" t="n">
        <f aca="false">Settings!$B$4*MAX(INDEX(Bases!$Q$2:$Q$53,B964),INDEX(Bases!$Q$2:$Q$53,C964))+Settings!$B$5*MIN(INDEX(Bases!$Q$2:$Q$53,B964),INDEX(Bases!$Q$2:$Q$53,C964))</f>
        <v>43.3333333333333</v>
      </c>
      <c r="X964" s="2" t="n">
        <f aca="false">Settings!$B$4*MAX(INDEX(Bases!$R$2:$R$53,B964),INDEX(Bases!$R$2:$R$53,C964))+Settings!$B$5*MIN(INDEX(Bases!$R$2:$R$53,B964),INDEX(Bases!$R$2:$R$53,C964))</f>
        <v>86.3333333333333</v>
      </c>
      <c r="Y964" s="2" t="n">
        <f aca="false">S964*Settings!$B$3/SUM(S964:X964)</f>
        <v>63.7435519528371</v>
      </c>
      <c r="Z964" s="2" t="n">
        <f aca="false">T964*Settings!$B$3/SUM(S964:X964)</f>
        <v>90.2726602800295</v>
      </c>
      <c r="AA964" s="2" t="n">
        <f aca="false">U964*Settings!$B$3/SUM(S964:X964)</f>
        <v>97.6418570375829</v>
      </c>
      <c r="AB964" s="2" t="n">
        <f aca="false">V964*Settings!$B$3/SUM(S964:X964)</f>
        <v>105.011053795136</v>
      </c>
      <c r="AC964" s="2" t="n">
        <f aca="false">W964*Settings!$B$3/SUM(S964:X964)</f>
        <v>47.8997789240973</v>
      </c>
      <c r="AD964" s="2" t="n">
        <f aca="false">X964*Settings!$B$3/SUM(S964:X964)</f>
        <v>95.4310980103169</v>
      </c>
      <c r="AE964" s="2" t="n">
        <f aca="false">INT(Y964)</f>
        <v>63</v>
      </c>
      <c r="AF964" s="2" t="n">
        <f aca="false">INT(Z964)</f>
        <v>90</v>
      </c>
      <c r="AG964" s="2" t="n">
        <f aca="false">INT(AA964)</f>
        <v>97</v>
      </c>
      <c r="AH964" s="2" t="n">
        <f aca="false">INT(AB964)</f>
        <v>105</v>
      </c>
      <c r="AI964" s="2" t="n">
        <f aca="false">INT(AC964)</f>
        <v>47</v>
      </c>
      <c r="AJ964" s="2" t="n">
        <f aca="false">INT(AD964)</f>
        <v>95</v>
      </c>
      <c r="AK964" s="2" t="n">
        <f aca="false">Settings!$B$3-SUM(AE964:AJ964)</f>
        <v>3</v>
      </c>
      <c r="AL964" s="2" t="n">
        <f aca="false">ROUND(Y964-AE964,9)</f>
        <v>0.743551953</v>
      </c>
      <c r="AM964" s="2" t="n">
        <f aca="false">ROUND(Z964-AF964,9)</f>
        <v>0.27266028</v>
      </c>
      <c r="AN964" s="2" t="n">
        <f aca="false">ROUND(AA964-AG964,9)</f>
        <v>0.641857038</v>
      </c>
      <c r="AO964" s="2" t="n">
        <f aca="false">ROUND(AB964-AH964,9)</f>
        <v>0.011053795</v>
      </c>
      <c r="AP964" s="2" t="n">
        <f aca="false">ROUND(AC964-AI964,9)</f>
        <v>0.899778924</v>
      </c>
      <c r="AQ964" s="2" t="n">
        <f aca="false">ROUND(AD964-AJ964,9)</f>
        <v>0.43109801</v>
      </c>
    </row>
    <row r="965" customFormat="false" ht="15" hidden="false" customHeight="false" outlineLevel="0" collapsed="false">
      <c r="A965" s="2" t="n">
        <v>964</v>
      </c>
      <c r="B965" s="6" t="n">
        <v>25</v>
      </c>
      <c r="C965" s="6" t="n">
        <v>41</v>
      </c>
      <c r="D965" s="8" t="str">
        <f aca="false">INDEX(Bases!$B$2:$B$53,B965)</f>
        <v>Sandshrew</v>
      </c>
      <c r="E965" s="8" t="str">
        <f aca="false">INDEX(Bases!$B$2:$B$53,C965)</f>
        <v>Misdreavus</v>
      </c>
      <c r="F965" s="2" t="str">
        <f aca="false">LEFT(D965,ROUNDUP(LEN(D965)/2,0))&amp;LOWER(MID(E965,ROUNDUP(LEN(E965)/2,0)+1,20))</f>
        <v>Sandseavus</v>
      </c>
      <c r="G965" s="8" t="str">
        <f aca="false">INDEX(Bases!$C$2:$C$53,B965)</f>
        <v>Ground</v>
      </c>
      <c r="H965" s="8" t="str">
        <f aca="false">IF(INDEX(Bases!$C$2:$C$53,C965)=G965,"",INDEX(Bases!$C$2:$C$53,C965))</f>
        <v>Ghost</v>
      </c>
      <c r="I965" s="8" t="str">
        <f aca="false">IF(INDEX(Bases!$E$2:$E$53,B965)="","",INDEX(Bases!$E$2:$E$53,B965))</f>
        <v/>
      </c>
      <c r="J965" s="8" t="str">
        <f aca="false">IF(INDEX(Bases!$E$2:$E$53,C965)="","",INDEX(Bases!$E$2:$E$53,C965))</f>
        <v/>
      </c>
      <c r="K965" s="5"/>
      <c r="L965" s="2" t="n">
        <f aca="false">AE965+IF(SUMPRODUCT(--($AL965:$AQ965&gt;AL965))&lt;$AK965,1,0)</f>
        <v>72</v>
      </c>
      <c r="M965" s="2" t="n">
        <f aca="false">AF965+IF(SUMPRODUCT(--($AL965:$AQ965&gt;AM965))+SUMPRODUCT(--($AL965:AL965=AM965))&lt;$AK965,1,0)</f>
        <v>97</v>
      </c>
      <c r="N965" s="2" t="n">
        <f aca="false">AG965+IF(SUMPRODUCT(--($AL965:$AQ965&gt;AN965))+SUMPRODUCT(--($AL965:AM965=AN965))&lt;$AK965,1,0)</f>
        <v>107</v>
      </c>
      <c r="O965" s="2" t="n">
        <f aca="false">AH965+IF(SUMPRODUCT(--($AL965:$AQ965&gt;AO965))+SUMPRODUCT(--($AL965:AN965=AO965))&lt;$AK965,1,0)</f>
        <v>70</v>
      </c>
      <c r="P965" s="2" t="n">
        <f aca="false">AI965+IF(SUMPRODUCT(--($AL965:$AQ965&gt;AP965))+SUMPRODUCT(--($AL965:AO965=AP965))&lt;$AK965,1,0)</f>
        <v>75</v>
      </c>
      <c r="Q965" s="2" t="n">
        <f aca="false">AJ965+IF(SUMPRODUCT(--($AL965:$AQ965&gt;AQ965))+SUMPRODUCT(--($AL965:AP965=AQ965))&lt;$AK965,1,0)</f>
        <v>79</v>
      </c>
      <c r="R965" s="2" t="n">
        <f aca="false">SUM(L965:Q965)</f>
        <v>500</v>
      </c>
      <c r="S965" s="2" t="n">
        <f aca="false">Settings!$B$4*MAX(INDEX(Bases!$M$2:$M$53,B965),INDEX(Bases!$M$2:$M$53,C965))+Settings!$B$5*MIN(INDEX(Bases!$M$2:$M$53,B965),INDEX(Bases!$M$2:$M$53,C965))</f>
        <v>63.3333333333333</v>
      </c>
      <c r="T965" s="2" t="n">
        <f aca="false">Settings!$B$4*MAX(INDEX(Bases!$N$2:$N$53,B965),INDEX(Bases!$N$2:$N$53,C965))+Settings!$B$5*MIN(INDEX(Bases!$N$2:$N$53,B965),INDEX(Bases!$N$2:$N$53,C965))</f>
        <v>85</v>
      </c>
      <c r="U965" s="2" t="n">
        <f aca="false">Settings!$B$4*MAX(INDEX(Bases!$O$2:$O$53,B965),INDEX(Bases!$O$2:$O$53,C965))+Settings!$B$5*MIN(INDEX(Bases!$O$2:$O$53,B965),INDEX(Bases!$O$2:$O$53,C965))</f>
        <v>93.6666666666667</v>
      </c>
      <c r="V965" s="2" t="n">
        <f aca="false">Settings!$B$4*MAX(INDEX(Bases!$P$2:$P$53,B965),INDEX(Bases!$P$2:$P$53,C965))+Settings!$B$5*MIN(INDEX(Bases!$P$2:$P$53,B965),INDEX(Bases!$P$2:$P$53,C965))</f>
        <v>61</v>
      </c>
      <c r="W965" s="2" t="n">
        <f aca="false">Settings!$B$4*MAX(INDEX(Bases!$Q$2:$Q$53,B965),INDEX(Bases!$Q$2:$Q$53,C965))+Settings!$B$5*MIN(INDEX(Bases!$Q$2:$Q$53,B965),INDEX(Bases!$Q$2:$Q$53,C965))</f>
        <v>65.3333333333333</v>
      </c>
      <c r="X965" s="2" t="n">
        <f aca="false">Settings!$B$4*MAX(INDEX(Bases!$R$2:$R$53,B965),INDEX(Bases!$R$2:$R$53,C965))+Settings!$B$5*MIN(INDEX(Bases!$R$2:$R$53,B965),INDEX(Bases!$R$2:$R$53,C965))</f>
        <v>69.6666666666667</v>
      </c>
      <c r="Y965" s="2" t="n">
        <f aca="false">S965*Settings!$B$3/SUM(S965:X965)</f>
        <v>72.2983257229833</v>
      </c>
      <c r="Z965" s="2" t="n">
        <f aca="false">T965*Settings!$B$3/SUM(S965:X965)</f>
        <v>97.0319634703196</v>
      </c>
      <c r="AA965" s="2" t="n">
        <f aca="false">U965*Settings!$B$3/SUM(S965:X965)</f>
        <v>106.925418569254</v>
      </c>
      <c r="AB965" s="2" t="n">
        <f aca="false">V965*Settings!$B$3/SUM(S965:X965)</f>
        <v>69.634703196347</v>
      </c>
      <c r="AC965" s="2" t="n">
        <f aca="false">W965*Settings!$B$3/SUM(S965:X965)</f>
        <v>74.5814307458143</v>
      </c>
      <c r="AD965" s="2" t="n">
        <f aca="false">X965*Settings!$B$3/SUM(S965:X965)</f>
        <v>79.5281582952816</v>
      </c>
      <c r="AE965" s="2" t="n">
        <f aca="false">INT(Y965)</f>
        <v>72</v>
      </c>
      <c r="AF965" s="2" t="n">
        <f aca="false">INT(Z965)</f>
        <v>97</v>
      </c>
      <c r="AG965" s="2" t="n">
        <f aca="false">INT(AA965)</f>
        <v>106</v>
      </c>
      <c r="AH965" s="2" t="n">
        <f aca="false">INT(AB965)</f>
        <v>69</v>
      </c>
      <c r="AI965" s="2" t="n">
        <f aca="false">INT(AC965)</f>
        <v>74</v>
      </c>
      <c r="AJ965" s="2" t="n">
        <f aca="false">INT(AD965)</f>
        <v>79</v>
      </c>
      <c r="AK965" s="2" t="n">
        <f aca="false">Settings!$B$3-SUM(AE965:AJ965)</f>
        <v>3</v>
      </c>
      <c r="AL965" s="2" t="n">
        <f aca="false">ROUND(Y965-AE965,9)</f>
        <v>0.298325723</v>
      </c>
      <c r="AM965" s="2" t="n">
        <f aca="false">ROUND(Z965-AF965,9)</f>
        <v>0.03196347</v>
      </c>
      <c r="AN965" s="2" t="n">
        <f aca="false">ROUND(AA965-AG965,9)</f>
        <v>0.925418569</v>
      </c>
      <c r="AO965" s="2" t="n">
        <f aca="false">ROUND(AB965-AH965,9)</f>
        <v>0.634703196</v>
      </c>
      <c r="AP965" s="2" t="n">
        <f aca="false">ROUND(AC965-AI965,9)</f>
        <v>0.581430746</v>
      </c>
      <c r="AQ965" s="2" t="n">
        <f aca="false">ROUND(AD965-AJ965,9)</f>
        <v>0.528158295</v>
      </c>
    </row>
    <row r="966" customFormat="false" ht="15" hidden="false" customHeight="false" outlineLevel="0" collapsed="false">
      <c r="A966" s="2" t="n">
        <v>965</v>
      </c>
      <c r="B966" s="6" t="n">
        <v>25</v>
      </c>
      <c r="C966" s="6" t="n">
        <v>42</v>
      </c>
      <c r="D966" s="8" t="str">
        <f aca="false">INDEX(Bases!$B$2:$B$53,B966)</f>
        <v>Sandshrew</v>
      </c>
      <c r="E966" s="8" t="str">
        <f aca="false">INDEX(Bases!$B$2:$B$53,C966)</f>
        <v>Sableye</v>
      </c>
      <c r="F966" s="2" t="str">
        <f aca="false">LEFT(D966,ROUNDUP(LEN(D966)/2,0))&amp;LOWER(MID(E966,ROUNDUP(LEN(E966)/2,0)+1,20))</f>
        <v>Sandseye</v>
      </c>
      <c r="G966" s="8" t="str">
        <f aca="false">INDEX(Bases!$C$2:$C$53,B966)</f>
        <v>Ground</v>
      </c>
      <c r="H966" s="8" t="str">
        <f aca="false">IF(INDEX(Bases!$C$2:$C$53,C966)=G966,"",INDEX(Bases!$C$2:$C$53,C966))</f>
        <v>Ghost</v>
      </c>
      <c r="I966" s="8" t="str">
        <f aca="false">IF(INDEX(Bases!$E$2:$E$53,B966)="","",INDEX(Bases!$E$2:$E$53,B966))</f>
        <v/>
      </c>
      <c r="J966" s="8" t="str">
        <f aca="false">IF(INDEX(Bases!$E$2:$E$53,C966)="","",INDEX(Bases!$E$2:$E$53,C966))</f>
        <v/>
      </c>
      <c r="K966" s="5"/>
      <c r="L966" s="2" t="n">
        <f aca="false">AE966+IF(SUMPRODUCT(--($AL966:$AQ966&gt;AL966))&lt;$AK966,1,0)</f>
        <v>74</v>
      </c>
      <c r="M966" s="2" t="n">
        <f aca="false">AF966+IF(SUMPRODUCT(--($AL966:$AQ966&gt;AM966))+SUMPRODUCT(--($AL966:AL966=AM966))&lt;$AK966,1,0)</f>
        <v>110</v>
      </c>
      <c r="N966" s="2" t="n">
        <f aca="false">AG966+IF(SUMPRODUCT(--($AL966:$AQ966&gt;AN966))+SUMPRODUCT(--($AL966:AM966=AN966))&lt;$AK966,1,0)</f>
        <v>120</v>
      </c>
      <c r="O966" s="2" t="n">
        <f aca="false">AH966+IF(SUMPRODUCT(--($AL966:$AQ966&gt;AO966))+SUMPRODUCT(--($AL966:AN966=AO966))&lt;$AK966,1,0)</f>
        <v>64</v>
      </c>
      <c r="P966" s="2" t="n">
        <f aca="false">AI966+IF(SUMPRODUCT(--($AL966:$AQ966&gt;AP966))+SUMPRODUCT(--($AL966:AO966=AP966))&lt;$AK966,1,0)</f>
        <v>69</v>
      </c>
      <c r="Q966" s="2" t="n">
        <f aca="false">AJ966+IF(SUMPRODUCT(--($AL966:$AQ966&gt;AQ966))+SUMPRODUCT(--($AL966:AP966=AQ966))&lt;$AK966,1,0)</f>
        <v>63</v>
      </c>
      <c r="R966" s="2" t="n">
        <f aca="false">SUM(L966:Q966)</f>
        <v>500</v>
      </c>
      <c r="S966" s="2" t="n">
        <f aca="false">Settings!$B$4*MAX(INDEX(Bases!$M$2:$M$53,B966),INDEX(Bases!$M$2:$M$53,C966))+Settings!$B$5*MIN(INDEX(Bases!$M$2:$M$53,B966),INDEX(Bases!$M$2:$M$53,C966))</f>
        <v>62.3333333333333</v>
      </c>
      <c r="T966" s="2" t="n">
        <f aca="false">Settings!$B$4*MAX(INDEX(Bases!$N$2:$N$53,B966),INDEX(Bases!$N$2:$N$53,C966))+Settings!$B$5*MIN(INDEX(Bases!$N$2:$N$53,B966),INDEX(Bases!$N$2:$N$53,C966))</f>
        <v>93</v>
      </c>
      <c r="U966" s="2" t="n">
        <f aca="false">Settings!$B$4*MAX(INDEX(Bases!$O$2:$O$53,B966),INDEX(Bases!$O$2:$O$53,C966))+Settings!$B$5*MIN(INDEX(Bases!$O$2:$O$53,B966),INDEX(Bases!$O$2:$O$53,C966))</f>
        <v>101.666666666667</v>
      </c>
      <c r="V966" s="2" t="n">
        <f aca="false">Settings!$B$4*MAX(INDEX(Bases!$P$2:$P$53,B966),INDEX(Bases!$P$2:$P$53,C966))+Settings!$B$5*MIN(INDEX(Bases!$P$2:$P$53,B966),INDEX(Bases!$P$2:$P$53,C966))</f>
        <v>54.3333333333333</v>
      </c>
      <c r="W966" s="2" t="n">
        <f aca="false">Settings!$B$4*MAX(INDEX(Bases!$Q$2:$Q$53,B966),INDEX(Bases!$Q$2:$Q$53,C966))+Settings!$B$5*MIN(INDEX(Bases!$Q$2:$Q$53,B966),INDEX(Bases!$Q$2:$Q$53,C966))</f>
        <v>58.6666666666667</v>
      </c>
      <c r="X966" s="2" t="n">
        <f aca="false">Settings!$B$4*MAX(INDEX(Bases!$R$2:$R$53,B966),INDEX(Bases!$R$2:$R$53,C966))+Settings!$B$5*MIN(INDEX(Bases!$R$2:$R$53,B966),INDEX(Bases!$R$2:$R$53,C966))</f>
        <v>53</v>
      </c>
      <c r="Y966" s="2" t="n">
        <f aca="false">S966*Settings!$B$3/SUM(S966:X966)</f>
        <v>73.6800630417652</v>
      </c>
      <c r="Z966" s="2" t="n">
        <f aca="false">T966*Settings!$B$3/SUM(S966:X966)</f>
        <v>109.929078014184</v>
      </c>
      <c r="AA966" s="2" t="n">
        <f aca="false">U966*Settings!$B$3/SUM(S966:X966)</f>
        <v>120.173364854216</v>
      </c>
      <c r="AB966" s="2" t="n">
        <f aca="false">V966*Settings!$B$3/SUM(S966:X966)</f>
        <v>64.2237982663515</v>
      </c>
      <c r="AC966" s="2" t="n">
        <f aca="false">W966*Settings!$B$3/SUM(S966:X966)</f>
        <v>69.3459416863672</v>
      </c>
      <c r="AD966" s="2" t="n">
        <f aca="false">X966*Settings!$B$3/SUM(S966:X966)</f>
        <v>62.6477541371158</v>
      </c>
      <c r="AE966" s="2" t="n">
        <f aca="false">INT(Y966)</f>
        <v>73</v>
      </c>
      <c r="AF966" s="2" t="n">
        <f aca="false">INT(Z966)</f>
        <v>109</v>
      </c>
      <c r="AG966" s="2" t="n">
        <f aca="false">INT(AA966)</f>
        <v>120</v>
      </c>
      <c r="AH966" s="2" t="n">
        <f aca="false">INT(AB966)</f>
        <v>64</v>
      </c>
      <c r="AI966" s="2" t="n">
        <f aca="false">INT(AC966)</f>
        <v>69</v>
      </c>
      <c r="AJ966" s="2" t="n">
        <f aca="false">INT(AD966)</f>
        <v>62</v>
      </c>
      <c r="AK966" s="2" t="n">
        <f aca="false">Settings!$B$3-SUM(AE966:AJ966)</f>
        <v>3</v>
      </c>
      <c r="AL966" s="2" t="n">
        <f aca="false">ROUND(Y966-AE966,9)</f>
        <v>0.680063042</v>
      </c>
      <c r="AM966" s="2" t="n">
        <f aca="false">ROUND(Z966-AF966,9)</f>
        <v>0.929078014</v>
      </c>
      <c r="AN966" s="2" t="n">
        <f aca="false">ROUND(AA966-AG966,9)</f>
        <v>0.173364854</v>
      </c>
      <c r="AO966" s="2" t="n">
        <f aca="false">ROUND(AB966-AH966,9)</f>
        <v>0.223798266</v>
      </c>
      <c r="AP966" s="2" t="n">
        <f aca="false">ROUND(AC966-AI966,9)</f>
        <v>0.345941686</v>
      </c>
      <c r="AQ966" s="2" t="n">
        <f aca="false">ROUND(AD966-AJ966,9)</f>
        <v>0.647754137</v>
      </c>
    </row>
    <row r="967" customFormat="false" ht="15" hidden="false" customHeight="false" outlineLevel="0" collapsed="false">
      <c r="A967" s="2" t="n">
        <v>966</v>
      </c>
      <c r="B967" s="6" t="n">
        <v>25</v>
      </c>
      <c r="C967" s="6" t="n">
        <v>43</v>
      </c>
      <c r="D967" s="8" t="str">
        <f aca="false">INDEX(Bases!$B$2:$B$53,B967)</f>
        <v>Sandshrew</v>
      </c>
      <c r="E967" s="8" t="str">
        <f aca="false">INDEX(Bases!$B$2:$B$53,C967)</f>
        <v>Dratini</v>
      </c>
      <c r="F967" s="2" t="str">
        <f aca="false">LEFT(D967,ROUNDUP(LEN(D967)/2,0))&amp;LOWER(MID(E967,ROUNDUP(LEN(E967)/2,0)+1,20))</f>
        <v>Sandsini</v>
      </c>
      <c r="G967" s="8" t="str">
        <f aca="false">INDEX(Bases!$C$2:$C$53,B967)</f>
        <v>Ground</v>
      </c>
      <c r="H967" s="8" t="str">
        <f aca="false">IF(INDEX(Bases!$C$2:$C$53,C967)=G967,"",INDEX(Bases!$C$2:$C$53,C967))</f>
        <v>Dragon</v>
      </c>
      <c r="I967" s="8" t="str">
        <f aca="false">IF(INDEX(Bases!$E$2:$E$53,B967)="","",INDEX(Bases!$E$2:$E$53,B967))</f>
        <v/>
      </c>
      <c r="J967" s="8" t="str">
        <f aca="false">IF(INDEX(Bases!$E$2:$E$53,C967)="","",INDEX(Bases!$E$2:$E$53,C967))</f>
        <v/>
      </c>
      <c r="K967" s="5"/>
      <c r="L967" s="2" t="n">
        <f aca="false">AE967+IF(SUMPRODUCT(--($AL967:$AQ967&gt;AL967))&lt;$AK967,1,0)</f>
        <v>74</v>
      </c>
      <c r="M967" s="2" t="n">
        <f aca="false">AF967+IF(SUMPRODUCT(--($AL967:$AQ967&gt;AM967))+SUMPRODUCT(--($AL967:AL967=AM967))&lt;$AK967,1,0)</f>
        <v>111</v>
      </c>
      <c r="N967" s="2" t="n">
        <f aca="false">AG967+IF(SUMPRODUCT(--($AL967:$AQ967&gt;AN967))+SUMPRODUCT(--($AL967:AM967=AN967))&lt;$AK967,1,0)</f>
        <v>112</v>
      </c>
      <c r="O967" s="2" t="n">
        <f aca="false">AH967+IF(SUMPRODUCT(--($AL967:$AQ967&gt;AO967))+SUMPRODUCT(--($AL967:AN967=AO967))&lt;$AK967,1,0)</f>
        <v>63</v>
      </c>
      <c r="P967" s="2" t="n">
        <f aca="false">AI967+IF(SUMPRODUCT(--($AL967:$AQ967&gt;AP967))+SUMPRODUCT(--($AL967:AO967=AP967))&lt;$AK967,1,0)</f>
        <v>68</v>
      </c>
      <c r="Q967" s="2" t="n">
        <f aca="false">AJ967+IF(SUMPRODUCT(--($AL967:$AQ967&gt;AQ967))+SUMPRODUCT(--($AL967:AP967=AQ967))&lt;$AK967,1,0)</f>
        <v>72</v>
      </c>
      <c r="R967" s="2" t="n">
        <f aca="false">SUM(L967:Q967)</f>
        <v>500</v>
      </c>
      <c r="S967" s="2" t="n">
        <f aca="false">Settings!$B$4*MAX(INDEX(Bases!$M$2:$M$53,B967),INDEX(Bases!$M$2:$M$53,C967))+Settings!$B$5*MIN(INDEX(Bases!$M$2:$M$53,B967),INDEX(Bases!$M$2:$M$53,C967))</f>
        <v>63</v>
      </c>
      <c r="T967" s="2" t="n">
        <f aca="false">Settings!$B$4*MAX(INDEX(Bases!$N$2:$N$53,B967),INDEX(Bases!$N$2:$N$53,C967))+Settings!$B$5*MIN(INDEX(Bases!$N$2:$N$53,B967),INDEX(Bases!$N$2:$N$53,C967))</f>
        <v>95</v>
      </c>
      <c r="U967" s="2" t="n">
        <f aca="false">Settings!$B$4*MAX(INDEX(Bases!$O$2:$O$53,B967),INDEX(Bases!$O$2:$O$53,C967))+Settings!$B$5*MIN(INDEX(Bases!$O$2:$O$53,B967),INDEX(Bases!$O$2:$O$53,C967))</f>
        <v>95.3333333333333</v>
      </c>
      <c r="V967" s="2" t="n">
        <f aca="false">Settings!$B$4*MAX(INDEX(Bases!$P$2:$P$53,B967),INDEX(Bases!$P$2:$P$53,C967))+Settings!$B$5*MIN(INDEX(Bases!$P$2:$P$53,B967),INDEX(Bases!$P$2:$P$53,C967))</f>
        <v>53.6666666666667</v>
      </c>
      <c r="W967" s="2" t="n">
        <f aca="false">Settings!$B$4*MAX(INDEX(Bases!$Q$2:$Q$53,B967),INDEX(Bases!$Q$2:$Q$53,C967))+Settings!$B$5*MIN(INDEX(Bases!$Q$2:$Q$53,B967),INDEX(Bases!$Q$2:$Q$53,C967))</f>
        <v>58</v>
      </c>
      <c r="X967" s="2" t="n">
        <f aca="false">Settings!$B$4*MAX(INDEX(Bases!$R$2:$R$53,B967),INDEX(Bases!$R$2:$R$53,C967))+Settings!$B$5*MIN(INDEX(Bases!$R$2:$R$53,B967),INDEX(Bases!$R$2:$R$53,C967))</f>
        <v>61.6666666666667</v>
      </c>
      <c r="Y967" s="2" t="n">
        <f aca="false">S967*Settings!$B$3/SUM(S967:X967)</f>
        <v>73.828125</v>
      </c>
      <c r="Z967" s="2" t="n">
        <f aca="false">T967*Settings!$B$3/SUM(S967:X967)</f>
        <v>111.328125</v>
      </c>
      <c r="AA967" s="2" t="n">
        <f aca="false">U967*Settings!$B$3/SUM(S967:X967)</f>
        <v>111.71875</v>
      </c>
      <c r="AB967" s="2" t="n">
        <f aca="false">V967*Settings!$B$3/SUM(S967:X967)</f>
        <v>62.890625</v>
      </c>
      <c r="AC967" s="2" t="n">
        <f aca="false">W967*Settings!$B$3/SUM(S967:X967)</f>
        <v>67.96875</v>
      </c>
      <c r="AD967" s="2" t="n">
        <f aca="false">X967*Settings!$B$3/SUM(S967:X967)</f>
        <v>72.265625</v>
      </c>
      <c r="AE967" s="2" t="n">
        <f aca="false">INT(Y967)</f>
        <v>73</v>
      </c>
      <c r="AF967" s="2" t="n">
        <f aca="false">INT(Z967)</f>
        <v>111</v>
      </c>
      <c r="AG967" s="2" t="n">
        <f aca="false">INT(AA967)</f>
        <v>111</v>
      </c>
      <c r="AH967" s="2" t="n">
        <f aca="false">INT(AB967)</f>
        <v>62</v>
      </c>
      <c r="AI967" s="2" t="n">
        <f aca="false">INT(AC967)</f>
        <v>67</v>
      </c>
      <c r="AJ967" s="2" t="n">
        <f aca="false">INT(AD967)</f>
        <v>72</v>
      </c>
      <c r="AK967" s="2" t="n">
        <f aca="false">Settings!$B$3-SUM(AE967:AJ967)</f>
        <v>4</v>
      </c>
      <c r="AL967" s="2" t="n">
        <f aca="false">ROUND(Y967-AE967,9)</f>
        <v>0.828125</v>
      </c>
      <c r="AM967" s="2" t="n">
        <f aca="false">ROUND(Z967-AF967,9)</f>
        <v>0.328125</v>
      </c>
      <c r="AN967" s="2" t="n">
        <f aca="false">ROUND(AA967-AG967,9)</f>
        <v>0.71875</v>
      </c>
      <c r="AO967" s="2" t="n">
        <f aca="false">ROUND(AB967-AH967,9)</f>
        <v>0.890625</v>
      </c>
      <c r="AP967" s="2" t="n">
        <f aca="false">ROUND(AC967-AI967,9)</f>
        <v>0.96875</v>
      </c>
      <c r="AQ967" s="2" t="n">
        <f aca="false">ROUND(AD967-AJ967,9)</f>
        <v>0.265625</v>
      </c>
    </row>
    <row r="968" customFormat="false" ht="15" hidden="false" customHeight="false" outlineLevel="0" collapsed="false">
      <c r="A968" s="2" t="n">
        <v>967</v>
      </c>
      <c r="B968" s="6" t="n">
        <v>25</v>
      </c>
      <c r="C968" s="6" t="n">
        <v>44</v>
      </c>
      <c r="D968" s="8" t="str">
        <f aca="false">INDEX(Bases!$B$2:$B$53,B968)</f>
        <v>Sandshrew</v>
      </c>
      <c r="E968" s="8" t="str">
        <f aca="false">INDEX(Bases!$B$2:$B$53,C968)</f>
        <v>Bagon</v>
      </c>
      <c r="F968" s="2" t="str">
        <f aca="false">LEFT(D968,ROUNDUP(LEN(D968)/2,0))&amp;LOWER(MID(E968,ROUNDUP(LEN(E968)/2,0)+1,20))</f>
        <v>Sandson</v>
      </c>
      <c r="G968" s="8" t="str">
        <f aca="false">INDEX(Bases!$C$2:$C$53,B968)</f>
        <v>Ground</v>
      </c>
      <c r="H968" s="8" t="str">
        <f aca="false">IF(INDEX(Bases!$C$2:$C$53,C968)=G968,"",INDEX(Bases!$C$2:$C$53,C968))</f>
        <v>Dragon</v>
      </c>
      <c r="I968" s="8" t="str">
        <f aca="false">IF(INDEX(Bases!$E$2:$E$53,B968)="","",INDEX(Bases!$E$2:$E$53,B968))</f>
        <v/>
      </c>
      <c r="J968" s="8" t="str">
        <f aca="false">IF(INDEX(Bases!$E$2:$E$53,C968)="","",INDEX(Bases!$E$2:$E$53,C968))</f>
        <v/>
      </c>
      <c r="K968" s="5"/>
      <c r="L968" s="2" t="n">
        <f aca="false">AE968+IF(SUMPRODUCT(--($AL968:$AQ968&gt;AL968))&lt;$AK968,1,0)</f>
        <v>78</v>
      </c>
      <c r="M968" s="2" t="n">
        <f aca="false">AF968+IF(SUMPRODUCT(--($AL968:$AQ968&gt;AM968))+SUMPRODUCT(--($AL968:AL968=AM968))&lt;$AK968,1,0)</f>
        <v>121</v>
      </c>
      <c r="N968" s="2" t="n">
        <f aca="false">AG968+IF(SUMPRODUCT(--($AL968:$AQ968&gt;AN968))+SUMPRODUCT(--($AL968:AM968=AN968))&lt;$AK968,1,0)</f>
        <v>123</v>
      </c>
      <c r="O968" s="2" t="n">
        <f aca="false">AH968+IF(SUMPRODUCT(--($AL968:$AQ968&gt;AO968))+SUMPRODUCT(--($AL968:AN968=AO968))&lt;$AK968,1,0)</f>
        <v>54</v>
      </c>
      <c r="P968" s="2" t="n">
        <f aca="false">AI968+IF(SUMPRODUCT(--($AL968:$AQ968&gt;AP968))+SUMPRODUCT(--($AL968:AO968=AP968))&lt;$AK968,1,0)</f>
        <v>48</v>
      </c>
      <c r="Q968" s="2" t="n">
        <f aca="false">AJ968+IF(SUMPRODUCT(--($AL968:$AQ968&gt;AQ968))+SUMPRODUCT(--($AL968:AP968=AQ968))&lt;$AK968,1,0)</f>
        <v>76</v>
      </c>
      <c r="R968" s="2" t="n">
        <f aca="false">SUM(L968:Q968)</f>
        <v>500</v>
      </c>
      <c r="S968" s="2" t="n">
        <f aca="false">Settings!$B$4*MAX(INDEX(Bases!$M$2:$M$53,B968),INDEX(Bases!$M$2:$M$53,C968))+Settings!$B$5*MIN(INDEX(Bases!$M$2:$M$53,B968),INDEX(Bases!$M$2:$M$53,C968))</f>
        <v>64.6666666666667</v>
      </c>
      <c r="T968" s="2" t="n">
        <f aca="false">Settings!$B$4*MAX(INDEX(Bases!$N$2:$N$53,B968),INDEX(Bases!$N$2:$N$53,C968))+Settings!$B$5*MIN(INDEX(Bases!$N$2:$N$53,B968),INDEX(Bases!$N$2:$N$53,C968))</f>
        <v>100</v>
      </c>
      <c r="U968" s="2" t="n">
        <f aca="false">Settings!$B$4*MAX(INDEX(Bases!$O$2:$O$53,B968),INDEX(Bases!$O$2:$O$53,C968))+Settings!$B$5*MIN(INDEX(Bases!$O$2:$O$53,B968),INDEX(Bases!$O$2:$O$53,C968))</f>
        <v>102</v>
      </c>
      <c r="V968" s="2" t="n">
        <f aca="false">Settings!$B$4*MAX(INDEX(Bases!$P$2:$P$53,B968),INDEX(Bases!$P$2:$P$53,C968))+Settings!$B$5*MIN(INDEX(Bases!$P$2:$P$53,B968),INDEX(Bases!$P$2:$P$53,C968))</f>
        <v>44.3333333333333</v>
      </c>
      <c r="W968" s="2" t="n">
        <f aca="false">Settings!$B$4*MAX(INDEX(Bases!$Q$2:$Q$53,B968),INDEX(Bases!$Q$2:$Q$53,C968))+Settings!$B$5*MIN(INDEX(Bases!$Q$2:$Q$53,B968),INDEX(Bases!$Q$2:$Q$53,C968))</f>
        <v>40</v>
      </c>
      <c r="X968" s="2" t="n">
        <f aca="false">Settings!$B$4*MAX(INDEX(Bases!$R$2:$R$53,B968),INDEX(Bases!$R$2:$R$53,C968))+Settings!$B$5*MIN(INDEX(Bases!$R$2:$R$53,B968),INDEX(Bases!$R$2:$R$53,C968))</f>
        <v>62.3333333333333</v>
      </c>
      <c r="Y968" s="2" t="n">
        <f aca="false">S968*Settings!$B$3/SUM(S968:X968)</f>
        <v>78.2258064516129</v>
      </c>
      <c r="Z968" s="2" t="n">
        <f aca="false">T968*Settings!$B$3/SUM(S968:X968)</f>
        <v>120.967741935484</v>
      </c>
      <c r="AA968" s="2" t="n">
        <f aca="false">U968*Settings!$B$3/SUM(S968:X968)</f>
        <v>123.387096774194</v>
      </c>
      <c r="AB968" s="2" t="n">
        <f aca="false">V968*Settings!$B$3/SUM(S968:X968)</f>
        <v>53.6290322580645</v>
      </c>
      <c r="AC968" s="2" t="n">
        <f aca="false">W968*Settings!$B$3/SUM(S968:X968)</f>
        <v>48.3870967741936</v>
      </c>
      <c r="AD968" s="2" t="n">
        <f aca="false">X968*Settings!$B$3/SUM(S968:X968)</f>
        <v>75.4032258064516</v>
      </c>
      <c r="AE968" s="2" t="n">
        <f aca="false">INT(Y968)</f>
        <v>78</v>
      </c>
      <c r="AF968" s="2" t="n">
        <f aca="false">INT(Z968)</f>
        <v>120</v>
      </c>
      <c r="AG968" s="2" t="n">
        <f aca="false">INT(AA968)</f>
        <v>123</v>
      </c>
      <c r="AH968" s="2" t="n">
        <f aca="false">INT(AB968)</f>
        <v>53</v>
      </c>
      <c r="AI968" s="2" t="n">
        <f aca="false">INT(AC968)</f>
        <v>48</v>
      </c>
      <c r="AJ968" s="2" t="n">
        <f aca="false">INT(AD968)</f>
        <v>75</v>
      </c>
      <c r="AK968" s="2" t="n">
        <f aca="false">Settings!$B$3-SUM(AE968:AJ968)</f>
        <v>3</v>
      </c>
      <c r="AL968" s="2" t="n">
        <f aca="false">ROUND(Y968-AE968,9)</f>
        <v>0.225806452</v>
      </c>
      <c r="AM968" s="2" t="n">
        <f aca="false">ROUND(Z968-AF968,9)</f>
        <v>0.967741935</v>
      </c>
      <c r="AN968" s="2" t="n">
        <f aca="false">ROUND(AA968-AG968,9)</f>
        <v>0.387096774</v>
      </c>
      <c r="AO968" s="2" t="n">
        <f aca="false">ROUND(AB968-AH968,9)</f>
        <v>0.629032258</v>
      </c>
      <c r="AP968" s="2" t="n">
        <f aca="false">ROUND(AC968-AI968,9)</f>
        <v>0.387096774</v>
      </c>
      <c r="AQ968" s="2" t="n">
        <f aca="false">ROUND(AD968-AJ968,9)</f>
        <v>0.403225806</v>
      </c>
    </row>
    <row r="969" customFormat="false" ht="15" hidden="false" customHeight="false" outlineLevel="0" collapsed="false">
      <c r="A969" s="2" t="n">
        <v>968</v>
      </c>
      <c r="B969" s="6" t="n">
        <v>25</v>
      </c>
      <c r="C969" s="6" t="n">
        <v>45</v>
      </c>
      <c r="D969" s="8" t="str">
        <f aca="false">INDEX(Bases!$B$2:$B$53,B969)</f>
        <v>Sandshrew</v>
      </c>
      <c r="E969" s="8" t="str">
        <f aca="false">INDEX(Bases!$B$2:$B$53,C969)</f>
        <v>Sneasel</v>
      </c>
      <c r="F969" s="2" t="str">
        <f aca="false">LEFT(D969,ROUNDUP(LEN(D969)/2,0))&amp;LOWER(MID(E969,ROUNDUP(LEN(E969)/2,0)+1,20))</f>
        <v>Sandssel</v>
      </c>
      <c r="G969" s="8" t="str">
        <f aca="false">INDEX(Bases!$C$2:$C$53,B969)</f>
        <v>Ground</v>
      </c>
      <c r="H969" s="8" t="str">
        <f aca="false">IF(INDEX(Bases!$C$2:$C$53,C969)=G969,"",INDEX(Bases!$C$2:$C$53,C969))</f>
        <v>Dark</v>
      </c>
      <c r="I969" s="8" t="str">
        <f aca="false">IF(INDEX(Bases!$E$2:$E$53,B969)="","",INDEX(Bases!$E$2:$E$53,B969))</f>
        <v/>
      </c>
      <c r="J969" s="8" t="str">
        <f aca="false">IF(INDEX(Bases!$E$2:$E$53,C969)="","",INDEX(Bases!$E$2:$E$53,C969))</f>
        <v/>
      </c>
      <c r="K969" s="5"/>
      <c r="L969" s="2" t="n">
        <f aca="false">AE969+IF(SUMPRODUCT(--($AL969:$AQ969&gt;AL969))&lt;$AK969,1,0)</f>
        <v>72</v>
      </c>
      <c r="M969" s="2" t="n">
        <f aca="false">AF969+IF(SUMPRODUCT(--($AL969:$AQ969&gt;AM969))+SUMPRODUCT(--($AL969:AL969=AM969))&lt;$AK969,1,0)</f>
        <v>112</v>
      </c>
      <c r="N969" s="2" t="n">
        <f aca="false">AG969+IF(SUMPRODUCT(--($AL969:$AQ969&gt;AN969))+SUMPRODUCT(--($AL969:AM969=AN969))&lt;$AK969,1,0)</f>
        <v>107</v>
      </c>
      <c r="O969" s="2" t="n">
        <f aca="false">AH969+IF(SUMPRODUCT(--($AL969:$AQ969&gt;AO969))+SUMPRODUCT(--($AL969:AN969=AO969))&lt;$AK969,1,0)</f>
        <v>36</v>
      </c>
      <c r="P969" s="2" t="n">
        <f aca="false">AI969+IF(SUMPRODUCT(--($AL969:$AQ969&gt;AP969))+SUMPRODUCT(--($AL969:AO969=AP969))&lt;$AK969,1,0)</f>
        <v>70</v>
      </c>
      <c r="Q969" s="2" t="n">
        <f aca="false">AJ969+IF(SUMPRODUCT(--($AL969:$AQ969&gt;AQ969))+SUMPRODUCT(--($AL969:AP969=AQ969))&lt;$AK969,1,0)</f>
        <v>103</v>
      </c>
      <c r="R969" s="2" t="n">
        <f aca="false">SUM(L969:Q969)</f>
        <v>500</v>
      </c>
      <c r="S969" s="2" t="n">
        <f aca="false">Settings!$B$4*MAX(INDEX(Bases!$M$2:$M$53,B969),INDEX(Bases!$M$2:$M$53,C969))+Settings!$B$5*MIN(INDEX(Bases!$M$2:$M$53,B969),INDEX(Bases!$M$2:$M$53,C969))</f>
        <v>61.6666666666667</v>
      </c>
      <c r="T969" s="2" t="n">
        <f aca="false">Settings!$B$4*MAX(INDEX(Bases!$N$2:$N$53,B969),INDEX(Bases!$N$2:$N$53,C969))+Settings!$B$5*MIN(INDEX(Bases!$N$2:$N$53,B969),INDEX(Bases!$N$2:$N$53,C969))</f>
        <v>96</v>
      </c>
      <c r="U969" s="2" t="n">
        <f aca="false">Settings!$B$4*MAX(INDEX(Bases!$O$2:$O$53,B969),INDEX(Bases!$O$2:$O$53,C969))+Settings!$B$5*MIN(INDEX(Bases!$O$2:$O$53,B969),INDEX(Bases!$O$2:$O$53,C969))</f>
        <v>92.3333333333333</v>
      </c>
      <c r="V969" s="2" t="n">
        <f aca="false">Settings!$B$4*MAX(INDEX(Bases!$P$2:$P$53,B969),INDEX(Bases!$P$2:$P$53,C969))+Settings!$B$5*MIN(INDEX(Bases!$P$2:$P$53,B969),INDEX(Bases!$P$2:$P$53,C969))</f>
        <v>31</v>
      </c>
      <c r="W969" s="2" t="n">
        <f aca="false">Settings!$B$4*MAX(INDEX(Bases!$Q$2:$Q$53,B969),INDEX(Bases!$Q$2:$Q$53,C969))+Settings!$B$5*MIN(INDEX(Bases!$Q$2:$Q$53,B969),INDEX(Bases!$Q$2:$Q$53,C969))</f>
        <v>60</v>
      </c>
      <c r="X969" s="2" t="n">
        <f aca="false">Settings!$B$4*MAX(INDEX(Bases!$R$2:$R$53,B969),INDEX(Bases!$R$2:$R$53,C969))+Settings!$B$5*MIN(INDEX(Bases!$R$2:$R$53,B969),INDEX(Bases!$R$2:$R$53,C969))</f>
        <v>89</v>
      </c>
      <c r="Y969" s="2" t="n">
        <f aca="false">S969*Settings!$B$3/SUM(S969:X969)</f>
        <v>71.7054263565892</v>
      </c>
      <c r="Z969" s="2" t="n">
        <f aca="false">T969*Settings!$B$3/SUM(S969:X969)</f>
        <v>111.627906976744</v>
      </c>
      <c r="AA969" s="2" t="n">
        <f aca="false">U969*Settings!$B$3/SUM(S969:X969)</f>
        <v>107.364341085271</v>
      </c>
      <c r="AB969" s="2" t="n">
        <f aca="false">V969*Settings!$B$3/SUM(S969:X969)</f>
        <v>36.046511627907</v>
      </c>
      <c r="AC969" s="2" t="n">
        <f aca="false">W969*Settings!$B$3/SUM(S969:X969)</f>
        <v>69.7674418604651</v>
      </c>
      <c r="AD969" s="2" t="n">
        <f aca="false">X969*Settings!$B$3/SUM(S969:X969)</f>
        <v>103.488372093023</v>
      </c>
      <c r="AE969" s="2" t="n">
        <f aca="false">INT(Y969)</f>
        <v>71</v>
      </c>
      <c r="AF969" s="2" t="n">
        <f aca="false">INT(Z969)</f>
        <v>111</v>
      </c>
      <c r="AG969" s="2" t="n">
        <f aca="false">INT(AA969)</f>
        <v>107</v>
      </c>
      <c r="AH969" s="2" t="n">
        <f aca="false">INT(AB969)</f>
        <v>36</v>
      </c>
      <c r="AI969" s="2" t="n">
        <f aca="false">INT(AC969)</f>
        <v>69</v>
      </c>
      <c r="AJ969" s="2" t="n">
        <f aca="false">INT(AD969)</f>
        <v>103</v>
      </c>
      <c r="AK969" s="2" t="n">
        <f aca="false">Settings!$B$3-SUM(AE969:AJ969)</f>
        <v>3</v>
      </c>
      <c r="AL969" s="2" t="n">
        <f aca="false">ROUND(Y969-AE969,9)</f>
        <v>0.705426357</v>
      </c>
      <c r="AM969" s="2" t="n">
        <f aca="false">ROUND(Z969-AF969,9)</f>
        <v>0.627906977</v>
      </c>
      <c r="AN969" s="2" t="n">
        <f aca="false">ROUND(AA969-AG969,9)</f>
        <v>0.364341085</v>
      </c>
      <c r="AO969" s="2" t="n">
        <f aca="false">ROUND(AB969-AH969,9)</f>
        <v>0.046511628</v>
      </c>
      <c r="AP969" s="2" t="n">
        <f aca="false">ROUND(AC969-AI969,9)</f>
        <v>0.76744186</v>
      </c>
      <c r="AQ969" s="2" t="n">
        <f aca="false">ROUND(AD969-AJ969,9)</f>
        <v>0.488372093</v>
      </c>
    </row>
    <row r="970" customFormat="false" ht="15" hidden="false" customHeight="false" outlineLevel="0" collapsed="false">
      <c r="A970" s="2" t="n">
        <v>969</v>
      </c>
      <c r="B970" s="6" t="n">
        <v>25</v>
      </c>
      <c r="C970" s="6" t="n">
        <v>46</v>
      </c>
      <c r="D970" s="8" t="str">
        <f aca="false">INDEX(Bases!$B$2:$B$53,B970)</f>
        <v>Sandshrew</v>
      </c>
      <c r="E970" s="8" t="str">
        <f aca="false">INDEX(Bases!$B$2:$B$53,C970)</f>
        <v>Houndour</v>
      </c>
      <c r="F970" s="2" t="str">
        <f aca="false">LEFT(D970,ROUNDUP(LEN(D970)/2,0))&amp;LOWER(MID(E970,ROUNDUP(LEN(E970)/2,0)+1,20))</f>
        <v>Sandsdour</v>
      </c>
      <c r="G970" s="8" t="str">
        <f aca="false">INDEX(Bases!$C$2:$C$53,B970)</f>
        <v>Ground</v>
      </c>
      <c r="H970" s="8" t="str">
        <f aca="false">IF(INDEX(Bases!$C$2:$C$53,C970)=G970,"",INDEX(Bases!$C$2:$C$53,C970))</f>
        <v>Dark</v>
      </c>
      <c r="I970" s="8" t="str">
        <f aca="false">IF(INDEX(Bases!$E$2:$E$53,B970)="","",INDEX(Bases!$E$2:$E$53,B970))</f>
        <v/>
      </c>
      <c r="J970" s="8" t="str">
        <f aca="false">IF(INDEX(Bases!$E$2:$E$53,C970)="","",INDEX(Bases!$E$2:$E$53,C970))</f>
        <v/>
      </c>
      <c r="K970" s="5"/>
      <c r="L970" s="2" t="n">
        <f aca="false">AE970+IF(SUMPRODUCT(--($AL970:$AQ970&gt;AL970))&lt;$AK970,1,0)</f>
        <v>71</v>
      </c>
      <c r="M970" s="2" t="n">
        <f aca="false">AF970+IF(SUMPRODUCT(--($AL970:$AQ970&gt;AM970))+SUMPRODUCT(--($AL970:AL970=AM970))&lt;$AK970,1,0)</f>
        <v>104</v>
      </c>
      <c r="N970" s="2" t="n">
        <f aca="false">AG970+IF(SUMPRODUCT(--($AL970:$AQ970&gt;AN970))+SUMPRODUCT(--($AL970:AM970=AN970))&lt;$AK970,1,0)</f>
        <v>99</v>
      </c>
      <c r="O970" s="2" t="n">
        <f aca="false">AH970+IF(SUMPRODUCT(--($AL970:$AQ970&gt;AO970))+SUMPRODUCT(--($AL970:AN970=AO970))&lt;$AK970,1,0)</f>
        <v>84</v>
      </c>
      <c r="P970" s="2" t="n">
        <f aca="false">AI970+IF(SUMPRODUCT(--($AL970:$AQ970&gt;AP970))+SUMPRODUCT(--($AL970:AO970=AP970))&lt;$AK970,1,0)</f>
        <v>62</v>
      </c>
      <c r="Q970" s="2" t="n">
        <f aca="false">AJ970+IF(SUMPRODUCT(--($AL970:$AQ970&gt;AQ970))+SUMPRODUCT(--($AL970:AP970=AQ970))&lt;$AK970,1,0)</f>
        <v>80</v>
      </c>
      <c r="R970" s="2" t="n">
        <f aca="false">SUM(L970:Q970)</f>
        <v>500</v>
      </c>
      <c r="S970" s="2" t="n">
        <f aca="false">Settings!$B$4*MAX(INDEX(Bases!$M$2:$M$53,B970),INDEX(Bases!$M$2:$M$53,C970))+Settings!$B$5*MIN(INDEX(Bases!$M$2:$M$53,B970),INDEX(Bases!$M$2:$M$53,C970))</f>
        <v>62.6666666666667</v>
      </c>
      <c r="T970" s="2" t="n">
        <f aca="false">Settings!$B$4*MAX(INDEX(Bases!$N$2:$N$53,B970),INDEX(Bases!$N$2:$N$53,C970))+Settings!$B$5*MIN(INDEX(Bases!$N$2:$N$53,B970),INDEX(Bases!$N$2:$N$53,C970))</f>
        <v>91</v>
      </c>
      <c r="U970" s="2" t="n">
        <f aca="false">Settings!$B$4*MAX(INDEX(Bases!$O$2:$O$53,B970),INDEX(Bases!$O$2:$O$53,C970))+Settings!$B$5*MIN(INDEX(Bases!$O$2:$O$53,B970),INDEX(Bases!$O$2:$O$53,C970))</f>
        <v>87.3333333333333</v>
      </c>
      <c r="V970" s="2" t="n">
        <f aca="false">Settings!$B$4*MAX(INDEX(Bases!$P$2:$P$53,B970),INDEX(Bases!$P$2:$P$53,C970))+Settings!$B$5*MIN(INDEX(Bases!$P$2:$P$53,B970),INDEX(Bases!$P$2:$P$53,C970))</f>
        <v>73.6666666666667</v>
      </c>
      <c r="W970" s="2" t="n">
        <f aca="false">Settings!$B$4*MAX(INDEX(Bases!$Q$2:$Q$53,B970),INDEX(Bases!$Q$2:$Q$53,C970))+Settings!$B$5*MIN(INDEX(Bases!$Q$2:$Q$53,B970),INDEX(Bases!$Q$2:$Q$53,C970))</f>
        <v>54</v>
      </c>
      <c r="X970" s="2" t="n">
        <f aca="false">Settings!$B$4*MAX(INDEX(Bases!$R$2:$R$53,B970),INDEX(Bases!$R$2:$R$53,C970))+Settings!$B$5*MIN(INDEX(Bases!$R$2:$R$53,B970),INDEX(Bases!$R$2:$R$53,C970))</f>
        <v>70.3333333333333</v>
      </c>
      <c r="Y970" s="2" t="n">
        <f aca="false">S970*Settings!$B$3/SUM(S970:X970)</f>
        <v>71.3743356112377</v>
      </c>
      <c r="Z970" s="2" t="n">
        <f aca="false">T970*Settings!$B$3/SUM(S970:X970)</f>
        <v>103.644646924829</v>
      </c>
      <c r="AA970" s="2" t="n">
        <f aca="false">U970*Settings!$B$3/SUM(S970:X970)</f>
        <v>99.4684889901291</v>
      </c>
      <c r="AB970" s="2" t="n">
        <f aca="false">V970*Settings!$B$3/SUM(S970:X970)</f>
        <v>83.9028094153379</v>
      </c>
      <c r="AC970" s="2" t="n">
        <f aca="false">W970*Settings!$B$3/SUM(S970:X970)</f>
        <v>61.503416856492</v>
      </c>
      <c r="AD970" s="2" t="n">
        <f aca="false">X970*Settings!$B$3/SUM(S970:X970)</f>
        <v>80.1063022019742</v>
      </c>
      <c r="AE970" s="2" t="n">
        <f aca="false">INT(Y970)</f>
        <v>71</v>
      </c>
      <c r="AF970" s="2" t="n">
        <f aca="false">INT(Z970)</f>
        <v>103</v>
      </c>
      <c r="AG970" s="2" t="n">
        <f aca="false">INT(AA970)</f>
        <v>99</v>
      </c>
      <c r="AH970" s="2" t="n">
        <f aca="false">INT(AB970)</f>
        <v>83</v>
      </c>
      <c r="AI970" s="2" t="n">
        <f aca="false">INT(AC970)</f>
        <v>61</v>
      </c>
      <c r="AJ970" s="2" t="n">
        <f aca="false">INT(AD970)</f>
        <v>80</v>
      </c>
      <c r="AK970" s="2" t="n">
        <f aca="false">Settings!$B$3-SUM(AE970:AJ970)</f>
        <v>3</v>
      </c>
      <c r="AL970" s="2" t="n">
        <f aca="false">ROUND(Y970-AE970,9)</f>
        <v>0.374335611</v>
      </c>
      <c r="AM970" s="2" t="n">
        <f aca="false">ROUND(Z970-AF970,9)</f>
        <v>0.644646925</v>
      </c>
      <c r="AN970" s="2" t="n">
        <f aca="false">ROUND(AA970-AG970,9)</f>
        <v>0.46848899</v>
      </c>
      <c r="AO970" s="2" t="n">
        <f aca="false">ROUND(AB970-AH970,9)</f>
        <v>0.902809415</v>
      </c>
      <c r="AP970" s="2" t="n">
        <f aca="false">ROUND(AC970-AI970,9)</f>
        <v>0.503416856</v>
      </c>
      <c r="AQ970" s="2" t="n">
        <f aca="false">ROUND(AD970-AJ970,9)</f>
        <v>0.106302202</v>
      </c>
    </row>
    <row r="971" customFormat="false" ht="15" hidden="false" customHeight="false" outlineLevel="0" collapsed="false">
      <c r="A971" s="2" t="n">
        <v>970</v>
      </c>
      <c r="B971" s="6" t="n">
        <v>25</v>
      </c>
      <c r="C971" s="6" t="n">
        <v>47</v>
      </c>
      <c r="D971" s="8" t="str">
        <f aca="false">INDEX(Bases!$B$2:$B$53,B971)</f>
        <v>Sandshrew</v>
      </c>
      <c r="E971" s="8" t="str">
        <f aca="false">INDEX(Bases!$B$2:$B$53,C971)</f>
        <v>Carvanha</v>
      </c>
      <c r="F971" s="2" t="str">
        <f aca="false">LEFT(D971,ROUNDUP(LEN(D971)/2,0))&amp;LOWER(MID(E971,ROUNDUP(LEN(E971)/2,0)+1,20))</f>
        <v>Sandsanha</v>
      </c>
      <c r="G971" s="8" t="str">
        <f aca="false">INDEX(Bases!$C$2:$C$53,B971)</f>
        <v>Ground</v>
      </c>
      <c r="H971" s="8" t="str">
        <f aca="false">IF(INDEX(Bases!$C$2:$C$53,C971)=G971,"",INDEX(Bases!$C$2:$C$53,C971))</f>
        <v>Dark</v>
      </c>
      <c r="I971" s="8" t="str">
        <f aca="false">IF(INDEX(Bases!$E$2:$E$53,B971)="","",INDEX(Bases!$E$2:$E$53,B971))</f>
        <v/>
      </c>
      <c r="J971" s="8" t="str">
        <f aca="false">IF(INDEX(Bases!$E$2:$E$53,C971)="","",INDEX(Bases!$E$2:$E$53,C971))</f>
        <v/>
      </c>
      <c r="K971" s="5"/>
      <c r="L971" s="2" t="n">
        <f aca="false">AE971+IF(SUMPRODUCT(--($AL971:$AQ971&gt;AL971))&lt;$AK971,1,0)</f>
        <v>74</v>
      </c>
      <c r="M971" s="2" t="n">
        <f aca="false">AF971+IF(SUMPRODUCT(--($AL971:$AQ971&gt;AM971))+SUMPRODUCT(--($AL971:AL971=AM971))&lt;$AK971,1,0)</f>
        <v>128</v>
      </c>
      <c r="N971" s="2" t="n">
        <f aca="false">AG971+IF(SUMPRODUCT(--($AL971:$AQ971&gt;AN971))+SUMPRODUCT(--($AL971:AM971=AN971))&lt;$AK971,1,0)</f>
        <v>96</v>
      </c>
      <c r="O971" s="2" t="n">
        <f aca="false">AH971+IF(SUMPRODUCT(--($AL971:$AQ971&gt;AO971))+SUMPRODUCT(--($AL971:AN971=AO971))&lt;$AK971,1,0)</f>
        <v>76</v>
      </c>
      <c r="P971" s="2" t="n">
        <f aca="false">AI971+IF(SUMPRODUCT(--($AL971:$AQ971&gt;AP971))+SUMPRODUCT(--($AL971:AO971=AP971))&lt;$AK971,1,0)</f>
        <v>41</v>
      </c>
      <c r="Q971" s="2" t="n">
        <f aca="false">AJ971+IF(SUMPRODUCT(--($AL971:$AQ971&gt;AQ971))+SUMPRODUCT(--($AL971:AP971=AQ971))&lt;$AK971,1,0)</f>
        <v>85</v>
      </c>
      <c r="R971" s="2" t="n">
        <f aca="false">SUM(L971:Q971)</f>
        <v>500</v>
      </c>
      <c r="S971" s="2" t="n">
        <f aca="false">Settings!$B$4*MAX(INDEX(Bases!$M$2:$M$53,B971),INDEX(Bases!$M$2:$M$53,C971))+Settings!$B$5*MIN(INDEX(Bases!$M$2:$M$53,B971),INDEX(Bases!$M$2:$M$53,C971))</f>
        <v>64.3333333333333</v>
      </c>
      <c r="T971" s="2" t="n">
        <f aca="false">Settings!$B$4*MAX(INDEX(Bases!$N$2:$N$53,B971),INDEX(Bases!$N$2:$N$53,C971))+Settings!$B$5*MIN(INDEX(Bases!$N$2:$N$53,B971),INDEX(Bases!$N$2:$N$53,C971))</f>
        <v>112</v>
      </c>
      <c r="U971" s="2" t="n">
        <f aca="false">Settings!$B$4*MAX(INDEX(Bases!$O$2:$O$53,B971),INDEX(Bases!$O$2:$O$53,C971))+Settings!$B$5*MIN(INDEX(Bases!$O$2:$O$53,B971),INDEX(Bases!$O$2:$O$53,C971))</f>
        <v>84</v>
      </c>
      <c r="V971" s="2" t="n">
        <f aca="false">Settings!$B$4*MAX(INDEX(Bases!$P$2:$P$53,B971),INDEX(Bases!$P$2:$P$53,C971))+Settings!$B$5*MIN(INDEX(Bases!$P$2:$P$53,B971),INDEX(Bases!$P$2:$P$53,C971))</f>
        <v>66.3333333333333</v>
      </c>
      <c r="W971" s="2" t="n">
        <f aca="false">Settings!$B$4*MAX(INDEX(Bases!$Q$2:$Q$53,B971),INDEX(Bases!$Q$2:$Q$53,C971))+Settings!$B$5*MIN(INDEX(Bases!$Q$2:$Q$53,B971),INDEX(Bases!$Q$2:$Q$53,C971))</f>
        <v>35.3333333333333</v>
      </c>
      <c r="X971" s="2" t="n">
        <f aca="false">Settings!$B$4*MAX(INDEX(Bases!$R$2:$R$53,B971),INDEX(Bases!$R$2:$R$53,C971))+Settings!$B$5*MIN(INDEX(Bases!$R$2:$R$53,B971),INDEX(Bases!$R$2:$R$53,C971))</f>
        <v>74.3333333333333</v>
      </c>
      <c r="Y971" s="2" t="n">
        <f aca="false">S971*Settings!$B$3/SUM(S971:X971)</f>
        <v>73.720397249809</v>
      </c>
      <c r="Z971" s="2" t="n">
        <f aca="false">T971*Settings!$B$3/SUM(S971:X971)</f>
        <v>128.342245989305</v>
      </c>
      <c r="AA971" s="2" t="n">
        <f aca="false">U971*Settings!$B$3/SUM(S971:X971)</f>
        <v>96.2566844919786</v>
      </c>
      <c r="AB971" s="2" t="n">
        <f aca="false">V971*Settings!$B$3/SUM(S971:X971)</f>
        <v>76.0122230710466</v>
      </c>
      <c r="AC971" s="2" t="n">
        <f aca="false">W971*Settings!$B$3/SUM(S971:X971)</f>
        <v>40.488922841864</v>
      </c>
      <c r="AD971" s="2" t="n">
        <f aca="false">X971*Settings!$B$3/SUM(S971:X971)</f>
        <v>85.1795263559969</v>
      </c>
      <c r="AE971" s="2" t="n">
        <f aca="false">INT(Y971)</f>
        <v>73</v>
      </c>
      <c r="AF971" s="2" t="n">
        <f aca="false">INT(Z971)</f>
        <v>128</v>
      </c>
      <c r="AG971" s="2" t="n">
        <f aca="false">INT(AA971)</f>
        <v>96</v>
      </c>
      <c r="AH971" s="2" t="n">
        <f aca="false">INT(AB971)</f>
        <v>76</v>
      </c>
      <c r="AI971" s="2" t="n">
        <f aca="false">INT(AC971)</f>
        <v>40</v>
      </c>
      <c r="AJ971" s="2" t="n">
        <f aca="false">INT(AD971)</f>
        <v>85</v>
      </c>
      <c r="AK971" s="2" t="n">
        <f aca="false">Settings!$B$3-SUM(AE971:AJ971)</f>
        <v>2</v>
      </c>
      <c r="AL971" s="2" t="n">
        <f aca="false">ROUND(Y971-AE971,9)</f>
        <v>0.72039725</v>
      </c>
      <c r="AM971" s="2" t="n">
        <f aca="false">ROUND(Z971-AF971,9)</f>
        <v>0.342245989</v>
      </c>
      <c r="AN971" s="2" t="n">
        <f aca="false">ROUND(AA971-AG971,9)</f>
        <v>0.256684492</v>
      </c>
      <c r="AO971" s="2" t="n">
        <f aca="false">ROUND(AB971-AH971,9)</f>
        <v>0.012223071</v>
      </c>
      <c r="AP971" s="2" t="n">
        <f aca="false">ROUND(AC971-AI971,9)</f>
        <v>0.488922842</v>
      </c>
      <c r="AQ971" s="2" t="n">
        <f aca="false">ROUND(AD971-AJ971,9)</f>
        <v>0.179526356</v>
      </c>
    </row>
    <row r="972" customFormat="false" ht="15" hidden="false" customHeight="false" outlineLevel="0" collapsed="false">
      <c r="A972" s="2" t="n">
        <v>971</v>
      </c>
      <c r="B972" s="6" t="n">
        <v>25</v>
      </c>
      <c r="C972" s="6" t="n">
        <v>48</v>
      </c>
      <c r="D972" s="8" t="str">
        <f aca="false">INDEX(Bases!$B$2:$B$53,B972)</f>
        <v>Sandshrew</v>
      </c>
      <c r="E972" s="8" t="str">
        <f aca="false">INDEX(Bases!$B$2:$B$53,C972)</f>
        <v>Magnemite</v>
      </c>
      <c r="F972" s="2" t="str">
        <f aca="false">LEFT(D972,ROUNDUP(LEN(D972)/2,0))&amp;LOWER(MID(E972,ROUNDUP(LEN(E972)/2,0)+1,20))</f>
        <v>Sandsmite</v>
      </c>
      <c r="G972" s="8" t="str">
        <f aca="false">INDEX(Bases!$C$2:$C$53,B972)</f>
        <v>Ground</v>
      </c>
      <c r="H972" s="8" t="str">
        <f aca="false">IF(INDEX(Bases!$C$2:$C$53,C972)=G972,"",INDEX(Bases!$C$2:$C$53,C972))</f>
        <v>Steel</v>
      </c>
      <c r="I972" s="8" t="str">
        <f aca="false">IF(INDEX(Bases!$E$2:$E$53,B972)="","",INDEX(Bases!$E$2:$E$53,B972))</f>
        <v/>
      </c>
      <c r="J972" s="8" t="str">
        <f aca="false">IF(INDEX(Bases!$E$2:$E$53,C972)="","",INDEX(Bases!$E$2:$E$53,C972))</f>
        <v/>
      </c>
      <c r="K972" s="5"/>
      <c r="L972" s="2" t="n">
        <f aca="false">AE972+IF(SUMPRODUCT(--($AL972:$AQ972&gt;AL972))&lt;$AK972,1,0)</f>
        <v>62</v>
      </c>
      <c r="M972" s="2" t="n">
        <f aca="false">AF972+IF(SUMPRODUCT(--($AL972:$AQ972&gt;AM972))+SUMPRODUCT(--($AL972:AL972=AM972))&lt;$AK972,1,0)</f>
        <v>92</v>
      </c>
      <c r="N972" s="2" t="n">
        <f aca="false">AG972+IF(SUMPRODUCT(--($AL972:$AQ972&gt;AN972))+SUMPRODUCT(--($AL972:AM972=AN972))&lt;$AK972,1,0)</f>
        <v>118</v>
      </c>
      <c r="O972" s="2" t="n">
        <f aca="false">AH972+IF(SUMPRODUCT(--($AL972:$AQ972&gt;AO972))+SUMPRODUCT(--($AL972:AN972=AO972))&lt;$AK972,1,0)</f>
        <v>99</v>
      </c>
      <c r="P972" s="2" t="n">
        <f aca="false">AI972+IF(SUMPRODUCT(--($AL972:$AQ972&gt;AP972))+SUMPRODUCT(--($AL972:AO972=AP972))&lt;$AK972,1,0)</f>
        <v>67</v>
      </c>
      <c r="Q972" s="2" t="n">
        <f aca="false">AJ972+IF(SUMPRODUCT(--($AL972:$AQ972&gt;AQ972))+SUMPRODUCT(--($AL972:AP972=AQ972))&lt;$AK972,1,0)</f>
        <v>62</v>
      </c>
      <c r="R972" s="2" t="n">
        <f aca="false">SUM(L972:Q972)</f>
        <v>500</v>
      </c>
      <c r="S972" s="2" t="n">
        <f aca="false">Settings!$B$4*MAX(INDEX(Bases!$M$2:$M$53,B972),INDEX(Bases!$M$2:$M$53,C972))+Settings!$B$5*MIN(INDEX(Bases!$M$2:$M$53,B972),INDEX(Bases!$M$2:$M$53,C972))</f>
        <v>55</v>
      </c>
      <c r="T972" s="2" t="n">
        <f aca="false">Settings!$B$4*MAX(INDEX(Bases!$N$2:$N$53,B972),INDEX(Bases!$N$2:$N$53,C972))+Settings!$B$5*MIN(INDEX(Bases!$N$2:$N$53,B972),INDEX(Bases!$N$2:$N$53,C972))</f>
        <v>81</v>
      </c>
      <c r="U972" s="2" t="n">
        <f aca="false">Settings!$B$4*MAX(INDEX(Bases!$O$2:$O$53,B972),INDEX(Bases!$O$2:$O$53,C972))+Settings!$B$5*MIN(INDEX(Bases!$O$2:$O$53,B972),INDEX(Bases!$O$2:$O$53,C972))</f>
        <v>104</v>
      </c>
      <c r="V972" s="2" t="n">
        <f aca="false">Settings!$B$4*MAX(INDEX(Bases!$P$2:$P$53,B972),INDEX(Bases!$P$2:$P$53,C972))+Settings!$B$5*MIN(INDEX(Bases!$P$2:$P$53,B972),INDEX(Bases!$P$2:$P$53,C972))</f>
        <v>87</v>
      </c>
      <c r="W972" s="2" t="n">
        <f aca="false">Settings!$B$4*MAX(INDEX(Bases!$Q$2:$Q$53,B972),INDEX(Bases!$Q$2:$Q$53,C972))+Settings!$B$5*MIN(INDEX(Bases!$Q$2:$Q$53,B972),INDEX(Bases!$Q$2:$Q$53,C972))</f>
        <v>58.6666666666667</v>
      </c>
      <c r="X972" s="2" t="n">
        <f aca="false">Settings!$B$4*MAX(INDEX(Bases!$R$2:$R$53,B972),INDEX(Bases!$R$2:$R$53,C972))+Settings!$B$5*MIN(INDEX(Bases!$R$2:$R$53,B972),INDEX(Bases!$R$2:$R$53,C972))</f>
        <v>54.3333333333333</v>
      </c>
      <c r="Y972" s="2" t="n">
        <f aca="false">S972*Settings!$B$3/SUM(S972:X972)</f>
        <v>62.5</v>
      </c>
      <c r="Z972" s="2" t="n">
        <f aca="false">T972*Settings!$B$3/SUM(S972:X972)</f>
        <v>92.0454545454546</v>
      </c>
      <c r="AA972" s="2" t="n">
        <f aca="false">U972*Settings!$B$3/SUM(S972:X972)</f>
        <v>118.181818181818</v>
      </c>
      <c r="AB972" s="2" t="n">
        <f aca="false">V972*Settings!$B$3/SUM(S972:X972)</f>
        <v>98.8636363636364</v>
      </c>
      <c r="AC972" s="2" t="n">
        <f aca="false">W972*Settings!$B$3/SUM(S972:X972)</f>
        <v>66.6666666666667</v>
      </c>
      <c r="AD972" s="2" t="n">
        <f aca="false">X972*Settings!$B$3/SUM(S972:X972)</f>
        <v>61.7424242424242</v>
      </c>
      <c r="AE972" s="2" t="n">
        <f aca="false">INT(Y972)</f>
        <v>62</v>
      </c>
      <c r="AF972" s="2" t="n">
        <f aca="false">INT(Z972)</f>
        <v>92</v>
      </c>
      <c r="AG972" s="2" t="n">
        <f aca="false">INT(AA972)</f>
        <v>118</v>
      </c>
      <c r="AH972" s="2" t="n">
        <f aca="false">INT(AB972)</f>
        <v>98</v>
      </c>
      <c r="AI972" s="2" t="n">
        <f aca="false">INT(AC972)</f>
        <v>66</v>
      </c>
      <c r="AJ972" s="2" t="n">
        <f aca="false">INT(AD972)</f>
        <v>61</v>
      </c>
      <c r="AK972" s="2" t="n">
        <f aca="false">Settings!$B$3-SUM(AE972:AJ972)</f>
        <v>3</v>
      </c>
      <c r="AL972" s="2" t="n">
        <f aca="false">ROUND(Y972-AE972,9)</f>
        <v>0.5</v>
      </c>
      <c r="AM972" s="2" t="n">
        <f aca="false">ROUND(Z972-AF972,9)</f>
        <v>0.045454545</v>
      </c>
      <c r="AN972" s="2" t="n">
        <f aca="false">ROUND(AA972-AG972,9)</f>
        <v>0.181818182</v>
      </c>
      <c r="AO972" s="2" t="n">
        <f aca="false">ROUND(AB972-AH972,9)</f>
        <v>0.863636364</v>
      </c>
      <c r="AP972" s="2" t="n">
        <f aca="false">ROUND(AC972-AI972,9)</f>
        <v>0.666666667</v>
      </c>
      <c r="AQ972" s="2" t="n">
        <f aca="false">ROUND(AD972-AJ972,9)</f>
        <v>0.742424242</v>
      </c>
    </row>
    <row r="973" customFormat="false" ht="15" hidden="false" customHeight="false" outlineLevel="0" collapsed="false">
      <c r="A973" s="2" t="n">
        <v>972</v>
      </c>
      <c r="B973" s="6" t="n">
        <v>25</v>
      </c>
      <c r="C973" s="6" t="n">
        <v>49</v>
      </c>
      <c r="D973" s="8" t="str">
        <f aca="false">INDEX(Bases!$B$2:$B$53,B973)</f>
        <v>Sandshrew</v>
      </c>
      <c r="E973" s="8" t="str">
        <f aca="false">INDEX(Bases!$B$2:$B$53,C973)</f>
        <v>Aron</v>
      </c>
      <c r="F973" s="2" t="str">
        <f aca="false">LEFT(D973,ROUNDUP(LEN(D973)/2,0))&amp;LOWER(MID(E973,ROUNDUP(LEN(E973)/2,0)+1,20))</f>
        <v>Sandson</v>
      </c>
      <c r="G973" s="8" t="str">
        <f aca="false">INDEX(Bases!$C$2:$C$53,B973)</f>
        <v>Ground</v>
      </c>
      <c r="H973" s="8" t="str">
        <f aca="false">IF(INDEX(Bases!$C$2:$C$53,C973)=G973,"",INDEX(Bases!$C$2:$C$53,C973))</f>
        <v>Steel</v>
      </c>
      <c r="I973" s="8" t="str">
        <f aca="false">IF(INDEX(Bases!$E$2:$E$53,B973)="","",INDEX(Bases!$E$2:$E$53,B973))</f>
        <v/>
      </c>
      <c r="J973" s="8" t="str">
        <f aca="false">IF(INDEX(Bases!$E$2:$E$53,C973)="","",INDEX(Bases!$E$2:$E$53,C973))</f>
        <v/>
      </c>
      <c r="K973" s="5"/>
      <c r="L973" s="2" t="n">
        <f aca="false">AE973+IF(SUMPRODUCT(--($AL973:$AQ973&gt;AL973))&lt;$AK973,1,0)</f>
        <v>79</v>
      </c>
      <c r="M973" s="2" t="n">
        <f aca="false">AF973+IF(SUMPRODUCT(--($AL973:$AQ973&gt;AM973))+SUMPRODUCT(--($AL973:AL973=AM973))&lt;$AK973,1,0)</f>
        <v>115</v>
      </c>
      <c r="N973" s="2" t="n">
        <f aca="false">AG973+IF(SUMPRODUCT(--($AL973:$AQ973&gt;AN973))+SUMPRODUCT(--($AL973:AM973=AN973))&lt;$AK973,1,0)</f>
        <v>143</v>
      </c>
      <c r="O973" s="2" t="n">
        <f aca="false">AH973+IF(SUMPRODUCT(--($AL973:$AQ973&gt;AO973))+SUMPRODUCT(--($AL973:AN973=AO973))&lt;$AK973,1,0)</f>
        <v>51</v>
      </c>
      <c r="P973" s="2" t="n">
        <f aca="false">AI973+IF(SUMPRODUCT(--($AL973:$AQ973&gt;AP973))+SUMPRODUCT(--($AL973:AO973=AP973))&lt;$AK973,1,0)</f>
        <v>55</v>
      </c>
      <c r="Q973" s="2" t="n">
        <f aca="false">AJ973+IF(SUMPRODUCT(--($AL973:$AQ973&gt;AQ973))+SUMPRODUCT(--($AL973:AP973=AQ973))&lt;$AK973,1,0)</f>
        <v>57</v>
      </c>
      <c r="R973" s="2" t="n">
        <f aca="false">SUM(L973:Q973)</f>
        <v>500</v>
      </c>
      <c r="S973" s="2" t="n">
        <f aca="false">Settings!$B$4*MAX(INDEX(Bases!$M$2:$M$53,B973),INDEX(Bases!$M$2:$M$53,C973))+Settings!$B$5*MIN(INDEX(Bases!$M$2:$M$53,B973),INDEX(Bases!$M$2:$M$53,C973))</f>
        <v>65</v>
      </c>
      <c r="T973" s="2" t="n">
        <f aca="false">Settings!$B$4*MAX(INDEX(Bases!$N$2:$N$53,B973),INDEX(Bases!$N$2:$N$53,C973))+Settings!$B$5*MIN(INDEX(Bases!$N$2:$N$53,B973),INDEX(Bases!$N$2:$N$53,C973))</f>
        <v>95</v>
      </c>
      <c r="U973" s="2" t="n">
        <f aca="false">Settings!$B$4*MAX(INDEX(Bases!$O$2:$O$53,B973),INDEX(Bases!$O$2:$O$53,C973))+Settings!$B$5*MIN(INDEX(Bases!$O$2:$O$53,B973),INDEX(Bases!$O$2:$O$53,C973))</f>
        <v>118.333333333333</v>
      </c>
      <c r="V973" s="2" t="n">
        <f aca="false">Settings!$B$4*MAX(INDEX(Bases!$P$2:$P$53,B973),INDEX(Bases!$P$2:$P$53,C973))+Settings!$B$5*MIN(INDEX(Bases!$P$2:$P$53,B973),INDEX(Bases!$P$2:$P$53,C973))</f>
        <v>41.6666666666667</v>
      </c>
      <c r="W973" s="2" t="n">
        <f aca="false">Settings!$B$4*MAX(INDEX(Bases!$Q$2:$Q$53,B973),INDEX(Bases!$Q$2:$Q$53,C973))+Settings!$B$5*MIN(INDEX(Bases!$Q$2:$Q$53,B973),INDEX(Bases!$Q$2:$Q$53,C973))</f>
        <v>45.3333333333333</v>
      </c>
      <c r="X973" s="2" t="n">
        <f aca="false">Settings!$B$4*MAX(INDEX(Bases!$R$2:$R$53,B973),INDEX(Bases!$R$2:$R$53,C973))+Settings!$B$5*MIN(INDEX(Bases!$R$2:$R$53,B973),INDEX(Bases!$R$2:$R$53,C973))</f>
        <v>47.3333333333333</v>
      </c>
      <c r="Y973" s="2" t="n">
        <f aca="false">S973*Settings!$B$3/SUM(S973:X973)</f>
        <v>78.7560581583199</v>
      </c>
      <c r="Z973" s="2" t="n">
        <f aca="false">T973*Settings!$B$3/SUM(S973:X973)</f>
        <v>115.105008077544</v>
      </c>
      <c r="AA973" s="2" t="n">
        <f aca="false">U973*Settings!$B$3/SUM(S973:X973)</f>
        <v>143.376413570275</v>
      </c>
      <c r="AB973" s="2" t="n">
        <f aca="false">V973*Settings!$B$3/SUM(S973:X973)</f>
        <v>50.4846526655897</v>
      </c>
      <c r="AC973" s="2" t="n">
        <f aca="false">W973*Settings!$B$3/SUM(S973:X973)</f>
        <v>54.9273021001616</v>
      </c>
      <c r="AD973" s="2" t="n">
        <f aca="false">X973*Settings!$B$3/SUM(S973:X973)</f>
        <v>57.3505654281099</v>
      </c>
      <c r="AE973" s="2" t="n">
        <f aca="false">INT(Y973)</f>
        <v>78</v>
      </c>
      <c r="AF973" s="2" t="n">
        <f aca="false">INT(Z973)</f>
        <v>115</v>
      </c>
      <c r="AG973" s="2" t="n">
        <f aca="false">INT(AA973)</f>
        <v>143</v>
      </c>
      <c r="AH973" s="2" t="n">
        <f aca="false">INT(AB973)</f>
        <v>50</v>
      </c>
      <c r="AI973" s="2" t="n">
        <f aca="false">INT(AC973)</f>
        <v>54</v>
      </c>
      <c r="AJ973" s="2" t="n">
        <f aca="false">INT(AD973)</f>
        <v>57</v>
      </c>
      <c r="AK973" s="2" t="n">
        <f aca="false">Settings!$B$3-SUM(AE973:AJ973)</f>
        <v>3</v>
      </c>
      <c r="AL973" s="2" t="n">
        <f aca="false">ROUND(Y973-AE973,9)</f>
        <v>0.756058158</v>
      </c>
      <c r="AM973" s="2" t="n">
        <f aca="false">ROUND(Z973-AF973,9)</f>
        <v>0.105008078</v>
      </c>
      <c r="AN973" s="2" t="n">
        <f aca="false">ROUND(AA973-AG973,9)</f>
        <v>0.37641357</v>
      </c>
      <c r="AO973" s="2" t="n">
        <f aca="false">ROUND(AB973-AH973,9)</f>
        <v>0.484652666</v>
      </c>
      <c r="AP973" s="2" t="n">
        <f aca="false">ROUND(AC973-AI973,9)</f>
        <v>0.9273021</v>
      </c>
      <c r="AQ973" s="2" t="n">
        <f aca="false">ROUND(AD973-AJ973,9)</f>
        <v>0.350565428</v>
      </c>
    </row>
    <row r="974" customFormat="false" ht="15" hidden="false" customHeight="false" outlineLevel="0" collapsed="false">
      <c r="A974" s="2" t="n">
        <v>973</v>
      </c>
      <c r="B974" s="6" t="n">
        <v>25</v>
      </c>
      <c r="C974" s="6" t="n">
        <v>50</v>
      </c>
      <c r="D974" s="8" t="str">
        <f aca="false">INDEX(Bases!$B$2:$B$53,B974)</f>
        <v>Sandshrew</v>
      </c>
      <c r="E974" s="8" t="str">
        <f aca="false">INDEX(Bases!$B$2:$B$53,C974)</f>
        <v>Beldum</v>
      </c>
      <c r="F974" s="2" t="str">
        <f aca="false">LEFT(D974,ROUNDUP(LEN(D974)/2,0))&amp;LOWER(MID(E974,ROUNDUP(LEN(E974)/2,0)+1,20))</f>
        <v>Sandsdum</v>
      </c>
      <c r="G974" s="8" t="str">
        <f aca="false">INDEX(Bases!$C$2:$C$53,B974)</f>
        <v>Ground</v>
      </c>
      <c r="H974" s="8" t="str">
        <f aca="false">IF(INDEX(Bases!$C$2:$C$53,C974)=G974,"",INDEX(Bases!$C$2:$C$53,C974))</f>
        <v>Steel</v>
      </c>
      <c r="I974" s="8" t="str">
        <f aca="false">IF(INDEX(Bases!$E$2:$E$53,B974)="","",INDEX(Bases!$E$2:$E$53,B974))</f>
        <v/>
      </c>
      <c r="J974" s="8" t="str">
        <f aca="false">IF(INDEX(Bases!$E$2:$E$53,C974)="","",INDEX(Bases!$E$2:$E$53,C974))</f>
        <v/>
      </c>
      <c r="K974" s="5"/>
      <c r="L974" s="2" t="n">
        <f aca="false">AE974+IF(SUMPRODUCT(--($AL974:$AQ974&gt;AL974))&lt;$AK974,1,0)</f>
        <v>74</v>
      </c>
      <c r="M974" s="2" t="n">
        <f aca="false">AF974+IF(SUMPRODUCT(--($AL974:$AQ974&gt;AM974))+SUMPRODUCT(--($AL974:AL974=AM974))&lt;$AK974,1,0)</f>
        <v>108</v>
      </c>
      <c r="N974" s="2" t="n">
        <f aca="false">AG974+IF(SUMPRODUCT(--($AL974:$AQ974&gt;AN974))+SUMPRODUCT(--($AL974:AM974=AN974))&lt;$AK974,1,0)</f>
        <v>132</v>
      </c>
      <c r="O974" s="2" t="n">
        <f aca="false">AH974+IF(SUMPRODUCT(--($AL974:$AQ974&gt;AO974))+SUMPRODUCT(--($AL974:AN974=AO974))&lt;$AK974,1,0)</f>
        <v>48</v>
      </c>
      <c r="P974" s="2" t="n">
        <f aca="false">AI974+IF(SUMPRODUCT(--($AL974:$AQ974&gt;AP974))+SUMPRODUCT(--($AL974:AO974=AP974))&lt;$AK974,1,0)</f>
        <v>80</v>
      </c>
      <c r="Q974" s="2" t="n">
        <f aca="false">AJ974+IF(SUMPRODUCT(--($AL974:$AQ974&gt;AQ974))+SUMPRODUCT(--($AL974:AP974=AQ974))&lt;$AK974,1,0)</f>
        <v>58</v>
      </c>
      <c r="R974" s="2" t="n">
        <f aca="false">SUM(L974:Q974)</f>
        <v>500</v>
      </c>
      <c r="S974" s="2" t="n">
        <f aca="false">Settings!$B$4*MAX(INDEX(Bases!$M$2:$M$53,B974),INDEX(Bases!$M$2:$M$53,C974))+Settings!$B$5*MIN(INDEX(Bases!$M$2:$M$53,B974),INDEX(Bases!$M$2:$M$53,C974))</f>
        <v>62.3333333333333</v>
      </c>
      <c r="T974" s="2" t="n">
        <f aca="false">Settings!$B$4*MAX(INDEX(Bases!$N$2:$N$53,B974),INDEX(Bases!$N$2:$N$53,C974))+Settings!$B$5*MIN(INDEX(Bases!$N$2:$N$53,B974),INDEX(Bases!$N$2:$N$53,C974))</f>
        <v>91</v>
      </c>
      <c r="U974" s="2" t="n">
        <f aca="false">Settings!$B$4*MAX(INDEX(Bases!$O$2:$O$53,B974),INDEX(Bases!$O$2:$O$53,C974))+Settings!$B$5*MIN(INDEX(Bases!$O$2:$O$53,B974),INDEX(Bases!$O$2:$O$53,C974))</f>
        <v>111</v>
      </c>
      <c r="V974" s="2" t="n">
        <f aca="false">Settings!$B$4*MAX(INDEX(Bases!$P$2:$P$53,B974),INDEX(Bases!$P$2:$P$53,C974))+Settings!$B$5*MIN(INDEX(Bases!$P$2:$P$53,B974),INDEX(Bases!$P$2:$P$53,C974))</f>
        <v>40.3333333333333</v>
      </c>
      <c r="W974" s="2" t="n">
        <f aca="false">Settings!$B$4*MAX(INDEX(Bases!$Q$2:$Q$53,B974),INDEX(Bases!$Q$2:$Q$53,C974))+Settings!$B$5*MIN(INDEX(Bases!$Q$2:$Q$53,B974),INDEX(Bases!$Q$2:$Q$53,C974))</f>
        <v>66.6666666666667</v>
      </c>
      <c r="X974" s="2" t="n">
        <f aca="false">Settings!$B$4*MAX(INDEX(Bases!$R$2:$R$53,B974),INDEX(Bases!$R$2:$R$53,C974))+Settings!$B$5*MIN(INDEX(Bases!$R$2:$R$53,B974),INDEX(Bases!$R$2:$R$53,C974))</f>
        <v>48.6666666666667</v>
      </c>
      <c r="Y974" s="2" t="n">
        <f aca="false">S974*Settings!$B$3/SUM(S974:X974)</f>
        <v>74.2063492063492</v>
      </c>
      <c r="Z974" s="2" t="n">
        <f aca="false">T974*Settings!$B$3/SUM(S974:X974)</f>
        <v>108.333333333333</v>
      </c>
      <c r="AA974" s="2" t="n">
        <f aca="false">U974*Settings!$B$3/SUM(S974:X974)</f>
        <v>132.142857142857</v>
      </c>
      <c r="AB974" s="2" t="n">
        <f aca="false">V974*Settings!$B$3/SUM(S974:X974)</f>
        <v>48.015873015873</v>
      </c>
      <c r="AC974" s="2" t="n">
        <f aca="false">W974*Settings!$B$3/SUM(S974:X974)</f>
        <v>79.3650793650794</v>
      </c>
      <c r="AD974" s="2" t="n">
        <f aca="false">X974*Settings!$B$3/SUM(S974:X974)</f>
        <v>57.9365079365079</v>
      </c>
      <c r="AE974" s="2" t="n">
        <f aca="false">INT(Y974)</f>
        <v>74</v>
      </c>
      <c r="AF974" s="2" t="n">
        <f aca="false">INT(Z974)</f>
        <v>108</v>
      </c>
      <c r="AG974" s="2" t="n">
        <f aca="false">INT(AA974)</f>
        <v>132</v>
      </c>
      <c r="AH974" s="2" t="n">
        <f aca="false">INT(AB974)</f>
        <v>48</v>
      </c>
      <c r="AI974" s="2" t="n">
        <f aca="false">INT(AC974)</f>
        <v>79</v>
      </c>
      <c r="AJ974" s="2" t="n">
        <f aca="false">INT(AD974)</f>
        <v>57</v>
      </c>
      <c r="AK974" s="2" t="n">
        <f aca="false">Settings!$B$3-SUM(AE974:AJ974)</f>
        <v>2</v>
      </c>
      <c r="AL974" s="2" t="n">
        <f aca="false">ROUND(Y974-AE974,9)</f>
        <v>0.206349206</v>
      </c>
      <c r="AM974" s="2" t="n">
        <f aca="false">ROUND(Z974-AF974,9)</f>
        <v>0.333333333</v>
      </c>
      <c r="AN974" s="2" t="n">
        <f aca="false">ROUND(AA974-AG974,9)</f>
        <v>0.142857143</v>
      </c>
      <c r="AO974" s="2" t="n">
        <f aca="false">ROUND(AB974-AH974,9)</f>
        <v>0.015873016</v>
      </c>
      <c r="AP974" s="2" t="n">
        <f aca="false">ROUND(AC974-AI974,9)</f>
        <v>0.365079365</v>
      </c>
      <c r="AQ974" s="2" t="n">
        <f aca="false">ROUND(AD974-AJ974,9)</f>
        <v>0.936507937</v>
      </c>
    </row>
    <row r="975" customFormat="false" ht="15" hidden="false" customHeight="false" outlineLevel="0" collapsed="false">
      <c r="A975" s="2" t="n">
        <v>974</v>
      </c>
      <c r="B975" s="6" t="n">
        <v>25</v>
      </c>
      <c r="C975" s="6" t="n">
        <v>51</v>
      </c>
      <c r="D975" s="8" t="str">
        <f aca="false">INDEX(Bases!$B$2:$B$53,B975)</f>
        <v>Sandshrew</v>
      </c>
      <c r="E975" s="8" t="str">
        <f aca="false">INDEX(Bases!$B$2:$B$53,C975)</f>
        <v>Cleffa</v>
      </c>
      <c r="F975" s="2" t="str">
        <f aca="false">LEFT(D975,ROUNDUP(LEN(D975)/2,0))&amp;LOWER(MID(E975,ROUNDUP(LEN(E975)/2,0)+1,20))</f>
        <v>Sandsffa</v>
      </c>
      <c r="G975" s="8" t="str">
        <f aca="false">INDEX(Bases!$C$2:$C$53,B975)</f>
        <v>Ground</v>
      </c>
      <c r="H975" s="8" t="str">
        <f aca="false">IF(INDEX(Bases!$C$2:$C$53,C975)=G975,"",INDEX(Bases!$C$2:$C$53,C975))</f>
        <v>Fairy</v>
      </c>
      <c r="I975" s="8" t="str">
        <f aca="false">IF(INDEX(Bases!$E$2:$E$53,B975)="","",INDEX(Bases!$E$2:$E$53,B975))</f>
        <v/>
      </c>
      <c r="J975" s="8" t="str">
        <f aca="false">IF(INDEX(Bases!$E$2:$E$53,C975)="","",INDEX(Bases!$E$2:$E$53,C975))</f>
        <v/>
      </c>
      <c r="K975" s="5"/>
      <c r="L975" s="2" t="n">
        <f aca="false">AE975+IF(SUMPRODUCT(--($AL975:$AQ975&gt;AL975))&lt;$AK975,1,0)</f>
        <v>93</v>
      </c>
      <c r="M975" s="2" t="n">
        <f aca="false">AF975+IF(SUMPRODUCT(--($AL975:$AQ975&gt;AM975))+SUMPRODUCT(--($AL975:AL975=AM975))&lt;$AK975,1,0)</f>
        <v>92</v>
      </c>
      <c r="N975" s="2" t="n">
        <f aca="false">AG975+IF(SUMPRODUCT(--($AL975:$AQ975&gt;AN975))+SUMPRODUCT(--($AL975:AM975=AN975))&lt;$AK975,1,0)</f>
        <v>103</v>
      </c>
      <c r="O975" s="2" t="n">
        <f aca="false">AH975+IF(SUMPRODUCT(--($AL975:$AQ975&gt;AO975))+SUMPRODUCT(--($AL975:AN975=AO975))&lt;$AK975,1,0)</f>
        <v>72</v>
      </c>
      <c r="P975" s="2" t="n">
        <f aca="false">AI975+IF(SUMPRODUCT(--($AL975:$AQ975&gt;AP975))+SUMPRODUCT(--($AL975:AO975=AP975))&lt;$AK975,1,0)</f>
        <v>90</v>
      </c>
      <c r="Q975" s="2" t="n">
        <f aca="false">AJ975+IF(SUMPRODUCT(--($AL975:$AQ975&gt;AQ975))+SUMPRODUCT(--($AL975:AP975=AQ975))&lt;$AK975,1,0)</f>
        <v>50</v>
      </c>
      <c r="R975" s="2" t="n">
        <f aca="false">SUM(L975:Q975)</f>
        <v>500</v>
      </c>
      <c r="S975" s="2" t="n">
        <f aca="false">Settings!$B$4*MAX(INDEX(Bases!$M$2:$M$53,B975),INDEX(Bases!$M$2:$M$53,C975))+Settings!$B$5*MIN(INDEX(Bases!$M$2:$M$53,B975),INDEX(Bases!$M$2:$M$53,C975))</f>
        <v>83.6666666666667</v>
      </c>
      <c r="T975" s="2" t="n">
        <f aca="false">Settings!$B$4*MAX(INDEX(Bases!$N$2:$N$53,B975),INDEX(Bases!$N$2:$N$53,C975))+Settings!$B$5*MIN(INDEX(Bases!$N$2:$N$53,B975),INDEX(Bases!$N$2:$N$53,C975))</f>
        <v>82</v>
      </c>
      <c r="U975" s="2" t="n">
        <f aca="false">Settings!$B$4*MAX(INDEX(Bases!$O$2:$O$53,B975),INDEX(Bases!$O$2:$O$53,C975))+Settings!$B$5*MIN(INDEX(Bases!$O$2:$O$53,B975),INDEX(Bases!$O$2:$O$53,C975))</f>
        <v>92.3333333333333</v>
      </c>
      <c r="V975" s="2" t="n">
        <f aca="false">Settings!$B$4*MAX(INDEX(Bases!$P$2:$P$53,B975),INDEX(Bases!$P$2:$P$53,C975))+Settings!$B$5*MIN(INDEX(Bases!$P$2:$P$53,B975),INDEX(Bases!$P$2:$P$53,C975))</f>
        <v>64.3333333333333</v>
      </c>
      <c r="W975" s="2" t="n">
        <f aca="false">Settings!$B$4*MAX(INDEX(Bases!$Q$2:$Q$53,B975),INDEX(Bases!$Q$2:$Q$53,C975))+Settings!$B$5*MIN(INDEX(Bases!$Q$2:$Q$53,B975),INDEX(Bases!$Q$2:$Q$53,C975))</f>
        <v>80.6666666666667</v>
      </c>
      <c r="X975" s="2" t="n">
        <f aca="false">Settings!$B$4*MAX(INDEX(Bases!$R$2:$R$53,B975),INDEX(Bases!$R$2:$R$53,C975))+Settings!$B$5*MIN(INDEX(Bases!$R$2:$R$53,B975),INDEX(Bases!$R$2:$R$53,C975))</f>
        <v>44.3333333333333</v>
      </c>
      <c r="Y975" s="2" t="n">
        <f aca="false">S975*Settings!$B$3/SUM(S975:X975)</f>
        <v>93.5171385991058</v>
      </c>
      <c r="Z975" s="2" t="n">
        <f aca="false">T975*Settings!$B$3/SUM(S975:X975)</f>
        <v>91.6542473919523</v>
      </c>
      <c r="AA975" s="2" t="n">
        <f aca="false">U975*Settings!$B$3/SUM(S975:X975)</f>
        <v>103.204172876304</v>
      </c>
      <c r="AB975" s="2" t="n">
        <f aca="false">V975*Settings!$B$3/SUM(S975:X975)</f>
        <v>71.9076005961252</v>
      </c>
      <c r="AC975" s="2" t="n">
        <f aca="false">W975*Settings!$B$3/SUM(S975:X975)</f>
        <v>90.1639344262295</v>
      </c>
      <c r="AD975" s="2" t="n">
        <f aca="false">X975*Settings!$B$3/SUM(S975:X975)</f>
        <v>49.5529061102832</v>
      </c>
      <c r="AE975" s="2" t="n">
        <f aca="false">INT(Y975)</f>
        <v>93</v>
      </c>
      <c r="AF975" s="2" t="n">
        <f aca="false">INT(Z975)</f>
        <v>91</v>
      </c>
      <c r="AG975" s="2" t="n">
        <f aca="false">INT(AA975)</f>
        <v>103</v>
      </c>
      <c r="AH975" s="2" t="n">
        <f aca="false">INT(AB975)</f>
        <v>71</v>
      </c>
      <c r="AI975" s="2" t="n">
        <f aca="false">INT(AC975)</f>
        <v>90</v>
      </c>
      <c r="AJ975" s="2" t="n">
        <f aca="false">INT(AD975)</f>
        <v>49</v>
      </c>
      <c r="AK975" s="2" t="n">
        <f aca="false">Settings!$B$3-SUM(AE975:AJ975)</f>
        <v>3</v>
      </c>
      <c r="AL975" s="2" t="n">
        <f aca="false">ROUND(Y975-AE975,9)</f>
        <v>0.517138599</v>
      </c>
      <c r="AM975" s="2" t="n">
        <f aca="false">ROUND(Z975-AF975,9)</f>
        <v>0.654247392</v>
      </c>
      <c r="AN975" s="2" t="n">
        <f aca="false">ROUND(AA975-AG975,9)</f>
        <v>0.204172876</v>
      </c>
      <c r="AO975" s="2" t="n">
        <f aca="false">ROUND(AB975-AH975,9)</f>
        <v>0.907600596</v>
      </c>
      <c r="AP975" s="2" t="n">
        <f aca="false">ROUND(AC975-AI975,9)</f>
        <v>0.163934426</v>
      </c>
      <c r="AQ975" s="2" t="n">
        <f aca="false">ROUND(AD975-AJ975,9)</f>
        <v>0.55290611</v>
      </c>
    </row>
    <row r="976" customFormat="false" ht="15" hidden="false" customHeight="false" outlineLevel="0" collapsed="false">
      <c r="A976" s="2" t="n">
        <v>975</v>
      </c>
      <c r="B976" s="6" t="n">
        <v>25</v>
      </c>
      <c r="C976" s="6" t="n">
        <v>52</v>
      </c>
      <c r="D976" s="8" t="str">
        <f aca="false">INDEX(Bases!$B$2:$B$53,B976)</f>
        <v>Sandshrew</v>
      </c>
      <c r="E976" s="8" t="str">
        <f aca="false">INDEX(Bases!$B$2:$B$53,C976)</f>
        <v>Togepi</v>
      </c>
      <c r="F976" s="2" t="str">
        <f aca="false">LEFT(D976,ROUNDUP(LEN(D976)/2,0))&amp;LOWER(MID(E976,ROUNDUP(LEN(E976)/2,0)+1,20))</f>
        <v>Sandsepi</v>
      </c>
      <c r="G976" s="8" t="str">
        <f aca="false">INDEX(Bases!$C$2:$C$53,B976)</f>
        <v>Ground</v>
      </c>
      <c r="H976" s="8" t="str">
        <f aca="false">IF(INDEX(Bases!$C$2:$C$53,C976)=G976,"",INDEX(Bases!$C$2:$C$53,C976))</f>
        <v>Fairy</v>
      </c>
      <c r="I976" s="8" t="str">
        <f aca="false">IF(INDEX(Bases!$E$2:$E$53,B976)="","",INDEX(Bases!$E$2:$E$53,B976))</f>
        <v/>
      </c>
      <c r="J976" s="8" t="str">
        <f aca="false">IF(INDEX(Bases!$E$2:$E$53,C976)="","",INDEX(Bases!$E$2:$E$53,C976))</f>
        <v/>
      </c>
      <c r="K976" s="5"/>
      <c r="L976" s="2" t="n">
        <f aca="false">AE976+IF(SUMPRODUCT(--($AL976:$AQ976&gt;AL976))&lt;$AK976,1,0)</f>
        <v>73</v>
      </c>
      <c r="M976" s="2" t="n">
        <f aca="false">AF976+IF(SUMPRODUCT(--($AL976:$AQ976&gt;AM976))+SUMPRODUCT(--($AL976:AL976=AM976))&lt;$AK976,1,0)</f>
        <v>90</v>
      </c>
      <c r="N976" s="2" t="n">
        <f aca="false">AG976+IF(SUMPRODUCT(--($AL976:$AQ976&gt;AN976))+SUMPRODUCT(--($AL976:AM976=AN976))&lt;$AK976,1,0)</f>
        <v>127</v>
      </c>
      <c r="O976" s="2" t="n">
        <f aca="false">AH976+IF(SUMPRODUCT(--($AL976:$AQ976&gt;AO976))+SUMPRODUCT(--($AL976:AN976=AO976))&lt;$AK976,1,0)</f>
        <v>60</v>
      </c>
      <c r="P976" s="2" t="n">
        <f aca="false">AI976+IF(SUMPRODUCT(--($AL976:$AQ976&gt;AP976))+SUMPRODUCT(--($AL976:AO976=AP976))&lt;$AK976,1,0)</f>
        <v>97</v>
      </c>
      <c r="Q976" s="2" t="n">
        <f aca="false">AJ976+IF(SUMPRODUCT(--($AL976:$AQ976&gt;AQ976))+SUMPRODUCT(--($AL976:AP976=AQ976))&lt;$AK976,1,0)</f>
        <v>53</v>
      </c>
      <c r="R976" s="2" t="n">
        <f aca="false">SUM(L976:Q976)</f>
        <v>500</v>
      </c>
      <c r="S976" s="2" t="n">
        <f aca="false">Settings!$B$4*MAX(INDEX(Bases!$M$2:$M$53,B976),INDEX(Bases!$M$2:$M$53,C976))+Settings!$B$5*MIN(INDEX(Bases!$M$2:$M$53,B976),INDEX(Bases!$M$2:$M$53,C976))</f>
        <v>63.6666666666667</v>
      </c>
      <c r="T976" s="2" t="n">
        <f aca="false">Settings!$B$4*MAX(INDEX(Bases!$N$2:$N$53,B976),INDEX(Bases!$N$2:$N$53,C976))+Settings!$B$5*MIN(INDEX(Bases!$N$2:$N$53,B976),INDEX(Bases!$N$2:$N$53,C976))</f>
        <v>77.6666666666667</v>
      </c>
      <c r="U976" s="2" t="n">
        <f aca="false">Settings!$B$4*MAX(INDEX(Bases!$O$2:$O$53,B976),INDEX(Bases!$O$2:$O$53,C976))+Settings!$B$5*MIN(INDEX(Bases!$O$2:$O$53,B976),INDEX(Bases!$O$2:$O$53,C976))</f>
        <v>110.666666666667</v>
      </c>
      <c r="V976" s="2" t="n">
        <f aca="false">Settings!$B$4*MAX(INDEX(Bases!$P$2:$P$53,B976),INDEX(Bases!$P$2:$P$53,C976))+Settings!$B$5*MIN(INDEX(Bases!$P$2:$P$53,B976),INDEX(Bases!$P$2:$P$53,C976))</f>
        <v>52.3333333333333</v>
      </c>
      <c r="W976" s="2" t="n">
        <f aca="false">Settings!$B$4*MAX(INDEX(Bases!$Q$2:$Q$53,B976),INDEX(Bases!$Q$2:$Q$53,C976))+Settings!$B$5*MIN(INDEX(Bases!$Q$2:$Q$53,B976),INDEX(Bases!$Q$2:$Q$53,C976))</f>
        <v>84</v>
      </c>
      <c r="X976" s="2" t="n">
        <f aca="false">Settings!$B$4*MAX(INDEX(Bases!$R$2:$R$53,B976),INDEX(Bases!$R$2:$R$53,C976))+Settings!$B$5*MIN(INDEX(Bases!$R$2:$R$53,B976),INDEX(Bases!$R$2:$R$53,C976))</f>
        <v>46.3333333333333</v>
      </c>
      <c r="Y976" s="2" t="n">
        <f aca="false">S976*Settings!$B$3/SUM(S976:X976)</f>
        <v>73.2361963190184</v>
      </c>
      <c r="Z976" s="2" t="n">
        <f aca="false">T976*Settings!$B$3/SUM(S976:X976)</f>
        <v>89.340490797546</v>
      </c>
      <c r="AA976" s="2" t="n">
        <f aca="false">U976*Settings!$B$3/SUM(S976:X976)</f>
        <v>127.300613496933</v>
      </c>
      <c r="AB976" s="2" t="n">
        <f aca="false">V976*Settings!$B$3/SUM(S976:X976)</f>
        <v>60.1993865030675</v>
      </c>
      <c r="AC976" s="2" t="n">
        <f aca="false">W976*Settings!$B$3/SUM(S976:X976)</f>
        <v>96.6257668711657</v>
      </c>
      <c r="AD976" s="2" t="n">
        <f aca="false">X976*Settings!$B$3/SUM(S976:X976)</f>
        <v>53.2975460122699</v>
      </c>
      <c r="AE976" s="2" t="n">
        <f aca="false">INT(Y976)</f>
        <v>73</v>
      </c>
      <c r="AF976" s="2" t="n">
        <f aca="false">INT(Z976)</f>
        <v>89</v>
      </c>
      <c r="AG976" s="2" t="n">
        <f aca="false">INT(AA976)</f>
        <v>127</v>
      </c>
      <c r="AH976" s="2" t="n">
        <f aca="false">INT(AB976)</f>
        <v>60</v>
      </c>
      <c r="AI976" s="2" t="n">
        <f aca="false">INT(AC976)</f>
        <v>96</v>
      </c>
      <c r="AJ976" s="2" t="n">
        <f aca="false">INT(AD976)</f>
        <v>53</v>
      </c>
      <c r="AK976" s="2" t="n">
        <f aca="false">Settings!$B$3-SUM(AE976:AJ976)</f>
        <v>2</v>
      </c>
      <c r="AL976" s="2" t="n">
        <f aca="false">ROUND(Y976-AE976,9)</f>
        <v>0.236196319</v>
      </c>
      <c r="AM976" s="2" t="n">
        <f aca="false">ROUND(Z976-AF976,9)</f>
        <v>0.340490798</v>
      </c>
      <c r="AN976" s="2" t="n">
        <f aca="false">ROUND(AA976-AG976,9)</f>
        <v>0.300613497</v>
      </c>
      <c r="AO976" s="2" t="n">
        <f aca="false">ROUND(AB976-AH976,9)</f>
        <v>0.199386503</v>
      </c>
      <c r="AP976" s="2" t="n">
        <f aca="false">ROUND(AC976-AI976,9)</f>
        <v>0.625766871</v>
      </c>
      <c r="AQ976" s="2" t="n">
        <f aca="false">ROUND(AD976-AJ976,9)</f>
        <v>0.297546012</v>
      </c>
    </row>
    <row r="977" customFormat="false" ht="15" hidden="false" customHeight="false" outlineLevel="0" collapsed="false">
      <c r="A977" s="2" t="n">
        <v>976</v>
      </c>
      <c r="B977" s="6" t="n">
        <v>26</v>
      </c>
      <c r="C977" s="6" t="n">
        <v>27</v>
      </c>
      <c r="D977" s="8" t="str">
        <f aca="false">INDEX(Bases!$B$2:$B$53,B977)</f>
        <v>Phanpy</v>
      </c>
      <c r="E977" s="8" t="str">
        <f aca="false">INDEX(Bases!$B$2:$B$53,C977)</f>
        <v>Baltoy</v>
      </c>
      <c r="F977" s="2" t="str">
        <f aca="false">LEFT(D977,ROUNDUP(LEN(D977)/2,0))&amp;LOWER(MID(E977,ROUNDUP(LEN(E977)/2,0)+1,20))</f>
        <v>Phatoy</v>
      </c>
      <c r="G977" s="8" t="str">
        <f aca="false">INDEX(Bases!$C$2:$C$53,B977)</f>
        <v>Ground</v>
      </c>
      <c r="H977" s="8" t="str">
        <f aca="false">IF(INDEX(Bases!$C$2:$C$53,C977)=G977,"",INDEX(Bases!$C$2:$C$53,C977))</f>
        <v/>
      </c>
      <c r="I977" s="8" t="str">
        <f aca="false">IF(INDEX(Bases!$E$2:$E$53,B977)="","",INDEX(Bases!$E$2:$E$53,B977))</f>
        <v/>
      </c>
      <c r="J977" s="8" t="str">
        <f aca="false">IF(INDEX(Bases!$E$2:$E$53,C977)="","",INDEX(Bases!$E$2:$E$53,C977))</f>
        <v/>
      </c>
      <c r="K977" s="5"/>
      <c r="L977" s="2" t="n">
        <f aca="false">AE977+IF(SUMPRODUCT(--($AL977:$AQ977&gt;AL977))&lt;$AK977,1,0)</f>
        <v>107</v>
      </c>
      <c r="M977" s="2" t="n">
        <f aca="false">AF977+IF(SUMPRODUCT(--($AL977:$AQ977&gt;AM977))+SUMPRODUCT(--($AL977:AL977=AM977))&lt;$AK977,1,0)</f>
        <v>78</v>
      </c>
      <c r="N977" s="2" t="n">
        <f aca="false">AG977+IF(SUMPRODUCT(--($AL977:$AQ977&gt;AN977))+SUMPRODUCT(--($AL977:AM977=AN977))&lt;$AK977,1,0)</f>
        <v>86</v>
      </c>
      <c r="O977" s="2" t="n">
        <f aca="false">AH977+IF(SUMPRODUCT(--($AL977:$AQ977&gt;AO977))+SUMPRODUCT(--($AL977:AN977=AO977))&lt;$AK977,1,0)</f>
        <v>61</v>
      </c>
      <c r="P977" s="2" t="n">
        <f aca="false">AI977+IF(SUMPRODUCT(--($AL977:$AQ977&gt;AP977))+SUMPRODUCT(--($AL977:AO977=AP977))&lt;$AK977,1,0)</f>
        <v>92</v>
      </c>
      <c r="Q977" s="2" t="n">
        <f aca="false">AJ977+IF(SUMPRODUCT(--($AL977:$AQ977&gt;AQ977))+SUMPRODUCT(--($AL977:AP977=AQ977))&lt;$AK977,1,0)</f>
        <v>76</v>
      </c>
      <c r="R977" s="2" t="n">
        <f aca="false">SUM(L977:Q977)</f>
        <v>500</v>
      </c>
      <c r="S977" s="2" t="n">
        <f aca="false">Settings!$B$4*MAX(INDEX(Bases!$M$2:$M$53,B977),INDEX(Bases!$M$2:$M$53,C977))+Settings!$B$5*MIN(INDEX(Bases!$M$2:$M$53,B977),INDEX(Bases!$M$2:$M$53,C977))</f>
        <v>90.6666666666667</v>
      </c>
      <c r="T977" s="2" t="n">
        <f aca="false">Settings!$B$4*MAX(INDEX(Bases!$N$2:$N$53,B977),INDEX(Bases!$N$2:$N$53,C977))+Settings!$B$5*MIN(INDEX(Bases!$N$2:$N$53,B977),INDEX(Bases!$N$2:$N$53,C977))</f>
        <v>66.6666666666667</v>
      </c>
      <c r="U977" s="2" t="n">
        <f aca="false">Settings!$B$4*MAX(INDEX(Bases!$O$2:$O$53,B977),INDEX(Bases!$O$2:$O$53,C977))+Settings!$B$5*MIN(INDEX(Bases!$O$2:$O$53,B977),INDEX(Bases!$O$2:$O$53,C977))</f>
        <v>73</v>
      </c>
      <c r="V977" s="2" t="n">
        <f aca="false">Settings!$B$4*MAX(INDEX(Bases!$P$2:$P$53,B977),INDEX(Bases!$P$2:$P$53,C977))+Settings!$B$5*MIN(INDEX(Bases!$P$2:$P$53,B977),INDEX(Bases!$P$2:$P$53,C977))</f>
        <v>51.6666666666667</v>
      </c>
      <c r="W977" s="2" t="n">
        <f aca="false">Settings!$B$4*MAX(INDEX(Bases!$Q$2:$Q$53,B977),INDEX(Bases!$Q$2:$Q$53,C977))+Settings!$B$5*MIN(INDEX(Bases!$Q$2:$Q$53,B977),INDEX(Bases!$Q$2:$Q$53,C977))</f>
        <v>78</v>
      </c>
      <c r="X977" s="2" t="n">
        <f aca="false">Settings!$B$4*MAX(INDEX(Bases!$R$2:$R$53,B977),INDEX(Bases!$R$2:$R$53,C977))+Settings!$B$5*MIN(INDEX(Bases!$R$2:$R$53,B977),INDEX(Bases!$R$2:$R$53,C977))</f>
        <v>64.6666666666667</v>
      </c>
      <c r="Y977" s="2" t="n">
        <f aca="false">S977*Settings!$B$3/SUM(S977:X977)</f>
        <v>106.750392464678</v>
      </c>
      <c r="Z977" s="2" t="n">
        <f aca="false">T977*Settings!$B$3/SUM(S977:X977)</f>
        <v>78.4929356357928</v>
      </c>
      <c r="AA977" s="2" t="n">
        <f aca="false">U977*Settings!$B$3/SUM(S977:X977)</f>
        <v>85.9497645211931</v>
      </c>
      <c r="AB977" s="2" t="n">
        <f aca="false">V977*Settings!$B$3/SUM(S977:X977)</f>
        <v>60.8320251177394</v>
      </c>
      <c r="AC977" s="2" t="n">
        <f aca="false">W977*Settings!$B$3/SUM(S977:X977)</f>
        <v>91.8367346938776</v>
      </c>
      <c r="AD977" s="2" t="n">
        <f aca="false">X977*Settings!$B$3/SUM(S977:X977)</f>
        <v>76.138147566719</v>
      </c>
      <c r="AE977" s="2" t="n">
        <f aca="false">INT(Y977)</f>
        <v>106</v>
      </c>
      <c r="AF977" s="2" t="n">
        <f aca="false">INT(Z977)</f>
        <v>78</v>
      </c>
      <c r="AG977" s="2" t="n">
        <f aca="false">INT(AA977)</f>
        <v>85</v>
      </c>
      <c r="AH977" s="2" t="n">
        <f aca="false">INT(AB977)</f>
        <v>60</v>
      </c>
      <c r="AI977" s="2" t="n">
        <f aca="false">INT(AC977)</f>
        <v>91</v>
      </c>
      <c r="AJ977" s="2" t="n">
        <f aca="false">INT(AD977)</f>
        <v>76</v>
      </c>
      <c r="AK977" s="2" t="n">
        <f aca="false">Settings!$B$3-SUM(AE977:AJ977)</f>
        <v>4</v>
      </c>
      <c r="AL977" s="2" t="n">
        <f aca="false">ROUND(Y977-AE977,9)</f>
        <v>0.750392465</v>
      </c>
      <c r="AM977" s="2" t="n">
        <f aca="false">ROUND(Z977-AF977,9)</f>
        <v>0.492935636</v>
      </c>
      <c r="AN977" s="2" t="n">
        <f aca="false">ROUND(AA977-AG977,9)</f>
        <v>0.949764521</v>
      </c>
      <c r="AO977" s="2" t="n">
        <f aca="false">ROUND(AB977-AH977,9)</f>
        <v>0.832025118</v>
      </c>
      <c r="AP977" s="2" t="n">
        <f aca="false">ROUND(AC977-AI977,9)</f>
        <v>0.836734694</v>
      </c>
      <c r="AQ977" s="2" t="n">
        <f aca="false">ROUND(AD977-AJ977,9)</f>
        <v>0.138147567</v>
      </c>
    </row>
    <row r="978" customFormat="false" ht="15" hidden="false" customHeight="false" outlineLevel="0" collapsed="false">
      <c r="A978" s="2" t="n">
        <v>977</v>
      </c>
      <c r="B978" s="6" t="n">
        <v>26</v>
      </c>
      <c r="C978" s="6" t="n">
        <v>28</v>
      </c>
      <c r="D978" s="8" t="str">
        <f aca="false">INDEX(Bases!$B$2:$B$53,B978)</f>
        <v>Phanpy</v>
      </c>
      <c r="E978" s="8" t="str">
        <f aca="false">INDEX(Bases!$B$2:$B$53,C978)</f>
        <v>Zubat</v>
      </c>
      <c r="F978" s="2" t="str">
        <f aca="false">LEFT(D978,ROUNDUP(LEN(D978)/2,0))&amp;LOWER(MID(E978,ROUNDUP(LEN(E978)/2,0)+1,20))</f>
        <v>Phaat</v>
      </c>
      <c r="G978" s="8" t="str">
        <f aca="false">INDEX(Bases!$C$2:$C$53,B978)</f>
        <v>Ground</v>
      </c>
      <c r="H978" s="8" t="str">
        <f aca="false">IF(INDEX(Bases!$C$2:$C$53,C978)=G978,"",INDEX(Bases!$C$2:$C$53,C978))</f>
        <v>Flying</v>
      </c>
      <c r="I978" s="8" t="str">
        <f aca="false">IF(INDEX(Bases!$E$2:$E$53,B978)="","",INDEX(Bases!$E$2:$E$53,B978))</f>
        <v/>
      </c>
      <c r="J978" s="8" t="str">
        <f aca="false">IF(INDEX(Bases!$E$2:$E$53,C978)="","",INDEX(Bases!$E$2:$E$53,C978))</f>
        <v/>
      </c>
      <c r="K978" s="5"/>
      <c r="L978" s="2" t="n">
        <f aca="false">AE978+IF(SUMPRODUCT(--($AL978:$AQ978&gt;AL978))&lt;$AK978,1,0)</f>
        <v>112</v>
      </c>
      <c r="M978" s="2" t="n">
        <f aca="false">AF978+IF(SUMPRODUCT(--($AL978:$AQ978&gt;AM978))+SUMPRODUCT(--($AL978:AL978=AM978))&lt;$AK978,1,0)</f>
        <v>88</v>
      </c>
      <c r="N978" s="2" t="n">
        <f aca="false">AG978+IF(SUMPRODUCT(--($AL978:$AQ978&gt;AN978))+SUMPRODUCT(--($AL978:AM978=AN978))&lt;$AK978,1,0)</f>
        <v>81</v>
      </c>
      <c r="O978" s="2" t="n">
        <f aca="false">AH978+IF(SUMPRODUCT(--($AL978:$AQ978&gt;AO978))+SUMPRODUCT(--($AL978:AN978=AO978))&lt;$AK978,1,0)</f>
        <v>58</v>
      </c>
      <c r="P978" s="2" t="n">
        <f aca="false">AI978+IF(SUMPRODUCT(--($AL978:$AQ978&gt;AP978))+SUMPRODUCT(--($AL978:AO978=AP978))&lt;$AK978,1,0)</f>
        <v>71</v>
      </c>
      <c r="Q978" s="2" t="n">
        <f aca="false">AJ978+IF(SUMPRODUCT(--($AL978:$AQ978&gt;AQ978))+SUMPRODUCT(--($AL978:AP978=AQ978))&lt;$AK978,1,0)</f>
        <v>90</v>
      </c>
      <c r="R978" s="2" t="n">
        <f aca="false">SUM(L978:Q978)</f>
        <v>500</v>
      </c>
      <c r="S978" s="2" t="n">
        <f aca="false">Settings!$B$4*MAX(INDEX(Bases!$M$2:$M$53,B978),INDEX(Bases!$M$2:$M$53,C978))+Settings!$B$5*MIN(INDEX(Bases!$M$2:$M$53,B978),INDEX(Bases!$M$2:$M$53,C978))</f>
        <v>94.3333333333333</v>
      </c>
      <c r="T978" s="2" t="n">
        <f aca="false">Settings!$B$4*MAX(INDEX(Bases!$N$2:$N$53,B978),INDEX(Bases!$N$2:$N$53,C978))+Settings!$B$5*MIN(INDEX(Bases!$N$2:$N$53,B978),INDEX(Bases!$N$2:$N$53,C978))</f>
        <v>73.6666666666667</v>
      </c>
      <c r="U978" s="2" t="n">
        <f aca="false">Settings!$B$4*MAX(INDEX(Bases!$O$2:$O$53,B978),INDEX(Bases!$O$2:$O$53,C978))+Settings!$B$5*MIN(INDEX(Bases!$O$2:$O$53,B978),INDEX(Bases!$O$2:$O$53,C978))</f>
        <v>67.6666666666667</v>
      </c>
      <c r="V978" s="2" t="n">
        <f aca="false">Settings!$B$4*MAX(INDEX(Bases!$P$2:$P$53,B978),INDEX(Bases!$P$2:$P$53,C978))+Settings!$B$5*MIN(INDEX(Bases!$P$2:$P$53,B978),INDEX(Bases!$P$2:$P$53,C978))</f>
        <v>49</v>
      </c>
      <c r="W978" s="2" t="n">
        <f aca="false">Settings!$B$4*MAX(INDEX(Bases!$Q$2:$Q$53,B978),INDEX(Bases!$Q$2:$Q$53,C978))+Settings!$B$5*MIN(INDEX(Bases!$Q$2:$Q$53,B978),INDEX(Bases!$Q$2:$Q$53,C978))</f>
        <v>59.3333333333333</v>
      </c>
      <c r="X978" s="2" t="n">
        <f aca="false">Settings!$B$4*MAX(INDEX(Bases!$R$2:$R$53,B978),INDEX(Bases!$R$2:$R$53,C978))+Settings!$B$5*MIN(INDEX(Bases!$R$2:$R$53,B978),INDEX(Bases!$R$2:$R$53,C978))</f>
        <v>76</v>
      </c>
      <c r="Y978" s="2" t="n">
        <f aca="false">S978*Settings!$B$3/SUM(S978:X978)</f>
        <v>112.301587301587</v>
      </c>
      <c r="Z978" s="2" t="n">
        <f aca="false">T978*Settings!$B$3/SUM(S978:X978)</f>
        <v>87.6984126984127</v>
      </c>
      <c r="AA978" s="2" t="n">
        <f aca="false">U978*Settings!$B$3/SUM(S978:X978)</f>
        <v>80.5555555555556</v>
      </c>
      <c r="AB978" s="2" t="n">
        <f aca="false">V978*Settings!$B$3/SUM(S978:X978)</f>
        <v>58.3333333333333</v>
      </c>
      <c r="AC978" s="2" t="n">
        <f aca="false">W978*Settings!$B$3/SUM(S978:X978)</f>
        <v>70.6349206349206</v>
      </c>
      <c r="AD978" s="2" t="n">
        <f aca="false">X978*Settings!$B$3/SUM(S978:X978)</f>
        <v>90.4761904761905</v>
      </c>
      <c r="AE978" s="2" t="n">
        <f aca="false">INT(Y978)</f>
        <v>112</v>
      </c>
      <c r="AF978" s="2" t="n">
        <f aca="false">INT(Z978)</f>
        <v>87</v>
      </c>
      <c r="AG978" s="2" t="n">
        <f aca="false">INT(AA978)</f>
        <v>80</v>
      </c>
      <c r="AH978" s="2" t="n">
        <f aca="false">INT(AB978)</f>
        <v>58</v>
      </c>
      <c r="AI978" s="2" t="n">
        <f aca="false">INT(AC978)</f>
        <v>70</v>
      </c>
      <c r="AJ978" s="2" t="n">
        <f aca="false">INT(AD978)</f>
        <v>90</v>
      </c>
      <c r="AK978" s="2" t="n">
        <f aca="false">Settings!$B$3-SUM(AE978:AJ978)</f>
        <v>3</v>
      </c>
      <c r="AL978" s="2" t="n">
        <f aca="false">ROUND(Y978-AE978,9)</f>
        <v>0.301587302</v>
      </c>
      <c r="AM978" s="2" t="n">
        <f aca="false">ROUND(Z978-AF978,9)</f>
        <v>0.698412698</v>
      </c>
      <c r="AN978" s="2" t="n">
        <f aca="false">ROUND(AA978-AG978,9)</f>
        <v>0.555555556</v>
      </c>
      <c r="AO978" s="2" t="n">
        <f aca="false">ROUND(AB978-AH978,9)</f>
        <v>0.333333333</v>
      </c>
      <c r="AP978" s="2" t="n">
        <f aca="false">ROUND(AC978-AI978,9)</f>
        <v>0.634920635</v>
      </c>
      <c r="AQ978" s="2" t="n">
        <f aca="false">ROUND(AD978-AJ978,9)</f>
        <v>0.476190476</v>
      </c>
    </row>
    <row r="979" customFormat="false" ht="15" hidden="false" customHeight="false" outlineLevel="0" collapsed="false">
      <c r="A979" s="2" t="n">
        <v>978</v>
      </c>
      <c r="B979" s="6" t="n">
        <v>26</v>
      </c>
      <c r="C979" s="6" t="n">
        <v>29</v>
      </c>
      <c r="D979" s="8" t="str">
        <f aca="false">INDEX(Bases!$B$2:$B$53,B979)</f>
        <v>Phanpy</v>
      </c>
      <c r="E979" s="8" t="str">
        <f aca="false">INDEX(Bases!$B$2:$B$53,C979)</f>
        <v>Murkrow</v>
      </c>
      <c r="F979" s="2" t="str">
        <f aca="false">LEFT(D979,ROUNDUP(LEN(D979)/2,0))&amp;LOWER(MID(E979,ROUNDUP(LEN(E979)/2,0)+1,20))</f>
        <v>Pharow</v>
      </c>
      <c r="G979" s="8" t="str">
        <f aca="false">INDEX(Bases!$C$2:$C$53,B979)</f>
        <v>Ground</v>
      </c>
      <c r="H979" s="8" t="str">
        <f aca="false">IF(INDEX(Bases!$C$2:$C$53,C979)=G979,"",INDEX(Bases!$C$2:$C$53,C979))</f>
        <v>Flying</v>
      </c>
      <c r="I979" s="8" t="str">
        <f aca="false">IF(INDEX(Bases!$E$2:$E$53,B979)="","",INDEX(Bases!$E$2:$E$53,B979))</f>
        <v/>
      </c>
      <c r="J979" s="8" t="str">
        <f aca="false">IF(INDEX(Bases!$E$2:$E$53,C979)="","",INDEX(Bases!$E$2:$E$53,C979))</f>
        <v/>
      </c>
      <c r="K979" s="5"/>
      <c r="L979" s="2" t="n">
        <f aca="false">AE979+IF(SUMPRODUCT(--($AL979:$AQ979&gt;AL979))&lt;$AK979,1,0)</f>
        <v>108</v>
      </c>
      <c r="M979" s="2" t="n">
        <f aca="false">AF979+IF(SUMPRODUCT(--($AL979:$AQ979&gt;AM979))+SUMPRODUCT(--($AL979:AL979=AM979))&lt;$AK979,1,0)</f>
        <v>94</v>
      </c>
      <c r="N979" s="2" t="n">
        <f aca="false">AG979+IF(SUMPRODUCT(--($AL979:$AQ979&gt;AN979))+SUMPRODUCT(--($AL979:AM979=AN979))&lt;$AK979,1,0)</f>
        <v>73</v>
      </c>
      <c r="O979" s="2" t="n">
        <f aca="false">AH979+IF(SUMPRODUCT(--($AL979:$AQ979&gt;AO979))+SUMPRODUCT(--($AL979:AN979=AO979))&lt;$AK979,1,0)</f>
        <v>84</v>
      </c>
      <c r="P979" s="2" t="n">
        <f aca="false">AI979+IF(SUMPRODUCT(--($AL979:$AQ979&gt;AP979))+SUMPRODUCT(--($AL979:AO979=AP979))&lt;$AK979,1,0)</f>
        <v>53</v>
      </c>
      <c r="Q979" s="2" t="n">
        <f aca="false">AJ979+IF(SUMPRODUCT(--($AL979:$AQ979&gt;AQ979))+SUMPRODUCT(--($AL979:AP979=AQ979))&lt;$AK979,1,0)</f>
        <v>88</v>
      </c>
      <c r="R979" s="2" t="n">
        <f aca="false">SUM(L979:Q979)</f>
        <v>500</v>
      </c>
      <c r="S979" s="2" t="n">
        <f aca="false">Settings!$B$4*MAX(INDEX(Bases!$M$2:$M$53,B979),INDEX(Bases!$M$2:$M$53,C979))+Settings!$B$5*MIN(INDEX(Bases!$M$2:$M$53,B979),INDEX(Bases!$M$2:$M$53,C979))</f>
        <v>92.3333333333333</v>
      </c>
      <c r="T979" s="2" t="n">
        <f aca="false">Settings!$B$4*MAX(INDEX(Bases!$N$2:$N$53,B979),INDEX(Bases!$N$2:$N$53,C979))+Settings!$B$5*MIN(INDEX(Bases!$N$2:$N$53,B979),INDEX(Bases!$N$2:$N$53,C979))</f>
        <v>80.3333333333333</v>
      </c>
      <c r="U979" s="2" t="n">
        <f aca="false">Settings!$B$4*MAX(INDEX(Bases!$O$2:$O$53,B979),INDEX(Bases!$O$2:$O$53,C979))+Settings!$B$5*MIN(INDEX(Bases!$O$2:$O$53,B979),INDEX(Bases!$O$2:$O$53,C979))</f>
        <v>62.6666666666667</v>
      </c>
      <c r="V979" s="2" t="n">
        <f aca="false">Settings!$B$4*MAX(INDEX(Bases!$P$2:$P$53,B979),INDEX(Bases!$P$2:$P$53,C979))+Settings!$B$5*MIN(INDEX(Bases!$P$2:$P$53,B979),INDEX(Bases!$P$2:$P$53,C979))</f>
        <v>72.3333333333333</v>
      </c>
      <c r="W979" s="2" t="n">
        <f aca="false">Settings!$B$4*MAX(INDEX(Bases!$Q$2:$Q$53,B979),INDEX(Bases!$Q$2:$Q$53,C979))+Settings!$B$5*MIN(INDEX(Bases!$Q$2:$Q$53,B979),INDEX(Bases!$Q$2:$Q$53,C979))</f>
        <v>45.6666666666667</v>
      </c>
      <c r="X979" s="2" t="n">
        <f aca="false">Settings!$B$4*MAX(INDEX(Bases!$R$2:$R$53,B979),INDEX(Bases!$R$2:$R$53,C979))+Settings!$B$5*MIN(INDEX(Bases!$R$2:$R$53,B979),INDEX(Bases!$R$2:$R$53,C979))</f>
        <v>76</v>
      </c>
      <c r="Y979" s="2" t="n">
        <f aca="false">S979*Settings!$B$3/SUM(S979:X979)</f>
        <v>107.531055900621</v>
      </c>
      <c r="Z979" s="2" t="n">
        <f aca="false">T979*Settings!$B$3/SUM(S979:X979)</f>
        <v>93.555900621118</v>
      </c>
      <c r="AA979" s="2" t="n">
        <f aca="false">U979*Settings!$B$3/SUM(S979:X979)</f>
        <v>72.9813664596273</v>
      </c>
      <c r="AB979" s="2" t="n">
        <f aca="false">V979*Settings!$B$3/SUM(S979:X979)</f>
        <v>84.2391304347826</v>
      </c>
      <c r="AC979" s="2" t="n">
        <f aca="false">W979*Settings!$B$3/SUM(S979:X979)</f>
        <v>53.1832298136646</v>
      </c>
      <c r="AD979" s="2" t="n">
        <f aca="false">X979*Settings!$B$3/SUM(S979:X979)</f>
        <v>88.5093167701863</v>
      </c>
      <c r="AE979" s="2" t="n">
        <f aca="false">INT(Y979)</f>
        <v>107</v>
      </c>
      <c r="AF979" s="2" t="n">
        <f aca="false">INT(Z979)</f>
        <v>93</v>
      </c>
      <c r="AG979" s="2" t="n">
        <f aca="false">INT(AA979)</f>
        <v>72</v>
      </c>
      <c r="AH979" s="2" t="n">
        <f aca="false">INT(AB979)</f>
        <v>84</v>
      </c>
      <c r="AI979" s="2" t="n">
        <f aca="false">INT(AC979)</f>
        <v>53</v>
      </c>
      <c r="AJ979" s="2" t="n">
        <f aca="false">INT(AD979)</f>
        <v>88</v>
      </c>
      <c r="AK979" s="2" t="n">
        <f aca="false">Settings!$B$3-SUM(AE979:AJ979)</f>
        <v>3</v>
      </c>
      <c r="AL979" s="2" t="n">
        <f aca="false">ROUND(Y979-AE979,9)</f>
        <v>0.531055901</v>
      </c>
      <c r="AM979" s="2" t="n">
        <f aca="false">ROUND(Z979-AF979,9)</f>
        <v>0.555900621</v>
      </c>
      <c r="AN979" s="2" t="n">
        <f aca="false">ROUND(AA979-AG979,9)</f>
        <v>0.98136646</v>
      </c>
      <c r="AO979" s="2" t="n">
        <f aca="false">ROUND(AB979-AH979,9)</f>
        <v>0.239130435</v>
      </c>
      <c r="AP979" s="2" t="n">
        <f aca="false">ROUND(AC979-AI979,9)</f>
        <v>0.183229814</v>
      </c>
      <c r="AQ979" s="2" t="n">
        <f aca="false">ROUND(AD979-AJ979,9)</f>
        <v>0.50931677</v>
      </c>
    </row>
    <row r="980" customFormat="false" ht="15" hidden="false" customHeight="false" outlineLevel="0" collapsed="false">
      <c r="A980" s="2" t="n">
        <v>979</v>
      </c>
      <c r="B980" s="6" t="n">
        <v>26</v>
      </c>
      <c r="C980" s="6" t="n">
        <v>30</v>
      </c>
      <c r="D980" s="8" t="str">
        <f aca="false">INDEX(Bases!$B$2:$B$53,B980)</f>
        <v>Phanpy</v>
      </c>
      <c r="E980" s="8" t="str">
        <f aca="false">INDEX(Bases!$B$2:$B$53,C980)</f>
        <v>Swablu</v>
      </c>
      <c r="F980" s="2" t="str">
        <f aca="false">LEFT(D980,ROUNDUP(LEN(D980)/2,0))&amp;LOWER(MID(E980,ROUNDUP(LEN(E980)/2,0)+1,20))</f>
        <v>Phablu</v>
      </c>
      <c r="G980" s="8" t="str">
        <f aca="false">INDEX(Bases!$C$2:$C$53,B980)</f>
        <v>Ground</v>
      </c>
      <c r="H980" s="8" t="str">
        <f aca="false">IF(INDEX(Bases!$C$2:$C$53,C980)=G980,"",INDEX(Bases!$C$2:$C$53,C980))</f>
        <v>Flying</v>
      </c>
      <c r="I980" s="8" t="str">
        <f aca="false">IF(INDEX(Bases!$E$2:$E$53,B980)="","",INDEX(Bases!$E$2:$E$53,B980))</f>
        <v/>
      </c>
      <c r="J980" s="8" t="str">
        <f aca="false">IF(INDEX(Bases!$E$2:$E$53,C980)="","",INDEX(Bases!$E$2:$E$53,C980))</f>
        <v/>
      </c>
      <c r="K980" s="5"/>
      <c r="L980" s="2" t="n">
        <f aca="false">AE980+IF(SUMPRODUCT(--($AL980:$AQ980&gt;AL980))&lt;$AK980,1,0)</f>
        <v>109</v>
      </c>
      <c r="M980" s="2" t="n">
        <f aca="false">AF980+IF(SUMPRODUCT(--($AL980:$AQ980&gt;AM980))+SUMPRODUCT(--($AL980:AL980=AM980))&lt;$AK980,1,0)</f>
        <v>78</v>
      </c>
      <c r="N980" s="2" t="n">
        <f aca="false">AG980+IF(SUMPRODUCT(--($AL980:$AQ980&gt;AN980))+SUMPRODUCT(--($AL980:AM980=AN980))&lt;$AK980,1,0)</f>
        <v>89</v>
      </c>
      <c r="O980" s="2" t="n">
        <f aca="false">AH980+IF(SUMPRODUCT(--($AL980:$AQ980&gt;AO980))+SUMPRODUCT(--($AL980:AN980=AO980))&lt;$AK980,1,0)</f>
        <v>60</v>
      </c>
      <c r="P980" s="2" t="n">
        <f aca="false">AI980+IF(SUMPRODUCT(--($AL980:$AQ980&gt;AP980))+SUMPRODUCT(--($AL980:AO980=AP980))&lt;$AK980,1,0)</f>
        <v>95</v>
      </c>
      <c r="Q980" s="2" t="n">
        <f aca="false">AJ980+IF(SUMPRODUCT(--($AL980:$AQ980&gt;AQ980))+SUMPRODUCT(--($AL980:AP980=AQ980))&lt;$AK980,1,0)</f>
        <v>69</v>
      </c>
      <c r="R980" s="2" t="n">
        <f aca="false">SUM(L980:Q980)</f>
        <v>500</v>
      </c>
      <c r="S980" s="2" t="n">
        <f aca="false">Settings!$B$4*MAX(INDEX(Bases!$M$2:$M$53,B980),INDEX(Bases!$M$2:$M$53,C980))+Settings!$B$5*MIN(INDEX(Bases!$M$2:$M$53,B980),INDEX(Bases!$M$2:$M$53,C980))</f>
        <v>92</v>
      </c>
      <c r="T980" s="2" t="n">
        <f aca="false">Settings!$B$4*MAX(INDEX(Bases!$N$2:$N$53,B980),INDEX(Bases!$N$2:$N$53,C980))+Settings!$B$5*MIN(INDEX(Bases!$N$2:$N$53,B980),INDEX(Bases!$N$2:$N$53,C980))</f>
        <v>66</v>
      </c>
      <c r="U980" s="2" t="n">
        <f aca="false">Settings!$B$4*MAX(INDEX(Bases!$O$2:$O$53,B980),INDEX(Bases!$O$2:$O$53,C980))+Settings!$B$5*MIN(INDEX(Bases!$O$2:$O$53,B980),INDEX(Bases!$O$2:$O$53,C980))</f>
        <v>75.6666666666667</v>
      </c>
      <c r="V980" s="2" t="n">
        <f aca="false">Settings!$B$4*MAX(INDEX(Bases!$P$2:$P$53,B980),INDEX(Bases!$P$2:$P$53,C980))+Settings!$B$5*MIN(INDEX(Bases!$P$2:$P$53,B980),INDEX(Bases!$P$2:$P$53,C980))</f>
        <v>51</v>
      </c>
      <c r="W980" s="2" t="n">
        <f aca="false">Settings!$B$4*MAX(INDEX(Bases!$Q$2:$Q$53,B980),INDEX(Bases!$Q$2:$Q$53,C980))+Settings!$B$5*MIN(INDEX(Bases!$Q$2:$Q$53,B980),INDEX(Bases!$Q$2:$Q$53,C980))</f>
        <v>80.6666666666667</v>
      </c>
      <c r="X980" s="2" t="n">
        <f aca="false">Settings!$B$4*MAX(INDEX(Bases!$R$2:$R$53,B980),INDEX(Bases!$R$2:$R$53,C980))+Settings!$B$5*MIN(INDEX(Bases!$R$2:$R$53,B980),INDEX(Bases!$R$2:$R$53,C980))</f>
        <v>58.6666666666667</v>
      </c>
      <c r="Y980" s="2" t="n">
        <f aca="false">S980*Settings!$B$3/SUM(S980:X980)</f>
        <v>108.490566037736</v>
      </c>
      <c r="Z980" s="2" t="n">
        <f aca="false">T980*Settings!$B$3/SUM(S980:X980)</f>
        <v>77.8301886792453</v>
      </c>
      <c r="AA980" s="2" t="n">
        <f aca="false">U980*Settings!$B$3/SUM(S980:X980)</f>
        <v>89.2295597484277</v>
      </c>
      <c r="AB980" s="2" t="n">
        <f aca="false">V980*Settings!$B$3/SUM(S980:X980)</f>
        <v>60.1415094339623</v>
      </c>
      <c r="AC980" s="2" t="n">
        <f aca="false">W980*Settings!$B$3/SUM(S980:X980)</f>
        <v>95.125786163522</v>
      </c>
      <c r="AD980" s="2" t="n">
        <f aca="false">X980*Settings!$B$3/SUM(S980:X980)</f>
        <v>69.1823899371069</v>
      </c>
      <c r="AE980" s="2" t="n">
        <f aca="false">INT(Y980)</f>
        <v>108</v>
      </c>
      <c r="AF980" s="2" t="n">
        <f aca="false">INT(Z980)</f>
        <v>77</v>
      </c>
      <c r="AG980" s="2" t="n">
        <f aca="false">INT(AA980)</f>
        <v>89</v>
      </c>
      <c r="AH980" s="2" t="n">
        <f aca="false">INT(AB980)</f>
        <v>60</v>
      </c>
      <c r="AI980" s="2" t="n">
        <f aca="false">INT(AC980)</f>
        <v>95</v>
      </c>
      <c r="AJ980" s="2" t="n">
        <f aca="false">INT(AD980)</f>
        <v>69</v>
      </c>
      <c r="AK980" s="2" t="n">
        <f aca="false">Settings!$B$3-SUM(AE980:AJ980)</f>
        <v>2</v>
      </c>
      <c r="AL980" s="2" t="n">
        <f aca="false">ROUND(Y980-AE980,9)</f>
        <v>0.490566038</v>
      </c>
      <c r="AM980" s="2" t="n">
        <f aca="false">ROUND(Z980-AF980,9)</f>
        <v>0.830188679</v>
      </c>
      <c r="AN980" s="2" t="n">
        <f aca="false">ROUND(AA980-AG980,9)</f>
        <v>0.229559748</v>
      </c>
      <c r="AO980" s="2" t="n">
        <f aca="false">ROUND(AB980-AH980,9)</f>
        <v>0.141509434</v>
      </c>
      <c r="AP980" s="2" t="n">
        <f aca="false">ROUND(AC980-AI980,9)</f>
        <v>0.125786164</v>
      </c>
      <c r="AQ980" s="2" t="n">
        <f aca="false">ROUND(AD980-AJ980,9)</f>
        <v>0.182389937</v>
      </c>
    </row>
    <row r="981" customFormat="false" ht="15" hidden="false" customHeight="false" outlineLevel="0" collapsed="false">
      <c r="A981" s="2" t="n">
        <v>980</v>
      </c>
      <c r="B981" s="6" t="n">
        <v>26</v>
      </c>
      <c r="C981" s="6" t="n">
        <v>31</v>
      </c>
      <c r="D981" s="8" t="str">
        <f aca="false">INDEX(Bases!$B$2:$B$53,B981)</f>
        <v>Phanpy</v>
      </c>
      <c r="E981" s="8" t="str">
        <f aca="false">INDEX(Bases!$B$2:$B$53,C981)</f>
        <v>Mew</v>
      </c>
      <c r="F981" s="2" t="str">
        <f aca="false">LEFT(D981,ROUNDUP(LEN(D981)/2,0))&amp;LOWER(MID(E981,ROUNDUP(LEN(E981)/2,0)+1,20))</f>
        <v>Phaw</v>
      </c>
      <c r="G981" s="8" t="str">
        <f aca="false">INDEX(Bases!$C$2:$C$53,B981)</f>
        <v>Ground</v>
      </c>
      <c r="H981" s="8" t="str">
        <f aca="false">IF(INDEX(Bases!$C$2:$C$53,C981)=G981,"",INDEX(Bases!$C$2:$C$53,C981))</f>
        <v>Psychic</v>
      </c>
      <c r="I981" s="8" t="str">
        <f aca="false">IF(INDEX(Bases!$E$2:$E$53,B981)="","",INDEX(Bases!$E$2:$E$53,B981))</f>
        <v/>
      </c>
      <c r="J981" s="8" t="str">
        <f aca="false">IF(INDEX(Bases!$E$2:$E$53,C981)="","",INDEX(Bases!$E$2:$E$53,C981))</f>
        <v/>
      </c>
      <c r="K981" s="5"/>
      <c r="L981" s="2" t="n">
        <f aca="false">AE981+IF(SUMPRODUCT(--($AL981:$AQ981&gt;AL981))&lt;$AK981,1,0)</f>
        <v>113</v>
      </c>
      <c r="M981" s="2" t="n">
        <f aca="false">AF981+IF(SUMPRODUCT(--($AL981:$AQ981&gt;AM981))+SUMPRODUCT(--($AL981:AL981=AM981))&lt;$AK981,1,0)</f>
        <v>85</v>
      </c>
      <c r="N981" s="2" t="n">
        <f aca="false">AG981+IF(SUMPRODUCT(--($AL981:$AQ981&gt;AN981))+SUMPRODUCT(--($AL981:AM981=AN981))&lt;$AK981,1,0)</f>
        <v>85</v>
      </c>
      <c r="O981" s="2" t="n">
        <f aca="false">AH981+IF(SUMPRODUCT(--($AL981:$AQ981&gt;AO981))+SUMPRODUCT(--($AL981:AN981=AO981))&lt;$AK981,1,0)</f>
        <v>73</v>
      </c>
      <c r="P981" s="2" t="n">
        <f aca="false">AI981+IF(SUMPRODUCT(--($AL981:$AQ981&gt;AP981))+SUMPRODUCT(--($AL981:AO981=AP981))&lt;$AK981,1,0)</f>
        <v>72</v>
      </c>
      <c r="Q981" s="2" t="n">
        <f aca="false">AJ981+IF(SUMPRODUCT(--($AL981:$AQ981&gt;AQ981))+SUMPRODUCT(--($AL981:AP981=AQ981))&lt;$AK981,1,0)</f>
        <v>72</v>
      </c>
      <c r="R981" s="2" t="n">
        <f aca="false">SUM(L981:Q981)</f>
        <v>500</v>
      </c>
      <c r="S981" s="2" t="n">
        <f aca="false">Settings!$B$4*MAX(INDEX(Bases!$M$2:$M$53,B981),INDEX(Bases!$M$2:$M$53,C981))+Settings!$B$5*MIN(INDEX(Bases!$M$2:$M$53,B981),INDEX(Bases!$M$2:$M$53,C981))</f>
        <v>95</v>
      </c>
      <c r="T981" s="2" t="n">
        <f aca="false">Settings!$B$4*MAX(INDEX(Bases!$N$2:$N$53,B981),INDEX(Bases!$N$2:$N$53,C981))+Settings!$B$5*MIN(INDEX(Bases!$N$2:$N$53,B981),INDEX(Bases!$N$2:$N$53,C981))</f>
        <v>71</v>
      </c>
      <c r="U981" s="2" t="n">
        <f aca="false">Settings!$B$4*MAX(INDEX(Bases!$O$2:$O$53,B981),INDEX(Bases!$O$2:$O$53,C981))+Settings!$B$5*MIN(INDEX(Bases!$O$2:$O$53,B981),INDEX(Bases!$O$2:$O$53,C981))</f>
        <v>71</v>
      </c>
      <c r="V981" s="2" t="n">
        <f aca="false">Settings!$B$4*MAX(INDEX(Bases!$P$2:$P$53,B981),INDEX(Bases!$P$2:$P$53,C981))+Settings!$B$5*MIN(INDEX(Bases!$P$2:$P$53,B981),INDEX(Bases!$P$2:$P$53,C981))</f>
        <v>61</v>
      </c>
      <c r="W981" s="2" t="n">
        <f aca="false">Settings!$B$4*MAX(INDEX(Bases!$Q$2:$Q$53,B981),INDEX(Bases!$Q$2:$Q$53,C981))+Settings!$B$5*MIN(INDEX(Bases!$Q$2:$Q$53,B981),INDEX(Bases!$Q$2:$Q$53,C981))</f>
        <v>60</v>
      </c>
      <c r="X981" s="2" t="n">
        <f aca="false">Settings!$B$4*MAX(INDEX(Bases!$R$2:$R$53,B981),INDEX(Bases!$R$2:$R$53,C981))+Settings!$B$5*MIN(INDEX(Bases!$R$2:$R$53,B981),INDEX(Bases!$R$2:$R$53,C981))</f>
        <v>60</v>
      </c>
      <c r="Y981" s="2" t="n">
        <f aca="false">S981*Settings!$B$3/SUM(S981:X981)</f>
        <v>113.636363636364</v>
      </c>
      <c r="Z981" s="2" t="n">
        <f aca="false">T981*Settings!$B$3/SUM(S981:X981)</f>
        <v>84.9282296650718</v>
      </c>
      <c r="AA981" s="2" t="n">
        <f aca="false">U981*Settings!$B$3/SUM(S981:X981)</f>
        <v>84.9282296650718</v>
      </c>
      <c r="AB981" s="2" t="n">
        <f aca="false">V981*Settings!$B$3/SUM(S981:X981)</f>
        <v>72.9665071770335</v>
      </c>
      <c r="AC981" s="2" t="n">
        <f aca="false">W981*Settings!$B$3/SUM(S981:X981)</f>
        <v>71.7703349282297</v>
      </c>
      <c r="AD981" s="2" t="n">
        <f aca="false">X981*Settings!$B$3/SUM(S981:X981)</f>
        <v>71.7703349282297</v>
      </c>
      <c r="AE981" s="2" t="n">
        <f aca="false">INT(Y981)</f>
        <v>113</v>
      </c>
      <c r="AF981" s="2" t="n">
        <f aca="false">INT(Z981)</f>
        <v>84</v>
      </c>
      <c r="AG981" s="2" t="n">
        <f aca="false">INT(AA981)</f>
        <v>84</v>
      </c>
      <c r="AH981" s="2" t="n">
        <f aca="false">INT(AB981)</f>
        <v>72</v>
      </c>
      <c r="AI981" s="2" t="n">
        <f aca="false">INT(AC981)</f>
        <v>71</v>
      </c>
      <c r="AJ981" s="2" t="n">
        <f aca="false">INT(AD981)</f>
        <v>71</v>
      </c>
      <c r="AK981" s="2" t="n">
        <f aca="false">Settings!$B$3-SUM(AE981:AJ981)</f>
        <v>5</v>
      </c>
      <c r="AL981" s="2" t="n">
        <f aca="false">ROUND(Y981-AE981,9)</f>
        <v>0.636363636</v>
      </c>
      <c r="AM981" s="2" t="n">
        <f aca="false">ROUND(Z981-AF981,9)</f>
        <v>0.928229665</v>
      </c>
      <c r="AN981" s="2" t="n">
        <f aca="false">ROUND(AA981-AG981,9)</f>
        <v>0.928229665</v>
      </c>
      <c r="AO981" s="2" t="n">
        <f aca="false">ROUND(AB981-AH981,9)</f>
        <v>0.966507177</v>
      </c>
      <c r="AP981" s="2" t="n">
        <f aca="false">ROUND(AC981-AI981,9)</f>
        <v>0.770334928</v>
      </c>
      <c r="AQ981" s="2" t="n">
        <f aca="false">ROUND(AD981-AJ981,9)</f>
        <v>0.770334928</v>
      </c>
    </row>
    <row r="982" customFormat="false" ht="15" hidden="false" customHeight="false" outlineLevel="0" collapsed="false">
      <c r="A982" s="2" t="n">
        <v>981</v>
      </c>
      <c r="B982" s="6" t="n">
        <v>26</v>
      </c>
      <c r="C982" s="6" t="n">
        <v>32</v>
      </c>
      <c r="D982" s="8" t="str">
        <f aca="false">INDEX(Bases!$B$2:$B$53,B982)</f>
        <v>Phanpy</v>
      </c>
      <c r="E982" s="8" t="str">
        <f aca="false">INDEX(Bases!$B$2:$B$53,C982)</f>
        <v>Spoink</v>
      </c>
      <c r="F982" s="2" t="str">
        <f aca="false">LEFT(D982,ROUNDUP(LEN(D982)/2,0))&amp;LOWER(MID(E982,ROUNDUP(LEN(E982)/2,0)+1,20))</f>
        <v>Phaink</v>
      </c>
      <c r="G982" s="8" t="str">
        <f aca="false">INDEX(Bases!$C$2:$C$53,B982)</f>
        <v>Ground</v>
      </c>
      <c r="H982" s="8" t="str">
        <f aca="false">IF(INDEX(Bases!$C$2:$C$53,C982)=G982,"",INDEX(Bases!$C$2:$C$53,C982))</f>
        <v>Psychic</v>
      </c>
      <c r="I982" s="8" t="str">
        <f aca="false">IF(INDEX(Bases!$E$2:$E$53,B982)="","",INDEX(Bases!$E$2:$E$53,B982))</f>
        <v/>
      </c>
      <c r="J982" s="8" t="str">
        <f aca="false">IF(INDEX(Bases!$E$2:$E$53,C982)="","",INDEX(Bases!$E$2:$E$53,C982))</f>
        <v/>
      </c>
      <c r="K982" s="5"/>
      <c r="L982" s="2" t="n">
        <f aca="false">AE982+IF(SUMPRODUCT(--($AL982:$AQ982&gt;AL982))&lt;$AK982,1,0)</f>
        <v>111</v>
      </c>
      <c r="M982" s="2" t="n">
        <f aca="false">AF982+IF(SUMPRODUCT(--($AL982:$AQ982&gt;AM982))+SUMPRODUCT(--($AL982:AL982=AM982))&lt;$AK982,1,0)</f>
        <v>67</v>
      </c>
      <c r="N982" s="2" t="n">
        <f aca="false">AG982+IF(SUMPRODUCT(--($AL982:$AQ982&gt;AN982))+SUMPRODUCT(--($AL982:AM982=AN982))&lt;$AK982,1,0)</f>
        <v>72</v>
      </c>
      <c r="O982" s="2" t="n">
        <f aca="false">AH982+IF(SUMPRODUCT(--($AL982:$AQ982&gt;AO982))+SUMPRODUCT(--($AL982:AN982=AO982))&lt;$AK982,1,0)</f>
        <v>84</v>
      </c>
      <c r="P982" s="2" t="n">
        <f aca="false">AI982+IF(SUMPRODUCT(--($AL982:$AQ982&gt;AP982))+SUMPRODUCT(--($AL982:AO982=AP982))&lt;$AK982,1,0)</f>
        <v>92</v>
      </c>
      <c r="Q982" s="2" t="n">
        <f aca="false">AJ982+IF(SUMPRODUCT(--($AL982:$AQ982&gt;AQ982))+SUMPRODUCT(--($AL982:AP982=AQ982))&lt;$AK982,1,0)</f>
        <v>74</v>
      </c>
      <c r="R982" s="2" t="n">
        <f aca="false">SUM(L982:Q982)</f>
        <v>500</v>
      </c>
      <c r="S982" s="2" t="n">
        <f aca="false">Settings!$B$4*MAX(INDEX(Bases!$M$2:$M$53,B982),INDEX(Bases!$M$2:$M$53,C982))+Settings!$B$5*MIN(INDEX(Bases!$M$2:$M$53,B982),INDEX(Bases!$M$2:$M$53,C982))</f>
        <v>97</v>
      </c>
      <c r="T982" s="2" t="n">
        <f aca="false">Settings!$B$4*MAX(INDEX(Bases!$N$2:$N$53,B982),INDEX(Bases!$N$2:$N$53,C982))+Settings!$B$5*MIN(INDEX(Bases!$N$2:$N$53,B982),INDEX(Bases!$N$2:$N$53,C982))</f>
        <v>58.6666666666667</v>
      </c>
      <c r="U982" s="2" t="n">
        <f aca="false">Settings!$B$4*MAX(INDEX(Bases!$O$2:$O$53,B982),INDEX(Bases!$O$2:$O$53,C982))+Settings!$B$5*MIN(INDEX(Bases!$O$2:$O$53,B982),INDEX(Bases!$O$2:$O$53,C982))</f>
        <v>62.6666666666667</v>
      </c>
      <c r="V982" s="2" t="n">
        <f aca="false">Settings!$B$4*MAX(INDEX(Bases!$P$2:$P$53,B982),INDEX(Bases!$P$2:$P$53,C982))+Settings!$B$5*MIN(INDEX(Bases!$P$2:$P$53,B982),INDEX(Bases!$P$2:$P$53,C982))</f>
        <v>73</v>
      </c>
      <c r="W982" s="2" t="n">
        <f aca="false">Settings!$B$4*MAX(INDEX(Bases!$Q$2:$Q$53,B982),INDEX(Bases!$Q$2:$Q$53,C982))+Settings!$B$5*MIN(INDEX(Bases!$Q$2:$Q$53,B982),INDEX(Bases!$Q$2:$Q$53,C982))</f>
        <v>80.6666666666667</v>
      </c>
      <c r="X982" s="2" t="n">
        <f aca="false">Settings!$B$4*MAX(INDEX(Bases!$R$2:$R$53,B982),INDEX(Bases!$R$2:$R$53,C982))+Settings!$B$5*MIN(INDEX(Bases!$R$2:$R$53,B982),INDEX(Bases!$R$2:$R$53,C982))</f>
        <v>64.6666666666667</v>
      </c>
      <c r="Y982" s="2" t="n">
        <f aca="false">S982*Settings!$B$3/SUM(S982:X982)</f>
        <v>111.068702290076</v>
      </c>
      <c r="Z982" s="2" t="n">
        <f aca="false">T982*Settings!$B$3/SUM(S982:X982)</f>
        <v>67.175572519084</v>
      </c>
      <c r="AA982" s="2" t="n">
        <f aca="false">U982*Settings!$B$3/SUM(S982:X982)</f>
        <v>71.7557251908397</v>
      </c>
      <c r="AB982" s="2" t="n">
        <f aca="false">V982*Settings!$B$3/SUM(S982:X982)</f>
        <v>83.587786259542</v>
      </c>
      <c r="AC982" s="2" t="n">
        <f aca="false">W982*Settings!$B$3/SUM(S982:X982)</f>
        <v>92.3664122137405</v>
      </c>
      <c r="AD982" s="2" t="n">
        <f aca="false">X982*Settings!$B$3/SUM(S982:X982)</f>
        <v>74.0458015267176</v>
      </c>
      <c r="AE982" s="2" t="n">
        <f aca="false">INT(Y982)</f>
        <v>111</v>
      </c>
      <c r="AF982" s="2" t="n">
        <f aca="false">INT(Z982)</f>
        <v>67</v>
      </c>
      <c r="AG982" s="2" t="n">
        <f aca="false">INT(AA982)</f>
        <v>71</v>
      </c>
      <c r="AH982" s="2" t="n">
        <f aca="false">INT(AB982)</f>
        <v>83</v>
      </c>
      <c r="AI982" s="2" t="n">
        <f aca="false">INT(AC982)</f>
        <v>92</v>
      </c>
      <c r="AJ982" s="2" t="n">
        <f aca="false">INT(AD982)</f>
        <v>74</v>
      </c>
      <c r="AK982" s="2" t="n">
        <f aca="false">Settings!$B$3-SUM(AE982:AJ982)</f>
        <v>2</v>
      </c>
      <c r="AL982" s="2" t="n">
        <f aca="false">ROUND(Y982-AE982,9)</f>
        <v>0.06870229</v>
      </c>
      <c r="AM982" s="2" t="n">
        <f aca="false">ROUND(Z982-AF982,9)</f>
        <v>0.175572519</v>
      </c>
      <c r="AN982" s="2" t="n">
        <f aca="false">ROUND(AA982-AG982,9)</f>
        <v>0.755725191</v>
      </c>
      <c r="AO982" s="2" t="n">
        <f aca="false">ROUND(AB982-AH982,9)</f>
        <v>0.58778626</v>
      </c>
      <c r="AP982" s="2" t="n">
        <f aca="false">ROUND(AC982-AI982,9)</f>
        <v>0.366412214</v>
      </c>
      <c r="AQ982" s="2" t="n">
        <f aca="false">ROUND(AD982-AJ982,9)</f>
        <v>0.045801527</v>
      </c>
    </row>
    <row r="983" customFormat="false" ht="15" hidden="false" customHeight="false" outlineLevel="0" collapsed="false">
      <c r="A983" s="2" t="n">
        <v>982</v>
      </c>
      <c r="B983" s="6" t="n">
        <v>26</v>
      </c>
      <c r="C983" s="6" t="n">
        <v>33</v>
      </c>
      <c r="D983" s="8" t="str">
        <f aca="false">INDEX(Bases!$B$2:$B$53,B983)</f>
        <v>Phanpy</v>
      </c>
      <c r="E983" s="8" t="str">
        <f aca="false">INDEX(Bases!$B$2:$B$53,C983)</f>
        <v>Jirachi</v>
      </c>
      <c r="F983" s="2" t="str">
        <f aca="false">LEFT(D983,ROUNDUP(LEN(D983)/2,0))&amp;LOWER(MID(E983,ROUNDUP(LEN(E983)/2,0)+1,20))</f>
        <v>Phachi</v>
      </c>
      <c r="G983" s="8" t="str">
        <f aca="false">INDEX(Bases!$C$2:$C$53,B983)</f>
        <v>Ground</v>
      </c>
      <c r="H983" s="8" t="str">
        <f aca="false">IF(INDEX(Bases!$C$2:$C$53,C983)=G983,"",INDEX(Bases!$C$2:$C$53,C983))</f>
        <v>Psychic</v>
      </c>
      <c r="I983" s="8" t="str">
        <f aca="false">IF(INDEX(Bases!$E$2:$E$53,B983)="","",INDEX(Bases!$E$2:$E$53,B983))</f>
        <v/>
      </c>
      <c r="J983" s="8" t="str">
        <f aca="false">IF(INDEX(Bases!$E$2:$E$53,C983)="","",INDEX(Bases!$E$2:$E$53,C983))</f>
        <v/>
      </c>
      <c r="K983" s="5"/>
      <c r="L983" s="2" t="n">
        <f aca="false">AE983+IF(SUMPRODUCT(--($AL983:$AQ983&gt;AL983))&lt;$AK983,1,0)</f>
        <v>113</v>
      </c>
      <c r="M983" s="2" t="n">
        <f aca="false">AF983+IF(SUMPRODUCT(--($AL983:$AQ983&gt;AM983))+SUMPRODUCT(--($AL983:AL983=AM983))&lt;$AK983,1,0)</f>
        <v>85</v>
      </c>
      <c r="N983" s="2" t="n">
        <f aca="false">AG983+IF(SUMPRODUCT(--($AL983:$AQ983&gt;AN983))+SUMPRODUCT(--($AL983:AM983=AN983))&lt;$AK983,1,0)</f>
        <v>85</v>
      </c>
      <c r="O983" s="2" t="n">
        <f aca="false">AH983+IF(SUMPRODUCT(--($AL983:$AQ983&gt;AO983))+SUMPRODUCT(--($AL983:AN983=AO983))&lt;$AK983,1,0)</f>
        <v>73</v>
      </c>
      <c r="P983" s="2" t="n">
        <f aca="false">AI983+IF(SUMPRODUCT(--($AL983:$AQ983&gt;AP983))+SUMPRODUCT(--($AL983:AO983=AP983))&lt;$AK983,1,0)</f>
        <v>72</v>
      </c>
      <c r="Q983" s="2" t="n">
        <f aca="false">AJ983+IF(SUMPRODUCT(--($AL983:$AQ983&gt;AQ983))+SUMPRODUCT(--($AL983:AP983=AQ983))&lt;$AK983,1,0)</f>
        <v>72</v>
      </c>
      <c r="R983" s="2" t="n">
        <f aca="false">SUM(L983:Q983)</f>
        <v>500</v>
      </c>
      <c r="S983" s="2" t="n">
        <f aca="false">Settings!$B$4*MAX(INDEX(Bases!$M$2:$M$53,B983),INDEX(Bases!$M$2:$M$53,C983))+Settings!$B$5*MIN(INDEX(Bases!$M$2:$M$53,B983),INDEX(Bases!$M$2:$M$53,C983))</f>
        <v>95</v>
      </c>
      <c r="T983" s="2" t="n">
        <f aca="false">Settings!$B$4*MAX(INDEX(Bases!$N$2:$N$53,B983),INDEX(Bases!$N$2:$N$53,C983))+Settings!$B$5*MIN(INDEX(Bases!$N$2:$N$53,B983),INDEX(Bases!$N$2:$N$53,C983))</f>
        <v>71</v>
      </c>
      <c r="U983" s="2" t="n">
        <f aca="false">Settings!$B$4*MAX(INDEX(Bases!$O$2:$O$53,B983),INDEX(Bases!$O$2:$O$53,C983))+Settings!$B$5*MIN(INDEX(Bases!$O$2:$O$53,B983),INDEX(Bases!$O$2:$O$53,C983))</f>
        <v>71</v>
      </c>
      <c r="V983" s="2" t="n">
        <f aca="false">Settings!$B$4*MAX(INDEX(Bases!$P$2:$P$53,B983),INDEX(Bases!$P$2:$P$53,C983))+Settings!$B$5*MIN(INDEX(Bases!$P$2:$P$53,B983),INDEX(Bases!$P$2:$P$53,C983))</f>
        <v>61</v>
      </c>
      <c r="W983" s="2" t="n">
        <f aca="false">Settings!$B$4*MAX(INDEX(Bases!$Q$2:$Q$53,B983),INDEX(Bases!$Q$2:$Q$53,C983))+Settings!$B$5*MIN(INDEX(Bases!$Q$2:$Q$53,B983),INDEX(Bases!$Q$2:$Q$53,C983))</f>
        <v>60</v>
      </c>
      <c r="X983" s="2" t="n">
        <f aca="false">Settings!$B$4*MAX(INDEX(Bases!$R$2:$R$53,B983),INDEX(Bases!$R$2:$R$53,C983))+Settings!$B$5*MIN(INDEX(Bases!$R$2:$R$53,B983),INDEX(Bases!$R$2:$R$53,C983))</f>
        <v>60</v>
      </c>
      <c r="Y983" s="2" t="n">
        <f aca="false">S983*Settings!$B$3/SUM(S983:X983)</f>
        <v>113.636363636364</v>
      </c>
      <c r="Z983" s="2" t="n">
        <f aca="false">T983*Settings!$B$3/SUM(S983:X983)</f>
        <v>84.9282296650718</v>
      </c>
      <c r="AA983" s="2" t="n">
        <f aca="false">U983*Settings!$B$3/SUM(S983:X983)</f>
        <v>84.9282296650718</v>
      </c>
      <c r="AB983" s="2" t="n">
        <f aca="false">V983*Settings!$B$3/SUM(S983:X983)</f>
        <v>72.9665071770335</v>
      </c>
      <c r="AC983" s="2" t="n">
        <f aca="false">W983*Settings!$B$3/SUM(S983:X983)</f>
        <v>71.7703349282297</v>
      </c>
      <c r="AD983" s="2" t="n">
        <f aca="false">X983*Settings!$B$3/SUM(S983:X983)</f>
        <v>71.7703349282297</v>
      </c>
      <c r="AE983" s="2" t="n">
        <f aca="false">INT(Y983)</f>
        <v>113</v>
      </c>
      <c r="AF983" s="2" t="n">
        <f aca="false">INT(Z983)</f>
        <v>84</v>
      </c>
      <c r="AG983" s="2" t="n">
        <f aca="false">INT(AA983)</f>
        <v>84</v>
      </c>
      <c r="AH983" s="2" t="n">
        <f aca="false">INT(AB983)</f>
        <v>72</v>
      </c>
      <c r="AI983" s="2" t="n">
        <f aca="false">INT(AC983)</f>
        <v>71</v>
      </c>
      <c r="AJ983" s="2" t="n">
        <f aca="false">INT(AD983)</f>
        <v>71</v>
      </c>
      <c r="AK983" s="2" t="n">
        <f aca="false">Settings!$B$3-SUM(AE983:AJ983)</f>
        <v>5</v>
      </c>
      <c r="AL983" s="2" t="n">
        <f aca="false">ROUND(Y983-AE983,9)</f>
        <v>0.636363636</v>
      </c>
      <c r="AM983" s="2" t="n">
        <f aca="false">ROUND(Z983-AF983,9)</f>
        <v>0.928229665</v>
      </c>
      <c r="AN983" s="2" t="n">
        <f aca="false">ROUND(AA983-AG983,9)</f>
        <v>0.928229665</v>
      </c>
      <c r="AO983" s="2" t="n">
        <f aca="false">ROUND(AB983-AH983,9)</f>
        <v>0.966507177</v>
      </c>
      <c r="AP983" s="2" t="n">
        <f aca="false">ROUND(AC983-AI983,9)</f>
        <v>0.770334928</v>
      </c>
      <c r="AQ983" s="2" t="n">
        <f aca="false">ROUND(AD983-AJ983,9)</f>
        <v>0.770334928</v>
      </c>
    </row>
    <row r="984" customFormat="false" ht="15" hidden="false" customHeight="false" outlineLevel="0" collapsed="false">
      <c r="A984" s="2" t="n">
        <v>983</v>
      </c>
      <c r="B984" s="6" t="n">
        <v>26</v>
      </c>
      <c r="C984" s="6" t="n">
        <v>34</v>
      </c>
      <c r="D984" s="8" t="str">
        <f aca="false">INDEX(Bases!$B$2:$B$53,B984)</f>
        <v>Phanpy</v>
      </c>
      <c r="E984" s="8" t="str">
        <f aca="false">INDEX(Bases!$B$2:$B$53,C984)</f>
        <v>Paras</v>
      </c>
      <c r="F984" s="2" t="str">
        <f aca="false">LEFT(D984,ROUNDUP(LEN(D984)/2,0))&amp;LOWER(MID(E984,ROUNDUP(LEN(E984)/2,0)+1,20))</f>
        <v>Phaas</v>
      </c>
      <c r="G984" s="8" t="str">
        <f aca="false">INDEX(Bases!$C$2:$C$53,B984)</f>
        <v>Ground</v>
      </c>
      <c r="H984" s="8" t="str">
        <f aca="false">IF(INDEX(Bases!$C$2:$C$53,C984)=G984,"",INDEX(Bases!$C$2:$C$53,C984))</f>
        <v>Bug</v>
      </c>
      <c r="I984" s="8" t="str">
        <f aca="false">IF(INDEX(Bases!$E$2:$E$53,B984)="","",INDEX(Bases!$E$2:$E$53,B984))</f>
        <v/>
      </c>
      <c r="J984" s="8" t="str">
        <f aca="false">IF(INDEX(Bases!$E$2:$E$53,C984)="","",INDEX(Bases!$E$2:$E$53,C984))</f>
        <v/>
      </c>
      <c r="K984" s="5"/>
      <c r="L984" s="2" t="n">
        <f aca="false">AE984+IF(SUMPRODUCT(--($AL984:$AQ984&gt;AL984))&lt;$AK984,1,0)</f>
        <v>105</v>
      </c>
      <c r="M984" s="2" t="n">
        <f aca="false">AF984+IF(SUMPRODUCT(--($AL984:$AQ984&gt;AM984))+SUMPRODUCT(--($AL984:AL984=AM984))&lt;$AK984,1,0)</f>
        <v>106</v>
      </c>
      <c r="N984" s="2" t="n">
        <f aca="false">AG984+IF(SUMPRODUCT(--($AL984:$AQ984&gt;AN984))+SUMPRODUCT(--($AL984:AM984=AN984))&lt;$AK984,1,0)</f>
        <v>89</v>
      </c>
      <c r="O984" s="2" t="n">
        <f aca="false">AH984+IF(SUMPRODUCT(--($AL984:$AQ984&gt;AO984))+SUMPRODUCT(--($AL984:AN984=AO984))&lt;$AK984,1,0)</f>
        <v>69</v>
      </c>
      <c r="P984" s="2" t="n">
        <f aca="false">AI984+IF(SUMPRODUCT(--($AL984:$AQ984&gt;AP984))+SUMPRODUCT(--($AL984:AO984=AP984))&lt;$AK984,1,0)</f>
        <v>79</v>
      </c>
      <c r="Q984" s="2" t="n">
        <f aca="false">AJ984+IF(SUMPRODUCT(--($AL984:$AQ984&gt;AQ984))+SUMPRODUCT(--($AL984:AP984=AQ984))&lt;$AK984,1,0)</f>
        <v>52</v>
      </c>
      <c r="R984" s="2" t="n">
        <f aca="false">SUM(L984:Q984)</f>
        <v>500</v>
      </c>
      <c r="S984" s="2" t="n">
        <f aca="false">Settings!$B$4*MAX(INDEX(Bases!$M$2:$M$53,B984),INDEX(Bases!$M$2:$M$53,C984))+Settings!$B$5*MIN(INDEX(Bases!$M$2:$M$53,B984),INDEX(Bases!$M$2:$M$53,C984))</f>
        <v>89</v>
      </c>
      <c r="T984" s="2" t="n">
        <f aca="false">Settings!$B$4*MAX(INDEX(Bases!$N$2:$N$53,B984),INDEX(Bases!$N$2:$N$53,C984))+Settings!$B$5*MIN(INDEX(Bases!$N$2:$N$53,B984),INDEX(Bases!$N$2:$N$53,C984))</f>
        <v>90.3333333333333</v>
      </c>
      <c r="U984" s="2" t="n">
        <f aca="false">Settings!$B$4*MAX(INDEX(Bases!$O$2:$O$53,B984),INDEX(Bases!$O$2:$O$53,C984))+Settings!$B$5*MIN(INDEX(Bases!$O$2:$O$53,B984),INDEX(Bases!$O$2:$O$53,C984))</f>
        <v>75.6666666666667</v>
      </c>
      <c r="V984" s="2" t="n">
        <f aca="false">Settings!$B$4*MAX(INDEX(Bases!$P$2:$P$53,B984),INDEX(Bases!$P$2:$P$53,C984))+Settings!$B$5*MIN(INDEX(Bases!$P$2:$P$53,B984),INDEX(Bases!$P$2:$P$53,C984))</f>
        <v>58.3333333333333</v>
      </c>
      <c r="W984" s="2" t="n">
        <f aca="false">Settings!$B$4*MAX(INDEX(Bases!$Q$2:$Q$53,B984),INDEX(Bases!$Q$2:$Q$53,C984))+Settings!$B$5*MIN(INDEX(Bases!$Q$2:$Q$53,B984),INDEX(Bases!$Q$2:$Q$53,C984))</f>
        <v>67.3333333333333</v>
      </c>
      <c r="X984" s="2" t="n">
        <f aca="false">Settings!$B$4*MAX(INDEX(Bases!$R$2:$R$53,B984),INDEX(Bases!$R$2:$R$53,C984))+Settings!$B$5*MIN(INDEX(Bases!$R$2:$R$53,B984),INDEX(Bases!$R$2:$R$53,C984))</f>
        <v>43.6666666666667</v>
      </c>
      <c r="Y984" s="2" t="n">
        <f aca="false">S984*Settings!$B$3/SUM(S984:X984)</f>
        <v>104.870384917518</v>
      </c>
      <c r="Z984" s="2" t="n">
        <f aca="false">T984*Settings!$B$3/SUM(S984:X984)</f>
        <v>106.441476826394</v>
      </c>
      <c r="AA984" s="2" t="n">
        <f aca="false">U984*Settings!$B$3/SUM(S984:X984)</f>
        <v>89.159465828751</v>
      </c>
      <c r="AB984" s="2" t="n">
        <f aca="false">V984*Settings!$B$3/SUM(S984:X984)</f>
        <v>68.7352710133543</v>
      </c>
      <c r="AC984" s="2" t="n">
        <f aca="false">W984*Settings!$B$3/SUM(S984:X984)</f>
        <v>79.3401413982718</v>
      </c>
      <c r="AD984" s="2" t="n">
        <f aca="false">X984*Settings!$B$3/SUM(S984:X984)</f>
        <v>51.4532600157109</v>
      </c>
      <c r="AE984" s="2" t="n">
        <f aca="false">INT(Y984)</f>
        <v>104</v>
      </c>
      <c r="AF984" s="2" t="n">
        <f aca="false">INT(Z984)</f>
        <v>106</v>
      </c>
      <c r="AG984" s="2" t="n">
        <f aca="false">INT(AA984)</f>
        <v>89</v>
      </c>
      <c r="AH984" s="2" t="n">
        <f aca="false">INT(AB984)</f>
        <v>68</v>
      </c>
      <c r="AI984" s="2" t="n">
        <f aca="false">INT(AC984)</f>
        <v>79</v>
      </c>
      <c r="AJ984" s="2" t="n">
        <f aca="false">INT(AD984)</f>
        <v>51</v>
      </c>
      <c r="AK984" s="2" t="n">
        <f aca="false">Settings!$B$3-SUM(AE984:AJ984)</f>
        <v>3</v>
      </c>
      <c r="AL984" s="2" t="n">
        <f aca="false">ROUND(Y984-AE984,9)</f>
        <v>0.870384918</v>
      </c>
      <c r="AM984" s="2" t="n">
        <f aca="false">ROUND(Z984-AF984,9)</f>
        <v>0.441476826</v>
      </c>
      <c r="AN984" s="2" t="n">
        <f aca="false">ROUND(AA984-AG984,9)</f>
        <v>0.159465829</v>
      </c>
      <c r="AO984" s="2" t="n">
        <f aca="false">ROUND(AB984-AH984,9)</f>
        <v>0.735271013</v>
      </c>
      <c r="AP984" s="2" t="n">
        <f aca="false">ROUND(AC984-AI984,9)</f>
        <v>0.340141398</v>
      </c>
      <c r="AQ984" s="2" t="n">
        <f aca="false">ROUND(AD984-AJ984,9)</f>
        <v>0.453260016</v>
      </c>
    </row>
    <row r="985" customFormat="false" ht="15" hidden="false" customHeight="false" outlineLevel="0" collapsed="false">
      <c r="A985" s="2" t="n">
        <v>984</v>
      </c>
      <c r="B985" s="6" t="n">
        <v>26</v>
      </c>
      <c r="C985" s="6" t="n">
        <v>35</v>
      </c>
      <c r="D985" s="8" t="str">
        <f aca="false">INDEX(Bases!$B$2:$B$53,B985)</f>
        <v>Phanpy</v>
      </c>
      <c r="E985" s="8" t="str">
        <f aca="false">INDEX(Bases!$B$2:$B$53,C985)</f>
        <v>Pineco</v>
      </c>
      <c r="F985" s="2" t="str">
        <f aca="false">LEFT(D985,ROUNDUP(LEN(D985)/2,0))&amp;LOWER(MID(E985,ROUNDUP(LEN(E985)/2,0)+1,20))</f>
        <v>Phaeco</v>
      </c>
      <c r="G985" s="8" t="str">
        <f aca="false">INDEX(Bases!$C$2:$C$53,B985)</f>
        <v>Ground</v>
      </c>
      <c r="H985" s="8" t="str">
        <f aca="false">IF(INDEX(Bases!$C$2:$C$53,C985)=G985,"",INDEX(Bases!$C$2:$C$53,C985))</f>
        <v>Bug</v>
      </c>
      <c r="I985" s="8" t="str">
        <f aca="false">IF(INDEX(Bases!$E$2:$E$53,B985)="","",INDEX(Bases!$E$2:$E$53,B985))</f>
        <v/>
      </c>
      <c r="J985" s="8" t="str">
        <f aca="false">IF(INDEX(Bases!$E$2:$E$53,C985)="","",INDEX(Bases!$E$2:$E$53,C985))</f>
        <v/>
      </c>
      <c r="K985" s="5"/>
      <c r="L985" s="2" t="n">
        <f aca="false">AE985+IF(SUMPRODUCT(--($AL985:$AQ985&gt;AL985))&lt;$AK985,1,0)</f>
        <v>113</v>
      </c>
      <c r="M985" s="2" t="n">
        <f aca="false">AF985+IF(SUMPRODUCT(--($AL985:$AQ985&gt;AM985))+SUMPRODUCT(--($AL985:AL985=AM985))&lt;$AK985,1,0)</f>
        <v>100</v>
      </c>
      <c r="N985" s="2" t="n">
        <f aca="false">AG985+IF(SUMPRODUCT(--($AL985:$AQ985&gt;AN985))+SUMPRODUCT(--($AL985:AM985=AN985))&lt;$AK985,1,0)</f>
        <v>127</v>
      </c>
      <c r="O985" s="2" t="n">
        <f aca="false">AH985+IF(SUMPRODUCT(--($AL985:$AQ985&gt;AO985))+SUMPRODUCT(--($AL985:AN985=AO985))&lt;$AK985,1,0)</f>
        <v>57</v>
      </c>
      <c r="P985" s="2" t="n">
        <f aca="false">AI985+IF(SUMPRODUCT(--($AL985:$AQ985&gt;AP985))+SUMPRODUCT(--($AL985:AO985=AP985))&lt;$AK985,1,0)</f>
        <v>57</v>
      </c>
      <c r="Q985" s="2" t="n">
        <f aca="false">AJ985+IF(SUMPRODUCT(--($AL985:$AQ985&gt;AQ985))+SUMPRODUCT(--($AL985:AP985=AQ985))&lt;$AK985,1,0)</f>
        <v>46</v>
      </c>
      <c r="R985" s="2" t="n">
        <f aca="false">SUM(L985:Q985)</f>
        <v>500</v>
      </c>
      <c r="S985" s="2" t="n">
        <f aca="false">Settings!$B$4*MAX(INDEX(Bases!$M$2:$M$53,B985),INDEX(Bases!$M$2:$M$53,C985))+Settings!$B$5*MIN(INDEX(Bases!$M$2:$M$53,B985),INDEX(Bases!$M$2:$M$53,C985))</f>
        <v>95.6666666666667</v>
      </c>
      <c r="T985" s="2" t="n">
        <f aca="false">Settings!$B$4*MAX(INDEX(Bases!$N$2:$N$53,B985),INDEX(Bases!$N$2:$N$53,C985))+Settings!$B$5*MIN(INDEX(Bases!$N$2:$N$53,B985),INDEX(Bases!$N$2:$N$53,C985))</f>
        <v>84.3333333333333</v>
      </c>
      <c r="U985" s="2" t="n">
        <f aca="false">Settings!$B$4*MAX(INDEX(Bases!$O$2:$O$53,B985),INDEX(Bases!$O$2:$O$53,C985))+Settings!$B$5*MIN(INDEX(Bases!$O$2:$O$53,B985),INDEX(Bases!$O$2:$O$53,C985))</f>
        <v>107</v>
      </c>
      <c r="V985" s="2" t="n">
        <f aca="false">Settings!$B$4*MAX(INDEX(Bases!$P$2:$P$53,B985),INDEX(Bases!$P$2:$P$53,C985))+Settings!$B$5*MIN(INDEX(Bases!$P$2:$P$53,B985),INDEX(Bases!$P$2:$P$53,C985))</f>
        <v>48.6666666666667</v>
      </c>
      <c r="W985" s="2" t="n">
        <f aca="false">Settings!$B$4*MAX(INDEX(Bases!$Q$2:$Q$53,B985),INDEX(Bases!$Q$2:$Q$53,C985))+Settings!$B$5*MIN(INDEX(Bases!$Q$2:$Q$53,B985),INDEX(Bases!$Q$2:$Q$53,C985))</f>
        <v>48</v>
      </c>
      <c r="X985" s="2" t="n">
        <f aca="false">Settings!$B$4*MAX(INDEX(Bases!$R$2:$R$53,B985),INDEX(Bases!$R$2:$R$53,C985))+Settings!$B$5*MIN(INDEX(Bases!$R$2:$R$53,B985),INDEX(Bases!$R$2:$R$53,C985))</f>
        <v>39</v>
      </c>
      <c r="Y985" s="2" t="n">
        <f aca="false">S985*Settings!$B$3/SUM(S985:X985)</f>
        <v>113.170347003155</v>
      </c>
      <c r="Z985" s="2" t="n">
        <f aca="false">T985*Settings!$B$3/SUM(S985:X985)</f>
        <v>99.7634069400631</v>
      </c>
      <c r="AA985" s="2" t="n">
        <f aca="false">U985*Settings!$B$3/SUM(S985:X985)</f>
        <v>126.577287066246</v>
      </c>
      <c r="AB985" s="2" t="n">
        <f aca="false">V985*Settings!$B$3/SUM(S985:X985)</f>
        <v>57.5709779179811</v>
      </c>
      <c r="AC985" s="2" t="n">
        <f aca="false">W985*Settings!$B$3/SUM(S985:X985)</f>
        <v>56.782334384858</v>
      </c>
      <c r="AD985" s="2" t="n">
        <f aca="false">X985*Settings!$B$3/SUM(S985:X985)</f>
        <v>46.1356466876972</v>
      </c>
      <c r="AE985" s="2" t="n">
        <f aca="false">INT(Y985)</f>
        <v>113</v>
      </c>
      <c r="AF985" s="2" t="n">
        <f aca="false">INT(Z985)</f>
        <v>99</v>
      </c>
      <c r="AG985" s="2" t="n">
        <f aca="false">INT(AA985)</f>
        <v>126</v>
      </c>
      <c r="AH985" s="2" t="n">
        <f aca="false">INT(AB985)</f>
        <v>57</v>
      </c>
      <c r="AI985" s="2" t="n">
        <f aca="false">INT(AC985)</f>
        <v>56</v>
      </c>
      <c r="AJ985" s="2" t="n">
        <f aca="false">INT(AD985)</f>
        <v>46</v>
      </c>
      <c r="AK985" s="2" t="n">
        <f aca="false">Settings!$B$3-SUM(AE985:AJ985)</f>
        <v>3</v>
      </c>
      <c r="AL985" s="2" t="n">
        <f aca="false">ROUND(Y985-AE985,9)</f>
        <v>0.170347003</v>
      </c>
      <c r="AM985" s="2" t="n">
        <f aca="false">ROUND(Z985-AF985,9)</f>
        <v>0.76340694</v>
      </c>
      <c r="AN985" s="2" t="n">
        <f aca="false">ROUND(AA985-AG985,9)</f>
        <v>0.577287066</v>
      </c>
      <c r="AO985" s="2" t="n">
        <f aca="false">ROUND(AB985-AH985,9)</f>
        <v>0.570977918</v>
      </c>
      <c r="AP985" s="2" t="n">
        <f aca="false">ROUND(AC985-AI985,9)</f>
        <v>0.782334385</v>
      </c>
      <c r="AQ985" s="2" t="n">
        <f aca="false">ROUND(AD985-AJ985,9)</f>
        <v>0.135646688</v>
      </c>
    </row>
    <row r="986" customFormat="false" ht="15" hidden="false" customHeight="false" outlineLevel="0" collapsed="false">
      <c r="A986" s="2" t="n">
        <v>985</v>
      </c>
      <c r="B986" s="6" t="n">
        <v>26</v>
      </c>
      <c r="C986" s="6" t="n">
        <v>36</v>
      </c>
      <c r="D986" s="8" t="str">
        <f aca="false">INDEX(Bases!$B$2:$B$53,B986)</f>
        <v>Phanpy</v>
      </c>
      <c r="E986" s="8" t="str">
        <f aca="false">INDEX(Bases!$B$2:$B$53,C986)</f>
        <v>Wurmple</v>
      </c>
      <c r="F986" s="2" t="str">
        <f aca="false">LEFT(D986,ROUNDUP(LEN(D986)/2,0))&amp;LOWER(MID(E986,ROUNDUP(LEN(E986)/2,0)+1,20))</f>
        <v>Phaple</v>
      </c>
      <c r="G986" s="8" t="str">
        <f aca="false">INDEX(Bases!$C$2:$C$53,B986)</f>
        <v>Ground</v>
      </c>
      <c r="H986" s="8" t="str">
        <f aca="false">IF(INDEX(Bases!$C$2:$C$53,C986)=G986,"",INDEX(Bases!$C$2:$C$53,C986))</f>
        <v>Bug</v>
      </c>
      <c r="I986" s="8" t="str">
        <f aca="false">IF(INDEX(Bases!$E$2:$E$53,B986)="","",INDEX(Bases!$E$2:$E$53,B986))</f>
        <v/>
      </c>
      <c r="J986" s="8" t="str">
        <f aca="false">IF(INDEX(Bases!$E$2:$E$53,C986)="","",INDEX(Bases!$E$2:$E$53,C986))</f>
        <v/>
      </c>
      <c r="K986" s="5"/>
      <c r="L986" s="2" t="n">
        <f aca="false">AE986+IF(SUMPRODUCT(--($AL986:$AQ986&gt;AL986))&lt;$AK986,1,0)</f>
        <v>126</v>
      </c>
      <c r="M986" s="2" t="n">
        <f aca="false">AF986+IF(SUMPRODUCT(--($AL986:$AQ986&gt;AM986))+SUMPRODUCT(--($AL986:AL986=AM986))&lt;$AK986,1,0)</f>
        <v>104</v>
      </c>
      <c r="N986" s="2" t="n">
        <f aca="false">AG986+IF(SUMPRODUCT(--($AL986:$AQ986&gt;AN986))+SUMPRODUCT(--($AL986:AM986=AN986))&lt;$AK986,1,0)</f>
        <v>88</v>
      </c>
      <c r="O986" s="2" t="n">
        <f aca="false">AH986+IF(SUMPRODUCT(--($AL986:$AQ986&gt;AO986))+SUMPRODUCT(--($AL986:AN986=AO986))&lt;$AK986,1,0)</f>
        <v>56</v>
      </c>
      <c r="P986" s="2" t="n">
        <f aca="false">AI986+IF(SUMPRODUCT(--($AL986:$AQ986&gt;AP986))+SUMPRODUCT(--($AL986:AO986=AP986))&lt;$AK986,1,0)</f>
        <v>70</v>
      </c>
      <c r="Q986" s="2" t="n">
        <f aca="false">AJ986+IF(SUMPRODUCT(--($AL986:$AQ986&gt;AQ986))+SUMPRODUCT(--($AL986:AP986=AQ986))&lt;$AK986,1,0)</f>
        <v>56</v>
      </c>
      <c r="R986" s="2" t="n">
        <f aca="false">SUM(L986:Q986)</f>
        <v>500</v>
      </c>
      <c r="S986" s="2" t="n">
        <f aca="false">Settings!$B$4*MAX(INDEX(Bases!$M$2:$M$53,B986),INDEX(Bases!$M$2:$M$53,C986))+Settings!$B$5*MIN(INDEX(Bases!$M$2:$M$53,B986),INDEX(Bases!$M$2:$M$53,C986))</f>
        <v>103.333333333333</v>
      </c>
      <c r="T986" s="2" t="n">
        <f aca="false">Settings!$B$4*MAX(INDEX(Bases!$N$2:$N$53,B986),INDEX(Bases!$N$2:$N$53,C986))+Settings!$B$5*MIN(INDEX(Bases!$N$2:$N$53,B986),INDEX(Bases!$N$2:$N$53,C986))</f>
        <v>85.6666666666667</v>
      </c>
      <c r="U986" s="2" t="n">
        <f aca="false">Settings!$B$4*MAX(INDEX(Bases!$O$2:$O$53,B986),INDEX(Bases!$O$2:$O$53,C986))+Settings!$B$5*MIN(INDEX(Bases!$O$2:$O$53,B986),INDEX(Bases!$O$2:$O$53,C986))</f>
        <v>72.6666666666667</v>
      </c>
      <c r="V986" s="2" t="n">
        <f aca="false">Settings!$B$4*MAX(INDEX(Bases!$P$2:$P$53,B986),INDEX(Bases!$P$2:$P$53,C986))+Settings!$B$5*MIN(INDEX(Bases!$P$2:$P$53,B986),INDEX(Bases!$P$2:$P$53,C986))</f>
        <v>46.3333333333333</v>
      </c>
      <c r="W986" s="2" t="n">
        <f aca="false">Settings!$B$4*MAX(INDEX(Bases!$Q$2:$Q$53,B986),INDEX(Bases!$Q$2:$Q$53,C986))+Settings!$B$5*MIN(INDEX(Bases!$Q$2:$Q$53,B986),INDEX(Bases!$Q$2:$Q$53,C986))</f>
        <v>57.3333333333333</v>
      </c>
      <c r="X986" s="2" t="n">
        <f aca="false">Settings!$B$4*MAX(INDEX(Bases!$R$2:$R$53,B986),INDEX(Bases!$R$2:$R$53,C986))+Settings!$B$5*MIN(INDEX(Bases!$R$2:$R$53,B986),INDEX(Bases!$R$2:$R$53,C986))</f>
        <v>45.6666666666667</v>
      </c>
      <c r="Y986" s="2" t="n">
        <f aca="false">S986*Settings!$B$3/SUM(S986:X986)</f>
        <v>125.709651257097</v>
      </c>
      <c r="Z986" s="2" t="n">
        <f aca="false">T986*Settings!$B$3/SUM(S986:X986)</f>
        <v>104.217356042174</v>
      </c>
      <c r="AA986" s="2" t="n">
        <f aca="false">U986*Settings!$B$3/SUM(S986:X986)</f>
        <v>88.4022708840227</v>
      </c>
      <c r="AB986" s="2" t="n">
        <f aca="false">V986*Settings!$B$3/SUM(S986:X986)</f>
        <v>56.3665855636659</v>
      </c>
      <c r="AC986" s="2" t="n">
        <f aca="false">W986*Settings!$B$3/SUM(S986:X986)</f>
        <v>69.7485806974858</v>
      </c>
      <c r="AD986" s="2" t="n">
        <f aca="false">X986*Settings!$B$3/SUM(S986:X986)</f>
        <v>55.5555555555556</v>
      </c>
      <c r="AE986" s="2" t="n">
        <f aca="false">INT(Y986)</f>
        <v>125</v>
      </c>
      <c r="AF986" s="2" t="n">
        <f aca="false">INT(Z986)</f>
        <v>104</v>
      </c>
      <c r="AG986" s="2" t="n">
        <f aca="false">INT(AA986)</f>
        <v>88</v>
      </c>
      <c r="AH986" s="2" t="n">
        <f aca="false">INT(AB986)</f>
        <v>56</v>
      </c>
      <c r="AI986" s="2" t="n">
        <f aca="false">INT(AC986)</f>
        <v>69</v>
      </c>
      <c r="AJ986" s="2" t="n">
        <f aca="false">INT(AD986)</f>
        <v>55</v>
      </c>
      <c r="AK986" s="2" t="n">
        <f aca="false">Settings!$B$3-SUM(AE986:AJ986)</f>
        <v>3</v>
      </c>
      <c r="AL986" s="2" t="n">
        <f aca="false">ROUND(Y986-AE986,9)</f>
        <v>0.709651257</v>
      </c>
      <c r="AM986" s="2" t="n">
        <f aca="false">ROUND(Z986-AF986,9)</f>
        <v>0.217356042</v>
      </c>
      <c r="AN986" s="2" t="n">
        <f aca="false">ROUND(AA986-AG986,9)</f>
        <v>0.402270884</v>
      </c>
      <c r="AO986" s="2" t="n">
        <f aca="false">ROUND(AB986-AH986,9)</f>
        <v>0.366585564</v>
      </c>
      <c r="AP986" s="2" t="n">
        <f aca="false">ROUND(AC986-AI986,9)</f>
        <v>0.748580697</v>
      </c>
      <c r="AQ986" s="2" t="n">
        <f aca="false">ROUND(AD986-AJ986,9)</f>
        <v>0.555555556</v>
      </c>
    </row>
    <row r="987" customFormat="false" ht="15" hidden="false" customHeight="false" outlineLevel="0" collapsed="false">
      <c r="A987" s="2" t="n">
        <v>986</v>
      </c>
      <c r="B987" s="6" t="n">
        <v>26</v>
      </c>
      <c r="C987" s="6" t="n">
        <v>37</v>
      </c>
      <c r="D987" s="8" t="str">
        <f aca="false">INDEX(Bases!$B$2:$B$53,B987)</f>
        <v>Phanpy</v>
      </c>
      <c r="E987" s="8" t="str">
        <f aca="false">INDEX(Bases!$B$2:$B$53,C987)</f>
        <v>Shuckle</v>
      </c>
      <c r="F987" s="2" t="str">
        <f aca="false">LEFT(D987,ROUNDUP(LEN(D987)/2,0))&amp;LOWER(MID(E987,ROUNDUP(LEN(E987)/2,0)+1,20))</f>
        <v>Phakle</v>
      </c>
      <c r="G987" s="8" t="str">
        <f aca="false">INDEX(Bases!$C$2:$C$53,B987)</f>
        <v>Ground</v>
      </c>
      <c r="H987" s="8" t="str">
        <f aca="false">IF(INDEX(Bases!$C$2:$C$53,C987)=G987,"",INDEX(Bases!$C$2:$C$53,C987))</f>
        <v>Rock</v>
      </c>
      <c r="I987" s="8" t="str">
        <f aca="false">IF(INDEX(Bases!$E$2:$E$53,B987)="","",INDEX(Bases!$E$2:$E$53,B987))</f>
        <v/>
      </c>
      <c r="J987" s="8" t="str">
        <f aca="false">IF(INDEX(Bases!$E$2:$E$53,C987)="","",INDEX(Bases!$E$2:$E$53,C987))</f>
        <v/>
      </c>
      <c r="K987" s="5"/>
      <c r="L987" s="2" t="n">
        <f aca="false">AE987+IF(SUMPRODUCT(--($AL987:$AQ987&gt;AL987))&lt;$AK987,1,0)</f>
        <v>81</v>
      </c>
      <c r="M987" s="2" t="n">
        <f aca="false">AF987+IF(SUMPRODUCT(--($AL987:$AQ987&gt;AM987))+SUMPRODUCT(--($AL987:AL987=AM987))&lt;$AK987,1,0)</f>
        <v>53</v>
      </c>
      <c r="N987" s="2" t="n">
        <f aca="false">AG987+IF(SUMPRODUCT(--($AL987:$AQ987&gt;AN987))+SUMPRODUCT(--($AL987:AM987=AN987))&lt;$AK987,1,0)</f>
        <v>151</v>
      </c>
      <c r="O987" s="2" t="n">
        <f aca="false">AH987+IF(SUMPRODUCT(--($AL987:$AQ987&gt;AO987))+SUMPRODUCT(--($AL987:AN987=AO987))&lt;$AK987,1,0)</f>
        <v>37</v>
      </c>
      <c r="P987" s="2" t="n">
        <f aca="false">AI987+IF(SUMPRODUCT(--($AL987:$AQ987&gt;AP987))+SUMPRODUCT(--($AL987:AO987=AP987))&lt;$AK987,1,0)</f>
        <v>143</v>
      </c>
      <c r="Q987" s="2" t="n">
        <f aca="false">AJ987+IF(SUMPRODUCT(--($AL987:$AQ987&gt;AQ987))+SUMPRODUCT(--($AL987:AP987=AQ987))&lt;$AK987,1,0)</f>
        <v>35</v>
      </c>
      <c r="R987" s="2" t="n">
        <f aca="false">SUM(L987:Q987)</f>
        <v>500</v>
      </c>
      <c r="S987" s="2" t="n">
        <f aca="false">Settings!$B$4*MAX(INDEX(Bases!$M$2:$M$53,B987),INDEX(Bases!$M$2:$M$53,C987))+Settings!$B$5*MIN(INDEX(Bases!$M$2:$M$53,B987),INDEX(Bases!$M$2:$M$53,C987))</f>
        <v>78</v>
      </c>
      <c r="T987" s="2" t="n">
        <f aca="false">Settings!$B$4*MAX(INDEX(Bases!$N$2:$N$53,B987),INDEX(Bases!$N$2:$N$53,C987))+Settings!$B$5*MIN(INDEX(Bases!$N$2:$N$53,B987),INDEX(Bases!$N$2:$N$53,C987))</f>
        <v>51.3333333333333</v>
      </c>
      <c r="U987" s="2" t="n">
        <f aca="false">Settings!$B$4*MAX(INDEX(Bases!$O$2:$O$53,B987),INDEX(Bases!$O$2:$O$53,C987))+Settings!$B$5*MIN(INDEX(Bases!$O$2:$O$53,B987),INDEX(Bases!$O$2:$O$53,C987))</f>
        <v>145.666666666667</v>
      </c>
      <c r="V987" s="2" t="n">
        <f aca="false">Settings!$B$4*MAX(INDEX(Bases!$P$2:$P$53,B987),INDEX(Bases!$P$2:$P$53,C987))+Settings!$B$5*MIN(INDEX(Bases!$P$2:$P$53,B987),INDEX(Bases!$P$2:$P$53,C987))</f>
        <v>35.3333333333333</v>
      </c>
      <c r="W987" s="2" t="n">
        <f aca="false">Settings!$B$4*MAX(INDEX(Bases!$Q$2:$Q$53,B987),INDEX(Bases!$Q$2:$Q$53,C987))+Settings!$B$5*MIN(INDEX(Bases!$Q$2:$Q$53,B987),INDEX(Bases!$Q$2:$Q$53,C987))</f>
        <v>137.333333333333</v>
      </c>
      <c r="X987" s="2" t="n">
        <f aca="false">Settings!$B$4*MAX(INDEX(Bases!$R$2:$R$53,B987),INDEX(Bases!$R$2:$R$53,C987))+Settings!$B$5*MIN(INDEX(Bases!$R$2:$R$53,B987),INDEX(Bases!$R$2:$R$53,C987))</f>
        <v>33.3333333333333</v>
      </c>
      <c r="Y987" s="2" t="n">
        <f aca="false">S987*Settings!$B$3/SUM(S987:X987)</f>
        <v>81.0810810810811</v>
      </c>
      <c r="Z987" s="2" t="n">
        <f aca="false">T987*Settings!$B$3/SUM(S987:X987)</f>
        <v>53.3610533610534</v>
      </c>
      <c r="AA987" s="2" t="n">
        <f aca="false">U987*Settings!$B$3/SUM(S987:X987)</f>
        <v>151.420651420651</v>
      </c>
      <c r="AB987" s="2" t="n">
        <f aca="false">V987*Settings!$B$3/SUM(S987:X987)</f>
        <v>36.7290367290367</v>
      </c>
      <c r="AC987" s="2" t="n">
        <f aca="false">W987*Settings!$B$3/SUM(S987:X987)</f>
        <v>142.758142758143</v>
      </c>
      <c r="AD987" s="2" t="n">
        <f aca="false">X987*Settings!$B$3/SUM(S987:X987)</f>
        <v>34.6500346500347</v>
      </c>
      <c r="AE987" s="2" t="n">
        <f aca="false">INT(Y987)</f>
        <v>81</v>
      </c>
      <c r="AF987" s="2" t="n">
        <f aca="false">INT(Z987)</f>
        <v>53</v>
      </c>
      <c r="AG987" s="2" t="n">
        <f aca="false">INT(AA987)</f>
        <v>151</v>
      </c>
      <c r="AH987" s="2" t="n">
        <f aca="false">INT(AB987)</f>
        <v>36</v>
      </c>
      <c r="AI987" s="2" t="n">
        <f aca="false">INT(AC987)</f>
        <v>142</v>
      </c>
      <c r="AJ987" s="2" t="n">
        <f aca="false">INT(AD987)</f>
        <v>34</v>
      </c>
      <c r="AK987" s="2" t="n">
        <f aca="false">Settings!$B$3-SUM(AE987:AJ987)</f>
        <v>3</v>
      </c>
      <c r="AL987" s="2" t="n">
        <f aca="false">ROUND(Y987-AE987,9)</f>
        <v>0.081081081</v>
      </c>
      <c r="AM987" s="2" t="n">
        <f aca="false">ROUND(Z987-AF987,9)</f>
        <v>0.361053361</v>
      </c>
      <c r="AN987" s="2" t="n">
        <f aca="false">ROUND(AA987-AG987,9)</f>
        <v>0.420651421</v>
      </c>
      <c r="AO987" s="2" t="n">
        <f aca="false">ROUND(AB987-AH987,9)</f>
        <v>0.729036729</v>
      </c>
      <c r="AP987" s="2" t="n">
        <f aca="false">ROUND(AC987-AI987,9)</f>
        <v>0.758142758</v>
      </c>
      <c r="AQ987" s="2" t="n">
        <f aca="false">ROUND(AD987-AJ987,9)</f>
        <v>0.65003465</v>
      </c>
    </row>
    <row r="988" customFormat="false" ht="15" hidden="false" customHeight="false" outlineLevel="0" collapsed="false">
      <c r="A988" s="2" t="n">
        <v>987</v>
      </c>
      <c r="B988" s="6" t="n">
        <v>26</v>
      </c>
      <c r="C988" s="6" t="n">
        <v>38</v>
      </c>
      <c r="D988" s="8" t="str">
        <f aca="false">INDEX(Bases!$B$2:$B$53,B988)</f>
        <v>Phanpy</v>
      </c>
      <c r="E988" s="8" t="str">
        <f aca="false">INDEX(Bases!$B$2:$B$53,C988)</f>
        <v>Larvitar</v>
      </c>
      <c r="F988" s="2" t="str">
        <f aca="false">LEFT(D988,ROUNDUP(LEN(D988)/2,0))&amp;LOWER(MID(E988,ROUNDUP(LEN(E988)/2,0)+1,20))</f>
        <v>Phaitar</v>
      </c>
      <c r="G988" s="8" t="str">
        <f aca="false">INDEX(Bases!$C$2:$C$53,B988)</f>
        <v>Ground</v>
      </c>
      <c r="H988" s="8" t="str">
        <f aca="false">IF(INDEX(Bases!$C$2:$C$53,C988)=G988,"",INDEX(Bases!$C$2:$C$53,C988))</f>
        <v>Rock</v>
      </c>
      <c r="I988" s="8" t="str">
        <f aca="false">IF(INDEX(Bases!$E$2:$E$53,B988)="","",INDEX(Bases!$E$2:$E$53,B988))</f>
        <v/>
      </c>
      <c r="J988" s="8" t="str">
        <f aca="false">IF(INDEX(Bases!$E$2:$E$53,C988)="","",INDEX(Bases!$E$2:$E$53,C988))</f>
        <v/>
      </c>
      <c r="K988" s="5"/>
      <c r="L988" s="2" t="n">
        <f aca="false">AE988+IF(SUMPRODUCT(--($AL988:$AQ988&gt;AL988))&lt;$AK988,1,0)</f>
        <v>114</v>
      </c>
      <c r="M988" s="2" t="n">
        <f aca="false">AF988+IF(SUMPRODUCT(--($AL988:$AQ988&gt;AM988))+SUMPRODUCT(--($AL988:AL988=AM988))&lt;$AK988,1,0)</f>
        <v>97</v>
      </c>
      <c r="N988" s="2" t="n">
        <f aca="false">AG988+IF(SUMPRODUCT(--($AL988:$AQ988&gt;AN988))+SUMPRODUCT(--($AL988:AM988=AN988))&lt;$AK988,1,0)</f>
        <v>85</v>
      </c>
      <c r="O988" s="2" t="n">
        <f aca="false">AH988+IF(SUMPRODUCT(--($AL988:$AQ988&gt;AO988))+SUMPRODUCT(--($AL988:AN988=AO988))&lt;$AK988,1,0)</f>
        <v>68</v>
      </c>
      <c r="P988" s="2" t="n">
        <f aca="false">AI988+IF(SUMPRODUCT(--($AL988:$AQ988&gt;AP988))+SUMPRODUCT(--($AL988:AO988=AP988))&lt;$AK988,1,0)</f>
        <v>73</v>
      </c>
      <c r="Q988" s="2" t="n">
        <f aca="false">AJ988+IF(SUMPRODUCT(--($AL988:$AQ988&gt;AQ988))+SUMPRODUCT(--($AL988:AP988=AQ988))&lt;$AK988,1,0)</f>
        <v>63</v>
      </c>
      <c r="R988" s="2" t="n">
        <f aca="false">SUM(L988:Q988)</f>
        <v>500</v>
      </c>
      <c r="S988" s="2" t="n">
        <f aca="false">Settings!$B$4*MAX(INDEX(Bases!$M$2:$M$53,B988),INDEX(Bases!$M$2:$M$53,C988))+Settings!$B$5*MIN(INDEX(Bases!$M$2:$M$53,B988),INDEX(Bases!$M$2:$M$53,C988))</f>
        <v>95</v>
      </c>
      <c r="T988" s="2" t="n">
        <f aca="false">Settings!$B$4*MAX(INDEX(Bases!$N$2:$N$53,B988),INDEX(Bases!$N$2:$N$53,C988))+Settings!$B$5*MIN(INDEX(Bases!$N$2:$N$53,B988),INDEX(Bases!$N$2:$N$53,C988))</f>
        <v>81</v>
      </c>
      <c r="U988" s="2" t="n">
        <f aca="false">Settings!$B$4*MAX(INDEX(Bases!$O$2:$O$53,B988),INDEX(Bases!$O$2:$O$53,C988))+Settings!$B$5*MIN(INDEX(Bases!$O$2:$O$53,B988),INDEX(Bases!$O$2:$O$53,C988))</f>
        <v>71</v>
      </c>
      <c r="V988" s="2" t="n">
        <f aca="false">Settings!$B$4*MAX(INDEX(Bases!$P$2:$P$53,B988),INDEX(Bases!$P$2:$P$53,C988))+Settings!$B$5*MIN(INDEX(Bases!$P$2:$P$53,B988),INDEX(Bases!$P$2:$P$53,C988))</f>
        <v>56.3333333333333</v>
      </c>
      <c r="W988" s="2" t="n">
        <f aca="false">Settings!$B$4*MAX(INDEX(Bases!$Q$2:$Q$53,B988),INDEX(Bases!$Q$2:$Q$53,C988))+Settings!$B$5*MIN(INDEX(Bases!$Q$2:$Q$53,B988),INDEX(Bases!$Q$2:$Q$53,C988))</f>
        <v>60.6666666666667</v>
      </c>
      <c r="X988" s="2" t="n">
        <f aca="false">Settings!$B$4*MAX(INDEX(Bases!$R$2:$R$53,B988),INDEX(Bases!$R$2:$R$53,C988))+Settings!$B$5*MIN(INDEX(Bases!$R$2:$R$53,B988),INDEX(Bases!$R$2:$R$53,C988))</f>
        <v>52</v>
      </c>
      <c r="Y988" s="2" t="n">
        <f aca="false">S988*Settings!$B$3/SUM(S988:X988)</f>
        <v>114.182692307692</v>
      </c>
      <c r="Z988" s="2" t="n">
        <f aca="false">T988*Settings!$B$3/SUM(S988:X988)</f>
        <v>97.3557692307692</v>
      </c>
      <c r="AA988" s="2" t="n">
        <f aca="false">U988*Settings!$B$3/SUM(S988:X988)</f>
        <v>85.3365384615385</v>
      </c>
      <c r="AB988" s="2" t="n">
        <f aca="false">V988*Settings!$B$3/SUM(S988:X988)</f>
        <v>67.7083333333333</v>
      </c>
      <c r="AC988" s="2" t="n">
        <f aca="false">W988*Settings!$B$3/SUM(S988:X988)</f>
        <v>72.9166666666667</v>
      </c>
      <c r="AD988" s="2" t="n">
        <f aca="false">X988*Settings!$B$3/SUM(S988:X988)</f>
        <v>62.5</v>
      </c>
      <c r="AE988" s="2" t="n">
        <f aca="false">INT(Y988)</f>
        <v>114</v>
      </c>
      <c r="AF988" s="2" t="n">
        <f aca="false">INT(Z988)</f>
        <v>97</v>
      </c>
      <c r="AG988" s="2" t="n">
        <f aca="false">INT(AA988)</f>
        <v>85</v>
      </c>
      <c r="AH988" s="2" t="n">
        <f aca="false">INT(AB988)</f>
        <v>67</v>
      </c>
      <c r="AI988" s="2" t="n">
        <f aca="false">INT(AC988)</f>
        <v>72</v>
      </c>
      <c r="AJ988" s="2" t="n">
        <f aca="false">INT(AD988)</f>
        <v>62</v>
      </c>
      <c r="AK988" s="2" t="n">
        <f aca="false">Settings!$B$3-SUM(AE988:AJ988)</f>
        <v>3</v>
      </c>
      <c r="AL988" s="2" t="n">
        <f aca="false">ROUND(Y988-AE988,9)</f>
        <v>0.182692308</v>
      </c>
      <c r="AM988" s="2" t="n">
        <f aca="false">ROUND(Z988-AF988,9)</f>
        <v>0.355769231</v>
      </c>
      <c r="AN988" s="2" t="n">
        <f aca="false">ROUND(AA988-AG988,9)</f>
        <v>0.336538462</v>
      </c>
      <c r="AO988" s="2" t="n">
        <f aca="false">ROUND(AB988-AH988,9)</f>
        <v>0.708333333</v>
      </c>
      <c r="AP988" s="2" t="n">
        <f aca="false">ROUND(AC988-AI988,9)</f>
        <v>0.916666667</v>
      </c>
      <c r="AQ988" s="2" t="n">
        <f aca="false">ROUND(AD988-AJ988,9)</f>
        <v>0.5</v>
      </c>
    </row>
    <row r="989" customFormat="false" ht="15" hidden="false" customHeight="false" outlineLevel="0" collapsed="false">
      <c r="A989" s="2" t="n">
        <v>988</v>
      </c>
      <c r="B989" s="6" t="n">
        <v>26</v>
      </c>
      <c r="C989" s="6" t="n">
        <v>39</v>
      </c>
      <c r="D989" s="8" t="str">
        <f aca="false">INDEX(Bases!$B$2:$B$53,B989)</f>
        <v>Phanpy</v>
      </c>
      <c r="E989" s="8" t="str">
        <f aca="false">INDEX(Bases!$B$2:$B$53,C989)</f>
        <v>Nosepass</v>
      </c>
      <c r="F989" s="2" t="str">
        <f aca="false">LEFT(D989,ROUNDUP(LEN(D989)/2,0))&amp;LOWER(MID(E989,ROUNDUP(LEN(E989)/2,0)+1,20))</f>
        <v>Phapass</v>
      </c>
      <c r="G989" s="8" t="str">
        <f aca="false">INDEX(Bases!$C$2:$C$53,B989)</f>
        <v>Ground</v>
      </c>
      <c r="H989" s="8" t="str">
        <f aca="false">IF(INDEX(Bases!$C$2:$C$53,C989)=G989,"",INDEX(Bases!$C$2:$C$53,C989))</f>
        <v>Rock</v>
      </c>
      <c r="I989" s="8" t="str">
        <f aca="false">IF(INDEX(Bases!$E$2:$E$53,B989)="","",INDEX(Bases!$E$2:$E$53,B989))</f>
        <v/>
      </c>
      <c r="J989" s="8" t="str">
        <f aca="false">IF(INDEX(Bases!$E$2:$E$53,C989)="","",INDEX(Bases!$E$2:$E$53,C989))</f>
        <v/>
      </c>
      <c r="K989" s="5"/>
      <c r="L989" s="2" t="n">
        <f aca="false">AE989+IF(SUMPRODUCT(--($AL989:$AQ989&gt;AL989))&lt;$AK989,1,0)</f>
        <v>95</v>
      </c>
      <c r="M989" s="2" t="n">
        <f aca="false">AF989+IF(SUMPRODUCT(--($AL989:$AQ989&gt;AM989))+SUMPRODUCT(--($AL989:AL989=AM989))&lt;$AK989,1,0)</f>
        <v>74</v>
      </c>
      <c r="N989" s="2" t="n">
        <f aca="false">AG989+IF(SUMPRODUCT(--($AL989:$AQ989&gt;AN989))+SUMPRODUCT(--($AL989:AM989=AN989))&lt;$AK989,1,0)</f>
        <v>137</v>
      </c>
      <c r="O989" s="2" t="n">
        <f aca="false">AH989+IF(SUMPRODUCT(--($AL989:$AQ989&gt;AO989))+SUMPRODUCT(--($AL989:AN989=AO989))&lt;$AK989,1,0)</f>
        <v>55</v>
      </c>
      <c r="P989" s="2" t="n">
        <f aca="false">AI989+IF(SUMPRODUCT(--($AL989:$AQ989&gt;AP989))+SUMPRODUCT(--($AL989:AO989=AP989))&lt;$AK989,1,0)</f>
        <v>91</v>
      </c>
      <c r="Q989" s="2" t="n">
        <f aca="false">AJ989+IF(SUMPRODUCT(--($AL989:$AQ989&gt;AQ989))+SUMPRODUCT(--($AL989:AP989=AQ989))&lt;$AK989,1,0)</f>
        <v>48</v>
      </c>
      <c r="R989" s="2" t="n">
        <f aca="false">SUM(L989:Q989)</f>
        <v>500</v>
      </c>
      <c r="S989" s="2" t="n">
        <f aca="false">Settings!$B$4*MAX(INDEX(Bases!$M$2:$M$53,B989),INDEX(Bases!$M$2:$M$53,C989))+Settings!$B$5*MIN(INDEX(Bases!$M$2:$M$53,B989),INDEX(Bases!$M$2:$M$53,C989))</f>
        <v>83.3333333333333</v>
      </c>
      <c r="T989" s="2" t="n">
        <f aca="false">Settings!$B$4*MAX(INDEX(Bases!$N$2:$N$53,B989),INDEX(Bases!$N$2:$N$53,C989))+Settings!$B$5*MIN(INDEX(Bases!$N$2:$N$53,B989),INDEX(Bases!$N$2:$N$53,C989))</f>
        <v>64.6666666666667</v>
      </c>
      <c r="U989" s="2" t="n">
        <f aca="false">Settings!$B$4*MAX(INDEX(Bases!$O$2:$O$53,B989),INDEX(Bases!$O$2:$O$53,C989))+Settings!$B$5*MIN(INDEX(Bases!$O$2:$O$53,B989),INDEX(Bases!$O$2:$O$53,C989))</f>
        <v>120.333333333333</v>
      </c>
      <c r="V989" s="2" t="n">
        <f aca="false">Settings!$B$4*MAX(INDEX(Bases!$P$2:$P$53,B989),INDEX(Bases!$P$2:$P$53,C989))+Settings!$B$5*MIN(INDEX(Bases!$P$2:$P$53,B989),INDEX(Bases!$P$2:$P$53,C989))</f>
        <v>48.6666666666667</v>
      </c>
      <c r="W989" s="2" t="n">
        <f aca="false">Settings!$B$4*MAX(INDEX(Bases!$Q$2:$Q$53,B989),INDEX(Bases!$Q$2:$Q$53,C989))+Settings!$B$5*MIN(INDEX(Bases!$Q$2:$Q$53,B989),INDEX(Bases!$Q$2:$Q$53,C989))</f>
        <v>80</v>
      </c>
      <c r="X989" s="2" t="n">
        <f aca="false">Settings!$B$4*MAX(INDEX(Bases!$R$2:$R$53,B989),INDEX(Bases!$R$2:$R$53,C989))+Settings!$B$5*MIN(INDEX(Bases!$R$2:$R$53,B989),INDEX(Bases!$R$2:$R$53,C989))</f>
        <v>42.6666666666667</v>
      </c>
      <c r="Y989" s="2" t="n">
        <f aca="false">S989*Settings!$B$3/SUM(S989:X989)</f>
        <v>94.7687642153146</v>
      </c>
      <c r="Z989" s="2" t="n">
        <f aca="false">T989*Settings!$B$3/SUM(S989:X989)</f>
        <v>73.5405610310841</v>
      </c>
      <c r="AA989" s="2" t="n">
        <f aca="false">U989*Settings!$B$3/SUM(S989:X989)</f>
        <v>136.846095526914</v>
      </c>
      <c r="AB989" s="2" t="n">
        <f aca="false">V989*Settings!$B$3/SUM(S989:X989)</f>
        <v>55.3449583017437</v>
      </c>
      <c r="AC989" s="2" t="n">
        <f aca="false">W989*Settings!$B$3/SUM(S989:X989)</f>
        <v>90.978013646702</v>
      </c>
      <c r="AD989" s="2" t="n">
        <f aca="false">X989*Settings!$B$3/SUM(S989:X989)</f>
        <v>48.5216072782411</v>
      </c>
      <c r="AE989" s="2" t="n">
        <f aca="false">INT(Y989)</f>
        <v>94</v>
      </c>
      <c r="AF989" s="2" t="n">
        <f aca="false">INT(Z989)</f>
        <v>73</v>
      </c>
      <c r="AG989" s="2" t="n">
        <f aca="false">INT(AA989)</f>
        <v>136</v>
      </c>
      <c r="AH989" s="2" t="n">
        <f aca="false">INT(AB989)</f>
        <v>55</v>
      </c>
      <c r="AI989" s="2" t="n">
        <f aca="false">INT(AC989)</f>
        <v>90</v>
      </c>
      <c r="AJ989" s="2" t="n">
        <f aca="false">INT(AD989)</f>
        <v>48</v>
      </c>
      <c r="AK989" s="2" t="n">
        <f aca="false">Settings!$B$3-SUM(AE989:AJ989)</f>
        <v>4</v>
      </c>
      <c r="AL989" s="2" t="n">
        <f aca="false">ROUND(Y989-AE989,9)</f>
        <v>0.768764215</v>
      </c>
      <c r="AM989" s="2" t="n">
        <f aca="false">ROUND(Z989-AF989,9)</f>
        <v>0.540561031</v>
      </c>
      <c r="AN989" s="2" t="n">
        <f aca="false">ROUND(AA989-AG989,9)</f>
        <v>0.846095527</v>
      </c>
      <c r="AO989" s="2" t="n">
        <f aca="false">ROUND(AB989-AH989,9)</f>
        <v>0.344958302</v>
      </c>
      <c r="AP989" s="2" t="n">
        <f aca="false">ROUND(AC989-AI989,9)</f>
        <v>0.978013647</v>
      </c>
      <c r="AQ989" s="2" t="n">
        <f aca="false">ROUND(AD989-AJ989,9)</f>
        <v>0.521607278</v>
      </c>
    </row>
    <row r="990" customFormat="false" ht="15" hidden="false" customHeight="false" outlineLevel="0" collapsed="false">
      <c r="A990" s="2" t="n">
        <v>989</v>
      </c>
      <c r="B990" s="6" t="n">
        <v>26</v>
      </c>
      <c r="C990" s="6" t="n">
        <v>40</v>
      </c>
      <c r="D990" s="8" t="str">
        <f aca="false">INDEX(Bases!$B$2:$B$53,B990)</f>
        <v>Phanpy</v>
      </c>
      <c r="E990" s="8" t="str">
        <f aca="false">INDEX(Bases!$B$2:$B$53,C990)</f>
        <v>Gastly</v>
      </c>
      <c r="F990" s="2" t="str">
        <f aca="false">LEFT(D990,ROUNDUP(LEN(D990)/2,0))&amp;LOWER(MID(E990,ROUNDUP(LEN(E990)/2,0)+1,20))</f>
        <v>Phatly</v>
      </c>
      <c r="G990" s="8" t="str">
        <f aca="false">INDEX(Bases!$C$2:$C$53,B990)</f>
        <v>Ground</v>
      </c>
      <c r="H990" s="8" t="str">
        <f aca="false">IF(INDEX(Bases!$C$2:$C$53,C990)=G990,"",INDEX(Bases!$C$2:$C$53,C990))</f>
        <v>Ghost</v>
      </c>
      <c r="I990" s="8" t="str">
        <f aca="false">IF(INDEX(Bases!$E$2:$E$53,B990)="","",INDEX(Bases!$E$2:$E$53,B990))</f>
        <v/>
      </c>
      <c r="J990" s="8" t="str">
        <f aca="false">IF(INDEX(Bases!$E$2:$E$53,C990)="","",INDEX(Bases!$E$2:$E$53,C990))</f>
        <v/>
      </c>
      <c r="K990" s="5"/>
      <c r="L990" s="2" t="n">
        <f aca="false">AE990+IF(SUMPRODUCT(--($AL990:$AQ990&gt;AL990))&lt;$AK990,1,0)</f>
        <v>96</v>
      </c>
      <c r="M990" s="2" t="n">
        <f aca="false">AF990+IF(SUMPRODUCT(--($AL990:$AQ990&gt;AM990))+SUMPRODUCT(--($AL990:AL990=AM990))&lt;$AK990,1,0)</f>
        <v>72</v>
      </c>
      <c r="N990" s="2" t="n">
        <f aca="false">AG990+IF(SUMPRODUCT(--($AL990:$AQ990&gt;AN990))+SUMPRODUCT(--($AL990:AM990=AN990))&lt;$AK990,1,0)</f>
        <v>69</v>
      </c>
      <c r="O990" s="2" t="n">
        <f aca="false">AH990+IF(SUMPRODUCT(--($AL990:$AQ990&gt;AO990))+SUMPRODUCT(--($AL990:AN990=AO990))&lt;$AK990,1,0)</f>
        <v>115</v>
      </c>
      <c r="P990" s="2" t="n">
        <f aca="false">AI990+IF(SUMPRODUCT(--($AL990:$AQ990&gt;AP990))+SUMPRODUCT(--($AL990:AO990=AP990))&lt;$AK990,1,0)</f>
        <v>53</v>
      </c>
      <c r="Q990" s="2" t="n">
        <f aca="false">AJ990+IF(SUMPRODUCT(--($AL990:$AQ990&gt;AQ990))+SUMPRODUCT(--($AL990:AP990=AQ990))&lt;$AK990,1,0)</f>
        <v>95</v>
      </c>
      <c r="R990" s="2" t="n">
        <f aca="false">SUM(L990:Q990)</f>
        <v>500</v>
      </c>
      <c r="S990" s="2" t="n">
        <f aca="false">Settings!$B$4*MAX(INDEX(Bases!$M$2:$M$53,B990),INDEX(Bases!$M$2:$M$53,C990))+Settings!$B$5*MIN(INDEX(Bases!$M$2:$M$53,B990),INDEX(Bases!$M$2:$M$53,C990))</f>
        <v>85.6666666666667</v>
      </c>
      <c r="T990" s="2" t="n">
        <f aca="false">Settings!$B$4*MAX(INDEX(Bases!$N$2:$N$53,B990),INDEX(Bases!$N$2:$N$53,C990))+Settings!$B$5*MIN(INDEX(Bases!$N$2:$N$53,B990),INDEX(Bases!$N$2:$N$53,C990))</f>
        <v>63.6666666666667</v>
      </c>
      <c r="U990" s="2" t="n">
        <f aca="false">Settings!$B$4*MAX(INDEX(Bases!$O$2:$O$53,B990),INDEX(Bases!$O$2:$O$53,C990))+Settings!$B$5*MIN(INDEX(Bases!$O$2:$O$53,B990),INDEX(Bases!$O$2:$O$53,C990))</f>
        <v>61.6666666666667</v>
      </c>
      <c r="V990" s="2" t="n">
        <f aca="false">Settings!$B$4*MAX(INDEX(Bases!$P$2:$P$53,B990),INDEX(Bases!$P$2:$P$53,C990))+Settings!$B$5*MIN(INDEX(Bases!$P$2:$P$53,B990),INDEX(Bases!$P$2:$P$53,C990))</f>
        <v>102.333333333333</v>
      </c>
      <c r="W990" s="2" t="n">
        <f aca="false">Settings!$B$4*MAX(INDEX(Bases!$Q$2:$Q$53,B990),INDEX(Bases!$Q$2:$Q$53,C990))+Settings!$B$5*MIN(INDEX(Bases!$Q$2:$Q$53,B990),INDEX(Bases!$Q$2:$Q$53,C990))</f>
        <v>47</v>
      </c>
      <c r="X990" s="2" t="n">
        <f aca="false">Settings!$B$4*MAX(INDEX(Bases!$R$2:$R$53,B990),INDEX(Bases!$R$2:$R$53,C990))+Settings!$B$5*MIN(INDEX(Bases!$R$2:$R$53,B990),INDEX(Bases!$R$2:$R$53,C990))</f>
        <v>84.6666666666667</v>
      </c>
      <c r="Y990" s="2" t="n">
        <f aca="false">S990*Settings!$B$3/SUM(S990:X990)</f>
        <v>96.2546816479401</v>
      </c>
      <c r="Z990" s="2" t="n">
        <f aca="false">T990*Settings!$B$3/SUM(S990:X990)</f>
        <v>71.5355805243446</v>
      </c>
      <c r="AA990" s="2" t="n">
        <f aca="false">U990*Settings!$B$3/SUM(S990:X990)</f>
        <v>69.2883895131086</v>
      </c>
      <c r="AB990" s="2" t="n">
        <f aca="false">V990*Settings!$B$3/SUM(S990:X990)</f>
        <v>114.98127340824</v>
      </c>
      <c r="AC990" s="2" t="n">
        <f aca="false">W990*Settings!$B$3/SUM(S990:X990)</f>
        <v>52.8089887640449</v>
      </c>
      <c r="AD990" s="2" t="n">
        <f aca="false">X990*Settings!$B$3/SUM(S990:X990)</f>
        <v>95.1310861423221</v>
      </c>
      <c r="AE990" s="2" t="n">
        <f aca="false">INT(Y990)</f>
        <v>96</v>
      </c>
      <c r="AF990" s="2" t="n">
        <f aca="false">INT(Z990)</f>
        <v>71</v>
      </c>
      <c r="AG990" s="2" t="n">
        <f aca="false">INT(AA990)</f>
        <v>69</v>
      </c>
      <c r="AH990" s="2" t="n">
        <f aca="false">INT(AB990)</f>
        <v>114</v>
      </c>
      <c r="AI990" s="2" t="n">
        <f aca="false">INT(AC990)</f>
        <v>52</v>
      </c>
      <c r="AJ990" s="2" t="n">
        <f aca="false">INT(AD990)</f>
        <v>95</v>
      </c>
      <c r="AK990" s="2" t="n">
        <f aca="false">Settings!$B$3-SUM(AE990:AJ990)</f>
        <v>3</v>
      </c>
      <c r="AL990" s="2" t="n">
        <f aca="false">ROUND(Y990-AE990,9)</f>
        <v>0.254681648</v>
      </c>
      <c r="AM990" s="2" t="n">
        <f aca="false">ROUND(Z990-AF990,9)</f>
        <v>0.535580524</v>
      </c>
      <c r="AN990" s="2" t="n">
        <f aca="false">ROUND(AA990-AG990,9)</f>
        <v>0.288389513</v>
      </c>
      <c r="AO990" s="2" t="n">
        <f aca="false">ROUND(AB990-AH990,9)</f>
        <v>0.981273408</v>
      </c>
      <c r="AP990" s="2" t="n">
        <f aca="false">ROUND(AC990-AI990,9)</f>
        <v>0.808988764</v>
      </c>
      <c r="AQ990" s="2" t="n">
        <f aca="false">ROUND(AD990-AJ990,9)</f>
        <v>0.131086142</v>
      </c>
    </row>
    <row r="991" customFormat="false" ht="15" hidden="false" customHeight="false" outlineLevel="0" collapsed="false">
      <c r="A991" s="2" t="n">
        <v>990</v>
      </c>
      <c r="B991" s="6" t="n">
        <v>26</v>
      </c>
      <c r="C991" s="6" t="n">
        <v>41</v>
      </c>
      <c r="D991" s="8" t="str">
        <f aca="false">INDEX(Bases!$B$2:$B$53,B991)</f>
        <v>Phanpy</v>
      </c>
      <c r="E991" s="8" t="str">
        <f aca="false">INDEX(Bases!$B$2:$B$53,C991)</f>
        <v>Misdreavus</v>
      </c>
      <c r="F991" s="2" t="str">
        <f aca="false">LEFT(D991,ROUNDUP(LEN(D991)/2,0))&amp;LOWER(MID(E991,ROUNDUP(LEN(E991)/2,0)+1,20))</f>
        <v>Phaeavus</v>
      </c>
      <c r="G991" s="8" t="str">
        <f aca="false">INDEX(Bases!$C$2:$C$53,B991)</f>
        <v>Ground</v>
      </c>
      <c r="H991" s="8" t="str">
        <f aca="false">IF(INDEX(Bases!$C$2:$C$53,C991)=G991,"",INDEX(Bases!$C$2:$C$53,C991))</f>
        <v>Ghost</v>
      </c>
      <c r="I991" s="8" t="str">
        <f aca="false">IF(INDEX(Bases!$E$2:$E$53,B991)="","",INDEX(Bases!$E$2:$E$53,B991))</f>
        <v/>
      </c>
      <c r="J991" s="8" t="str">
        <f aca="false">IF(INDEX(Bases!$E$2:$E$53,C991)="","",INDEX(Bases!$E$2:$E$53,C991))</f>
        <v/>
      </c>
      <c r="K991" s="5"/>
      <c r="L991" s="2" t="n">
        <f aca="false">AE991+IF(SUMPRODUCT(--($AL991:$AQ991&gt;AL991))&lt;$AK991,1,0)</f>
        <v>106</v>
      </c>
      <c r="M991" s="2" t="n">
        <f aca="false">AF991+IF(SUMPRODUCT(--($AL991:$AQ991&gt;AM991))+SUMPRODUCT(--($AL991:AL991=AM991))&lt;$AK991,1,0)</f>
        <v>78</v>
      </c>
      <c r="N991" s="2" t="n">
        <f aca="false">AG991+IF(SUMPRODUCT(--($AL991:$AQ991&gt;AN991))+SUMPRODUCT(--($AL991:AM991=AN991))&lt;$AK991,1,0)</f>
        <v>78</v>
      </c>
      <c r="O991" s="2" t="n">
        <f aca="false">AH991+IF(SUMPRODUCT(--($AL991:$AQ991&gt;AO991))+SUMPRODUCT(--($AL991:AN991=AO991))&lt;$AK991,1,0)</f>
        <v>80</v>
      </c>
      <c r="P991" s="2" t="n">
        <f aca="false">AI991+IF(SUMPRODUCT(--($AL991:$AQ991&gt;AP991))+SUMPRODUCT(--($AL991:AO991=AP991))&lt;$AK991,1,0)</f>
        <v>79</v>
      </c>
      <c r="Q991" s="2" t="n">
        <f aca="false">AJ991+IF(SUMPRODUCT(--($AL991:$AQ991&gt;AQ991))+SUMPRODUCT(--($AL991:AP991=AQ991))&lt;$AK991,1,0)</f>
        <v>79</v>
      </c>
      <c r="R991" s="2" t="n">
        <f aca="false">SUM(L991:Q991)</f>
        <v>500</v>
      </c>
      <c r="S991" s="2" t="n">
        <f aca="false">Settings!$B$4*MAX(INDEX(Bases!$M$2:$M$53,B991),INDEX(Bases!$M$2:$M$53,C991))+Settings!$B$5*MIN(INDEX(Bases!$M$2:$M$53,B991),INDEX(Bases!$M$2:$M$53,C991))</f>
        <v>91.3333333333333</v>
      </c>
      <c r="T991" s="2" t="n">
        <f aca="false">Settings!$B$4*MAX(INDEX(Bases!$N$2:$N$53,B991),INDEX(Bases!$N$2:$N$53,C991))+Settings!$B$5*MIN(INDEX(Bases!$N$2:$N$53,B991),INDEX(Bases!$N$2:$N$53,C991))</f>
        <v>67</v>
      </c>
      <c r="U991" s="2" t="n">
        <f aca="false">Settings!$B$4*MAX(INDEX(Bases!$O$2:$O$53,B991),INDEX(Bases!$O$2:$O$53,C991))+Settings!$B$5*MIN(INDEX(Bases!$O$2:$O$53,B991),INDEX(Bases!$O$2:$O$53,C991))</f>
        <v>67</v>
      </c>
      <c r="V991" s="2" t="n">
        <f aca="false">Settings!$B$4*MAX(INDEX(Bases!$P$2:$P$53,B991),INDEX(Bases!$P$2:$P$53,C991))+Settings!$B$5*MIN(INDEX(Bases!$P$2:$P$53,B991),INDEX(Bases!$P$2:$P$53,C991))</f>
        <v>68.3333333333333</v>
      </c>
      <c r="W991" s="2" t="n">
        <f aca="false">Settings!$B$4*MAX(INDEX(Bases!$Q$2:$Q$53,B991),INDEX(Bases!$Q$2:$Q$53,C991))+Settings!$B$5*MIN(INDEX(Bases!$Q$2:$Q$53,B991),INDEX(Bases!$Q$2:$Q$53,C991))</f>
        <v>68</v>
      </c>
      <c r="X991" s="2" t="n">
        <f aca="false">Settings!$B$4*MAX(INDEX(Bases!$R$2:$R$53,B991),INDEX(Bases!$R$2:$R$53,C991))+Settings!$B$5*MIN(INDEX(Bases!$R$2:$R$53,B991),INDEX(Bases!$R$2:$R$53,C991))</f>
        <v>68</v>
      </c>
      <c r="Y991" s="2" t="n">
        <f aca="false">S991*Settings!$B$3/SUM(S991:X991)</f>
        <v>106.283941039566</v>
      </c>
      <c r="Z991" s="2" t="n">
        <f aca="false">T991*Settings!$B$3/SUM(S991:X991)</f>
        <v>77.9674166020171</v>
      </c>
      <c r="AA991" s="2" t="n">
        <f aca="false">U991*Settings!$B$3/SUM(S991:X991)</f>
        <v>77.9674166020171</v>
      </c>
      <c r="AB991" s="2" t="n">
        <f aca="false">V991*Settings!$B$3/SUM(S991:X991)</f>
        <v>79.5190069821567</v>
      </c>
      <c r="AC991" s="2" t="n">
        <f aca="false">W991*Settings!$B$3/SUM(S991:X991)</f>
        <v>79.1311093871218</v>
      </c>
      <c r="AD991" s="2" t="n">
        <f aca="false">X991*Settings!$B$3/SUM(S991:X991)</f>
        <v>79.1311093871218</v>
      </c>
      <c r="AE991" s="2" t="n">
        <f aca="false">INT(Y991)</f>
        <v>106</v>
      </c>
      <c r="AF991" s="2" t="n">
        <f aca="false">INT(Z991)</f>
        <v>77</v>
      </c>
      <c r="AG991" s="2" t="n">
        <f aca="false">INT(AA991)</f>
        <v>77</v>
      </c>
      <c r="AH991" s="2" t="n">
        <f aca="false">INT(AB991)</f>
        <v>79</v>
      </c>
      <c r="AI991" s="2" t="n">
        <f aca="false">INT(AC991)</f>
        <v>79</v>
      </c>
      <c r="AJ991" s="2" t="n">
        <f aca="false">INT(AD991)</f>
        <v>79</v>
      </c>
      <c r="AK991" s="2" t="n">
        <f aca="false">Settings!$B$3-SUM(AE991:AJ991)</f>
        <v>3</v>
      </c>
      <c r="AL991" s="2" t="n">
        <f aca="false">ROUND(Y991-AE991,9)</f>
        <v>0.28394104</v>
      </c>
      <c r="AM991" s="2" t="n">
        <f aca="false">ROUND(Z991-AF991,9)</f>
        <v>0.967416602</v>
      </c>
      <c r="AN991" s="2" t="n">
        <f aca="false">ROUND(AA991-AG991,9)</f>
        <v>0.967416602</v>
      </c>
      <c r="AO991" s="2" t="n">
        <f aca="false">ROUND(AB991-AH991,9)</f>
        <v>0.519006982</v>
      </c>
      <c r="AP991" s="2" t="n">
        <f aca="false">ROUND(AC991-AI991,9)</f>
        <v>0.131109387</v>
      </c>
      <c r="AQ991" s="2" t="n">
        <f aca="false">ROUND(AD991-AJ991,9)</f>
        <v>0.131109387</v>
      </c>
    </row>
    <row r="992" customFormat="false" ht="15" hidden="false" customHeight="false" outlineLevel="0" collapsed="false">
      <c r="A992" s="2" t="n">
        <v>991</v>
      </c>
      <c r="B992" s="6" t="n">
        <v>26</v>
      </c>
      <c r="C992" s="6" t="n">
        <v>42</v>
      </c>
      <c r="D992" s="8" t="str">
        <f aca="false">INDEX(Bases!$B$2:$B$53,B992)</f>
        <v>Phanpy</v>
      </c>
      <c r="E992" s="8" t="str">
        <f aca="false">INDEX(Bases!$B$2:$B$53,C992)</f>
        <v>Sableye</v>
      </c>
      <c r="F992" s="2" t="str">
        <f aca="false">LEFT(D992,ROUNDUP(LEN(D992)/2,0))&amp;LOWER(MID(E992,ROUNDUP(LEN(E992)/2,0)+1,20))</f>
        <v>Phaeye</v>
      </c>
      <c r="G992" s="8" t="str">
        <f aca="false">INDEX(Bases!$C$2:$C$53,B992)</f>
        <v>Ground</v>
      </c>
      <c r="H992" s="8" t="str">
        <f aca="false">IF(INDEX(Bases!$C$2:$C$53,C992)=G992,"",INDEX(Bases!$C$2:$C$53,C992))</f>
        <v>Ghost</v>
      </c>
      <c r="I992" s="8" t="str">
        <f aca="false">IF(INDEX(Bases!$E$2:$E$53,B992)="","",INDEX(Bases!$E$2:$E$53,B992))</f>
        <v/>
      </c>
      <c r="J992" s="8" t="str">
        <f aca="false">IF(INDEX(Bases!$E$2:$E$53,C992)="","",INDEX(Bases!$E$2:$E$53,C992))</f>
        <v/>
      </c>
      <c r="K992" s="5"/>
      <c r="L992" s="2" t="n">
        <f aca="false">AE992+IF(SUMPRODUCT(--($AL992:$AQ992&gt;AL992))&lt;$AK992,1,0)</f>
        <v>108</v>
      </c>
      <c r="M992" s="2" t="n">
        <f aca="false">AF992+IF(SUMPRODUCT(--($AL992:$AQ992&gt;AM992))+SUMPRODUCT(--($AL992:AL992=AM992))&lt;$AK992,1,0)</f>
        <v>92</v>
      </c>
      <c r="N992" s="2" t="n">
        <f aca="false">AG992+IF(SUMPRODUCT(--($AL992:$AQ992&gt;AN992))+SUMPRODUCT(--($AL992:AM992=AN992))&lt;$AK992,1,0)</f>
        <v>92</v>
      </c>
      <c r="O992" s="2" t="n">
        <f aca="false">AH992+IF(SUMPRODUCT(--($AL992:$AQ992&gt;AO992))+SUMPRODUCT(--($AL992:AN992=AO992))&lt;$AK992,1,0)</f>
        <v>74</v>
      </c>
      <c r="P992" s="2" t="n">
        <f aca="false">AI992+IF(SUMPRODUCT(--($AL992:$AQ992&gt;AP992))+SUMPRODUCT(--($AL992:AO992=AP992))&lt;$AK992,1,0)</f>
        <v>73</v>
      </c>
      <c r="Q992" s="2" t="n">
        <f aca="false">AJ992+IF(SUMPRODUCT(--($AL992:$AQ992&gt;AQ992))+SUMPRODUCT(--($AL992:AP992=AQ992))&lt;$AK992,1,0)</f>
        <v>61</v>
      </c>
      <c r="R992" s="2" t="n">
        <f aca="false">SUM(L992:Q992)</f>
        <v>500</v>
      </c>
      <c r="S992" s="2" t="n">
        <f aca="false">Settings!$B$4*MAX(INDEX(Bases!$M$2:$M$53,B992),INDEX(Bases!$M$2:$M$53,C992))+Settings!$B$5*MIN(INDEX(Bases!$M$2:$M$53,B992),INDEX(Bases!$M$2:$M$53,C992))</f>
        <v>90.3333333333333</v>
      </c>
      <c r="T992" s="2" t="n">
        <f aca="false">Settings!$B$4*MAX(INDEX(Bases!$N$2:$N$53,B992),INDEX(Bases!$N$2:$N$53,C992))+Settings!$B$5*MIN(INDEX(Bases!$N$2:$N$53,B992),INDEX(Bases!$N$2:$N$53,C992))</f>
        <v>77</v>
      </c>
      <c r="U992" s="2" t="n">
        <f aca="false">Settings!$B$4*MAX(INDEX(Bases!$O$2:$O$53,B992),INDEX(Bases!$O$2:$O$53,C992))+Settings!$B$5*MIN(INDEX(Bases!$O$2:$O$53,B992),INDEX(Bases!$O$2:$O$53,C992))</f>
        <v>77</v>
      </c>
      <c r="V992" s="2" t="n">
        <f aca="false">Settings!$B$4*MAX(INDEX(Bases!$P$2:$P$53,B992),INDEX(Bases!$P$2:$P$53,C992))+Settings!$B$5*MIN(INDEX(Bases!$P$2:$P$53,B992),INDEX(Bases!$P$2:$P$53,C992))</f>
        <v>61.6666666666667</v>
      </c>
      <c r="W992" s="2" t="n">
        <f aca="false">Settings!$B$4*MAX(INDEX(Bases!$Q$2:$Q$53,B992),INDEX(Bases!$Q$2:$Q$53,C992))+Settings!$B$5*MIN(INDEX(Bases!$Q$2:$Q$53,B992),INDEX(Bases!$Q$2:$Q$53,C992))</f>
        <v>61.3333333333333</v>
      </c>
      <c r="X992" s="2" t="n">
        <f aca="false">Settings!$B$4*MAX(INDEX(Bases!$R$2:$R$53,B992),INDEX(Bases!$R$2:$R$53,C992))+Settings!$B$5*MIN(INDEX(Bases!$R$2:$R$53,B992),INDEX(Bases!$R$2:$R$53,C992))</f>
        <v>51.3333333333333</v>
      </c>
      <c r="Y992" s="2" t="n">
        <f aca="false">S992*Settings!$B$3/SUM(S992:X992)</f>
        <v>107.882165605096</v>
      </c>
      <c r="Z992" s="2" t="n">
        <f aca="false">T992*Settings!$B$3/SUM(S992:X992)</f>
        <v>91.9585987261147</v>
      </c>
      <c r="AA992" s="2" t="n">
        <f aca="false">U992*Settings!$B$3/SUM(S992:X992)</f>
        <v>91.9585987261147</v>
      </c>
      <c r="AB992" s="2" t="n">
        <f aca="false">V992*Settings!$B$3/SUM(S992:X992)</f>
        <v>73.6464968152866</v>
      </c>
      <c r="AC992" s="2" t="n">
        <f aca="false">W992*Settings!$B$3/SUM(S992:X992)</f>
        <v>73.2484076433121</v>
      </c>
      <c r="AD992" s="2" t="n">
        <f aca="false">X992*Settings!$B$3/SUM(S992:X992)</f>
        <v>61.3057324840764</v>
      </c>
      <c r="AE992" s="2" t="n">
        <f aca="false">INT(Y992)</f>
        <v>107</v>
      </c>
      <c r="AF992" s="2" t="n">
        <f aca="false">INT(Z992)</f>
        <v>91</v>
      </c>
      <c r="AG992" s="2" t="n">
        <f aca="false">INT(AA992)</f>
        <v>91</v>
      </c>
      <c r="AH992" s="2" t="n">
        <f aca="false">INT(AB992)</f>
        <v>73</v>
      </c>
      <c r="AI992" s="2" t="n">
        <f aca="false">INT(AC992)</f>
        <v>73</v>
      </c>
      <c r="AJ992" s="2" t="n">
        <f aca="false">INT(AD992)</f>
        <v>61</v>
      </c>
      <c r="AK992" s="2" t="n">
        <f aca="false">Settings!$B$3-SUM(AE992:AJ992)</f>
        <v>4</v>
      </c>
      <c r="AL992" s="2" t="n">
        <f aca="false">ROUND(Y992-AE992,9)</f>
        <v>0.882165605</v>
      </c>
      <c r="AM992" s="2" t="n">
        <f aca="false">ROUND(Z992-AF992,9)</f>
        <v>0.958598726</v>
      </c>
      <c r="AN992" s="2" t="n">
        <f aca="false">ROUND(AA992-AG992,9)</f>
        <v>0.958598726</v>
      </c>
      <c r="AO992" s="2" t="n">
        <f aca="false">ROUND(AB992-AH992,9)</f>
        <v>0.646496815</v>
      </c>
      <c r="AP992" s="2" t="n">
        <f aca="false">ROUND(AC992-AI992,9)</f>
        <v>0.248407643</v>
      </c>
      <c r="AQ992" s="2" t="n">
        <f aca="false">ROUND(AD992-AJ992,9)</f>
        <v>0.305732484</v>
      </c>
    </row>
    <row r="993" customFormat="false" ht="15" hidden="false" customHeight="false" outlineLevel="0" collapsed="false">
      <c r="A993" s="2" t="n">
        <v>992</v>
      </c>
      <c r="B993" s="6" t="n">
        <v>26</v>
      </c>
      <c r="C993" s="6" t="n">
        <v>43</v>
      </c>
      <c r="D993" s="8" t="str">
        <f aca="false">INDEX(Bases!$B$2:$B$53,B993)</f>
        <v>Phanpy</v>
      </c>
      <c r="E993" s="8" t="str">
        <f aca="false">INDEX(Bases!$B$2:$B$53,C993)</f>
        <v>Dratini</v>
      </c>
      <c r="F993" s="2" t="str">
        <f aca="false">LEFT(D993,ROUNDUP(LEN(D993)/2,0))&amp;LOWER(MID(E993,ROUNDUP(LEN(E993)/2,0)+1,20))</f>
        <v>Phaini</v>
      </c>
      <c r="G993" s="8" t="str">
        <f aca="false">INDEX(Bases!$C$2:$C$53,B993)</f>
        <v>Ground</v>
      </c>
      <c r="H993" s="8" t="str">
        <f aca="false">IF(INDEX(Bases!$C$2:$C$53,C993)=G993,"",INDEX(Bases!$C$2:$C$53,C993))</f>
        <v>Dragon</v>
      </c>
      <c r="I993" s="8" t="str">
        <f aca="false">IF(INDEX(Bases!$E$2:$E$53,B993)="","",INDEX(Bases!$E$2:$E$53,B993))</f>
        <v/>
      </c>
      <c r="J993" s="8" t="str">
        <f aca="false">IF(INDEX(Bases!$E$2:$E$53,C993)="","",INDEX(Bases!$E$2:$E$53,C993))</f>
        <v/>
      </c>
      <c r="K993" s="5"/>
      <c r="L993" s="2" t="n">
        <f aca="false">AE993+IF(SUMPRODUCT(--($AL993:$AQ993&gt;AL993))&lt;$AK993,1,0)</f>
        <v>108</v>
      </c>
      <c r="M993" s="2" t="n">
        <f aca="false">AF993+IF(SUMPRODUCT(--($AL993:$AQ993&gt;AM993))+SUMPRODUCT(--($AL993:AL993=AM993))&lt;$AK993,1,0)</f>
        <v>96</v>
      </c>
      <c r="N993" s="2" t="n">
        <f aca="false">AG993+IF(SUMPRODUCT(--($AL993:$AQ993&gt;AN993))+SUMPRODUCT(--($AL993:AM993=AN993))&lt;$AK993,1,0)</f>
        <v>81</v>
      </c>
      <c r="O993" s="2" t="n">
        <f aca="false">AH993+IF(SUMPRODUCT(--($AL993:$AQ993&gt;AO993))+SUMPRODUCT(--($AL993:AN993=AO993))&lt;$AK993,1,0)</f>
        <v>72</v>
      </c>
      <c r="P993" s="2" t="n">
        <f aca="false">AI993+IF(SUMPRODUCT(--($AL993:$AQ993&gt;AP993))+SUMPRODUCT(--($AL993:AO993=AP993))&lt;$AK993,1,0)</f>
        <v>72</v>
      </c>
      <c r="Q993" s="2" t="n">
        <f aca="false">AJ993+IF(SUMPRODUCT(--($AL993:$AQ993&gt;AQ993))+SUMPRODUCT(--($AL993:AP993=AQ993))&lt;$AK993,1,0)</f>
        <v>71</v>
      </c>
      <c r="R993" s="2" t="n">
        <f aca="false">SUM(L993:Q993)</f>
        <v>500</v>
      </c>
      <c r="S993" s="2" t="n">
        <f aca="false">Settings!$B$4*MAX(INDEX(Bases!$M$2:$M$53,B993),INDEX(Bases!$M$2:$M$53,C993))+Settings!$B$5*MIN(INDEX(Bases!$M$2:$M$53,B993),INDEX(Bases!$M$2:$M$53,C993))</f>
        <v>91</v>
      </c>
      <c r="T993" s="2" t="n">
        <f aca="false">Settings!$B$4*MAX(INDEX(Bases!$N$2:$N$53,B993),INDEX(Bases!$N$2:$N$53,C993))+Settings!$B$5*MIN(INDEX(Bases!$N$2:$N$53,B993),INDEX(Bases!$N$2:$N$53,C993))</f>
        <v>81</v>
      </c>
      <c r="U993" s="2" t="n">
        <f aca="false">Settings!$B$4*MAX(INDEX(Bases!$O$2:$O$53,B993),INDEX(Bases!$O$2:$O$53,C993))+Settings!$B$5*MIN(INDEX(Bases!$O$2:$O$53,B993),INDEX(Bases!$O$2:$O$53,C993))</f>
        <v>68.6666666666667</v>
      </c>
      <c r="V993" s="2" t="n">
        <f aca="false">Settings!$B$4*MAX(INDEX(Bases!$P$2:$P$53,B993),INDEX(Bases!$P$2:$P$53,C993))+Settings!$B$5*MIN(INDEX(Bases!$P$2:$P$53,B993),INDEX(Bases!$P$2:$P$53,C993))</f>
        <v>61</v>
      </c>
      <c r="W993" s="2" t="n">
        <f aca="false">Settings!$B$4*MAX(INDEX(Bases!$Q$2:$Q$53,B993),INDEX(Bases!$Q$2:$Q$53,C993))+Settings!$B$5*MIN(INDEX(Bases!$Q$2:$Q$53,B993),INDEX(Bases!$Q$2:$Q$53,C993))</f>
        <v>60.6666666666667</v>
      </c>
      <c r="X993" s="2" t="n">
        <f aca="false">Settings!$B$4*MAX(INDEX(Bases!$R$2:$R$53,B993),INDEX(Bases!$R$2:$R$53,C993))+Settings!$B$5*MIN(INDEX(Bases!$R$2:$R$53,B993),INDEX(Bases!$R$2:$R$53,C993))</f>
        <v>60</v>
      </c>
      <c r="Y993" s="2" t="n">
        <f aca="false">S993*Settings!$B$3/SUM(S993:X993)</f>
        <v>107.734806629834</v>
      </c>
      <c r="Z993" s="2" t="n">
        <f aca="false">T993*Settings!$B$3/SUM(S993:X993)</f>
        <v>95.895816890292</v>
      </c>
      <c r="AA993" s="2" t="n">
        <f aca="false">U993*Settings!$B$3/SUM(S993:X993)</f>
        <v>81.2943962115233</v>
      </c>
      <c r="AB993" s="2" t="n">
        <f aca="false">V993*Settings!$B$3/SUM(S993:X993)</f>
        <v>72.2178374112076</v>
      </c>
      <c r="AC993" s="2" t="n">
        <f aca="false">W993*Settings!$B$3/SUM(S993:X993)</f>
        <v>71.8232044198895</v>
      </c>
      <c r="AD993" s="2" t="n">
        <f aca="false">X993*Settings!$B$3/SUM(S993:X993)</f>
        <v>71.0339384372534</v>
      </c>
      <c r="AE993" s="2" t="n">
        <f aca="false">INT(Y993)</f>
        <v>107</v>
      </c>
      <c r="AF993" s="2" t="n">
        <f aca="false">INT(Z993)</f>
        <v>95</v>
      </c>
      <c r="AG993" s="2" t="n">
        <f aca="false">INT(AA993)</f>
        <v>81</v>
      </c>
      <c r="AH993" s="2" t="n">
        <f aca="false">INT(AB993)</f>
        <v>72</v>
      </c>
      <c r="AI993" s="2" t="n">
        <f aca="false">INT(AC993)</f>
        <v>71</v>
      </c>
      <c r="AJ993" s="2" t="n">
        <f aca="false">INT(AD993)</f>
        <v>71</v>
      </c>
      <c r="AK993" s="2" t="n">
        <f aca="false">Settings!$B$3-SUM(AE993:AJ993)</f>
        <v>3</v>
      </c>
      <c r="AL993" s="2" t="n">
        <f aca="false">ROUND(Y993-AE993,9)</f>
        <v>0.73480663</v>
      </c>
      <c r="AM993" s="2" t="n">
        <f aca="false">ROUND(Z993-AF993,9)</f>
        <v>0.89581689</v>
      </c>
      <c r="AN993" s="2" t="n">
        <f aca="false">ROUND(AA993-AG993,9)</f>
        <v>0.294396212</v>
      </c>
      <c r="AO993" s="2" t="n">
        <f aca="false">ROUND(AB993-AH993,9)</f>
        <v>0.217837411</v>
      </c>
      <c r="AP993" s="2" t="n">
        <f aca="false">ROUND(AC993-AI993,9)</f>
        <v>0.82320442</v>
      </c>
      <c r="AQ993" s="2" t="n">
        <f aca="false">ROUND(AD993-AJ993,9)</f>
        <v>0.033938437</v>
      </c>
    </row>
    <row r="994" customFormat="false" ht="15" hidden="false" customHeight="false" outlineLevel="0" collapsed="false">
      <c r="A994" s="2" t="n">
        <v>993</v>
      </c>
      <c r="B994" s="6" t="n">
        <v>26</v>
      </c>
      <c r="C994" s="6" t="n">
        <v>44</v>
      </c>
      <c r="D994" s="8" t="str">
        <f aca="false">INDEX(Bases!$B$2:$B$53,B994)</f>
        <v>Phanpy</v>
      </c>
      <c r="E994" s="8" t="str">
        <f aca="false">INDEX(Bases!$B$2:$B$53,C994)</f>
        <v>Bagon</v>
      </c>
      <c r="F994" s="2" t="str">
        <f aca="false">LEFT(D994,ROUNDUP(LEN(D994)/2,0))&amp;LOWER(MID(E994,ROUNDUP(LEN(E994)/2,0)+1,20))</f>
        <v>Phaon</v>
      </c>
      <c r="G994" s="8" t="str">
        <f aca="false">INDEX(Bases!$C$2:$C$53,B994)</f>
        <v>Ground</v>
      </c>
      <c r="H994" s="8" t="str">
        <f aca="false">IF(INDEX(Bases!$C$2:$C$53,C994)=G994,"",INDEX(Bases!$C$2:$C$53,C994))</f>
        <v>Dragon</v>
      </c>
      <c r="I994" s="8" t="str">
        <f aca="false">IF(INDEX(Bases!$E$2:$E$53,B994)="","",INDEX(Bases!$E$2:$E$53,B994))</f>
        <v/>
      </c>
      <c r="J994" s="8" t="str">
        <f aca="false">IF(INDEX(Bases!$E$2:$E$53,C994)="","",INDEX(Bases!$E$2:$E$53,C994))</f>
        <v/>
      </c>
      <c r="K994" s="5"/>
      <c r="L994" s="2" t="n">
        <f aca="false">AE994+IF(SUMPRODUCT(--($AL994:$AQ994&gt;AL994))&lt;$AK994,1,0)</f>
        <v>110</v>
      </c>
      <c r="M994" s="2" t="n">
        <f aca="false">AF994+IF(SUMPRODUCT(--($AL994:$AQ994&gt;AM994))+SUMPRODUCT(--($AL994:AL994=AM994))&lt;$AK994,1,0)</f>
        <v>109</v>
      </c>
      <c r="N994" s="2" t="n">
        <f aca="false">AG994+IF(SUMPRODUCT(--($AL994:$AQ994&gt;AN994))+SUMPRODUCT(--($AL994:AM994=AN994))&lt;$AK994,1,0)</f>
        <v>93</v>
      </c>
      <c r="O994" s="2" t="n">
        <f aca="false">AH994+IF(SUMPRODUCT(--($AL994:$AQ994&gt;AO994))+SUMPRODUCT(--($AL994:AN994=AO994))&lt;$AK994,1,0)</f>
        <v>62</v>
      </c>
      <c r="P994" s="2" t="n">
        <f aca="false">AI994+IF(SUMPRODUCT(--($AL994:$AQ994&gt;AP994))+SUMPRODUCT(--($AL994:AO994=AP994))&lt;$AK994,1,0)</f>
        <v>54</v>
      </c>
      <c r="Q994" s="2" t="n">
        <f aca="false">AJ994+IF(SUMPRODUCT(--($AL994:$AQ994&gt;AQ994))+SUMPRODUCT(--($AL994:AP994=AQ994))&lt;$AK994,1,0)</f>
        <v>72</v>
      </c>
      <c r="R994" s="2" t="n">
        <f aca="false">SUM(L994:Q994)</f>
        <v>500</v>
      </c>
      <c r="S994" s="2" t="n">
        <f aca="false">Settings!$B$4*MAX(INDEX(Bases!$M$2:$M$53,B994),INDEX(Bases!$M$2:$M$53,C994))+Settings!$B$5*MIN(INDEX(Bases!$M$2:$M$53,B994),INDEX(Bases!$M$2:$M$53,C994))</f>
        <v>92.6666666666667</v>
      </c>
      <c r="T994" s="2" t="n">
        <f aca="false">Settings!$B$4*MAX(INDEX(Bases!$N$2:$N$53,B994),INDEX(Bases!$N$2:$N$53,C994))+Settings!$B$5*MIN(INDEX(Bases!$N$2:$N$53,B994),INDEX(Bases!$N$2:$N$53,C994))</f>
        <v>91</v>
      </c>
      <c r="U994" s="2" t="n">
        <f aca="false">Settings!$B$4*MAX(INDEX(Bases!$O$2:$O$53,B994),INDEX(Bases!$O$2:$O$53,C994))+Settings!$B$5*MIN(INDEX(Bases!$O$2:$O$53,B994),INDEX(Bases!$O$2:$O$53,C994))</f>
        <v>77.6666666666667</v>
      </c>
      <c r="V994" s="2" t="n">
        <f aca="false">Settings!$B$4*MAX(INDEX(Bases!$P$2:$P$53,B994),INDEX(Bases!$P$2:$P$53,C994))+Settings!$B$5*MIN(INDEX(Bases!$P$2:$P$53,B994),INDEX(Bases!$P$2:$P$53,C994))</f>
        <v>51.6666666666667</v>
      </c>
      <c r="W994" s="2" t="n">
        <f aca="false">Settings!$B$4*MAX(INDEX(Bases!$Q$2:$Q$53,B994),INDEX(Bases!$Q$2:$Q$53,C994))+Settings!$B$5*MIN(INDEX(Bases!$Q$2:$Q$53,B994),INDEX(Bases!$Q$2:$Q$53,C994))</f>
        <v>45.3333333333333</v>
      </c>
      <c r="X994" s="2" t="n">
        <f aca="false">Settings!$B$4*MAX(INDEX(Bases!$R$2:$R$53,B994),INDEX(Bases!$R$2:$R$53,C994))+Settings!$B$5*MIN(INDEX(Bases!$R$2:$R$53,B994),INDEX(Bases!$R$2:$R$53,C994))</f>
        <v>60.6666666666667</v>
      </c>
      <c r="Y994" s="2" t="n">
        <f aca="false">S994*Settings!$B$3/SUM(S994:X994)</f>
        <v>110.580747812251</v>
      </c>
      <c r="Z994" s="2" t="n">
        <f aca="false">T994*Settings!$B$3/SUM(S994:X994)</f>
        <v>108.591885441527</v>
      </c>
      <c r="AA994" s="2" t="n">
        <f aca="false">U994*Settings!$B$3/SUM(S994:X994)</f>
        <v>92.6809864757359</v>
      </c>
      <c r="AB994" s="2" t="n">
        <f aca="false">V994*Settings!$B$3/SUM(S994:X994)</f>
        <v>61.6547334924423</v>
      </c>
      <c r="AC994" s="2" t="n">
        <f aca="false">W994*Settings!$B$3/SUM(S994:X994)</f>
        <v>54.0970564836913</v>
      </c>
      <c r="AD994" s="2" t="n">
        <f aca="false">X994*Settings!$B$3/SUM(S994:X994)</f>
        <v>72.3945902943516</v>
      </c>
      <c r="AE994" s="2" t="n">
        <f aca="false">INT(Y994)</f>
        <v>110</v>
      </c>
      <c r="AF994" s="2" t="n">
        <f aca="false">INT(Z994)</f>
        <v>108</v>
      </c>
      <c r="AG994" s="2" t="n">
        <f aca="false">INT(AA994)</f>
        <v>92</v>
      </c>
      <c r="AH994" s="2" t="n">
        <f aca="false">INT(AB994)</f>
        <v>61</v>
      </c>
      <c r="AI994" s="2" t="n">
        <f aca="false">INT(AC994)</f>
        <v>54</v>
      </c>
      <c r="AJ994" s="2" t="n">
        <f aca="false">INT(AD994)</f>
        <v>72</v>
      </c>
      <c r="AK994" s="2" t="n">
        <f aca="false">Settings!$B$3-SUM(AE994:AJ994)</f>
        <v>3</v>
      </c>
      <c r="AL994" s="2" t="n">
        <f aca="false">ROUND(Y994-AE994,9)</f>
        <v>0.580747812</v>
      </c>
      <c r="AM994" s="2" t="n">
        <f aca="false">ROUND(Z994-AF994,9)</f>
        <v>0.591885442</v>
      </c>
      <c r="AN994" s="2" t="n">
        <f aca="false">ROUND(AA994-AG994,9)</f>
        <v>0.680986476</v>
      </c>
      <c r="AO994" s="2" t="n">
        <f aca="false">ROUND(AB994-AH994,9)</f>
        <v>0.654733492</v>
      </c>
      <c r="AP994" s="2" t="n">
        <f aca="false">ROUND(AC994-AI994,9)</f>
        <v>0.097056484</v>
      </c>
      <c r="AQ994" s="2" t="n">
        <f aca="false">ROUND(AD994-AJ994,9)</f>
        <v>0.394590294</v>
      </c>
    </row>
    <row r="995" customFormat="false" ht="15" hidden="false" customHeight="false" outlineLevel="0" collapsed="false">
      <c r="A995" s="2" t="n">
        <v>994</v>
      </c>
      <c r="B995" s="6" t="n">
        <v>26</v>
      </c>
      <c r="C995" s="6" t="n">
        <v>45</v>
      </c>
      <c r="D995" s="8" t="str">
        <f aca="false">INDEX(Bases!$B$2:$B$53,B995)</f>
        <v>Phanpy</v>
      </c>
      <c r="E995" s="8" t="str">
        <f aca="false">INDEX(Bases!$B$2:$B$53,C995)</f>
        <v>Sneasel</v>
      </c>
      <c r="F995" s="2" t="str">
        <f aca="false">LEFT(D995,ROUNDUP(LEN(D995)/2,0))&amp;LOWER(MID(E995,ROUNDUP(LEN(E995)/2,0)+1,20))</f>
        <v>Phasel</v>
      </c>
      <c r="G995" s="8" t="str">
        <f aca="false">INDEX(Bases!$C$2:$C$53,B995)</f>
        <v>Ground</v>
      </c>
      <c r="H995" s="8" t="str">
        <f aca="false">IF(INDEX(Bases!$C$2:$C$53,C995)=G995,"",INDEX(Bases!$C$2:$C$53,C995))</f>
        <v>Dark</v>
      </c>
      <c r="I995" s="8" t="str">
        <f aca="false">IF(INDEX(Bases!$E$2:$E$53,B995)="","",INDEX(Bases!$E$2:$E$53,B995))</f>
        <v/>
      </c>
      <c r="J995" s="8" t="str">
        <f aca="false">IF(INDEX(Bases!$E$2:$E$53,C995)="","",INDEX(Bases!$E$2:$E$53,C995))</f>
        <v/>
      </c>
      <c r="K995" s="5"/>
      <c r="L995" s="2" t="n">
        <f aca="false">AE995+IF(SUMPRODUCT(--($AL995:$AQ995&gt;AL995))&lt;$AK995,1,0)</f>
        <v>104</v>
      </c>
      <c r="M995" s="2" t="n">
        <f aca="false">AF995+IF(SUMPRODUCT(--($AL995:$AQ995&gt;AM995))+SUMPRODUCT(--($AL995:AL995=AM995))&lt;$AK995,1,0)</f>
        <v>96</v>
      </c>
      <c r="N995" s="2" t="n">
        <f aca="false">AG995+IF(SUMPRODUCT(--($AL995:$AQ995&gt;AN995))+SUMPRODUCT(--($AL995:AM995=AN995))&lt;$AK995,1,0)</f>
        <v>76</v>
      </c>
      <c r="O995" s="2" t="n">
        <f aca="false">AH995+IF(SUMPRODUCT(--($AL995:$AQ995&gt;AO995))+SUMPRODUCT(--($AL995:AN995=AO995))&lt;$AK995,1,0)</f>
        <v>51</v>
      </c>
      <c r="P995" s="2" t="n">
        <f aca="false">AI995+IF(SUMPRODUCT(--($AL995:$AQ995&gt;AP995))+SUMPRODUCT(--($AL995:AO995=AP995))&lt;$AK995,1,0)</f>
        <v>72</v>
      </c>
      <c r="Q995" s="2" t="n">
        <f aca="false">AJ995+IF(SUMPRODUCT(--($AL995:$AQ995&gt;AQ995))+SUMPRODUCT(--($AL995:AP995=AQ995))&lt;$AK995,1,0)</f>
        <v>101</v>
      </c>
      <c r="R995" s="2" t="n">
        <f aca="false">SUM(L995:Q995)</f>
        <v>500</v>
      </c>
      <c r="S995" s="2" t="n">
        <f aca="false">Settings!$B$4*MAX(INDEX(Bases!$M$2:$M$53,B995),INDEX(Bases!$M$2:$M$53,C995))+Settings!$B$5*MIN(INDEX(Bases!$M$2:$M$53,B995),INDEX(Bases!$M$2:$M$53,C995))</f>
        <v>89.6666666666667</v>
      </c>
      <c r="T995" s="2" t="n">
        <f aca="false">Settings!$B$4*MAX(INDEX(Bases!$N$2:$N$53,B995),INDEX(Bases!$N$2:$N$53,C995))+Settings!$B$5*MIN(INDEX(Bases!$N$2:$N$53,B995),INDEX(Bases!$N$2:$N$53,C995))</f>
        <v>83</v>
      </c>
      <c r="U995" s="2" t="n">
        <f aca="false">Settings!$B$4*MAX(INDEX(Bases!$O$2:$O$53,B995),INDEX(Bases!$O$2:$O$53,C995))+Settings!$B$5*MIN(INDEX(Bases!$O$2:$O$53,B995),INDEX(Bases!$O$2:$O$53,C995))</f>
        <v>65.6666666666667</v>
      </c>
      <c r="V995" s="2" t="n">
        <f aca="false">Settings!$B$4*MAX(INDEX(Bases!$P$2:$P$53,B995),INDEX(Bases!$P$2:$P$53,C995))+Settings!$B$5*MIN(INDEX(Bases!$P$2:$P$53,B995),INDEX(Bases!$P$2:$P$53,C995))</f>
        <v>43.6666666666667</v>
      </c>
      <c r="W995" s="2" t="n">
        <f aca="false">Settings!$B$4*MAX(INDEX(Bases!$Q$2:$Q$53,B995),INDEX(Bases!$Q$2:$Q$53,C995))+Settings!$B$5*MIN(INDEX(Bases!$Q$2:$Q$53,B995),INDEX(Bases!$Q$2:$Q$53,C995))</f>
        <v>62.6666666666667</v>
      </c>
      <c r="X995" s="2" t="n">
        <f aca="false">Settings!$B$4*MAX(INDEX(Bases!$R$2:$R$53,B995),INDEX(Bases!$R$2:$R$53,C995))+Settings!$B$5*MIN(INDEX(Bases!$R$2:$R$53,B995),INDEX(Bases!$R$2:$R$53,C995))</f>
        <v>87.3333333333333</v>
      </c>
      <c r="Y995" s="2" t="n">
        <f aca="false">S995*Settings!$B$3/SUM(S995:X995)</f>
        <v>103.780864197531</v>
      </c>
      <c r="Z995" s="2" t="n">
        <f aca="false">T995*Settings!$B$3/SUM(S995:X995)</f>
        <v>96.0648148148148</v>
      </c>
      <c r="AA995" s="2" t="n">
        <f aca="false">U995*Settings!$B$3/SUM(S995:X995)</f>
        <v>76.0030864197531</v>
      </c>
      <c r="AB995" s="2" t="n">
        <f aca="false">V995*Settings!$B$3/SUM(S995:X995)</f>
        <v>50.5401234567901</v>
      </c>
      <c r="AC995" s="2" t="n">
        <f aca="false">W995*Settings!$B$3/SUM(S995:X995)</f>
        <v>72.5308641975309</v>
      </c>
      <c r="AD995" s="2" t="n">
        <f aca="false">X995*Settings!$B$3/SUM(S995:X995)</f>
        <v>101.08024691358</v>
      </c>
      <c r="AE995" s="2" t="n">
        <f aca="false">INT(Y995)</f>
        <v>103</v>
      </c>
      <c r="AF995" s="2" t="n">
        <f aca="false">INT(Z995)</f>
        <v>96</v>
      </c>
      <c r="AG995" s="2" t="n">
        <f aca="false">INT(AA995)</f>
        <v>76</v>
      </c>
      <c r="AH995" s="2" t="n">
        <f aca="false">INT(AB995)</f>
        <v>50</v>
      </c>
      <c r="AI995" s="2" t="n">
        <f aca="false">INT(AC995)</f>
        <v>72</v>
      </c>
      <c r="AJ995" s="2" t="n">
        <f aca="false">INT(AD995)</f>
        <v>101</v>
      </c>
      <c r="AK995" s="2" t="n">
        <f aca="false">Settings!$B$3-SUM(AE995:AJ995)</f>
        <v>2</v>
      </c>
      <c r="AL995" s="2" t="n">
        <f aca="false">ROUND(Y995-AE995,9)</f>
        <v>0.780864198</v>
      </c>
      <c r="AM995" s="2" t="n">
        <f aca="false">ROUND(Z995-AF995,9)</f>
        <v>0.064814815</v>
      </c>
      <c r="AN995" s="2" t="n">
        <f aca="false">ROUND(AA995-AG995,9)</f>
        <v>0.00308642</v>
      </c>
      <c r="AO995" s="2" t="n">
        <f aca="false">ROUND(AB995-AH995,9)</f>
        <v>0.540123457</v>
      </c>
      <c r="AP995" s="2" t="n">
        <f aca="false">ROUND(AC995-AI995,9)</f>
        <v>0.530864198</v>
      </c>
      <c r="AQ995" s="2" t="n">
        <f aca="false">ROUND(AD995-AJ995,9)</f>
        <v>0.080246914</v>
      </c>
    </row>
    <row r="996" customFormat="false" ht="15" hidden="false" customHeight="false" outlineLevel="0" collapsed="false">
      <c r="A996" s="2" t="n">
        <v>995</v>
      </c>
      <c r="B996" s="6" t="n">
        <v>26</v>
      </c>
      <c r="C996" s="6" t="n">
        <v>46</v>
      </c>
      <c r="D996" s="8" t="str">
        <f aca="false">INDEX(Bases!$B$2:$B$53,B996)</f>
        <v>Phanpy</v>
      </c>
      <c r="E996" s="8" t="str">
        <f aca="false">INDEX(Bases!$B$2:$B$53,C996)</f>
        <v>Houndour</v>
      </c>
      <c r="F996" s="2" t="str">
        <f aca="false">LEFT(D996,ROUNDUP(LEN(D996)/2,0))&amp;LOWER(MID(E996,ROUNDUP(LEN(E996)/2,0)+1,20))</f>
        <v>Phadour</v>
      </c>
      <c r="G996" s="8" t="str">
        <f aca="false">INDEX(Bases!$C$2:$C$53,B996)</f>
        <v>Ground</v>
      </c>
      <c r="H996" s="8" t="str">
        <f aca="false">IF(INDEX(Bases!$C$2:$C$53,C996)=G996,"",INDEX(Bases!$C$2:$C$53,C996))</f>
        <v>Dark</v>
      </c>
      <c r="I996" s="8" t="str">
        <f aca="false">IF(INDEX(Bases!$E$2:$E$53,B996)="","",INDEX(Bases!$E$2:$E$53,B996))</f>
        <v/>
      </c>
      <c r="J996" s="8" t="str">
        <f aca="false">IF(INDEX(Bases!$E$2:$E$53,C996)="","",INDEX(Bases!$E$2:$E$53,C996))</f>
        <v/>
      </c>
      <c r="K996" s="5"/>
      <c r="L996" s="2" t="n">
        <f aca="false">AE996+IF(SUMPRODUCT(--($AL996:$AQ996&gt;AL996))&lt;$AK996,1,0)</f>
        <v>105</v>
      </c>
      <c r="M996" s="2" t="n">
        <f aca="false">AF996+IF(SUMPRODUCT(--($AL996:$AQ996&gt;AM996))+SUMPRODUCT(--($AL996:AL996=AM996))&lt;$AK996,1,0)</f>
        <v>85</v>
      </c>
      <c r="N996" s="2" t="n">
        <f aca="false">AG996+IF(SUMPRODUCT(--($AL996:$AQ996&gt;AN996))+SUMPRODUCT(--($AL996:AM996=AN996))&lt;$AK996,1,0)</f>
        <v>70</v>
      </c>
      <c r="O996" s="2" t="n">
        <f aca="false">AH996+IF(SUMPRODUCT(--($AL996:$AQ996&gt;AO996))+SUMPRODUCT(--($AL996:AN996=AO996))&lt;$AK996,1,0)</f>
        <v>94</v>
      </c>
      <c r="P996" s="2" t="n">
        <f aca="false">AI996+IF(SUMPRODUCT(--($AL996:$AQ996&gt;AP996))+SUMPRODUCT(--($AL996:AO996=AP996))&lt;$AK996,1,0)</f>
        <v>66</v>
      </c>
      <c r="Q996" s="2" t="n">
        <f aca="false">AJ996+IF(SUMPRODUCT(--($AL996:$AQ996&gt;AQ996))+SUMPRODUCT(--($AL996:AP996=AQ996))&lt;$AK996,1,0)</f>
        <v>80</v>
      </c>
      <c r="R996" s="2" t="n">
        <f aca="false">SUM(L996:Q996)</f>
        <v>500</v>
      </c>
      <c r="S996" s="2" t="n">
        <f aca="false">Settings!$B$4*MAX(INDEX(Bases!$M$2:$M$53,B996),INDEX(Bases!$M$2:$M$53,C996))+Settings!$B$5*MIN(INDEX(Bases!$M$2:$M$53,B996),INDEX(Bases!$M$2:$M$53,C996))</f>
        <v>90.6666666666667</v>
      </c>
      <c r="T996" s="2" t="n">
        <f aca="false">Settings!$B$4*MAX(INDEX(Bases!$N$2:$N$53,B996),INDEX(Bases!$N$2:$N$53,C996))+Settings!$B$5*MIN(INDEX(Bases!$N$2:$N$53,B996),INDEX(Bases!$N$2:$N$53,C996))</f>
        <v>73</v>
      </c>
      <c r="U996" s="2" t="n">
        <f aca="false">Settings!$B$4*MAX(INDEX(Bases!$O$2:$O$53,B996),INDEX(Bases!$O$2:$O$53,C996))+Settings!$B$5*MIN(INDEX(Bases!$O$2:$O$53,B996),INDEX(Bases!$O$2:$O$53,C996))</f>
        <v>60.6666666666667</v>
      </c>
      <c r="V996" s="2" t="n">
        <f aca="false">Settings!$B$4*MAX(INDEX(Bases!$P$2:$P$53,B996),INDEX(Bases!$P$2:$P$53,C996))+Settings!$B$5*MIN(INDEX(Bases!$P$2:$P$53,B996),INDEX(Bases!$P$2:$P$53,C996))</f>
        <v>81</v>
      </c>
      <c r="W996" s="2" t="n">
        <f aca="false">Settings!$B$4*MAX(INDEX(Bases!$Q$2:$Q$53,B996),INDEX(Bases!$Q$2:$Q$53,C996))+Settings!$B$5*MIN(INDEX(Bases!$Q$2:$Q$53,B996),INDEX(Bases!$Q$2:$Q$53,C996))</f>
        <v>56.6666666666667</v>
      </c>
      <c r="X996" s="2" t="n">
        <f aca="false">Settings!$B$4*MAX(INDEX(Bases!$R$2:$R$53,B996),INDEX(Bases!$R$2:$R$53,C996))+Settings!$B$5*MIN(INDEX(Bases!$R$2:$R$53,B996),INDEX(Bases!$R$2:$R$53,C996))</f>
        <v>68.6666666666667</v>
      </c>
      <c r="Y996" s="2" t="n">
        <f aca="false">S996*Settings!$B$3/SUM(S996:X996)</f>
        <v>105.263157894737</v>
      </c>
      <c r="Z996" s="2" t="n">
        <f aca="false">T996*Settings!$B$3/SUM(S996:X996)</f>
        <v>84.7523219814242</v>
      </c>
      <c r="AA996" s="2" t="n">
        <f aca="false">U996*Settings!$B$3/SUM(S996:X996)</f>
        <v>70.4334365325077</v>
      </c>
      <c r="AB996" s="2" t="n">
        <f aca="false">V996*Settings!$B$3/SUM(S996:X996)</f>
        <v>94.0402476780186</v>
      </c>
      <c r="AC996" s="2" t="n">
        <f aca="false">W996*Settings!$B$3/SUM(S996:X996)</f>
        <v>65.7894736842105</v>
      </c>
      <c r="AD996" s="2" t="n">
        <f aca="false">X996*Settings!$B$3/SUM(S996:X996)</f>
        <v>79.7213622291022</v>
      </c>
      <c r="AE996" s="2" t="n">
        <f aca="false">INT(Y996)</f>
        <v>105</v>
      </c>
      <c r="AF996" s="2" t="n">
        <f aca="false">INT(Z996)</f>
        <v>84</v>
      </c>
      <c r="AG996" s="2" t="n">
        <f aca="false">INT(AA996)</f>
        <v>70</v>
      </c>
      <c r="AH996" s="2" t="n">
        <f aca="false">INT(AB996)</f>
        <v>94</v>
      </c>
      <c r="AI996" s="2" t="n">
        <f aca="false">INT(AC996)</f>
        <v>65</v>
      </c>
      <c r="AJ996" s="2" t="n">
        <f aca="false">INT(AD996)</f>
        <v>79</v>
      </c>
      <c r="AK996" s="2" t="n">
        <f aca="false">Settings!$B$3-SUM(AE996:AJ996)</f>
        <v>3</v>
      </c>
      <c r="AL996" s="2" t="n">
        <f aca="false">ROUND(Y996-AE996,9)</f>
        <v>0.263157895</v>
      </c>
      <c r="AM996" s="2" t="n">
        <f aca="false">ROUND(Z996-AF996,9)</f>
        <v>0.752321981</v>
      </c>
      <c r="AN996" s="2" t="n">
        <f aca="false">ROUND(AA996-AG996,9)</f>
        <v>0.433436533</v>
      </c>
      <c r="AO996" s="2" t="n">
        <f aca="false">ROUND(AB996-AH996,9)</f>
        <v>0.040247678</v>
      </c>
      <c r="AP996" s="2" t="n">
        <f aca="false">ROUND(AC996-AI996,9)</f>
        <v>0.789473684</v>
      </c>
      <c r="AQ996" s="2" t="n">
        <f aca="false">ROUND(AD996-AJ996,9)</f>
        <v>0.721362229</v>
      </c>
    </row>
    <row r="997" customFormat="false" ht="15" hidden="false" customHeight="false" outlineLevel="0" collapsed="false">
      <c r="A997" s="2" t="n">
        <v>996</v>
      </c>
      <c r="B997" s="6" t="n">
        <v>26</v>
      </c>
      <c r="C997" s="6" t="n">
        <v>47</v>
      </c>
      <c r="D997" s="8" t="str">
        <f aca="false">INDEX(Bases!$B$2:$B$53,B997)</f>
        <v>Phanpy</v>
      </c>
      <c r="E997" s="8" t="str">
        <f aca="false">INDEX(Bases!$B$2:$B$53,C997)</f>
        <v>Carvanha</v>
      </c>
      <c r="F997" s="2" t="str">
        <f aca="false">LEFT(D997,ROUNDUP(LEN(D997)/2,0))&amp;LOWER(MID(E997,ROUNDUP(LEN(E997)/2,0)+1,20))</f>
        <v>Phaanha</v>
      </c>
      <c r="G997" s="8" t="str">
        <f aca="false">INDEX(Bases!$C$2:$C$53,B997)</f>
        <v>Ground</v>
      </c>
      <c r="H997" s="8" t="str">
        <f aca="false">IF(INDEX(Bases!$C$2:$C$53,C997)=G997,"",INDEX(Bases!$C$2:$C$53,C997))</f>
        <v>Dark</v>
      </c>
      <c r="I997" s="8" t="str">
        <f aca="false">IF(INDEX(Bases!$E$2:$E$53,B997)="","",INDEX(Bases!$E$2:$E$53,B997))</f>
        <v/>
      </c>
      <c r="J997" s="8" t="str">
        <f aca="false">IF(INDEX(Bases!$E$2:$E$53,C997)="","",INDEX(Bases!$E$2:$E$53,C997))</f>
        <v/>
      </c>
      <c r="K997" s="5"/>
      <c r="L997" s="2" t="n">
        <f aca="false">AE997+IF(SUMPRODUCT(--($AL997:$AQ997&gt;AL997))&lt;$AK997,1,0)</f>
        <v>105</v>
      </c>
      <c r="M997" s="2" t="n">
        <f aca="false">AF997+IF(SUMPRODUCT(--($AL997:$AQ997&gt;AM997))+SUMPRODUCT(--($AL997:AL997=AM997))&lt;$AK997,1,0)</f>
        <v>117</v>
      </c>
      <c r="N997" s="2" t="n">
        <f aca="false">AG997+IF(SUMPRODUCT(--($AL997:$AQ997&gt;AN997))+SUMPRODUCT(--($AL997:AM997=AN997))&lt;$AK997,1,0)</f>
        <v>65</v>
      </c>
      <c r="O997" s="2" t="n">
        <f aca="false">AH997+IF(SUMPRODUCT(--($AL997:$AQ997&gt;AO997))+SUMPRODUCT(--($AL997:AN997=AO997))&lt;$AK997,1,0)</f>
        <v>84</v>
      </c>
      <c r="P997" s="2" t="n">
        <f aca="false">AI997+IF(SUMPRODUCT(--($AL997:$AQ997&gt;AP997))+SUMPRODUCT(--($AL997:AO997=AP997))&lt;$AK997,1,0)</f>
        <v>46</v>
      </c>
      <c r="Q997" s="2" t="n">
        <f aca="false">AJ997+IF(SUMPRODUCT(--($AL997:$AQ997&gt;AQ997))+SUMPRODUCT(--($AL997:AP997=AQ997))&lt;$AK997,1,0)</f>
        <v>83</v>
      </c>
      <c r="R997" s="2" t="n">
        <f aca="false">SUM(L997:Q997)</f>
        <v>500</v>
      </c>
      <c r="S997" s="2" t="n">
        <f aca="false">Settings!$B$4*MAX(INDEX(Bases!$M$2:$M$53,B997),INDEX(Bases!$M$2:$M$53,C997))+Settings!$B$5*MIN(INDEX(Bases!$M$2:$M$53,B997),INDEX(Bases!$M$2:$M$53,C997))</f>
        <v>92.3333333333333</v>
      </c>
      <c r="T997" s="2" t="n">
        <f aca="false">Settings!$B$4*MAX(INDEX(Bases!$N$2:$N$53,B997),INDEX(Bases!$N$2:$N$53,C997))+Settings!$B$5*MIN(INDEX(Bases!$N$2:$N$53,B997),INDEX(Bases!$N$2:$N$53,C997))</f>
        <v>103</v>
      </c>
      <c r="U997" s="2" t="n">
        <f aca="false">Settings!$B$4*MAX(INDEX(Bases!$O$2:$O$53,B997),INDEX(Bases!$O$2:$O$53,C997))+Settings!$B$5*MIN(INDEX(Bases!$O$2:$O$53,B997),INDEX(Bases!$O$2:$O$53,C997))</f>
        <v>57.3333333333333</v>
      </c>
      <c r="V997" s="2" t="n">
        <f aca="false">Settings!$B$4*MAX(INDEX(Bases!$P$2:$P$53,B997),INDEX(Bases!$P$2:$P$53,C997))+Settings!$B$5*MIN(INDEX(Bases!$P$2:$P$53,B997),INDEX(Bases!$P$2:$P$53,C997))</f>
        <v>73.6666666666667</v>
      </c>
      <c r="W997" s="2" t="n">
        <f aca="false">Settings!$B$4*MAX(INDEX(Bases!$Q$2:$Q$53,B997),INDEX(Bases!$Q$2:$Q$53,C997))+Settings!$B$5*MIN(INDEX(Bases!$Q$2:$Q$53,B997),INDEX(Bases!$Q$2:$Q$53,C997))</f>
        <v>40.6666666666667</v>
      </c>
      <c r="X997" s="2" t="n">
        <f aca="false">Settings!$B$4*MAX(INDEX(Bases!$R$2:$R$53,B997),INDEX(Bases!$R$2:$R$53,C997))+Settings!$B$5*MIN(INDEX(Bases!$R$2:$R$53,B997),INDEX(Bases!$R$2:$R$53,C997))</f>
        <v>72.6666666666667</v>
      </c>
      <c r="Y997" s="2" t="n">
        <f aca="false">S997*Settings!$B$3/SUM(S997:X997)</f>
        <v>105.003790750569</v>
      </c>
      <c r="Z997" s="2" t="n">
        <f aca="false">T997*Settings!$B$3/SUM(S997:X997)</f>
        <v>117.134192570129</v>
      </c>
      <c r="AA997" s="2" t="n">
        <f aca="false">U997*Settings!$B$3/SUM(S997:X997)</f>
        <v>65.2009097801365</v>
      </c>
      <c r="AB997" s="2" t="n">
        <f aca="false">V997*Settings!$B$3/SUM(S997:X997)</f>
        <v>83.7755875663381</v>
      </c>
      <c r="AC997" s="2" t="n">
        <f aca="false">W997*Settings!$B$3/SUM(S997:X997)</f>
        <v>46.2471569370736</v>
      </c>
      <c r="AD997" s="2" t="n">
        <f aca="false">X997*Settings!$B$3/SUM(S997:X997)</f>
        <v>82.6383623957544</v>
      </c>
      <c r="AE997" s="2" t="n">
        <f aca="false">INT(Y997)</f>
        <v>105</v>
      </c>
      <c r="AF997" s="2" t="n">
        <f aca="false">INT(Z997)</f>
        <v>117</v>
      </c>
      <c r="AG997" s="2" t="n">
        <f aca="false">INT(AA997)</f>
        <v>65</v>
      </c>
      <c r="AH997" s="2" t="n">
        <f aca="false">INT(AB997)</f>
        <v>83</v>
      </c>
      <c r="AI997" s="2" t="n">
        <f aca="false">INT(AC997)</f>
        <v>46</v>
      </c>
      <c r="AJ997" s="2" t="n">
        <f aca="false">INT(AD997)</f>
        <v>82</v>
      </c>
      <c r="AK997" s="2" t="n">
        <f aca="false">Settings!$B$3-SUM(AE997:AJ997)</f>
        <v>2</v>
      </c>
      <c r="AL997" s="2" t="n">
        <f aca="false">ROUND(Y997-AE997,9)</f>
        <v>0.003790751</v>
      </c>
      <c r="AM997" s="2" t="n">
        <f aca="false">ROUND(Z997-AF997,9)</f>
        <v>0.13419257</v>
      </c>
      <c r="AN997" s="2" t="n">
        <f aca="false">ROUND(AA997-AG997,9)</f>
        <v>0.20090978</v>
      </c>
      <c r="AO997" s="2" t="n">
        <f aca="false">ROUND(AB997-AH997,9)</f>
        <v>0.775587566</v>
      </c>
      <c r="AP997" s="2" t="n">
        <f aca="false">ROUND(AC997-AI997,9)</f>
        <v>0.247156937</v>
      </c>
      <c r="AQ997" s="2" t="n">
        <f aca="false">ROUND(AD997-AJ997,9)</f>
        <v>0.638362396</v>
      </c>
    </row>
    <row r="998" customFormat="false" ht="15" hidden="false" customHeight="false" outlineLevel="0" collapsed="false">
      <c r="A998" s="2" t="n">
        <v>997</v>
      </c>
      <c r="B998" s="6" t="n">
        <v>26</v>
      </c>
      <c r="C998" s="6" t="n">
        <v>48</v>
      </c>
      <c r="D998" s="8" t="str">
        <f aca="false">INDEX(Bases!$B$2:$B$53,B998)</f>
        <v>Phanpy</v>
      </c>
      <c r="E998" s="8" t="str">
        <f aca="false">INDEX(Bases!$B$2:$B$53,C998)</f>
        <v>Magnemite</v>
      </c>
      <c r="F998" s="2" t="str">
        <f aca="false">LEFT(D998,ROUNDUP(LEN(D998)/2,0))&amp;LOWER(MID(E998,ROUNDUP(LEN(E998)/2,0)+1,20))</f>
        <v>Phamite</v>
      </c>
      <c r="G998" s="8" t="str">
        <f aca="false">INDEX(Bases!$C$2:$C$53,B998)</f>
        <v>Ground</v>
      </c>
      <c r="H998" s="8" t="str">
        <f aca="false">IF(INDEX(Bases!$C$2:$C$53,C998)=G998,"",INDEX(Bases!$C$2:$C$53,C998))</f>
        <v>Steel</v>
      </c>
      <c r="I998" s="8" t="str">
        <f aca="false">IF(INDEX(Bases!$E$2:$E$53,B998)="","",INDEX(Bases!$E$2:$E$53,B998))</f>
        <v/>
      </c>
      <c r="J998" s="8" t="str">
        <f aca="false">IF(INDEX(Bases!$E$2:$E$53,C998)="","",INDEX(Bases!$E$2:$E$53,C998))</f>
        <v/>
      </c>
      <c r="K998" s="5"/>
      <c r="L998" s="2" t="n">
        <f aca="false">AE998+IF(SUMPRODUCT(--($AL998:$AQ998&gt;AL998))&lt;$AK998,1,0)</f>
        <v>95</v>
      </c>
      <c r="M998" s="2" t="n">
        <f aca="false">AF998+IF(SUMPRODUCT(--($AL998:$AQ998&gt;AM998))+SUMPRODUCT(--($AL998:AL998=AM998))&lt;$AK998,1,0)</f>
        <v>72</v>
      </c>
      <c r="N998" s="2" t="n">
        <f aca="false">AG998+IF(SUMPRODUCT(--($AL998:$AQ998&gt;AN998))+SUMPRODUCT(--($AL998:AM998=AN998))&lt;$AK998,1,0)</f>
        <v>94</v>
      </c>
      <c r="O998" s="2" t="n">
        <f aca="false">AH998+IF(SUMPRODUCT(--($AL998:$AQ998&gt;AO998))+SUMPRODUCT(--($AL998:AN998=AO998))&lt;$AK998,1,0)</f>
        <v>108</v>
      </c>
      <c r="P998" s="2" t="n">
        <f aca="false">AI998+IF(SUMPRODUCT(--($AL998:$AQ998&gt;AP998))+SUMPRODUCT(--($AL998:AO998=AP998))&lt;$AK998,1,0)</f>
        <v>70</v>
      </c>
      <c r="Q998" s="2" t="n">
        <f aca="false">AJ998+IF(SUMPRODUCT(--($AL998:$AQ998&gt;AQ998))+SUMPRODUCT(--($AL998:AP998=AQ998))&lt;$AK998,1,0)</f>
        <v>61</v>
      </c>
      <c r="R998" s="2" t="n">
        <f aca="false">SUM(L998:Q998)</f>
        <v>500</v>
      </c>
      <c r="S998" s="2" t="n">
        <f aca="false">Settings!$B$4*MAX(INDEX(Bases!$M$2:$M$53,B998),INDEX(Bases!$M$2:$M$53,C998))+Settings!$B$5*MIN(INDEX(Bases!$M$2:$M$53,B998),INDEX(Bases!$M$2:$M$53,C998))</f>
        <v>83</v>
      </c>
      <c r="T998" s="2" t="n">
        <f aca="false">Settings!$B$4*MAX(INDEX(Bases!$N$2:$N$53,B998),INDEX(Bases!$N$2:$N$53,C998))+Settings!$B$5*MIN(INDEX(Bases!$N$2:$N$53,B998),INDEX(Bases!$N$2:$N$53,C998))</f>
        <v>63</v>
      </c>
      <c r="U998" s="2" t="n">
        <f aca="false">Settings!$B$4*MAX(INDEX(Bases!$O$2:$O$53,B998),INDEX(Bases!$O$2:$O$53,C998))+Settings!$B$5*MIN(INDEX(Bases!$O$2:$O$53,B998),INDEX(Bases!$O$2:$O$53,C998))</f>
        <v>81.6666666666667</v>
      </c>
      <c r="V998" s="2" t="n">
        <f aca="false">Settings!$B$4*MAX(INDEX(Bases!$P$2:$P$53,B998),INDEX(Bases!$P$2:$P$53,C998))+Settings!$B$5*MIN(INDEX(Bases!$P$2:$P$53,B998),INDEX(Bases!$P$2:$P$53,C998))</f>
        <v>94.3333333333333</v>
      </c>
      <c r="W998" s="2" t="n">
        <f aca="false">Settings!$B$4*MAX(INDEX(Bases!$Q$2:$Q$53,B998),INDEX(Bases!$Q$2:$Q$53,C998))+Settings!$B$5*MIN(INDEX(Bases!$Q$2:$Q$53,B998),INDEX(Bases!$Q$2:$Q$53,C998))</f>
        <v>61.3333333333333</v>
      </c>
      <c r="X998" s="2" t="n">
        <f aca="false">Settings!$B$4*MAX(INDEX(Bases!$R$2:$R$53,B998),INDEX(Bases!$R$2:$R$53,C998))+Settings!$B$5*MIN(INDEX(Bases!$R$2:$R$53,B998),INDEX(Bases!$R$2:$R$53,C998))</f>
        <v>52.6666666666667</v>
      </c>
      <c r="Y998" s="2" t="n">
        <f aca="false">S998*Settings!$B$3/SUM(S998:X998)</f>
        <v>95.1834862385321</v>
      </c>
      <c r="Z998" s="2" t="n">
        <f aca="false">T998*Settings!$B$3/SUM(S998:X998)</f>
        <v>72.2477064220184</v>
      </c>
      <c r="AA998" s="2" t="n">
        <f aca="false">U998*Settings!$B$3/SUM(S998:X998)</f>
        <v>93.6544342507645</v>
      </c>
      <c r="AB998" s="2" t="n">
        <f aca="false">V998*Settings!$B$3/SUM(S998:X998)</f>
        <v>108.180428134557</v>
      </c>
      <c r="AC998" s="2" t="n">
        <f aca="false">W998*Settings!$B$3/SUM(S998:X998)</f>
        <v>70.3363914373089</v>
      </c>
      <c r="AD998" s="2" t="n">
        <f aca="false">X998*Settings!$B$3/SUM(S998:X998)</f>
        <v>60.3975535168196</v>
      </c>
      <c r="AE998" s="2" t="n">
        <f aca="false">INT(Y998)</f>
        <v>95</v>
      </c>
      <c r="AF998" s="2" t="n">
        <f aca="false">INT(Z998)</f>
        <v>72</v>
      </c>
      <c r="AG998" s="2" t="n">
        <f aca="false">INT(AA998)</f>
        <v>93</v>
      </c>
      <c r="AH998" s="2" t="n">
        <f aca="false">INT(AB998)</f>
        <v>108</v>
      </c>
      <c r="AI998" s="2" t="n">
        <f aca="false">INT(AC998)</f>
        <v>70</v>
      </c>
      <c r="AJ998" s="2" t="n">
        <f aca="false">INT(AD998)</f>
        <v>60</v>
      </c>
      <c r="AK998" s="2" t="n">
        <f aca="false">Settings!$B$3-SUM(AE998:AJ998)</f>
        <v>2</v>
      </c>
      <c r="AL998" s="2" t="n">
        <f aca="false">ROUND(Y998-AE998,9)</f>
        <v>0.183486239</v>
      </c>
      <c r="AM998" s="2" t="n">
        <f aca="false">ROUND(Z998-AF998,9)</f>
        <v>0.247706422</v>
      </c>
      <c r="AN998" s="2" t="n">
        <f aca="false">ROUND(AA998-AG998,9)</f>
        <v>0.654434251</v>
      </c>
      <c r="AO998" s="2" t="n">
        <f aca="false">ROUND(AB998-AH998,9)</f>
        <v>0.180428135</v>
      </c>
      <c r="AP998" s="2" t="n">
        <f aca="false">ROUND(AC998-AI998,9)</f>
        <v>0.336391437</v>
      </c>
      <c r="AQ998" s="2" t="n">
        <f aca="false">ROUND(AD998-AJ998,9)</f>
        <v>0.397553517</v>
      </c>
    </row>
    <row r="999" customFormat="false" ht="15" hidden="false" customHeight="false" outlineLevel="0" collapsed="false">
      <c r="A999" s="2" t="n">
        <v>998</v>
      </c>
      <c r="B999" s="6" t="n">
        <v>26</v>
      </c>
      <c r="C999" s="6" t="n">
        <v>49</v>
      </c>
      <c r="D999" s="8" t="str">
        <f aca="false">INDEX(Bases!$B$2:$B$53,B999)</f>
        <v>Phanpy</v>
      </c>
      <c r="E999" s="8" t="str">
        <f aca="false">INDEX(Bases!$B$2:$B$53,C999)</f>
        <v>Aron</v>
      </c>
      <c r="F999" s="2" t="str">
        <f aca="false">LEFT(D999,ROUNDUP(LEN(D999)/2,0))&amp;LOWER(MID(E999,ROUNDUP(LEN(E999)/2,0)+1,20))</f>
        <v>Phaon</v>
      </c>
      <c r="G999" s="8" t="str">
        <f aca="false">INDEX(Bases!$C$2:$C$53,B999)</f>
        <v>Ground</v>
      </c>
      <c r="H999" s="8" t="str">
        <f aca="false">IF(INDEX(Bases!$C$2:$C$53,C999)=G999,"",INDEX(Bases!$C$2:$C$53,C999))</f>
        <v>Steel</v>
      </c>
      <c r="I999" s="8" t="str">
        <f aca="false">IF(INDEX(Bases!$E$2:$E$53,B999)="","",INDEX(Bases!$E$2:$E$53,B999))</f>
        <v/>
      </c>
      <c r="J999" s="8" t="str">
        <f aca="false">IF(INDEX(Bases!$E$2:$E$53,C999)="","",INDEX(Bases!$E$2:$E$53,C999))</f>
        <v/>
      </c>
      <c r="K999" s="5"/>
      <c r="L999" s="2" t="n">
        <f aca="false">AE999+IF(SUMPRODUCT(--($AL999:$AQ999&gt;AL999))&lt;$AK999,1,0)</f>
        <v>111</v>
      </c>
      <c r="M999" s="2" t="n">
        <f aca="false">AF999+IF(SUMPRODUCT(--($AL999:$AQ999&gt;AM999))+SUMPRODUCT(--($AL999:AL999=AM999))&lt;$AK999,1,0)</f>
        <v>97</v>
      </c>
      <c r="N999" s="2" t="n">
        <f aca="false">AG999+IF(SUMPRODUCT(--($AL999:$AQ999&gt;AN999))+SUMPRODUCT(--($AL999:AM999=AN999))&lt;$AK999,1,0)</f>
        <v>125</v>
      </c>
      <c r="O999" s="2" t="n">
        <f aca="false">AH999+IF(SUMPRODUCT(--($AL999:$AQ999&gt;AO999))+SUMPRODUCT(--($AL999:AN999=AO999))&lt;$AK999,1,0)</f>
        <v>58</v>
      </c>
      <c r="P999" s="2" t="n">
        <f aca="false">AI999+IF(SUMPRODUCT(--($AL999:$AQ999&gt;AP999))+SUMPRODUCT(--($AL999:AO999=AP999))&lt;$AK999,1,0)</f>
        <v>57</v>
      </c>
      <c r="Q999" s="2" t="n">
        <f aca="false">AJ999+IF(SUMPRODUCT(--($AL999:$AQ999&gt;AQ999))+SUMPRODUCT(--($AL999:AP999=AQ999))&lt;$AK999,1,0)</f>
        <v>52</v>
      </c>
      <c r="R999" s="2" t="n">
        <f aca="false">SUM(L999:Q999)</f>
        <v>500</v>
      </c>
      <c r="S999" s="2" t="n">
        <f aca="false">Settings!$B$4*MAX(INDEX(Bases!$M$2:$M$53,B999),INDEX(Bases!$M$2:$M$53,C999))+Settings!$B$5*MIN(INDEX(Bases!$M$2:$M$53,B999),INDEX(Bases!$M$2:$M$53,C999))</f>
        <v>93</v>
      </c>
      <c r="T999" s="2" t="n">
        <f aca="false">Settings!$B$4*MAX(INDEX(Bases!$N$2:$N$53,B999),INDEX(Bases!$N$2:$N$53,C999))+Settings!$B$5*MIN(INDEX(Bases!$N$2:$N$53,B999),INDEX(Bases!$N$2:$N$53,C999))</f>
        <v>81</v>
      </c>
      <c r="U999" s="2" t="n">
        <f aca="false">Settings!$B$4*MAX(INDEX(Bases!$O$2:$O$53,B999),INDEX(Bases!$O$2:$O$53,C999))+Settings!$B$5*MIN(INDEX(Bases!$O$2:$O$53,B999),INDEX(Bases!$O$2:$O$53,C999))</f>
        <v>105</v>
      </c>
      <c r="V999" s="2" t="n">
        <f aca="false">Settings!$B$4*MAX(INDEX(Bases!$P$2:$P$53,B999),INDEX(Bases!$P$2:$P$53,C999))+Settings!$B$5*MIN(INDEX(Bases!$P$2:$P$53,B999),INDEX(Bases!$P$2:$P$53,C999))</f>
        <v>49</v>
      </c>
      <c r="W999" s="2" t="n">
        <f aca="false">Settings!$B$4*MAX(INDEX(Bases!$Q$2:$Q$53,B999),INDEX(Bases!$Q$2:$Q$53,C999))+Settings!$B$5*MIN(INDEX(Bases!$Q$2:$Q$53,B999),INDEX(Bases!$Q$2:$Q$53,C999))</f>
        <v>48</v>
      </c>
      <c r="X999" s="2" t="n">
        <f aca="false">Settings!$B$4*MAX(INDEX(Bases!$R$2:$R$53,B999),INDEX(Bases!$R$2:$R$53,C999))+Settings!$B$5*MIN(INDEX(Bases!$R$2:$R$53,B999),INDEX(Bases!$R$2:$R$53,C999))</f>
        <v>44</v>
      </c>
      <c r="Y999" s="2" t="n">
        <f aca="false">S999*Settings!$B$3/SUM(S999:X999)</f>
        <v>110.714285714286</v>
      </c>
      <c r="Z999" s="2" t="n">
        <f aca="false">T999*Settings!$B$3/SUM(S999:X999)</f>
        <v>96.4285714285714</v>
      </c>
      <c r="AA999" s="2" t="n">
        <f aca="false">U999*Settings!$B$3/SUM(S999:X999)</f>
        <v>125</v>
      </c>
      <c r="AB999" s="2" t="n">
        <f aca="false">V999*Settings!$B$3/SUM(S999:X999)</f>
        <v>58.3333333333333</v>
      </c>
      <c r="AC999" s="2" t="n">
        <f aca="false">W999*Settings!$B$3/SUM(S999:X999)</f>
        <v>57.1428571428571</v>
      </c>
      <c r="AD999" s="2" t="n">
        <f aca="false">X999*Settings!$B$3/SUM(S999:X999)</f>
        <v>52.3809523809524</v>
      </c>
      <c r="AE999" s="2" t="n">
        <f aca="false">INT(Y999)</f>
        <v>110</v>
      </c>
      <c r="AF999" s="2" t="n">
        <f aca="false">INT(Z999)</f>
        <v>96</v>
      </c>
      <c r="AG999" s="2" t="n">
        <f aca="false">INT(AA999)</f>
        <v>125</v>
      </c>
      <c r="AH999" s="2" t="n">
        <f aca="false">INT(AB999)</f>
        <v>58</v>
      </c>
      <c r="AI999" s="2" t="n">
        <f aca="false">INT(AC999)</f>
        <v>57</v>
      </c>
      <c r="AJ999" s="2" t="n">
        <f aca="false">INT(AD999)</f>
        <v>52</v>
      </c>
      <c r="AK999" s="2" t="n">
        <f aca="false">Settings!$B$3-SUM(AE999:AJ999)</f>
        <v>2</v>
      </c>
      <c r="AL999" s="2" t="n">
        <f aca="false">ROUND(Y999-AE999,9)</f>
        <v>0.714285714</v>
      </c>
      <c r="AM999" s="2" t="n">
        <f aca="false">ROUND(Z999-AF999,9)</f>
        <v>0.428571429</v>
      </c>
      <c r="AN999" s="2" t="n">
        <f aca="false">ROUND(AA999-AG999,9)</f>
        <v>0</v>
      </c>
      <c r="AO999" s="2" t="n">
        <f aca="false">ROUND(AB999-AH999,9)</f>
        <v>0.333333333</v>
      </c>
      <c r="AP999" s="2" t="n">
        <f aca="false">ROUND(AC999-AI999,9)</f>
        <v>0.142857143</v>
      </c>
      <c r="AQ999" s="2" t="n">
        <f aca="false">ROUND(AD999-AJ999,9)</f>
        <v>0.380952381</v>
      </c>
    </row>
    <row r="1000" customFormat="false" ht="15" hidden="false" customHeight="false" outlineLevel="0" collapsed="false">
      <c r="A1000" s="2" t="n">
        <v>999</v>
      </c>
      <c r="B1000" s="6" t="n">
        <v>26</v>
      </c>
      <c r="C1000" s="6" t="n">
        <v>50</v>
      </c>
      <c r="D1000" s="8" t="str">
        <f aca="false">INDEX(Bases!$B$2:$B$53,B1000)</f>
        <v>Phanpy</v>
      </c>
      <c r="E1000" s="8" t="str">
        <f aca="false">INDEX(Bases!$B$2:$B$53,C1000)</f>
        <v>Beldum</v>
      </c>
      <c r="F1000" s="2" t="str">
        <f aca="false">LEFT(D1000,ROUNDUP(LEN(D1000)/2,0))&amp;LOWER(MID(E1000,ROUNDUP(LEN(E1000)/2,0)+1,20))</f>
        <v>Phadum</v>
      </c>
      <c r="G1000" s="8" t="str">
        <f aca="false">INDEX(Bases!$C$2:$C$53,B1000)</f>
        <v>Ground</v>
      </c>
      <c r="H1000" s="8" t="str">
        <f aca="false">IF(INDEX(Bases!$C$2:$C$53,C1000)=G1000,"",INDEX(Bases!$C$2:$C$53,C1000))</f>
        <v>Steel</v>
      </c>
      <c r="I1000" s="8" t="str">
        <f aca="false">IF(INDEX(Bases!$E$2:$E$53,B1000)="","",INDEX(Bases!$E$2:$E$53,B1000))</f>
        <v/>
      </c>
      <c r="J1000" s="8" t="str">
        <f aca="false">IF(INDEX(Bases!$E$2:$E$53,C1000)="","",INDEX(Bases!$E$2:$E$53,C1000))</f>
        <v/>
      </c>
      <c r="K1000" s="5"/>
      <c r="L1000" s="2" t="n">
        <f aca="false">AE1000+IF(SUMPRODUCT(--($AL1000:$AQ1000&gt;AL1000))&lt;$AK1000,1,0)</f>
        <v>107</v>
      </c>
      <c r="M1000" s="2" t="n">
        <f aca="false">AF1000+IF(SUMPRODUCT(--($AL1000:$AQ1000&gt;AM1000))+SUMPRODUCT(--($AL1000:AL1000=AM1000))&lt;$AK1000,1,0)</f>
        <v>87</v>
      </c>
      <c r="N1000" s="2" t="n">
        <f aca="false">AG1000+IF(SUMPRODUCT(--($AL1000:$AQ1000&gt;AN1000))+SUMPRODUCT(--($AL1000:AM1000=AN1000))&lt;$AK1000,1,0)</f>
        <v>113</v>
      </c>
      <c r="O1000" s="2" t="n">
        <f aca="false">AH1000+IF(SUMPRODUCT(--($AL1000:$AQ1000&gt;AO1000))+SUMPRODUCT(--($AL1000:AN1000=AO1000))&lt;$AK1000,1,0)</f>
        <v>57</v>
      </c>
      <c r="P1000" s="2" t="n">
        <f aca="false">AI1000+IF(SUMPRODUCT(--($AL1000:$AQ1000&gt;AP1000))+SUMPRODUCT(--($AL1000:AO1000=AP1000))&lt;$AK1000,1,0)</f>
        <v>82</v>
      </c>
      <c r="Q1000" s="2" t="n">
        <f aca="false">AJ1000+IF(SUMPRODUCT(--($AL1000:$AQ1000&gt;AQ1000))+SUMPRODUCT(--($AL1000:AP1000=AQ1000))&lt;$AK1000,1,0)</f>
        <v>54</v>
      </c>
      <c r="R1000" s="2" t="n">
        <f aca="false">SUM(L1000:Q1000)</f>
        <v>500</v>
      </c>
      <c r="S1000" s="2" t="n">
        <f aca="false">Settings!$B$4*MAX(INDEX(Bases!$M$2:$M$53,B1000),INDEX(Bases!$M$2:$M$53,C1000))+Settings!$B$5*MIN(INDEX(Bases!$M$2:$M$53,B1000),INDEX(Bases!$M$2:$M$53,C1000))</f>
        <v>90.3333333333333</v>
      </c>
      <c r="T1000" s="2" t="n">
        <f aca="false">Settings!$B$4*MAX(INDEX(Bases!$N$2:$N$53,B1000),INDEX(Bases!$N$2:$N$53,C1000))+Settings!$B$5*MIN(INDEX(Bases!$N$2:$N$53,B1000),INDEX(Bases!$N$2:$N$53,C1000))</f>
        <v>73</v>
      </c>
      <c r="U1000" s="2" t="n">
        <f aca="false">Settings!$B$4*MAX(INDEX(Bases!$O$2:$O$53,B1000),INDEX(Bases!$O$2:$O$53,C1000))+Settings!$B$5*MIN(INDEX(Bases!$O$2:$O$53,B1000),INDEX(Bases!$O$2:$O$53,C1000))</f>
        <v>95.6666666666667</v>
      </c>
      <c r="V1000" s="2" t="n">
        <f aca="false">Settings!$B$4*MAX(INDEX(Bases!$P$2:$P$53,B1000),INDEX(Bases!$P$2:$P$53,C1000))+Settings!$B$5*MIN(INDEX(Bases!$P$2:$P$53,B1000),INDEX(Bases!$P$2:$P$53,C1000))</f>
        <v>48.3333333333333</v>
      </c>
      <c r="W1000" s="2" t="n">
        <f aca="false">Settings!$B$4*MAX(INDEX(Bases!$Q$2:$Q$53,B1000),INDEX(Bases!$Q$2:$Q$53,C1000))+Settings!$B$5*MIN(INDEX(Bases!$Q$2:$Q$53,B1000),INDEX(Bases!$Q$2:$Q$53,C1000))</f>
        <v>69.3333333333333</v>
      </c>
      <c r="X1000" s="2" t="n">
        <f aca="false">Settings!$B$4*MAX(INDEX(Bases!$R$2:$R$53,B1000),INDEX(Bases!$R$2:$R$53,C1000))+Settings!$B$5*MIN(INDEX(Bases!$R$2:$R$53,B1000),INDEX(Bases!$R$2:$R$53,C1000))</f>
        <v>45.3333333333333</v>
      </c>
      <c r="Y1000" s="2" t="n">
        <f aca="false">S1000*Settings!$B$3/SUM(S1000:X1000)</f>
        <v>107.030015797788</v>
      </c>
      <c r="Z1000" s="2" t="n">
        <f aca="false">T1000*Settings!$B$3/SUM(S1000:X1000)</f>
        <v>86.4928909952607</v>
      </c>
      <c r="AA1000" s="2" t="n">
        <f aca="false">U1000*Settings!$B$3/SUM(S1000:X1000)</f>
        <v>113.349131121643</v>
      </c>
      <c r="AB1000" s="2" t="n">
        <f aca="false">V1000*Settings!$B$3/SUM(S1000:X1000)</f>
        <v>57.2669826224329</v>
      </c>
      <c r="AC1000" s="2" t="n">
        <f aca="false">W1000*Settings!$B$3/SUM(S1000:X1000)</f>
        <v>82.1484992101106</v>
      </c>
      <c r="AD1000" s="2" t="n">
        <f aca="false">X1000*Settings!$B$3/SUM(S1000:X1000)</f>
        <v>53.7124802527646</v>
      </c>
      <c r="AE1000" s="2" t="n">
        <f aca="false">INT(Y1000)</f>
        <v>107</v>
      </c>
      <c r="AF1000" s="2" t="n">
        <f aca="false">INT(Z1000)</f>
        <v>86</v>
      </c>
      <c r="AG1000" s="2" t="n">
        <f aca="false">INT(AA1000)</f>
        <v>113</v>
      </c>
      <c r="AH1000" s="2" t="n">
        <f aca="false">INT(AB1000)</f>
        <v>57</v>
      </c>
      <c r="AI1000" s="2" t="n">
        <f aca="false">INT(AC1000)</f>
        <v>82</v>
      </c>
      <c r="AJ1000" s="2" t="n">
        <f aca="false">INT(AD1000)</f>
        <v>53</v>
      </c>
      <c r="AK1000" s="2" t="n">
        <f aca="false">Settings!$B$3-SUM(AE1000:AJ1000)</f>
        <v>2</v>
      </c>
      <c r="AL1000" s="2" t="n">
        <f aca="false">ROUND(Y1000-AE1000,9)</f>
        <v>0.030015798</v>
      </c>
      <c r="AM1000" s="2" t="n">
        <f aca="false">ROUND(Z1000-AF1000,9)</f>
        <v>0.492890995</v>
      </c>
      <c r="AN1000" s="2" t="n">
        <f aca="false">ROUND(AA1000-AG1000,9)</f>
        <v>0.349131122</v>
      </c>
      <c r="AO1000" s="2" t="n">
        <f aca="false">ROUND(AB1000-AH1000,9)</f>
        <v>0.266982622</v>
      </c>
      <c r="AP1000" s="2" t="n">
        <f aca="false">ROUND(AC1000-AI1000,9)</f>
        <v>0.14849921</v>
      </c>
      <c r="AQ1000" s="2" t="n">
        <f aca="false">ROUND(AD1000-AJ1000,9)</f>
        <v>0.712480253</v>
      </c>
    </row>
    <row r="1001" customFormat="false" ht="15" hidden="false" customHeight="false" outlineLevel="0" collapsed="false">
      <c r="A1001" s="2" t="n">
        <v>1000</v>
      </c>
      <c r="B1001" s="6" t="n">
        <v>26</v>
      </c>
      <c r="C1001" s="6" t="n">
        <v>51</v>
      </c>
      <c r="D1001" s="8" t="str">
        <f aca="false">INDEX(Bases!$B$2:$B$53,B1001)</f>
        <v>Phanpy</v>
      </c>
      <c r="E1001" s="8" t="str">
        <f aca="false">INDEX(Bases!$B$2:$B$53,C1001)</f>
        <v>Cleffa</v>
      </c>
      <c r="F1001" s="2" t="str">
        <f aca="false">LEFT(D1001,ROUNDUP(LEN(D1001)/2,0))&amp;LOWER(MID(E1001,ROUNDUP(LEN(E1001)/2,0)+1,20))</f>
        <v>Phaffa</v>
      </c>
      <c r="G1001" s="8" t="str">
        <f aca="false">INDEX(Bases!$C$2:$C$53,B1001)</f>
        <v>Ground</v>
      </c>
      <c r="H1001" s="8" t="str">
        <f aca="false">IF(INDEX(Bases!$C$2:$C$53,C1001)=G1001,"",INDEX(Bases!$C$2:$C$53,C1001))</f>
        <v>Fairy</v>
      </c>
      <c r="I1001" s="8" t="str">
        <f aca="false">IF(INDEX(Bases!$E$2:$E$53,B1001)="","",INDEX(Bases!$E$2:$E$53,B1001))</f>
        <v/>
      </c>
      <c r="J1001" s="8" t="str">
        <f aca="false">IF(INDEX(Bases!$E$2:$E$53,C1001)="","",INDEX(Bases!$E$2:$E$53,C1001))</f>
        <v/>
      </c>
      <c r="K1001" s="5"/>
      <c r="L1001" s="2" t="n">
        <f aca="false">AE1001+IF(SUMPRODUCT(--($AL1001:$AQ1001&gt;AL1001))&lt;$AK1001,1,0)</f>
        <v>120</v>
      </c>
      <c r="M1001" s="2" t="n">
        <f aca="false">AF1001+IF(SUMPRODUCT(--($AL1001:$AQ1001&gt;AM1001))+SUMPRODUCT(--($AL1001:AL1001=AM1001))&lt;$AK1001,1,0)</f>
        <v>75</v>
      </c>
      <c r="N1001" s="2" t="n">
        <f aca="false">AG1001+IF(SUMPRODUCT(--($AL1001:$AQ1001&gt;AN1001))+SUMPRODUCT(--($AL1001:AM1001=AN1001))&lt;$AK1001,1,0)</f>
        <v>77</v>
      </c>
      <c r="O1001" s="2" t="n">
        <f aca="false">AH1001+IF(SUMPRODUCT(--($AL1001:$AQ1001&gt;AO1001))+SUMPRODUCT(--($AL1001:AN1001=AO1001))&lt;$AK1001,1,0)</f>
        <v>83</v>
      </c>
      <c r="P1001" s="2" t="n">
        <f aca="false">AI1001+IF(SUMPRODUCT(--($AL1001:$AQ1001&gt;AP1001))+SUMPRODUCT(--($AL1001:AO1001=AP1001))&lt;$AK1001,1,0)</f>
        <v>97</v>
      </c>
      <c r="Q1001" s="2" t="n">
        <f aca="false">AJ1001+IF(SUMPRODUCT(--($AL1001:$AQ1001&gt;AQ1001))+SUMPRODUCT(--($AL1001:AP1001=AQ1001))&lt;$AK1001,1,0)</f>
        <v>48</v>
      </c>
      <c r="R1001" s="2" t="n">
        <f aca="false">SUM(L1001:Q1001)</f>
        <v>500</v>
      </c>
      <c r="S1001" s="2" t="n">
        <f aca="false">Settings!$B$4*MAX(INDEX(Bases!$M$2:$M$53,B1001),INDEX(Bases!$M$2:$M$53,C1001))+Settings!$B$5*MIN(INDEX(Bases!$M$2:$M$53,B1001),INDEX(Bases!$M$2:$M$53,C1001))</f>
        <v>103.333333333333</v>
      </c>
      <c r="T1001" s="2" t="n">
        <f aca="false">Settings!$B$4*MAX(INDEX(Bases!$N$2:$N$53,B1001),INDEX(Bases!$N$2:$N$53,C1001))+Settings!$B$5*MIN(INDEX(Bases!$N$2:$N$53,B1001),INDEX(Bases!$N$2:$N$53,C1001))</f>
        <v>64</v>
      </c>
      <c r="U1001" s="2" t="n">
        <f aca="false">Settings!$B$4*MAX(INDEX(Bases!$O$2:$O$53,B1001),INDEX(Bases!$O$2:$O$53,C1001))+Settings!$B$5*MIN(INDEX(Bases!$O$2:$O$53,B1001),INDEX(Bases!$O$2:$O$53,C1001))</f>
        <v>65.6666666666667</v>
      </c>
      <c r="V1001" s="2" t="n">
        <f aca="false">Settings!$B$4*MAX(INDEX(Bases!$P$2:$P$53,B1001),INDEX(Bases!$P$2:$P$53,C1001))+Settings!$B$5*MIN(INDEX(Bases!$P$2:$P$53,B1001),INDEX(Bases!$P$2:$P$53,C1001))</f>
        <v>71.6666666666667</v>
      </c>
      <c r="W1001" s="2" t="n">
        <f aca="false">Settings!$B$4*MAX(INDEX(Bases!$Q$2:$Q$53,B1001),INDEX(Bases!$Q$2:$Q$53,C1001))+Settings!$B$5*MIN(INDEX(Bases!$Q$2:$Q$53,B1001),INDEX(Bases!$Q$2:$Q$53,C1001))</f>
        <v>83.3333333333333</v>
      </c>
      <c r="X1001" s="2" t="n">
        <f aca="false">Settings!$B$4*MAX(INDEX(Bases!$R$2:$R$53,B1001),INDEX(Bases!$R$2:$R$53,C1001))+Settings!$B$5*MIN(INDEX(Bases!$R$2:$R$53,B1001),INDEX(Bases!$R$2:$R$53,C1001))</f>
        <v>41</v>
      </c>
      <c r="Y1001" s="2" t="n">
        <f aca="false">S1001*Settings!$B$3/SUM(S1001:X1001)</f>
        <v>120.43512043512</v>
      </c>
      <c r="Z1001" s="2" t="n">
        <f aca="false">T1001*Settings!$B$3/SUM(S1001:X1001)</f>
        <v>74.5920745920746</v>
      </c>
      <c r="AA1001" s="2" t="n">
        <f aca="false">U1001*Settings!$B$3/SUM(S1001:X1001)</f>
        <v>76.5345765345765</v>
      </c>
      <c r="AB1001" s="2" t="n">
        <f aca="false">V1001*Settings!$B$3/SUM(S1001:X1001)</f>
        <v>83.5275835275835</v>
      </c>
      <c r="AC1001" s="2" t="n">
        <f aca="false">W1001*Settings!$B$3/SUM(S1001:X1001)</f>
        <v>97.1250971250971</v>
      </c>
      <c r="AD1001" s="2" t="n">
        <f aca="false">X1001*Settings!$B$3/SUM(S1001:X1001)</f>
        <v>47.7855477855478</v>
      </c>
      <c r="AE1001" s="2" t="n">
        <f aca="false">INT(Y1001)</f>
        <v>120</v>
      </c>
      <c r="AF1001" s="2" t="n">
        <f aca="false">INT(Z1001)</f>
        <v>74</v>
      </c>
      <c r="AG1001" s="2" t="n">
        <f aca="false">INT(AA1001)</f>
        <v>76</v>
      </c>
      <c r="AH1001" s="2" t="n">
        <f aca="false">INT(AB1001)</f>
        <v>83</v>
      </c>
      <c r="AI1001" s="2" t="n">
        <f aca="false">INT(AC1001)</f>
        <v>97</v>
      </c>
      <c r="AJ1001" s="2" t="n">
        <f aca="false">INT(AD1001)</f>
        <v>47</v>
      </c>
      <c r="AK1001" s="2" t="n">
        <f aca="false">Settings!$B$3-SUM(AE1001:AJ1001)</f>
        <v>3</v>
      </c>
      <c r="AL1001" s="2" t="n">
        <f aca="false">ROUND(Y1001-AE1001,9)</f>
        <v>0.435120435</v>
      </c>
      <c r="AM1001" s="2" t="n">
        <f aca="false">ROUND(Z1001-AF1001,9)</f>
        <v>0.592074592</v>
      </c>
      <c r="AN1001" s="2" t="n">
        <f aca="false">ROUND(AA1001-AG1001,9)</f>
        <v>0.534576535</v>
      </c>
      <c r="AO1001" s="2" t="n">
        <f aca="false">ROUND(AB1001-AH1001,9)</f>
        <v>0.527583528</v>
      </c>
      <c r="AP1001" s="2" t="n">
        <f aca="false">ROUND(AC1001-AI1001,9)</f>
        <v>0.125097125</v>
      </c>
      <c r="AQ1001" s="2" t="n">
        <f aca="false">ROUND(AD1001-AJ1001,9)</f>
        <v>0.785547786</v>
      </c>
    </row>
    <row r="1002" customFormat="false" ht="15" hidden="false" customHeight="false" outlineLevel="0" collapsed="false">
      <c r="A1002" s="2" t="n">
        <v>1001</v>
      </c>
      <c r="B1002" s="6" t="n">
        <v>26</v>
      </c>
      <c r="C1002" s="6" t="n">
        <v>52</v>
      </c>
      <c r="D1002" s="8" t="str">
        <f aca="false">INDEX(Bases!$B$2:$B$53,B1002)</f>
        <v>Phanpy</v>
      </c>
      <c r="E1002" s="8" t="str">
        <f aca="false">INDEX(Bases!$B$2:$B$53,C1002)</f>
        <v>Togepi</v>
      </c>
      <c r="F1002" s="2" t="str">
        <f aca="false">LEFT(D1002,ROUNDUP(LEN(D1002)/2,0))&amp;LOWER(MID(E1002,ROUNDUP(LEN(E1002)/2,0)+1,20))</f>
        <v>Phaepi</v>
      </c>
      <c r="G1002" s="8" t="str">
        <f aca="false">INDEX(Bases!$C$2:$C$53,B1002)</f>
        <v>Ground</v>
      </c>
      <c r="H1002" s="8" t="str">
        <f aca="false">IF(INDEX(Bases!$C$2:$C$53,C1002)=G1002,"",INDEX(Bases!$C$2:$C$53,C1002))</f>
        <v>Fairy</v>
      </c>
      <c r="I1002" s="8" t="str">
        <f aca="false">IF(INDEX(Bases!$E$2:$E$53,B1002)="","",INDEX(Bases!$E$2:$E$53,B1002))</f>
        <v/>
      </c>
      <c r="J1002" s="8" t="str">
        <f aca="false">IF(INDEX(Bases!$E$2:$E$53,C1002)="","",INDEX(Bases!$E$2:$E$53,C1002))</f>
        <v/>
      </c>
      <c r="K1002" s="5"/>
      <c r="L1002" s="2" t="n">
        <f aca="false">AE1002+IF(SUMPRODUCT(--($AL1002:$AQ1002&gt;AL1002))&lt;$AK1002,1,0)</f>
        <v>105</v>
      </c>
      <c r="M1002" s="2" t="n">
        <f aca="false">AF1002+IF(SUMPRODUCT(--($AL1002:$AQ1002&gt;AM1002))+SUMPRODUCT(--($AL1002:AL1002=AM1002))&lt;$AK1002,1,0)</f>
        <v>69</v>
      </c>
      <c r="N1002" s="2" t="n">
        <f aca="false">AG1002+IF(SUMPRODUCT(--($AL1002:$AQ1002&gt;AN1002))+SUMPRODUCT(--($AL1002:AM1002=AN1002))&lt;$AK1002,1,0)</f>
        <v>109</v>
      </c>
      <c r="O1002" s="2" t="n">
        <f aca="false">AH1002+IF(SUMPRODUCT(--($AL1002:$AQ1002&gt;AO1002))+SUMPRODUCT(--($AL1002:AN1002=AO1002))&lt;$AK1002,1,0)</f>
        <v>69</v>
      </c>
      <c r="P1002" s="2" t="n">
        <f aca="false">AI1002+IF(SUMPRODUCT(--($AL1002:$AQ1002&gt;AP1002))+SUMPRODUCT(--($AL1002:AO1002=AP1002))&lt;$AK1002,1,0)</f>
        <v>99</v>
      </c>
      <c r="Q1002" s="2" t="n">
        <f aca="false">AJ1002+IF(SUMPRODUCT(--($AL1002:$AQ1002&gt;AQ1002))+SUMPRODUCT(--($AL1002:AP1002=AQ1002))&lt;$AK1002,1,0)</f>
        <v>49</v>
      </c>
      <c r="R1002" s="2" t="n">
        <f aca="false">SUM(L1002:Q1002)</f>
        <v>500</v>
      </c>
      <c r="S1002" s="2" t="n">
        <f aca="false">Settings!$B$4*MAX(INDEX(Bases!$M$2:$M$53,B1002),INDEX(Bases!$M$2:$M$53,C1002))+Settings!$B$5*MIN(INDEX(Bases!$M$2:$M$53,B1002),INDEX(Bases!$M$2:$M$53,C1002))</f>
        <v>91.6666666666667</v>
      </c>
      <c r="T1002" s="2" t="n">
        <f aca="false">Settings!$B$4*MAX(INDEX(Bases!$N$2:$N$53,B1002),INDEX(Bases!$N$2:$N$53,C1002))+Settings!$B$5*MIN(INDEX(Bases!$N$2:$N$53,B1002),INDEX(Bases!$N$2:$N$53,C1002))</f>
        <v>59.6666666666667</v>
      </c>
      <c r="U1002" s="2" t="n">
        <f aca="false">Settings!$B$4*MAX(INDEX(Bases!$O$2:$O$53,B1002),INDEX(Bases!$O$2:$O$53,C1002))+Settings!$B$5*MIN(INDEX(Bases!$O$2:$O$53,B1002),INDEX(Bases!$O$2:$O$53,C1002))</f>
        <v>95</v>
      </c>
      <c r="V1002" s="2" t="n">
        <f aca="false">Settings!$B$4*MAX(INDEX(Bases!$P$2:$P$53,B1002),INDEX(Bases!$P$2:$P$53,C1002))+Settings!$B$5*MIN(INDEX(Bases!$P$2:$P$53,B1002),INDEX(Bases!$P$2:$P$53,C1002))</f>
        <v>59.6666666666667</v>
      </c>
      <c r="W1002" s="2" t="n">
        <f aca="false">Settings!$B$4*MAX(INDEX(Bases!$Q$2:$Q$53,B1002),INDEX(Bases!$Q$2:$Q$53,C1002))+Settings!$B$5*MIN(INDEX(Bases!$Q$2:$Q$53,B1002),INDEX(Bases!$Q$2:$Q$53,C1002))</f>
        <v>86.6666666666667</v>
      </c>
      <c r="X1002" s="2" t="n">
        <f aca="false">Settings!$B$4*MAX(INDEX(Bases!$R$2:$R$53,B1002),INDEX(Bases!$R$2:$R$53,C1002))+Settings!$B$5*MIN(INDEX(Bases!$R$2:$R$53,B1002),INDEX(Bases!$R$2:$R$53,C1002))</f>
        <v>43</v>
      </c>
      <c r="Y1002" s="2" t="n">
        <f aca="false">S1002*Settings!$B$3/SUM(S1002:X1002)</f>
        <v>105.202754399388</v>
      </c>
      <c r="Z1002" s="2" t="n">
        <f aca="false">T1002*Settings!$B$3/SUM(S1002:X1002)</f>
        <v>68.477429227238</v>
      </c>
      <c r="AA1002" s="2" t="n">
        <f aca="false">U1002*Settings!$B$3/SUM(S1002:X1002)</f>
        <v>109.02830910482</v>
      </c>
      <c r="AB1002" s="2" t="n">
        <f aca="false">V1002*Settings!$B$3/SUM(S1002:X1002)</f>
        <v>68.477429227238</v>
      </c>
      <c r="AC1002" s="2" t="n">
        <f aca="false">W1002*Settings!$B$3/SUM(S1002:X1002)</f>
        <v>99.4644223412395</v>
      </c>
      <c r="AD1002" s="2" t="n">
        <f aca="false">X1002*Settings!$B$3/SUM(S1002:X1002)</f>
        <v>49.3496557000765</v>
      </c>
      <c r="AE1002" s="2" t="n">
        <f aca="false">INT(Y1002)</f>
        <v>105</v>
      </c>
      <c r="AF1002" s="2" t="n">
        <f aca="false">INT(Z1002)</f>
        <v>68</v>
      </c>
      <c r="AG1002" s="2" t="n">
        <f aca="false">INT(AA1002)</f>
        <v>109</v>
      </c>
      <c r="AH1002" s="2" t="n">
        <f aca="false">INT(AB1002)</f>
        <v>68</v>
      </c>
      <c r="AI1002" s="2" t="n">
        <f aca="false">INT(AC1002)</f>
        <v>99</v>
      </c>
      <c r="AJ1002" s="2" t="n">
        <f aca="false">INT(AD1002)</f>
        <v>49</v>
      </c>
      <c r="AK1002" s="2" t="n">
        <f aca="false">Settings!$B$3-SUM(AE1002:AJ1002)</f>
        <v>2</v>
      </c>
      <c r="AL1002" s="2" t="n">
        <f aca="false">ROUND(Y1002-AE1002,9)</f>
        <v>0.202754399</v>
      </c>
      <c r="AM1002" s="2" t="n">
        <f aca="false">ROUND(Z1002-AF1002,9)</f>
        <v>0.477429227</v>
      </c>
      <c r="AN1002" s="2" t="n">
        <f aca="false">ROUND(AA1002-AG1002,9)</f>
        <v>0.028309105</v>
      </c>
      <c r="AO1002" s="2" t="n">
        <f aca="false">ROUND(AB1002-AH1002,9)</f>
        <v>0.477429227</v>
      </c>
      <c r="AP1002" s="2" t="n">
        <f aca="false">ROUND(AC1002-AI1002,9)</f>
        <v>0.464422341</v>
      </c>
      <c r="AQ1002" s="2" t="n">
        <f aca="false">ROUND(AD1002-AJ1002,9)</f>
        <v>0.3496557</v>
      </c>
    </row>
    <row r="1003" customFormat="false" ht="15" hidden="false" customHeight="false" outlineLevel="0" collapsed="false">
      <c r="A1003" s="2" t="n">
        <v>1002</v>
      </c>
      <c r="B1003" s="6" t="n">
        <v>27</v>
      </c>
      <c r="C1003" s="6" t="n">
        <v>28</v>
      </c>
      <c r="D1003" s="8" t="str">
        <f aca="false">INDEX(Bases!$B$2:$B$53,B1003)</f>
        <v>Baltoy</v>
      </c>
      <c r="E1003" s="8" t="str">
        <f aca="false">INDEX(Bases!$B$2:$B$53,C1003)</f>
        <v>Zubat</v>
      </c>
      <c r="F1003" s="2" t="str">
        <f aca="false">LEFT(D1003,ROUNDUP(LEN(D1003)/2,0))&amp;LOWER(MID(E1003,ROUNDUP(LEN(E1003)/2,0)+1,20))</f>
        <v>Balat</v>
      </c>
      <c r="G1003" s="8" t="str">
        <f aca="false">INDEX(Bases!$C$2:$C$53,B1003)</f>
        <v>Ground</v>
      </c>
      <c r="H1003" s="8" t="str">
        <f aca="false">IF(INDEX(Bases!$C$2:$C$53,C1003)=G1003,"",INDEX(Bases!$C$2:$C$53,C1003))</f>
        <v>Flying</v>
      </c>
      <c r="I1003" s="8" t="str">
        <f aca="false">IF(INDEX(Bases!$E$2:$E$53,B1003)="","",INDEX(Bases!$E$2:$E$53,B1003))</f>
        <v/>
      </c>
      <c r="J1003" s="8" t="str">
        <f aca="false">IF(INDEX(Bases!$E$2:$E$53,C1003)="","",INDEX(Bases!$E$2:$E$53,C1003))</f>
        <v/>
      </c>
      <c r="K1003" s="5"/>
      <c r="L1003" s="2" t="n">
        <f aca="false">AE1003+IF(SUMPRODUCT(--($AL1003:$AQ1003&gt;AL1003))&lt;$AK1003,1,0)</f>
        <v>74</v>
      </c>
      <c r="M1003" s="2" t="n">
        <f aca="false">AF1003+IF(SUMPRODUCT(--($AL1003:$AQ1003&gt;AM1003))+SUMPRODUCT(--($AL1003:AL1003=AM1003))&lt;$AK1003,1,0)</f>
        <v>81</v>
      </c>
      <c r="N1003" s="2" t="n">
        <f aca="false">AG1003+IF(SUMPRODUCT(--($AL1003:$AQ1003&gt;AN1003))+SUMPRODUCT(--($AL1003:AM1003=AN1003))&lt;$AK1003,1,0)</f>
        <v>81</v>
      </c>
      <c r="O1003" s="2" t="n">
        <f aca="false">AH1003+IF(SUMPRODUCT(--($AL1003:$AQ1003&gt;AO1003))+SUMPRODUCT(--($AL1003:AN1003=AO1003))&lt;$AK1003,1,0)</f>
        <v>62</v>
      </c>
      <c r="P1003" s="2" t="n">
        <f aca="false">AI1003+IF(SUMPRODUCT(--($AL1003:$AQ1003&gt;AP1003))+SUMPRODUCT(--($AL1003:AO1003=AP1003))&lt;$AK1003,1,0)</f>
        <v>101</v>
      </c>
      <c r="Q1003" s="2" t="n">
        <f aca="false">AJ1003+IF(SUMPRODUCT(--($AL1003:$AQ1003&gt;AQ1003))+SUMPRODUCT(--($AL1003:AP1003=AQ1003))&lt;$AK1003,1,0)</f>
        <v>101</v>
      </c>
      <c r="R1003" s="2" t="n">
        <f aca="false">SUM(L1003:Q1003)</f>
        <v>500</v>
      </c>
      <c r="S1003" s="2" t="n">
        <f aca="false">Settings!$B$4*MAX(INDEX(Bases!$M$2:$M$53,B1003),INDEX(Bases!$M$2:$M$53,C1003))+Settings!$B$5*MIN(INDEX(Bases!$M$2:$M$53,B1003),INDEX(Bases!$M$2:$M$53,C1003))</f>
        <v>61.3333333333333</v>
      </c>
      <c r="T1003" s="2" t="n">
        <f aca="false">Settings!$B$4*MAX(INDEX(Bases!$N$2:$N$53,B1003),INDEX(Bases!$N$2:$N$53,C1003))+Settings!$B$5*MIN(INDEX(Bases!$N$2:$N$53,B1003),INDEX(Bases!$N$2:$N$53,C1003))</f>
        <v>67.3333333333333</v>
      </c>
      <c r="U1003" s="2" t="n">
        <f aca="false">Settings!$B$4*MAX(INDEX(Bases!$O$2:$O$53,B1003),INDEX(Bases!$O$2:$O$53,C1003))+Settings!$B$5*MIN(INDEX(Bases!$O$2:$O$53,B1003),INDEX(Bases!$O$2:$O$53,C1003))</f>
        <v>67.6666666666667</v>
      </c>
      <c r="V1003" s="2" t="n">
        <f aca="false">Settings!$B$4*MAX(INDEX(Bases!$P$2:$P$53,B1003),INDEX(Bases!$P$2:$P$53,C1003))+Settings!$B$5*MIN(INDEX(Bases!$P$2:$P$53,B1003),INDEX(Bases!$P$2:$P$53,C1003))</f>
        <v>51.6666666666667</v>
      </c>
      <c r="W1003" s="2" t="n">
        <f aca="false">Settings!$B$4*MAX(INDEX(Bases!$Q$2:$Q$53,B1003),INDEX(Bases!$Q$2:$Q$53,C1003))+Settings!$B$5*MIN(INDEX(Bases!$Q$2:$Q$53,B1003),INDEX(Bases!$Q$2:$Q$53,C1003))</f>
        <v>83.6666666666667</v>
      </c>
      <c r="X1003" s="2" t="n">
        <f aca="false">Settings!$B$4*MAX(INDEX(Bases!$R$2:$R$53,B1003),INDEX(Bases!$R$2:$R$53,C1003))+Settings!$B$5*MIN(INDEX(Bases!$R$2:$R$53,B1003),INDEX(Bases!$R$2:$R$53,C1003))</f>
        <v>84.3333333333333</v>
      </c>
      <c r="Y1003" s="2" t="n">
        <f aca="false">S1003*Settings!$B$3/SUM(S1003:X1003)</f>
        <v>73.7179487179487</v>
      </c>
      <c r="Z1003" s="2" t="n">
        <f aca="false">T1003*Settings!$B$3/SUM(S1003:X1003)</f>
        <v>80.9294871794872</v>
      </c>
      <c r="AA1003" s="2" t="n">
        <f aca="false">U1003*Settings!$B$3/SUM(S1003:X1003)</f>
        <v>81.3301282051282</v>
      </c>
      <c r="AB1003" s="2" t="n">
        <f aca="false">V1003*Settings!$B$3/SUM(S1003:X1003)</f>
        <v>62.099358974359</v>
      </c>
      <c r="AC1003" s="2" t="n">
        <f aca="false">W1003*Settings!$B$3/SUM(S1003:X1003)</f>
        <v>100.560897435897</v>
      </c>
      <c r="AD1003" s="2" t="n">
        <f aca="false">X1003*Settings!$B$3/SUM(S1003:X1003)</f>
        <v>101.36217948718</v>
      </c>
      <c r="AE1003" s="2" t="n">
        <f aca="false">INT(Y1003)</f>
        <v>73</v>
      </c>
      <c r="AF1003" s="2" t="n">
        <f aca="false">INT(Z1003)</f>
        <v>80</v>
      </c>
      <c r="AG1003" s="2" t="n">
        <f aca="false">INT(AA1003)</f>
        <v>81</v>
      </c>
      <c r="AH1003" s="2" t="n">
        <f aca="false">INT(AB1003)</f>
        <v>62</v>
      </c>
      <c r="AI1003" s="2" t="n">
        <f aca="false">INT(AC1003)</f>
        <v>100</v>
      </c>
      <c r="AJ1003" s="2" t="n">
        <f aca="false">INT(AD1003)</f>
        <v>101</v>
      </c>
      <c r="AK1003" s="2" t="n">
        <f aca="false">Settings!$B$3-SUM(AE1003:AJ1003)</f>
        <v>3</v>
      </c>
      <c r="AL1003" s="2" t="n">
        <f aca="false">ROUND(Y1003-AE1003,9)</f>
        <v>0.717948718</v>
      </c>
      <c r="AM1003" s="2" t="n">
        <f aca="false">ROUND(Z1003-AF1003,9)</f>
        <v>0.929487179</v>
      </c>
      <c r="AN1003" s="2" t="n">
        <f aca="false">ROUND(AA1003-AG1003,9)</f>
        <v>0.330128205</v>
      </c>
      <c r="AO1003" s="2" t="n">
        <f aca="false">ROUND(AB1003-AH1003,9)</f>
        <v>0.099358974</v>
      </c>
      <c r="AP1003" s="2" t="n">
        <f aca="false">ROUND(AC1003-AI1003,9)</f>
        <v>0.560897436</v>
      </c>
      <c r="AQ1003" s="2" t="n">
        <f aca="false">ROUND(AD1003-AJ1003,9)</f>
        <v>0.362179487</v>
      </c>
    </row>
    <row r="1004" customFormat="false" ht="15" hidden="false" customHeight="false" outlineLevel="0" collapsed="false">
      <c r="A1004" s="2" t="n">
        <v>1003</v>
      </c>
      <c r="B1004" s="6" t="n">
        <v>27</v>
      </c>
      <c r="C1004" s="6" t="n">
        <v>29</v>
      </c>
      <c r="D1004" s="8" t="str">
        <f aca="false">INDEX(Bases!$B$2:$B$53,B1004)</f>
        <v>Baltoy</v>
      </c>
      <c r="E1004" s="8" t="str">
        <f aca="false">INDEX(Bases!$B$2:$B$53,C1004)</f>
        <v>Murkrow</v>
      </c>
      <c r="F1004" s="2" t="str">
        <f aca="false">LEFT(D1004,ROUNDUP(LEN(D1004)/2,0))&amp;LOWER(MID(E1004,ROUNDUP(LEN(E1004)/2,0)+1,20))</f>
        <v>Balrow</v>
      </c>
      <c r="G1004" s="8" t="str">
        <f aca="false">INDEX(Bases!$C$2:$C$53,B1004)</f>
        <v>Ground</v>
      </c>
      <c r="H1004" s="8" t="str">
        <f aca="false">IF(INDEX(Bases!$C$2:$C$53,C1004)=G1004,"",INDEX(Bases!$C$2:$C$53,C1004))</f>
        <v>Flying</v>
      </c>
      <c r="I1004" s="8" t="str">
        <f aca="false">IF(INDEX(Bases!$E$2:$E$53,B1004)="","",INDEX(Bases!$E$2:$E$53,B1004))</f>
        <v/>
      </c>
      <c r="J1004" s="8" t="str">
        <f aca="false">IF(INDEX(Bases!$E$2:$E$53,C1004)="","",INDEX(Bases!$E$2:$E$53,C1004))</f>
        <v/>
      </c>
      <c r="K1004" s="5"/>
      <c r="L1004" s="2" t="n">
        <f aca="false">AE1004+IF(SUMPRODUCT(--($AL1004:$AQ1004&gt;AL1004))&lt;$AK1004,1,0)</f>
        <v>67</v>
      </c>
      <c r="M1004" s="2" t="n">
        <f aca="false">AF1004+IF(SUMPRODUCT(--($AL1004:$AQ1004&gt;AM1004))+SUMPRODUCT(--($AL1004:AL1004=AM1004))&lt;$AK1004,1,0)</f>
        <v>87</v>
      </c>
      <c r="N1004" s="2" t="n">
        <f aca="false">AG1004+IF(SUMPRODUCT(--($AL1004:$AQ1004&gt;AN1004))+SUMPRODUCT(--($AL1004:AM1004=AN1004))&lt;$AK1004,1,0)</f>
        <v>73</v>
      </c>
      <c r="O1004" s="2" t="n">
        <f aca="false">AH1004+IF(SUMPRODUCT(--($AL1004:$AQ1004&gt;AO1004))+SUMPRODUCT(--($AL1004:AN1004=AO1004))&lt;$AK1004,1,0)</f>
        <v>86</v>
      </c>
      <c r="P1004" s="2" t="n">
        <f aca="false">AI1004+IF(SUMPRODUCT(--($AL1004:$AQ1004&gt;AP1004))+SUMPRODUCT(--($AL1004:AO1004=AP1004))&lt;$AK1004,1,0)</f>
        <v>88</v>
      </c>
      <c r="Q1004" s="2" t="n">
        <f aca="false">AJ1004+IF(SUMPRODUCT(--($AL1004:$AQ1004&gt;AQ1004))+SUMPRODUCT(--($AL1004:AP1004=AQ1004))&lt;$AK1004,1,0)</f>
        <v>99</v>
      </c>
      <c r="R1004" s="2" t="n">
        <f aca="false">SUM(L1004:Q1004)</f>
        <v>500</v>
      </c>
      <c r="S1004" s="2" t="n">
        <f aca="false">Settings!$B$4*MAX(INDEX(Bases!$M$2:$M$53,B1004),INDEX(Bases!$M$2:$M$53,C1004))+Settings!$B$5*MIN(INDEX(Bases!$M$2:$M$53,B1004),INDEX(Bases!$M$2:$M$53,C1004))</f>
        <v>57.3333333333333</v>
      </c>
      <c r="T1004" s="2" t="n">
        <f aca="false">Settings!$B$4*MAX(INDEX(Bases!$N$2:$N$53,B1004),INDEX(Bases!$N$2:$N$53,C1004))+Settings!$B$5*MIN(INDEX(Bases!$N$2:$N$53,B1004),INDEX(Bases!$N$2:$N$53,C1004))</f>
        <v>74</v>
      </c>
      <c r="U1004" s="2" t="n">
        <f aca="false">Settings!$B$4*MAX(INDEX(Bases!$O$2:$O$53,B1004),INDEX(Bases!$O$2:$O$53,C1004))+Settings!$B$5*MIN(INDEX(Bases!$O$2:$O$53,B1004),INDEX(Bases!$O$2:$O$53,C1004))</f>
        <v>62.6666666666667</v>
      </c>
      <c r="V1004" s="2" t="n">
        <f aca="false">Settings!$B$4*MAX(INDEX(Bases!$P$2:$P$53,B1004),INDEX(Bases!$P$2:$P$53,C1004))+Settings!$B$5*MIN(INDEX(Bases!$P$2:$P$53,B1004),INDEX(Bases!$P$2:$P$53,C1004))</f>
        <v>73.6666666666667</v>
      </c>
      <c r="W1004" s="2" t="n">
        <f aca="false">Settings!$B$4*MAX(INDEX(Bases!$Q$2:$Q$53,B1004),INDEX(Bases!$Q$2:$Q$53,C1004))+Settings!$B$5*MIN(INDEX(Bases!$Q$2:$Q$53,B1004),INDEX(Bases!$Q$2:$Q$53,C1004))</f>
        <v>75.6666666666667</v>
      </c>
      <c r="X1004" s="2" t="n">
        <f aca="false">Settings!$B$4*MAX(INDEX(Bases!$R$2:$R$53,B1004),INDEX(Bases!$R$2:$R$53,C1004))+Settings!$B$5*MIN(INDEX(Bases!$R$2:$R$53,B1004),INDEX(Bases!$R$2:$R$53,C1004))</f>
        <v>84.3333333333333</v>
      </c>
      <c r="Y1004" s="2" t="n">
        <f aca="false">S1004*Settings!$B$3/SUM(S1004:X1004)</f>
        <v>67.0303975058457</v>
      </c>
      <c r="Z1004" s="2" t="n">
        <f aca="false">T1004*Settings!$B$3/SUM(S1004:X1004)</f>
        <v>86.5159781761497</v>
      </c>
      <c r="AA1004" s="2" t="n">
        <f aca="false">U1004*Settings!$B$3/SUM(S1004:X1004)</f>
        <v>73.265783320343</v>
      </c>
      <c r="AB1004" s="2" t="n">
        <f aca="false">V1004*Settings!$B$3/SUM(S1004:X1004)</f>
        <v>86.1262665627436</v>
      </c>
      <c r="AC1004" s="2" t="n">
        <f aca="false">W1004*Settings!$B$3/SUM(S1004:X1004)</f>
        <v>88.4645362431801</v>
      </c>
      <c r="AD1004" s="2" t="n">
        <f aca="false">X1004*Settings!$B$3/SUM(S1004:X1004)</f>
        <v>98.5970381917381</v>
      </c>
      <c r="AE1004" s="2" t="n">
        <f aca="false">INT(Y1004)</f>
        <v>67</v>
      </c>
      <c r="AF1004" s="2" t="n">
        <f aca="false">INT(Z1004)</f>
        <v>86</v>
      </c>
      <c r="AG1004" s="2" t="n">
        <f aca="false">INT(AA1004)</f>
        <v>73</v>
      </c>
      <c r="AH1004" s="2" t="n">
        <f aca="false">INT(AB1004)</f>
        <v>86</v>
      </c>
      <c r="AI1004" s="2" t="n">
        <f aca="false">INT(AC1004)</f>
        <v>88</v>
      </c>
      <c r="AJ1004" s="2" t="n">
        <f aca="false">INT(AD1004)</f>
        <v>98</v>
      </c>
      <c r="AK1004" s="2" t="n">
        <f aca="false">Settings!$B$3-SUM(AE1004:AJ1004)</f>
        <v>2</v>
      </c>
      <c r="AL1004" s="2" t="n">
        <f aca="false">ROUND(Y1004-AE1004,9)</f>
        <v>0.030397506</v>
      </c>
      <c r="AM1004" s="2" t="n">
        <f aca="false">ROUND(Z1004-AF1004,9)</f>
        <v>0.515978176</v>
      </c>
      <c r="AN1004" s="2" t="n">
        <f aca="false">ROUND(AA1004-AG1004,9)</f>
        <v>0.26578332</v>
      </c>
      <c r="AO1004" s="2" t="n">
        <f aca="false">ROUND(AB1004-AH1004,9)</f>
        <v>0.126266563</v>
      </c>
      <c r="AP1004" s="2" t="n">
        <f aca="false">ROUND(AC1004-AI1004,9)</f>
        <v>0.464536243</v>
      </c>
      <c r="AQ1004" s="2" t="n">
        <f aca="false">ROUND(AD1004-AJ1004,9)</f>
        <v>0.597038192</v>
      </c>
    </row>
    <row r="1005" customFormat="false" ht="15" hidden="false" customHeight="false" outlineLevel="0" collapsed="false">
      <c r="A1005" s="2" t="n">
        <v>1004</v>
      </c>
      <c r="B1005" s="6" t="n">
        <v>27</v>
      </c>
      <c r="C1005" s="6" t="n">
        <v>30</v>
      </c>
      <c r="D1005" s="8" t="str">
        <f aca="false">INDEX(Bases!$B$2:$B$53,B1005)</f>
        <v>Baltoy</v>
      </c>
      <c r="E1005" s="8" t="str">
        <f aca="false">INDEX(Bases!$B$2:$B$53,C1005)</f>
        <v>Swablu</v>
      </c>
      <c r="F1005" s="2" t="str">
        <f aca="false">LEFT(D1005,ROUNDUP(LEN(D1005)/2,0))&amp;LOWER(MID(E1005,ROUNDUP(LEN(E1005)/2,0)+1,20))</f>
        <v>Balblu</v>
      </c>
      <c r="G1005" s="8" t="str">
        <f aca="false">INDEX(Bases!$C$2:$C$53,B1005)</f>
        <v>Ground</v>
      </c>
      <c r="H1005" s="8" t="str">
        <f aca="false">IF(INDEX(Bases!$C$2:$C$53,C1005)=G1005,"",INDEX(Bases!$C$2:$C$53,C1005))</f>
        <v>Flying</v>
      </c>
      <c r="I1005" s="8" t="str">
        <f aca="false">IF(INDEX(Bases!$E$2:$E$53,B1005)="","",INDEX(Bases!$E$2:$E$53,B1005))</f>
        <v/>
      </c>
      <c r="J1005" s="8" t="str">
        <f aca="false">IF(INDEX(Bases!$E$2:$E$53,C1005)="","",INDEX(Bases!$E$2:$E$53,C1005))</f>
        <v/>
      </c>
      <c r="K1005" s="5"/>
      <c r="L1005" s="2" t="n">
        <f aca="false">AE1005+IF(SUMPRODUCT(--($AL1005:$AQ1005&gt;AL1005))&lt;$AK1005,1,0)</f>
        <v>70</v>
      </c>
      <c r="M1005" s="2" t="n">
        <f aca="false">AF1005+IF(SUMPRODUCT(--($AL1005:$AQ1005&gt;AM1005))+SUMPRODUCT(--($AL1005:AL1005=AM1005))&lt;$AK1005,1,0)</f>
        <v>66</v>
      </c>
      <c r="N1005" s="2" t="n">
        <f aca="false">AG1005+IF(SUMPRODUCT(--($AL1005:$AQ1005&gt;AN1005))+SUMPRODUCT(--($AL1005:AM1005=AN1005))&lt;$AK1005,1,0)</f>
        <v>94</v>
      </c>
      <c r="O1005" s="2" t="n">
        <f aca="false">AH1005+IF(SUMPRODUCT(--($AL1005:$AQ1005&gt;AO1005))+SUMPRODUCT(--($AL1005:AN1005=AO1005))&lt;$AK1005,1,0)</f>
        <v>65</v>
      </c>
      <c r="P1005" s="2" t="n">
        <f aca="false">AI1005+IF(SUMPRODUCT(--($AL1005:$AQ1005&gt;AP1005))+SUMPRODUCT(--($AL1005:AO1005=AP1005))&lt;$AK1005,1,0)</f>
        <v>118</v>
      </c>
      <c r="Q1005" s="2" t="n">
        <f aca="false">AJ1005+IF(SUMPRODUCT(--($AL1005:$AQ1005&gt;AQ1005))+SUMPRODUCT(--($AL1005:AP1005=AQ1005))&lt;$AK1005,1,0)</f>
        <v>87</v>
      </c>
      <c r="R1005" s="2" t="n">
        <f aca="false">SUM(L1005:Q1005)</f>
        <v>500</v>
      </c>
      <c r="S1005" s="2" t="n">
        <f aca="false">Settings!$B$4*MAX(INDEX(Bases!$M$2:$M$53,B1005),INDEX(Bases!$M$2:$M$53,C1005))+Settings!$B$5*MIN(INDEX(Bases!$M$2:$M$53,B1005),INDEX(Bases!$M$2:$M$53,C1005))</f>
        <v>56.6666666666667</v>
      </c>
      <c r="T1005" s="2" t="n">
        <f aca="false">Settings!$B$4*MAX(INDEX(Bases!$N$2:$N$53,B1005),INDEX(Bases!$N$2:$N$53,C1005))+Settings!$B$5*MIN(INDEX(Bases!$N$2:$N$53,B1005),INDEX(Bases!$N$2:$N$53,C1005))</f>
        <v>53.3333333333333</v>
      </c>
      <c r="U1005" s="2" t="n">
        <f aca="false">Settings!$B$4*MAX(INDEX(Bases!$O$2:$O$53,B1005),INDEX(Bases!$O$2:$O$53,C1005))+Settings!$B$5*MIN(INDEX(Bases!$O$2:$O$53,B1005),INDEX(Bases!$O$2:$O$53,C1005))</f>
        <v>75.6666666666667</v>
      </c>
      <c r="V1005" s="2" t="n">
        <f aca="false">Settings!$B$4*MAX(INDEX(Bases!$P$2:$P$53,B1005),INDEX(Bases!$P$2:$P$53,C1005))+Settings!$B$5*MIN(INDEX(Bases!$P$2:$P$53,B1005),INDEX(Bases!$P$2:$P$53,C1005))</f>
        <v>52.6666666666667</v>
      </c>
      <c r="W1005" s="2" t="n">
        <f aca="false">Settings!$B$4*MAX(INDEX(Bases!$Q$2:$Q$53,B1005),INDEX(Bases!$Q$2:$Q$53,C1005))+Settings!$B$5*MIN(INDEX(Bases!$Q$2:$Q$53,B1005),INDEX(Bases!$Q$2:$Q$53,C1005))</f>
        <v>95.6666666666667</v>
      </c>
      <c r="X1005" s="2" t="n">
        <f aca="false">Settings!$B$4*MAX(INDEX(Bases!$R$2:$R$53,B1005),INDEX(Bases!$R$2:$R$53,C1005))+Settings!$B$5*MIN(INDEX(Bases!$R$2:$R$53,B1005),INDEX(Bases!$R$2:$R$53,C1005))</f>
        <v>70</v>
      </c>
      <c r="Y1005" s="2" t="n">
        <f aca="false">S1005*Settings!$B$3/SUM(S1005:X1005)</f>
        <v>70.1320132013201</v>
      </c>
      <c r="Z1005" s="2" t="n">
        <f aca="false">T1005*Settings!$B$3/SUM(S1005:X1005)</f>
        <v>66.006600660066</v>
      </c>
      <c r="AA1005" s="2" t="n">
        <f aca="false">U1005*Settings!$B$3/SUM(S1005:X1005)</f>
        <v>93.6468646864686</v>
      </c>
      <c r="AB1005" s="2" t="n">
        <f aca="false">V1005*Settings!$B$3/SUM(S1005:X1005)</f>
        <v>65.1815181518152</v>
      </c>
      <c r="AC1005" s="2" t="n">
        <f aca="false">W1005*Settings!$B$3/SUM(S1005:X1005)</f>
        <v>118.399339933993</v>
      </c>
      <c r="AD1005" s="2" t="n">
        <f aca="false">X1005*Settings!$B$3/SUM(S1005:X1005)</f>
        <v>86.6336633663366</v>
      </c>
      <c r="AE1005" s="2" t="n">
        <f aca="false">INT(Y1005)</f>
        <v>70</v>
      </c>
      <c r="AF1005" s="2" t="n">
        <f aca="false">INT(Z1005)</f>
        <v>66</v>
      </c>
      <c r="AG1005" s="2" t="n">
        <f aca="false">INT(AA1005)</f>
        <v>93</v>
      </c>
      <c r="AH1005" s="2" t="n">
        <f aca="false">INT(AB1005)</f>
        <v>65</v>
      </c>
      <c r="AI1005" s="2" t="n">
        <f aca="false">INT(AC1005)</f>
        <v>118</v>
      </c>
      <c r="AJ1005" s="2" t="n">
        <f aca="false">INT(AD1005)</f>
        <v>86</v>
      </c>
      <c r="AK1005" s="2" t="n">
        <f aca="false">Settings!$B$3-SUM(AE1005:AJ1005)</f>
        <v>2</v>
      </c>
      <c r="AL1005" s="2" t="n">
        <f aca="false">ROUND(Y1005-AE1005,9)</f>
        <v>0.132013201</v>
      </c>
      <c r="AM1005" s="2" t="n">
        <f aca="false">ROUND(Z1005-AF1005,9)</f>
        <v>0.00660066</v>
      </c>
      <c r="AN1005" s="2" t="n">
        <f aca="false">ROUND(AA1005-AG1005,9)</f>
        <v>0.646864686</v>
      </c>
      <c r="AO1005" s="2" t="n">
        <f aca="false">ROUND(AB1005-AH1005,9)</f>
        <v>0.181518152</v>
      </c>
      <c r="AP1005" s="2" t="n">
        <f aca="false">ROUND(AC1005-AI1005,9)</f>
        <v>0.399339934</v>
      </c>
      <c r="AQ1005" s="2" t="n">
        <f aca="false">ROUND(AD1005-AJ1005,9)</f>
        <v>0.633663366</v>
      </c>
    </row>
    <row r="1006" customFormat="false" ht="15" hidden="false" customHeight="false" outlineLevel="0" collapsed="false">
      <c r="A1006" s="2" t="n">
        <v>1005</v>
      </c>
      <c r="B1006" s="6" t="n">
        <v>27</v>
      </c>
      <c r="C1006" s="6" t="n">
        <v>31</v>
      </c>
      <c r="D1006" s="8" t="str">
        <f aca="false">INDEX(Bases!$B$2:$B$53,B1006)</f>
        <v>Baltoy</v>
      </c>
      <c r="E1006" s="8" t="str">
        <f aca="false">INDEX(Bases!$B$2:$B$53,C1006)</f>
        <v>Mew</v>
      </c>
      <c r="F1006" s="2" t="str">
        <f aca="false">LEFT(D1006,ROUNDUP(LEN(D1006)/2,0))&amp;LOWER(MID(E1006,ROUNDUP(LEN(E1006)/2,0)+1,20))</f>
        <v>Balw</v>
      </c>
      <c r="G1006" s="8" t="str">
        <f aca="false">INDEX(Bases!$C$2:$C$53,B1006)</f>
        <v>Ground</v>
      </c>
      <c r="H1006" s="8" t="str">
        <f aca="false">IF(INDEX(Bases!$C$2:$C$53,C1006)=G1006,"",INDEX(Bases!$C$2:$C$53,C1006))</f>
        <v>Psychic</v>
      </c>
      <c r="I1006" s="8" t="str">
        <f aca="false">IF(INDEX(Bases!$E$2:$E$53,B1006)="","",INDEX(Bases!$E$2:$E$53,B1006))</f>
        <v/>
      </c>
      <c r="J1006" s="8" t="str">
        <f aca="false">IF(INDEX(Bases!$E$2:$E$53,C1006)="","",INDEX(Bases!$E$2:$E$53,C1006))</f>
        <v/>
      </c>
      <c r="K1006" s="5"/>
      <c r="L1006" s="2" t="n">
        <f aca="false">AE1006+IF(SUMPRODUCT(--($AL1006:$AQ1006&gt;AL1006))&lt;$AK1006,1,0)</f>
        <v>76</v>
      </c>
      <c r="M1006" s="2" t="n">
        <f aca="false">AF1006+IF(SUMPRODUCT(--($AL1006:$AQ1006&gt;AM1006))+SUMPRODUCT(--($AL1006:AL1006=AM1006))&lt;$AK1006,1,0)</f>
        <v>76</v>
      </c>
      <c r="N1006" s="2" t="n">
        <f aca="false">AG1006+IF(SUMPRODUCT(--($AL1006:$AQ1006&gt;AN1006))+SUMPRODUCT(--($AL1006:AM1006=AN1006))&lt;$AK1006,1,0)</f>
        <v>86</v>
      </c>
      <c r="O1006" s="2" t="n">
        <f aca="false">AH1006+IF(SUMPRODUCT(--($AL1006:$AQ1006&gt;AO1006))+SUMPRODUCT(--($AL1006:AN1006=AO1006))&lt;$AK1006,1,0)</f>
        <v>75</v>
      </c>
      <c r="P1006" s="2" t="n">
        <f aca="false">AI1006+IF(SUMPRODUCT(--($AL1006:$AQ1006&gt;AP1006))+SUMPRODUCT(--($AL1006:AO1006=AP1006))&lt;$AK1006,1,0)</f>
        <v>102</v>
      </c>
      <c r="Q1006" s="2" t="n">
        <f aca="false">AJ1006+IF(SUMPRODUCT(--($AL1006:$AQ1006&gt;AQ1006))+SUMPRODUCT(--($AL1006:AP1006=AQ1006))&lt;$AK1006,1,0)</f>
        <v>85</v>
      </c>
      <c r="R1006" s="2" t="n">
        <f aca="false">SUM(L1006:Q1006)</f>
        <v>500</v>
      </c>
      <c r="S1006" s="2" t="n">
        <f aca="false">Settings!$B$4*MAX(INDEX(Bases!$M$2:$M$53,B1006),INDEX(Bases!$M$2:$M$53,C1006))+Settings!$B$5*MIN(INDEX(Bases!$M$2:$M$53,B1006),INDEX(Bases!$M$2:$M$53,C1006))</f>
        <v>62.6666666666667</v>
      </c>
      <c r="T1006" s="2" t="n">
        <f aca="false">Settings!$B$4*MAX(INDEX(Bases!$N$2:$N$53,B1006),INDEX(Bases!$N$2:$N$53,C1006))+Settings!$B$5*MIN(INDEX(Bases!$N$2:$N$53,B1006),INDEX(Bases!$N$2:$N$53,C1006))</f>
        <v>62.6666666666667</v>
      </c>
      <c r="U1006" s="2" t="n">
        <f aca="false">Settings!$B$4*MAX(INDEX(Bases!$O$2:$O$53,B1006),INDEX(Bases!$O$2:$O$53,C1006))+Settings!$B$5*MIN(INDEX(Bases!$O$2:$O$53,B1006),INDEX(Bases!$O$2:$O$53,C1006))</f>
        <v>71</v>
      </c>
      <c r="V1006" s="2" t="n">
        <f aca="false">Settings!$B$4*MAX(INDEX(Bases!$P$2:$P$53,B1006),INDEX(Bases!$P$2:$P$53,C1006))+Settings!$B$5*MIN(INDEX(Bases!$P$2:$P$53,B1006),INDEX(Bases!$P$2:$P$53,C1006))</f>
        <v>62.3333333333333</v>
      </c>
      <c r="W1006" s="2" t="n">
        <f aca="false">Settings!$B$4*MAX(INDEX(Bases!$Q$2:$Q$53,B1006),INDEX(Bases!$Q$2:$Q$53,C1006))+Settings!$B$5*MIN(INDEX(Bases!$Q$2:$Q$53,B1006),INDEX(Bases!$Q$2:$Q$53,C1006))</f>
        <v>84</v>
      </c>
      <c r="X1006" s="2" t="n">
        <f aca="false">Settings!$B$4*MAX(INDEX(Bases!$R$2:$R$53,B1006),INDEX(Bases!$R$2:$R$53,C1006))+Settings!$B$5*MIN(INDEX(Bases!$R$2:$R$53,B1006),INDEX(Bases!$R$2:$R$53,C1006))</f>
        <v>70.6666666666667</v>
      </c>
      <c r="Y1006" s="2" t="n">
        <f aca="false">S1006*Settings!$B$3/SUM(S1006:X1006)</f>
        <v>75.8064516129032</v>
      </c>
      <c r="Z1006" s="2" t="n">
        <f aca="false">T1006*Settings!$B$3/SUM(S1006:X1006)</f>
        <v>75.8064516129032</v>
      </c>
      <c r="AA1006" s="2" t="n">
        <f aca="false">U1006*Settings!$B$3/SUM(S1006:X1006)</f>
        <v>85.8870967741935</v>
      </c>
      <c r="AB1006" s="2" t="n">
        <f aca="false">V1006*Settings!$B$3/SUM(S1006:X1006)</f>
        <v>75.4032258064516</v>
      </c>
      <c r="AC1006" s="2" t="n">
        <f aca="false">W1006*Settings!$B$3/SUM(S1006:X1006)</f>
        <v>101.612903225806</v>
      </c>
      <c r="AD1006" s="2" t="n">
        <f aca="false">X1006*Settings!$B$3/SUM(S1006:X1006)</f>
        <v>85.4838709677419</v>
      </c>
      <c r="AE1006" s="2" t="n">
        <f aca="false">INT(Y1006)</f>
        <v>75</v>
      </c>
      <c r="AF1006" s="2" t="n">
        <f aca="false">INT(Z1006)</f>
        <v>75</v>
      </c>
      <c r="AG1006" s="2" t="n">
        <f aca="false">INT(AA1006)</f>
        <v>85</v>
      </c>
      <c r="AH1006" s="2" t="n">
        <f aca="false">INT(AB1006)</f>
        <v>75</v>
      </c>
      <c r="AI1006" s="2" t="n">
        <f aca="false">INT(AC1006)</f>
        <v>101</v>
      </c>
      <c r="AJ1006" s="2" t="n">
        <f aca="false">INT(AD1006)</f>
        <v>85</v>
      </c>
      <c r="AK1006" s="2" t="n">
        <f aca="false">Settings!$B$3-SUM(AE1006:AJ1006)</f>
        <v>4</v>
      </c>
      <c r="AL1006" s="2" t="n">
        <f aca="false">ROUND(Y1006-AE1006,9)</f>
        <v>0.806451613</v>
      </c>
      <c r="AM1006" s="2" t="n">
        <f aca="false">ROUND(Z1006-AF1006,9)</f>
        <v>0.806451613</v>
      </c>
      <c r="AN1006" s="2" t="n">
        <f aca="false">ROUND(AA1006-AG1006,9)</f>
        <v>0.887096774</v>
      </c>
      <c r="AO1006" s="2" t="n">
        <f aca="false">ROUND(AB1006-AH1006,9)</f>
        <v>0.403225806</v>
      </c>
      <c r="AP1006" s="2" t="n">
        <f aca="false">ROUND(AC1006-AI1006,9)</f>
        <v>0.612903226</v>
      </c>
      <c r="AQ1006" s="2" t="n">
        <f aca="false">ROUND(AD1006-AJ1006,9)</f>
        <v>0.483870968</v>
      </c>
    </row>
    <row r="1007" customFormat="false" ht="15" hidden="false" customHeight="false" outlineLevel="0" collapsed="false">
      <c r="A1007" s="2" t="n">
        <v>1006</v>
      </c>
      <c r="B1007" s="6" t="n">
        <v>27</v>
      </c>
      <c r="C1007" s="6" t="n">
        <v>32</v>
      </c>
      <c r="D1007" s="8" t="str">
        <f aca="false">INDEX(Bases!$B$2:$B$53,B1007)</f>
        <v>Baltoy</v>
      </c>
      <c r="E1007" s="8" t="str">
        <f aca="false">INDEX(Bases!$B$2:$B$53,C1007)</f>
        <v>Spoink</v>
      </c>
      <c r="F1007" s="2" t="str">
        <f aca="false">LEFT(D1007,ROUNDUP(LEN(D1007)/2,0))&amp;LOWER(MID(E1007,ROUNDUP(LEN(E1007)/2,0)+1,20))</f>
        <v>Balink</v>
      </c>
      <c r="G1007" s="8" t="str">
        <f aca="false">INDEX(Bases!$C$2:$C$53,B1007)</f>
        <v>Ground</v>
      </c>
      <c r="H1007" s="8" t="str">
        <f aca="false">IF(INDEX(Bases!$C$2:$C$53,C1007)=G1007,"",INDEX(Bases!$C$2:$C$53,C1007))</f>
        <v>Psychic</v>
      </c>
      <c r="I1007" s="8" t="str">
        <f aca="false">IF(INDEX(Bases!$E$2:$E$53,B1007)="","",INDEX(Bases!$E$2:$E$53,B1007))</f>
        <v/>
      </c>
      <c r="J1007" s="8" t="str">
        <f aca="false">IF(INDEX(Bases!$E$2:$E$53,C1007)="","",INDEX(Bases!$E$2:$E$53,C1007))</f>
        <v/>
      </c>
      <c r="K1007" s="5"/>
      <c r="L1007" s="2" t="n">
        <f aca="false">AE1007+IF(SUMPRODUCT(--($AL1007:$AQ1007&gt;AL1007))&lt;$AK1007,1,0)</f>
        <v>80</v>
      </c>
      <c r="M1007" s="2" t="n">
        <f aca="false">AF1007+IF(SUMPRODUCT(--($AL1007:$AQ1007&gt;AM1007))+SUMPRODUCT(--($AL1007:AL1007=AM1007))&lt;$AK1007,1,0)</f>
        <v>55</v>
      </c>
      <c r="N1007" s="2" t="n">
        <f aca="false">AG1007+IF(SUMPRODUCT(--($AL1007:$AQ1007&gt;AN1007))+SUMPRODUCT(--($AL1007:AM1007=AN1007))&lt;$AK1007,1,0)</f>
        <v>75</v>
      </c>
      <c r="O1007" s="2" t="n">
        <f aca="false">AH1007+IF(SUMPRODUCT(--($AL1007:$AQ1007&gt;AO1007))+SUMPRODUCT(--($AL1007:AN1007=AO1007))&lt;$AK1007,1,0)</f>
        <v>89</v>
      </c>
      <c r="P1007" s="2" t="n">
        <f aca="false">AI1007+IF(SUMPRODUCT(--($AL1007:$AQ1007&gt;AP1007))+SUMPRODUCT(--($AL1007:AO1007=AP1007))&lt;$AK1007,1,0)</f>
        <v>114</v>
      </c>
      <c r="Q1007" s="2" t="n">
        <f aca="false">AJ1007+IF(SUMPRODUCT(--($AL1007:$AQ1007&gt;AQ1007))+SUMPRODUCT(--($AL1007:AP1007=AQ1007))&lt;$AK1007,1,0)</f>
        <v>87</v>
      </c>
      <c r="R1007" s="2" t="n">
        <f aca="false">SUM(L1007:Q1007)</f>
        <v>500</v>
      </c>
      <c r="S1007" s="2" t="n">
        <f aca="false">Settings!$B$4*MAX(INDEX(Bases!$M$2:$M$53,B1007),INDEX(Bases!$M$2:$M$53,C1007))+Settings!$B$5*MIN(INDEX(Bases!$M$2:$M$53,B1007),INDEX(Bases!$M$2:$M$53,C1007))</f>
        <v>66.6666666666667</v>
      </c>
      <c r="T1007" s="2" t="n">
        <f aca="false">Settings!$B$4*MAX(INDEX(Bases!$N$2:$N$53,B1007),INDEX(Bases!$N$2:$N$53,C1007))+Settings!$B$5*MIN(INDEX(Bases!$N$2:$N$53,B1007),INDEX(Bases!$N$2:$N$53,C1007))</f>
        <v>46</v>
      </c>
      <c r="U1007" s="2" t="n">
        <f aca="false">Settings!$B$4*MAX(INDEX(Bases!$O$2:$O$53,B1007),INDEX(Bases!$O$2:$O$53,C1007))+Settings!$B$5*MIN(INDEX(Bases!$O$2:$O$53,B1007),INDEX(Bases!$O$2:$O$53,C1007))</f>
        <v>62.6666666666667</v>
      </c>
      <c r="V1007" s="2" t="n">
        <f aca="false">Settings!$B$4*MAX(INDEX(Bases!$P$2:$P$53,B1007),INDEX(Bases!$P$2:$P$53,C1007))+Settings!$B$5*MIN(INDEX(Bases!$P$2:$P$53,B1007),INDEX(Bases!$P$2:$P$53,C1007))</f>
        <v>74.3333333333333</v>
      </c>
      <c r="W1007" s="2" t="n">
        <f aca="false">Settings!$B$4*MAX(INDEX(Bases!$Q$2:$Q$53,B1007),INDEX(Bases!$Q$2:$Q$53,C1007))+Settings!$B$5*MIN(INDEX(Bases!$Q$2:$Q$53,B1007),INDEX(Bases!$Q$2:$Q$53,C1007))</f>
        <v>95.6666666666667</v>
      </c>
      <c r="X1007" s="2" t="n">
        <f aca="false">Settings!$B$4*MAX(INDEX(Bases!$R$2:$R$53,B1007),INDEX(Bases!$R$2:$R$53,C1007))+Settings!$B$5*MIN(INDEX(Bases!$R$2:$R$53,B1007),INDEX(Bases!$R$2:$R$53,C1007))</f>
        <v>73</v>
      </c>
      <c r="Y1007" s="2" t="n">
        <f aca="false">S1007*Settings!$B$3/SUM(S1007:X1007)</f>
        <v>79.6812749003984</v>
      </c>
      <c r="Z1007" s="2" t="n">
        <f aca="false">T1007*Settings!$B$3/SUM(S1007:X1007)</f>
        <v>54.9800796812749</v>
      </c>
      <c r="AA1007" s="2" t="n">
        <f aca="false">U1007*Settings!$B$3/SUM(S1007:X1007)</f>
        <v>74.9003984063745</v>
      </c>
      <c r="AB1007" s="2" t="n">
        <f aca="false">V1007*Settings!$B$3/SUM(S1007:X1007)</f>
        <v>88.8446215139442</v>
      </c>
      <c r="AC1007" s="2" t="n">
        <f aca="false">W1007*Settings!$B$3/SUM(S1007:X1007)</f>
        <v>114.342629482072</v>
      </c>
      <c r="AD1007" s="2" t="n">
        <f aca="false">X1007*Settings!$B$3/SUM(S1007:X1007)</f>
        <v>87.2509960159363</v>
      </c>
      <c r="AE1007" s="2" t="n">
        <f aca="false">INT(Y1007)</f>
        <v>79</v>
      </c>
      <c r="AF1007" s="2" t="n">
        <f aca="false">INT(Z1007)</f>
        <v>54</v>
      </c>
      <c r="AG1007" s="2" t="n">
        <f aca="false">INT(AA1007)</f>
        <v>74</v>
      </c>
      <c r="AH1007" s="2" t="n">
        <f aca="false">INT(AB1007)</f>
        <v>88</v>
      </c>
      <c r="AI1007" s="2" t="n">
        <f aca="false">INT(AC1007)</f>
        <v>114</v>
      </c>
      <c r="AJ1007" s="2" t="n">
        <f aca="false">INT(AD1007)</f>
        <v>87</v>
      </c>
      <c r="AK1007" s="2" t="n">
        <f aca="false">Settings!$B$3-SUM(AE1007:AJ1007)</f>
        <v>4</v>
      </c>
      <c r="AL1007" s="2" t="n">
        <f aca="false">ROUND(Y1007-AE1007,9)</f>
        <v>0.6812749</v>
      </c>
      <c r="AM1007" s="2" t="n">
        <f aca="false">ROUND(Z1007-AF1007,9)</f>
        <v>0.980079681</v>
      </c>
      <c r="AN1007" s="2" t="n">
        <f aca="false">ROUND(AA1007-AG1007,9)</f>
        <v>0.900398406</v>
      </c>
      <c r="AO1007" s="2" t="n">
        <f aca="false">ROUND(AB1007-AH1007,9)</f>
        <v>0.844621514</v>
      </c>
      <c r="AP1007" s="2" t="n">
        <f aca="false">ROUND(AC1007-AI1007,9)</f>
        <v>0.342629482</v>
      </c>
      <c r="AQ1007" s="2" t="n">
        <f aca="false">ROUND(AD1007-AJ1007,9)</f>
        <v>0.250996016</v>
      </c>
    </row>
    <row r="1008" customFormat="false" ht="15" hidden="false" customHeight="false" outlineLevel="0" collapsed="false">
      <c r="A1008" s="2" t="n">
        <v>1007</v>
      </c>
      <c r="B1008" s="6" t="n">
        <v>27</v>
      </c>
      <c r="C1008" s="6" t="n">
        <v>33</v>
      </c>
      <c r="D1008" s="8" t="str">
        <f aca="false">INDEX(Bases!$B$2:$B$53,B1008)</f>
        <v>Baltoy</v>
      </c>
      <c r="E1008" s="8" t="str">
        <f aca="false">INDEX(Bases!$B$2:$B$53,C1008)</f>
        <v>Jirachi</v>
      </c>
      <c r="F1008" s="2" t="str">
        <f aca="false">LEFT(D1008,ROUNDUP(LEN(D1008)/2,0))&amp;LOWER(MID(E1008,ROUNDUP(LEN(E1008)/2,0)+1,20))</f>
        <v>Balchi</v>
      </c>
      <c r="G1008" s="8" t="str">
        <f aca="false">INDEX(Bases!$C$2:$C$53,B1008)</f>
        <v>Ground</v>
      </c>
      <c r="H1008" s="8" t="str">
        <f aca="false">IF(INDEX(Bases!$C$2:$C$53,C1008)=G1008,"",INDEX(Bases!$C$2:$C$53,C1008))</f>
        <v>Psychic</v>
      </c>
      <c r="I1008" s="8" t="str">
        <f aca="false">IF(INDEX(Bases!$E$2:$E$53,B1008)="","",INDEX(Bases!$E$2:$E$53,B1008))</f>
        <v/>
      </c>
      <c r="J1008" s="8" t="str">
        <f aca="false">IF(INDEX(Bases!$E$2:$E$53,C1008)="","",INDEX(Bases!$E$2:$E$53,C1008))</f>
        <v/>
      </c>
      <c r="K1008" s="5"/>
      <c r="L1008" s="2" t="n">
        <f aca="false">AE1008+IF(SUMPRODUCT(--($AL1008:$AQ1008&gt;AL1008))&lt;$AK1008,1,0)</f>
        <v>76</v>
      </c>
      <c r="M1008" s="2" t="n">
        <f aca="false">AF1008+IF(SUMPRODUCT(--($AL1008:$AQ1008&gt;AM1008))+SUMPRODUCT(--($AL1008:AL1008=AM1008))&lt;$AK1008,1,0)</f>
        <v>76</v>
      </c>
      <c r="N1008" s="2" t="n">
        <f aca="false">AG1008+IF(SUMPRODUCT(--($AL1008:$AQ1008&gt;AN1008))+SUMPRODUCT(--($AL1008:AM1008=AN1008))&lt;$AK1008,1,0)</f>
        <v>86</v>
      </c>
      <c r="O1008" s="2" t="n">
        <f aca="false">AH1008+IF(SUMPRODUCT(--($AL1008:$AQ1008&gt;AO1008))+SUMPRODUCT(--($AL1008:AN1008=AO1008))&lt;$AK1008,1,0)</f>
        <v>75</v>
      </c>
      <c r="P1008" s="2" t="n">
        <f aca="false">AI1008+IF(SUMPRODUCT(--($AL1008:$AQ1008&gt;AP1008))+SUMPRODUCT(--($AL1008:AO1008=AP1008))&lt;$AK1008,1,0)</f>
        <v>102</v>
      </c>
      <c r="Q1008" s="2" t="n">
        <f aca="false">AJ1008+IF(SUMPRODUCT(--($AL1008:$AQ1008&gt;AQ1008))+SUMPRODUCT(--($AL1008:AP1008=AQ1008))&lt;$AK1008,1,0)</f>
        <v>85</v>
      </c>
      <c r="R1008" s="2" t="n">
        <f aca="false">SUM(L1008:Q1008)</f>
        <v>500</v>
      </c>
      <c r="S1008" s="2" t="n">
        <f aca="false">Settings!$B$4*MAX(INDEX(Bases!$M$2:$M$53,B1008),INDEX(Bases!$M$2:$M$53,C1008))+Settings!$B$5*MIN(INDEX(Bases!$M$2:$M$53,B1008),INDEX(Bases!$M$2:$M$53,C1008))</f>
        <v>62.6666666666667</v>
      </c>
      <c r="T1008" s="2" t="n">
        <f aca="false">Settings!$B$4*MAX(INDEX(Bases!$N$2:$N$53,B1008),INDEX(Bases!$N$2:$N$53,C1008))+Settings!$B$5*MIN(INDEX(Bases!$N$2:$N$53,B1008),INDEX(Bases!$N$2:$N$53,C1008))</f>
        <v>62.6666666666667</v>
      </c>
      <c r="U1008" s="2" t="n">
        <f aca="false">Settings!$B$4*MAX(INDEX(Bases!$O$2:$O$53,B1008),INDEX(Bases!$O$2:$O$53,C1008))+Settings!$B$5*MIN(INDEX(Bases!$O$2:$O$53,B1008),INDEX(Bases!$O$2:$O$53,C1008))</f>
        <v>71</v>
      </c>
      <c r="V1008" s="2" t="n">
        <f aca="false">Settings!$B$4*MAX(INDEX(Bases!$P$2:$P$53,B1008),INDEX(Bases!$P$2:$P$53,C1008))+Settings!$B$5*MIN(INDEX(Bases!$P$2:$P$53,B1008),INDEX(Bases!$P$2:$P$53,C1008))</f>
        <v>62.3333333333333</v>
      </c>
      <c r="W1008" s="2" t="n">
        <f aca="false">Settings!$B$4*MAX(INDEX(Bases!$Q$2:$Q$53,B1008),INDEX(Bases!$Q$2:$Q$53,C1008))+Settings!$B$5*MIN(INDEX(Bases!$Q$2:$Q$53,B1008),INDEX(Bases!$Q$2:$Q$53,C1008))</f>
        <v>84</v>
      </c>
      <c r="X1008" s="2" t="n">
        <f aca="false">Settings!$B$4*MAX(INDEX(Bases!$R$2:$R$53,B1008),INDEX(Bases!$R$2:$R$53,C1008))+Settings!$B$5*MIN(INDEX(Bases!$R$2:$R$53,B1008),INDEX(Bases!$R$2:$R$53,C1008))</f>
        <v>70.6666666666667</v>
      </c>
      <c r="Y1008" s="2" t="n">
        <f aca="false">S1008*Settings!$B$3/SUM(S1008:X1008)</f>
        <v>75.8064516129032</v>
      </c>
      <c r="Z1008" s="2" t="n">
        <f aca="false">T1008*Settings!$B$3/SUM(S1008:X1008)</f>
        <v>75.8064516129032</v>
      </c>
      <c r="AA1008" s="2" t="n">
        <f aca="false">U1008*Settings!$B$3/SUM(S1008:X1008)</f>
        <v>85.8870967741935</v>
      </c>
      <c r="AB1008" s="2" t="n">
        <f aca="false">V1008*Settings!$B$3/SUM(S1008:X1008)</f>
        <v>75.4032258064516</v>
      </c>
      <c r="AC1008" s="2" t="n">
        <f aca="false">W1008*Settings!$B$3/SUM(S1008:X1008)</f>
        <v>101.612903225806</v>
      </c>
      <c r="AD1008" s="2" t="n">
        <f aca="false">X1008*Settings!$B$3/SUM(S1008:X1008)</f>
        <v>85.4838709677419</v>
      </c>
      <c r="AE1008" s="2" t="n">
        <f aca="false">INT(Y1008)</f>
        <v>75</v>
      </c>
      <c r="AF1008" s="2" t="n">
        <f aca="false">INT(Z1008)</f>
        <v>75</v>
      </c>
      <c r="AG1008" s="2" t="n">
        <f aca="false">INT(AA1008)</f>
        <v>85</v>
      </c>
      <c r="AH1008" s="2" t="n">
        <f aca="false">INT(AB1008)</f>
        <v>75</v>
      </c>
      <c r="AI1008" s="2" t="n">
        <f aca="false">INT(AC1008)</f>
        <v>101</v>
      </c>
      <c r="AJ1008" s="2" t="n">
        <f aca="false">INT(AD1008)</f>
        <v>85</v>
      </c>
      <c r="AK1008" s="2" t="n">
        <f aca="false">Settings!$B$3-SUM(AE1008:AJ1008)</f>
        <v>4</v>
      </c>
      <c r="AL1008" s="2" t="n">
        <f aca="false">ROUND(Y1008-AE1008,9)</f>
        <v>0.806451613</v>
      </c>
      <c r="AM1008" s="2" t="n">
        <f aca="false">ROUND(Z1008-AF1008,9)</f>
        <v>0.806451613</v>
      </c>
      <c r="AN1008" s="2" t="n">
        <f aca="false">ROUND(AA1008-AG1008,9)</f>
        <v>0.887096774</v>
      </c>
      <c r="AO1008" s="2" t="n">
        <f aca="false">ROUND(AB1008-AH1008,9)</f>
        <v>0.403225806</v>
      </c>
      <c r="AP1008" s="2" t="n">
        <f aca="false">ROUND(AC1008-AI1008,9)</f>
        <v>0.612903226</v>
      </c>
      <c r="AQ1008" s="2" t="n">
        <f aca="false">ROUND(AD1008-AJ1008,9)</f>
        <v>0.483870968</v>
      </c>
    </row>
    <row r="1009" customFormat="false" ht="15" hidden="false" customHeight="false" outlineLevel="0" collapsed="false">
      <c r="A1009" s="2" t="n">
        <v>1008</v>
      </c>
      <c r="B1009" s="6" t="n">
        <v>27</v>
      </c>
      <c r="C1009" s="6" t="n">
        <v>34</v>
      </c>
      <c r="D1009" s="8" t="str">
        <f aca="false">INDEX(Bases!$B$2:$B$53,B1009)</f>
        <v>Baltoy</v>
      </c>
      <c r="E1009" s="8" t="str">
        <f aca="false">INDEX(Bases!$B$2:$B$53,C1009)</f>
        <v>Paras</v>
      </c>
      <c r="F1009" s="2" t="str">
        <f aca="false">LEFT(D1009,ROUNDUP(LEN(D1009)/2,0))&amp;LOWER(MID(E1009,ROUNDUP(LEN(E1009)/2,0)+1,20))</f>
        <v>Balas</v>
      </c>
      <c r="G1009" s="8" t="str">
        <f aca="false">INDEX(Bases!$C$2:$C$53,B1009)</f>
        <v>Ground</v>
      </c>
      <c r="H1009" s="8" t="str">
        <f aca="false">IF(INDEX(Bases!$C$2:$C$53,C1009)=G1009,"",INDEX(Bases!$C$2:$C$53,C1009))</f>
        <v>Bug</v>
      </c>
      <c r="I1009" s="8" t="str">
        <f aca="false">IF(INDEX(Bases!$E$2:$E$53,B1009)="","",INDEX(Bases!$E$2:$E$53,B1009))</f>
        <v/>
      </c>
      <c r="J1009" s="8" t="str">
        <f aca="false">IF(INDEX(Bases!$E$2:$E$53,C1009)="","",INDEX(Bases!$E$2:$E$53,C1009))</f>
        <v/>
      </c>
      <c r="K1009" s="5"/>
      <c r="L1009" s="2" t="n">
        <f aca="false">AE1009+IF(SUMPRODUCT(--($AL1009:$AQ1009&gt;AL1009))&lt;$AK1009,1,0)</f>
        <v>62</v>
      </c>
      <c r="M1009" s="2" t="n">
        <f aca="false">AF1009+IF(SUMPRODUCT(--($AL1009:$AQ1009&gt;AM1009))+SUMPRODUCT(--($AL1009:AL1009=AM1009))&lt;$AK1009,1,0)</f>
        <v>100</v>
      </c>
      <c r="N1009" s="2" t="n">
        <f aca="false">AG1009+IF(SUMPRODUCT(--($AL1009:$AQ1009&gt;AN1009))+SUMPRODUCT(--($AL1009:AM1009=AN1009))&lt;$AK1009,1,0)</f>
        <v>90</v>
      </c>
      <c r="O1009" s="2" t="n">
        <f aca="false">AH1009+IF(SUMPRODUCT(--($AL1009:$AQ1009&gt;AO1009))+SUMPRODUCT(--($AL1009:AN1009=AO1009))&lt;$AK1009,1,0)</f>
        <v>71</v>
      </c>
      <c r="P1009" s="2" t="n">
        <f aca="false">AI1009+IF(SUMPRODUCT(--($AL1009:$AQ1009&gt;AP1009))+SUMPRODUCT(--($AL1009:AO1009=AP1009))&lt;$AK1009,1,0)</f>
        <v>105</v>
      </c>
      <c r="Q1009" s="2" t="n">
        <f aca="false">AJ1009+IF(SUMPRODUCT(--($AL1009:$AQ1009&gt;AQ1009))+SUMPRODUCT(--($AL1009:AP1009=AQ1009))&lt;$AK1009,1,0)</f>
        <v>72</v>
      </c>
      <c r="R1009" s="2" t="n">
        <f aca="false">SUM(L1009:Q1009)</f>
        <v>500</v>
      </c>
      <c r="S1009" s="2" t="n">
        <f aca="false">Settings!$B$4*MAX(INDEX(Bases!$M$2:$M$53,B1009),INDEX(Bases!$M$2:$M$53,C1009))+Settings!$B$5*MIN(INDEX(Bases!$M$2:$M$53,B1009),INDEX(Bases!$M$2:$M$53,C1009))</f>
        <v>52.3333333333333</v>
      </c>
      <c r="T1009" s="2" t="n">
        <f aca="false">Settings!$B$4*MAX(INDEX(Bases!$N$2:$N$53,B1009),INDEX(Bases!$N$2:$N$53,C1009))+Settings!$B$5*MIN(INDEX(Bases!$N$2:$N$53,B1009),INDEX(Bases!$N$2:$N$53,C1009))</f>
        <v>84</v>
      </c>
      <c r="U1009" s="2" t="n">
        <f aca="false">Settings!$B$4*MAX(INDEX(Bases!$O$2:$O$53,B1009),INDEX(Bases!$O$2:$O$53,C1009))+Settings!$B$5*MIN(INDEX(Bases!$O$2:$O$53,B1009),INDEX(Bases!$O$2:$O$53,C1009))</f>
        <v>75.6666666666667</v>
      </c>
      <c r="V1009" s="2" t="n">
        <f aca="false">Settings!$B$4*MAX(INDEX(Bases!$P$2:$P$53,B1009),INDEX(Bases!$P$2:$P$53,C1009))+Settings!$B$5*MIN(INDEX(Bases!$P$2:$P$53,B1009),INDEX(Bases!$P$2:$P$53,C1009))</f>
        <v>59.6666666666667</v>
      </c>
      <c r="W1009" s="2" t="n">
        <f aca="false">Settings!$B$4*MAX(INDEX(Bases!$Q$2:$Q$53,B1009),INDEX(Bases!$Q$2:$Q$53,C1009))+Settings!$B$5*MIN(INDEX(Bases!$Q$2:$Q$53,B1009),INDEX(Bases!$Q$2:$Q$53,C1009))</f>
        <v>87.6666666666667</v>
      </c>
      <c r="X1009" s="2" t="n">
        <f aca="false">Settings!$B$4*MAX(INDEX(Bases!$R$2:$R$53,B1009),INDEX(Bases!$R$2:$R$53,C1009))+Settings!$B$5*MIN(INDEX(Bases!$R$2:$R$53,B1009),INDEX(Bases!$R$2:$R$53,C1009))</f>
        <v>60.3333333333333</v>
      </c>
      <c r="Y1009" s="2" t="n">
        <f aca="false">S1009*Settings!$B$3/SUM(S1009:X1009)</f>
        <v>62.351072279587</v>
      </c>
      <c r="Z1009" s="2" t="n">
        <f aca="false">T1009*Settings!$B$3/SUM(S1009:X1009)</f>
        <v>100.079428117554</v>
      </c>
      <c r="AA1009" s="2" t="n">
        <f aca="false">U1009*Settings!$B$3/SUM(S1009:X1009)</f>
        <v>90.1509134233519</v>
      </c>
      <c r="AB1009" s="2" t="n">
        <f aca="false">V1009*Settings!$B$3/SUM(S1009:X1009)</f>
        <v>71.0881652104845</v>
      </c>
      <c r="AC1009" s="2" t="n">
        <f aca="false">W1009*Settings!$B$3/SUM(S1009:X1009)</f>
        <v>104.447974583002</v>
      </c>
      <c r="AD1009" s="2" t="n">
        <f aca="false">X1009*Settings!$B$3/SUM(S1009:X1009)</f>
        <v>71.8824463860207</v>
      </c>
      <c r="AE1009" s="2" t="n">
        <f aca="false">INT(Y1009)</f>
        <v>62</v>
      </c>
      <c r="AF1009" s="2" t="n">
        <f aca="false">INT(Z1009)</f>
        <v>100</v>
      </c>
      <c r="AG1009" s="2" t="n">
        <f aca="false">INT(AA1009)</f>
        <v>90</v>
      </c>
      <c r="AH1009" s="2" t="n">
        <f aca="false">INT(AB1009)</f>
        <v>71</v>
      </c>
      <c r="AI1009" s="2" t="n">
        <f aca="false">INT(AC1009)</f>
        <v>104</v>
      </c>
      <c r="AJ1009" s="2" t="n">
        <f aca="false">INT(AD1009)</f>
        <v>71</v>
      </c>
      <c r="AK1009" s="2" t="n">
        <f aca="false">Settings!$B$3-SUM(AE1009:AJ1009)</f>
        <v>2</v>
      </c>
      <c r="AL1009" s="2" t="n">
        <f aca="false">ROUND(Y1009-AE1009,9)</f>
        <v>0.35107228</v>
      </c>
      <c r="AM1009" s="2" t="n">
        <f aca="false">ROUND(Z1009-AF1009,9)</f>
        <v>0.079428118</v>
      </c>
      <c r="AN1009" s="2" t="n">
        <f aca="false">ROUND(AA1009-AG1009,9)</f>
        <v>0.150913423</v>
      </c>
      <c r="AO1009" s="2" t="n">
        <f aca="false">ROUND(AB1009-AH1009,9)</f>
        <v>0.08816521</v>
      </c>
      <c r="AP1009" s="2" t="n">
        <f aca="false">ROUND(AC1009-AI1009,9)</f>
        <v>0.447974583</v>
      </c>
      <c r="AQ1009" s="2" t="n">
        <f aca="false">ROUND(AD1009-AJ1009,9)</f>
        <v>0.882446386</v>
      </c>
    </row>
    <row r="1010" customFormat="false" ht="15" hidden="false" customHeight="false" outlineLevel="0" collapsed="false">
      <c r="A1010" s="2" t="n">
        <v>1009</v>
      </c>
      <c r="B1010" s="6" t="n">
        <v>27</v>
      </c>
      <c r="C1010" s="6" t="n">
        <v>35</v>
      </c>
      <c r="D1010" s="8" t="str">
        <f aca="false">INDEX(Bases!$B$2:$B$53,B1010)</f>
        <v>Baltoy</v>
      </c>
      <c r="E1010" s="8" t="str">
        <f aca="false">INDEX(Bases!$B$2:$B$53,C1010)</f>
        <v>Pineco</v>
      </c>
      <c r="F1010" s="2" t="str">
        <f aca="false">LEFT(D1010,ROUNDUP(LEN(D1010)/2,0))&amp;LOWER(MID(E1010,ROUNDUP(LEN(E1010)/2,0)+1,20))</f>
        <v>Baleco</v>
      </c>
      <c r="G1010" s="8" t="str">
        <f aca="false">INDEX(Bases!$C$2:$C$53,B1010)</f>
        <v>Ground</v>
      </c>
      <c r="H1010" s="8" t="str">
        <f aca="false">IF(INDEX(Bases!$C$2:$C$53,C1010)=G1010,"",INDEX(Bases!$C$2:$C$53,C1010))</f>
        <v>Bug</v>
      </c>
      <c r="I1010" s="8" t="str">
        <f aca="false">IF(INDEX(Bases!$E$2:$E$53,B1010)="","",INDEX(Bases!$E$2:$E$53,B1010))</f>
        <v/>
      </c>
      <c r="J1010" s="8" t="str">
        <f aca="false">IF(INDEX(Bases!$E$2:$E$53,C1010)="","",INDEX(Bases!$E$2:$E$53,C1010))</f>
        <v/>
      </c>
      <c r="K1010" s="5"/>
      <c r="L1010" s="2" t="n">
        <f aca="false">AE1010+IF(SUMPRODUCT(--($AL1010:$AQ1010&gt;AL1010))&lt;$AK1010,1,0)</f>
        <v>74</v>
      </c>
      <c r="M1010" s="2" t="n">
        <f aca="false">AF1010+IF(SUMPRODUCT(--($AL1010:$AQ1010&gt;AM1010))+SUMPRODUCT(--($AL1010:AL1010=AM1010))&lt;$AK1010,1,0)</f>
        <v>90</v>
      </c>
      <c r="N1010" s="2" t="n">
        <f aca="false">AG1010+IF(SUMPRODUCT(--($AL1010:$AQ1010&gt;AN1010))+SUMPRODUCT(--($AL1010:AM1010=AN1010))&lt;$AK1010,1,0)</f>
        <v>123</v>
      </c>
      <c r="O1010" s="2" t="n">
        <f aca="false">AH1010+IF(SUMPRODUCT(--($AL1010:$AQ1010&gt;AO1010))+SUMPRODUCT(--($AL1010:AN1010=AO1010))&lt;$AK1010,1,0)</f>
        <v>59</v>
      </c>
      <c r="P1010" s="2" t="n">
        <f aca="false">AI1010+IF(SUMPRODUCT(--($AL1010:$AQ1010&gt;AP1010))+SUMPRODUCT(--($AL1010:AO1010=AP1010))&lt;$AK1010,1,0)</f>
        <v>90</v>
      </c>
      <c r="Q1010" s="2" t="n">
        <f aca="false">AJ1010+IF(SUMPRODUCT(--($AL1010:$AQ1010&gt;AQ1010))+SUMPRODUCT(--($AL1010:AP1010=AQ1010))&lt;$AK1010,1,0)</f>
        <v>64</v>
      </c>
      <c r="R1010" s="2" t="n">
        <f aca="false">SUM(L1010:Q1010)</f>
        <v>500</v>
      </c>
      <c r="S1010" s="2" t="n">
        <f aca="false">Settings!$B$4*MAX(INDEX(Bases!$M$2:$M$53,B1010),INDEX(Bases!$M$2:$M$53,C1010))+Settings!$B$5*MIN(INDEX(Bases!$M$2:$M$53,B1010),INDEX(Bases!$M$2:$M$53,C1010))</f>
        <v>64</v>
      </c>
      <c r="T1010" s="2" t="n">
        <f aca="false">Settings!$B$4*MAX(INDEX(Bases!$N$2:$N$53,B1010),INDEX(Bases!$N$2:$N$53,C1010))+Settings!$B$5*MIN(INDEX(Bases!$N$2:$N$53,B1010),INDEX(Bases!$N$2:$N$53,C1010))</f>
        <v>78</v>
      </c>
      <c r="U1010" s="2" t="n">
        <f aca="false">Settings!$B$4*MAX(INDEX(Bases!$O$2:$O$53,B1010),INDEX(Bases!$O$2:$O$53,C1010))+Settings!$B$5*MIN(INDEX(Bases!$O$2:$O$53,B1010),INDEX(Bases!$O$2:$O$53,C1010))</f>
        <v>107</v>
      </c>
      <c r="V1010" s="2" t="n">
        <f aca="false">Settings!$B$4*MAX(INDEX(Bases!$P$2:$P$53,B1010),INDEX(Bases!$P$2:$P$53,C1010))+Settings!$B$5*MIN(INDEX(Bases!$P$2:$P$53,B1010),INDEX(Bases!$P$2:$P$53,C1010))</f>
        <v>51.3333333333333</v>
      </c>
      <c r="W1010" s="2" t="n">
        <f aca="false">Settings!$B$4*MAX(INDEX(Bases!$Q$2:$Q$53,B1010),INDEX(Bases!$Q$2:$Q$53,C1010))+Settings!$B$5*MIN(INDEX(Bases!$Q$2:$Q$53,B1010),INDEX(Bases!$Q$2:$Q$53,C1010))</f>
        <v>78</v>
      </c>
      <c r="X1010" s="2" t="n">
        <f aca="false">Settings!$B$4*MAX(INDEX(Bases!$R$2:$R$53,B1010),INDEX(Bases!$R$2:$R$53,C1010))+Settings!$B$5*MIN(INDEX(Bases!$R$2:$R$53,B1010),INDEX(Bases!$R$2:$R$53,C1010))</f>
        <v>55.6666666666667</v>
      </c>
      <c r="Y1010" s="2" t="n">
        <f aca="false">S1010*Settings!$B$3/SUM(S1010:X1010)</f>
        <v>73.7327188940092</v>
      </c>
      <c r="Z1010" s="2" t="n">
        <f aca="false">T1010*Settings!$B$3/SUM(S1010:X1010)</f>
        <v>89.8617511520737</v>
      </c>
      <c r="AA1010" s="2" t="n">
        <f aca="false">U1010*Settings!$B$3/SUM(S1010:X1010)</f>
        <v>123.271889400922</v>
      </c>
      <c r="AB1010" s="2" t="n">
        <f aca="false">V1010*Settings!$B$3/SUM(S1010:X1010)</f>
        <v>59.1397849462366</v>
      </c>
      <c r="AC1010" s="2" t="n">
        <f aca="false">W1010*Settings!$B$3/SUM(S1010:X1010)</f>
        <v>89.8617511520737</v>
      </c>
      <c r="AD1010" s="2" t="n">
        <f aca="false">X1010*Settings!$B$3/SUM(S1010:X1010)</f>
        <v>64.1321044546851</v>
      </c>
      <c r="AE1010" s="2" t="n">
        <f aca="false">INT(Y1010)</f>
        <v>73</v>
      </c>
      <c r="AF1010" s="2" t="n">
        <f aca="false">INT(Z1010)</f>
        <v>89</v>
      </c>
      <c r="AG1010" s="2" t="n">
        <f aca="false">INT(AA1010)</f>
        <v>123</v>
      </c>
      <c r="AH1010" s="2" t="n">
        <f aca="false">INT(AB1010)</f>
        <v>59</v>
      </c>
      <c r="AI1010" s="2" t="n">
        <f aca="false">INT(AC1010)</f>
        <v>89</v>
      </c>
      <c r="AJ1010" s="2" t="n">
        <f aca="false">INT(AD1010)</f>
        <v>64</v>
      </c>
      <c r="AK1010" s="2" t="n">
        <f aca="false">Settings!$B$3-SUM(AE1010:AJ1010)</f>
        <v>3</v>
      </c>
      <c r="AL1010" s="2" t="n">
        <f aca="false">ROUND(Y1010-AE1010,9)</f>
        <v>0.732718894</v>
      </c>
      <c r="AM1010" s="2" t="n">
        <f aca="false">ROUND(Z1010-AF1010,9)</f>
        <v>0.861751152</v>
      </c>
      <c r="AN1010" s="2" t="n">
        <f aca="false">ROUND(AA1010-AG1010,9)</f>
        <v>0.271889401</v>
      </c>
      <c r="AO1010" s="2" t="n">
        <f aca="false">ROUND(AB1010-AH1010,9)</f>
        <v>0.139784946</v>
      </c>
      <c r="AP1010" s="2" t="n">
        <f aca="false">ROUND(AC1010-AI1010,9)</f>
        <v>0.861751152</v>
      </c>
      <c r="AQ1010" s="2" t="n">
        <f aca="false">ROUND(AD1010-AJ1010,9)</f>
        <v>0.132104455</v>
      </c>
    </row>
    <row r="1011" customFormat="false" ht="15" hidden="false" customHeight="false" outlineLevel="0" collapsed="false">
      <c r="A1011" s="2" t="n">
        <v>1010</v>
      </c>
      <c r="B1011" s="6" t="n">
        <v>27</v>
      </c>
      <c r="C1011" s="6" t="n">
        <v>36</v>
      </c>
      <c r="D1011" s="8" t="str">
        <f aca="false">INDEX(Bases!$B$2:$B$53,B1011)</f>
        <v>Baltoy</v>
      </c>
      <c r="E1011" s="8" t="str">
        <f aca="false">INDEX(Bases!$B$2:$B$53,C1011)</f>
        <v>Wurmple</v>
      </c>
      <c r="F1011" s="2" t="str">
        <f aca="false">LEFT(D1011,ROUNDUP(LEN(D1011)/2,0))&amp;LOWER(MID(E1011,ROUNDUP(LEN(E1011)/2,0)+1,20))</f>
        <v>Balple</v>
      </c>
      <c r="G1011" s="8" t="str">
        <f aca="false">INDEX(Bases!$C$2:$C$53,B1011)</f>
        <v>Ground</v>
      </c>
      <c r="H1011" s="8" t="str">
        <f aca="false">IF(INDEX(Bases!$C$2:$C$53,C1011)=G1011,"",INDEX(Bases!$C$2:$C$53,C1011))</f>
        <v>Bug</v>
      </c>
      <c r="I1011" s="8" t="str">
        <f aca="false">IF(INDEX(Bases!$E$2:$E$53,B1011)="","",INDEX(Bases!$E$2:$E$53,B1011))</f>
        <v/>
      </c>
      <c r="J1011" s="8" t="str">
        <f aca="false">IF(INDEX(Bases!$E$2:$E$53,C1011)="","",INDEX(Bases!$E$2:$E$53,C1011))</f>
        <v/>
      </c>
      <c r="K1011" s="5"/>
      <c r="L1011" s="2" t="n">
        <f aca="false">AE1011+IF(SUMPRODUCT(--($AL1011:$AQ1011&gt;AL1011))&lt;$AK1011,1,0)</f>
        <v>93</v>
      </c>
      <c r="M1011" s="2" t="n">
        <f aca="false">AF1011+IF(SUMPRODUCT(--($AL1011:$AQ1011&gt;AM1011))+SUMPRODUCT(--($AL1011:AL1011=AM1011))&lt;$AK1011,1,0)</f>
        <v>93</v>
      </c>
      <c r="N1011" s="2" t="n">
        <f aca="false">AG1011+IF(SUMPRODUCT(--($AL1011:$AQ1011&gt;AN1011))+SUMPRODUCT(--($AL1011:AM1011=AN1011))&lt;$AK1011,1,0)</f>
        <v>86</v>
      </c>
      <c r="O1011" s="2" t="n">
        <f aca="false">AH1011+IF(SUMPRODUCT(--($AL1011:$AQ1011&gt;AO1011))+SUMPRODUCT(--($AL1011:AN1011=AO1011))&lt;$AK1011,1,0)</f>
        <v>58</v>
      </c>
      <c r="P1011" s="2" t="n">
        <f aca="false">AI1011+IF(SUMPRODUCT(--($AL1011:$AQ1011&gt;AP1011))+SUMPRODUCT(--($AL1011:AO1011=AP1011))&lt;$AK1011,1,0)</f>
        <v>97</v>
      </c>
      <c r="Q1011" s="2" t="n">
        <f aca="false">AJ1011+IF(SUMPRODUCT(--($AL1011:$AQ1011&gt;AQ1011))+SUMPRODUCT(--($AL1011:AP1011=AQ1011))&lt;$AK1011,1,0)</f>
        <v>73</v>
      </c>
      <c r="R1011" s="2" t="n">
        <f aca="false">SUM(L1011:Q1011)</f>
        <v>500</v>
      </c>
      <c r="S1011" s="2" t="n">
        <f aca="false">Settings!$B$4*MAX(INDEX(Bases!$M$2:$M$53,B1011),INDEX(Bases!$M$2:$M$53,C1011))+Settings!$B$5*MIN(INDEX(Bases!$M$2:$M$53,B1011),INDEX(Bases!$M$2:$M$53,C1011))</f>
        <v>79.3333333333333</v>
      </c>
      <c r="T1011" s="2" t="n">
        <f aca="false">Settings!$B$4*MAX(INDEX(Bases!$N$2:$N$53,B1011),INDEX(Bases!$N$2:$N$53,C1011))+Settings!$B$5*MIN(INDEX(Bases!$N$2:$N$53,B1011),INDEX(Bases!$N$2:$N$53,C1011))</f>
        <v>79.3333333333333</v>
      </c>
      <c r="U1011" s="2" t="n">
        <f aca="false">Settings!$B$4*MAX(INDEX(Bases!$O$2:$O$53,B1011),INDEX(Bases!$O$2:$O$53,C1011))+Settings!$B$5*MIN(INDEX(Bases!$O$2:$O$53,B1011),INDEX(Bases!$O$2:$O$53,C1011))</f>
        <v>72.6666666666667</v>
      </c>
      <c r="V1011" s="2" t="n">
        <f aca="false">Settings!$B$4*MAX(INDEX(Bases!$P$2:$P$53,B1011),INDEX(Bases!$P$2:$P$53,C1011))+Settings!$B$5*MIN(INDEX(Bases!$P$2:$P$53,B1011),INDEX(Bases!$P$2:$P$53,C1011))</f>
        <v>49</v>
      </c>
      <c r="W1011" s="2" t="n">
        <f aca="false">Settings!$B$4*MAX(INDEX(Bases!$Q$2:$Q$53,B1011),INDEX(Bases!$Q$2:$Q$53,C1011))+Settings!$B$5*MIN(INDEX(Bases!$Q$2:$Q$53,B1011),INDEX(Bases!$Q$2:$Q$53,C1011))</f>
        <v>82.6666666666667</v>
      </c>
      <c r="X1011" s="2" t="n">
        <f aca="false">Settings!$B$4*MAX(INDEX(Bases!$R$2:$R$53,B1011),INDEX(Bases!$R$2:$R$53,C1011))+Settings!$B$5*MIN(INDEX(Bases!$R$2:$R$53,B1011),INDEX(Bases!$R$2:$R$53,C1011))</f>
        <v>62.3333333333333</v>
      </c>
      <c r="Y1011" s="2" t="n">
        <f aca="false">S1011*Settings!$B$3/SUM(S1011:X1011)</f>
        <v>93.2601880877743</v>
      </c>
      <c r="Z1011" s="2" t="n">
        <f aca="false">T1011*Settings!$B$3/SUM(S1011:X1011)</f>
        <v>93.2601880877743</v>
      </c>
      <c r="AA1011" s="2" t="n">
        <f aca="false">U1011*Settings!$B$3/SUM(S1011:X1011)</f>
        <v>85.423197492163</v>
      </c>
      <c r="AB1011" s="2" t="n">
        <f aca="false">V1011*Settings!$B$3/SUM(S1011:X1011)</f>
        <v>57.601880877743</v>
      </c>
      <c r="AC1011" s="2" t="n">
        <f aca="false">W1011*Settings!$B$3/SUM(S1011:X1011)</f>
        <v>97.1786833855799</v>
      </c>
      <c r="AD1011" s="2" t="n">
        <f aca="false">X1011*Settings!$B$3/SUM(S1011:X1011)</f>
        <v>73.2758620689655</v>
      </c>
      <c r="AE1011" s="2" t="n">
        <f aca="false">INT(Y1011)</f>
        <v>93</v>
      </c>
      <c r="AF1011" s="2" t="n">
        <f aca="false">INT(Z1011)</f>
        <v>93</v>
      </c>
      <c r="AG1011" s="2" t="n">
        <f aca="false">INT(AA1011)</f>
        <v>85</v>
      </c>
      <c r="AH1011" s="2" t="n">
        <f aca="false">INT(AB1011)</f>
        <v>57</v>
      </c>
      <c r="AI1011" s="2" t="n">
        <f aca="false">INT(AC1011)</f>
        <v>97</v>
      </c>
      <c r="AJ1011" s="2" t="n">
        <f aca="false">INT(AD1011)</f>
        <v>73</v>
      </c>
      <c r="AK1011" s="2" t="n">
        <f aca="false">Settings!$B$3-SUM(AE1011:AJ1011)</f>
        <v>2</v>
      </c>
      <c r="AL1011" s="2" t="n">
        <f aca="false">ROUND(Y1011-AE1011,9)</f>
        <v>0.260188088</v>
      </c>
      <c r="AM1011" s="2" t="n">
        <f aca="false">ROUND(Z1011-AF1011,9)</f>
        <v>0.260188088</v>
      </c>
      <c r="AN1011" s="2" t="n">
        <f aca="false">ROUND(AA1011-AG1011,9)</f>
        <v>0.423197492</v>
      </c>
      <c r="AO1011" s="2" t="n">
        <f aca="false">ROUND(AB1011-AH1011,9)</f>
        <v>0.601880878</v>
      </c>
      <c r="AP1011" s="2" t="n">
        <f aca="false">ROUND(AC1011-AI1011,9)</f>
        <v>0.178683386</v>
      </c>
      <c r="AQ1011" s="2" t="n">
        <f aca="false">ROUND(AD1011-AJ1011,9)</f>
        <v>0.275862069</v>
      </c>
    </row>
    <row r="1012" customFormat="false" ht="15" hidden="false" customHeight="false" outlineLevel="0" collapsed="false">
      <c r="A1012" s="2" t="n">
        <v>1011</v>
      </c>
      <c r="B1012" s="6" t="n">
        <v>27</v>
      </c>
      <c r="C1012" s="6" t="n">
        <v>37</v>
      </c>
      <c r="D1012" s="8" t="str">
        <f aca="false">INDEX(Bases!$B$2:$B$53,B1012)</f>
        <v>Baltoy</v>
      </c>
      <c r="E1012" s="8" t="str">
        <f aca="false">INDEX(Bases!$B$2:$B$53,C1012)</f>
        <v>Shuckle</v>
      </c>
      <c r="F1012" s="2" t="str">
        <f aca="false">LEFT(D1012,ROUNDUP(LEN(D1012)/2,0))&amp;LOWER(MID(E1012,ROUNDUP(LEN(E1012)/2,0)+1,20))</f>
        <v>Balkle</v>
      </c>
      <c r="G1012" s="8" t="str">
        <f aca="false">INDEX(Bases!$C$2:$C$53,B1012)</f>
        <v>Ground</v>
      </c>
      <c r="H1012" s="8" t="str">
        <f aca="false">IF(INDEX(Bases!$C$2:$C$53,C1012)=G1012,"",INDEX(Bases!$C$2:$C$53,C1012))</f>
        <v>Rock</v>
      </c>
      <c r="I1012" s="8" t="str">
        <f aca="false">IF(INDEX(Bases!$E$2:$E$53,B1012)="","",INDEX(Bases!$E$2:$E$53,B1012))</f>
        <v/>
      </c>
      <c r="J1012" s="8" t="str">
        <f aca="false">IF(INDEX(Bases!$E$2:$E$53,C1012)="","",INDEX(Bases!$E$2:$E$53,C1012))</f>
        <v/>
      </c>
      <c r="K1012" s="5"/>
      <c r="L1012" s="2" t="n">
        <f aca="false">AE1012+IF(SUMPRODUCT(--($AL1012:$AQ1012&gt;AL1012))&lt;$AK1012,1,0)</f>
        <v>44</v>
      </c>
      <c r="M1012" s="2" t="n">
        <f aca="false">AF1012+IF(SUMPRODUCT(--($AL1012:$AQ1012&gt;AM1012))+SUMPRODUCT(--($AL1012:AL1012=AM1012))&lt;$AK1012,1,0)</f>
        <v>42</v>
      </c>
      <c r="N1012" s="2" t="n">
        <f aca="false">AG1012+IF(SUMPRODUCT(--($AL1012:$AQ1012&gt;AN1012))+SUMPRODUCT(--($AL1012:AM1012=AN1012))&lt;$AK1012,1,0)</f>
        <v>156</v>
      </c>
      <c r="O1012" s="2" t="n">
        <f aca="false">AH1012+IF(SUMPRODUCT(--($AL1012:$AQ1012&gt;AO1012))+SUMPRODUCT(--($AL1012:AN1012=AO1012))&lt;$AK1012,1,0)</f>
        <v>41</v>
      </c>
      <c r="P1012" s="2" t="n">
        <f aca="false">AI1012+IF(SUMPRODUCT(--($AL1012:$AQ1012&gt;AP1012))+SUMPRODUCT(--($AL1012:AO1012=AP1012))&lt;$AK1012,1,0)</f>
        <v>163</v>
      </c>
      <c r="Q1012" s="2" t="n">
        <f aca="false">AJ1012+IF(SUMPRODUCT(--($AL1012:$AQ1012&gt;AQ1012))+SUMPRODUCT(--($AL1012:AP1012=AQ1012))&lt;$AK1012,1,0)</f>
        <v>54</v>
      </c>
      <c r="R1012" s="2" t="n">
        <f aca="false">SUM(L1012:Q1012)</f>
        <v>500</v>
      </c>
      <c r="S1012" s="2" t="n">
        <f aca="false">Settings!$B$4*MAX(INDEX(Bases!$M$2:$M$53,B1012),INDEX(Bases!$M$2:$M$53,C1012))+Settings!$B$5*MIN(INDEX(Bases!$M$2:$M$53,B1012),INDEX(Bases!$M$2:$M$53,C1012))</f>
        <v>41.3333333333333</v>
      </c>
      <c r="T1012" s="2" t="n">
        <f aca="false">Settings!$B$4*MAX(INDEX(Bases!$N$2:$N$53,B1012),INDEX(Bases!$N$2:$N$53,C1012))+Settings!$B$5*MIN(INDEX(Bases!$N$2:$N$53,B1012),INDEX(Bases!$N$2:$N$53,C1012))</f>
        <v>38.6666666666667</v>
      </c>
      <c r="U1012" s="2" t="n">
        <f aca="false">Settings!$B$4*MAX(INDEX(Bases!$O$2:$O$53,B1012),INDEX(Bases!$O$2:$O$53,C1012))+Settings!$B$5*MIN(INDEX(Bases!$O$2:$O$53,B1012),INDEX(Bases!$O$2:$O$53,C1012))</f>
        <v>145.666666666667</v>
      </c>
      <c r="V1012" s="2" t="n">
        <f aca="false">Settings!$B$4*MAX(INDEX(Bases!$P$2:$P$53,B1012),INDEX(Bases!$P$2:$P$53,C1012))+Settings!$B$5*MIN(INDEX(Bases!$P$2:$P$53,B1012),INDEX(Bases!$P$2:$P$53,C1012))</f>
        <v>38</v>
      </c>
      <c r="W1012" s="2" t="n">
        <f aca="false">Settings!$B$4*MAX(INDEX(Bases!$Q$2:$Q$53,B1012),INDEX(Bases!$Q$2:$Q$53,C1012))+Settings!$B$5*MIN(INDEX(Bases!$Q$2:$Q$53,B1012),INDEX(Bases!$Q$2:$Q$53,C1012))</f>
        <v>152.333333333333</v>
      </c>
      <c r="X1012" s="2" t="n">
        <f aca="false">Settings!$B$4*MAX(INDEX(Bases!$R$2:$R$53,B1012),INDEX(Bases!$R$2:$R$53,C1012))+Settings!$B$5*MIN(INDEX(Bases!$R$2:$R$53,B1012),INDEX(Bases!$R$2:$R$53,C1012))</f>
        <v>50</v>
      </c>
      <c r="Y1012" s="2" t="n">
        <f aca="false">S1012*Settings!$B$3/SUM(S1012:X1012)</f>
        <v>44.3490701001431</v>
      </c>
      <c r="Z1012" s="2" t="n">
        <f aca="false">T1012*Settings!$B$3/SUM(S1012:X1012)</f>
        <v>41.4878397711016</v>
      </c>
      <c r="AA1012" s="2" t="n">
        <f aca="false">U1012*Settings!$B$3/SUM(S1012:X1012)</f>
        <v>156.294706723891</v>
      </c>
      <c r="AB1012" s="2" t="n">
        <f aca="false">V1012*Settings!$B$3/SUM(S1012:X1012)</f>
        <v>40.7725321888412</v>
      </c>
      <c r="AC1012" s="2" t="n">
        <f aca="false">W1012*Settings!$B$3/SUM(S1012:X1012)</f>
        <v>163.447782546495</v>
      </c>
      <c r="AD1012" s="2" t="n">
        <f aca="false">X1012*Settings!$B$3/SUM(S1012:X1012)</f>
        <v>53.6480686695279</v>
      </c>
      <c r="AE1012" s="2" t="n">
        <f aca="false">INT(Y1012)</f>
        <v>44</v>
      </c>
      <c r="AF1012" s="2" t="n">
        <f aca="false">INT(Z1012)</f>
        <v>41</v>
      </c>
      <c r="AG1012" s="2" t="n">
        <f aca="false">INT(AA1012)</f>
        <v>156</v>
      </c>
      <c r="AH1012" s="2" t="n">
        <f aca="false">INT(AB1012)</f>
        <v>40</v>
      </c>
      <c r="AI1012" s="2" t="n">
        <f aca="false">INT(AC1012)</f>
        <v>163</v>
      </c>
      <c r="AJ1012" s="2" t="n">
        <f aca="false">INT(AD1012)</f>
        <v>53</v>
      </c>
      <c r="AK1012" s="2" t="n">
        <f aca="false">Settings!$B$3-SUM(AE1012:AJ1012)</f>
        <v>3</v>
      </c>
      <c r="AL1012" s="2" t="n">
        <f aca="false">ROUND(Y1012-AE1012,9)</f>
        <v>0.3490701</v>
      </c>
      <c r="AM1012" s="2" t="n">
        <f aca="false">ROUND(Z1012-AF1012,9)</f>
        <v>0.487839771</v>
      </c>
      <c r="AN1012" s="2" t="n">
        <f aca="false">ROUND(AA1012-AG1012,9)</f>
        <v>0.294706724</v>
      </c>
      <c r="AO1012" s="2" t="n">
        <f aca="false">ROUND(AB1012-AH1012,9)</f>
        <v>0.772532189</v>
      </c>
      <c r="AP1012" s="2" t="n">
        <f aca="false">ROUND(AC1012-AI1012,9)</f>
        <v>0.447782546</v>
      </c>
      <c r="AQ1012" s="2" t="n">
        <f aca="false">ROUND(AD1012-AJ1012,9)</f>
        <v>0.64806867</v>
      </c>
    </row>
    <row r="1013" customFormat="false" ht="15" hidden="false" customHeight="false" outlineLevel="0" collapsed="false">
      <c r="A1013" s="2" t="n">
        <v>1012</v>
      </c>
      <c r="B1013" s="6" t="n">
        <v>27</v>
      </c>
      <c r="C1013" s="6" t="n">
        <v>38</v>
      </c>
      <c r="D1013" s="8" t="str">
        <f aca="false">INDEX(Bases!$B$2:$B$53,B1013)</f>
        <v>Baltoy</v>
      </c>
      <c r="E1013" s="8" t="str">
        <f aca="false">INDEX(Bases!$B$2:$B$53,C1013)</f>
        <v>Larvitar</v>
      </c>
      <c r="F1013" s="2" t="str">
        <f aca="false">LEFT(D1013,ROUNDUP(LEN(D1013)/2,0))&amp;LOWER(MID(E1013,ROUNDUP(LEN(E1013)/2,0)+1,20))</f>
        <v>Balitar</v>
      </c>
      <c r="G1013" s="8" t="str">
        <f aca="false">INDEX(Bases!$C$2:$C$53,B1013)</f>
        <v>Ground</v>
      </c>
      <c r="H1013" s="8" t="str">
        <f aca="false">IF(INDEX(Bases!$C$2:$C$53,C1013)=G1013,"",INDEX(Bases!$C$2:$C$53,C1013))</f>
        <v>Rock</v>
      </c>
      <c r="I1013" s="8" t="str">
        <f aca="false">IF(INDEX(Bases!$E$2:$E$53,B1013)="","",INDEX(Bases!$E$2:$E$53,B1013))</f>
        <v/>
      </c>
      <c r="J1013" s="8" t="str">
        <f aca="false">IF(INDEX(Bases!$E$2:$E$53,C1013)="","",INDEX(Bases!$E$2:$E$53,C1013))</f>
        <v/>
      </c>
      <c r="K1013" s="5"/>
      <c r="L1013" s="2" t="n">
        <f aca="false">AE1013+IF(SUMPRODUCT(--($AL1013:$AQ1013&gt;AL1013))&lt;$AK1013,1,0)</f>
        <v>75</v>
      </c>
      <c r="M1013" s="2" t="n">
        <f aca="false">AF1013+IF(SUMPRODUCT(--($AL1013:$AQ1013&gt;AM1013))+SUMPRODUCT(--($AL1013:AL1013=AM1013))&lt;$AK1013,1,0)</f>
        <v>90</v>
      </c>
      <c r="N1013" s="2" t="n">
        <f aca="false">AG1013+IF(SUMPRODUCT(--($AL1013:$AQ1013&gt;AN1013))+SUMPRODUCT(--($AL1013:AM1013=AN1013))&lt;$AK1013,1,0)</f>
        <v>85</v>
      </c>
      <c r="O1013" s="2" t="n">
        <f aca="false">AH1013+IF(SUMPRODUCT(--($AL1013:$AQ1013&gt;AO1013))+SUMPRODUCT(--($AL1013:AN1013=AO1013))&lt;$AK1013,1,0)</f>
        <v>69</v>
      </c>
      <c r="P1013" s="2" t="n">
        <f aca="false">AI1013+IF(SUMPRODUCT(--($AL1013:$AQ1013&gt;AP1013))+SUMPRODUCT(--($AL1013:AO1013=AP1013))&lt;$AK1013,1,0)</f>
        <v>101</v>
      </c>
      <c r="Q1013" s="2" t="n">
        <f aca="false">AJ1013+IF(SUMPRODUCT(--($AL1013:$AQ1013&gt;AQ1013))+SUMPRODUCT(--($AL1013:AP1013=AQ1013))&lt;$AK1013,1,0)</f>
        <v>80</v>
      </c>
      <c r="R1013" s="2" t="n">
        <f aca="false">SUM(L1013:Q1013)</f>
        <v>500</v>
      </c>
      <c r="S1013" s="2" t="n">
        <f aca="false">Settings!$B$4*MAX(INDEX(Bases!$M$2:$M$53,B1013),INDEX(Bases!$M$2:$M$53,C1013))+Settings!$B$5*MIN(INDEX(Bases!$M$2:$M$53,B1013),INDEX(Bases!$M$2:$M$53,C1013))</f>
        <v>62.6666666666667</v>
      </c>
      <c r="T1013" s="2" t="n">
        <f aca="false">Settings!$B$4*MAX(INDEX(Bases!$N$2:$N$53,B1013),INDEX(Bases!$N$2:$N$53,C1013))+Settings!$B$5*MIN(INDEX(Bases!$N$2:$N$53,B1013),INDEX(Bases!$N$2:$N$53,C1013))</f>
        <v>74.6666666666667</v>
      </c>
      <c r="U1013" s="2" t="n">
        <f aca="false">Settings!$B$4*MAX(INDEX(Bases!$O$2:$O$53,B1013),INDEX(Bases!$O$2:$O$53,C1013))+Settings!$B$5*MIN(INDEX(Bases!$O$2:$O$53,B1013),INDEX(Bases!$O$2:$O$53,C1013))</f>
        <v>71</v>
      </c>
      <c r="V1013" s="2" t="n">
        <f aca="false">Settings!$B$4*MAX(INDEX(Bases!$P$2:$P$53,B1013),INDEX(Bases!$P$2:$P$53,C1013))+Settings!$B$5*MIN(INDEX(Bases!$P$2:$P$53,B1013),INDEX(Bases!$P$2:$P$53,C1013))</f>
        <v>57.6666666666667</v>
      </c>
      <c r="W1013" s="2" t="n">
        <f aca="false">Settings!$B$4*MAX(INDEX(Bases!$Q$2:$Q$53,B1013),INDEX(Bases!$Q$2:$Q$53,C1013))+Settings!$B$5*MIN(INDEX(Bases!$Q$2:$Q$53,B1013),INDEX(Bases!$Q$2:$Q$53,C1013))</f>
        <v>84.3333333333333</v>
      </c>
      <c r="X1013" s="2" t="n">
        <f aca="false">Settings!$B$4*MAX(INDEX(Bases!$R$2:$R$53,B1013),INDEX(Bases!$R$2:$R$53,C1013))+Settings!$B$5*MIN(INDEX(Bases!$R$2:$R$53,B1013),INDEX(Bases!$R$2:$R$53,C1013))</f>
        <v>66.6666666666667</v>
      </c>
      <c r="Y1013" s="2" t="n">
        <f aca="false">S1013*Settings!$B$3/SUM(S1013:X1013)</f>
        <v>75.1398880895284</v>
      </c>
      <c r="Z1013" s="2" t="n">
        <f aca="false">T1013*Settings!$B$3/SUM(S1013:X1013)</f>
        <v>89.5283772981615</v>
      </c>
      <c r="AA1013" s="2" t="n">
        <f aca="false">U1013*Settings!$B$3/SUM(S1013:X1013)</f>
        <v>85.1318944844125</v>
      </c>
      <c r="AB1013" s="2" t="n">
        <f aca="false">V1013*Settings!$B$3/SUM(S1013:X1013)</f>
        <v>69.1446842525979</v>
      </c>
      <c r="AC1013" s="2" t="n">
        <f aca="false">W1013*Settings!$B$3/SUM(S1013:X1013)</f>
        <v>101.119104716227</v>
      </c>
      <c r="AD1013" s="2" t="n">
        <f aca="false">X1013*Settings!$B$3/SUM(S1013:X1013)</f>
        <v>79.9360511590727</v>
      </c>
      <c r="AE1013" s="2" t="n">
        <f aca="false">INT(Y1013)</f>
        <v>75</v>
      </c>
      <c r="AF1013" s="2" t="n">
        <f aca="false">INT(Z1013)</f>
        <v>89</v>
      </c>
      <c r="AG1013" s="2" t="n">
        <f aca="false">INT(AA1013)</f>
        <v>85</v>
      </c>
      <c r="AH1013" s="2" t="n">
        <f aca="false">INT(AB1013)</f>
        <v>69</v>
      </c>
      <c r="AI1013" s="2" t="n">
        <f aca="false">INT(AC1013)</f>
        <v>101</v>
      </c>
      <c r="AJ1013" s="2" t="n">
        <f aca="false">INT(AD1013)</f>
        <v>79</v>
      </c>
      <c r="AK1013" s="2" t="n">
        <f aca="false">Settings!$B$3-SUM(AE1013:AJ1013)</f>
        <v>2</v>
      </c>
      <c r="AL1013" s="2" t="n">
        <f aca="false">ROUND(Y1013-AE1013,9)</f>
        <v>0.13988809</v>
      </c>
      <c r="AM1013" s="2" t="n">
        <f aca="false">ROUND(Z1013-AF1013,9)</f>
        <v>0.528377298</v>
      </c>
      <c r="AN1013" s="2" t="n">
        <f aca="false">ROUND(AA1013-AG1013,9)</f>
        <v>0.131894484</v>
      </c>
      <c r="AO1013" s="2" t="n">
        <f aca="false">ROUND(AB1013-AH1013,9)</f>
        <v>0.144684253</v>
      </c>
      <c r="AP1013" s="2" t="n">
        <f aca="false">ROUND(AC1013-AI1013,9)</f>
        <v>0.119104716</v>
      </c>
      <c r="AQ1013" s="2" t="n">
        <f aca="false">ROUND(AD1013-AJ1013,9)</f>
        <v>0.936051159</v>
      </c>
    </row>
    <row r="1014" customFormat="false" ht="15" hidden="false" customHeight="false" outlineLevel="0" collapsed="false">
      <c r="A1014" s="2" t="n">
        <v>1013</v>
      </c>
      <c r="B1014" s="6" t="n">
        <v>27</v>
      </c>
      <c r="C1014" s="6" t="n">
        <v>39</v>
      </c>
      <c r="D1014" s="8" t="str">
        <f aca="false">INDEX(Bases!$B$2:$B$53,B1014)</f>
        <v>Baltoy</v>
      </c>
      <c r="E1014" s="8" t="str">
        <f aca="false">INDEX(Bases!$B$2:$B$53,C1014)</f>
        <v>Nosepass</v>
      </c>
      <c r="F1014" s="2" t="str">
        <f aca="false">LEFT(D1014,ROUNDUP(LEN(D1014)/2,0))&amp;LOWER(MID(E1014,ROUNDUP(LEN(E1014)/2,0)+1,20))</f>
        <v>Balpass</v>
      </c>
      <c r="G1014" s="8" t="str">
        <f aca="false">INDEX(Bases!$C$2:$C$53,B1014)</f>
        <v>Ground</v>
      </c>
      <c r="H1014" s="8" t="str">
        <f aca="false">IF(INDEX(Bases!$C$2:$C$53,C1014)=G1014,"",INDEX(Bases!$C$2:$C$53,C1014))</f>
        <v>Rock</v>
      </c>
      <c r="I1014" s="8" t="str">
        <f aca="false">IF(INDEX(Bases!$E$2:$E$53,B1014)="","",INDEX(Bases!$E$2:$E$53,B1014))</f>
        <v/>
      </c>
      <c r="J1014" s="8" t="str">
        <f aca="false">IF(INDEX(Bases!$E$2:$E$53,C1014)="","",INDEX(Bases!$E$2:$E$53,C1014))</f>
        <v/>
      </c>
      <c r="K1014" s="5"/>
      <c r="L1014" s="2" t="n">
        <f aca="false">AE1014+IF(SUMPRODUCT(--($AL1014:$AQ1014&gt;AL1014))&lt;$AK1014,1,0)</f>
        <v>55</v>
      </c>
      <c r="M1014" s="2" t="n">
        <f aca="false">AF1014+IF(SUMPRODUCT(--($AL1014:$AQ1014&gt;AM1014))+SUMPRODUCT(--($AL1014:AL1014=AM1014))&lt;$AK1014,1,0)</f>
        <v>61</v>
      </c>
      <c r="N1014" s="2" t="n">
        <f aca="false">AG1014+IF(SUMPRODUCT(--($AL1014:$AQ1014&gt;AN1014))+SUMPRODUCT(--($AL1014:AM1014=AN1014))&lt;$AK1014,1,0)</f>
        <v>142</v>
      </c>
      <c r="O1014" s="2" t="n">
        <f aca="false">AH1014+IF(SUMPRODUCT(--($AL1014:$AQ1014&gt;AO1014))+SUMPRODUCT(--($AL1014:AN1014=AO1014))&lt;$AK1014,1,0)</f>
        <v>60</v>
      </c>
      <c r="P1014" s="2" t="n">
        <f aca="false">AI1014+IF(SUMPRODUCT(--($AL1014:$AQ1014&gt;AP1014))+SUMPRODUCT(--($AL1014:AO1014=AP1014))&lt;$AK1014,1,0)</f>
        <v>112</v>
      </c>
      <c r="Q1014" s="2" t="n">
        <f aca="false">AJ1014+IF(SUMPRODUCT(--($AL1014:$AQ1014&gt;AQ1014))+SUMPRODUCT(--($AL1014:AP1014=AQ1014))&lt;$AK1014,1,0)</f>
        <v>70</v>
      </c>
      <c r="R1014" s="2" t="n">
        <f aca="false">SUM(L1014:Q1014)</f>
        <v>500</v>
      </c>
      <c r="S1014" s="2" t="n">
        <f aca="false">Settings!$B$4*MAX(INDEX(Bases!$M$2:$M$53,B1014),INDEX(Bases!$M$2:$M$53,C1014))+Settings!$B$5*MIN(INDEX(Bases!$M$2:$M$53,B1014),INDEX(Bases!$M$2:$M$53,C1014))</f>
        <v>46.6666666666667</v>
      </c>
      <c r="T1014" s="2" t="n">
        <f aca="false">Settings!$B$4*MAX(INDEX(Bases!$N$2:$N$53,B1014),INDEX(Bases!$N$2:$N$53,C1014))+Settings!$B$5*MIN(INDEX(Bases!$N$2:$N$53,B1014),INDEX(Bases!$N$2:$N$53,C1014))</f>
        <v>52</v>
      </c>
      <c r="U1014" s="2" t="n">
        <f aca="false">Settings!$B$4*MAX(INDEX(Bases!$O$2:$O$53,B1014),INDEX(Bases!$O$2:$O$53,C1014))+Settings!$B$5*MIN(INDEX(Bases!$O$2:$O$53,B1014),INDEX(Bases!$O$2:$O$53,C1014))</f>
        <v>120.333333333333</v>
      </c>
      <c r="V1014" s="2" t="n">
        <f aca="false">Settings!$B$4*MAX(INDEX(Bases!$P$2:$P$53,B1014),INDEX(Bases!$P$2:$P$53,C1014))+Settings!$B$5*MIN(INDEX(Bases!$P$2:$P$53,B1014),INDEX(Bases!$P$2:$P$53,C1014))</f>
        <v>51.3333333333333</v>
      </c>
      <c r="W1014" s="2" t="n">
        <f aca="false">Settings!$B$4*MAX(INDEX(Bases!$Q$2:$Q$53,B1014),INDEX(Bases!$Q$2:$Q$53,C1014))+Settings!$B$5*MIN(INDEX(Bases!$Q$2:$Q$53,B1014),INDEX(Bases!$Q$2:$Q$53,C1014))</f>
        <v>95</v>
      </c>
      <c r="X1014" s="2" t="n">
        <f aca="false">Settings!$B$4*MAX(INDEX(Bases!$R$2:$R$53,B1014),INDEX(Bases!$R$2:$R$53,C1014))+Settings!$B$5*MIN(INDEX(Bases!$R$2:$R$53,B1014),INDEX(Bases!$R$2:$R$53,C1014))</f>
        <v>59.3333333333333</v>
      </c>
      <c r="Y1014" s="2" t="n">
        <f aca="false">S1014*Settings!$B$3/SUM(S1014:X1014)</f>
        <v>54.945054945055</v>
      </c>
      <c r="Z1014" s="2" t="n">
        <f aca="false">T1014*Settings!$B$3/SUM(S1014:X1014)</f>
        <v>61.2244897959184</v>
      </c>
      <c r="AA1014" s="2" t="n">
        <f aca="false">U1014*Settings!$B$3/SUM(S1014:X1014)</f>
        <v>141.679748822606</v>
      </c>
      <c r="AB1014" s="2" t="n">
        <f aca="false">V1014*Settings!$B$3/SUM(S1014:X1014)</f>
        <v>60.4395604395604</v>
      </c>
      <c r="AC1014" s="2" t="n">
        <f aca="false">W1014*Settings!$B$3/SUM(S1014:X1014)</f>
        <v>111.852433281005</v>
      </c>
      <c r="AD1014" s="2" t="n">
        <f aca="false">X1014*Settings!$B$3/SUM(S1014:X1014)</f>
        <v>69.8587127158556</v>
      </c>
      <c r="AE1014" s="2" t="n">
        <f aca="false">INT(Y1014)</f>
        <v>54</v>
      </c>
      <c r="AF1014" s="2" t="n">
        <f aca="false">INT(Z1014)</f>
        <v>61</v>
      </c>
      <c r="AG1014" s="2" t="n">
        <f aca="false">INT(AA1014)</f>
        <v>141</v>
      </c>
      <c r="AH1014" s="2" t="n">
        <f aca="false">INT(AB1014)</f>
        <v>60</v>
      </c>
      <c r="AI1014" s="2" t="n">
        <f aca="false">INT(AC1014)</f>
        <v>111</v>
      </c>
      <c r="AJ1014" s="2" t="n">
        <f aca="false">INT(AD1014)</f>
        <v>69</v>
      </c>
      <c r="AK1014" s="2" t="n">
        <f aca="false">Settings!$B$3-SUM(AE1014:AJ1014)</f>
        <v>4</v>
      </c>
      <c r="AL1014" s="2" t="n">
        <f aca="false">ROUND(Y1014-AE1014,9)</f>
        <v>0.945054945</v>
      </c>
      <c r="AM1014" s="2" t="n">
        <f aca="false">ROUND(Z1014-AF1014,9)</f>
        <v>0.224489796</v>
      </c>
      <c r="AN1014" s="2" t="n">
        <f aca="false">ROUND(AA1014-AG1014,9)</f>
        <v>0.679748823</v>
      </c>
      <c r="AO1014" s="2" t="n">
        <f aca="false">ROUND(AB1014-AH1014,9)</f>
        <v>0.43956044</v>
      </c>
      <c r="AP1014" s="2" t="n">
        <f aca="false">ROUND(AC1014-AI1014,9)</f>
        <v>0.852433281</v>
      </c>
      <c r="AQ1014" s="2" t="n">
        <f aca="false">ROUND(AD1014-AJ1014,9)</f>
        <v>0.858712716</v>
      </c>
    </row>
    <row r="1015" customFormat="false" ht="15" hidden="false" customHeight="false" outlineLevel="0" collapsed="false">
      <c r="A1015" s="2" t="n">
        <v>1014</v>
      </c>
      <c r="B1015" s="6" t="n">
        <v>27</v>
      </c>
      <c r="C1015" s="6" t="n">
        <v>40</v>
      </c>
      <c r="D1015" s="8" t="str">
        <f aca="false">INDEX(Bases!$B$2:$B$53,B1015)</f>
        <v>Baltoy</v>
      </c>
      <c r="E1015" s="8" t="str">
        <f aca="false">INDEX(Bases!$B$2:$B$53,C1015)</f>
        <v>Gastly</v>
      </c>
      <c r="F1015" s="2" t="str">
        <f aca="false">LEFT(D1015,ROUNDUP(LEN(D1015)/2,0))&amp;LOWER(MID(E1015,ROUNDUP(LEN(E1015)/2,0)+1,20))</f>
        <v>Baltly</v>
      </c>
      <c r="G1015" s="8" t="str">
        <f aca="false">INDEX(Bases!$C$2:$C$53,B1015)</f>
        <v>Ground</v>
      </c>
      <c r="H1015" s="8" t="str">
        <f aca="false">IF(INDEX(Bases!$C$2:$C$53,C1015)=G1015,"",INDEX(Bases!$C$2:$C$53,C1015))</f>
        <v>Ghost</v>
      </c>
      <c r="I1015" s="8" t="str">
        <f aca="false">IF(INDEX(Bases!$E$2:$E$53,B1015)="","",INDEX(Bases!$E$2:$E$53,B1015))</f>
        <v/>
      </c>
      <c r="J1015" s="8" t="str">
        <f aca="false">IF(INDEX(Bases!$E$2:$E$53,C1015)="","",INDEX(Bases!$E$2:$E$53,C1015))</f>
        <v/>
      </c>
      <c r="K1015" s="5"/>
      <c r="L1015" s="2" t="n">
        <f aca="false">AE1015+IF(SUMPRODUCT(--($AL1015:$AQ1015&gt;AL1015))&lt;$AK1015,1,0)</f>
        <v>56</v>
      </c>
      <c r="M1015" s="2" t="n">
        <f aca="false">AF1015+IF(SUMPRODUCT(--($AL1015:$AQ1015&gt;AM1015))+SUMPRODUCT(--($AL1015:AL1015=AM1015))&lt;$AK1015,1,0)</f>
        <v>59</v>
      </c>
      <c r="N1015" s="2" t="n">
        <f aca="false">AG1015+IF(SUMPRODUCT(--($AL1015:$AQ1015&gt;AN1015))+SUMPRODUCT(--($AL1015:AM1015=AN1015))&lt;$AK1015,1,0)</f>
        <v>71</v>
      </c>
      <c r="O1015" s="2" t="n">
        <f aca="false">AH1015+IF(SUMPRODUCT(--($AL1015:$AQ1015&gt;AO1015))+SUMPRODUCT(--($AL1015:AN1015=AO1015))&lt;$AK1015,1,0)</f>
        <v>119</v>
      </c>
      <c r="P1015" s="2" t="n">
        <f aca="false">AI1015+IF(SUMPRODUCT(--($AL1015:$AQ1015&gt;AP1015))+SUMPRODUCT(--($AL1015:AO1015=AP1015))&lt;$AK1015,1,0)</f>
        <v>88</v>
      </c>
      <c r="Q1015" s="2" t="n">
        <f aca="false">AJ1015+IF(SUMPRODUCT(--($AL1015:$AQ1015&gt;AQ1015))+SUMPRODUCT(--($AL1015:AP1015=AQ1015))&lt;$AK1015,1,0)</f>
        <v>107</v>
      </c>
      <c r="R1015" s="2" t="n">
        <f aca="false">SUM(L1015:Q1015)</f>
        <v>500</v>
      </c>
      <c r="S1015" s="2" t="n">
        <f aca="false">Settings!$B$4*MAX(INDEX(Bases!$M$2:$M$53,B1015),INDEX(Bases!$M$2:$M$53,C1015))+Settings!$B$5*MIN(INDEX(Bases!$M$2:$M$53,B1015),INDEX(Bases!$M$2:$M$53,C1015))</f>
        <v>49</v>
      </c>
      <c r="T1015" s="2" t="n">
        <f aca="false">Settings!$B$4*MAX(INDEX(Bases!$N$2:$N$53,B1015),INDEX(Bases!$N$2:$N$53,C1015))+Settings!$B$5*MIN(INDEX(Bases!$N$2:$N$53,B1015),INDEX(Bases!$N$2:$N$53,C1015))</f>
        <v>51</v>
      </c>
      <c r="U1015" s="2" t="n">
        <f aca="false">Settings!$B$4*MAX(INDEX(Bases!$O$2:$O$53,B1015),INDEX(Bases!$O$2:$O$53,C1015))+Settings!$B$5*MIN(INDEX(Bases!$O$2:$O$53,B1015),INDEX(Bases!$O$2:$O$53,C1015))</f>
        <v>61.6666666666667</v>
      </c>
      <c r="V1015" s="2" t="n">
        <f aca="false">Settings!$B$4*MAX(INDEX(Bases!$P$2:$P$53,B1015),INDEX(Bases!$P$2:$P$53,C1015))+Settings!$B$5*MIN(INDEX(Bases!$P$2:$P$53,B1015),INDEX(Bases!$P$2:$P$53,C1015))</f>
        <v>103.666666666667</v>
      </c>
      <c r="W1015" s="2" t="n">
        <f aca="false">Settings!$B$4*MAX(INDEX(Bases!$Q$2:$Q$53,B1015),INDEX(Bases!$Q$2:$Q$53,C1015))+Settings!$B$5*MIN(INDEX(Bases!$Q$2:$Q$53,B1015),INDEX(Bases!$Q$2:$Q$53,C1015))</f>
        <v>77</v>
      </c>
      <c r="X1015" s="2" t="n">
        <f aca="false">Settings!$B$4*MAX(INDEX(Bases!$R$2:$R$53,B1015),INDEX(Bases!$R$2:$R$53,C1015))+Settings!$B$5*MIN(INDEX(Bases!$R$2:$R$53,B1015),INDEX(Bases!$R$2:$R$53,C1015))</f>
        <v>93</v>
      </c>
      <c r="Y1015" s="2" t="n">
        <f aca="false">S1015*Settings!$B$3/SUM(S1015:X1015)</f>
        <v>56.2787136294028</v>
      </c>
      <c r="Z1015" s="2" t="n">
        <f aca="false">T1015*Settings!$B$3/SUM(S1015:X1015)</f>
        <v>58.5758039816233</v>
      </c>
      <c r="AA1015" s="2" t="n">
        <f aca="false">U1015*Settings!$B$3/SUM(S1015:X1015)</f>
        <v>70.8269525267994</v>
      </c>
      <c r="AB1015" s="2" t="n">
        <f aca="false">V1015*Settings!$B$3/SUM(S1015:X1015)</f>
        <v>119.06584992343</v>
      </c>
      <c r="AC1015" s="2" t="n">
        <f aca="false">W1015*Settings!$B$3/SUM(S1015:X1015)</f>
        <v>88.4379785604901</v>
      </c>
      <c r="AD1015" s="2" t="n">
        <f aca="false">X1015*Settings!$B$3/SUM(S1015:X1015)</f>
        <v>106.814701378254</v>
      </c>
      <c r="AE1015" s="2" t="n">
        <f aca="false">INT(Y1015)</f>
        <v>56</v>
      </c>
      <c r="AF1015" s="2" t="n">
        <f aca="false">INT(Z1015)</f>
        <v>58</v>
      </c>
      <c r="AG1015" s="2" t="n">
        <f aca="false">INT(AA1015)</f>
        <v>70</v>
      </c>
      <c r="AH1015" s="2" t="n">
        <f aca="false">INT(AB1015)</f>
        <v>119</v>
      </c>
      <c r="AI1015" s="2" t="n">
        <f aca="false">INT(AC1015)</f>
        <v>88</v>
      </c>
      <c r="AJ1015" s="2" t="n">
        <f aca="false">INT(AD1015)</f>
        <v>106</v>
      </c>
      <c r="AK1015" s="2" t="n">
        <f aca="false">Settings!$B$3-SUM(AE1015:AJ1015)</f>
        <v>3</v>
      </c>
      <c r="AL1015" s="2" t="n">
        <f aca="false">ROUND(Y1015-AE1015,9)</f>
        <v>0.278713629</v>
      </c>
      <c r="AM1015" s="2" t="n">
        <f aca="false">ROUND(Z1015-AF1015,9)</f>
        <v>0.575803982</v>
      </c>
      <c r="AN1015" s="2" t="n">
        <f aca="false">ROUND(AA1015-AG1015,9)</f>
        <v>0.826952527</v>
      </c>
      <c r="AO1015" s="2" t="n">
        <f aca="false">ROUND(AB1015-AH1015,9)</f>
        <v>0.065849923</v>
      </c>
      <c r="AP1015" s="2" t="n">
        <f aca="false">ROUND(AC1015-AI1015,9)</f>
        <v>0.43797856</v>
      </c>
      <c r="AQ1015" s="2" t="n">
        <f aca="false">ROUND(AD1015-AJ1015,9)</f>
        <v>0.814701378</v>
      </c>
    </row>
    <row r="1016" customFormat="false" ht="15" hidden="false" customHeight="false" outlineLevel="0" collapsed="false">
      <c r="A1016" s="2" t="n">
        <v>1015</v>
      </c>
      <c r="B1016" s="6" t="n">
        <v>27</v>
      </c>
      <c r="C1016" s="6" t="n">
        <v>41</v>
      </c>
      <c r="D1016" s="8" t="str">
        <f aca="false">INDEX(Bases!$B$2:$B$53,B1016)</f>
        <v>Baltoy</v>
      </c>
      <c r="E1016" s="8" t="str">
        <f aca="false">INDEX(Bases!$B$2:$B$53,C1016)</f>
        <v>Misdreavus</v>
      </c>
      <c r="F1016" s="2" t="str">
        <f aca="false">LEFT(D1016,ROUNDUP(LEN(D1016)/2,0))&amp;LOWER(MID(E1016,ROUNDUP(LEN(E1016)/2,0)+1,20))</f>
        <v>Baleavus</v>
      </c>
      <c r="G1016" s="8" t="str">
        <f aca="false">INDEX(Bases!$C$2:$C$53,B1016)</f>
        <v>Ground</v>
      </c>
      <c r="H1016" s="8" t="str">
        <f aca="false">IF(INDEX(Bases!$C$2:$C$53,C1016)=G1016,"",INDEX(Bases!$C$2:$C$53,C1016))</f>
        <v>Ghost</v>
      </c>
      <c r="I1016" s="8" t="str">
        <f aca="false">IF(INDEX(Bases!$E$2:$E$53,B1016)="","",INDEX(Bases!$E$2:$E$53,B1016))</f>
        <v/>
      </c>
      <c r="J1016" s="8" t="str">
        <f aca="false">IF(INDEX(Bases!$E$2:$E$53,C1016)="","",INDEX(Bases!$E$2:$E$53,C1016))</f>
        <v/>
      </c>
      <c r="K1016" s="5"/>
      <c r="L1016" s="2" t="n">
        <f aca="false">AE1016+IF(SUMPRODUCT(--($AL1016:$AQ1016&gt;AL1016))&lt;$AK1016,1,0)</f>
        <v>67</v>
      </c>
      <c r="M1016" s="2" t="n">
        <f aca="false">AF1016+IF(SUMPRODUCT(--($AL1016:$AQ1016&gt;AM1016))+SUMPRODUCT(--($AL1016:AL1016=AM1016))&lt;$AK1016,1,0)</f>
        <v>66</v>
      </c>
      <c r="N1016" s="2" t="n">
        <f aca="false">AG1016+IF(SUMPRODUCT(--($AL1016:$AQ1016&gt;AN1016))+SUMPRODUCT(--($AL1016:AM1016=AN1016))&lt;$AK1016,1,0)</f>
        <v>82</v>
      </c>
      <c r="O1016" s="2" t="n">
        <f aca="false">AH1016+IF(SUMPRODUCT(--($AL1016:$AQ1016&gt;AO1016))+SUMPRODUCT(--($AL1016:AN1016=AO1016))&lt;$AK1016,1,0)</f>
        <v>85</v>
      </c>
      <c r="P1016" s="2" t="n">
        <f aca="false">AI1016+IF(SUMPRODUCT(--($AL1016:$AQ1016&gt;AP1016))+SUMPRODUCT(--($AL1016:AO1016=AP1016))&lt;$AK1016,1,0)</f>
        <v>107</v>
      </c>
      <c r="Q1016" s="2" t="n">
        <f aca="false">AJ1016+IF(SUMPRODUCT(--($AL1016:$AQ1016&gt;AQ1016))+SUMPRODUCT(--($AL1016:AP1016=AQ1016))&lt;$AK1016,1,0)</f>
        <v>93</v>
      </c>
      <c r="R1016" s="2" t="n">
        <f aca="false">SUM(L1016:Q1016)</f>
        <v>500</v>
      </c>
      <c r="S1016" s="2" t="n">
        <f aca="false">Settings!$B$4*MAX(INDEX(Bases!$M$2:$M$53,B1016),INDEX(Bases!$M$2:$M$53,C1016))+Settings!$B$5*MIN(INDEX(Bases!$M$2:$M$53,B1016),INDEX(Bases!$M$2:$M$53,C1016))</f>
        <v>55.3333333333333</v>
      </c>
      <c r="T1016" s="2" t="n">
        <f aca="false">Settings!$B$4*MAX(INDEX(Bases!$N$2:$N$53,B1016),INDEX(Bases!$N$2:$N$53,C1016))+Settings!$B$5*MIN(INDEX(Bases!$N$2:$N$53,B1016),INDEX(Bases!$N$2:$N$53,C1016))</f>
        <v>54.6666666666667</v>
      </c>
      <c r="U1016" s="2" t="n">
        <f aca="false">Settings!$B$4*MAX(INDEX(Bases!$O$2:$O$53,B1016),INDEX(Bases!$O$2:$O$53,C1016))+Settings!$B$5*MIN(INDEX(Bases!$O$2:$O$53,B1016),INDEX(Bases!$O$2:$O$53,C1016))</f>
        <v>67</v>
      </c>
      <c r="V1016" s="2" t="n">
        <f aca="false">Settings!$B$4*MAX(INDEX(Bases!$P$2:$P$53,B1016),INDEX(Bases!$P$2:$P$53,C1016))+Settings!$B$5*MIN(INDEX(Bases!$P$2:$P$53,B1016),INDEX(Bases!$P$2:$P$53,C1016))</f>
        <v>69.6666666666667</v>
      </c>
      <c r="W1016" s="2" t="n">
        <f aca="false">Settings!$B$4*MAX(INDEX(Bases!$Q$2:$Q$53,B1016),INDEX(Bases!$Q$2:$Q$53,C1016))+Settings!$B$5*MIN(INDEX(Bases!$Q$2:$Q$53,B1016),INDEX(Bases!$Q$2:$Q$53,C1016))</f>
        <v>88</v>
      </c>
      <c r="X1016" s="2" t="n">
        <f aca="false">Settings!$B$4*MAX(INDEX(Bases!$R$2:$R$53,B1016),INDEX(Bases!$R$2:$R$53,C1016))+Settings!$B$5*MIN(INDEX(Bases!$R$2:$R$53,B1016),INDEX(Bases!$R$2:$R$53,C1016))</f>
        <v>76.3333333333333</v>
      </c>
      <c r="Y1016" s="2" t="n">
        <f aca="false">S1016*Settings!$B$3/SUM(S1016:X1016)</f>
        <v>67.3154906731549</v>
      </c>
      <c r="Z1016" s="2" t="n">
        <f aca="false">T1016*Settings!$B$3/SUM(S1016:X1016)</f>
        <v>66.5044606650446</v>
      </c>
      <c r="AA1016" s="2" t="n">
        <f aca="false">U1016*Settings!$B$3/SUM(S1016:X1016)</f>
        <v>81.5085158150852</v>
      </c>
      <c r="AB1016" s="2" t="n">
        <f aca="false">V1016*Settings!$B$3/SUM(S1016:X1016)</f>
        <v>84.7526358475264</v>
      </c>
      <c r="AC1016" s="2" t="n">
        <f aca="false">W1016*Settings!$B$3/SUM(S1016:X1016)</f>
        <v>107.05596107056</v>
      </c>
      <c r="AD1016" s="2" t="n">
        <f aca="false">X1016*Settings!$B$3/SUM(S1016:X1016)</f>
        <v>92.8629359286294</v>
      </c>
      <c r="AE1016" s="2" t="n">
        <f aca="false">INT(Y1016)</f>
        <v>67</v>
      </c>
      <c r="AF1016" s="2" t="n">
        <f aca="false">INT(Z1016)</f>
        <v>66</v>
      </c>
      <c r="AG1016" s="2" t="n">
        <f aca="false">INT(AA1016)</f>
        <v>81</v>
      </c>
      <c r="AH1016" s="2" t="n">
        <f aca="false">INT(AB1016)</f>
        <v>84</v>
      </c>
      <c r="AI1016" s="2" t="n">
        <f aca="false">INT(AC1016)</f>
        <v>107</v>
      </c>
      <c r="AJ1016" s="2" t="n">
        <f aca="false">INT(AD1016)</f>
        <v>92</v>
      </c>
      <c r="AK1016" s="2" t="n">
        <f aca="false">Settings!$B$3-SUM(AE1016:AJ1016)</f>
        <v>3</v>
      </c>
      <c r="AL1016" s="2" t="n">
        <f aca="false">ROUND(Y1016-AE1016,9)</f>
        <v>0.315490673</v>
      </c>
      <c r="AM1016" s="2" t="n">
        <f aca="false">ROUND(Z1016-AF1016,9)</f>
        <v>0.504460665</v>
      </c>
      <c r="AN1016" s="2" t="n">
        <f aca="false">ROUND(AA1016-AG1016,9)</f>
        <v>0.508515815</v>
      </c>
      <c r="AO1016" s="2" t="n">
        <f aca="false">ROUND(AB1016-AH1016,9)</f>
        <v>0.752635848</v>
      </c>
      <c r="AP1016" s="2" t="n">
        <f aca="false">ROUND(AC1016-AI1016,9)</f>
        <v>0.055961071</v>
      </c>
      <c r="AQ1016" s="2" t="n">
        <f aca="false">ROUND(AD1016-AJ1016,9)</f>
        <v>0.862935929</v>
      </c>
    </row>
    <row r="1017" customFormat="false" ht="15" hidden="false" customHeight="false" outlineLevel="0" collapsed="false">
      <c r="A1017" s="2" t="n">
        <v>1016</v>
      </c>
      <c r="B1017" s="6" t="n">
        <v>27</v>
      </c>
      <c r="C1017" s="6" t="n">
        <v>42</v>
      </c>
      <c r="D1017" s="8" t="str">
        <f aca="false">INDEX(Bases!$B$2:$B$53,B1017)</f>
        <v>Baltoy</v>
      </c>
      <c r="E1017" s="8" t="str">
        <f aca="false">INDEX(Bases!$B$2:$B$53,C1017)</f>
        <v>Sableye</v>
      </c>
      <c r="F1017" s="2" t="str">
        <f aca="false">LEFT(D1017,ROUNDUP(LEN(D1017)/2,0))&amp;LOWER(MID(E1017,ROUNDUP(LEN(E1017)/2,0)+1,20))</f>
        <v>Baleye</v>
      </c>
      <c r="G1017" s="8" t="str">
        <f aca="false">INDEX(Bases!$C$2:$C$53,B1017)</f>
        <v>Ground</v>
      </c>
      <c r="H1017" s="8" t="str">
        <f aca="false">IF(INDEX(Bases!$C$2:$C$53,C1017)=G1017,"",INDEX(Bases!$C$2:$C$53,C1017))</f>
        <v>Ghost</v>
      </c>
      <c r="I1017" s="8" t="str">
        <f aca="false">IF(INDEX(Bases!$E$2:$E$53,B1017)="","",INDEX(Bases!$E$2:$E$53,B1017))</f>
        <v/>
      </c>
      <c r="J1017" s="8" t="str">
        <f aca="false">IF(INDEX(Bases!$E$2:$E$53,C1017)="","",INDEX(Bases!$E$2:$E$53,C1017))</f>
        <v/>
      </c>
      <c r="K1017" s="5"/>
      <c r="L1017" s="2" t="n">
        <f aca="false">AE1017+IF(SUMPRODUCT(--($AL1017:$AQ1017&gt;AL1017))&lt;$AK1017,1,0)</f>
        <v>64</v>
      </c>
      <c r="M1017" s="2" t="n">
        <f aca="false">AF1017+IF(SUMPRODUCT(--($AL1017:$AQ1017&gt;AM1017))+SUMPRODUCT(--($AL1017:AL1017=AM1017))&lt;$AK1017,1,0)</f>
        <v>85</v>
      </c>
      <c r="N1017" s="2" t="n">
        <f aca="false">AG1017+IF(SUMPRODUCT(--($AL1017:$AQ1017&gt;AN1017))+SUMPRODUCT(--($AL1017:AM1017=AN1017))&lt;$AK1017,1,0)</f>
        <v>93</v>
      </c>
      <c r="O1017" s="2" t="n">
        <f aca="false">AH1017+IF(SUMPRODUCT(--($AL1017:$AQ1017&gt;AO1017))+SUMPRODUCT(--($AL1017:AN1017=AO1017))&lt;$AK1017,1,0)</f>
        <v>76</v>
      </c>
      <c r="P1017" s="2" t="n">
        <f aca="false">AI1017+IF(SUMPRODUCT(--($AL1017:$AQ1017&gt;AP1017))+SUMPRODUCT(--($AL1017:AO1017=AP1017))&lt;$AK1017,1,0)</f>
        <v>102</v>
      </c>
      <c r="Q1017" s="2" t="n">
        <f aca="false">AJ1017+IF(SUMPRODUCT(--($AL1017:$AQ1017&gt;AQ1017))+SUMPRODUCT(--($AL1017:AP1017=AQ1017))&lt;$AK1017,1,0)</f>
        <v>80</v>
      </c>
      <c r="R1017" s="2" t="n">
        <f aca="false">SUM(L1017:Q1017)</f>
        <v>500</v>
      </c>
      <c r="S1017" s="2" t="n">
        <f aca="false">Settings!$B$4*MAX(INDEX(Bases!$M$2:$M$53,B1017),INDEX(Bases!$M$2:$M$53,C1017))+Settings!$B$5*MIN(INDEX(Bases!$M$2:$M$53,B1017),INDEX(Bases!$M$2:$M$53,C1017))</f>
        <v>53.6666666666667</v>
      </c>
      <c r="T1017" s="2" t="n">
        <f aca="false">Settings!$B$4*MAX(INDEX(Bases!$N$2:$N$53,B1017),INDEX(Bases!$N$2:$N$53,C1017))+Settings!$B$5*MIN(INDEX(Bases!$N$2:$N$53,B1017),INDEX(Bases!$N$2:$N$53,C1017))</f>
        <v>70.6666666666667</v>
      </c>
      <c r="U1017" s="2" t="n">
        <f aca="false">Settings!$B$4*MAX(INDEX(Bases!$O$2:$O$53,B1017),INDEX(Bases!$O$2:$O$53,C1017))+Settings!$B$5*MIN(INDEX(Bases!$O$2:$O$53,B1017),INDEX(Bases!$O$2:$O$53,C1017))</f>
        <v>77</v>
      </c>
      <c r="V1017" s="2" t="n">
        <f aca="false">Settings!$B$4*MAX(INDEX(Bases!$P$2:$P$53,B1017),INDEX(Bases!$P$2:$P$53,C1017))+Settings!$B$5*MIN(INDEX(Bases!$P$2:$P$53,B1017),INDEX(Bases!$P$2:$P$53,C1017))</f>
        <v>63</v>
      </c>
      <c r="W1017" s="2" t="n">
        <f aca="false">Settings!$B$4*MAX(INDEX(Bases!$Q$2:$Q$53,B1017),INDEX(Bases!$Q$2:$Q$53,C1017))+Settings!$B$5*MIN(INDEX(Bases!$Q$2:$Q$53,B1017),INDEX(Bases!$Q$2:$Q$53,C1017))</f>
        <v>84.6666666666667</v>
      </c>
      <c r="X1017" s="2" t="n">
        <f aca="false">Settings!$B$4*MAX(INDEX(Bases!$R$2:$R$53,B1017),INDEX(Bases!$R$2:$R$53,C1017))+Settings!$B$5*MIN(INDEX(Bases!$R$2:$R$53,B1017),INDEX(Bases!$R$2:$R$53,C1017))</f>
        <v>66.3333333333333</v>
      </c>
      <c r="Y1017" s="2" t="n">
        <f aca="false">S1017*Settings!$B$3/SUM(S1017:X1017)</f>
        <v>64.6067415730337</v>
      </c>
      <c r="Z1017" s="2" t="n">
        <f aca="false">T1017*Settings!$B$3/SUM(S1017:X1017)</f>
        <v>85.0722311396469</v>
      </c>
      <c r="AA1017" s="2" t="n">
        <f aca="false">U1017*Settings!$B$3/SUM(S1017:X1017)</f>
        <v>92.6966292134832</v>
      </c>
      <c r="AB1017" s="2" t="n">
        <f aca="false">V1017*Settings!$B$3/SUM(S1017:X1017)</f>
        <v>75.8426966292135</v>
      </c>
      <c r="AC1017" s="2" t="n">
        <f aca="false">W1017*Settings!$B$3/SUM(S1017:X1017)</f>
        <v>101.926163723917</v>
      </c>
      <c r="AD1017" s="2" t="n">
        <f aca="false">X1017*Settings!$B$3/SUM(S1017:X1017)</f>
        <v>79.8555377207063</v>
      </c>
      <c r="AE1017" s="2" t="n">
        <f aca="false">INT(Y1017)</f>
        <v>64</v>
      </c>
      <c r="AF1017" s="2" t="n">
        <f aca="false">INT(Z1017)</f>
        <v>85</v>
      </c>
      <c r="AG1017" s="2" t="n">
        <f aca="false">INT(AA1017)</f>
        <v>92</v>
      </c>
      <c r="AH1017" s="2" t="n">
        <f aca="false">INT(AB1017)</f>
        <v>75</v>
      </c>
      <c r="AI1017" s="2" t="n">
        <f aca="false">INT(AC1017)</f>
        <v>101</v>
      </c>
      <c r="AJ1017" s="2" t="n">
        <f aca="false">INT(AD1017)</f>
        <v>79</v>
      </c>
      <c r="AK1017" s="2" t="n">
        <f aca="false">Settings!$B$3-SUM(AE1017:AJ1017)</f>
        <v>4</v>
      </c>
      <c r="AL1017" s="2" t="n">
        <f aca="false">ROUND(Y1017-AE1017,9)</f>
        <v>0.606741573</v>
      </c>
      <c r="AM1017" s="2" t="n">
        <f aca="false">ROUND(Z1017-AF1017,9)</f>
        <v>0.07223114</v>
      </c>
      <c r="AN1017" s="2" t="n">
        <f aca="false">ROUND(AA1017-AG1017,9)</f>
        <v>0.696629213</v>
      </c>
      <c r="AO1017" s="2" t="n">
        <f aca="false">ROUND(AB1017-AH1017,9)</f>
        <v>0.842696629</v>
      </c>
      <c r="AP1017" s="2" t="n">
        <f aca="false">ROUND(AC1017-AI1017,9)</f>
        <v>0.926163724</v>
      </c>
      <c r="AQ1017" s="2" t="n">
        <f aca="false">ROUND(AD1017-AJ1017,9)</f>
        <v>0.855537721</v>
      </c>
    </row>
    <row r="1018" customFormat="false" ht="15" hidden="false" customHeight="false" outlineLevel="0" collapsed="false">
      <c r="A1018" s="2" t="n">
        <v>1017</v>
      </c>
      <c r="B1018" s="6" t="n">
        <v>27</v>
      </c>
      <c r="C1018" s="6" t="n">
        <v>43</v>
      </c>
      <c r="D1018" s="8" t="str">
        <f aca="false">INDEX(Bases!$B$2:$B$53,B1018)</f>
        <v>Baltoy</v>
      </c>
      <c r="E1018" s="8" t="str">
        <f aca="false">INDEX(Bases!$B$2:$B$53,C1018)</f>
        <v>Dratini</v>
      </c>
      <c r="F1018" s="2" t="str">
        <f aca="false">LEFT(D1018,ROUNDUP(LEN(D1018)/2,0))&amp;LOWER(MID(E1018,ROUNDUP(LEN(E1018)/2,0)+1,20))</f>
        <v>Balini</v>
      </c>
      <c r="G1018" s="8" t="str">
        <f aca="false">INDEX(Bases!$C$2:$C$53,B1018)</f>
        <v>Ground</v>
      </c>
      <c r="H1018" s="8" t="str">
        <f aca="false">IF(INDEX(Bases!$C$2:$C$53,C1018)=G1018,"",INDEX(Bases!$C$2:$C$53,C1018))</f>
        <v>Dragon</v>
      </c>
      <c r="I1018" s="8" t="str">
        <f aca="false">IF(INDEX(Bases!$E$2:$E$53,B1018)="","",INDEX(Bases!$E$2:$E$53,B1018))</f>
        <v/>
      </c>
      <c r="J1018" s="8" t="str">
        <f aca="false">IF(INDEX(Bases!$E$2:$E$53,C1018)="","",INDEX(Bases!$E$2:$E$53,C1018))</f>
        <v/>
      </c>
      <c r="K1018" s="5"/>
      <c r="L1018" s="2" t="n">
        <f aca="false">AE1018+IF(SUMPRODUCT(--($AL1018:$AQ1018&gt;AL1018))&lt;$AK1018,1,0)</f>
        <v>66</v>
      </c>
      <c r="M1018" s="2" t="n">
        <f aca="false">AF1018+IF(SUMPRODUCT(--($AL1018:$AQ1018&gt;AM1018))+SUMPRODUCT(--($AL1018:AL1018=AM1018))&lt;$AK1018,1,0)</f>
        <v>90</v>
      </c>
      <c r="N1018" s="2" t="n">
        <f aca="false">AG1018+IF(SUMPRODUCT(--($AL1018:$AQ1018&gt;AN1018))+SUMPRODUCT(--($AL1018:AM1018=AN1018))&lt;$AK1018,1,0)</f>
        <v>83</v>
      </c>
      <c r="O1018" s="2" t="n">
        <f aca="false">AH1018+IF(SUMPRODUCT(--($AL1018:$AQ1018&gt;AO1018))+SUMPRODUCT(--($AL1018:AN1018=AO1018))&lt;$AK1018,1,0)</f>
        <v>75</v>
      </c>
      <c r="P1018" s="2" t="n">
        <f aca="false">AI1018+IF(SUMPRODUCT(--($AL1018:$AQ1018&gt;AP1018))+SUMPRODUCT(--($AL1018:AO1018=AP1018))&lt;$AK1018,1,0)</f>
        <v>101</v>
      </c>
      <c r="Q1018" s="2" t="n">
        <f aca="false">AJ1018+IF(SUMPRODUCT(--($AL1018:$AQ1018&gt;AQ1018))+SUMPRODUCT(--($AL1018:AP1018=AQ1018))&lt;$AK1018,1,0)</f>
        <v>85</v>
      </c>
      <c r="R1018" s="2" t="n">
        <f aca="false">SUM(L1018:Q1018)</f>
        <v>500</v>
      </c>
      <c r="S1018" s="2" t="n">
        <f aca="false">Settings!$B$4*MAX(INDEX(Bases!$M$2:$M$53,B1018),INDEX(Bases!$M$2:$M$53,C1018))+Settings!$B$5*MIN(INDEX(Bases!$M$2:$M$53,B1018),INDEX(Bases!$M$2:$M$53,C1018))</f>
        <v>54.6666666666667</v>
      </c>
      <c r="T1018" s="2" t="n">
        <f aca="false">Settings!$B$4*MAX(INDEX(Bases!$N$2:$N$53,B1018),INDEX(Bases!$N$2:$N$53,C1018))+Settings!$B$5*MIN(INDEX(Bases!$N$2:$N$53,B1018),INDEX(Bases!$N$2:$N$53,C1018))</f>
        <v>74.6666666666667</v>
      </c>
      <c r="U1018" s="2" t="n">
        <f aca="false">Settings!$B$4*MAX(INDEX(Bases!$O$2:$O$53,B1018),INDEX(Bases!$O$2:$O$53,C1018))+Settings!$B$5*MIN(INDEX(Bases!$O$2:$O$53,B1018),INDEX(Bases!$O$2:$O$53,C1018))</f>
        <v>68.6666666666667</v>
      </c>
      <c r="V1018" s="2" t="n">
        <f aca="false">Settings!$B$4*MAX(INDEX(Bases!$P$2:$P$53,B1018),INDEX(Bases!$P$2:$P$53,C1018))+Settings!$B$5*MIN(INDEX(Bases!$P$2:$P$53,B1018),INDEX(Bases!$P$2:$P$53,C1018))</f>
        <v>62.3333333333333</v>
      </c>
      <c r="W1018" s="2" t="n">
        <f aca="false">Settings!$B$4*MAX(INDEX(Bases!$Q$2:$Q$53,B1018),INDEX(Bases!$Q$2:$Q$53,C1018))+Settings!$B$5*MIN(INDEX(Bases!$Q$2:$Q$53,B1018),INDEX(Bases!$Q$2:$Q$53,C1018))</f>
        <v>84.3333333333333</v>
      </c>
      <c r="X1018" s="2" t="n">
        <f aca="false">Settings!$B$4*MAX(INDEX(Bases!$R$2:$R$53,B1018),INDEX(Bases!$R$2:$R$53,C1018))+Settings!$B$5*MIN(INDEX(Bases!$R$2:$R$53,B1018),INDEX(Bases!$R$2:$R$53,C1018))</f>
        <v>70.6666666666667</v>
      </c>
      <c r="Y1018" s="2" t="n">
        <f aca="false">S1018*Settings!$B$3/SUM(S1018:X1018)</f>
        <v>65.8105939004815</v>
      </c>
      <c r="Z1018" s="2" t="n">
        <f aca="false">T1018*Settings!$B$3/SUM(S1018:X1018)</f>
        <v>89.8876404494382</v>
      </c>
      <c r="AA1018" s="2" t="n">
        <f aca="false">U1018*Settings!$B$3/SUM(S1018:X1018)</f>
        <v>82.6645264847512</v>
      </c>
      <c r="AB1018" s="2" t="n">
        <f aca="false">V1018*Settings!$B$3/SUM(S1018:X1018)</f>
        <v>75.0401284109149</v>
      </c>
      <c r="AC1018" s="2" t="n">
        <f aca="false">W1018*Settings!$B$3/SUM(S1018:X1018)</f>
        <v>101.524879614767</v>
      </c>
      <c r="AD1018" s="2" t="n">
        <f aca="false">X1018*Settings!$B$3/SUM(S1018:X1018)</f>
        <v>85.0722311396469</v>
      </c>
      <c r="AE1018" s="2" t="n">
        <f aca="false">INT(Y1018)</f>
        <v>65</v>
      </c>
      <c r="AF1018" s="2" t="n">
        <f aca="false">INT(Z1018)</f>
        <v>89</v>
      </c>
      <c r="AG1018" s="2" t="n">
        <f aca="false">INT(AA1018)</f>
        <v>82</v>
      </c>
      <c r="AH1018" s="2" t="n">
        <f aca="false">INT(AB1018)</f>
        <v>75</v>
      </c>
      <c r="AI1018" s="2" t="n">
        <f aca="false">INT(AC1018)</f>
        <v>101</v>
      </c>
      <c r="AJ1018" s="2" t="n">
        <f aca="false">INT(AD1018)</f>
        <v>85</v>
      </c>
      <c r="AK1018" s="2" t="n">
        <f aca="false">Settings!$B$3-SUM(AE1018:AJ1018)</f>
        <v>3</v>
      </c>
      <c r="AL1018" s="2" t="n">
        <f aca="false">ROUND(Y1018-AE1018,9)</f>
        <v>0.8105939</v>
      </c>
      <c r="AM1018" s="2" t="n">
        <f aca="false">ROUND(Z1018-AF1018,9)</f>
        <v>0.887640449</v>
      </c>
      <c r="AN1018" s="2" t="n">
        <f aca="false">ROUND(AA1018-AG1018,9)</f>
        <v>0.664526485</v>
      </c>
      <c r="AO1018" s="2" t="n">
        <f aca="false">ROUND(AB1018-AH1018,9)</f>
        <v>0.040128411</v>
      </c>
      <c r="AP1018" s="2" t="n">
        <f aca="false">ROUND(AC1018-AI1018,9)</f>
        <v>0.524879615</v>
      </c>
      <c r="AQ1018" s="2" t="n">
        <f aca="false">ROUND(AD1018-AJ1018,9)</f>
        <v>0.07223114</v>
      </c>
    </row>
    <row r="1019" customFormat="false" ht="15" hidden="false" customHeight="false" outlineLevel="0" collapsed="false">
      <c r="A1019" s="2" t="n">
        <v>1018</v>
      </c>
      <c r="B1019" s="6" t="n">
        <v>27</v>
      </c>
      <c r="C1019" s="6" t="n">
        <v>44</v>
      </c>
      <c r="D1019" s="8" t="str">
        <f aca="false">INDEX(Bases!$B$2:$B$53,B1019)</f>
        <v>Baltoy</v>
      </c>
      <c r="E1019" s="8" t="str">
        <f aca="false">INDEX(Bases!$B$2:$B$53,C1019)</f>
        <v>Bagon</v>
      </c>
      <c r="F1019" s="2" t="str">
        <f aca="false">LEFT(D1019,ROUNDUP(LEN(D1019)/2,0))&amp;LOWER(MID(E1019,ROUNDUP(LEN(E1019)/2,0)+1,20))</f>
        <v>Balon</v>
      </c>
      <c r="G1019" s="8" t="str">
        <f aca="false">INDEX(Bases!$C$2:$C$53,B1019)</f>
        <v>Ground</v>
      </c>
      <c r="H1019" s="8" t="str">
        <f aca="false">IF(INDEX(Bases!$C$2:$C$53,C1019)=G1019,"",INDEX(Bases!$C$2:$C$53,C1019))</f>
        <v>Dragon</v>
      </c>
      <c r="I1019" s="8" t="str">
        <f aca="false">IF(INDEX(Bases!$E$2:$E$53,B1019)="","",INDEX(Bases!$E$2:$E$53,B1019))</f>
        <v/>
      </c>
      <c r="J1019" s="8" t="str">
        <f aca="false">IF(INDEX(Bases!$E$2:$E$53,C1019)="","",INDEX(Bases!$E$2:$E$53,C1019))</f>
        <v/>
      </c>
      <c r="K1019" s="5"/>
      <c r="L1019" s="2" t="n">
        <f aca="false">AE1019+IF(SUMPRODUCT(--($AL1019:$AQ1019&gt;AL1019))&lt;$AK1019,1,0)</f>
        <v>69</v>
      </c>
      <c r="M1019" s="2" t="n">
        <f aca="false">AF1019+IF(SUMPRODUCT(--($AL1019:$AQ1019&gt;AM1019))+SUMPRODUCT(--($AL1019:AL1019=AM1019))&lt;$AK1019,1,0)</f>
        <v>101</v>
      </c>
      <c r="N1019" s="2" t="n">
        <f aca="false">AG1019+IF(SUMPRODUCT(--($AL1019:$AQ1019&gt;AN1019))+SUMPRODUCT(--($AL1019:AM1019=AN1019))&lt;$AK1019,1,0)</f>
        <v>92</v>
      </c>
      <c r="O1019" s="2" t="n">
        <f aca="false">AH1019+IF(SUMPRODUCT(--($AL1019:$AQ1019&gt;AO1019))+SUMPRODUCT(--($AL1019:AN1019=AO1019))&lt;$AK1019,1,0)</f>
        <v>63</v>
      </c>
      <c r="P1019" s="2" t="n">
        <f aca="false">AI1019+IF(SUMPRODUCT(--($AL1019:$AQ1019&gt;AP1019))+SUMPRODUCT(--($AL1019:AO1019=AP1019))&lt;$AK1019,1,0)</f>
        <v>90</v>
      </c>
      <c r="Q1019" s="2" t="n">
        <f aca="false">AJ1019+IF(SUMPRODUCT(--($AL1019:$AQ1019&gt;AQ1019))+SUMPRODUCT(--($AL1019:AP1019=AQ1019))&lt;$AK1019,1,0)</f>
        <v>85</v>
      </c>
      <c r="R1019" s="2" t="n">
        <f aca="false">SUM(L1019:Q1019)</f>
        <v>500</v>
      </c>
      <c r="S1019" s="2" t="n">
        <f aca="false">Settings!$B$4*MAX(INDEX(Bases!$M$2:$M$53,B1019),INDEX(Bases!$M$2:$M$53,C1019))+Settings!$B$5*MIN(INDEX(Bases!$M$2:$M$53,B1019),INDEX(Bases!$M$2:$M$53,C1019))</f>
        <v>58</v>
      </c>
      <c r="T1019" s="2" t="n">
        <f aca="false">Settings!$B$4*MAX(INDEX(Bases!$N$2:$N$53,B1019),INDEX(Bases!$N$2:$N$53,C1019))+Settings!$B$5*MIN(INDEX(Bases!$N$2:$N$53,B1019),INDEX(Bases!$N$2:$N$53,C1019))</f>
        <v>84.6666666666667</v>
      </c>
      <c r="U1019" s="2" t="n">
        <f aca="false">Settings!$B$4*MAX(INDEX(Bases!$O$2:$O$53,B1019),INDEX(Bases!$O$2:$O$53,C1019))+Settings!$B$5*MIN(INDEX(Bases!$O$2:$O$53,B1019),INDEX(Bases!$O$2:$O$53,C1019))</f>
        <v>77.6666666666667</v>
      </c>
      <c r="V1019" s="2" t="n">
        <f aca="false">Settings!$B$4*MAX(INDEX(Bases!$P$2:$P$53,B1019),INDEX(Bases!$P$2:$P$53,C1019))+Settings!$B$5*MIN(INDEX(Bases!$P$2:$P$53,B1019),INDEX(Bases!$P$2:$P$53,C1019))</f>
        <v>53</v>
      </c>
      <c r="W1019" s="2" t="n">
        <f aca="false">Settings!$B$4*MAX(INDEX(Bases!$Q$2:$Q$53,B1019),INDEX(Bases!$Q$2:$Q$53,C1019))+Settings!$B$5*MIN(INDEX(Bases!$Q$2:$Q$53,B1019),INDEX(Bases!$Q$2:$Q$53,C1019))</f>
        <v>75.3333333333333</v>
      </c>
      <c r="X1019" s="2" t="n">
        <f aca="false">Settings!$B$4*MAX(INDEX(Bases!$R$2:$R$53,B1019),INDEX(Bases!$R$2:$R$53,C1019))+Settings!$B$5*MIN(INDEX(Bases!$R$2:$R$53,B1019),INDEX(Bases!$R$2:$R$53,C1019))</f>
        <v>71</v>
      </c>
      <c r="Y1019" s="2" t="n">
        <f aca="false">S1019*Settings!$B$3/SUM(S1019:X1019)</f>
        <v>69.1024622716442</v>
      </c>
      <c r="Z1019" s="2" t="n">
        <f aca="false">T1019*Settings!$B$3/SUM(S1019:X1019)</f>
        <v>100.87370929309</v>
      </c>
      <c r="AA1019" s="2" t="n">
        <f aca="false">U1019*Settings!$B$3/SUM(S1019:X1019)</f>
        <v>92.5337569499603</v>
      </c>
      <c r="AB1019" s="2" t="n">
        <f aca="false">V1019*Settings!$B$3/SUM(S1019:X1019)</f>
        <v>63.1453534551231</v>
      </c>
      <c r="AC1019" s="2" t="n">
        <f aca="false">W1019*Settings!$B$3/SUM(S1019:X1019)</f>
        <v>89.7537728355838</v>
      </c>
      <c r="AD1019" s="2" t="n">
        <f aca="false">X1019*Settings!$B$3/SUM(S1019:X1019)</f>
        <v>84.5909451945989</v>
      </c>
      <c r="AE1019" s="2" t="n">
        <f aca="false">INT(Y1019)</f>
        <v>69</v>
      </c>
      <c r="AF1019" s="2" t="n">
        <f aca="false">INT(Z1019)</f>
        <v>100</v>
      </c>
      <c r="AG1019" s="2" t="n">
        <f aca="false">INT(AA1019)</f>
        <v>92</v>
      </c>
      <c r="AH1019" s="2" t="n">
        <f aca="false">INT(AB1019)</f>
        <v>63</v>
      </c>
      <c r="AI1019" s="2" t="n">
        <f aca="false">INT(AC1019)</f>
        <v>89</v>
      </c>
      <c r="AJ1019" s="2" t="n">
        <f aca="false">INT(AD1019)</f>
        <v>84</v>
      </c>
      <c r="AK1019" s="2" t="n">
        <f aca="false">Settings!$B$3-SUM(AE1019:AJ1019)</f>
        <v>3</v>
      </c>
      <c r="AL1019" s="2" t="n">
        <f aca="false">ROUND(Y1019-AE1019,9)</f>
        <v>0.102462272</v>
      </c>
      <c r="AM1019" s="2" t="n">
        <f aca="false">ROUND(Z1019-AF1019,9)</f>
        <v>0.873709293</v>
      </c>
      <c r="AN1019" s="2" t="n">
        <f aca="false">ROUND(AA1019-AG1019,9)</f>
        <v>0.53375695</v>
      </c>
      <c r="AO1019" s="2" t="n">
        <f aca="false">ROUND(AB1019-AH1019,9)</f>
        <v>0.145353455</v>
      </c>
      <c r="AP1019" s="2" t="n">
        <f aca="false">ROUND(AC1019-AI1019,9)</f>
        <v>0.753772836</v>
      </c>
      <c r="AQ1019" s="2" t="n">
        <f aca="false">ROUND(AD1019-AJ1019,9)</f>
        <v>0.590945195</v>
      </c>
    </row>
    <row r="1020" customFormat="false" ht="15" hidden="false" customHeight="false" outlineLevel="0" collapsed="false">
      <c r="A1020" s="2" t="n">
        <v>1019</v>
      </c>
      <c r="B1020" s="6" t="n">
        <v>27</v>
      </c>
      <c r="C1020" s="6" t="n">
        <v>45</v>
      </c>
      <c r="D1020" s="8" t="str">
        <f aca="false">INDEX(Bases!$B$2:$B$53,B1020)</f>
        <v>Baltoy</v>
      </c>
      <c r="E1020" s="8" t="str">
        <f aca="false">INDEX(Bases!$B$2:$B$53,C1020)</f>
        <v>Sneasel</v>
      </c>
      <c r="F1020" s="2" t="str">
        <f aca="false">LEFT(D1020,ROUNDUP(LEN(D1020)/2,0))&amp;LOWER(MID(E1020,ROUNDUP(LEN(E1020)/2,0)+1,20))</f>
        <v>Balsel</v>
      </c>
      <c r="G1020" s="8" t="str">
        <f aca="false">INDEX(Bases!$C$2:$C$53,B1020)</f>
        <v>Ground</v>
      </c>
      <c r="H1020" s="8" t="str">
        <f aca="false">IF(INDEX(Bases!$C$2:$C$53,C1020)=G1020,"",INDEX(Bases!$C$2:$C$53,C1020))</f>
        <v>Dark</v>
      </c>
      <c r="I1020" s="8" t="str">
        <f aca="false">IF(INDEX(Bases!$E$2:$E$53,B1020)="","",INDEX(Bases!$E$2:$E$53,B1020))</f>
        <v/>
      </c>
      <c r="J1020" s="8" t="str">
        <f aca="false">IF(INDEX(Bases!$E$2:$E$53,C1020)="","",INDEX(Bases!$E$2:$E$53,C1020))</f>
        <v/>
      </c>
      <c r="K1020" s="5"/>
      <c r="L1020" s="2" t="n">
        <f aca="false">AE1020+IF(SUMPRODUCT(--($AL1020:$AQ1020&gt;AL1020))&lt;$AK1020,1,0)</f>
        <v>63</v>
      </c>
      <c r="M1020" s="2" t="n">
        <f aca="false">AF1020+IF(SUMPRODUCT(--($AL1020:$AQ1020&gt;AM1020))+SUMPRODUCT(--($AL1020:AL1020=AM1020))&lt;$AK1020,1,0)</f>
        <v>91</v>
      </c>
      <c r="N1020" s="2" t="n">
        <f aca="false">AG1020+IF(SUMPRODUCT(--($AL1020:$AQ1020&gt;AN1020))+SUMPRODUCT(--($AL1020:AM1020=AN1020))&lt;$AK1020,1,0)</f>
        <v>77</v>
      </c>
      <c r="O1020" s="2" t="n">
        <f aca="false">AH1020+IF(SUMPRODUCT(--($AL1020:$AQ1020&gt;AO1020))+SUMPRODUCT(--($AL1020:AN1020=AO1020))&lt;$AK1020,1,0)</f>
        <v>55</v>
      </c>
      <c r="P1020" s="2" t="n">
        <f aca="false">AI1020+IF(SUMPRODUCT(--($AL1020:$AQ1020&gt;AP1020))+SUMPRODUCT(--($AL1020:AO1020=AP1020))&lt;$AK1020,1,0)</f>
        <v>101</v>
      </c>
      <c r="Q1020" s="2" t="n">
        <f aca="false">AJ1020+IF(SUMPRODUCT(--($AL1020:$AQ1020&gt;AQ1020))+SUMPRODUCT(--($AL1020:AP1020=AQ1020))&lt;$AK1020,1,0)</f>
        <v>113</v>
      </c>
      <c r="R1020" s="2" t="n">
        <f aca="false">SUM(L1020:Q1020)</f>
        <v>500</v>
      </c>
      <c r="S1020" s="2" t="n">
        <f aca="false">Settings!$B$4*MAX(INDEX(Bases!$M$2:$M$53,B1020),INDEX(Bases!$M$2:$M$53,C1020))+Settings!$B$5*MIN(INDEX(Bases!$M$2:$M$53,B1020),INDEX(Bases!$M$2:$M$53,C1020))</f>
        <v>53</v>
      </c>
      <c r="T1020" s="2" t="n">
        <f aca="false">Settings!$B$4*MAX(INDEX(Bases!$N$2:$N$53,B1020),INDEX(Bases!$N$2:$N$53,C1020))+Settings!$B$5*MIN(INDEX(Bases!$N$2:$N$53,B1020),INDEX(Bases!$N$2:$N$53,C1020))</f>
        <v>76.6666666666667</v>
      </c>
      <c r="U1020" s="2" t="n">
        <f aca="false">Settings!$B$4*MAX(INDEX(Bases!$O$2:$O$53,B1020),INDEX(Bases!$O$2:$O$53,C1020))+Settings!$B$5*MIN(INDEX(Bases!$O$2:$O$53,B1020),INDEX(Bases!$O$2:$O$53,C1020))</f>
        <v>65.6666666666667</v>
      </c>
      <c r="V1020" s="2" t="n">
        <f aca="false">Settings!$B$4*MAX(INDEX(Bases!$P$2:$P$53,B1020),INDEX(Bases!$P$2:$P$53,C1020))+Settings!$B$5*MIN(INDEX(Bases!$P$2:$P$53,B1020),INDEX(Bases!$P$2:$P$53,C1020))</f>
        <v>46.3333333333333</v>
      </c>
      <c r="W1020" s="2" t="n">
        <f aca="false">Settings!$B$4*MAX(INDEX(Bases!$Q$2:$Q$53,B1020),INDEX(Bases!$Q$2:$Q$53,C1020))+Settings!$B$5*MIN(INDEX(Bases!$Q$2:$Q$53,B1020),INDEX(Bases!$Q$2:$Q$53,C1020))</f>
        <v>85.3333333333333</v>
      </c>
      <c r="X1020" s="2" t="n">
        <f aca="false">Settings!$B$4*MAX(INDEX(Bases!$R$2:$R$53,B1020),INDEX(Bases!$R$2:$R$53,C1020))+Settings!$B$5*MIN(INDEX(Bases!$R$2:$R$53,B1020),INDEX(Bases!$R$2:$R$53,C1020))</f>
        <v>95.6666666666667</v>
      </c>
      <c r="Y1020" s="2" t="n">
        <f aca="false">S1020*Settings!$B$3/SUM(S1020:X1020)</f>
        <v>62.6971608832808</v>
      </c>
      <c r="Z1020" s="2" t="n">
        <f aca="false">T1020*Settings!$B$3/SUM(S1020:X1020)</f>
        <v>90.6940063091483</v>
      </c>
      <c r="AA1020" s="2" t="n">
        <f aca="false">U1020*Settings!$B$3/SUM(S1020:X1020)</f>
        <v>77.6813880126183</v>
      </c>
      <c r="AB1020" s="2" t="n">
        <f aca="false">V1020*Settings!$B$3/SUM(S1020:X1020)</f>
        <v>54.8107255520505</v>
      </c>
      <c r="AC1020" s="2" t="n">
        <f aca="false">W1020*Settings!$B$3/SUM(S1020:X1020)</f>
        <v>100.946372239748</v>
      </c>
      <c r="AD1020" s="2" t="n">
        <f aca="false">X1020*Settings!$B$3/SUM(S1020:X1020)</f>
        <v>113.170347003155</v>
      </c>
      <c r="AE1020" s="2" t="n">
        <f aca="false">INT(Y1020)</f>
        <v>62</v>
      </c>
      <c r="AF1020" s="2" t="n">
        <f aca="false">INT(Z1020)</f>
        <v>90</v>
      </c>
      <c r="AG1020" s="2" t="n">
        <f aca="false">INT(AA1020)</f>
        <v>77</v>
      </c>
      <c r="AH1020" s="2" t="n">
        <f aca="false">INT(AB1020)</f>
        <v>54</v>
      </c>
      <c r="AI1020" s="2" t="n">
        <f aca="false">INT(AC1020)</f>
        <v>100</v>
      </c>
      <c r="AJ1020" s="2" t="n">
        <f aca="false">INT(AD1020)</f>
        <v>113</v>
      </c>
      <c r="AK1020" s="2" t="n">
        <f aca="false">Settings!$B$3-SUM(AE1020:AJ1020)</f>
        <v>4</v>
      </c>
      <c r="AL1020" s="2" t="n">
        <f aca="false">ROUND(Y1020-AE1020,9)</f>
        <v>0.697160883</v>
      </c>
      <c r="AM1020" s="2" t="n">
        <f aca="false">ROUND(Z1020-AF1020,9)</f>
        <v>0.694006309</v>
      </c>
      <c r="AN1020" s="2" t="n">
        <f aca="false">ROUND(AA1020-AG1020,9)</f>
        <v>0.681388013</v>
      </c>
      <c r="AO1020" s="2" t="n">
        <f aca="false">ROUND(AB1020-AH1020,9)</f>
        <v>0.810725552</v>
      </c>
      <c r="AP1020" s="2" t="n">
        <f aca="false">ROUND(AC1020-AI1020,9)</f>
        <v>0.94637224</v>
      </c>
      <c r="AQ1020" s="2" t="n">
        <f aca="false">ROUND(AD1020-AJ1020,9)</f>
        <v>0.170347003</v>
      </c>
    </row>
    <row r="1021" customFormat="false" ht="15" hidden="false" customHeight="false" outlineLevel="0" collapsed="false">
      <c r="A1021" s="2" t="n">
        <v>1020</v>
      </c>
      <c r="B1021" s="6" t="n">
        <v>27</v>
      </c>
      <c r="C1021" s="6" t="n">
        <v>46</v>
      </c>
      <c r="D1021" s="8" t="str">
        <f aca="false">INDEX(Bases!$B$2:$B$53,B1021)</f>
        <v>Baltoy</v>
      </c>
      <c r="E1021" s="8" t="str">
        <f aca="false">INDEX(Bases!$B$2:$B$53,C1021)</f>
        <v>Houndour</v>
      </c>
      <c r="F1021" s="2" t="str">
        <f aca="false">LEFT(D1021,ROUNDUP(LEN(D1021)/2,0))&amp;LOWER(MID(E1021,ROUNDUP(LEN(E1021)/2,0)+1,20))</f>
        <v>Baldour</v>
      </c>
      <c r="G1021" s="8" t="str">
        <f aca="false">INDEX(Bases!$C$2:$C$53,B1021)</f>
        <v>Ground</v>
      </c>
      <c r="H1021" s="8" t="str">
        <f aca="false">IF(INDEX(Bases!$C$2:$C$53,C1021)=G1021,"",INDEX(Bases!$C$2:$C$53,C1021))</f>
        <v>Dark</v>
      </c>
      <c r="I1021" s="8" t="str">
        <f aca="false">IF(INDEX(Bases!$E$2:$E$53,B1021)="","",INDEX(Bases!$E$2:$E$53,B1021))</f>
        <v/>
      </c>
      <c r="J1021" s="8" t="str">
        <f aca="false">IF(INDEX(Bases!$E$2:$E$53,C1021)="","",INDEX(Bases!$E$2:$E$53,C1021))</f>
        <v/>
      </c>
      <c r="K1021" s="5"/>
      <c r="L1021" s="2" t="n">
        <f aca="false">AE1021+IF(SUMPRODUCT(--($AL1021:$AQ1021&gt;AL1021))&lt;$AK1021,1,0)</f>
        <v>64</v>
      </c>
      <c r="M1021" s="2" t="n">
        <f aca="false">AF1021+IF(SUMPRODUCT(--($AL1021:$AQ1021&gt;AM1021))+SUMPRODUCT(--($AL1021:AL1021=AM1021))&lt;$AK1021,1,0)</f>
        <v>79</v>
      </c>
      <c r="N1021" s="2" t="n">
        <f aca="false">AG1021+IF(SUMPRODUCT(--($AL1021:$AQ1021&gt;AN1021))+SUMPRODUCT(--($AL1021:AM1021=AN1021))&lt;$AK1021,1,0)</f>
        <v>72</v>
      </c>
      <c r="O1021" s="2" t="n">
        <f aca="false">AH1021+IF(SUMPRODUCT(--($AL1021:$AQ1021&gt;AO1021))+SUMPRODUCT(--($AL1021:AN1021=AO1021))&lt;$AK1021,1,0)</f>
        <v>97</v>
      </c>
      <c r="P1021" s="2" t="n">
        <f aca="false">AI1021+IF(SUMPRODUCT(--($AL1021:$AQ1021&gt;AP1021))+SUMPRODUCT(--($AL1021:AO1021=AP1021))&lt;$AK1021,1,0)</f>
        <v>97</v>
      </c>
      <c r="Q1021" s="2" t="n">
        <f aca="false">AJ1021+IF(SUMPRODUCT(--($AL1021:$AQ1021&gt;AQ1021))+SUMPRODUCT(--($AL1021:AP1021=AQ1021))&lt;$AK1021,1,0)</f>
        <v>91</v>
      </c>
      <c r="R1021" s="2" t="n">
        <f aca="false">SUM(L1021:Q1021)</f>
        <v>500</v>
      </c>
      <c r="S1021" s="2" t="n">
        <f aca="false">Settings!$B$4*MAX(INDEX(Bases!$M$2:$M$53,B1021),INDEX(Bases!$M$2:$M$53,C1021))+Settings!$B$5*MIN(INDEX(Bases!$M$2:$M$53,B1021),INDEX(Bases!$M$2:$M$53,C1021))</f>
        <v>54</v>
      </c>
      <c r="T1021" s="2" t="n">
        <f aca="false">Settings!$B$4*MAX(INDEX(Bases!$N$2:$N$53,B1021),INDEX(Bases!$N$2:$N$53,C1021))+Settings!$B$5*MIN(INDEX(Bases!$N$2:$N$53,B1021),INDEX(Bases!$N$2:$N$53,C1021))</f>
        <v>66.6666666666667</v>
      </c>
      <c r="U1021" s="2" t="n">
        <f aca="false">Settings!$B$4*MAX(INDEX(Bases!$O$2:$O$53,B1021),INDEX(Bases!$O$2:$O$53,C1021))+Settings!$B$5*MIN(INDEX(Bases!$O$2:$O$53,B1021),INDEX(Bases!$O$2:$O$53,C1021))</f>
        <v>60.6666666666667</v>
      </c>
      <c r="V1021" s="2" t="n">
        <f aca="false">Settings!$B$4*MAX(INDEX(Bases!$P$2:$P$53,B1021),INDEX(Bases!$P$2:$P$53,C1021))+Settings!$B$5*MIN(INDEX(Bases!$P$2:$P$53,B1021),INDEX(Bases!$P$2:$P$53,C1021))</f>
        <v>82.3333333333333</v>
      </c>
      <c r="W1021" s="2" t="n">
        <f aca="false">Settings!$B$4*MAX(INDEX(Bases!$Q$2:$Q$53,B1021),INDEX(Bases!$Q$2:$Q$53,C1021))+Settings!$B$5*MIN(INDEX(Bases!$Q$2:$Q$53,B1021),INDEX(Bases!$Q$2:$Q$53,C1021))</f>
        <v>82.3333333333333</v>
      </c>
      <c r="X1021" s="2" t="n">
        <f aca="false">Settings!$B$4*MAX(INDEX(Bases!$R$2:$R$53,B1021),INDEX(Bases!$R$2:$R$53,C1021))+Settings!$B$5*MIN(INDEX(Bases!$R$2:$R$53,B1021),INDEX(Bases!$R$2:$R$53,C1021))</f>
        <v>77</v>
      </c>
      <c r="Y1021" s="2" t="n">
        <f aca="false">S1021*Settings!$B$3/SUM(S1021:X1021)</f>
        <v>63.8297872340426</v>
      </c>
      <c r="Z1021" s="2" t="n">
        <f aca="false">T1021*Settings!$B$3/SUM(S1021:X1021)</f>
        <v>78.8022064617809</v>
      </c>
      <c r="AA1021" s="2" t="n">
        <f aca="false">U1021*Settings!$B$3/SUM(S1021:X1021)</f>
        <v>71.7100078802206</v>
      </c>
      <c r="AB1021" s="2" t="n">
        <f aca="false">V1021*Settings!$B$3/SUM(S1021:X1021)</f>
        <v>97.3207249802995</v>
      </c>
      <c r="AC1021" s="2" t="n">
        <f aca="false">W1021*Settings!$B$3/SUM(S1021:X1021)</f>
        <v>97.3207249802995</v>
      </c>
      <c r="AD1021" s="2" t="n">
        <f aca="false">X1021*Settings!$B$3/SUM(S1021:X1021)</f>
        <v>91.016548463357</v>
      </c>
      <c r="AE1021" s="2" t="n">
        <f aca="false">INT(Y1021)</f>
        <v>63</v>
      </c>
      <c r="AF1021" s="2" t="n">
        <f aca="false">INT(Z1021)</f>
        <v>78</v>
      </c>
      <c r="AG1021" s="2" t="n">
        <f aca="false">INT(AA1021)</f>
        <v>71</v>
      </c>
      <c r="AH1021" s="2" t="n">
        <f aca="false">INT(AB1021)</f>
        <v>97</v>
      </c>
      <c r="AI1021" s="2" t="n">
        <f aca="false">INT(AC1021)</f>
        <v>97</v>
      </c>
      <c r="AJ1021" s="2" t="n">
        <f aca="false">INT(AD1021)</f>
        <v>91</v>
      </c>
      <c r="AK1021" s="2" t="n">
        <f aca="false">Settings!$B$3-SUM(AE1021:AJ1021)</f>
        <v>3</v>
      </c>
      <c r="AL1021" s="2" t="n">
        <f aca="false">ROUND(Y1021-AE1021,9)</f>
        <v>0.829787234</v>
      </c>
      <c r="AM1021" s="2" t="n">
        <f aca="false">ROUND(Z1021-AF1021,9)</f>
        <v>0.802206462</v>
      </c>
      <c r="AN1021" s="2" t="n">
        <f aca="false">ROUND(AA1021-AG1021,9)</f>
        <v>0.71000788</v>
      </c>
      <c r="AO1021" s="2" t="n">
        <f aca="false">ROUND(AB1021-AH1021,9)</f>
        <v>0.32072498</v>
      </c>
      <c r="AP1021" s="2" t="n">
        <f aca="false">ROUND(AC1021-AI1021,9)</f>
        <v>0.32072498</v>
      </c>
      <c r="AQ1021" s="2" t="n">
        <f aca="false">ROUND(AD1021-AJ1021,9)</f>
        <v>0.016548463</v>
      </c>
    </row>
    <row r="1022" customFormat="false" ht="15" hidden="false" customHeight="false" outlineLevel="0" collapsed="false">
      <c r="A1022" s="2" t="n">
        <v>1021</v>
      </c>
      <c r="B1022" s="6" t="n">
        <v>27</v>
      </c>
      <c r="C1022" s="6" t="n">
        <v>47</v>
      </c>
      <c r="D1022" s="8" t="str">
        <f aca="false">INDEX(Bases!$B$2:$B$53,B1022)</f>
        <v>Baltoy</v>
      </c>
      <c r="E1022" s="8" t="str">
        <f aca="false">INDEX(Bases!$B$2:$B$53,C1022)</f>
        <v>Carvanha</v>
      </c>
      <c r="F1022" s="2" t="str">
        <f aca="false">LEFT(D1022,ROUNDUP(LEN(D1022)/2,0))&amp;LOWER(MID(E1022,ROUNDUP(LEN(E1022)/2,0)+1,20))</f>
        <v>Balanha</v>
      </c>
      <c r="G1022" s="8" t="str">
        <f aca="false">INDEX(Bases!$C$2:$C$53,B1022)</f>
        <v>Ground</v>
      </c>
      <c r="H1022" s="8" t="str">
        <f aca="false">IF(INDEX(Bases!$C$2:$C$53,C1022)=G1022,"",INDEX(Bases!$C$2:$C$53,C1022))</f>
        <v>Dark</v>
      </c>
      <c r="I1022" s="8" t="str">
        <f aca="false">IF(INDEX(Bases!$E$2:$E$53,B1022)="","",INDEX(Bases!$E$2:$E$53,B1022))</f>
        <v/>
      </c>
      <c r="J1022" s="8" t="str">
        <f aca="false">IF(INDEX(Bases!$E$2:$E$53,C1022)="","",INDEX(Bases!$E$2:$E$53,C1022))</f>
        <v/>
      </c>
      <c r="K1022" s="5"/>
      <c r="L1022" s="2" t="n">
        <f aca="false">AE1022+IF(SUMPRODUCT(--($AL1022:$AQ1022&gt;AL1022))&lt;$AK1022,1,0)</f>
        <v>65</v>
      </c>
      <c r="M1022" s="2" t="n">
        <f aca="false">AF1022+IF(SUMPRODUCT(--($AL1022:$AQ1022&gt;AM1022))+SUMPRODUCT(--($AL1022:AL1022=AM1022))&lt;$AK1022,1,0)</f>
        <v>110</v>
      </c>
      <c r="N1022" s="2" t="n">
        <f aca="false">AG1022+IF(SUMPRODUCT(--($AL1022:$AQ1022&gt;AN1022))+SUMPRODUCT(--($AL1022:AM1022=AN1022))&lt;$AK1022,1,0)</f>
        <v>65</v>
      </c>
      <c r="O1022" s="2" t="n">
        <f aca="false">AH1022+IF(SUMPRODUCT(--($AL1022:$AQ1022&gt;AO1022))+SUMPRODUCT(--($AL1022:AN1022=AO1022))&lt;$AK1022,1,0)</f>
        <v>86</v>
      </c>
      <c r="P1022" s="2" t="n">
        <f aca="false">AI1022+IF(SUMPRODUCT(--($AL1022:$AQ1022&gt;AP1022))+SUMPRODUCT(--($AL1022:AO1022=AP1022))&lt;$AK1022,1,0)</f>
        <v>81</v>
      </c>
      <c r="Q1022" s="2" t="n">
        <f aca="false">AJ1022+IF(SUMPRODUCT(--($AL1022:$AQ1022&gt;AQ1022))+SUMPRODUCT(--($AL1022:AP1022=AQ1022))&lt;$AK1022,1,0)</f>
        <v>93</v>
      </c>
      <c r="R1022" s="2" t="n">
        <f aca="false">SUM(L1022:Q1022)</f>
        <v>500</v>
      </c>
      <c r="S1022" s="2" t="n">
        <f aca="false">Settings!$B$4*MAX(INDEX(Bases!$M$2:$M$53,B1022),INDEX(Bases!$M$2:$M$53,C1022))+Settings!$B$5*MIN(INDEX(Bases!$M$2:$M$53,B1022),INDEX(Bases!$M$2:$M$53,C1022))</f>
        <v>57.3333333333333</v>
      </c>
      <c r="T1022" s="2" t="n">
        <f aca="false">Settings!$B$4*MAX(INDEX(Bases!$N$2:$N$53,B1022),INDEX(Bases!$N$2:$N$53,C1022))+Settings!$B$5*MIN(INDEX(Bases!$N$2:$N$53,B1022),INDEX(Bases!$N$2:$N$53,C1022))</f>
        <v>96.6666666666667</v>
      </c>
      <c r="U1022" s="2" t="n">
        <f aca="false">Settings!$B$4*MAX(INDEX(Bases!$O$2:$O$53,B1022),INDEX(Bases!$O$2:$O$53,C1022))+Settings!$B$5*MIN(INDEX(Bases!$O$2:$O$53,B1022),INDEX(Bases!$O$2:$O$53,C1022))</f>
        <v>57.3333333333333</v>
      </c>
      <c r="V1022" s="2" t="n">
        <f aca="false">Settings!$B$4*MAX(INDEX(Bases!$P$2:$P$53,B1022),INDEX(Bases!$P$2:$P$53,C1022))+Settings!$B$5*MIN(INDEX(Bases!$P$2:$P$53,B1022),INDEX(Bases!$P$2:$P$53,C1022))</f>
        <v>75</v>
      </c>
      <c r="W1022" s="2" t="n">
        <f aca="false">Settings!$B$4*MAX(INDEX(Bases!$Q$2:$Q$53,B1022),INDEX(Bases!$Q$2:$Q$53,C1022))+Settings!$B$5*MIN(INDEX(Bases!$Q$2:$Q$53,B1022),INDEX(Bases!$Q$2:$Q$53,C1022))</f>
        <v>70.6666666666667</v>
      </c>
      <c r="X1022" s="2" t="n">
        <f aca="false">Settings!$B$4*MAX(INDEX(Bases!$R$2:$R$53,B1022),INDEX(Bases!$R$2:$R$53,C1022))+Settings!$B$5*MIN(INDEX(Bases!$R$2:$R$53,B1022),INDEX(Bases!$R$2:$R$53,C1022))</f>
        <v>81</v>
      </c>
      <c r="Y1022" s="2" t="n">
        <f aca="false">S1022*Settings!$B$3/SUM(S1022:X1022)</f>
        <v>65.4490106544901</v>
      </c>
      <c r="Z1022" s="2" t="n">
        <f aca="false">T1022*Settings!$B$3/SUM(S1022:X1022)</f>
        <v>110.350076103501</v>
      </c>
      <c r="AA1022" s="2" t="n">
        <f aca="false">U1022*Settings!$B$3/SUM(S1022:X1022)</f>
        <v>65.4490106544901</v>
      </c>
      <c r="AB1022" s="2" t="n">
        <f aca="false">V1022*Settings!$B$3/SUM(S1022:X1022)</f>
        <v>85.6164383561644</v>
      </c>
      <c r="AC1022" s="2" t="n">
        <f aca="false">W1022*Settings!$B$3/SUM(S1022:X1022)</f>
        <v>80.6697108066971</v>
      </c>
      <c r="AD1022" s="2" t="n">
        <f aca="false">X1022*Settings!$B$3/SUM(S1022:X1022)</f>
        <v>92.4657534246575</v>
      </c>
      <c r="AE1022" s="2" t="n">
        <f aca="false">INT(Y1022)</f>
        <v>65</v>
      </c>
      <c r="AF1022" s="2" t="n">
        <f aca="false">INT(Z1022)</f>
        <v>110</v>
      </c>
      <c r="AG1022" s="2" t="n">
        <f aca="false">INT(AA1022)</f>
        <v>65</v>
      </c>
      <c r="AH1022" s="2" t="n">
        <f aca="false">INT(AB1022)</f>
        <v>85</v>
      </c>
      <c r="AI1022" s="2" t="n">
        <f aca="false">INT(AC1022)</f>
        <v>80</v>
      </c>
      <c r="AJ1022" s="2" t="n">
        <f aca="false">INT(AD1022)</f>
        <v>92</v>
      </c>
      <c r="AK1022" s="2" t="n">
        <f aca="false">Settings!$B$3-SUM(AE1022:AJ1022)</f>
        <v>3</v>
      </c>
      <c r="AL1022" s="2" t="n">
        <f aca="false">ROUND(Y1022-AE1022,9)</f>
        <v>0.449010654</v>
      </c>
      <c r="AM1022" s="2" t="n">
        <f aca="false">ROUND(Z1022-AF1022,9)</f>
        <v>0.350076104</v>
      </c>
      <c r="AN1022" s="2" t="n">
        <f aca="false">ROUND(AA1022-AG1022,9)</f>
        <v>0.449010654</v>
      </c>
      <c r="AO1022" s="2" t="n">
        <f aca="false">ROUND(AB1022-AH1022,9)</f>
        <v>0.616438356</v>
      </c>
      <c r="AP1022" s="2" t="n">
        <f aca="false">ROUND(AC1022-AI1022,9)</f>
        <v>0.669710807</v>
      </c>
      <c r="AQ1022" s="2" t="n">
        <f aca="false">ROUND(AD1022-AJ1022,9)</f>
        <v>0.465753425</v>
      </c>
    </row>
    <row r="1023" customFormat="false" ht="15" hidden="false" customHeight="false" outlineLevel="0" collapsed="false">
      <c r="A1023" s="2" t="n">
        <v>1022</v>
      </c>
      <c r="B1023" s="6" t="n">
        <v>27</v>
      </c>
      <c r="C1023" s="6" t="n">
        <v>48</v>
      </c>
      <c r="D1023" s="8" t="str">
        <f aca="false">INDEX(Bases!$B$2:$B$53,B1023)</f>
        <v>Baltoy</v>
      </c>
      <c r="E1023" s="8" t="str">
        <f aca="false">INDEX(Bases!$B$2:$B$53,C1023)</f>
        <v>Magnemite</v>
      </c>
      <c r="F1023" s="2" t="str">
        <f aca="false">LEFT(D1023,ROUNDUP(LEN(D1023)/2,0))&amp;LOWER(MID(E1023,ROUNDUP(LEN(E1023)/2,0)+1,20))</f>
        <v>Balmite</v>
      </c>
      <c r="G1023" s="8" t="str">
        <f aca="false">INDEX(Bases!$C$2:$C$53,B1023)</f>
        <v>Ground</v>
      </c>
      <c r="H1023" s="8" t="str">
        <f aca="false">IF(INDEX(Bases!$C$2:$C$53,C1023)=G1023,"",INDEX(Bases!$C$2:$C$53,C1023))</f>
        <v>Steel</v>
      </c>
      <c r="I1023" s="8" t="str">
        <f aca="false">IF(INDEX(Bases!$E$2:$E$53,B1023)="","",INDEX(Bases!$E$2:$E$53,B1023))</f>
        <v/>
      </c>
      <c r="J1023" s="8" t="str">
        <f aca="false">IF(INDEX(Bases!$E$2:$E$53,C1023)="","",INDEX(Bases!$E$2:$E$53,C1023))</f>
        <v/>
      </c>
      <c r="K1023" s="5"/>
      <c r="L1023" s="2" t="n">
        <f aca="false">AE1023+IF(SUMPRODUCT(--($AL1023:$AQ1023&gt;AL1023))&lt;$AK1023,1,0)</f>
        <v>54</v>
      </c>
      <c r="M1023" s="2" t="n">
        <f aca="false">AF1023+IF(SUMPRODUCT(--($AL1023:$AQ1023&gt;AM1023))+SUMPRODUCT(--($AL1023:AL1023=AM1023))&lt;$AK1023,1,0)</f>
        <v>59</v>
      </c>
      <c r="N1023" s="2" t="n">
        <f aca="false">AG1023+IF(SUMPRODUCT(--($AL1023:$AQ1023&gt;AN1023))+SUMPRODUCT(--($AL1023:AM1023=AN1023))&lt;$AK1023,1,0)</f>
        <v>96</v>
      </c>
      <c r="O1023" s="2" t="n">
        <f aca="false">AH1023+IF(SUMPRODUCT(--($AL1023:$AQ1023&gt;AO1023))+SUMPRODUCT(--($AL1023:AN1023=AO1023))&lt;$AK1023,1,0)</f>
        <v>112</v>
      </c>
      <c r="P1023" s="2" t="n">
        <f aca="false">AI1023+IF(SUMPRODUCT(--($AL1023:$AQ1023&gt;AP1023))+SUMPRODUCT(--($AL1023:AO1023=AP1023))&lt;$AK1023,1,0)</f>
        <v>100</v>
      </c>
      <c r="Q1023" s="2" t="n">
        <f aca="false">AJ1023+IF(SUMPRODUCT(--($AL1023:$AQ1023&gt;AQ1023))+SUMPRODUCT(--($AL1023:AP1023=AQ1023))&lt;$AK1023,1,0)</f>
        <v>79</v>
      </c>
      <c r="R1023" s="2" t="n">
        <f aca="false">SUM(L1023:Q1023)</f>
        <v>500</v>
      </c>
      <c r="S1023" s="2" t="n">
        <f aca="false">Settings!$B$4*MAX(INDEX(Bases!$M$2:$M$53,B1023),INDEX(Bases!$M$2:$M$53,C1023))+Settings!$B$5*MIN(INDEX(Bases!$M$2:$M$53,B1023),INDEX(Bases!$M$2:$M$53,C1023))</f>
        <v>46.3333333333333</v>
      </c>
      <c r="T1023" s="2" t="n">
        <f aca="false">Settings!$B$4*MAX(INDEX(Bases!$N$2:$N$53,B1023),INDEX(Bases!$N$2:$N$53,C1023))+Settings!$B$5*MIN(INDEX(Bases!$N$2:$N$53,B1023),INDEX(Bases!$N$2:$N$53,C1023))</f>
        <v>50.3333333333333</v>
      </c>
      <c r="U1023" s="2" t="n">
        <f aca="false">Settings!$B$4*MAX(INDEX(Bases!$O$2:$O$53,B1023),INDEX(Bases!$O$2:$O$53,C1023))+Settings!$B$5*MIN(INDEX(Bases!$O$2:$O$53,B1023),INDEX(Bases!$O$2:$O$53,C1023))</f>
        <v>81.6666666666667</v>
      </c>
      <c r="V1023" s="2" t="n">
        <f aca="false">Settings!$B$4*MAX(INDEX(Bases!$P$2:$P$53,B1023),INDEX(Bases!$P$2:$P$53,C1023))+Settings!$B$5*MIN(INDEX(Bases!$P$2:$P$53,B1023),INDEX(Bases!$P$2:$P$53,C1023))</f>
        <v>95.6666666666667</v>
      </c>
      <c r="W1023" s="2" t="n">
        <f aca="false">Settings!$B$4*MAX(INDEX(Bases!$Q$2:$Q$53,B1023),INDEX(Bases!$Q$2:$Q$53,C1023))+Settings!$B$5*MIN(INDEX(Bases!$Q$2:$Q$53,B1023),INDEX(Bases!$Q$2:$Q$53,C1023))</f>
        <v>84.6666666666667</v>
      </c>
      <c r="X1023" s="2" t="n">
        <f aca="false">Settings!$B$4*MAX(INDEX(Bases!$R$2:$R$53,B1023),INDEX(Bases!$R$2:$R$53,C1023))+Settings!$B$5*MIN(INDEX(Bases!$R$2:$R$53,B1023),INDEX(Bases!$R$2:$R$53,C1023))</f>
        <v>67</v>
      </c>
      <c r="Y1023" s="2" t="n">
        <f aca="false">S1023*Settings!$B$3/SUM(S1023:X1023)</f>
        <v>54.4244322631167</v>
      </c>
      <c r="Z1023" s="2" t="n">
        <f aca="false">T1023*Settings!$B$3/SUM(S1023:X1023)</f>
        <v>59.1229444009397</v>
      </c>
      <c r="AA1023" s="2" t="n">
        <f aca="false">U1023*Settings!$B$3/SUM(S1023:X1023)</f>
        <v>95.92795614722</v>
      </c>
      <c r="AB1023" s="2" t="n">
        <f aca="false">V1023*Settings!$B$3/SUM(S1023:X1023)</f>
        <v>112.372748629601</v>
      </c>
      <c r="AC1023" s="2" t="n">
        <f aca="false">W1023*Settings!$B$3/SUM(S1023:X1023)</f>
        <v>99.4518402505873</v>
      </c>
      <c r="AD1023" s="2" t="n">
        <f aca="false">X1023*Settings!$B$3/SUM(S1023:X1023)</f>
        <v>78.7000783085356</v>
      </c>
      <c r="AE1023" s="2" t="n">
        <f aca="false">INT(Y1023)</f>
        <v>54</v>
      </c>
      <c r="AF1023" s="2" t="n">
        <f aca="false">INT(Z1023)</f>
        <v>59</v>
      </c>
      <c r="AG1023" s="2" t="n">
        <f aca="false">INT(AA1023)</f>
        <v>95</v>
      </c>
      <c r="AH1023" s="2" t="n">
        <f aca="false">INT(AB1023)</f>
        <v>112</v>
      </c>
      <c r="AI1023" s="2" t="n">
        <f aca="false">INT(AC1023)</f>
        <v>99</v>
      </c>
      <c r="AJ1023" s="2" t="n">
        <f aca="false">INT(AD1023)</f>
        <v>78</v>
      </c>
      <c r="AK1023" s="2" t="n">
        <f aca="false">Settings!$B$3-SUM(AE1023:AJ1023)</f>
        <v>3</v>
      </c>
      <c r="AL1023" s="2" t="n">
        <f aca="false">ROUND(Y1023-AE1023,9)</f>
        <v>0.424432263</v>
      </c>
      <c r="AM1023" s="2" t="n">
        <f aca="false">ROUND(Z1023-AF1023,9)</f>
        <v>0.122944401</v>
      </c>
      <c r="AN1023" s="2" t="n">
        <f aca="false">ROUND(AA1023-AG1023,9)</f>
        <v>0.927956147</v>
      </c>
      <c r="AO1023" s="2" t="n">
        <f aca="false">ROUND(AB1023-AH1023,9)</f>
        <v>0.37274863</v>
      </c>
      <c r="AP1023" s="2" t="n">
        <f aca="false">ROUND(AC1023-AI1023,9)</f>
        <v>0.451840251</v>
      </c>
      <c r="AQ1023" s="2" t="n">
        <f aca="false">ROUND(AD1023-AJ1023,9)</f>
        <v>0.700078309</v>
      </c>
    </row>
    <row r="1024" customFormat="false" ht="15" hidden="false" customHeight="false" outlineLevel="0" collapsed="false">
      <c r="A1024" s="2" t="n">
        <v>1023</v>
      </c>
      <c r="B1024" s="6" t="n">
        <v>27</v>
      </c>
      <c r="C1024" s="6" t="n">
        <v>49</v>
      </c>
      <c r="D1024" s="8" t="str">
        <f aca="false">INDEX(Bases!$B$2:$B$53,B1024)</f>
        <v>Baltoy</v>
      </c>
      <c r="E1024" s="8" t="str">
        <f aca="false">INDEX(Bases!$B$2:$B$53,C1024)</f>
        <v>Aron</v>
      </c>
      <c r="F1024" s="2" t="str">
        <f aca="false">LEFT(D1024,ROUNDUP(LEN(D1024)/2,0))&amp;LOWER(MID(E1024,ROUNDUP(LEN(E1024)/2,0)+1,20))</f>
        <v>Balon</v>
      </c>
      <c r="G1024" s="8" t="str">
        <f aca="false">INDEX(Bases!$C$2:$C$53,B1024)</f>
        <v>Ground</v>
      </c>
      <c r="H1024" s="8" t="str">
        <f aca="false">IF(INDEX(Bases!$C$2:$C$53,C1024)=G1024,"",INDEX(Bases!$C$2:$C$53,C1024))</f>
        <v>Steel</v>
      </c>
      <c r="I1024" s="8" t="str">
        <f aca="false">IF(INDEX(Bases!$E$2:$E$53,B1024)="","",INDEX(Bases!$E$2:$E$53,B1024))</f>
        <v/>
      </c>
      <c r="J1024" s="8" t="str">
        <f aca="false">IF(INDEX(Bases!$E$2:$E$53,C1024)="","",INDEX(Bases!$E$2:$E$53,C1024))</f>
        <v/>
      </c>
      <c r="K1024" s="5"/>
      <c r="L1024" s="2" t="n">
        <f aca="false">AE1024+IF(SUMPRODUCT(--($AL1024:$AQ1024&gt;AL1024))&lt;$AK1024,1,0)</f>
        <v>68</v>
      </c>
      <c r="M1024" s="2" t="n">
        <f aca="false">AF1024+IF(SUMPRODUCT(--($AL1024:$AQ1024&gt;AM1024))+SUMPRODUCT(--($AL1024:AL1024=AM1024))&lt;$AK1024,1,0)</f>
        <v>87</v>
      </c>
      <c r="N1024" s="2" t="n">
        <f aca="false">AG1024+IF(SUMPRODUCT(--($AL1024:$AQ1024&gt;AN1024))+SUMPRODUCT(--($AL1024:AM1024=AN1024))&lt;$AK1024,1,0)</f>
        <v>123</v>
      </c>
      <c r="O1024" s="2" t="n">
        <f aca="false">AH1024+IF(SUMPRODUCT(--($AL1024:$AQ1024&gt;AO1024))+SUMPRODUCT(--($AL1024:AN1024=AO1024))&lt;$AK1024,1,0)</f>
        <v>60</v>
      </c>
      <c r="P1024" s="2" t="n">
        <f aca="false">AI1024+IF(SUMPRODUCT(--($AL1024:$AQ1024&gt;AP1024))+SUMPRODUCT(--($AL1024:AO1024=AP1024))&lt;$AK1024,1,0)</f>
        <v>91</v>
      </c>
      <c r="Q1024" s="2" t="n">
        <f aca="false">AJ1024+IF(SUMPRODUCT(--($AL1024:$AQ1024&gt;AQ1024))+SUMPRODUCT(--($AL1024:AP1024=AQ1024))&lt;$AK1024,1,0)</f>
        <v>71</v>
      </c>
      <c r="R1024" s="2" t="n">
        <f aca="false">SUM(L1024:Q1024)</f>
        <v>500</v>
      </c>
      <c r="S1024" s="2" t="n">
        <f aca="false">Settings!$B$4*MAX(INDEX(Bases!$M$2:$M$53,B1024),INDEX(Bases!$M$2:$M$53,C1024))+Settings!$B$5*MIN(INDEX(Bases!$M$2:$M$53,B1024),INDEX(Bases!$M$2:$M$53,C1024))</f>
        <v>58.6666666666667</v>
      </c>
      <c r="T1024" s="2" t="n">
        <f aca="false">Settings!$B$4*MAX(INDEX(Bases!$N$2:$N$53,B1024),INDEX(Bases!$N$2:$N$53,C1024))+Settings!$B$5*MIN(INDEX(Bases!$N$2:$N$53,B1024),INDEX(Bases!$N$2:$N$53,C1024))</f>
        <v>74.6666666666667</v>
      </c>
      <c r="U1024" s="2" t="n">
        <f aca="false">Settings!$B$4*MAX(INDEX(Bases!$O$2:$O$53,B1024),INDEX(Bases!$O$2:$O$53,C1024))+Settings!$B$5*MIN(INDEX(Bases!$O$2:$O$53,B1024),INDEX(Bases!$O$2:$O$53,C1024))</f>
        <v>105</v>
      </c>
      <c r="V1024" s="2" t="n">
        <f aca="false">Settings!$B$4*MAX(INDEX(Bases!$P$2:$P$53,B1024),INDEX(Bases!$P$2:$P$53,C1024))+Settings!$B$5*MIN(INDEX(Bases!$P$2:$P$53,B1024),INDEX(Bases!$P$2:$P$53,C1024))</f>
        <v>51.6666666666667</v>
      </c>
      <c r="W1024" s="2" t="n">
        <f aca="false">Settings!$B$4*MAX(INDEX(Bases!$Q$2:$Q$53,B1024),INDEX(Bases!$Q$2:$Q$53,C1024))+Settings!$B$5*MIN(INDEX(Bases!$Q$2:$Q$53,B1024),INDEX(Bases!$Q$2:$Q$53,C1024))</f>
        <v>78</v>
      </c>
      <c r="X1024" s="2" t="n">
        <f aca="false">Settings!$B$4*MAX(INDEX(Bases!$R$2:$R$53,B1024),INDEX(Bases!$R$2:$R$53,C1024))+Settings!$B$5*MIN(INDEX(Bases!$R$2:$R$53,B1024),INDEX(Bases!$R$2:$R$53,C1024))</f>
        <v>60.6666666666667</v>
      </c>
      <c r="Y1024" s="2" t="n">
        <f aca="false">S1024*Settings!$B$3/SUM(S1024:X1024)</f>
        <v>68.4292379471229</v>
      </c>
      <c r="Z1024" s="2" t="n">
        <f aca="false">T1024*Settings!$B$3/SUM(S1024:X1024)</f>
        <v>87.0917573872473</v>
      </c>
      <c r="AA1024" s="2" t="n">
        <f aca="false">U1024*Settings!$B$3/SUM(S1024:X1024)</f>
        <v>122.472783825816</v>
      </c>
      <c r="AB1024" s="2" t="n">
        <f aca="false">V1024*Settings!$B$3/SUM(S1024:X1024)</f>
        <v>60.2643856920684</v>
      </c>
      <c r="AC1024" s="2" t="n">
        <f aca="false">W1024*Settings!$B$3/SUM(S1024:X1024)</f>
        <v>90.9797822706065</v>
      </c>
      <c r="AD1024" s="2" t="n">
        <f aca="false">X1024*Settings!$B$3/SUM(S1024:X1024)</f>
        <v>70.7620528771384</v>
      </c>
      <c r="AE1024" s="2" t="n">
        <f aca="false">INT(Y1024)</f>
        <v>68</v>
      </c>
      <c r="AF1024" s="2" t="n">
        <f aca="false">INT(Z1024)</f>
        <v>87</v>
      </c>
      <c r="AG1024" s="2" t="n">
        <f aca="false">INT(AA1024)</f>
        <v>122</v>
      </c>
      <c r="AH1024" s="2" t="n">
        <f aca="false">INT(AB1024)</f>
        <v>60</v>
      </c>
      <c r="AI1024" s="2" t="n">
        <f aca="false">INT(AC1024)</f>
        <v>90</v>
      </c>
      <c r="AJ1024" s="2" t="n">
        <f aca="false">INT(AD1024)</f>
        <v>70</v>
      </c>
      <c r="AK1024" s="2" t="n">
        <f aca="false">Settings!$B$3-SUM(AE1024:AJ1024)</f>
        <v>3</v>
      </c>
      <c r="AL1024" s="2" t="n">
        <f aca="false">ROUND(Y1024-AE1024,9)</f>
        <v>0.429237947</v>
      </c>
      <c r="AM1024" s="2" t="n">
        <f aca="false">ROUND(Z1024-AF1024,9)</f>
        <v>0.091757387</v>
      </c>
      <c r="AN1024" s="2" t="n">
        <f aca="false">ROUND(AA1024-AG1024,9)</f>
        <v>0.472783826</v>
      </c>
      <c r="AO1024" s="2" t="n">
        <f aca="false">ROUND(AB1024-AH1024,9)</f>
        <v>0.264385692</v>
      </c>
      <c r="AP1024" s="2" t="n">
        <f aca="false">ROUND(AC1024-AI1024,9)</f>
        <v>0.979782271</v>
      </c>
      <c r="AQ1024" s="2" t="n">
        <f aca="false">ROUND(AD1024-AJ1024,9)</f>
        <v>0.762052877</v>
      </c>
    </row>
    <row r="1025" customFormat="false" ht="15" hidden="false" customHeight="false" outlineLevel="0" collapsed="false">
      <c r="A1025" s="2" t="n">
        <v>1024</v>
      </c>
      <c r="B1025" s="6" t="n">
        <v>27</v>
      </c>
      <c r="C1025" s="6" t="n">
        <v>50</v>
      </c>
      <c r="D1025" s="8" t="str">
        <f aca="false">INDEX(Bases!$B$2:$B$53,B1025)</f>
        <v>Baltoy</v>
      </c>
      <c r="E1025" s="8" t="str">
        <f aca="false">INDEX(Bases!$B$2:$B$53,C1025)</f>
        <v>Beldum</v>
      </c>
      <c r="F1025" s="2" t="str">
        <f aca="false">LEFT(D1025,ROUNDUP(LEN(D1025)/2,0))&amp;LOWER(MID(E1025,ROUNDUP(LEN(E1025)/2,0)+1,20))</f>
        <v>Baldum</v>
      </c>
      <c r="G1025" s="8" t="str">
        <f aca="false">INDEX(Bases!$C$2:$C$53,B1025)</f>
        <v>Ground</v>
      </c>
      <c r="H1025" s="8" t="str">
        <f aca="false">IF(INDEX(Bases!$C$2:$C$53,C1025)=G1025,"",INDEX(Bases!$C$2:$C$53,C1025))</f>
        <v>Steel</v>
      </c>
      <c r="I1025" s="8" t="str">
        <f aca="false">IF(INDEX(Bases!$E$2:$E$53,B1025)="","",INDEX(Bases!$E$2:$E$53,B1025))</f>
        <v/>
      </c>
      <c r="J1025" s="8" t="str">
        <f aca="false">IF(INDEX(Bases!$E$2:$E$53,C1025)="","",INDEX(Bases!$E$2:$E$53,C1025))</f>
        <v/>
      </c>
      <c r="K1025" s="5"/>
      <c r="L1025" s="2" t="n">
        <f aca="false">AE1025+IF(SUMPRODUCT(--($AL1025:$AQ1025&gt;AL1025))&lt;$AK1025,1,0)</f>
        <v>64</v>
      </c>
      <c r="M1025" s="2" t="n">
        <f aca="false">AF1025+IF(SUMPRODUCT(--($AL1025:$AQ1025&gt;AM1025))+SUMPRODUCT(--($AL1025:AL1025=AM1025))&lt;$AK1025,1,0)</f>
        <v>80</v>
      </c>
      <c r="N1025" s="2" t="n">
        <f aca="false">AG1025+IF(SUMPRODUCT(--($AL1025:$AQ1025&gt;AN1025))+SUMPRODUCT(--($AL1025:AM1025=AN1025))&lt;$AK1025,1,0)</f>
        <v>115</v>
      </c>
      <c r="O1025" s="2" t="n">
        <f aca="false">AH1025+IF(SUMPRODUCT(--($AL1025:$AQ1025&gt;AO1025))+SUMPRODUCT(--($AL1025:AN1025=AO1025))&lt;$AK1025,1,0)</f>
        <v>61</v>
      </c>
      <c r="P1025" s="2" t="n">
        <f aca="false">AI1025+IF(SUMPRODUCT(--($AL1025:$AQ1025&gt;AP1025))+SUMPRODUCT(--($AL1025:AO1025=AP1025))&lt;$AK1025,1,0)</f>
        <v>106</v>
      </c>
      <c r="Q1025" s="2" t="n">
        <f aca="false">AJ1025+IF(SUMPRODUCT(--($AL1025:$AQ1025&gt;AQ1025))+SUMPRODUCT(--($AL1025:AP1025=AQ1025))&lt;$AK1025,1,0)</f>
        <v>74</v>
      </c>
      <c r="R1025" s="2" t="n">
        <f aca="false">SUM(L1025:Q1025)</f>
        <v>500</v>
      </c>
      <c r="S1025" s="2" t="n">
        <f aca="false">Settings!$B$4*MAX(INDEX(Bases!$M$2:$M$53,B1025),INDEX(Bases!$M$2:$M$53,C1025))+Settings!$B$5*MIN(INDEX(Bases!$M$2:$M$53,B1025),INDEX(Bases!$M$2:$M$53,C1025))</f>
        <v>53.6666666666667</v>
      </c>
      <c r="T1025" s="2" t="n">
        <f aca="false">Settings!$B$4*MAX(INDEX(Bases!$N$2:$N$53,B1025),INDEX(Bases!$N$2:$N$53,C1025))+Settings!$B$5*MIN(INDEX(Bases!$N$2:$N$53,B1025),INDEX(Bases!$N$2:$N$53,C1025))</f>
        <v>66.6666666666667</v>
      </c>
      <c r="U1025" s="2" t="n">
        <f aca="false">Settings!$B$4*MAX(INDEX(Bases!$O$2:$O$53,B1025),INDEX(Bases!$O$2:$O$53,C1025))+Settings!$B$5*MIN(INDEX(Bases!$O$2:$O$53,B1025),INDEX(Bases!$O$2:$O$53,C1025))</f>
        <v>95.6666666666667</v>
      </c>
      <c r="V1025" s="2" t="n">
        <f aca="false">Settings!$B$4*MAX(INDEX(Bases!$P$2:$P$53,B1025),INDEX(Bases!$P$2:$P$53,C1025))+Settings!$B$5*MIN(INDEX(Bases!$P$2:$P$53,B1025),INDEX(Bases!$P$2:$P$53,C1025))</f>
        <v>51</v>
      </c>
      <c r="W1025" s="2" t="n">
        <f aca="false">Settings!$B$4*MAX(INDEX(Bases!$Q$2:$Q$53,B1025),INDEX(Bases!$Q$2:$Q$53,C1025))+Settings!$B$5*MIN(INDEX(Bases!$Q$2:$Q$53,B1025),INDEX(Bases!$Q$2:$Q$53,C1025))</f>
        <v>88.6666666666667</v>
      </c>
      <c r="X1025" s="2" t="n">
        <f aca="false">Settings!$B$4*MAX(INDEX(Bases!$R$2:$R$53,B1025),INDEX(Bases!$R$2:$R$53,C1025))+Settings!$B$5*MIN(INDEX(Bases!$R$2:$R$53,B1025),INDEX(Bases!$R$2:$R$53,C1025))</f>
        <v>62</v>
      </c>
      <c r="Y1025" s="2" t="n">
        <f aca="false">S1025*Settings!$B$3/SUM(S1025:X1025)</f>
        <v>64.2458100558659</v>
      </c>
      <c r="Z1025" s="2" t="n">
        <f aca="false">T1025*Settings!$B$3/SUM(S1025:X1025)</f>
        <v>79.8084596967279</v>
      </c>
      <c r="AA1025" s="2" t="n">
        <f aca="false">U1025*Settings!$B$3/SUM(S1025:X1025)</f>
        <v>114.525139664804</v>
      </c>
      <c r="AB1025" s="2" t="n">
        <f aca="false">V1025*Settings!$B$3/SUM(S1025:X1025)</f>
        <v>61.0534716679968</v>
      </c>
      <c r="AC1025" s="2" t="n">
        <f aca="false">W1025*Settings!$B$3/SUM(S1025:X1025)</f>
        <v>106.145251396648</v>
      </c>
      <c r="AD1025" s="2" t="n">
        <f aca="false">X1025*Settings!$B$3/SUM(S1025:X1025)</f>
        <v>74.2218675179569</v>
      </c>
      <c r="AE1025" s="2" t="n">
        <f aca="false">INT(Y1025)</f>
        <v>64</v>
      </c>
      <c r="AF1025" s="2" t="n">
        <f aca="false">INT(Z1025)</f>
        <v>79</v>
      </c>
      <c r="AG1025" s="2" t="n">
        <f aca="false">INT(AA1025)</f>
        <v>114</v>
      </c>
      <c r="AH1025" s="2" t="n">
        <f aca="false">INT(AB1025)</f>
        <v>61</v>
      </c>
      <c r="AI1025" s="2" t="n">
        <f aca="false">INT(AC1025)</f>
        <v>106</v>
      </c>
      <c r="AJ1025" s="2" t="n">
        <f aca="false">INT(AD1025)</f>
        <v>74</v>
      </c>
      <c r="AK1025" s="2" t="n">
        <f aca="false">Settings!$B$3-SUM(AE1025:AJ1025)</f>
        <v>2</v>
      </c>
      <c r="AL1025" s="2" t="n">
        <f aca="false">ROUND(Y1025-AE1025,9)</f>
        <v>0.245810056</v>
      </c>
      <c r="AM1025" s="2" t="n">
        <f aca="false">ROUND(Z1025-AF1025,9)</f>
        <v>0.808459697</v>
      </c>
      <c r="AN1025" s="2" t="n">
        <f aca="false">ROUND(AA1025-AG1025,9)</f>
        <v>0.525139665</v>
      </c>
      <c r="AO1025" s="2" t="n">
        <f aca="false">ROUND(AB1025-AH1025,9)</f>
        <v>0.053471668</v>
      </c>
      <c r="AP1025" s="2" t="n">
        <f aca="false">ROUND(AC1025-AI1025,9)</f>
        <v>0.145251397</v>
      </c>
      <c r="AQ1025" s="2" t="n">
        <f aca="false">ROUND(AD1025-AJ1025,9)</f>
        <v>0.221867518</v>
      </c>
    </row>
    <row r="1026" customFormat="false" ht="15" hidden="false" customHeight="false" outlineLevel="0" collapsed="false">
      <c r="A1026" s="2" t="n">
        <v>1025</v>
      </c>
      <c r="B1026" s="6" t="n">
        <v>27</v>
      </c>
      <c r="C1026" s="6" t="n">
        <v>51</v>
      </c>
      <c r="D1026" s="8" t="str">
        <f aca="false">INDEX(Bases!$B$2:$B$53,B1026)</f>
        <v>Baltoy</v>
      </c>
      <c r="E1026" s="8" t="str">
        <f aca="false">INDEX(Bases!$B$2:$B$53,C1026)</f>
        <v>Cleffa</v>
      </c>
      <c r="F1026" s="2" t="str">
        <f aca="false">LEFT(D1026,ROUNDUP(LEN(D1026)/2,0))&amp;LOWER(MID(E1026,ROUNDUP(LEN(E1026)/2,0)+1,20))</f>
        <v>Balffa</v>
      </c>
      <c r="G1026" s="8" t="str">
        <f aca="false">INDEX(Bases!$C$2:$C$53,B1026)</f>
        <v>Ground</v>
      </c>
      <c r="H1026" s="8" t="str">
        <f aca="false">IF(INDEX(Bases!$C$2:$C$53,C1026)=G1026,"",INDEX(Bases!$C$2:$C$53,C1026))</f>
        <v>Fairy</v>
      </c>
      <c r="I1026" s="8" t="str">
        <f aca="false">IF(INDEX(Bases!$E$2:$E$53,B1026)="","",INDEX(Bases!$E$2:$E$53,B1026))</f>
        <v/>
      </c>
      <c r="J1026" s="8" t="str">
        <f aca="false">IF(INDEX(Bases!$E$2:$E$53,C1026)="","",INDEX(Bases!$E$2:$E$53,C1026))</f>
        <v/>
      </c>
      <c r="K1026" s="5"/>
      <c r="L1026" s="2" t="n">
        <f aca="false">AE1026+IF(SUMPRODUCT(--($AL1026:$AQ1026&gt;AL1026))&lt;$AK1026,1,0)</f>
        <v>93</v>
      </c>
      <c r="M1026" s="2" t="n">
        <f aca="false">AF1026+IF(SUMPRODUCT(--($AL1026:$AQ1026&gt;AM1026))+SUMPRODUCT(--($AL1026:AL1026=AM1026))&lt;$AK1026,1,0)</f>
        <v>60</v>
      </c>
      <c r="N1026" s="2" t="n">
        <f aca="false">AG1026+IF(SUMPRODUCT(--($AL1026:$AQ1026&gt;AN1026))+SUMPRODUCT(--($AL1026:AM1026=AN1026))&lt;$AK1026,1,0)</f>
        <v>77</v>
      </c>
      <c r="O1026" s="2" t="n">
        <f aca="false">AH1026+IF(SUMPRODUCT(--($AL1026:$AQ1026&gt;AO1026))+SUMPRODUCT(--($AL1026:AN1026=AO1026))&lt;$AK1026,1,0)</f>
        <v>86</v>
      </c>
      <c r="P1026" s="2" t="n">
        <f aca="false">AI1026+IF(SUMPRODUCT(--($AL1026:$AQ1026&gt;AP1026))+SUMPRODUCT(--($AL1026:AO1026=AP1026))&lt;$AK1026,1,0)</f>
        <v>116</v>
      </c>
      <c r="Q1026" s="2" t="n">
        <f aca="false">AJ1026+IF(SUMPRODUCT(--($AL1026:$AQ1026&gt;AQ1026))+SUMPRODUCT(--($AL1026:AP1026=AQ1026))&lt;$AK1026,1,0)</f>
        <v>68</v>
      </c>
      <c r="R1026" s="2" t="n">
        <f aca="false">SUM(L1026:Q1026)</f>
        <v>500</v>
      </c>
      <c r="S1026" s="2" t="n">
        <f aca="false">Settings!$B$4*MAX(INDEX(Bases!$M$2:$M$53,B1026),INDEX(Bases!$M$2:$M$53,C1026))+Settings!$B$5*MIN(INDEX(Bases!$M$2:$M$53,B1026),INDEX(Bases!$M$2:$M$53,C1026))</f>
        <v>79.3333333333333</v>
      </c>
      <c r="T1026" s="2" t="n">
        <f aca="false">Settings!$B$4*MAX(INDEX(Bases!$N$2:$N$53,B1026),INDEX(Bases!$N$2:$N$53,C1026))+Settings!$B$5*MIN(INDEX(Bases!$N$2:$N$53,B1026),INDEX(Bases!$N$2:$N$53,C1026))</f>
        <v>51.3333333333333</v>
      </c>
      <c r="U1026" s="2" t="n">
        <f aca="false">Settings!$B$4*MAX(INDEX(Bases!$O$2:$O$53,B1026),INDEX(Bases!$O$2:$O$53,C1026))+Settings!$B$5*MIN(INDEX(Bases!$O$2:$O$53,B1026),INDEX(Bases!$O$2:$O$53,C1026))</f>
        <v>65.6666666666667</v>
      </c>
      <c r="V1026" s="2" t="n">
        <f aca="false">Settings!$B$4*MAX(INDEX(Bases!$P$2:$P$53,B1026),INDEX(Bases!$P$2:$P$53,C1026))+Settings!$B$5*MIN(INDEX(Bases!$P$2:$P$53,B1026),INDEX(Bases!$P$2:$P$53,C1026))</f>
        <v>73</v>
      </c>
      <c r="W1026" s="2" t="n">
        <f aca="false">Settings!$B$4*MAX(INDEX(Bases!$Q$2:$Q$53,B1026),INDEX(Bases!$Q$2:$Q$53,C1026))+Settings!$B$5*MIN(INDEX(Bases!$Q$2:$Q$53,B1026),INDEX(Bases!$Q$2:$Q$53,C1026))</f>
        <v>98.3333333333333</v>
      </c>
      <c r="X1026" s="2" t="n">
        <f aca="false">Settings!$B$4*MAX(INDEX(Bases!$R$2:$R$53,B1026),INDEX(Bases!$R$2:$R$53,C1026))+Settings!$B$5*MIN(INDEX(Bases!$R$2:$R$53,B1026),INDEX(Bases!$R$2:$R$53,C1026))</f>
        <v>57.6666666666667</v>
      </c>
      <c r="Y1026" s="2" t="n">
        <f aca="false">S1026*Settings!$B$3/SUM(S1026:X1026)</f>
        <v>93.2601880877743</v>
      </c>
      <c r="Z1026" s="2" t="n">
        <f aca="false">T1026*Settings!$B$3/SUM(S1026:X1026)</f>
        <v>60.3448275862069</v>
      </c>
      <c r="AA1026" s="2" t="n">
        <f aca="false">U1026*Settings!$B$3/SUM(S1026:X1026)</f>
        <v>77.1943573667712</v>
      </c>
      <c r="AB1026" s="2" t="n">
        <f aca="false">V1026*Settings!$B$3/SUM(S1026:X1026)</f>
        <v>85.8150470219436</v>
      </c>
      <c r="AC1026" s="2" t="n">
        <f aca="false">W1026*Settings!$B$3/SUM(S1026:X1026)</f>
        <v>115.595611285266</v>
      </c>
      <c r="AD1026" s="2" t="n">
        <f aca="false">X1026*Settings!$B$3/SUM(S1026:X1026)</f>
        <v>67.7899686520376</v>
      </c>
      <c r="AE1026" s="2" t="n">
        <f aca="false">INT(Y1026)</f>
        <v>93</v>
      </c>
      <c r="AF1026" s="2" t="n">
        <f aca="false">INT(Z1026)</f>
        <v>60</v>
      </c>
      <c r="AG1026" s="2" t="n">
        <f aca="false">INT(AA1026)</f>
        <v>77</v>
      </c>
      <c r="AH1026" s="2" t="n">
        <f aca="false">INT(AB1026)</f>
        <v>85</v>
      </c>
      <c r="AI1026" s="2" t="n">
        <f aca="false">INT(AC1026)</f>
        <v>115</v>
      </c>
      <c r="AJ1026" s="2" t="n">
        <f aca="false">INT(AD1026)</f>
        <v>67</v>
      </c>
      <c r="AK1026" s="2" t="n">
        <f aca="false">Settings!$B$3-SUM(AE1026:AJ1026)</f>
        <v>3</v>
      </c>
      <c r="AL1026" s="2" t="n">
        <f aca="false">ROUND(Y1026-AE1026,9)</f>
        <v>0.260188088</v>
      </c>
      <c r="AM1026" s="2" t="n">
        <f aca="false">ROUND(Z1026-AF1026,9)</f>
        <v>0.344827586</v>
      </c>
      <c r="AN1026" s="2" t="n">
        <f aca="false">ROUND(AA1026-AG1026,9)</f>
        <v>0.194357367</v>
      </c>
      <c r="AO1026" s="2" t="n">
        <f aca="false">ROUND(AB1026-AH1026,9)</f>
        <v>0.815047022</v>
      </c>
      <c r="AP1026" s="2" t="n">
        <f aca="false">ROUND(AC1026-AI1026,9)</f>
        <v>0.595611285</v>
      </c>
      <c r="AQ1026" s="2" t="n">
        <f aca="false">ROUND(AD1026-AJ1026,9)</f>
        <v>0.789968652</v>
      </c>
    </row>
    <row r="1027" customFormat="false" ht="15" hidden="false" customHeight="false" outlineLevel="0" collapsed="false">
      <c r="A1027" s="2" t="n">
        <v>1026</v>
      </c>
      <c r="B1027" s="6" t="n">
        <v>27</v>
      </c>
      <c r="C1027" s="6" t="n">
        <v>52</v>
      </c>
      <c r="D1027" s="8" t="str">
        <f aca="false">INDEX(Bases!$B$2:$B$53,B1027)</f>
        <v>Baltoy</v>
      </c>
      <c r="E1027" s="8" t="str">
        <f aca="false">INDEX(Bases!$B$2:$B$53,C1027)</f>
        <v>Togepi</v>
      </c>
      <c r="F1027" s="2" t="str">
        <f aca="false">LEFT(D1027,ROUNDUP(LEN(D1027)/2,0))&amp;LOWER(MID(E1027,ROUNDUP(LEN(E1027)/2,0)+1,20))</f>
        <v>Balepi</v>
      </c>
      <c r="G1027" s="8" t="str">
        <f aca="false">INDEX(Bases!$C$2:$C$53,B1027)</f>
        <v>Ground</v>
      </c>
      <c r="H1027" s="8" t="str">
        <f aca="false">IF(INDEX(Bases!$C$2:$C$53,C1027)=G1027,"",INDEX(Bases!$C$2:$C$53,C1027))</f>
        <v>Fairy</v>
      </c>
      <c r="I1027" s="8" t="str">
        <f aca="false">IF(INDEX(Bases!$E$2:$E$53,B1027)="","",INDEX(Bases!$E$2:$E$53,B1027))</f>
        <v/>
      </c>
      <c r="J1027" s="8" t="str">
        <f aca="false">IF(INDEX(Bases!$E$2:$E$53,C1027)="","",INDEX(Bases!$E$2:$E$53,C1027))</f>
        <v/>
      </c>
      <c r="K1027" s="5"/>
      <c r="L1027" s="2" t="n">
        <f aca="false">AE1027+IF(SUMPRODUCT(--($AL1027:$AQ1027&gt;AL1027))&lt;$AK1027,1,0)</f>
        <v>67</v>
      </c>
      <c r="M1027" s="2" t="n">
        <f aca="false">AF1027+IF(SUMPRODUCT(--($AL1027:$AQ1027&gt;AM1027))+SUMPRODUCT(--($AL1027:AL1027=AM1027))&lt;$AK1027,1,0)</f>
        <v>56</v>
      </c>
      <c r="N1027" s="2" t="n">
        <f aca="false">AG1027+IF(SUMPRODUCT(--($AL1027:$AQ1027&gt;AN1027))+SUMPRODUCT(--($AL1027:AM1027=AN1027))&lt;$AK1027,1,0)</f>
        <v>113</v>
      </c>
      <c r="O1027" s="2" t="n">
        <f aca="false">AH1027+IF(SUMPRODUCT(--($AL1027:$AQ1027&gt;AO1027))+SUMPRODUCT(--($AL1027:AN1027=AO1027))&lt;$AK1027,1,0)</f>
        <v>72</v>
      </c>
      <c r="P1027" s="2" t="n">
        <f aca="false">AI1027+IF(SUMPRODUCT(--($AL1027:$AQ1027&gt;AP1027))+SUMPRODUCT(--($AL1027:AO1027=AP1027))&lt;$AK1027,1,0)</f>
        <v>121</v>
      </c>
      <c r="Q1027" s="2" t="n">
        <f aca="false">AJ1027+IF(SUMPRODUCT(--($AL1027:$AQ1027&gt;AQ1027))+SUMPRODUCT(--($AL1027:AP1027=AQ1027))&lt;$AK1027,1,0)</f>
        <v>71</v>
      </c>
      <c r="R1027" s="2" t="n">
        <f aca="false">SUM(L1027:Q1027)</f>
        <v>500</v>
      </c>
      <c r="S1027" s="2" t="n">
        <f aca="false">Settings!$B$4*MAX(INDEX(Bases!$M$2:$M$53,B1027),INDEX(Bases!$M$2:$M$53,C1027))+Settings!$B$5*MIN(INDEX(Bases!$M$2:$M$53,B1027),INDEX(Bases!$M$2:$M$53,C1027))</f>
        <v>56</v>
      </c>
      <c r="T1027" s="2" t="n">
        <f aca="false">Settings!$B$4*MAX(INDEX(Bases!$N$2:$N$53,B1027),INDEX(Bases!$N$2:$N$53,C1027))+Settings!$B$5*MIN(INDEX(Bases!$N$2:$N$53,B1027),INDEX(Bases!$N$2:$N$53,C1027))</f>
        <v>47</v>
      </c>
      <c r="U1027" s="2" t="n">
        <f aca="false">Settings!$B$4*MAX(INDEX(Bases!$O$2:$O$53,B1027),INDEX(Bases!$O$2:$O$53,C1027))+Settings!$B$5*MIN(INDEX(Bases!$O$2:$O$53,B1027),INDEX(Bases!$O$2:$O$53,C1027))</f>
        <v>95</v>
      </c>
      <c r="V1027" s="2" t="n">
        <f aca="false">Settings!$B$4*MAX(INDEX(Bases!$P$2:$P$53,B1027),INDEX(Bases!$P$2:$P$53,C1027))+Settings!$B$5*MIN(INDEX(Bases!$P$2:$P$53,B1027),INDEX(Bases!$P$2:$P$53,C1027))</f>
        <v>61</v>
      </c>
      <c r="W1027" s="2" t="n">
        <f aca="false">Settings!$B$4*MAX(INDEX(Bases!$Q$2:$Q$53,B1027),INDEX(Bases!$Q$2:$Q$53,C1027))+Settings!$B$5*MIN(INDEX(Bases!$Q$2:$Q$53,B1027),INDEX(Bases!$Q$2:$Q$53,C1027))</f>
        <v>101.666666666667</v>
      </c>
      <c r="X1027" s="2" t="n">
        <f aca="false">Settings!$B$4*MAX(INDEX(Bases!$R$2:$R$53,B1027),INDEX(Bases!$R$2:$R$53,C1027))+Settings!$B$5*MIN(INDEX(Bases!$R$2:$R$53,B1027),INDEX(Bases!$R$2:$R$53,C1027))</f>
        <v>59.6666666666667</v>
      </c>
      <c r="Y1027" s="2" t="n">
        <f aca="false">S1027*Settings!$B$3/SUM(S1027:X1027)</f>
        <v>66.6137985725615</v>
      </c>
      <c r="Z1027" s="2" t="n">
        <f aca="false">T1027*Settings!$B$3/SUM(S1027:X1027)</f>
        <v>55.9080095162569</v>
      </c>
      <c r="AA1027" s="2" t="n">
        <f aca="false">U1027*Settings!$B$3/SUM(S1027:X1027)</f>
        <v>113.005551149881</v>
      </c>
      <c r="AB1027" s="2" t="n">
        <f aca="false">V1027*Settings!$B$3/SUM(S1027:X1027)</f>
        <v>72.5614591593973</v>
      </c>
      <c r="AC1027" s="2" t="n">
        <f aca="false">W1027*Settings!$B$3/SUM(S1027:X1027)</f>
        <v>120.935765265662</v>
      </c>
      <c r="AD1027" s="2" t="n">
        <f aca="false">X1027*Settings!$B$3/SUM(S1027:X1027)</f>
        <v>70.9754163362411</v>
      </c>
      <c r="AE1027" s="2" t="n">
        <f aca="false">INT(Y1027)</f>
        <v>66</v>
      </c>
      <c r="AF1027" s="2" t="n">
        <f aca="false">INT(Z1027)</f>
        <v>55</v>
      </c>
      <c r="AG1027" s="2" t="n">
        <f aca="false">INT(AA1027)</f>
        <v>113</v>
      </c>
      <c r="AH1027" s="2" t="n">
        <f aca="false">INT(AB1027)</f>
        <v>72</v>
      </c>
      <c r="AI1027" s="2" t="n">
        <f aca="false">INT(AC1027)</f>
        <v>120</v>
      </c>
      <c r="AJ1027" s="2" t="n">
        <f aca="false">INT(AD1027)</f>
        <v>70</v>
      </c>
      <c r="AK1027" s="2" t="n">
        <f aca="false">Settings!$B$3-SUM(AE1027:AJ1027)</f>
        <v>4</v>
      </c>
      <c r="AL1027" s="2" t="n">
        <f aca="false">ROUND(Y1027-AE1027,9)</f>
        <v>0.613798573</v>
      </c>
      <c r="AM1027" s="2" t="n">
        <f aca="false">ROUND(Z1027-AF1027,9)</f>
        <v>0.908009516</v>
      </c>
      <c r="AN1027" s="2" t="n">
        <f aca="false">ROUND(AA1027-AG1027,9)</f>
        <v>0.00555115</v>
      </c>
      <c r="AO1027" s="2" t="n">
        <f aca="false">ROUND(AB1027-AH1027,9)</f>
        <v>0.561459159</v>
      </c>
      <c r="AP1027" s="2" t="n">
        <f aca="false">ROUND(AC1027-AI1027,9)</f>
        <v>0.935765266</v>
      </c>
      <c r="AQ1027" s="2" t="n">
        <f aca="false">ROUND(AD1027-AJ1027,9)</f>
        <v>0.975416336</v>
      </c>
    </row>
    <row r="1028" customFormat="false" ht="15" hidden="false" customHeight="false" outlineLevel="0" collapsed="false">
      <c r="A1028" s="2" t="n">
        <v>1027</v>
      </c>
      <c r="B1028" s="6" t="n">
        <v>28</v>
      </c>
      <c r="C1028" s="6" t="n">
        <v>29</v>
      </c>
      <c r="D1028" s="8" t="str">
        <f aca="false">INDEX(Bases!$B$2:$B$53,B1028)</f>
        <v>Zubat</v>
      </c>
      <c r="E1028" s="8" t="str">
        <f aca="false">INDEX(Bases!$B$2:$B$53,C1028)</f>
        <v>Murkrow</v>
      </c>
      <c r="F1028" s="2" t="str">
        <f aca="false">LEFT(D1028,ROUNDUP(LEN(D1028)/2,0))&amp;LOWER(MID(E1028,ROUNDUP(LEN(E1028)/2,0)+1,20))</f>
        <v>Zubrow</v>
      </c>
      <c r="G1028" s="8" t="str">
        <f aca="false">INDEX(Bases!$C$2:$C$53,B1028)</f>
        <v>Flying</v>
      </c>
      <c r="H1028" s="8" t="str">
        <f aca="false">IF(INDEX(Bases!$C$2:$C$53,C1028)=G1028,"",INDEX(Bases!$C$2:$C$53,C1028))</f>
        <v/>
      </c>
      <c r="I1028" s="8" t="str">
        <f aca="false">IF(INDEX(Bases!$E$2:$E$53,B1028)="","",INDEX(Bases!$E$2:$E$53,B1028))</f>
        <v/>
      </c>
      <c r="J1028" s="8" t="str">
        <f aca="false">IF(INDEX(Bases!$E$2:$E$53,C1028)="","",INDEX(Bases!$E$2:$E$53,C1028))</f>
        <v/>
      </c>
      <c r="K1028" s="5"/>
      <c r="L1028" s="2" t="n">
        <f aca="false">AE1028+IF(SUMPRODUCT(--($AL1028:$AQ1028&gt;AL1028))&lt;$AK1028,1,0)</f>
        <v>76</v>
      </c>
      <c r="M1028" s="2" t="n">
        <f aca="false">AF1028+IF(SUMPRODUCT(--($AL1028:$AQ1028&gt;AM1028))+SUMPRODUCT(--($AL1028:AL1028=AM1028))&lt;$AK1028,1,0)</f>
        <v>97</v>
      </c>
      <c r="N1028" s="2" t="n">
        <f aca="false">AG1028+IF(SUMPRODUCT(--($AL1028:$AQ1028&gt;AN1028))+SUMPRODUCT(--($AL1028:AM1028=AN1028))&lt;$AK1028,1,0)</f>
        <v>63</v>
      </c>
      <c r="O1028" s="2" t="n">
        <f aca="false">AH1028+IF(SUMPRODUCT(--($AL1028:$AQ1028&gt;AO1028))+SUMPRODUCT(--($AL1028:AN1028=AO1028))&lt;$AK1028,1,0)</f>
        <v>87</v>
      </c>
      <c r="P1028" s="2" t="n">
        <f aca="false">AI1028+IF(SUMPRODUCT(--($AL1028:$AQ1028&gt;AP1028))+SUMPRODUCT(--($AL1028:AO1028=AP1028))&lt;$AK1028,1,0)</f>
        <v>69</v>
      </c>
      <c r="Q1028" s="2" t="n">
        <f aca="false">AJ1028+IF(SUMPRODUCT(--($AL1028:$AQ1028&gt;AQ1028))+SUMPRODUCT(--($AL1028:AP1028=AQ1028))&lt;$AK1028,1,0)</f>
        <v>108</v>
      </c>
      <c r="R1028" s="2" t="n">
        <f aca="false">SUM(L1028:Q1028)</f>
        <v>500</v>
      </c>
      <c r="S1028" s="2" t="n">
        <f aca="false">Settings!$B$4*MAX(INDEX(Bases!$M$2:$M$53,B1028),INDEX(Bases!$M$2:$M$53,C1028))+Settings!$B$5*MIN(INDEX(Bases!$M$2:$M$53,B1028),INDEX(Bases!$M$2:$M$53,C1028))</f>
        <v>63</v>
      </c>
      <c r="T1028" s="2" t="n">
        <f aca="false">Settings!$B$4*MAX(INDEX(Bases!$N$2:$N$53,B1028),INDEX(Bases!$N$2:$N$53,C1028))+Settings!$B$5*MIN(INDEX(Bases!$N$2:$N$53,B1028),INDEX(Bases!$N$2:$N$53,C1028))</f>
        <v>80.6666666666667</v>
      </c>
      <c r="U1028" s="2" t="n">
        <f aca="false">Settings!$B$4*MAX(INDEX(Bases!$O$2:$O$53,B1028),INDEX(Bases!$O$2:$O$53,C1028))+Settings!$B$5*MIN(INDEX(Bases!$O$2:$O$53,B1028),INDEX(Bases!$O$2:$O$53,C1028))</f>
        <v>52</v>
      </c>
      <c r="V1028" s="2" t="n">
        <f aca="false">Settings!$B$4*MAX(INDEX(Bases!$P$2:$P$53,B1028),INDEX(Bases!$P$2:$P$53,C1028))+Settings!$B$5*MIN(INDEX(Bases!$P$2:$P$53,B1028),INDEX(Bases!$P$2:$P$53,C1028))</f>
        <v>72.3333333333333</v>
      </c>
      <c r="W1028" s="2" t="n">
        <f aca="false">Settings!$B$4*MAX(INDEX(Bases!$Q$2:$Q$53,B1028),INDEX(Bases!$Q$2:$Q$53,C1028))+Settings!$B$5*MIN(INDEX(Bases!$Q$2:$Q$53,B1028),INDEX(Bases!$Q$2:$Q$53,C1028))</f>
        <v>57</v>
      </c>
      <c r="X1028" s="2" t="n">
        <f aca="false">Settings!$B$4*MAX(INDEX(Bases!$R$2:$R$53,B1028),INDEX(Bases!$R$2:$R$53,C1028))+Settings!$B$5*MIN(INDEX(Bases!$R$2:$R$53,B1028),INDEX(Bases!$R$2:$R$53,C1028))</f>
        <v>90</v>
      </c>
      <c r="Y1028" s="2" t="n">
        <f aca="false">S1028*Settings!$B$3/SUM(S1028:X1028)</f>
        <v>75.9036144578313</v>
      </c>
      <c r="Z1028" s="2" t="n">
        <f aca="false">T1028*Settings!$B$3/SUM(S1028:X1028)</f>
        <v>97.1887550200803</v>
      </c>
      <c r="AA1028" s="2" t="n">
        <f aca="false">U1028*Settings!$B$3/SUM(S1028:X1028)</f>
        <v>62.6506024096386</v>
      </c>
      <c r="AB1028" s="2" t="n">
        <f aca="false">V1028*Settings!$B$3/SUM(S1028:X1028)</f>
        <v>87.1485943775101</v>
      </c>
      <c r="AC1028" s="2" t="n">
        <f aca="false">W1028*Settings!$B$3/SUM(S1028:X1028)</f>
        <v>68.6746987951807</v>
      </c>
      <c r="AD1028" s="2" t="n">
        <f aca="false">X1028*Settings!$B$3/SUM(S1028:X1028)</f>
        <v>108.433734939759</v>
      </c>
      <c r="AE1028" s="2" t="n">
        <f aca="false">INT(Y1028)</f>
        <v>75</v>
      </c>
      <c r="AF1028" s="2" t="n">
        <f aca="false">INT(Z1028)</f>
        <v>97</v>
      </c>
      <c r="AG1028" s="2" t="n">
        <f aca="false">INT(AA1028)</f>
        <v>62</v>
      </c>
      <c r="AH1028" s="2" t="n">
        <f aca="false">INT(AB1028)</f>
        <v>87</v>
      </c>
      <c r="AI1028" s="2" t="n">
        <f aca="false">INT(AC1028)</f>
        <v>68</v>
      </c>
      <c r="AJ1028" s="2" t="n">
        <f aca="false">INT(AD1028)</f>
        <v>108</v>
      </c>
      <c r="AK1028" s="2" t="n">
        <f aca="false">Settings!$B$3-SUM(AE1028:AJ1028)</f>
        <v>3</v>
      </c>
      <c r="AL1028" s="2" t="n">
        <f aca="false">ROUND(Y1028-AE1028,9)</f>
        <v>0.903614458</v>
      </c>
      <c r="AM1028" s="2" t="n">
        <f aca="false">ROUND(Z1028-AF1028,9)</f>
        <v>0.18875502</v>
      </c>
      <c r="AN1028" s="2" t="n">
        <f aca="false">ROUND(AA1028-AG1028,9)</f>
        <v>0.65060241</v>
      </c>
      <c r="AO1028" s="2" t="n">
        <f aca="false">ROUND(AB1028-AH1028,9)</f>
        <v>0.148594378</v>
      </c>
      <c r="AP1028" s="2" t="n">
        <f aca="false">ROUND(AC1028-AI1028,9)</f>
        <v>0.674698795</v>
      </c>
      <c r="AQ1028" s="2" t="n">
        <f aca="false">ROUND(AD1028-AJ1028,9)</f>
        <v>0.43373494</v>
      </c>
    </row>
    <row r="1029" customFormat="false" ht="15" hidden="false" customHeight="false" outlineLevel="0" collapsed="false">
      <c r="A1029" s="2" t="n">
        <v>1028</v>
      </c>
      <c r="B1029" s="6" t="n">
        <v>28</v>
      </c>
      <c r="C1029" s="6" t="n">
        <v>30</v>
      </c>
      <c r="D1029" s="8" t="str">
        <f aca="false">INDEX(Bases!$B$2:$B$53,B1029)</f>
        <v>Zubat</v>
      </c>
      <c r="E1029" s="8" t="str">
        <f aca="false">INDEX(Bases!$B$2:$B$53,C1029)</f>
        <v>Swablu</v>
      </c>
      <c r="F1029" s="2" t="str">
        <f aca="false">LEFT(D1029,ROUNDUP(LEN(D1029)/2,0))&amp;LOWER(MID(E1029,ROUNDUP(LEN(E1029)/2,0)+1,20))</f>
        <v>Zubblu</v>
      </c>
      <c r="G1029" s="8" t="str">
        <f aca="false">INDEX(Bases!$C$2:$C$53,B1029)</f>
        <v>Flying</v>
      </c>
      <c r="H1029" s="8" t="str">
        <f aca="false">IF(INDEX(Bases!$C$2:$C$53,C1029)=G1029,"",INDEX(Bases!$C$2:$C$53,C1029))</f>
        <v/>
      </c>
      <c r="I1029" s="8" t="str">
        <f aca="false">IF(INDEX(Bases!$E$2:$E$53,B1029)="","",INDEX(Bases!$E$2:$E$53,B1029))</f>
        <v/>
      </c>
      <c r="J1029" s="8" t="str">
        <f aca="false">IF(INDEX(Bases!$E$2:$E$53,C1029)="","",INDEX(Bases!$E$2:$E$53,C1029))</f>
        <v/>
      </c>
      <c r="K1029" s="5"/>
      <c r="L1029" s="2" t="n">
        <f aca="false">AE1029+IF(SUMPRODUCT(--($AL1029:$AQ1029&gt;AL1029))&lt;$AK1029,1,0)</f>
        <v>75</v>
      </c>
      <c r="M1029" s="2" t="n">
        <f aca="false">AF1029+IF(SUMPRODUCT(--($AL1029:$AQ1029&gt;AM1029))+SUMPRODUCT(--($AL1029:AL1029=AM1029))&lt;$AK1029,1,0)</f>
        <v>80</v>
      </c>
      <c r="N1029" s="2" t="n">
        <f aca="false">AG1029+IF(SUMPRODUCT(--($AL1029:$AQ1029&gt;AN1029))+SUMPRODUCT(--($AL1029:AM1029=AN1029))&lt;$AK1029,1,0)</f>
        <v>84</v>
      </c>
      <c r="O1029" s="2" t="n">
        <f aca="false">AH1029+IF(SUMPRODUCT(--($AL1029:$AQ1029&gt;AO1029))+SUMPRODUCT(--($AL1029:AN1029=AO1029))&lt;$AK1029,1,0)</f>
        <v>61</v>
      </c>
      <c r="P1029" s="2" t="n">
        <f aca="false">AI1029+IF(SUMPRODUCT(--($AL1029:$AQ1029&gt;AP1029))+SUMPRODUCT(--($AL1029:AO1029=AP1029))&lt;$AK1029,1,0)</f>
        <v>103</v>
      </c>
      <c r="Q1029" s="2" t="n">
        <f aca="false">AJ1029+IF(SUMPRODUCT(--($AL1029:$AQ1029&gt;AQ1029))+SUMPRODUCT(--($AL1029:AP1029=AQ1029))&lt;$AK1029,1,0)</f>
        <v>97</v>
      </c>
      <c r="R1029" s="2" t="n">
        <f aca="false">SUM(L1029:Q1029)</f>
        <v>500</v>
      </c>
      <c r="S1029" s="2" t="n">
        <f aca="false">Settings!$B$4*MAX(INDEX(Bases!$M$2:$M$53,B1029),INDEX(Bases!$M$2:$M$53,C1029))+Settings!$B$5*MIN(INDEX(Bases!$M$2:$M$53,B1029),INDEX(Bases!$M$2:$M$53,C1029))</f>
        <v>62.6666666666667</v>
      </c>
      <c r="T1029" s="2" t="n">
        <f aca="false">Settings!$B$4*MAX(INDEX(Bases!$N$2:$N$53,B1029),INDEX(Bases!$N$2:$N$53,C1029))+Settings!$B$5*MIN(INDEX(Bases!$N$2:$N$53,B1029),INDEX(Bases!$N$2:$N$53,C1029))</f>
        <v>66.6666666666667</v>
      </c>
      <c r="U1029" s="2" t="n">
        <f aca="false">Settings!$B$4*MAX(INDEX(Bases!$O$2:$O$53,B1029),INDEX(Bases!$O$2:$O$53,C1029))+Settings!$B$5*MIN(INDEX(Bases!$O$2:$O$53,B1029),INDEX(Bases!$O$2:$O$53,C1029))</f>
        <v>70.3333333333333</v>
      </c>
      <c r="V1029" s="2" t="n">
        <f aca="false">Settings!$B$4*MAX(INDEX(Bases!$P$2:$P$53,B1029),INDEX(Bases!$P$2:$P$53,C1029))+Settings!$B$5*MIN(INDEX(Bases!$P$2:$P$53,B1029),INDEX(Bases!$P$2:$P$53,C1029))</f>
        <v>51</v>
      </c>
      <c r="W1029" s="2" t="n">
        <f aca="false">Settings!$B$4*MAX(INDEX(Bases!$Q$2:$Q$53,B1029),INDEX(Bases!$Q$2:$Q$53,C1029))+Settings!$B$5*MIN(INDEX(Bases!$Q$2:$Q$53,B1029),INDEX(Bases!$Q$2:$Q$53,C1029))</f>
        <v>86.3333333333333</v>
      </c>
      <c r="X1029" s="2" t="n">
        <f aca="false">Settings!$B$4*MAX(INDEX(Bases!$R$2:$R$53,B1029),INDEX(Bases!$R$2:$R$53,C1029))+Settings!$B$5*MIN(INDEX(Bases!$R$2:$R$53,B1029),INDEX(Bases!$R$2:$R$53,C1029))</f>
        <v>81.3333333333333</v>
      </c>
      <c r="Y1029" s="2" t="n">
        <f aca="false">S1029*Settings!$B$3/SUM(S1029:X1029)</f>
        <v>74.9003984063745</v>
      </c>
      <c r="Z1029" s="2" t="n">
        <f aca="false">T1029*Settings!$B$3/SUM(S1029:X1029)</f>
        <v>79.6812749003984</v>
      </c>
      <c r="AA1029" s="2" t="n">
        <f aca="false">U1029*Settings!$B$3/SUM(S1029:X1029)</f>
        <v>84.0637450199203</v>
      </c>
      <c r="AB1029" s="2" t="n">
        <f aca="false">V1029*Settings!$B$3/SUM(S1029:X1029)</f>
        <v>60.9561752988048</v>
      </c>
      <c r="AC1029" s="2" t="n">
        <f aca="false">W1029*Settings!$B$3/SUM(S1029:X1029)</f>
        <v>103.187250996016</v>
      </c>
      <c r="AD1029" s="2" t="n">
        <f aca="false">X1029*Settings!$B$3/SUM(S1029:X1029)</f>
        <v>97.2111553784861</v>
      </c>
      <c r="AE1029" s="2" t="n">
        <f aca="false">INT(Y1029)</f>
        <v>74</v>
      </c>
      <c r="AF1029" s="2" t="n">
        <f aca="false">INT(Z1029)</f>
        <v>79</v>
      </c>
      <c r="AG1029" s="2" t="n">
        <f aca="false">INT(AA1029)</f>
        <v>84</v>
      </c>
      <c r="AH1029" s="2" t="n">
        <f aca="false">INT(AB1029)</f>
        <v>60</v>
      </c>
      <c r="AI1029" s="2" t="n">
        <f aca="false">INT(AC1029)</f>
        <v>103</v>
      </c>
      <c r="AJ1029" s="2" t="n">
        <f aca="false">INT(AD1029)</f>
        <v>97</v>
      </c>
      <c r="AK1029" s="2" t="n">
        <f aca="false">Settings!$B$3-SUM(AE1029:AJ1029)</f>
        <v>3</v>
      </c>
      <c r="AL1029" s="2" t="n">
        <f aca="false">ROUND(Y1029-AE1029,9)</f>
        <v>0.900398406</v>
      </c>
      <c r="AM1029" s="2" t="n">
        <f aca="false">ROUND(Z1029-AF1029,9)</f>
        <v>0.6812749</v>
      </c>
      <c r="AN1029" s="2" t="n">
        <f aca="false">ROUND(AA1029-AG1029,9)</f>
        <v>0.06374502</v>
      </c>
      <c r="AO1029" s="2" t="n">
        <f aca="false">ROUND(AB1029-AH1029,9)</f>
        <v>0.956175299</v>
      </c>
      <c r="AP1029" s="2" t="n">
        <f aca="false">ROUND(AC1029-AI1029,9)</f>
        <v>0.187250996</v>
      </c>
      <c r="AQ1029" s="2" t="n">
        <f aca="false">ROUND(AD1029-AJ1029,9)</f>
        <v>0.211155378</v>
      </c>
    </row>
    <row r="1030" customFormat="false" ht="15" hidden="false" customHeight="false" outlineLevel="0" collapsed="false">
      <c r="A1030" s="2" t="n">
        <v>1029</v>
      </c>
      <c r="B1030" s="6" t="n">
        <v>28</v>
      </c>
      <c r="C1030" s="6" t="n">
        <v>31</v>
      </c>
      <c r="D1030" s="8" t="str">
        <f aca="false">INDEX(Bases!$B$2:$B$53,B1030)</f>
        <v>Zubat</v>
      </c>
      <c r="E1030" s="8" t="str">
        <f aca="false">INDEX(Bases!$B$2:$B$53,C1030)</f>
        <v>Mew</v>
      </c>
      <c r="F1030" s="2" t="str">
        <f aca="false">LEFT(D1030,ROUNDUP(LEN(D1030)/2,0))&amp;LOWER(MID(E1030,ROUNDUP(LEN(E1030)/2,0)+1,20))</f>
        <v>Zubw</v>
      </c>
      <c r="G1030" s="8" t="str">
        <f aca="false">INDEX(Bases!$C$2:$C$53,B1030)</f>
        <v>Flying</v>
      </c>
      <c r="H1030" s="8" t="str">
        <f aca="false">IF(INDEX(Bases!$C$2:$C$53,C1030)=G1030,"",INDEX(Bases!$C$2:$C$53,C1030))</f>
        <v>Psychic</v>
      </c>
      <c r="I1030" s="8" t="str">
        <f aca="false">IF(INDEX(Bases!$E$2:$E$53,B1030)="","",INDEX(Bases!$E$2:$E$53,B1030))</f>
        <v/>
      </c>
      <c r="J1030" s="8" t="str">
        <f aca="false">IF(INDEX(Bases!$E$2:$E$53,C1030)="","",INDEX(Bases!$E$2:$E$53,C1030))</f>
        <v/>
      </c>
      <c r="K1030" s="5"/>
      <c r="L1030" s="2" t="n">
        <f aca="false">AE1030+IF(SUMPRODUCT(--($AL1030:$AQ1030&gt;AL1030))&lt;$AK1030,1,0)</f>
        <v>81</v>
      </c>
      <c r="M1030" s="2" t="n">
        <f aca="false">AF1030+IF(SUMPRODUCT(--($AL1030:$AQ1030&gt;AM1030))+SUMPRODUCT(--($AL1030:AL1030=AM1030))&lt;$AK1030,1,0)</f>
        <v>87</v>
      </c>
      <c r="N1030" s="2" t="n">
        <f aca="false">AG1030+IF(SUMPRODUCT(--($AL1030:$AQ1030&gt;AN1030))+SUMPRODUCT(--($AL1030:AM1030=AN1030))&lt;$AK1030,1,0)</f>
        <v>78</v>
      </c>
      <c r="O1030" s="2" t="n">
        <f aca="false">AH1030+IF(SUMPRODUCT(--($AL1030:$AQ1030&gt;AO1030))+SUMPRODUCT(--($AL1030:AN1030=AO1030))&lt;$AK1030,1,0)</f>
        <v>74</v>
      </c>
      <c r="P1030" s="2" t="n">
        <f aca="false">AI1030+IF(SUMPRODUCT(--($AL1030:$AQ1030&gt;AP1030))+SUMPRODUCT(--($AL1030:AO1030=AP1030))&lt;$AK1030,1,0)</f>
        <v>80</v>
      </c>
      <c r="Q1030" s="2" t="n">
        <f aca="false">AJ1030+IF(SUMPRODUCT(--($AL1030:$AQ1030&gt;AQ1030))+SUMPRODUCT(--($AL1030:AP1030=AQ1030))&lt;$AK1030,1,0)</f>
        <v>100</v>
      </c>
      <c r="R1030" s="2" t="n">
        <f aca="false">SUM(L1030:Q1030)</f>
        <v>500</v>
      </c>
      <c r="S1030" s="2" t="n">
        <f aca="false">Settings!$B$4*MAX(INDEX(Bases!$M$2:$M$53,B1030),INDEX(Bases!$M$2:$M$53,C1030))+Settings!$B$5*MIN(INDEX(Bases!$M$2:$M$53,B1030),INDEX(Bases!$M$2:$M$53,C1030))</f>
        <v>66.3333333333333</v>
      </c>
      <c r="T1030" s="2" t="n">
        <f aca="false">Settings!$B$4*MAX(INDEX(Bases!$N$2:$N$53,B1030),INDEX(Bases!$N$2:$N$53,C1030))+Settings!$B$5*MIN(INDEX(Bases!$N$2:$N$53,B1030),INDEX(Bases!$N$2:$N$53,C1030))</f>
        <v>71.6666666666667</v>
      </c>
      <c r="U1030" s="2" t="n">
        <f aca="false">Settings!$B$4*MAX(INDEX(Bases!$O$2:$O$53,B1030),INDEX(Bases!$O$2:$O$53,C1030))+Settings!$B$5*MIN(INDEX(Bases!$O$2:$O$53,B1030),INDEX(Bases!$O$2:$O$53,C1030))</f>
        <v>63.6666666666667</v>
      </c>
      <c r="V1030" s="2" t="n">
        <f aca="false">Settings!$B$4*MAX(INDEX(Bases!$P$2:$P$53,B1030),INDEX(Bases!$P$2:$P$53,C1030))+Settings!$B$5*MIN(INDEX(Bases!$P$2:$P$53,B1030),INDEX(Bases!$P$2:$P$53,C1030))</f>
        <v>61</v>
      </c>
      <c r="W1030" s="2" t="n">
        <f aca="false">Settings!$B$4*MAX(INDEX(Bases!$Q$2:$Q$53,B1030),INDEX(Bases!$Q$2:$Q$53,C1030))+Settings!$B$5*MIN(INDEX(Bases!$Q$2:$Q$53,B1030),INDEX(Bases!$Q$2:$Q$53,C1030))</f>
        <v>65.6666666666667</v>
      </c>
      <c r="X1030" s="2" t="n">
        <f aca="false">Settings!$B$4*MAX(INDEX(Bases!$R$2:$R$53,B1030),INDEX(Bases!$R$2:$R$53,C1030))+Settings!$B$5*MIN(INDEX(Bases!$R$2:$R$53,B1030),INDEX(Bases!$R$2:$R$53,C1030))</f>
        <v>82</v>
      </c>
      <c r="Y1030" s="2" t="n">
        <f aca="false">S1030*Settings!$B$3/SUM(S1030:X1030)</f>
        <v>80.8285946385053</v>
      </c>
      <c r="Z1030" s="2" t="n">
        <f aca="false">T1030*Settings!$B$3/SUM(S1030:X1030)</f>
        <v>87.3273761169781</v>
      </c>
      <c r="AA1030" s="2" t="n">
        <f aca="false">U1030*Settings!$B$3/SUM(S1030:X1030)</f>
        <v>77.5792038992689</v>
      </c>
      <c r="AB1030" s="2" t="n">
        <f aca="false">V1030*Settings!$B$3/SUM(S1030:X1030)</f>
        <v>74.3298131600325</v>
      </c>
      <c r="AC1030" s="2" t="n">
        <f aca="false">W1030*Settings!$B$3/SUM(S1030:X1030)</f>
        <v>80.0162469536962</v>
      </c>
      <c r="AD1030" s="2" t="n">
        <f aca="false">X1030*Settings!$B$3/SUM(S1030:X1030)</f>
        <v>99.9187652315191</v>
      </c>
      <c r="AE1030" s="2" t="n">
        <f aca="false">INT(Y1030)</f>
        <v>80</v>
      </c>
      <c r="AF1030" s="2" t="n">
        <f aca="false">INT(Z1030)</f>
        <v>87</v>
      </c>
      <c r="AG1030" s="2" t="n">
        <f aca="false">INT(AA1030)</f>
        <v>77</v>
      </c>
      <c r="AH1030" s="2" t="n">
        <f aca="false">INT(AB1030)</f>
        <v>74</v>
      </c>
      <c r="AI1030" s="2" t="n">
        <f aca="false">INT(AC1030)</f>
        <v>80</v>
      </c>
      <c r="AJ1030" s="2" t="n">
        <f aca="false">INT(AD1030)</f>
        <v>99</v>
      </c>
      <c r="AK1030" s="2" t="n">
        <f aca="false">Settings!$B$3-SUM(AE1030:AJ1030)</f>
        <v>3</v>
      </c>
      <c r="AL1030" s="2" t="n">
        <f aca="false">ROUND(Y1030-AE1030,9)</f>
        <v>0.828594639</v>
      </c>
      <c r="AM1030" s="2" t="n">
        <f aca="false">ROUND(Z1030-AF1030,9)</f>
        <v>0.327376117</v>
      </c>
      <c r="AN1030" s="2" t="n">
        <f aca="false">ROUND(AA1030-AG1030,9)</f>
        <v>0.579203899</v>
      </c>
      <c r="AO1030" s="2" t="n">
        <f aca="false">ROUND(AB1030-AH1030,9)</f>
        <v>0.32981316</v>
      </c>
      <c r="AP1030" s="2" t="n">
        <f aca="false">ROUND(AC1030-AI1030,9)</f>
        <v>0.016246954</v>
      </c>
      <c r="AQ1030" s="2" t="n">
        <f aca="false">ROUND(AD1030-AJ1030,9)</f>
        <v>0.918765232</v>
      </c>
    </row>
    <row r="1031" customFormat="false" ht="15" hidden="false" customHeight="false" outlineLevel="0" collapsed="false">
      <c r="A1031" s="2" t="n">
        <v>1030</v>
      </c>
      <c r="B1031" s="6" t="n">
        <v>28</v>
      </c>
      <c r="C1031" s="6" t="n">
        <v>32</v>
      </c>
      <c r="D1031" s="8" t="str">
        <f aca="false">INDEX(Bases!$B$2:$B$53,B1031)</f>
        <v>Zubat</v>
      </c>
      <c r="E1031" s="8" t="str">
        <f aca="false">INDEX(Bases!$B$2:$B$53,C1031)</f>
        <v>Spoink</v>
      </c>
      <c r="F1031" s="2" t="str">
        <f aca="false">LEFT(D1031,ROUNDUP(LEN(D1031)/2,0))&amp;LOWER(MID(E1031,ROUNDUP(LEN(E1031)/2,0)+1,20))</f>
        <v>Zubink</v>
      </c>
      <c r="G1031" s="8" t="str">
        <f aca="false">INDEX(Bases!$C$2:$C$53,B1031)</f>
        <v>Flying</v>
      </c>
      <c r="H1031" s="8" t="str">
        <f aca="false">IF(INDEX(Bases!$C$2:$C$53,C1031)=G1031,"",INDEX(Bases!$C$2:$C$53,C1031))</f>
        <v>Psychic</v>
      </c>
      <c r="I1031" s="8" t="str">
        <f aca="false">IF(INDEX(Bases!$E$2:$E$53,B1031)="","",INDEX(Bases!$E$2:$E$53,B1031))</f>
        <v/>
      </c>
      <c r="J1031" s="8" t="str">
        <f aca="false">IF(INDEX(Bases!$E$2:$E$53,C1031)="","",INDEX(Bases!$E$2:$E$53,C1031))</f>
        <v/>
      </c>
      <c r="K1031" s="5"/>
      <c r="L1031" s="2" t="n">
        <f aca="false">AE1031+IF(SUMPRODUCT(--($AL1031:$AQ1031&gt;AL1031))&lt;$AK1031,1,0)</f>
        <v>83</v>
      </c>
      <c r="M1031" s="2" t="n">
        <f aca="false">AF1031+IF(SUMPRODUCT(--($AL1031:$AQ1031&gt;AM1031))+SUMPRODUCT(--($AL1031:AL1031=AM1031))&lt;$AK1031,1,0)</f>
        <v>70</v>
      </c>
      <c r="N1031" s="2" t="n">
        <f aca="false">AG1031+IF(SUMPRODUCT(--($AL1031:$AQ1031&gt;AN1031))+SUMPRODUCT(--($AL1031:AM1031=AN1031))&lt;$AK1031,1,0)</f>
        <v>61</v>
      </c>
      <c r="O1031" s="2" t="n">
        <f aca="false">AH1031+IF(SUMPRODUCT(--($AL1031:$AQ1031&gt;AO1031))+SUMPRODUCT(--($AL1031:AN1031=AO1031))&lt;$AK1031,1,0)</f>
        <v>86</v>
      </c>
      <c r="P1031" s="2" t="n">
        <f aca="false">AI1031+IF(SUMPRODUCT(--($AL1031:$AQ1031&gt;AP1031))+SUMPRODUCT(--($AL1031:AO1031=AP1031))&lt;$AK1031,1,0)</f>
        <v>101</v>
      </c>
      <c r="Q1031" s="2" t="n">
        <f aca="false">AJ1031+IF(SUMPRODUCT(--($AL1031:$AQ1031&gt;AQ1031))+SUMPRODUCT(--($AL1031:AP1031=AQ1031))&lt;$AK1031,1,0)</f>
        <v>99</v>
      </c>
      <c r="R1031" s="2" t="n">
        <f aca="false">SUM(L1031:Q1031)</f>
        <v>500</v>
      </c>
      <c r="S1031" s="2" t="n">
        <f aca="false">Settings!$B$4*MAX(INDEX(Bases!$M$2:$M$53,B1031),INDEX(Bases!$M$2:$M$53,C1031))+Settings!$B$5*MIN(INDEX(Bases!$M$2:$M$53,B1031),INDEX(Bases!$M$2:$M$53,C1031))</f>
        <v>70.3333333333333</v>
      </c>
      <c r="T1031" s="2" t="n">
        <f aca="false">Settings!$B$4*MAX(INDEX(Bases!$N$2:$N$53,B1031),INDEX(Bases!$N$2:$N$53,C1031))+Settings!$B$5*MIN(INDEX(Bases!$N$2:$N$53,B1031),INDEX(Bases!$N$2:$N$53,C1031))</f>
        <v>59.3333333333333</v>
      </c>
      <c r="U1031" s="2" t="n">
        <f aca="false">Settings!$B$4*MAX(INDEX(Bases!$O$2:$O$53,B1031),INDEX(Bases!$O$2:$O$53,C1031))+Settings!$B$5*MIN(INDEX(Bases!$O$2:$O$53,B1031),INDEX(Bases!$O$2:$O$53,C1031))</f>
        <v>52</v>
      </c>
      <c r="V1031" s="2" t="n">
        <f aca="false">Settings!$B$4*MAX(INDEX(Bases!$P$2:$P$53,B1031),INDEX(Bases!$P$2:$P$53,C1031))+Settings!$B$5*MIN(INDEX(Bases!$P$2:$P$53,B1031),INDEX(Bases!$P$2:$P$53,C1031))</f>
        <v>73</v>
      </c>
      <c r="W1031" s="2" t="n">
        <f aca="false">Settings!$B$4*MAX(INDEX(Bases!$Q$2:$Q$53,B1031),INDEX(Bases!$Q$2:$Q$53,C1031))+Settings!$B$5*MIN(INDEX(Bases!$Q$2:$Q$53,B1031),INDEX(Bases!$Q$2:$Q$53,C1031))</f>
        <v>86.3333333333333</v>
      </c>
      <c r="X1031" s="2" t="n">
        <f aca="false">Settings!$B$4*MAX(INDEX(Bases!$R$2:$R$53,B1031),INDEX(Bases!$R$2:$R$53,C1031))+Settings!$B$5*MIN(INDEX(Bases!$R$2:$R$53,B1031),INDEX(Bases!$R$2:$R$53,C1031))</f>
        <v>84.3333333333333</v>
      </c>
      <c r="Y1031" s="2" t="n">
        <f aca="false">S1031*Settings!$B$3/SUM(S1031:X1031)</f>
        <v>82.6802507836991</v>
      </c>
      <c r="Z1031" s="2" t="n">
        <f aca="false">T1031*Settings!$B$3/SUM(S1031:X1031)</f>
        <v>69.7492163009404</v>
      </c>
      <c r="AA1031" s="2" t="n">
        <f aca="false">U1031*Settings!$B$3/SUM(S1031:X1031)</f>
        <v>61.128526645768</v>
      </c>
      <c r="AB1031" s="2" t="n">
        <f aca="false">V1031*Settings!$B$3/SUM(S1031:X1031)</f>
        <v>85.8150470219436</v>
      </c>
      <c r="AC1031" s="2" t="n">
        <f aca="false">W1031*Settings!$B$3/SUM(S1031:X1031)</f>
        <v>101.489028213166</v>
      </c>
      <c r="AD1031" s="2" t="n">
        <f aca="false">X1031*Settings!$B$3/SUM(S1031:X1031)</f>
        <v>99.1379310344828</v>
      </c>
      <c r="AE1031" s="2" t="n">
        <f aca="false">INT(Y1031)</f>
        <v>82</v>
      </c>
      <c r="AF1031" s="2" t="n">
        <f aca="false">INT(Z1031)</f>
        <v>69</v>
      </c>
      <c r="AG1031" s="2" t="n">
        <f aca="false">INT(AA1031)</f>
        <v>61</v>
      </c>
      <c r="AH1031" s="2" t="n">
        <f aca="false">INT(AB1031)</f>
        <v>85</v>
      </c>
      <c r="AI1031" s="2" t="n">
        <f aca="false">INT(AC1031)</f>
        <v>101</v>
      </c>
      <c r="AJ1031" s="2" t="n">
        <f aca="false">INT(AD1031)</f>
        <v>99</v>
      </c>
      <c r="AK1031" s="2" t="n">
        <f aca="false">Settings!$B$3-SUM(AE1031:AJ1031)</f>
        <v>3</v>
      </c>
      <c r="AL1031" s="2" t="n">
        <f aca="false">ROUND(Y1031-AE1031,9)</f>
        <v>0.680250784</v>
      </c>
      <c r="AM1031" s="2" t="n">
        <f aca="false">ROUND(Z1031-AF1031,9)</f>
        <v>0.749216301</v>
      </c>
      <c r="AN1031" s="2" t="n">
        <f aca="false">ROUND(AA1031-AG1031,9)</f>
        <v>0.128526646</v>
      </c>
      <c r="AO1031" s="2" t="n">
        <f aca="false">ROUND(AB1031-AH1031,9)</f>
        <v>0.815047022</v>
      </c>
      <c r="AP1031" s="2" t="n">
        <f aca="false">ROUND(AC1031-AI1031,9)</f>
        <v>0.489028213</v>
      </c>
      <c r="AQ1031" s="2" t="n">
        <f aca="false">ROUND(AD1031-AJ1031,9)</f>
        <v>0.137931034</v>
      </c>
    </row>
    <row r="1032" customFormat="false" ht="15" hidden="false" customHeight="false" outlineLevel="0" collapsed="false">
      <c r="A1032" s="2" t="n">
        <v>1031</v>
      </c>
      <c r="B1032" s="6" t="n">
        <v>28</v>
      </c>
      <c r="C1032" s="6" t="n">
        <v>33</v>
      </c>
      <c r="D1032" s="8" t="str">
        <f aca="false">INDEX(Bases!$B$2:$B$53,B1032)</f>
        <v>Zubat</v>
      </c>
      <c r="E1032" s="8" t="str">
        <f aca="false">INDEX(Bases!$B$2:$B$53,C1032)</f>
        <v>Jirachi</v>
      </c>
      <c r="F1032" s="2" t="str">
        <f aca="false">LEFT(D1032,ROUNDUP(LEN(D1032)/2,0))&amp;LOWER(MID(E1032,ROUNDUP(LEN(E1032)/2,0)+1,20))</f>
        <v>Zubchi</v>
      </c>
      <c r="G1032" s="8" t="str">
        <f aca="false">INDEX(Bases!$C$2:$C$53,B1032)</f>
        <v>Flying</v>
      </c>
      <c r="H1032" s="8" t="str">
        <f aca="false">IF(INDEX(Bases!$C$2:$C$53,C1032)=G1032,"",INDEX(Bases!$C$2:$C$53,C1032))</f>
        <v>Psychic</v>
      </c>
      <c r="I1032" s="8" t="str">
        <f aca="false">IF(INDEX(Bases!$E$2:$E$53,B1032)="","",INDEX(Bases!$E$2:$E$53,B1032))</f>
        <v/>
      </c>
      <c r="J1032" s="8" t="str">
        <f aca="false">IF(INDEX(Bases!$E$2:$E$53,C1032)="","",INDEX(Bases!$E$2:$E$53,C1032))</f>
        <v/>
      </c>
      <c r="K1032" s="5"/>
      <c r="L1032" s="2" t="n">
        <f aca="false">AE1032+IF(SUMPRODUCT(--($AL1032:$AQ1032&gt;AL1032))&lt;$AK1032,1,0)</f>
        <v>81</v>
      </c>
      <c r="M1032" s="2" t="n">
        <f aca="false">AF1032+IF(SUMPRODUCT(--($AL1032:$AQ1032&gt;AM1032))+SUMPRODUCT(--($AL1032:AL1032=AM1032))&lt;$AK1032,1,0)</f>
        <v>87</v>
      </c>
      <c r="N1032" s="2" t="n">
        <f aca="false">AG1032+IF(SUMPRODUCT(--($AL1032:$AQ1032&gt;AN1032))+SUMPRODUCT(--($AL1032:AM1032=AN1032))&lt;$AK1032,1,0)</f>
        <v>78</v>
      </c>
      <c r="O1032" s="2" t="n">
        <f aca="false">AH1032+IF(SUMPRODUCT(--($AL1032:$AQ1032&gt;AO1032))+SUMPRODUCT(--($AL1032:AN1032=AO1032))&lt;$AK1032,1,0)</f>
        <v>74</v>
      </c>
      <c r="P1032" s="2" t="n">
        <f aca="false">AI1032+IF(SUMPRODUCT(--($AL1032:$AQ1032&gt;AP1032))+SUMPRODUCT(--($AL1032:AO1032=AP1032))&lt;$AK1032,1,0)</f>
        <v>80</v>
      </c>
      <c r="Q1032" s="2" t="n">
        <f aca="false">AJ1032+IF(SUMPRODUCT(--($AL1032:$AQ1032&gt;AQ1032))+SUMPRODUCT(--($AL1032:AP1032=AQ1032))&lt;$AK1032,1,0)</f>
        <v>100</v>
      </c>
      <c r="R1032" s="2" t="n">
        <f aca="false">SUM(L1032:Q1032)</f>
        <v>500</v>
      </c>
      <c r="S1032" s="2" t="n">
        <f aca="false">Settings!$B$4*MAX(INDEX(Bases!$M$2:$M$53,B1032),INDEX(Bases!$M$2:$M$53,C1032))+Settings!$B$5*MIN(INDEX(Bases!$M$2:$M$53,B1032),INDEX(Bases!$M$2:$M$53,C1032))</f>
        <v>66.3333333333333</v>
      </c>
      <c r="T1032" s="2" t="n">
        <f aca="false">Settings!$B$4*MAX(INDEX(Bases!$N$2:$N$53,B1032),INDEX(Bases!$N$2:$N$53,C1032))+Settings!$B$5*MIN(INDEX(Bases!$N$2:$N$53,B1032),INDEX(Bases!$N$2:$N$53,C1032))</f>
        <v>71.6666666666667</v>
      </c>
      <c r="U1032" s="2" t="n">
        <f aca="false">Settings!$B$4*MAX(INDEX(Bases!$O$2:$O$53,B1032),INDEX(Bases!$O$2:$O$53,C1032))+Settings!$B$5*MIN(INDEX(Bases!$O$2:$O$53,B1032),INDEX(Bases!$O$2:$O$53,C1032))</f>
        <v>63.6666666666667</v>
      </c>
      <c r="V1032" s="2" t="n">
        <f aca="false">Settings!$B$4*MAX(INDEX(Bases!$P$2:$P$53,B1032),INDEX(Bases!$P$2:$P$53,C1032))+Settings!$B$5*MIN(INDEX(Bases!$P$2:$P$53,B1032),INDEX(Bases!$P$2:$P$53,C1032))</f>
        <v>61</v>
      </c>
      <c r="W1032" s="2" t="n">
        <f aca="false">Settings!$B$4*MAX(INDEX(Bases!$Q$2:$Q$53,B1032),INDEX(Bases!$Q$2:$Q$53,C1032))+Settings!$B$5*MIN(INDEX(Bases!$Q$2:$Q$53,B1032),INDEX(Bases!$Q$2:$Q$53,C1032))</f>
        <v>65.6666666666667</v>
      </c>
      <c r="X1032" s="2" t="n">
        <f aca="false">Settings!$B$4*MAX(INDEX(Bases!$R$2:$R$53,B1032),INDEX(Bases!$R$2:$R$53,C1032))+Settings!$B$5*MIN(INDEX(Bases!$R$2:$R$53,B1032),INDEX(Bases!$R$2:$R$53,C1032))</f>
        <v>82</v>
      </c>
      <c r="Y1032" s="2" t="n">
        <f aca="false">S1032*Settings!$B$3/SUM(S1032:X1032)</f>
        <v>80.8285946385053</v>
      </c>
      <c r="Z1032" s="2" t="n">
        <f aca="false">T1032*Settings!$B$3/SUM(S1032:X1032)</f>
        <v>87.3273761169781</v>
      </c>
      <c r="AA1032" s="2" t="n">
        <f aca="false">U1032*Settings!$B$3/SUM(S1032:X1032)</f>
        <v>77.5792038992689</v>
      </c>
      <c r="AB1032" s="2" t="n">
        <f aca="false">V1032*Settings!$B$3/SUM(S1032:X1032)</f>
        <v>74.3298131600325</v>
      </c>
      <c r="AC1032" s="2" t="n">
        <f aca="false">W1032*Settings!$B$3/SUM(S1032:X1032)</f>
        <v>80.0162469536962</v>
      </c>
      <c r="AD1032" s="2" t="n">
        <f aca="false">X1032*Settings!$B$3/SUM(S1032:X1032)</f>
        <v>99.9187652315191</v>
      </c>
      <c r="AE1032" s="2" t="n">
        <f aca="false">INT(Y1032)</f>
        <v>80</v>
      </c>
      <c r="AF1032" s="2" t="n">
        <f aca="false">INT(Z1032)</f>
        <v>87</v>
      </c>
      <c r="AG1032" s="2" t="n">
        <f aca="false">INT(AA1032)</f>
        <v>77</v>
      </c>
      <c r="AH1032" s="2" t="n">
        <f aca="false">INT(AB1032)</f>
        <v>74</v>
      </c>
      <c r="AI1032" s="2" t="n">
        <f aca="false">INT(AC1032)</f>
        <v>80</v>
      </c>
      <c r="AJ1032" s="2" t="n">
        <f aca="false">INT(AD1032)</f>
        <v>99</v>
      </c>
      <c r="AK1032" s="2" t="n">
        <f aca="false">Settings!$B$3-SUM(AE1032:AJ1032)</f>
        <v>3</v>
      </c>
      <c r="AL1032" s="2" t="n">
        <f aca="false">ROUND(Y1032-AE1032,9)</f>
        <v>0.828594639</v>
      </c>
      <c r="AM1032" s="2" t="n">
        <f aca="false">ROUND(Z1032-AF1032,9)</f>
        <v>0.327376117</v>
      </c>
      <c r="AN1032" s="2" t="n">
        <f aca="false">ROUND(AA1032-AG1032,9)</f>
        <v>0.579203899</v>
      </c>
      <c r="AO1032" s="2" t="n">
        <f aca="false">ROUND(AB1032-AH1032,9)</f>
        <v>0.32981316</v>
      </c>
      <c r="AP1032" s="2" t="n">
        <f aca="false">ROUND(AC1032-AI1032,9)</f>
        <v>0.016246954</v>
      </c>
      <c r="AQ1032" s="2" t="n">
        <f aca="false">ROUND(AD1032-AJ1032,9)</f>
        <v>0.918765232</v>
      </c>
    </row>
    <row r="1033" customFormat="false" ht="15" hidden="false" customHeight="false" outlineLevel="0" collapsed="false">
      <c r="A1033" s="2" t="n">
        <v>1032</v>
      </c>
      <c r="B1033" s="6" t="n">
        <v>28</v>
      </c>
      <c r="C1033" s="6" t="n">
        <v>34</v>
      </c>
      <c r="D1033" s="8" t="str">
        <f aca="false">INDEX(Bases!$B$2:$B$53,B1033)</f>
        <v>Zubat</v>
      </c>
      <c r="E1033" s="8" t="str">
        <f aca="false">INDEX(Bases!$B$2:$B$53,C1033)</f>
        <v>Paras</v>
      </c>
      <c r="F1033" s="2" t="str">
        <f aca="false">LEFT(D1033,ROUNDUP(LEN(D1033)/2,0))&amp;LOWER(MID(E1033,ROUNDUP(LEN(E1033)/2,0)+1,20))</f>
        <v>Zubas</v>
      </c>
      <c r="G1033" s="8" t="str">
        <f aca="false">INDEX(Bases!$C$2:$C$53,B1033)</f>
        <v>Flying</v>
      </c>
      <c r="H1033" s="8" t="str">
        <f aca="false">IF(INDEX(Bases!$C$2:$C$53,C1033)=G1033,"",INDEX(Bases!$C$2:$C$53,C1033))</f>
        <v>Bug</v>
      </c>
      <c r="I1033" s="8" t="str">
        <f aca="false">IF(INDEX(Bases!$E$2:$E$53,B1033)="","",INDEX(Bases!$E$2:$E$53,B1033))</f>
        <v/>
      </c>
      <c r="J1033" s="8" t="str">
        <f aca="false">IF(INDEX(Bases!$E$2:$E$53,C1033)="","",INDEX(Bases!$E$2:$E$53,C1033))</f>
        <v/>
      </c>
      <c r="K1033" s="5"/>
      <c r="L1033" s="2" t="n">
        <f aca="false">AE1033+IF(SUMPRODUCT(--($AL1033:$AQ1033&gt;AL1033))&lt;$AK1033,1,0)</f>
        <v>70</v>
      </c>
      <c r="M1033" s="2" t="n">
        <f aca="false">AF1033+IF(SUMPRODUCT(--($AL1033:$AQ1033&gt;AM1033))+SUMPRODUCT(--($AL1033:AL1033=AM1033))&lt;$AK1033,1,0)</f>
        <v>107</v>
      </c>
      <c r="N1033" s="2" t="n">
        <f aca="false">AG1033+IF(SUMPRODUCT(--($AL1033:$AQ1033&gt;AN1033))+SUMPRODUCT(--($AL1033:AM1033=AN1033))&lt;$AK1033,1,0)</f>
        <v>83</v>
      </c>
      <c r="O1033" s="2" t="n">
        <f aca="false">AH1033+IF(SUMPRODUCT(--($AL1033:$AQ1033&gt;AO1033))+SUMPRODUCT(--($AL1033:AN1033=AO1033))&lt;$AK1033,1,0)</f>
        <v>69</v>
      </c>
      <c r="P1033" s="2" t="n">
        <f aca="false">AI1033+IF(SUMPRODUCT(--($AL1033:$AQ1033&gt;AP1033))+SUMPRODUCT(--($AL1033:AO1033=AP1033))&lt;$AK1033,1,0)</f>
        <v>86</v>
      </c>
      <c r="Q1033" s="2" t="n">
        <f aca="false">AJ1033+IF(SUMPRODUCT(--($AL1033:$AQ1033&gt;AQ1033))+SUMPRODUCT(--($AL1033:AP1033=AQ1033))&lt;$AK1033,1,0)</f>
        <v>85</v>
      </c>
      <c r="R1033" s="2" t="n">
        <f aca="false">SUM(L1033:Q1033)</f>
        <v>500</v>
      </c>
      <c r="S1033" s="2" t="n">
        <f aca="false">Settings!$B$4*MAX(INDEX(Bases!$M$2:$M$53,B1033),INDEX(Bases!$M$2:$M$53,C1033))+Settings!$B$5*MIN(INDEX(Bases!$M$2:$M$53,B1033),INDEX(Bases!$M$2:$M$53,C1033))</f>
        <v>59.6666666666667</v>
      </c>
      <c r="T1033" s="2" t="n">
        <f aca="false">Settings!$B$4*MAX(INDEX(Bases!$N$2:$N$53,B1033),INDEX(Bases!$N$2:$N$53,C1033))+Settings!$B$5*MIN(INDEX(Bases!$N$2:$N$53,B1033),INDEX(Bases!$N$2:$N$53,C1033))</f>
        <v>90.6666666666667</v>
      </c>
      <c r="U1033" s="2" t="n">
        <f aca="false">Settings!$B$4*MAX(INDEX(Bases!$O$2:$O$53,B1033),INDEX(Bases!$O$2:$O$53,C1033))+Settings!$B$5*MIN(INDEX(Bases!$O$2:$O$53,B1033),INDEX(Bases!$O$2:$O$53,C1033))</f>
        <v>70.3333333333333</v>
      </c>
      <c r="V1033" s="2" t="n">
        <f aca="false">Settings!$B$4*MAX(INDEX(Bases!$P$2:$P$53,B1033),INDEX(Bases!$P$2:$P$53,C1033))+Settings!$B$5*MIN(INDEX(Bases!$P$2:$P$53,B1033),INDEX(Bases!$P$2:$P$53,C1033))</f>
        <v>58.3333333333333</v>
      </c>
      <c r="W1033" s="2" t="n">
        <f aca="false">Settings!$B$4*MAX(INDEX(Bases!$Q$2:$Q$53,B1033),INDEX(Bases!$Q$2:$Q$53,C1033))+Settings!$B$5*MIN(INDEX(Bases!$Q$2:$Q$53,B1033),INDEX(Bases!$Q$2:$Q$53,C1033))</f>
        <v>73</v>
      </c>
      <c r="X1033" s="2" t="n">
        <f aca="false">Settings!$B$4*MAX(INDEX(Bases!$R$2:$R$53,B1033),INDEX(Bases!$R$2:$R$53,C1033))+Settings!$B$5*MIN(INDEX(Bases!$R$2:$R$53,B1033),INDEX(Bases!$R$2:$R$53,C1033))</f>
        <v>71.6666666666667</v>
      </c>
      <c r="Y1033" s="2" t="n">
        <f aca="false">S1033*Settings!$B$3/SUM(S1033:X1033)</f>
        <v>70.4169944925256</v>
      </c>
      <c r="Z1033" s="2" t="n">
        <f aca="false">T1033*Settings!$B$3/SUM(S1033:X1033)</f>
        <v>107.002360346184</v>
      </c>
      <c r="AA1033" s="2" t="n">
        <f aca="false">U1033*Settings!$B$3/SUM(S1033:X1033)</f>
        <v>83.0055074744296</v>
      </c>
      <c r="AB1033" s="2" t="n">
        <f aca="false">V1033*Settings!$B$3/SUM(S1033:X1033)</f>
        <v>68.8434303697876</v>
      </c>
      <c r="AC1033" s="2" t="n">
        <f aca="false">W1033*Settings!$B$3/SUM(S1033:X1033)</f>
        <v>86.1526357199056</v>
      </c>
      <c r="AD1033" s="2" t="n">
        <f aca="false">X1033*Settings!$B$3/SUM(S1033:X1033)</f>
        <v>84.5790715971676</v>
      </c>
      <c r="AE1033" s="2" t="n">
        <f aca="false">INT(Y1033)</f>
        <v>70</v>
      </c>
      <c r="AF1033" s="2" t="n">
        <f aca="false">INT(Z1033)</f>
        <v>107</v>
      </c>
      <c r="AG1033" s="2" t="n">
        <f aca="false">INT(AA1033)</f>
        <v>83</v>
      </c>
      <c r="AH1033" s="2" t="n">
        <f aca="false">INT(AB1033)</f>
        <v>68</v>
      </c>
      <c r="AI1033" s="2" t="n">
        <f aca="false">INT(AC1033)</f>
        <v>86</v>
      </c>
      <c r="AJ1033" s="2" t="n">
        <f aca="false">INT(AD1033)</f>
        <v>84</v>
      </c>
      <c r="AK1033" s="2" t="n">
        <f aca="false">Settings!$B$3-SUM(AE1033:AJ1033)</f>
        <v>2</v>
      </c>
      <c r="AL1033" s="2" t="n">
        <f aca="false">ROUND(Y1033-AE1033,9)</f>
        <v>0.416994493</v>
      </c>
      <c r="AM1033" s="2" t="n">
        <f aca="false">ROUND(Z1033-AF1033,9)</f>
        <v>0.002360346</v>
      </c>
      <c r="AN1033" s="2" t="n">
        <f aca="false">ROUND(AA1033-AG1033,9)</f>
        <v>0.005507474</v>
      </c>
      <c r="AO1033" s="2" t="n">
        <f aca="false">ROUND(AB1033-AH1033,9)</f>
        <v>0.84343037</v>
      </c>
      <c r="AP1033" s="2" t="n">
        <f aca="false">ROUND(AC1033-AI1033,9)</f>
        <v>0.15263572</v>
      </c>
      <c r="AQ1033" s="2" t="n">
        <f aca="false">ROUND(AD1033-AJ1033,9)</f>
        <v>0.579071597</v>
      </c>
    </row>
    <row r="1034" customFormat="false" ht="15" hidden="false" customHeight="false" outlineLevel="0" collapsed="false">
      <c r="A1034" s="2" t="n">
        <v>1033</v>
      </c>
      <c r="B1034" s="6" t="n">
        <v>28</v>
      </c>
      <c r="C1034" s="6" t="n">
        <v>35</v>
      </c>
      <c r="D1034" s="8" t="str">
        <f aca="false">INDEX(Bases!$B$2:$B$53,B1034)</f>
        <v>Zubat</v>
      </c>
      <c r="E1034" s="8" t="str">
        <f aca="false">INDEX(Bases!$B$2:$B$53,C1034)</f>
        <v>Pineco</v>
      </c>
      <c r="F1034" s="2" t="str">
        <f aca="false">LEFT(D1034,ROUNDUP(LEN(D1034)/2,0))&amp;LOWER(MID(E1034,ROUNDUP(LEN(E1034)/2,0)+1,20))</f>
        <v>Zubeco</v>
      </c>
      <c r="G1034" s="8" t="str">
        <f aca="false">INDEX(Bases!$C$2:$C$53,B1034)</f>
        <v>Flying</v>
      </c>
      <c r="H1034" s="8" t="str">
        <f aca="false">IF(INDEX(Bases!$C$2:$C$53,C1034)=G1034,"",INDEX(Bases!$C$2:$C$53,C1034))</f>
        <v>Bug</v>
      </c>
      <c r="I1034" s="8" t="str">
        <f aca="false">IF(INDEX(Bases!$E$2:$E$53,B1034)="","",INDEX(Bases!$E$2:$E$53,B1034))</f>
        <v/>
      </c>
      <c r="J1034" s="8" t="str">
        <f aca="false">IF(INDEX(Bases!$E$2:$E$53,C1034)="","",INDEX(Bases!$E$2:$E$53,C1034))</f>
        <v/>
      </c>
      <c r="K1034" s="5"/>
      <c r="L1034" s="2" t="n">
        <f aca="false">AE1034+IF(SUMPRODUCT(--($AL1034:$AQ1034&gt;AL1034))&lt;$AK1034,1,0)</f>
        <v>79</v>
      </c>
      <c r="M1034" s="2" t="n">
        <f aca="false">AF1034+IF(SUMPRODUCT(--($AL1034:$AQ1034&gt;AM1034))+SUMPRODUCT(--($AL1034:AL1034=AM1034))&lt;$AK1034,1,0)</f>
        <v>99</v>
      </c>
      <c r="N1034" s="2" t="n">
        <f aca="false">AG1034+IF(SUMPRODUCT(--($AL1034:$AQ1034&gt;AN1034))+SUMPRODUCT(--($AL1034:AM1034=AN1034))&lt;$AK1034,1,0)</f>
        <v>118</v>
      </c>
      <c r="O1034" s="2" t="n">
        <f aca="false">AH1034+IF(SUMPRODUCT(--($AL1034:$AQ1034&gt;AO1034))+SUMPRODUCT(--($AL1034:AN1034=AO1034))&lt;$AK1034,1,0)</f>
        <v>57</v>
      </c>
      <c r="P1034" s="2" t="n">
        <f aca="false">AI1034+IF(SUMPRODUCT(--($AL1034:$AQ1034&gt;AP1034))+SUMPRODUCT(--($AL1034:AO1034=AP1034))&lt;$AK1034,1,0)</f>
        <v>69</v>
      </c>
      <c r="Q1034" s="2" t="n">
        <f aca="false">AJ1034+IF(SUMPRODUCT(--($AL1034:$AQ1034&gt;AQ1034))+SUMPRODUCT(--($AL1034:AP1034=AQ1034))&lt;$AK1034,1,0)</f>
        <v>78</v>
      </c>
      <c r="R1034" s="2" t="n">
        <f aca="false">SUM(L1034:Q1034)</f>
        <v>500</v>
      </c>
      <c r="S1034" s="2" t="n">
        <f aca="false">Settings!$B$4*MAX(INDEX(Bases!$M$2:$M$53,B1034),INDEX(Bases!$M$2:$M$53,C1034))+Settings!$B$5*MIN(INDEX(Bases!$M$2:$M$53,B1034),INDEX(Bases!$M$2:$M$53,C1034))</f>
        <v>67.6666666666667</v>
      </c>
      <c r="T1034" s="2" t="n">
        <f aca="false">Settings!$B$4*MAX(INDEX(Bases!$N$2:$N$53,B1034),INDEX(Bases!$N$2:$N$53,C1034))+Settings!$B$5*MIN(INDEX(Bases!$N$2:$N$53,B1034),INDEX(Bases!$N$2:$N$53,C1034))</f>
        <v>84.6666666666667</v>
      </c>
      <c r="U1034" s="2" t="n">
        <f aca="false">Settings!$B$4*MAX(INDEX(Bases!$O$2:$O$53,B1034),INDEX(Bases!$O$2:$O$53,C1034))+Settings!$B$5*MIN(INDEX(Bases!$O$2:$O$53,B1034),INDEX(Bases!$O$2:$O$53,C1034))</f>
        <v>101.666666666667</v>
      </c>
      <c r="V1034" s="2" t="n">
        <f aca="false">Settings!$B$4*MAX(INDEX(Bases!$P$2:$P$53,B1034),INDEX(Bases!$P$2:$P$53,C1034))+Settings!$B$5*MIN(INDEX(Bases!$P$2:$P$53,B1034),INDEX(Bases!$P$2:$P$53,C1034))</f>
        <v>48.6666666666667</v>
      </c>
      <c r="W1034" s="2" t="n">
        <f aca="false">Settings!$B$4*MAX(INDEX(Bases!$Q$2:$Q$53,B1034),INDEX(Bases!$Q$2:$Q$53,C1034))+Settings!$B$5*MIN(INDEX(Bases!$Q$2:$Q$53,B1034),INDEX(Bases!$Q$2:$Q$53,C1034))</f>
        <v>59.3333333333333</v>
      </c>
      <c r="X1034" s="2" t="n">
        <f aca="false">Settings!$B$4*MAX(INDEX(Bases!$R$2:$R$53,B1034),INDEX(Bases!$R$2:$R$53,C1034))+Settings!$B$5*MIN(INDEX(Bases!$R$2:$R$53,B1034),INDEX(Bases!$R$2:$R$53,C1034))</f>
        <v>67</v>
      </c>
      <c r="Y1034" s="2" t="n">
        <f aca="false">S1034*Settings!$B$3/SUM(S1034:X1034)</f>
        <v>78.8655788655789</v>
      </c>
      <c r="Z1034" s="2" t="n">
        <f aca="false">T1034*Settings!$B$3/SUM(S1034:X1034)</f>
        <v>98.6790986790987</v>
      </c>
      <c r="AA1034" s="2" t="n">
        <f aca="false">U1034*Settings!$B$3/SUM(S1034:X1034)</f>
        <v>118.492618492618</v>
      </c>
      <c r="AB1034" s="2" t="n">
        <f aca="false">V1034*Settings!$B$3/SUM(S1034:X1034)</f>
        <v>56.7210567210567</v>
      </c>
      <c r="AC1034" s="2" t="n">
        <f aca="false">W1034*Settings!$B$3/SUM(S1034:X1034)</f>
        <v>69.1530691530692</v>
      </c>
      <c r="AD1034" s="2" t="n">
        <f aca="false">X1034*Settings!$B$3/SUM(S1034:X1034)</f>
        <v>78.0885780885781</v>
      </c>
      <c r="AE1034" s="2" t="n">
        <f aca="false">INT(Y1034)</f>
        <v>78</v>
      </c>
      <c r="AF1034" s="2" t="n">
        <f aca="false">INT(Z1034)</f>
        <v>98</v>
      </c>
      <c r="AG1034" s="2" t="n">
        <f aca="false">INT(AA1034)</f>
        <v>118</v>
      </c>
      <c r="AH1034" s="2" t="n">
        <f aca="false">INT(AB1034)</f>
        <v>56</v>
      </c>
      <c r="AI1034" s="2" t="n">
        <f aca="false">INT(AC1034)</f>
        <v>69</v>
      </c>
      <c r="AJ1034" s="2" t="n">
        <f aca="false">INT(AD1034)</f>
        <v>78</v>
      </c>
      <c r="AK1034" s="2" t="n">
        <f aca="false">Settings!$B$3-SUM(AE1034:AJ1034)</f>
        <v>3</v>
      </c>
      <c r="AL1034" s="2" t="n">
        <f aca="false">ROUND(Y1034-AE1034,9)</f>
        <v>0.865578866</v>
      </c>
      <c r="AM1034" s="2" t="n">
        <f aca="false">ROUND(Z1034-AF1034,9)</f>
        <v>0.679098679</v>
      </c>
      <c r="AN1034" s="2" t="n">
        <f aca="false">ROUND(AA1034-AG1034,9)</f>
        <v>0.492618493</v>
      </c>
      <c r="AO1034" s="2" t="n">
        <f aca="false">ROUND(AB1034-AH1034,9)</f>
        <v>0.721056721</v>
      </c>
      <c r="AP1034" s="2" t="n">
        <f aca="false">ROUND(AC1034-AI1034,9)</f>
        <v>0.153069153</v>
      </c>
      <c r="AQ1034" s="2" t="n">
        <f aca="false">ROUND(AD1034-AJ1034,9)</f>
        <v>0.088578089</v>
      </c>
    </row>
    <row r="1035" customFormat="false" ht="15" hidden="false" customHeight="false" outlineLevel="0" collapsed="false">
      <c r="A1035" s="2" t="n">
        <v>1034</v>
      </c>
      <c r="B1035" s="6" t="n">
        <v>28</v>
      </c>
      <c r="C1035" s="6" t="n">
        <v>36</v>
      </c>
      <c r="D1035" s="8" t="str">
        <f aca="false">INDEX(Bases!$B$2:$B$53,B1035)</f>
        <v>Zubat</v>
      </c>
      <c r="E1035" s="8" t="str">
        <f aca="false">INDEX(Bases!$B$2:$B$53,C1035)</f>
        <v>Wurmple</v>
      </c>
      <c r="F1035" s="2" t="str">
        <f aca="false">LEFT(D1035,ROUNDUP(LEN(D1035)/2,0))&amp;LOWER(MID(E1035,ROUNDUP(LEN(E1035)/2,0)+1,20))</f>
        <v>Zubple</v>
      </c>
      <c r="G1035" s="8" t="str">
        <f aca="false">INDEX(Bases!$C$2:$C$53,B1035)</f>
        <v>Flying</v>
      </c>
      <c r="H1035" s="8" t="str">
        <f aca="false">IF(INDEX(Bases!$C$2:$C$53,C1035)=G1035,"",INDEX(Bases!$C$2:$C$53,C1035))</f>
        <v>Bug</v>
      </c>
      <c r="I1035" s="8" t="str">
        <f aca="false">IF(INDEX(Bases!$E$2:$E$53,B1035)="","",INDEX(Bases!$E$2:$E$53,B1035))</f>
        <v/>
      </c>
      <c r="J1035" s="8" t="str">
        <f aca="false">IF(INDEX(Bases!$E$2:$E$53,C1035)="","",INDEX(Bases!$E$2:$E$53,C1035))</f>
        <v/>
      </c>
      <c r="K1035" s="5"/>
      <c r="L1035" s="2" t="n">
        <f aca="false">AE1035+IF(SUMPRODUCT(--($AL1035:$AQ1035&gt;AL1035))&lt;$AK1035,1,0)</f>
        <v>99</v>
      </c>
      <c r="M1035" s="2" t="n">
        <f aca="false">AF1035+IF(SUMPRODUCT(--($AL1035:$AQ1035&gt;AM1035))+SUMPRODUCT(--($AL1035:AL1035=AM1035))&lt;$AK1035,1,0)</f>
        <v>102</v>
      </c>
      <c r="N1035" s="2" t="n">
        <f aca="false">AG1035+IF(SUMPRODUCT(--($AL1035:$AQ1035&gt;AN1035))+SUMPRODUCT(--($AL1035:AM1035=AN1035))&lt;$AK1035,1,0)</f>
        <v>80</v>
      </c>
      <c r="O1035" s="2" t="n">
        <f aca="false">AH1035+IF(SUMPRODUCT(--($AL1035:$AQ1035&gt;AO1035))+SUMPRODUCT(--($AL1035:AN1035=AO1035))&lt;$AK1035,1,0)</f>
        <v>55</v>
      </c>
      <c r="P1035" s="2" t="n">
        <f aca="false">AI1035+IF(SUMPRODUCT(--($AL1035:$AQ1035&gt;AP1035))+SUMPRODUCT(--($AL1035:AO1035=AP1035))&lt;$AK1035,1,0)</f>
        <v>76</v>
      </c>
      <c r="Q1035" s="2" t="n">
        <f aca="false">AJ1035+IF(SUMPRODUCT(--($AL1035:$AQ1035&gt;AQ1035))+SUMPRODUCT(--($AL1035:AP1035=AQ1035))&lt;$AK1035,1,0)</f>
        <v>88</v>
      </c>
      <c r="R1035" s="2" t="n">
        <f aca="false">SUM(L1035:Q1035)</f>
        <v>500</v>
      </c>
      <c r="S1035" s="2" t="n">
        <f aca="false">Settings!$B$4*MAX(INDEX(Bases!$M$2:$M$53,B1035),INDEX(Bases!$M$2:$M$53,C1035))+Settings!$B$5*MIN(INDEX(Bases!$M$2:$M$53,B1035),INDEX(Bases!$M$2:$M$53,C1035))</f>
        <v>83</v>
      </c>
      <c r="T1035" s="2" t="n">
        <f aca="false">Settings!$B$4*MAX(INDEX(Bases!$N$2:$N$53,B1035),INDEX(Bases!$N$2:$N$53,C1035))+Settings!$B$5*MIN(INDEX(Bases!$N$2:$N$53,B1035),INDEX(Bases!$N$2:$N$53,C1035))</f>
        <v>86</v>
      </c>
      <c r="U1035" s="2" t="n">
        <f aca="false">Settings!$B$4*MAX(INDEX(Bases!$O$2:$O$53,B1035),INDEX(Bases!$O$2:$O$53,C1035))+Settings!$B$5*MIN(INDEX(Bases!$O$2:$O$53,B1035),INDEX(Bases!$O$2:$O$53,C1035))</f>
        <v>67</v>
      </c>
      <c r="V1035" s="2" t="n">
        <f aca="false">Settings!$B$4*MAX(INDEX(Bases!$P$2:$P$53,B1035),INDEX(Bases!$P$2:$P$53,C1035))+Settings!$B$5*MIN(INDEX(Bases!$P$2:$P$53,B1035),INDEX(Bases!$P$2:$P$53,C1035))</f>
        <v>46.3333333333333</v>
      </c>
      <c r="W1035" s="2" t="n">
        <f aca="false">Settings!$B$4*MAX(INDEX(Bases!$Q$2:$Q$53,B1035),INDEX(Bases!$Q$2:$Q$53,C1035))+Settings!$B$5*MIN(INDEX(Bases!$Q$2:$Q$53,B1035),INDEX(Bases!$Q$2:$Q$53,C1035))</f>
        <v>64</v>
      </c>
      <c r="X1035" s="2" t="n">
        <f aca="false">Settings!$B$4*MAX(INDEX(Bases!$R$2:$R$53,B1035),INDEX(Bases!$R$2:$R$53,C1035))+Settings!$B$5*MIN(INDEX(Bases!$R$2:$R$53,B1035),INDEX(Bases!$R$2:$R$53,C1035))</f>
        <v>73.6666666666667</v>
      </c>
      <c r="Y1035" s="2" t="n">
        <f aca="false">S1035*Settings!$B$3/SUM(S1035:X1035)</f>
        <v>98.8095238095238</v>
      </c>
      <c r="Z1035" s="2" t="n">
        <f aca="false">T1035*Settings!$B$3/SUM(S1035:X1035)</f>
        <v>102.380952380952</v>
      </c>
      <c r="AA1035" s="2" t="n">
        <f aca="false">U1035*Settings!$B$3/SUM(S1035:X1035)</f>
        <v>79.7619047619048</v>
      </c>
      <c r="AB1035" s="2" t="n">
        <f aca="false">V1035*Settings!$B$3/SUM(S1035:X1035)</f>
        <v>55.1587301587302</v>
      </c>
      <c r="AC1035" s="2" t="n">
        <f aca="false">W1035*Settings!$B$3/SUM(S1035:X1035)</f>
        <v>76.1904761904762</v>
      </c>
      <c r="AD1035" s="2" t="n">
        <f aca="false">X1035*Settings!$B$3/SUM(S1035:X1035)</f>
        <v>87.6984126984127</v>
      </c>
      <c r="AE1035" s="2" t="n">
        <f aca="false">INT(Y1035)</f>
        <v>98</v>
      </c>
      <c r="AF1035" s="2" t="n">
        <f aca="false">INT(Z1035)</f>
        <v>102</v>
      </c>
      <c r="AG1035" s="2" t="n">
        <f aca="false">INT(AA1035)</f>
        <v>79</v>
      </c>
      <c r="AH1035" s="2" t="n">
        <f aca="false">INT(AB1035)</f>
        <v>55</v>
      </c>
      <c r="AI1035" s="2" t="n">
        <f aca="false">INT(AC1035)</f>
        <v>76</v>
      </c>
      <c r="AJ1035" s="2" t="n">
        <f aca="false">INT(AD1035)</f>
        <v>87</v>
      </c>
      <c r="AK1035" s="2" t="n">
        <f aca="false">Settings!$B$3-SUM(AE1035:AJ1035)</f>
        <v>3</v>
      </c>
      <c r="AL1035" s="2" t="n">
        <f aca="false">ROUND(Y1035-AE1035,9)</f>
        <v>0.80952381</v>
      </c>
      <c r="AM1035" s="2" t="n">
        <f aca="false">ROUND(Z1035-AF1035,9)</f>
        <v>0.380952381</v>
      </c>
      <c r="AN1035" s="2" t="n">
        <f aca="false">ROUND(AA1035-AG1035,9)</f>
        <v>0.761904762</v>
      </c>
      <c r="AO1035" s="2" t="n">
        <f aca="false">ROUND(AB1035-AH1035,9)</f>
        <v>0.158730159</v>
      </c>
      <c r="AP1035" s="2" t="n">
        <f aca="false">ROUND(AC1035-AI1035,9)</f>
        <v>0.19047619</v>
      </c>
      <c r="AQ1035" s="2" t="n">
        <f aca="false">ROUND(AD1035-AJ1035,9)</f>
        <v>0.698412698</v>
      </c>
    </row>
    <row r="1036" customFormat="false" ht="15" hidden="false" customHeight="false" outlineLevel="0" collapsed="false">
      <c r="A1036" s="2" t="n">
        <v>1035</v>
      </c>
      <c r="B1036" s="6" t="n">
        <v>28</v>
      </c>
      <c r="C1036" s="6" t="n">
        <v>37</v>
      </c>
      <c r="D1036" s="8" t="str">
        <f aca="false">INDEX(Bases!$B$2:$B$53,B1036)</f>
        <v>Zubat</v>
      </c>
      <c r="E1036" s="8" t="str">
        <f aca="false">INDEX(Bases!$B$2:$B$53,C1036)</f>
        <v>Shuckle</v>
      </c>
      <c r="F1036" s="2" t="str">
        <f aca="false">LEFT(D1036,ROUNDUP(LEN(D1036)/2,0))&amp;LOWER(MID(E1036,ROUNDUP(LEN(E1036)/2,0)+1,20))</f>
        <v>Zubkle</v>
      </c>
      <c r="G1036" s="8" t="str">
        <f aca="false">INDEX(Bases!$C$2:$C$53,B1036)</f>
        <v>Flying</v>
      </c>
      <c r="H1036" s="8" t="str">
        <f aca="false">IF(INDEX(Bases!$C$2:$C$53,C1036)=G1036,"",INDEX(Bases!$C$2:$C$53,C1036))</f>
        <v>Rock</v>
      </c>
      <c r="I1036" s="8" t="str">
        <f aca="false">IF(INDEX(Bases!$E$2:$E$53,B1036)="","",INDEX(Bases!$E$2:$E$53,B1036))</f>
        <v/>
      </c>
      <c r="J1036" s="8" t="str">
        <f aca="false">IF(INDEX(Bases!$E$2:$E$53,C1036)="","",INDEX(Bases!$E$2:$E$53,C1036))</f>
        <v/>
      </c>
      <c r="K1036" s="5"/>
      <c r="L1036" s="2" t="n">
        <f aca="false">AE1036+IF(SUMPRODUCT(--($AL1036:$AQ1036&gt;AL1036))&lt;$AK1036,1,0)</f>
        <v>50</v>
      </c>
      <c r="M1036" s="2" t="n">
        <f aca="false">AF1036+IF(SUMPRODUCT(--($AL1036:$AQ1036&gt;AM1036))+SUMPRODUCT(--($AL1036:AL1036=AM1036))&lt;$AK1036,1,0)</f>
        <v>54</v>
      </c>
      <c r="N1036" s="2" t="n">
        <f aca="false">AG1036+IF(SUMPRODUCT(--($AL1036:$AQ1036&gt;AN1036))+SUMPRODUCT(--($AL1036:AM1036=AN1036))&lt;$AK1036,1,0)</f>
        <v>146</v>
      </c>
      <c r="O1036" s="2" t="n">
        <f aca="false">AH1036+IF(SUMPRODUCT(--($AL1036:$AQ1036&gt;AO1036))+SUMPRODUCT(--($AL1036:AN1036=AO1036))&lt;$AK1036,1,0)</f>
        <v>37</v>
      </c>
      <c r="P1036" s="2" t="n">
        <f aca="false">AI1036+IF(SUMPRODUCT(--($AL1036:$AQ1036&gt;AP1036))+SUMPRODUCT(--($AL1036:AO1036=AP1036))&lt;$AK1036,1,0)</f>
        <v>149</v>
      </c>
      <c r="Q1036" s="2" t="n">
        <f aca="false">AJ1036+IF(SUMPRODUCT(--($AL1036:$AQ1036&gt;AQ1036))+SUMPRODUCT(--($AL1036:AP1036=AQ1036))&lt;$AK1036,1,0)</f>
        <v>64</v>
      </c>
      <c r="R1036" s="2" t="n">
        <f aca="false">SUM(L1036:Q1036)</f>
        <v>500</v>
      </c>
      <c r="S1036" s="2" t="n">
        <f aca="false">Settings!$B$4*MAX(INDEX(Bases!$M$2:$M$53,B1036),INDEX(Bases!$M$2:$M$53,C1036))+Settings!$B$5*MIN(INDEX(Bases!$M$2:$M$53,B1036),INDEX(Bases!$M$2:$M$53,C1036))</f>
        <v>48.6666666666667</v>
      </c>
      <c r="T1036" s="2" t="n">
        <f aca="false">Settings!$B$4*MAX(INDEX(Bases!$N$2:$N$53,B1036),INDEX(Bases!$N$2:$N$53,C1036))+Settings!$B$5*MIN(INDEX(Bases!$N$2:$N$53,B1036),INDEX(Bases!$N$2:$N$53,C1036))</f>
        <v>52</v>
      </c>
      <c r="U1036" s="2" t="n">
        <f aca="false">Settings!$B$4*MAX(INDEX(Bases!$O$2:$O$53,B1036),INDEX(Bases!$O$2:$O$53,C1036))+Settings!$B$5*MIN(INDEX(Bases!$O$2:$O$53,B1036),INDEX(Bases!$O$2:$O$53,C1036))</f>
        <v>140.333333333333</v>
      </c>
      <c r="V1036" s="2" t="n">
        <f aca="false">Settings!$B$4*MAX(INDEX(Bases!$P$2:$P$53,B1036),INDEX(Bases!$P$2:$P$53,C1036))+Settings!$B$5*MIN(INDEX(Bases!$P$2:$P$53,B1036),INDEX(Bases!$P$2:$P$53,C1036))</f>
        <v>35.3333333333333</v>
      </c>
      <c r="W1036" s="2" t="n">
        <f aca="false">Settings!$B$4*MAX(INDEX(Bases!$Q$2:$Q$53,B1036),INDEX(Bases!$Q$2:$Q$53,C1036))+Settings!$B$5*MIN(INDEX(Bases!$Q$2:$Q$53,B1036),INDEX(Bases!$Q$2:$Q$53,C1036))</f>
        <v>143</v>
      </c>
      <c r="X1036" s="2" t="n">
        <f aca="false">Settings!$B$4*MAX(INDEX(Bases!$R$2:$R$53,B1036),INDEX(Bases!$R$2:$R$53,C1036))+Settings!$B$5*MIN(INDEX(Bases!$R$2:$R$53,B1036),INDEX(Bases!$R$2:$R$53,C1036))</f>
        <v>61.3333333333333</v>
      </c>
      <c r="Y1036" s="2" t="n">
        <f aca="false">S1036*Settings!$B$3/SUM(S1036:X1036)</f>
        <v>50.624133148405</v>
      </c>
      <c r="Z1036" s="2" t="n">
        <f aca="false">T1036*Settings!$B$3/SUM(S1036:X1036)</f>
        <v>54.0915395284327</v>
      </c>
      <c r="AA1036" s="2" t="n">
        <f aca="false">U1036*Settings!$B$3/SUM(S1036:X1036)</f>
        <v>145.977808599168</v>
      </c>
      <c r="AB1036" s="2" t="n">
        <f aca="false">V1036*Settings!$B$3/SUM(S1036:X1036)</f>
        <v>36.754507628294</v>
      </c>
      <c r="AC1036" s="2" t="n">
        <f aca="false">W1036*Settings!$B$3/SUM(S1036:X1036)</f>
        <v>148.75173370319</v>
      </c>
      <c r="AD1036" s="2" t="n">
        <f aca="false">X1036*Settings!$B$3/SUM(S1036:X1036)</f>
        <v>63.8002773925104</v>
      </c>
      <c r="AE1036" s="2" t="n">
        <f aca="false">INT(Y1036)</f>
        <v>50</v>
      </c>
      <c r="AF1036" s="2" t="n">
        <f aca="false">INT(Z1036)</f>
        <v>54</v>
      </c>
      <c r="AG1036" s="2" t="n">
        <f aca="false">INT(AA1036)</f>
        <v>145</v>
      </c>
      <c r="AH1036" s="2" t="n">
        <f aca="false">INT(AB1036)</f>
        <v>36</v>
      </c>
      <c r="AI1036" s="2" t="n">
        <f aca="false">INT(AC1036)</f>
        <v>148</v>
      </c>
      <c r="AJ1036" s="2" t="n">
        <f aca="false">INT(AD1036)</f>
        <v>63</v>
      </c>
      <c r="AK1036" s="2" t="n">
        <f aca="false">Settings!$B$3-SUM(AE1036:AJ1036)</f>
        <v>4</v>
      </c>
      <c r="AL1036" s="2" t="n">
        <f aca="false">ROUND(Y1036-AE1036,9)</f>
        <v>0.624133148</v>
      </c>
      <c r="AM1036" s="2" t="n">
        <f aca="false">ROUND(Z1036-AF1036,9)</f>
        <v>0.091539528</v>
      </c>
      <c r="AN1036" s="2" t="n">
        <f aca="false">ROUND(AA1036-AG1036,9)</f>
        <v>0.977808599</v>
      </c>
      <c r="AO1036" s="2" t="n">
        <f aca="false">ROUND(AB1036-AH1036,9)</f>
        <v>0.754507628</v>
      </c>
      <c r="AP1036" s="2" t="n">
        <f aca="false">ROUND(AC1036-AI1036,9)</f>
        <v>0.751733703</v>
      </c>
      <c r="AQ1036" s="2" t="n">
        <f aca="false">ROUND(AD1036-AJ1036,9)</f>
        <v>0.800277393</v>
      </c>
    </row>
    <row r="1037" customFormat="false" ht="15" hidden="false" customHeight="false" outlineLevel="0" collapsed="false">
      <c r="A1037" s="2" t="n">
        <v>1036</v>
      </c>
      <c r="B1037" s="6" t="n">
        <v>28</v>
      </c>
      <c r="C1037" s="6" t="n">
        <v>38</v>
      </c>
      <c r="D1037" s="8" t="str">
        <f aca="false">INDEX(Bases!$B$2:$B$53,B1037)</f>
        <v>Zubat</v>
      </c>
      <c r="E1037" s="8" t="str">
        <f aca="false">INDEX(Bases!$B$2:$B$53,C1037)</f>
        <v>Larvitar</v>
      </c>
      <c r="F1037" s="2" t="str">
        <f aca="false">LEFT(D1037,ROUNDUP(LEN(D1037)/2,0))&amp;LOWER(MID(E1037,ROUNDUP(LEN(E1037)/2,0)+1,20))</f>
        <v>Zubitar</v>
      </c>
      <c r="G1037" s="8" t="str">
        <f aca="false">INDEX(Bases!$C$2:$C$53,B1037)</f>
        <v>Flying</v>
      </c>
      <c r="H1037" s="8" t="str">
        <f aca="false">IF(INDEX(Bases!$C$2:$C$53,C1037)=G1037,"",INDEX(Bases!$C$2:$C$53,C1037))</f>
        <v>Rock</v>
      </c>
      <c r="I1037" s="8" t="str">
        <f aca="false">IF(INDEX(Bases!$E$2:$E$53,B1037)="","",INDEX(Bases!$E$2:$E$53,B1037))</f>
        <v/>
      </c>
      <c r="J1037" s="8" t="str">
        <f aca="false">IF(INDEX(Bases!$E$2:$E$53,C1037)="","",INDEX(Bases!$E$2:$E$53,C1037))</f>
        <v/>
      </c>
      <c r="K1037" s="5"/>
      <c r="L1037" s="2" t="n">
        <f aca="false">AE1037+IF(SUMPRODUCT(--($AL1037:$AQ1037&gt;AL1037))&lt;$AK1037,1,0)</f>
        <v>81</v>
      </c>
      <c r="M1037" s="2" t="n">
        <f aca="false">AF1037+IF(SUMPRODUCT(--($AL1037:$AQ1037&gt;AM1037))+SUMPRODUCT(--($AL1037:AL1037=AM1037))&lt;$AK1037,1,0)</f>
        <v>99</v>
      </c>
      <c r="N1037" s="2" t="n">
        <f aca="false">AG1037+IF(SUMPRODUCT(--($AL1037:$AQ1037&gt;AN1037))+SUMPRODUCT(--($AL1037:AM1037=AN1037))&lt;$AK1037,1,0)</f>
        <v>77</v>
      </c>
      <c r="O1037" s="2" t="n">
        <f aca="false">AH1037+IF(SUMPRODUCT(--($AL1037:$AQ1037&gt;AO1037))+SUMPRODUCT(--($AL1037:AN1037=AO1037))&lt;$AK1037,1,0)</f>
        <v>68</v>
      </c>
      <c r="P1037" s="2" t="n">
        <f aca="false">AI1037+IF(SUMPRODUCT(--($AL1037:$AQ1037&gt;AP1037))+SUMPRODUCT(--($AL1037:AO1037=AP1037))&lt;$AK1037,1,0)</f>
        <v>80</v>
      </c>
      <c r="Q1037" s="2" t="n">
        <f aca="false">AJ1037+IF(SUMPRODUCT(--($AL1037:$AQ1037&gt;AQ1037))+SUMPRODUCT(--($AL1037:AP1037=AQ1037))&lt;$AK1037,1,0)</f>
        <v>95</v>
      </c>
      <c r="R1037" s="2" t="n">
        <f aca="false">SUM(L1037:Q1037)</f>
        <v>500</v>
      </c>
      <c r="S1037" s="2" t="n">
        <f aca="false">Settings!$B$4*MAX(INDEX(Bases!$M$2:$M$53,B1037),INDEX(Bases!$M$2:$M$53,C1037))+Settings!$B$5*MIN(INDEX(Bases!$M$2:$M$53,B1037),INDEX(Bases!$M$2:$M$53,C1037))</f>
        <v>66.3333333333333</v>
      </c>
      <c r="T1037" s="2" t="n">
        <f aca="false">Settings!$B$4*MAX(INDEX(Bases!$N$2:$N$53,B1037),INDEX(Bases!$N$2:$N$53,C1037))+Settings!$B$5*MIN(INDEX(Bases!$N$2:$N$53,B1037),INDEX(Bases!$N$2:$N$53,C1037))</f>
        <v>81.3333333333333</v>
      </c>
      <c r="U1037" s="2" t="n">
        <f aca="false">Settings!$B$4*MAX(INDEX(Bases!$O$2:$O$53,B1037),INDEX(Bases!$O$2:$O$53,C1037))+Settings!$B$5*MIN(INDEX(Bases!$O$2:$O$53,B1037),INDEX(Bases!$O$2:$O$53,C1037))</f>
        <v>63.6666666666667</v>
      </c>
      <c r="V1037" s="2" t="n">
        <f aca="false">Settings!$B$4*MAX(INDEX(Bases!$P$2:$P$53,B1037),INDEX(Bases!$P$2:$P$53,C1037))+Settings!$B$5*MIN(INDEX(Bases!$P$2:$P$53,B1037),INDEX(Bases!$P$2:$P$53,C1037))</f>
        <v>56.3333333333333</v>
      </c>
      <c r="W1037" s="2" t="n">
        <f aca="false">Settings!$B$4*MAX(INDEX(Bases!$Q$2:$Q$53,B1037),INDEX(Bases!$Q$2:$Q$53,C1037))+Settings!$B$5*MIN(INDEX(Bases!$Q$2:$Q$53,B1037),INDEX(Bases!$Q$2:$Q$53,C1037))</f>
        <v>66.3333333333333</v>
      </c>
      <c r="X1037" s="2" t="n">
        <f aca="false">Settings!$B$4*MAX(INDEX(Bases!$R$2:$R$53,B1037),INDEX(Bases!$R$2:$R$53,C1037))+Settings!$B$5*MIN(INDEX(Bases!$R$2:$R$53,B1037),INDEX(Bases!$R$2:$R$53,C1037))</f>
        <v>78</v>
      </c>
      <c r="Y1037" s="2" t="n">
        <f aca="false">S1037*Settings!$B$3/SUM(S1037:X1037)</f>
        <v>80.5016181229773</v>
      </c>
      <c r="Z1037" s="2" t="n">
        <f aca="false">T1037*Settings!$B$3/SUM(S1037:X1037)</f>
        <v>98.705501618123</v>
      </c>
      <c r="AA1037" s="2" t="n">
        <f aca="false">U1037*Settings!$B$3/SUM(S1037:X1037)</f>
        <v>77.2653721682848</v>
      </c>
      <c r="AB1037" s="2" t="n">
        <f aca="false">V1037*Settings!$B$3/SUM(S1037:X1037)</f>
        <v>68.3656957928803</v>
      </c>
      <c r="AC1037" s="2" t="n">
        <f aca="false">W1037*Settings!$B$3/SUM(S1037:X1037)</f>
        <v>80.5016181229773</v>
      </c>
      <c r="AD1037" s="2" t="n">
        <f aca="false">X1037*Settings!$B$3/SUM(S1037:X1037)</f>
        <v>94.6601941747573</v>
      </c>
      <c r="AE1037" s="2" t="n">
        <f aca="false">INT(Y1037)</f>
        <v>80</v>
      </c>
      <c r="AF1037" s="2" t="n">
        <f aca="false">INT(Z1037)</f>
        <v>98</v>
      </c>
      <c r="AG1037" s="2" t="n">
        <f aca="false">INT(AA1037)</f>
        <v>77</v>
      </c>
      <c r="AH1037" s="2" t="n">
        <f aca="false">INT(AB1037)</f>
        <v>68</v>
      </c>
      <c r="AI1037" s="2" t="n">
        <f aca="false">INT(AC1037)</f>
        <v>80</v>
      </c>
      <c r="AJ1037" s="2" t="n">
        <f aca="false">INT(AD1037)</f>
        <v>94</v>
      </c>
      <c r="AK1037" s="2" t="n">
        <f aca="false">Settings!$B$3-SUM(AE1037:AJ1037)</f>
        <v>3</v>
      </c>
      <c r="AL1037" s="2" t="n">
        <f aca="false">ROUND(Y1037-AE1037,9)</f>
        <v>0.501618123</v>
      </c>
      <c r="AM1037" s="2" t="n">
        <f aca="false">ROUND(Z1037-AF1037,9)</f>
        <v>0.705501618</v>
      </c>
      <c r="AN1037" s="2" t="n">
        <f aca="false">ROUND(AA1037-AG1037,9)</f>
        <v>0.265372168</v>
      </c>
      <c r="AO1037" s="2" t="n">
        <f aca="false">ROUND(AB1037-AH1037,9)</f>
        <v>0.365695793</v>
      </c>
      <c r="AP1037" s="2" t="n">
        <f aca="false">ROUND(AC1037-AI1037,9)</f>
        <v>0.501618123</v>
      </c>
      <c r="AQ1037" s="2" t="n">
        <f aca="false">ROUND(AD1037-AJ1037,9)</f>
        <v>0.660194175</v>
      </c>
    </row>
    <row r="1038" customFormat="false" ht="15" hidden="false" customHeight="false" outlineLevel="0" collapsed="false">
      <c r="A1038" s="2" t="n">
        <v>1037</v>
      </c>
      <c r="B1038" s="6" t="n">
        <v>28</v>
      </c>
      <c r="C1038" s="6" t="n">
        <v>39</v>
      </c>
      <c r="D1038" s="8" t="str">
        <f aca="false">INDEX(Bases!$B$2:$B$53,B1038)</f>
        <v>Zubat</v>
      </c>
      <c r="E1038" s="8" t="str">
        <f aca="false">INDEX(Bases!$B$2:$B$53,C1038)</f>
        <v>Nosepass</v>
      </c>
      <c r="F1038" s="2" t="str">
        <f aca="false">LEFT(D1038,ROUNDUP(LEN(D1038)/2,0))&amp;LOWER(MID(E1038,ROUNDUP(LEN(E1038)/2,0)+1,20))</f>
        <v>Zubpass</v>
      </c>
      <c r="G1038" s="8" t="str">
        <f aca="false">INDEX(Bases!$C$2:$C$53,B1038)</f>
        <v>Flying</v>
      </c>
      <c r="H1038" s="8" t="str">
        <f aca="false">IF(INDEX(Bases!$C$2:$C$53,C1038)=G1038,"",INDEX(Bases!$C$2:$C$53,C1038))</f>
        <v>Rock</v>
      </c>
      <c r="I1038" s="8" t="str">
        <f aca="false">IF(INDEX(Bases!$E$2:$E$53,B1038)="","",INDEX(Bases!$E$2:$E$53,B1038))</f>
        <v/>
      </c>
      <c r="J1038" s="8" t="str">
        <f aca="false">IF(INDEX(Bases!$E$2:$E$53,C1038)="","",INDEX(Bases!$E$2:$E$53,C1038))</f>
        <v/>
      </c>
      <c r="K1038" s="5"/>
      <c r="L1038" s="2" t="n">
        <f aca="false">AE1038+IF(SUMPRODUCT(--($AL1038:$AQ1038&gt;AL1038))&lt;$AK1038,1,0)</f>
        <v>62</v>
      </c>
      <c r="M1038" s="2" t="n">
        <f aca="false">AF1038+IF(SUMPRODUCT(--($AL1038:$AQ1038&gt;AM1038))+SUMPRODUCT(--($AL1038:AL1038=AM1038))&lt;$AK1038,1,0)</f>
        <v>74</v>
      </c>
      <c r="N1038" s="2" t="n">
        <f aca="false">AG1038+IF(SUMPRODUCT(--($AL1038:$AQ1038&gt;AN1038))+SUMPRODUCT(--($AL1038:AM1038=AN1038))&lt;$AK1038,1,0)</f>
        <v>131</v>
      </c>
      <c r="O1038" s="2" t="n">
        <f aca="false">AH1038+IF(SUMPRODUCT(--($AL1038:$AQ1038&gt;AO1038))+SUMPRODUCT(--($AL1038:AN1038=AO1038))&lt;$AK1038,1,0)</f>
        <v>55</v>
      </c>
      <c r="P1038" s="2" t="n">
        <f aca="false">AI1038+IF(SUMPRODUCT(--($AL1038:$AQ1038&gt;AP1038))+SUMPRODUCT(--($AL1038:AO1038=AP1038))&lt;$AK1038,1,0)</f>
        <v>98</v>
      </c>
      <c r="Q1038" s="2" t="n">
        <f aca="false">AJ1038+IF(SUMPRODUCT(--($AL1038:$AQ1038&gt;AQ1038))+SUMPRODUCT(--($AL1038:AP1038=AQ1038))&lt;$AK1038,1,0)</f>
        <v>80</v>
      </c>
      <c r="R1038" s="2" t="n">
        <f aca="false">SUM(L1038:Q1038)</f>
        <v>500</v>
      </c>
      <c r="S1038" s="2" t="n">
        <f aca="false">Settings!$B$4*MAX(INDEX(Bases!$M$2:$M$53,B1038),INDEX(Bases!$M$2:$M$53,C1038))+Settings!$B$5*MIN(INDEX(Bases!$M$2:$M$53,B1038),INDEX(Bases!$M$2:$M$53,C1038))</f>
        <v>54</v>
      </c>
      <c r="T1038" s="2" t="n">
        <f aca="false">Settings!$B$4*MAX(INDEX(Bases!$N$2:$N$53,B1038),INDEX(Bases!$N$2:$N$53,C1038))+Settings!$B$5*MIN(INDEX(Bases!$N$2:$N$53,B1038),INDEX(Bases!$N$2:$N$53,C1038))</f>
        <v>65.3333333333333</v>
      </c>
      <c r="U1038" s="2" t="n">
        <f aca="false">Settings!$B$4*MAX(INDEX(Bases!$O$2:$O$53,B1038),INDEX(Bases!$O$2:$O$53,C1038))+Settings!$B$5*MIN(INDEX(Bases!$O$2:$O$53,B1038),INDEX(Bases!$O$2:$O$53,C1038))</f>
        <v>115</v>
      </c>
      <c r="V1038" s="2" t="n">
        <f aca="false">Settings!$B$4*MAX(INDEX(Bases!$P$2:$P$53,B1038),INDEX(Bases!$P$2:$P$53,C1038))+Settings!$B$5*MIN(INDEX(Bases!$P$2:$P$53,B1038),INDEX(Bases!$P$2:$P$53,C1038))</f>
        <v>48.6666666666667</v>
      </c>
      <c r="W1038" s="2" t="n">
        <f aca="false">Settings!$B$4*MAX(INDEX(Bases!$Q$2:$Q$53,B1038),INDEX(Bases!$Q$2:$Q$53,C1038))+Settings!$B$5*MIN(INDEX(Bases!$Q$2:$Q$53,B1038),INDEX(Bases!$Q$2:$Q$53,C1038))</f>
        <v>85.6666666666667</v>
      </c>
      <c r="X1038" s="2" t="n">
        <f aca="false">Settings!$B$4*MAX(INDEX(Bases!$R$2:$R$53,B1038),INDEX(Bases!$R$2:$R$53,C1038))+Settings!$B$5*MIN(INDEX(Bases!$R$2:$R$53,B1038),INDEX(Bases!$R$2:$R$53,C1038))</f>
        <v>70.6666666666667</v>
      </c>
      <c r="Y1038" s="2" t="n">
        <f aca="false">S1038*Settings!$B$3/SUM(S1038:X1038)</f>
        <v>61.4567526555387</v>
      </c>
      <c r="Z1038" s="2" t="n">
        <f aca="false">T1038*Settings!$B$3/SUM(S1038:X1038)</f>
        <v>74.3550834597876</v>
      </c>
      <c r="AA1038" s="2" t="n">
        <f aca="false">U1038*Settings!$B$3/SUM(S1038:X1038)</f>
        <v>130.880121396055</v>
      </c>
      <c r="AB1038" s="2" t="n">
        <f aca="false">V1038*Settings!$B$3/SUM(S1038:X1038)</f>
        <v>55.3869499241275</v>
      </c>
      <c r="AC1038" s="2" t="n">
        <f aca="false">W1038*Settings!$B$3/SUM(S1038:X1038)</f>
        <v>97.4962063732929</v>
      </c>
      <c r="AD1038" s="2" t="n">
        <f aca="false">X1038*Settings!$B$3/SUM(S1038:X1038)</f>
        <v>80.4248861911988</v>
      </c>
      <c r="AE1038" s="2" t="n">
        <f aca="false">INT(Y1038)</f>
        <v>61</v>
      </c>
      <c r="AF1038" s="2" t="n">
        <f aca="false">INT(Z1038)</f>
        <v>74</v>
      </c>
      <c r="AG1038" s="2" t="n">
        <f aca="false">INT(AA1038)</f>
        <v>130</v>
      </c>
      <c r="AH1038" s="2" t="n">
        <f aca="false">INT(AB1038)</f>
        <v>55</v>
      </c>
      <c r="AI1038" s="2" t="n">
        <f aca="false">INT(AC1038)</f>
        <v>97</v>
      </c>
      <c r="AJ1038" s="2" t="n">
        <f aca="false">INT(AD1038)</f>
        <v>80</v>
      </c>
      <c r="AK1038" s="2" t="n">
        <f aca="false">Settings!$B$3-SUM(AE1038:AJ1038)</f>
        <v>3</v>
      </c>
      <c r="AL1038" s="2" t="n">
        <f aca="false">ROUND(Y1038-AE1038,9)</f>
        <v>0.456752656</v>
      </c>
      <c r="AM1038" s="2" t="n">
        <f aca="false">ROUND(Z1038-AF1038,9)</f>
        <v>0.35508346</v>
      </c>
      <c r="AN1038" s="2" t="n">
        <f aca="false">ROUND(AA1038-AG1038,9)</f>
        <v>0.880121396</v>
      </c>
      <c r="AO1038" s="2" t="n">
        <f aca="false">ROUND(AB1038-AH1038,9)</f>
        <v>0.386949924</v>
      </c>
      <c r="AP1038" s="2" t="n">
        <f aca="false">ROUND(AC1038-AI1038,9)</f>
        <v>0.496206373</v>
      </c>
      <c r="AQ1038" s="2" t="n">
        <f aca="false">ROUND(AD1038-AJ1038,9)</f>
        <v>0.424886191</v>
      </c>
    </row>
    <row r="1039" customFormat="false" ht="15" hidden="false" customHeight="false" outlineLevel="0" collapsed="false">
      <c r="A1039" s="2" t="n">
        <v>1038</v>
      </c>
      <c r="B1039" s="6" t="n">
        <v>28</v>
      </c>
      <c r="C1039" s="6" t="n">
        <v>40</v>
      </c>
      <c r="D1039" s="8" t="str">
        <f aca="false">INDEX(Bases!$B$2:$B$53,B1039)</f>
        <v>Zubat</v>
      </c>
      <c r="E1039" s="8" t="str">
        <f aca="false">INDEX(Bases!$B$2:$B$53,C1039)</f>
        <v>Gastly</v>
      </c>
      <c r="F1039" s="2" t="str">
        <f aca="false">LEFT(D1039,ROUNDUP(LEN(D1039)/2,0))&amp;LOWER(MID(E1039,ROUNDUP(LEN(E1039)/2,0)+1,20))</f>
        <v>Zubtly</v>
      </c>
      <c r="G1039" s="8" t="str">
        <f aca="false">INDEX(Bases!$C$2:$C$53,B1039)</f>
        <v>Flying</v>
      </c>
      <c r="H1039" s="8" t="str">
        <f aca="false">IF(INDEX(Bases!$C$2:$C$53,C1039)=G1039,"",INDEX(Bases!$C$2:$C$53,C1039))</f>
        <v>Ghost</v>
      </c>
      <c r="I1039" s="8" t="str">
        <f aca="false">IF(INDEX(Bases!$E$2:$E$53,B1039)="","",INDEX(Bases!$E$2:$E$53,B1039))</f>
        <v/>
      </c>
      <c r="J1039" s="8" t="str">
        <f aca="false">IF(INDEX(Bases!$E$2:$E$53,C1039)="","",INDEX(Bases!$E$2:$E$53,C1039))</f>
        <v/>
      </c>
      <c r="K1039" s="5"/>
      <c r="L1039" s="2" t="n">
        <f aca="false">AE1039+IF(SUMPRODUCT(--($AL1039:$AQ1039&gt;AL1039))&lt;$AK1039,1,0)</f>
        <v>65</v>
      </c>
      <c r="M1039" s="2" t="n">
        <f aca="false">AF1039+IF(SUMPRODUCT(--($AL1039:$AQ1039&gt;AM1039))+SUMPRODUCT(--($AL1039:AL1039=AM1039))&lt;$AK1039,1,0)</f>
        <v>75</v>
      </c>
      <c r="N1039" s="2" t="n">
        <f aca="false">AG1039+IF(SUMPRODUCT(--($AL1039:$AQ1039&gt;AN1039))+SUMPRODUCT(--($AL1039:AM1039=AN1039))&lt;$AK1039,1,0)</f>
        <v>59</v>
      </c>
      <c r="O1039" s="2" t="n">
        <f aca="false">AH1039+IF(SUMPRODUCT(--($AL1039:$AQ1039&gt;AO1039))+SUMPRODUCT(--($AL1039:AN1039=AO1039))&lt;$AK1039,1,0)</f>
        <v>119</v>
      </c>
      <c r="P1039" s="2" t="n">
        <f aca="false">AI1039+IF(SUMPRODUCT(--($AL1039:$AQ1039&gt;AP1039))+SUMPRODUCT(--($AL1039:AO1039=AP1039))&lt;$AK1039,1,0)</f>
        <v>68</v>
      </c>
      <c r="Q1039" s="2" t="n">
        <f aca="false">AJ1039+IF(SUMPRODUCT(--($AL1039:$AQ1039&gt;AQ1039))+SUMPRODUCT(--($AL1039:AP1039=AQ1039))&lt;$AK1039,1,0)</f>
        <v>114</v>
      </c>
      <c r="R1039" s="2" t="n">
        <f aca="false">SUM(L1039:Q1039)</f>
        <v>500</v>
      </c>
      <c r="S1039" s="2" t="n">
        <f aca="false">Settings!$B$4*MAX(INDEX(Bases!$M$2:$M$53,B1039),INDEX(Bases!$M$2:$M$53,C1039))+Settings!$B$5*MIN(INDEX(Bases!$M$2:$M$53,B1039),INDEX(Bases!$M$2:$M$53,C1039))</f>
        <v>56.3333333333333</v>
      </c>
      <c r="T1039" s="2" t="n">
        <f aca="false">Settings!$B$4*MAX(INDEX(Bases!$N$2:$N$53,B1039),INDEX(Bases!$N$2:$N$53,C1039))+Settings!$B$5*MIN(INDEX(Bases!$N$2:$N$53,B1039),INDEX(Bases!$N$2:$N$53,C1039))</f>
        <v>64.3333333333333</v>
      </c>
      <c r="U1039" s="2" t="n">
        <f aca="false">Settings!$B$4*MAX(INDEX(Bases!$O$2:$O$53,B1039),INDEX(Bases!$O$2:$O$53,C1039))+Settings!$B$5*MIN(INDEX(Bases!$O$2:$O$53,B1039),INDEX(Bases!$O$2:$O$53,C1039))</f>
        <v>51</v>
      </c>
      <c r="V1039" s="2" t="n">
        <f aca="false">Settings!$B$4*MAX(INDEX(Bases!$P$2:$P$53,B1039),INDEX(Bases!$P$2:$P$53,C1039))+Settings!$B$5*MIN(INDEX(Bases!$P$2:$P$53,B1039),INDEX(Bases!$P$2:$P$53,C1039))</f>
        <v>102.333333333333</v>
      </c>
      <c r="W1039" s="2" t="n">
        <f aca="false">Settings!$B$4*MAX(INDEX(Bases!$Q$2:$Q$53,B1039),INDEX(Bases!$Q$2:$Q$53,C1039))+Settings!$B$5*MIN(INDEX(Bases!$Q$2:$Q$53,B1039),INDEX(Bases!$Q$2:$Q$53,C1039))</f>
        <v>58.3333333333333</v>
      </c>
      <c r="X1039" s="2" t="n">
        <f aca="false">Settings!$B$4*MAX(INDEX(Bases!$R$2:$R$53,B1039),INDEX(Bases!$R$2:$R$53,C1039))+Settings!$B$5*MIN(INDEX(Bases!$R$2:$R$53,B1039),INDEX(Bases!$R$2:$R$53,C1039))</f>
        <v>98.6666666666667</v>
      </c>
      <c r="Y1039" s="2" t="n">
        <f aca="false">S1039*Settings!$B$3/SUM(S1039:X1039)</f>
        <v>65.3518948182521</v>
      </c>
      <c r="Z1039" s="2" t="n">
        <f aca="false">T1039*Settings!$B$3/SUM(S1039:X1039)</f>
        <v>74.6326372776489</v>
      </c>
      <c r="AA1039" s="2" t="n">
        <f aca="false">U1039*Settings!$B$3/SUM(S1039:X1039)</f>
        <v>59.1647331786543</v>
      </c>
      <c r="AB1039" s="2" t="n">
        <f aca="false">V1039*Settings!$B$3/SUM(S1039:X1039)</f>
        <v>118.716163959783</v>
      </c>
      <c r="AC1039" s="2" t="n">
        <f aca="false">W1039*Settings!$B$3/SUM(S1039:X1039)</f>
        <v>67.6720804331013</v>
      </c>
      <c r="AD1039" s="2" t="n">
        <f aca="false">X1039*Settings!$B$3/SUM(S1039:X1039)</f>
        <v>114.46249033256</v>
      </c>
      <c r="AE1039" s="2" t="n">
        <f aca="false">INT(Y1039)</f>
        <v>65</v>
      </c>
      <c r="AF1039" s="2" t="n">
        <f aca="false">INT(Z1039)</f>
        <v>74</v>
      </c>
      <c r="AG1039" s="2" t="n">
        <f aca="false">INT(AA1039)</f>
        <v>59</v>
      </c>
      <c r="AH1039" s="2" t="n">
        <f aca="false">INT(AB1039)</f>
        <v>118</v>
      </c>
      <c r="AI1039" s="2" t="n">
        <f aca="false">INT(AC1039)</f>
        <v>67</v>
      </c>
      <c r="AJ1039" s="2" t="n">
        <f aca="false">INT(AD1039)</f>
        <v>114</v>
      </c>
      <c r="AK1039" s="2" t="n">
        <f aca="false">Settings!$B$3-SUM(AE1039:AJ1039)</f>
        <v>3</v>
      </c>
      <c r="AL1039" s="2" t="n">
        <f aca="false">ROUND(Y1039-AE1039,9)</f>
        <v>0.351894818</v>
      </c>
      <c r="AM1039" s="2" t="n">
        <f aca="false">ROUND(Z1039-AF1039,9)</f>
        <v>0.632637278</v>
      </c>
      <c r="AN1039" s="2" t="n">
        <f aca="false">ROUND(AA1039-AG1039,9)</f>
        <v>0.164733179</v>
      </c>
      <c r="AO1039" s="2" t="n">
        <f aca="false">ROUND(AB1039-AH1039,9)</f>
        <v>0.71616396</v>
      </c>
      <c r="AP1039" s="2" t="n">
        <f aca="false">ROUND(AC1039-AI1039,9)</f>
        <v>0.672080433</v>
      </c>
      <c r="AQ1039" s="2" t="n">
        <f aca="false">ROUND(AD1039-AJ1039,9)</f>
        <v>0.462490333</v>
      </c>
    </row>
    <row r="1040" customFormat="false" ht="15" hidden="false" customHeight="false" outlineLevel="0" collapsed="false">
      <c r="A1040" s="2" t="n">
        <v>1039</v>
      </c>
      <c r="B1040" s="6" t="n">
        <v>28</v>
      </c>
      <c r="C1040" s="6" t="n">
        <v>41</v>
      </c>
      <c r="D1040" s="8" t="str">
        <f aca="false">INDEX(Bases!$B$2:$B$53,B1040)</f>
        <v>Zubat</v>
      </c>
      <c r="E1040" s="8" t="str">
        <f aca="false">INDEX(Bases!$B$2:$B$53,C1040)</f>
        <v>Misdreavus</v>
      </c>
      <c r="F1040" s="2" t="str">
        <f aca="false">LEFT(D1040,ROUNDUP(LEN(D1040)/2,0))&amp;LOWER(MID(E1040,ROUNDUP(LEN(E1040)/2,0)+1,20))</f>
        <v>Zubeavus</v>
      </c>
      <c r="G1040" s="8" t="str">
        <f aca="false">INDEX(Bases!$C$2:$C$53,B1040)</f>
        <v>Flying</v>
      </c>
      <c r="H1040" s="8" t="str">
        <f aca="false">IF(INDEX(Bases!$C$2:$C$53,C1040)=G1040,"",INDEX(Bases!$C$2:$C$53,C1040))</f>
        <v>Ghost</v>
      </c>
      <c r="I1040" s="8" t="str">
        <f aca="false">IF(INDEX(Bases!$E$2:$E$53,B1040)="","",INDEX(Bases!$E$2:$E$53,B1040))</f>
        <v/>
      </c>
      <c r="J1040" s="8" t="str">
        <f aca="false">IF(INDEX(Bases!$E$2:$E$53,C1040)="","",INDEX(Bases!$E$2:$E$53,C1040))</f>
        <v/>
      </c>
      <c r="K1040" s="5"/>
      <c r="L1040" s="2" t="n">
        <f aca="false">AE1040+IF(SUMPRODUCT(--($AL1040:$AQ1040&gt;AL1040))&lt;$AK1040,1,0)</f>
        <v>75</v>
      </c>
      <c r="M1040" s="2" t="n">
        <f aca="false">AF1040+IF(SUMPRODUCT(--($AL1040:$AQ1040&gt;AM1040))+SUMPRODUCT(--($AL1040:AL1040=AM1040))&lt;$AK1040,1,0)</f>
        <v>82</v>
      </c>
      <c r="N1040" s="2" t="n">
        <f aca="false">AG1040+IF(SUMPRODUCT(--($AL1040:$AQ1040&gt;AN1040))+SUMPRODUCT(--($AL1040:AM1040=AN1040))&lt;$AK1040,1,0)</f>
        <v>68</v>
      </c>
      <c r="O1040" s="2" t="n">
        <f aca="false">AH1040+IF(SUMPRODUCT(--($AL1040:$AQ1040&gt;AO1040))+SUMPRODUCT(--($AL1040:AN1040=AO1040))&lt;$AK1040,1,0)</f>
        <v>82</v>
      </c>
      <c r="P1040" s="2" t="n">
        <f aca="false">AI1040+IF(SUMPRODUCT(--($AL1040:$AQ1040&gt;AP1040))+SUMPRODUCT(--($AL1040:AO1040=AP1040))&lt;$AK1040,1,0)</f>
        <v>89</v>
      </c>
      <c r="Q1040" s="2" t="n">
        <f aca="false">AJ1040+IF(SUMPRODUCT(--($AL1040:$AQ1040&gt;AQ1040))+SUMPRODUCT(--($AL1040:AP1040=AQ1040))&lt;$AK1040,1,0)</f>
        <v>104</v>
      </c>
      <c r="R1040" s="2" t="n">
        <f aca="false">SUM(L1040:Q1040)</f>
        <v>500</v>
      </c>
      <c r="S1040" s="2" t="n">
        <f aca="false">Settings!$B$4*MAX(INDEX(Bases!$M$2:$M$53,B1040),INDEX(Bases!$M$2:$M$53,C1040))+Settings!$B$5*MIN(INDEX(Bases!$M$2:$M$53,B1040),INDEX(Bases!$M$2:$M$53,C1040))</f>
        <v>62</v>
      </c>
      <c r="T1040" s="2" t="n">
        <f aca="false">Settings!$B$4*MAX(INDEX(Bases!$N$2:$N$53,B1040),INDEX(Bases!$N$2:$N$53,C1040))+Settings!$B$5*MIN(INDEX(Bases!$N$2:$N$53,B1040),INDEX(Bases!$N$2:$N$53,C1040))</f>
        <v>67.6666666666667</v>
      </c>
      <c r="U1040" s="2" t="n">
        <f aca="false">Settings!$B$4*MAX(INDEX(Bases!$O$2:$O$53,B1040),INDEX(Bases!$O$2:$O$53,C1040))+Settings!$B$5*MIN(INDEX(Bases!$O$2:$O$53,B1040),INDEX(Bases!$O$2:$O$53,C1040))</f>
        <v>56.3333333333333</v>
      </c>
      <c r="V1040" s="2" t="n">
        <f aca="false">Settings!$B$4*MAX(INDEX(Bases!$P$2:$P$53,B1040),INDEX(Bases!$P$2:$P$53,C1040))+Settings!$B$5*MIN(INDEX(Bases!$P$2:$P$53,B1040),INDEX(Bases!$P$2:$P$53,C1040))</f>
        <v>68.3333333333333</v>
      </c>
      <c r="W1040" s="2" t="n">
        <f aca="false">Settings!$B$4*MAX(INDEX(Bases!$Q$2:$Q$53,B1040),INDEX(Bases!$Q$2:$Q$53,C1040))+Settings!$B$5*MIN(INDEX(Bases!$Q$2:$Q$53,B1040),INDEX(Bases!$Q$2:$Q$53,C1040))</f>
        <v>73.6666666666667</v>
      </c>
      <c r="X1040" s="2" t="n">
        <f aca="false">Settings!$B$4*MAX(INDEX(Bases!$R$2:$R$53,B1040),INDEX(Bases!$R$2:$R$53,C1040))+Settings!$B$5*MIN(INDEX(Bases!$R$2:$R$53,B1040),INDEX(Bases!$R$2:$R$53,C1040))</f>
        <v>86</v>
      </c>
      <c r="Y1040" s="2" t="n">
        <f aca="false">S1040*Settings!$B$3/SUM(S1040:X1040)</f>
        <v>74.8792270531401</v>
      </c>
      <c r="Z1040" s="2" t="n">
        <f aca="false">T1040*Settings!$B$3/SUM(S1040:X1040)</f>
        <v>81.7230273752013</v>
      </c>
      <c r="AA1040" s="2" t="n">
        <f aca="false">U1040*Settings!$B$3/SUM(S1040:X1040)</f>
        <v>68.0354267310789</v>
      </c>
      <c r="AB1040" s="2" t="n">
        <f aca="false">V1040*Settings!$B$3/SUM(S1040:X1040)</f>
        <v>82.5281803542673</v>
      </c>
      <c r="AC1040" s="2" t="n">
        <f aca="false">W1040*Settings!$B$3/SUM(S1040:X1040)</f>
        <v>88.9694041867955</v>
      </c>
      <c r="AD1040" s="2" t="n">
        <f aca="false">X1040*Settings!$B$3/SUM(S1040:X1040)</f>
        <v>103.864734299517</v>
      </c>
      <c r="AE1040" s="2" t="n">
        <f aca="false">INT(Y1040)</f>
        <v>74</v>
      </c>
      <c r="AF1040" s="2" t="n">
        <f aca="false">INT(Z1040)</f>
        <v>81</v>
      </c>
      <c r="AG1040" s="2" t="n">
        <f aca="false">INT(AA1040)</f>
        <v>68</v>
      </c>
      <c r="AH1040" s="2" t="n">
        <f aca="false">INT(AB1040)</f>
        <v>82</v>
      </c>
      <c r="AI1040" s="2" t="n">
        <f aca="false">INT(AC1040)</f>
        <v>88</v>
      </c>
      <c r="AJ1040" s="2" t="n">
        <f aca="false">INT(AD1040)</f>
        <v>103</v>
      </c>
      <c r="AK1040" s="2" t="n">
        <f aca="false">Settings!$B$3-SUM(AE1040:AJ1040)</f>
        <v>4</v>
      </c>
      <c r="AL1040" s="2" t="n">
        <f aca="false">ROUND(Y1040-AE1040,9)</f>
        <v>0.879227053</v>
      </c>
      <c r="AM1040" s="2" t="n">
        <f aca="false">ROUND(Z1040-AF1040,9)</f>
        <v>0.723027375</v>
      </c>
      <c r="AN1040" s="2" t="n">
        <f aca="false">ROUND(AA1040-AG1040,9)</f>
        <v>0.035426731</v>
      </c>
      <c r="AO1040" s="2" t="n">
        <f aca="false">ROUND(AB1040-AH1040,9)</f>
        <v>0.528180354</v>
      </c>
      <c r="AP1040" s="2" t="n">
        <f aca="false">ROUND(AC1040-AI1040,9)</f>
        <v>0.969404187</v>
      </c>
      <c r="AQ1040" s="2" t="n">
        <f aca="false">ROUND(AD1040-AJ1040,9)</f>
        <v>0.8647343</v>
      </c>
    </row>
    <row r="1041" customFormat="false" ht="15" hidden="false" customHeight="false" outlineLevel="0" collapsed="false">
      <c r="A1041" s="2" t="n">
        <v>1040</v>
      </c>
      <c r="B1041" s="6" t="n">
        <v>28</v>
      </c>
      <c r="C1041" s="6" t="n">
        <v>42</v>
      </c>
      <c r="D1041" s="8" t="str">
        <f aca="false">INDEX(Bases!$B$2:$B$53,B1041)</f>
        <v>Zubat</v>
      </c>
      <c r="E1041" s="8" t="str">
        <f aca="false">INDEX(Bases!$B$2:$B$53,C1041)</f>
        <v>Sableye</v>
      </c>
      <c r="F1041" s="2" t="str">
        <f aca="false">LEFT(D1041,ROUNDUP(LEN(D1041)/2,0))&amp;LOWER(MID(E1041,ROUNDUP(LEN(E1041)/2,0)+1,20))</f>
        <v>Zubeye</v>
      </c>
      <c r="G1041" s="8" t="str">
        <f aca="false">INDEX(Bases!$C$2:$C$53,B1041)</f>
        <v>Flying</v>
      </c>
      <c r="H1041" s="8" t="str">
        <f aca="false">IF(INDEX(Bases!$C$2:$C$53,C1041)=G1041,"",INDEX(Bases!$C$2:$C$53,C1041))</f>
        <v>Ghost</v>
      </c>
      <c r="I1041" s="8" t="str">
        <f aca="false">IF(INDEX(Bases!$E$2:$E$53,B1041)="","",INDEX(Bases!$E$2:$E$53,B1041))</f>
        <v/>
      </c>
      <c r="J1041" s="8" t="str">
        <f aca="false">IF(INDEX(Bases!$E$2:$E$53,C1041)="","",INDEX(Bases!$E$2:$E$53,C1041))</f>
        <v/>
      </c>
      <c r="K1041" s="5"/>
      <c r="L1041" s="2" t="n">
        <f aca="false">AE1041+IF(SUMPRODUCT(--($AL1041:$AQ1041&gt;AL1041))&lt;$AK1041,1,0)</f>
        <v>73</v>
      </c>
      <c r="M1041" s="2" t="n">
        <f aca="false">AF1041+IF(SUMPRODUCT(--($AL1041:$AQ1041&gt;AM1041))+SUMPRODUCT(--($AL1041:AL1041=AM1041))&lt;$AK1041,1,0)</f>
        <v>93</v>
      </c>
      <c r="N1041" s="2" t="n">
        <f aca="false">AG1041+IF(SUMPRODUCT(--($AL1041:$AQ1041&gt;AN1041))+SUMPRODUCT(--($AL1041:AM1041=AN1041))&lt;$AK1041,1,0)</f>
        <v>86</v>
      </c>
      <c r="O1041" s="2" t="n">
        <f aca="false">AH1041+IF(SUMPRODUCT(--($AL1041:$AQ1041&gt;AO1041))+SUMPRODUCT(--($AL1041:AN1041=AO1041))&lt;$AK1041,1,0)</f>
        <v>74</v>
      </c>
      <c r="P1041" s="2" t="n">
        <f aca="false">AI1041+IF(SUMPRODUCT(--($AL1041:$AQ1041&gt;AP1041))+SUMPRODUCT(--($AL1041:AO1041=AP1041))&lt;$AK1041,1,0)</f>
        <v>81</v>
      </c>
      <c r="Q1041" s="2" t="n">
        <f aca="false">AJ1041+IF(SUMPRODUCT(--($AL1041:$AQ1041&gt;AQ1041))+SUMPRODUCT(--($AL1041:AP1041=AQ1041))&lt;$AK1041,1,0)</f>
        <v>93</v>
      </c>
      <c r="R1041" s="2" t="n">
        <f aca="false">SUM(L1041:Q1041)</f>
        <v>500</v>
      </c>
      <c r="S1041" s="2" t="n">
        <f aca="false">Settings!$B$4*MAX(INDEX(Bases!$M$2:$M$53,B1041),INDEX(Bases!$M$2:$M$53,C1041))+Settings!$B$5*MIN(INDEX(Bases!$M$2:$M$53,B1041),INDEX(Bases!$M$2:$M$53,C1041))</f>
        <v>61</v>
      </c>
      <c r="T1041" s="2" t="n">
        <f aca="false">Settings!$B$4*MAX(INDEX(Bases!$N$2:$N$53,B1041),INDEX(Bases!$N$2:$N$53,C1041))+Settings!$B$5*MIN(INDEX(Bases!$N$2:$N$53,B1041),INDEX(Bases!$N$2:$N$53,C1041))</f>
        <v>77.3333333333333</v>
      </c>
      <c r="U1041" s="2" t="n">
        <f aca="false">Settings!$B$4*MAX(INDEX(Bases!$O$2:$O$53,B1041),INDEX(Bases!$O$2:$O$53,C1041))+Settings!$B$5*MIN(INDEX(Bases!$O$2:$O$53,B1041),INDEX(Bases!$O$2:$O$53,C1041))</f>
        <v>71.6666666666667</v>
      </c>
      <c r="V1041" s="2" t="n">
        <f aca="false">Settings!$B$4*MAX(INDEX(Bases!$P$2:$P$53,B1041),INDEX(Bases!$P$2:$P$53,C1041))+Settings!$B$5*MIN(INDEX(Bases!$P$2:$P$53,B1041),INDEX(Bases!$P$2:$P$53,C1041))</f>
        <v>61.6666666666667</v>
      </c>
      <c r="W1041" s="2" t="n">
        <f aca="false">Settings!$B$4*MAX(INDEX(Bases!$Q$2:$Q$53,B1041),INDEX(Bases!$Q$2:$Q$53,C1041))+Settings!$B$5*MIN(INDEX(Bases!$Q$2:$Q$53,B1041),INDEX(Bases!$Q$2:$Q$53,C1041))</f>
        <v>67</v>
      </c>
      <c r="X1041" s="2" t="n">
        <f aca="false">Settings!$B$4*MAX(INDEX(Bases!$R$2:$R$53,B1041),INDEX(Bases!$R$2:$R$53,C1041))+Settings!$B$5*MIN(INDEX(Bases!$R$2:$R$53,B1041),INDEX(Bases!$R$2:$R$53,C1041))</f>
        <v>77.6666666666667</v>
      </c>
      <c r="Y1041" s="2" t="n">
        <f aca="false">S1041*Settings!$B$3/SUM(S1041:X1041)</f>
        <v>73.2586068855084</v>
      </c>
      <c r="Z1041" s="2" t="n">
        <f aca="false">T1041*Settings!$B$3/SUM(S1041:X1041)</f>
        <v>92.8742994395516</v>
      </c>
      <c r="AA1041" s="2" t="n">
        <f aca="false">U1041*Settings!$B$3/SUM(S1041:X1041)</f>
        <v>86.0688550840673</v>
      </c>
      <c r="AB1041" s="2" t="n">
        <f aca="false">V1041*Settings!$B$3/SUM(S1041:X1041)</f>
        <v>74.0592473979183</v>
      </c>
      <c r="AC1041" s="2" t="n">
        <f aca="false">W1041*Settings!$B$3/SUM(S1041:X1041)</f>
        <v>80.4643714971978</v>
      </c>
      <c r="AD1041" s="2" t="n">
        <f aca="false">X1041*Settings!$B$3/SUM(S1041:X1041)</f>
        <v>93.2746196957566</v>
      </c>
      <c r="AE1041" s="2" t="n">
        <f aca="false">INT(Y1041)</f>
        <v>73</v>
      </c>
      <c r="AF1041" s="2" t="n">
        <f aca="false">INT(Z1041)</f>
        <v>92</v>
      </c>
      <c r="AG1041" s="2" t="n">
        <f aca="false">INT(AA1041)</f>
        <v>86</v>
      </c>
      <c r="AH1041" s="2" t="n">
        <f aca="false">INT(AB1041)</f>
        <v>74</v>
      </c>
      <c r="AI1041" s="2" t="n">
        <f aca="false">INT(AC1041)</f>
        <v>80</v>
      </c>
      <c r="AJ1041" s="2" t="n">
        <f aca="false">INT(AD1041)</f>
        <v>93</v>
      </c>
      <c r="AK1041" s="2" t="n">
        <f aca="false">Settings!$B$3-SUM(AE1041:AJ1041)</f>
        <v>2</v>
      </c>
      <c r="AL1041" s="2" t="n">
        <f aca="false">ROUND(Y1041-AE1041,9)</f>
        <v>0.258606886</v>
      </c>
      <c r="AM1041" s="2" t="n">
        <f aca="false">ROUND(Z1041-AF1041,9)</f>
        <v>0.87429944</v>
      </c>
      <c r="AN1041" s="2" t="n">
        <f aca="false">ROUND(AA1041-AG1041,9)</f>
        <v>0.068855084</v>
      </c>
      <c r="AO1041" s="2" t="n">
        <f aca="false">ROUND(AB1041-AH1041,9)</f>
        <v>0.059247398</v>
      </c>
      <c r="AP1041" s="2" t="n">
        <f aca="false">ROUND(AC1041-AI1041,9)</f>
        <v>0.464371497</v>
      </c>
      <c r="AQ1041" s="2" t="n">
        <f aca="false">ROUND(AD1041-AJ1041,9)</f>
        <v>0.274619696</v>
      </c>
    </row>
    <row r="1042" customFormat="false" ht="15" hidden="false" customHeight="false" outlineLevel="0" collapsed="false">
      <c r="A1042" s="2" t="n">
        <v>1041</v>
      </c>
      <c r="B1042" s="6" t="n">
        <v>28</v>
      </c>
      <c r="C1042" s="6" t="n">
        <v>43</v>
      </c>
      <c r="D1042" s="8" t="str">
        <f aca="false">INDEX(Bases!$B$2:$B$53,B1042)</f>
        <v>Zubat</v>
      </c>
      <c r="E1042" s="8" t="str">
        <f aca="false">INDEX(Bases!$B$2:$B$53,C1042)</f>
        <v>Dratini</v>
      </c>
      <c r="F1042" s="2" t="str">
        <f aca="false">LEFT(D1042,ROUNDUP(LEN(D1042)/2,0))&amp;LOWER(MID(E1042,ROUNDUP(LEN(E1042)/2,0)+1,20))</f>
        <v>Zubini</v>
      </c>
      <c r="G1042" s="8" t="str">
        <f aca="false">INDEX(Bases!$C$2:$C$53,B1042)</f>
        <v>Flying</v>
      </c>
      <c r="H1042" s="8" t="str">
        <f aca="false">IF(INDEX(Bases!$C$2:$C$53,C1042)=G1042,"",INDEX(Bases!$C$2:$C$53,C1042))</f>
        <v>Dragon</v>
      </c>
      <c r="I1042" s="8" t="str">
        <f aca="false">IF(INDEX(Bases!$E$2:$E$53,B1042)="","",INDEX(Bases!$E$2:$E$53,B1042))</f>
        <v/>
      </c>
      <c r="J1042" s="8" t="str">
        <f aca="false">IF(INDEX(Bases!$E$2:$E$53,C1042)="","",INDEX(Bases!$E$2:$E$53,C1042))</f>
        <v/>
      </c>
      <c r="K1042" s="5"/>
      <c r="L1042" s="2" t="n">
        <f aca="false">AE1042+IF(SUMPRODUCT(--($AL1042:$AQ1042&gt;AL1042))&lt;$AK1042,1,0)</f>
        <v>75</v>
      </c>
      <c r="M1042" s="2" t="n">
        <f aca="false">AF1042+IF(SUMPRODUCT(--($AL1042:$AQ1042&gt;AM1042))+SUMPRODUCT(--($AL1042:AL1042=AM1042))&lt;$AK1042,1,0)</f>
        <v>99</v>
      </c>
      <c r="N1042" s="2" t="n">
        <f aca="false">AG1042+IF(SUMPRODUCT(--($AL1042:$AQ1042&gt;AN1042))+SUMPRODUCT(--($AL1042:AM1042=AN1042))&lt;$AK1042,1,0)</f>
        <v>72</v>
      </c>
      <c r="O1042" s="2" t="n">
        <f aca="false">AH1042+IF(SUMPRODUCT(--($AL1042:$AQ1042&gt;AO1042))+SUMPRODUCT(--($AL1042:AN1042=AO1042))&lt;$AK1042,1,0)</f>
        <v>74</v>
      </c>
      <c r="P1042" s="2" t="n">
        <f aca="false">AI1042+IF(SUMPRODUCT(--($AL1042:$AQ1042&gt;AP1042))+SUMPRODUCT(--($AL1042:AO1042=AP1042))&lt;$AK1042,1,0)</f>
        <v>80</v>
      </c>
      <c r="Q1042" s="2" t="n">
        <f aca="false">AJ1042+IF(SUMPRODUCT(--($AL1042:$AQ1042&gt;AQ1042))+SUMPRODUCT(--($AL1042:AP1042=AQ1042))&lt;$AK1042,1,0)</f>
        <v>100</v>
      </c>
      <c r="R1042" s="2" t="n">
        <f aca="false">SUM(L1042:Q1042)</f>
        <v>500</v>
      </c>
      <c r="S1042" s="2" t="n">
        <f aca="false">Settings!$B$4*MAX(INDEX(Bases!$M$2:$M$53,B1042),INDEX(Bases!$M$2:$M$53,C1042))+Settings!$B$5*MIN(INDEX(Bases!$M$2:$M$53,B1042),INDEX(Bases!$M$2:$M$53,C1042))</f>
        <v>61.6666666666667</v>
      </c>
      <c r="T1042" s="2" t="n">
        <f aca="false">Settings!$B$4*MAX(INDEX(Bases!$N$2:$N$53,B1042),INDEX(Bases!$N$2:$N$53,C1042))+Settings!$B$5*MIN(INDEX(Bases!$N$2:$N$53,B1042),INDEX(Bases!$N$2:$N$53,C1042))</f>
        <v>81.3333333333333</v>
      </c>
      <c r="U1042" s="2" t="n">
        <f aca="false">Settings!$B$4*MAX(INDEX(Bases!$O$2:$O$53,B1042),INDEX(Bases!$O$2:$O$53,C1042))+Settings!$B$5*MIN(INDEX(Bases!$O$2:$O$53,B1042),INDEX(Bases!$O$2:$O$53,C1042))</f>
        <v>59</v>
      </c>
      <c r="V1042" s="2" t="n">
        <f aca="false">Settings!$B$4*MAX(INDEX(Bases!$P$2:$P$53,B1042),INDEX(Bases!$P$2:$P$53,C1042))+Settings!$B$5*MIN(INDEX(Bases!$P$2:$P$53,B1042),INDEX(Bases!$P$2:$P$53,C1042))</f>
        <v>61</v>
      </c>
      <c r="W1042" s="2" t="n">
        <f aca="false">Settings!$B$4*MAX(INDEX(Bases!$Q$2:$Q$53,B1042),INDEX(Bases!$Q$2:$Q$53,C1042))+Settings!$B$5*MIN(INDEX(Bases!$Q$2:$Q$53,B1042),INDEX(Bases!$Q$2:$Q$53,C1042))</f>
        <v>66.3333333333333</v>
      </c>
      <c r="X1042" s="2" t="n">
        <f aca="false">Settings!$B$4*MAX(INDEX(Bases!$R$2:$R$53,B1042),INDEX(Bases!$R$2:$R$53,C1042))+Settings!$B$5*MIN(INDEX(Bases!$R$2:$R$53,B1042),INDEX(Bases!$R$2:$R$53,C1042))</f>
        <v>82</v>
      </c>
      <c r="Y1042" s="2" t="n">
        <f aca="false">S1042*Settings!$B$3/SUM(S1042:X1042)</f>
        <v>74.9594813614263</v>
      </c>
      <c r="Z1042" s="2" t="n">
        <f aca="false">T1042*Settings!$B$3/SUM(S1042:X1042)</f>
        <v>98.8654781199352</v>
      </c>
      <c r="AA1042" s="2" t="n">
        <f aca="false">U1042*Settings!$B$3/SUM(S1042:X1042)</f>
        <v>71.7179902755267</v>
      </c>
      <c r="AB1042" s="2" t="n">
        <f aca="false">V1042*Settings!$B$3/SUM(S1042:X1042)</f>
        <v>74.1491085899514</v>
      </c>
      <c r="AC1042" s="2" t="n">
        <f aca="false">W1042*Settings!$B$3/SUM(S1042:X1042)</f>
        <v>80.6320907617504</v>
      </c>
      <c r="AD1042" s="2" t="n">
        <f aca="false">X1042*Settings!$B$3/SUM(S1042:X1042)</f>
        <v>99.6758508914101</v>
      </c>
      <c r="AE1042" s="2" t="n">
        <f aca="false">INT(Y1042)</f>
        <v>74</v>
      </c>
      <c r="AF1042" s="2" t="n">
        <f aca="false">INT(Z1042)</f>
        <v>98</v>
      </c>
      <c r="AG1042" s="2" t="n">
        <f aca="false">INT(AA1042)</f>
        <v>71</v>
      </c>
      <c r="AH1042" s="2" t="n">
        <f aca="false">INT(AB1042)</f>
        <v>74</v>
      </c>
      <c r="AI1042" s="2" t="n">
        <f aca="false">INT(AC1042)</f>
        <v>80</v>
      </c>
      <c r="AJ1042" s="2" t="n">
        <f aca="false">INT(AD1042)</f>
        <v>99</v>
      </c>
      <c r="AK1042" s="2" t="n">
        <f aca="false">Settings!$B$3-SUM(AE1042:AJ1042)</f>
        <v>4</v>
      </c>
      <c r="AL1042" s="2" t="n">
        <f aca="false">ROUND(Y1042-AE1042,9)</f>
        <v>0.959481361</v>
      </c>
      <c r="AM1042" s="2" t="n">
        <f aca="false">ROUND(Z1042-AF1042,9)</f>
        <v>0.86547812</v>
      </c>
      <c r="AN1042" s="2" t="n">
        <f aca="false">ROUND(AA1042-AG1042,9)</f>
        <v>0.717990276</v>
      </c>
      <c r="AO1042" s="2" t="n">
        <f aca="false">ROUND(AB1042-AH1042,9)</f>
        <v>0.14910859</v>
      </c>
      <c r="AP1042" s="2" t="n">
        <f aca="false">ROUND(AC1042-AI1042,9)</f>
        <v>0.632090762</v>
      </c>
      <c r="AQ1042" s="2" t="n">
        <f aca="false">ROUND(AD1042-AJ1042,9)</f>
        <v>0.675850891</v>
      </c>
    </row>
    <row r="1043" customFormat="false" ht="15" hidden="false" customHeight="false" outlineLevel="0" collapsed="false">
      <c r="A1043" s="2" t="n">
        <v>1042</v>
      </c>
      <c r="B1043" s="6" t="n">
        <v>28</v>
      </c>
      <c r="C1043" s="6" t="n">
        <v>44</v>
      </c>
      <c r="D1043" s="8" t="str">
        <f aca="false">INDEX(Bases!$B$2:$B$53,B1043)</f>
        <v>Zubat</v>
      </c>
      <c r="E1043" s="8" t="str">
        <f aca="false">INDEX(Bases!$B$2:$B$53,C1043)</f>
        <v>Bagon</v>
      </c>
      <c r="F1043" s="2" t="str">
        <f aca="false">LEFT(D1043,ROUNDUP(LEN(D1043)/2,0))&amp;LOWER(MID(E1043,ROUNDUP(LEN(E1043)/2,0)+1,20))</f>
        <v>Zubon</v>
      </c>
      <c r="G1043" s="8" t="str">
        <f aca="false">INDEX(Bases!$C$2:$C$53,B1043)</f>
        <v>Flying</v>
      </c>
      <c r="H1043" s="8" t="str">
        <f aca="false">IF(INDEX(Bases!$C$2:$C$53,C1043)=G1043,"",INDEX(Bases!$C$2:$C$53,C1043))</f>
        <v>Dragon</v>
      </c>
      <c r="I1043" s="8" t="str">
        <f aca="false">IF(INDEX(Bases!$E$2:$E$53,B1043)="","",INDEX(Bases!$E$2:$E$53,B1043))</f>
        <v/>
      </c>
      <c r="J1043" s="8" t="str">
        <f aca="false">IF(INDEX(Bases!$E$2:$E$53,C1043)="","",INDEX(Bases!$E$2:$E$53,C1043))</f>
        <v/>
      </c>
      <c r="K1043" s="5"/>
      <c r="L1043" s="2" t="n">
        <f aca="false">AE1043+IF(SUMPRODUCT(--($AL1043:$AQ1043&gt;AL1043))&lt;$AK1043,1,0)</f>
        <v>76</v>
      </c>
      <c r="M1043" s="2" t="n">
        <f aca="false">AF1043+IF(SUMPRODUCT(--($AL1043:$AQ1043&gt;AM1043))+SUMPRODUCT(--($AL1043:AL1043=AM1043))&lt;$AK1043,1,0)</f>
        <v>109</v>
      </c>
      <c r="N1043" s="2" t="n">
        <f aca="false">AG1043+IF(SUMPRODUCT(--($AL1043:$AQ1043&gt;AN1043))+SUMPRODUCT(--($AL1043:AM1043=AN1043))&lt;$AK1043,1,0)</f>
        <v>87</v>
      </c>
      <c r="O1043" s="2" t="n">
        <f aca="false">AH1043+IF(SUMPRODUCT(--($AL1043:$AQ1043&gt;AO1043))+SUMPRODUCT(--($AL1043:AN1043=AO1043))&lt;$AK1043,1,0)</f>
        <v>62</v>
      </c>
      <c r="P1043" s="2" t="n">
        <f aca="false">AI1043+IF(SUMPRODUCT(--($AL1043:$AQ1043&gt;AP1043))+SUMPRODUCT(--($AL1043:AO1043=AP1043))&lt;$AK1043,1,0)</f>
        <v>68</v>
      </c>
      <c r="Q1043" s="2" t="n">
        <f aca="false">AJ1043+IF(SUMPRODUCT(--($AL1043:$AQ1043&gt;AQ1043))+SUMPRODUCT(--($AL1043:AP1043=AQ1043))&lt;$AK1043,1,0)</f>
        <v>98</v>
      </c>
      <c r="R1043" s="2" t="n">
        <f aca="false">SUM(L1043:Q1043)</f>
        <v>500</v>
      </c>
      <c r="S1043" s="2" t="n">
        <f aca="false">Settings!$B$4*MAX(INDEX(Bases!$M$2:$M$53,B1043),INDEX(Bases!$M$2:$M$53,C1043))+Settings!$B$5*MIN(INDEX(Bases!$M$2:$M$53,B1043),INDEX(Bases!$M$2:$M$53,C1043))</f>
        <v>63.3333333333333</v>
      </c>
      <c r="T1043" s="2" t="n">
        <f aca="false">Settings!$B$4*MAX(INDEX(Bases!$N$2:$N$53,B1043),INDEX(Bases!$N$2:$N$53,C1043))+Settings!$B$5*MIN(INDEX(Bases!$N$2:$N$53,B1043),INDEX(Bases!$N$2:$N$53,C1043))</f>
        <v>91.3333333333333</v>
      </c>
      <c r="U1043" s="2" t="n">
        <f aca="false">Settings!$B$4*MAX(INDEX(Bases!$O$2:$O$53,B1043),INDEX(Bases!$O$2:$O$53,C1043))+Settings!$B$5*MIN(INDEX(Bases!$O$2:$O$53,B1043),INDEX(Bases!$O$2:$O$53,C1043))</f>
        <v>72.3333333333333</v>
      </c>
      <c r="V1043" s="2" t="n">
        <f aca="false">Settings!$B$4*MAX(INDEX(Bases!$P$2:$P$53,B1043),INDEX(Bases!$P$2:$P$53,C1043))+Settings!$B$5*MIN(INDEX(Bases!$P$2:$P$53,B1043),INDEX(Bases!$P$2:$P$53,C1043))</f>
        <v>51.6666666666667</v>
      </c>
      <c r="W1043" s="2" t="n">
        <f aca="false">Settings!$B$4*MAX(INDEX(Bases!$Q$2:$Q$53,B1043),INDEX(Bases!$Q$2:$Q$53,C1043))+Settings!$B$5*MIN(INDEX(Bases!$Q$2:$Q$53,B1043),INDEX(Bases!$Q$2:$Q$53,C1043))</f>
        <v>56.6666666666667</v>
      </c>
      <c r="X1043" s="2" t="n">
        <f aca="false">Settings!$B$4*MAX(INDEX(Bases!$R$2:$R$53,B1043),INDEX(Bases!$R$2:$R$53,C1043))+Settings!$B$5*MIN(INDEX(Bases!$R$2:$R$53,B1043),INDEX(Bases!$R$2:$R$53,C1043))</f>
        <v>82.3333333333333</v>
      </c>
      <c r="Y1043" s="2" t="n">
        <f aca="false">S1043*Settings!$B$3/SUM(S1043:X1043)</f>
        <v>75.8180367118915</v>
      </c>
      <c r="Z1043" s="2" t="n">
        <f aca="false">T1043*Settings!$B$3/SUM(S1043:X1043)</f>
        <v>109.337589784517</v>
      </c>
      <c r="AA1043" s="2" t="n">
        <f aca="false">U1043*Settings!$B$3/SUM(S1043:X1043)</f>
        <v>86.5921787709497</v>
      </c>
      <c r="AB1043" s="2" t="n">
        <f aca="false">V1043*Settings!$B$3/SUM(S1043:X1043)</f>
        <v>61.8515562649641</v>
      </c>
      <c r="AC1043" s="2" t="n">
        <f aca="false">W1043*Settings!$B$3/SUM(S1043:X1043)</f>
        <v>67.8371907422187</v>
      </c>
      <c r="AD1043" s="2" t="n">
        <f aca="false">X1043*Settings!$B$3/SUM(S1043:X1043)</f>
        <v>98.5634477254589</v>
      </c>
      <c r="AE1043" s="2" t="n">
        <f aca="false">INT(Y1043)</f>
        <v>75</v>
      </c>
      <c r="AF1043" s="2" t="n">
        <f aca="false">INT(Z1043)</f>
        <v>109</v>
      </c>
      <c r="AG1043" s="2" t="n">
        <f aca="false">INT(AA1043)</f>
        <v>86</v>
      </c>
      <c r="AH1043" s="2" t="n">
        <f aca="false">INT(AB1043)</f>
        <v>61</v>
      </c>
      <c r="AI1043" s="2" t="n">
        <f aca="false">INT(AC1043)</f>
        <v>67</v>
      </c>
      <c r="AJ1043" s="2" t="n">
        <f aca="false">INT(AD1043)</f>
        <v>98</v>
      </c>
      <c r="AK1043" s="2" t="n">
        <f aca="false">Settings!$B$3-SUM(AE1043:AJ1043)</f>
        <v>4</v>
      </c>
      <c r="AL1043" s="2" t="n">
        <f aca="false">ROUND(Y1043-AE1043,9)</f>
        <v>0.818036712</v>
      </c>
      <c r="AM1043" s="2" t="n">
        <f aca="false">ROUND(Z1043-AF1043,9)</f>
        <v>0.337589785</v>
      </c>
      <c r="AN1043" s="2" t="n">
        <f aca="false">ROUND(AA1043-AG1043,9)</f>
        <v>0.592178771</v>
      </c>
      <c r="AO1043" s="2" t="n">
        <f aca="false">ROUND(AB1043-AH1043,9)</f>
        <v>0.851556265</v>
      </c>
      <c r="AP1043" s="2" t="n">
        <f aca="false">ROUND(AC1043-AI1043,9)</f>
        <v>0.837190742</v>
      </c>
      <c r="AQ1043" s="2" t="n">
        <f aca="false">ROUND(AD1043-AJ1043,9)</f>
        <v>0.563447725</v>
      </c>
    </row>
    <row r="1044" customFormat="false" ht="15" hidden="false" customHeight="false" outlineLevel="0" collapsed="false">
      <c r="A1044" s="2" t="n">
        <v>1043</v>
      </c>
      <c r="B1044" s="6" t="n">
        <v>28</v>
      </c>
      <c r="C1044" s="6" t="n">
        <v>45</v>
      </c>
      <c r="D1044" s="8" t="str">
        <f aca="false">INDEX(Bases!$B$2:$B$53,B1044)</f>
        <v>Zubat</v>
      </c>
      <c r="E1044" s="8" t="str">
        <f aca="false">INDEX(Bases!$B$2:$B$53,C1044)</f>
        <v>Sneasel</v>
      </c>
      <c r="F1044" s="2" t="str">
        <f aca="false">LEFT(D1044,ROUNDUP(LEN(D1044)/2,0))&amp;LOWER(MID(E1044,ROUNDUP(LEN(E1044)/2,0)+1,20))</f>
        <v>Zubsel</v>
      </c>
      <c r="G1044" s="8" t="str">
        <f aca="false">INDEX(Bases!$C$2:$C$53,B1044)</f>
        <v>Flying</v>
      </c>
      <c r="H1044" s="8" t="str">
        <f aca="false">IF(INDEX(Bases!$C$2:$C$53,C1044)=G1044,"",INDEX(Bases!$C$2:$C$53,C1044))</f>
        <v>Dark</v>
      </c>
      <c r="I1044" s="8" t="str">
        <f aca="false">IF(INDEX(Bases!$E$2:$E$53,B1044)="","",INDEX(Bases!$E$2:$E$53,B1044))</f>
        <v/>
      </c>
      <c r="J1044" s="8" t="str">
        <f aca="false">IF(INDEX(Bases!$E$2:$E$53,C1044)="","",INDEX(Bases!$E$2:$E$53,C1044))</f>
        <v/>
      </c>
      <c r="K1044" s="5"/>
      <c r="L1044" s="2" t="n">
        <f aca="false">AE1044+IF(SUMPRODUCT(--($AL1044:$AQ1044&gt;AL1044))&lt;$AK1044,1,0)</f>
        <v>73</v>
      </c>
      <c r="M1044" s="2" t="n">
        <f aca="false">AF1044+IF(SUMPRODUCT(--($AL1044:$AQ1044&gt;AM1044))+SUMPRODUCT(--($AL1044:AL1044=AM1044))&lt;$AK1044,1,0)</f>
        <v>101</v>
      </c>
      <c r="N1044" s="2" t="n">
        <f aca="false">AG1044+IF(SUMPRODUCT(--($AL1044:$AQ1044&gt;AN1044))+SUMPRODUCT(--($AL1044:AM1044=AN1044))&lt;$AK1044,1,0)</f>
        <v>67</v>
      </c>
      <c r="O1044" s="2" t="n">
        <f aca="false">AH1044+IF(SUMPRODUCT(--($AL1044:$AQ1044&gt;AO1044))+SUMPRODUCT(--($AL1044:AN1044=AO1044))&lt;$AK1044,1,0)</f>
        <v>53</v>
      </c>
      <c r="P1044" s="2" t="n">
        <f aca="false">AI1044+IF(SUMPRODUCT(--($AL1044:$AQ1044&gt;AP1044))+SUMPRODUCT(--($AL1044:AO1044=AP1044))&lt;$AK1044,1,0)</f>
        <v>83</v>
      </c>
      <c r="Q1044" s="2" t="n">
        <f aca="false">AJ1044+IF(SUMPRODUCT(--($AL1044:$AQ1044&gt;AQ1044))+SUMPRODUCT(--($AL1044:AP1044=AQ1044))&lt;$AK1044,1,0)</f>
        <v>123</v>
      </c>
      <c r="R1044" s="2" t="n">
        <f aca="false">SUM(L1044:Q1044)</f>
        <v>500</v>
      </c>
      <c r="S1044" s="2" t="n">
        <f aca="false">Settings!$B$4*MAX(INDEX(Bases!$M$2:$M$53,B1044),INDEX(Bases!$M$2:$M$53,C1044))+Settings!$B$5*MIN(INDEX(Bases!$M$2:$M$53,B1044),INDEX(Bases!$M$2:$M$53,C1044))</f>
        <v>60.3333333333333</v>
      </c>
      <c r="T1044" s="2" t="n">
        <f aca="false">Settings!$B$4*MAX(INDEX(Bases!$N$2:$N$53,B1044),INDEX(Bases!$N$2:$N$53,C1044))+Settings!$B$5*MIN(INDEX(Bases!$N$2:$N$53,B1044),INDEX(Bases!$N$2:$N$53,C1044))</f>
        <v>83.3333333333333</v>
      </c>
      <c r="U1044" s="2" t="n">
        <f aca="false">Settings!$B$4*MAX(INDEX(Bases!$O$2:$O$53,B1044),INDEX(Bases!$O$2:$O$53,C1044))+Settings!$B$5*MIN(INDEX(Bases!$O$2:$O$53,B1044),INDEX(Bases!$O$2:$O$53,C1044))</f>
        <v>55</v>
      </c>
      <c r="V1044" s="2" t="n">
        <f aca="false">Settings!$B$4*MAX(INDEX(Bases!$P$2:$P$53,B1044),INDEX(Bases!$P$2:$P$53,C1044))+Settings!$B$5*MIN(INDEX(Bases!$P$2:$P$53,B1044),INDEX(Bases!$P$2:$P$53,C1044))</f>
        <v>43.6666666666667</v>
      </c>
      <c r="W1044" s="2" t="n">
        <f aca="false">Settings!$B$4*MAX(INDEX(Bases!$Q$2:$Q$53,B1044),INDEX(Bases!$Q$2:$Q$53,C1044))+Settings!$B$5*MIN(INDEX(Bases!$Q$2:$Q$53,B1044),INDEX(Bases!$Q$2:$Q$53,C1044))</f>
        <v>68.3333333333333</v>
      </c>
      <c r="X1044" s="2" t="n">
        <f aca="false">Settings!$B$4*MAX(INDEX(Bases!$R$2:$R$53,B1044),INDEX(Bases!$R$2:$R$53,C1044))+Settings!$B$5*MIN(INDEX(Bases!$R$2:$R$53,B1044),INDEX(Bases!$R$2:$R$53,C1044))</f>
        <v>101.333333333333</v>
      </c>
      <c r="Y1044" s="2" t="n">
        <f aca="false">S1044*Settings!$B$3/SUM(S1044:X1044)</f>
        <v>73.2200647249191</v>
      </c>
      <c r="Z1044" s="2" t="n">
        <f aca="false">T1044*Settings!$B$3/SUM(S1044:X1044)</f>
        <v>101.132686084142</v>
      </c>
      <c r="AA1044" s="2" t="n">
        <f aca="false">U1044*Settings!$B$3/SUM(S1044:X1044)</f>
        <v>66.747572815534</v>
      </c>
      <c r="AB1044" s="2" t="n">
        <f aca="false">V1044*Settings!$B$3/SUM(S1044:X1044)</f>
        <v>52.9935275080906</v>
      </c>
      <c r="AC1044" s="2" t="n">
        <f aca="false">W1044*Settings!$B$3/SUM(S1044:X1044)</f>
        <v>82.9288025889968</v>
      </c>
      <c r="AD1044" s="2" t="n">
        <f aca="false">X1044*Settings!$B$3/SUM(S1044:X1044)</f>
        <v>122.977346278317</v>
      </c>
      <c r="AE1044" s="2" t="n">
        <f aca="false">INT(Y1044)</f>
        <v>73</v>
      </c>
      <c r="AF1044" s="2" t="n">
        <f aca="false">INT(Z1044)</f>
        <v>101</v>
      </c>
      <c r="AG1044" s="2" t="n">
        <f aca="false">INT(AA1044)</f>
        <v>66</v>
      </c>
      <c r="AH1044" s="2" t="n">
        <f aca="false">INT(AB1044)</f>
        <v>52</v>
      </c>
      <c r="AI1044" s="2" t="n">
        <f aca="false">INT(AC1044)</f>
        <v>82</v>
      </c>
      <c r="AJ1044" s="2" t="n">
        <f aca="false">INT(AD1044)</f>
        <v>122</v>
      </c>
      <c r="AK1044" s="2" t="n">
        <f aca="false">Settings!$B$3-SUM(AE1044:AJ1044)</f>
        <v>4</v>
      </c>
      <c r="AL1044" s="2" t="n">
        <f aca="false">ROUND(Y1044-AE1044,9)</f>
        <v>0.220064725</v>
      </c>
      <c r="AM1044" s="2" t="n">
        <f aca="false">ROUND(Z1044-AF1044,9)</f>
        <v>0.132686084</v>
      </c>
      <c r="AN1044" s="2" t="n">
        <f aca="false">ROUND(AA1044-AG1044,9)</f>
        <v>0.747572816</v>
      </c>
      <c r="AO1044" s="2" t="n">
        <f aca="false">ROUND(AB1044-AH1044,9)</f>
        <v>0.993527508</v>
      </c>
      <c r="AP1044" s="2" t="n">
        <f aca="false">ROUND(AC1044-AI1044,9)</f>
        <v>0.928802589</v>
      </c>
      <c r="AQ1044" s="2" t="n">
        <f aca="false">ROUND(AD1044-AJ1044,9)</f>
        <v>0.977346278</v>
      </c>
    </row>
    <row r="1045" customFormat="false" ht="15" hidden="false" customHeight="false" outlineLevel="0" collapsed="false">
      <c r="A1045" s="2" t="n">
        <v>1044</v>
      </c>
      <c r="B1045" s="6" t="n">
        <v>28</v>
      </c>
      <c r="C1045" s="6" t="n">
        <v>46</v>
      </c>
      <c r="D1045" s="8" t="str">
        <f aca="false">INDEX(Bases!$B$2:$B$53,B1045)</f>
        <v>Zubat</v>
      </c>
      <c r="E1045" s="8" t="str">
        <f aca="false">INDEX(Bases!$B$2:$B$53,C1045)</f>
        <v>Houndour</v>
      </c>
      <c r="F1045" s="2" t="str">
        <f aca="false">LEFT(D1045,ROUNDUP(LEN(D1045)/2,0))&amp;LOWER(MID(E1045,ROUNDUP(LEN(E1045)/2,0)+1,20))</f>
        <v>Zubdour</v>
      </c>
      <c r="G1045" s="8" t="str">
        <f aca="false">INDEX(Bases!$C$2:$C$53,B1045)</f>
        <v>Flying</v>
      </c>
      <c r="H1045" s="8" t="str">
        <f aca="false">IF(INDEX(Bases!$C$2:$C$53,C1045)=G1045,"",INDEX(Bases!$C$2:$C$53,C1045))</f>
        <v>Dark</v>
      </c>
      <c r="I1045" s="8" t="str">
        <f aca="false">IF(INDEX(Bases!$E$2:$E$53,B1045)="","",INDEX(Bases!$E$2:$E$53,B1045))</f>
        <v/>
      </c>
      <c r="J1045" s="8" t="str">
        <f aca="false">IF(INDEX(Bases!$E$2:$E$53,C1045)="","",INDEX(Bases!$E$2:$E$53,C1045))</f>
        <v/>
      </c>
      <c r="K1045" s="5"/>
      <c r="L1045" s="2" t="n">
        <f aca="false">AE1045+IF(SUMPRODUCT(--($AL1045:$AQ1045&gt;AL1045))&lt;$AK1045,1,0)</f>
        <v>74</v>
      </c>
      <c r="M1045" s="2" t="n">
        <f aca="false">AF1045+IF(SUMPRODUCT(--($AL1045:$AQ1045&gt;AM1045))+SUMPRODUCT(--($AL1045:AL1045=AM1045))&lt;$AK1045,1,0)</f>
        <v>89</v>
      </c>
      <c r="N1045" s="2" t="n">
        <f aca="false">AG1045+IF(SUMPRODUCT(--($AL1045:$AQ1045&gt;AN1045))+SUMPRODUCT(--($AL1045:AM1045=AN1045))&lt;$AK1045,1,0)</f>
        <v>60</v>
      </c>
      <c r="O1045" s="2" t="n">
        <f aca="false">AH1045+IF(SUMPRODUCT(--($AL1045:$AQ1045&gt;AO1045))+SUMPRODUCT(--($AL1045:AN1045=AO1045))&lt;$AK1045,1,0)</f>
        <v>97</v>
      </c>
      <c r="P1045" s="2" t="n">
        <f aca="false">AI1045+IF(SUMPRODUCT(--($AL1045:$AQ1045&gt;AP1045))+SUMPRODUCT(--($AL1045:AO1045=AP1045))&lt;$AK1045,1,0)</f>
        <v>76</v>
      </c>
      <c r="Q1045" s="2" t="n">
        <f aca="false">AJ1045+IF(SUMPRODUCT(--($AL1045:$AQ1045&gt;AQ1045))+SUMPRODUCT(--($AL1045:AP1045=AQ1045))&lt;$AK1045,1,0)</f>
        <v>104</v>
      </c>
      <c r="R1045" s="2" t="n">
        <f aca="false">SUM(L1045:Q1045)</f>
        <v>500</v>
      </c>
      <c r="S1045" s="2" t="n">
        <f aca="false">Settings!$B$4*MAX(INDEX(Bases!$M$2:$M$53,B1045),INDEX(Bases!$M$2:$M$53,C1045))+Settings!$B$5*MIN(INDEX(Bases!$M$2:$M$53,B1045),INDEX(Bases!$M$2:$M$53,C1045))</f>
        <v>61.3333333333333</v>
      </c>
      <c r="T1045" s="2" t="n">
        <f aca="false">Settings!$B$4*MAX(INDEX(Bases!$N$2:$N$53,B1045),INDEX(Bases!$N$2:$N$53,C1045))+Settings!$B$5*MIN(INDEX(Bases!$N$2:$N$53,B1045),INDEX(Bases!$N$2:$N$53,C1045))</f>
        <v>73.6666666666667</v>
      </c>
      <c r="U1045" s="2" t="n">
        <f aca="false">Settings!$B$4*MAX(INDEX(Bases!$O$2:$O$53,B1045),INDEX(Bases!$O$2:$O$53,C1045))+Settings!$B$5*MIN(INDEX(Bases!$O$2:$O$53,B1045),INDEX(Bases!$O$2:$O$53,C1045))</f>
        <v>50</v>
      </c>
      <c r="V1045" s="2" t="n">
        <f aca="false">Settings!$B$4*MAX(INDEX(Bases!$P$2:$P$53,B1045),INDEX(Bases!$P$2:$P$53,C1045))+Settings!$B$5*MIN(INDEX(Bases!$P$2:$P$53,B1045),INDEX(Bases!$P$2:$P$53,C1045))</f>
        <v>81</v>
      </c>
      <c r="W1045" s="2" t="n">
        <f aca="false">Settings!$B$4*MAX(INDEX(Bases!$Q$2:$Q$53,B1045),INDEX(Bases!$Q$2:$Q$53,C1045))+Settings!$B$5*MIN(INDEX(Bases!$Q$2:$Q$53,B1045),INDEX(Bases!$Q$2:$Q$53,C1045))</f>
        <v>63.6666666666667</v>
      </c>
      <c r="X1045" s="2" t="n">
        <f aca="false">Settings!$B$4*MAX(INDEX(Bases!$R$2:$R$53,B1045),INDEX(Bases!$R$2:$R$53,C1045))+Settings!$B$5*MIN(INDEX(Bases!$R$2:$R$53,B1045),INDEX(Bases!$R$2:$R$53,C1045))</f>
        <v>86.3333333333333</v>
      </c>
      <c r="Y1045" s="2" t="n">
        <f aca="false">S1045*Settings!$B$3/SUM(S1045:X1045)</f>
        <v>73.7179487179487</v>
      </c>
      <c r="Z1045" s="2" t="n">
        <f aca="false">T1045*Settings!$B$3/SUM(S1045:X1045)</f>
        <v>88.5416666666667</v>
      </c>
      <c r="AA1045" s="2" t="n">
        <f aca="false">U1045*Settings!$B$3/SUM(S1045:X1045)</f>
        <v>60.0961538461539</v>
      </c>
      <c r="AB1045" s="2" t="n">
        <f aca="false">V1045*Settings!$B$3/SUM(S1045:X1045)</f>
        <v>97.3557692307692</v>
      </c>
      <c r="AC1045" s="2" t="n">
        <f aca="false">W1045*Settings!$B$3/SUM(S1045:X1045)</f>
        <v>76.5224358974359</v>
      </c>
      <c r="AD1045" s="2" t="n">
        <f aca="false">X1045*Settings!$B$3/SUM(S1045:X1045)</f>
        <v>103.766025641026</v>
      </c>
      <c r="AE1045" s="2" t="n">
        <f aca="false">INT(Y1045)</f>
        <v>73</v>
      </c>
      <c r="AF1045" s="2" t="n">
        <f aca="false">INT(Z1045)</f>
        <v>88</v>
      </c>
      <c r="AG1045" s="2" t="n">
        <f aca="false">INT(AA1045)</f>
        <v>60</v>
      </c>
      <c r="AH1045" s="2" t="n">
        <f aca="false">INT(AB1045)</f>
        <v>97</v>
      </c>
      <c r="AI1045" s="2" t="n">
        <f aca="false">INT(AC1045)</f>
        <v>76</v>
      </c>
      <c r="AJ1045" s="2" t="n">
        <f aca="false">INT(AD1045)</f>
        <v>103</v>
      </c>
      <c r="AK1045" s="2" t="n">
        <f aca="false">Settings!$B$3-SUM(AE1045:AJ1045)</f>
        <v>3</v>
      </c>
      <c r="AL1045" s="2" t="n">
        <f aca="false">ROUND(Y1045-AE1045,9)</f>
        <v>0.717948718</v>
      </c>
      <c r="AM1045" s="2" t="n">
        <f aca="false">ROUND(Z1045-AF1045,9)</f>
        <v>0.541666667</v>
      </c>
      <c r="AN1045" s="2" t="n">
        <f aca="false">ROUND(AA1045-AG1045,9)</f>
        <v>0.096153846</v>
      </c>
      <c r="AO1045" s="2" t="n">
        <f aca="false">ROUND(AB1045-AH1045,9)</f>
        <v>0.355769231</v>
      </c>
      <c r="AP1045" s="2" t="n">
        <f aca="false">ROUND(AC1045-AI1045,9)</f>
        <v>0.522435897</v>
      </c>
      <c r="AQ1045" s="2" t="n">
        <f aca="false">ROUND(AD1045-AJ1045,9)</f>
        <v>0.766025641</v>
      </c>
    </row>
    <row r="1046" customFormat="false" ht="15" hidden="false" customHeight="false" outlineLevel="0" collapsed="false">
      <c r="A1046" s="2" t="n">
        <v>1045</v>
      </c>
      <c r="B1046" s="6" t="n">
        <v>28</v>
      </c>
      <c r="C1046" s="6" t="n">
        <v>47</v>
      </c>
      <c r="D1046" s="8" t="str">
        <f aca="false">INDEX(Bases!$B$2:$B$53,B1046)</f>
        <v>Zubat</v>
      </c>
      <c r="E1046" s="8" t="str">
        <f aca="false">INDEX(Bases!$B$2:$B$53,C1046)</f>
        <v>Carvanha</v>
      </c>
      <c r="F1046" s="2" t="str">
        <f aca="false">LEFT(D1046,ROUNDUP(LEN(D1046)/2,0))&amp;LOWER(MID(E1046,ROUNDUP(LEN(E1046)/2,0)+1,20))</f>
        <v>Zubanha</v>
      </c>
      <c r="G1046" s="8" t="str">
        <f aca="false">INDEX(Bases!$C$2:$C$53,B1046)</f>
        <v>Flying</v>
      </c>
      <c r="H1046" s="8" t="str">
        <f aca="false">IF(INDEX(Bases!$C$2:$C$53,C1046)=G1046,"",INDEX(Bases!$C$2:$C$53,C1046))</f>
        <v>Dark</v>
      </c>
      <c r="I1046" s="8" t="str">
        <f aca="false">IF(INDEX(Bases!$E$2:$E$53,B1046)="","",INDEX(Bases!$E$2:$E$53,B1046))</f>
        <v/>
      </c>
      <c r="J1046" s="8" t="str">
        <f aca="false">IF(INDEX(Bases!$E$2:$E$53,C1046)="","",INDEX(Bases!$E$2:$E$53,C1046))</f>
        <v/>
      </c>
      <c r="K1046" s="5"/>
      <c r="L1046" s="2" t="n">
        <f aca="false">AE1046+IF(SUMPRODUCT(--($AL1046:$AQ1046&gt;AL1046))&lt;$AK1046,1,0)</f>
        <v>74</v>
      </c>
      <c r="M1046" s="2" t="n">
        <f aca="false">AF1046+IF(SUMPRODUCT(--($AL1046:$AQ1046&gt;AM1046))+SUMPRODUCT(--($AL1046:AL1046=AM1046))&lt;$AK1046,1,0)</f>
        <v>121</v>
      </c>
      <c r="N1046" s="2" t="n">
        <f aca="false">AG1046+IF(SUMPRODUCT(--($AL1046:$AQ1046&gt;AN1046))+SUMPRODUCT(--($AL1046:AM1046=AN1046))&lt;$AK1046,1,0)</f>
        <v>55</v>
      </c>
      <c r="O1046" s="2" t="n">
        <f aca="false">AH1046+IF(SUMPRODUCT(--($AL1046:$AQ1046&gt;AO1046))+SUMPRODUCT(--($AL1046:AN1046=AO1046))&lt;$AK1046,1,0)</f>
        <v>86</v>
      </c>
      <c r="P1046" s="2" t="n">
        <f aca="false">AI1046+IF(SUMPRODUCT(--($AL1046:$AQ1046&gt;AP1046))+SUMPRODUCT(--($AL1046:AO1046=AP1046))&lt;$AK1046,1,0)</f>
        <v>61</v>
      </c>
      <c r="Q1046" s="2" t="n">
        <f aca="false">AJ1046+IF(SUMPRODUCT(--($AL1046:$AQ1046&gt;AQ1046))+SUMPRODUCT(--($AL1046:AP1046=AQ1046))&lt;$AK1046,1,0)</f>
        <v>103</v>
      </c>
      <c r="R1046" s="2" t="n">
        <f aca="false">SUM(L1046:Q1046)</f>
        <v>500</v>
      </c>
      <c r="S1046" s="2" t="n">
        <f aca="false">Settings!$B$4*MAX(INDEX(Bases!$M$2:$M$53,B1046),INDEX(Bases!$M$2:$M$53,C1046))+Settings!$B$5*MIN(INDEX(Bases!$M$2:$M$53,B1046),INDEX(Bases!$M$2:$M$53,C1046))</f>
        <v>63</v>
      </c>
      <c r="T1046" s="2" t="n">
        <f aca="false">Settings!$B$4*MAX(INDEX(Bases!$N$2:$N$53,B1046),INDEX(Bases!$N$2:$N$53,C1046))+Settings!$B$5*MIN(INDEX(Bases!$N$2:$N$53,B1046),INDEX(Bases!$N$2:$N$53,C1046))</f>
        <v>103.333333333333</v>
      </c>
      <c r="U1046" s="2" t="n">
        <f aca="false">Settings!$B$4*MAX(INDEX(Bases!$O$2:$O$53,B1046),INDEX(Bases!$O$2:$O$53,C1046))+Settings!$B$5*MIN(INDEX(Bases!$O$2:$O$53,B1046),INDEX(Bases!$O$2:$O$53,C1046))</f>
        <v>46.6666666666667</v>
      </c>
      <c r="V1046" s="2" t="n">
        <f aca="false">Settings!$B$4*MAX(INDEX(Bases!$P$2:$P$53,B1046),INDEX(Bases!$P$2:$P$53,C1046))+Settings!$B$5*MIN(INDEX(Bases!$P$2:$P$53,B1046),INDEX(Bases!$P$2:$P$53,C1046))</f>
        <v>73.6666666666667</v>
      </c>
      <c r="W1046" s="2" t="n">
        <f aca="false">Settings!$B$4*MAX(INDEX(Bases!$Q$2:$Q$53,B1046),INDEX(Bases!$Q$2:$Q$53,C1046))+Settings!$B$5*MIN(INDEX(Bases!$Q$2:$Q$53,B1046),INDEX(Bases!$Q$2:$Q$53,C1046))</f>
        <v>52</v>
      </c>
      <c r="X1046" s="2" t="n">
        <f aca="false">Settings!$B$4*MAX(INDEX(Bases!$R$2:$R$53,B1046),INDEX(Bases!$R$2:$R$53,C1046))+Settings!$B$5*MIN(INDEX(Bases!$R$2:$R$53,B1046),INDEX(Bases!$R$2:$R$53,C1046))</f>
        <v>88.3333333333333</v>
      </c>
      <c r="Y1046" s="2" t="n">
        <f aca="false">S1046*Settings!$B$3/SUM(S1046:X1046)</f>
        <v>73.7704918032787</v>
      </c>
      <c r="Z1046" s="2" t="n">
        <f aca="false">T1046*Settings!$B$3/SUM(S1046:X1046)</f>
        <v>120.999219359875</v>
      </c>
      <c r="AA1046" s="2" t="n">
        <f aca="false">U1046*Settings!$B$3/SUM(S1046:X1046)</f>
        <v>54.6448087431694</v>
      </c>
      <c r="AB1046" s="2" t="n">
        <f aca="false">V1046*Settings!$B$3/SUM(S1046:X1046)</f>
        <v>86.2607338017174</v>
      </c>
      <c r="AC1046" s="2" t="n">
        <f aca="false">W1046*Settings!$B$3/SUM(S1046:X1046)</f>
        <v>60.8899297423888</v>
      </c>
      <c r="AD1046" s="2" t="n">
        <f aca="false">X1046*Settings!$B$3/SUM(S1046:X1046)</f>
        <v>103.434816549571</v>
      </c>
      <c r="AE1046" s="2" t="n">
        <f aca="false">INT(Y1046)</f>
        <v>73</v>
      </c>
      <c r="AF1046" s="2" t="n">
        <f aca="false">INT(Z1046)</f>
        <v>120</v>
      </c>
      <c r="AG1046" s="2" t="n">
        <f aca="false">INT(AA1046)</f>
        <v>54</v>
      </c>
      <c r="AH1046" s="2" t="n">
        <f aca="false">INT(AB1046)</f>
        <v>86</v>
      </c>
      <c r="AI1046" s="2" t="n">
        <f aca="false">INT(AC1046)</f>
        <v>60</v>
      </c>
      <c r="AJ1046" s="2" t="n">
        <f aca="false">INT(AD1046)</f>
        <v>103</v>
      </c>
      <c r="AK1046" s="2" t="n">
        <f aca="false">Settings!$B$3-SUM(AE1046:AJ1046)</f>
        <v>4</v>
      </c>
      <c r="AL1046" s="2" t="n">
        <f aca="false">ROUND(Y1046-AE1046,9)</f>
        <v>0.770491803</v>
      </c>
      <c r="AM1046" s="2" t="n">
        <f aca="false">ROUND(Z1046-AF1046,9)</f>
        <v>0.99921936</v>
      </c>
      <c r="AN1046" s="2" t="n">
        <f aca="false">ROUND(AA1046-AG1046,9)</f>
        <v>0.644808743</v>
      </c>
      <c r="AO1046" s="2" t="n">
        <f aca="false">ROUND(AB1046-AH1046,9)</f>
        <v>0.260733802</v>
      </c>
      <c r="AP1046" s="2" t="n">
        <f aca="false">ROUND(AC1046-AI1046,9)</f>
        <v>0.889929742</v>
      </c>
      <c r="AQ1046" s="2" t="n">
        <f aca="false">ROUND(AD1046-AJ1046,9)</f>
        <v>0.43481655</v>
      </c>
    </row>
    <row r="1047" customFormat="false" ht="15" hidden="false" customHeight="false" outlineLevel="0" collapsed="false">
      <c r="A1047" s="2" t="n">
        <v>1046</v>
      </c>
      <c r="B1047" s="6" t="n">
        <v>28</v>
      </c>
      <c r="C1047" s="6" t="n">
        <v>48</v>
      </c>
      <c r="D1047" s="8" t="str">
        <f aca="false">INDEX(Bases!$B$2:$B$53,B1047)</f>
        <v>Zubat</v>
      </c>
      <c r="E1047" s="8" t="str">
        <f aca="false">INDEX(Bases!$B$2:$B$53,C1047)</f>
        <v>Magnemite</v>
      </c>
      <c r="F1047" s="2" t="str">
        <f aca="false">LEFT(D1047,ROUNDUP(LEN(D1047)/2,0))&amp;LOWER(MID(E1047,ROUNDUP(LEN(E1047)/2,0)+1,20))</f>
        <v>Zubmite</v>
      </c>
      <c r="G1047" s="8" t="str">
        <f aca="false">INDEX(Bases!$C$2:$C$53,B1047)</f>
        <v>Flying</v>
      </c>
      <c r="H1047" s="8" t="str">
        <f aca="false">IF(INDEX(Bases!$C$2:$C$53,C1047)=G1047,"",INDEX(Bases!$C$2:$C$53,C1047))</f>
        <v>Steel</v>
      </c>
      <c r="I1047" s="8" t="str">
        <f aca="false">IF(INDEX(Bases!$E$2:$E$53,B1047)="","",INDEX(Bases!$E$2:$E$53,B1047))</f>
        <v/>
      </c>
      <c r="J1047" s="8" t="str">
        <f aca="false">IF(INDEX(Bases!$E$2:$E$53,C1047)="","",INDEX(Bases!$E$2:$E$53,C1047))</f>
        <v/>
      </c>
      <c r="K1047" s="5"/>
      <c r="L1047" s="2" t="n">
        <f aca="false">AE1047+IF(SUMPRODUCT(--($AL1047:$AQ1047&gt;AL1047))&lt;$AK1047,1,0)</f>
        <v>62</v>
      </c>
      <c r="M1047" s="2" t="n">
        <f aca="false">AF1047+IF(SUMPRODUCT(--($AL1047:$AQ1047&gt;AM1047))+SUMPRODUCT(--($AL1047:AL1047=AM1047))&lt;$AK1047,1,0)</f>
        <v>74</v>
      </c>
      <c r="N1047" s="2" t="n">
        <f aca="false">AG1047+IF(SUMPRODUCT(--($AL1047:$AQ1047&gt;AN1047))+SUMPRODUCT(--($AL1047:AM1047=AN1047))&lt;$AK1047,1,0)</f>
        <v>88</v>
      </c>
      <c r="O1047" s="2" t="n">
        <f aca="false">AH1047+IF(SUMPRODUCT(--($AL1047:$AQ1047&gt;AO1047))+SUMPRODUCT(--($AL1047:AN1047=AO1047))&lt;$AK1047,1,0)</f>
        <v>109</v>
      </c>
      <c r="P1047" s="2" t="n">
        <f aca="false">AI1047+IF(SUMPRODUCT(--($AL1047:$AQ1047&gt;AP1047))+SUMPRODUCT(--($AL1047:AO1047=AP1047))&lt;$AK1047,1,0)</f>
        <v>77</v>
      </c>
      <c r="Q1047" s="2" t="n">
        <f aca="false">AJ1047+IF(SUMPRODUCT(--($AL1047:$AQ1047&gt;AQ1047))+SUMPRODUCT(--($AL1047:AP1047=AQ1047))&lt;$AK1047,1,0)</f>
        <v>90</v>
      </c>
      <c r="R1047" s="2" t="n">
        <f aca="false">SUM(L1047:Q1047)</f>
        <v>500</v>
      </c>
      <c r="S1047" s="2" t="n">
        <f aca="false">Settings!$B$4*MAX(INDEX(Bases!$M$2:$M$53,B1047),INDEX(Bases!$M$2:$M$53,C1047))+Settings!$B$5*MIN(INDEX(Bases!$M$2:$M$53,B1047),INDEX(Bases!$M$2:$M$53,C1047))</f>
        <v>53.6666666666667</v>
      </c>
      <c r="T1047" s="2" t="n">
        <f aca="false">Settings!$B$4*MAX(INDEX(Bases!$N$2:$N$53,B1047),INDEX(Bases!$N$2:$N$53,C1047))+Settings!$B$5*MIN(INDEX(Bases!$N$2:$N$53,B1047),INDEX(Bases!$N$2:$N$53,C1047))</f>
        <v>63.6666666666667</v>
      </c>
      <c r="U1047" s="2" t="n">
        <f aca="false">Settings!$B$4*MAX(INDEX(Bases!$O$2:$O$53,B1047),INDEX(Bases!$O$2:$O$53,C1047))+Settings!$B$5*MIN(INDEX(Bases!$O$2:$O$53,B1047),INDEX(Bases!$O$2:$O$53,C1047))</f>
        <v>76.3333333333333</v>
      </c>
      <c r="V1047" s="2" t="n">
        <f aca="false">Settings!$B$4*MAX(INDEX(Bases!$P$2:$P$53,B1047),INDEX(Bases!$P$2:$P$53,C1047))+Settings!$B$5*MIN(INDEX(Bases!$P$2:$P$53,B1047),INDEX(Bases!$P$2:$P$53,C1047))</f>
        <v>94.3333333333333</v>
      </c>
      <c r="W1047" s="2" t="n">
        <f aca="false">Settings!$B$4*MAX(INDEX(Bases!$Q$2:$Q$53,B1047),INDEX(Bases!$Q$2:$Q$53,C1047))+Settings!$B$5*MIN(INDEX(Bases!$Q$2:$Q$53,B1047),INDEX(Bases!$Q$2:$Q$53,C1047))</f>
        <v>67</v>
      </c>
      <c r="X1047" s="2" t="n">
        <f aca="false">Settings!$B$4*MAX(INDEX(Bases!$R$2:$R$53,B1047),INDEX(Bases!$R$2:$R$53,C1047))+Settings!$B$5*MIN(INDEX(Bases!$R$2:$R$53,B1047),INDEX(Bases!$R$2:$R$53,C1047))</f>
        <v>78.3333333333333</v>
      </c>
      <c r="Y1047" s="2" t="n">
        <f aca="false">S1047*Settings!$B$3/SUM(S1047:X1047)</f>
        <v>61.9230769230769</v>
      </c>
      <c r="Z1047" s="2" t="n">
        <f aca="false">T1047*Settings!$B$3/SUM(S1047:X1047)</f>
        <v>73.4615384615385</v>
      </c>
      <c r="AA1047" s="2" t="n">
        <f aca="false">U1047*Settings!$B$3/SUM(S1047:X1047)</f>
        <v>88.0769230769231</v>
      </c>
      <c r="AB1047" s="2" t="n">
        <f aca="false">V1047*Settings!$B$3/SUM(S1047:X1047)</f>
        <v>108.846153846154</v>
      </c>
      <c r="AC1047" s="2" t="n">
        <f aca="false">W1047*Settings!$B$3/SUM(S1047:X1047)</f>
        <v>77.3076923076923</v>
      </c>
      <c r="AD1047" s="2" t="n">
        <f aca="false">X1047*Settings!$B$3/SUM(S1047:X1047)</f>
        <v>90.3846153846154</v>
      </c>
      <c r="AE1047" s="2" t="n">
        <f aca="false">INT(Y1047)</f>
        <v>61</v>
      </c>
      <c r="AF1047" s="2" t="n">
        <f aca="false">INT(Z1047)</f>
        <v>73</v>
      </c>
      <c r="AG1047" s="2" t="n">
        <f aca="false">INT(AA1047)</f>
        <v>88</v>
      </c>
      <c r="AH1047" s="2" t="n">
        <f aca="false">INT(AB1047)</f>
        <v>108</v>
      </c>
      <c r="AI1047" s="2" t="n">
        <f aca="false">INT(AC1047)</f>
        <v>77</v>
      </c>
      <c r="AJ1047" s="2" t="n">
        <f aca="false">INT(AD1047)</f>
        <v>90</v>
      </c>
      <c r="AK1047" s="2" t="n">
        <f aca="false">Settings!$B$3-SUM(AE1047:AJ1047)</f>
        <v>3</v>
      </c>
      <c r="AL1047" s="2" t="n">
        <f aca="false">ROUND(Y1047-AE1047,9)</f>
        <v>0.923076923</v>
      </c>
      <c r="AM1047" s="2" t="n">
        <f aca="false">ROUND(Z1047-AF1047,9)</f>
        <v>0.461538462</v>
      </c>
      <c r="AN1047" s="2" t="n">
        <f aca="false">ROUND(AA1047-AG1047,9)</f>
        <v>0.076923077</v>
      </c>
      <c r="AO1047" s="2" t="n">
        <f aca="false">ROUND(AB1047-AH1047,9)</f>
        <v>0.846153846</v>
      </c>
      <c r="AP1047" s="2" t="n">
        <f aca="false">ROUND(AC1047-AI1047,9)</f>
        <v>0.307692308</v>
      </c>
      <c r="AQ1047" s="2" t="n">
        <f aca="false">ROUND(AD1047-AJ1047,9)</f>
        <v>0.384615385</v>
      </c>
    </row>
    <row r="1048" customFormat="false" ht="15" hidden="false" customHeight="false" outlineLevel="0" collapsed="false">
      <c r="A1048" s="2" t="n">
        <v>1047</v>
      </c>
      <c r="B1048" s="6" t="n">
        <v>28</v>
      </c>
      <c r="C1048" s="6" t="n">
        <v>49</v>
      </c>
      <c r="D1048" s="8" t="str">
        <f aca="false">INDEX(Bases!$B$2:$B$53,B1048)</f>
        <v>Zubat</v>
      </c>
      <c r="E1048" s="8" t="str">
        <f aca="false">INDEX(Bases!$B$2:$B$53,C1048)</f>
        <v>Aron</v>
      </c>
      <c r="F1048" s="2" t="str">
        <f aca="false">LEFT(D1048,ROUNDUP(LEN(D1048)/2,0))&amp;LOWER(MID(E1048,ROUNDUP(LEN(E1048)/2,0)+1,20))</f>
        <v>Zubon</v>
      </c>
      <c r="G1048" s="8" t="str">
        <f aca="false">INDEX(Bases!$C$2:$C$53,B1048)</f>
        <v>Flying</v>
      </c>
      <c r="H1048" s="8" t="str">
        <f aca="false">IF(INDEX(Bases!$C$2:$C$53,C1048)=G1048,"",INDEX(Bases!$C$2:$C$53,C1048))</f>
        <v>Steel</v>
      </c>
      <c r="I1048" s="8" t="str">
        <f aca="false">IF(INDEX(Bases!$E$2:$E$53,B1048)="","",INDEX(Bases!$E$2:$E$53,B1048))</f>
        <v/>
      </c>
      <c r="J1048" s="8" t="str">
        <f aca="false">IF(INDEX(Bases!$E$2:$E$53,C1048)="","",INDEX(Bases!$E$2:$E$53,C1048))</f>
        <v/>
      </c>
      <c r="K1048" s="5"/>
      <c r="L1048" s="2" t="n">
        <f aca="false">AE1048+IF(SUMPRODUCT(--($AL1048:$AQ1048&gt;AL1048))&lt;$AK1048,1,0)</f>
        <v>75</v>
      </c>
      <c r="M1048" s="2" t="n">
        <f aca="false">AF1048+IF(SUMPRODUCT(--($AL1048:$AQ1048&gt;AM1048))+SUMPRODUCT(--($AL1048:AL1048=AM1048))&lt;$AK1048,1,0)</f>
        <v>96</v>
      </c>
      <c r="N1048" s="2" t="n">
        <f aca="false">AG1048+IF(SUMPRODUCT(--($AL1048:$AQ1048&gt;AN1048))+SUMPRODUCT(--($AL1048:AM1048=AN1048))&lt;$AK1048,1,0)</f>
        <v>117</v>
      </c>
      <c r="O1048" s="2" t="n">
        <f aca="false">AH1048+IF(SUMPRODUCT(--($AL1048:$AQ1048&gt;AO1048))+SUMPRODUCT(--($AL1048:AN1048=AO1048))&lt;$AK1048,1,0)</f>
        <v>57</v>
      </c>
      <c r="P1048" s="2" t="n">
        <f aca="false">AI1048+IF(SUMPRODUCT(--($AL1048:$AQ1048&gt;AP1048))+SUMPRODUCT(--($AL1048:AO1048=AP1048))&lt;$AK1048,1,0)</f>
        <v>70</v>
      </c>
      <c r="Q1048" s="2" t="n">
        <f aca="false">AJ1048+IF(SUMPRODUCT(--($AL1048:$AQ1048&gt;AQ1048))+SUMPRODUCT(--($AL1048:AP1048=AQ1048))&lt;$AK1048,1,0)</f>
        <v>85</v>
      </c>
      <c r="R1048" s="2" t="n">
        <f aca="false">SUM(L1048:Q1048)</f>
        <v>500</v>
      </c>
      <c r="S1048" s="2" t="n">
        <f aca="false">Settings!$B$4*MAX(INDEX(Bases!$M$2:$M$53,B1048),INDEX(Bases!$M$2:$M$53,C1048))+Settings!$B$5*MIN(INDEX(Bases!$M$2:$M$53,B1048),INDEX(Bases!$M$2:$M$53,C1048))</f>
        <v>63.6666666666667</v>
      </c>
      <c r="T1048" s="2" t="n">
        <f aca="false">Settings!$B$4*MAX(INDEX(Bases!$N$2:$N$53,B1048),INDEX(Bases!$N$2:$N$53,C1048))+Settings!$B$5*MIN(INDEX(Bases!$N$2:$N$53,B1048),INDEX(Bases!$N$2:$N$53,C1048))</f>
        <v>81.3333333333333</v>
      </c>
      <c r="U1048" s="2" t="n">
        <f aca="false">Settings!$B$4*MAX(INDEX(Bases!$O$2:$O$53,B1048),INDEX(Bases!$O$2:$O$53,C1048))+Settings!$B$5*MIN(INDEX(Bases!$O$2:$O$53,B1048),INDEX(Bases!$O$2:$O$53,C1048))</f>
        <v>99.6666666666667</v>
      </c>
      <c r="V1048" s="2" t="n">
        <f aca="false">Settings!$B$4*MAX(INDEX(Bases!$P$2:$P$53,B1048),INDEX(Bases!$P$2:$P$53,C1048))+Settings!$B$5*MIN(INDEX(Bases!$P$2:$P$53,B1048),INDEX(Bases!$P$2:$P$53,C1048))</f>
        <v>49</v>
      </c>
      <c r="W1048" s="2" t="n">
        <f aca="false">Settings!$B$4*MAX(INDEX(Bases!$Q$2:$Q$53,B1048),INDEX(Bases!$Q$2:$Q$53,C1048))+Settings!$B$5*MIN(INDEX(Bases!$Q$2:$Q$53,B1048),INDEX(Bases!$Q$2:$Q$53,C1048))</f>
        <v>59.3333333333333</v>
      </c>
      <c r="X1048" s="2" t="n">
        <f aca="false">Settings!$B$4*MAX(INDEX(Bases!$R$2:$R$53,B1048),INDEX(Bases!$R$2:$R$53,C1048))+Settings!$B$5*MIN(INDEX(Bases!$R$2:$R$53,B1048),INDEX(Bases!$R$2:$R$53,C1048))</f>
        <v>72</v>
      </c>
      <c r="Y1048" s="2" t="n">
        <f aca="false">S1048*Settings!$B$3/SUM(S1048:X1048)</f>
        <v>74.9019607843137</v>
      </c>
      <c r="Z1048" s="2" t="n">
        <f aca="false">T1048*Settings!$B$3/SUM(S1048:X1048)</f>
        <v>95.6862745098039</v>
      </c>
      <c r="AA1048" s="2" t="n">
        <f aca="false">U1048*Settings!$B$3/SUM(S1048:X1048)</f>
        <v>117.254901960784</v>
      </c>
      <c r="AB1048" s="2" t="n">
        <f aca="false">V1048*Settings!$B$3/SUM(S1048:X1048)</f>
        <v>57.6470588235294</v>
      </c>
      <c r="AC1048" s="2" t="n">
        <f aca="false">W1048*Settings!$B$3/SUM(S1048:X1048)</f>
        <v>69.8039215686274</v>
      </c>
      <c r="AD1048" s="2" t="n">
        <f aca="false">X1048*Settings!$B$3/SUM(S1048:X1048)</f>
        <v>84.7058823529412</v>
      </c>
      <c r="AE1048" s="2" t="n">
        <f aca="false">INT(Y1048)</f>
        <v>74</v>
      </c>
      <c r="AF1048" s="2" t="n">
        <f aca="false">INT(Z1048)</f>
        <v>95</v>
      </c>
      <c r="AG1048" s="2" t="n">
        <f aca="false">INT(AA1048)</f>
        <v>117</v>
      </c>
      <c r="AH1048" s="2" t="n">
        <f aca="false">INT(AB1048)</f>
        <v>57</v>
      </c>
      <c r="AI1048" s="2" t="n">
        <f aca="false">INT(AC1048)</f>
        <v>69</v>
      </c>
      <c r="AJ1048" s="2" t="n">
        <f aca="false">INT(AD1048)</f>
        <v>84</v>
      </c>
      <c r="AK1048" s="2" t="n">
        <f aca="false">Settings!$B$3-SUM(AE1048:AJ1048)</f>
        <v>4</v>
      </c>
      <c r="AL1048" s="2" t="n">
        <f aca="false">ROUND(Y1048-AE1048,9)</f>
        <v>0.901960784</v>
      </c>
      <c r="AM1048" s="2" t="n">
        <f aca="false">ROUND(Z1048-AF1048,9)</f>
        <v>0.68627451</v>
      </c>
      <c r="AN1048" s="2" t="n">
        <f aca="false">ROUND(AA1048-AG1048,9)</f>
        <v>0.254901961</v>
      </c>
      <c r="AO1048" s="2" t="n">
        <f aca="false">ROUND(AB1048-AH1048,9)</f>
        <v>0.647058824</v>
      </c>
      <c r="AP1048" s="2" t="n">
        <f aca="false">ROUND(AC1048-AI1048,9)</f>
        <v>0.803921569</v>
      </c>
      <c r="AQ1048" s="2" t="n">
        <f aca="false">ROUND(AD1048-AJ1048,9)</f>
        <v>0.705882353</v>
      </c>
    </row>
    <row r="1049" customFormat="false" ht="15" hidden="false" customHeight="false" outlineLevel="0" collapsed="false">
      <c r="A1049" s="2" t="n">
        <v>1048</v>
      </c>
      <c r="B1049" s="6" t="n">
        <v>28</v>
      </c>
      <c r="C1049" s="6" t="n">
        <v>50</v>
      </c>
      <c r="D1049" s="8" t="str">
        <f aca="false">INDEX(Bases!$B$2:$B$53,B1049)</f>
        <v>Zubat</v>
      </c>
      <c r="E1049" s="8" t="str">
        <f aca="false">INDEX(Bases!$B$2:$B$53,C1049)</f>
        <v>Beldum</v>
      </c>
      <c r="F1049" s="2" t="str">
        <f aca="false">LEFT(D1049,ROUNDUP(LEN(D1049)/2,0))&amp;LOWER(MID(E1049,ROUNDUP(LEN(E1049)/2,0)+1,20))</f>
        <v>Zubdum</v>
      </c>
      <c r="G1049" s="8" t="str">
        <f aca="false">INDEX(Bases!$C$2:$C$53,B1049)</f>
        <v>Flying</v>
      </c>
      <c r="H1049" s="8" t="str">
        <f aca="false">IF(INDEX(Bases!$C$2:$C$53,C1049)=G1049,"",INDEX(Bases!$C$2:$C$53,C1049))</f>
        <v>Steel</v>
      </c>
      <c r="I1049" s="8" t="str">
        <f aca="false">IF(INDEX(Bases!$E$2:$E$53,B1049)="","",INDEX(Bases!$E$2:$E$53,B1049))</f>
        <v/>
      </c>
      <c r="J1049" s="8" t="str">
        <f aca="false">IF(INDEX(Bases!$E$2:$E$53,C1049)="","",INDEX(Bases!$E$2:$E$53,C1049))</f>
        <v/>
      </c>
      <c r="K1049" s="5"/>
      <c r="L1049" s="2" t="n">
        <f aca="false">AE1049+IF(SUMPRODUCT(--($AL1049:$AQ1049&gt;AL1049))&lt;$AK1049,1,0)</f>
        <v>72</v>
      </c>
      <c r="M1049" s="2" t="n">
        <f aca="false">AF1049+IF(SUMPRODUCT(--($AL1049:$AQ1049&gt;AM1049))+SUMPRODUCT(--($AL1049:AL1049=AM1049))&lt;$AK1049,1,0)</f>
        <v>88</v>
      </c>
      <c r="N1049" s="2" t="n">
        <f aca="false">AG1049+IF(SUMPRODUCT(--($AL1049:$AQ1049&gt;AN1049))+SUMPRODUCT(--($AL1049:AM1049=AN1049))&lt;$AK1049,1,0)</f>
        <v>107</v>
      </c>
      <c r="O1049" s="2" t="n">
        <f aca="false">AH1049+IF(SUMPRODUCT(--($AL1049:$AQ1049&gt;AO1049))+SUMPRODUCT(--($AL1049:AN1049=AO1049))&lt;$AK1049,1,0)</f>
        <v>57</v>
      </c>
      <c r="P1049" s="2" t="n">
        <f aca="false">AI1049+IF(SUMPRODUCT(--($AL1049:$AQ1049&gt;AP1049))+SUMPRODUCT(--($AL1049:AO1049=AP1049))&lt;$AK1049,1,0)</f>
        <v>89</v>
      </c>
      <c r="Q1049" s="2" t="n">
        <f aca="false">AJ1049+IF(SUMPRODUCT(--($AL1049:$AQ1049&gt;AQ1049))+SUMPRODUCT(--($AL1049:AP1049=AQ1049))&lt;$AK1049,1,0)</f>
        <v>87</v>
      </c>
      <c r="R1049" s="2" t="n">
        <f aca="false">SUM(L1049:Q1049)</f>
        <v>500</v>
      </c>
      <c r="S1049" s="2" t="n">
        <f aca="false">Settings!$B$4*MAX(INDEX(Bases!$M$2:$M$53,B1049),INDEX(Bases!$M$2:$M$53,C1049))+Settings!$B$5*MIN(INDEX(Bases!$M$2:$M$53,B1049),INDEX(Bases!$M$2:$M$53,C1049))</f>
        <v>61</v>
      </c>
      <c r="T1049" s="2" t="n">
        <f aca="false">Settings!$B$4*MAX(INDEX(Bases!$N$2:$N$53,B1049),INDEX(Bases!$N$2:$N$53,C1049))+Settings!$B$5*MIN(INDEX(Bases!$N$2:$N$53,B1049),INDEX(Bases!$N$2:$N$53,C1049))</f>
        <v>73.6666666666667</v>
      </c>
      <c r="U1049" s="2" t="n">
        <f aca="false">Settings!$B$4*MAX(INDEX(Bases!$O$2:$O$53,B1049),INDEX(Bases!$O$2:$O$53,C1049))+Settings!$B$5*MIN(INDEX(Bases!$O$2:$O$53,B1049),INDEX(Bases!$O$2:$O$53,C1049))</f>
        <v>90.3333333333333</v>
      </c>
      <c r="V1049" s="2" t="n">
        <f aca="false">Settings!$B$4*MAX(INDEX(Bases!$P$2:$P$53,B1049),INDEX(Bases!$P$2:$P$53,C1049))+Settings!$B$5*MIN(INDEX(Bases!$P$2:$P$53,B1049),INDEX(Bases!$P$2:$P$53,C1049))</f>
        <v>48.3333333333333</v>
      </c>
      <c r="W1049" s="2" t="n">
        <f aca="false">Settings!$B$4*MAX(INDEX(Bases!$Q$2:$Q$53,B1049),INDEX(Bases!$Q$2:$Q$53,C1049))+Settings!$B$5*MIN(INDEX(Bases!$Q$2:$Q$53,B1049),INDEX(Bases!$Q$2:$Q$53,C1049))</f>
        <v>75</v>
      </c>
      <c r="X1049" s="2" t="n">
        <f aca="false">Settings!$B$4*MAX(INDEX(Bases!$R$2:$R$53,B1049),INDEX(Bases!$R$2:$R$53,C1049))+Settings!$B$5*MIN(INDEX(Bases!$R$2:$R$53,B1049),INDEX(Bases!$R$2:$R$53,C1049))</f>
        <v>73.3333333333333</v>
      </c>
      <c r="Y1049" s="2" t="n">
        <f aca="false">S1049*Settings!$B$3/SUM(S1049:X1049)</f>
        <v>72.3320158102767</v>
      </c>
      <c r="Z1049" s="2" t="n">
        <f aca="false">T1049*Settings!$B$3/SUM(S1049:X1049)</f>
        <v>87.3517786561265</v>
      </c>
      <c r="AA1049" s="2" t="n">
        <f aca="false">U1049*Settings!$B$3/SUM(S1049:X1049)</f>
        <v>107.114624505929</v>
      </c>
      <c r="AB1049" s="2" t="n">
        <f aca="false">V1049*Settings!$B$3/SUM(S1049:X1049)</f>
        <v>57.3122529644269</v>
      </c>
      <c r="AC1049" s="2" t="n">
        <f aca="false">W1049*Settings!$B$3/SUM(S1049:X1049)</f>
        <v>88.9328063241107</v>
      </c>
      <c r="AD1049" s="2" t="n">
        <f aca="false">X1049*Settings!$B$3/SUM(S1049:X1049)</f>
        <v>86.9565217391305</v>
      </c>
      <c r="AE1049" s="2" t="n">
        <f aca="false">INT(Y1049)</f>
        <v>72</v>
      </c>
      <c r="AF1049" s="2" t="n">
        <f aca="false">INT(Z1049)</f>
        <v>87</v>
      </c>
      <c r="AG1049" s="2" t="n">
        <f aca="false">INT(AA1049)</f>
        <v>107</v>
      </c>
      <c r="AH1049" s="2" t="n">
        <f aca="false">INT(AB1049)</f>
        <v>57</v>
      </c>
      <c r="AI1049" s="2" t="n">
        <f aca="false">INT(AC1049)</f>
        <v>88</v>
      </c>
      <c r="AJ1049" s="2" t="n">
        <f aca="false">INT(AD1049)</f>
        <v>86</v>
      </c>
      <c r="AK1049" s="2" t="n">
        <f aca="false">Settings!$B$3-SUM(AE1049:AJ1049)</f>
        <v>3</v>
      </c>
      <c r="AL1049" s="2" t="n">
        <f aca="false">ROUND(Y1049-AE1049,9)</f>
        <v>0.33201581</v>
      </c>
      <c r="AM1049" s="2" t="n">
        <f aca="false">ROUND(Z1049-AF1049,9)</f>
        <v>0.351778656</v>
      </c>
      <c r="AN1049" s="2" t="n">
        <f aca="false">ROUND(AA1049-AG1049,9)</f>
        <v>0.114624506</v>
      </c>
      <c r="AO1049" s="2" t="n">
        <f aca="false">ROUND(AB1049-AH1049,9)</f>
        <v>0.312252964</v>
      </c>
      <c r="AP1049" s="2" t="n">
        <f aca="false">ROUND(AC1049-AI1049,9)</f>
        <v>0.932806324</v>
      </c>
      <c r="AQ1049" s="2" t="n">
        <f aca="false">ROUND(AD1049-AJ1049,9)</f>
        <v>0.956521739</v>
      </c>
    </row>
    <row r="1050" customFormat="false" ht="15" hidden="false" customHeight="false" outlineLevel="0" collapsed="false">
      <c r="A1050" s="2" t="n">
        <v>1049</v>
      </c>
      <c r="B1050" s="6" t="n">
        <v>28</v>
      </c>
      <c r="C1050" s="6" t="n">
        <v>51</v>
      </c>
      <c r="D1050" s="8" t="str">
        <f aca="false">INDEX(Bases!$B$2:$B$53,B1050)</f>
        <v>Zubat</v>
      </c>
      <c r="E1050" s="8" t="str">
        <f aca="false">INDEX(Bases!$B$2:$B$53,C1050)</f>
        <v>Cleffa</v>
      </c>
      <c r="F1050" s="2" t="str">
        <f aca="false">LEFT(D1050,ROUNDUP(LEN(D1050)/2,0))&amp;LOWER(MID(E1050,ROUNDUP(LEN(E1050)/2,0)+1,20))</f>
        <v>Zubffa</v>
      </c>
      <c r="G1050" s="8" t="str">
        <f aca="false">INDEX(Bases!$C$2:$C$53,B1050)</f>
        <v>Flying</v>
      </c>
      <c r="H1050" s="8" t="str">
        <f aca="false">IF(INDEX(Bases!$C$2:$C$53,C1050)=G1050,"",INDEX(Bases!$C$2:$C$53,C1050))</f>
        <v>Fairy</v>
      </c>
      <c r="I1050" s="8" t="str">
        <f aca="false">IF(INDEX(Bases!$E$2:$E$53,B1050)="","",INDEX(Bases!$E$2:$E$53,B1050))</f>
        <v/>
      </c>
      <c r="J1050" s="8" t="str">
        <f aca="false">IF(INDEX(Bases!$E$2:$E$53,C1050)="","",INDEX(Bases!$E$2:$E$53,C1050))</f>
        <v/>
      </c>
      <c r="K1050" s="5"/>
      <c r="L1050" s="2" t="n">
        <f aca="false">AE1050+IF(SUMPRODUCT(--($AL1050:$AQ1050&gt;AL1050))&lt;$AK1050,1,0)</f>
        <v>96</v>
      </c>
      <c r="M1050" s="2" t="n">
        <f aca="false">AF1050+IF(SUMPRODUCT(--($AL1050:$AQ1050&gt;AM1050))+SUMPRODUCT(--($AL1050:AL1050=AM1050))&lt;$AK1050,1,0)</f>
        <v>75</v>
      </c>
      <c r="N1050" s="2" t="n">
        <f aca="false">AG1050+IF(SUMPRODUCT(--($AL1050:$AQ1050&gt;AN1050))+SUMPRODUCT(--($AL1050:AM1050=AN1050))&lt;$AK1050,1,0)</f>
        <v>63</v>
      </c>
      <c r="O1050" s="2" t="n">
        <f aca="false">AH1050+IF(SUMPRODUCT(--($AL1050:$AQ1050&gt;AO1050))+SUMPRODUCT(--($AL1050:AN1050=AO1050))&lt;$AK1050,1,0)</f>
        <v>83</v>
      </c>
      <c r="P1050" s="2" t="n">
        <f aca="false">AI1050+IF(SUMPRODUCT(--($AL1050:$AQ1050&gt;AP1050))+SUMPRODUCT(--($AL1050:AO1050=AP1050))&lt;$AK1050,1,0)</f>
        <v>103</v>
      </c>
      <c r="Q1050" s="2" t="n">
        <f aca="false">AJ1050+IF(SUMPRODUCT(--($AL1050:$AQ1050&gt;AQ1050))+SUMPRODUCT(--($AL1050:AP1050=AQ1050))&lt;$AK1050,1,0)</f>
        <v>80</v>
      </c>
      <c r="R1050" s="2" t="n">
        <f aca="false">SUM(L1050:Q1050)</f>
        <v>500</v>
      </c>
      <c r="S1050" s="2" t="n">
        <f aca="false">Settings!$B$4*MAX(INDEX(Bases!$M$2:$M$53,B1050),INDEX(Bases!$M$2:$M$53,C1050))+Settings!$B$5*MIN(INDEX(Bases!$M$2:$M$53,B1050),INDEX(Bases!$M$2:$M$53,C1050))</f>
        <v>83</v>
      </c>
      <c r="T1050" s="2" t="n">
        <f aca="false">Settings!$B$4*MAX(INDEX(Bases!$N$2:$N$53,B1050),INDEX(Bases!$N$2:$N$53,C1050))+Settings!$B$5*MIN(INDEX(Bases!$N$2:$N$53,B1050),INDEX(Bases!$N$2:$N$53,C1050))</f>
        <v>64.6666666666667</v>
      </c>
      <c r="U1050" s="2" t="n">
        <f aca="false">Settings!$B$4*MAX(INDEX(Bases!$O$2:$O$53,B1050),INDEX(Bases!$O$2:$O$53,C1050))+Settings!$B$5*MIN(INDEX(Bases!$O$2:$O$53,B1050),INDEX(Bases!$O$2:$O$53,C1050))</f>
        <v>55</v>
      </c>
      <c r="V1050" s="2" t="n">
        <f aca="false">Settings!$B$4*MAX(INDEX(Bases!$P$2:$P$53,B1050),INDEX(Bases!$P$2:$P$53,C1050))+Settings!$B$5*MIN(INDEX(Bases!$P$2:$P$53,B1050),INDEX(Bases!$P$2:$P$53,C1050))</f>
        <v>71.6666666666667</v>
      </c>
      <c r="W1050" s="2" t="n">
        <f aca="false">Settings!$B$4*MAX(INDEX(Bases!$Q$2:$Q$53,B1050),INDEX(Bases!$Q$2:$Q$53,C1050))+Settings!$B$5*MIN(INDEX(Bases!$Q$2:$Q$53,B1050),INDEX(Bases!$Q$2:$Q$53,C1050))</f>
        <v>89</v>
      </c>
      <c r="X1050" s="2" t="n">
        <f aca="false">Settings!$B$4*MAX(INDEX(Bases!$R$2:$R$53,B1050),INDEX(Bases!$R$2:$R$53,C1050))+Settings!$B$5*MIN(INDEX(Bases!$R$2:$R$53,B1050),INDEX(Bases!$R$2:$R$53,C1050))</f>
        <v>69</v>
      </c>
      <c r="Y1050" s="2" t="n">
        <f aca="false">S1050*Settings!$B$3/SUM(S1050:X1050)</f>
        <v>95.9907478797224</v>
      </c>
      <c r="Z1050" s="2" t="n">
        <f aca="false">T1050*Settings!$B$3/SUM(S1050:X1050)</f>
        <v>74.7879722436392</v>
      </c>
      <c r="AA1050" s="2" t="n">
        <f aca="false">U1050*Settings!$B$3/SUM(S1050:X1050)</f>
        <v>63.6083269082498</v>
      </c>
      <c r="AB1050" s="2" t="n">
        <f aca="false">V1050*Settings!$B$3/SUM(S1050:X1050)</f>
        <v>82.8835774865073</v>
      </c>
      <c r="AC1050" s="2" t="n">
        <f aca="false">W1050*Settings!$B$3/SUM(S1050:X1050)</f>
        <v>102.929838087895</v>
      </c>
      <c r="AD1050" s="2" t="n">
        <f aca="false">X1050*Settings!$B$3/SUM(S1050:X1050)</f>
        <v>79.7995373939861</v>
      </c>
      <c r="AE1050" s="2" t="n">
        <f aca="false">INT(Y1050)</f>
        <v>95</v>
      </c>
      <c r="AF1050" s="2" t="n">
        <f aca="false">INT(Z1050)</f>
        <v>74</v>
      </c>
      <c r="AG1050" s="2" t="n">
        <f aca="false">INT(AA1050)</f>
        <v>63</v>
      </c>
      <c r="AH1050" s="2" t="n">
        <f aca="false">INT(AB1050)</f>
        <v>82</v>
      </c>
      <c r="AI1050" s="2" t="n">
        <f aca="false">INT(AC1050)</f>
        <v>102</v>
      </c>
      <c r="AJ1050" s="2" t="n">
        <f aca="false">INT(AD1050)</f>
        <v>79</v>
      </c>
      <c r="AK1050" s="2" t="n">
        <f aca="false">Settings!$B$3-SUM(AE1050:AJ1050)</f>
        <v>5</v>
      </c>
      <c r="AL1050" s="2" t="n">
        <f aca="false">ROUND(Y1050-AE1050,9)</f>
        <v>0.99074788</v>
      </c>
      <c r="AM1050" s="2" t="n">
        <f aca="false">ROUND(Z1050-AF1050,9)</f>
        <v>0.787972244</v>
      </c>
      <c r="AN1050" s="2" t="n">
        <f aca="false">ROUND(AA1050-AG1050,9)</f>
        <v>0.608326908</v>
      </c>
      <c r="AO1050" s="2" t="n">
        <f aca="false">ROUND(AB1050-AH1050,9)</f>
        <v>0.883577487</v>
      </c>
      <c r="AP1050" s="2" t="n">
        <f aca="false">ROUND(AC1050-AI1050,9)</f>
        <v>0.929838088</v>
      </c>
      <c r="AQ1050" s="2" t="n">
        <f aca="false">ROUND(AD1050-AJ1050,9)</f>
        <v>0.799537394</v>
      </c>
    </row>
    <row r="1051" customFormat="false" ht="15" hidden="false" customHeight="false" outlineLevel="0" collapsed="false">
      <c r="A1051" s="2" t="n">
        <v>1050</v>
      </c>
      <c r="B1051" s="6" t="n">
        <v>28</v>
      </c>
      <c r="C1051" s="6" t="n">
        <v>52</v>
      </c>
      <c r="D1051" s="8" t="str">
        <f aca="false">INDEX(Bases!$B$2:$B$53,B1051)</f>
        <v>Zubat</v>
      </c>
      <c r="E1051" s="8" t="str">
        <f aca="false">INDEX(Bases!$B$2:$B$53,C1051)</f>
        <v>Togepi</v>
      </c>
      <c r="F1051" s="2" t="str">
        <f aca="false">LEFT(D1051,ROUNDUP(LEN(D1051)/2,0))&amp;LOWER(MID(E1051,ROUNDUP(LEN(E1051)/2,0)+1,20))</f>
        <v>Zubepi</v>
      </c>
      <c r="G1051" s="8" t="str">
        <f aca="false">INDEX(Bases!$C$2:$C$53,B1051)</f>
        <v>Flying</v>
      </c>
      <c r="H1051" s="8" t="str">
        <f aca="false">IF(INDEX(Bases!$C$2:$C$53,C1051)=G1051,"",INDEX(Bases!$C$2:$C$53,C1051))</f>
        <v>Fairy</v>
      </c>
      <c r="I1051" s="8" t="str">
        <f aca="false">IF(INDEX(Bases!$E$2:$E$53,B1051)="","",INDEX(Bases!$E$2:$E$53,B1051))</f>
        <v/>
      </c>
      <c r="J1051" s="8" t="str">
        <f aca="false">IF(INDEX(Bases!$E$2:$E$53,C1051)="","",INDEX(Bases!$E$2:$E$53,C1051))</f>
        <v/>
      </c>
      <c r="K1051" s="5"/>
      <c r="L1051" s="2" t="n">
        <f aca="false">AE1051+IF(SUMPRODUCT(--($AL1051:$AQ1051&gt;AL1051))&lt;$AK1051,1,0)</f>
        <v>72</v>
      </c>
      <c r="M1051" s="2" t="n">
        <f aca="false">AF1051+IF(SUMPRODUCT(--($AL1051:$AQ1051&gt;AM1051))+SUMPRODUCT(--($AL1051:AL1051=AM1051))&lt;$AK1051,1,0)</f>
        <v>69</v>
      </c>
      <c r="N1051" s="2" t="n">
        <f aca="false">AG1051+IF(SUMPRODUCT(--($AL1051:$AQ1051&gt;AN1051))+SUMPRODUCT(--($AL1051:AM1051=AN1051))&lt;$AK1051,1,0)</f>
        <v>103</v>
      </c>
      <c r="O1051" s="2" t="n">
        <f aca="false">AH1051+IF(SUMPRODUCT(--($AL1051:$AQ1051&gt;AO1051))+SUMPRODUCT(--($AL1051:AN1051=AO1051))&lt;$AK1051,1,0)</f>
        <v>68</v>
      </c>
      <c r="P1051" s="2" t="n">
        <f aca="false">AI1051+IF(SUMPRODUCT(--($AL1051:$AQ1051&gt;AP1051))+SUMPRODUCT(--($AL1051:AO1051=AP1051))&lt;$AK1051,1,0)</f>
        <v>106</v>
      </c>
      <c r="Q1051" s="2" t="n">
        <f aca="false">AJ1051+IF(SUMPRODUCT(--($AL1051:$AQ1051&gt;AQ1051))+SUMPRODUCT(--($AL1051:AP1051=AQ1051))&lt;$AK1051,1,0)</f>
        <v>82</v>
      </c>
      <c r="R1051" s="2" t="n">
        <f aca="false">SUM(L1051:Q1051)</f>
        <v>500</v>
      </c>
      <c r="S1051" s="2" t="n">
        <f aca="false">Settings!$B$4*MAX(INDEX(Bases!$M$2:$M$53,B1051),INDEX(Bases!$M$2:$M$53,C1051))+Settings!$B$5*MIN(INDEX(Bases!$M$2:$M$53,B1051),INDEX(Bases!$M$2:$M$53,C1051))</f>
        <v>62.3333333333333</v>
      </c>
      <c r="T1051" s="2" t="n">
        <f aca="false">Settings!$B$4*MAX(INDEX(Bases!$N$2:$N$53,B1051),INDEX(Bases!$N$2:$N$53,C1051))+Settings!$B$5*MIN(INDEX(Bases!$N$2:$N$53,B1051),INDEX(Bases!$N$2:$N$53,C1051))</f>
        <v>60.3333333333333</v>
      </c>
      <c r="U1051" s="2" t="n">
        <f aca="false">Settings!$B$4*MAX(INDEX(Bases!$O$2:$O$53,B1051),INDEX(Bases!$O$2:$O$53,C1051))+Settings!$B$5*MIN(INDEX(Bases!$O$2:$O$53,B1051),INDEX(Bases!$O$2:$O$53,C1051))</f>
        <v>89.6666666666667</v>
      </c>
      <c r="V1051" s="2" t="n">
        <f aca="false">Settings!$B$4*MAX(INDEX(Bases!$P$2:$P$53,B1051),INDEX(Bases!$P$2:$P$53,C1051))+Settings!$B$5*MIN(INDEX(Bases!$P$2:$P$53,B1051),INDEX(Bases!$P$2:$P$53,C1051))</f>
        <v>59.6666666666667</v>
      </c>
      <c r="W1051" s="2" t="n">
        <f aca="false">Settings!$B$4*MAX(INDEX(Bases!$Q$2:$Q$53,B1051),INDEX(Bases!$Q$2:$Q$53,C1051))+Settings!$B$5*MIN(INDEX(Bases!$Q$2:$Q$53,B1051),INDEX(Bases!$Q$2:$Q$53,C1051))</f>
        <v>92.3333333333333</v>
      </c>
      <c r="X1051" s="2" t="n">
        <f aca="false">Settings!$B$4*MAX(INDEX(Bases!$R$2:$R$53,B1051),INDEX(Bases!$R$2:$R$53,C1051))+Settings!$B$5*MIN(INDEX(Bases!$R$2:$R$53,B1051),INDEX(Bases!$R$2:$R$53,C1051))</f>
        <v>71</v>
      </c>
      <c r="Y1051" s="2" t="n">
        <f aca="false">S1051*Settings!$B$3/SUM(S1051:X1051)</f>
        <v>71.5926493108729</v>
      </c>
      <c r="Z1051" s="2" t="n">
        <f aca="false">T1051*Settings!$B$3/SUM(S1051:X1051)</f>
        <v>69.2955589586524</v>
      </c>
      <c r="AA1051" s="2" t="n">
        <f aca="false">U1051*Settings!$B$3/SUM(S1051:X1051)</f>
        <v>102.986217457887</v>
      </c>
      <c r="AB1051" s="2" t="n">
        <f aca="false">V1051*Settings!$B$3/SUM(S1051:X1051)</f>
        <v>68.5298621745789</v>
      </c>
      <c r="AC1051" s="2" t="n">
        <f aca="false">W1051*Settings!$B$3/SUM(S1051:X1051)</f>
        <v>106.049004594181</v>
      </c>
      <c r="AD1051" s="2" t="n">
        <f aca="false">X1051*Settings!$B$3/SUM(S1051:X1051)</f>
        <v>81.5467075038285</v>
      </c>
      <c r="AE1051" s="2" t="n">
        <f aca="false">INT(Y1051)</f>
        <v>71</v>
      </c>
      <c r="AF1051" s="2" t="n">
        <f aca="false">INT(Z1051)</f>
        <v>69</v>
      </c>
      <c r="AG1051" s="2" t="n">
        <f aca="false">INT(AA1051)</f>
        <v>102</v>
      </c>
      <c r="AH1051" s="2" t="n">
        <f aca="false">INT(AB1051)</f>
        <v>68</v>
      </c>
      <c r="AI1051" s="2" t="n">
        <f aca="false">INT(AC1051)</f>
        <v>106</v>
      </c>
      <c r="AJ1051" s="2" t="n">
        <f aca="false">INT(AD1051)</f>
        <v>81</v>
      </c>
      <c r="AK1051" s="2" t="n">
        <f aca="false">Settings!$B$3-SUM(AE1051:AJ1051)</f>
        <v>3</v>
      </c>
      <c r="AL1051" s="2" t="n">
        <f aca="false">ROUND(Y1051-AE1051,9)</f>
        <v>0.592649311</v>
      </c>
      <c r="AM1051" s="2" t="n">
        <f aca="false">ROUND(Z1051-AF1051,9)</f>
        <v>0.295558959</v>
      </c>
      <c r="AN1051" s="2" t="n">
        <f aca="false">ROUND(AA1051-AG1051,9)</f>
        <v>0.986217458</v>
      </c>
      <c r="AO1051" s="2" t="n">
        <f aca="false">ROUND(AB1051-AH1051,9)</f>
        <v>0.529862175</v>
      </c>
      <c r="AP1051" s="2" t="n">
        <f aca="false">ROUND(AC1051-AI1051,9)</f>
        <v>0.049004594</v>
      </c>
      <c r="AQ1051" s="2" t="n">
        <f aca="false">ROUND(AD1051-AJ1051,9)</f>
        <v>0.546707504</v>
      </c>
    </row>
    <row r="1052" customFormat="false" ht="15" hidden="false" customHeight="false" outlineLevel="0" collapsed="false">
      <c r="A1052" s="2" t="n">
        <v>1051</v>
      </c>
      <c r="B1052" s="6" t="n">
        <v>29</v>
      </c>
      <c r="C1052" s="6" t="n">
        <v>30</v>
      </c>
      <c r="D1052" s="8" t="str">
        <f aca="false">INDEX(Bases!$B$2:$B$53,B1052)</f>
        <v>Murkrow</v>
      </c>
      <c r="E1052" s="8" t="str">
        <f aca="false">INDEX(Bases!$B$2:$B$53,C1052)</f>
        <v>Swablu</v>
      </c>
      <c r="F1052" s="2" t="str">
        <f aca="false">LEFT(D1052,ROUNDUP(LEN(D1052)/2,0))&amp;LOWER(MID(E1052,ROUNDUP(LEN(E1052)/2,0)+1,20))</f>
        <v>Murkblu</v>
      </c>
      <c r="G1052" s="8" t="str">
        <f aca="false">INDEX(Bases!$C$2:$C$53,B1052)</f>
        <v>Flying</v>
      </c>
      <c r="H1052" s="8" t="str">
        <f aca="false">IF(INDEX(Bases!$C$2:$C$53,C1052)=G1052,"",INDEX(Bases!$C$2:$C$53,C1052))</f>
        <v/>
      </c>
      <c r="I1052" s="8" t="str">
        <f aca="false">IF(INDEX(Bases!$E$2:$E$53,B1052)="","",INDEX(Bases!$E$2:$E$53,B1052))</f>
        <v/>
      </c>
      <c r="J1052" s="8" t="str">
        <f aca="false">IF(INDEX(Bases!$E$2:$E$53,C1052)="","",INDEX(Bases!$E$2:$E$53,C1052))</f>
        <v/>
      </c>
      <c r="K1052" s="5"/>
      <c r="L1052" s="2" t="n">
        <f aca="false">AE1052+IF(SUMPRODUCT(--($AL1052:$AQ1052&gt;AL1052))&lt;$AK1052,1,0)</f>
        <v>68</v>
      </c>
      <c r="M1052" s="2" t="n">
        <f aca="false">AF1052+IF(SUMPRODUCT(--($AL1052:$AQ1052&gt;AM1052))+SUMPRODUCT(--($AL1052:AL1052=AM1052))&lt;$AK1052,1,0)</f>
        <v>85</v>
      </c>
      <c r="N1052" s="2" t="n">
        <f aca="false">AG1052+IF(SUMPRODUCT(--($AL1052:$AQ1052&gt;AN1052))+SUMPRODUCT(--($AL1052:AM1052=AN1052))&lt;$AK1052,1,0)</f>
        <v>76</v>
      </c>
      <c r="O1052" s="2" t="n">
        <f aca="false">AH1052+IF(SUMPRODUCT(--($AL1052:$AQ1052&gt;AO1052))+SUMPRODUCT(--($AL1052:AN1052=AO1052))&lt;$AK1052,1,0)</f>
        <v>85</v>
      </c>
      <c r="P1052" s="2" t="n">
        <f aca="false">AI1052+IF(SUMPRODUCT(--($AL1052:$AQ1052&gt;AP1052))+SUMPRODUCT(--($AL1052:AO1052=AP1052))&lt;$AK1052,1,0)</f>
        <v>91</v>
      </c>
      <c r="Q1052" s="2" t="n">
        <f aca="false">AJ1052+IF(SUMPRODUCT(--($AL1052:$AQ1052&gt;AQ1052))+SUMPRODUCT(--($AL1052:AP1052=AQ1052))&lt;$AK1052,1,0)</f>
        <v>95</v>
      </c>
      <c r="R1052" s="2" t="n">
        <f aca="false">SUM(L1052:Q1052)</f>
        <v>500</v>
      </c>
      <c r="S1052" s="2" t="n">
        <f aca="false">Settings!$B$4*MAX(INDEX(Bases!$M$2:$M$53,B1052),INDEX(Bases!$M$2:$M$53,C1052))+Settings!$B$5*MIN(INDEX(Bases!$M$2:$M$53,B1052),INDEX(Bases!$M$2:$M$53,C1052))</f>
        <v>58.6666666666667</v>
      </c>
      <c r="T1052" s="2" t="n">
        <f aca="false">Settings!$B$4*MAX(INDEX(Bases!$N$2:$N$53,B1052),INDEX(Bases!$N$2:$N$53,C1052))+Settings!$B$5*MIN(INDEX(Bases!$N$2:$N$53,B1052),INDEX(Bases!$N$2:$N$53,C1052))</f>
        <v>73.3333333333333</v>
      </c>
      <c r="U1052" s="2" t="n">
        <f aca="false">Settings!$B$4*MAX(INDEX(Bases!$O$2:$O$53,B1052),INDEX(Bases!$O$2:$O$53,C1052))+Settings!$B$5*MIN(INDEX(Bases!$O$2:$O$53,B1052),INDEX(Bases!$O$2:$O$53,C1052))</f>
        <v>65.3333333333333</v>
      </c>
      <c r="V1052" s="2" t="n">
        <f aca="false">Settings!$B$4*MAX(INDEX(Bases!$P$2:$P$53,B1052),INDEX(Bases!$P$2:$P$53,C1052))+Settings!$B$5*MIN(INDEX(Bases!$P$2:$P$53,B1052),INDEX(Bases!$P$2:$P$53,C1052))</f>
        <v>73.3333333333333</v>
      </c>
      <c r="W1052" s="2" t="n">
        <f aca="false">Settings!$B$4*MAX(INDEX(Bases!$Q$2:$Q$53,B1052),INDEX(Bases!$Q$2:$Q$53,C1052))+Settings!$B$5*MIN(INDEX(Bases!$Q$2:$Q$53,B1052),INDEX(Bases!$Q$2:$Q$53,C1052))</f>
        <v>78.3333333333333</v>
      </c>
      <c r="X1052" s="2" t="n">
        <f aca="false">Settings!$B$4*MAX(INDEX(Bases!$R$2:$R$53,B1052),INDEX(Bases!$R$2:$R$53,C1052))+Settings!$B$5*MIN(INDEX(Bases!$R$2:$R$53,B1052),INDEX(Bases!$R$2:$R$53,C1052))</f>
        <v>81.3333333333333</v>
      </c>
      <c r="Y1052" s="2" t="n">
        <f aca="false">S1052*Settings!$B$3/SUM(S1052:X1052)</f>
        <v>68.1642137877614</v>
      </c>
      <c r="Z1052" s="2" t="n">
        <f aca="false">T1052*Settings!$B$3/SUM(S1052:X1052)</f>
        <v>85.2052672347018</v>
      </c>
      <c r="AA1052" s="2" t="n">
        <f aca="false">U1052*Settings!$B$3/SUM(S1052:X1052)</f>
        <v>75.9101471727343</v>
      </c>
      <c r="AB1052" s="2" t="n">
        <f aca="false">V1052*Settings!$B$3/SUM(S1052:X1052)</f>
        <v>85.2052672347018</v>
      </c>
      <c r="AC1052" s="2" t="n">
        <f aca="false">W1052*Settings!$B$3/SUM(S1052:X1052)</f>
        <v>91.0147172734314</v>
      </c>
      <c r="AD1052" s="2" t="n">
        <f aca="false">X1052*Settings!$B$3/SUM(S1052:X1052)</f>
        <v>94.5003872966693</v>
      </c>
      <c r="AE1052" s="2" t="n">
        <f aca="false">INT(Y1052)</f>
        <v>68</v>
      </c>
      <c r="AF1052" s="2" t="n">
        <f aca="false">INT(Z1052)</f>
        <v>85</v>
      </c>
      <c r="AG1052" s="2" t="n">
        <f aca="false">INT(AA1052)</f>
        <v>75</v>
      </c>
      <c r="AH1052" s="2" t="n">
        <f aca="false">INT(AB1052)</f>
        <v>85</v>
      </c>
      <c r="AI1052" s="2" t="n">
        <f aca="false">INT(AC1052)</f>
        <v>91</v>
      </c>
      <c r="AJ1052" s="2" t="n">
        <f aca="false">INT(AD1052)</f>
        <v>94</v>
      </c>
      <c r="AK1052" s="2" t="n">
        <f aca="false">Settings!$B$3-SUM(AE1052:AJ1052)</f>
        <v>2</v>
      </c>
      <c r="AL1052" s="2" t="n">
        <f aca="false">ROUND(Y1052-AE1052,9)</f>
        <v>0.164213788</v>
      </c>
      <c r="AM1052" s="2" t="n">
        <f aca="false">ROUND(Z1052-AF1052,9)</f>
        <v>0.205267235</v>
      </c>
      <c r="AN1052" s="2" t="n">
        <f aca="false">ROUND(AA1052-AG1052,9)</f>
        <v>0.910147173</v>
      </c>
      <c r="AO1052" s="2" t="n">
        <f aca="false">ROUND(AB1052-AH1052,9)</f>
        <v>0.205267235</v>
      </c>
      <c r="AP1052" s="2" t="n">
        <f aca="false">ROUND(AC1052-AI1052,9)</f>
        <v>0.014717273</v>
      </c>
      <c r="AQ1052" s="2" t="n">
        <f aca="false">ROUND(AD1052-AJ1052,9)</f>
        <v>0.500387297</v>
      </c>
    </row>
    <row r="1053" customFormat="false" ht="15" hidden="false" customHeight="false" outlineLevel="0" collapsed="false">
      <c r="A1053" s="2" t="n">
        <v>1052</v>
      </c>
      <c r="B1053" s="6" t="n">
        <v>29</v>
      </c>
      <c r="C1053" s="6" t="n">
        <v>31</v>
      </c>
      <c r="D1053" s="8" t="str">
        <f aca="false">INDEX(Bases!$B$2:$B$53,B1053)</f>
        <v>Murkrow</v>
      </c>
      <c r="E1053" s="8" t="str">
        <f aca="false">INDEX(Bases!$B$2:$B$53,C1053)</f>
        <v>Mew</v>
      </c>
      <c r="F1053" s="2" t="str">
        <f aca="false">LEFT(D1053,ROUNDUP(LEN(D1053)/2,0))&amp;LOWER(MID(E1053,ROUNDUP(LEN(E1053)/2,0)+1,20))</f>
        <v>Murkw</v>
      </c>
      <c r="G1053" s="8" t="str">
        <f aca="false">INDEX(Bases!$C$2:$C$53,B1053)</f>
        <v>Flying</v>
      </c>
      <c r="H1053" s="8" t="str">
        <f aca="false">IF(INDEX(Bases!$C$2:$C$53,C1053)=G1053,"",INDEX(Bases!$C$2:$C$53,C1053))</f>
        <v>Psychic</v>
      </c>
      <c r="I1053" s="8" t="str">
        <f aca="false">IF(INDEX(Bases!$E$2:$E$53,B1053)="","",INDEX(Bases!$E$2:$E$53,B1053))</f>
        <v/>
      </c>
      <c r="J1053" s="8" t="str">
        <f aca="false">IF(INDEX(Bases!$E$2:$E$53,C1053)="","",INDEX(Bases!$E$2:$E$53,C1053))</f>
        <v/>
      </c>
      <c r="K1053" s="5"/>
      <c r="L1053" s="2" t="n">
        <f aca="false">AE1053+IF(SUMPRODUCT(--($AL1053:$AQ1053&gt;AL1053))&lt;$AK1053,1,0)</f>
        <v>77</v>
      </c>
      <c r="M1053" s="2" t="n">
        <f aca="false">AF1053+IF(SUMPRODUCT(--($AL1053:$AQ1053&gt;AM1053))+SUMPRODUCT(--($AL1053:AL1053=AM1053))&lt;$AK1053,1,0)</f>
        <v>93</v>
      </c>
      <c r="N1053" s="2" t="n">
        <f aca="false">AG1053+IF(SUMPRODUCT(--($AL1053:$AQ1053&gt;AN1053))+SUMPRODUCT(--($AL1053:AM1053=AN1053))&lt;$AK1053,1,0)</f>
        <v>70</v>
      </c>
      <c r="O1053" s="2" t="n">
        <f aca="false">AH1053+IF(SUMPRODUCT(--($AL1053:$AQ1053&gt;AO1053))+SUMPRODUCT(--($AL1053:AN1053=AO1053))&lt;$AK1053,1,0)</f>
        <v>93</v>
      </c>
      <c r="P1053" s="2" t="n">
        <f aca="false">AI1053+IF(SUMPRODUCT(--($AL1053:$AQ1053&gt;AP1053))+SUMPRODUCT(--($AL1053:AO1053=AP1053))&lt;$AK1053,1,0)</f>
        <v>69</v>
      </c>
      <c r="Q1053" s="2" t="n">
        <f aca="false">AJ1053+IF(SUMPRODUCT(--($AL1053:$AQ1053&gt;AQ1053))+SUMPRODUCT(--($AL1053:AP1053=AQ1053))&lt;$AK1053,1,0)</f>
        <v>98</v>
      </c>
      <c r="R1053" s="2" t="n">
        <f aca="false">SUM(L1053:Q1053)</f>
        <v>500</v>
      </c>
      <c r="S1053" s="2" t="n">
        <f aca="false">Settings!$B$4*MAX(INDEX(Bases!$M$2:$M$53,B1053),INDEX(Bases!$M$2:$M$53,C1053))+Settings!$B$5*MIN(INDEX(Bases!$M$2:$M$53,B1053),INDEX(Bases!$M$2:$M$53,C1053))</f>
        <v>64.3333333333333</v>
      </c>
      <c r="T1053" s="2" t="n">
        <f aca="false">Settings!$B$4*MAX(INDEX(Bases!$N$2:$N$53,B1053),INDEX(Bases!$N$2:$N$53,C1053))+Settings!$B$5*MIN(INDEX(Bases!$N$2:$N$53,B1053),INDEX(Bases!$N$2:$N$53,C1053))</f>
        <v>78.3333333333333</v>
      </c>
      <c r="U1053" s="2" t="n">
        <f aca="false">Settings!$B$4*MAX(INDEX(Bases!$O$2:$O$53,B1053),INDEX(Bases!$O$2:$O$53,C1053))+Settings!$B$5*MIN(INDEX(Bases!$O$2:$O$53,B1053),INDEX(Bases!$O$2:$O$53,C1053))</f>
        <v>58.6666666666667</v>
      </c>
      <c r="V1053" s="2" t="n">
        <f aca="false">Settings!$B$4*MAX(INDEX(Bases!$P$2:$P$53,B1053),INDEX(Bases!$P$2:$P$53,C1053))+Settings!$B$5*MIN(INDEX(Bases!$P$2:$P$53,B1053),INDEX(Bases!$P$2:$P$53,C1053))</f>
        <v>78.3333333333333</v>
      </c>
      <c r="W1053" s="2" t="n">
        <f aca="false">Settings!$B$4*MAX(INDEX(Bases!$Q$2:$Q$53,B1053),INDEX(Bases!$Q$2:$Q$53,C1053))+Settings!$B$5*MIN(INDEX(Bases!$Q$2:$Q$53,B1053),INDEX(Bases!$Q$2:$Q$53,C1053))</f>
        <v>57.6666666666667</v>
      </c>
      <c r="X1053" s="2" t="n">
        <f aca="false">Settings!$B$4*MAX(INDEX(Bases!$R$2:$R$53,B1053),INDEX(Bases!$R$2:$R$53,C1053))+Settings!$B$5*MIN(INDEX(Bases!$R$2:$R$53,B1053),INDEX(Bases!$R$2:$R$53,C1053))</f>
        <v>82</v>
      </c>
      <c r="Y1053" s="2" t="n">
        <f aca="false">S1053*Settings!$B$3/SUM(S1053:X1053)</f>
        <v>76.7090620031796</v>
      </c>
      <c r="Z1053" s="2" t="n">
        <f aca="false">T1053*Settings!$B$3/SUM(S1053:X1053)</f>
        <v>93.4022257551669</v>
      </c>
      <c r="AA1053" s="2" t="n">
        <f aca="false">U1053*Settings!$B$3/SUM(S1053:X1053)</f>
        <v>69.9523052464229</v>
      </c>
      <c r="AB1053" s="2" t="n">
        <f aca="false">V1053*Settings!$B$3/SUM(S1053:X1053)</f>
        <v>93.4022257551669</v>
      </c>
      <c r="AC1053" s="2" t="n">
        <f aca="false">W1053*Settings!$B$3/SUM(S1053:X1053)</f>
        <v>68.7599364069952</v>
      </c>
      <c r="AD1053" s="2" t="n">
        <f aca="false">X1053*Settings!$B$3/SUM(S1053:X1053)</f>
        <v>97.7742448330684</v>
      </c>
      <c r="AE1053" s="2" t="n">
        <f aca="false">INT(Y1053)</f>
        <v>76</v>
      </c>
      <c r="AF1053" s="2" t="n">
        <f aca="false">INT(Z1053)</f>
        <v>93</v>
      </c>
      <c r="AG1053" s="2" t="n">
        <f aca="false">INT(AA1053)</f>
        <v>69</v>
      </c>
      <c r="AH1053" s="2" t="n">
        <f aca="false">INT(AB1053)</f>
        <v>93</v>
      </c>
      <c r="AI1053" s="2" t="n">
        <f aca="false">INT(AC1053)</f>
        <v>68</v>
      </c>
      <c r="AJ1053" s="2" t="n">
        <f aca="false">INT(AD1053)</f>
        <v>97</v>
      </c>
      <c r="AK1053" s="2" t="n">
        <f aca="false">Settings!$B$3-SUM(AE1053:AJ1053)</f>
        <v>4</v>
      </c>
      <c r="AL1053" s="2" t="n">
        <f aca="false">ROUND(Y1053-AE1053,9)</f>
        <v>0.709062003</v>
      </c>
      <c r="AM1053" s="2" t="n">
        <f aca="false">ROUND(Z1053-AF1053,9)</f>
        <v>0.402225755</v>
      </c>
      <c r="AN1053" s="2" t="n">
        <f aca="false">ROUND(AA1053-AG1053,9)</f>
        <v>0.952305246</v>
      </c>
      <c r="AO1053" s="2" t="n">
        <f aca="false">ROUND(AB1053-AH1053,9)</f>
        <v>0.402225755</v>
      </c>
      <c r="AP1053" s="2" t="n">
        <f aca="false">ROUND(AC1053-AI1053,9)</f>
        <v>0.759936407</v>
      </c>
      <c r="AQ1053" s="2" t="n">
        <f aca="false">ROUND(AD1053-AJ1053,9)</f>
        <v>0.774244833</v>
      </c>
    </row>
    <row r="1054" customFormat="false" ht="15" hidden="false" customHeight="false" outlineLevel="0" collapsed="false">
      <c r="A1054" s="2" t="n">
        <v>1053</v>
      </c>
      <c r="B1054" s="6" t="n">
        <v>29</v>
      </c>
      <c r="C1054" s="6" t="n">
        <v>32</v>
      </c>
      <c r="D1054" s="8" t="str">
        <f aca="false">INDEX(Bases!$B$2:$B$53,B1054)</f>
        <v>Murkrow</v>
      </c>
      <c r="E1054" s="8" t="str">
        <f aca="false">INDEX(Bases!$B$2:$B$53,C1054)</f>
        <v>Spoink</v>
      </c>
      <c r="F1054" s="2" t="str">
        <f aca="false">LEFT(D1054,ROUNDUP(LEN(D1054)/2,0))&amp;LOWER(MID(E1054,ROUNDUP(LEN(E1054)/2,0)+1,20))</f>
        <v>Murkink</v>
      </c>
      <c r="G1054" s="8" t="str">
        <f aca="false">INDEX(Bases!$C$2:$C$53,B1054)</f>
        <v>Flying</v>
      </c>
      <c r="H1054" s="8" t="str">
        <f aca="false">IF(INDEX(Bases!$C$2:$C$53,C1054)=G1054,"",INDEX(Bases!$C$2:$C$53,C1054))</f>
        <v>Psychic</v>
      </c>
      <c r="I1054" s="8" t="str">
        <f aca="false">IF(INDEX(Bases!$E$2:$E$53,B1054)="","",INDEX(Bases!$E$2:$E$53,B1054))</f>
        <v/>
      </c>
      <c r="J1054" s="8" t="str">
        <f aca="false">IF(INDEX(Bases!$E$2:$E$53,C1054)="","",INDEX(Bases!$E$2:$E$53,C1054))</f>
        <v/>
      </c>
      <c r="K1054" s="5"/>
      <c r="L1054" s="2" t="n">
        <f aca="false">AE1054+IF(SUMPRODUCT(--($AL1054:$AQ1054&gt;AL1054))&lt;$AK1054,1,0)</f>
        <v>81</v>
      </c>
      <c r="M1054" s="2" t="n">
        <f aca="false">AF1054+IF(SUMPRODUCT(--($AL1054:$AQ1054&gt;AM1054))+SUMPRODUCT(--($AL1054:AL1054=AM1054))&lt;$AK1054,1,0)</f>
        <v>78</v>
      </c>
      <c r="N1054" s="2" t="n">
        <f aca="false">AG1054+IF(SUMPRODUCT(--($AL1054:$AQ1054&gt;AN1054))+SUMPRODUCT(--($AL1054:AM1054=AN1054))&lt;$AK1054,1,0)</f>
        <v>50</v>
      </c>
      <c r="O1054" s="2" t="n">
        <f aca="false">AH1054+IF(SUMPRODUCT(--($AL1054:$AQ1054&gt;AO1054))+SUMPRODUCT(--($AL1054:AN1054=AO1054))&lt;$AK1054,1,0)</f>
        <v>100</v>
      </c>
      <c r="P1054" s="2" t="n">
        <f aca="false">AI1054+IF(SUMPRODUCT(--($AL1054:$AQ1054&gt;AP1054))+SUMPRODUCT(--($AL1054:AO1054=AP1054))&lt;$AK1054,1,0)</f>
        <v>92</v>
      </c>
      <c r="Q1054" s="2" t="n">
        <f aca="false">AJ1054+IF(SUMPRODUCT(--($AL1054:$AQ1054&gt;AQ1054))+SUMPRODUCT(--($AL1054:AP1054=AQ1054))&lt;$AK1054,1,0)</f>
        <v>99</v>
      </c>
      <c r="R1054" s="2" t="n">
        <f aca="false">SUM(L1054:Q1054)</f>
        <v>500</v>
      </c>
      <c r="S1054" s="2" t="n">
        <f aca="false">Settings!$B$4*MAX(INDEX(Bases!$M$2:$M$53,B1054),INDEX(Bases!$M$2:$M$53,C1054))+Settings!$B$5*MIN(INDEX(Bases!$M$2:$M$53,B1054),INDEX(Bases!$M$2:$M$53,C1054))</f>
        <v>68.3333333333333</v>
      </c>
      <c r="T1054" s="2" t="n">
        <f aca="false">Settings!$B$4*MAX(INDEX(Bases!$N$2:$N$53,B1054),INDEX(Bases!$N$2:$N$53,C1054))+Settings!$B$5*MIN(INDEX(Bases!$N$2:$N$53,B1054),INDEX(Bases!$N$2:$N$53,C1054))</f>
        <v>66</v>
      </c>
      <c r="U1054" s="2" t="n">
        <f aca="false">Settings!$B$4*MAX(INDEX(Bases!$O$2:$O$53,B1054),INDEX(Bases!$O$2:$O$53,C1054))+Settings!$B$5*MIN(INDEX(Bases!$O$2:$O$53,B1054),INDEX(Bases!$O$2:$O$53,C1054))</f>
        <v>42</v>
      </c>
      <c r="V1054" s="2" t="n">
        <f aca="false">Settings!$B$4*MAX(INDEX(Bases!$P$2:$P$53,B1054),INDEX(Bases!$P$2:$P$53,C1054))+Settings!$B$5*MIN(INDEX(Bases!$P$2:$P$53,B1054),INDEX(Bases!$P$2:$P$53,C1054))</f>
        <v>84.6666666666667</v>
      </c>
      <c r="W1054" s="2" t="n">
        <f aca="false">Settings!$B$4*MAX(INDEX(Bases!$Q$2:$Q$53,B1054),INDEX(Bases!$Q$2:$Q$53,C1054))+Settings!$B$5*MIN(INDEX(Bases!$Q$2:$Q$53,B1054),INDEX(Bases!$Q$2:$Q$53,C1054))</f>
        <v>78.3333333333333</v>
      </c>
      <c r="X1054" s="2" t="n">
        <f aca="false">Settings!$B$4*MAX(INDEX(Bases!$R$2:$R$53,B1054),INDEX(Bases!$R$2:$R$53,C1054))+Settings!$B$5*MIN(INDEX(Bases!$R$2:$R$53,B1054),INDEX(Bases!$R$2:$R$53,C1054))</f>
        <v>84.3333333333333</v>
      </c>
      <c r="Y1054" s="2" t="n">
        <f aca="false">S1054*Settings!$B$3/SUM(S1054:X1054)</f>
        <v>80.6451612903226</v>
      </c>
      <c r="Z1054" s="2" t="n">
        <f aca="false">T1054*Settings!$B$3/SUM(S1054:X1054)</f>
        <v>77.8914240755311</v>
      </c>
      <c r="AA1054" s="2" t="n">
        <f aca="false">U1054*Settings!$B$3/SUM(S1054:X1054)</f>
        <v>49.5672698662471</v>
      </c>
      <c r="AB1054" s="2" t="n">
        <f aca="false">V1054*Settings!$B$3/SUM(S1054:X1054)</f>
        <v>99.9213217938631</v>
      </c>
      <c r="AC1054" s="2" t="n">
        <f aca="false">W1054*Settings!$B$3/SUM(S1054:X1054)</f>
        <v>92.4468922108576</v>
      </c>
      <c r="AD1054" s="2" t="n">
        <f aca="false">X1054*Settings!$B$3/SUM(S1054:X1054)</f>
        <v>99.5279307631786</v>
      </c>
      <c r="AE1054" s="2" t="n">
        <f aca="false">INT(Y1054)</f>
        <v>80</v>
      </c>
      <c r="AF1054" s="2" t="n">
        <f aca="false">INT(Z1054)</f>
        <v>77</v>
      </c>
      <c r="AG1054" s="2" t="n">
        <f aca="false">INT(AA1054)</f>
        <v>49</v>
      </c>
      <c r="AH1054" s="2" t="n">
        <f aca="false">INT(AB1054)</f>
        <v>99</v>
      </c>
      <c r="AI1054" s="2" t="n">
        <f aca="false">INT(AC1054)</f>
        <v>92</v>
      </c>
      <c r="AJ1054" s="2" t="n">
        <f aca="false">INT(AD1054)</f>
        <v>99</v>
      </c>
      <c r="AK1054" s="2" t="n">
        <f aca="false">Settings!$B$3-SUM(AE1054:AJ1054)</f>
        <v>4</v>
      </c>
      <c r="AL1054" s="2" t="n">
        <f aca="false">ROUND(Y1054-AE1054,9)</f>
        <v>0.64516129</v>
      </c>
      <c r="AM1054" s="2" t="n">
        <f aca="false">ROUND(Z1054-AF1054,9)</f>
        <v>0.891424076</v>
      </c>
      <c r="AN1054" s="2" t="n">
        <f aca="false">ROUND(AA1054-AG1054,9)</f>
        <v>0.567269866</v>
      </c>
      <c r="AO1054" s="2" t="n">
        <f aca="false">ROUND(AB1054-AH1054,9)</f>
        <v>0.921321794</v>
      </c>
      <c r="AP1054" s="2" t="n">
        <f aca="false">ROUND(AC1054-AI1054,9)</f>
        <v>0.446892211</v>
      </c>
      <c r="AQ1054" s="2" t="n">
        <f aca="false">ROUND(AD1054-AJ1054,9)</f>
        <v>0.527930763</v>
      </c>
    </row>
    <row r="1055" customFormat="false" ht="15" hidden="false" customHeight="false" outlineLevel="0" collapsed="false">
      <c r="A1055" s="2" t="n">
        <v>1054</v>
      </c>
      <c r="B1055" s="6" t="n">
        <v>29</v>
      </c>
      <c r="C1055" s="6" t="n">
        <v>33</v>
      </c>
      <c r="D1055" s="8" t="str">
        <f aca="false">INDEX(Bases!$B$2:$B$53,B1055)</f>
        <v>Murkrow</v>
      </c>
      <c r="E1055" s="8" t="str">
        <f aca="false">INDEX(Bases!$B$2:$B$53,C1055)</f>
        <v>Jirachi</v>
      </c>
      <c r="F1055" s="2" t="str">
        <f aca="false">LEFT(D1055,ROUNDUP(LEN(D1055)/2,0))&amp;LOWER(MID(E1055,ROUNDUP(LEN(E1055)/2,0)+1,20))</f>
        <v>Murkchi</v>
      </c>
      <c r="G1055" s="8" t="str">
        <f aca="false">INDEX(Bases!$C$2:$C$53,B1055)</f>
        <v>Flying</v>
      </c>
      <c r="H1055" s="8" t="str">
        <f aca="false">IF(INDEX(Bases!$C$2:$C$53,C1055)=G1055,"",INDEX(Bases!$C$2:$C$53,C1055))</f>
        <v>Psychic</v>
      </c>
      <c r="I1055" s="8" t="str">
        <f aca="false">IF(INDEX(Bases!$E$2:$E$53,B1055)="","",INDEX(Bases!$E$2:$E$53,B1055))</f>
        <v/>
      </c>
      <c r="J1055" s="8" t="str">
        <f aca="false">IF(INDEX(Bases!$E$2:$E$53,C1055)="","",INDEX(Bases!$E$2:$E$53,C1055))</f>
        <v/>
      </c>
      <c r="K1055" s="5"/>
      <c r="L1055" s="2" t="n">
        <f aca="false">AE1055+IF(SUMPRODUCT(--($AL1055:$AQ1055&gt;AL1055))&lt;$AK1055,1,0)</f>
        <v>77</v>
      </c>
      <c r="M1055" s="2" t="n">
        <f aca="false">AF1055+IF(SUMPRODUCT(--($AL1055:$AQ1055&gt;AM1055))+SUMPRODUCT(--($AL1055:AL1055=AM1055))&lt;$AK1055,1,0)</f>
        <v>93</v>
      </c>
      <c r="N1055" s="2" t="n">
        <f aca="false">AG1055+IF(SUMPRODUCT(--($AL1055:$AQ1055&gt;AN1055))+SUMPRODUCT(--($AL1055:AM1055=AN1055))&lt;$AK1055,1,0)</f>
        <v>70</v>
      </c>
      <c r="O1055" s="2" t="n">
        <f aca="false">AH1055+IF(SUMPRODUCT(--($AL1055:$AQ1055&gt;AO1055))+SUMPRODUCT(--($AL1055:AN1055=AO1055))&lt;$AK1055,1,0)</f>
        <v>93</v>
      </c>
      <c r="P1055" s="2" t="n">
        <f aca="false">AI1055+IF(SUMPRODUCT(--($AL1055:$AQ1055&gt;AP1055))+SUMPRODUCT(--($AL1055:AO1055=AP1055))&lt;$AK1055,1,0)</f>
        <v>69</v>
      </c>
      <c r="Q1055" s="2" t="n">
        <f aca="false">AJ1055+IF(SUMPRODUCT(--($AL1055:$AQ1055&gt;AQ1055))+SUMPRODUCT(--($AL1055:AP1055=AQ1055))&lt;$AK1055,1,0)</f>
        <v>98</v>
      </c>
      <c r="R1055" s="2" t="n">
        <f aca="false">SUM(L1055:Q1055)</f>
        <v>500</v>
      </c>
      <c r="S1055" s="2" t="n">
        <f aca="false">Settings!$B$4*MAX(INDEX(Bases!$M$2:$M$53,B1055),INDEX(Bases!$M$2:$M$53,C1055))+Settings!$B$5*MIN(INDEX(Bases!$M$2:$M$53,B1055),INDEX(Bases!$M$2:$M$53,C1055))</f>
        <v>64.3333333333333</v>
      </c>
      <c r="T1055" s="2" t="n">
        <f aca="false">Settings!$B$4*MAX(INDEX(Bases!$N$2:$N$53,B1055),INDEX(Bases!$N$2:$N$53,C1055))+Settings!$B$5*MIN(INDEX(Bases!$N$2:$N$53,B1055),INDEX(Bases!$N$2:$N$53,C1055))</f>
        <v>78.3333333333333</v>
      </c>
      <c r="U1055" s="2" t="n">
        <f aca="false">Settings!$B$4*MAX(INDEX(Bases!$O$2:$O$53,B1055),INDEX(Bases!$O$2:$O$53,C1055))+Settings!$B$5*MIN(INDEX(Bases!$O$2:$O$53,B1055),INDEX(Bases!$O$2:$O$53,C1055))</f>
        <v>58.6666666666667</v>
      </c>
      <c r="V1055" s="2" t="n">
        <f aca="false">Settings!$B$4*MAX(INDEX(Bases!$P$2:$P$53,B1055),INDEX(Bases!$P$2:$P$53,C1055))+Settings!$B$5*MIN(INDEX(Bases!$P$2:$P$53,B1055),INDEX(Bases!$P$2:$P$53,C1055))</f>
        <v>78.3333333333333</v>
      </c>
      <c r="W1055" s="2" t="n">
        <f aca="false">Settings!$B$4*MAX(INDEX(Bases!$Q$2:$Q$53,B1055),INDEX(Bases!$Q$2:$Q$53,C1055))+Settings!$B$5*MIN(INDEX(Bases!$Q$2:$Q$53,B1055),INDEX(Bases!$Q$2:$Q$53,C1055))</f>
        <v>57.6666666666667</v>
      </c>
      <c r="X1055" s="2" t="n">
        <f aca="false">Settings!$B$4*MAX(INDEX(Bases!$R$2:$R$53,B1055),INDEX(Bases!$R$2:$R$53,C1055))+Settings!$B$5*MIN(INDEX(Bases!$R$2:$R$53,B1055),INDEX(Bases!$R$2:$R$53,C1055))</f>
        <v>82</v>
      </c>
      <c r="Y1055" s="2" t="n">
        <f aca="false">S1055*Settings!$B$3/SUM(S1055:X1055)</f>
        <v>76.7090620031796</v>
      </c>
      <c r="Z1055" s="2" t="n">
        <f aca="false">T1055*Settings!$B$3/SUM(S1055:X1055)</f>
        <v>93.4022257551669</v>
      </c>
      <c r="AA1055" s="2" t="n">
        <f aca="false">U1055*Settings!$B$3/SUM(S1055:X1055)</f>
        <v>69.9523052464229</v>
      </c>
      <c r="AB1055" s="2" t="n">
        <f aca="false">V1055*Settings!$B$3/SUM(S1055:X1055)</f>
        <v>93.4022257551669</v>
      </c>
      <c r="AC1055" s="2" t="n">
        <f aca="false">W1055*Settings!$B$3/SUM(S1055:X1055)</f>
        <v>68.7599364069952</v>
      </c>
      <c r="AD1055" s="2" t="n">
        <f aca="false">X1055*Settings!$B$3/SUM(S1055:X1055)</f>
        <v>97.7742448330684</v>
      </c>
      <c r="AE1055" s="2" t="n">
        <f aca="false">INT(Y1055)</f>
        <v>76</v>
      </c>
      <c r="AF1055" s="2" t="n">
        <f aca="false">INT(Z1055)</f>
        <v>93</v>
      </c>
      <c r="AG1055" s="2" t="n">
        <f aca="false">INT(AA1055)</f>
        <v>69</v>
      </c>
      <c r="AH1055" s="2" t="n">
        <f aca="false">INT(AB1055)</f>
        <v>93</v>
      </c>
      <c r="AI1055" s="2" t="n">
        <f aca="false">INT(AC1055)</f>
        <v>68</v>
      </c>
      <c r="AJ1055" s="2" t="n">
        <f aca="false">INT(AD1055)</f>
        <v>97</v>
      </c>
      <c r="AK1055" s="2" t="n">
        <f aca="false">Settings!$B$3-SUM(AE1055:AJ1055)</f>
        <v>4</v>
      </c>
      <c r="AL1055" s="2" t="n">
        <f aca="false">ROUND(Y1055-AE1055,9)</f>
        <v>0.709062003</v>
      </c>
      <c r="AM1055" s="2" t="n">
        <f aca="false">ROUND(Z1055-AF1055,9)</f>
        <v>0.402225755</v>
      </c>
      <c r="AN1055" s="2" t="n">
        <f aca="false">ROUND(AA1055-AG1055,9)</f>
        <v>0.952305246</v>
      </c>
      <c r="AO1055" s="2" t="n">
        <f aca="false">ROUND(AB1055-AH1055,9)</f>
        <v>0.402225755</v>
      </c>
      <c r="AP1055" s="2" t="n">
        <f aca="false">ROUND(AC1055-AI1055,9)</f>
        <v>0.759936407</v>
      </c>
      <c r="AQ1055" s="2" t="n">
        <f aca="false">ROUND(AD1055-AJ1055,9)</f>
        <v>0.774244833</v>
      </c>
    </row>
    <row r="1056" customFormat="false" ht="15" hidden="false" customHeight="false" outlineLevel="0" collapsed="false">
      <c r="A1056" s="2" t="n">
        <v>1055</v>
      </c>
      <c r="B1056" s="6" t="n">
        <v>29</v>
      </c>
      <c r="C1056" s="6" t="n">
        <v>34</v>
      </c>
      <c r="D1056" s="8" t="str">
        <f aca="false">INDEX(Bases!$B$2:$B$53,B1056)</f>
        <v>Murkrow</v>
      </c>
      <c r="E1056" s="8" t="str">
        <f aca="false">INDEX(Bases!$B$2:$B$53,C1056)</f>
        <v>Paras</v>
      </c>
      <c r="F1056" s="2" t="str">
        <f aca="false">LEFT(D1056,ROUNDUP(LEN(D1056)/2,0))&amp;LOWER(MID(E1056,ROUNDUP(LEN(E1056)/2,0)+1,20))</f>
        <v>Murkas</v>
      </c>
      <c r="G1056" s="8" t="str">
        <f aca="false">INDEX(Bases!$C$2:$C$53,B1056)</f>
        <v>Flying</v>
      </c>
      <c r="H1056" s="8" t="str">
        <f aca="false">IF(INDEX(Bases!$C$2:$C$53,C1056)=G1056,"",INDEX(Bases!$C$2:$C$53,C1056))</f>
        <v>Bug</v>
      </c>
      <c r="I1056" s="8" t="str">
        <f aca="false">IF(INDEX(Bases!$E$2:$E$53,B1056)="","",INDEX(Bases!$E$2:$E$53,B1056))</f>
        <v/>
      </c>
      <c r="J1056" s="8" t="str">
        <f aca="false">IF(INDEX(Bases!$E$2:$E$53,C1056)="","",INDEX(Bases!$E$2:$E$53,C1056))</f>
        <v/>
      </c>
      <c r="K1056" s="5"/>
      <c r="L1056" s="2" t="n">
        <f aca="false">AE1056+IF(SUMPRODUCT(--($AL1056:$AQ1056&gt;AL1056))&lt;$AK1056,1,0)</f>
        <v>65</v>
      </c>
      <c r="M1056" s="2" t="n">
        <f aca="false">AF1056+IF(SUMPRODUCT(--($AL1056:$AQ1056&gt;AM1056))+SUMPRODUCT(--($AL1056:AL1056=AM1056))&lt;$AK1056,1,0)</f>
        <v>110</v>
      </c>
      <c r="N1056" s="2" t="n">
        <f aca="false">AG1056+IF(SUMPRODUCT(--($AL1056:$AQ1056&gt;AN1056))+SUMPRODUCT(--($AL1056:AM1056=AN1056))&lt;$AK1056,1,0)</f>
        <v>76</v>
      </c>
      <c r="O1056" s="2" t="n">
        <f aca="false">AH1056+IF(SUMPRODUCT(--($AL1056:$AQ1056&gt;AO1056))+SUMPRODUCT(--($AL1056:AN1056=AO1056))&lt;$AK1056,1,0)</f>
        <v>90</v>
      </c>
      <c r="P1056" s="2" t="n">
        <f aca="false">AI1056+IF(SUMPRODUCT(--($AL1056:$AQ1056&gt;AP1056))+SUMPRODUCT(--($AL1056:AO1056=AP1056))&lt;$AK1056,1,0)</f>
        <v>76</v>
      </c>
      <c r="Q1056" s="2" t="n">
        <f aca="false">AJ1056+IF(SUMPRODUCT(--($AL1056:$AQ1056&gt;AQ1056))+SUMPRODUCT(--($AL1056:AP1056=AQ1056))&lt;$AK1056,1,0)</f>
        <v>83</v>
      </c>
      <c r="R1056" s="2" t="n">
        <f aca="false">SUM(L1056:Q1056)</f>
        <v>500</v>
      </c>
      <c r="S1056" s="2" t="n">
        <f aca="false">Settings!$B$4*MAX(INDEX(Bases!$M$2:$M$53,B1056),INDEX(Bases!$M$2:$M$53,C1056))+Settings!$B$5*MIN(INDEX(Bases!$M$2:$M$53,B1056),INDEX(Bases!$M$2:$M$53,C1056))</f>
        <v>55.6666666666667</v>
      </c>
      <c r="T1056" s="2" t="n">
        <f aca="false">Settings!$B$4*MAX(INDEX(Bases!$N$2:$N$53,B1056),INDEX(Bases!$N$2:$N$53,C1056))+Settings!$B$5*MIN(INDEX(Bases!$N$2:$N$53,B1056),INDEX(Bases!$N$2:$N$53,C1056))</f>
        <v>94</v>
      </c>
      <c r="U1056" s="2" t="n">
        <f aca="false">Settings!$B$4*MAX(INDEX(Bases!$O$2:$O$53,B1056),INDEX(Bases!$O$2:$O$53,C1056))+Settings!$B$5*MIN(INDEX(Bases!$O$2:$O$53,B1056),INDEX(Bases!$O$2:$O$53,C1056))</f>
        <v>65.3333333333333</v>
      </c>
      <c r="V1056" s="2" t="n">
        <f aca="false">Settings!$B$4*MAX(INDEX(Bases!$P$2:$P$53,B1056),INDEX(Bases!$P$2:$P$53,C1056))+Settings!$B$5*MIN(INDEX(Bases!$P$2:$P$53,B1056),INDEX(Bases!$P$2:$P$53,C1056))</f>
        <v>77</v>
      </c>
      <c r="W1056" s="2" t="n">
        <f aca="false">Settings!$B$4*MAX(INDEX(Bases!$Q$2:$Q$53,B1056),INDEX(Bases!$Q$2:$Q$53,C1056))+Settings!$B$5*MIN(INDEX(Bases!$Q$2:$Q$53,B1056),INDEX(Bases!$Q$2:$Q$53,C1056))</f>
        <v>65</v>
      </c>
      <c r="X1056" s="2" t="n">
        <f aca="false">Settings!$B$4*MAX(INDEX(Bases!$R$2:$R$53,B1056),INDEX(Bases!$R$2:$R$53,C1056))+Settings!$B$5*MIN(INDEX(Bases!$R$2:$R$53,B1056),INDEX(Bases!$R$2:$R$53,C1056))</f>
        <v>71.6666666666667</v>
      </c>
      <c r="Y1056" s="2" t="n">
        <f aca="false">S1056*Settings!$B$3/SUM(S1056:X1056)</f>
        <v>64.9300155520995</v>
      </c>
      <c r="Z1056" s="2" t="n">
        <f aca="false">T1056*Settings!$B$3/SUM(S1056:X1056)</f>
        <v>109.642301710731</v>
      </c>
      <c r="AA1056" s="2" t="n">
        <f aca="false">U1056*Settings!$B$3/SUM(S1056:X1056)</f>
        <v>76.2052877138414</v>
      </c>
      <c r="AB1056" s="2" t="n">
        <f aca="false">V1056*Settings!$B$3/SUM(S1056:X1056)</f>
        <v>89.8133748055988</v>
      </c>
      <c r="AC1056" s="2" t="n">
        <f aca="false">W1056*Settings!$B$3/SUM(S1056:X1056)</f>
        <v>75.8164852255055</v>
      </c>
      <c r="AD1056" s="2" t="n">
        <f aca="false">X1056*Settings!$B$3/SUM(S1056:X1056)</f>
        <v>83.592534992224</v>
      </c>
      <c r="AE1056" s="2" t="n">
        <f aca="false">INT(Y1056)</f>
        <v>64</v>
      </c>
      <c r="AF1056" s="2" t="n">
        <f aca="false">INT(Z1056)</f>
        <v>109</v>
      </c>
      <c r="AG1056" s="2" t="n">
        <f aca="false">INT(AA1056)</f>
        <v>76</v>
      </c>
      <c r="AH1056" s="2" t="n">
        <f aca="false">INT(AB1056)</f>
        <v>89</v>
      </c>
      <c r="AI1056" s="2" t="n">
        <f aca="false">INT(AC1056)</f>
        <v>75</v>
      </c>
      <c r="AJ1056" s="2" t="n">
        <f aca="false">INT(AD1056)</f>
        <v>83</v>
      </c>
      <c r="AK1056" s="2" t="n">
        <f aca="false">Settings!$B$3-SUM(AE1056:AJ1056)</f>
        <v>4</v>
      </c>
      <c r="AL1056" s="2" t="n">
        <f aca="false">ROUND(Y1056-AE1056,9)</f>
        <v>0.930015552</v>
      </c>
      <c r="AM1056" s="2" t="n">
        <f aca="false">ROUND(Z1056-AF1056,9)</f>
        <v>0.642301711</v>
      </c>
      <c r="AN1056" s="2" t="n">
        <f aca="false">ROUND(AA1056-AG1056,9)</f>
        <v>0.205287714</v>
      </c>
      <c r="AO1056" s="2" t="n">
        <f aca="false">ROUND(AB1056-AH1056,9)</f>
        <v>0.813374806</v>
      </c>
      <c r="AP1056" s="2" t="n">
        <f aca="false">ROUND(AC1056-AI1056,9)</f>
        <v>0.816485226</v>
      </c>
      <c r="AQ1056" s="2" t="n">
        <f aca="false">ROUND(AD1056-AJ1056,9)</f>
        <v>0.592534992</v>
      </c>
    </row>
    <row r="1057" customFormat="false" ht="15" hidden="false" customHeight="false" outlineLevel="0" collapsed="false">
      <c r="A1057" s="2" t="n">
        <v>1056</v>
      </c>
      <c r="B1057" s="6" t="n">
        <v>29</v>
      </c>
      <c r="C1057" s="6" t="n">
        <v>35</v>
      </c>
      <c r="D1057" s="8" t="str">
        <f aca="false">INDEX(Bases!$B$2:$B$53,B1057)</f>
        <v>Murkrow</v>
      </c>
      <c r="E1057" s="8" t="str">
        <f aca="false">INDEX(Bases!$B$2:$B$53,C1057)</f>
        <v>Pineco</v>
      </c>
      <c r="F1057" s="2" t="str">
        <f aca="false">LEFT(D1057,ROUNDUP(LEN(D1057)/2,0))&amp;LOWER(MID(E1057,ROUNDUP(LEN(E1057)/2,0)+1,20))</f>
        <v>Murkeco</v>
      </c>
      <c r="G1057" s="8" t="str">
        <f aca="false">INDEX(Bases!$C$2:$C$53,B1057)</f>
        <v>Flying</v>
      </c>
      <c r="H1057" s="8" t="str">
        <f aca="false">IF(INDEX(Bases!$C$2:$C$53,C1057)=G1057,"",INDEX(Bases!$C$2:$C$53,C1057))</f>
        <v>Bug</v>
      </c>
      <c r="I1057" s="8" t="str">
        <f aca="false">IF(INDEX(Bases!$E$2:$E$53,B1057)="","",INDEX(Bases!$E$2:$E$53,B1057))</f>
        <v/>
      </c>
      <c r="J1057" s="8" t="str">
        <f aca="false">IF(INDEX(Bases!$E$2:$E$53,C1057)="","",INDEX(Bases!$E$2:$E$53,C1057))</f>
        <v/>
      </c>
      <c r="K1057" s="5"/>
      <c r="L1057" s="2" t="n">
        <f aca="false">AE1057+IF(SUMPRODUCT(--($AL1057:$AQ1057&gt;AL1057))&lt;$AK1057,1,0)</f>
        <v>75</v>
      </c>
      <c r="M1057" s="2" t="n">
        <f aca="false">AF1057+IF(SUMPRODUCT(--($AL1057:$AQ1057&gt;AM1057))+SUMPRODUCT(--($AL1057:AL1057=AM1057))&lt;$AK1057,1,0)</f>
        <v>101</v>
      </c>
      <c r="N1057" s="2" t="n">
        <f aca="false">AG1057+IF(SUMPRODUCT(--($AL1057:$AQ1057&gt;AN1057))+SUMPRODUCT(--($AL1057:AM1057=AN1057))&lt;$AK1057,1,0)</f>
        <v>111</v>
      </c>
      <c r="O1057" s="2" t="n">
        <f aca="false">AH1057+IF(SUMPRODUCT(--($AL1057:$AQ1057&gt;AO1057))+SUMPRODUCT(--($AL1057:AN1057=AO1057))&lt;$AK1057,1,0)</f>
        <v>83</v>
      </c>
      <c r="P1057" s="2" t="n">
        <f aca="false">AI1057+IF(SUMPRODUCT(--($AL1057:$AQ1057&gt;AP1057))+SUMPRODUCT(--($AL1057:AO1057=AP1057))&lt;$AK1057,1,0)</f>
        <v>53</v>
      </c>
      <c r="Q1057" s="2" t="n">
        <f aca="false">AJ1057+IF(SUMPRODUCT(--($AL1057:$AQ1057&gt;AQ1057))+SUMPRODUCT(--($AL1057:AP1057=AQ1057))&lt;$AK1057,1,0)</f>
        <v>77</v>
      </c>
      <c r="R1057" s="2" t="n">
        <f aca="false">SUM(L1057:Q1057)</f>
        <v>500</v>
      </c>
      <c r="S1057" s="2" t="n">
        <f aca="false">Settings!$B$4*MAX(INDEX(Bases!$M$2:$M$53,B1057),INDEX(Bases!$M$2:$M$53,C1057))+Settings!$B$5*MIN(INDEX(Bases!$M$2:$M$53,B1057),INDEX(Bases!$M$2:$M$53,C1057))</f>
        <v>65.6666666666667</v>
      </c>
      <c r="T1057" s="2" t="n">
        <f aca="false">Settings!$B$4*MAX(INDEX(Bases!$N$2:$N$53,B1057),INDEX(Bases!$N$2:$N$53,C1057))+Settings!$B$5*MIN(INDEX(Bases!$N$2:$N$53,B1057),INDEX(Bases!$N$2:$N$53,C1057))</f>
        <v>88</v>
      </c>
      <c r="U1057" s="2" t="n">
        <f aca="false">Settings!$B$4*MAX(INDEX(Bases!$O$2:$O$53,B1057),INDEX(Bases!$O$2:$O$53,C1057))+Settings!$B$5*MIN(INDEX(Bases!$O$2:$O$53,B1057),INDEX(Bases!$O$2:$O$53,C1057))</f>
        <v>96.6666666666667</v>
      </c>
      <c r="V1057" s="2" t="n">
        <f aca="false">Settings!$B$4*MAX(INDEX(Bases!$P$2:$P$53,B1057),INDEX(Bases!$P$2:$P$53,C1057))+Settings!$B$5*MIN(INDEX(Bases!$P$2:$P$53,B1057),INDEX(Bases!$P$2:$P$53,C1057))</f>
        <v>72</v>
      </c>
      <c r="W1057" s="2" t="n">
        <f aca="false">Settings!$B$4*MAX(INDEX(Bases!$Q$2:$Q$53,B1057),INDEX(Bases!$Q$2:$Q$53,C1057))+Settings!$B$5*MIN(INDEX(Bases!$Q$2:$Q$53,B1057),INDEX(Bases!$Q$2:$Q$53,C1057))</f>
        <v>45.6666666666667</v>
      </c>
      <c r="X1057" s="2" t="n">
        <f aca="false">Settings!$B$4*MAX(INDEX(Bases!$R$2:$R$53,B1057),INDEX(Bases!$R$2:$R$53,C1057))+Settings!$B$5*MIN(INDEX(Bases!$R$2:$R$53,B1057),INDEX(Bases!$R$2:$R$53,C1057))</f>
        <v>67</v>
      </c>
      <c r="Y1057" s="2" t="n">
        <f aca="false">S1057*Settings!$B$3/SUM(S1057:X1057)</f>
        <v>75.4789272030651</v>
      </c>
      <c r="Z1057" s="2" t="n">
        <f aca="false">T1057*Settings!$B$3/SUM(S1057:X1057)</f>
        <v>101.149425287356</v>
      </c>
      <c r="AA1057" s="2" t="n">
        <f aca="false">U1057*Settings!$B$3/SUM(S1057:X1057)</f>
        <v>111.111111111111</v>
      </c>
      <c r="AB1057" s="2" t="n">
        <f aca="false">V1057*Settings!$B$3/SUM(S1057:X1057)</f>
        <v>82.7586206896552</v>
      </c>
      <c r="AC1057" s="2" t="n">
        <f aca="false">W1057*Settings!$B$3/SUM(S1057:X1057)</f>
        <v>52.4904214559387</v>
      </c>
      <c r="AD1057" s="2" t="n">
        <f aca="false">X1057*Settings!$B$3/SUM(S1057:X1057)</f>
        <v>77.0114942528736</v>
      </c>
      <c r="AE1057" s="2" t="n">
        <f aca="false">INT(Y1057)</f>
        <v>75</v>
      </c>
      <c r="AF1057" s="2" t="n">
        <f aca="false">INT(Z1057)</f>
        <v>101</v>
      </c>
      <c r="AG1057" s="2" t="n">
        <f aca="false">INT(AA1057)</f>
        <v>111</v>
      </c>
      <c r="AH1057" s="2" t="n">
        <f aca="false">INT(AB1057)</f>
        <v>82</v>
      </c>
      <c r="AI1057" s="2" t="n">
        <f aca="false">INT(AC1057)</f>
        <v>52</v>
      </c>
      <c r="AJ1057" s="2" t="n">
        <f aca="false">INT(AD1057)</f>
        <v>77</v>
      </c>
      <c r="AK1057" s="2" t="n">
        <f aca="false">Settings!$B$3-SUM(AE1057:AJ1057)</f>
        <v>2</v>
      </c>
      <c r="AL1057" s="2" t="n">
        <f aca="false">ROUND(Y1057-AE1057,9)</f>
        <v>0.478927203</v>
      </c>
      <c r="AM1057" s="2" t="n">
        <f aca="false">ROUND(Z1057-AF1057,9)</f>
        <v>0.149425287</v>
      </c>
      <c r="AN1057" s="2" t="n">
        <f aca="false">ROUND(AA1057-AG1057,9)</f>
        <v>0.111111111</v>
      </c>
      <c r="AO1057" s="2" t="n">
        <f aca="false">ROUND(AB1057-AH1057,9)</f>
        <v>0.75862069</v>
      </c>
      <c r="AP1057" s="2" t="n">
        <f aca="false">ROUND(AC1057-AI1057,9)</f>
        <v>0.490421456</v>
      </c>
      <c r="AQ1057" s="2" t="n">
        <f aca="false">ROUND(AD1057-AJ1057,9)</f>
        <v>0.011494253</v>
      </c>
    </row>
    <row r="1058" customFormat="false" ht="15" hidden="false" customHeight="false" outlineLevel="0" collapsed="false">
      <c r="A1058" s="2" t="n">
        <v>1057</v>
      </c>
      <c r="B1058" s="6" t="n">
        <v>29</v>
      </c>
      <c r="C1058" s="6" t="n">
        <v>36</v>
      </c>
      <c r="D1058" s="8" t="str">
        <f aca="false">INDEX(Bases!$B$2:$B$53,B1058)</f>
        <v>Murkrow</v>
      </c>
      <c r="E1058" s="8" t="str">
        <f aca="false">INDEX(Bases!$B$2:$B$53,C1058)</f>
        <v>Wurmple</v>
      </c>
      <c r="F1058" s="2" t="str">
        <f aca="false">LEFT(D1058,ROUNDUP(LEN(D1058)/2,0))&amp;LOWER(MID(E1058,ROUNDUP(LEN(E1058)/2,0)+1,20))</f>
        <v>Murkple</v>
      </c>
      <c r="G1058" s="8" t="str">
        <f aca="false">INDEX(Bases!$C$2:$C$53,B1058)</f>
        <v>Flying</v>
      </c>
      <c r="H1058" s="8" t="str">
        <f aca="false">IF(INDEX(Bases!$C$2:$C$53,C1058)=G1058,"",INDEX(Bases!$C$2:$C$53,C1058))</f>
        <v>Bug</v>
      </c>
      <c r="I1058" s="8" t="str">
        <f aca="false">IF(INDEX(Bases!$E$2:$E$53,B1058)="","",INDEX(Bases!$E$2:$E$53,B1058))</f>
        <v/>
      </c>
      <c r="J1058" s="8" t="str">
        <f aca="false">IF(INDEX(Bases!$E$2:$E$53,C1058)="","",INDEX(Bases!$E$2:$E$53,C1058))</f>
        <v/>
      </c>
      <c r="K1058" s="5"/>
      <c r="L1058" s="2" t="n">
        <f aca="false">AE1058+IF(SUMPRODUCT(--($AL1058:$AQ1058&gt;AL1058))&lt;$AK1058,1,0)</f>
        <v>94</v>
      </c>
      <c r="M1058" s="2" t="n">
        <f aca="false">AF1058+IF(SUMPRODUCT(--($AL1058:$AQ1058&gt;AM1058))+SUMPRODUCT(--($AL1058:AL1058=AM1058))&lt;$AK1058,1,0)</f>
        <v>104</v>
      </c>
      <c r="N1058" s="2" t="n">
        <f aca="false">AG1058+IF(SUMPRODUCT(--($AL1058:$AQ1058&gt;AN1058))+SUMPRODUCT(--($AL1058:AM1058=AN1058))&lt;$AK1058,1,0)</f>
        <v>72</v>
      </c>
      <c r="O1058" s="2" t="n">
        <f aca="false">AH1058+IF(SUMPRODUCT(--($AL1058:$AQ1058&gt;AO1058))+SUMPRODUCT(--($AL1058:AN1058=AO1058))&lt;$AK1058,1,0)</f>
        <v>81</v>
      </c>
      <c r="P1058" s="2" t="n">
        <f aca="false">AI1058+IF(SUMPRODUCT(--($AL1058:$AQ1058&gt;AP1058))+SUMPRODUCT(--($AL1058:AO1058=AP1058))&lt;$AK1058,1,0)</f>
        <v>64</v>
      </c>
      <c r="Q1058" s="2" t="n">
        <f aca="false">AJ1058+IF(SUMPRODUCT(--($AL1058:$AQ1058&gt;AQ1058))+SUMPRODUCT(--($AL1058:AP1058=AQ1058))&lt;$AK1058,1,0)</f>
        <v>85</v>
      </c>
      <c r="R1058" s="2" t="n">
        <f aca="false">SUM(L1058:Q1058)</f>
        <v>500</v>
      </c>
      <c r="S1058" s="2" t="n">
        <f aca="false">Settings!$B$4*MAX(INDEX(Bases!$M$2:$M$53,B1058),INDEX(Bases!$M$2:$M$53,C1058))+Settings!$B$5*MIN(INDEX(Bases!$M$2:$M$53,B1058),INDEX(Bases!$M$2:$M$53,C1058))</f>
        <v>81</v>
      </c>
      <c r="T1058" s="2" t="n">
        <f aca="false">Settings!$B$4*MAX(INDEX(Bases!$N$2:$N$53,B1058),INDEX(Bases!$N$2:$N$53,C1058))+Settings!$B$5*MIN(INDEX(Bases!$N$2:$N$53,B1058),INDEX(Bases!$N$2:$N$53,C1058))</f>
        <v>89.3333333333333</v>
      </c>
      <c r="U1058" s="2" t="n">
        <f aca="false">Settings!$B$4*MAX(INDEX(Bases!$O$2:$O$53,B1058),INDEX(Bases!$O$2:$O$53,C1058))+Settings!$B$5*MIN(INDEX(Bases!$O$2:$O$53,B1058),INDEX(Bases!$O$2:$O$53,C1058))</f>
        <v>62</v>
      </c>
      <c r="V1058" s="2" t="n">
        <f aca="false">Settings!$B$4*MAX(INDEX(Bases!$P$2:$P$53,B1058),INDEX(Bases!$P$2:$P$53,C1058))+Settings!$B$5*MIN(INDEX(Bases!$P$2:$P$53,B1058),INDEX(Bases!$P$2:$P$53,C1058))</f>
        <v>69.6666666666667</v>
      </c>
      <c r="W1058" s="2" t="n">
        <f aca="false">Settings!$B$4*MAX(INDEX(Bases!$Q$2:$Q$53,B1058),INDEX(Bases!$Q$2:$Q$53,C1058))+Settings!$B$5*MIN(INDEX(Bases!$Q$2:$Q$53,B1058),INDEX(Bases!$Q$2:$Q$53,C1058))</f>
        <v>55</v>
      </c>
      <c r="X1058" s="2" t="n">
        <f aca="false">Settings!$B$4*MAX(INDEX(Bases!$R$2:$R$53,B1058),INDEX(Bases!$R$2:$R$53,C1058))+Settings!$B$5*MIN(INDEX(Bases!$R$2:$R$53,B1058),INDEX(Bases!$R$2:$R$53,C1058))</f>
        <v>73.6666666666667</v>
      </c>
      <c r="Y1058" s="2" t="n">
        <f aca="false">S1058*Settings!$B$3/SUM(S1058:X1058)</f>
        <v>94.0402476780186</v>
      </c>
      <c r="Z1058" s="2" t="n">
        <f aca="false">T1058*Settings!$B$3/SUM(S1058:X1058)</f>
        <v>103.715170278638</v>
      </c>
      <c r="AA1058" s="2" t="n">
        <f aca="false">U1058*Settings!$B$3/SUM(S1058:X1058)</f>
        <v>71.9814241486068</v>
      </c>
      <c r="AB1058" s="2" t="n">
        <f aca="false">V1058*Settings!$B$3/SUM(S1058:X1058)</f>
        <v>80.8823529411765</v>
      </c>
      <c r="AC1058" s="2" t="n">
        <f aca="false">W1058*Settings!$B$3/SUM(S1058:X1058)</f>
        <v>63.8544891640867</v>
      </c>
      <c r="AD1058" s="2" t="n">
        <f aca="false">X1058*Settings!$B$3/SUM(S1058:X1058)</f>
        <v>85.5263157894737</v>
      </c>
      <c r="AE1058" s="2" t="n">
        <f aca="false">INT(Y1058)</f>
        <v>94</v>
      </c>
      <c r="AF1058" s="2" t="n">
        <f aca="false">INT(Z1058)</f>
        <v>103</v>
      </c>
      <c r="AG1058" s="2" t="n">
        <f aca="false">INT(AA1058)</f>
        <v>71</v>
      </c>
      <c r="AH1058" s="2" t="n">
        <f aca="false">INT(AB1058)</f>
        <v>80</v>
      </c>
      <c r="AI1058" s="2" t="n">
        <f aca="false">INT(AC1058)</f>
        <v>63</v>
      </c>
      <c r="AJ1058" s="2" t="n">
        <f aca="false">INT(AD1058)</f>
        <v>85</v>
      </c>
      <c r="AK1058" s="2" t="n">
        <f aca="false">Settings!$B$3-SUM(AE1058:AJ1058)</f>
        <v>4</v>
      </c>
      <c r="AL1058" s="2" t="n">
        <f aca="false">ROUND(Y1058-AE1058,9)</f>
        <v>0.040247678</v>
      </c>
      <c r="AM1058" s="2" t="n">
        <f aca="false">ROUND(Z1058-AF1058,9)</f>
        <v>0.715170279</v>
      </c>
      <c r="AN1058" s="2" t="n">
        <f aca="false">ROUND(AA1058-AG1058,9)</f>
        <v>0.981424149</v>
      </c>
      <c r="AO1058" s="2" t="n">
        <f aca="false">ROUND(AB1058-AH1058,9)</f>
        <v>0.882352941</v>
      </c>
      <c r="AP1058" s="2" t="n">
        <f aca="false">ROUND(AC1058-AI1058,9)</f>
        <v>0.854489164</v>
      </c>
      <c r="AQ1058" s="2" t="n">
        <f aca="false">ROUND(AD1058-AJ1058,9)</f>
        <v>0.526315789</v>
      </c>
    </row>
    <row r="1059" customFormat="false" ht="15" hidden="false" customHeight="false" outlineLevel="0" collapsed="false">
      <c r="A1059" s="2" t="n">
        <v>1058</v>
      </c>
      <c r="B1059" s="6" t="n">
        <v>29</v>
      </c>
      <c r="C1059" s="6" t="n">
        <v>37</v>
      </c>
      <c r="D1059" s="8" t="str">
        <f aca="false">INDEX(Bases!$B$2:$B$53,B1059)</f>
        <v>Murkrow</v>
      </c>
      <c r="E1059" s="8" t="str">
        <f aca="false">INDEX(Bases!$B$2:$B$53,C1059)</f>
        <v>Shuckle</v>
      </c>
      <c r="F1059" s="2" t="str">
        <f aca="false">LEFT(D1059,ROUNDUP(LEN(D1059)/2,0))&amp;LOWER(MID(E1059,ROUNDUP(LEN(E1059)/2,0)+1,20))</f>
        <v>Murkkle</v>
      </c>
      <c r="G1059" s="8" t="str">
        <f aca="false">INDEX(Bases!$C$2:$C$53,B1059)</f>
        <v>Flying</v>
      </c>
      <c r="H1059" s="8" t="str">
        <f aca="false">IF(INDEX(Bases!$C$2:$C$53,C1059)=G1059,"",INDEX(Bases!$C$2:$C$53,C1059))</f>
        <v>Rock</v>
      </c>
      <c r="I1059" s="8" t="str">
        <f aca="false">IF(INDEX(Bases!$E$2:$E$53,B1059)="","",INDEX(Bases!$E$2:$E$53,B1059))</f>
        <v/>
      </c>
      <c r="J1059" s="8" t="str">
        <f aca="false">IF(INDEX(Bases!$E$2:$E$53,C1059)="","",INDEX(Bases!$E$2:$E$53,C1059))</f>
        <v/>
      </c>
      <c r="K1059" s="5"/>
      <c r="L1059" s="2" t="n">
        <f aca="false">AE1059+IF(SUMPRODUCT(--($AL1059:$AQ1059&gt;AL1059))&lt;$AK1059,1,0)</f>
        <v>45</v>
      </c>
      <c r="M1059" s="2" t="n">
        <f aca="false">AF1059+IF(SUMPRODUCT(--($AL1059:$AQ1059&gt;AM1059))+SUMPRODUCT(--($AL1059:AL1059=AM1059))&lt;$AK1059,1,0)</f>
        <v>60</v>
      </c>
      <c r="N1059" s="2" t="n">
        <f aca="false">AG1059+IF(SUMPRODUCT(--($AL1059:$AQ1059&gt;AN1059))+SUMPRODUCT(--($AL1059:AM1059=AN1059))&lt;$AK1059,1,0)</f>
        <v>137</v>
      </c>
      <c r="O1059" s="2" t="n">
        <f aca="false">AH1059+IF(SUMPRODUCT(--($AL1059:$AQ1059&gt;AO1059))+SUMPRODUCT(--($AL1059:AN1059=AO1059))&lt;$AK1059,1,0)</f>
        <v>59</v>
      </c>
      <c r="P1059" s="2" t="n">
        <f aca="false">AI1059+IF(SUMPRODUCT(--($AL1059:$AQ1059&gt;AP1059))+SUMPRODUCT(--($AL1059:AO1059=AP1059))&lt;$AK1059,1,0)</f>
        <v>137</v>
      </c>
      <c r="Q1059" s="2" t="n">
        <f aca="false">AJ1059+IF(SUMPRODUCT(--($AL1059:$AQ1059&gt;AQ1059))+SUMPRODUCT(--($AL1059:AP1059=AQ1059))&lt;$AK1059,1,0)</f>
        <v>62</v>
      </c>
      <c r="R1059" s="2" t="n">
        <f aca="false">SUM(L1059:Q1059)</f>
        <v>500</v>
      </c>
      <c r="S1059" s="2" t="n">
        <f aca="false">Settings!$B$4*MAX(INDEX(Bases!$M$2:$M$53,B1059),INDEX(Bases!$M$2:$M$53,C1059))+Settings!$B$5*MIN(INDEX(Bases!$M$2:$M$53,B1059),INDEX(Bases!$M$2:$M$53,C1059))</f>
        <v>44.6666666666667</v>
      </c>
      <c r="T1059" s="2" t="n">
        <f aca="false">Settings!$B$4*MAX(INDEX(Bases!$N$2:$N$53,B1059),INDEX(Bases!$N$2:$N$53,C1059))+Settings!$B$5*MIN(INDEX(Bases!$N$2:$N$53,B1059),INDEX(Bases!$N$2:$N$53,C1059))</f>
        <v>58.6666666666667</v>
      </c>
      <c r="U1059" s="2" t="n">
        <f aca="false">Settings!$B$4*MAX(INDEX(Bases!$O$2:$O$53,B1059),INDEX(Bases!$O$2:$O$53,C1059))+Settings!$B$5*MIN(INDEX(Bases!$O$2:$O$53,B1059),INDEX(Bases!$O$2:$O$53,C1059))</f>
        <v>135.333333333333</v>
      </c>
      <c r="V1059" s="2" t="n">
        <f aca="false">Settings!$B$4*MAX(INDEX(Bases!$P$2:$P$53,B1059),INDEX(Bases!$P$2:$P$53,C1059))+Settings!$B$5*MIN(INDEX(Bases!$P$2:$P$53,B1059),INDEX(Bases!$P$2:$P$53,C1059))</f>
        <v>58.6666666666667</v>
      </c>
      <c r="W1059" s="2" t="n">
        <f aca="false">Settings!$B$4*MAX(INDEX(Bases!$Q$2:$Q$53,B1059),INDEX(Bases!$Q$2:$Q$53,C1059))+Settings!$B$5*MIN(INDEX(Bases!$Q$2:$Q$53,B1059),INDEX(Bases!$Q$2:$Q$53,C1059))</f>
        <v>135</v>
      </c>
      <c r="X1059" s="2" t="n">
        <f aca="false">Settings!$B$4*MAX(INDEX(Bases!$R$2:$R$53,B1059),INDEX(Bases!$R$2:$R$53,C1059))+Settings!$B$5*MIN(INDEX(Bases!$R$2:$R$53,B1059),INDEX(Bases!$R$2:$R$53,C1059))</f>
        <v>61.3333333333333</v>
      </c>
      <c r="Y1059" s="2" t="n">
        <f aca="false">S1059*Settings!$B$3/SUM(S1059:X1059)</f>
        <v>45.2397029034436</v>
      </c>
      <c r="Z1059" s="2" t="n">
        <f aca="false">T1059*Settings!$B$3/SUM(S1059:X1059)</f>
        <v>59.4193112761648</v>
      </c>
      <c r="AA1059" s="2" t="n">
        <f aca="false">U1059*Settings!$B$3/SUM(S1059:X1059)</f>
        <v>137.069547602971</v>
      </c>
      <c r="AB1059" s="2" t="n">
        <f aca="false">V1059*Settings!$B$3/SUM(S1059:X1059)</f>
        <v>59.4193112761648</v>
      </c>
      <c r="AC1059" s="2" t="n">
        <f aca="false">W1059*Settings!$B$3/SUM(S1059:X1059)</f>
        <v>136.731937879811</v>
      </c>
      <c r="AD1059" s="2" t="n">
        <f aca="false">X1059*Settings!$B$3/SUM(S1059:X1059)</f>
        <v>62.120189061445</v>
      </c>
      <c r="AE1059" s="2" t="n">
        <f aca="false">INT(Y1059)</f>
        <v>45</v>
      </c>
      <c r="AF1059" s="2" t="n">
        <f aca="false">INT(Z1059)</f>
        <v>59</v>
      </c>
      <c r="AG1059" s="2" t="n">
        <f aca="false">INT(AA1059)</f>
        <v>137</v>
      </c>
      <c r="AH1059" s="2" t="n">
        <f aca="false">INT(AB1059)</f>
        <v>59</v>
      </c>
      <c r="AI1059" s="2" t="n">
        <f aca="false">INT(AC1059)</f>
        <v>136</v>
      </c>
      <c r="AJ1059" s="2" t="n">
        <f aca="false">INT(AD1059)</f>
        <v>62</v>
      </c>
      <c r="AK1059" s="2" t="n">
        <f aca="false">Settings!$B$3-SUM(AE1059:AJ1059)</f>
        <v>2</v>
      </c>
      <c r="AL1059" s="2" t="n">
        <f aca="false">ROUND(Y1059-AE1059,9)</f>
        <v>0.239702903</v>
      </c>
      <c r="AM1059" s="2" t="n">
        <f aca="false">ROUND(Z1059-AF1059,9)</f>
        <v>0.419311276</v>
      </c>
      <c r="AN1059" s="2" t="n">
        <f aca="false">ROUND(AA1059-AG1059,9)</f>
        <v>0.069547603</v>
      </c>
      <c r="AO1059" s="2" t="n">
        <f aca="false">ROUND(AB1059-AH1059,9)</f>
        <v>0.419311276</v>
      </c>
      <c r="AP1059" s="2" t="n">
        <f aca="false">ROUND(AC1059-AI1059,9)</f>
        <v>0.73193788</v>
      </c>
      <c r="AQ1059" s="2" t="n">
        <f aca="false">ROUND(AD1059-AJ1059,9)</f>
        <v>0.120189061</v>
      </c>
    </row>
    <row r="1060" customFormat="false" ht="15" hidden="false" customHeight="false" outlineLevel="0" collapsed="false">
      <c r="A1060" s="2" t="n">
        <v>1059</v>
      </c>
      <c r="B1060" s="6" t="n">
        <v>29</v>
      </c>
      <c r="C1060" s="6" t="n">
        <v>38</v>
      </c>
      <c r="D1060" s="8" t="str">
        <f aca="false">INDEX(Bases!$B$2:$B$53,B1060)</f>
        <v>Murkrow</v>
      </c>
      <c r="E1060" s="8" t="str">
        <f aca="false">INDEX(Bases!$B$2:$B$53,C1060)</f>
        <v>Larvitar</v>
      </c>
      <c r="F1060" s="2" t="str">
        <f aca="false">LEFT(D1060,ROUNDUP(LEN(D1060)/2,0))&amp;LOWER(MID(E1060,ROUNDUP(LEN(E1060)/2,0)+1,20))</f>
        <v>Murkitar</v>
      </c>
      <c r="G1060" s="8" t="str">
        <f aca="false">INDEX(Bases!$C$2:$C$53,B1060)</f>
        <v>Flying</v>
      </c>
      <c r="H1060" s="8" t="str">
        <f aca="false">IF(INDEX(Bases!$C$2:$C$53,C1060)=G1060,"",INDEX(Bases!$C$2:$C$53,C1060))</f>
        <v>Rock</v>
      </c>
      <c r="I1060" s="8" t="str">
        <f aca="false">IF(INDEX(Bases!$E$2:$E$53,B1060)="","",INDEX(Bases!$E$2:$E$53,B1060))</f>
        <v/>
      </c>
      <c r="J1060" s="8" t="str">
        <f aca="false">IF(INDEX(Bases!$E$2:$E$53,C1060)="","",INDEX(Bases!$E$2:$E$53,C1060))</f>
        <v/>
      </c>
      <c r="K1060" s="5"/>
      <c r="L1060" s="2" t="n">
        <f aca="false">AE1060+IF(SUMPRODUCT(--($AL1060:$AQ1060&gt;AL1060))&lt;$AK1060,1,0)</f>
        <v>77</v>
      </c>
      <c r="M1060" s="2" t="n">
        <f aca="false">AF1060+IF(SUMPRODUCT(--($AL1060:$AQ1060&gt;AM1060))+SUMPRODUCT(--($AL1060:AL1060=AM1060))&lt;$AK1060,1,0)</f>
        <v>101</v>
      </c>
      <c r="N1060" s="2" t="n">
        <f aca="false">AG1060+IF(SUMPRODUCT(--($AL1060:$AQ1060&gt;AN1060))+SUMPRODUCT(--($AL1060:AM1060=AN1060))&lt;$AK1060,1,0)</f>
        <v>70</v>
      </c>
      <c r="O1060" s="2" t="n">
        <f aca="false">AH1060+IF(SUMPRODUCT(--($AL1060:$AQ1060&gt;AO1060))+SUMPRODUCT(--($AL1060:AN1060=AO1060))&lt;$AK1060,1,0)</f>
        <v>90</v>
      </c>
      <c r="P1060" s="2" t="n">
        <f aca="false">AI1060+IF(SUMPRODUCT(--($AL1060:$AQ1060&gt;AP1060))+SUMPRODUCT(--($AL1060:AO1060=AP1060))&lt;$AK1060,1,0)</f>
        <v>69</v>
      </c>
      <c r="Q1060" s="2" t="n">
        <f aca="false">AJ1060+IF(SUMPRODUCT(--($AL1060:$AQ1060&gt;AQ1060))+SUMPRODUCT(--($AL1060:AP1060=AQ1060))&lt;$AK1060,1,0)</f>
        <v>93</v>
      </c>
      <c r="R1060" s="2" t="n">
        <f aca="false">SUM(L1060:Q1060)</f>
        <v>500</v>
      </c>
      <c r="S1060" s="2" t="n">
        <f aca="false">Settings!$B$4*MAX(INDEX(Bases!$M$2:$M$53,B1060),INDEX(Bases!$M$2:$M$53,C1060))+Settings!$B$5*MIN(INDEX(Bases!$M$2:$M$53,B1060),INDEX(Bases!$M$2:$M$53,C1060))</f>
        <v>64.3333333333333</v>
      </c>
      <c r="T1060" s="2" t="n">
        <f aca="false">Settings!$B$4*MAX(INDEX(Bases!$N$2:$N$53,B1060),INDEX(Bases!$N$2:$N$53,C1060))+Settings!$B$5*MIN(INDEX(Bases!$N$2:$N$53,B1060),INDEX(Bases!$N$2:$N$53,C1060))</f>
        <v>84.6666666666667</v>
      </c>
      <c r="U1060" s="2" t="n">
        <f aca="false">Settings!$B$4*MAX(INDEX(Bases!$O$2:$O$53,B1060),INDEX(Bases!$O$2:$O$53,C1060))+Settings!$B$5*MIN(INDEX(Bases!$O$2:$O$53,B1060),INDEX(Bases!$O$2:$O$53,C1060))</f>
        <v>58.6666666666667</v>
      </c>
      <c r="V1060" s="2" t="n">
        <f aca="false">Settings!$B$4*MAX(INDEX(Bases!$P$2:$P$53,B1060),INDEX(Bases!$P$2:$P$53,C1060))+Settings!$B$5*MIN(INDEX(Bases!$P$2:$P$53,B1060),INDEX(Bases!$P$2:$P$53,C1060))</f>
        <v>76</v>
      </c>
      <c r="W1060" s="2" t="n">
        <f aca="false">Settings!$B$4*MAX(INDEX(Bases!$Q$2:$Q$53,B1060),INDEX(Bases!$Q$2:$Q$53,C1060))+Settings!$B$5*MIN(INDEX(Bases!$Q$2:$Q$53,B1060),INDEX(Bases!$Q$2:$Q$53,C1060))</f>
        <v>58.3333333333333</v>
      </c>
      <c r="X1060" s="2" t="n">
        <f aca="false">Settings!$B$4*MAX(INDEX(Bases!$R$2:$R$53,B1060),INDEX(Bases!$R$2:$R$53,C1060))+Settings!$B$5*MIN(INDEX(Bases!$R$2:$R$53,B1060),INDEX(Bases!$R$2:$R$53,C1060))</f>
        <v>78</v>
      </c>
      <c r="Y1060" s="2" t="n">
        <f aca="false">S1060*Settings!$B$3/SUM(S1060:X1060)</f>
        <v>76.5873015873016</v>
      </c>
      <c r="Z1060" s="2" t="n">
        <f aca="false">T1060*Settings!$B$3/SUM(S1060:X1060)</f>
        <v>100.793650793651</v>
      </c>
      <c r="AA1060" s="2" t="n">
        <f aca="false">U1060*Settings!$B$3/SUM(S1060:X1060)</f>
        <v>69.8412698412698</v>
      </c>
      <c r="AB1060" s="2" t="n">
        <f aca="false">V1060*Settings!$B$3/SUM(S1060:X1060)</f>
        <v>90.4761904761905</v>
      </c>
      <c r="AC1060" s="2" t="n">
        <f aca="false">W1060*Settings!$B$3/SUM(S1060:X1060)</f>
        <v>69.4444444444444</v>
      </c>
      <c r="AD1060" s="2" t="n">
        <f aca="false">X1060*Settings!$B$3/SUM(S1060:X1060)</f>
        <v>92.8571428571429</v>
      </c>
      <c r="AE1060" s="2" t="n">
        <f aca="false">INT(Y1060)</f>
        <v>76</v>
      </c>
      <c r="AF1060" s="2" t="n">
        <f aca="false">INT(Z1060)</f>
        <v>100</v>
      </c>
      <c r="AG1060" s="2" t="n">
        <f aca="false">INT(AA1060)</f>
        <v>69</v>
      </c>
      <c r="AH1060" s="2" t="n">
        <f aca="false">INT(AB1060)</f>
        <v>90</v>
      </c>
      <c r="AI1060" s="2" t="n">
        <f aca="false">INT(AC1060)</f>
        <v>69</v>
      </c>
      <c r="AJ1060" s="2" t="n">
        <f aca="false">INT(AD1060)</f>
        <v>92</v>
      </c>
      <c r="AK1060" s="2" t="n">
        <f aca="false">Settings!$B$3-SUM(AE1060:AJ1060)</f>
        <v>4</v>
      </c>
      <c r="AL1060" s="2" t="n">
        <f aca="false">ROUND(Y1060-AE1060,9)</f>
        <v>0.587301587</v>
      </c>
      <c r="AM1060" s="2" t="n">
        <f aca="false">ROUND(Z1060-AF1060,9)</f>
        <v>0.793650794</v>
      </c>
      <c r="AN1060" s="2" t="n">
        <f aca="false">ROUND(AA1060-AG1060,9)</f>
        <v>0.841269841</v>
      </c>
      <c r="AO1060" s="2" t="n">
        <f aca="false">ROUND(AB1060-AH1060,9)</f>
        <v>0.476190476</v>
      </c>
      <c r="AP1060" s="2" t="n">
        <f aca="false">ROUND(AC1060-AI1060,9)</f>
        <v>0.444444444</v>
      </c>
      <c r="AQ1060" s="2" t="n">
        <f aca="false">ROUND(AD1060-AJ1060,9)</f>
        <v>0.857142857</v>
      </c>
    </row>
    <row r="1061" customFormat="false" ht="15" hidden="false" customHeight="false" outlineLevel="0" collapsed="false">
      <c r="A1061" s="2" t="n">
        <v>1060</v>
      </c>
      <c r="B1061" s="6" t="n">
        <v>29</v>
      </c>
      <c r="C1061" s="6" t="n">
        <v>39</v>
      </c>
      <c r="D1061" s="8" t="str">
        <f aca="false">INDEX(Bases!$B$2:$B$53,B1061)</f>
        <v>Murkrow</v>
      </c>
      <c r="E1061" s="8" t="str">
        <f aca="false">INDEX(Bases!$B$2:$B$53,C1061)</f>
        <v>Nosepass</v>
      </c>
      <c r="F1061" s="2" t="str">
        <f aca="false">LEFT(D1061,ROUNDUP(LEN(D1061)/2,0))&amp;LOWER(MID(E1061,ROUNDUP(LEN(E1061)/2,0)+1,20))</f>
        <v>Murkpass</v>
      </c>
      <c r="G1061" s="8" t="str">
        <f aca="false">INDEX(Bases!$C$2:$C$53,B1061)</f>
        <v>Flying</v>
      </c>
      <c r="H1061" s="8" t="str">
        <f aca="false">IF(INDEX(Bases!$C$2:$C$53,C1061)=G1061,"",INDEX(Bases!$C$2:$C$53,C1061))</f>
        <v>Rock</v>
      </c>
      <c r="I1061" s="8" t="str">
        <f aca="false">IF(INDEX(Bases!$E$2:$E$53,B1061)="","",INDEX(Bases!$E$2:$E$53,B1061))</f>
        <v/>
      </c>
      <c r="J1061" s="8" t="str">
        <f aca="false">IF(INDEX(Bases!$E$2:$E$53,C1061)="","",INDEX(Bases!$E$2:$E$53,C1061))</f>
        <v/>
      </c>
      <c r="K1061" s="5"/>
      <c r="L1061" s="2" t="n">
        <f aca="false">AE1061+IF(SUMPRODUCT(--($AL1061:$AQ1061&gt;AL1061))&lt;$AK1061,1,0)</f>
        <v>55</v>
      </c>
      <c r="M1061" s="2" t="n">
        <f aca="false">AF1061+IF(SUMPRODUCT(--($AL1061:$AQ1061&gt;AM1061))+SUMPRODUCT(--($AL1061:AL1061=AM1061))&lt;$AK1061,1,0)</f>
        <v>80</v>
      </c>
      <c r="N1061" s="2" t="n">
        <f aca="false">AG1061+IF(SUMPRODUCT(--($AL1061:$AQ1061&gt;AN1061))+SUMPRODUCT(--($AL1061:AM1061=AN1061))&lt;$AK1061,1,0)</f>
        <v>122</v>
      </c>
      <c r="O1061" s="2" t="n">
        <f aca="false">AH1061+IF(SUMPRODUCT(--($AL1061:$AQ1061&gt;AO1061))+SUMPRODUCT(--($AL1061:AN1061=AO1061))&lt;$AK1061,1,0)</f>
        <v>79</v>
      </c>
      <c r="P1061" s="2" t="n">
        <f aca="false">AI1061+IF(SUMPRODUCT(--($AL1061:$AQ1061&gt;AP1061))+SUMPRODUCT(--($AL1061:AO1061=AP1061))&lt;$AK1061,1,0)</f>
        <v>86</v>
      </c>
      <c r="Q1061" s="2" t="n">
        <f aca="false">AJ1061+IF(SUMPRODUCT(--($AL1061:$AQ1061&gt;AQ1061))+SUMPRODUCT(--($AL1061:AP1061=AQ1061))&lt;$AK1061,1,0)</f>
        <v>78</v>
      </c>
      <c r="R1061" s="2" t="n">
        <f aca="false">SUM(L1061:Q1061)</f>
        <v>500</v>
      </c>
      <c r="S1061" s="2" t="n">
        <f aca="false">Settings!$B$4*MAX(INDEX(Bases!$M$2:$M$53,B1061),INDEX(Bases!$M$2:$M$53,C1061))+Settings!$B$5*MIN(INDEX(Bases!$M$2:$M$53,B1061),INDEX(Bases!$M$2:$M$53,C1061))</f>
        <v>50</v>
      </c>
      <c r="T1061" s="2" t="n">
        <f aca="false">Settings!$B$4*MAX(INDEX(Bases!$N$2:$N$53,B1061),INDEX(Bases!$N$2:$N$53,C1061))+Settings!$B$5*MIN(INDEX(Bases!$N$2:$N$53,B1061),INDEX(Bases!$N$2:$N$53,C1061))</f>
        <v>72</v>
      </c>
      <c r="U1061" s="2" t="n">
        <f aca="false">Settings!$B$4*MAX(INDEX(Bases!$O$2:$O$53,B1061),INDEX(Bases!$O$2:$O$53,C1061))+Settings!$B$5*MIN(INDEX(Bases!$O$2:$O$53,B1061),INDEX(Bases!$O$2:$O$53,C1061))</f>
        <v>110</v>
      </c>
      <c r="V1061" s="2" t="n">
        <f aca="false">Settings!$B$4*MAX(INDEX(Bases!$P$2:$P$53,B1061),INDEX(Bases!$P$2:$P$53,C1061))+Settings!$B$5*MIN(INDEX(Bases!$P$2:$P$53,B1061),INDEX(Bases!$P$2:$P$53,C1061))</f>
        <v>72</v>
      </c>
      <c r="W1061" s="2" t="n">
        <f aca="false">Settings!$B$4*MAX(INDEX(Bases!$Q$2:$Q$53,B1061),INDEX(Bases!$Q$2:$Q$53,C1061))+Settings!$B$5*MIN(INDEX(Bases!$Q$2:$Q$53,B1061),INDEX(Bases!$Q$2:$Q$53,C1061))</f>
        <v>77.6666666666667</v>
      </c>
      <c r="X1061" s="2" t="n">
        <f aca="false">Settings!$B$4*MAX(INDEX(Bases!$R$2:$R$53,B1061),INDEX(Bases!$R$2:$R$53,C1061))+Settings!$B$5*MIN(INDEX(Bases!$R$2:$R$53,B1061),INDEX(Bases!$R$2:$R$53,C1061))</f>
        <v>70.6666666666667</v>
      </c>
      <c r="Y1061" s="2" t="n">
        <f aca="false">S1061*Settings!$B$3/SUM(S1061:X1061)</f>
        <v>55.2689756816507</v>
      </c>
      <c r="Z1061" s="2" t="n">
        <f aca="false">T1061*Settings!$B$3/SUM(S1061:X1061)</f>
        <v>79.587324981577</v>
      </c>
      <c r="AA1061" s="2" t="n">
        <f aca="false">U1061*Settings!$B$3/SUM(S1061:X1061)</f>
        <v>121.591746499632</v>
      </c>
      <c r="AB1061" s="2" t="n">
        <f aca="false">V1061*Settings!$B$3/SUM(S1061:X1061)</f>
        <v>79.587324981577</v>
      </c>
      <c r="AC1061" s="2" t="n">
        <f aca="false">W1061*Settings!$B$3/SUM(S1061:X1061)</f>
        <v>85.8511422254974</v>
      </c>
      <c r="AD1061" s="2" t="n">
        <f aca="false">X1061*Settings!$B$3/SUM(S1061:X1061)</f>
        <v>78.1134856300663</v>
      </c>
      <c r="AE1061" s="2" t="n">
        <f aca="false">INT(Y1061)</f>
        <v>55</v>
      </c>
      <c r="AF1061" s="2" t="n">
        <f aca="false">INT(Z1061)</f>
        <v>79</v>
      </c>
      <c r="AG1061" s="2" t="n">
        <f aca="false">INT(AA1061)</f>
        <v>121</v>
      </c>
      <c r="AH1061" s="2" t="n">
        <f aca="false">INT(AB1061)</f>
        <v>79</v>
      </c>
      <c r="AI1061" s="2" t="n">
        <f aca="false">INT(AC1061)</f>
        <v>85</v>
      </c>
      <c r="AJ1061" s="2" t="n">
        <f aca="false">INT(AD1061)</f>
        <v>78</v>
      </c>
      <c r="AK1061" s="2" t="n">
        <f aca="false">Settings!$B$3-SUM(AE1061:AJ1061)</f>
        <v>3</v>
      </c>
      <c r="AL1061" s="2" t="n">
        <f aca="false">ROUND(Y1061-AE1061,9)</f>
        <v>0.268975682</v>
      </c>
      <c r="AM1061" s="2" t="n">
        <f aca="false">ROUND(Z1061-AF1061,9)</f>
        <v>0.587324982</v>
      </c>
      <c r="AN1061" s="2" t="n">
        <f aca="false">ROUND(AA1061-AG1061,9)</f>
        <v>0.5917465</v>
      </c>
      <c r="AO1061" s="2" t="n">
        <f aca="false">ROUND(AB1061-AH1061,9)</f>
        <v>0.587324982</v>
      </c>
      <c r="AP1061" s="2" t="n">
        <f aca="false">ROUND(AC1061-AI1061,9)</f>
        <v>0.851142225</v>
      </c>
      <c r="AQ1061" s="2" t="n">
        <f aca="false">ROUND(AD1061-AJ1061,9)</f>
        <v>0.11348563</v>
      </c>
    </row>
    <row r="1062" customFormat="false" ht="15" hidden="false" customHeight="false" outlineLevel="0" collapsed="false">
      <c r="A1062" s="2" t="n">
        <v>1061</v>
      </c>
      <c r="B1062" s="6" t="n">
        <v>29</v>
      </c>
      <c r="C1062" s="6" t="n">
        <v>40</v>
      </c>
      <c r="D1062" s="8" t="str">
        <f aca="false">INDEX(Bases!$B$2:$B$53,B1062)</f>
        <v>Murkrow</v>
      </c>
      <c r="E1062" s="8" t="str">
        <f aca="false">INDEX(Bases!$B$2:$B$53,C1062)</f>
        <v>Gastly</v>
      </c>
      <c r="F1062" s="2" t="str">
        <f aca="false">LEFT(D1062,ROUNDUP(LEN(D1062)/2,0))&amp;LOWER(MID(E1062,ROUNDUP(LEN(E1062)/2,0)+1,20))</f>
        <v>Murktly</v>
      </c>
      <c r="G1062" s="8" t="str">
        <f aca="false">INDEX(Bases!$C$2:$C$53,B1062)</f>
        <v>Flying</v>
      </c>
      <c r="H1062" s="8" t="str">
        <f aca="false">IF(INDEX(Bases!$C$2:$C$53,C1062)=G1062,"",INDEX(Bases!$C$2:$C$53,C1062))</f>
        <v>Ghost</v>
      </c>
      <c r="I1062" s="8" t="str">
        <f aca="false">IF(INDEX(Bases!$E$2:$E$53,B1062)="","",INDEX(Bases!$E$2:$E$53,B1062))</f>
        <v/>
      </c>
      <c r="J1062" s="8" t="str">
        <f aca="false">IF(INDEX(Bases!$E$2:$E$53,C1062)="","",INDEX(Bases!$E$2:$E$53,C1062))</f>
        <v/>
      </c>
      <c r="K1062" s="5"/>
      <c r="L1062" s="2" t="n">
        <f aca="false">AE1062+IF(SUMPRODUCT(--($AL1062:$AQ1062&gt;AL1062))&lt;$AK1062,1,0)</f>
        <v>62</v>
      </c>
      <c r="M1062" s="2" t="n">
        <f aca="false">AF1062+IF(SUMPRODUCT(--($AL1062:$AQ1062&gt;AM1062))+SUMPRODUCT(--($AL1062:AL1062=AM1062))&lt;$AK1062,1,0)</f>
        <v>84</v>
      </c>
      <c r="N1062" s="2" t="n">
        <f aca="false">AG1062+IF(SUMPRODUCT(--($AL1062:$AQ1062&gt;AN1062))+SUMPRODUCT(--($AL1062:AM1062=AN1062))&lt;$AK1062,1,0)</f>
        <v>49</v>
      </c>
      <c r="O1062" s="2" t="n">
        <f aca="false">AH1062+IF(SUMPRODUCT(--($AL1062:$AQ1062&gt;AO1062))+SUMPRODUCT(--($AL1062:AN1062=AO1062))&lt;$AK1062,1,0)</f>
        <v>136</v>
      </c>
      <c r="P1062" s="2" t="n">
        <f aca="false">AI1062+IF(SUMPRODUCT(--($AL1062:$AQ1062&gt;AP1062))+SUMPRODUCT(--($AL1062:AO1062=AP1062))&lt;$AK1062,1,0)</f>
        <v>52</v>
      </c>
      <c r="Q1062" s="2" t="n">
        <f aca="false">AJ1062+IF(SUMPRODUCT(--($AL1062:$AQ1062&gt;AQ1062))+SUMPRODUCT(--($AL1062:AP1062=AQ1062))&lt;$AK1062,1,0)</f>
        <v>117</v>
      </c>
      <c r="R1062" s="2" t="n">
        <f aca="false">SUM(L1062:Q1062)</f>
        <v>500</v>
      </c>
      <c r="S1062" s="2" t="n">
        <f aca="false">Settings!$B$4*MAX(INDEX(Bases!$M$2:$M$53,B1062),INDEX(Bases!$M$2:$M$53,C1062))+Settings!$B$5*MIN(INDEX(Bases!$M$2:$M$53,B1062),INDEX(Bases!$M$2:$M$53,C1062))</f>
        <v>52.3333333333333</v>
      </c>
      <c r="T1062" s="2" t="n">
        <f aca="false">Settings!$B$4*MAX(INDEX(Bases!$N$2:$N$53,B1062),INDEX(Bases!$N$2:$N$53,C1062))+Settings!$B$5*MIN(INDEX(Bases!$N$2:$N$53,B1062),INDEX(Bases!$N$2:$N$53,C1062))</f>
        <v>71</v>
      </c>
      <c r="U1062" s="2" t="n">
        <f aca="false">Settings!$B$4*MAX(INDEX(Bases!$O$2:$O$53,B1062),INDEX(Bases!$O$2:$O$53,C1062))+Settings!$B$5*MIN(INDEX(Bases!$O$2:$O$53,B1062),INDEX(Bases!$O$2:$O$53,C1062))</f>
        <v>41</v>
      </c>
      <c r="V1062" s="2" t="n">
        <f aca="false">Settings!$B$4*MAX(INDEX(Bases!$P$2:$P$53,B1062),INDEX(Bases!$P$2:$P$53,C1062))+Settings!$B$5*MIN(INDEX(Bases!$P$2:$P$53,B1062),INDEX(Bases!$P$2:$P$53,C1062))</f>
        <v>114</v>
      </c>
      <c r="W1062" s="2" t="n">
        <f aca="false">Settings!$B$4*MAX(INDEX(Bases!$Q$2:$Q$53,B1062),INDEX(Bases!$Q$2:$Q$53,C1062))+Settings!$B$5*MIN(INDEX(Bases!$Q$2:$Q$53,B1062),INDEX(Bases!$Q$2:$Q$53,C1062))</f>
        <v>43.6666666666667</v>
      </c>
      <c r="X1062" s="2" t="n">
        <f aca="false">Settings!$B$4*MAX(INDEX(Bases!$R$2:$R$53,B1062),INDEX(Bases!$R$2:$R$53,C1062))+Settings!$B$5*MIN(INDEX(Bases!$R$2:$R$53,B1062),INDEX(Bases!$R$2:$R$53,C1062))</f>
        <v>98.6666666666667</v>
      </c>
      <c r="Y1062" s="2" t="n">
        <f aca="false">S1062*Settings!$B$3/SUM(S1062:X1062)</f>
        <v>62.202852614897</v>
      </c>
      <c r="Z1062" s="2" t="n">
        <f aca="false">T1062*Settings!$B$3/SUM(S1062:X1062)</f>
        <v>84.3898573692552</v>
      </c>
      <c r="AA1062" s="2" t="n">
        <f aca="false">U1062*Settings!$B$3/SUM(S1062:X1062)</f>
        <v>48.7321711568938</v>
      </c>
      <c r="AB1062" s="2" t="n">
        <f aca="false">V1062*Settings!$B$3/SUM(S1062:X1062)</f>
        <v>135.499207606973</v>
      </c>
      <c r="AC1062" s="2" t="n">
        <f aca="false">W1062*Settings!$B$3/SUM(S1062:X1062)</f>
        <v>51.9017432646593</v>
      </c>
      <c r="AD1062" s="2" t="n">
        <f aca="false">X1062*Settings!$B$3/SUM(S1062:X1062)</f>
        <v>117.274167987322</v>
      </c>
      <c r="AE1062" s="2" t="n">
        <f aca="false">INT(Y1062)</f>
        <v>62</v>
      </c>
      <c r="AF1062" s="2" t="n">
        <f aca="false">INT(Z1062)</f>
        <v>84</v>
      </c>
      <c r="AG1062" s="2" t="n">
        <f aca="false">INT(AA1062)</f>
        <v>48</v>
      </c>
      <c r="AH1062" s="2" t="n">
        <f aca="false">INT(AB1062)</f>
        <v>135</v>
      </c>
      <c r="AI1062" s="2" t="n">
        <f aca="false">INT(AC1062)</f>
        <v>51</v>
      </c>
      <c r="AJ1062" s="2" t="n">
        <f aca="false">INT(AD1062)</f>
        <v>117</v>
      </c>
      <c r="AK1062" s="2" t="n">
        <f aca="false">Settings!$B$3-SUM(AE1062:AJ1062)</f>
        <v>3</v>
      </c>
      <c r="AL1062" s="2" t="n">
        <f aca="false">ROUND(Y1062-AE1062,9)</f>
        <v>0.202852615</v>
      </c>
      <c r="AM1062" s="2" t="n">
        <f aca="false">ROUND(Z1062-AF1062,9)</f>
        <v>0.389857369</v>
      </c>
      <c r="AN1062" s="2" t="n">
        <f aca="false">ROUND(AA1062-AG1062,9)</f>
        <v>0.732171157</v>
      </c>
      <c r="AO1062" s="2" t="n">
        <f aca="false">ROUND(AB1062-AH1062,9)</f>
        <v>0.499207607</v>
      </c>
      <c r="AP1062" s="2" t="n">
        <f aca="false">ROUND(AC1062-AI1062,9)</f>
        <v>0.901743265</v>
      </c>
      <c r="AQ1062" s="2" t="n">
        <f aca="false">ROUND(AD1062-AJ1062,9)</f>
        <v>0.274167987</v>
      </c>
    </row>
    <row r="1063" customFormat="false" ht="15" hidden="false" customHeight="false" outlineLevel="0" collapsed="false">
      <c r="A1063" s="2" t="n">
        <v>1062</v>
      </c>
      <c r="B1063" s="6" t="n">
        <v>29</v>
      </c>
      <c r="C1063" s="6" t="n">
        <v>41</v>
      </c>
      <c r="D1063" s="8" t="str">
        <f aca="false">INDEX(Bases!$B$2:$B$53,B1063)</f>
        <v>Murkrow</v>
      </c>
      <c r="E1063" s="8" t="str">
        <f aca="false">INDEX(Bases!$B$2:$B$53,C1063)</f>
        <v>Misdreavus</v>
      </c>
      <c r="F1063" s="2" t="str">
        <f aca="false">LEFT(D1063,ROUNDUP(LEN(D1063)/2,0))&amp;LOWER(MID(E1063,ROUNDUP(LEN(E1063)/2,0)+1,20))</f>
        <v>Murkeavus</v>
      </c>
      <c r="G1063" s="8" t="str">
        <f aca="false">INDEX(Bases!$C$2:$C$53,B1063)</f>
        <v>Flying</v>
      </c>
      <c r="H1063" s="8" t="str">
        <f aca="false">IF(INDEX(Bases!$C$2:$C$53,C1063)=G1063,"",INDEX(Bases!$C$2:$C$53,C1063))</f>
        <v>Ghost</v>
      </c>
      <c r="I1063" s="8" t="str">
        <f aca="false">IF(INDEX(Bases!$E$2:$E$53,B1063)="","",INDEX(Bases!$E$2:$E$53,B1063))</f>
        <v/>
      </c>
      <c r="J1063" s="8" t="str">
        <f aca="false">IF(INDEX(Bases!$E$2:$E$53,C1063)="","",INDEX(Bases!$E$2:$E$53,C1063))</f>
        <v/>
      </c>
      <c r="K1063" s="5"/>
      <c r="L1063" s="2" t="n">
        <f aca="false">AE1063+IF(SUMPRODUCT(--($AL1063:$AQ1063&gt;AL1063))&lt;$AK1063,1,0)</f>
        <v>70</v>
      </c>
      <c r="M1063" s="2" t="n">
        <f aca="false">AF1063+IF(SUMPRODUCT(--($AL1063:$AQ1063&gt;AM1063))+SUMPRODUCT(--($AL1063:AL1063=AM1063))&lt;$AK1063,1,0)</f>
        <v>89</v>
      </c>
      <c r="N1063" s="2" t="n">
        <f aca="false">AG1063+IF(SUMPRODUCT(--($AL1063:$AQ1063&gt;AN1063))+SUMPRODUCT(--($AL1063:AM1063=AN1063))&lt;$AK1063,1,0)</f>
        <v>61</v>
      </c>
      <c r="O1063" s="2" t="n">
        <f aca="false">AH1063+IF(SUMPRODUCT(--($AL1063:$AQ1063&gt;AO1063))+SUMPRODUCT(--($AL1063:AN1063=AO1063))&lt;$AK1063,1,0)</f>
        <v>98</v>
      </c>
      <c r="P1063" s="2" t="n">
        <f aca="false">AI1063+IF(SUMPRODUCT(--($AL1063:$AQ1063&gt;AP1063))+SUMPRODUCT(--($AL1063:AO1063=AP1063))&lt;$AK1063,1,0)</f>
        <v>79</v>
      </c>
      <c r="Q1063" s="2" t="n">
        <f aca="false">AJ1063+IF(SUMPRODUCT(--($AL1063:$AQ1063&gt;AQ1063))+SUMPRODUCT(--($AL1063:AP1063=AQ1063))&lt;$AK1063,1,0)</f>
        <v>103</v>
      </c>
      <c r="R1063" s="2" t="n">
        <f aca="false">SUM(L1063:Q1063)</f>
        <v>500</v>
      </c>
      <c r="S1063" s="2" t="n">
        <f aca="false">Settings!$B$4*MAX(INDEX(Bases!$M$2:$M$53,B1063),INDEX(Bases!$M$2:$M$53,C1063))+Settings!$B$5*MIN(INDEX(Bases!$M$2:$M$53,B1063),INDEX(Bases!$M$2:$M$53,C1063))</f>
        <v>58</v>
      </c>
      <c r="T1063" s="2" t="n">
        <f aca="false">Settings!$B$4*MAX(INDEX(Bases!$N$2:$N$53,B1063),INDEX(Bases!$N$2:$N$53,C1063))+Settings!$B$5*MIN(INDEX(Bases!$N$2:$N$53,B1063),INDEX(Bases!$N$2:$N$53,C1063))</f>
        <v>74.3333333333333</v>
      </c>
      <c r="U1063" s="2" t="n">
        <f aca="false">Settings!$B$4*MAX(INDEX(Bases!$O$2:$O$53,B1063),INDEX(Bases!$O$2:$O$53,C1063))+Settings!$B$5*MIN(INDEX(Bases!$O$2:$O$53,B1063),INDEX(Bases!$O$2:$O$53,C1063))</f>
        <v>50.6666666666667</v>
      </c>
      <c r="V1063" s="2" t="n">
        <f aca="false">Settings!$B$4*MAX(INDEX(Bases!$P$2:$P$53,B1063),INDEX(Bases!$P$2:$P$53,C1063))+Settings!$B$5*MIN(INDEX(Bases!$P$2:$P$53,B1063),INDEX(Bases!$P$2:$P$53,C1063))</f>
        <v>82</v>
      </c>
      <c r="W1063" s="2" t="n">
        <f aca="false">Settings!$B$4*MAX(INDEX(Bases!$Q$2:$Q$53,B1063),INDEX(Bases!$Q$2:$Q$53,C1063))+Settings!$B$5*MIN(INDEX(Bases!$Q$2:$Q$53,B1063),INDEX(Bases!$Q$2:$Q$53,C1063))</f>
        <v>65.6666666666667</v>
      </c>
      <c r="X1063" s="2" t="n">
        <f aca="false">Settings!$B$4*MAX(INDEX(Bases!$R$2:$R$53,B1063),INDEX(Bases!$R$2:$R$53,C1063))+Settings!$B$5*MIN(INDEX(Bases!$R$2:$R$53,B1063),INDEX(Bases!$R$2:$R$53,C1063))</f>
        <v>86</v>
      </c>
      <c r="Y1063" s="2" t="n">
        <f aca="false">S1063*Settings!$B$3/SUM(S1063:X1063)</f>
        <v>69.6</v>
      </c>
      <c r="Z1063" s="2" t="n">
        <f aca="false">T1063*Settings!$B$3/SUM(S1063:X1063)</f>
        <v>89.2</v>
      </c>
      <c r="AA1063" s="2" t="n">
        <f aca="false">U1063*Settings!$B$3/SUM(S1063:X1063)</f>
        <v>60.8</v>
      </c>
      <c r="AB1063" s="2" t="n">
        <f aca="false">V1063*Settings!$B$3/SUM(S1063:X1063)</f>
        <v>98.4</v>
      </c>
      <c r="AC1063" s="2" t="n">
        <f aca="false">W1063*Settings!$B$3/SUM(S1063:X1063)</f>
        <v>78.8</v>
      </c>
      <c r="AD1063" s="2" t="n">
        <f aca="false">X1063*Settings!$B$3/SUM(S1063:X1063)</f>
        <v>103.2</v>
      </c>
      <c r="AE1063" s="2" t="n">
        <f aca="false">INT(Y1063)</f>
        <v>69</v>
      </c>
      <c r="AF1063" s="2" t="n">
        <f aca="false">INT(Z1063)</f>
        <v>89</v>
      </c>
      <c r="AG1063" s="2" t="n">
        <f aca="false">INT(AA1063)</f>
        <v>60</v>
      </c>
      <c r="AH1063" s="2" t="n">
        <f aca="false">INT(AB1063)</f>
        <v>98</v>
      </c>
      <c r="AI1063" s="2" t="n">
        <f aca="false">INT(AC1063)</f>
        <v>78</v>
      </c>
      <c r="AJ1063" s="2" t="n">
        <f aca="false">INT(AD1063)</f>
        <v>103</v>
      </c>
      <c r="AK1063" s="2" t="n">
        <f aca="false">Settings!$B$3-SUM(AE1063:AJ1063)</f>
        <v>3</v>
      </c>
      <c r="AL1063" s="2" t="n">
        <f aca="false">ROUND(Y1063-AE1063,9)</f>
        <v>0.6</v>
      </c>
      <c r="AM1063" s="2" t="n">
        <f aca="false">ROUND(Z1063-AF1063,9)</f>
        <v>0.2</v>
      </c>
      <c r="AN1063" s="2" t="n">
        <f aca="false">ROUND(AA1063-AG1063,9)</f>
        <v>0.8</v>
      </c>
      <c r="AO1063" s="2" t="n">
        <f aca="false">ROUND(AB1063-AH1063,9)</f>
        <v>0.4</v>
      </c>
      <c r="AP1063" s="2" t="n">
        <f aca="false">ROUND(AC1063-AI1063,9)</f>
        <v>0.8</v>
      </c>
      <c r="AQ1063" s="2" t="n">
        <f aca="false">ROUND(AD1063-AJ1063,9)</f>
        <v>0.2</v>
      </c>
    </row>
    <row r="1064" customFormat="false" ht="15" hidden="false" customHeight="false" outlineLevel="0" collapsed="false">
      <c r="A1064" s="2" t="n">
        <v>1063</v>
      </c>
      <c r="B1064" s="6" t="n">
        <v>29</v>
      </c>
      <c r="C1064" s="6" t="n">
        <v>42</v>
      </c>
      <c r="D1064" s="8" t="str">
        <f aca="false">INDEX(Bases!$B$2:$B$53,B1064)</f>
        <v>Murkrow</v>
      </c>
      <c r="E1064" s="8" t="str">
        <f aca="false">INDEX(Bases!$B$2:$B$53,C1064)</f>
        <v>Sableye</v>
      </c>
      <c r="F1064" s="2" t="str">
        <f aca="false">LEFT(D1064,ROUNDUP(LEN(D1064)/2,0))&amp;LOWER(MID(E1064,ROUNDUP(LEN(E1064)/2,0)+1,20))</f>
        <v>Murkeye</v>
      </c>
      <c r="G1064" s="8" t="str">
        <f aca="false">INDEX(Bases!$C$2:$C$53,B1064)</f>
        <v>Flying</v>
      </c>
      <c r="H1064" s="8" t="str">
        <f aca="false">IF(INDEX(Bases!$C$2:$C$53,C1064)=G1064,"",INDEX(Bases!$C$2:$C$53,C1064))</f>
        <v>Ghost</v>
      </c>
      <c r="I1064" s="8" t="str">
        <f aca="false">IF(INDEX(Bases!$E$2:$E$53,B1064)="","",INDEX(Bases!$E$2:$E$53,B1064))</f>
        <v/>
      </c>
      <c r="J1064" s="8" t="str">
        <f aca="false">IF(INDEX(Bases!$E$2:$E$53,C1064)="","",INDEX(Bases!$E$2:$E$53,C1064))</f>
        <v/>
      </c>
      <c r="K1064" s="5"/>
      <c r="L1064" s="2" t="n">
        <f aca="false">AE1064+IF(SUMPRODUCT(--($AL1064:$AQ1064&gt;AL1064))&lt;$AK1064,1,0)</f>
        <v>68</v>
      </c>
      <c r="M1064" s="2" t="n">
        <f aca="false">AF1064+IF(SUMPRODUCT(--($AL1064:$AQ1064&gt;AM1064))+SUMPRODUCT(--($AL1064:AL1064=AM1064))&lt;$AK1064,1,0)</f>
        <v>98</v>
      </c>
      <c r="N1064" s="2" t="n">
        <f aca="false">AG1064+IF(SUMPRODUCT(--($AL1064:$AQ1064&gt;AN1064))+SUMPRODUCT(--($AL1064:AM1064=AN1064))&lt;$AK1064,1,0)</f>
        <v>79</v>
      </c>
      <c r="O1064" s="2" t="n">
        <f aca="false">AH1064+IF(SUMPRODUCT(--($AL1064:$AQ1064&gt;AO1064))+SUMPRODUCT(--($AL1064:AN1064=AO1064))&lt;$AK1064,1,0)</f>
        <v>93</v>
      </c>
      <c r="P1064" s="2" t="n">
        <f aca="false">AI1064+IF(SUMPRODUCT(--($AL1064:$AQ1064&gt;AP1064))+SUMPRODUCT(--($AL1064:AO1064=AP1064))&lt;$AK1064,1,0)</f>
        <v>70</v>
      </c>
      <c r="Q1064" s="2" t="n">
        <f aca="false">AJ1064+IF(SUMPRODUCT(--($AL1064:$AQ1064&gt;AQ1064))+SUMPRODUCT(--($AL1064:AP1064=AQ1064))&lt;$AK1064,1,0)</f>
        <v>92</v>
      </c>
      <c r="R1064" s="2" t="n">
        <f aca="false">SUM(L1064:Q1064)</f>
        <v>500</v>
      </c>
      <c r="S1064" s="2" t="n">
        <f aca="false">Settings!$B$4*MAX(INDEX(Bases!$M$2:$M$53,B1064),INDEX(Bases!$M$2:$M$53,C1064))+Settings!$B$5*MIN(INDEX(Bases!$M$2:$M$53,B1064),INDEX(Bases!$M$2:$M$53,C1064))</f>
        <v>57</v>
      </c>
      <c r="T1064" s="2" t="n">
        <f aca="false">Settings!$B$4*MAX(INDEX(Bases!$N$2:$N$53,B1064),INDEX(Bases!$N$2:$N$53,C1064))+Settings!$B$5*MIN(INDEX(Bases!$N$2:$N$53,B1064),INDEX(Bases!$N$2:$N$53,C1064))</f>
        <v>82.3333333333333</v>
      </c>
      <c r="U1064" s="2" t="n">
        <f aca="false">Settings!$B$4*MAX(INDEX(Bases!$O$2:$O$53,B1064),INDEX(Bases!$O$2:$O$53,C1064))+Settings!$B$5*MIN(INDEX(Bases!$O$2:$O$53,B1064),INDEX(Bases!$O$2:$O$53,C1064))</f>
        <v>66.6666666666667</v>
      </c>
      <c r="V1064" s="2" t="n">
        <f aca="false">Settings!$B$4*MAX(INDEX(Bases!$P$2:$P$53,B1064),INDEX(Bases!$P$2:$P$53,C1064))+Settings!$B$5*MIN(INDEX(Bases!$P$2:$P$53,B1064),INDEX(Bases!$P$2:$P$53,C1064))</f>
        <v>78.6666666666667</v>
      </c>
      <c r="W1064" s="2" t="n">
        <f aca="false">Settings!$B$4*MAX(INDEX(Bases!$Q$2:$Q$53,B1064),INDEX(Bases!$Q$2:$Q$53,C1064))+Settings!$B$5*MIN(INDEX(Bases!$Q$2:$Q$53,B1064),INDEX(Bases!$Q$2:$Q$53,C1064))</f>
        <v>59</v>
      </c>
      <c r="X1064" s="2" t="n">
        <f aca="false">Settings!$B$4*MAX(INDEX(Bases!$R$2:$R$53,B1064),INDEX(Bases!$R$2:$R$53,C1064))+Settings!$B$5*MIN(INDEX(Bases!$R$2:$R$53,B1064),INDEX(Bases!$R$2:$R$53,C1064))</f>
        <v>77.6666666666667</v>
      </c>
      <c r="Y1064" s="2" t="n">
        <f aca="false">S1064*Settings!$B$3/SUM(S1064:X1064)</f>
        <v>67.6424050632911</v>
      </c>
      <c r="Z1064" s="2" t="n">
        <f aca="false">T1064*Settings!$B$3/SUM(S1064:X1064)</f>
        <v>97.7056962025317</v>
      </c>
      <c r="AA1064" s="2" t="n">
        <f aca="false">U1064*Settings!$B$3/SUM(S1064:X1064)</f>
        <v>79.1139240506329</v>
      </c>
      <c r="AB1064" s="2" t="n">
        <f aca="false">V1064*Settings!$B$3/SUM(S1064:X1064)</f>
        <v>93.3544303797468</v>
      </c>
      <c r="AC1064" s="2" t="n">
        <f aca="false">W1064*Settings!$B$3/SUM(S1064:X1064)</f>
        <v>70.0158227848101</v>
      </c>
      <c r="AD1064" s="2" t="n">
        <f aca="false">X1064*Settings!$B$3/SUM(S1064:X1064)</f>
        <v>92.1677215189873</v>
      </c>
      <c r="AE1064" s="2" t="n">
        <f aca="false">INT(Y1064)</f>
        <v>67</v>
      </c>
      <c r="AF1064" s="2" t="n">
        <f aca="false">INT(Z1064)</f>
        <v>97</v>
      </c>
      <c r="AG1064" s="2" t="n">
        <f aca="false">INT(AA1064)</f>
        <v>79</v>
      </c>
      <c r="AH1064" s="2" t="n">
        <f aca="false">INT(AB1064)</f>
        <v>93</v>
      </c>
      <c r="AI1064" s="2" t="n">
        <f aca="false">INT(AC1064)</f>
        <v>70</v>
      </c>
      <c r="AJ1064" s="2" t="n">
        <f aca="false">INT(AD1064)</f>
        <v>92</v>
      </c>
      <c r="AK1064" s="2" t="n">
        <f aca="false">Settings!$B$3-SUM(AE1064:AJ1064)</f>
        <v>2</v>
      </c>
      <c r="AL1064" s="2" t="n">
        <f aca="false">ROUND(Y1064-AE1064,9)</f>
        <v>0.642405063</v>
      </c>
      <c r="AM1064" s="2" t="n">
        <f aca="false">ROUND(Z1064-AF1064,9)</f>
        <v>0.705696203</v>
      </c>
      <c r="AN1064" s="2" t="n">
        <f aca="false">ROUND(AA1064-AG1064,9)</f>
        <v>0.113924051</v>
      </c>
      <c r="AO1064" s="2" t="n">
        <f aca="false">ROUND(AB1064-AH1064,9)</f>
        <v>0.35443038</v>
      </c>
      <c r="AP1064" s="2" t="n">
        <f aca="false">ROUND(AC1064-AI1064,9)</f>
        <v>0.015822785</v>
      </c>
      <c r="AQ1064" s="2" t="n">
        <f aca="false">ROUND(AD1064-AJ1064,9)</f>
        <v>0.167721519</v>
      </c>
    </row>
    <row r="1065" customFormat="false" ht="15" hidden="false" customHeight="false" outlineLevel="0" collapsed="false">
      <c r="A1065" s="2" t="n">
        <v>1064</v>
      </c>
      <c r="B1065" s="6" t="n">
        <v>29</v>
      </c>
      <c r="C1065" s="6" t="n">
        <v>43</v>
      </c>
      <c r="D1065" s="8" t="str">
        <f aca="false">INDEX(Bases!$B$2:$B$53,B1065)</f>
        <v>Murkrow</v>
      </c>
      <c r="E1065" s="8" t="str">
        <f aca="false">INDEX(Bases!$B$2:$B$53,C1065)</f>
        <v>Dratini</v>
      </c>
      <c r="F1065" s="2" t="str">
        <f aca="false">LEFT(D1065,ROUNDUP(LEN(D1065)/2,0))&amp;LOWER(MID(E1065,ROUNDUP(LEN(E1065)/2,0)+1,20))</f>
        <v>Murkini</v>
      </c>
      <c r="G1065" s="8" t="str">
        <f aca="false">INDEX(Bases!$C$2:$C$53,B1065)</f>
        <v>Flying</v>
      </c>
      <c r="H1065" s="8" t="str">
        <f aca="false">IF(INDEX(Bases!$C$2:$C$53,C1065)=G1065,"",INDEX(Bases!$C$2:$C$53,C1065))</f>
        <v>Dragon</v>
      </c>
      <c r="I1065" s="8" t="str">
        <f aca="false">IF(INDEX(Bases!$E$2:$E$53,B1065)="","",INDEX(Bases!$E$2:$E$53,B1065))</f>
        <v/>
      </c>
      <c r="J1065" s="8" t="str">
        <f aca="false">IF(INDEX(Bases!$E$2:$E$53,C1065)="","",INDEX(Bases!$E$2:$E$53,C1065))</f>
        <v/>
      </c>
      <c r="K1065" s="5"/>
      <c r="L1065" s="2" t="n">
        <f aca="false">AE1065+IF(SUMPRODUCT(--($AL1065:$AQ1065&gt;AL1065))&lt;$AK1065,1,0)</f>
        <v>70</v>
      </c>
      <c r="M1065" s="2" t="n">
        <f aca="false">AF1065+IF(SUMPRODUCT(--($AL1065:$AQ1065&gt;AM1065))+SUMPRODUCT(--($AL1065:AL1065=AM1065))&lt;$AK1065,1,0)</f>
        <v>102</v>
      </c>
      <c r="N1065" s="2" t="n">
        <f aca="false">AG1065+IF(SUMPRODUCT(--($AL1065:$AQ1065&gt;AN1065))+SUMPRODUCT(--($AL1065:AM1065=AN1065))&lt;$AK1065,1,0)</f>
        <v>65</v>
      </c>
      <c r="O1065" s="2" t="n">
        <f aca="false">AH1065+IF(SUMPRODUCT(--($AL1065:$AQ1065&gt;AO1065))+SUMPRODUCT(--($AL1065:AN1065=AO1065))&lt;$AK1065,1,0)</f>
        <v>94</v>
      </c>
      <c r="P1065" s="2" t="n">
        <f aca="false">AI1065+IF(SUMPRODUCT(--($AL1065:$AQ1065&gt;AP1065))+SUMPRODUCT(--($AL1065:AO1065=AP1065))&lt;$AK1065,1,0)</f>
        <v>70</v>
      </c>
      <c r="Q1065" s="2" t="n">
        <f aca="false">AJ1065+IF(SUMPRODUCT(--($AL1065:$AQ1065&gt;AQ1065))+SUMPRODUCT(--($AL1065:AP1065=AQ1065))&lt;$AK1065,1,0)</f>
        <v>99</v>
      </c>
      <c r="R1065" s="2" t="n">
        <f aca="false">SUM(L1065:Q1065)</f>
        <v>500</v>
      </c>
      <c r="S1065" s="2" t="n">
        <f aca="false">Settings!$B$4*MAX(INDEX(Bases!$M$2:$M$53,B1065),INDEX(Bases!$M$2:$M$53,C1065))+Settings!$B$5*MIN(INDEX(Bases!$M$2:$M$53,B1065),INDEX(Bases!$M$2:$M$53,C1065))</f>
        <v>57.6666666666667</v>
      </c>
      <c r="T1065" s="2" t="n">
        <f aca="false">Settings!$B$4*MAX(INDEX(Bases!$N$2:$N$53,B1065),INDEX(Bases!$N$2:$N$53,C1065))+Settings!$B$5*MIN(INDEX(Bases!$N$2:$N$53,B1065),INDEX(Bases!$N$2:$N$53,C1065))</f>
        <v>84.6666666666667</v>
      </c>
      <c r="U1065" s="2" t="n">
        <f aca="false">Settings!$B$4*MAX(INDEX(Bases!$O$2:$O$53,B1065),INDEX(Bases!$O$2:$O$53,C1065))+Settings!$B$5*MIN(INDEX(Bases!$O$2:$O$53,B1065),INDEX(Bases!$O$2:$O$53,C1065))</f>
        <v>54</v>
      </c>
      <c r="V1065" s="2" t="n">
        <f aca="false">Settings!$B$4*MAX(INDEX(Bases!$P$2:$P$53,B1065),INDEX(Bases!$P$2:$P$53,C1065))+Settings!$B$5*MIN(INDEX(Bases!$P$2:$P$53,B1065),INDEX(Bases!$P$2:$P$53,C1065))</f>
        <v>78.3333333333333</v>
      </c>
      <c r="W1065" s="2" t="n">
        <f aca="false">Settings!$B$4*MAX(INDEX(Bases!$Q$2:$Q$53,B1065),INDEX(Bases!$Q$2:$Q$53,C1065))+Settings!$B$5*MIN(INDEX(Bases!$Q$2:$Q$53,B1065),INDEX(Bases!$Q$2:$Q$53,C1065))</f>
        <v>58.3333333333333</v>
      </c>
      <c r="X1065" s="2" t="n">
        <f aca="false">Settings!$B$4*MAX(INDEX(Bases!$R$2:$R$53,B1065),INDEX(Bases!$R$2:$R$53,C1065))+Settings!$B$5*MIN(INDEX(Bases!$R$2:$R$53,B1065),INDEX(Bases!$R$2:$R$53,C1065))</f>
        <v>82</v>
      </c>
      <c r="Y1065" s="2" t="n">
        <f aca="false">S1065*Settings!$B$3/SUM(S1065:X1065)</f>
        <v>69.4779116465864</v>
      </c>
      <c r="Z1065" s="2" t="n">
        <f aca="false">T1065*Settings!$B$3/SUM(S1065:X1065)</f>
        <v>102.008032128514</v>
      </c>
      <c r="AA1065" s="2" t="n">
        <f aca="false">U1065*Settings!$B$3/SUM(S1065:X1065)</f>
        <v>65.0602409638554</v>
      </c>
      <c r="AB1065" s="2" t="n">
        <f aca="false">V1065*Settings!$B$3/SUM(S1065:X1065)</f>
        <v>94.3775100401607</v>
      </c>
      <c r="AC1065" s="2" t="n">
        <f aca="false">W1065*Settings!$B$3/SUM(S1065:X1065)</f>
        <v>70.281124497992</v>
      </c>
      <c r="AD1065" s="2" t="n">
        <f aca="false">X1065*Settings!$B$3/SUM(S1065:X1065)</f>
        <v>98.7951807228916</v>
      </c>
      <c r="AE1065" s="2" t="n">
        <f aca="false">INT(Y1065)</f>
        <v>69</v>
      </c>
      <c r="AF1065" s="2" t="n">
        <f aca="false">INT(Z1065)</f>
        <v>102</v>
      </c>
      <c r="AG1065" s="2" t="n">
        <f aca="false">INT(AA1065)</f>
        <v>65</v>
      </c>
      <c r="AH1065" s="2" t="n">
        <f aca="false">INT(AB1065)</f>
        <v>94</v>
      </c>
      <c r="AI1065" s="2" t="n">
        <f aca="false">INT(AC1065)</f>
        <v>70</v>
      </c>
      <c r="AJ1065" s="2" t="n">
        <f aca="false">INT(AD1065)</f>
        <v>98</v>
      </c>
      <c r="AK1065" s="2" t="n">
        <f aca="false">Settings!$B$3-SUM(AE1065:AJ1065)</f>
        <v>2</v>
      </c>
      <c r="AL1065" s="2" t="n">
        <f aca="false">ROUND(Y1065-AE1065,9)</f>
        <v>0.477911647</v>
      </c>
      <c r="AM1065" s="2" t="n">
        <f aca="false">ROUND(Z1065-AF1065,9)</f>
        <v>0.008032129</v>
      </c>
      <c r="AN1065" s="2" t="n">
        <f aca="false">ROUND(AA1065-AG1065,9)</f>
        <v>0.060240964</v>
      </c>
      <c r="AO1065" s="2" t="n">
        <f aca="false">ROUND(AB1065-AH1065,9)</f>
        <v>0.37751004</v>
      </c>
      <c r="AP1065" s="2" t="n">
        <f aca="false">ROUND(AC1065-AI1065,9)</f>
        <v>0.281124498</v>
      </c>
      <c r="AQ1065" s="2" t="n">
        <f aca="false">ROUND(AD1065-AJ1065,9)</f>
        <v>0.795180723</v>
      </c>
    </row>
    <row r="1066" customFormat="false" ht="15" hidden="false" customHeight="false" outlineLevel="0" collapsed="false">
      <c r="A1066" s="2" t="n">
        <v>1065</v>
      </c>
      <c r="B1066" s="6" t="n">
        <v>29</v>
      </c>
      <c r="C1066" s="6" t="n">
        <v>44</v>
      </c>
      <c r="D1066" s="8" t="str">
        <f aca="false">INDEX(Bases!$B$2:$B$53,B1066)</f>
        <v>Murkrow</v>
      </c>
      <c r="E1066" s="8" t="str">
        <f aca="false">INDEX(Bases!$B$2:$B$53,C1066)</f>
        <v>Bagon</v>
      </c>
      <c r="F1066" s="2" t="str">
        <f aca="false">LEFT(D1066,ROUNDUP(LEN(D1066)/2,0))&amp;LOWER(MID(E1066,ROUNDUP(LEN(E1066)/2,0)+1,20))</f>
        <v>Murkon</v>
      </c>
      <c r="G1066" s="8" t="str">
        <f aca="false">INDEX(Bases!$C$2:$C$53,B1066)</f>
        <v>Flying</v>
      </c>
      <c r="H1066" s="8" t="str">
        <f aca="false">IF(INDEX(Bases!$C$2:$C$53,C1066)=G1066,"",INDEX(Bases!$C$2:$C$53,C1066))</f>
        <v>Dragon</v>
      </c>
      <c r="I1066" s="8" t="str">
        <f aca="false">IF(INDEX(Bases!$E$2:$E$53,B1066)="","",INDEX(Bases!$E$2:$E$53,B1066))</f>
        <v/>
      </c>
      <c r="J1066" s="8" t="str">
        <f aca="false">IF(INDEX(Bases!$E$2:$E$53,C1066)="","",INDEX(Bases!$E$2:$E$53,C1066))</f>
        <v/>
      </c>
      <c r="K1066" s="5"/>
      <c r="L1066" s="2" t="n">
        <f aca="false">AE1066+IF(SUMPRODUCT(--($AL1066:$AQ1066&gt;AL1066))&lt;$AK1066,1,0)</f>
        <v>71</v>
      </c>
      <c r="M1066" s="2" t="n">
        <f aca="false">AF1066+IF(SUMPRODUCT(--($AL1066:$AQ1066&gt;AM1066))+SUMPRODUCT(--($AL1066:AL1066=AM1066))&lt;$AK1066,1,0)</f>
        <v>113</v>
      </c>
      <c r="N1066" s="2" t="n">
        <f aca="false">AG1066+IF(SUMPRODUCT(--($AL1066:$AQ1066&gt;AN1066))+SUMPRODUCT(--($AL1066:AM1066=AN1066))&lt;$AK1066,1,0)</f>
        <v>81</v>
      </c>
      <c r="O1066" s="2" t="n">
        <f aca="false">AH1066+IF(SUMPRODUCT(--($AL1066:$AQ1066&gt;AO1066))+SUMPRODUCT(--($AL1066:AN1066=AO1066))&lt;$AK1066,1,0)</f>
        <v>88</v>
      </c>
      <c r="P1066" s="2" t="n">
        <f aca="false">AI1066+IF(SUMPRODUCT(--($AL1066:$AQ1066&gt;AP1066))+SUMPRODUCT(--($AL1066:AO1066=AP1066))&lt;$AK1066,1,0)</f>
        <v>49</v>
      </c>
      <c r="Q1066" s="2" t="n">
        <f aca="false">AJ1066+IF(SUMPRODUCT(--($AL1066:$AQ1066&gt;AQ1066))+SUMPRODUCT(--($AL1066:AP1066=AQ1066))&lt;$AK1066,1,0)</f>
        <v>98</v>
      </c>
      <c r="R1066" s="2" t="n">
        <f aca="false">SUM(L1066:Q1066)</f>
        <v>500</v>
      </c>
      <c r="S1066" s="2" t="n">
        <f aca="false">Settings!$B$4*MAX(INDEX(Bases!$M$2:$M$53,B1066),INDEX(Bases!$M$2:$M$53,C1066))+Settings!$B$5*MIN(INDEX(Bases!$M$2:$M$53,B1066),INDEX(Bases!$M$2:$M$53,C1066))</f>
        <v>59.6666666666667</v>
      </c>
      <c r="T1066" s="2" t="n">
        <f aca="false">Settings!$B$4*MAX(INDEX(Bases!$N$2:$N$53,B1066),INDEX(Bases!$N$2:$N$53,C1066))+Settings!$B$5*MIN(INDEX(Bases!$N$2:$N$53,B1066),INDEX(Bases!$N$2:$N$53,C1066))</f>
        <v>94.6666666666667</v>
      </c>
      <c r="U1066" s="2" t="n">
        <f aca="false">Settings!$B$4*MAX(INDEX(Bases!$O$2:$O$53,B1066),INDEX(Bases!$O$2:$O$53,C1066))+Settings!$B$5*MIN(INDEX(Bases!$O$2:$O$53,B1066),INDEX(Bases!$O$2:$O$53,C1066))</f>
        <v>67.3333333333333</v>
      </c>
      <c r="V1066" s="2" t="n">
        <f aca="false">Settings!$B$4*MAX(INDEX(Bases!$P$2:$P$53,B1066),INDEX(Bases!$P$2:$P$53,C1066))+Settings!$B$5*MIN(INDEX(Bases!$P$2:$P$53,B1066),INDEX(Bases!$P$2:$P$53,C1066))</f>
        <v>73.6666666666667</v>
      </c>
      <c r="W1066" s="2" t="n">
        <f aca="false">Settings!$B$4*MAX(INDEX(Bases!$Q$2:$Q$53,B1066),INDEX(Bases!$Q$2:$Q$53,C1066))+Settings!$B$5*MIN(INDEX(Bases!$Q$2:$Q$53,B1066),INDEX(Bases!$Q$2:$Q$53,C1066))</f>
        <v>40.6666666666667</v>
      </c>
      <c r="X1066" s="2" t="n">
        <f aca="false">Settings!$B$4*MAX(INDEX(Bases!$R$2:$R$53,B1066),INDEX(Bases!$R$2:$R$53,C1066))+Settings!$B$5*MIN(INDEX(Bases!$R$2:$R$53,B1066),INDEX(Bases!$R$2:$R$53,C1066))</f>
        <v>82.3333333333333</v>
      </c>
      <c r="Y1066" s="2" t="n">
        <f aca="false">S1066*Settings!$B$3/SUM(S1066:X1066)</f>
        <v>71.3147410358566</v>
      </c>
      <c r="Z1066" s="2" t="n">
        <f aca="false">T1066*Settings!$B$3/SUM(S1066:X1066)</f>
        <v>113.147410358566</v>
      </c>
      <c r="AA1066" s="2" t="n">
        <f aca="false">U1066*Settings!$B$3/SUM(S1066:X1066)</f>
        <v>80.4780876494024</v>
      </c>
      <c r="AB1066" s="2" t="n">
        <f aca="false">V1066*Settings!$B$3/SUM(S1066:X1066)</f>
        <v>88.0478087649402</v>
      </c>
      <c r="AC1066" s="2" t="n">
        <f aca="false">W1066*Settings!$B$3/SUM(S1066:X1066)</f>
        <v>48.605577689243</v>
      </c>
      <c r="AD1066" s="2" t="n">
        <f aca="false">X1066*Settings!$B$3/SUM(S1066:X1066)</f>
        <v>98.406374501992</v>
      </c>
      <c r="AE1066" s="2" t="n">
        <f aca="false">INT(Y1066)</f>
        <v>71</v>
      </c>
      <c r="AF1066" s="2" t="n">
        <f aca="false">INT(Z1066)</f>
        <v>113</v>
      </c>
      <c r="AG1066" s="2" t="n">
        <f aca="false">INT(AA1066)</f>
        <v>80</v>
      </c>
      <c r="AH1066" s="2" t="n">
        <f aca="false">INT(AB1066)</f>
        <v>88</v>
      </c>
      <c r="AI1066" s="2" t="n">
        <f aca="false">INT(AC1066)</f>
        <v>48</v>
      </c>
      <c r="AJ1066" s="2" t="n">
        <f aca="false">INT(AD1066)</f>
        <v>98</v>
      </c>
      <c r="AK1066" s="2" t="n">
        <f aca="false">Settings!$B$3-SUM(AE1066:AJ1066)</f>
        <v>2</v>
      </c>
      <c r="AL1066" s="2" t="n">
        <f aca="false">ROUND(Y1066-AE1066,9)</f>
        <v>0.314741036</v>
      </c>
      <c r="AM1066" s="2" t="n">
        <f aca="false">ROUND(Z1066-AF1066,9)</f>
        <v>0.147410359</v>
      </c>
      <c r="AN1066" s="2" t="n">
        <f aca="false">ROUND(AA1066-AG1066,9)</f>
        <v>0.478087649</v>
      </c>
      <c r="AO1066" s="2" t="n">
        <f aca="false">ROUND(AB1066-AH1066,9)</f>
        <v>0.047808765</v>
      </c>
      <c r="AP1066" s="2" t="n">
        <f aca="false">ROUND(AC1066-AI1066,9)</f>
        <v>0.605577689</v>
      </c>
      <c r="AQ1066" s="2" t="n">
        <f aca="false">ROUND(AD1066-AJ1066,9)</f>
        <v>0.406374502</v>
      </c>
    </row>
    <row r="1067" customFormat="false" ht="15" hidden="false" customHeight="false" outlineLevel="0" collapsed="false">
      <c r="A1067" s="2" t="n">
        <v>1066</v>
      </c>
      <c r="B1067" s="6" t="n">
        <v>29</v>
      </c>
      <c r="C1067" s="6" t="n">
        <v>45</v>
      </c>
      <c r="D1067" s="8" t="str">
        <f aca="false">INDEX(Bases!$B$2:$B$53,B1067)</f>
        <v>Murkrow</v>
      </c>
      <c r="E1067" s="8" t="str">
        <f aca="false">INDEX(Bases!$B$2:$B$53,C1067)</f>
        <v>Sneasel</v>
      </c>
      <c r="F1067" s="2" t="str">
        <f aca="false">LEFT(D1067,ROUNDUP(LEN(D1067)/2,0))&amp;LOWER(MID(E1067,ROUNDUP(LEN(E1067)/2,0)+1,20))</f>
        <v>Murksel</v>
      </c>
      <c r="G1067" s="8" t="str">
        <f aca="false">INDEX(Bases!$C$2:$C$53,B1067)</f>
        <v>Flying</v>
      </c>
      <c r="H1067" s="8" t="str">
        <f aca="false">IF(INDEX(Bases!$C$2:$C$53,C1067)=G1067,"",INDEX(Bases!$C$2:$C$53,C1067))</f>
        <v>Dark</v>
      </c>
      <c r="I1067" s="8" t="str">
        <f aca="false">IF(INDEX(Bases!$E$2:$E$53,B1067)="","",INDEX(Bases!$E$2:$E$53,B1067))</f>
        <v/>
      </c>
      <c r="J1067" s="8" t="str">
        <f aca="false">IF(INDEX(Bases!$E$2:$E$53,C1067)="","",INDEX(Bases!$E$2:$E$53,C1067))</f>
        <v/>
      </c>
      <c r="K1067" s="5"/>
      <c r="L1067" s="2" t="n">
        <f aca="false">AE1067+IF(SUMPRODUCT(--($AL1067:$AQ1067&gt;AL1067))&lt;$AK1067,1,0)</f>
        <v>67</v>
      </c>
      <c r="M1067" s="2" t="n">
        <f aca="false">AF1067+IF(SUMPRODUCT(--($AL1067:$AQ1067&gt;AM1067))+SUMPRODUCT(--($AL1067:AL1067=AM1067))&lt;$AK1067,1,0)</f>
        <v>103</v>
      </c>
      <c r="N1067" s="2" t="n">
        <f aca="false">AG1067+IF(SUMPRODUCT(--($AL1067:$AQ1067&gt;AN1067))+SUMPRODUCT(--($AL1067:AM1067=AN1067))&lt;$AK1067,1,0)</f>
        <v>57</v>
      </c>
      <c r="O1067" s="2" t="n">
        <f aca="false">AH1067+IF(SUMPRODUCT(--($AL1067:$AQ1067&gt;AO1067))+SUMPRODUCT(--($AL1067:AN1067=AO1067))&lt;$AK1067,1,0)</f>
        <v>80</v>
      </c>
      <c r="P1067" s="2" t="n">
        <f aca="false">AI1067+IF(SUMPRODUCT(--($AL1067:$AQ1067&gt;AP1067))+SUMPRODUCT(--($AL1067:AO1067=AP1067))&lt;$AK1067,1,0)</f>
        <v>72</v>
      </c>
      <c r="Q1067" s="2" t="n">
        <f aca="false">AJ1067+IF(SUMPRODUCT(--($AL1067:$AQ1067&gt;AQ1067))+SUMPRODUCT(--($AL1067:AP1067=AQ1067))&lt;$AK1067,1,0)</f>
        <v>121</v>
      </c>
      <c r="R1067" s="2" t="n">
        <f aca="false">SUM(L1067:Q1067)</f>
        <v>500</v>
      </c>
      <c r="S1067" s="2" t="n">
        <f aca="false">Settings!$B$4*MAX(INDEX(Bases!$M$2:$M$53,B1067),INDEX(Bases!$M$2:$M$53,C1067))+Settings!$B$5*MIN(INDEX(Bases!$M$2:$M$53,B1067),INDEX(Bases!$M$2:$M$53,C1067))</f>
        <v>56.3333333333333</v>
      </c>
      <c r="T1067" s="2" t="n">
        <f aca="false">Settings!$B$4*MAX(INDEX(Bases!$N$2:$N$53,B1067),INDEX(Bases!$N$2:$N$53,C1067))+Settings!$B$5*MIN(INDEX(Bases!$N$2:$N$53,B1067),INDEX(Bases!$N$2:$N$53,C1067))</f>
        <v>86.6666666666667</v>
      </c>
      <c r="U1067" s="2" t="n">
        <f aca="false">Settings!$B$4*MAX(INDEX(Bases!$O$2:$O$53,B1067),INDEX(Bases!$O$2:$O$53,C1067))+Settings!$B$5*MIN(INDEX(Bases!$O$2:$O$53,B1067),INDEX(Bases!$O$2:$O$53,C1067))</f>
        <v>48</v>
      </c>
      <c r="V1067" s="2" t="n">
        <f aca="false">Settings!$B$4*MAX(INDEX(Bases!$P$2:$P$53,B1067),INDEX(Bases!$P$2:$P$53,C1067))+Settings!$B$5*MIN(INDEX(Bases!$P$2:$P$53,B1067),INDEX(Bases!$P$2:$P$53,C1067))</f>
        <v>67</v>
      </c>
      <c r="W1067" s="2" t="n">
        <f aca="false">Settings!$B$4*MAX(INDEX(Bases!$Q$2:$Q$53,B1067),INDEX(Bases!$Q$2:$Q$53,C1067))+Settings!$B$5*MIN(INDEX(Bases!$Q$2:$Q$53,B1067),INDEX(Bases!$Q$2:$Q$53,C1067))</f>
        <v>60.3333333333333</v>
      </c>
      <c r="X1067" s="2" t="n">
        <f aca="false">Settings!$B$4*MAX(INDEX(Bases!$R$2:$R$53,B1067),INDEX(Bases!$R$2:$R$53,C1067))+Settings!$B$5*MIN(INDEX(Bases!$R$2:$R$53,B1067),INDEX(Bases!$R$2:$R$53,C1067))</f>
        <v>101.333333333333</v>
      </c>
      <c r="Y1067" s="2" t="n">
        <f aca="false">S1067*Settings!$B$3/SUM(S1067:X1067)</f>
        <v>67.1167593328038</v>
      </c>
      <c r="Z1067" s="2" t="n">
        <f aca="false">T1067*Settings!$B$3/SUM(S1067:X1067)</f>
        <v>103.256552819698</v>
      </c>
      <c r="AA1067" s="2" t="n">
        <f aca="false">U1067*Settings!$B$3/SUM(S1067:X1067)</f>
        <v>57.1882446386021</v>
      </c>
      <c r="AB1067" s="2" t="n">
        <f aca="false">V1067*Settings!$B$3/SUM(S1067:X1067)</f>
        <v>79.8252581413821</v>
      </c>
      <c r="AC1067" s="2" t="n">
        <f aca="false">W1067*Settings!$B$3/SUM(S1067:X1067)</f>
        <v>71.8824463860207</v>
      </c>
      <c r="AD1067" s="2" t="n">
        <f aca="false">X1067*Settings!$B$3/SUM(S1067:X1067)</f>
        <v>120.730738681493</v>
      </c>
      <c r="AE1067" s="2" t="n">
        <f aca="false">INT(Y1067)</f>
        <v>67</v>
      </c>
      <c r="AF1067" s="2" t="n">
        <f aca="false">INT(Z1067)</f>
        <v>103</v>
      </c>
      <c r="AG1067" s="2" t="n">
        <f aca="false">INT(AA1067)</f>
        <v>57</v>
      </c>
      <c r="AH1067" s="2" t="n">
        <f aca="false">INT(AB1067)</f>
        <v>79</v>
      </c>
      <c r="AI1067" s="2" t="n">
        <f aca="false">INT(AC1067)</f>
        <v>71</v>
      </c>
      <c r="AJ1067" s="2" t="n">
        <f aca="false">INT(AD1067)</f>
        <v>120</v>
      </c>
      <c r="AK1067" s="2" t="n">
        <f aca="false">Settings!$B$3-SUM(AE1067:AJ1067)</f>
        <v>3</v>
      </c>
      <c r="AL1067" s="2" t="n">
        <f aca="false">ROUND(Y1067-AE1067,9)</f>
        <v>0.116759333</v>
      </c>
      <c r="AM1067" s="2" t="n">
        <f aca="false">ROUND(Z1067-AF1067,9)</f>
        <v>0.25655282</v>
      </c>
      <c r="AN1067" s="2" t="n">
        <f aca="false">ROUND(AA1067-AG1067,9)</f>
        <v>0.188244639</v>
      </c>
      <c r="AO1067" s="2" t="n">
        <f aca="false">ROUND(AB1067-AH1067,9)</f>
        <v>0.825258141</v>
      </c>
      <c r="AP1067" s="2" t="n">
        <f aca="false">ROUND(AC1067-AI1067,9)</f>
        <v>0.882446386</v>
      </c>
      <c r="AQ1067" s="2" t="n">
        <f aca="false">ROUND(AD1067-AJ1067,9)</f>
        <v>0.730738681</v>
      </c>
    </row>
    <row r="1068" customFormat="false" ht="15" hidden="false" customHeight="false" outlineLevel="0" collapsed="false">
      <c r="A1068" s="2" t="n">
        <v>1067</v>
      </c>
      <c r="B1068" s="6" t="n">
        <v>29</v>
      </c>
      <c r="C1068" s="6" t="n">
        <v>46</v>
      </c>
      <c r="D1068" s="8" t="str">
        <f aca="false">INDEX(Bases!$B$2:$B$53,B1068)</f>
        <v>Murkrow</v>
      </c>
      <c r="E1068" s="8" t="str">
        <f aca="false">INDEX(Bases!$B$2:$B$53,C1068)</f>
        <v>Houndour</v>
      </c>
      <c r="F1068" s="2" t="str">
        <f aca="false">LEFT(D1068,ROUNDUP(LEN(D1068)/2,0))&amp;LOWER(MID(E1068,ROUNDUP(LEN(E1068)/2,0)+1,20))</f>
        <v>Murkdour</v>
      </c>
      <c r="G1068" s="8" t="str">
        <f aca="false">INDEX(Bases!$C$2:$C$53,B1068)</f>
        <v>Flying</v>
      </c>
      <c r="H1068" s="8" t="str">
        <f aca="false">IF(INDEX(Bases!$C$2:$C$53,C1068)=G1068,"",INDEX(Bases!$C$2:$C$53,C1068))</f>
        <v>Dark</v>
      </c>
      <c r="I1068" s="8" t="str">
        <f aca="false">IF(INDEX(Bases!$E$2:$E$53,B1068)="","",INDEX(Bases!$E$2:$E$53,B1068))</f>
        <v/>
      </c>
      <c r="J1068" s="8" t="str">
        <f aca="false">IF(INDEX(Bases!$E$2:$E$53,C1068)="","",INDEX(Bases!$E$2:$E$53,C1068))</f>
        <v/>
      </c>
      <c r="K1068" s="5"/>
      <c r="L1068" s="2" t="n">
        <f aca="false">AE1068+IF(SUMPRODUCT(--($AL1068:$AQ1068&gt;AL1068))&lt;$AK1068,1,0)</f>
        <v>70</v>
      </c>
      <c r="M1068" s="2" t="n">
        <f aca="false">AF1068+IF(SUMPRODUCT(--($AL1068:$AQ1068&gt;AM1068))+SUMPRODUCT(--($AL1068:AL1068=AM1068))&lt;$AK1068,1,0)</f>
        <v>98</v>
      </c>
      <c r="N1068" s="2" t="n">
        <f aca="false">AG1068+IF(SUMPRODUCT(--($AL1068:$AQ1068&gt;AN1068))+SUMPRODUCT(--($AL1068:AM1068=AN1068))&lt;$AK1068,1,0)</f>
        <v>48</v>
      </c>
      <c r="O1068" s="2" t="n">
        <f aca="false">AH1068+IF(SUMPRODUCT(--($AL1068:$AQ1068&gt;AO1068))+SUMPRODUCT(--($AL1068:AN1068=AO1068))&lt;$AK1068,1,0)</f>
        <v>113</v>
      </c>
      <c r="P1068" s="2" t="n">
        <f aca="false">AI1068+IF(SUMPRODUCT(--($AL1068:$AQ1068&gt;AP1068))+SUMPRODUCT(--($AL1068:AO1068=AP1068))&lt;$AK1068,1,0)</f>
        <v>66</v>
      </c>
      <c r="Q1068" s="2" t="n">
        <f aca="false">AJ1068+IF(SUMPRODUCT(--($AL1068:$AQ1068&gt;AQ1068))+SUMPRODUCT(--($AL1068:AP1068=AQ1068))&lt;$AK1068,1,0)</f>
        <v>105</v>
      </c>
      <c r="R1068" s="2" t="n">
        <f aca="false">SUM(L1068:Q1068)</f>
        <v>500</v>
      </c>
      <c r="S1068" s="2" t="n">
        <f aca="false">Settings!$B$4*MAX(INDEX(Bases!$M$2:$M$53,B1068),INDEX(Bases!$M$2:$M$53,C1068))+Settings!$B$5*MIN(INDEX(Bases!$M$2:$M$53,B1068),INDEX(Bases!$M$2:$M$53,C1068))</f>
        <v>57.3333333333333</v>
      </c>
      <c r="T1068" s="2" t="n">
        <f aca="false">Settings!$B$4*MAX(INDEX(Bases!$N$2:$N$53,B1068),INDEX(Bases!$N$2:$N$53,C1068))+Settings!$B$5*MIN(INDEX(Bases!$N$2:$N$53,B1068),INDEX(Bases!$N$2:$N$53,C1068))</f>
        <v>80.3333333333333</v>
      </c>
      <c r="U1068" s="2" t="n">
        <f aca="false">Settings!$B$4*MAX(INDEX(Bases!$O$2:$O$53,B1068),INDEX(Bases!$O$2:$O$53,C1068))+Settings!$B$5*MIN(INDEX(Bases!$O$2:$O$53,B1068),INDEX(Bases!$O$2:$O$53,C1068))</f>
        <v>40</v>
      </c>
      <c r="V1068" s="2" t="n">
        <f aca="false">Settings!$B$4*MAX(INDEX(Bases!$P$2:$P$53,B1068),INDEX(Bases!$P$2:$P$53,C1068))+Settings!$B$5*MIN(INDEX(Bases!$P$2:$P$53,B1068),INDEX(Bases!$P$2:$P$53,C1068))</f>
        <v>92.6666666666667</v>
      </c>
      <c r="W1068" s="2" t="n">
        <f aca="false">Settings!$B$4*MAX(INDEX(Bases!$Q$2:$Q$53,B1068),INDEX(Bases!$Q$2:$Q$53,C1068))+Settings!$B$5*MIN(INDEX(Bases!$Q$2:$Q$53,B1068),INDEX(Bases!$Q$2:$Q$53,C1068))</f>
        <v>54.3333333333333</v>
      </c>
      <c r="X1068" s="2" t="n">
        <f aca="false">Settings!$B$4*MAX(INDEX(Bases!$R$2:$R$53,B1068),INDEX(Bases!$R$2:$R$53,C1068))+Settings!$B$5*MIN(INDEX(Bases!$R$2:$R$53,B1068),INDEX(Bases!$R$2:$R$53,C1068))</f>
        <v>86.3333333333333</v>
      </c>
      <c r="Y1068" s="2" t="n">
        <f aca="false">S1068*Settings!$B$3/SUM(S1068:X1068)</f>
        <v>69.7485806974858</v>
      </c>
      <c r="Z1068" s="2" t="n">
        <f aca="false">T1068*Settings!$B$3/SUM(S1068:X1068)</f>
        <v>97.7291159772912</v>
      </c>
      <c r="AA1068" s="2" t="n">
        <f aca="false">U1068*Settings!$B$3/SUM(S1068:X1068)</f>
        <v>48.661800486618</v>
      </c>
      <c r="AB1068" s="2" t="n">
        <f aca="false">V1068*Settings!$B$3/SUM(S1068:X1068)</f>
        <v>112.733171127332</v>
      </c>
      <c r="AC1068" s="2" t="n">
        <f aca="false">W1068*Settings!$B$3/SUM(S1068:X1068)</f>
        <v>66.0989456609895</v>
      </c>
      <c r="AD1068" s="2" t="n">
        <f aca="false">X1068*Settings!$B$3/SUM(S1068:X1068)</f>
        <v>105.028386050284</v>
      </c>
      <c r="AE1068" s="2" t="n">
        <f aca="false">INT(Y1068)</f>
        <v>69</v>
      </c>
      <c r="AF1068" s="2" t="n">
        <f aca="false">INT(Z1068)</f>
        <v>97</v>
      </c>
      <c r="AG1068" s="2" t="n">
        <f aca="false">INT(AA1068)</f>
        <v>48</v>
      </c>
      <c r="AH1068" s="2" t="n">
        <f aca="false">INT(AB1068)</f>
        <v>112</v>
      </c>
      <c r="AI1068" s="2" t="n">
        <f aca="false">INT(AC1068)</f>
        <v>66</v>
      </c>
      <c r="AJ1068" s="2" t="n">
        <f aca="false">INT(AD1068)</f>
        <v>105</v>
      </c>
      <c r="AK1068" s="2" t="n">
        <f aca="false">Settings!$B$3-SUM(AE1068:AJ1068)</f>
        <v>3</v>
      </c>
      <c r="AL1068" s="2" t="n">
        <f aca="false">ROUND(Y1068-AE1068,9)</f>
        <v>0.748580697</v>
      </c>
      <c r="AM1068" s="2" t="n">
        <f aca="false">ROUND(Z1068-AF1068,9)</f>
        <v>0.729115977</v>
      </c>
      <c r="AN1068" s="2" t="n">
        <f aca="false">ROUND(AA1068-AG1068,9)</f>
        <v>0.661800487</v>
      </c>
      <c r="AO1068" s="2" t="n">
        <f aca="false">ROUND(AB1068-AH1068,9)</f>
        <v>0.733171127</v>
      </c>
      <c r="AP1068" s="2" t="n">
        <f aca="false">ROUND(AC1068-AI1068,9)</f>
        <v>0.098945661</v>
      </c>
      <c r="AQ1068" s="2" t="n">
        <f aca="false">ROUND(AD1068-AJ1068,9)</f>
        <v>0.02838605</v>
      </c>
    </row>
    <row r="1069" customFormat="false" ht="15" hidden="false" customHeight="false" outlineLevel="0" collapsed="false">
      <c r="A1069" s="2" t="n">
        <v>1068</v>
      </c>
      <c r="B1069" s="6" t="n">
        <v>29</v>
      </c>
      <c r="C1069" s="6" t="n">
        <v>47</v>
      </c>
      <c r="D1069" s="8" t="str">
        <f aca="false">INDEX(Bases!$B$2:$B$53,B1069)</f>
        <v>Murkrow</v>
      </c>
      <c r="E1069" s="8" t="str">
        <f aca="false">INDEX(Bases!$B$2:$B$53,C1069)</f>
        <v>Carvanha</v>
      </c>
      <c r="F1069" s="2" t="str">
        <f aca="false">LEFT(D1069,ROUNDUP(LEN(D1069)/2,0))&amp;LOWER(MID(E1069,ROUNDUP(LEN(E1069)/2,0)+1,20))</f>
        <v>Murkanha</v>
      </c>
      <c r="G1069" s="8" t="str">
        <f aca="false">INDEX(Bases!$C$2:$C$53,B1069)</f>
        <v>Flying</v>
      </c>
      <c r="H1069" s="8" t="str">
        <f aca="false">IF(INDEX(Bases!$C$2:$C$53,C1069)=G1069,"",INDEX(Bases!$C$2:$C$53,C1069))</f>
        <v>Dark</v>
      </c>
      <c r="I1069" s="8" t="str">
        <f aca="false">IF(INDEX(Bases!$E$2:$E$53,B1069)="","",INDEX(Bases!$E$2:$E$53,B1069))</f>
        <v/>
      </c>
      <c r="J1069" s="8" t="str">
        <f aca="false">IF(INDEX(Bases!$E$2:$E$53,C1069)="","",INDEX(Bases!$E$2:$E$53,C1069))</f>
        <v/>
      </c>
      <c r="K1069" s="5"/>
      <c r="L1069" s="2" t="n">
        <f aca="false">AE1069+IF(SUMPRODUCT(--($AL1069:$AQ1069&gt;AL1069))&lt;$AK1069,1,0)</f>
        <v>72</v>
      </c>
      <c r="M1069" s="2" t="n">
        <f aca="false">AF1069+IF(SUMPRODUCT(--($AL1069:$AQ1069&gt;AM1069))+SUMPRODUCT(--($AL1069:AL1069=AM1069))&lt;$AK1069,1,0)</f>
        <v>129</v>
      </c>
      <c r="N1069" s="2" t="n">
        <f aca="false">AG1069+IF(SUMPRODUCT(--($AL1069:$AQ1069&gt;AN1069))+SUMPRODUCT(--($AL1069:AM1069=AN1069))&lt;$AK1069,1,0)</f>
        <v>44</v>
      </c>
      <c r="O1069" s="2" t="n">
        <f aca="false">AH1069+IF(SUMPRODUCT(--($AL1069:$AQ1069&gt;AO1069))+SUMPRODUCT(--($AL1069:AN1069=AO1069))&lt;$AK1069,1,0)</f>
        <v>104</v>
      </c>
      <c r="P1069" s="2" t="n">
        <f aca="false">AI1069+IF(SUMPRODUCT(--($AL1069:$AQ1069&gt;AP1069))+SUMPRODUCT(--($AL1069:AO1069=AP1069))&lt;$AK1069,1,0)</f>
        <v>44</v>
      </c>
      <c r="Q1069" s="2" t="n">
        <f aca="false">AJ1069+IF(SUMPRODUCT(--($AL1069:$AQ1069&gt;AQ1069))+SUMPRODUCT(--($AL1069:AP1069=AQ1069))&lt;$AK1069,1,0)</f>
        <v>107</v>
      </c>
      <c r="R1069" s="2" t="n">
        <f aca="false">SUM(L1069:Q1069)</f>
        <v>500</v>
      </c>
      <c r="S1069" s="2" t="n">
        <f aca="false">Settings!$B$4*MAX(INDEX(Bases!$M$2:$M$53,B1069),INDEX(Bases!$M$2:$M$53,C1069))+Settings!$B$5*MIN(INDEX(Bases!$M$2:$M$53,B1069),INDEX(Bases!$M$2:$M$53,C1069))</f>
        <v>59</v>
      </c>
      <c r="T1069" s="2" t="n">
        <f aca="false">Settings!$B$4*MAX(INDEX(Bases!$N$2:$N$53,B1069),INDEX(Bases!$N$2:$N$53,C1069))+Settings!$B$5*MIN(INDEX(Bases!$N$2:$N$53,B1069),INDEX(Bases!$N$2:$N$53,C1069))</f>
        <v>106.666666666667</v>
      </c>
      <c r="U1069" s="2" t="n">
        <f aca="false">Settings!$B$4*MAX(INDEX(Bases!$O$2:$O$53,B1069),INDEX(Bases!$O$2:$O$53,C1069))+Settings!$B$5*MIN(INDEX(Bases!$O$2:$O$53,B1069),INDEX(Bases!$O$2:$O$53,C1069))</f>
        <v>36.6666666666667</v>
      </c>
      <c r="V1069" s="2" t="n">
        <f aca="false">Settings!$B$4*MAX(INDEX(Bases!$P$2:$P$53,B1069),INDEX(Bases!$P$2:$P$53,C1069))+Settings!$B$5*MIN(INDEX(Bases!$P$2:$P$53,B1069),INDEX(Bases!$P$2:$P$53,C1069))</f>
        <v>85.3333333333333</v>
      </c>
      <c r="W1069" s="2" t="n">
        <f aca="false">Settings!$B$4*MAX(INDEX(Bases!$Q$2:$Q$53,B1069),INDEX(Bases!$Q$2:$Q$53,C1069))+Settings!$B$5*MIN(INDEX(Bases!$Q$2:$Q$53,B1069),INDEX(Bases!$Q$2:$Q$53,C1069))</f>
        <v>36</v>
      </c>
      <c r="X1069" s="2" t="n">
        <f aca="false">Settings!$B$4*MAX(INDEX(Bases!$R$2:$R$53,B1069),INDEX(Bases!$R$2:$R$53,C1069))+Settings!$B$5*MIN(INDEX(Bases!$R$2:$R$53,B1069),INDEX(Bases!$R$2:$R$53,C1069))</f>
        <v>88.3333333333333</v>
      </c>
      <c r="Y1069" s="2" t="n">
        <f aca="false">S1069*Settings!$B$3/SUM(S1069:X1069)</f>
        <v>71.6019417475728</v>
      </c>
      <c r="Z1069" s="2" t="n">
        <f aca="false">T1069*Settings!$B$3/SUM(S1069:X1069)</f>
        <v>129.449838187702</v>
      </c>
      <c r="AA1069" s="2" t="n">
        <f aca="false">U1069*Settings!$B$3/SUM(S1069:X1069)</f>
        <v>44.4983818770227</v>
      </c>
      <c r="AB1069" s="2" t="n">
        <f aca="false">V1069*Settings!$B$3/SUM(S1069:X1069)</f>
        <v>103.559870550162</v>
      </c>
      <c r="AC1069" s="2" t="n">
        <f aca="false">W1069*Settings!$B$3/SUM(S1069:X1069)</f>
        <v>43.6893203883495</v>
      </c>
      <c r="AD1069" s="2" t="n">
        <f aca="false">X1069*Settings!$B$3/SUM(S1069:X1069)</f>
        <v>107.200647249191</v>
      </c>
      <c r="AE1069" s="2" t="n">
        <f aca="false">INT(Y1069)</f>
        <v>71</v>
      </c>
      <c r="AF1069" s="2" t="n">
        <f aca="false">INT(Z1069)</f>
        <v>129</v>
      </c>
      <c r="AG1069" s="2" t="n">
        <f aca="false">INT(AA1069)</f>
        <v>44</v>
      </c>
      <c r="AH1069" s="2" t="n">
        <f aca="false">INT(AB1069)</f>
        <v>103</v>
      </c>
      <c r="AI1069" s="2" t="n">
        <f aca="false">INT(AC1069)</f>
        <v>43</v>
      </c>
      <c r="AJ1069" s="2" t="n">
        <f aca="false">INT(AD1069)</f>
        <v>107</v>
      </c>
      <c r="AK1069" s="2" t="n">
        <f aca="false">Settings!$B$3-SUM(AE1069:AJ1069)</f>
        <v>3</v>
      </c>
      <c r="AL1069" s="2" t="n">
        <f aca="false">ROUND(Y1069-AE1069,9)</f>
        <v>0.601941748</v>
      </c>
      <c r="AM1069" s="2" t="n">
        <f aca="false">ROUND(Z1069-AF1069,9)</f>
        <v>0.449838188</v>
      </c>
      <c r="AN1069" s="2" t="n">
        <f aca="false">ROUND(AA1069-AG1069,9)</f>
        <v>0.498381877</v>
      </c>
      <c r="AO1069" s="2" t="n">
        <f aca="false">ROUND(AB1069-AH1069,9)</f>
        <v>0.55987055</v>
      </c>
      <c r="AP1069" s="2" t="n">
        <f aca="false">ROUND(AC1069-AI1069,9)</f>
        <v>0.689320388</v>
      </c>
      <c r="AQ1069" s="2" t="n">
        <f aca="false">ROUND(AD1069-AJ1069,9)</f>
        <v>0.200647249</v>
      </c>
    </row>
    <row r="1070" customFormat="false" ht="15" hidden="false" customHeight="false" outlineLevel="0" collapsed="false">
      <c r="A1070" s="2" t="n">
        <v>1069</v>
      </c>
      <c r="B1070" s="6" t="n">
        <v>29</v>
      </c>
      <c r="C1070" s="6" t="n">
        <v>48</v>
      </c>
      <c r="D1070" s="8" t="str">
        <f aca="false">INDEX(Bases!$B$2:$B$53,B1070)</f>
        <v>Murkrow</v>
      </c>
      <c r="E1070" s="8" t="str">
        <f aca="false">INDEX(Bases!$B$2:$B$53,C1070)</f>
        <v>Magnemite</v>
      </c>
      <c r="F1070" s="2" t="str">
        <f aca="false">LEFT(D1070,ROUNDUP(LEN(D1070)/2,0))&amp;LOWER(MID(E1070,ROUNDUP(LEN(E1070)/2,0)+1,20))</f>
        <v>Murkmite</v>
      </c>
      <c r="G1070" s="8" t="str">
        <f aca="false">INDEX(Bases!$C$2:$C$53,B1070)</f>
        <v>Flying</v>
      </c>
      <c r="H1070" s="8" t="str">
        <f aca="false">IF(INDEX(Bases!$C$2:$C$53,C1070)=G1070,"",INDEX(Bases!$C$2:$C$53,C1070))</f>
        <v>Steel</v>
      </c>
      <c r="I1070" s="8" t="str">
        <f aca="false">IF(INDEX(Bases!$E$2:$E$53,B1070)="","",INDEX(Bases!$E$2:$E$53,B1070))</f>
        <v/>
      </c>
      <c r="J1070" s="8" t="str">
        <f aca="false">IF(INDEX(Bases!$E$2:$E$53,C1070)="","",INDEX(Bases!$E$2:$E$53,C1070))</f>
        <v/>
      </c>
      <c r="K1070" s="5"/>
      <c r="L1070" s="2" t="n">
        <f aca="false">AE1070+IF(SUMPRODUCT(--($AL1070:$AQ1070&gt;AL1070))&lt;$AK1070,1,0)</f>
        <v>57</v>
      </c>
      <c r="M1070" s="2" t="n">
        <f aca="false">AF1070+IF(SUMPRODUCT(--($AL1070:$AQ1070&gt;AM1070))+SUMPRODUCT(--($AL1070:AL1070=AM1070))&lt;$AK1070,1,0)</f>
        <v>81</v>
      </c>
      <c r="N1070" s="2" t="n">
        <f aca="false">AG1070+IF(SUMPRODUCT(--($AL1070:$AQ1070&gt;AN1070))+SUMPRODUCT(--($AL1070:AM1070=AN1070))&lt;$AK1070,1,0)</f>
        <v>82</v>
      </c>
      <c r="O1070" s="2" t="n">
        <f aca="false">AH1070+IF(SUMPRODUCT(--($AL1070:$AQ1070&gt;AO1070))+SUMPRODUCT(--($AL1070:AN1070=AO1070))&lt;$AK1070,1,0)</f>
        <v>122</v>
      </c>
      <c r="P1070" s="2" t="n">
        <f aca="false">AI1070+IF(SUMPRODUCT(--($AL1070:$AQ1070&gt;AP1070))+SUMPRODUCT(--($AL1070:AO1070=AP1070))&lt;$AK1070,1,0)</f>
        <v>68</v>
      </c>
      <c r="Q1070" s="2" t="n">
        <f aca="false">AJ1070+IF(SUMPRODUCT(--($AL1070:$AQ1070&gt;AQ1070))+SUMPRODUCT(--($AL1070:AP1070=AQ1070))&lt;$AK1070,1,0)</f>
        <v>90</v>
      </c>
      <c r="R1070" s="2" t="n">
        <f aca="false">SUM(L1070:Q1070)</f>
        <v>500</v>
      </c>
      <c r="S1070" s="2" t="n">
        <f aca="false">Settings!$B$4*MAX(INDEX(Bases!$M$2:$M$53,B1070),INDEX(Bases!$M$2:$M$53,C1070))+Settings!$B$5*MIN(INDEX(Bases!$M$2:$M$53,B1070),INDEX(Bases!$M$2:$M$53,C1070))</f>
        <v>49.6666666666667</v>
      </c>
      <c r="T1070" s="2" t="n">
        <f aca="false">Settings!$B$4*MAX(INDEX(Bases!$N$2:$N$53,B1070),INDEX(Bases!$N$2:$N$53,C1070))+Settings!$B$5*MIN(INDEX(Bases!$N$2:$N$53,B1070),INDEX(Bases!$N$2:$N$53,C1070))</f>
        <v>70.3333333333333</v>
      </c>
      <c r="U1070" s="2" t="n">
        <f aca="false">Settings!$B$4*MAX(INDEX(Bases!$O$2:$O$53,B1070),INDEX(Bases!$O$2:$O$53,C1070))+Settings!$B$5*MIN(INDEX(Bases!$O$2:$O$53,B1070),INDEX(Bases!$O$2:$O$53,C1070))</f>
        <v>71.3333333333333</v>
      </c>
      <c r="V1070" s="2" t="n">
        <f aca="false">Settings!$B$4*MAX(INDEX(Bases!$P$2:$P$53,B1070),INDEX(Bases!$P$2:$P$53,C1070))+Settings!$B$5*MIN(INDEX(Bases!$P$2:$P$53,B1070),INDEX(Bases!$P$2:$P$53,C1070))</f>
        <v>106</v>
      </c>
      <c r="W1070" s="2" t="n">
        <f aca="false">Settings!$B$4*MAX(INDEX(Bases!$Q$2:$Q$53,B1070),INDEX(Bases!$Q$2:$Q$53,C1070))+Settings!$B$5*MIN(INDEX(Bases!$Q$2:$Q$53,B1070),INDEX(Bases!$Q$2:$Q$53,C1070))</f>
        <v>59</v>
      </c>
      <c r="X1070" s="2" t="n">
        <f aca="false">Settings!$B$4*MAX(INDEX(Bases!$R$2:$R$53,B1070),INDEX(Bases!$R$2:$R$53,C1070))+Settings!$B$5*MIN(INDEX(Bases!$R$2:$R$53,B1070),INDEX(Bases!$R$2:$R$53,C1070))</f>
        <v>78.3333333333333</v>
      </c>
      <c r="Y1070" s="2" t="n">
        <f aca="false">S1070*Settings!$B$3/SUM(S1070:X1070)</f>
        <v>57.1319018404908</v>
      </c>
      <c r="Z1070" s="2" t="n">
        <f aca="false">T1070*Settings!$B$3/SUM(S1070:X1070)</f>
        <v>80.9049079754602</v>
      </c>
      <c r="AA1070" s="2" t="n">
        <f aca="false">U1070*Settings!$B$3/SUM(S1070:X1070)</f>
        <v>82.0552147239264</v>
      </c>
      <c r="AB1070" s="2" t="n">
        <f aca="false">V1070*Settings!$B$3/SUM(S1070:X1070)</f>
        <v>121.932515337423</v>
      </c>
      <c r="AC1070" s="2" t="n">
        <f aca="false">W1070*Settings!$B$3/SUM(S1070:X1070)</f>
        <v>67.8680981595092</v>
      </c>
      <c r="AD1070" s="2" t="n">
        <f aca="false">X1070*Settings!$B$3/SUM(S1070:X1070)</f>
        <v>90.1073619631902</v>
      </c>
      <c r="AE1070" s="2" t="n">
        <f aca="false">INT(Y1070)</f>
        <v>57</v>
      </c>
      <c r="AF1070" s="2" t="n">
        <f aca="false">INT(Z1070)</f>
        <v>80</v>
      </c>
      <c r="AG1070" s="2" t="n">
        <f aca="false">INT(AA1070)</f>
        <v>82</v>
      </c>
      <c r="AH1070" s="2" t="n">
        <f aca="false">INT(AB1070)</f>
        <v>121</v>
      </c>
      <c r="AI1070" s="2" t="n">
        <f aca="false">INT(AC1070)</f>
        <v>67</v>
      </c>
      <c r="AJ1070" s="2" t="n">
        <f aca="false">INT(AD1070)</f>
        <v>90</v>
      </c>
      <c r="AK1070" s="2" t="n">
        <f aca="false">Settings!$B$3-SUM(AE1070:AJ1070)</f>
        <v>3</v>
      </c>
      <c r="AL1070" s="2" t="n">
        <f aca="false">ROUND(Y1070-AE1070,9)</f>
        <v>0.13190184</v>
      </c>
      <c r="AM1070" s="2" t="n">
        <f aca="false">ROUND(Z1070-AF1070,9)</f>
        <v>0.904907975</v>
      </c>
      <c r="AN1070" s="2" t="n">
        <f aca="false">ROUND(AA1070-AG1070,9)</f>
        <v>0.055214724</v>
      </c>
      <c r="AO1070" s="2" t="n">
        <f aca="false">ROUND(AB1070-AH1070,9)</f>
        <v>0.932515337</v>
      </c>
      <c r="AP1070" s="2" t="n">
        <f aca="false">ROUND(AC1070-AI1070,9)</f>
        <v>0.86809816</v>
      </c>
      <c r="AQ1070" s="2" t="n">
        <f aca="false">ROUND(AD1070-AJ1070,9)</f>
        <v>0.107361963</v>
      </c>
    </row>
    <row r="1071" customFormat="false" ht="15" hidden="false" customHeight="false" outlineLevel="0" collapsed="false">
      <c r="A1071" s="2" t="n">
        <v>1070</v>
      </c>
      <c r="B1071" s="6" t="n">
        <v>29</v>
      </c>
      <c r="C1071" s="6" t="n">
        <v>49</v>
      </c>
      <c r="D1071" s="8" t="str">
        <f aca="false">INDEX(Bases!$B$2:$B$53,B1071)</f>
        <v>Murkrow</v>
      </c>
      <c r="E1071" s="8" t="str">
        <f aca="false">INDEX(Bases!$B$2:$B$53,C1071)</f>
        <v>Aron</v>
      </c>
      <c r="F1071" s="2" t="str">
        <f aca="false">LEFT(D1071,ROUNDUP(LEN(D1071)/2,0))&amp;LOWER(MID(E1071,ROUNDUP(LEN(E1071)/2,0)+1,20))</f>
        <v>Murkon</v>
      </c>
      <c r="G1071" s="8" t="str">
        <f aca="false">INDEX(Bases!$C$2:$C$53,B1071)</f>
        <v>Flying</v>
      </c>
      <c r="H1071" s="8" t="str">
        <f aca="false">IF(INDEX(Bases!$C$2:$C$53,C1071)=G1071,"",INDEX(Bases!$C$2:$C$53,C1071))</f>
        <v>Steel</v>
      </c>
      <c r="I1071" s="8" t="str">
        <f aca="false">IF(INDEX(Bases!$E$2:$E$53,B1071)="","",INDEX(Bases!$E$2:$E$53,B1071))</f>
        <v/>
      </c>
      <c r="J1071" s="8" t="str">
        <f aca="false">IF(INDEX(Bases!$E$2:$E$53,C1071)="","",INDEX(Bases!$E$2:$E$53,C1071))</f>
        <v/>
      </c>
      <c r="K1071" s="5"/>
      <c r="L1071" s="2" t="n">
        <f aca="false">AE1071+IF(SUMPRODUCT(--($AL1071:$AQ1071&gt;AL1071))&lt;$AK1071,1,0)</f>
        <v>70</v>
      </c>
      <c r="M1071" s="2" t="n">
        <f aca="false">AF1071+IF(SUMPRODUCT(--($AL1071:$AQ1071&gt;AM1071))+SUMPRODUCT(--($AL1071:AL1071=AM1071))&lt;$AK1071,1,0)</f>
        <v>99</v>
      </c>
      <c r="N1071" s="2" t="n">
        <f aca="false">AG1071+IF(SUMPRODUCT(--($AL1071:$AQ1071&gt;AN1071))+SUMPRODUCT(--($AL1071:AM1071=AN1071))&lt;$AK1071,1,0)</f>
        <v>110</v>
      </c>
      <c r="O1071" s="2" t="n">
        <f aca="false">AH1071+IF(SUMPRODUCT(--($AL1071:$AQ1071&gt;AO1071))+SUMPRODUCT(--($AL1071:AN1071=AO1071))&lt;$AK1071,1,0)</f>
        <v>84</v>
      </c>
      <c r="P1071" s="2" t="n">
        <f aca="false">AI1071+IF(SUMPRODUCT(--($AL1071:$AQ1071&gt;AP1071))+SUMPRODUCT(--($AL1071:AO1071=AP1071))&lt;$AK1071,1,0)</f>
        <v>53</v>
      </c>
      <c r="Q1071" s="2" t="n">
        <f aca="false">AJ1071+IF(SUMPRODUCT(--($AL1071:$AQ1071&gt;AQ1071))+SUMPRODUCT(--($AL1071:AP1071=AQ1071))&lt;$AK1071,1,0)</f>
        <v>84</v>
      </c>
      <c r="R1071" s="2" t="n">
        <f aca="false">SUM(L1071:Q1071)</f>
        <v>500</v>
      </c>
      <c r="S1071" s="2" t="n">
        <f aca="false">Settings!$B$4*MAX(INDEX(Bases!$M$2:$M$53,B1071),INDEX(Bases!$M$2:$M$53,C1071))+Settings!$B$5*MIN(INDEX(Bases!$M$2:$M$53,B1071),INDEX(Bases!$M$2:$M$53,C1071))</f>
        <v>60.3333333333333</v>
      </c>
      <c r="T1071" s="2" t="n">
        <f aca="false">Settings!$B$4*MAX(INDEX(Bases!$N$2:$N$53,B1071),INDEX(Bases!$N$2:$N$53,C1071))+Settings!$B$5*MIN(INDEX(Bases!$N$2:$N$53,B1071),INDEX(Bases!$N$2:$N$53,C1071))</f>
        <v>84.6666666666667</v>
      </c>
      <c r="U1071" s="2" t="n">
        <f aca="false">Settings!$B$4*MAX(INDEX(Bases!$O$2:$O$53,B1071),INDEX(Bases!$O$2:$O$53,C1071))+Settings!$B$5*MIN(INDEX(Bases!$O$2:$O$53,B1071),INDEX(Bases!$O$2:$O$53,C1071))</f>
        <v>94.6666666666667</v>
      </c>
      <c r="V1071" s="2" t="n">
        <f aca="false">Settings!$B$4*MAX(INDEX(Bases!$P$2:$P$53,B1071),INDEX(Bases!$P$2:$P$53,C1071))+Settings!$B$5*MIN(INDEX(Bases!$P$2:$P$53,B1071),INDEX(Bases!$P$2:$P$53,C1071))</f>
        <v>72.3333333333333</v>
      </c>
      <c r="W1071" s="2" t="n">
        <f aca="false">Settings!$B$4*MAX(INDEX(Bases!$Q$2:$Q$53,B1071),INDEX(Bases!$Q$2:$Q$53,C1071))+Settings!$B$5*MIN(INDEX(Bases!$Q$2:$Q$53,B1071),INDEX(Bases!$Q$2:$Q$53,C1071))</f>
        <v>45.6666666666667</v>
      </c>
      <c r="X1071" s="2" t="n">
        <f aca="false">Settings!$B$4*MAX(INDEX(Bases!$R$2:$R$53,B1071),INDEX(Bases!$R$2:$R$53,C1071))+Settings!$B$5*MIN(INDEX(Bases!$R$2:$R$53,B1071),INDEX(Bases!$R$2:$R$53,C1071))</f>
        <v>72</v>
      </c>
      <c r="Y1071" s="2" t="n">
        <f aca="false">S1071*Settings!$B$3/SUM(S1071:X1071)</f>
        <v>70.2094647013188</v>
      </c>
      <c r="Z1071" s="2" t="n">
        <f aca="false">T1071*Settings!$B$3/SUM(S1071:X1071)</f>
        <v>98.5259891388674</v>
      </c>
      <c r="AA1071" s="2" t="n">
        <f aca="false">U1071*Settings!$B$3/SUM(S1071:X1071)</f>
        <v>110.162916989915</v>
      </c>
      <c r="AB1071" s="2" t="n">
        <f aca="false">V1071*Settings!$B$3/SUM(S1071:X1071)</f>
        <v>84.1737781225756</v>
      </c>
      <c r="AC1071" s="2" t="n">
        <f aca="false">W1071*Settings!$B$3/SUM(S1071:X1071)</f>
        <v>53.1419705197828</v>
      </c>
      <c r="AD1071" s="2" t="n">
        <f aca="false">X1071*Settings!$B$3/SUM(S1071:X1071)</f>
        <v>83.7858805275407</v>
      </c>
      <c r="AE1071" s="2" t="n">
        <f aca="false">INT(Y1071)</f>
        <v>70</v>
      </c>
      <c r="AF1071" s="2" t="n">
        <f aca="false">INT(Z1071)</f>
        <v>98</v>
      </c>
      <c r="AG1071" s="2" t="n">
        <f aca="false">INT(AA1071)</f>
        <v>110</v>
      </c>
      <c r="AH1071" s="2" t="n">
        <f aca="false">INT(AB1071)</f>
        <v>84</v>
      </c>
      <c r="AI1071" s="2" t="n">
        <f aca="false">INT(AC1071)</f>
        <v>53</v>
      </c>
      <c r="AJ1071" s="2" t="n">
        <f aca="false">INT(AD1071)</f>
        <v>83</v>
      </c>
      <c r="AK1071" s="2" t="n">
        <f aca="false">Settings!$B$3-SUM(AE1071:AJ1071)</f>
        <v>2</v>
      </c>
      <c r="AL1071" s="2" t="n">
        <f aca="false">ROUND(Y1071-AE1071,9)</f>
        <v>0.209464701</v>
      </c>
      <c r="AM1071" s="2" t="n">
        <f aca="false">ROUND(Z1071-AF1071,9)</f>
        <v>0.525989139</v>
      </c>
      <c r="AN1071" s="2" t="n">
        <f aca="false">ROUND(AA1071-AG1071,9)</f>
        <v>0.16291699</v>
      </c>
      <c r="AO1071" s="2" t="n">
        <f aca="false">ROUND(AB1071-AH1071,9)</f>
        <v>0.173778123</v>
      </c>
      <c r="AP1071" s="2" t="n">
        <f aca="false">ROUND(AC1071-AI1071,9)</f>
        <v>0.14197052</v>
      </c>
      <c r="AQ1071" s="2" t="n">
        <f aca="false">ROUND(AD1071-AJ1071,9)</f>
        <v>0.785880528</v>
      </c>
    </row>
    <row r="1072" customFormat="false" ht="15" hidden="false" customHeight="false" outlineLevel="0" collapsed="false">
      <c r="A1072" s="2" t="n">
        <v>1071</v>
      </c>
      <c r="B1072" s="6" t="n">
        <v>29</v>
      </c>
      <c r="C1072" s="6" t="n">
        <v>50</v>
      </c>
      <c r="D1072" s="8" t="str">
        <f aca="false">INDEX(Bases!$B$2:$B$53,B1072)</f>
        <v>Murkrow</v>
      </c>
      <c r="E1072" s="8" t="str">
        <f aca="false">INDEX(Bases!$B$2:$B$53,C1072)</f>
        <v>Beldum</v>
      </c>
      <c r="F1072" s="2" t="str">
        <f aca="false">LEFT(D1072,ROUNDUP(LEN(D1072)/2,0))&amp;LOWER(MID(E1072,ROUNDUP(LEN(E1072)/2,0)+1,20))</f>
        <v>Murkdum</v>
      </c>
      <c r="G1072" s="8" t="str">
        <f aca="false">INDEX(Bases!$C$2:$C$53,B1072)</f>
        <v>Flying</v>
      </c>
      <c r="H1072" s="8" t="str">
        <f aca="false">IF(INDEX(Bases!$C$2:$C$53,C1072)=G1072,"",INDEX(Bases!$C$2:$C$53,C1072))</f>
        <v>Steel</v>
      </c>
      <c r="I1072" s="8" t="str">
        <f aca="false">IF(INDEX(Bases!$E$2:$E$53,B1072)="","",INDEX(Bases!$E$2:$E$53,B1072))</f>
        <v/>
      </c>
      <c r="J1072" s="8" t="str">
        <f aca="false">IF(INDEX(Bases!$E$2:$E$53,C1072)="","",INDEX(Bases!$E$2:$E$53,C1072))</f>
        <v/>
      </c>
      <c r="K1072" s="5"/>
      <c r="L1072" s="2" t="n">
        <f aca="false">AE1072+IF(SUMPRODUCT(--($AL1072:$AQ1072&gt;AL1072))&lt;$AK1072,1,0)</f>
        <v>66</v>
      </c>
      <c r="M1072" s="2" t="n">
        <f aca="false">AF1072+IF(SUMPRODUCT(--($AL1072:$AQ1072&gt;AM1072))+SUMPRODUCT(--($AL1072:AL1072=AM1072))&lt;$AK1072,1,0)</f>
        <v>92</v>
      </c>
      <c r="N1072" s="2" t="n">
        <f aca="false">AG1072+IF(SUMPRODUCT(--($AL1072:$AQ1072&gt;AN1072))+SUMPRODUCT(--($AL1072:AM1072=AN1072))&lt;$AK1072,1,0)</f>
        <v>98</v>
      </c>
      <c r="O1072" s="2" t="n">
        <f aca="false">AH1072+IF(SUMPRODUCT(--($AL1072:$AQ1072&gt;AO1072))+SUMPRODUCT(--($AL1072:AN1072=AO1072))&lt;$AK1072,1,0)</f>
        <v>83</v>
      </c>
      <c r="P1072" s="2" t="n">
        <f aca="false">AI1072+IF(SUMPRODUCT(--($AL1072:$AQ1072&gt;AP1072))+SUMPRODUCT(--($AL1072:AO1072=AP1072))&lt;$AK1072,1,0)</f>
        <v>77</v>
      </c>
      <c r="Q1072" s="2" t="n">
        <f aca="false">AJ1072+IF(SUMPRODUCT(--($AL1072:$AQ1072&gt;AQ1072))+SUMPRODUCT(--($AL1072:AP1072=AQ1072))&lt;$AK1072,1,0)</f>
        <v>84</v>
      </c>
      <c r="R1072" s="2" t="n">
        <f aca="false">SUM(L1072:Q1072)</f>
        <v>500</v>
      </c>
      <c r="S1072" s="2" t="n">
        <f aca="false">Settings!$B$4*MAX(INDEX(Bases!$M$2:$M$53,B1072),INDEX(Bases!$M$2:$M$53,C1072))+Settings!$B$5*MIN(INDEX(Bases!$M$2:$M$53,B1072),INDEX(Bases!$M$2:$M$53,C1072))</f>
        <v>57</v>
      </c>
      <c r="T1072" s="2" t="n">
        <f aca="false">Settings!$B$4*MAX(INDEX(Bases!$N$2:$N$53,B1072),INDEX(Bases!$N$2:$N$53,C1072))+Settings!$B$5*MIN(INDEX(Bases!$N$2:$N$53,B1072),INDEX(Bases!$N$2:$N$53,C1072))</f>
        <v>80.3333333333333</v>
      </c>
      <c r="U1072" s="2" t="n">
        <f aca="false">Settings!$B$4*MAX(INDEX(Bases!$O$2:$O$53,B1072),INDEX(Bases!$O$2:$O$53,C1072))+Settings!$B$5*MIN(INDEX(Bases!$O$2:$O$53,B1072),INDEX(Bases!$O$2:$O$53,C1072))</f>
        <v>85.3333333333333</v>
      </c>
      <c r="V1072" s="2" t="n">
        <f aca="false">Settings!$B$4*MAX(INDEX(Bases!$P$2:$P$53,B1072),INDEX(Bases!$P$2:$P$53,C1072))+Settings!$B$5*MIN(INDEX(Bases!$P$2:$P$53,B1072),INDEX(Bases!$P$2:$P$53,C1072))</f>
        <v>71.6666666666667</v>
      </c>
      <c r="W1072" s="2" t="n">
        <f aca="false">Settings!$B$4*MAX(INDEX(Bases!$Q$2:$Q$53,B1072),INDEX(Bases!$Q$2:$Q$53,C1072))+Settings!$B$5*MIN(INDEX(Bases!$Q$2:$Q$53,B1072),INDEX(Bases!$Q$2:$Q$53,C1072))</f>
        <v>67</v>
      </c>
      <c r="X1072" s="2" t="n">
        <f aca="false">Settings!$B$4*MAX(INDEX(Bases!$R$2:$R$53,B1072),INDEX(Bases!$R$2:$R$53,C1072))+Settings!$B$5*MIN(INDEX(Bases!$R$2:$R$53,B1072),INDEX(Bases!$R$2:$R$53,C1072))</f>
        <v>73.3333333333333</v>
      </c>
      <c r="Y1072" s="2" t="n">
        <f aca="false">S1072*Settings!$B$3/SUM(S1072:X1072)</f>
        <v>65.5674846625767</v>
      </c>
      <c r="Z1072" s="2" t="n">
        <f aca="false">T1072*Settings!$B$3/SUM(S1072:X1072)</f>
        <v>92.4079754601227</v>
      </c>
      <c r="AA1072" s="2" t="n">
        <f aca="false">U1072*Settings!$B$3/SUM(S1072:X1072)</f>
        <v>98.159509202454</v>
      </c>
      <c r="AB1072" s="2" t="n">
        <f aca="false">V1072*Settings!$B$3/SUM(S1072:X1072)</f>
        <v>82.4386503067485</v>
      </c>
      <c r="AC1072" s="2" t="n">
        <f aca="false">W1072*Settings!$B$3/SUM(S1072:X1072)</f>
        <v>77.0705521472393</v>
      </c>
      <c r="AD1072" s="2" t="n">
        <f aca="false">X1072*Settings!$B$3/SUM(S1072:X1072)</f>
        <v>84.3558282208589</v>
      </c>
      <c r="AE1072" s="2" t="n">
        <f aca="false">INT(Y1072)</f>
        <v>65</v>
      </c>
      <c r="AF1072" s="2" t="n">
        <f aca="false">INT(Z1072)</f>
        <v>92</v>
      </c>
      <c r="AG1072" s="2" t="n">
        <f aca="false">INT(AA1072)</f>
        <v>98</v>
      </c>
      <c r="AH1072" s="2" t="n">
        <f aca="false">INT(AB1072)</f>
        <v>82</v>
      </c>
      <c r="AI1072" s="2" t="n">
        <f aca="false">INT(AC1072)</f>
        <v>77</v>
      </c>
      <c r="AJ1072" s="2" t="n">
        <f aca="false">INT(AD1072)</f>
        <v>84</v>
      </c>
      <c r="AK1072" s="2" t="n">
        <f aca="false">Settings!$B$3-SUM(AE1072:AJ1072)</f>
        <v>2</v>
      </c>
      <c r="AL1072" s="2" t="n">
        <f aca="false">ROUND(Y1072-AE1072,9)</f>
        <v>0.567484663</v>
      </c>
      <c r="AM1072" s="2" t="n">
        <f aca="false">ROUND(Z1072-AF1072,9)</f>
        <v>0.40797546</v>
      </c>
      <c r="AN1072" s="2" t="n">
        <f aca="false">ROUND(AA1072-AG1072,9)</f>
        <v>0.159509202</v>
      </c>
      <c r="AO1072" s="2" t="n">
        <f aca="false">ROUND(AB1072-AH1072,9)</f>
        <v>0.438650307</v>
      </c>
      <c r="AP1072" s="2" t="n">
        <f aca="false">ROUND(AC1072-AI1072,9)</f>
        <v>0.070552147</v>
      </c>
      <c r="AQ1072" s="2" t="n">
        <f aca="false">ROUND(AD1072-AJ1072,9)</f>
        <v>0.355828221</v>
      </c>
    </row>
    <row r="1073" customFormat="false" ht="15" hidden="false" customHeight="false" outlineLevel="0" collapsed="false">
      <c r="A1073" s="2" t="n">
        <v>1072</v>
      </c>
      <c r="B1073" s="6" t="n">
        <v>29</v>
      </c>
      <c r="C1073" s="6" t="n">
        <v>51</v>
      </c>
      <c r="D1073" s="8" t="str">
        <f aca="false">INDEX(Bases!$B$2:$B$53,B1073)</f>
        <v>Murkrow</v>
      </c>
      <c r="E1073" s="8" t="str">
        <f aca="false">INDEX(Bases!$B$2:$B$53,C1073)</f>
        <v>Cleffa</v>
      </c>
      <c r="F1073" s="2" t="str">
        <f aca="false">LEFT(D1073,ROUNDUP(LEN(D1073)/2,0))&amp;LOWER(MID(E1073,ROUNDUP(LEN(E1073)/2,0)+1,20))</f>
        <v>Murkffa</v>
      </c>
      <c r="G1073" s="8" t="str">
        <f aca="false">INDEX(Bases!$C$2:$C$53,B1073)</f>
        <v>Flying</v>
      </c>
      <c r="H1073" s="8" t="str">
        <f aca="false">IF(INDEX(Bases!$C$2:$C$53,C1073)=G1073,"",INDEX(Bases!$C$2:$C$53,C1073))</f>
        <v>Fairy</v>
      </c>
      <c r="I1073" s="8" t="str">
        <f aca="false">IF(INDEX(Bases!$E$2:$E$53,B1073)="","",INDEX(Bases!$E$2:$E$53,B1073))</f>
        <v/>
      </c>
      <c r="J1073" s="8" t="str">
        <f aca="false">IF(INDEX(Bases!$E$2:$E$53,C1073)="","",INDEX(Bases!$E$2:$E$53,C1073))</f>
        <v/>
      </c>
      <c r="K1073" s="5"/>
      <c r="L1073" s="2" t="n">
        <f aca="false">AE1073+IF(SUMPRODUCT(--($AL1073:$AQ1073&gt;AL1073))&lt;$AK1073,1,0)</f>
        <v>93</v>
      </c>
      <c r="M1073" s="2" t="n">
        <f aca="false">AF1073+IF(SUMPRODUCT(--($AL1073:$AQ1073&gt;AM1073))+SUMPRODUCT(--($AL1073:AL1073=AM1073))&lt;$AK1073,1,0)</f>
        <v>82</v>
      </c>
      <c r="N1073" s="2" t="n">
        <f aca="false">AG1073+IF(SUMPRODUCT(--($AL1073:$AQ1073&gt;AN1073))+SUMPRODUCT(--($AL1073:AM1073=AN1073))&lt;$AK1073,1,0)</f>
        <v>55</v>
      </c>
      <c r="O1073" s="2" t="n">
        <f aca="false">AH1073+IF(SUMPRODUCT(--($AL1073:$AQ1073&gt;AO1073))+SUMPRODUCT(--($AL1073:AN1073=AO1073))&lt;$AK1073,1,0)</f>
        <v>97</v>
      </c>
      <c r="P1073" s="2" t="n">
        <f aca="false">AI1073+IF(SUMPRODUCT(--($AL1073:$AQ1073&gt;AP1073))+SUMPRODUCT(--($AL1073:AO1073=AP1073))&lt;$AK1073,1,0)</f>
        <v>93</v>
      </c>
      <c r="Q1073" s="2" t="n">
        <f aca="false">AJ1073+IF(SUMPRODUCT(--($AL1073:$AQ1073&gt;AQ1073))+SUMPRODUCT(--($AL1073:AP1073=AQ1073))&lt;$AK1073,1,0)</f>
        <v>80</v>
      </c>
      <c r="R1073" s="2" t="n">
        <f aca="false">SUM(L1073:Q1073)</f>
        <v>500</v>
      </c>
      <c r="S1073" s="2" t="n">
        <f aca="false">Settings!$B$4*MAX(INDEX(Bases!$M$2:$M$53,B1073),INDEX(Bases!$M$2:$M$53,C1073))+Settings!$B$5*MIN(INDEX(Bases!$M$2:$M$53,B1073),INDEX(Bases!$M$2:$M$53,C1073))</f>
        <v>81</v>
      </c>
      <c r="T1073" s="2" t="n">
        <f aca="false">Settings!$B$4*MAX(INDEX(Bases!$N$2:$N$53,B1073),INDEX(Bases!$N$2:$N$53,C1073))+Settings!$B$5*MIN(INDEX(Bases!$N$2:$N$53,B1073),INDEX(Bases!$N$2:$N$53,C1073))</f>
        <v>71.3333333333333</v>
      </c>
      <c r="U1073" s="2" t="n">
        <f aca="false">Settings!$B$4*MAX(INDEX(Bases!$O$2:$O$53,B1073),INDEX(Bases!$O$2:$O$53,C1073))+Settings!$B$5*MIN(INDEX(Bases!$O$2:$O$53,B1073),INDEX(Bases!$O$2:$O$53,C1073))</f>
        <v>48</v>
      </c>
      <c r="V1073" s="2" t="n">
        <f aca="false">Settings!$B$4*MAX(INDEX(Bases!$P$2:$P$53,B1073),INDEX(Bases!$P$2:$P$53,C1073))+Settings!$B$5*MIN(INDEX(Bases!$P$2:$P$53,B1073),INDEX(Bases!$P$2:$P$53,C1073))</f>
        <v>83.6666666666667</v>
      </c>
      <c r="W1073" s="2" t="n">
        <f aca="false">Settings!$B$4*MAX(INDEX(Bases!$Q$2:$Q$53,B1073),INDEX(Bases!$Q$2:$Q$53,C1073))+Settings!$B$5*MIN(INDEX(Bases!$Q$2:$Q$53,B1073),INDEX(Bases!$Q$2:$Q$53,C1073))</f>
        <v>81</v>
      </c>
      <c r="X1073" s="2" t="n">
        <f aca="false">Settings!$B$4*MAX(INDEX(Bases!$R$2:$R$53,B1073),INDEX(Bases!$R$2:$R$53,C1073))+Settings!$B$5*MIN(INDEX(Bases!$R$2:$R$53,B1073),INDEX(Bases!$R$2:$R$53,C1073))</f>
        <v>69</v>
      </c>
      <c r="Y1073" s="2" t="n">
        <f aca="false">S1073*Settings!$B$3/SUM(S1073:X1073)</f>
        <v>93.3179723502304</v>
      </c>
      <c r="Z1073" s="2" t="n">
        <f aca="false">T1073*Settings!$B$3/SUM(S1073:X1073)</f>
        <v>82.1812596006145</v>
      </c>
      <c r="AA1073" s="2" t="n">
        <f aca="false">U1073*Settings!$B$3/SUM(S1073:X1073)</f>
        <v>55.2995391705069</v>
      </c>
      <c r="AB1073" s="2" t="n">
        <f aca="false">V1073*Settings!$B$3/SUM(S1073:X1073)</f>
        <v>96.3901689708141</v>
      </c>
      <c r="AC1073" s="2" t="n">
        <f aca="false">W1073*Settings!$B$3/SUM(S1073:X1073)</f>
        <v>93.3179723502304</v>
      </c>
      <c r="AD1073" s="2" t="n">
        <f aca="false">X1073*Settings!$B$3/SUM(S1073:X1073)</f>
        <v>79.4930875576037</v>
      </c>
      <c r="AE1073" s="2" t="n">
        <f aca="false">INT(Y1073)</f>
        <v>93</v>
      </c>
      <c r="AF1073" s="2" t="n">
        <f aca="false">INT(Z1073)</f>
        <v>82</v>
      </c>
      <c r="AG1073" s="2" t="n">
        <f aca="false">INT(AA1073)</f>
        <v>55</v>
      </c>
      <c r="AH1073" s="2" t="n">
        <f aca="false">INT(AB1073)</f>
        <v>96</v>
      </c>
      <c r="AI1073" s="2" t="n">
        <f aca="false">INT(AC1073)</f>
        <v>93</v>
      </c>
      <c r="AJ1073" s="2" t="n">
        <f aca="false">INT(AD1073)</f>
        <v>79</v>
      </c>
      <c r="AK1073" s="2" t="n">
        <f aca="false">Settings!$B$3-SUM(AE1073:AJ1073)</f>
        <v>2</v>
      </c>
      <c r="AL1073" s="2" t="n">
        <f aca="false">ROUND(Y1073-AE1073,9)</f>
        <v>0.31797235</v>
      </c>
      <c r="AM1073" s="2" t="n">
        <f aca="false">ROUND(Z1073-AF1073,9)</f>
        <v>0.181259601</v>
      </c>
      <c r="AN1073" s="2" t="n">
        <f aca="false">ROUND(AA1073-AG1073,9)</f>
        <v>0.299539171</v>
      </c>
      <c r="AO1073" s="2" t="n">
        <f aca="false">ROUND(AB1073-AH1073,9)</f>
        <v>0.390168971</v>
      </c>
      <c r="AP1073" s="2" t="n">
        <f aca="false">ROUND(AC1073-AI1073,9)</f>
        <v>0.31797235</v>
      </c>
      <c r="AQ1073" s="2" t="n">
        <f aca="false">ROUND(AD1073-AJ1073,9)</f>
        <v>0.493087558</v>
      </c>
    </row>
    <row r="1074" customFormat="false" ht="15" hidden="false" customHeight="false" outlineLevel="0" collapsed="false">
      <c r="A1074" s="2" t="n">
        <v>1073</v>
      </c>
      <c r="B1074" s="6" t="n">
        <v>29</v>
      </c>
      <c r="C1074" s="6" t="n">
        <v>52</v>
      </c>
      <c r="D1074" s="8" t="str">
        <f aca="false">INDEX(Bases!$B$2:$B$53,B1074)</f>
        <v>Murkrow</v>
      </c>
      <c r="E1074" s="8" t="str">
        <f aca="false">INDEX(Bases!$B$2:$B$53,C1074)</f>
        <v>Togepi</v>
      </c>
      <c r="F1074" s="2" t="str">
        <f aca="false">LEFT(D1074,ROUNDUP(LEN(D1074)/2,0))&amp;LOWER(MID(E1074,ROUNDUP(LEN(E1074)/2,0)+1,20))</f>
        <v>Murkepi</v>
      </c>
      <c r="G1074" s="8" t="str">
        <f aca="false">INDEX(Bases!$C$2:$C$53,B1074)</f>
        <v>Flying</v>
      </c>
      <c r="H1074" s="8" t="str">
        <f aca="false">IF(INDEX(Bases!$C$2:$C$53,C1074)=G1074,"",INDEX(Bases!$C$2:$C$53,C1074))</f>
        <v>Fairy</v>
      </c>
      <c r="I1074" s="8" t="str">
        <f aca="false">IF(INDEX(Bases!$E$2:$E$53,B1074)="","",INDEX(Bases!$E$2:$E$53,B1074))</f>
        <v/>
      </c>
      <c r="J1074" s="8" t="str">
        <f aca="false">IF(INDEX(Bases!$E$2:$E$53,C1074)="","",INDEX(Bases!$E$2:$E$53,C1074))</f>
        <v/>
      </c>
      <c r="K1074" s="5"/>
      <c r="L1074" s="2" t="n">
        <f aca="false">AE1074+IF(SUMPRODUCT(--($AL1074:$AQ1074&gt;AL1074))&lt;$AK1074,1,0)</f>
        <v>66</v>
      </c>
      <c r="M1074" s="2" t="n">
        <f aca="false">AF1074+IF(SUMPRODUCT(--($AL1074:$AQ1074&gt;AM1074))+SUMPRODUCT(--($AL1074:AL1074=AM1074))&lt;$AK1074,1,0)</f>
        <v>76</v>
      </c>
      <c r="N1074" s="2" t="n">
        <f aca="false">AG1074+IF(SUMPRODUCT(--($AL1074:$AQ1074&gt;AN1074))+SUMPRODUCT(--($AL1074:AM1074=AN1074))&lt;$AK1074,1,0)</f>
        <v>95</v>
      </c>
      <c r="O1074" s="2" t="n">
        <f aca="false">AH1074+IF(SUMPRODUCT(--($AL1074:$AQ1074&gt;AO1074))+SUMPRODUCT(--($AL1074:AN1074=AO1074))&lt;$AK1074,1,0)</f>
        <v>88</v>
      </c>
      <c r="P1074" s="2" t="n">
        <f aca="false">AI1074+IF(SUMPRODUCT(--($AL1074:$AQ1074&gt;AP1074))+SUMPRODUCT(--($AL1074:AO1074=AP1074))&lt;$AK1074,1,0)</f>
        <v>95</v>
      </c>
      <c r="Q1074" s="2" t="n">
        <f aca="false">AJ1074+IF(SUMPRODUCT(--($AL1074:$AQ1074&gt;AQ1074))+SUMPRODUCT(--($AL1074:AP1074=AQ1074))&lt;$AK1074,1,0)</f>
        <v>80</v>
      </c>
      <c r="R1074" s="2" t="n">
        <f aca="false">SUM(L1074:Q1074)</f>
        <v>500</v>
      </c>
      <c r="S1074" s="2" t="n">
        <f aca="false">Settings!$B$4*MAX(INDEX(Bases!$M$2:$M$53,B1074),INDEX(Bases!$M$2:$M$53,C1074))+Settings!$B$5*MIN(INDEX(Bases!$M$2:$M$53,B1074),INDEX(Bases!$M$2:$M$53,C1074))</f>
        <v>58.3333333333333</v>
      </c>
      <c r="T1074" s="2" t="n">
        <f aca="false">Settings!$B$4*MAX(INDEX(Bases!$N$2:$N$53,B1074),INDEX(Bases!$N$2:$N$53,C1074))+Settings!$B$5*MIN(INDEX(Bases!$N$2:$N$53,B1074),INDEX(Bases!$N$2:$N$53,C1074))</f>
        <v>67</v>
      </c>
      <c r="U1074" s="2" t="n">
        <f aca="false">Settings!$B$4*MAX(INDEX(Bases!$O$2:$O$53,B1074),INDEX(Bases!$O$2:$O$53,C1074))+Settings!$B$5*MIN(INDEX(Bases!$O$2:$O$53,B1074),INDEX(Bases!$O$2:$O$53,C1074))</f>
        <v>84.6666666666667</v>
      </c>
      <c r="V1074" s="2" t="n">
        <f aca="false">Settings!$B$4*MAX(INDEX(Bases!$P$2:$P$53,B1074),INDEX(Bases!$P$2:$P$53,C1074))+Settings!$B$5*MIN(INDEX(Bases!$P$2:$P$53,B1074),INDEX(Bases!$P$2:$P$53,C1074))</f>
        <v>77.6666666666667</v>
      </c>
      <c r="W1074" s="2" t="n">
        <f aca="false">Settings!$B$4*MAX(INDEX(Bases!$Q$2:$Q$53,B1074),INDEX(Bases!$Q$2:$Q$53,C1074))+Settings!$B$5*MIN(INDEX(Bases!$Q$2:$Q$53,B1074),INDEX(Bases!$Q$2:$Q$53,C1074))</f>
        <v>84.3333333333333</v>
      </c>
      <c r="X1074" s="2" t="n">
        <f aca="false">Settings!$B$4*MAX(INDEX(Bases!$R$2:$R$53,B1074),INDEX(Bases!$R$2:$R$53,C1074))+Settings!$B$5*MIN(INDEX(Bases!$R$2:$R$53,B1074),INDEX(Bases!$R$2:$R$53,C1074))</f>
        <v>71</v>
      </c>
      <c r="Y1074" s="2" t="n">
        <f aca="false">S1074*Settings!$B$3/SUM(S1074:X1074)</f>
        <v>65.8389766741911</v>
      </c>
      <c r="Z1074" s="2" t="n">
        <f aca="false">T1074*Settings!$B$3/SUM(S1074:X1074)</f>
        <v>75.6207674943567</v>
      </c>
      <c r="AA1074" s="2" t="n">
        <f aca="false">U1074*Settings!$B$3/SUM(S1074:X1074)</f>
        <v>95.5605718585402</v>
      </c>
      <c r="AB1074" s="2" t="n">
        <f aca="false">V1074*Settings!$B$3/SUM(S1074:X1074)</f>
        <v>87.6598946576373</v>
      </c>
      <c r="AC1074" s="2" t="n">
        <f aca="false">W1074*Settings!$B$3/SUM(S1074:X1074)</f>
        <v>95.1843491346877</v>
      </c>
      <c r="AD1074" s="2" t="n">
        <f aca="false">X1074*Settings!$B$3/SUM(S1074:X1074)</f>
        <v>80.1354401805869</v>
      </c>
      <c r="AE1074" s="2" t="n">
        <f aca="false">INT(Y1074)</f>
        <v>65</v>
      </c>
      <c r="AF1074" s="2" t="n">
        <f aca="false">INT(Z1074)</f>
        <v>75</v>
      </c>
      <c r="AG1074" s="2" t="n">
        <f aca="false">INT(AA1074)</f>
        <v>95</v>
      </c>
      <c r="AH1074" s="2" t="n">
        <f aca="false">INT(AB1074)</f>
        <v>87</v>
      </c>
      <c r="AI1074" s="2" t="n">
        <f aca="false">INT(AC1074)</f>
        <v>95</v>
      </c>
      <c r="AJ1074" s="2" t="n">
        <f aca="false">INT(AD1074)</f>
        <v>80</v>
      </c>
      <c r="AK1074" s="2" t="n">
        <f aca="false">Settings!$B$3-SUM(AE1074:AJ1074)</f>
        <v>3</v>
      </c>
      <c r="AL1074" s="2" t="n">
        <f aca="false">ROUND(Y1074-AE1074,9)</f>
        <v>0.838976674</v>
      </c>
      <c r="AM1074" s="2" t="n">
        <f aca="false">ROUND(Z1074-AF1074,9)</f>
        <v>0.620767494</v>
      </c>
      <c r="AN1074" s="2" t="n">
        <f aca="false">ROUND(AA1074-AG1074,9)</f>
        <v>0.560571859</v>
      </c>
      <c r="AO1074" s="2" t="n">
        <f aca="false">ROUND(AB1074-AH1074,9)</f>
        <v>0.659894658</v>
      </c>
      <c r="AP1074" s="2" t="n">
        <f aca="false">ROUND(AC1074-AI1074,9)</f>
        <v>0.184349135</v>
      </c>
      <c r="AQ1074" s="2" t="n">
        <f aca="false">ROUND(AD1074-AJ1074,9)</f>
        <v>0.135440181</v>
      </c>
    </row>
    <row r="1075" customFormat="false" ht="15" hidden="false" customHeight="false" outlineLevel="0" collapsed="false">
      <c r="A1075" s="2" t="n">
        <v>1074</v>
      </c>
      <c r="B1075" s="6" t="n">
        <v>30</v>
      </c>
      <c r="C1075" s="6" t="n">
        <v>31</v>
      </c>
      <c r="D1075" s="8" t="str">
        <f aca="false">INDEX(Bases!$B$2:$B$53,B1075)</f>
        <v>Swablu</v>
      </c>
      <c r="E1075" s="8" t="str">
        <f aca="false">INDEX(Bases!$B$2:$B$53,C1075)</f>
        <v>Mew</v>
      </c>
      <c r="F1075" s="2" t="str">
        <f aca="false">LEFT(D1075,ROUNDUP(LEN(D1075)/2,0))&amp;LOWER(MID(E1075,ROUNDUP(LEN(E1075)/2,0)+1,20))</f>
        <v>Swaw</v>
      </c>
      <c r="G1075" s="8" t="str">
        <f aca="false">INDEX(Bases!$C$2:$C$53,B1075)</f>
        <v>Flying</v>
      </c>
      <c r="H1075" s="8" t="str">
        <f aca="false">IF(INDEX(Bases!$C$2:$C$53,C1075)=G1075,"",INDEX(Bases!$C$2:$C$53,C1075))</f>
        <v>Psychic</v>
      </c>
      <c r="I1075" s="8" t="str">
        <f aca="false">IF(INDEX(Bases!$E$2:$E$53,B1075)="","",INDEX(Bases!$E$2:$E$53,B1075))</f>
        <v/>
      </c>
      <c r="J1075" s="8" t="str">
        <f aca="false">IF(INDEX(Bases!$E$2:$E$53,C1075)="","",INDEX(Bases!$E$2:$E$53,C1075))</f>
        <v/>
      </c>
      <c r="K1075" s="5"/>
      <c r="L1075" s="2" t="n">
        <f aca="false">AE1075+IF(SUMPRODUCT(--($AL1075:$AQ1075&gt;AL1075))&lt;$AK1075,1,0)</f>
        <v>77</v>
      </c>
      <c r="M1075" s="2" t="n">
        <f aca="false">AF1075+IF(SUMPRODUCT(--($AL1075:$AQ1075&gt;AM1075))+SUMPRODUCT(--($AL1075:AL1075=AM1075))&lt;$AK1075,1,0)</f>
        <v>75</v>
      </c>
      <c r="N1075" s="2" t="n">
        <f aca="false">AG1075+IF(SUMPRODUCT(--($AL1075:$AQ1075&gt;AN1075))+SUMPRODUCT(--($AL1075:AM1075=AN1075))&lt;$AK1075,1,0)</f>
        <v>89</v>
      </c>
      <c r="O1075" s="2" t="n">
        <f aca="false">AH1075+IF(SUMPRODUCT(--($AL1075:$AQ1075&gt;AO1075))+SUMPRODUCT(--($AL1075:AN1075=AO1075))&lt;$AK1075,1,0)</f>
        <v>75</v>
      </c>
      <c r="P1075" s="2" t="n">
        <f aca="false">AI1075+IF(SUMPRODUCT(--($AL1075:$AQ1075&gt;AP1075))+SUMPRODUCT(--($AL1075:AO1075=AP1075))&lt;$AK1075,1,0)</f>
        <v>105</v>
      </c>
      <c r="Q1075" s="2" t="n">
        <f aca="false">AJ1075+IF(SUMPRODUCT(--($AL1075:$AQ1075&gt;AQ1075))+SUMPRODUCT(--($AL1075:AP1075=AQ1075))&lt;$AK1075,1,0)</f>
        <v>79</v>
      </c>
      <c r="R1075" s="2" t="n">
        <f aca="false">SUM(L1075:Q1075)</f>
        <v>500</v>
      </c>
      <c r="S1075" s="2" t="n">
        <f aca="false">Settings!$B$4*MAX(INDEX(Bases!$M$2:$M$53,B1075),INDEX(Bases!$M$2:$M$53,C1075))+Settings!$B$5*MIN(INDEX(Bases!$M$2:$M$53,B1075),INDEX(Bases!$M$2:$M$53,C1075))</f>
        <v>64</v>
      </c>
      <c r="T1075" s="2" t="n">
        <f aca="false">Settings!$B$4*MAX(INDEX(Bases!$N$2:$N$53,B1075),INDEX(Bases!$N$2:$N$53,C1075))+Settings!$B$5*MIN(INDEX(Bases!$N$2:$N$53,B1075),INDEX(Bases!$N$2:$N$53,C1075))</f>
        <v>62</v>
      </c>
      <c r="U1075" s="2" t="n">
        <f aca="false">Settings!$B$4*MAX(INDEX(Bases!$O$2:$O$53,B1075),INDEX(Bases!$O$2:$O$53,C1075))+Settings!$B$5*MIN(INDEX(Bases!$O$2:$O$53,B1075),INDEX(Bases!$O$2:$O$53,C1075))</f>
        <v>73.6666666666667</v>
      </c>
      <c r="V1075" s="2" t="n">
        <f aca="false">Settings!$B$4*MAX(INDEX(Bases!$P$2:$P$53,B1075),INDEX(Bases!$P$2:$P$53,C1075))+Settings!$B$5*MIN(INDEX(Bases!$P$2:$P$53,B1075),INDEX(Bases!$P$2:$P$53,C1075))</f>
        <v>62</v>
      </c>
      <c r="W1075" s="2" t="n">
        <f aca="false">Settings!$B$4*MAX(INDEX(Bases!$Q$2:$Q$53,B1075),INDEX(Bases!$Q$2:$Q$53,C1075))+Settings!$B$5*MIN(INDEX(Bases!$Q$2:$Q$53,B1075),INDEX(Bases!$Q$2:$Q$53,C1075))</f>
        <v>86.6666666666667</v>
      </c>
      <c r="X1075" s="2" t="n">
        <f aca="false">Settings!$B$4*MAX(INDEX(Bases!$R$2:$R$53,B1075),INDEX(Bases!$R$2:$R$53,C1075))+Settings!$B$5*MIN(INDEX(Bases!$R$2:$R$53,B1075),INDEX(Bases!$R$2:$R$53,C1075))</f>
        <v>65.3333333333333</v>
      </c>
      <c r="Y1075" s="2" t="n">
        <f aca="false">S1075*Settings!$B$3/SUM(S1075:X1075)</f>
        <v>77.3569701853344</v>
      </c>
      <c r="Z1075" s="2" t="n">
        <f aca="false">T1075*Settings!$B$3/SUM(S1075:X1075)</f>
        <v>74.9395648670427</v>
      </c>
      <c r="AA1075" s="2" t="n">
        <f aca="false">U1075*Settings!$B$3/SUM(S1075:X1075)</f>
        <v>89.041095890411</v>
      </c>
      <c r="AB1075" s="2" t="n">
        <f aca="false">V1075*Settings!$B$3/SUM(S1075:X1075)</f>
        <v>74.9395648670427</v>
      </c>
      <c r="AC1075" s="2" t="n">
        <f aca="false">W1075*Settings!$B$3/SUM(S1075:X1075)</f>
        <v>104.754230459307</v>
      </c>
      <c r="AD1075" s="2" t="n">
        <f aca="false">X1075*Settings!$B$3/SUM(S1075:X1075)</f>
        <v>78.9685737308622</v>
      </c>
      <c r="AE1075" s="2" t="n">
        <f aca="false">INT(Y1075)</f>
        <v>77</v>
      </c>
      <c r="AF1075" s="2" t="n">
        <f aca="false">INT(Z1075)</f>
        <v>74</v>
      </c>
      <c r="AG1075" s="2" t="n">
        <f aca="false">INT(AA1075)</f>
        <v>89</v>
      </c>
      <c r="AH1075" s="2" t="n">
        <f aca="false">INT(AB1075)</f>
        <v>74</v>
      </c>
      <c r="AI1075" s="2" t="n">
        <f aca="false">INT(AC1075)</f>
        <v>104</v>
      </c>
      <c r="AJ1075" s="2" t="n">
        <f aca="false">INT(AD1075)</f>
        <v>78</v>
      </c>
      <c r="AK1075" s="2" t="n">
        <f aca="false">Settings!$B$3-SUM(AE1075:AJ1075)</f>
        <v>4</v>
      </c>
      <c r="AL1075" s="2" t="n">
        <f aca="false">ROUND(Y1075-AE1075,9)</f>
        <v>0.356970185</v>
      </c>
      <c r="AM1075" s="2" t="n">
        <f aca="false">ROUND(Z1075-AF1075,9)</f>
        <v>0.939564867</v>
      </c>
      <c r="AN1075" s="2" t="n">
        <f aca="false">ROUND(AA1075-AG1075,9)</f>
        <v>0.04109589</v>
      </c>
      <c r="AO1075" s="2" t="n">
        <f aca="false">ROUND(AB1075-AH1075,9)</f>
        <v>0.939564867</v>
      </c>
      <c r="AP1075" s="2" t="n">
        <f aca="false">ROUND(AC1075-AI1075,9)</f>
        <v>0.754230459</v>
      </c>
      <c r="AQ1075" s="2" t="n">
        <f aca="false">ROUND(AD1075-AJ1075,9)</f>
        <v>0.968573731</v>
      </c>
    </row>
    <row r="1076" customFormat="false" ht="15" hidden="false" customHeight="false" outlineLevel="0" collapsed="false">
      <c r="A1076" s="2" t="n">
        <v>1075</v>
      </c>
      <c r="B1076" s="6" t="n">
        <v>30</v>
      </c>
      <c r="C1076" s="6" t="n">
        <v>32</v>
      </c>
      <c r="D1076" s="8" t="str">
        <f aca="false">INDEX(Bases!$B$2:$B$53,B1076)</f>
        <v>Swablu</v>
      </c>
      <c r="E1076" s="8" t="str">
        <f aca="false">INDEX(Bases!$B$2:$B$53,C1076)</f>
        <v>Spoink</v>
      </c>
      <c r="F1076" s="2" t="str">
        <f aca="false">LEFT(D1076,ROUNDUP(LEN(D1076)/2,0))&amp;LOWER(MID(E1076,ROUNDUP(LEN(E1076)/2,0)+1,20))</f>
        <v>Swaink</v>
      </c>
      <c r="G1076" s="8" t="str">
        <f aca="false">INDEX(Bases!$C$2:$C$53,B1076)</f>
        <v>Flying</v>
      </c>
      <c r="H1076" s="8" t="str">
        <f aca="false">IF(INDEX(Bases!$C$2:$C$53,C1076)=G1076,"",INDEX(Bases!$C$2:$C$53,C1076))</f>
        <v>Psychic</v>
      </c>
      <c r="I1076" s="8" t="str">
        <f aca="false">IF(INDEX(Bases!$E$2:$E$53,B1076)="","",INDEX(Bases!$E$2:$E$53,B1076))</f>
        <v/>
      </c>
      <c r="J1076" s="8" t="str">
        <f aca="false">IF(INDEX(Bases!$E$2:$E$53,C1076)="","",INDEX(Bases!$E$2:$E$53,C1076))</f>
        <v/>
      </c>
      <c r="K1076" s="5"/>
      <c r="L1076" s="2" t="n">
        <f aca="false">AE1076+IF(SUMPRODUCT(--($AL1076:$AQ1076&gt;AL1076))&lt;$AK1076,1,0)</f>
        <v>81</v>
      </c>
      <c r="M1076" s="2" t="n">
        <f aca="false">AF1076+IF(SUMPRODUCT(--($AL1076:$AQ1076&gt;AM1076))+SUMPRODUCT(--($AL1076:AL1076=AM1076))&lt;$AK1076,1,0)</f>
        <v>53</v>
      </c>
      <c r="N1076" s="2" t="n">
        <f aca="false">AG1076+IF(SUMPRODUCT(--($AL1076:$AQ1076&gt;AN1076))+SUMPRODUCT(--($AL1076:AM1076=AN1076))&lt;$AK1076,1,0)</f>
        <v>78</v>
      </c>
      <c r="O1076" s="2" t="n">
        <f aca="false">AH1076+IF(SUMPRODUCT(--($AL1076:$AQ1076&gt;AO1076))+SUMPRODUCT(--($AL1076:AN1076=AO1076))&lt;$AK1076,1,0)</f>
        <v>88</v>
      </c>
      <c r="P1076" s="2" t="n">
        <f aca="false">AI1076+IF(SUMPRODUCT(--($AL1076:$AQ1076&gt;AP1076))+SUMPRODUCT(--($AL1076:AO1076=AP1076))&lt;$AK1076,1,0)</f>
        <v>116</v>
      </c>
      <c r="Q1076" s="2" t="n">
        <f aca="false">AJ1076+IF(SUMPRODUCT(--($AL1076:$AQ1076&gt;AQ1076))+SUMPRODUCT(--($AL1076:AP1076=AQ1076))&lt;$AK1076,1,0)</f>
        <v>84</v>
      </c>
      <c r="R1076" s="2" t="n">
        <f aca="false">SUM(L1076:Q1076)</f>
        <v>500</v>
      </c>
      <c r="S1076" s="2" t="n">
        <f aca="false">Settings!$B$4*MAX(INDEX(Bases!$M$2:$M$53,B1076),INDEX(Bases!$M$2:$M$53,C1076))+Settings!$B$5*MIN(INDEX(Bases!$M$2:$M$53,B1076),INDEX(Bases!$M$2:$M$53,C1076))</f>
        <v>68</v>
      </c>
      <c r="T1076" s="2" t="n">
        <f aca="false">Settings!$B$4*MAX(INDEX(Bases!$N$2:$N$53,B1076),INDEX(Bases!$N$2:$N$53,C1076))+Settings!$B$5*MIN(INDEX(Bases!$N$2:$N$53,B1076),INDEX(Bases!$N$2:$N$53,C1076))</f>
        <v>44.6666666666667</v>
      </c>
      <c r="U1076" s="2" t="n">
        <f aca="false">Settings!$B$4*MAX(INDEX(Bases!$O$2:$O$53,B1076),INDEX(Bases!$O$2:$O$53,C1076))+Settings!$B$5*MIN(INDEX(Bases!$O$2:$O$53,B1076),INDEX(Bases!$O$2:$O$53,C1076))</f>
        <v>65.3333333333333</v>
      </c>
      <c r="V1076" s="2" t="n">
        <f aca="false">Settings!$B$4*MAX(INDEX(Bases!$P$2:$P$53,B1076),INDEX(Bases!$P$2:$P$53,C1076))+Settings!$B$5*MIN(INDEX(Bases!$P$2:$P$53,B1076),INDEX(Bases!$P$2:$P$53,C1076))</f>
        <v>74</v>
      </c>
      <c r="W1076" s="2" t="n">
        <f aca="false">Settings!$B$4*MAX(INDEX(Bases!$Q$2:$Q$53,B1076),INDEX(Bases!$Q$2:$Q$53,C1076))+Settings!$B$5*MIN(INDEX(Bases!$Q$2:$Q$53,B1076),INDEX(Bases!$Q$2:$Q$53,C1076))</f>
        <v>97</v>
      </c>
      <c r="X1076" s="2" t="n">
        <f aca="false">Settings!$B$4*MAX(INDEX(Bases!$R$2:$R$53,B1076),INDEX(Bases!$R$2:$R$53,C1076))+Settings!$B$5*MIN(INDEX(Bases!$R$2:$R$53,B1076),INDEX(Bases!$R$2:$R$53,C1076))</f>
        <v>70</v>
      </c>
      <c r="Y1076" s="2" t="n">
        <f aca="false">S1076*Settings!$B$3/SUM(S1076:X1076)</f>
        <v>81.145584725537</v>
      </c>
      <c r="Z1076" s="2" t="n">
        <f aca="false">T1076*Settings!$B$3/SUM(S1076:X1076)</f>
        <v>53.3015115354017</v>
      </c>
      <c r="AA1076" s="2" t="n">
        <f aca="false">U1076*Settings!$B$3/SUM(S1076:X1076)</f>
        <v>77.9634049323787</v>
      </c>
      <c r="AB1076" s="2" t="n">
        <f aca="false">V1076*Settings!$B$3/SUM(S1076:X1076)</f>
        <v>88.3054892601432</v>
      </c>
      <c r="AC1076" s="2" t="n">
        <f aca="false">W1076*Settings!$B$3/SUM(S1076:X1076)</f>
        <v>115.751789976134</v>
      </c>
      <c r="AD1076" s="2" t="n">
        <f aca="false">X1076*Settings!$B$3/SUM(S1076:X1076)</f>
        <v>83.5322195704057</v>
      </c>
      <c r="AE1076" s="2" t="n">
        <f aca="false">INT(Y1076)</f>
        <v>81</v>
      </c>
      <c r="AF1076" s="2" t="n">
        <f aca="false">INT(Z1076)</f>
        <v>53</v>
      </c>
      <c r="AG1076" s="2" t="n">
        <f aca="false">INT(AA1076)</f>
        <v>77</v>
      </c>
      <c r="AH1076" s="2" t="n">
        <f aca="false">INT(AB1076)</f>
        <v>88</v>
      </c>
      <c r="AI1076" s="2" t="n">
        <f aca="false">INT(AC1076)</f>
        <v>115</v>
      </c>
      <c r="AJ1076" s="2" t="n">
        <f aca="false">INT(AD1076)</f>
        <v>83</v>
      </c>
      <c r="AK1076" s="2" t="n">
        <f aca="false">Settings!$B$3-SUM(AE1076:AJ1076)</f>
        <v>3</v>
      </c>
      <c r="AL1076" s="2" t="n">
        <f aca="false">ROUND(Y1076-AE1076,9)</f>
        <v>0.145584726</v>
      </c>
      <c r="AM1076" s="2" t="n">
        <f aca="false">ROUND(Z1076-AF1076,9)</f>
        <v>0.301511535</v>
      </c>
      <c r="AN1076" s="2" t="n">
        <f aca="false">ROUND(AA1076-AG1076,9)</f>
        <v>0.963404932</v>
      </c>
      <c r="AO1076" s="2" t="n">
        <f aca="false">ROUND(AB1076-AH1076,9)</f>
        <v>0.30548926</v>
      </c>
      <c r="AP1076" s="2" t="n">
        <f aca="false">ROUND(AC1076-AI1076,9)</f>
        <v>0.751789976</v>
      </c>
      <c r="AQ1076" s="2" t="n">
        <f aca="false">ROUND(AD1076-AJ1076,9)</f>
        <v>0.53221957</v>
      </c>
    </row>
    <row r="1077" customFormat="false" ht="15" hidden="false" customHeight="false" outlineLevel="0" collapsed="false">
      <c r="A1077" s="2" t="n">
        <v>1076</v>
      </c>
      <c r="B1077" s="6" t="n">
        <v>30</v>
      </c>
      <c r="C1077" s="6" t="n">
        <v>33</v>
      </c>
      <c r="D1077" s="8" t="str">
        <f aca="false">INDEX(Bases!$B$2:$B$53,B1077)</f>
        <v>Swablu</v>
      </c>
      <c r="E1077" s="8" t="str">
        <f aca="false">INDEX(Bases!$B$2:$B$53,C1077)</f>
        <v>Jirachi</v>
      </c>
      <c r="F1077" s="2" t="str">
        <f aca="false">LEFT(D1077,ROUNDUP(LEN(D1077)/2,0))&amp;LOWER(MID(E1077,ROUNDUP(LEN(E1077)/2,0)+1,20))</f>
        <v>Swachi</v>
      </c>
      <c r="G1077" s="8" t="str">
        <f aca="false">INDEX(Bases!$C$2:$C$53,B1077)</f>
        <v>Flying</v>
      </c>
      <c r="H1077" s="8" t="str">
        <f aca="false">IF(INDEX(Bases!$C$2:$C$53,C1077)=G1077,"",INDEX(Bases!$C$2:$C$53,C1077))</f>
        <v>Psychic</v>
      </c>
      <c r="I1077" s="8" t="str">
        <f aca="false">IF(INDEX(Bases!$E$2:$E$53,B1077)="","",INDEX(Bases!$E$2:$E$53,B1077))</f>
        <v/>
      </c>
      <c r="J1077" s="8" t="str">
        <f aca="false">IF(INDEX(Bases!$E$2:$E$53,C1077)="","",INDEX(Bases!$E$2:$E$53,C1077))</f>
        <v/>
      </c>
      <c r="K1077" s="5"/>
      <c r="L1077" s="2" t="n">
        <f aca="false">AE1077+IF(SUMPRODUCT(--($AL1077:$AQ1077&gt;AL1077))&lt;$AK1077,1,0)</f>
        <v>77</v>
      </c>
      <c r="M1077" s="2" t="n">
        <f aca="false">AF1077+IF(SUMPRODUCT(--($AL1077:$AQ1077&gt;AM1077))+SUMPRODUCT(--($AL1077:AL1077=AM1077))&lt;$AK1077,1,0)</f>
        <v>75</v>
      </c>
      <c r="N1077" s="2" t="n">
        <f aca="false">AG1077+IF(SUMPRODUCT(--($AL1077:$AQ1077&gt;AN1077))+SUMPRODUCT(--($AL1077:AM1077=AN1077))&lt;$AK1077,1,0)</f>
        <v>89</v>
      </c>
      <c r="O1077" s="2" t="n">
        <f aca="false">AH1077+IF(SUMPRODUCT(--($AL1077:$AQ1077&gt;AO1077))+SUMPRODUCT(--($AL1077:AN1077=AO1077))&lt;$AK1077,1,0)</f>
        <v>75</v>
      </c>
      <c r="P1077" s="2" t="n">
        <f aca="false">AI1077+IF(SUMPRODUCT(--($AL1077:$AQ1077&gt;AP1077))+SUMPRODUCT(--($AL1077:AO1077=AP1077))&lt;$AK1077,1,0)</f>
        <v>105</v>
      </c>
      <c r="Q1077" s="2" t="n">
        <f aca="false">AJ1077+IF(SUMPRODUCT(--($AL1077:$AQ1077&gt;AQ1077))+SUMPRODUCT(--($AL1077:AP1077=AQ1077))&lt;$AK1077,1,0)</f>
        <v>79</v>
      </c>
      <c r="R1077" s="2" t="n">
        <f aca="false">SUM(L1077:Q1077)</f>
        <v>500</v>
      </c>
      <c r="S1077" s="2" t="n">
        <f aca="false">Settings!$B$4*MAX(INDEX(Bases!$M$2:$M$53,B1077),INDEX(Bases!$M$2:$M$53,C1077))+Settings!$B$5*MIN(INDEX(Bases!$M$2:$M$53,B1077),INDEX(Bases!$M$2:$M$53,C1077))</f>
        <v>64</v>
      </c>
      <c r="T1077" s="2" t="n">
        <f aca="false">Settings!$B$4*MAX(INDEX(Bases!$N$2:$N$53,B1077),INDEX(Bases!$N$2:$N$53,C1077))+Settings!$B$5*MIN(INDEX(Bases!$N$2:$N$53,B1077),INDEX(Bases!$N$2:$N$53,C1077))</f>
        <v>62</v>
      </c>
      <c r="U1077" s="2" t="n">
        <f aca="false">Settings!$B$4*MAX(INDEX(Bases!$O$2:$O$53,B1077),INDEX(Bases!$O$2:$O$53,C1077))+Settings!$B$5*MIN(INDEX(Bases!$O$2:$O$53,B1077),INDEX(Bases!$O$2:$O$53,C1077))</f>
        <v>73.6666666666667</v>
      </c>
      <c r="V1077" s="2" t="n">
        <f aca="false">Settings!$B$4*MAX(INDEX(Bases!$P$2:$P$53,B1077),INDEX(Bases!$P$2:$P$53,C1077))+Settings!$B$5*MIN(INDEX(Bases!$P$2:$P$53,B1077),INDEX(Bases!$P$2:$P$53,C1077))</f>
        <v>62</v>
      </c>
      <c r="W1077" s="2" t="n">
        <f aca="false">Settings!$B$4*MAX(INDEX(Bases!$Q$2:$Q$53,B1077),INDEX(Bases!$Q$2:$Q$53,C1077))+Settings!$B$5*MIN(INDEX(Bases!$Q$2:$Q$53,B1077),INDEX(Bases!$Q$2:$Q$53,C1077))</f>
        <v>86.6666666666667</v>
      </c>
      <c r="X1077" s="2" t="n">
        <f aca="false">Settings!$B$4*MAX(INDEX(Bases!$R$2:$R$53,B1077),INDEX(Bases!$R$2:$R$53,C1077))+Settings!$B$5*MIN(INDEX(Bases!$R$2:$R$53,B1077),INDEX(Bases!$R$2:$R$53,C1077))</f>
        <v>65.3333333333333</v>
      </c>
      <c r="Y1077" s="2" t="n">
        <f aca="false">S1077*Settings!$B$3/SUM(S1077:X1077)</f>
        <v>77.3569701853344</v>
      </c>
      <c r="Z1077" s="2" t="n">
        <f aca="false">T1077*Settings!$B$3/SUM(S1077:X1077)</f>
        <v>74.9395648670427</v>
      </c>
      <c r="AA1077" s="2" t="n">
        <f aca="false">U1077*Settings!$B$3/SUM(S1077:X1077)</f>
        <v>89.041095890411</v>
      </c>
      <c r="AB1077" s="2" t="n">
        <f aca="false">V1077*Settings!$B$3/SUM(S1077:X1077)</f>
        <v>74.9395648670427</v>
      </c>
      <c r="AC1077" s="2" t="n">
        <f aca="false">W1077*Settings!$B$3/SUM(S1077:X1077)</f>
        <v>104.754230459307</v>
      </c>
      <c r="AD1077" s="2" t="n">
        <f aca="false">X1077*Settings!$B$3/SUM(S1077:X1077)</f>
        <v>78.9685737308622</v>
      </c>
      <c r="AE1077" s="2" t="n">
        <f aca="false">INT(Y1077)</f>
        <v>77</v>
      </c>
      <c r="AF1077" s="2" t="n">
        <f aca="false">INT(Z1077)</f>
        <v>74</v>
      </c>
      <c r="AG1077" s="2" t="n">
        <f aca="false">INT(AA1077)</f>
        <v>89</v>
      </c>
      <c r="AH1077" s="2" t="n">
        <f aca="false">INT(AB1077)</f>
        <v>74</v>
      </c>
      <c r="AI1077" s="2" t="n">
        <f aca="false">INT(AC1077)</f>
        <v>104</v>
      </c>
      <c r="AJ1077" s="2" t="n">
        <f aca="false">INT(AD1077)</f>
        <v>78</v>
      </c>
      <c r="AK1077" s="2" t="n">
        <f aca="false">Settings!$B$3-SUM(AE1077:AJ1077)</f>
        <v>4</v>
      </c>
      <c r="AL1077" s="2" t="n">
        <f aca="false">ROUND(Y1077-AE1077,9)</f>
        <v>0.356970185</v>
      </c>
      <c r="AM1077" s="2" t="n">
        <f aca="false">ROUND(Z1077-AF1077,9)</f>
        <v>0.939564867</v>
      </c>
      <c r="AN1077" s="2" t="n">
        <f aca="false">ROUND(AA1077-AG1077,9)</f>
        <v>0.04109589</v>
      </c>
      <c r="AO1077" s="2" t="n">
        <f aca="false">ROUND(AB1077-AH1077,9)</f>
        <v>0.939564867</v>
      </c>
      <c r="AP1077" s="2" t="n">
        <f aca="false">ROUND(AC1077-AI1077,9)</f>
        <v>0.754230459</v>
      </c>
      <c r="AQ1077" s="2" t="n">
        <f aca="false">ROUND(AD1077-AJ1077,9)</f>
        <v>0.968573731</v>
      </c>
    </row>
    <row r="1078" customFormat="false" ht="15" hidden="false" customHeight="false" outlineLevel="0" collapsed="false">
      <c r="A1078" s="2" t="n">
        <v>1077</v>
      </c>
      <c r="B1078" s="6" t="n">
        <v>30</v>
      </c>
      <c r="C1078" s="6" t="n">
        <v>34</v>
      </c>
      <c r="D1078" s="8" t="str">
        <f aca="false">INDEX(Bases!$B$2:$B$53,B1078)</f>
        <v>Swablu</v>
      </c>
      <c r="E1078" s="8" t="str">
        <f aca="false">INDEX(Bases!$B$2:$B$53,C1078)</f>
        <v>Paras</v>
      </c>
      <c r="F1078" s="2" t="str">
        <f aca="false">LEFT(D1078,ROUNDUP(LEN(D1078)/2,0))&amp;LOWER(MID(E1078,ROUNDUP(LEN(E1078)/2,0)+1,20))</f>
        <v>Swaas</v>
      </c>
      <c r="G1078" s="8" t="str">
        <f aca="false">INDEX(Bases!$C$2:$C$53,B1078)</f>
        <v>Flying</v>
      </c>
      <c r="H1078" s="8" t="str">
        <f aca="false">IF(INDEX(Bases!$C$2:$C$53,C1078)=G1078,"",INDEX(Bases!$C$2:$C$53,C1078))</f>
        <v>Bug</v>
      </c>
      <c r="I1078" s="8" t="str">
        <f aca="false">IF(INDEX(Bases!$E$2:$E$53,B1078)="","",INDEX(Bases!$E$2:$E$53,B1078))</f>
        <v/>
      </c>
      <c r="J1078" s="8" t="str">
        <f aca="false">IF(INDEX(Bases!$E$2:$E$53,C1078)="","",INDEX(Bases!$E$2:$E$53,C1078))</f>
        <v/>
      </c>
      <c r="K1078" s="5"/>
      <c r="L1078" s="2" t="n">
        <f aca="false">AE1078+IF(SUMPRODUCT(--($AL1078:$AQ1078&gt;AL1078))&lt;$AK1078,1,0)</f>
        <v>65</v>
      </c>
      <c r="M1078" s="2" t="n">
        <f aca="false">AF1078+IF(SUMPRODUCT(--($AL1078:$AQ1078&gt;AM1078))+SUMPRODUCT(--($AL1078:AL1078=AM1078))&lt;$AK1078,1,0)</f>
        <v>99</v>
      </c>
      <c r="N1078" s="2" t="n">
        <f aca="false">AG1078+IF(SUMPRODUCT(--($AL1078:$AQ1078&gt;AN1078))+SUMPRODUCT(--($AL1078:AM1078=AN1078))&lt;$AK1078,1,0)</f>
        <v>92</v>
      </c>
      <c r="O1078" s="2" t="n">
        <f aca="false">AH1078+IF(SUMPRODUCT(--($AL1078:$AQ1078&gt;AO1078))+SUMPRODUCT(--($AL1078:AN1078=AO1078))&lt;$AK1078,1,0)</f>
        <v>71</v>
      </c>
      <c r="P1078" s="2" t="n">
        <f aca="false">AI1078+IF(SUMPRODUCT(--($AL1078:$AQ1078&gt;AP1078))+SUMPRODUCT(--($AL1078:AO1078=AP1078))&lt;$AK1078,1,0)</f>
        <v>108</v>
      </c>
      <c r="Q1078" s="2" t="n">
        <f aca="false">AJ1078+IF(SUMPRODUCT(--($AL1078:$AQ1078&gt;AQ1078))+SUMPRODUCT(--($AL1078:AP1078=AQ1078))&lt;$AK1078,1,0)</f>
        <v>65</v>
      </c>
      <c r="R1078" s="2" t="n">
        <f aca="false">SUM(L1078:Q1078)</f>
        <v>500</v>
      </c>
      <c r="S1078" s="2" t="n">
        <f aca="false">Settings!$B$4*MAX(INDEX(Bases!$M$2:$M$53,B1078),INDEX(Bases!$M$2:$M$53,C1078))+Settings!$B$5*MIN(INDEX(Bases!$M$2:$M$53,B1078),INDEX(Bases!$M$2:$M$53,C1078))</f>
        <v>55</v>
      </c>
      <c r="T1078" s="2" t="n">
        <f aca="false">Settings!$B$4*MAX(INDEX(Bases!$N$2:$N$53,B1078),INDEX(Bases!$N$2:$N$53,C1078))+Settings!$B$5*MIN(INDEX(Bases!$N$2:$N$53,B1078),INDEX(Bases!$N$2:$N$53,C1078))</f>
        <v>83.3333333333333</v>
      </c>
      <c r="U1078" s="2" t="n">
        <f aca="false">Settings!$B$4*MAX(INDEX(Bases!$O$2:$O$53,B1078),INDEX(Bases!$O$2:$O$53,C1078))+Settings!$B$5*MIN(INDEX(Bases!$O$2:$O$53,B1078),INDEX(Bases!$O$2:$O$53,C1078))</f>
        <v>77</v>
      </c>
      <c r="V1078" s="2" t="n">
        <f aca="false">Settings!$B$4*MAX(INDEX(Bases!$P$2:$P$53,B1078),INDEX(Bases!$P$2:$P$53,C1078))+Settings!$B$5*MIN(INDEX(Bases!$P$2:$P$53,B1078),INDEX(Bases!$P$2:$P$53,C1078))</f>
        <v>59.3333333333333</v>
      </c>
      <c r="W1078" s="2" t="n">
        <f aca="false">Settings!$B$4*MAX(INDEX(Bases!$Q$2:$Q$53,B1078),INDEX(Bases!$Q$2:$Q$53,C1078))+Settings!$B$5*MIN(INDEX(Bases!$Q$2:$Q$53,B1078),INDEX(Bases!$Q$2:$Q$53,C1078))</f>
        <v>90.3333333333333</v>
      </c>
      <c r="X1078" s="2" t="n">
        <f aca="false">Settings!$B$4*MAX(INDEX(Bases!$R$2:$R$53,B1078),INDEX(Bases!$R$2:$R$53,C1078))+Settings!$B$5*MIN(INDEX(Bases!$R$2:$R$53,B1078),INDEX(Bases!$R$2:$R$53,C1078))</f>
        <v>54.3333333333333</v>
      </c>
      <c r="Y1078" s="2" t="n">
        <f aca="false">S1078*Settings!$B$3/SUM(S1078:X1078)</f>
        <v>65.5802861685215</v>
      </c>
      <c r="Z1078" s="2" t="n">
        <f aca="false">T1078*Settings!$B$3/SUM(S1078:X1078)</f>
        <v>99.3640699523053</v>
      </c>
      <c r="AA1078" s="2" t="n">
        <f aca="false">U1078*Settings!$B$3/SUM(S1078:X1078)</f>
        <v>91.8124006359301</v>
      </c>
      <c r="AB1078" s="2" t="n">
        <f aca="false">V1078*Settings!$B$3/SUM(S1078:X1078)</f>
        <v>70.7472178060414</v>
      </c>
      <c r="AC1078" s="2" t="n">
        <f aca="false">W1078*Settings!$B$3/SUM(S1078:X1078)</f>
        <v>107.710651828299</v>
      </c>
      <c r="AD1078" s="2" t="n">
        <f aca="false">X1078*Settings!$B$3/SUM(S1078:X1078)</f>
        <v>64.785373608903</v>
      </c>
      <c r="AE1078" s="2" t="n">
        <f aca="false">INT(Y1078)</f>
        <v>65</v>
      </c>
      <c r="AF1078" s="2" t="n">
        <f aca="false">INT(Z1078)</f>
        <v>99</v>
      </c>
      <c r="AG1078" s="2" t="n">
        <f aca="false">INT(AA1078)</f>
        <v>91</v>
      </c>
      <c r="AH1078" s="2" t="n">
        <f aca="false">INT(AB1078)</f>
        <v>70</v>
      </c>
      <c r="AI1078" s="2" t="n">
        <f aca="false">INT(AC1078)</f>
        <v>107</v>
      </c>
      <c r="AJ1078" s="2" t="n">
        <f aca="false">INT(AD1078)</f>
        <v>64</v>
      </c>
      <c r="AK1078" s="2" t="n">
        <f aca="false">Settings!$B$3-SUM(AE1078:AJ1078)</f>
        <v>4</v>
      </c>
      <c r="AL1078" s="2" t="n">
        <f aca="false">ROUND(Y1078-AE1078,9)</f>
        <v>0.580286169</v>
      </c>
      <c r="AM1078" s="2" t="n">
        <f aca="false">ROUND(Z1078-AF1078,9)</f>
        <v>0.364069952</v>
      </c>
      <c r="AN1078" s="2" t="n">
        <f aca="false">ROUND(AA1078-AG1078,9)</f>
        <v>0.812400636</v>
      </c>
      <c r="AO1078" s="2" t="n">
        <f aca="false">ROUND(AB1078-AH1078,9)</f>
        <v>0.747217806</v>
      </c>
      <c r="AP1078" s="2" t="n">
        <f aca="false">ROUND(AC1078-AI1078,9)</f>
        <v>0.710651828</v>
      </c>
      <c r="AQ1078" s="2" t="n">
        <f aca="false">ROUND(AD1078-AJ1078,9)</f>
        <v>0.785373609</v>
      </c>
    </row>
    <row r="1079" customFormat="false" ht="15" hidden="false" customHeight="false" outlineLevel="0" collapsed="false">
      <c r="A1079" s="2" t="n">
        <v>1078</v>
      </c>
      <c r="B1079" s="6" t="n">
        <v>30</v>
      </c>
      <c r="C1079" s="6" t="n">
        <v>35</v>
      </c>
      <c r="D1079" s="8" t="str">
        <f aca="false">INDEX(Bases!$B$2:$B$53,B1079)</f>
        <v>Swablu</v>
      </c>
      <c r="E1079" s="8" t="str">
        <f aca="false">INDEX(Bases!$B$2:$B$53,C1079)</f>
        <v>Pineco</v>
      </c>
      <c r="F1079" s="2" t="str">
        <f aca="false">LEFT(D1079,ROUNDUP(LEN(D1079)/2,0))&amp;LOWER(MID(E1079,ROUNDUP(LEN(E1079)/2,0)+1,20))</f>
        <v>Swaeco</v>
      </c>
      <c r="G1079" s="8" t="str">
        <f aca="false">INDEX(Bases!$C$2:$C$53,B1079)</f>
        <v>Flying</v>
      </c>
      <c r="H1079" s="8" t="str">
        <f aca="false">IF(INDEX(Bases!$C$2:$C$53,C1079)=G1079,"",INDEX(Bases!$C$2:$C$53,C1079))</f>
        <v>Bug</v>
      </c>
      <c r="I1079" s="8" t="str">
        <f aca="false">IF(INDEX(Bases!$E$2:$E$53,B1079)="","",INDEX(Bases!$E$2:$E$53,B1079))</f>
        <v/>
      </c>
      <c r="J1079" s="8" t="str">
        <f aca="false">IF(INDEX(Bases!$E$2:$E$53,C1079)="","",INDEX(Bases!$E$2:$E$53,C1079))</f>
        <v/>
      </c>
      <c r="K1079" s="5"/>
      <c r="L1079" s="2" t="n">
        <f aca="false">AE1079+IF(SUMPRODUCT(--($AL1079:$AQ1079&gt;AL1079))&lt;$AK1079,1,0)</f>
        <v>76</v>
      </c>
      <c r="M1079" s="2" t="n">
        <f aca="false">AF1079+IF(SUMPRODUCT(--($AL1079:$AQ1079&gt;AM1079))+SUMPRODUCT(--($AL1079:AL1079=AM1079))&lt;$AK1079,1,0)</f>
        <v>90</v>
      </c>
      <c r="N1079" s="2" t="n">
        <f aca="false">AG1079+IF(SUMPRODUCT(--($AL1079:$AQ1079&gt;AN1079))+SUMPRODUCT(--($AL1079:AM1079=AN1079))&lt;$AK1079,1,0)</f>
        <v>125</v>
      </c>
      <c r="O1079" s="2" t="n">
        <f aca="false">AH1079+IF(SUMPRODUCT(--($AL1079:$AQ1079&gt;AO1079))+SUMPRODUCT(--($AL1079:AN1079=AO1079))&lt;$AK1079,1,0)</f>
        <v>59</v>
      </c>
      <c r="P1079" s="2" t="n">
        <f aca="false">AI1079+IF(SUMPRODUCT(--($AL1079:$AQ1079&gt;AP1079))+SUMPRODUCT(--($AL1079:AO1079=AP1079))&lt;$AK1079,1,0)</f>
        <v>93</v>
      </c>
      <c r="Q1079" s="2" t="n">
        <f aca="false">AJ1079+IF(SUMPRODUCT(--($AL1079:$AQ1079&gt;AQ1079))+SUMPRODUCT(--($AL1079:AP1079=AQ1079))&lt;$AK1079,1,0)</f>
        <v>57</v>
      </c>
      <c r="R1079" s="2" t="n">
        <f aca="false">SUM(L1079:Q1079)</f>
        <v>500</v>
      </c>
      <c r="S1079" s="2" t="n">
        <f aca="false">Settings!$B$4*MAX(INDEX(Bases!$M$2:$M$53,B1079),INDEX(Bases!$M$2:$M$53,C1079))+Settings!$B$5*MIN(INDEX(Bases!$M$2:$M$53,B1079),INDEX(Bases!$M$2:$M$53,C1079))</f>
        <v>65.3333333333333</v>
      </c>
      <c r="T1079" s="2" t="n">
        <f aca="false">Settings!$B$4*MAX(INDEX(Bases!$N$2:$N$53,B1079),INDEX(Bases!$N$2:$N$53,C1079))+Settings!$B$5*MIN(INDEX(Bases!$N$2:$N$53,B1079),INDEX(Bases!$N$2:$N$53,C1079))</f>
        <v>77.3333333333333</v>
      </c>
      <c r="U1079" s="2" t="n">
        <f aca="false">Settings!$B$4*MAX(INDEX(Bases!$O$2:$O$53,B1079),INDEX(Bases!$O$2:$O$53,C1079))+Settings!$B$5*MIN(INDEX(Bases!$O$2:$O$53,B1079),INDEX(Bases!$O$2:$O$53,C1079))</f>
        <v>108.333333333333</v>
      </c>
      <c r="V1079" s="2" t="n">
        <f aca="false">Settings!$B$4*MAX(INDEX(Bases!$P$2:$P$53,B1079),INDEX(Bases!$P$2:$P$53,C1079))+Settings!$B$5*MIN(INDEX(Bases!$P$2:$P$53,B1079),INDEX(Bases!$P$2:$P$53,C1079))</f>
        <v>50.6666666666667</v>
      </c>
      <c r="W1079" s="2" t="n">
        <f aca="false">Settings!$B$4*MAX(INDEX(Bases!$Q$2:$Q$53,B1079),INDEX(Bases!$Q$2:$Q$53,C1079))+Settings!$B$5*MIN(INDEX(Bases!$Q$2:$Q$53,B1079),INDEX(Bases!$Q$2:$Q$53,C1079))</f>
        <v>80.6666666666667</v>
      </c>
      <c r="X1079" s="2" t="n">
        <f aca="false">Settings!$B$4*MAX(INDEX(Bases!$R$2:$R$53,B1079),INDEX(Bases!$R$2:$R$53,C1079))+Settings!$B$5*MIN(INDEX(Bases!$R$2:$R$53,B1079),INDEX(Bases!$R$2:$R$53,C1079))</f>
        <v>49.6666666666667</v>
      </c>
      <c r="Y1079" s="2" t="n">
        <f aca="false">S1079*Settings!$B$3/SUM(S1079:X1079)</f>
        <v>75.6172839506173</v>
      </c>
      <c r="Z1079" s="2" t="n">
        <f aca="false">T1079*Settings!$B$3/SUM(S1079:X1079)</f>
        <v>89.5061728395062</v>
      </c>
      <c r="AA1079" s="2" t="n">
        <f aca="false">U1079*Settings!$B$3/SUM(S1079:X1079)</f>
        <v>125.385802469136</v>
      </c>
      <c r="AB1079" s="2" t="n">
        <f aca="false">V1079*Settings!$B$3/SUM(S1079:X1079)</f>
        <v>58.641975308642</v>
      </c>
      <c r="AC1079" s="2" t="n">
        <f aca="false">W1079*Settings!$B$3/SUM(S1079:X1079)</f>
        <v>93.3641975308642</v>
      </c>
      <c r="AD1079" s="2" t="n">
        <f aca="false">X1079*Settings!$B$3/SUM(S1079:X1079)</f>
        <v>57.4845679012346</v>
      </c>
      <c r="AE1079" s="2" t="n">
        <f aca="false">INT(Y1079)</f>
        <v>75</v>
      </c>
      <c r="AF1079" s="2" t="n">
        <f aca="false">INT(Z1079)</f>
        <v>89</v>
      </c>
      <c r="AG1079" s="2" t="n">
        <f aca="false">INT(AA1079)</f>
        <v>125</v>
      </c>
      <c r="AH1079" s="2" t="n">
        <f aca="false">INT(AB1079)</f>
        <v>58</v>
      </c>
      <c r="AI1079" s="2" t="n">
        <f aca="false">INT(AC1079)</f>
        <v>93</v>
      </c>
      <c r="AJ1079" s="2" t="n">
        <f aca="false">INT(AD1079)</f>
        <v>57</v>
      </c>
      <c r="AK1079" s="2" t="n">
        <f aca="false">Settings!$B$3-SUM(AE1079:AJ1079)</f>
        <v>3</v>
      </c>
      <c r="AL1079" s="2" t="n">
        <f aca="false">ROUND(Y1079-AE1079,9)</f>
        <v>0.617283951</v>
      </c>
      <c r="AM1079" s="2" t="n">
        <f aca="false">ROUND(Z1079-AF1079,9)</f>
        <v>0.50617284</v>
      </c>
      <c r="AN1079" s="2" t="n">
        <f aca="false">ROUND(AA1079-AG1079,9)</f>
        <v>0.385802469</v>
      </c>
      <c r="AO1079" s="2" t="n">
        <f aca="false">ROUND(AB1079-AH1079,9)</f>
        <v>0.641975309</v>
      </c>
      <c r="AP1079" s="2" t="n">
        <f aca="false">ROUND(AC1079-AI1079,9)</f>
        <v>0.364197531</v>
      </c>
      <c r="AQ1079" s="2" t="n">
        <f aca="false">ROUND(AD1079-AJ1079,9)</f>
        <v>0.484567901</v>
      </c>
    </row>
    <row r="1080" customFormat="false" ht="15" hidden="false" customHeight="false" outlineLevel="0" collapsed="false">
      <c r="A1080" s="2" t="n">
        <v>1079</v>
      </c>
      <c r="B1080" s="6" t="n">
        <v>30</v>
      </c>
      <c r="C1080" s="6" t="n">
        <v>36</v>
      </c>
      <c r="D1080" s="8" t="str">
        <f aca="false">INDEX(Bases!$B$2:$B$53,B1080)</f>
        <v>Swablu</v>
      </c>
      <c r="E1080" s="8" t="str">
        <f aca="false">INDEX(Bases!$B$2:$B$53,C1080)</f>
        <v>Wurmple</v>
      </c>
      <c r="F1080" s="2" t="str">
        <f aca="false">LEFT(D1080,ROUNDUP(LEN(D1080)/2,0))&amp;LOWER(MID(E1080,ROUNDUP(LEN(E1080)/2,0)+1,20))</f>
        <v>Swaple</v>
      </c>
      <c r="G1080" s="8" t="str">
        <f aca="false">INDEX(Bases!$C$2:$C$53,B1080)</f>
        <v>Flying</v>
      </c>
      <c r="H1080" s="8" t="str">
        <f aca="false">IF(INDEX(Bases!$C$2:$C$53,C1080)=G1080,"",INDEX(Bases!$C$2:$C$53,C1080))</f>
        <v>Bug</v>
      </c>
      <c r="I1080" s="8" t="str">
        <f aca="false">IF(INDEX(Bases!$E$2:$E$53,B1080)="","",INDEX(Bases!$E$2:$E$53,B1080))</f>
        <v/>
      </c>
      <c r="J1080" s="8" t="str">
        <f aca="false">IF(INDEX(Bases!$E$2:$E$53,C1080)="","",INDEX(Bases!$E$2:$E$53,C1080))</f>
        <v/>
      </c>
      <c r="K1080" s="5"/>
      <c r="L1080" s="2" t="n">
        <f aca="false">AE1080+IF(SUMPRODUCT(--($AL1080:$AQ1080&gt;AL1080))&lt;$AK1080,1,0)</f>
        <v>95</v>
      </c>
      <c r="M1080" s="2" t="n">
        <f aca="false">AF1080+IF(SUMPRODUCT(--($AL1080:$AQ1080&gt;AM1080))+SUMPRODUCT(--($AL1080:AL1080=AM1080))&lt;$AK1080,1,0)</f>
        <v>93</v>
      </c>
      <c r="N1080" s="2" t="n">
        <f aca="false">AG1080+IF(SUMPRODUCT(--($AL1080:$AQ1080&gt;AN1080))+SUMPRODUCT(--($AL1080:AM1080=AN1080))&lt;$AK1080,1,0)</f>
        <v>89</v>
      </c>
      <c r="O1080" s="2" t="n">
        <f aca="false">AH1080+IF(SUMPRODUCT(--($AL1080:$AQ1080&gt;AO1080))+SUMPRODUCT(--($AL1080:AN1080=AO1080))&lt;$AK1080,1,0)</f>
        <v>57</v>
      </c>
      <c r="P1080" s="2" t="n">
        <f aca="false">AI1080+IF(SUMPRODUCT(--($AL1080:$AQ1080&gt;AP1080))+SUMPRODUCT(--($AL1080:AO1080=AP1080))&lt;$AK1080,1,0)</f>
        <v>100</v>
      </c>
      <c r="Q1080" s="2" t="n">
        <f aca="false">AJ1080+IF(SUMPRODUCT(--($AL1080:$AQ1080&gt;AQ1080))+SUMPRODUCT(--($AL1080:AP1080=AQ1080))&lt;$AK1080,1,0)</f>
        <v>66</v>
      </c>
      <c r="R1080" s="2" t="n">
        <f aca="false">SUM(L1080:Q1080)</f>
        <v>500</v>
      </c>
      <c r="S1080" s="2" t="n">
        <f aca="false">Settings!$B$4*MAX(INDEX(Bases!$M$2:$M$53,B1080),INDEX(Bases!$M$2:$M$53,C1080))+Settings!$B$5*MIN(INDEX(Bases!$M$2:$M$53,B1080),INDEX(Bases!$M$2:$M$53,C1080))</f>
        <v>80.6666666666667</v>
      </c>
      <c r="T1080" s="2" t="n">
        <f aca="false">Settings!$B$4*MAX(INDEX(Bases!$N$2:$N$53,B1080),INDEX(Bases!$N$2:$N$53,C1080))+Settings!$B$5*MIN(INDEX(Bases!$N$2:$N$53,B1080),INDEX(Bases!$N$2:$N$53,C1080))</f>
        <v>78.6666666666667</v>
      </c>
      <c r="U1080" s="2" t="n">
        <f aca="false">Settings!$B$4*MAX(INDEX(Bases!$O$2:$O$53,B1080),INDEX(Bases!$O$2:$O$53,C1080))+Settings!$B$5*MIN(INDEX(Bases!$O$2:$O$53,B1080),INDEX(Bases!$O$2:$O$53,C1080))</f>
        <v>75.3333333333333</v>
      </c>
      <c r="V1080" s="2" t="n">
        <f aca="false">Settings!$B$4*MAX(INDEX(Bases!$P$2:$P$53,B1080),INDEX(Bases!$P$2:$P$53,C1080))+Settings!$B$5*MIN(INDEX(Bases!$P$2:$P$53,B1080),INDEX(Bases!$P$2:$P$53,C1080))</f>
        <v>48.3333333333333</v>
      </c>
      <c r="W1080" s="2" t="n">
        <f aca="false">Settings!$B$4*MAX(INDEX(Bases!$Q$2:$Q$53,B1080),INDEX(Bases!$Q$2:$Q$53,C1080))+Settings!$B$5*MIN(INDEX(Bases!$Q$2:$Q$53,B1080),INDEX(Bases!$Q$2:$Q$53,C1080))</f>
        <v>85.3333333333333</v>
      </c>
      <c r="X1080" s="2" t="n">
        <f aca="false">Settings!$B$4*MAX(INDEX(Bases!$R$2:$R$53,B1080),INDEX(Bases!$R$2:$R$53,C1080))+Settings!$B$5*MIN(INDEX(Bases!$R$2:$R$53,B1080),INDEX(Bases!$R$2:$R$53,C1080))</f>
        <v>56.3333333333333</v>
      </c>
      <c r="Y1080" s="2" t="n">
        <f aca="false">S1080*Settings!$B$3/SUM(S1080:X1080)</f>
        <v>94.9764521193093</v>
      </c>
      <c r="Z1080" s="2" t="n">
        <f aca="false">T1080*Settings!$B$3/SUM(S1080:X1080)</f>
        <v>92.6216640502355</v>
      </c>
      <c r="AA1080" s="2" t="n">
        <f aca="false">U1080*Settings!$B$3/SUM(S1080:X1080)</f>
        <v>88.6970172684459</v>
      </c>
      <c r="AB1080" s="2" t="n">
        <f aca="false">V1080*Settings!$B$3/SUM(S1080:X1080)</f>
        <v>56.9073783359498</v>
      </c>
      <c r="AC1080" s="2" t="n">
        <f aca="false">W1080*Settings!$B$3/SUM(S1080:X1080)</f>
        <v>100.470957613815</v>
      </c>
      <c r="AD1080" s="2" t="n">
        <f aca="false">X1080*Settings!$B$3/SUM(S1080:X1080)</f>
        <v>66.3265306122449</v>
      </c>
      <c r="AE1080" s="2" t="n">
        <f aca="false">INT(Y1080)</f>
        <v>94</v>
      </c>
      <c r="AF1080" s="2" t="n">
        <f aca="false">INT(Z1080)</f>
        <v>92</v>
      </c>
      <c r="AG1080" s="2" t="n">
        <f aca="false">INT(AA1080)</f>
        <v>88</v>
      </c>
      <c r="AH1080" s="2" t="n">
        <f aca="false">INT(AB1080)</f>
        <v>56</v>
      </c>
      <c r="AI1080" s="2" t="n">
        <f aca="false">INT(AC1080)</f>
        <v>100</v>
      </c>
      <c r="AJ1080" s="2" t="n">
        <f aca="false">INT(AD1080)</f>
        <v>66</v>
      </c>
      <c r="AK1080" s="2" t="n">
        <f aca="false">Settings!$B$3-SUM(AE1080:AJ1080)</f>
        <v>4</v>
      </c>
      <c r="AL1080" s="2" t="n">
        <f aca="false">ROUND(Y1080-AE1080,9)</f>
        <v>0.976452119</v>
      </c>
      <c r="AM1080" s="2" t="n">
        <f aca="false">ROUND(Z1080-AF1080,9)</f>
        <v>0.62166405</v>
      </c>
      <c r="AN1080" s="2" t="n">
        <f aca="false">ROUND(AA1080-AG1080,9)</f>
        <v>0.697017268</v>
      </c>
      <c r="AO1080" s="2" t="n">
        <f aca="false">ROUND(AB1080-AH1080,9)</f>
        <v>0.907378336</v>
      </c>
      <c r="AP1080" s="2" t="n">
        <f aca="false">ROUND(AC1080-AI1080,9)</f>
        <v>0.470957614</v>
      </c>
      <c r="AQ1080" s="2" t="n">
        <f aca="false">ROUND(AD1080-AJ1080,9)</f>
        <v>0.326530612</v>
      </c>
    </row>
    <row r="1081" customFormat="false" ht="15" hidden="false" customHeight="false" outlineLevel="0" collapsed="false">
      <c r="A1081" s="2" t="n">
        <v>1080</v>
      </c>
      <c r="B1081" s="6" t="n">
        <v>30</v>
      </c>
      <c r="C1081" s="6" t="n">
        <v>37</v>
      </c>
      <c r="D1081" s="8" t="str">
        <f aca="false">INDEX(Bases!$B$2:$B$53,B1081)</f>
        <v>Swablu</v>
      </c>
      <c r="E1081" s="8" t="str">
        <f aca="false">INDEX(Bases!$B$2:$B$53,C1081)</f>
        <v>Shuckle</v>
      </c>
      <c r="F1081" s="2" t="str">
        <f aca="false">LEFT(D1081,ROUNDUP(LEN(D1081)/2,0))&amp;LOWER(MID(E1081,ROUNDUP(LEN(E1081)/2,0)+1,20))</f>
        <v>Swakle</v>
      </c>
      <c r="G1081" s="8" t="str">
        <f aca="false">INDEX(Bases!$C$2:$C$53,B1081)</f>
        <v>Flying</v>
      </c>
      <c r="H1081" s="8" t="str">
        <f aca="false">IF(INDEX(Bases!$C$2:$C$53,C1081)=G1081,"",INDEX(Bases!$C$2:$C$53,C1081))</f>
        <v>Rock</v>
      </c>
      <c r="I1081" s="8" t="str">
        <f aca="false">IF(INDEX(Bases!$E$2:$E$53,B1081)="","",INDEX(Bases!$E$2:$E$53,B1081))</f>
        <v/>
      </c>
      <c r="J1081" s="8" t="str">
        <f aca="false">IF(INDEX(Bases!$E$2:$E$53,C1081)="","",INDEX(Bases!$E$2:$E$53,C1081))</f>
        <v/>
      </c>
      <c r="K1081" s="5"/>
      <c r="L1081" s="2" t="n">
        <f aca="false">AE1081+IF(SUMPRODUCT(--($AL1081:$AQ1081&gt;AL1081))&lt;$AK1081,1,0)</f>
        <v>48</v>
      </c>
      <c r="M1081" s="2" t="n">
        <f aca="false">AF1081+IF(SUMPRODUCT(--($AL1081:$AQ1081&gt;AM1081))+SUMPRODUCT(--($AL1081:AL1081=AM1081))&lt;$AK1081,1,0)</f>
        <v>40</v>
      </c>
      <c r="N1081" s="2" t="n">
        <f aca="false">AG1081+IF(SUMPRODUCT(--($AL1081:$AQ1081&gt;AN1081))+SUMPRODUCT(--($AL1081:AM1081=AN1081))&lt;$AK1081,1,0)</f>
        <v>159</v>
      </c>
      <c r="O1081" s="2" t="n">
        <f aca="false">AH1081+IF(SUMPRODUCT(--($AL1081:$AQ1081&gt;AO1081))+SUMPRODUCT(--($AL1081:AN1081=AO1081))&lt;$AK1081,1,0)</f>
        <v>40</v>
      </c>
      <c r="P1081" s="2" t="n">
        <f aca="false">AI1081+IF(SUMPRODUCT(--($AL1081:$AQ1081&gt;AP1081))+SUMPRODUCT(--($AL1081:AO1081=AP1081))&lt;$AK1081,1,0)</f>
        <v>166</v>
      </c>
      <c r="Q1081" s="2" t="n">
        <f aca="false">AJ1081+IF(SUMPRODUCT(--($AL1081:$AQ1081&gt;AQ1081))+SUMPRODUCT(--($AL1081:AP1081=AQ1081))&lt;$AK1081,1,0)</f>
        <v>47</v>
      </c>
      <c r="R1081" s="2" t="n">
        <f aca="false">SUM(L1081:Q1081)</f>
        <v>500</v>
      </c>
      <c r="S1081" s="2" t="n">
        <f aca="false">Settings!$B$4*MAX(INDEX(Bases!$M$2:$M$53,B1081),INDEX(Bases!$M$2:$M$53,C1081))+Settings!$B$5*MIN(INDEX(Bases!$M$2:$M$53,B1081),INDEX(Bases!$M$2:$M$53,C1081))</f>
        <v>44</v>
      </c>
      <c r="T1081" s="2" t="n">
        <f aca="false">Settings!$B$4*MAX(INDEX(Bases!$N$2:$N$53,B1081),INDEX(Bases!$N$2:$N$53,C1081))+Settings!$B$5*MIN(INDEX(Bases!$N$2:$N$53,B1081),INDEX(Bases!$N$2:$N$53,C1081))</f>
        <v>37.3333333333333</v>
      </c>
      <c r="U1081" s="2" t="n">
        <f aca="false">Settings!$B$4*MAX(INDEX(Bases!$O$2:$O$53,B1081),INDEX(Bases!$O$2:$O$53,C1081))+Settings!$B$5*MIN(INDEX(Bases!$O$2:$O$53,B1081),INDEX(Bases!$O$2:$O$53,C1081))</f>
        <v>147</v>
      </c>
      <c r="V1081" s="2" t="n">
        <f aca="false">Settings!$B$4*MAX(INDEX(Bases!$P$2:$P$53,B1081),INDEX(Bases!$P$2:$P$53,C1081))+Settings!$B$5*MIN(INDEX(Bases!$P$2:$P$53,B1081),INDEX(Bases!$P$2:$P$53,C1081))</f>
        <v>37.3333333333333</v>
      </c>
      <c r="W1081" s="2" t="n">
        <f aca="false">Settings!$B$4*MAX(INDEX(Bases!$Q$2:$Q$53,B1081),INDEX(Bases!$Q$2:$Q$53,C1081))+Settings!$B$5*MIN(INDEX(Bases!$Q$2:$Q$53,B1081),INDEX(Bases!$Q$2:$Q$53,C1081))</f>
        <v>153.666666666667</v>
      </c>
      <c r="X1081" s="2" t="n">
        <f aca="false">Settings!$B$4*MAX(INDEX(Bases!$R$2:$R$53,B1081),INDEX(Bases!$R$2:$R$53,C1081))+Settings!$B$5*MIN(INDEX(Bases!$R$2:$R$53,B1081),INDEX(Bases!$R$2:$R$53,C1081))</f>
        <v>44</v>
      </c>
      <c r="Y1081" s="2" t="n">
        <f aca="false">S1081*Settings!$B$3/SUM(S1081:X1081)</f>
        <v>47.4820143884892</v>
      </c>
      <c r="Z1081" s="2" t="n">
        <f aca="false">T1081*Settings!$B$3/SUM(S1081:X1081)</f>
        <v>40.2877697841727</v>
      </c>
      <c r="AA1081" s="2" t="n">
        <f aca="false">U1081*Settings!$B$3/SUM(S1081:X1081)</f>
        <v>158.63309352518</v>
      </c>
      <c r="AB1081" s="2" t="n">
        <f aca="false">V1081*Settings!$B$3/SUM(S1081:X1081)</f>
        <v>40.2877697841727</v>
      </c>
      <c r="AC1081" s="2" t="n">
        <f aca="false">W1081*Settings!$B$3/SUM(S1081:X1081)</f>
        <v>165.827338129496</v>
      </c>
      <c r="AD1081" s="2" t="n">
        <f aca="false">X1081*Settings!$B$3/SUM(S1081:X1081)</f>
        <v>47.4820143884892</v>
      </c>
      <c r="AE1081" s="2" t="n">
        <f aca="false">INT(Y1081)</f>
        <v>47</v>
      </c>
      <c r="AF1081" s="2" t="n">
        <f aca="false">INT(Z1081)</f>
        <v>40</v>
      </c>
      <c r="AG1081" s="2" t="n">
        <f aca="false">INT(AA1081)</f>
        <v>158</v>
      </c>
      <c r="AH1081" s="2" t="n">
        <f aca="false">INT(AB1081)</f>
        <v>40</v>
      </c>
      <c r="AI1081" s="2" t="n">
        <f aca="false">INT(AC1081)</f>
        <v>165</v>
      </c>
      <c r="AJ1081" s="2" t="n">
        <f aca="false">INT(AD1081)</f>
        <v>47</v>
      </c>
      <c r="AK1081" s="2" t="n">
        <f aca="false">Settings!$B$3-SUM(AE1081:AJ1081)</f>
        <v>3</v>
      </c>
      <c r="AL1081" s="2" t="n">
        <f aca="false">ROUND(Y1081-AE1081,9)</f>
        <v>0.482014388</v>
      </c>
      <c r="AM1081" s="2" t="n">
        <f aca="false">ROUND(Z1081-AF1081,9)</f>
        <v>0.287769784</v>
      </c>
      <c r="AN1081" s="2" t="n">
        <f aca="false">ROUND(AA1081-AG1081,9)</f>
        <v>0.633093525</v>
      </c>
      <c r="AO1081" s="2" t="n">
        <f aca="false">ROUND(AB1081-AH1081,9)</f>
        <v>0.287769784</v>
      </c>
      <c r="AP1081" s="2" t="n">
        <f aca="false">ROUND(AC1081-AI1081,9)</f>
        <v>0.827338129</v>
      </c>
      <c r="AQ1081" s="2" t="n">
        <f aca="false">ROUND(AD1081-AJ1081,9)</f>
        <v>0.482014388</v>
      </c>
    </row>
    <row r="1082" customFormat="false" ht="15" hidden="false" customHeight="false" outlineLevel="0" collapsed="false">
      <c r="A1082" s="2" t="n">
        <v>1081</v>
      </c>
      <c r="B1082" s="6" t="n">
        <v>30</v>
      </c>
      <c r="C1082" s="6" t="n">
        <v>38</v>
      </c>
      <c r="D1082" s="8" t="str">
        <f aca="false">INDEX(Bases!$B$2:$B$53,B1082)</f>
        <v>Swablu</v>
      </c>
      <c r="E1082" s="8" t="str">
        <f aca="false">INDEX(Bases!$B$2:$B$53,C1082)</f>
        <v>Larvitar</v>
      </c>
      <c r="F1082" s="2" t="str">
        <f aca="false">LEFT(D1082,ROUNDUP(LEN(D1082)/2,0))&amp;LOWER(MID(E1082,ROUNDUP(LEN(E1082)/2,0)+1,20))</f>
        <v>Swaitar</v>
      </c>
      <c r="G1082" s="8" t="str">
        <f aca="false">INDEX(Bases!$C$2:$C$53,B1082)</f>
        <v>Flying</v>
      </c>
      <c r="H1082" s="8" t="str">
        <f aca="false">IF(INDEX(Bases!$C$2:$C$53,C1082)=G1082,"",INDEX(Bases!$C$2:$C$53,C1082))</f>
        <v>Rock</v>
      </c>
      <c r="I1082" s="8" t="str">
        <f aca="false">IF(INDEX(Bases!$E$2:$E$53,B1082)="","",INDEX(Bases!$E$2:$E$53,B1082))</f>
        <v/>
      </c>
      <c r="J1082" s="8" t="str">
        <f aca="false">IF(INDEX(Bases!$E$2:$E$53,C1082)="","",INDEX(Bases!$E$2:$E$53,C1082))</f>
        <v/>
      </c>
      <c r="K1082" s="5"/>
      <c r="L1082" s="2" t="n">
        <f aca="false">AE1082+IF(SUMPRODUCT(--($AL1082:$AQ1082&gt;AL1082))&lt;$AK1082,1,0)</f>
        <v>77</v>
      </c>
      <c r="M1082" s="2" t="n">
        <f aca="false">AF1082+IF(SUMPRODUCT(--($AL1082:$AQ1082&gt;AM1082))+SUMPRODUCT(--($AL1082:AL1082=AM1082))&lt;$AK1082,1,0)</f>
        <v>89</v>
      </c>
      <c r="N1082" s="2" t="n">
        <f aca="false">AG1082+IF(SUMPRODUCT(--($AL1082:$AQ1082&gt;AN1082))+SUMPRODUCT(--($AL1082:AM1082=AN1082))&lt;$AK1082,1,0)</f>
        <v>88</v>
      </c>
      <c r="O1082" s="2" t="n">
        <f aca="false">AH1082+IF(SUMPRODUCT(--($AL1082:$AQ1082&gt;AO1082))+SUMPRODUCT(--($AL1082:AN1082=AO1082))&lt;$AK1082,1,0)</f>
        <v>69</v>
      </c>
      <c r="P1082" s="2" t="n">
        <f aca="false">AI1082+IF(SUMPRODUCT(--($AL1082:$AQ1082&gt;AP1082))+SUMPRODUCT(--($AL1082:AO1082=AP1082))&lt;$AK1082,1,0)</f>
        <v>104</v>
      </c>
      <c r="Q1082" s="2" t="n">
        <f aca="false">AJ1082+IF(SUMPRODUCT(--($AL1082:$AQ1082&gt;AQ1082))+SUMPRODUCT(--($AL1082:AP1082=AQ1082))&lt;$AK1082,1,0)</f>
        <v>73</v>
      </c>
      <c r="R1082" s="2" t="n">
        <f aca="false">SUM(L1082:Q1082)</f>
        <v>500</v>
      </c>
      <c r="S1082" s="2" t="n">
        <f aca="false">Settings!$B$4*MAX(INDEX(Bases!$M$2:$M$53,B1082),INDEX(Bases!$M$2:$M$53,C1082))+Settings!$B$5*MIN(INDEX(Bases!$M$2:$M$53,B1082),INDEX(Bases!$M$2:$M$53,C1082))</f>
        <v>64</v>
      </c>
      <c r="T1082" s="2" t="n">
        <f aca="false">Settings!$B$4*MAX(INDEX(Bases!$N$2:$N$53,B1082),INDEX(Bases!$N$2:$N$53,C1082))+Settings!$B$5*MIN(INDEX(Bases!$N$2:$N$53,B1082),INDEX(Bases!$N$2:$N$53,C1082))</f>
        <v>74</v>
      </c>
      <c r="U1082" s="2" t="n">
        <f aca="false">Settings!$B$4*MAX(INDEX(Bases!$O$2:$O$53,B1082),INDEX(Bases!$O$2:$O$53,C1082))+Settings!$B$5*MIN(INDEX(Bases!$O$2:$O$53,B1082),INDEX(Bases!$O$2:$O$53,C1082))</f>
        <v>73.6666666666667</v>
      </c>
      <c r="V1082" s="2" t="n">
        <f aca="false">Settings!$B$4*MAX(INDEX(Bases!$P$2:$P$53,B1082),INDEX(Bases!$P$2:$P$53,C1082))+Settings!$B$5*MIN(INDEX(Bases!$P$2:$P$53,B1082),INDEX(Bases!$P$2:$P$53,C1082))</f>
        <v>57.3333333333333</v>
      </c>
      <c r="W1082" s="2" t="n">
        <f aca="false">Settings!$B$4*MAX(INDEX(Bases!$Q$2:$Q$53,B1082),INDEX(Bases!$Q$2:$Q$53,C1082))+Settings!$B$5*MIN(INDEX(Bases!$Q$2:$Q$53,B1082),INDEX(Bases!$Q$2:$Q$53,C1082))</f>
        <v>87</v>
      </c>
      <c r="X1082" s="2" t="n">
        <f aca="false">Settings!$B$4*MAX(INDEX(Bases!$R$2:$R$53,B1082),INDEX(Bases!$R$2:$R$53,C1082))+Settings!$B$5*MIN(INDEX(Bases!$R$2:$R$53,B1082),INDEX(Bases!$R$2:$R$53,C1082))</f>
        <v>60.6666666666667</v>
      </c>
      <c r="Y1082" s="2" t="n">
        <f aca="false">S1082*Settings!$B$3/SUM(S1082:X1082)</f>
        <v>76.8</v>
      </c>
      <c r="Z1082" s="2" t="n">
        <f aca="false">T1082*Settings!$B$3/SUM(S1082:X1082)</f>
        <v>88.8</v>
      </c>
      <c r="AA1082" s="2" t="n">
        <f aca="false">U1082*Settings!$B$3/SUM(S1082:X1082)</f>
        <v>88.4</v>
      </c>
      <c r="AB1082" s="2" t="n">
        <f aca="false">V1082*Settings!$B$3/SUM(S1082:X1082)</f>
        <v>68.8</v>
      </c>
      <c r="AC1082" s="2" t="n">
        <f aca="false">W1082*Settings!$B$3/SUM(S1082:X1082)</f>
        <v>104.4</v>
      </c>
      <c r="AD1082" s="2" t="n">
        <f aca="false">X1082*Settings!$B$3/SUM(S1082:X1082)</f>
        <v>72.8</v>
      </c>
      <c r="AE1082" s="2" t="n">
        <f aca="false">INT(Y1082)</f>
        <v>76</v>
      </c>
      <c r="AF1082" s="2" t="n">
        <f aca="false">INT(Z1082)</f>
        <v>88</v>
      </c>
      <c r="AG1082" s="2" t="n">
        <f aca="false">INT(AA1082)</f>
        <v>88</v>
      </c>
      <c r="AH1082" s="2" t="n">
        <f aca="false">INT(AB1082)</f>
        <v>68</v>
      </c>
      <c r="AI1082" s="2" t="n">
        <f aca="false">INT(AC1082)</f>
        <v>104</v>
      </c>
      <c r="AJ1082" s="2" t="n">
        <f aca="false">INT(AD1082)</f>
        <v>72</v>
      </c>
      <c r="AK1082" s="2" t="n">
        <f aca="false">Settings!$B$3-SUM(AE1082:AJ1082)</f>
        <v>4</v>
      </c>
      <c r="AL1082" s="2" t="n">
        <f aca="false">ROUND(Y1082-AE1082,9)</f>
        <v>0.8</v>
      </c>
      <c r="AM1082" s="2" t="n">
        <f aca="false">ROUND(Z1082-AF1082,9)</f>
        <v>0.8</v>
      </c>
      <c r="AN1082" s="2" t="n">
        <f aca="false">ROUND(AA1082-AG1082,9)</f>
        <v>0.4</v>
      </c>
      <c r="AO1082" s="2" t="n">
        <f aca="false">ROUND(AB1082-AH1082,9)</f>
        <v>0.8</v>
      </c>
      <c r="AP1082" s="2" t="n">
        <f aca="false">ROUND(AC1082-AI1082,9)</f>
        <v>0.4</v>
      </c>
      <c r="AQ1082" s="2" t="n">
        <f aca="false">ROUND(AD1082-AJ1082,9)</f>
        <v>0.8</v>
      </c>
    </row>
    <row r="1083" customFormat="false" ht="15" hidden="false" customHeight="false" outlineLevel="0" collapsed="false">
      <c r="A1083" s="2" t="n">
        <v>1082</v>
      </c>
      <c r="B1083" s="6" t="n">
        <v>30</v>
      </c>
      <c r="C1083" s="6" t="n">
        <v>39</v>
      </c>
      <c r="D1083" s="8" t="str">
        <f aca="false">INDEX(Bases!$B$2:$B$53,B1083)</f>
        <v>Swablu</v>
      </c>
      <c r="E1083" s="8" t="str">
        <f aca="false">INDEX(Bases!$B$2:$B$53,C1083)</f>
        <v>Nosepass</v>
      </c>
      <c r="F1083" s="2" t="str">
        <f aca="false">LEFT(D1083,ROUNDUP(LEN(D1083)/2,0))&amp;LOWER(MID(E1083,ROUNDUP(LEN(E1083)/2,0)+1,20))</f>
        <v>Swapass</v>
      </c>
      <c r="G1083" s="8" t="str">
        <f aca="false">INDEX(Bases!$C$2:$C$53,B1083)</f>
        <v>Flying</v>
      </c>
      <c r="H1083" s="8" t="str">
        <f aca="false">IF(INDEX(Bases!$C$2:$C$53,C1083)=G1083,"",INDEX(Bases!$C$2:$C$53,C1083))</f>
        <v>Rock</v>
      </c>
      <c r="I1083" s="8" t="str">
        <f aca="false">IF(INDEX(Bases!$E$2:$E$53,B1083)="","",INDEX(Bases!$E$2:$E$53,B1083))</f>
        <v/>
      </c>
      <c r="J1083" s="8" t="str">
        <f aca="false">IF(INDEX(Bases!$E$2:$E$53,C1083)="","",INDEX(Bases!$E$2:$E$53,C1083))</f>
        <v/>
      </c>
      <c r="K1083" s="5"/>
      <c r="L1083" s="2" t="n">
        <f aca="false">AE1083+IF(SUMPRODUCT(--($AL1083:$AQ1083&gt;AL1083))&lt;$AK1083,1,0)</f>
        <v>58</v>
      </c>
      <c r="M1083" s="2" t="n">
        <f aca="false">AF1083+IF(SUMPRODUCT(--($AL1083:$AQ1083&gt;AM1083))+SUMPRODUCT(--($AL1083:AL1083=AM1083))&lt;$AK1083,1,0)</f>
        <v>60</v>
      </c>
      <c r="N1083" s="2" t="n">
        <f aca="false">AG1083+IF(SUMPRODUCT(--($AL1083:$AQ1083&gt;AN1083))+SUMPRODUCT(--($AL1083:AM1083=AN1083))&lt;$AK1083,1,0)</f>
        <v>144</v>
      </c>
      <c r="O1083" s="2" t="n">
        <f aca="false">AH1083+IF(SUMPRODUCT(--($AL1083:$AQ1083&gt;AO1083))+SUMPRODUCT(--($AL1083:AN1083=AO1083))&lt;$AK1083,1,0)</f>
        <v>60</v>
      </c>
      <c r="P1083" s="2" t="n">
        <f aca="false">AI1083+IF(SUMPRODUCT(--($AL1083:$AQ1083&gt;AP1083))+SUMPRODUCT(--($AL1083:AO1083=AP1083))&lt;$AK1083,1,0)</f>
        <v>115</v>
      </c>
      <c r="Q1083" s="2" t="n">
        <f aca="false">AJ1083+IF(SUMPRODUCT(--($AL1083:$AQ1083&gt;AQ1083))+SUMPRODUCT(--($AL1083:AP1083=AQ1083))&lt;$AK1083,1,0)</f>
        <v>63</v>
      </c>
      <c r="R1083" s="2" t="n">
        <f aca="false">SUM(L1083:Q1083)</f>
        <v>500</v>
      </c>
      <c r="S1083" s="2" t="n">
        <f aca="false">Settings!$B$4*MAX(INDEX(Bases!$M$2:$M$53,B1083),INDEX(Bases!$M$2:$M$53,C1083))+Settings!$B$5*MIN(INDEX(Bases!$M$2:$M$53,B1083),INDEX(Bases!$M$2:$M$53,C1083))</f>
        <v>49.3333333333333</v>
      </c>
      <c r="T1083" s="2" t="n">
        <f aca="false">Settings!$B$4*MAX(INDEX(Bases!$N$2:$N$53,B1083),INDEX(Bases!$N$2:$N$53,C1083))+Settings!$B$5*MIN(INDEX(Bases!$N$2:$N$53,B1083),INDEX(Bases!$N$2:$N$53,C1083))</f>
        <v>50.6666666666667</v>
      </c>
      <c r="U1083" s="2" t="n">
        <f aca="false">Settings!$B$4*MAX(INDEX(Bases!$O$2:$O$53,B1083),INDEX(Bases!$O$2:$O$53,C1083))+Settings!$B$5*MIN(INDEX(Bases!$O$2:$O$53,B1083),INDEX(Bases!$O$2:$O$53,C1083))</f>
        <v>121.666666666667</v>
      </c>
      <c r="V1083" s="2" t="n">
        <f aca="false">Settings!$B$4*MAX(INDEX(Bases!$P$2:$P$53,B1083),INDEX(Bases!$P$2:$P$53,C1083))+Settings!$B$5*MIN(INDEX(Bases!$P$2:$P$53,B1083),INDEX(Bases!$P$2:$P$53,C1083))</f>
        <v>50.6666666666667</v>
      </c>
      <c r="W1083" s="2" t="n">
        <f aca="false">Settings!$B$4*MAX(INDEX(Bases!$Q$2:$Q$53,B1083),INDEX(Bases!$Q$2:$Q$53,C1083))+Settings!$B$5*MIN(INDEX(Bases!$Q$2:$Q$53,B1083),INDEX(Bases!$Q$2:$Q$53,C1083))</f>
        <v>96.6666666666667</v>
      </c>
      <c r="X1083" s="2" t="n">
        <f aca="false">Settings!$B$4*MAX(INDEX(Bases!$R$2:$R$53,B1083),INDEX(Bases!$R$2:$R$53,C1083))+Settings!$B$5*MIN(INDEX(Bases!$R$2:$R$53,B1083),INDEX(Bases!$R$2:$R$53,C1083))</f>
        <v>53.3333333333333</v>
      </c>
      <c r="Y1083" s="2" t="n">
        <f aca="false">S1083*Settings!$B$3/SUM(S1083:X1083)</f>
        <v>58.405682715075</v>
      </c>
      <c r="Z1083" s="2" t="n">
        <f aca="false">T1083*Settings!$B$3/SUM(S1083:X1083)</f>
        <v>59.9842146803473</v>
      </c>
      <c r="AA1083" s="2" t="n">
        <f aca="false">U1083*Settings!$B$3/SUM(S1083:X1083)</f>
        <v>144.041041831097</v>
      </c>
      <c r="AB1083" s="2" t="n">
        <f aca="false">V1083*Settings!$B$3/SUM(S1083:X1083)</f>
        <v>59.9842146803473</v>
      </c>
      <c r="AC1083" s="2" t="n">
        <f aca="false">W1083*Settings!$B$3/SUM(S1083:X1083)</f>
        <v>114.443567482242</v>
      </c>
      <c r="AD1083" s="2" t="n">
        <f aca="false">X1083*Settings!$B$3/SUM(S1083:X1083)</f>
        <v>63.1412786108919</v>
      </c>
      <c r="AE1083" s="2" t="n">
        <f aca="false">INT(Y1083)</f>
        <v>58</v>
      </c>
      <c r="AF1083" s="2" t="n">
        <f aca="false">INT(Z1083)</f>
        <v>59</v>
      </c>
      <c r="AG1083" s="2" t="n">
        <f aca="false">INT(AA1083)</f>
        <v>144</v>
      </c>
      <c r="AH1083" s="2" t="n">
        <f aca="false">INT(AB1083)</f>
        <v>59</v>
      </c>
      <c r="AI1083" s="2" t="n">
        <f aca="false">INT(AC1083)</f>
        <v>114</v>
      </c>
      <c r="AJ1083" s="2" t="n">
        <f aca="false">INT(AD1083)</f>
        <v>63</v>
      </c>
      <c r="AK1083" s="2" t="n">
        <f aca="false">Settings!$B$3-SUM(AE1083:AJ1083)</f>
        <v>3</v>
      </c>
      <c r="AL1083" s="2" t="n">
        <f aca="false">ROUND(Y1083-AE1083,9)</f>
        <v>0.405682715</v>
      </c>
      <c r="AM1083" s="2" t="n">
        <f aca="false">ROUND(Z1083-AF1083,9)</f>
        <v>0.98421468</v>
      </c>
      <c r="AN1083" s="2" t="n">
        <f aca="false">ROUND(AA1083-AG1083,9)</f>
        <v>0.041041831</v>
      </c>
      <c r="AO1083" s="2" t="n">
        <f aca="false">ROUND(AB1083-AH1083,9)</f>
        <v>0.98421468</v>
      </c>
      <c r="AP1083" s="2" t="n">
        <f aca="false">ROUND(AC1083-AI1083,9)</f>
        <v>0.443567482</v>
      </c>
      <c r="AQ1083" s="2" t="n">
        <f aca="false">ROUND(AD1083-AJ1083,9)</f>
        <v>0.141278611</v>
      </c>
    </row>
    <row r="1084" customFormat="false" ht="15" hidden="false" customHeight="false" outlineLevel="0" collapsed="false">
      <c r="A1084" s="2" t="n">
        <v>1083</v>
      </c>
      <c r="B1084" s="6" t="n">
        <v>30</v>
      </c>
      <c r="C1084" s="6" t="n">
        <v>40</v>
      </c>
      <c r="D1084" s="8" t="str">
        <f aca="false">INDEX(Bases!$B$2:$B$53,B1084)</f>
        <v>Swablu</v>
      </c>
      <c r="E1084" s="8" t="str">
        <f aca="false">INDEX(Bases!$B$2:$B$53,C1084)</f>
        <v>Gastly</v>
      </c>
      <c r="F1084" s="2" t="str">
        <f aca="false">LEFT(D1084,ROUNDUP(LEN(D1084)/2,0))&amp;LOWER(MID(E1084,ROUNDUP(LEN(E1084)/2,0)+1,20))</f>
        <v>Swatly</v>
      </c>
      <c r="G1084" s="8" t="str">
        <f aca="false">INDEX(Bases!$C$2:$C$53,B1084)</f>
        <v>Flying</v>
      </c>
      <c r="H1084" s="8" t="str">
        <f aca="false">IF(INDEX(Bases!$C$2:$C$53,C1084)=G1084,"",INDEX(Bases!$C$2:$C$53,C1084))</f>
        <v>Ghost</v>
      </c>
      <c r="I1084" s="8" t="str">
        <f aca="false">IF(INDEX(Bases!$E$2:$E$53,B1084)="","",INDEX(Bases!$E$2:$E$53,B1084))</f>
        <v/>
      </c>
      <c r="J1084" s="8" t="str">
        <f aca="false">IF(INDEX(Bases!$E$2:$E$53,C1084)="","",INDEX(Bases!$E$2:$E$53,C1084))</f>
        <v/>
      </c>
      <c r="K1084" s="5"/>
      <c r="L1084" s="2" t="n">
        <f aca="false">AE1084+IF(SUMPRODUCT(--($AL1084:$AQ1084&gt;AL1084))&lt;$AK1084,1,0)</f>
        <v>59</v>
      </c>
      <c r="M1084" s="2" t="n">
        <f aca="false">AF1084+IF(SUMPRODUCT(--($AL1084:$AQ1084&gt;AM1084))+SUMPRODUCT(--($AL1084:AL1084=AM1084))&lt;$AK1084,1,0)</f>
        <v>57</v>
      </c>
      <c r="N1084" s="2" t="n">
        <f aca="false">AG1084+IF(SUMPRODUCT(--($AL1084:$AQ1084&gt;AN1084))+SUMPRODUCT(--($AL1084:AM1084=AN1084))&lt;$AK1084,1,0)</f>
        <v>73</v>
      </c>
      <c r="O1084" s="2" t="n">
        <f aca="false">AH1084+IF(SUMPRODUCT(--($AL1084:$AQ1084&gt;AO1084))+SUMPRODUCT(--($AL1084:AN1084=AO1084))&lt;$AK1084,1,0)</f>
        <v>118</v>
      </c>
      <c r="P1084" s="2" t="n">
        <f aca="false">AI1084+IF(SUMPRODUCT(--($AL1084:$AQ1084&gt;AP1084))+SUMPRODUCT(--($AL1084:AO1084=AP1084))&lt;$AK1084,1,0)</f>
        <v>91</v>
      </c>
      <c r="Q1084" s="2" t="n">
        <f aca="false">AJ1084+IF(SUMPRODUCT(--($AL1084:$AQ1084&gt;AQ1084))+SUMPRODUCT(--($AL1084:AP1084=AQ1084))&lt;$AK1084,1,0)</f>
        <v>102</v>
      </c>
      <c r="R1084" s="2" t="n">
        <f aca="false">SUM(L1084:Q1084)</f>
        <v>500</v>
      </c>
      <c r="S1084" s="2" t="n">
        <f aca="false">Settings!$B$4*MAX(INDEX(Bases!$M$2:$M$53,B1084),INDEX(Bases!$M$2:$M$53,C1084))+Settings!$B$5*MIN(INDEX(Bases!$M$2:$M$53,B1084),INDEX(Bases!$M$2:$M$53,C1084))</f>
        <v>51.6666666666667</v>
      </c>
      <c r="T1084" s="2" t="n">
        <f aca="false">Settings!$B$4*MAX(INDEX(Bases!$N$2:$N$53,B1084),INDEX(Bases!$N$2:$N$53,C1084))+Settings!$B$5*MIN(INDEX(Bases!$N$2:$N$53,B1084),INDEX(Bases!$N$2:$N$53,C1084))</f>
        <v>49.6666666666667</v>
      </c>
      <c r="U1084" s="2" t="n">
        <f aca="false">Settings!$B$4*MAX(INDEX(Bases!$O$2:$O$53,B1084),INDEX(Bases!$O$2:$O$53,C1084))+Settings!$B$5*MIN(INDEX(Bases!$O$2:$O$53,B1084),INDEX(Bases!$O$2:$O$53,C1084))</f>
        <v>64.3333333333333</v>
      </c>
      <c r="V1084" s="2" t="n">
        <f aca="false">Settings!$B$4*MAX(INDEX(Bases!$P$2:$P$53,B1084),INDEX(Bases!$P$2:$P$53,C1084))+Settings!$B$5*MIN(INDEX(Bases!$P$2:$P$53,B1084),INDEX(Bases!$P$2:$P$53,C1084))</f>
        <v>103.333333333333</v>
      </c>
      <c r="W1084" s="2" t="n">
        <f aca="false">Settings!$B$4*MAX(INDEX(Bases!$Q$2:$Q$53,B1084),INDEX(Bases!$Q$2:$Q$53,C1084))+Settings!$B$5*MIN(INDEX(Bases!$Q$2:$Q$53,B1084),INDEX(Bases!$Q$2:$Q$53,C1084))</f>
        <v>79.6666666666667</v>
      </c>
      <c r="X1084" s="2" t="n">
        <f aca="false">Settings!$B$4*MAX(INDEX(Bases!$R$2:$R$53,B1084),INDEX(Bases!$R$2:$R$53,C1084))+Settings!$B$5*MIN(INDEX(Bases!$R$2:$R$53,B1084),INDEX(Bases!$R$2:$R$53,C1084))</f>
        <v>90</v>
      </c>
      <c r="Y1084" s="2" t="n">
        <f aca="false">S1084*Settings!$B$3/SUM(S1084:X1084)</f>
        <v>58.8905775075988</v>
      </c>
      <c r="Z1084" s="2" t="n">
        <f aca="false">T1084*Settings!$B$3/SUM(S1084:X1084)</f>
        <v>56.6109422492401</v>
      </c>
      <c r="AA1084" s="2" t="n">
        <f aca="false">U1084*Settings!$B$3/SUM(S1084:X1084)</f>
        <v>73.3282674772037</v>
      </c>
      <c r="AB1084" s="2" t="n">
        <f aca="false">V1084*Settings!$B$3/SUM(S1084:X1084)</f>
        <v>117.781155015198</v>
      </c>
      <c r="AC1084" s="2" t="n">
        <f aca="false">W1084*Settings!$B$3/SUM(S1084:X1084)</f>
        <v>90.8054711246201</v>
      </c>
      <c r="AD1084" s="2" t="n">
        <f aca="false">X1084*Settings!$B$3/SUM(S1084:X1084)</f>
        <v>102.58358662614</v>
      </c>
      <c r="AE1084" s="2" t="n">
        <f aca="false">INT(Y1084)</f>
        <v>58</v>
      </c>
      <c r="AF1084" s="2" t="n">
        <f aca="false">INT(Z1084)</f>
        <v>56</v>
      </c>
      <c r="AG1084" s="2" t="n">
        <f aca="false">INT(AA1084)</f>
        <v>73</v>
      </c>
      <c r="AH1084" s="2" t="n">
        <f aca="false">INT(AB1084)</f>
        <v>117</v>
      </c>
      <c r="AI1084" s="2" t="n">
        <f aca="false">INT(AC1084)</f>
        <v>90</v>
      </c>
      <c r="AJ1084" s="2" t="n">
        <f aca="false">INT(AD1084)</f>
        <v>102</v>
      </c>
      <c r="AK1084" s="2" t="n">
        <f aca="false">Settings!$B$3-SUM(AE1084:AJ1084)</f>
        <v>4</v>
      </c>
      <c r="AL1084" s="2" t="n">
        <f aca="false">ROUND(Y1084-AE1084,9)</f>
        <v>0.890577508</v>
      </c>
      <c r="AM1084" s="2" t="n">
        <f aca="false">ROUND(Z1084-AF1084,9)</f>
        <v>0.610942249</v>
      </c>
      <c r="AN1084" s="2" t="n">
        <f aca="false">ROUND(AA1084-AG1084,9)</f>
        <v>0.328267477</v>
      </c>
      <c r="AO1084" s="2" t="n">
        <f aca="false">ROUND(AB1084-AH1084,9)</f>
        <v>0.781155015</v>
      </c>
      <c r="AP1084" s="2" t="n">
        <f aca="false">ROUND(AC1084-AI1084,9)</f>
        <v>0.805471125</v>
      </c>
      <c r="AQ1084" s="2" t="n">
        <f aca="false">ROUND(AD1084-AJ1084,9)</f>
        <v>0.583586626</v>
      </c>
    </row>
    <row r="1085" customFormat="false" ht="15" hidden="false" customHeight="false" outlineLevel="0" collapsed="false">
      <c r="A1085" s="2" t="n">
        <v>1084</v>
      </c>
      <c r="B1085" s="6" t="n">
        <v>30</v>
      </c>
      <c r="C1085" s="6" t="n">
        <v>41</v>
      </c>
      <c r="D1085" s="8" t="str">
        <f aca="false">INDEX(Bases!$B$2:$B$53,B1085)</f>
        <v>Swablu</v>
      </c>
      <c r="E1085" s="8" t="str">
        <f aca="false">INDEX(Bases!$B$2:$B$53,C1085)</f>
        <v>Misdreavus</v>
      </c>
      <c r="F1085" s="2" t="str">
        <f aca="false">LEFT(D1085,ROUNDUP(LEN(D1085)/2,0))&amp;LOWER(MID(E1085,ROUNDUP(LEN(E1085)/2,0)+1,20))</f>
        <v>Swaeavus</v>
      </c>
      <c r="G1085" s="8" t="str">
        <f aca="false">INDEX(Bases!$C$2:$C$53,B1085)</f>
        <v>Flying</v>
      </c>
      <c r="H1085" s="8" t="str">
        <f aca="false">IF(INDEX(Bases!$C$2:$C$53,C1085)=G1085,"",INDEX(Bases!$C$2:$C$53,C1085))</f>
        <v>Ghost</v>
      </c>
      <c r="I1085" s="8" t="str">
        <f aca="false">IF(INDEX(Bases!$E$2:$E$53,B1085)="","",INDEX(Bases!$E$2:$E$53,B1085))</f>
        <v/>
      </c>
      <c r="J1085" s="8" t="str">
        <f aca="false">IF(INDEX(Bases!$E$2:$E$53,C1085)="","",INDEX(Bases!$E$2:$E$53,C1085))</f>
        <v/>
      </c>
      <c r="K1085" s="5"/>
      <c r="L1085" s="2" t="n">
        <f aca="false">AE1085+IF(SUMPRODUCT(--($AL1085:$AQ1085&gt;AL1085))&lt;$AK1085,1,0)</f>
        <v>69</v>
      </c>
      <c r="M1085" s="2" t="n">
        <f aca="false">AF1085+IF(SUMPRODUCT(--($AL1085:$AQ1085&gt;AM1085))+SUMPRODUCT(--($AL1085:AL1085=AM1085))&lt;$AK1085,1,0)</f>
        <v>65</v>
      </c>
      <c r="N1085" s="2" t="n">
        <f aca="false">AG1085+IF(SUMPRODUCT(--($AL1085:$AQ1085&gt;AN1085))+SUMPRODUCT(--($AL1085:AM1085=AN1085))&lt;$AK1085,1,0)</f>
        <v>84</v>
      </c>
      <c r="O1085" s="2" t="n">
        <f aca="false">AH1085+IF(SUMPRODUCT(--($AL1085:$AQ1085&gt;AO1085))+SUMPRODUCT(--($AL1085:AN1085=AO1085))&lt;$AK1085,1,0)</f>
        <v>84</v>
      </c>
      <c r="P1085" s="2" t="n">
        <f aca="false">AI1085+IF(SUMPRODUCT(--($AL1085:$AQ1085&gt;AP1085))+SUMPRODUCT(--($AL1085:AO1085=AP1085))&lt;$AK1085,1,0)</f>
        <v>109</v>
      </c>
      <c r="Q1085" s="2" t="n">
        <f aca="false">AJ1085+IF(SUMPRODUCT(--($AL1085:$AQ1085&gt;AQ1085))+SUMPRODUCT(--($AL1085:AP1085=AQ1085))&lt;$AK1085,1,0)</f>
        <v>89</v>
      </c>
      <c r="R1085" s="2" t="n">
        <f aca="false">SUM(L1085:Q1085)</f>
        <v>500</v>
      </c>
      <c r="S1085" s="2" t="n">
        <f aca="false">Settings!$B$4*MAX(INDEX(Bases!$M$2:$M$53,B1085),INDEX(Bases!$M$2:$M$53,C1085))+Settings!$B$5*MIN(INDEX(Bases!$M$2:$M$53,B1085),INDEX(Bases!$M$2:$M$53,C1085))</f>
        <v>57.3333333333333</v>
      </c>
      <c r="T1085" s="2" t="n">
        <f aca="false">Settings!$B$4*MAX(INDEX(Bases!$N$2:$N$53,B1085),INDEX(Bases!$N$2:$N$53,C1085))+Settings!$B$5*MIN(INDEX(Bases!$N$2:$N$53,B1085),INDEX(Bases!$N$2:$N$53,C1085))</f>
        <v>54</v>
      </c>
      <c r="U1085" s="2" t="n">
        <f aca="false">Settings!$B$4*MAX(INDEX(Bases!$O$2:$O$53,B1085),INDEX(Bases!$O$2:$O$53,C1085))+Settings!$B$5*MIN(INDEX(Bases!$O$2:$O$53,B1085),INDEX(Bases!$O$2:$O$53,C1085))</f>
        <v>69.6666666666667</v>
      </c>
      <c r="V1085" s="2" t="n">
        <f aca="false">Settings!$B$4*MAX(INDEX(Bases!$P$2:$P$53,B1085),INDEX(Bases!$P$2:$P$53,C1085))+Settings!$B$5*MIN(INDEX(Bases!$P$2:$P$53,B1085),INDEX(Bases!$P$2:$P$53,C1085))</f>
        <v>69.3333333333333</v>
      </c>
      <c r="W1085" s="2" t="n">
        <f aca="false">Settings!$B$4*MAX(INDEX(Bases!$Q$2:$Q$53,B1085),INDEX(Bases!$Q$2:$Q$53,C1085))+Settings!$B$5*MIN(INDEX(Bases!$Q$2:$Q$53,B1085),INDEX(Bases!$Q$2:$Q$53,C1085))</f>
        <v>90.6666666666667</v>
      </c>
      <c r="X1085" s="2" t="n">
        <f aca="false">Settings!$B$4*MAX(INDEX(Bases!$R$2:$R$53,B1085),INDEX(Bases!$R$2:$R$53,C1085))+Settings!$B$5*MIN(INDEX(Bases!$R$2:$R$53,B1085),INDEX(Bases!$R$2:$R$53,C1085))</f>
        <v>73.3333333333333</v>
      </c>
      <c r="Y1085" s="2" t="n">
        <f aca="false">S1085*Settings!$B$3/SUM(S1085:X1085)</f>
        <v>69.1874497184232</v>
      </c>
      <c r="Z1085" s="2" t="n">
        <f aca="false">T1085*Settings!$B$3/SUM(S1085:X1085)</f>
        <v>65.1649235720032</v>
      </c>
      <c r="AA1085" s="2" t="n">
        <f aca="false">U1085*Settings!$B$3/SUM(S1085:X1085)</f>
        <v>84.070796460177</v>
      </c>
      <c r="AB1085" s="2" t="n">
        <f aca="false">V1085*Settings!$B$3/SUM(S1085:X1085)</f>
        <v>83.668543845535</v>
      </c>
      <c r="AC1085" s="2" t="n">
        <f aca="false">W1085*Settings!$B$3/SUM(S1085:X1085)</f>
        <v>109.412711182623</v>
      </c>
      <c r="AD1085" s="2" t="n">
        <f aca="false">X1085*Settings!$B$3/SUM(S1085:X1085)</f>
        <v>88.4955752212389</v>
      </c>
      <c r="AE1085" s="2" t="n">
        <f aca="false">INT(Y1085)</f>
        <v>69</v>
      </c>
      <c r="AF1085" s="2" t="n">
        <f aca="false">INT(Z1085)</f>
        <v>65</v>
      </c>
      <c r="AG1085" s="2" t="n">
        <f aca="false">INT(AA1085)</f>
        <v>84</v>
      </c>
      <c r="AH1085" s="2" t="n">
        <f aca="false">INT(AB1085)</f>
        <v>83</v>
      </c>
      <c r="AI1085" s="2" t="n">
        <f aca="false">INT(AC1085)</f>
        <v>109</v>
      </c>
      <c r="AJ1085" s="2" t="n">
        <f aca="false">INT(AD1085)</f>
        <v>88</v>
      </c>
      <c r="AK1085" s="2" t="n">
        <f aca="false">Settings!$B$3-SUM(AE1085:AJ1085)</f>
        <v>2</v>
      </c>
      <c r="AL1085" s="2" t="n">
        <f aca="false">ROUND(Y1085-AE1085,9)</f>
        <v>0.187449718</v>
      </c>
      <c r="AM1085" s="2" t="n">
        <f aca="false">ROUND(Z1085-AF1085,9)</f>
        <v>0.164923572</v>
      </c>
      <c r="AN1085" s="2" t="n">
        <f aca="false">ROUND(AA1085-AG1085,9)</f>
        <v>0.07079646</v>
      </c>
      <c r="AO1085" s="2" t="n">
        <f aca="false">ROUND(AB1085-AH1085,9)</f>
        <v>0.668543846</v>
      </c>
      <c r="AP1085" s="2" t="n">
        <f aca="false">ROUND(AC1085-AI1085,9)</f>
        <v>0.412711183</v>
      </c>
      <c r="AQ1085" s="2" t="n">
        <f aca="false">ROUND(AD1085-AJ1085,9)</f>
        <v>0.495575221</v>
      </c>
    </row>
    <row r="1086" customFormat="false" ht="15" hidden="false" customHeight="false" outlineLevel="0" collapsed="false">
      <c r="A1086" s="2" t="n">
        <v>1085</v>
      </c>
      <c r="B1086" s="6" t="n">
        <v>30</v>
      </c>
      <c r="C1086" s="6" t="n">
        <v>42</v>
      </c>
      <c r="D1086" s="8" t="str">
        <f aca="false">INDEX(Bases!$B$2:$B$53,B1086)</f>
        <v>Swablu</v>
      </c>
      <c r="E1086" s="8" t="str">
        <f aca="false">INDEX(Bases!$B$2:$B$53,C1086)</f>
        <v>Sableye</v>
      </c>
      <c r="F1086" s="2" t="str">
        <f aca="false">LEFT(D1086,ROUNDUP(LEN(D1086)/2,0))&amp;LOWER(MID(E1086,ROUNDUP(LEN(E1086)/2,0)+1,20))</f>
        <v>Swaeye</v>
      </c>
      <c r="G1086" s="8" t="str">
        <f aca="false">INDEX(Bases!$C$2:$C$53,B1086)</f>
        <v>Flying</v>
      </c>
      <c r="H1086" s="8" t="str">
        <f aca="false">IF(INDEX(Bases!$C$2:$C$53,C1086)=G1086,"",INDEX(Bases!$C$2:$C$53,C1086))</f>
        <v>Ghost</v>
      </c>
      <c r="I1086" s="8" t="str">
        <f aca="false">IF(INDEX(Bases!$E$2:$E$53,B1086)="","",INDEX(Bases!$E$2:$E$53,B1086))</f>
        <v/>
      </c>
      <c r="J1086" s="8" t="str">
        <f aca="false">IF(INDEX(Bases!$E$2:$E$53,C1086)="","",INDEX(Bases!$E$2:$E$53,C1086))</f>
        <v/>
      </c>
      <c r="K1086" s="5"/>
      <c r="L1086" s="2" t="n">
        <f aca="false">AE1086+IF(SUMPRODUCT(--($AL1086:$AQ1086&gt;AL1086))&lt;$AK1086,1,0)</f>
        <v>68</v>
      </c>
      <c r="M1086" s="2" t="n">
        <f aca="false">AF1086+IF(SUMPRODUCT(--($AL1086:$AQ1086&gt;AM1086))+SUMPRODUCT(--($AL1086:AL1086=AM1086))&lt;$AK1086,1,0)</f>
        <v>84</v>
      </c>
      <c r="N1086" s="2" t="n">
        <f aca="false">AG1086+IF(SUMPRODUCT(--($AL1086:$AQ1086&gt;AN1086))+SUMPRODUCT(--($AL1086:AM1086=AN1086))&lt;$AK1086,1,0)</f>
        <v>94</v>
      </c>
      <c r="O1086" s="2" t="n">
        <f aca="false">AH1086+IF(SUMPRODUCT(--($AL1086:$AQ1086&gt;AO1086))+SUMPRODUCT(--($AL1086:AN1086=AO1086))&lt;$AK1086,1,0)</f>
        <v>76</v>
      </c>
      <c r="P1086" s="2" t="n">
        <f aca="false">AI1086+IF(SUMPRODUCT(--($AL1086:$AQ1086&gt;AP1086))+SUMPRODUCT(--($AL1086:AO1086=AP1086))&lt;$AK1086,1,0)</f>
        <v>105</v>
      </c>
      <c r="Q1086" s="2" t="n">
        <f aca="false">AJ1086+IF(SUMPRODUCT(--($AL1086:$AQ1086&gt;AQ1086))+SUMPRODUCT(--($AL1086:AP1086=AQ1086))&lt;$AK1086,1,0)</f>
        <v>73</v>
      </c>
      <c r="R1086" s="2" t="n">
        <f aca="false">SUM(L1086:Q1086)</f>
        <v>500</v>
      </c>
      <c r="S1086" s="2" t="n">
        <f aca="false">Settings!$B$4*MAX(INDEX(Bases!$M$2:$M$53,B1086),INDEX(Bases!$M$2:$M$53,C1086))+Settings!$B$5*MIN(INDEX(Bases!$M$2:$M$53,B1086),INDEX(Bases!$M$2:$M$53,C1086))</f>
        <v>56.3333333333333</v>
      </c>
      <c r="T1086" s="2" t="n">
        <f aca="false">Settings!$B$4*MAX(INDEX(Bases!$N$2:$N$53,B1086),INDEX(Bases!$N$2:$N$53,C1086))+Settings!$B$5*MIN(INDEX(Bases!$N$2:$N$53,B1086),INDEX(Bases!$N$2:$N$53,C1086))</f>
        <v>70</v>
      </c>
      <c r="U1086" s="2" t="n">
        <f aca="false">Settings!$B$4*MAX(INDEX(Bases!$O$2:$O$53,B1086),INDEX(Bases!$O$2:$O$53,C1086))+Settings!$B$5*MIN(INDEX(Bases!$O$2:$O$53,B1086),INDEX(Bases!$O$2:$O$53,C1086))</f>
        <v>78.3333333333333</v>
      </c>
      <c r="V1086" s="2" t="n">
        <f aca="false">Settings!$B$4*MAX(INDEX(Bases!$P$2:$P$53,B1086),INDEX(Bases!$P$2:$P$53,C1086))+Settings!$B$5*MIN(INDEX(Bases!$P$2:$P$53,B1086),INDEX(Bases!$P$2:$P$53,C1086))</f>
        <v>62.6666666666667</v>
      </c>
      <c r="W1086" s="2" t="n">
        <f aca="false">Settings!$B$4*MAX(INDEX(Bases!$Q$2:$Q$53,B1086),INDEX(Bases!$Q$2:$Q$53,C1086))+Settings!$B$5*MIN(INDEX(Bases!$Q$2:$Q$53,B1086),INDEX(Bases!$Q$2:$Q$53,C1086))</f>
        <v>87.3333333333333</v>
      </c>
      <c r="X1086" s="2" t="n">
        <f aca="false">Settings!$B$4*MAX(INDEX(Bases!$R$2:$R$53,B1086),INDEX(Bases!$R$2:$R$53,C1086))+Settings!$B$5*MIN(INDEX(Bases!$R$2:$R$53,B1086),INDEX(Bases!$R$2:$R$53,C1086))</f>
        <v>60.3333333333333</v>
      </c>
      <c r="Y1086" s="2" t="n">
        <f aca="false">S1086*Settings!$B$3/SUM(S1086:X1086)</f>
        <v>67.8714859437751</v>
      </c>
      <c r="Z1086" s="2" t="n">
        <f aca="false">T1086*Settings!$B$3/SUM(S1086:X1086)</f>
        <v>84.3373493975904</v>
      </c>
      <c r="AA1086" s="2" t="n">
        <f aca="false">U1086*Settings!$B$3/SUM(S1086:X1086)</f>
        <v>94.3775100401606</v>
      </c>
      <c r="AB1086" s="2" t="n">
        <f aca="false">V1086*Settings!$B$3/SUM(S1086:X1086)</f>
        <v>75.5020080321285</v>
      </c>
      <c r="AC1086" s="2" t="n">
        <f aca="false">W1086*Settings!$B$3/SUM(S1086:X1086)</f>
        <v>105.220883534137</v>
      </c>
      <c r="AD1086" s="2" t="n">
        <f aca="false">X1086*Settings!$B$3/SUM(S1086:X1086)</f>
        <v>72.6907630522088</v>
      </c>
      <c r="AE1086" s="2" t="n">
        <f aca="false">INT(Y1086)</f>
        <v>67</v>
      </c>
      <c r="AF1086" s="2" t="n">
        <f aca="false">INT(Z1086)</f>
        <v>84</v>
      </c>
      <c r="AG1086" s="2" t="n">
        <f aca="false">INT(AA1086)</f>
        <v>94</v>
      </c>
      <c r="AH1086" s="2" t="n">
        <f aca="false">INT(AB1086)</f>
        <v>75</v>
      </c>
      <c r="AI1086" s="2" t="n">
        <f aca="false">INT(AC1086)</f>
        <v>105</v>
      </c>
      <c r="AJ1086" s="2" t="n">
        <f aca="false">INT(AD1086)</f>
        <v>72</v>
      </c>
      <c r="AK1086" s="2" t="n">
        <f aca="false">Settings!$B$3-SUM(AE1086:AJ1086)</f>
        <v>3</v>
      </c>
      <c r="AL1086" s="2" t="n">
        <f aca="false">ROUND(Y1086-AE1086,9)</f>
        <v>0.871485944</v>
      </c>
      <c r="AM1086" s="2" t="n">
        <f aca="false">ROUND(Z1086-AF1086,9)</f>
        <v>0.337349398</v>
      </c>
      <c r="AN1086" s="2" t="n">
        <f aca="false">ROUND(AA1086-AG1086,9)</f>
        <v>0.37751004</v>
      </c>
      <c r="AO1086" s="2" t="n">
        <f aca="false">ROUND(AB1086-AH1086,9)</f>
        <v>0.502008032</v>
      </c>
      <c r="AP1086" s="2" t="n">
        <f aca="false">ROUND(AC1086-AI1086,9)</f>
        <v>0.220883534</v>
      </c>
      <c r="AQ1086" s="2" t="n">
        <f aca="false">ROUND(AD1086-AJ1086,9)</f>
        <v>0.690763052</v>
      </c>
    </row>
    <row r="1087" customFormat="false" ht="15" hidden="false" customHeight="false" outlineLevel="0" collapsed="false">
      <c r="A1087" s="2" t="n">
        <v>1086</v>
      </c>
      <c r="B1087" s="6" t="n">
        <v>30</v>
      </c>
      <c r="C1087" s="6" t="n">
        <v>43</v>
      </c>
      <c r="D1087" s="8" t="str">
        <f aca="false">INDEX(Bases!$B$2:$B$53,B1087)</f>
        <v>Swablu</v>
      </c>
      <c r="E1087" s="8" t="str">
        <f aca="false">INDEX(Bases!$B$2:$B$53,C1087)</f>
        <v>Dratini</v>
      </c>
      <c r="F1087" s="2" t="str">
        <f aca="false">LEFT(D1087,ROUNDUP(LEN(D1087)/2,0))&amp;LOWER(MID(E1087,ROUNDUP(LEN(E1087)/2,0)+1,20))</f>
        <v>Swaini</v>
      </c>
      <c r="G1087" s="8" t="str">
        <f aca="false">INDEX(Bases!$C$2:$C$53,B1087)</f>
        <v>Flying</v>
      </c>
      <c r="H1087" s="8" t="str">
        <f aca="false">IF(INDEX(Bases!$C$2:$C$53,C1087)=G1087,"",INDEX(Bases!$C$2:$C$53,C1087))</f>
        <v>Dragon</v>
      </c>
      <c r="I1087" s="8" t="str">
        <f aca="false">IF(INDEX(Bases!$E$2:$E$53,B1087)="","",INDEX(Bases!$E$2:$E$53,B1087))</f>
        <v/>
      </c>
      <c r="J1087" s="8" t="str">
        <f aca="false">IF(INDEX(Bases!$E$2:$E$53,C1087)="","",INDEX(Bases!$E$2:$E$53,C1087))</f>
        <v/>
      </c>
      <c r="K1087" s="5"/>
      <c r="L1087" s="2" t="n">
        <f aca="false">AE1087+IF(SUMPRODUCT(--($AL1087:$AQ1087&gt;AL1087))&lt;$AK1087,1,0)</f>
        <v>69</v>
      </c>
      <c r="M1087" s="2" t="n">
        <f aca="false">AF1087+IF(SUMPRODUCT(--($AL1087:$AQ1087&gt;AM1087))+SUMPRODUCT(--($AL1087:AL1087=AM1087))&lt;$AK1087,1,0)</f>
        <v>89</v>
      </c>
      <c r="N1087" s="2" t="n">
        <f aca="false">AG1087+IF(SUMPRODUCT(--($AL1087:$AQ1087&gt;AN1087))+SUMPRODUCT(--($AL1087:AM1087=AN1087))&lt;$AK1087,1,0)</f>
        <v>86</v>
      </c>
      <c r="O1087" s="2" t="n">
        <f aca="false">AH1087+IF(SUMPRODUCT(--($AL1087:$AQ1087&gt;AO1087))+SUMPRODUCT(--($AL1087:AN1087=AO1087))&lt;$AK1087,1,0)</f>
        <v>74</v>
      </c>
      <c r="P1087" s="2" t="n">
        <f aca="false">AI1087+IF(SUMPRODUCT(--($AL1087:$AQ1087&gt;AP1087))+SUMPRODUCT(--($AL1087:AO1087=AP1087))&lt;$AK1087,1,0)</f>
        <v>104</v>
      </c>
      <c r="Q1087" s="2" t="n">
        <f aca="false">AJ1087+IF(SUMPRODUCT(--($AL1087:$AQ1087&gt;AQ1087))+SUMPRODUCT(--($AL1087:AP1087=AQ1087))&lt;$AK1087,1,0)</f>
        <v>78</v>
      </c>
      <c r="R1087" s="2" t="n">
        <f aca="false">SUM(L1087:Q1087)</f>
        <v>500</v>
      </c>
      <c r="S1087" s="2" t="n">
        <f aca="false">Settings!$B$4*MAX(INDEX(Bases!$M$2:$M$53,B1087),INDEX(Bases!$M$2:$M$53,C1087))+Settings!$B$5*MIN(INDEX(Bases!$M$2:$M$53,B1087),INDEX(Bases!$M$2:$M$53,C1087))</f>
        <v>57</v>
      </c>
      <c r="T1087" s="2" t="n">
        <f aca="false">Settings!$B$4*MAX(INDEX(Bases!$N$2:$N$53,B1087),INDEX(Bases!$N$2:$N$53,C1087))+Settings!$B$5*MIN(INDEX(Bases!$N$2:$N$53,B1087),INDEX(Bases!$N$2:$N$53,C1087))</f>
        <v>74</v>
      </c>
      <c r="U1087" s="2" t="n">
        <f aca="false">Settings!$B$4*MAX(INDEX(Bases!$O$2:$O$53,B1087),INDEX(Bases!$O$2:$O$53,C1087))+Settings!$B$5*MIN(INDEX(Bases!$O$2:$O$53,B1087),INDEX(Bases!$O$2:$O$53,C1087))</f>
        <v>71.3333333333333</v>
      </c>
      <c r="V1087" s="2" t="n">
        <f aca="false">Settings!$B$4*MAX(INDEX(Bases!$P$2:$P$53,B1087),INDEX(Bases!$P$2:$P$53,C1087))+Settings!$B$5*MIN(INDEX(Bases!$P$2:$P$53,B1087),INDEX(Bases!$P$2:$P$53,C1087))</f>
        <v>62</v>
      </c>
      <c r="W1087" s="2" t="n">
        <f aca="false">Settings!$B$4*MAX(INDEX(Bases!$Q$2:$Q$53,B1087),INDEX(Bases!$Q$2:$Q$53,C1087))+Settings!$B$5*MIN(INDEX(Bases!$Q$2:$Q$53,B1087),INDEX(Bases!$Q$2:$Q$53,C1087))</f>
        <v>87</v>
      </c>
      <c r="X1087" s="2" t="n">
        <f aca="false">Settings!$B$4*MAX(INDEX(Bases!$R$2:$R$53,B1087),INDEX(Bases!$R$2:$R$53,C1087))+Settings!$B$5*MIN(INDEX(Bases!$R$2:$R$53,B1087),INDEX(Bases!$R$2:$R$53,C1087))</f>
        <v>65.3333333333333</v>
      </c>
      <c r="Y1087" s="2" t="n">
        <f aca="false">S1087*Settings!$B$3/SUM(S1087:X1087)</f>
        <v>68.4</v>
      </c>
      <c r="Z1087" s="2" t="n">
        <f aca="false">T1087*Settings!$B$3/SUM(S1087:X1087)</f>
        <v>88.8</v>
      </c>
      <c r="AA1087" s="2" t="n">
        <f aca="false">U1087*Settings!$B$3/SUM(S1087:X1087)</f>
        <v>85.6</v>
      </c>
      <c r="AB1087" s="2" t="n">
        <f aca="false">V1087*Settings!$B$3/SUM(S1087:X1087)</f>
        <v>74.4</v>
      </c>
      <c r="AC1087" s="2" t="n">
        <f aca="false">W1087*Settings!$B$3/SUM(S1087:X1087)</f>
        <v>104.4</v>
      </c>
      <c r="AD1087" s="2" t="n">
        <f aca="false">X1087*Settings!$B$3/SUM(S1087:X1087)</f>
        <v>78.4</v>
      </c>
      <c r="AE1087" s="2" t="n">
        <f aca="false">INT(Y1087)</f>
        <v>68</v>
      </c>
      <c r="AF1087" s="2" t="n">
        <f aca="false">INT(Z1087)</f>
        <v>88</v>
      </c>
      <c r="AG1087" s="2" t="n">
        <f aca="false">INT(AA1087)</f>
        <v>85</v>
      </c>
      <c r="AH1087" s="2" t="n">
        <f aca="false">INT(AB1087)</f>
        <v>74</v>
      </c>
      <c r="AI1087" s="2" t="n">
        <f aca="false">INT(AC1087)</f>
        <v>104</v>
      </c>
      <c r="AJ1087" s="2" t="n">
        <f aca="false">INT(AD1087)</f>
        <v>78</v>
      </c>
      <c r="AK1087" s="2" t="n">
        <f aca="false">Settings!$B$3-SUM(AE1087:AJ1087)</f>
        <v>3</v>
      </c>
      <c r="AL1087" s="2" t="n">
        <f aca="false">ROUND(Y1087-AE1087,9)</f>
        <v>0.4</v>
      </c>
      <c r="AM1087" s="2" t="n">
        <f aca="false">ROUND(Z1087-AF1087,9)</f>
        <v>0.8</v>
      </c>
      <c r="AN1087" s="2" t="n">
        <f aca="false">ROUND(AA1087-AG1087,9)</f>
        <v>0.6</v>
      </c>
      <c r="AO1087" s="2" t="n">
        <f aca="false">ROUND(AB1087-AH1087,9)</f>
        <v>0.4</v>
      </c>
      <c r="AP1087" s="2" t="n">
        <f aca="false">ROUND(AC1087-AI1087,9)</f>
        <v>0.4</v>
      </c>
      <c r="AQ1087" s="2" t="n">
        <f aca="false">ROUND(AD1087-AJ1087,9)</f>
        <v>0.4</v>
      </c>
    </row>
    <row r="1088" customFormat="false" ht="15" hidden="false" customHeight="false" outlineLevel="0" collapsed="false">
      <c r="A1088" s="2" t="n">
        <v>1087</v>
      </c>
      <c r="B1088" s="6" t="n">
        <v>30</v>
      </c>
      <c r="C1088" s="6" t="n">
        <v>44</v>
      </c>
      <c r="D1088" s="8" t="str">
        <f aca="false">INDEX(Bases!$B$2:$B$53,B1088)</f>
        <v>Swablu</v>
      </c>
      <c r="E1088" s="8" t="str">
        <f aca="false">INDEX(Bases!$B$2:$B$53,C1088)</f>
        <v>Bagon</v>
      </c>
      <c r="F1088" s="2" t="str">
        <f aca="false">LEFT(D1088,ROUNDUP(LEN(D1088)/2,0))&amp;LOWER(MID(E1088,ROUNDUP(LEN(E1088)/2,0)+1,20))</f>
        <v>Swaon</v>
      </c>
      <c r="G1088" s="8" t="str">
        <f aca="false">INDEX(Bases!$C$2:$C$53,B1088)</f>
        <v>Flying</v>
      </c>
      <c r="H1088" s="8" t="str">
        <f aca="false">IF(INDEX(Bases!$C$2:$C$53,C1088)=G1088,"",INDEX(Bases!$C$2:$C$53,C1088))</f>
        <v>Dragon</v>
      </c>
      <c r="I1088" s="8" t="str">
        <f aca="false">IF(INDEX(Bases!$E$2:$E$53,B1088)="","",INDEX(Bases!$E$2:$E$53,B1088))</f>
        <v/>
      </c>
      <c r="J1088" s="8" t="str">
        <f aca="false">IF(INDEX(Bases!$E$2:$E$53,C1088)="","",INDEX(Bases!$E$2:$E$53,C1088))</f>
        <v/>
      </c>
      <c r="K1088" s="5"/>
      <c r="L1088" s="2" t="n">
        <f aca="false">AE1088+IF(SUMPRODUCT(--($AL1088:$AQ1088&gt;AL1088))&lt;$AK1088,1,0)</f>
        <v>71</v>
      </c>
      <c r="M1088" s="2" t="n">
        <f aca="false">AF1088+IF(SUMPRODUCT(--($AL1088:$AQ1088&gt;AM1088))+SUMPRODUCT(--($AL1088:AL1088=AM1088))&lt;$AK1088,1,0)</f>
        <v>100</v>
      </c>
      <c r="N1088" s="2" t="n">
        <f aca="false">AG1088+IF(SUMPRODUCT(--($AL1088:$AQ1088&gt;AN1088))+SUMPRODUCT(--($AL1088:AM1088=AN1088))&lt;$AK1088,1,0)</f>
        <v>94</v>
      </c>
      <c r="O1088" s="2" t="n">
        <f aca="false">AH1088+IF(SUMPRODUCT(--($AL1088:$AQ1088&gt;AO1088))+SUMPRODUCT(--($AL1088:AN1088=AO1088))&lt;$AK1088,1,0)</f>
        <v>63</v>
      </c>
      <c r="P1088" s="2" t="n">
        <f aca="false">AI1088+IF(SUMPRODUCT(--($AL1088:$AQ1088&gt;AP1088))+SUMPRODUCT(--($AL1088:AO1088=AP1088))&lt;$AK1088,1,0)</f>
        <v>93</v>
      </c>
      <c r="Q1088" s="2" t="n">
        <f aca="false">AJ1088+IF(SUMPRODUCT(--($AL1088:$AQ1088&gt;AQ1088))+SUMPRODUCT(--($AL1088:AP1088=AQ1088))&lt;$AK1088,1,0)</f>
        <v>79</v>
      </c>
      <c r="R1088" s="2" t="n">
        <f aca="false">SUM(L1088:Q1088)</f>
        <v>500</v>
      </c>
      <c r="S1088" s="2" t="n">
        <f aca="false">Settings!$B$4*MAX(INDEX(Bases!$M$2:$M$53,B1088),INDEX(Bases!$M$2:$M$53,C1088))+Settings!$B$5*MIN(INDEX(Bases!$M$2:$M$53,B1088),INDEX(Bases!$M$2:$M$53,C1088))</f>
        <v>59.3333333333333</v>
      </c>
      <c r="T1088" s="2" t="n">
        <f aca="false">Settings!$B$4*MAX(INDEX(Bases!$N$2:$N$53,B1088),INDEX(Bases!$N$2:$N$53,C1088))+Settings!$B$5*MIN(INDEX(Bases!$N$2:$N$53,B1088),INDEX(Bases!$N$2:$N$53,C1088))</f>
        <v>84</v>
      </c>
      <c r="U1088" s="2" t="n">
        <f aca="false">Settings!$B$4*MAX(INDEX(Bases!$O$2:$O$53,B1088),INDEX(Bases!$O$2:$O$53,C1088))+Settings!$B$5*MIN(INDEX(Bases!$O$2:$O$53,B1088),INDEX(Bases!$O$2:$O$53,C1088))</f>
        <v>79</v>
      </c>
      <c r="V1088" s="2" t="n">
        <f aca="false">Settings!$B$4*MAX(INDEX(Bases!$P$2:$P$53,B1088),INDEX(Bases!$P$2:$P$53,C1088))+Settings!$B$5*MIN(INDEX(Bases!$P$2:$P$53,B1088),INDEX(Bases!$P$2:$P$53,C1088))</f>
        <v>52.6666666666667</v>
      </c>
      <c r="W1088" s="2" t="n">
        <f aca="false">Settings!$B$4*MAX(INDEX(Bases!$Q$2:$Q$53,B1088),INDEX(Bases!$Q$2:$Q$53,C1088))+Settings!$B$5*MIN(INDEX(Bases!$Q$2:$Q$53,B1088),INDEX(Bases!$Q$2:$Q$53,C1088))</f>
        <v>78</v>
      </c>
      <c r="X1088" s="2" t="n">
        <f aca="false">Settings!$B$4*MAX(INDEX(Bases!$R$2:$R$53,B1088),INDEX(Bases!$R$2:$R$53,C1088))+Settings!$B$5*MIN(INDEX(Bases!$R$2:$R$53,B1088),INDEX(Bases!$R$2:$R$53,C1088))</f>
        <v>66</v>
      </c>
      <c r="Y1088" s="2" t="n">
        <f aca="false">S1088*Settings!$B$3/SUM(S1088:X1088)</f>
        <v>70.8035003977725</v>
      </c>
      <c r="Z1088" s="2" t="n">
        <f aca="false">T1088*Settings!$B$3/SUM(S1088:X1088)</f>
        <v>100.238663484487</v>
      </c>
      <c r="AA1088" s="2" t="n">
        <f aca="false">U1088*Settings!$B$3/SUM(S1088:X1088)</f>
        <v>94.272076372315</v>
      </c>
      <c r="AB1088" s="2" t="n">
        <f aca="false">V1088*Settings!$B$3/SUM(S1088:X1088)</f>
        <v>62.8480509148767</v>
      </c>
      <c r="AC1088" s="2" t="n">
        <f aca="false">W1088*Settings!$B$3/SUM(S1088:X1088)</f>
        <v>93.0787589498807</v>
      </c>
      <c r="AD1088" s="2" t="n">
        <f aca="false">X1088*Settings!$B$3/SUM(S1088:X1088)</f>
        <v>78.7589498806683</v>
      </c>
      <c r="AE1088" s="2" t="n">
        <f aca="false">INT(Y1088)</f>
        <v>70</v>
      </c>
      <c r="AF1088" s="2" t="n">
        <f aca="false">INT(Z1088)</f>
        <v>100</v>
      </c>
      <c r="AG1088" s="2" t="n">
        <f aca="false">INT(AA1088)</f>
        <v>94</v>
      </c>
      <c r="AH1088" s="2" t="n">
        <f aca="false">INT(AB1088)</f>
        <v>62</v>
      </c>
      <c r="AI1088" s="2" t="n">
        <f aca="false">INT(AC1088)</f>
        <v>93</v>
      </c>
      <c r="AJ1088" s="2" t="n">
        <f aca="false">INT(AD1088)</f>
        <v>78</v>
      </c>
      <c r="AK1088" s="2" t="n">
        <f aca="false">Settings!$B$3-SUM(AE1088:AJ1088)</f>
        <v>3</v>
      </c>
      <c r="AL1088" s="2" t="n">
        <f aca="false">ROUND(Y1088-AE1088,9)</f>
        <v>0.803500398</v>
      </c>
      <c r="AM1088" s="2" t="n">
        <f aca="false">ROUND(Z1088-AF1088,9)</f>
        <v>0.238663484</v>
      </c>
      <c r="AN1088" s="2" t="n">
        <f aca="false">ROUND(AA1088-AG1088,9)</f>
        <v>0.272076372</v>
      </c>
      <c r="AO1088" s="2" t="n">
        <f aca="false">ROUND(AB1088-AH1088,9)</f>
        <v>0.848050915</v>
      </c>
      <c r="AP1088" s="2" t="n">
        <f aca="false">ROUND(AC1088-AI1088,9)</f>
        <v>0.07875895</v>
      </c>
      <c r="AQ1088" s="2" t="n">
        <f aca="false">ROUND(AD1088-AJ1088,9)</f>
        <v>0.758949881</v>
      </c>
    </row>
    <row r="1089" customFormat="false" ht="15" hidden="false" customHeight="false" outlineLevel="0" collapsed="false">
      <c r="A1089" s="2" t="n">
        <v>1088</v>
      </c>
      <c r="B1089" s="6" t="n">
        <v>30</v>
      </c>
      <c r="C1089" s="6" t="n">
        <v>45</v>
      </c>
      <c r="D1089" s="8" t="str">
        <f aca="false">INDEX(Bases!$B$2:$B$53,B1089)</f>
        <v>Swablu</v>
      </c>
      <c r="E1089" s="8" t="str">
        <f aca="false">INDEX(Bases!$B$2:$B$53,C1089)</f>
        <v>Sneasel</v>
      </c>
      <c r="F1089" s="2" t="str">
        <f aca="false">LEFT(D1089,ROUNDUP(LEN(D1089)/2,0))&amp;LOWER(MID(E1089,ROUNDUP(LEN(E1089)/2,0)+1,20))</f>
        <v>Swasel</v>
      </c>
      <c r="G1089" s="8" t="str">
        <f aca="false">INDEX(Bases!$C$2:$C$53,B1089)</f>
        <v>Flying</v>
      </c>
      <c r="H1089" s="8" t="str">
        <f aca="false">IF(INDEX(Bases!$C$2:$C$53,C1089)=G1089,"",INDEX(Bases!$C$2:$C$53,C1089))</f>
        <v>Dark</v>
      </c>
      <c r="I1089" s="8" t="str">
        <f aca="false">IF(INDEX(Bases!$E$2:$E$53,B1089)="","",INDEX(Bases!$E$2:$E$53,B1089))</f>
        <v/>
      </c>
      <c r="J1089" s="8" t="str">
        <f aca="false">IF(INDEX(Bases!$E$2:$E$53,C1089)="","",INDEX(Bases!$E$2:$E$53,C1089))</f>
        <v/>
      </c>
      <c r="K1089" s="5"/>
      <c r="L1089" s="2" t="n">
        <f aca="false">AE1089+IF(SUMPRODUCT(--($AL1089:$AQ1089&gt;AL1089))&lt;$AK1089,1,0)</f>
        <v>65</v>
      </c>
      <c r="M1089" s="2" t="n">
        <f aca="false">AF1089+IF(SUMPRODUCT(--($AL1089:$AQ1089&gt;AM1089))+SUMPRODUCT(--($AL1089:AL1089=AM1089))&lt;$AK1089,1,0)</f>
        <v>89</v>
      </c>
      <c r="N1089" s="2" t="n">
        <f aca="false">AG1089+IF(SUMPRODUCT(--($AL1089:$AQ1089&gt;AN1089))+SUMPRODUCT(--($AL1089:AM1089=AN1089))&lt;$AK1089,1,0)</f>
        <v>80</v>
      </c>
      <c r="O1089" s="2" t="n">
        <f aca="false">AH1089+IF(SUMPRODUCT(--($AL1089:$AQ1089&gt;AO1089))+SUMPRODUCT(--($AL1089:AN1089=AO1089))&lt;$AK1089,1,0)</f>
        <v>54</v>
      </c>
      <c r="P1089" s="2" t="n">
        <f aca="false">AI1089+IF(SUMPRODUCT(--($AL1089:$AQ1089&gt;AP1089))+SUMPRODUCT(--($AL1089:AO1089=AP1089))&lt;$AK1089,1,0)</f>
        <v>103</v>
      </c>
      <c r="Q1089" s="2" t="n">
        <f aca="false">AJ1089+IF(SUMPRODUCT(--($AL1089:$AQ1089&gt;AQ1089))+SUMPRODUCT(--($AL1089:AP1089=AQ1089))&lt;$AK1089,1,0)</f>
        <v>109</v>
      </c>
      <c r="R1089" s="2" t="n">
        <f aca="false">SUM(L1089:Q1089)</f>
        <v>500</v>
      </c>
      <c r="S1089" s="2" t="n">
        <f aca="false">Settings!$B$4*MAX(INDEX(Bases!$M$2:$M$53,B1089),INDEX(Bases!$M$2:$M$53,C1089))+Settings!$B$5*MIN(INDEX(Bases!$M$2:$M$53,B1089),INDEX(Bases!$M$2:$M$53,C1089))</f>
        <v>55.6666666666667</v>
      </c>
      <c r="T1089" s="2" t="n">
        <f aca="false">Settings!$B$4*MAX(INDEX(Bases!$N$2:$N$53,B1089),INDEX(Bases!$N$2:$N$53,C1089))+Settings!$B$5*MIN(INDEX(Bases!$N$2:$N$53,B1089),INDEX(Bases!$N$2:$N$53,C1089))</f>
        <v>76</v>
      </c>
      <c r="U1089" s="2" t="n">
        <f aca="false">Settings!$B$4*MAX(INDEX(Bases!$O$2:$O$53,B1089),INDEX(Bases!$O$2:$O$53,C1089))+Settings!$B$5*MIN(INDEX(Bases!$O$2:$O$53,B1089),INDEX(Bases!$O$2:$O$53,C1089))</f>
        <v>68.3333333333333</v>
      </c>
      <c r="V1089" s="2" t="n">
        <f aca="false">Settings!$B$4*MAX(INDEX(Bases!$P$2:$P$53,B1089),INDEX(Bases!$P$2:$P$53,C1089))+Settings!$B$5*MIN(INDEX(Bases!$P$2:$P$53,B1089),INDEX(Bases!$P$2:$P$53,C1089))</f>
        <v>45.6666666666667</v>
      </c>
      <c r="W1089" s="2" t="n">
        <f aca="false">Settings!$B$4*MAX(INDEX(Bases!$Q$2:$Q$53,B1089),INDEX(Bases!$Q$2:$Q$53,C1089))+Settings!$B$5*MIN(INDEX(Bases!$Q$2:$Q$53,B1089),INDEX(Bases!$Q$2:$Q$53,C1089))</f>
        <v>88</v>
      </c>
      <c r="X1089" s="2" t="n">
        <f aca="false">Settings!$B$4*MAX(INDEX(Bases!$R$2:$R$53,B1089),INDEX(Bases!$R$2:$R$53,C1089))+Settings!$B$5*MIN(INDEX(Bases!$R$2:$R$53,B1089),INDEX(Bases!$R$2:$R$53,C1089))</f>
        <v>92.6666666666667</v>
      </c>
      <c r="Y1089" s="2" t="n">
        <f aca="false">S1089*Settings!$B$3/SUM(S1089:X1089)</f>
        <v>65.285379202502</v>
      </c>
      <c r="Z1089" s="2" t="n">
        <f aca="false">T1089*Settings!$B$3/SUM(S1089:X1089)</f>
        <v>89.1321344800626</v>
      </c>
      <c r="AA1089" s="2" t="n">
        <f aca="false">U1089*Settings!$B$3/SUM(S1089:X1089)</f>
        <v>80.140734949179</v>
      </c>
      <c r="AB1089" s="2" t="n">
        <f aca="false">V1089*Settings!$B$3/SUM(S1089:X1089)</f>
        <v>53.5574667709148</v>
      </c>
      <c r="AC1089" s="2" t="n">
        <f aca="false">W1089*Settings!$B$3/SUM(S1089:X1089)</f>
        <v>103.205629397967</v>
      </c>
      <c r="AD1089" s="2" t="n">
        <f aca="false">X1089*Settings!$B$3/SUM(S1089:X1089)</f>
        <v>108.678655199374</v>
      </c>
      <c r="AE1089" s="2" t="n">
        <f aca="false">INT(Y1089)</f>
        <v>65</v>
      </c>
      <c r="AF1089" s="2" t="n">
        <f aca="false">INT(Z1089)</f>
        <v>89</v>
      </c>
      <c r="AG1089" s="2" t="n">
        <f aca="false">INT(AA1089)</f>
        <v>80</v>
      </c>
      <c r="AH1089" s="2" t="n">
        <f aca="false">INT(AB1089)</f>
        <v>53</v>
      </c>
      <c r="AI1089" s="2" t="n">
        <f aca="false">INT(AC1089)</f>
        <v>103</v>
      </c>
      <c r="AJ1089" s="2" t="n">
        <f aca="false">INT(AD1089)</f>
        <v>108</v>
      </c>
      <c r="AK1089" s="2" t="n">
        <f aca="false">Settings!$B$3-SUM(AE1089:AJ1089)</f>
        <v>2</v>
      </c>
      <c r="AL1089" s="2" t="n">
        <f aca="false">ROUND(Y1089-AE1089,9)</f>
        <v>0.285379203</v>
      </c>
      <c r="AM1089" s="2" t="n">
        <f aca="false">ROUND(Z1089-AF1089,9)</f>
        <v>0.13213448</v>
      </c>
      <c r="AN1089" s="2" t="n">
        <f aca="false">ROUND(AA1089-AG1089,9)</f>
        <v>0.140734949</v>
      </c>
      <c r="AO1089" s="2" t="n">
        <f aca="false">ROUND(AB1089-AH1089,9)</f>
        <v>0.557466771</v>
      </c>
      <c r="AP1089" s="2" t="n">
        <f aca="false">ROUND(AC1089-AI1089,9)</f>
        <v>0.205629398</v>
      </c>
      <c r="AQ1089" s="2" t="n">
        <f aca="false">ROUND(AD1089-AJ1089,9)</f>
        <v>0.678655199</v>
      </c>
    </row>
    <row r="1090" customFormat="false" ht="15" hidden="false" customHeight="false" outlineLevel="0" collapsed="false">
      <c r="A1090" s="2" t="n">
        <v>1089</v>
      </c>
      <c r="B1090" s="6" t="n">
        <v>30</v>
      </c>
      <c r="C1090" s="6" t="n">
        <v>46</v>
      </c>
      <c r="D1090" s="8" t="str">
        <f aca="false">INDEX(Bases!$B$2:$B$53,B1090)</f>
        <v>Swablu</v>
      </c>
      <c r="E1090" s="8" t="str">
        <f aca="false">INDEX(Bases!$B$2:$B$53,C1090)</f>
        <v>Houndour</v>
      </c>
      <c r="F1090" s="2" t="str">
        <f aca="false">LEFT(D1090,ROUNDUP(LEN(D1090)/2,0))&amp;LOWER(MID(E1090,ROUNDUP(LEN(E1090)/2,0)+1,20))</f>
        <v>Swadour</v>
      </c>
      <c r="G1090" s="8" t="str">
        <f aca="false">INDEX(Bases!$C$2:$C$53,B1090)</f>
        <v>Flying</v>
      </c>
      <c r="H1090" s="8" t="str">
        <f aca="false">IF(INDEX(Bases!$C$2:$C$53,C1090)=G1090,"",INDEX(Bases!$C$2:$C$53,C1090))</f>
        <v>Dark</v>
      </c>
      <c r="I1090" s="8" t="str">
        <f aca="false">IF(INDEX(Bases!$E$2:$E$53,B1090)="","",INDEX(Bases!$E$2:$E$53,B1090))</f>
        <v/>
      </c>
      <c r="J1090" s="8" t="str">
        <f aca="false">IF(INDEX(Bases!$E$2:$E$53,C1090)="","",INDEX(Bases!$E$2:$E$53,C1090))</f>
        <v/>
      </c>
      <c r="K1090" s="5"/>
      <c r="L1090" s="2" t="n">
        <f aca="false">AE1090+IF(SUMPRODUCT(--($AL1090:$AQ1090&gt;AL1090))&lt;$AK1090,1,0)</f>
        <v>66</v>
      </c>
      <c r="M1090" s="2" t="n">
        <f aca="false">AF1090+IF(SUMPRODUCT(--($AL1090:$AQ1090&gt;AM1090))+SUMPRODUCT(--($AL1090:AL1090=AM1090))&lt;$AK1090,1,0)</f>
        <v>77</v>
      </c>
      <c r="N1090" s="2" t="n">
        <f aca="false">AG1090+IF(SUMPRODUCT(--($AL1090:$AQ1090&gt;AN1090))+SUMPRODUCT(--($AL1090:AM1090=AN1090))&lt;$AK1090,1,0)</f>
        <v>74</v>
      </c>
      <c r="O1090" s="2" t="n">
        <f aca="false">AH1090+IF(SUMPRODUCT(--($AL1090:$AQ1090&gt;AO1090))+SUMPRODUCT(--($AL1090:AN1090=AO1090))&lt;$AK1090,1,0)</f>
        <v>96</v>
      </c>
      <c r="P1090" s="2" t="n">
        <f aca="false">AI1090+IF(SUMPRODUCT(--($AL1090:$AQ1090&gt;AP1090))+SUMPRODUCT(--($AL1090:AO1090=AP1090))&lt;$AK1090,1,0)</f>
        <v>100</v>
      </c>
      <c r="Q1090" s="2" t="n">
        <f aca="false">AJ1090+IF(SUMPRODUCT(--($AL1090:$AQ1090&gt;AQ1090))+SUMPRODUCT(--($AL1090:AP1090=AQ1090))&lt;$AK1090,1,0)</f>
        <v>87</v>
      </c>
      <c r="R1090" s="2" t="n">
        <f aca="false">SUM(L1090:Q1090)</f>
        <v>500</v>
      </c>
      <c r="S1090" s="2" t="n">
        <f aca="false">Settings!$B$4*MAX(INDEX(Bases!$M$2:$M$53,B1090),INDEX(Bases!$M$2:$M$53,C1090))+Settings!$B$5*MIN(INDEX(Bases!$M$2:$M$53,B1090),INDEX(Bases!$M$2:$M$53,C1090))</f>
        <v>56.6666666666667</v>
      </c>
      <c r="T1090" s="2" t="n">
        <f aca="false">Settings!$B$4*MAX(INDEX(Bases!$N$2:$N$53,B1090),INDEX(Bases!$N$2:$N$53,C1090))+Settings!$B$5*MIN(INDEX(Bases!$N$2:$N$53,B1090),INDEX(Bases!$N$2:$N$53,C1090))</f>
        <v>66</v>
      </c>
      <c r="U1090" s="2" t="n">
        <f aca="false">Settings!$B$4*MAX(INDEX(Bases!$O$2:$O$53,B1090),INDEX(Bases!$O$2:$O$53,C1090))+Settings!$B$5*MIN(INDEX(Bases!$O$2:$O$53,B1090),INDEX(Bases!$O$2:$O$53,C1090))</f>
        <v>63.3333333333333</v>
      </c>
      <c r="V1090" s="2" t="n">
        <f aca="false">Settings!$B$4*MAX(INDEX(Bases!$P$2:$P$53,B1090),INDEX(Bases!$P$2:$P$53,C1090))+Settings!$B$5*MIN(INDEX(Bases!$P$2:$P$53,B1090),INDEX(Bases!$P$2:$P$53,C1090))</f>
        <v>82</v>
      </c>
      <c r="W1090" s="2" t="n">
        <f aca="false">Settings!$B$4*MAX(INDEX(Bases!$Q$2:$Q$53,B1090),INDEX(Bases!$Q$2:$Q$53,C1090))+Settings!$B$5*MIN(INDEX(Bases!$Q$2:$Q$53,B1090),INDEX(Bases!$Q$2:$Q$53,C1090))</f>
        <v>85</v>
      </c>
      <c r="X1090" s="2" t="n">
        <f aca="false">Settings!$B$4*MAX(INDEX(Bases!$R$2:$R$53,B1090),INDEX(Bases!$R$2:$R$53,C1090))+Settings!$B$5*MIN(INDEX(Bases!$R$2:$R$53,B1090),INDEX(Bases!$R$2:$R$53,C1090))</f>
        <v>74</v>
      </c>
      <c r="Y1090" s="2" t="n">
        <f aca="false">S1090*Settings!$B$3/SUM(S1090:X1090)</f>
        <v>66.3544106167057</v>
      </c>
      <c r="Z1090" s="2" t="n">
        <f aca="false">T1090*Settings!$B$3/SUM(S1090:X1090)</f>
        <v>77.2833723653396</v>
      </c>
      <c r="AA1090" s="2" t="n">
        <f aca="false">U1090*Settings!$B$3/SUM(S1090:X1090)</f>
        <v>74.1608118657299</v>
      </c>
      <c r="AB1090" s="2" t="n">
        <f aca="false">V1090*Settings!$B$3/SUM(S1090:X1090)</f>
        <v>96.0187353629977</v>
      </c>
      <c r="AC1090" s="2" t="n">
        <f aca="false">W1090*Settings!$B$3/SUM(S1090:X1090)</f>
        <v>99.5316159250586</v>
      </c>
      <c r="AD1090" s="2" t="n">
        <f aca="false">X1090*Settings!$B$3/SUM(S1090:X1090)</f>
        <v>86.6510538641686</v>
      </c>
      <c r="AE1090" s="2" t="n">
        <f aca="false">INT(Y1090)</f>
        <v>66</v>
      </c>
      <c r="AF1090" s="2" t="n">
        <f aca="false">INT(Z1090)</f>
        <v>77</v>
      </c>
      <c r="AG1090" s="2" t="n">
        <f aca="false">INT(AA1090)</f>
        <v>74</v>
      </c>
      <c r="AH1090" s="2" t="n">
        <f aca="false">INT(AB1090)</f>
        <v>96</v>
      </c>
      <c r="AI1090" s="2" t="n">
        <f aca="false">INT(AC1090)</f>
        <v>99</v>
      </c>
      <c r="AJ1090" s="2" t="n">
        <f aca="false">INT(AD1090)</f>
        <v>86</v>
      </c>
      <c r="AK1090" s="2" t="n">
        <f aca="false">Settings!$B$3-SUM(AE1090:AJ1090)</f>
        <v>2</v>
      </c>
      <c r="AL1090" s="2" t="n">
        <f aca="false">ROUND(Y1090-AE1090,9)</f>
        <v>0.354410617</v>
      </c>
      <c r="AM1090" s="2" t="n">
        <f aca="false">ROUND(Z1090-AF1090,9)</f>
        <v>0.283372365</v>
      </c>
      <c r="AN1090" s="2" t="n">
        <f aca="false">ROUND(AA1090-AG1090,9)</f>
        <v>0.160811866</v>
      </c>
      <c r="AO1090" s="2" t="n">
        <f aca="false">ROUND(AB1090-AH1090,9)</f>
        <v>0.018735363</v>
      </c>
      <c r="AP1090" s="2" t="n">
        <f aca="false">ROUND(AC1090-AI1090,9)</f>
        <v>0.531615925</v>
      </c>
      <c r="AQ1090" s="2" t="n">
        <f aca="false">ROUND(AD1090-AJ1090,9)</f>
        <v>0.651053864</v>
      </c>
    </row>
    <row r="1091" customFormat="false" ht="15" hidden="false" customHeight="false" outlineLevel="0" collapsed="false">
      <c r="A1091" s="2" t="n">
        <v>1090</v>
      </c>
      <c r="B1091" s="6" t="n">
        <v>30</v>
      </c>
      <c r="C1091" s="6" t="n">
        <v>47</v>
      </c>
      <c r="D1091" s="8" t="str">
        <f aca="false">INDEX(Bases!$B$2:$B$53,B1091)</f>
        <v>Swablu</v>
      </c>
      <c r="E1091" s="8" t="str">
        <f aca="false">INDEX(Bases!$B$2:$B$53,C1091)</f>
        <v>Carvanha</v>
      </c>
      <c r="F1091" s="2" t="str">
        <f aca="false">LEFT(D1091,ROUNDUP(LEN(D1091)/2,0))&amp;LOWER(MID(E1091,ROUNDUP(LEN(E1091)/2,0)+1,20))</f>
        <v>Swaanha</v>
      </c>
      <c r="G1091" s="8" t="str">
        <f aca="false">INDEX(Bases!$C$2:$C$53,B1091)</f>
        <v>Flying</v>
      </c>
      <c r="H1091" s="8" t="str">
        <f aca="false">IF(INDEX(Bases!$C$2:$C$53,C1091)=G1091,"",INDEX(Bases!$C$2:$C$53,C1091))</f>
        <v>Dark</v>
      </c>
      <c r="I1091" s="8" t="str">
        <f aca="false">IF(INDEX(Bases!$E$2:$E$53,B1091)="","",INDEX(Bases!$E$2:$E$53,B1091))</f>
        <v/>
      </c>
      <c r="J1091" s="8" t="str">
        <f aca="false">IF(INDEX(Bases!$E$2:$E$53,C1091)="","",INDEX(Bases!$E$2:$E$53,C1091))</f>
        <v/>
      </c>
      <c r="K1091" s="5"/>
      <c r="L1091" s="2" t="n">
        <f aca="false">AE1091+IF(SUMPRODUCT(--($AL1091:$AQ1091&gt;AL1091))&lt;$AK1091,1,0)</f>
        <v>67</v>
      </c>
      <c r="M1091" s="2" t="n">
        <f aca="false">AF1091+IF(SUMPRODUCT(--($AL1091:$AQ1091&gt;AM1091))+SUMPRODUCT(--($AL1091:AL1091=AM1091))&lt;$AK1091,1,0)</f>
        <v>109</v>
      </c>
      <c r="N1091" s="2" t="n">
        <f aca="false">AG1091+IF(SUMPRODUCT(--($AL1091:$AQ1091&gt;AN1091))+SUMPRODUCT(--($AL1091:AM1091=AN1091))&lt;$AK1091,1,0)</f>
        <v>68</v>
      </c>
      <c r="O1091" s="2" t="n">
        <f aca="false">AH1091+IF(SUMPRODUCT(--($AL1091:$AQ1091&gt;AO1091))+SUMPRODUCT(--($AL1091:AN1091=AO1091))&lt;$AK1091,1,0)</f>
        <v>85</v>
      </c>
      <c r="P1091" s="2" t="n">
        <f aca="false">AI1091+IF(SUMPRODUCT(--($AL1091:$AQ1091&gt;AP1091))+SUMPRODUCT(--($AL1091:AO1091=AP1091))&lt;$AK1091,1,0)</f>
        <v>83</v>
      </c>
      <c r="Q1091" s="2" t="n">
        <f aca="false">AJ1091+IF(SUMPRODUCT(--($AL1091:$AQ1091&gt;AQ1091))+SUMPRODUCT(--($AL1091:AP1091=AQ1091))&lt;$AK1091,1,0)</f>
        <v>88</v>
      </c>
      <c r="R1091" s="2" t="n">
        <f aca="false">SUM(L1091:Q1091)</f>
        <v>500</v>
      </c>
      <c r="S1091" s="2" t="n">
        <f aca="false">Settings!$B$4*MAX(INDEX(Bases!$M$2:$M$53,B1091),INDEX(Bases!$M$2:$M$53,C1091))+Settings!$B$5*MIN(INDEX(Bases!$M$2:$M$53,B1091),INDEX(Bases!$M$2:$M$53,C1091))</f>
        <v>58.6666666666667</v>
      </c>
      <c r="T1091" s="2" t="n">
        <f aca="false">Settings!$B$4*MAX(INDEX(Bases!$N$2:$N$53,B1091),INDEX(Bases!$N$2:$N$53,C1091))+Settings!$B$5*MIN(INDEX(Bases!$N$2:$N$53,B1091),INDEX(Bases!$N$2:$N$53,C1091))</f>
        <v>96</v>
      </c>
      <c r="U1091" s="2" t="n">
        <f aca="false">Settings!$B$4*MAX(INDEX(Bases!$O$2:$O$53,B1091),INDEX(Bases!$O$2:$O$53,C1091))+Settings!$B$5*MIN(INDEX(Bases!$O$2:$O$53,B1091),INDEX(Bases!$O$2:$O$53,C1091))</f>
        <v>60</v>
      </c>
      <c r="V1091" s="2" t="n">
        <f aca="false">Settings!$B$4*MAX(INDEX(Bases!$P$2:$P$53,B1091),INDEX(Bases!$P$2:$P$53,C1091))+Settings!$B$5*MIN(INDEX(Bases!$P$2:$P$53,B1091),INDEX(Bases!$P$2:$P$53,C1091))</f>
        <v>74.6666666666667</v>
      </c>
      <c r="W1091" s="2" t="n">
        <f aca="false">Settings!$B$4*MAX(INDEX(Bases!$Q$2:$Q$53,B1091),INDEX(Bases!$Q$2:$Q$53,C1091))+Settings!$B$5*MIN(INDEX(Bases!$Q$2:$Q$53,B1091),INDEX(Bases!$Q$2:$Q$53,C1091))</f>
        <v>73.3333333333333</v>
      </c>
      <c r="X1091" s="2" t="n">
        <f aca="false">Settings!$B$4*MAX(INDEX(Bases!$R$2:$R$53,B1091),INDEX(Bases!$R$2:$R$53,C1091))+Settings!$B$5*MIN(INDEX(Bases!$R$2:$R$53,B1091),INDEX(Bases!$R$2:$R$53,C1091))</f>
        <v>78</v>
      </c>
      <c r="Y1091" s="2" t="n">
        <f aca="false">S1091*Settings!$B$3/SUM(S1091:X1091)</f>
        <v>66.5658093797277</v>
      </c>
      <c r="Z1091" s="2" t="n">
        <f aca="false">T1091*Settings!$B$3/SUM(S1091:X1091)</f>
        <v>108.9258698941</v>
      </c>
      <c r="AA1091" s="2" t="n">
        <f aca="false">U1091*Settings!$B$3/SUM(S1091:X1091)</f>
        <v>68.0786686838124</v>
      </c>
      <c r="AB1091" s="2" t="n">
        <f aca="false">V1091*Settings!$B$3/SUM(S1091:X1091)</f>
        <v>84.7201210287443</v>
      </c>
      <c r="AC1091" s="2" t="n">
        <f aca="false">W1091*Settings!$B$3/SUM(S1091:X1091)</f>
        <v>83.2072617246596</v>
      </c>
      <c r="AD1091" s="2" t="n">
        <f aca="false">X1091*Settings!$B$3/SUM(S1091:X1091)</f>
        <v>88.5022692889561</v>
      </c>
      <c r="AE1091" s="2" t="n">
        <f aca="false">INT(Y1091)</f>
        <v>66</v>
      </c>
      <c r="AF1091" s="2" t="n">
        <f aca="false">INT(Z1091)</f>
        <v>108</v>
      </c>
      <c r="AG1091" s="2" t="n">
        <f aca="false">INT(AA1091)</f>
        <v>68</v>
      </c>
      <c r="AH1091" s="2" t="n">
        <f aca="false">INT(AB1091)</f>
        <v>84</v>
      </c>
      <c r="AI1091" s="2" t="n">
        <f aca="false">INT(AC1091)</f>
        <v>83</v>
      </c>
      <c r="AJ1091" s="2" t="n">
        <f aca="false">INT(AD1091)</f>
        <v>88</v>
      </c>
      <c r="AK1091" s="2" t="n">
        <f aca="false">Settings!$B$3-SUM(AE1091:AJ1091)</f>
        <v>3</v>
      </c>
      <c r="AL1091" s="2" t="n">
        <f aca="false">ROUND(Y1091-AE1091,9)</f>
        <v>0.56580938</v>
      </c>
      <c r="AM1091" s="2" t="n">
        <f aca="false">ROUND(Z1091-AF1091,9)</f>
        <v>0.925869894</v>
      </c>
      <c r="AN1091" s="2" t="n">
        <f aca="false">ROUND(AA1091-AG1091,9)</f>
        <v>0.078668684</v>
      </c>
      <c r="AO1091" s="2" t="n">
        <f aca="false">ROUND(AB1091-AH1091,9)</f>
        <v>0.720121029</v>
      </c>
      <c r="AP1091" s="2" t="n">
        <f aca="false">ROUND(AC1091-AI1091,9)</f>
        <v>0.207261725</v>
      </c>
      <c r="AQ1091" s="2" t="n">
        <f aca="false">ROUND(AD1091-AJ1091,9)</f>
        <v>0.502269289</v>
      </c>
    </row>
    <row r="1092" customFormat="false" ht="15" hidden="false" customHeight="false" outlineLevel="0" collapsed="false">
      <c r="A1092" s="2" t="n">
        <v>1091</v>
      </c>
      <c r="B1092" s="6" t="n">
        <v>30</v>
      </c>
      <c r="C1092" s="6" t="n">
        <v>48</v>
      </c>
      <c r="D1092" s="8" t="str">
        <f aca="false">INDEX(Bases!$B$2:$B$53,B1092)</f>
        <v>Swablu</v>
      </c>
      <c r="E1092" s="8" t="str">
        <f aca="false">INDEX(Bases!$B$2:$B$53,C1092)</f>
        <v>Magnemite</v>
      </c>
      <c r="F1092" s="2" t="str">
        <f aca="false">LEFT(D1092,ROUNDUP(LEN(D1092)/2,0))&amp;LOWER(MID(E1092,ROUNDUP(LEN(E1092)/2,0)+1,20))</f>
        <v>Swamite</v>
      </c>
      <c r="G1092" s="8" t="str">
        <f aca="false">INDEX(Bases!$C$2:$C$53,B1092)</f>
        <v>Flying</v>
      </c>
      <c r="H1092" s="8" t="str">
        <f aca="false">IF(INDEX(Bases!$C$2:$C$53,C1092)=G1092,"",INDEX(Bases!$C$2:$C$53,C1092))</f>
        <v>Steel</v>
      </c>
      <c r="I1092" s="8" t="str">
        <f aca="false">IF(INDEX(Bases!$E$2:$E$53,B1092)="","",INDEX(Bases!$E$2:$E$53,B1092))</f>
        <v/>
      </c>
      <c r="J1092" s="8" t="str">
        <f aca="false">IF(INDEX(Bases!$E$2:$E$53,C1092)="","",INDEX(Bases!$E$2:$E$53,C1092))</f>
        <v/>
      </c>
      <c r="K1092" s="5"/>
      <c r="L1092" s="2" t="n">
        <f aca="false">AE1092+IF(SUMPRODUCT(--($AL1092:$AQ1092&gt;AL1092))&lt;$AK1092,1,0)</f>
        <v>58</v>
      </c>
      <c r="M1092" s="2" t="n">
        <f aca="false">AF1092+IF(SUMPRODUCT(--($AL1092:$AQ1092&gt;AM1092))+SUMPRODUCT(--($AL1092:AL1092=AM1092))&lt;$AK1092,1,0)</f>
        <v>57</v>
      </c>
      <c r="N1092" s="2" t="n">
        <f aca="false">AG1092+IF(SUMPRODUCT(--($AL1092:$AQ1092&gt;AN1092))+SUMPRODUCT(--($AL1092:AM1092=AN1092))&lt;$AK1092,1,0)</f>
        <v>98</v>
      </c>
      <c r="O1092" s="2" t="n">
        <f aca="false">AH1092+IF(SUMPRODUCT(--($AL1092:$AQ1092&gt;AO1092))+SUMPRODUCT(--($AL1092:AN1092=AO1092))&lt;$AK1092,1,0)</f>
        <v>112</v>
      </c>
      <c r="P1092" s="2" t="n">
        <f aca="false">AI1092+IF(SUMPRODUCT(--($AL1092:$AQ1092&gt;AP1092))+SUMPRODUCT(--($AL1092:AO1092=AP1092))&lt;$AK1092,1,0)</f>
        <v>103</v>
      </c>
      <c r="Q1092" s="2" t="n">
        <f aca="false">AJ1092+IF(SUMPRODUCT(--($AL1092:$AQ1092&gt;AQ1092))+SUMPRODUCT(--($AL1092:AP1092=AQ1092))&lt;$AK1092,1,0)</f>
        <v>72</v>
      </c>
      <c r="R1092" s="2" t="n">
        <f aca="false">SUM(L1092:Q1092)</f>
        <v>500</v>
      </c>
      <c r="S1092" s="2" t="n">
        <f aca="false">Settings!$B$4*MAX(INDEX(Bases!$M$2:$M$53,B1092),INDEX(Bases!$M$2:$M$53,C1092))+Settings!$B$5*MIN(INDEX(Bases!$M$2:$M$53,B1092),INDEX(Bases!$M$2:$M$53,C1092))</f>
        <v>49</v>
      </c>
      <c r="T1092" s="2" t="n">
        <f aca="false">Settings!$B$4*MAX(INDEX(Bases!$N$2:$N$53,B1092),INDEX(Bases!$N$2:$N$53,C1092))+Settings!$B$5*MIN(INDEX(Bases!$N$2:$N$53,B1092),INDEX(Bases!$N$2:$N$53,C1092))</f>
        <v>49</v>
      </c>
      <c r="U1092" s="2" t="n">
        <f aca="false">Settings!$B$4*MAX(INDEX(Bases!$O$2:$O$53,B1092),INDEX(Bases!$O$2:$O$53,C1092))+Settings!$B$5*MIN(INDEX(Bases!$O$2:$O$53,B1092),INDEX(Bases!$O$2:$O$53,C1092))</f>
        <v>83</v>
      </c>
      <c r="V1092" s="2" t="n">
        <f aca="false">Settings!$B$4*MAX(INDEX(Bases!$P$2:$P$53,B1092),INDEX(Bases!$P$2:$P$53,C1092))+Settings!$B$5*MIN(INDEX(Bases!$P$2:$P$53,B1092),INDEX(Bases!$P$2:$P$53,C1092))</f>
        <v>95.3333333333333</v>
      </c>
      <c r="W1092" s="2" t="n">
        <f aca="false">Settings!$B$4*MAX(INDEX(Bases!$Q$2:$Q$53,B1092),INDEX(Bases!$Q$2:$Q$53,C1092))+Settings!$B$5*MIN(INDEX(Bases!$Q$2:$Q$53,B1092),INDEX(Bases!$Q$2:$Q$53,C1092))</f>
        <v>87.3333333333333</v>
      </c>
      <c r="X1092" s="2" t="n">
        <f aca="false">Settings!$B$4*MAX(INDEX(Bases!$R$2:$R$53,B1092),INDEX(Bases!$R$2:$R$53,C1092))+Settings!$B$5*MIN(INDEX(Bases!$R$2:$R$53,B1092),INDEX(Bases!$R$2:$R$53,C1092))</f>
        <v>61</v>
      </c>
      <c r="Y1092" s="2" t="n">
        <f aca="false">S1092*Settings!$B$3/SUM(S1092:X1092)</f>
        <v>57.6923076923077</v>
      </c>
      <c r="Z1092" s="2" t="n">
        <f aca="false">T1092*Settings!$B$3/SUM(S1092:X1092)</f>
        <v>57.6923076923077</v>
      </c>
      <c r="AA1092" s="2" t="n">
        <f aca="false">U1092*Settings!$B$3/SUM(S1092:X1092)</f>
        <v>97.723704866562</v>
      </c>
      <c r="AB1092" s="2" t="n">
        <f aca="false">V1092*Settings!$B$3/SUM(S1092:X1092)</f>
        <v>112.244897959184</v>
      </c>
      <c r="AC1092" s="2" t="n">
        <f aca="false">W1092*Settings!$B$3/SUM(S1092:X1092)</f>
        <v>102.825745682889</v>
      </c>
      <c r="AD1092" s="2" t="n">
        <f aca="false">X1092*Settings!$B$3/SUM(S1092:X1092)</f>
        <v>71.8210361067504</v>
      </c>
      <c r="AE1092" s="2" t="n">
        <f aca="false">INT(Y1092)</f>
        <v>57</v>
      </c>
      <c r="AF1092" s="2" t="n">
        <f aca="false">INT(Z1092)</f>
        <v>57</v>
      </c>
      <c r="AG1092" s="2" t="n">
        <f aca="false">INT(AA1092)</f>
        <v>97</v>
      </c>
      <c r="AH1092" s="2" t="n">
        <f aca="false">INT(AB1092)</f>
        <v>112</v>
      </c>
      <c r="AI1092" s="2" t="n">
        <f aca="false">INT(AC1092)</f>
        <v>102</v>
      </c>
      <c r="AJ1092" s="2" t="n">
        <f aca="false">INT(AD1092)</f>
        <v>71</v>
      </c>
      <c r="AK1092" s="2" t="n">
        <f aca="false">Settings!$B$3-SUM(AE1092:AJ1092)</f>
        <v>4</v>
      </c>
      <c r="AL1092" s="2" t="n">
        <f aca="false">ROUND(Y1092-AE1092,9)</f>
        <v>0.692307692</v>
      </c>
      <c r="AM1092" s="2" t="n">
        <f aca="false">ROUND(Z1092-AF1092,9)</f>
        <v>0.692307692</v>
      </c>
      <c r="AN1092" s="2" t="n">
        <f aca="false">ROUND(AA1092-AG1092,9)</f>
        <v>0.723704867</v>
      </c>
      <c r="AO1092" s="2" t="n">
        <f aca="false">ROUND(AB1092-AH1092,9)</f>
        <v>0.244897959</v>
      </c>
      <c r="AP1092" s="2" t="n">
        <f aca="false">ROUND(AC1092-AI1092,9)</f>
        <v>0.825745683</v>
      </c>
      <c r="AQ1092" s="2" t="n">
        <f aca="false">ROUND(AD1092-AJ1092,9)</f>
        <v>0.821036107</v>
      </c>
    </row>
    <row r="1093" customFormat="false" ht="15" hidden="false" customHeight="false" outlineLevel="0" collapsed="false">
      <c r="A1093" s="2" t="n">
        <v>1092</v>
      </c>
      <c r="B1093" s="6" t="n">
        <v>30</v>
      </c>
      <c r="C1093" s="6" t="n">
        <v>49</v>
      </c>
      <c r="D1093" s="8" t="str">
        <f aca="false">INDEX(Bases!$B$2:$B$53,B1093)</f>
        <v>Swablu</v>
      </c>
      <c r="E1093" s="8" t="str">
        <f aca="false">INDEX(Bases!$B$2:$B$53,C1093)</f>
        <v>Aron</v>
      </c>
      <c r="F1093" s="2" t="str">
        <f aca="false">LEFT(D1093,ROUNDUP(LEN(D1093)/2,0))&amp;LOWER(MID(E1093,ROUNDUP(LEN(E1093)/2,0)+1,20))</f>
        <v>Swaon</v>
      </c>
      <c r="G1093" s="8" t="str">
        <f aca="false">INDEX(Bases!$C$2:$C$53,B1093)</f>
        <v>Flying</v>
      </c>
      <c r="H1093" s="8" t="str">
        <f aca="false">IF(INDEX(Bases!$C$2:$C$53,C1093)=G1093,"",INDEX(Bases!$C$2:$C$53,C1093))</f>
        <v>Steel</v>
      </c>
      <c r="I1093" s="8" t="str">
        <f aca="false">IF(INDEX(Bases!$E$2:$E$53,B1093)="","",INDEX(Bases!$E$2:$E$53,B1093))</f>
        <v/>
      </c>
      <c r="J1093" s="8" t="str">
        <f aca="false">IF(INDEX(Bases!$E$2:$E$53,C1093)="","",INDEX(Bases!$E$2:$E$53,C1093))</f>
        <v/>
      </c>
      <c r="K1093" s="5"/>
      <c r="L1093" s="2" t="n">
        <f aca="false">AE1093+IF(SUMPRODUCT(--($AL1093:$AQ1093&gt;AL1093))&lt;$AK1093,1,0)</f>
        <v>70</v>
      </c>
      <c r="M1093" s="2" t="n">
        <f aca="false">AF1093+IF(SUMPRODUCT(--($AL1093:$AQ1093&gt;AM1093))+SUMPRODUCT(--($AL1093:AL1093=AM1093))&lt;$AK1093,1,0)</f>
        <v>87</v>
      </c>
      <c r="N1093" s="2" t="n">
        <f aca="false">AG1093+IF(SUMPRODUCT(--($AL1093:$AQ1093&gt;AN1093))+SUMPRODUCT(--($AL1093:AM1093=AN1093))&lt;$AK1093,1,0)</f>
        <v>125</v>
      </c>
      <c r="O1093" s="2" t="n">
        <f aca="false">AH1093+IF(SUMPRODUCT(--($AL1093:$AQ1093&gt;AO1093))+SUMPRODUCT(--($AL1093:AN1093=AO1093))&lt;$AK1093,1,0)</f>
        <v>60</v>
      </c>
      <c r="P1093" s="2" t="n">
        <f aca="false">AI1093+IF(SUMPRODUCT(--($AL1093:$AQ1093&gt;AP1093))+SUMPRODUCT(--($AL1093:AO1093=AP1093))&lt;$AK1093,1,0)</f>
        <v>94</v>
      </c>
      <c r="Q1093" s="2" t="n">
        <f aca="false">AJ1093+IF(SUMPRODUCT(--($AL1093:$AQ1093&gt;AQ1093))+SUMPRODUCT(--($AL1093:AP1093=AQ1093))&lt;$AK1093,1,0)</f>
        <v>64</v>
      </c>
      <c r="R1093" s="2" t="n">
        <f aca="false">SUM(L1093:Q1093)</f>
        <v>500</v>
      </c>
      <c r="S1093" s="2" t="n">
        <f aca="false">Settings!$B$4*MAX(INDEX(Bases!$M$2:$M$53,B1093),INDEX(Bases!$M$2:$M$53,C1093))+Settings!$B$5*MIN(INDEX(Bases!$M$2:$M$53,B1093),INDEX(Bases!$M$2:$M$53,C1093))</f>
        <v>60</v>
      </c>
      <c r="T1093" s="2" t="n">
        <f aca="false">Settings!$B$4*MAX(INDEX(Bases!$N$2:$N$53,B1093),INDEX(Bases!$N$2:$N$53,C1093))+Settings!$B$5*MIN(INDEX(Bases!$N$2:$N$53,B1093),INDEX(Bases!$N$2:$N$53,C1093))</f>
        <v>74</v>
      </c>
      <c r="U1093" s="2" t="n">
        <f aca="false">Settings!$B$4*MAX(INDEX(Bases!$O$2:$O$53,B1093),INDEX(Bases!$O$2:$O$53,C1093))+Settings!$B$5*MIN(INDEX(Bases!$O$2:$O$53,B1093),INDEX(Bases!$O$2:$O$53,C1093))</f>
        <v>106.333333333333</v>
      </c>
      <c r="V1093" s="2" t="n">
        <f aca="false">Settings!$B$4*MAX(INDEX(Bases!$P$2:$P$53,B1093),INDEX(Bases!$P$2:$P$53,C1093))+Settings!$B$5*MIN(INDEX(Bases!$P$2:$P$53,B1093),INDEX(Bases!$P$2:$P$53,C1093))</f>
        <v>51</v>
      </c>
      <c r="W1093" s="2" t="n">
        <f aca="false">Settings!$B$4*MAX(INDEX(Bases!$Q$2:$Q$53,B1093),INDEX(Bases!$Q$2:$Q$53,C1093))+Settings!$B$5*MIN(INDEX(Bases!$Q$2:$Q$53,B1093),INDEX(Bases!$Q$2:$Q$53,C1093))</f>
        <v>80.6666666666667</v>
      </c>
      <c r="X1093" s="2" t="n">
        <f aca="false">Settings!$B$4*MAX(INDEX(Bases!$R$2:$R$53,B1093),INDEX(Bases!$R$2:$R$53,C1093))+Settings!$B$5*MIN(INDEX(Bases!$R$2:$R$53,B1093),INDEX(Bases!$R$2:$R$53,C1093))</f>
        <v>54.6666666666667</v>
      </c>
      <c r="Y1093" s="2" t="n">
        <f aca="false">S1093*Settings!$B$3/SUM(S1093:X1093)</f>
        <v>70.3125</v>
      </c>
      <c r="Z1093" s="2" t="n">
        <f aca="false">T1093*Settings!$B$3/SUM(S1093:X1093)</f>
        <v>86.71875</v>
      </c>
      <c r="AA1093" s="2" t="n">
        <f aca="false">U1093*Settings!$B$3/SUM(S1093:X1093)</f>
        <v>124.609375</v>
      </c>
      <c r="AB1093" s="2" t="n">
        <f aca="false">V1093*Settings!$B$3/SUM(S1093:X1093)</f>
        <v>59.765625</v>
      </c>
      <c r="AC1093" s="2" t="n">
        <f aca="false">W1093*Settings!$B$3/SUM(S1093:X1093)</f>
        <v>94.53125</v>
      </c>
      <c r="AD1093" s="2" t="n">
        <f aca="false">X1093*Settings!$B$3/SUM(S1093:X1093)</f>
        <v>64.0625</v>
      </c>
      <c r="AE1093" s="2" t="n">
        <f aca="false">INT(Y1093)</f>
        <v>70</v>
      </c>
      <c r="AF1093" s="2" t="n">
        <f aca="false">INT(Z1093)</f>
        <v>86</v>
      </c>
      <c r="AG1093" s="2" t="n">
        <f aca="false">INT(AA1093)</f>
        <v>124</v>
      </c>
      <c r="AH1093" s="2" t="n">
        <f aca="false">INT(AB1093)</f>
        <v>59</v>
      </c>
      <c r="AI1093" s="2" t="n">
        <f aca="false">INT(AC1093)</f>
        <v>94</v>
      </c>
      <c r="AJ1093" s="2" t="n">
        <f aca="false">INT(AD1093)</f>
        <v>64</v>
      </c>
      <c r="AK1093" s="2" t="n">
        <f aca="false">Settings!$B$3-SUM(AE1093:AJ1093)</f>
        <v>3</v>
      </c>
      <c r="AL1093" s="2" t="n">
        <f aca="false">ROUND(Y1093-AE1093,9)</f>
        <v>0.3125</v>
      </c>
      <c r="AM1093" s="2" t="n">
        <f aca="false">ROUND(Z1093-AF1093,9)</f>
        <v>0.71875</v>
      </c>
      <c r="AN1093" s="2" t="n">
        <f aca="false">ROUND(AA1093-AG1093,9)</f>
        <v>0.609375</v>
      </c>
      <c r="AO1093" s="2" t="n">
        <f aca="false">ROUND(AB1093-AH1093,9)</f>
        <v>0.765625</v>
      </c>
      <c r="AP1093" s="2" t="n">
        <f aca="false">ROUND(AC1093-AI1093,9)</f>
        <v>0.53125</v>
      </c>
      <c r="AQ1093" s="2" t="n">
        <f aca="false">ROUND(AD1093-AJ1093,9)</f>
        <v>0.0625</v>
      </c>
    </row>
    <row r="1094" customFormat="false" ht="15" hidden="false" customHeight="false" outlineLevel="0" collapsed="false">
      <c r="A1094" s="2" t="n">
        <v>1093</v>
      </c>
      <c r="B1094" s="6" t="n">
        <v>30</v>
      </c>
      <c r="C1094" s="6" t="n">
        <v>50</v>
      </c>
      <c r="D1094" s="8" t="str">
        <f aca="false">INDEX(Bases!$B$2:$B$53,B1094)</f>
        <v>Swablu</v>
      </c>
      <c r="E1094" s="8" t="str">
        <f aca="false">INDEX(Bases!$B$2:$B$53,C1094)</f>
        <v>Beldum</v>
      </c>
      <c r="F1094" s="2" t="str">
        <f aca="false">LEFT(D1094,ROUNDUP(LEN(D1094)/2,0))&amp;LOWER(MID(E1094,ROUNDUP(LEN(E1094)/2,0)+1,20))</f>
        <v>Swadum</v>
      </c>
      <c r="G1094" s="8" t="str">
        <f aca="false">INDEX(Bases!$C$2:$C$53,B1094)</f>
        <v>Flying</v>
      </c>
      <c r="H1094" s="8" t="str">
        <f aca="false">IF(INDEX(Bases!$C$2:$C$53,C1094)=G1094,"",INDEX(Bases!$C$2:$C$53,C1094))</f>
        <v>Steel</v>
      </c>
      <c r="I1094" s="8" t="str">
        <f aca="false">IF(INDEX(Bases!$E$2:$E$53,B1094)="","",INDEX(Bases!$E$2:$E$53,B1094))</f>
        <v/>
      </c>
      <c r="J1094" s="8" t="str">
        <f aca="false">IF(INDEX(Bases!$E$2:$E$53,C1094)="","",INDEX(Bases!$E$2:$E$53,C1094))</f>
        <v/>
      </c>
      <c r="K1094" s="5"/>
      <c r="L1094" s="2" t="n">
        <f aca="false">AE1094+IF(SUMPRODUCT(--($AL1094:$AQ1094&gt;AL1094))&lt;$AK1094,1,0)</f>
        <v>68</v>
      </c>
      <c r="M1094" s="2" t="n">
        <f aca="false">AF1094+IF(SUMPRODUCT(--($AL1094:$AQ1094&gt;AM1094))+SUMPRODUCT(--($AL1094:AL1094=AM1094))&lt;$AK1094,1,0)</f>
        <v>79</v>
      </c>
      <c r="N1094" s="2" t="n">
        <f aca="false">AG1094+IF(SUMPRODUCT(--($AL1094:$AQ1094&gt;AN1094))+SUMPRODUCT(--($AL1094:AM1094=AN1094))&lt;$AK1094,1,0)</f>
        <v>116</v>
      </c>
      <c r="O1094" s="2" t="n">
        <f aca="false">AH1094+IF(SUMPRODUCT(--($AL1094:$AQ1094&gt;AO1094))+SUMPRODUCT(--($AL1094:AN1094=AO1094))&lt;$AK1094,1,0)</f>
        <v>60</v>
      </c>
      <c r="P1094" s="2" t="n">
        <f aca="false">AI1094+IF(SUMPRODUCT(--($AL1094:$AQ1094&gt;AP1094))+SUMPRODUCT(--($AL1094:AO1094=AP1094))&lt;$AK1094,1,0)</f>
        <v>110</v>
      </c>
      <c r="Q1094" s="2" t="n">
        <f aca="false">AJ1094+IF(SUMPRODUCT(--($AL1094:$AQ1094&gt;AQ1094))+SUMPRODUCT(--($AL1094:AP1094=AQ1094))&lt;$AK1094,1,0)</f>
        <v>67</v>
      </c>
      <c r="R1094" s="2" t="n">
        <f aca="false">SUM(L1094:Q1094)</f>
        <v>500</v>
      </c>
      <c r="S1094" s="2" t="n">
        <f aca="false">Settings!$B$4*MAX(INDEX(Bases!$M$2:$M$53,B1094),INDEX(Bases!$M$2:$M$53,C1094))+Settings!$B$5*MIN(INDEX(Bases!$M$2:$M$53,B1094),INDEX(Bases!$M$2:$M$53,C1094))</f>
        <v>56.3333333333333</v>
      </c>
      <c r="T1094" s="2" t="n">
        <f aca="false">Settings!$B$4*MAX(INDEX(Bases!$N$2:$N$53,B1094),INDEX(Bases!$N$2:$N$53,C1094))+Settings!$B$5*MIN(INDEX(Bases!$N$2:$N$53,B1094),INDEX(Bases!$N$2:$N$53,C1094))</f>
        <v>66</v>
      </c>
      <c r="U1094" s="2" t="n">
        <f aca="false">Settings!$B$4*MAX(INDEX(Bases!$O$2:$O$53,B1094),INDEX(Bases!$O$2:$O$53,C1094))+Settings!$B$5*MIN(INDEX(Bases!$O$2:$O$53,B1094),INDEX(Bases!$O$2:$O$53,C1094))</f>
        <v>97</v>
      </c>
      <c r="V1094" s="2" t="n">
        <f aca="false">Settings!$B$4*MAX(INDEX(Bases!$P$2:$P$53,B1094),INDEX(Bases!$P$2:$P$53,C1094))+Settings!$B$5*MIN(INDEX(Bases!$P$2:$P$53,B1094),INDEX(Bases!$P$2:$P$53,C1094))</f>
        <v>50.3333333333333</v>
      </c>
      <c r="W1094" s="2" t="n">
        <f aca="false">Settings!$B$4*MAX(INDEX(Bases!$Q$2:$Q$53,B1094),INDEX(Bases!$Q$2:$Q$53,C1094))+Settings!$B$5*MIN(INDEX(Bases!$Q$2:$Q$53,B1094),INDEX(Bases!$Q$2:$Q$53,C1094))</f>
        <v>91.3333333333333</v>
      </c>
      <c r="X1094" s="2" t="n">
        <f aca="false">Settings!$B$4*MAX(INDEX(Bases!$R$2:$R$53,B1094),INDEX(Bases!$R$2:$R$53,C1094))+Settings!$B$5*MIN(INDEX(Bases!$R$2:$R$53,B1094),INDEX(Bases!$R$2:$R$53,C1094))</f>
        <v>56</v>
      </c>
      <c r="Y1094" s="2" t="n">
        <f aca="false">S1094*Settings!$B$3/SUM(S1094:X1094)</f>
        <v>67.5459632294165</v>
      </c>
      <c r="Z1094" s="2" t="n">
        <f aca="false">T1094*Settings!$B$3/SUM(S1094:X1094)</f>
        <v>79.136690647482</v>
      </c>
      <c r="AA1094" s="2" t="n">
        <f aca="false">U1094*Settings!$B$3/SUM(S1094:X1094)</f>
        <v>116.306954436451</v>
      </c>
      <c r="AB1094" s="2" t="n">
        <f aca="false">V1094*Settings!$B$3/SUM(S1094:X1094)</f>
        <v>60.3517186250999</v>
      </c>
      <c r="AC1094" s="2" t="n">
        <f aca="false">W1094*Settings!$B$3/SUM(S1094:X1094)</f>
        <v>109.51239008793</v>
      </c>
      <c r="AD1094" s="2" t="n">
        <f aca="false">X1094*Settings!$B$3/SUM(S1094:X1094)</f>
        <v>67.1462829736211</v>
      </c>
      <c r="AE1094" s="2" t="n">
        <f aca="false">INT(Y1094)</f>
        <v>67</v>
      </c>
      <c r="AF1094" s="2" t="n">
        <f aca="false">INT(Z1094)</f>
        <v>79</v>
      </c>
      <c r="AG1094" s="2" t="n">
        <f aca="false">INT(AA1094)</f>
        <v>116</v>
      </c>
      <c r="AH1094" s="2" t="n">
        <f aca="false">INT(AB1094)</f>
        <v>60</v>
      </c>
      <c r="AI1094" s="2" t="n">
        <f aca="false">INT(AC1094)</f>
        <v>109</v>
      </c>
      <c r="AJ1094" s="2" t="n">
        <f aca="false">INT(AD1094)</f>
        <v>67</v>
      </c>
      <c r="AK1094" s="2" t="n">
        <f aca="false">Settings!$B$3-SUM(AE1094:AJ1094)</f>
        <v>2</v>
      </c>
      <c r="AL1094" s="2" t="n">
        <f aca="false">ROUND(Y1094-AE1094,9)</f>
        <v>0.545963229</v>
      </c>
      <c r="AM1094" s="2" t="n">
        <f aca="false">ROUND(Z1094-AF1094,9)</f>
        <v>0.136690647</v>
      </c>
      <c r="AN1094" s="2" t="n">
        <f aca="false">ROUND(AA1094-AG1094,9)</f>
        <v>0.306954436</v>
      </c>
      <c r="AO1094" s="2" t="n">
        <f aca="false">ROUND(AB1094-AH1094,9)</f>
        <v>0.351718625</v>
      </c>
      <c r="AP1094" s="2" t="n">
        <f aca="false">ROUND(AC1094-AI1094,9)</f>
        <v>0.512390088</v>
      </c>
      <c r="AQ1094" s="2" t="n">
        <f aca="false">ROUND(AD1094-AJ1094,9)</f>
        <v>0.146282974</v>
      </c>
    </row>
    <row r="1095" customFormat="false" ht="15" hidden="false" customHeight="false" outlineLevel="0" collapsed="false">
      <c r="A1095" s="2" t="n">
        <v>1094</v>
      </c>
      <c r="B1095" s="6" t="n">
        <v>30</v>
      </c>
      <c r="C1095" s="6" t="n">
        <v>51</v>
      </c>
      <c r="D1095" s="8" t="str">
        <f aca="false">INDEX(Bases!$B$2:$B$53,B1095)</f>
        <v>Swablu</v>
      </c>
      <c r="E1095" s="8" t="str">
        <f aca="false">INDEX(Bases!$B$2:$B$53,C1095)</f>
        <v>Cleffa</v>
      </c>
      <c r="F1095" s="2" t="str">
        <f aca="false">LEFT(D1095,ROUNDUP(LEN(D1095)/2,0))&amp;LOWER(MID(E1095,ROUNDUP(LEN(E1095)/2,0)+1,20))</f>
        <v>Swaffa</v>
      </c>
      <c r="G1095" s="8" t="str">
        <f aca="false">INDEX(Bases!$C$2:$C$53,B1095)</f>
        <v>Flying</v>
      </c>
      <c r="H1095" s="8" t="str">
        <f aca="false">IF(INDEX(Bases!$C$2:$C$53,C1095)=G1095,"",INDEX(Bases!$C$2:$C$53,C1095))</f>
        <v>Fairy</v>
      </c>
      <c r="I1095" s="8" t="str">
        <f aca="false">IF(INDEX(Bases!$E$2:$E$53,B1095)="","",INDEX(Bases!$E$2:$E$53,B1095))</f>
        <v/>
      </c>
      <c r="J1095" s="8" t="str">
        <f aca="false">IF(INDEX(Bases!$E$2:$E$53,C1095)="","",INDEX(Bases!$E$2:$E$53,C1095))</f>
        <v/>
      </c>
      <c r="K1095" s="5"/>
      <c r="L1095" s="2" t="n">
        <f aca="false">AE1095+IF(SUMPRODUCT(--($AL1095:$AQ1095&gt;AL1095))&lt;$AK1095,1,0)</f>
        <v>95</v>
      </c>
      <c r="M1095" s="2" t="n">
        <f aca="false">AF1095+IF(SUMPRODUCT(--($AL1095:$AQ1095&gt;AM1095))+SUMPRODUCT(--($AL1095:AL1095=AM1095))&lt;$AK1095,1,0)</f>
        <v>59</v>
      </c>
      <c r="N1095" s="2" t="n">
        <f aca="false">AG1095+IF(SUMPRODUCT(--($AL1095:$AQ1095&gt;AN1095))+SUMPRODUCT(--($AL1095:AM1095=AN1095))&lt;$AK1095,1,0)</f>
        <v>81</v>
      </c>
      <c r="O1095" s="2" t="n">
        <f aca="false">AH1095+IF(SUMPRODUCT(--($AL1095:$AQ1095&gt;AO1095))+SUMPRODUCT(--($AL1095:AN1095=AO1095))&lt;$AK1095,1,0)</f>
        <v>86</v>
      </c>
      <c r="P1095" s="2" t="n">
        <f aca="false">AI1095+IF(SUMPRODUCT(--($AL1095:$AQ1095&gt;AP1095))+SUMPRODUCT(--($AL1095:AO1095=AP1095))&lt;$AK1095,1,0)</f>
        <v>118</v>
      </c>
      <c r="Q1095" s="2" t="n">
        <f aca="false">AJ1095+IF(SUMPRODUCT(--($AL1095:$AQ1095&gt;AQ1095))+SUMPRODUCT(--($AL1095:AP1095=AQ1095))&lt;$AK1095,1,0)</f>
        <v>61</v>
      </c>
      <c r="R1095" s="2" t="n">
        <f aca="false">SUM(L1095:Q1095)</f>
        <v>500</v>
      </c>
      <c r="S1095" s="2" t="n">
        <f aca="false">Settings!$B$4*MAX(INDEX(Bases!$M$2:$M$53,B1095),INDEX(Bases!$M$2:$M$53,C1095))+Settings!$B$5*MIN(INDEX(Bases!$M$2:$M$53,B1095),INDEX(Bases!$M$2:$M$53,C1095))</f>
        <v>80.6666666666667</v>
      </c>
      <c r="T1095" s="2" t="n">
        <f aca="false">Settings!$B$4*MAX(INDEX(Bases!$N$2:$N$53,B1095),INDEX(Bases!$N$2:$N$53,C1095))+Settings!$B$5*MIN(INDEX(Bases!$N$2:$N$53,B1095),INDEX(Bases!$N$2:$N$53,C1095))</f>
        <v>50</v>
      </c>
      <c r="U1095" s="2" t="n">
        <f aca="false">Settings!$B$4*MAX(INDEX(Bases!$O$2:$O$53,B1095),INDEX(Bases!$O$2:$O$53,C1095))+Settings!$B$5*MIN(INDEX(Bases!$O$2:$O$53,B1095),INDEX(Bases!$O$2:$O$53,C1095))</f>
        <v>68.3333333333333</v>
      </c>
      <c r="V1095" s="2" t="n">
        <f aca="false">Settings!$B$4*MAX(INDEX(Bases!$P$2:$P$53,B1095),INDEX(Bases!$P$2:$P$53,C1095))+Settings!$B$5*MIN(INDEX(Bases!$P$2:$P$53,B1095),INDEX(Bases!$P$2:$P$53,C1095))</f>
        <v>72.6666666666667</v>
      </c>
      <c r="W1095" s="2" t="n">
        <f aca="false">Settings!$B$4*MAX(INDEX(Bases!$Q$2:$Q$53,B1095),INDEX(Bases!$Q$2:$Q$53,C1095))+Settings!$B$5*MIN(INDEX(Bases!$Q$2:$Q$53,B1095),INDEX(Bases!$Q$2:$Q$53,C1095))</f>
        <v>99.6666666666667</v>
      </c>
      <c r="X1095" s="2" t="n">
        <f aca="false">Settings!$B$4*MAX(INDEX(Bases!$R$2:$R$53,B1095),INDEX(Bases!$R$2:$R$53,C1095))+Settings!$B$5*MIN(INDEX(Bases!$R$2:$R$53,B1095),INDEX(Bases!$R$2:$R$53,C1095))</f>
        <v>51.6666666666667</v>
      </c>
      <c r="Y1095" s="2" t="n">
        <f aca="false">S1095*Settings!$B$3/SUM(S1095:X1095)</f>
        <v>95.3506698187549</v>
      </c>
      <c r="Z1095" s="2" t="n">
        <f aca="false">T1095*Settings!$B$3/SUM(S1095:X1095)</f>
        <v>59.1016548463357</v>
      </c>
      <c r="AA1095" s="2" t="n">
        <f aca="false">U1095*Settings!$B$3/SUM(S1095:X1095)</f>
        <v>80.7722616233255</v>
      </c>
      <c r="AB1095" s="2" t="n">
        <f aca="false">V1095*Settings!$B$3/SUM(S1095:X1095)</f>
        <v>85.8944050433412</v>
      </c>
      <c r="AC1095" s="2" t="n">
        <f aca="false">W1095*Settings!$B$3/SUM(S1095:X1095)</f>
        <v>117.809298660362</v>
      </c>
      <c r="AD1095" s="2" t="n">
        <f aca="false">X1095*Settings!$B$3/SUM(S1095:X1095)</f>
        <v>61.0717100078802</v>
      </c>
      <c r="AE1095" s="2" t="n">
        <f aca="false">INT(Y1095)</f>
        <v>95</v>
      </c>
      <c r="AF1095" s="2" t="n">
        <f aca="false">INT(Z1095)</f>
        <v>59</v>
      </c>
      <c r="AG1095" s="2" t="n">
        <f aca="false">INT(AA1095)</f>
        <v>80</v>
      </c>
      <c r="AH1095" s="2" t="n">
        <f aca="false">INT(AB1095)</f>
        <v>85</v>
      </c>
      <c r="AI1095" s="2" t="n">
        <f aca="false">INT(AC1095)</f>
        <v>117</v>
      </c>
      <c r="AJ1095" s="2" t="n">
        <f aca="false">INT(AD1095)</f>
        <v>61</v>
      </c>
      <c r="AK1095" s="2" t="n">
        <f aca="false">Settings!$B$3-SUM(AE1095:AJ1095)</f>
        <v>3</v>
      </c>
      <c r="AL1095" s="2" t="n">
        <f aca="false">ROUND(Y1095-AE1095,9)</f>
        <v>0.350669819</v>
      </c>
      <c r="AM1095" s="2" t="n">
        <f aca="false">ROUND(Z1095-AF1095,9)</f>
        <v>0.101654846</v>
      </c>
      <c r="AN1095" s="2" t="n">
        <f aca="false">ROUND(AA1095-AG1095,9)</f>
        <v>0.772261623</v>
      </c>
      <c r="AO1095" s="2" t="n">
        <f aca="false">ROUND(AB1095-AH1095,9)</f>
        <v>0.894405043</v>
      </c>
      <c r="AP1095" s="2" t="n">
        <f aca="false">ROUND(AC1095-AI1095,9)</f>
        <v>0.80929866</v>
      </c>
      <c r="AQ1095" s="2" t="n">
        <f aca="false">ROUND(AD1095-AJ1095,9)</f>
        <v>0.071710008</v>
      </c>
    </row>
    <row r="1096" customFormat="false" ht="15" hidden="false" customHeight="false" outlineLevel="0" collapsed="false">
      <c r="A1096" s="2" t="n">
        <v>1095</v>
      </c>
      <c r="B1096" s="6" t="n">
        <v>30</v>
      </c>
      <c r="C1096" s="6" t="n">
        <v>52</v>
      </c>
      <c r="D1096" s="8" t="str">
        <f aca="false">INDEX(Bases!$B$2:$B$53,B1096)</f>
        <v>Swablu</v>
      </c>
      <c r="E1096" s="8" t="str">
        <f aca="false">INDEX(Bases!$B$2:$B$53,C1096)</f>
        <v>Togepi</v>
      </c>
      <c r="F1096" s="2" t="str">
        <f aca="false">LEFT(D1096,ROUNDUP(LEN(D1096)/2,0))&amp;LOWER(MID(E1096,ROUNDUP(LEN(E1096)/2,0)+1,20))</f>
        <v>Swaepi</v>
      </c>
      <c r="G1096" s="8" t="str">
        <f aca="false">INDEX(Bases!$C$2:$C$53,B1096)</f>
        <v>Flying</v>
      </c>
      <c r="H1096" s="8" t="str">
        <f aca="false">IF(INDEX(Bases!$C$2:$C$53,C1096)=G1096,"",INDEX(Bases!$C$2:$C$53,C1096))</f>
        <v>Fairy</v>
      </c>
      <c r="I1096" s="8" t="str">
        <f aca="false">IF(INDEX(Bases!$E$2:$E$53,B1096)="","",INDEX(Bases!$E$2:$E$53,B1096))</f>
        <v/>
      </c>
      <c r="J1096" s="8" t="str">
        <f aca="false">IF(INDEX(Bases!$E$2:$E$53,C1096)="","",INDEX(Bases!$E$2:$E$53,C1096))</f>
        <v/>
      </c>
      <c r="K1096" s="5"/>
      <c r="L1096" s="2" t="n">
        <f aca="false">AE1096+IF(SUMPRODUCT(--($AL1096:$AQ1096&gt;AL1096))&lt;$AK1096,1,0)</f>
        <v>69</v>
      </c>
      <c r="M1096" s="2" t="n">
        <f aca="false">AF1096+IF(SUMPRODUCT(--($AL1096:$AQ1096&gt;AM1096))+SUMPRODUCT(--($AL1096:AL1096=AM1096))&lt;$AK1096,1,0)</f>
        <v>55</v>
      </c>
      <c r="N1096" s="2" t="n">
        <f aca="false">AG1096+IF(SUMPRODUCT(--($AL1096:$AQ1096&gt;AN1096))+SUMPRODUCT(--($AL1096:AM1096=AN1096))&lt;$AK1096,1,0)</f>
        <v>116</v>
      </c>
      <c r="O1096" s="2" t="n">
        <f aca="false">AH1096+IF(SUMPRODUCT(--($AL1096:$AQ1096&gt;AO1096))+SUMPRODUCT(--($AL1096:AN1096=AO1096))&lt;$AK1096,1,0)</f>
        <v>73</v>
      </c>
      <c r="P1096" s="2" t="n">
        <f aca="false">AI1096+IF(SUMPRODUCT(--($AL1096:$AQ1096&gt;AP1096))+SUMPRODUCT(--($AL1096:AO1096=AP1096))&lt;$AK1096,1,0)</f>
        <v>123</v>
      </c>
      <c r="Q1096" s="2" t="n">
        <f aca="false">AJ1096+IF(SUMPRODUCT(--($AL1096:$AQ1096&gt;AQ1096))+SUMPRODUCT(--($AL1096:AP1096=AQ1096))&lt;$AK1096,1,0)</f>
        <v>64</v>
      </c>
      <c r="R1096" s="2" t="n">
        <f aca="false">SUM(L1096:Q1096)</f>
        <v>500</v>
      </c>
      <c r="S1096" s="2" t="n">
        <f aca="false">Settings!$B$4*MAX(INDEX(Bases!$M$2:$M$53,B1096),INDEX(Bases!$M$2:$M$53,C1096))+Settings!$B$5*MIN(INDEX(Bases!$M$2:$M$53,B1096),INDEX(Bases!$M$2:$M$53,C1096))</f>
        <v>57.6666666666667</v>
      </c>
      <c r="T1096" s="2" t="n">
        <f aca="false">Settings!$B$4*MAX(INDEX(Bases!$N$2:$N$53,B1096),INDEX(Bases!$N$2:$N$53,C1096))+Settings!$B$5*MIN(INDEX(Bases!$N$2:$N$53,B1096),INDEX(Bases!$N$2:$N$53,C1096))</f>
        <v>45.6666666666667</v>
      </c>
      <c r="U1096" s="2" t="n">
        <f aca="false">Settings!$B$4*MAX(INDEX(Bases!$O$2:$O$53,B1096),INDEX(Bases!$O$2:$O$53,C1096))+Settings!$B$5*MIN(INDEX(Bases!$O$2:$O$53,B1096),INDEX(Bases!$O$2:$O$53,C1096))</f>
        <v>96.3333333333333</v>
      </c>
      <c r="V1096" s="2" t="n">
        <f aca="false">Settings!$B$4*MAX(INDEX(Bases!$P$2:$P$53,B1096),INDEX(Bases!$P$2:$P$53,C1096))+Settings!$B$5*MIN(INDEX(Bases!$P$2:$P$53,B1096),INDEX(Bases!$P$2:$P$53,C1096))</f>
        <v>60.6666666666667</v>
      </c>
      <c r="W1096" s="2" t="n">
        <f aca="false">Settings!$B$4*MAX(INDEX(Bases!$Q$2:$Q$53,B1096),INDEX(Bases!$Q$2:$Q$53,C1096))+Settings!$B$5*MIN(INDEX(Bases!$Q$2:$Q$53,B1096),INDEX(Bases!$Q$2:$Q$53,C1096))</f>
        <v>103</v>
      </c>
      <c r="X1096" s="2" t="n">
        <f aca="false">Settings!$B$4*MAX(INDEX(Bases!$R$2:$R$53,B1096),INDEX(Bases!$R$2:$R$53,C1096))+Settings!$B$5*MIN(INDEX(Bases!$R$2:$R$53,B1096),INDEX(Bases!$R$2:$R$53,C1096))</f>
        <v>53.6666666666667</v>
      </c>
      <c r="Y1096" s="2" t="n">
        <f aca="false">S1096*Settings!$B$3/SUM(S1096:X1096)</f>
        <v>69.1446842525979</v>
      </c>
      <c r="Z1096" s="2" t="n">
        <f aca="false">T1096*Settings!$B$3/SUM(S1096:X1096)</f>
        <v>54.7561950439648</v>
      </c>
      <c r="AA1096" s="2" t="n">
        <f aca="false">U1096*Settings!$B$3/SUM(S1096:X1096)</f>
        <v>115.50759392486</v>
      </c>
      <c r="AB1096" s="2" t="n">
        <f aca="false">V1096*Settings!$B$3/SUM(S1096:X1096)</f>
        <v>72.7418065547562</v>
      </c>
      <c r="AC1096" s="2" t="n">
        <f aca="false">W1096*Settings!$B$3/SUM(S1096:X1096)</f>
        <v>123.501199040767</v>
      </c>
      <c r="AD1096" s="2" t="n">
        <f aca="false">X1096*Settings!$B$3/SUM(S1096:X1096)</f>
        <v>64.3485211830536</v>
      </c>
      <c r="AE1096" s="2" t="n">
        <f aca="false">INT(Y1096)</f>
        <v>69</v>
      </c>
      <c r="AF1096" s="2" t="n">
        <f aca="false">INT(Z1096)</f>
        <v>54</v>
      </c>
      <c r="AG1096" s="2" t="n">
        <f aca="false">INT(AA1096)</f>
        <v>115</v>
      </c>
      <c r="AH1096" s="2" t="n">
        <f aca="false">INT(AB1096)</f>
        <v>72</v>
      </c>
      <c r="AI1096" s="2" t="n">
        <f aca="false">INT(AC1096)</f>
        <v>123</v>
      </c>
      <c r="AJ1096" s="2" t="n">
        <f aca="false">INT(AD1096)</f>
        <v>64</v>
      </c>
      <c r="AK1096" s="2" t="n">
        <f aca="false">Settings!$B$3-SUM(AE1096:AJ1096)</f>
        <v>3</v>
      </c>
      <c r="AL1096" s="2" t="n">
        <f aca="false">ROUND(Y1096-AE1096,9)</f>
        <v>0.144684253</v>
      </c>
      <c r="AM1096" s="2" t="n">
        <f aca="false">ROUND(Z1096-AF1096,9)</f>
        <v>0.756195044</v>
      </c>
      <c r="AN1096" s="2" t="n">
        <f aca="false">ROUND(AA1096-AG1096,9)</f>
        <v>0.507593925</v>
      </c>
      <c r="AO1096" s="2" t="n">
        <f aca="false">ROUND(AB1096-AH1096,9)</f>
        <v>0.741806555</v>
      </c>
      <c r="AP1096" s="2" t="n">
        <f aca="false">ROUND(AC1096-AI1096,9)</f>
        <v>0.501199041</v>
      </c>
      <c r="AQ1096" s="2" t="n">
        <f aca="false">ROUND(AD1096-AJ1096,9)</f>
        <v>0.348521183</v>
      </c>
    </row>
    <row r="1097" customFormat="false" ht="15" hidden="false" customHeight="false" outlineLevel="0" collapsed="false">
      <c r="A1097" s="2" t="n">
        <v>1096</v>
      </c>
      <c r="B1097" s="6" t="n">
        <v>31</v>
      </c>
      <c r="C1097" s="6" t="n">
        <v>32</v>
      </c>
      <c r="D1097" s="8" t="str">
        <f aca="false">INDEX(Bases!$B$2:$B$53,B1097)</f>
        <v>Mew</v>
      </c>
      <c r="E1097" s="8" t="str">
        <f aca="false">INDEX(Bases!$B$2:$B$53,C1097)</f>
        <v>Spoink</v>
      </c>
      <c r="F1097" s="2" t="str">
        <f aca="false">LEFT(D1097,ROUNDUP(LEN(D1097)/2,0))&amp;LOWER(MID(E1097,ROUNDUP(LEN(E1097)/2,0)+1,20))</f>
        <v>Meink</v>
      </c>
      <c r="G1097" s="8" t="str">
        <f aca="false">INDEX(Bases!$C$2:$C$53,B1097)</f>
        <v>Psychic</v>
      </c>
      <c r="H1097" s="8" t="str">
        <f aca="false">IF(INDEX(Bases!$C$2:$C$53,C1097)=G1097,"",INDEX(Bases!$C$2:$C$53,C1097))</f>
        <v/>
      </c>
      <c r="I1097" s="8" t="str">
        <f aca="false">IF(INDEX(Bases!$E$2:$E$53,B1097)="","",INDEX(Bases!$E$2:$E$53,B1097))</f>
        <v/>
      </c>
      <c r="J1097" s="8" t="str">
        <f aca="false">IF(INDEX(Bases!$E$2:$E$53,C1097)="","",INDEX(Bases!$E$2:$E$53,C1097))</f>
        <v/>
      </c>
      <c r="K1097" s="5"/>
      <c r="L1097" s="2" t="n">
        <f aca="false">AE1097+IF(SUMPRODUCT(--($AL1097:$AQ1097&gt;AL1097))&lt;$AK1097,1,0)</f>
        <v>84</v>
      </c>
      <c r="M1097" s="2" t="n">
        <f aca="false">AF1097+IF(SUMPRODUCT(--($AL1097:$AQ1097&gt;AM1097))+SUMPRODUCT(--($AL1097:AL1097=AM1097))&lt;$AK1097,1,0)</f>
        <v>65</v>
      </c>
      <c r="N1097" s="2" t="n">
        <f aca="false">AG1097+IF(SUMPRODUCT(--($AL1097:$AQ1097&gt;AN1097))+SUMPRODUCT(--($AL1097:AM1097=AN1097))&lt;$AK1097,1,0)</f>
        <v>70</v>
      </c>
      <c r="O1097" s="2" t="n">
        <f aca="false">AH1097+IF(SUMPRODUCT(--($AL1097:$AQ1097&gt;AO1097))+SUMPRODUCT(--($AL1097:AN1097=AO1097))&lt;$AK1097,1,0)</f>
        <v>94</v>
      </c>
      <c r="P1097" s="2" t="n">
        <f aca="false">AI1097+IF(SUMPRODUCT(--($AL1097:$AQ1097&gt;AP1097))+SUMPRODUCT(--($AL1097:AO1097=AP1097))&lt;$AK1097,1,0)</f>
        <v>103</v>
      </c>
      <c r="Q1097" s="2" t="n">
        <f aca="false">AJ1097+IF(SUMPRODUCT(--($AL1097:$AQ1097&gt;AQ1097))+SUMPRODUCT(--($AL1097:AP1097=AQ1097))&lt;$AK1097,1,0)</f>
        <v>84</v>
      </c>
      <c r="R1097" s="2" t="n">
        <f aca="false">SUM(L1097:Q1097)</f>
        <v>500</v>
      </c>
      <c r="S1097" s="2" t="n">
        <f aca="false">Settings!$B$4*MAX(INDEX(Bases!$M$2:$M$53,B1097),INDEX(Bases!$M$2:$M$53,C1097))+Settings!$B$5*MIN(INDEX(Bases!$M$2:$M$53,B1097),INDEX(Bases!$M$2:$M$53,C1097))</f>
        <v>71</v>
      </c>
      <c r="T1097" s="2" t="n">
        <f aca="false">Settings!$B$4*MAX(INDEX(Bases!$N$2:$N$53,B1097),INDEX(Bases!$N$2:$N$53,C1097))+Settings!$B$5*MIN(INDEX(Bases!$N$2:$N$53,B1097),INDEX(Bases!$N$2:$N$53,C1097))</f>
        <v>54.6666666666667</v>
      </c>
      <c r="U1097" s="2" t="n">
        <f aca="false">Settings!$B$4*MAX(INDEX(Bases!$O$2:$O$53,B1097),INDEX(Bases!$O$2:$O$53,C1097))+Settings!$B$5*MIN(INDEX(Bases!$O$2:$O$53,B1097),INDEX(Bases!$O$2:$O$53,C1097))</f>
        <v>58.6666666666667</v>
      </c>
      <c r="V1097" s="2" t="n">
        <f aca="false">Settings!$B$4*MAX(INDEX(Bases!$P$2:$P$53,B1097),INDEX(Bases!$P$2:$P$53,C1097))+Settings!$B$5*MIN(INDEX(Bases!$P$2:$P$53,B1097),INDEX(Bases!$P$2:$P$53,C1097))</f>
        <v>79</v>
      </c>
      <c r="W1097" s="2" t="n">
        <f aca="false">Settings!$B$4*MAX(INDEX(Bases!$Q$2:$Q$53,B1097),INDEX(Bases!$Q$2:$Q$53,C1097))+Settings!$B$5*MIN(INDEX(Bases!$Q$2:$Q$53,B1097),INDEX(Bases!$Q$2:$Q$53,C1097))</f>
        <v>86.6666666666667</v>
      </c>
      <c r="X1097" s="2" t="n">
        <f aca="false">Settings!$B$4*MAX(INDEX(Bases!$R$2:$R$53,B1097),INDEX(Bases!$R$2:$R$53,C1097))+Settings!$B$5*MIN(INDEX(Bases!$R$2:$R$53,B1097),INDEX(Bases!$R$2:$R$53,C1097))</f>
        <v>70.6666666666667</v>
      </c>
      <c r="Y1097" s="2" t="n">
        <f aca="false">S1097*Settings!$B$3/SUM(S1097:X1097)</f>
        <v>84.3898573692552</v>
      </c>
      <c r="Z1097" s="2" t="n">
        <f aca="false">T1097*Settings!$B$3/SUM(S1097:X1097)</f>
        <v>64.9762282091918</v>
      </c>
      <c r="AA1097" s="2" t="n">
        <f aca="false">U1097*Settings!$B$3/SUM(S1097:X1097)</f>
        <v>69.7305863708399</v>
      </c>
      <c r="AB1097" s="2" t="n">
        <f aca="false">V1097*Settings!$B$3/SUM(S1097:X1097)</f>
        <v>93.8985736925515</v>
      </c>
      <c r="AC1097" s="2" t="n">
        <f aca="false">W1097*Settings!$B$3/SUM(S1097:X1097)</f>
        <v>103.011093502377</v>
      </c>
      <c r="AD1097" s="2" t="n">
        <f aca="false">X1097*Settings!$B$3/SUM(S1097:X1097)</f>
        <v>83.9936608557845</v>
      </c>
      <c r="AE1097" s="2" t="n">
        <f aca="false">INT(Y1097)</f>
        <v>84</v>
      </c>
      <c r="AF1097" s="2" t="n">
        <f aca="false">INT(Z1097)</f>
        <v>64</v>
      </c>
      <c r="AG1097" s="2" t="n">
        <f aca="false">INT(AA1097)</f>
        <v>69</v>
      </c>
      <c r="AH1097" s="2" t="n">
        <f aca="false">INT(AB1097)</f>
        <v>93</v>
      </c>
      <c r="AI1097" s="2" t="n">
        <f aca="false">INT(AC1097)</f>
        <v>103</v>
      </c>
      <c r="AJ1097" s="2" t="n">
        <f aca="false">INT(AD1097)</f>
        <v>83</v>
      </c>
      <c r="AK1097" s="2" t="n">
        <f aca="false">Settings!$B$3-SUM(AE1097:AJ1097)</f>
        <v>4</v>
      </c>
      <c r="AL1097" s="2" t="n">
        <f aca="false">ROUND(Y1097-AE1097,9)</f>
        <v>0.389857369</v>
      </c>
      <c r="AM1097" s="2" t="n">
        <f aca="false">ROUND(Z1097-AF1097,9)</f>
        <v>0.976228209</v>
      </c>
      <c r="AN1097" s="2" t="n">
        <f aca="false">ROUND(AA1097-AG1097,9)</f>
        <v>0.730586371</v>
      </c>
      <c r="AO1097" s="2" t="n">
        <f aca="false">ROUND(AB1097-AH1097,9)</f>
        <v>0.898573693</v>
      </c>
      <c r="AP1097" s="2" t="n">
        <f aca="false">ROUND(AC1097-AI1097,9)</f>
        <v>0.011093502</v>
      </c>
      <c r="AQ1097" s="2" t="n">
        <f aca="false">ROUND(AD1097-AJ1097,9)</f>
        <v>0.993660856</v>
      </c>
    </row>
    <row r="1098" customFormat="false" ht="15" hidden="false" customHeight="false" outlineLevel="0" collapsed="false">
      <c r="A1098" s="2" t="n">
        <v>1097</v>
      </c>
      <c r="B1098" s="6" t="n">
        <v>31</v>
      </c>
      <c r="C1098" s="6" t="n">
        <v>33</v>
      </c>
      <c r="D1098" s="8" t="str">
        <f aca="false">INDEX(Bases!$B$2:$B$53,B1098)</f>
        <v>Mew</v>
      </c>
      <c r="E1098" s="8" t="str">
        <f aca="false">INDEX(Bases!$B$2:$B$53,C1098)</f>
        <v>Jirachi</v>
      </c>
      <c r="F1098" s="2" t="str">
        <f aca="false">LEFT(D1098,ROUNDUP(LEN(D1098)/2,0))&amp;LOWER(MID(E1098,ROUNDUP(LEN(E1098)/2,0)+1,20))</f>
        <v>Mechi</v>
      </c>
      <c r="G1098" s="8" t="str">
        <f aca="false">INDEX(Bases!$C$2:$C$53,B1098)</f>
        <v>Psychic</v>
      </c>
      <c r="H1098" s="8" t="str">
        <f aca="false">IF(INDEX(Bases!$C$2:$C$53,C1098)=G1098,"",INDEX(Bases!$C$2:$C$53,C1098))</f>
        <v/>
      </c>
      <c r="I1098" s="8" t="str">
        <f aca="false">IF(INDEX(Bases!$E$2:$E$53,B1098)="","",INDEX(Bases!$E$2:$E$53,B1098))</f>
        <v/>
      </c>
      <c r="J1098" s="8" t="str">
        <f aca="false">IF(INDEX(Bases!$E$2:$E$53,C1098)="","",INDEX(Bases!$E$2:$E$53,C1098))</f>
        <v/>
      </c>
      <c r="K1098" s="5"/>
      <c r="L1098" s="2" t="n">
        <f aca="false">AE1098+IF(SUMPRODUCT(--($AL1098:$AQ1098&gt;AL1098))&lt;$AK1098,1,0)</f>
        <v>84</v>
      </c>
      <c r="M1098" s="2" t="n">
        <f aca="false">AF1098+IF(SUMPRODUCT(--($AL1098:$AQ1098&gt;AM1098))+SUMPRODUCT(--($AL1098:AL1098=AM1098))&lt;$AK1098,1,0)</f>
        <v>84</v>
      </c>
      <c r="N1098" s="2" t="n">
        <f aca="false">AG1098+IF(SUMPRODUCT(--($AL1098:$AQ1098&gt;AN1098))+SUMPRODUCT(--($AL1098:AM1098=AN1098))&lt;$AK1098,1,0)</f>
        <v>84</v>
      </c>
      <c r="O1098" s="2" t="n">
        <f aca="false">AH1098+IF(SUMPRODUCT(--($AL1098:$AQ1098&gt;AO1098))+SUMPRODUCT(--($AL1098:AN1098=AO1098))&lt;$AK1098,1,0)</f>
        <v>84</v>
      </c>
      <c r="P1098" s="2" t="n">
        <f aca="false">AI1098+IF(SUMPRODUCT(--($AL1098:$AQ1098&gt;AP1098))+SUMPRODUCT(--($AL1098:AO1098=AP1098))&lt;$AK1098,1,0)</f>
        <v>82</v>
      </c>
      <c r="Q1098" s="2" t="n">
        <f aca="false">AJ1098+IF(SUMPRODUCT(--($AL1098:$AQ1098&gt;AQ1098))+SUMPRODUCT(--($AL1098:AP1098=AQ1098))&lt;$AK1098,1,0)</f>
        <v>82</v>
      </c>
      <c r="R1098" s="2" t="n">
        <f aca="false">SUM(L1098:Q1098)</f>
        <v>500</v>
      </c>
      <c r="S1098" s="2" t="n">
        <f aca="false">Settings!$B$4*MAX(INDEX(Bases!$M$2:$M$53,B1098),INDEX(Bases!$M$2:$M$53,C1098))+Settings!$B$5*MIN(INDEX(Bases!$M$2:$M$53,B1098),INDEX(Bases!$M$2:$M$53,C1098))</f>
        <v>67</v>
      </c>
      <c r="T1098" s="2" t="n">
        <f aca="false">Settings!$B$4*MAX(INDEX(Bases!$N$2:$N$53,B1098),INDEX(Bases!$N$2:$N$53,C1098))+Settings!$B$5*MIN(INDEX(Bases!$N$2:$N$53,B1098),INDEX(Bases!$N$2:$N$53,C1098))</f>
        <v>67</v>
      </c>
      <c r="U1098" s="2" t="n">
        <f aca="false">Settings!$B$4*MAX(INDEX(Bases!$O$2:$O$53,B1098),INDEX(Bases!$O$2:$O$53,C1098))+Settings!$B$5*MIN(INDEX(Bases!$O$2:$O$53,B1098),INDEX(Bases!$O$2:$O$53,C1098))</f>
        <v>67</v>
      </c>
      <c r="V1098" s="2" t="n">
        <f aca="false">Settings!$B$4*MAX(INDEX(Bases!$P$2:$P$53,B1098),INDEX(Bases!$P$2:$P$53,C1098))+Settings!$B$5*MIN(INDEX(Bases!$P$2:$P$53,B1098),INDEX(Bases!$P$2:$P$53,C1098))</f>
        <v>67</v>
      </c>
      <c r="W1098" s="2" t="n">
        <f aca="false">Settings!$B$4*MAX(INDEX(Bases!$Q$2:$Q$53,B1098),INDEX(Bases!$Q$2:$Q$53,C1098))+Settings!$B$5*MIN(INDEX(Bases!$Q$2:$Q$53,B1098),INDEX(Bases!$Q$2:$Q$53,C1098))</f>
        <v>66</v>
      </c>
      <c r="X1098" s="2" t="n">
        <f aca="false">Settings!$B$4*MAX(INDEX(Bases!$R$2:$R$53,B1098),INDEX(Bases!$R$2:$R$53,C1098))+Settings!$B$5*MIN(INDEX(Bases!$R$2:$R$53,B1098),INDEX(Bases!$R$2:$R$53,C1098))</f>
        <v>66</v>
      </c>
      <c r="Y1098" s="2" t="n">
        <f aca="false">S1098*Settings!$B$3/SUM(S1098:X1098)</f>
        <v>83.75</v>
      </c>
      <c r="Z1098" s="2" t="n">
        <f aca="false">T1098*Settings!$B$3/SUM(S1098:X1098)</f>
        <v>83.75</v>
      </c>
      <c r="AA1098" s="2" t="n">
        <f aca="false">U1098*Settings!$B$3/SUM(S1098:X1098)</f>
        <v>83.75</v>
      </c>
      <c r="AB1098" s="2" t="n">
        <f aca="false">V1098*Settings!$B$3/SUM(S1098:X1098)</f>
        <v>83.75</v>
      </c>
      <c r="AC1098" s="2" t="n">
        <f aca="false">W1098*Settings!$B$3/SUM(S1098:X1098)</f>
        <v>82.5</v>
      </c>
      <c r="AD1098" s="2" t="n">
        <f aca="false">X1098*Settings!$B$3/SUM(S1098:X1098)</f>
        <v>82.5</v>
      </c>
      <c r="AE1098" s="2" t="n">
        <f aca="false">INT(Y1098)</f>
        <v>83</v>
      </c>
      <c r="AF1098" s="2" t="n">
        <f aca="false">INT(Z1098)</f>
        <v>83</v>
      </c>
      <c r="AG1098" s="2" t="n">
        <f aca="false">INT(AA1098)</f>
        <v>83</v>
      </c>
      <c r="AH1098" s="2" t="n">
        <f aca="false">INT(AB1098)</f>
        <v>83</v>
      </c>
      <c r="AI1098" s="2" t="n">
        <f aca="false">INT(AC1098)</f>
        <v>82</v>
      </c>
      <c r="AJ1098" s="2" t="n">
        <f aca="false">INT(AD1098)</f>
        <v>82</v>
      </c>
      <c r="AK1098" s="2" t="n">
        <f aca="false">Settings!$B$3-SUM(AE1098:AJ1098)</f>
        <v>4</v>
      </c>
      <c r="AL1098" s="2" t="n">
        <f aca="false">ROUND(Y1098-AE1098,9)</f>
        <v>0.75</v>
      </c>
      <c r="AM1098" s="2" t="n">
        <f aca="false">ROUND(Z1098-AF1098,9)</f>
        <v>0.75</v>
      </c>
      <c r="AN1098" s="2" t="n">
        <f aca="false">ROUND(AA1098-AG1098,9)</f>
        <v>0.75</v>
      </c>
      <c r="AO1098" s="2" t="n">
        <f aca="false">ROUND(AB1098-AH1098,9)</f>
        <v>0.75</v>
      </c>
      <c r="AP1098" s="2" t="n">
        <f aca="false">ROUND(AC1098-AI1098,9)</f>
        <v>0.5</v>
      </c>
      <c r="AQ1098" s="2" t="n">
        <f aca="false">ROUND(AD1098-AJ1098,9)</f>
        <v>0.5</v>
      </c>
    </row>
    <row r="1099" customFormat="false" ht="15" hidden="false" customHeight="false" outlineLevel="0" collapsed="false">
      <c r="A1099" s="2" t="n">
        <v>1098</v>
      </c>
      <c r="B1099" s="6" t="n">
        <v>31</v>
      </c>
      <c r="C1099" s="6" t="n">
        <v>34</v>
      </c>
      <c r="D1099" s="8" t="str">
        <f aca="false">INDEX(Bases!$B$2:$B$53,B1099)</f>
        <v>Mew</v>
      </c>
      <c r="E1099" s="8" t="str">
        <f aca="false">INDEX(Bases!$B$2:$B$53,C1099)</f>
        <v>Paras</v>
      </c>
      <c r="F1099" s="2" t="str">
        <f aca="false">LEFT(D1099,ROUNDUP(LEN(D1099)/2,0))&amp;LOWER(MID(E1099,ROUNDUP(LEN(E1099)/2,0)+1,20))</f>
        <v>Meas</v>
      </c>
      <c r="G1099" s="8" t="str">
        <f aca="false">INDEX(Bases!$C$2:$C$53,B1099)</f>
        <v>Psychic</v>
      </c>
      <c r="H1099" s="8" t="str">
        <f aca="false">IF(INDEX(Bases!$C$2:$C$53,C1099)=G1099,"",INDEX(Bases!$C$2:$C$53,C1099))</f>
        <v>Bug</v>
      </c>
      <c r="I1099" s="8" t="str">
        <f aca="false">IF(INDEX(Bases!$E$2:$E$53,B1099)="","",INDEX(Bases!$E$2:$E$53,B1099))</f>
        <v/>
      </c>
      <c r="J1099" s="8" t="str">
        <f aca="false">IF(INDEX(Bases!$E$2:$E$53,C1099)="","",INDEX(Bases!$E$2:$E$53,C1099))</f>
        <v/>
      </c>
      <c r="K1099" s="5"/>
      <c r="L1099" s="2" t="n">
        <f aca="false">AE1099+IF(SUMPRODUCT(--($AL1099:$AQ1099&gt;AL1099))&lt;$AK1099,1,0)</f>
        <v>73</v>
      </c>
      <c r="M1099" s="2" t="n">
        <f aca="false">AF1099+IF(SUMPRODUCT(--($AL1099:$AQ1099&gt;AM1099))+SUMPRODUCT(--($AL1099:AL1099=AM1099))&lt;$AK1099,1,0)</f>
        <v>106</v>
      </c>
      <c r="N1099" s="2" t="n">
        <f aca="false">AG1099+IF(SUMPRODUCT(--($AL1099:$AQ1099&gt;AN1099))+SUMPRODUCT(--($AL1099:AM1099=AN1099))&lt;$AK1099,1,0)</f>
        <v>88</v>
      </c>
      <c r="O1099" s="2" t="n">
        <f aca="false">AH1099+IF(SUMPRODUCT(--($AL1099:$AQ1099&gt;AO1099))+SUMPRODUCT(--($AL1099:AN1099=AO1099))&lt;$AK1099,1,0)</f>
        <v>78</v>
      </c>
      <c r="P1099" s="2" t="n">
        <f aca="false">AI1099+IF(SUMPRODUCT(--($AL1099:$AQ1099&gt;AP1099))+SUMPRODUCT(--($AL1099:AO1099=AP1099))&lt;$AK1099,1,0)</f>
        <v>88</v>
      </c>
      <c r="Q1099" s="2" t="n">
        <f aca="false">AJ1099+IF(SUMPRODUCT(--($AL1099:$AQ1099&gt;AQ1099))+SUMPRODUCT(--($AL1099:AP1099=AQ1099))&lt;$AK1099,1,0)</f>
        <v>67</v>
      </c>
      <c r="R1099" s="2" t="n">
        <f aca="false">SUM(L1099:Q1099)</f>
        <v>500</v>
      </c>
      <c r="S1099" s="2" t="n">
        <f aca="false">Settings!$B$4*MAX(INDEX(Bases!$M$2:$M$53,B1099),INDEX(Bases!$M$2:$M$53,C1099))+Settings!$B$5*MIN(INDEX(Bases!$M$2:$M$53,B1099),INDEX(Bases!$M$2:$M$53,C1099))</f>
        <v>61</v>
      </c>
      <c r="T1099" s="2" t="n">
        <f aca="false">Settings!$B$4*MAX(INDEX(Bases!$N$2:$N$53,B1099),INDEX(Bases!$N$2:$N$53,C1099))+Settings!$B$5*MIN(INDEX(Bases!$N$2:$N$53,B1099),INDEX(Bases!$N$2:$N$53,C1099))</f>
        <v>88.3333333333333</v>
      </c>
      <c r="U1099" s="2" t="n">
        <f aca="false">Settings!$B$4*MAX(INDEX(Bases!$O$2:$O$53,B1099),INDEX(Bases!$O$2:$O$53,C1099))+Settings!$B$5*MIN(INDEX(Bases!$O$2:$O$53,B1099),INDEX(Bases!$O$2:$O$53,C1099))</f>
        <v>73.6666666666667</v>
      </c>
      <c r="V1099" s="2" t="n">
        <f aca="false">Settings!$B$4*MAX(INDEX(Bases!$P$2:$P$53,B1099),INDEX(Bases!$P$2:$P$53,C1099))+Settings!$B$5*MIN(INDEX(Bases!$P$2:$P$53,B1099),INDEX(Bases!$P$2:$P$53,C1099))</f>
        <v>65.6666666666667</v>
      </c>
      <c r="W1099" s="2" t="n">
        <f aca="false">Settings!$B$4*MAX(INDEX(Bases!$Q$2:$Q$53,B1099),INDEX(Bases!$Q$2:$Q$53,C1099))+Settings!$B$5*MIN(INDEX(Bases!$Q$2:$Q$53,B1099),INDEX(Bases!$Q$2:$Q$53,C1099))</f>
        <v>73.3333333333333</v>
      </c>
      <c r="X1099" s="2" t="n">
        <f aca="false">Settings!$B$4*MAX(INDEX(Bases!$R$2:$R$53,B1099),INDEX(Bases!$R$2:$R$53,C1099))+Settings!$B$5*MIN(INDEX(Bases!$R$2:$R$53,B1099),INDEX(Bases!$R$2:$R$53,C1099))</f>
        <v>55.6666666666667</v>
      </c>
      <c r="Y1099" s="2" t="n">
        <f aca="false">S1099*Settings!$B$3/SUM(S1099:X1099)</f>
        <v>73.024740622506</v>
      </c>
      <c r="Z1099" s="2" t="n">
        <f aca="false">T1099*Settings!$B$3/SUM(S1099:X1099)</f>
        <v>105.746209098164</v>
      </c>
      <c r="AA1099" s="2" t="n">
        <f aca="false">U1099*Settings!$B$3/SUM(S1099:X1099)</f>
        <v>88.1883479648843</v>
      </c>
      <c r="AB1099" s="2" t="n">
        <f aca="false">V1099*Settings!$B$3/SUM(S1099:X1099)</f>
        <v>78.6113328012769</v>
      </c>
      <c r="AC1099" s="2" t="n">
        <f aca="false">W1099*Settings!$B$3/SUM(S1099:X1099)</f>
        <v>87.7893056664006</v>
      </c>
      <c r="AD1099" s="2" t="n">
        <f aca="false">X1099*Settings!$B$3/SUM(S1099:X1099)</f>
        <v>66.6400638467678</v>
      </c>
      <c r="AE1099" s="2" t="n">
        <f aca="false">INT(Y1099)</f>
        <v>73</v>
      </c>
      <c r="AF1099" s="2" t="n">
        <f aca="false">INT(Z1099)</f>
        <v>105</v>
      </c>
      <c r="AG1099" s="2" t="n">
        <f aca="false">INT(AA1099)</f>
        <v>88</v>
      </c>
      <c r="AH1099" s="2" t="n">
        <f aca="false">INT(AB1099)</f>
        <v>78</v>
      </c>
      <c r="AI1099" s="2" t="n">
        <f aca="false">INT(AC1099)</f>
        <v>87</v>
      </c>
      <c r="AJ1099" s="2" t="n">
        <f aca="false">INT(AD1099)</f>
        <v>66</v>
      </c>
      <c r="AK1099" s="2" t="n">
        <f aca="false">Settings!$B$3-SUM(AE1099:AJ1099)</f>
        <v>3</v>
      </c>
      <c r="AL1099" s="2" t="n">
        <f aca="false">ROUND(Y1099-AE1099,9)</f>
        <v>0.024740623</v>
      </c>
      <c r="AM1099" s="2" t="n">
        <f aca="false">ROUND(Z1099-AF1099,9)</f>
        <v>0.746209098</v>
      </c>
      <c r="AN1099" s="2" t="n">
        <f aca="false">ROUND(AA1099-AG1099,9)</f>
        <v>0.188347965</v>
      </c>
      <c r="AO1099" s="2" t="n">
        <f aca="false">ROUND(AB1099-AH1099,9)</f>
        <v>0.611332801</v>
      </c>
      <c r="AP1099" s="2" t="n">
        <f aca="false">ROUND(AC1099-AI1099,9)</f>
        <v>0.789305666</v>
      </c>
      <c r="AQ1099" s="2" t="n">
        <f aca="false">ROUND(AD1099-AJ1099,9)</f>
        <v>0.640063847</v>
      </c>
    </row>
    <row r="1100" customFormat="false" ht="15" hidden="false" customHeight="false" outlineLevel="0" collapsed="false">
      <c r="A1100" s="2" t="n">
        <v>1099</v>
      </c>
      <c r="B1100" s="6" t="n">
        <v>31</v>
      </c>
      <c r="C1100" s="6" t="n">
        <v>35</v>
      </c>
      <c r="D1100" s="8" t="str">
        <f aca="false">INDEX(Bases!$B$2:$B$53,B1100)</f>
        <v>Mew</v>
      </c>
      <c r="E1100" s="8" t="str">
        <f aca="false">INDEX(Bases!$B$2:$B$53,C1100)</f>
        <v>Pineco</v>
      </c>
      <c r="F1100" s="2" t="str">
        <f aca="false">LEFT(D1100,ROUNDUP(LEN(D1100)/2,0))&amp;LOWER(MID(E1100,ROUNDUP(LEN(E1100)/2,0)+1,20))</f>
        <v>Meeco</v>
      </c>
      <c r="G1100" s="8" t="str">
        <f aca="false">INDEX(Bases!$C$2:$C$53,B1100)</f>
        <v>Psychic</v>
      </c>
      <c r="H1100" s="8" t="str">
        <f aca="false">IF(INDEX(Bases!$C$2:$C$53,C1100)=G1100,"",INDEX(Bases!$C$2:$C$53,C1100))</f>
        <v>Bug</v>
      </c>
      <c r="I1100" s="8" t="str">
        <f aca="false">IF(INDEX(Bases!$E$2:$E$53,B1100)="","",INDEX(Bases!$E$2:$E$53,B1100))</f>
        <v/>
      </c>
      <c r="J1100" s="8" t="str">
        <f aca="false">IF(INDEX(Bases!$E$2:$E$53,C1100)="","",INDEX(Bases!$E$2:$E$53,C1100))</f>
        <v/>
      </c>
      <c r="K1100" s="5"/>
      <c r="L1100" s="2" t="n">
        <f aca="false">AE1100+IF(SUMPRODUCT(--($AL1100:$AQ1100&gt;AL1100))&lt;$AK1100,1,0)</f>
        <v>80</v>
      </c>
      <c r="M1100" s="2" t="n">
        <f aca="false">AF1100+IF(SUMPRODUCT(--($AL1100:$AQ1100&gt;AM1100))+SUMPRODUCT(--($AL1100:AL1100=AM1100))&lt;$AK1100,1,0)</f>
        <v>96</v>
      </c>
      <c r="N1100" s="2" t="n">
        <f aca="false">AG1100+IF(SUMPRODUCT(--($AL1100:$AQ1100&gt;AN1100))+SUMPRODUCT(--($AL1100:AM1100=AN1100))&lt;$AK1100,1,0)</f>
        <v>123</v>
      </c>
      <c r="O1100" s="2" t="n">
        <f aca="false">AH1100+IF(SUMPRODUCT(--($AL1100:$AQ1100&gt;AO1100))+SUMPRODUCT(--($AL1100:AN1100=AO1100))&lt;$AK1100,1,0)</f>
        <v>71</v>
      </c>
      <c r="P1100" s="2" t="n">
        <f aca="false">AI1100+IF(SUMPRODUCT(--($AL1100:$AQ1100&gt;AP1100))+SUMPRODUCT(--($AL1100:AO1100=AP1100))&lt;$AK1100,1,0)</f>
        <v>70</v>
      </c>
      <c r="Q1100" s="2" t="n">
        <f aca="false">AJ1100+IF(SUMPRODUCT(--($AL1100:$AQ1100&gt;AQ1100))+SUMPRODUCT(--($AL1100:AP1100=AQ1100))&lt;$AK1100,1,0)</f>
        <v>60</v>
      </c>
      <c r="R1100" s="2" t="n">
        <f aca="false">SUM(L1100:Q1100)</f>
        <v>500</v>
      </c>
      <c r="S1100" s="2" t="n">
        <f aca="false">Settings!$B$4*MAX(INDEX(Bases!$M$2:$M$53,B1100),INDEX(Bases!$M$2:$M$53,C1100))+Settings!$B$5*MIN(INDEX(Bases!$M$2:$M$53,B1100),INDEX(Bases!$M$2:$M$53,C1100))</f>
        <v>68.3333333333333</v>
      </c>
      <c r="T1100" s="2" t="n">
        <f aca="false">Settings!$B$4*MAX(INDEX(Bases!$N$2:$N$53,B1100),INDEX(Bases!$N$2:$N$53,C1100))+Settings!$B$5*MIN(INDEX(Bases!$N$2:$N$53,B1100),INDEX(Bases!$N$2:$N$53,C1100))</f>
        <v>82.3333333333333</v>
      </c>
      <c r="U1100" s="2" t="n">
        <f aca="false">Settings!$B$4*MAX(INDEX(Bases!$O$2:$O$53,B1100),INDEX(Bases!$O$2:$O$53,C1100))+Settings!$B$5*MIN(INDEX(Bases!$O$2:$O$53,B1100),INDEX(Bases!$O$2:$O$53,C1100))</f>
        <v>105</v>
      </c>
      <c r="V1100" s="2" t="n">
        <f aca="false">Settings!$B$4*MAX(INDEX(Bases!$P$2:$P$53,B1100),INDEX(Bases!$P$2:$P$53,C1100))+Settings!$B$5*MIN(INDEX(Bases!$P$2:$P$53,B1100),INDEX(Bases!$P$2:$P$53,C1100))</f>
        <v>60.6666666666667</v>
      </c>
      <c r="W1100" s="2" t="n">
        <f aca="false">Settings!$B$4*MAX(INDEX(Bases!$Q$2:$Q$53,B1100),INDEX(Bases!$Q$2:$Q$53,C1100))+Settings!$B$5*MIN(INDEX(Bases!$Q$2:$Q$53,B1100),INDEX(Bases!$Q$2:$Q$53,C1100))</f>
        <v>60</v>
      </c>
      <c r="X1100" s="2" t="n">
        <f aca="false">Settings!$B$4*MAX(INDEX(Bases!$R$2:$R$53,B1100),INDEX(Bases!$R$2:$R$53,C1100))+Settings!$B$5*MIN(INDEX(Bases!$R$2:$R$53,B1100),INDEX(Bases!$R$2:$R$53,C1100))</f>
        <v>51</v>
      </c>
      <c r="Y1100" s="2" t="n">
        <f aca="false">S1100*Settings!$B$3/SUM(S1100:X1100)</f>
        <v>79.9531981279251</v>
      </c>
      <c r="Z1100" s="2" t="n">
        <f aca="false">T1100*Settings!$B$3/SUM(S1100:X1100)</f>
        <v>96.3338533541342</v>
      </c>
      <c r="AA1100" s="2" t="n">
        <f aca="false">U1100*Settings!$B$3/SUM(S1100:X1100)</f>
        <v>122.854914196568</v>
      </c>
      <c r="AB1100" s="2" t="n">
        <f aca="false">V1100*Settings!$B$3/SUM(S1100:X1100)</f>
        <v>70.9828393135725</v>
      </c>
      <c r="AC1100" s="2" t="n">
        <f aca="false">W1100*Settings!$B$3/SUM(S1100:X1100)</f>
        <v>70.2028081123245</v>
      </c>
      <c r="AD1100" s="2" t="n">
        <f aca="false">X1100*Settings!$B$3/SUM(S1100:X1100)</f>
        <v>59.6723868954758</v>
      </c>
      <c r="AE1100" s="2" t="n">
        <f aca="false">INT(Y1100)</f>
        <v>79</v>
      </c>
      <c r="AF1100" s="2" t="n">
        <f aca="false">INT(Z1100)</f>
        <v>96</v>
      </c>
      <c r="AG1100" s="2" t="n">
        <f aca="false">INT(AA1100)</f>
        <v>122</v>
      </c>
      <c r="AH1100" s="2" t="n">
        <f aca="false">INT(AB1100)</f>
        <v>70</v>
      </c>
      <c r="AI1100" s="2" t="n">
        <f aca="false">INT(AC1100)</f>
        <v>70</v>
      </c>
      <c r="AJ1100" s="2" t="n">
        <f aca="false">INT(AD1100)</f>
        <v>59</v>
      </c>
      <c r="AK1100" s="2" t="n">
        <f aca="false">Settings!$B$3-SUM(AE1100:AJ1100)</f>
        <v>4</v>
      </c>
      <c r="AL1100" s="2" t="n">
        <f aca="false">ROUND(Y1100-AE1100,9)</f>
        <v>0.953198128</v>
      </c>
      <c r="AM1100" s="2" t="n">
        <f aca="false">ROUND(Z1100-AF1100,9)</f>
        <v>0.333853354</v>
      </c>
      <c r="AN1100" s="2" t="n">
        <f aca="false">ROUND(AA1100-AG1100,9)</f>
        <v>0.854914197</v>
      </c>
      <c r="AO1100" s="2" t="n">
        <f aca="false">ROUND(AB1100-AH1100,9)</f>
        <v>0.982839314</v>
      </c>
      <c r="AP1100" s="2" t="n">
        <f aca="false">ROUND(AC1100-AI1100,9)</f>
        <v>0.202808112</v>
      </c>
      <c r="AQ1100" s="2" t="n">
        <f aca="false">ROUND(AD1100-AJ1100,9)</f>
        <v>0.672386895</v>
      </c>
    </row>
    <row r="1101" customFormat="false" ht="15" hidden="false" customHeight="false" outlineLevel="0" collapsed="false">
      <c r="A1101" s="2" t="n">
        <v>1100</v>
      </c>
      <c r="B1101" s="6" t="n">
        <v>31</v>
      </c>
      <c r="C1101" s="6" t="n">
        <v>36</v>
      </c>
      <c r="D1101" s="8" t="str">
        <f aca="false">INDEX(Bases!$B$2:$B$53,B1101)</f>
        <v>Mew</v>
      </c>
      <c r="E1101" s="8" t="str">
        <f aca="false">INDEX(Bases!$B$2:$B$53,C1101)</f>
        <v>Wurmple</v>
      </c>
      <c r="F1101" s="2" t="str">
        <f aca="false">LEFT(D1101,ROUNDUP(LEN(D1101)/2,0))&amp;LOWER(MID(E1101,ROUNDUP(LEN(E1101)/2,0)+1,20))</f>
        <v>Meple</v>
      </c>
      <c r="G1101" s="8" t="str">
        <f aca="false">INDEX(Bases!$C$2:$C$53,B1101)</f>
        <v>Psychic</v>
      </c>
      <c r="H1101" s="8" t="str">
        <f aca="false">IF(INDEX(Bases!$C$2:$C$53,C1101)=G1101,"",INDEX(Bases!$C$2:$C$53,C1101))</f>
        <v>Bug</v>
      </c>
      <c r="I1101" s="8" t="str">
        <f aca="false">IF(INDEX(Bases!$E$2:$E$53,B1101)="","",INDEX(Bases!$E$2:$E$53,B1101))</f>
        <v/>
      </c>
      <c r="J1101" s="8" t="str">
        <f aca="false">IF(INDEX(Bases!$E$2:$E$53,C1101)="","",INDEX(Bases!$E$2:$E$53,C1101))</f>
        <v/>
      </c>
      <c r="K1101" s="5"/>
      <c r="L1101" s="2" t="n">
        <f aca="false">AE1101+IF(SUMPRODUCT(--($AL1101:$AQ1101&gt;AL1101))&lt;$AK1101,1,0)</f>
        <v>100</v>
      </c>
      <c r="M1101" s="2" t="n">
        <f aca="false">AF1101+IF(SUMPRODUCT(--($AL1101:$AQ1101&gt;AM1101))+SUMPRODUCT(--($AL1101:AL1101=AM1101))&lt;$AK1101,1,0)</f>
        <v>100</v>
      </c>
      <c r="N1101" s="2" t="n">
        <f aca="false">AG1101+IF(SUMPRODUCT(--($AL1101:$AQ1101&gt;AN1101))+SUMPRODUCT(--($AL1101:AM1101=AN1101))&lt;$AK1101,1,0)</f>
        <v>84</v>
      </c>
      <c r="O1101" s="2" t="n">
        <f aca="false">AH1101+IF(SUMPRODUCT(--($AL1101:$AQ1101&gt;AO1101))+SUMPRODUCT(--($AL1101:AN1101=AO1101))&lt;$AK1101,1,0)</f>
        <v>70</v>
      </c>
      <c r="P1101" s="2" t="n">
        <f aca="false">AI1101+IF(SUMPRODUCT(--($AL1101:$AQ1101&gt;AP1101))+SUMPRODUCT(--($AL1101:AO1101=AP1101))&lt;$AK1101,1,0)</f>
        <v>77</v>
      </c>
      <c r="Q1101" s="2" t="n">
        <f aca="false">AJ1101+IF(SUMPRODUCT(--($AL1101:$AQ1101&gt;AQ1101))+SUMPRODUCT(--($AL1101:AP1101=AQ1101))&lt;$AK1101,1,0)</f>
        <v>69</v>
      </c>
      <c r="R1101" s="2" t="n">
        <f aca="false">SUM(L1101:Q1101)</f>
        <v>500</v>
      </c>
      <c r="S1101" s="2" t="n">
        <f aca="false">Settings!$B$4*MAX(INDEX(Bases!$M$2:$M$53,B1101),INDEX(Bases!$M$2:$M$53,C1101))+Settings!$B$5*MIN(INDEX(Bases!$M$2:$M$53,B1101),INDEX(Bases!$M$2:$M$53,C1101))</f>
        <v>83.6666666666667</v>
      </c>
      <c r="T1101" s="2" t="n">
        <f aca="false">Settings!$B$4*MAX(INDEX(Bases!$N$2:$N$53,B1101),INDEX(Bases!$N$2:$N$53,C1101))+Settings!$B$5*MIN(INDEX(Bases!$N$2:$N$53,B1101),INDEX(Bases!$N$2:$N$53,C1101))</f>
        <v>83.6666666666667</v>
      </c>
      <c r="U1101" s="2" t="n">
        <f aca="false">Settings!$B$4*MAX(INDEX(Bases!$O$2:$O$53,B1101),INDEX(Bases!$O$2:$O$53,C1101))+Settings!$B$5*MIN(INDEX(Bases!$O$2:$O$53,B1101),INDEX(Bases!$O$2:$O$53,C1101))</f>
        <v>70.3333333333333</v>
      </c>
      <c r="V1101" s="2" t="n">
        <f aca="false">Settings!$B$4*MAX(INDEX(Bases!$P$2:$P$53,B1101),INDEX(Bases!$P$2:$P$53,C1101))+Settings!$B$5*MIN(INDEX(Bases!$P$2:$P$53,B1101),INDEX(Bases!$P$2:$P$53,C1101))</f>
        <v>58.3333333333333</v>
      </c>
      <c r="W1101" s="2" t="n">
        <f aca="false">Settings!$B$4*MAX(INDEX(Bases!$Q$2:$Q$53,B1101),INDEX(Bases!$Q$2:$Q$53,C1101))+Settings!$B$5*MIN(INDEX(Bases!$Q$2:$Q$53,B1101),INDEX(Bases!$Q$2:$Q$53,C1101))</f>
        <v>64.6666666666667</v>
      </c>
      <c r="X1101" s="2" t="n">
        <f aca="false">Settings!$B$4*MAX(INDEX(Bases!$R$2:$R$53,B1101),INDEX(Bases!$R$2:$R$53,C1101))+Settings!$B$5*MIN(INDEX(Bases!$R$2:$R$53,B1101),INDEX(Bases!$R$2:$R$53,C1101))</f>
        <v>57.6666666666667</v>
      </c>
      <c r="Y1101" s="2" t="n">
        <f aca="false">S1101*Settings!$B$3/SUM(S1101:X1101)</f>
        <v>100</v>
      </c>
      <c r="Z1101" s="2" t="n">
        <f aca="false">T1101*Settings!$B$3/SUM(S1101:X1101)</f>
        <v>100</v>
      </c>
      <c r="AA1101" s="2" t="n">
        <f aca="false">U1101*Settings!$B$3/SUM(S1101:X1101)</f>
        <v>84.0637450199203</v>
      </c>
      <c r="AB1101" s="2" t="n">
        <f aca="false">V1101*Settings!$B$3/SUM(S1101:X1101)</f>
        <v>69.7211155378486</v>
      </c>
      <c r="AC1101" s="2" t="n">
        <f aca="false">W1101*Settings!$B$3/SUM(S1101:X1101)</f>
        <v>77.2908366533865</v>
      </c>
      <c r="AD1101" s="2" t="n">
        <f aca="false">X1101*Settings!$B$3/SUM(S1101:X1101)</f>
        <v>68.9243027888446</v>
      </c>
      <c r="AE1101" s="2" t="n">
        <f aca="false">INT(Y1101)</f>
        <v>100</v>
      </c>
      <c r="AF1101" s="2" t="n">
        <f aca="false">INT(Z1101)</f>
        <v>100</v>
      </c>
      <c r="AG1101" s="2" t="n">
        <f aca="false">INT(AA1101)</f>
        <v>84</v>
      </c>
      <c r="AH1101" s="2" t="n">
        <f aca="false">INT(AB1101)</f>
        <v>69</v>
      </c>
      <c r="AI1101" s="2" t="n">
        <f aca="false">INT(AC1101)</f>
        <v>77</v>
      </c>
      <c r="AJ1101" s="2" t="n">
        <f aca="false">INT(AD1101)</f>
        <v>68</v>
      </c>
      <c r="AK1101" s="2" t="n">
        <f aca="false">Settings!$B$3-SUM(AE1101:AJ1101)</f>
        <v>2</v>
      </c>
      <c r="AL1101" s="2" t="n">
        <f aca="false">ROUND(Y1101-AE1101,9)</f>
        <v>0</v>
      </c>
      <c r="AM1101" s="2" t="n">
        <f aca="false">ROUND(Z1101-AF1101,9)</f>
        <v>0</v>
      </c>
      <c r="AN1101" s="2" t="n">
        <f aca="false">ROUND(AA1101-AG1101,9)</f>
        <v>0.06374502</v>
      </c>
      <c r="AO1101" s="2" t="n">
        <f aca="false">ROUND(AB1101-AH1101,9)</f>
        <v>0.721115538</v>
      </c>
      <c r="AP1101" s="2" t="n">
        <f aca="false">ROUND(AC1101-AI1101,9)</f>
        <v>0.290836653</v>
      </c>
      <c r="AQ1101" s="2" t="n">
        <f aca="false">ROUND(AD1101-AJ1101,9)</f>
        <v>0.924302789</v>
      </c>
    </row>
    <row r="1102" customFormat="false" ht="15" hidden="false" customHeight="false" outlineLevel="0" collapsed="false">
      <c r="A1102" s="2" t="n">
        <v>1101</v>
      </c>
      <c r="B1102" s="6" t="n">
        <v>31</v>
      </c>
      <c r="C1102" s="6" t="n">
        <v>37</v>
      </c>
      <c r="D1102" s="8" t="str">
        <f aca="false">INDEX(Bases!$B$2:$B$53,B1102)</f>
        <v>Mew</v>
      </c>
      <c r="E1102" s="8" t="str">
        <f aca="false">INDEX(Bases!$B$2:$B$53,C1102)</f>
        <v>Shuckle</v>
      </c>
      <c r="F1102" s="2" t="str">
        <f aca="false">LEFT(D1102,ROUNDUP(LEN(D1102)/2,0))&amp;LOWER(MID(E1102,ROUNDUP(LEN(E1102)/2,0)+1,20))</f>
        <v>Mekle</v>
      </c>
      <c r="G1102" s="8" t="str">
        <f aca="false">INDEX(Bases!$C$2:$C$53,B1102)</f>
        <v>Psychic</v>
      </c>
      <c r="H1102" s="8" t="str">
        <f aca="false">IF(INDEX(Bases!$C$2:$C$53,C1102)=G1102,"",INDEX(Bases!$C$2:$C$53,C1102))</f>
        <v>Rock</v>
      </c>
      <c r="I1102" s="8" t="str">
        <f aca="false">IF(INDEX(Bases!$E$2:$E$53,B1102)="","",INDEX(Bases!$E$2:$E$53,B1102))</f>
        <v/>
      </c>
      <c r="J1102" s="8" t="str">
        <f aca="false">IF(INDEX(Bases!$E$2:$E$53,C1102)="","",INDEX(Bases!$E$2:$E$53,C1102))</f>
        <v/>
      </c>
      <c r="K1102" s="5"/>
      <c r="L1102" s="2" t="n">
        <f aca="false">AE1102+IF(SUMPRODUCT(--($AL1102:$AQ1102&gt;AL1102))&lt;$AK1102,1,0)</f>
        <v>52</v>
      </c>
      <c r="M1102" s="2" t="n">
        <f aca="false">AF1102+IF(SUMPRODUCT(--($AL1102:$AQ1102&gt;AM1102))+SUMPRODUCT(--($AL1102:AL1102=AM1102))&lt;$AK1102,1,0)</f>
        <v>50</v>
      </c>
      <c r="N1102" s="2" t="n">
        <f aca="false">AG1102+IF(SUMPRODUCT(--($AL1102:$AQ1102&gt;AN1102))+SUMPRODUCT(--($AL1102:AM1102=AN1102))&lt;$AK1102,1,0)</f>
        <v>151</v>
      </c>
      <c r="O1102" s="2" t="n">
        <f aca="false">AH1102+IF(SUMPRODUCT(--($AL1102:$AQ1102&gt;AO1102))+SUMPRODUCT(--($AL1102:AN1102=AO1102))&lt;$AK1102,1,0)</f>
        <v>50</v>
      </c>
      <c r="P1102" s="2" t="n">
        <f aca="false">AI1102+IF(SUMPRODUCT(--($AL1102:$AQ1102&gt;AP1102))+SUMPRODUCT(--($AL1102:AO1102=AP1102))&lt;$AK1102,1,0)</f>
        <v>150</v>
      </c>
      <c r="Q1102" s="2" t="n">
        <f aca="false">AJ1102+IF(SUMPRODUCT(--($AL1102:$AQ1102&gt;AQ1102))+SUMPRODUCT(--($AL1102:AP1102=AQ1102))&lt;$AK1102,1,0)</f>
        <v>47</v>
      </c>
      <c r="R1102" s="2" t="n">
        <f aca="false">SUM(L1102:Q1102)</f>
        <v>500</v>
      </c>
      <c r="S1102" s="2" t="n">
        <f aca="false">Settings!$B$4*MAX(INDEX(Bases!$M$2:$M$53,B1102),INDEX(Bases!$M$2:$M$53,C1102))+Settings!$B$5*MIN(INDEX(Bases!$M$2:$M$53,B1102),INDEX(Bases!$M$2:$M$53,C1102))</f>
        <v>50</v>
      </c>
      <c r="T1102" s="2" t="n">
        <f aca="false">Settings!$B$4*MAX(INDEX(Bases!$N$2:$N$53,B1102),INDEX(Bases!$N$2:$N$53,C1102))+Settings!$B$5*MIN(INDEX(Bases!$N$2:$N$53,B1102),INDEX(Bases!$N$2:$N$53,C1102))</f>
        <v>47.3333333333333</v>
      </c>
      <c r="U1102" s="2" t="n">
        <f aca="false">Settings!$B$4*MAX(INDEX(Bases!$O$2:$O$53,B1102),INDEX(Bases!$O$2:$O$53,C1102))+Settings!$B$5*MIN(INDEX(Bases!$O$2:$O$53,B1102),INDEX(Bases!$O$2:$O$53,C1102))</f>
        <v>143.666666666667</v>
      </c>
      <c r="V1102" s="2" t="n">
        <f aca="false">Settings!$B$4*MAX(INDEX(Bases!$P$2:$P$53,B1102),INDEX(Bases!$P$2:$P$53,C1102))+Settings!$B$5*MIN(INDEX(Bases!$P$2:$P$53,B1102),INDEX(Bases!$P$2:$P$53,C1102))</f>
        <v>47.3333333333333</v>
      </c>
      <c r="W1102" s="2" t="n">
        <f aca="false">Settings!$B$4*MAX(INDEX(Bases!$Q$2:$Q$53,B1102),INDEX(Bases!$Q$2:$Q$53,C1102))+Settings!$B$5*MIN(INDEX(Bases!$Q$2:$Q$53,B1102),INDEX(Bases!$Q$2:$Q$53,C1102))</f>
        <v>143.333333333333</v>
      </c>
      <c r="X1102" s="2" t="n">
        <f aca="false">Settings!$B$4*MAX(INDEX(Bases!$R$2:$R$53,B1102),INDEX(Bases!$R$2:$R$53,C1102))+Settings!$B$5*MIN(INDEX(Bases!$R$2:$R$53,B1102),INDEX(Bases!$R$2:$R$53,C1102))</f>
        <v>45.3333333333333</v>
      </c>
      <c r="Y1102" s="2" t="n">
        <f aca="false">S1102*Settings!$B$3/SUM(S1102:X1102)</f>
        <v>52.4109014675053</v>
      </c>
      <c r="Z1102" s="2" t="n">
        <f aca="false">T1102*Settings!$B$3/SUM(S1102:X1102)</f>
        <v>49.6156533892383</v>
      </c>
      <c r="AA1102" s="2" t="n">
        <f aca="false">U1102*Settings!$B$3/SUM(S1102:X1102)</f>
        <v>150.593990216632</v>
      </c>
      <c r="AB1102" s="2" t="n">
        <f aca="false">V1102*Settings!$B$3/SUM(S1102:X1102)</f>
        <v>49.6156533892383</v>
      </c>
      <c r="AC1102" s="2" t="n">
        <f aca="false">W1102*Settings!$B$3/SUM(S1102:X1102)</f>
        <v>150.244584206848</v>
      </c>
      <c r="AD1102" s="2" t="n">
        <f aca="false">X1102*Settings!$B$3/SUM(S1102:X1102)</f>
        <v>47.5192173305381</v>
      </c>
      <c r="AE1102" s="2" t="n">
        <f aca="false">INT(Y1102)</f>
        <v>52</v>
      </c>
      <c r="AF1102" s="2" t="n">
        <f aca="false">INT(Z1102)</f>
        <v>49</v>
      </c>
      <c r="AG1102" s="2" t="n">
        <f aca="false">INT(AA1102)</f>
        <v>150</v>
      </c>
      <c r="AH1102" s="2" t="n">
        <f aca="false">INT(AB1102)</f>
        <v>49</v>
      </c>
      <c r="AI1102" s="2" t="n">
        <f aca="false">INT(AC1102)</f>
        <v>150</v>
      </c>
      <c r="AJ1102" s="2" t="n">
        <f aca="false">INT(AD1102)</f>
        <v>47</v>
      </c>
      <c r="AK1102" s="2" t="n">
        <f aca="false">Settings!$B$3-SUM(AE1102:AJ1102)</f>
        <v>3</v>
      </c>
      <c r="AL1102" s="2" t="n">
        <f aca="false">ROUND(Y1102-AE1102,9)</f>
        <v>0.410901468</v>
      </c>
      <c r="AM1102" s="2" t="n">
        <f aca="false">ROUND(Z1102-AF1102,9)</f>
        <v>0.615653389</v>
      </c>
      <c r="AN1102" s="2" t="n">
        <f aca="false">ROUND(AA1102-AG1102,9)</f>
        <v>0.593990217</v>
      </c>
      <c r="AO1102" s="2" t="n">
        <f aca="false">ROUND(AB1102-AH1102,9)</f>
        <v>0.615653389</v>
      </c>
      <c r="AP1102" s="2" t="n">
        <f aca="false">ROUND(AC1102-AI1102,9)</f>
        <v>0.244584207</v>
      </c>
      <c r="AQ1102" s="2" t="n">
        <f aca="false">ROUND(AD1102-AJ1102,9)</f>
        <v>0.519217331</v>
      </c>
    </row>
    <row r="1103" customFormat="false" ht="15" hidden="false" customHeight="false" outlineLevel="0" collapsed="false">
      <c r="A1103" s="2" t="n">
        <v>1102</v>
      </c>
      <c r="B1103" s="6" t="n">
        <v>31</v>
      </c>
      <c r="C1103" s="6" t="n">
        <v>38</v>
      </c>
      <c r="D1103" s="8" t="str">
        <f aca="false">INDEX(Bases!$B$2:$B$53,B1103)</f>
        <v>Mew</v>
      </c>
      <c r="E1103" s="8" t="str">
        <f aca="false">INDEX(Bases!$B$2:$B$53,C1103)</f>
        <v>Larvitar</v>
      </c>
      <c r="F1103" s="2" t="str">
        <f aca="false">LEFT(D1103,ROUNDUP(LEN(D1103)/2,0))&amp;LOWER(MID(E1103,ROUNDUP(LEN(E1103)/2,0)+1,20))</f>
        <v>Meitar</v>
      </c>
      <c r="G1103" s="8" t="str">
        <f aca="false">INDEX(Bases!$C$2:$C$53,B1103)</f>
        <v>Psychic</v>
      </c>
      <c r="H1103" s="8" t="str">
        <f aca="false">IF(INDEX(Bases!$C$2:$C$53,C1103)=G1103,"",INDEX(Bases!$C$2:$C$53,C1103))</f>
        <v>Rock</v>
      </c>
      <c r="I1103" s="8" t="str">
        <f aca="false">IF(INDEX(Bases!$E$2:$E$53,B1103)="","",INDEX(Bases!$E$2:$E$53,B1103))</f>
        <v/>
      </c>
      <c r="J1103" s="8" t="str">
        <f aca="false">IF(INDEX(Bases!$E$2:$E$53,C1103)="","",INDEX(Bases!$E$2:$E$53,C1103))</f>
        <v/>
      </c>
      <c r="K1103" s="5"/>
      <c r="L1103" s="2" t="n">
        <f aca="false">AE1103+IF(SUMPRODUCT(--($AL1103:$AQ1103&gt;AL1103))&lt;$AK1103,1,0)</f>
        <v>83</v>
      </c>
      <c r="M1103" s="2" t="n">
        <f aca="false">AF1103+IF(SUMPRODUCT(--($AL1103:$AQ1103&gt;AM1103))+SUMPRODUCT(--($AL1103:AL1103=AM1103))&lt;$AK1103,1,0)</f>
        <v>97</v>
      </c>
      <c r="N1103" s="2" t="n">
        <f aca="false">AG1103+IF(SUMPRODUCT(--($AL1103:$AQ1103&gt;AN1103))+SUMPRODUCT(--($AL1103:AM1103=AN1103))&lt;$AK1103,1,0)</f>
        <v>82</v>
      </c>
      <c r="O1103" s="2" t="n">
        <f aca="false">AH1103+IF(SUMPRODUCT(--($AL1103:$AQ1103&gt;AO1103))+SUMPRODUCT(--($AL1103:AN1103=AO1103))&lt;$AK1103,1,0)</f>
        <v>80</v>
      </c>
      <c r="P1103" s="2" t="n">
        <f aca="false">AI1103+IF(SUMPRODUCT(--($AL1103:$AQ1103&gt;AP1103))+SUMPRODUCT(--($AL1103:AO1103=AP1103))&lt;$AK1103,1,0)</f>
        <v>82</v>
      </c>
      <c r="Q1103" s="2" t="n">
        <f aca="false">AJ1103+IF(SUMPRODUCT(--($AL1103:$AQ1103&gt;AQ1103))+SUMPRODUCT(--($AL1103:AP1103=AQ1103))&lt;$AK1103,1,0)</f>
        <v>76</v>
      </c>
      <c r="R1103" s="2" t="n">
        <f aca="false">SUM(L1103:Q1103)</f>
        <v>500</v>
      </c>
      <c r="S1103" s="2" t="n">
        <f aca="false">Settings!$B$4*MAX(INDEX(Bases!$M$2:$M$53,B1103),INDEX(Bases!$M$2:$M$53,C1103))+Settings!$B$5*MIN(INDEX(Bases!$M$2:$M$53,B1103),INDEX(Bases!$M$2:$M$53,C1103))</f>
        <v>67</v>
      </c>
      <c r="T1103" s="2" t="n">
        <f aca="false">Settings!$B$4*MAX(INDEX(Bases!$N$2:$N$53,B1103),INDEX(Bases!$N$2:$N$53,C1103))+Settings!$B$5*MIN(INDEX(Bases!$N$2:$N$53,B1103),INDEX(Bases!$N$2:$N$53,C1103))</f>
        <v>79</v>
      </c>
      <c r="U1103" s="2" t="n">
        <f aca="false">Settings!$B$4*MAX(INDEX(Bases!$O$2:$O$53,B1103),INDEX(Bases!$O$2:$O$53,C1103))+Settings!$B$5*MIN(INDEX(Bases!$O$2:$O$53,B1103),INDEX(Bases!$O$2:$O$53,C1103))</f>
        <v>67</v>
      </c>
      <c r="V1103" s="2" t="n">
        <f aca="false">Settings!$B$4*MAX(INDEX(Bases!$P$2:$P$53,B1103),INDEX(Bases!$P$2:$P$53,C1103))+Settings!$B$5*MIN(INDEX(Bases!$P$2:$P$53,B1103),INDEX(Bases!$P$2:$P$53,C1103))</f>
        <v>64.6666666666667</v>
      </c>
      <c r="W1103" s="2" t="n">
        <f aca="false">Settings!$B$4*MAX(INDEX(Bases!$Q$2:$Q$53,B1103),INDEX(Bases!$Q$2:$Q$53,C1103))+Settings!$B$5*MIN(INDEX(Bases!$Q$2:$Q$53,B1103),INDEX(Bases!$Q$2:$Q$53,C1103))</f>
        <v>66.6666666666667</v>
      </c>
      <c r="X1103" s="2" t="n">
        <f aca="false">Settings!$B$4*MAX(INDEX(Bases!$R$2:$R$53,B1103),INDEX(Bases!$R$2:$R$53,C1103))+Settings!$B$5*MIN(INDEX(Bases!$R$2:$R$53,B1103),INDEX(Bases!$R$2:$R$53,C1103))</f>
        <v>62</v>
      </c>
      <c r="Y1103" s="2" t="n">
        <f aca="false">S1103*Settings!$B$3/SUM(S1103:X1103)</f>
        <v>82.4446267432322</v>
      </c>
      <c r="Z1103" s="2" t="n">
        <f aca="false">T1103*Settings!$B$3/SUM(S1103:X1103)</f>
        <v>97.2108285479902</v>
      </c>
      <c r="AA1103" s="2" t="n">
        <f aca="false">U1103*Settings!$B$3/SUM(S1103:X1103)</f>
        <v>82.4446267432322</v>
      </c>
      <c r="AB1103" s="2" t="n">
        <f aca="false">V1103*Settings!$B$3/SUM(S1103:X1103)</f>
        <v>79.5734208367514</v>
      </c>
      <c r="AC1103" s="2" t="n">
        <f aca="false">W1103*Settings!$B$3/SUM(S1103:X1103)</f>
        <v>82.0344544708778</v>
      </c>
      <c r="AD1103" s="2" t="n">
        <f aca="false">X1103*Settings!$B$3/SUM(S1103:X1103)</f>
        <v>76.2920426579163</v>
      </c>
      <c r="AE1103" s="2" t="n">
        <f aca="false">INT(Y1103)</f>
        <v>82</v>
      </c>
      <c r="AF1103" s="2" t="n">
        <f aca="false">INT(Z1103)</f>
        <v>97</v>
      </c>
      <c r="AG1103" s="2" t="n">
        <f aca="false">INT(AA1103)</f>
        <v>82</v>
      </c>
      <c r="AH1103" s="2" t="n">
        <f aca="false">INT(AB1103)</f>
        <v>79</v>
      </c>
      <c r="AI1103" s="2" t="n">
        <f aca="false">INT(AC1103)</f>
        <v>82</v>
      </c>
      <c r="AJ1103" s="2" t="n">
        <f aca="false">INT(AD1103)</f>
        <v>76</v>
      </c>
      <c r="AK1103" s="2" t="n">
        <f aca="false">Settings!$B$3-SUM(AE1103:AJ1103)</f>
        <v>2</v>
      </c>
      <c r="AL1103" s="2" t="n">
        <f aca="false">ROUND(Y1103-AE1103,9)</f>
        <v>0.444626743</v>
      </c>
      <c r="AM1103" s="2" t="n">
        <f aca="false">ROUND(Z1103-AF1103,9)</f>
        <v>0.210828548</v>
      </c>
      <c r="AN1103" s="2" t="n">
        <f aca="false">ROUND(AA1103-AG1103,9)</f>
        <v>0.444626743</v>
      </c>
      <c r="AO1103" s="2" t="n">
        <f aca="false">ROUND(AB1103-AH1103,9)</f>
        <v>0.573420837</v>
      </c>
      <c r="AP1103" s="2" t="n">
        <f aca="false">ROUND(AC1103-AI1103,9)</f>
        <v>0.034454471</v>
      </c>
      <c r="AQ1103" s="2" t="n">
        <f aca="false">ROUND(AD1103-AJ1103,9)</f>
        <v>0.292042658</v>
      </c>
    </row>
    <row r="1104" customFormat="false" ht="15" hidden="false" customHeight="false" outlineLevel="0" collapsed="false">
      <c r="A1104" s="2" t="n">
        <v>1103</v>
      </c>
      <c r="B1104" s="6" t="n">
        <v>31</v>
      </c>
      <c r="C1104" s="6" t="n">
        <v>39</v>
      </c>
      <c r="D1104" s="8" t="str">
        <f aca="false">INDEX(Bases!$B$2:$B$53,B1104)</f>
        <v>Mew</v>
      </c>
      <c r="E1104" s="8" t="str">
        <f aca="false">INDEX(Bases!$B$2:$B$53,C1104)</f>
        <v>Nosepass</v>
      </c>
      <c r="F1104" s="2" t="str">
        <f aca="false">LEFT(D1104,ROUNDUP(LEN(D1104)/2,0))&amp;LOWER(MID(E1104,ROUNDUP(LEN(E1104)/2,0)+1,20))</f>
        <v>Mepass</v>
      </c>
      <c r="G1104" s="8" t="str">
        <f aca="false">INDEX(Bases!$C$2:$C$53,B1104)</f>
        <v>Psychic</v>
      </c>
      <c r="H1104" s="8" t="str">
        <f aca="false">IF(INDEX(Bases!$C$2:$C$53,C1104)=G1104,"",INDEX(Bases!$C$2:$C$53,C1104))</f>
        <v>Rock</v>
      </c>
      <c r="I1104" s="8" t="str">
        <f aca="false">IF(INDEX(Bases!$E$2:$E$53,B1104)="","",INDEX(Bases!$E$2:$E$53,B1104))</f>
        <v/>
      </c>
      <c r="J1104" s="8" t="str">
        <f aca="false">IF(INDEX(Bases!$E$2:$E$53,C1104)="","",INDEX(Bases!$E$2:$E$53,C1104))</f>
        <v/>
      </c>
      <c r="K1104" s="5"/>
      <c r="L1104" s="2" t="n">
        <f aca="false">AE1104+IF(SUMPRODUCT(--($AL1104:$AQ1104&gt;AL1104))&lt;$AK1104,1,0)</f>
        <v>63</v>
      </c>
      <c r="M1104" s="2" t="n">
        <f aca="false">AF1104+IF(SUMPRODUCT(--($AL1104:$AQ1104&gt;AM1104))+SUMPRODUCT(--($AL1104:AL1104=AM1104))&lt;$AK1104,1,0)</f>
        <v>70</v>
      </c>
      <c r="N1104" s="2" t="n">
        <f aca="false">AG1104+IF(SUMPRODUCT(--($AL1104:$AQ1104&gt;AN1104))+SUMPRODUCT(--($AL1104:AM1104=AN1104))&lt;$AK1104,1,0)</f>
        <v>136</v>
      </c>
      <c r="O1104" s="2" t="n">
        <f aca="false">AH1104+IF(SUMPRODUCT(--($AL1104:$AQ1104&gt;AO1104))+SUMPRODUCT(--($AL1104:AN1104=AO1104))&lt;$AK1104,1,0)</f>
        <v>69</v>
      </c>
      <c r="P1104" s="2" t="n">
        <f aca="false">AI1104+IF(SUMPRODUCT(--($AL1104:$AQ1104&gt;AP1104))+SUMPRODUCT(--($AL1104:AO1104=AP1104))&lt;$AK1104,1,0)</f>
        <v>99</v>
      </c>
      <c r="Q1104" s="2" t="n">
        <f aca="false">AJ1104+IF(SUMPRODUCT(--($AL1104:$AQ1104&gt;AQ1104))+SUMPRODUCT(--($AL1104:AP1104=AQ1104))&lt;$AK1104,1,0)</f>
        <v>63</v>
      </c>
      <c r="R1104" s="2" t="n">
        <f aca="false">SUM(L1104:Q1104)</f>
        <v>500</v>
      </c>
      <c r="S1104" s="2" t="n">
        <f aca="false">Settings!$B$4*MAX(INDEX(Bases!$M$2:$M$53,B1104),INDEX(Bases!$M$2:$M$53,C1104))+Settings!$B$5*MIN(INDEX(Bases!$M$2:$M$53,B1104),INDEX(Bases!$M$2:$M$53,C1104))</f>
        <v>55.3333333333333</v>
      </c>
      <c r="T1104" s="2" t="n">
        <f aca="false">Settings!$B$4*MAX(INDEX(Bases!$N$2:$N$53,B1104),INDEX(Bases!$N$2:$N$53,C1104))+Settings!$B$5*MIN(INDEX(Bases!$N$2:$N$53,B1104),INDEX(Bases!$N$2:$N$53,C1104))</f>
        <v>60.6666666666667</v>
      </c>
      <c r="U1104" s="2" t="n">
        <f aca="false">Settings!$B$4*MAX(INDEX(Bases!$O$2:$O$53,B1104),INDEX(Bases!$O$2:$O$53,C1104))+Settings!$B$5*MIN(INDEX(Bases!$O$2:$O$53,B1104),INDEX(Bases!$O$2:$O$53,C1104))</f>
        <v>118.333333333333</v>
      </c>
      <c r="V1104" s="2" t="n">
        <f aca="false">Settings!$B$4*MAX(INDEX(Bases!$P$2:$P$53,B1104),INDEX(Bases!$P$2:$P$53,C1104))+Settings!$B$5*MIN(INDEX(Bases!$P$2:$P$53,B1104),INDEX(Bases!$P$2:$P$53,C1104))</f>
        <v>60.6666666666667</v>
      </c>
      <c r="W1104" s="2" t="n">
        <f aca="false">Settings!$B$4*MAX(INDEX(Bases!$Q$2:$Q$53,B1104),INDEX(Bases!$Q$2:$Q$53,C1104))+Settings!$B$5*MIN(INDEX(Bases!$Q$2:$Q$53,B1104),INDEX(Bases!$Q$2:$Q$53,C1104))</f>
        <v>86</v>
      </c>
      <c r="X1104" s="2" t="n">
        <f aca="false">Settings!$B$4*MAX(INDEX(Bases!$R$2:$R$53,B1104),INDEX(Bases!$R$2:$R$53,C1104))+Settings!$B$5*MIN(INDEX(Bases!$R$2:$R$53,B1104),INDEX(Bases!$R$2:$R$53,C1104))</f>
        <v>54.6666666666667</v>
      </c>
      <c r="Y1104" s="2" t="n">
        <f aca="false">S1104*Settings!$B$3/SUM(S1104:X1104)</f>
        <v>63.504208110176</v>
      </c>
      <c r="Z1104" s="2" t="n">
        <f aca="false">T1104*Settings!$B$3/SUM(S1104:X1104)</f>
        <v>69.6250956388676</v>
      </c>
      <c r="AA1104" s="2" t="n">
        <f aca="false">U1104*Settings!$B$3/SUM(S1104:X1104)</f>
        <v>135.807192042846</v>
      </c>
      <c r="AB1104" s="2" t="n">
        <f aca="false">V1104*Settings!$B$3/SUM(S1104:X1104)</f>
        <v>69.6250956388676</v>
      </c>
      <c r="AC1104" s="2" t="n">
        <f aca="false">W1104*Settings!$B$3/SUM(S1104:X1104)</f>
        <v>98.699311400153</v>
      </c>
      <c r="AD1104" s="2" t="n">
        <f aca="false">X1104*Settings!$B$3/SUM(S1104:X1104)</f>
        <v>62.7390971690895</v>
      </c>
      <c r="AE1104" s="2" t="n">
        <f aca="false">INT(Y1104)</f>
        <v>63</v>
      </c>
      <c r="AF1104" s="2" t="n">
        <f aca="false">INT(Z1104)</f>
        <v>69</v>
      </c>
      <c r="AG1104" s="2" t="n">
        <f aca="false">INT(AA1104)</f>
        <v>135</v>
      </c>
      <c r="AH1104" s="2" t="n">
        <f aca="false">INT(AB1104)</f>
        <v>69</v>
      </c>
      <c r="AI1104" s="2" t="n">
        <f aca="false">INT(AC1104)</f>
        <v>98</v>
      </c>
      <c r="AJ1104" s="2" t="n">
        <f aca="false">INT(AD1104)</f>
        <v>62</v>
      </c>
      <c r="AK1104" s="2" t="n">
        <f aca="false">Settings!$B$3-SUM(AE1104:AJ1104)</f>
        <v>4</v>
      </c>
      <c r="AL1104" s="2" t="n">
        <f aca="false">ROUND(Y1104-AE1104,9)</f>
        <v>0.50420811</v>
      </c>
      <c r="AM1104" s="2" t="n">
        <f aca="false">ROUND(Z1104-AF1104,9)</f>
        <v>0.625095639</v>
      </c>
      <c r="AN1104" s="2" t="n">
        <f aca="false">ROUND(AA1104-AG1104,9)</f>
        <v>0.807192043</v>
      </c>
      <c r="AO1104" s="2" t="n">
        <f aca="false">ROUND(AB1104-AH1104,9)</f>
        <v>0.625095639</v>
      </c>
      <c r="AP1104" s="2" t="n">
        <f aca="false">ROUND(AC1104-AI1104,9)</f>
        <v>0.6993114</v>
      </c>
      <c r="AQ1104" s="2" t="n">
        <f aca="false">ROUND(AD1104-AJ1104,9)</f>
        <v>0.739097169</v>
      </c>
    </row>
    <row r="1105" customFormat="false" ht="15" hidden="false" customHeight="false" outlineLevel="0" collapsed="false">
      <c r="A1105" s="2" t="n">
        <v>1104</v>
      </c>
      <c r="B1105" s="6" t="n">
        <v>31</v>
      </c>
      <c r="C1105" s="6" t="n">
        <v>40</v>
      </c>
      <c r="D1105" s="8" t="str">
        <f aca="false">INDEX(Bases!$B$2:$B$53,B1105)</f>
        <v>Mew</v>
      </c>
      <c r="E1105" s="8" t="str">
        <f aca="false">INDEX(Bases!$B$2:$B$53,C1105)</f>
        <v>Gastly</v>
      </c>
      <c r="F1105" s="2" t="str">
        <f aca="false">LEFT(D1105,ROUNDUP(LEN(D1105)/2,0))&amp;LOWER(MID(E1105,ROUNDUP(LEN(E1105)/2,0)+1,20))</f>
        <v>Metly</v>
      </c>
      <c r="G1105" s="8" t="str">
        <f aca="false">INDEX(Bases!$C$2:$C$53,B1105)</f>
        <v>Psychic</v>
      </c>
      <c r="H1105" s="8" t="str">
        <f aca="false">IF(INDEX(Bases!$C$2:$C$53,C1105)=G1105,"",INDEX(Bases!$C$2:$C$53,C1105))</f>
        <v>Ghost</v>
      </c>
      <c r="I1105" s="8" t="str">
        <f aca="false">IF(INDEX(Bases!$E$2:$E$53,B1105)="","",INDEX(Bases!$E$2:$E$53,B1105))</f>
        <v/>
      </c>
      <c r="J1105" s="8" t="str">
        <f aca="false">IF(INDEX(Bases!$E$2:$E$53,C1105)="","",INDEX(Bases!$E$2:$E$53,C1105))</f>
        <v/>
      </c>
      <c r="K1105" s="5"/>
      <c r="L1105" s="2" t="n">
        <f aca="false">AE1105+IF(SUMPRODUCT(--($AL1105:$AQ1105&gt;AL1105))&lt;$AK1105,1,0)</f>
        <v>67</v>
      </c>
      <c r="M1105" s="2" t="n">
        <f aca="false">AF1105+IF(SUMPRODUCT(--($AL1105:$AQ1105&gt;AM1105))+SUMPRODUCT(--($AL1105:AL1105=AM1105))&lt;$AK1105,1,0)</f>
        <v>69</v>
      </c>
      <c r="N1105" s="2" t="n">
        <f aca="false">AG1105+IF(SUMPRODUCT(--($AL1105:$AQ1105&gt;AN1105))+SUMPRODUCT(--($AL1105:AM1105=AN1105))&lt;$AK1105,1,0)</f>
        <v>66</v>
      </c>
      <c r="O1105" s="2" t="n">
        <f aca="false">AH1105+IF(SUMPRODUCT(--($AL1105:$AQ1105&gt;AO1105))+SUMPRODUCT(--($AL1105:AN1105=AO1105))&lt;$AK1105,1,0)</f>
        <v>125</v>
      </c>
      <c r="P1105" s="2" t="n">
        <f aca="false">AI1105+IF(SUMPRODUCT(--($AL1105:$AQ1105&gt;AP1105))+SUMPRODUCT(--($AL1105:AO1105=AP1105))&lt;$AK1105,1,0)</f>
        <v>68</v>
      </c>
      <c r="Q1105" s="2" t="n">
        <f aca="false">AJ1105+IF(SUMPRODUCT(--($AL1105:$AQ1105&gt;AQ1105))+SUMPRODUCT(--($AL1105:AP1105=AQ1105))&lt;$AK1105,1,0)</f>
        <v>105</v>
      </c>
      <c r="R1105" s="2" t="n">
        <f aca="false">SUM(L1105:Q1105)</f>
        <v>500</v>
      </c>
      <c r="S1105" s="2" t="n">
        <f aca="false">Settings!$B$4*MAX(INDEX(Bases!$M$2:$M$53,B1105),INDEX(Bases!$M$2:$M$53,C1105))+Settings!$B$5*MIN(INDEX(Bases!$M$2:$M$53,B1105),INDEX(Bases!$M$2:$M$53,C1105))</f>
        <v>57.6666666666667</v>
      </c>
      <c r="T1105" s="2" t="n">
        <f aca="false">Settings!$B$4*MAX(INDEX(Bases!$N$2:$N$53,B1105),INDEX(Bases!$N$2:$N$53,C1105))+Settings!$B$5*MIN(INDEX(Bases!$N$2:$N$53,B1105),INDEX(Bases!$N$2:$N$53,C1105))</f>
        <v>59.6666666666667</v>
      </c>
      <c r="U1105" s="2" t="n">
        <f aca="false">Settings!$B$4*MAX(INDEX(Bases!$O$2:$O$53,B1105),INDEX(Bases!$O$2:$O$53,C1105))+Settings!$B$5*MIN(INDEX(Bases!$O$2:$O$53,B1105),INDEX(Bases!$O$2:$O$53,C1105))</f>
        <v>57.6666666666667</v>
      </c>
      <c r="V1105" s="2" t="n">
        <f aca="false">Settings!$B$4*MAX(INDEX(Bases!$P$2:$P$53,B1105),INDEX(Bases!$P$2:$P$53,C1105))+Settings!$B$5*MIN(INDEX(Bases!$P$2:$P$53,B1105),INDEX(Bases!$P$2:$P$53,C1105))</f>
        <v>108.333333333333</v>
      </c>
      <c r="W1105" s="2" t="n">
        <f aca="false">Settings!$B$4*MAX(INDEX(Bases!$Q$2:$Q$53,B1105),INDEX(Bases!$Q$2:$Q$53,C1105))+Settings!$B$5*MIN(INDEX(Bases!$Q$2:$Q$53,B1105),INDEX(Bases!$Q$2:$Q$53,C1105))</f>
        <v>59</v>
      </c>
      <c r="X1105" s="2" t="n">
        <f aca="false">Settings!$B$4*MAX(INDEX(Bases!$R$2:$R$53,B1105),INDEX(Bases!$R$2:$R$53,C1105))+Settings!$B$5*MIN(INDEX(Bases!$R$2:$R$53,B1105),INDEX(Bases!$R$2:$R$53,C1105))</f>
        <v>90.6666666666667</v>
      </c>
      <c r="Y1105" s="2" t="n">
        <f aca="false">S1105*Settings!$B$3/SUM(S1105:X1105)</f>
        <v>66.5896843725943</v>
      </c>
      <c r="Z1105" s="2" t="n">
        <f aca="false">T1105*Settings!$B$3/SUM(S1105:X1105)</f>
        <v>68.8991531947652</v>
      </c>
      <c r="AA1105" s="2" t="n">
        <f aca="false">U1105*Settings!$B$3/SUM(S1105:X1105)</f>
        <v>66.5896843725943</v>
      </c>
      <c r="AB1105" s="2" t="n">
        <f aca="false">V1105*Settings!$B$3/SUM(S1105:X1105)</f>
        <v>125.09622786759</v>
      </c>
      <c r="AC1105" s="2" t="n">
        <f aca="false">W1105*Settings!$B$3/SUM(S1105:X1105)</f>
        <v>68.1293302540416</v>
      </c>
      <c r="AD1105" s="2" t="n">
        <f aca="false">X1105*Settings!$B$3/SUM(S1105:X1105)</f>
        <v>104.695919938414</v>
      </c>
      <c r="AE1105" s="2" t="n">
        <f aca="false">INT(Y1105)</f>
        <v>66</v>
      </c>
      <c r="AF1105" s="2" t="n">
        <f aca="false">INT(Z1105)</f>
        <v>68</v>
      </c>
      <c r="AG1105" s="2" t="n">
        <f aca="false">INT(AA1105)</f>
        <v>66</v>
      </c>
      <c r="AH1105" s="2" t="n">
        <f aca="false">INT(AB1105)</f>
        <v>125</v>
      </c>
      <c r="AI1105" s="2" t="n">
        <f aca="false">INT(AC1105)</f>
        <v>68</v>
      </c>
      <c r="AJ1105" s="2" t="n">
        <f aca="false">INT(AD1105)</f>
        <v>104</v>
      </c>
      <c r="AK1105" s="2" t="n">
        <f aca="false">Settings!$B$3-SUM(AE1105:AJ1105)</f>
        <v>3</v>
      </c>
      <c r="AL1105" s="2" t="n">
        <f aca="false">ROUND(Y1105-AE1105,9)</f>
        <v>0.589684373</v>
      </c>
      <c r="AM1105" s="2" t="n">
        <f aca="false">ROUND(Z1105-AF1105,9)</f>
        <v>0.899153195</v>
      </c>
      <c r="AN1105" s="2" t="n">
        <f aca="false">ROUND(AA1105-AG1105,9)</f>
        <v>0.589684373</v>
      </c>
      <c r="AO1105" s="2" t="n">
        <f aca="false">ROUND(AB1105-AH1105,9)</f>
        <v>0.096227868</v>
      </c>
      <c r="AP1105" s="2" t="n">
        <f aca="false">ROUND(AC1105-AI1105,9)</f>
        <v>0.129330254</v>
      </c>
      <c r="AQ1105" s="2" t="n">
        <f aca="false">ROUND(AD1105-AJ1105,9)</f>
        <v>0.695919938</v>
      </c>
    </row>
    <row r="1106" customFormat="false" ht="15" hidden="false" customHeight="false" outlineLevel="0" collapsed="false">
      <c r="A1106" s="2" t="n">
        <v>1105</v>
      </c>
      <c r="B1106" s="6" t="n">
        <v>31</v>
      </c>
      <c r="C1106" s="6" t="n">
        <v>41</v>
      </c>
      <c r="D1106" s="8" t="str">
        <f aca="false">INDEX(Bases!$B$2:$B$53,B1106)</f>
        <v>Mew</v>
      </c>
      <c r="E1106" s="8" t="str">
        <f aca="false">INDEX(Bases!$B$2:$B$53,C1106)</f>
        <v>Misdreavus</v>
      </c>
      <c r="F1106" s="2" t="str">
        <f aca="false">LEFT(D1106,ROUNDUP(LEN(D1106)/2,0))&amp;LOWER(MID(E1106,ROUNDUP(LEN(E1106)/2,0)+1,20))</f>
        <v>Meeavus</v>
      </c>
      <c r="G1106" s="8" t="str">
        <f aca="false">INDEX(Bases!$C$2:$C$53,B1106)</f>
        <v>Psychic</v>
      </c>
      <c r="H1106" s="8" t="str">
        <f aca="false">IF(INDEX(Bases!$C$2:$C$53,C1106)=G1106,"",INDEX(Bases!$C$2:$C$53,C1106))</f>
        <v>Ghost</v>
      </c>
      <c r="I1106" s="8" t="str">
        <f aca="false">IF(INDEX(Bases!$E$2:$E$53,B1106)="","",INDEX(Bases!$E$2:$E$53,B1106))</f>
        <v/>
      </c>
      <c r="J1106" s="8" t="str">
        <f aca="false">IF(INDEX(Bases!$E$2:$E$53,C1106)="","",INDEX(Bases!$E$2:$E$53,C1106))</f>
        <v/>
      </c>
      <c r="K1106" s="5"/>
      <c r="L1106" s="2" t="n">
        <f aca="false">AE1106+IF(SUMPRODUCT(--($AL1106:$AQ1106&gt;AL1106))&lt;$AK1106,1,0)</f>
        <v>77</v>
      </c>
      <c r="M1106" s="2" t="n">
        <f aca="false">AF1106+IF(SUMPRODUCT(--($AL1106:$AQ1106&gt;AM1106))+SUMPRODUCT(--($AL1106:AL1106=AM1106))&lt;$AK1106,1,0)</f>
        <v>77</v>
      </c>
      <c r="N1106" s="2" t="n">
        <f aca="false">AG1106+IF(SUMPRODUCT(--($AL1106:$AQ1106&gt;AN1106))+SUMPRODUCT(--($AL1106:AM1106=AN1106))&lt;$AK1106,1,0)</f>
        <v>76</v>
      </c>
      <c r="O1106" s="2" t="n">
        <f aca="false">AH1106+IF(SUMPRODUCT(--($AL1106:$AQ1106&gt;AO1106))+SUMPRODUCT(--($AL1106:AN1106=AO1106))&lt;$AK1106,1,0)</f>
        <v>90</v>
      </c>
      <c r="P1106" s="2" t="n">
        <f aca="false">AI1106+IF(SUMPRODUCT(--($AL1106:$AQ1106&gt;AP1106))+SUMPRODUCT(--($AL1106:AO1106=AP1106))&lt;$AK1106,1,0)</f>
        <v>90</v>
      </c>
      <c r="Q1106" s="2" t="n">
        <f aca="false">AJ1106+IF(SUMPRODUCT(--($AL1106:$AQ1106&gt;AQ1106))+SUMPRODUCT(--($AL1106:AP1106=AQ1106))&lt;$AK1106,1,0)</f>
        <v>90</v>
      </c>
      <c r="R1106" s="2" t="n">
        <f aca="false">SUM(L1106:Q1106)</f>
        <v>500</v>
      </c>
      <c r="S1106" s="2" t="n">
        <f aca="false">Settings!$B$4*MAX(INDEX(Bases!$M$2:$M$53,B1106),INDEX(Bases!$M$2:$M$53,C1106))+Settings!$B$5*MIN(INDEX(Bases!$M$2:$M$53,B1106),INDEX(Bases!$M$2:$M$53,C1106))</f>
        <v>63.3333333333333</v>
      </c>
      <c r="T1106" s="2" t="n">
        <f aca="false">Settings!$B$4*MAX(INDEX(Bases!$N$2:$N$53,B1106),INDEX(Bases!$N$2:$N$53,C1106))+Settings!$B$5*MIN(INDEX(Bases!$N$2:$N$53,B1106),INDEX(Bases!$N$2:$N$53,C1106))</f>
        <v>63</v>
      </c>
      <c r="U1106" s="2" t="n">
        <f aca="false">Settings!$B$4*MAX(INDEX(Bases!$O$2:$O$53,B1106),INDEX(Bases!$O$2:$O$53,C1106))+Settings!$B$5*MIN(INDEX(Bases!$O$2:$O$53,B1106),INDEX(Bases!$O$2:$O$53,C1106))</f>
        <v>63</v>
      </c>
      <c r="V1106" s="2" t="n">
        <f aca="false">Settings!$B$4*MAX(INDEX(Bases!$P$2:$P$53,B1106),INDEX(Bases!$P$2:$P$53,C1106))+Settings!$B$5*MIN(INDEX(Bases!$P$2:$P$53,B1106),INDEX(Bases!$P$2:$P$53,C1106))</f>
        <v>74.3333333333333</v>
      </c>
      <c r="W1106" s="2" t="n">
        <f aca="false">Settings!$B$4*MAX(INDEX(Bases!$Q$2:$Q$53,B1106),INDEX(Bases!$Q$2:$Q$53,C1106))+Settings!$B$5*MIN(INDEX(Bases!$Q$2:$Q$53,B1106),INDEX(Bases!$Q$2:$Q$53,C1106))</f>
        <v>74</v>
      </c>
      <c r="X1106" s="2" t="n">
        <f aca="false">Settings!$B$4*MAX(INDEX(Bases!$R$2:$R$53,B1106),INDEX(Bases!$R$2:$R$53,C1106))+Settings!$B$5*MIN(INDEX(Bases!$R$2:$R$53,B1106),INDEX(Bases!$R$2:$R$53,C1106))</f>
        <v>74</v>
      </c>
      <c r="Y1106" s="2" t="n">
        <f aca="false">S1106*Settings!$B$3/SUM(S1106:X1106)</f>
        <v>76.9230769230769</v>
      </c>
      <c r="Z1106" s="2" t="n">
        <f aca="false">T1106*Settings!$B$3/SUM(S1106:X1106)</f>
        <v>76.5182186234818</v>
      </c>
      <c r="AA1106" s="2" t="n">
        <f aca="false">U1106*Settings!$B$3/SUM(S1106:X1106)</f>
        <v>76.5182186234818</v>
      </c>
      <c r="AB1106" s="2" t="n">
        <f aca="false">V1106*Settings!$B$3/SUM(S1106:X1106)</f>
        <v>90.2834008097166</v>
      </c>
      <c r="AC1106" s="2" t="n">
        <f aca="false">W1106*Settings!$B$3/SUM(S1106:X1106)</f>
        <v>89.8785425101215</v>
      </c>
      <c r="AD1106" s="2" t="n">
        <f aca="false">X1106*Settings!$B$3/SUM(S1106:X1106)</f>
        <v>89.8785425101215</v>
      </c>
      <c r="AE1106" s="2" t="n">
        <f aca="false">INT(Y1106)</f>
        <v>76</v>
      </c>
      <c r="AF1106" s="2" t="n">
        <f aca="false">INT(Z1106)</f>
        <v>76</v>
      </c>
      <c r="AG1106" s="2" t="n">
        <f aca="false">INT(AA1106)</f>
        <v>76</v>
      </c>
      <c r="AH1106" s="2" t="n">
        <f aca="false">INT(AB1106)</f>
        <v>90</v>
      </c>
      <c r="AI1106" s="2" t="n">
        <f aca="false">INT(AC1106)</f>
        <v>89</v>
      </c>
      <c r="AJ1106" s="2" t="n">
        <f aca="false">INT(AD1106)</f>
        <v>89</v>
      </c>
      <c r="AK1106" s="2" t="n">
        <f aca="false">Settings!$B$3-SUM(AE1106:AJ1106)</f>
        <v>4</v>
      </c>
      <c r="AL1106" s="2" t="n">
        <f aca="false">ROUND(Y1106-AE1106,9)</f>
        <v>0.923076923</v>
      </c>
      <c r="AM1106" s="2" t="n">
        <f aca="false">ROUND(Z1106-AF1106,9)</f>
        <v>0.518218623</v>
      </c>
      <c r="AN1106" s="2" t="n">
        <f aca="false">ROUND(AA1106-AG1106,9)</f>
        <v>0.518218623</v>
      </c>
      <c r="AO1106" s="2" t="n">
        <f aca="false">ROUND(AB1106-AH1106,9)</f>
        <v>0.28340081</v>
      </c>
      <c r="AP1106" s="2" t="n">
        <f aca="false">ROUND(AC1106-AI1106,9)</f>
        <v>0.87854251</v>
      </c>
      <c r="AQ1106" s="2" t="n">
        <f aca="false">ROUND(AD1106-AJ1106,9)</f>
        <v>0.87854251</v>
      </c>
    </row>
    <row r="1107" customFormat="false" ht="15" hidden="false" customHeight="false" outlineLevel="0" collapsed="false">
      <c r="A1107" s="2" t="n">
        <v>1106</v>
      </c>
      <c r="B1107" s="6" t="n">
        <v>31</v>
      </c>
      <c r="C1107" s="6" t="n">
        <v>42</v>
      </c>
      <c r="D1107" s="8" t="str">
        <f aca="false">INDEX(Bases!$B$2:$B$53,B1107)</f>
        <v>Mew</v>
      </c>
      <c r="E1107" s="8" t="str">
        <f aca="false">INDEX(Bases!$B$2:$B$53,C1107)</f>
        <v>Sableye</v>
      </c>
      <c r="F1107" s="2" t="str">
        <f aca="false">LEFT(D1107,ROUNDUP(LEN(D1107)/2,0))&amp;LOWER(MID(E1107,ROUNDUP(LEN(E1107)/2,0)+1,20))</f>
        <v>Meeye</v>
      </c>
      <c r="G1107" s="8" t="str">
        <f aca="false">INDEX(Bases!$C$2:$C$53,B1107)</f>
        <v>Psychic</v>
      </c>
      <c r="H1107" s="8" t="str">
        <f aca="false">IF(INDEX(Bases!$C$2:$C$53,C1107)=G1107,"",INDEX(Bases!$C$2:$C$53,C1107))</f>
        <v>Ghost</v>
      </c>
      <c r="I1107" s="8" t="str">
        <f aca="false">IF(INDEX(Bases!$E$2:$E$53,B1107)="","",INDEX(Bases!$E$2:$E$53,B1107))</f>
        <v/>
      </c>
      <c r="J1107" s="8" t="str">
        <f aca="false">IF(INDEX(Bases!$E$2:$E$53,C1107)="","",INDEX(Bases!$E$2:$E$53,C1107))</f>
        <v/>
      </c>
      <c r="K1107" s="5"/>
      <c r="L1107" s="2" t="n">
        <f aca="false">AE1107+IF(SUMPRODUCT(--($AL1107:$AQ1107&gt;AL1107))&lt;$AK1107,1,0)</f>
        <v>76</v>
      </c>
      <c r="M1107" s="2" t="n">
        <f aca="false">AF1107+IF(SUMPRODUCT(--($AL1107:$AQ1107&gt;AM1107))+SUMPRODUCT(--($AL1107:AL1107=AM1107))&lt;$AK1107,1,0)</f>
        <v>92</v>
      </c>
      <c r="N1107" s="2" t="n">
        <f aca="false">AG1107+IF(SUMPRODUCT(--($AL1107:$AQ1107&gt;AN1107))+SUMPRODUCT(--($AL1107:AM1107=AN1107))&lt;$AK1107,1,0)</f>
        <v>92</v>
      </c>
      <c r="O1107" s="2" t="n">
        <f aca="false">AH1107+IF(SUMPRODUCT(--($AL1107:$AQ1107&gt;AO1107))+SUMPRODUCT(--($AL1107:AN1107=AO1107))&lt;$AK1107,1,0)</f>
        <v>83</v>
      </c>
      <c r="P1107" s="2" t="n">
        <f aca="false">AI1107+IF(SUMPRODUCT(--($AL1107:$AQ1107&gt;AP1107))+SUMPRODUCT(--($AL1107:AO1107=AP1107))&lt;$AK1107,1,0)</f>
        <v>82</v>
      </c>
      <c r="Q1107" s="2" t="n">
        <f aca="false">AJ1107+IF(SUMPRODUCT(--($AL1107:$AQ1107&gt;AQ1107))+SUMPRODUCT(--($AL1107:AP1107=AQ1107))&lt;$AK1107,1,0)</f>
        <v>75</v>
      </c>
      <c r="R1107" s="2" t="n">
        <f aca="false">SUM(L1107:Q1107)</f>
        <v>500</v>
      </c>
      <c r="S1107" s="2" t="n">
        <f aca="false">Settings!$B$4*MAX(INDEX(Bases!$M$2:$M$53,B1107),INDEX(Bases!$M$2:$M$53,C1107))+Settings!$B$5*MIN(INDEX(Bases!$M$2:$M$53,B1107),INDEX(Bases!$M$2:$M$53,C1107))</f>
        <v>62.3333333333333</v>
      </c>
      <c r="T1107" s="2" t="n">
        <f aca="false">Settings!$B$4*MAX(INDEX(Bases!$N$2:$N$53,B1107),INDEX(Bases!$N$2:$N$53,C1107))+Settings!$B$5*MIN(INDEX(Bases!$N$2:$N$53,B1107),INDEX(Bases!$N$2:$N$53,C1107))</f>
        <v>75</v>
      </c>
      <c r="U1107" s="2" t="n">
        <f aca="false">Settings!$B$4*MAX(INDEX(Bases!$O$2:$O$53,B1107),INDEX(Bases!$O$2:$O$53,C1107))+Settings!$B$5*MIN(INDEX(Bases!$O$2:$O$53,B1107),INDEX(Bases!$O$2:$O$53,C1107))</f>
        <v>75</v>
      </c>
      <c r="V1107" s="2" t="n">
        <f aca="false">Settings!$B$4*MAX(INDEX(Bases!$P$2:$P$53,B1107),INDEX(Bases!$P$2:$P$53,C1107))+Settings!$B$5*MIN(INDEX(Bases!$P$2:$P$53,B1107),INDEX(Bases!$P$2:$P$53,C1107))</f>
        <v>67.6666666666667</v>
      </c>
      <c r="W1107" s="2" t="n">
        <f aca="false">Settings!$B$4*MAX(INDEX(Bases!$Q$2:$Q$53,B1107),INDEX(Bases!$Q$2:$Q$53,C1107))+Settings!$B$5*MIN(INDEX(Bases!$Q$2:$Q$53,B1107),INDEX(Bases!$Q$2:$Q$53,C1107))</f>
        <v>67.3333333333333</v>
      </c>
      <c r="X1107" s="2" t="n">
        <f aca="false">Settings!$B$4*MAX(INDEX(Bases!$R$2:$R$53,B1107),INDEX(Bases!$R$2:$R$53,C1107))+Settings!$B$5*MIN(INDEX(Bases!$R$2:$R$53,B1107),INDEX(Bases!$R$2:$R$53,C1107))</f>
        <v>61.6666666666667</v>
      </c>
      <c r="Y1107" s="2" t="n">
        <f aca="false">S1107*Settings!$B$3/SUM(S1107:X1107)</f>
        <v>76.2021189894051</v>
      </c>
      <c r="Z1107" s="2" t="n">
        <f aca="false">T1107*Settings!$B$3/SUM(S1107:X1107)</f>
        <v>91.6870415647922</v>
      </c>
      <c r="AA1107" s="2" t="n">
        <f aca="false">U1107*Settings!$B$3/SUM(S1107:X1107)</f>
        <v>91.6870415647922</v>
      </c>
      <c r="AB1107" s="2" t="n">
        <f aca="false">V1107*Settings!$B$3/SUM(S1107:X1107)</f>
        <v>82.722086389568</v>
      </c>
      <c r="AC1107" s="2" t="n">
        <f aca="false">W1107*Settings!$B$3/SUM(S1107:X1107)</f>
        <v>82.3145884270579</v>
      </c>
      <c r="AD1107" s="2" t="n">
        <f aca="false">X1107*Settings!$B$3/SUM(S1107:X1107)</f>
        <v>75.3871230643847</v>
      </c>
      <c r="AE1107" s="2" t="n">
        <f aca="false">INT(Y1107)</f>
        <v>76</v>
      </c>
      <c r="AF1107" s="2" t="n">
        <f aca="false">INT(Z1107)</f>
        <v>91</v>
      </c>
      <c r="AG1107" s="2" t="n">
        <f aca="false">INT(AA1107)</f>
        <v>91</v>
      </c>
      <c r="AH1107" s="2" t="n">
        <f aca="false">INT(AB1107)</f>
        <v>82</v>
      </c>
      <c r="AI1107" s="2" t="n">
        <f aca="false">INT(AC1107)</f>
        <v>82</v>
      </c>
      <c r="AJ1107" s="2" t="n">
        <f aca="false">INT(AD1107)</f>
        <v>75</v>
      </c>
      <c r="AK1107" s="2" t="n">
        <f aca="false">Settings!$B$3-SUM(AE1107:AJ1107)</f>
        <v>3</v>
      </c>
      <c r="AL1107" s="2" t="n">
        <f aca="false">ROUND(Y1107-AE1107,9)</f>
        <v>0.202118989</v>
      </c>
      <c r="AM1107" s="2" t="n">
        <f aca="false">ROUND(Z1107-AF1107,9)</f>
        <v>0.687041565</v>
      </c>
      <c r="AN1107" s="2" t="n">
        <f aca="false">ROUND(AA1107-AG1107,9)</f>
        <v>0.687041565</v>
      </c>
      <c r="AO1107" s="2" t="n">
        <f aca="false">ROUND(AB1107-AH1107,9)</f>
        <v>0.72208639</v>
      </c>
      <c r="AP1107" s="2" t="n">
        <f aca="false">ROUND(AC1107-AI1107,9)</f>
        <v>0.314588427</v>
      </c>
      <c r="AQ1107" s="2" t="n">
        <f aca="false">ROUND(AD1107-AJ1107,9)</f>
        <v>0.387123064</v>
      </c>
    </row>
    <row r="1108" customFormat="false" ht="15" hidden="false" customHeight="false" outlineLevel="0" collapsed="false">
      <c r="A1108" s="2" t="n">
        <v>1107</v>
      </c>
      <c r="B1108" s="6" t="n">
        <v>31</v>
      </c>
      <c r="C1108" s="6" t="n">
        <v>43</v>
      </c>
      <c r="D1108" s="8" t="str">
        <f aca="false">INDEX(Bases!$B$2:$B$53,B1108)</f>
        <v>Mew</v>
      </c>
      <c r="E1108" s="8" t="str">
        <f aca="false">INDEX(Bases!$B$2:$B$53,C1108)</f>
        <v>Dratini</v>
      </c>
      <c r="F1108" s="2" t="str">
        <f aca="false">LEFT(D1108,ROUNDUP(LEN(D1108)/2,0))&amp;LOWER(MID(E1108,ROUNDUP(LEN(E1108)/2,0)+1,20))</f>
        <v>Meini</v>
      </c>
      <c r="G1108" s="8" t="str">
        <f aca="false">INDEX(Bases!$C$2:$C$53,B1108)</f>
        <v>Psychic</v>
      </c>
      <c r="H1108" s="8" t="str">
        <f aca="false">IF(INDEX(Bases!$C$2:$C$53,C1108)=G1108,"",INDEX(Bases!$C$2:$C$53,C1108))</f>
        <v>Dragon</v>
      </c>
      <c r="I1108" s="8" t="str">
        <f aca="false">IF(INDEX(Bases!$E$2:$E$53,B1108)="","",INDEX(Bases!$E$2:$E$53,B1108))</f>
        <v/>
      </c>
      <c r="J1108" s="8" t="str">
        <f aca="false">IF(INDEX(Bases!$E$2:$E$53,C1108)="","",INDEX(Bases!$E$2:$E$53,C1108))</f>
        <v/>
      </c>
      <c r="K1108" s="5"/>
      <c r="L1108" s="2" t="n">
        <f aca="false">AE1108+IF(SUMPRODUCT(--($AL1108:$AQ1108&gt;AL1108))&lt;$AK1108,1,0)</f>
        <v>78</v>
      </c>
      <c r="M1108" s="2" t="n">
        <f aca="false">AF1108+IF(SUMPRODUCT(--($AL1108:$AQ1108&gt;AM1108))+SUMPRODUCT(--($AL1108:AL1108=AM1108))&lt;$AK1108,1,0)</f>
        <v>97</v>
      </c>
      <c r="N1108" s="2" t="n">
        <f aca="false">AG1108+IF(SUMPRODUCT(--($AL1108:$AQ1108&gt;AN1108))+SUMPRODUCT(--($AL1108:AM1108=AN1108))&lt;$AK1108,1,0)</f>
        <v>80</v>
      </c>
      <c r="O1108" s="2" t="n">
        <f aca="false">AH1108+IF(SUMPRODUCT(--($AL1108:$AQ1108&gt;AO1108))+SUMPRODUCT(--($AL1108:AN1108=AO1108))&lt;$AK1108,1,0)</f>
        <v>82</v>
      </c>
      <c r="P1108" s="2" t="n">
        <f aca="false">AI1108+IF(SUMPRODUCT(--($AL1108:$AQ1108&gt;AP1108))+SUMPRODUCT(--($AL1108:AO1108=AP1108))&lt;$AK1108,1,0)</f>
        <v>82</v>
      </c>
      <c r="Q1108" s="2" t="n">
        <f aca="false">AJ1108+IF(SUMPRODUCT(--($AL1108:$AQ1108&gt;AQ1108))+SUMPRODUCT(--($AL1108:AP1108=AQ1108))&lt;$AK1108,1,0)</f>
        <v>81</v>
      </c>
      <c r="R1108" s="2" t="n">
        <f aca="false">SUM(L1108:Q1108)</f>
        <v>500</v>
      </c>
      <c r="S1108" s="2" t="n">
        <f aca="false">Settings!$B$4*MAX(INDEX(Bases!$M$2:$M$53,B1108),INDEX(Bases!$M$2:$M$53,C1108))+Settings!$B$5*MIN(INDEX(Bases!$M$2:$M$53,B1108),INDEX(Bases!$M$2:$M$53,C1108))</f>
        <v>63</v>
      </c>
      <c r="T1108" s="2" t="n">
        <f aca="false">Settings!$B$4*MAX(INDEX(Bases!$N$2:$N$53,B1108),INDEX(Bases!$N$2:$N$53,C1108))+Settings!$B$5*MIN(INDEX(Bases!$N$2:$N$53,B1108),INDEX(Bases!$N$2:$N$53,C1108))</f>
        <v>79</v>
      </c>
      <c r="U1108" s="2" t="n">
        <f aca="false">Settings!$B$4*MAX(INDEX(Bases!$O$2:$O$53,B1108),INDEX(Bases!$O$2:$O$53,C1108))+Settings!$B$5*MIN(INDEX(Bases!$O$2:$O$53,B1108),INDEX(Bases!$O$2:$O$53,C1108))</f>
        <v>64.6666666666667</v>
      </c>
      <c r="V1108" s="2" t="n">
        <f aca="false">Settings!$B$4*MAX(INDEX(Bases!$P$2:$P$53,B1108),INDEX(Bases!$P$2:$P$53,C1108))+Settings!$B$5*MIN(INDEX(Bases!$P$2:$P$53,B1108),INDEX(Bases!$P$2:$P$53,C1108))</f>
        <v>67</v>
      </c>
      <c r="W1108" s="2" t="n">
        <f aca="false">Settings!$B$4*MAX(INDEX(Bases!$Q$2:$Q$53,B1108),INDEX(Bases!$Q$2:$Q$53,C1108))+Settings!$B$5*MIN(INDEX(Bases!$Q$2:$Q$53,B1108),INDEX(Bases!$Q$2:$Q$53,C1108))</f>
        <v>66.6666666666667</v>
      </c>
      <c r="X1108" s="2" t="n">
        <f aca="false">Settings!$B$4*MAX(INDEX(Bases!$R$2:$R$53,B1108),INDEX(Bases!$R$2:$R$53,C1108))+Settings!$B$5*MIN(INDEX(Bases!$R$2:$R$53,B1108),INDEX(Bases!$R$2:$R$53,C1108))</f>
        <v>66</v>
      </c>
      <c r="Y1108" s="2" t="n">
        <f aca="false">S1108*Settings!$B$3/SUM(S1108:X1108)</f>
        <v>77.5225594749795</v>
      </c>
      <c r="Z1108" s="2" t="n">
        <f aca="false">T1108*Settings!$B$3/SUM(S1108:X1108)</f>
        <v>97.2108285479902</v>
      </c>
      <c r="AA1108" s="2" t="n">
        <f aca="false">U1108*Settings!$B$3/SUM(S1108:X1108)</f>
        <v>79.5734208367514</v>
      </c>
      <c r="AB1108" s="2" t="n">
        <f aca="false">V1108*Settings!$B$3/SUM(S1108:X1108)</f>
        <v>82.4446267432322</v>
      </c>
      <c r="AC1108" s="2" t="n">
        <f aca="false">W1108*Settings!$B$3/SUM(S1108:X1108)</f>
        <v>82.0344544708778</v>
      </c>
      <c r="AD1108" s="2" t="n">
        <f aca="false">X1108*Settings!$B$3/SUM(S1108:X1108)</f>
        <v>81.214109926169</v>
      </c>
      <c r="AE1108" s="2" t="n">
        <f aca="false">INT(Y1108)</f>
        <v>77</v>
      </c>
      <c r="AF1108" s="2" t="n">
        <f aca="false">INT(Z1108)</f>
        <v>97</v>
      </c>
      <c r="AG1108" s="2" t="n">
        <f aca="false">INT(AA1108)</f>
        <v>79</v>
      </c>
      <c r="AH1108" s="2" t="n">
        <f aca="false">INT(AB1108)</f>
        <v>82</v>
      </c>
      <c r="AI1108" s="2" t="n">
        <f aca="false">INT(AC1108)</f>
        <v>82</v>
      </c>
      <c r="AJ1108" s="2" t="n">
        <f aca="false">INT(AD1108)</f>
        <v>81</v>
      </c>
      <c r="AK1108" s="2" t="n">
        <f aca="false">Settings!$B$3-SUM(AE1108:AJ1108)</f>
        <v>2</v>
      </c>
      <c r="AL1108" s="2" t="n">
        <f aca="false">ROUND(Y1108-AE1108,9)</f>
        <v>0.522559475</v>
      </c>
      <c r="AM1108" s="2" t="n">
        <f aca="false">ROUND(Z1108-AF1108,9)</f>
        <v>0.210828548</v>
      </c>
      <c r="AN1108" s="2" t="n">
        <f aca="false">ROUND(AA1108-AG1108,9)</f>
        <v>0.573420837</v>
      </c>
      <c r="AO1108" s="2" t="n">
        <f aca="false">ROUND(AB1108-AH1108,9)</f>
        <v>0.444626743</v>
      </c>
      <c r="AP1108" s="2" t="n">
        <f aca="false">ROUND(AC1108-AI1108,9)</f>
        <v>0.034454471</v>
      </c>
      <c r="AQ1108" s="2" t="n">
        <f aca="false">ROUND(AD1108-AJ1108,9)</f>
        <v>0.214109926</v>
      </c>
    </row>
    <row r="1109" customFormat="false" ht="15" hidden="false" customHeight="false" outlineLevel="0" collapsed="false">
      <c r="A1109" s="2" t="n">
        <v>1108</v>
      </c>
      <c r="B1109" s="6" t="n">
        <v>31</v>
      </c>
      <c r="C1109" s="6" t="n">
        <v>44</v>
      </c>
      <c r="D1109" s="8" t="str">
        <f aca="false">INDEX(Bases!$B$2:$B$53,B1109)</f>
        <v>Mew</v>
      </c>
      <c r="E1109" s="8" t="str">
        <f aca="false">INDEX(Bases!$B$2:$B$53,C1109)</f>
        <v>Bagon</v>
      </c>
      <c r="F1109" s="2" t="str">
        <f aca="false">LEFT(D1109,ROUNDUP(LEN(D1109)/2,0))&amp;LOWER(MID(E1109,ROUNDUP(LEN(E1109)/2,0)+1,20))</f>
        <v>Meon</v>
      </c>
      <c r="G1109" s="8" t="str">
        <f aca="false">INDEX(Bases!$C$2:$C$53,B1109)</f>
        <v>Psychic</v>
      </c>
      <c r="H1109" s="8" t="str">
        <f aca="false">IF(INDEX(Bases!$C$2:$C$53,C1109)=G1109,"",INDEX(Bases!$C$2:$C$53,C1109))</f>
        <v>Dragon</v>
      </c>
      <c r="I1109" s="8" t="str">
        <f aca="false">IF(INDEX(Bases!$E$2:$E$53,B1109)="","",INDEX(Bases!$E$2:$E$53,B1109))</f>
        <v/>
      </c>
      <c r="J1109" s="8" t="str">
        <f aca="false">IF(INDEX(Bases!$E$2:$E$53,C1109)="","",INDEX(Bases!$E$2:$E$53,C1109))</f>
        <v/>
      </c>
      <c r="K1109" s="5"/>
      <c r="L1109" s="2" t="n">
        <f aca="false">AE1109+IF(SUMPRODUCT(--($AL1109:$AQ1109&gt;AL1109))&lt;$AK1109,1,0)</f>
        <v>78</v>
      </c>
      <c r="M1109" s="2" t="n">
        <f aca="false">AF1109+IF(SUMPRODUCT(--($AL1109:$AQ1109&gt;AM1109))+SUMPRODUCT(--($AL1109:AL1109=AM1109))&lt;$AK1109,1,0)</f>
        <v>107</v>
      </c>
      <c r="N1109" s="2" t="n">
        <f aca="false">AG1109+IF(SUMPRODUCT(--($AL1109:$AQ1109&gt;AN1109))+SUMPRODUCT(--($AL1109:AM1109=AN1109))&lt;$AK1109,1,0)</f>
        <v>91</v>
      </c>
      <c r="O1109" s="2" t="n">
        <f aca="false">AH1109+IF(SUMPRODUCT(--($AL1109:$AQ1109&gt;AO1109))+SUMPRODUCT(--($AL1109:AN1109=AO1109))&lt;$AK1109,1,0)</f>
        <v>75</v>
      </c>
      <c r="P1109" s="2" t="n">
        <f aca="false">AI1109+IF(SUMPRODUCT(--($AL1109:$AQ1109&gt;AP1109))+SUMPRODUCT(--($AL1109:AO1109=AP1109))&lt;$AK1109,1,0)</f>
        <v>69</v>
      </c>
      <c r="Q1109" s="2" t="n">
        <f aca="false">AJ1109+IF(SUMPRODUCT(--($AL1109:$AQ1109&gt;AQ1109))+SUMPRODUCT(--($AL1109:AP1109=AQ1109))&lt;$AK1109,1,0)</f>
        <v>80</v>
      </c>
      <c r="R1109" s="2" t="n">
        <f aca="false">SUM(L1109:Q1109)</f>
        <v>500</v>
      </c>
      <c r="S1109" s="2" t="n">
        <f aca="false">Settings!$B$4*MAX(INDEX(Bases!$M$2:$M$53,B1109),INDEX(Bases!$M$2:$M$53,C1109))+Settings!$B$5*MIN(INDEX(Bases!$M$2:$M$53,B1109),INDEX(Bases!$M$2:$M$53,C1109))</f>
        <v>64.6666666666667</v>
      </c>
      <c r="T1109" s="2" t="n">
        <f aca="false">Settings!$B$4*MAX(INDEX(Bases!$N$2:$N$53,B1109),INDEX(Bases!$N$2:$N$53,C1109))+Settings!$B$5*MIN(INDEX(Bases!$N$2:$N$53,B1109),INDEX(Bases!$N$2:$N$53,C1109))</f>
        <v>89</v>
      </c>
      <c r="U1109" s="2" t="n">
        <f aca="false">Settings!$B$4*MAX(INDEX(Bases!$O$2:$O$53,B1109),INDEX(Bases!$O$2:$O$53,C1109))+Settings!$B$5*MIN(INDEX(Bases!$O$2:$O$53,B1109),INDEX(Bases!$O$2:$O$53,C1109))</f>
        <v>75.6666666666667</v>
      </c>
      <c r="V1109" s="2" t="n">
        <f aca="false">Settings!$B$4*MAX(INDEX(Bases!$P$2:$P$53,B1109),INDEX(Bases!$P$2:$P$53,C1109))+Settings!$B$5*MIN(INDEX(Bases!$P$2:$P$53,B1109),INDEX(Bases!$P$2:$P$53,C1109))</f>
        <v>62.3333333333333</v>
      </c>
      <c r="W1109" s="2" t="n">
        <f aca="false">Settings!$B$4*MAX(INDEX(Bases!$Q$2:$Q$53,B1109),INDEX(Bases!$Q$2:$Q$53,C1109))+Settings!$B$5*MIN(INDEX(Bases!$Q$2:$Q$53,B1109),INDEX(Bases!$Q$2:$Q$53,C1109))</f>
        <v>57.3333333333333</v>
      </c>
      <c r="X1109" s="2" t="n">
        <f aca="false">Settings!$B$4*MAX(INDEX(Bases!$R$2:$R$53,B1109),INDEX(Bases!$R$2:$R$53,C1109))+Settings!$B$5*MIN(INDEX(Bases!$R$2:$R$53,B1109),INDEX(Bases!$R$2:$R$53,C1109))</f>
        <v>66.6666666666667</v>
      </c>
      <c r="Y1109" s="2" t="n">
        <f aca="false">S1109*Settings!$B$3/SUM(S1109:X1109)</f>
        <v>77.7866880513232</v>
      </c>
      <c r="Z1109" s="2" t="n">
        <f aca="false">T1109*Settings!$B$3/SUM(S1109:X1109)</f>
        <v>107.056936647955</v>
      </c>
      <c r="AA1109" s="2" t="n">
        <f aca="false">U1109*Settings!$B$3/SUM(S1109:X1109)</f>
        <v>91.018444266239</v>
      </c>
      <c r="AB1109" s="2" t="n">
        <f aca="false">V1109*Settings!$B$3/SUM(S1109:X1109)</f>
        <v>74.9799518845229</v>
      </c>
      <c r="AC1109" s="2" t="n">
        <f aca="false">W1109*Settings!$B$3/SUM(S1109:X1109)</f>
        <v>68.9655172413793</v>
      </c>
      <c r="AD1109" s="2" t="n">
        <f aca="false">X1109*Settings!$B$3/SUM(S1109:X1109)</f>
        <v>80.1924619085806</v>
      </c>
      <c r="AE1109" s="2" t="n">
        <f aca="false">INT(Y1109)</f>
        <v>77</v>
      </c>
      <c r="AF1109" s="2" t="n">
        <f aca="false">INT(Z1109)</f>
        <v>107</v>
      </c>
      <c r="AG1109" s="2" t="n">
        <f aca="false">INT(AA1109)</f>
        <v>91</v>
      </c>
      <c r="AH1109" s="2" t="n">
        <f aca="false">INT(AB1109)</f>
        <v>74</v>
      </c>
      <c r="AI1109" s="2" t="n">
        <f aca="false">INT(AC1109)</f>
        <v>68</v>
      </c>
      <c r="AJ1109" s="2" t="n">
        <f aca="false">INT(AD1109)</f>
        <v>80</v>
      </c>
      <c r="AK1109" s="2" t="n">
        <f aca="false">Settings!$B$3-SUM(AE1109:AJ1109)</f>
        <v>3</v>
      </c>
      <c r="AL1109" s="2" t="n">
        <f aca="false">ROUND(Y1109-AE1109,9)</f>
        <v>0.786688051</v>
      </c>
      <c r="AM1109" s="2" t="n">
        <f aca="false">ROUND(Z1109-AF1109,9)</f>
        <v>0.056936648</v>
      </c>
      <c r="AN1109" s="2" t="n">
        <f aca="false">ROUND(AA1109-AG1109,9)</f>
        <v>0.018444266</v>
      </c>
      <c r="AO1109" s="2" t="n">
        <f aca="false">ROUND(AB1109-AH1109,9)</f>
        <v>0.979951885</v>
      </c>
      <c r="AP1109" s="2" t="n">
        <f aca="false">ROUND(AC1109-AI1109,9)</f>
        <v>0.965517241</v>
      </c>
      <c r="AQ1109" s="2" t="n">
        <f aca="false">ROUND(AD1109-AJ1109,9)</f>
        <v>0.192461909</v>
      </c>
    </row>
    <row r="1110" customFormat="false" ht="15" hidden="false" customHeight="false" outlineLevel="0" collapsed="false">
      <c r="A1110" s="2" t="n">
        <v>1109</v>
      </c>
      <c r="B1110" s="6" t="n">
        <v>31</v>
      </c>
      <c r="C1110" s="6" t="n">
        <v>45</v>
      </c>
      <c r="D1110" s="8" t="str">
        <f aca="false">INDEX(Bases!$B$2:$B$53,B1110)</f>
        <v>Mew</v>
      </c>
      <c r="E1110" s="8" t="str">
        <f aca="false">INDEX(Bases!$B$2:$B$53,C1110)</f>
        <v>Sneasel</v>
      </c>
      <c r="F1110" s="2" t="str">
        <f aca="false">LEFT(D1110,ROUNDUP(LEN(D1110)/2,0))&amp;LOWER(MID(E1110,ROUNDUP(LEN(E1110)/2,0)+1,20))</f>
        <v>Mesel</v>
      </c>
      <c r="G1110" s="8" t="str">
        <f aca="false">INDEX(Bases!$C$2:$C$53,B1110)</f>
        <v>Psychic</v>
      </c>
      <c r="H1110" s="8" t="str">
        <f aca="false">IF(INDEX(Bases!$C$2:$C$53,C1110)=G1110,"",INDEX(Bases!$C$2:$C$53,C1110))</f>
        <v>Dark</v>
      </c>
      <c r="I1110" s="8" t="str">
        <f aca="false">IF(INDEX(Bases!$E$2:$E$53,B1110)="","",INDEX(Bases!$E$2:$E$53,B1110))</f>
        <v/>
      </c>
      <c r="J1110" s="8" t="str">
        <f aca="false">IF(INDEX(Bases!$E$2:$E$53,C1110)="","",INDEX(Bases!$E$2:$E$53,C1110))</f>
        <v/>
      </c>
      <c r="K1110" s="5"/>
      <c r="L1110" s="2" t="n">
        <f aca="false">AE1110+IF(SUMPRODUCT(--($AL1110:$AQ1110&gt;AL1110))&lt;$AK1110,1,0)</f>
        <v>73</v>
      </c>
      <c r="M1110" s="2" t="n">
        <f aca="false">AF1110+IF(SUMPRODUCT(--($AL1110:$AQ1110&gt;AM1110))+SUMPRODUCT(--($AL1110:AL1110=AM1110))&lt;$AK1110,1,0)</f>
        <v>96</v>
      </c>
      <c r="N1110" s="2" t="n">
        <f aca="false">AG1110+IF(SUMPRODUCT(--($AL1110:$AQ1110&gt;AN1110))+SUMPRODUCT(--($AL1110:AM1110=AN1110))&lt;$AK1110,1,0)</f>
        <v>73</v>
      </c>
      <c r="O1110" s="2" t="n">
        <f aca="false">AH1110+IF(SUMPRODUCT(--($AL1110:$AQ1110&gt;AO1110))+SUMPRODUCT(--($AL1110:AN1110=AO1110))&lt;$AK1110,1,0)</f>
        <v>66</v>
      </c>
      <c r="P1110" s="2" t="n">
        <f aca="false">AI1110+IF(SUMPRODUCT(--($AL1110:$AQ1110&gt;AP1110))+SUMPRODUCT(--($AL1110:AO1110=AP1110))&lt;$AK1110,1,0)</f>
        <v>81</v>
      </c>
      <c r="Q1110" s="2" t="n">
        <f aca="false">AJ1110+IF(SUMPRODUCT(--($AL1110:$AQ1110&gt;AQ1110))+SUMPRODUCT(--($AL1110:AP1110=AQ1110))&lt;$AK1110,1,0)</f>
        <v>111</v>
      </c>
      <c r="R1110" s="2" t="n">
        <f aca="false">SUM(L1110:Q1110)</f>
        <v>500</v>
      </c>
      <c r="S1110" s="2" t="n">
        <f aca="false">Settings!$B$4*MAX(INDEX(Bases!$M$2:$M$53,B1110),INDEX(Bases!$M$2:$M$53,C1110))+Settings!$B$5*MIN(INDEX(Bases!$M$2:$M$53,B1110),INDEX(Bases!$M$2:$M$53,C1110))</f>
        <v>61.6666666666667</v>
      </c>
      <c r="T1110" s="2" t="n">
        <f aca="false">Settings!$B$4*MAX(INDEX(Bases!$N$2:$N$53,B1110),INDEX(Bases!$N$2:$N$53,C1110))+Settings!$B$5*MIN(INDEX(Bases!$N$2:$N$53,B1110),INDEX(Bases!$N$2:$N$53,C1110))</f>
        <v>81</v>
      </c>
      <c r="U1110" s="2" t="n">
        <f aca="false">Settings!$B$4*MAX(INDEX(Bases!$O$2:$O$53,B1110),INDEX(Bases!$O$2:$O$53,C1110))+Settings!$B$5*MIN(INDEX(Bases!$O$2:$O$53,B1110),INDEX(Bases!$O$2:$O$53,C1110))</f>
        <v>61.6666666666667</v>
      </c>
      <c r="V1110" s="2" t="n">
        <f aca="false">Settings!$B$4*MAX(INDEX(Bases!$P$2:$P$53,B1110),INDEX(Bases!$P$2:$P$53,C1110))+Settings!$B$5*MIN(INDEX(Bases!$P$2:$P$53,B1110),INDEX(Bases!$P$2:$P$53,C1110))</f>
        <v>55.6666666666667</v>
      </c>
      <c r="W1110" s="2" t="n">
        <f aca="false">Settings!$B$4*MAX(INDEX(Bases!$Q$2:$Q$53,B1110),INDEX(Bases!$Q$2:$Q$53,C1110))+Settings!$B$5*MIN(INDEX(Bases!$Q$2:$Q$53,B1110),INDEX(Bases!$Q$2:$Q$53,C1110))</f>
        <v>68.6666666666667</v>
      </c>
      <c r="X1110" s="2" t="n">
        <f aca="false">Settings!$B$4*MAX(INDEX(Bases!$R$2:$R$53,B1110),INDEX(Bases!$R$2:$R$53,C1110))+Settings!$B$5*MIN(INDEX(Bases!$R$2:$R$53,B1110),INDEX(Bases!$R$2:$R$53,C1110))</f>
        <v>93.3333333333333</v>
      </c>
      <c r="Y1110" s="2" t="n">
        <f aca="false">S1110*Settings!$B$3/SUM(S1110:X1110)</f>
        <v>73.0647709320695</v>
      </c>
      <c r="Z1110" s="2" t="n">
        <f aca="false">T1110*Settings!$B$3/SUM(S1110:X1110)</f>
        <v>95.9715639810427</v>
      </c>
      <c r="AA1110" s="2" t="n">
        <f aca="false">U1110*Settings!$B$3/SUM(S1110:X1110)</f>
        <v>73.0647709320695</v>
      </c>
      <c r="AB1110" s="2" t="n">
        <f aca="false">V1110*Settings!$B$3/SUM(S1110:X1110)</f>
        <v>65.955766192733</v>
      </c>
      <c r="AC1110" s="2" t="n">
        <f aca="false">W1110*Settings!$B$3/SUM(S1110:X1110)</f>
        <v>81.3586097946288</v>
      </c>
      <c r="AD1110" s="2" t="n">
        <f aca="false">X1110*Settings!$B$3/SUM(S1110:X1110)</f>
        <v>110.584518167457</v>
      </c>
      <c r="AE1110" s="2" t="n">
        <f aca="false">INT(Y1110)</f>
        <v>73</v>
      </c>
      <c r="AF1110" s="2" t="n">
        <f aca="false">INT(Z1110)</f>
        <v>95</v>
      </c>
      <c r="AG1110" s="2" t="n">
        <f aca="false">INT(AA1110)</f>
        <v>73</v>
      </c>
      <c r="AH1110" s="2" t="n">
        <f aca="false">INT(AB1110)</f>
        <v>65</v>
      </c>
      <c r="AI1110" s="2" t="n">
        <f aca="false">INT(AC1110)</f>
        <v>81</v>
      </c>
      <c r="AJ1110" s="2" t="n">
        <f aca="false">INT(AD1110)</f>
        <v>110</v>
      </c>
      <c r="AK1110" s="2" t="n">
        <f aca="false">Settings!$B$3-SUM(AE1110:AJ1110)</f>
        <v>3</v>
      </c>
      <c r="AL1110" s="2" t="n">
        <f aca="false">ROUND(Y1110-AE1110,9)</f>
        <v>0.064770932</v>
      </c>
      <c r="AM1110" s="2" t="n">
        <f aca="false">ROUND(Z1110-AF1110,9)</f>
        <v>0.971563981</v>
      </c>
      <c r="AN1110" s="2" t="n">
        <f aca="false">ROUND(AA1110-AG1110,9)</f>
        <v>0.064770932</v>
      </c>
      <c r="AO1110" s="2" t="n">
        <f aca="false">ROUND(AB1110-AH1110,9)</f>
        <v>0.955766193</v>
      </c>
      <c r="AP1110" s="2" t="n">
        <f aca="false">ROUND(AC1110-AI1110,9)</f>
        <v>0.358609795</v>
      </c>
      <c r="AQ1110" s="2" t="n">
        <f aca="false">ROUND(AD1110-AJ1110,9)</f>
        <v>0.584518167</v>
      </c>
    </row>
    <row r="1111" customFormat="false" ht="15" hidden="false" customHeight="false" outlineLevel="0" collapsed="false">
      <c r="A1111" s="2" t="n">
        <v>1110</v>
      </c>
      <c r="B1111" s="6" t="n">
        <v>31</v>
      </c>
      <c r="C1111" s="6" t="n">
        <v>46</v>
      </c>
      <c r="D1111" s="8" t="str">
        <f aca="false">INDEX(Bases!$B$2:$B$53,B1111)</f>
        <v>Mew</v>
      </c>
      <c r="E1111" s="8" t="str">
        <f aca="false">INDEX(Bases!$B$2:$B$53,C1111)</f>
        <v>Houndour</v>
      </c>
      <c r="F1111" s="2" t="str">
        <f aca="false">LEFT(D1111,ROUNDUP(LEN(D1111)/2,0))&amp;LOWER(MID(E1111,ROUNDUP(LEN(E1111)/2,0)+1,20))</f>
        <v>Medour</v>
      </c>
      <c r="G1111" s="8" t="str">
        <f aca="false">INDEX(Bases!$C$2:$C$53,B1111)</f>
        <v>Psychic</v>
      </c>
      <c r="H1111" s="8" t="str">
        <f aca="false">IF(INDEX(Bases!$C$2:$C$53,C1111)=G1111,"",INDEX(Bases!$C$2:$C$53,C1111))</f>
        <v>Dark</v>
      </c>
      <c r="I1111" s="8" t="str">
        <f aca="false">IF(INDEX(Bases!$E$2:$E$53,B1111)="","",INDEX(Bases!$E$2:$E$53,B1111))</f>
        <v/>
      </c>
      <c r="J1111" s="8" t="str">
        <f aca="false">IF(INDEX(Bases!$E$2:$E$53,C1111)="","",INDEX(Bases!$E$2:$E$53,C1111))</f>
        <v/>
      </c>
      <c r="K1111" s="5"/>
      <c r="L1111" s="2" t="n">
        <f aca="false">AE1111+IF(SUMPRODUCT(--($AL1111:$AQ1111&gt;AL1111))&lt;$AK1111,1,0)</f>
        <v>75</v>
      </c>
      <c r="M1111" s="2" t="n">
        <f aca="false">AF1111+IF(SUMPRODUCT(--($AL1111:$AQ1111&gt;AM1111))+SUMPRODUCT(--($AL1111:AL1111=AM1111))&lt;$AK1111,1,0)</f>
        <v>85</v>
      </c>
      <c r="N1111" s="2" t="n">
        <f aca="false">AG1111+IF(SUMPRODUCT(--($AL1111:$AQ1111&gt;AN1111))+SUMPRODUCT(--($AL1111:AM1111=AN1111))&lt;$AK1111,1,0)</f>
        <v>68</v>
      </c>
      <c r="O1111" s="2" t="n">
        <f aca="false">AH1111+IF(SUMPRODUCT(--($AL1111:$AQ1111&gt;AO1111))+SUMPRODUCT(--($AL1111:AN1111=AO1111))&lt;$AK1111,1,0)</f>
        <v>105</v>
      </c>
      <c r="P1111" s="2" t="n">
        <f aca="false">AI1111+IF(SUMPRODUCT(--($AL1111:$AQ1111&gt;AP1111))+SUMPRODUCT(--($AL1111:AO1111=AP1111))&lt;$AK1111,1,0)</f>
        <v>77</v>
      </c>
      <c r="Q1111" s="2" t="n">
        <f aca="false">AJ1111+IF(SUMPRODUCT(--($AL1111:$AQ1111&gt;AQ1111))+SUMPRODUCT(--($AL1111:AP1111=AQ1111))&lt;$AK1111,1,0)</f>
        <v>90</v>
      </c>
      <c r="R1111" s="2" t="n">
        <f aca="false">SUM(L1111:Q1111)</f>
        <v>500</v>
      </c>
      <c r="S1111" s="2" t="n">
        <f aca="false">Settings!$B$4*MAX(INDEX(Bases!$M$2:$M$53,B1111),INDEX(Bases!$M$2:$M$53,C1111))+Settings!$B$5*MIN(INDEX(Bases!$M$2:$M$53,B1111),INDEX(Bases!$M$2:$M$53,C1111))</f>
        <v>62.6666666666667</v>
      </c>
      <c r="T1111" s="2" t="n">
        <f aca="false">Settings!$B$4*MAX(INDEX(Bases!$N$2:$N$53,B1111),INDEX(Bases!$N$2:$N$53,C1111))+Settings!$B$5*MIN(INDEX(Bases!$N$2:$N$53,B1111),INDEX(Bases!$N$2:$N$53,C1111))</f>
        <v>71</v>
      </c>
      <c r="U1111" s="2" t="n">
        <f aca="false">Settings!$B$4*MAX(INDEX(Bases!$O$2:$O$53,B1111),INDEX(Bases!$O$2:$O$53,C1111))+Settings!$B$5*MIN(INDEX(Bases!$O$2:$O$53,B1111),INDEX(Bases!$O$2:$O$53,C1111))</f>
        <v>56.6666666666667</v>
      </c>
      <c r="V1111" s="2" t="n">
        <f aca="false">Settings!$B$4*MAX(INDEX(Bases!$P$2:$P$53,B1111),INDEX(Bases!$P$2:$P$53,C1111))+Settings!$B$5*MIN(INDEX(Bases!$P$2:$P$53,B1111),INDEX(Bases!$P$2:$P$53,C1111))</f>
        <v>87</v>
      </c>
      <c r="W1111" s="2" t="n">
        <f aca="false">Settings!$B$4*MAX(INDEX(Bases!$Q$2:$Q$53,B1111),INDEX(Bases!$Q$2:$Q$53,C1111))+Settings!$B$5*MIN(INDEX(Bases!$Q$2:$Q$53,B1111),INDEX(Bases!$Q$2:$Q$53,C1111))</f>
        <v>64.3333333333333</v>
      </c>
      <c r="X1111" s="2" t="n">
        <f aca="false">Settings!$B$4*MAX(INDEX(Bases!$R$2:$R$53,B1111),INDEX(Bases!$R$2:$R$53,C1111))+Settings!$B$5*MIN(INDEX(Bases!$R$2:$R$53,B1111),INDEX(Bases!$R$2:$R$53,C1111))</f>
        <v>74.6666666666667</v>
      </c>
      <c r="Y1111" s="2" t="n">
        <f aca="false">S1111*Settings!$B$3/SUM(S1111:X1111)</f>
        <v>75.2602081665332</v>
      </c>
      <c r="Z1111" s="2" t="n">
        <f aca="false">T1111*Settings!$B$3/SUM(S1111:X1111)</f>
        <v>85.2682145716573</v>
      </c>
      <c r="AA1111" s="2" t="n">
        <f aca="false">U1111*Settings!$B$3/SUM(S1111:X1111)</f>
        <v>68.0544435548439</v>
      </c>
      <c r="AB1111" s="2" t="n">
        <f aca="false">V1111*Settings!$B$3/SUM(S1111:X1111)</f>
        <v>104.483586869496</v>
      </c>
      <c r="AC1111" s="2" t="n">
        <f aca="false">W1111*Settings!$B$3/SUM(S1111:X1111)</f>
        <v>77.2618094475581</v>
      </c>
      <c r="AD1111" s="2" t="n">
        <f aca="false">X1111*Settings!$B$3/SUM(S1111:X1111)</f>
        <v>89.6717373899119</v>
      </c>
      <c r="AE1111" s="2" t="n">
        <f aca="false">INT(Y1111)</f>
        <v>75</v>
      </c>
      <c r="AF1111" s="2" t="n">
        <f aca="false">INT(Z1111)</f>
        <v>85</v>
      </c>
      <c r="AG1111" s="2" t="n">
        <f aca="false">INT(AA1111)</f>
        <v>68</v>
      </c>
      <c r="AH1111" s="2" t="n">
        <f aca="false">INT(AB1111)</f>
        <v>104</v>
      </c>
      <c r="AI1111" s="2" t="n">
        <f aca="false">INT(AC1111)</f>
        <v>77</v>
      </c>
      <c r="AJ1111" s="2" t="n">
        <f aca="false">INT(AD1111)</f>
        <v>89</v>
      </c>
      <c r="AK1111" s="2" t="n">
        <f aca="false">Settings!$B$3-SUM(AE1111:AJ1111)</f>
        <v>2</v>
      </c>
      <c r="AL1111" s="2" t="n">
        <f aca="false">ROUND(Y1111-AE1111,9)</f>
        <v>0.260208167</v>
      </c>
      <c r="AM1111" s="2" t="n">
        <f aca="false">ROUND(Z1111-AF1111,9)</f>
        <v>0.268214572</v>
      </c>
      <c r="AN1111" s="2" t="n">
        <f aca="false">ROUND(AA1111-AG1111,9)</f>
        <v>0.054443555</v>
      </c>
      <c r="AO1111" s="2" t="n">
        <f aca="false">ROUND(AB1111-AH1111,9)</f>
        <v>0.483586869</v>
      </c>
      <c r="AP1111" s="2" t="n">
        <f aca="false">ROUND(AC1111-AI1111,9)</f>
        <v>0.261809448</v>
      </c>
      <c r="AQ1111" s="2" t="n">
        <f aca="false">ROUND(AD1111-AJ1111,9)</f>
        <v>0.67173739</v>
      </c>
    </row>
    <row r="1112" customFormat="false" ht="15" hidden="false" customHeight="false" outlineLevel="0" collapsed="false">
      <c r="A1112" s="2" t="n">
        <v>1111</v>
      </c>
      <c r="B1112" s="6" t="n">
        <v>31</v>
      </c>
      <c r="C1112" s="6" t="n">
        <v>47</v>
      </c>
      <c r="D1112" s="8" t="str">
        <f aca="false">INDEX(Bases!$B$2:$B$53,B1112)</f>
        <v>Mew</v>
      </c>
      <c r="E1112" s="8" t="str">
        <f aca="false">INDEX(Bases!$B$2:$B$53,C1112)</f>
        <v>Carvanha</v>
      </c>
      <c r="F1112" s="2" t="str">
        <f aca="false">LEFT(D1112,ROUNDUP(LEN(D1112)/2,0))&amp;LOWER(MID(E1112,ROUNDUP(LEN(E1112)/2,0)+1,20))</f>
        <v>Meanha</v>
      </c>
      <c r="G1112" s="8" t="str">
        <f aca="false">INDEX(Bases!$C$2:$C$53,B1112)</f>
        <v>Psychic</v>
      </c>
      <c r="H1112" s="8" t="str">
        <f aca="false">IF(INDEX(Bases!$C$2:$C$53,C1112)=G1112,"",INDEX(Bases!$C$2:$C$53,C1112))</f>
        <v>Dark</v>
      </c>
      <c r="I1112" s="8" t="str">
        <f aca="false">IF(INDEX(Bases!$E$2:$E$53,B1112)="","",INDEX(Bases!$E$2:$E$53,B1112))</f>
        <v/>
      </c>
      <c r="J1112" s="8" t="str">
        <f aca="false">IF(INDEX(Bases!$E$2:$E$53,C1112)="","",INDEX(Bases!$E$2:$E$53,C1112))</f>
        <v/>
      </c>
      <c r="K1112" s="5"/>
      <c r="L1112" s="2" t="n">
        <f aca="false">AE1112+IF(SUMPRODUCT(--($AL1112:$AQ1112&gt;AL1112))&lt;$AK1112,1,0)</f>
        <v>75</v>
      </c>
      <c r="M1112" s="2" t="n">
        <f aca="false">AF1112+IF(SUMPRODUCT(--($AL1112:$AQ1112&gt;AM1112))+SUMPRODUCT(--($AL1112:AL1112=AM1112))&lt;$AK1112,1,0)</f>
        <v>117</v>
      </c>
      <c r="N1112" s="2" t="n">
        <f aca="false">AG1112+IF(SUMPRODUCT(--($AL1112:$AQ1112&gt;AN1112))+SUMPRODUCT(--($AL1112:AM1112=AN1112))&lt;$AK1112,1,0)</f>
        <v>62</v>
      </c>
      <c r="O1112" s="2" t="n">
        <f aca="false">AH1112+IF(SUMPRODUCT(--($AL1112:$AQ1112&gt;AO1112))+SUMPRODUCT(--($AL1112:AN1112=AO1112))&lt;$AK1112,1,0)</f>
        <v>93</v>
      </c>
      <c r="P1112" s="2" t="n">
        <f aca="false">AI1112+IF(SUMPRODUCT(--($AL1112:$AQ1112&gt;AP1112))+SUMPRODUCT(--($AL1112:AO1112=AP1112))&lt;$AK1112,1,0)</f>
        <v>61</v>
      </c>
      <c r="Q1112" s="2" t="n">
        <f aca="false">AJ1112+IF(SUMPRODUCT(--($AL1112:$AQ1112&gt;AQ1112))+SUMPRODUCT(--($AL1112:AP1112=AQ1112))&lt;$AK1112,1,0)</f>
        <v>92</v>
      </c>
      <c r="R1112" s="2" t="n">
        <f aca="false">SUM(L1112:Q1112)</f>
        <v>500</v>
      </c>
      <c r="S1112" s="2" t="n">
        <f aca="false">Settings!$B$4*MAX(INDEX(Bases!$M$2:$M$53,B1112),INDEX(Bases!$M$2:$M$53,C1112))+Settings!$B$5*MIN(INDEX(Bases!$M$2:$M$53,B1112),INDEX(Bases!$M$2:$M$53,C1112))</f>
        <v>64.3333333333333</v>
      </c>
      <c r="T1112" s="2" t="n">
        <f aca="false">Settings!$B$4*MAX(INDEX(Bases!$N$2:$N$53,B1112),INDEX(Bases!$N$2:$N$53,C1112))+Settings!$B$5*MIN(INDEX(Bases!$N$2:$N$53,B1112),INDEX(Bases!$N$2:$N$53,C1112))</f>
        <v>101</v>
      </c>
      <c r="U1112" s="2" t="n">
        <f aca="false">Settings!$B$4*MAX(INDEX(Bases!$O$2:$O$53,B1112),INDEX(Bases!$O$2:$O$53,C1112))+Settings!$B$5*MIN(INDEX(Bases!$O$2:$O$53,B1112),INDEX(Bases!$O$2:$O$53,C1112))</f>
        <v>53.3333333333333</v>
      </c>
      <c r="V1112" s="2" t="n">
        <f aca="false">Settings!$B$4*MAX(INDEX(Bases!$P$2:$P$53,B1112),INDEX(Bases!$P$2:$P$53,C1112))+Settings!$B$5*MIN(INDEX(Bases!$P$2:$P$53,B1112),INDEX(Bases!$P$2:$P$53,C1112))</f>
        <v>79.6666666666667</v>
      </c>
      <c r="W1112" s="2" t="n">
        <f aca="false">Settings!$B$4*MAX(INDEX(Bases!$Q$2:$Q$53,B1112),INDEX(Bases!$Q$2:$Q$53,C1112))+Settings!$B$5*MIN(INDEX(Bases!$Q$2:$Q$53,B1112),INDEX(Bases!$Q$2:$Q$53,C1112))</f>
        <v>52.6666666666667</v>
      </c>
      <c r="X1112" s="2" t="n">
        <f aca="false">Settings!$B$4*MAX(INDEX(Bases!$R$2:$R$53,B1112),INDEX(Bases!$R$2:$R$53,C1112))+Settings!$B$5*MIN(INDEX(Bases!$R$2:$R$53,B1112),INDEX(Bases!$R$2:$R$53,C1112))</f>
        <v>78.6666666666667</v>
      </c>
      <c r="Y1112" s="2" t="n">
        <f aca="false">S1112*Settings!$B$3/SUM(S1112:X1112)</f>
        <v>74.8642358417378</v>
      </c>
      <c r="Z1112" s="2" t="n">
        <f aca="false">T1112*Settings!$B$3/SUM(S1112:X1112)</f>
        <v>117.532971295578</v>
      </c>
      <c r="AA1112" s="2" t="n">
        <f aca="false">U1112*Settings!$B$3/SUM(S1112:X1112)</f>
        <v>62.0636152055857</v>
      </c>
      <c r="AB1112" s="2" t="n">
        <f aca="false">V1112*Settings!$B$3/SUM(S1112:X1112)</f>
        <v>92.7075252133437</v>
      </c>
      <c r="AC1112" s="2" t="n">
        <f aca="false">W1112*Settings!$B$3/SUM(S1112:X1112)</f>
        <v>61.2878200155159</v>
      </c>
      <c r="AD1112" s="2" t="n">
        <f aca="false">X1112*Settings!$B$3/SUM(S1112:X1112)</f>
        <v>91.5438324282389</v>
      </c>
      <c r="AE1112" s="2" t="n">
        <f aca="false">INT(Y1112)</f>
        <v>74</v>
      </c>
      <c r="AF1112" s="2" t="n">
        <f aca="false">INT(Z1112)</f>
        <v>117</v>
      </c>
      <c r="AG1112" s="2" t="n">
        <f aca="false">INT(AA1112)</f>
        <v>62</v>
      </c>
      <c r="AH1112" s="2" t="n">
        <f aca="false">INT(AB1112)</f>
        <v>92</v>
      </c>
      <c r="AI1112" s="2" t="n">
        <f aca="false">INT(AC1112)</f>
        <v>61</v>
      </c>
      <c r="AJ1112" s="2" t="n">
        <f aca="false">INT(AD1112)</f>
        <v>91</v>
      </c>
      <c r="AK1112" s="2" t="n">
        <f aca="false">Settings!$B$3-SUM(AE1112:AJ1112)</f>
        <v>3</v>
      </c>
      <c r="AL1112" s="2" t="n">
        <f aca="false">ROUND(Y1112-AE1112,9)</f>
        <v>0.864235842</v>
      </c>
      <c r="AM1112" s="2" t="n">
        <f aca="false">ROUND(Z1112-AF1112,9)</f>
        <v>0.532971296</v>
      </c>
      <c r="AN1112" s="2" t="n">
        <f aca="false">ROUND(AA1112-AG1112,9)</f>
        <v>0.063615206</v>
      </c>
      <c r="AO1112" s="2" t="n">
        <f aca="false">ROUND(AB1112-AH1112,9)</f>
        <v>0.707525213</v>
      </c>
      <c r="AP1112" s="2" t="n">
        <f aca="false">ROUND(AC1112-AI1112,9)</f>
        <v>0.287820016</v>
      </c>
      <c r="AQ1112" s="2" t="n">
        <f aca="false">ROUND(AD1112-AJ1112,9)</f>
        <v>0.543832428</v>
      </c>
    </row>
    <row r="1113" customFormat="false" ht="15" hidden="false" customHeight="false" outlineLevel="0" collapsed="false">
      <c r="A1113" s="2" t="n">
        <v>1112</v>
      </c>
      <c r="B1113" s="6" t="n">
        <v>31</v>
      </c>
      <c r="C1113" s="6" t="n">
        <v>48</v>
      </c>
      <c r="D1113" s="8" t="str">
        <f aca="false">INDEX(Bases!$B$2:$B$53,B1113)</f>
        <v>Mew</v>
      </c>
      <c r="E1113" s="8" t="str">
        <f aca="false">INDEX(Bases!$B$2:$B$53,C1113)</f>
        <v>Magnemite</v>
      </c>
      <c r="F1113" s="2" t="str">
        <f aca="false">LEFT(D1113,ROUNDUP(LEN(D1113)/2,0))&amp;LOWER(MID(E1113,ROUNDUP(LEN(E1113)/2,0)+1,20))</f>
        <v>Memite</v>
      </c>
      <c r="G1113" s="8" t="str">
        <f aca="false">INDEX(Bases!$C$2:$C$53,B1113)</f>
        <v>Psychic</v>
      </c>
      <c r="H1113" s="8" t="str">
        <f aca="false">IF(INDEX(Bases!$C$2:$C$53,C1113)=G1113,"",INDEX(Bases!$C$2:$C$53,C1113))</f>
        <v>Steel</v>
      </c>
      <c r="I1113" s="8" t="str">
        <f aca="false">IF(INDEX(Bases!$E$2:$E$53,B1113)="","",INDEX(Bases!$E$2:$E$53,B1113))</f>
        <v/>
      </c>
      <c r="J1113" s="8" t="str">
        <f aca="false">IF(INDEX(Bases!$E$2:$E$53,C1113)="","",INDEX(Bases!$E$2:$E$53,C1113))</f>
        <v/>
      </c>
      <c r="K1113" s="5"/>
      <c r="L1113" s="2" t="n">
        <f aca="false">AE1113+IF(SUMPRODUCT(--($AL1113:$AQ1113&gt;AL1113))&lt;$AK1113,1,0)</f>
        <v>65</v>
      </c>
      <c r="M1113" s="2" t="n">
        <f aca="false">AF1113+IF(SUMPRODUCT(--($AL1113:$AQ1113&gt;AM1113))+SUMPRODUCT(--($AL1113:AL1113=AM1113))&lt;$AK1113,1,0)</f>
        <v>70</v>
      </c>
      <c r="N1113" s="2" t="n">
        <f aca="false">AG1113+IF(SUMPRODUCT(--($AL1113:$AQ1113&gt;AN1113))+SUMPRODUCT(--($AL1113:AM1113=AN1113))&lt;$AK1113,1,0)</f>
        <v>94</v>
      </c>
      <c r="O1113" s="2" t="n">
        <f aca="false">AH1113+IF(SUMPRODUCT(--($AL1113:$AQ1113&gt;AO1113))+SUMPRODUCT(--($AL1113:AN1113=AO1113))&lt;$AK1113,1,0)</f>
        <v>118</v>
      </c>
      <c r="P1113" s="2" t="n">
        <f aca="false">AI1113+IF(SUMPRODUCT(--($AL1113:$AQ1113&gt;AP1113))+SUMPRODUCT(--($AL1113:AO1113=AP1113))&lt;$AK1113,1,0)</f>
        <v>79</v>
      </c>
      <c r="Q1113" s="2" t="n">
        <f aca="false">AJ1113+IF(SUMPRODUCT(--($AL1113:$AQ1113&gt;AQ1113))+SUMPRODUCT(--($AL1113:AP1113=AQ1113))&lt;$AK1113,1,0)</f>
        <v>74</v>
      </c>
      <c r="R1113" s="2" t="n">
        <f aca="false">SUM(L1113:Q1113)</f>
        <v>500</v>
      </c>
      <c r="S1113" s="2" t="n">
        <f aca="false">Settings!$B$4*MAX(INDEX(Bases!$M$2:$M$53,B1113),INDEX(Bases!$M$2:$M$53,C1113))+Settings!$B$5*MIN(INDEX(Bases!$M$2:$M$53,B1113),INDEX(Bases!$M$2:$M$53,C1113))</f>
        <v>55</v>
      </c>
      <c r="T1113" s="2" t="n">
        <f aca="false">Settings!$B$4*MAX(INDEX(Bases!$N$2:$N$53,B1113),INDEX(Bases!$N$2:$N$53,C1113))+Settings!$B$5*MIN(INDEX(Bases!$N$2:$N$53,B1113),INDEX(Bases!$N$2:$N$53,C1113))</f>
        <v>59</v>
      </c>
      <c r="U1113" s="2" t="n">
        <f aca="false">Settings!$B$4*MAX(INDEX(Bases!$O$2:$O$53,B1113),INDEX(Bases!$O$2:$O$53,C1113))+Settings!$B$5*MIN(INDEX(Bases!$O$2:$O$53,B1113),INDEX(Bases!$O$2:$O$53,C1113))</f>
        <v>79.6666666666667</v>
      </c>
      <c r="V1113" s="2" t="n">
        <f aca="false">Settings!$B$4*MAX(INDEX(Bases!$P$2:$P$53,B1113),INDEX(Bases!$P$2:$P$53,C1113))+Settings!$B$5*MIN(INDEX(Bases!$P$2:$P$53,B1113),INDEX(Bases!$P$2:$P$53,C1113))</f>
        <v>100.333333333333</v>
      </c>
      <c r="W1113" s="2" t="n">
        <f aca="false">Settings!$B$4*MAX(INDEX(Bases!$Q$2:$Q$53,B1113),INDEX(Bases!$Q$2:$Q$53,C1113))+Settings!$B$5*MIN(INDEX(Bases!$Q$2:$Q$53,B1113),INDEX(Bases!$Q$2:$Q$53,C1113))</f>
        <v>67.3333333333333</v>
      </c>
      <c r="X1113" s="2" t="n">
        <f aca="false">Settings!$B$4*MAX(INDEX(Bases!$R$2:$R$53,B1113),INDEX(Bases!$R$2:$R$53,C1113))+Settings!$B$5*MIN(INDEX(Bases!$R$2:$R$53,B1113),INDEX(Bases!$R$2:$R$53,C1113))</f>
        <v>62.3333333333333</v>
      </c>
      <c r="Y1113" s="2" t="n">
        <f aca="false">S1113*Settings!$B$3/SUM(S1113:X1113)</f>
        <v>64.9095200629426</v>
      </c>
      <c r="Z1113" s="2" t="n">
        <f aca="false">T1113*Settings!$B$3/SUM(S1113:X1113)</f>
        <v>69.6302124311566</v>
      </c>
      <c r="AA1113" s="2" t="n">
        <f aca="false">U1113*Settings!$B$3/SUM(S1113:X1113)</f>
        <v>94.0204563335956</v>
      </c>
      <c r="AB1113" s="2" t="n">
        <f aca="false">V1113*Settings!$B$3/SUM(S1113:X1113)</f>
        <v>118.410700236035</v>
      </c>
      <c r="AC1113" s="2" t="n">
        <f aca="false">W1113*Settings!$B$3/SUM(S1113:X1113)</f>
        <v>79.4649881982691</v>
      </c>
      <c r="AD1113" s="2" t="n">
        <f aca="false">X1113*Settings!$B$3/SUM(S1113:X1113)</f>
        <v>73.5641227380016</v>
      </c>
      <c r="AE1113" s="2" t="n">
        <f aca="false">INT(Y1113)</f>
        <v>64</v>
      </c>
      <c r="AF1113" s="2" t="n">
        <f aca="false">INT(Z1113)</f>
        <v>69</v>
      </c>
      <c r="AG1113" s="2" t="n">
        <f aca="false">INT(AA1113)</f>
        <v>94</v>
      </c>
      <c r="AH1113" s="2" t="n">
        <f aca="false">INT(AB1113)</f>
        <v>118</v>
      </c>
      <c r="AI1113" s="2" t="n">
        <f aca="false">INT(AC1113)</f>
        <v>79</v>
      </c>
      <c r="AJ1113" s="2" t="n">
        <f aca="false">INT(AD1113)</f>
        <v>73</v>
      </c>
      <c r="AK1113" s="2" t="n">
        <f aca="false">Settings!$B$3-SUM(AE1113:AJ1113)</f>
        <v>3</v>
      </c>
      <c r="AL1113" s="2" t="n">
        <f aca="false">ROUND(Y1113-AE1113,9)</f>
        <v>0.909520063</v>
      </c>
      <c r="AM1113" s="2" t="n">
        <f aca="false">ROUND(Z1113-AF1113,9)</f>
        <v>0.630212431</v>
      </c>
      <c r="AN1113" s="2" t="n">
        <f aca="false">ROUND(AA1113-AG1113,9)</f>
        <v>0.020456334</v>
      </c>
      <c r="AO1113" s="2" t="n">
        <f aca="false">ROUND(AB1113-AH1113,9)</f>
        <v>0.410700236</v>
      </c>
      <c r="AP1113" s="2" t="n">
        <f aca="false">ROUND(AC1113-AI1113,9)</f>
        <v>0.464988198</v>
      </c>
      <c r="AQ1113" s="2" t="n">
        <f aca="false">ROUND(AD1113-AJ1113,9)</f>
        <v>0.564122738</v>
      </c>
    </row>
    <row r="1114" customFormat="false" ht="15" hidden="false" customHeight="false" outlineLevel="0" collapsed="false">
      <c r="A1114" s="2" t="n">
        <v>1113</v>
      </c>
      <c r="B1114" s="6" t="n">
        <v>31</v>
      </c>
      <c r="C1114" s="6" t="n">
        <v>49</v>
      </c>
      <c r="D1114" s="8" t="str">
        <f aca="false">INDEX(Bases!$B$2:$B$53,B1114)</f>
        <v>Mew</v>
      </c>
      <c r="E1114" s="8" t="str">
        <f aca="false">INDEX(Bases!$B$2:$B$53,C1114)</f>
        <v>Aron</v>
      </c>
      <c r="F1114" s="2" t="str">
        <f aca="false">LEFT(D1114,ROUNDUP(LEN(D1114)/2,0))&amp;LOWER(MID(E1114,ROUNDUP(LEN(E1114)/2,0)+1,20))</f>
        <v>Meon</v>
      </c>
      <c r="G1114" s="8" t="str">
        <f aca="false">INDEX(Bases!$C$2:$C$53,B1114)</f>
        <v>Psychic</v>
      </c>
      <c r="H1114" s="8" t="str">
        <f aca="false">IF(INDEX(Bases!$C$2:$C$53,C1114)=G1114,"",INDEX(Bases!$C$2:$C$53,C1114))</f>
        <v>Steel</v>
      </c>
      <c r="I1114" s="8" t="str">
        <f aca="false">IF(INDEX(Bases!$E$2:$E$53,B1114)="","",INDEX(Bases!$E$2:$E$53,B1114))</f>
        <v/>
      </c>
      <c r="J1114" s="8" t="str">
        <f aca="false">IF(INDEX(Bases!$E$2:$E$53,C1114)="","",INDEX(Bases!$E$2:$E$53,C1114))</f>
        <v/>
      </c>
      <c r="K1114" s="5"/>
      <c r="L1114" s="2" t="n">
        <f aca="false">AE1114+IF(SUMPRODUCT(--($AL1114:$AQ1114&gt;AL1114))&lt;$AK1114,1,0)</f>
        <v>77</v>
      </c>
      <c r="M1114" s="2" t="n">
        <f aca="false">AF1114+IF(SUMPRODUCT(--($AL1114:$AQ1114&gt;AM1114))+SUMPRODUCT(--($AL1114:AL1114=AM1114))&lt;$AK1114,1,0)</f>
        <v>93</v>
      </c>
      <c r="N1114" s="2" t="n">
        <f aca="false">AG1114+IF(SUMPRODUCT(--($AL1114:$AQ1114&gt;AN1114))+SUMPRODUCT(--($AL1114:AM1114=AN1114))&lt;$AK1114,1,0)</f>
        <v>121</v>
      </c>
      <c r="O1114" s="2" t="n">
        <f aca="false">AH1114+IF(SUMPRODUCT(--($AL1114:$AQ1114&gt;AO1114))+SUMPRODUCT(--($AL1114:AN1114=AO1114))&lt;$AK1114,1,0)</f>
        <v>72</v>
      </c>
      <c r="P1114" s="2" t="n">
        <f aca="false">AI1114+IF(SUMPRODUCT(--($AL1114:$AQ1114&gt;AP1114))+SUMPRODUCT(--($AL1114:AO1114=AP1114))&lt;$AK1114,1,0)</f>
        <v>71</v>
      </c>
      <c r="Q1114" s="2" t="n">
        <f aca="false">AJ1114+IF(SUMPRODUCT(--($AL1114:$AQ1114&gt;AQ1114))+SUMPRODUCT(--($AL1114:AP1114=AQ1114))&lt;$AK1114,1,0)</f>
        <v>66</v>
      </c>
      <c r="R1114" s="2" t="n">
        <f aca="false">SUM(L1114:Q1114)</f>
        <v>500</v>
      </c>
      <c r="S1114" s="2" t="n">
        <f aca="false">Settings!$B$4*MAX(INDEX(Bases!$M$2:$M$53,B1114),INDEX(Bases!$M$2:$M$53,C1114))+Settings!$B$5*MIN(INDEX(Bases!$M$2:$M$53,B1114),INDEX(Bases!$M$2:$M$53,C1114))</f>
        <v>65</v>
      </c>
      <c r="T1114" s="2" t="n">
        <f aca="false">Settings!$B$4*MAX(INDEX(Bases!$N$2:$N$53,B1114),INDEX(Bases!$N$2:$N$53,C1114))+Settings!$B$5*MIN(INDEX(Bases!$N$2:$N$53,B1114),INDEX(Bases!$N$2:$N$53,C1114))</f>
        <v>79</v>
      </c>
      <c r="U1114" s="2" t="n">
        <f aca="false">Settings!$B$4*MAX(INDEX(Bases!$O$2:$O$53,B1114),INDEX(Bases!$O$2:$O$53,C1114))+Settings!$B$5*MIN(INDEX(Bases!$O$2:$O$53,B1114),INDEX(Bases!$O$2:$O$53,C1114))</f>
        <v>103</v>
      </c>
      <c r="V1114" s="2" t="n">
        <f aca="false">Settings!$B$4*MAX(INDEX(Bases!$P$2:$P$53,B1114),INDEX(Bases!$P$2:$P$53,C1114))+Settings!$B$5*MIN(INDEX(Bases!$P$2:$P$53,B1114),INDEX(Bases!$P$2:$P$53,C1114))</f>
        <v>61</v>
      </c>
      <c r="W1114" s="2" t="n">
        <f aca="false">Settings!$B$4*MAX(INDEX(Bases!$Q$2:$Q$53,B1114),INDEX(Bases!$Q$2:$Q$53,C1114))+Settings!$B$5*MIN(INDEX(Bases!$Q$2:$Q$53,B1114),INDEX(Bases!$Q$2:$Q$53,C1114))</f>
        <v>60</v>
      </c>
      <c r="X1114" s="2" t="n">
        <f aca="false">Settings!$B$4*MAX(INDEX(Bases!$R$2:$R$53,B1114),INDEX(Bases!$R$2:$R$53,C1114))+Settings!$B$5*MIN(INDEX(Bases!$R$2:$R$53,B1114),INDEX(Bases!$R$2:$R$53,C1114))</f>
        <v>56</v>
      </c>
      <c r="Y1114" s="2" t="n">
        <f aca="false">S1114*Settings!$B$3/SUM(S1114:X1114)</f>
        <v>76.6509433962264</v>
      </c>
      <c r="Z1114" s="2" t="n">
        <f aca="false">T1114*Settings!$B$3/SUM(S1114:X1114)</f>
        <v>93.1603773584906</v>
      </c>
      <c r="AA1114" s="2" t="n">
        <f aca="false">U1114*Settings!$B$3/SUM(S1114:X1114)</f>
        <v>121.462264150943</v>
      </c>
      <c r="AB1114" s="2" t="n">
        <f aca="false">V1114*Settings!$B$3/SUM(S1114:X1114)</f>
        <v>71.933962264151</v>
      </c>
      <c r="AC1114" s="2" t="n">
        <f aca="false">W1114*Settings!$B$3/SUM(S1114:X1114)</f>
        <v>70.7547169811321</v>
      </c>
      <c r="AD1114" s="2" t="n">
        <f aca="false">X1114*Settings!$B$3/SUM(S1114:X1114)</f>
        <v>66.0377358490566</v>
      </c>
      <c r="AE1114" s="2" t="n">
        <f aca="false">INT(Y1114)</f>
        <v>76</v>
      </c>
      <c r="AF1114" s="2" t="n">
        <f aca="false">INT(Z1114)</f>
        <v>93</v>
      </c>
      <c r="AG1114" s="2" t="n">
        <f aca="false">INT(AA1114)</f>
        <v>121</v>
      </c>
      <c r="AH1114" s="2" t="n">
        <f aca="false">INT(AB1114)</f>
        <v>71</v>
      </c>
      <c r="AI1114" s="2" t="n">
        <f aca="false">INT(AC1114)</f>
        <v>70</v>
      </c>
      <c r="AJ1114" s="2" t="n">
        <f aca="false">INT(AD1114)</f>
        <v>66</v>
      </c>
      <c r="AK1114" s="2" t="n">
        <f aca="false">Settings!$B$3-SUM(AE1114:AJ1114)</f>
        <v>3</v>
      </c>
      <c r="AL1114" s="2" t="n">
        <f aca="false">ROUND(Y1114-AE1114,9)</f>
        <v>0.650943396</v>
      </c>
      <c r="AM1114" s="2" t="n">
        <f aca="false">ROUND(Z1114-AF1114,9)</f>
        <v>0.160377358</v>
      </c>
      <c r="AN1114" s="2" t="n">
        <f aca="false">ROUND(AA1114-AG1114,9)</f>
        <v>0.462264151</v>
      </c>
      <c r="AO1114" s="2" t="n">
        <f aca="false">ROUND(AB1114-AH1114,9)</f>
        <v>0.933962264</v>
      </c>
      <c r="AP1114" s="2" t="n">
        <f aca="false">ROUND(AC1114-AI1114,9)</f>
        <v>0.754716981</v>
      </c>
      <c r="AQ1114" s="2" t="n">
        <f aca="false">ROUND(AD1114-AJ1114,9)</f>
        <v>0.037735849</v>
      </c>
    </row>
    <row r="1115" customFormat="false" ht="15" hidden="false" customHeight="false" outlineLevel="0" collapsed="false">
      <c r="A1115" s="2" t="n">
        <v>1114</v>
      </c>
      <c r="B1115" s="6" t="n">
        <v>31</v>
      </c>
      <c r="C1115" s="6" t="n">
        <v>50</v>
      </c>
      <c r="D1115" s="8" t="str">
        <f aca="false">INDEX(Bases!$B$2:$B$53,B1115)</f>
        <v>Mew</v>
      </c>
      <c r="E1115" s="8" t="str">
        <f aca="false">INDEX(Bases!$B$2:$B$53,C1115)</f>
        <v>Beldum</v>
      </c>
      <c r="F1115" s="2" t="str">
        <f aca="false">LEFT(D1115,ROUNDUP(LEN(D1115)/2,0))&amp;LOWER(MID(E1115,ROUNDUP(LEN(E1115)/2,0)+1,20))</f>
        <v>Medum</v>
      </c>
      <c r="G1115" s="8" t="str">
        <f aca="false">INDEX(Bases!$C$2:$C$53,B1115)</f>
        <v>Psychic</v>
      </c>
      <c r="H1115" s="8" t="str">
        <f aca="false">IF(INDEX(Bases!$C$2:$C$53,C1115)=G1115,"",INDEX(Bases!$C$2:$C$53,C1115))</f>
        <v>Steel</v>
      </c>
      <c r="I1115" s="8" t="str">
        <f aca="false">IF(INDEX(Bases!$E$2:$E$53,B1115)="","",INDEX(Bases!$E$2:$E$53,B1115))</f>
        <v/>
      </c>
      <c r="J1115" s="8" t="str">
        <f aca="false">IF(INDEX(Bases!$E$2:$E$53,C1115)="","",INDEX(Bases!$E$2:$E$53,C1115))</f>
        <v/>
      </c>
      <c r="K1115" s="5"/>
      <c r="L1115" s="2" t="n">
        <f aca="false">AE1115+IF(SUMPRODUCT(--($AL1115:$AQ1115&gt;AL1115))&lt;$AK1115,1,0)</f>
        <v>74</v>
      </c>
      <c r="M1115" s="2" t="n">
        <f aca="false">AF1115+IF(SUMPRODUCT(--($AL1115:$AQ1115&gt;AM1115))+SUMPRODUCT(--($AL1115:AL1115=AM1115))&lt;$AK1115,1,0)</f>
        <v>85</v>
      </c>
      <c r="N1115" s="2" t="n">
        <f aca="false">AG1115+IF(SUMPRODUCT(--($AL1115:$AQ1115&gt;AN1115))+SUMPRODUCT(--($AL1115:AM1115=AN1115))&lt;$AK1115,1,0)</f>
        <v>111</v>
      </c>
      <c r="O1115" s="2" t="n">
        <f aca="false">AH1115+IF(SUMPRODUCT(--($AL1115:$AQ1115&gt;AO1115))+SUMPRODUCT(--($AL1115:AN1115=AO1115))&lt;$AK1115,1,0)</f>
        <v>72</v>
      </c>
      <c r="P1115" s="2" t="n">
        <f aca="false">AI1115+IF(SUMPRODUCT(--($AL1115:$AQ1115&gt;AP1115))+SUMPRODUCT(--($AL1115:AO1115=AP1115))&lt;$AK1115,1,0)</f>
        <v>90</v>
      </c>
      <c r="Q1115" s="2" t="n">
        <f aca="false">AJ1115+IF(SUMPRODUCT(--($AL1115:$AQ1115&gt;AQ1115))+SUMPRODUCT(--($AL1115:AP1115=AQ1115))&lt;$AK1115,1,0)</f>
        <v>68</v>
      </c>
      <c r="R1115" s="2" t="n">
        <f aca="false">SUM(L1115:Q1115)</f>
        <v>500</v>
      </c>
      <c r="S1115" s="2" t="n">
        <f aca="false">Settings!$B$4*MAX(INDEX(Bases!$M$2:$M$53,B1115),INDEX(Bases!$M$2:$M$53,C1115))+Settings!$B$5*MIN(INDEX(Bases!$M$2:$M$53,B1115),INDEX(Bases!$M$2:$M$53,C1115))</f>
        <v>62.3333333333333</v>
      </c>
      <c r="T1115" s="2" t="n">
        <f aca="false">Settings!$B$4*MAX(INDEX(Bases!$N$2:$N$53,B1115),INDEX(Bases!$N$2:$N$53,C1115))+Settings!$B$5*MIN(INDEX(Bases!$N$2:$N$53,B1115),INDEX(Bases!$N$2:$N$53,C1115))</f>
        <v>71</v>
      </c>
      <c r="U1115" s="2" t="n">
        <f aca="false">Settings!$B$4*MAX(INDEX(Bases!$O$2:$O$53,B1115),INDEX(Bases!$O$2:$O$53,C1115))+Settings!$B$5*MIN(INDEX(Bases!$O$2:$O$53,B1115),INDEX(Bases!$O$2:$O$53,C1115))</f>
        <v>93.6666666666667</v>
      </c>
      <c r="V1115" s="2" t="n">
        <f aca="false">Settings!$B$4*MAX(INDEX(Bases!$P$2:$P$53,B1115),INDEX(Bases!$P$2:$P$53,C1115))+Settings!$B$5*MIN(INDEX(Bases!$P$2:$P$53,B1115),INDEX(Bases!$P$2:$P$53,C1115))</f>
        <v>60.3333333333333</v>
      </c>
      <c r="W1115" s="2" t="n">
        <f aca="false">Settings!$B$4*MAX(INDEX(Bases!$Q$2:$Q$53,B1115),INDEX(Bases!$Q$2:$Q$53,C1115))+Settings!$B$5*MIN(INDEX(Bases!$Q$2:$Q$53,B1115),INDEX(Bases!$Q$2:$Q$53,C1115))</f>
        <v>75.3333333333333</v>
      </c>
      <c r="X1115" s="2" t="n">
        <f aca="false">Settings!$B$4*MAX(INDEX(Bases!$R$2:$R$53,B1115),INDEX(Bases!$R$2:$R$53,C1115))+Settings!$B$5*MIN(INDEX(Bases!$R$2:$R$53,B1115),INDEX(Bases!$R$2:$R$53,C1115))</f>
        <v>57.3333333333333</v>
      </c>
      <c r="Y1115" s="2" t="n">
        <f aca="false">S1115*Settings!$B$3/SUM(S1115:X1115)</f>
        <v>74.2063492063492</v>
      </c>
      <c r="Z1115" s="2" t="n">
        <f aca="false">T1115*Settings!$B$3/SUM(S1115:X1115)</f>
        <v>84.5238095238095</v>
      </c>
      <c r="AA1115" s="2" t="n">
        <f aca="false">U1115*Settings!$B$3/SUM(S1115:X1115)</f>
        <v>111.507936507937</v>
      </c>
      <c r="AB1115" s="2" t="n">
        <f aca="false">V1115*Settings!$B$3/SUM(S1115:X1115)</f>
        <v>71.8253968253968</v>
      </c>
      <c r="AC1115" s="2" t="n">
        <f aca="false">W1115*Settings!$B$3/SUM(S1115:X1115)</f>
        <v>89.6825396825397</v>
      </c>
      <c r="AD1115" s="2" t="n">
        <f aca="false">X1115*Settings!$B$3/SUM(S1115:X1115)</f>
        <v>68.2539682539683</v>
      </c>
      <c r="AE1115" s="2" t="n">
        <f aca="false">INT(Y1115)</f>
        <v>74</v>
      </c>
      <c r="AF1115" s="2" t="n">
        <f aca="false">INT(Z1115)</f>
        <v>84</v>
      </c>
      <c r="AG1115" s="2" t="n">
        <f aca="false">INT(AA1115)</f>
        <v>111</v>
      </c>
      <c r="AH1115" s="2" t="n">
        <f aca="false">INT(AB1115)</f>
        <v>71</v>
      </c>
      <c r="AI1115" s="2" t="n">
        <f aca="false">INT(AC1115)</f>
        <v>89</v>
      </c>
      <c r="AJ1115" s="2" t="n">
        <f aca="false">INT(AD1115)</f>
        <v>68</v>
      </c>
      <c r="AK1115" s="2" t="n">
        <f aca="false">Settings!$B$3-SUM(AE1115:AJ1115)</f>
        <v>3</v>
      </c>
      <c r="AL1115" s="2" t="n">
        <f aca="false">ROUND(Y1115-AE1115,9)</f>
        <v>0.206349206</v>
      </c>
      <c r="AM1115" s="2" t="n">
        <f aca="false">ROUND(Z1115-AF1115,9)</f>
        <v>0.523809524</v>
      </c>
      <c r="AN1115" s="2" t="n">
        <f aca="false">ROUND(AA1115-AG1115,9)</f>
        <v>0.507936508</v>
      </c>
      <c r="AO1115" s="2" t="n">
        <f aca="false">ROUND(AB1115-AH1115,9)</f>
        <v>0.825396825</v>
      </c>
      <c r="AP1115" s="2" t="n">
        <f aca="false">ROUND(AC1115-AI1115,9)</f>
        <v>0.682539683</v>
      </c>
      <c r="AQ1115" s="2" t="n">
        <f aca="false">ROUND(AD1115-AJ1115,9)</f>
        <v>0.253968254</v>
      </c>
    </row>
    <row r="1116" customFormat="false" ht="15" hidden="false" customHeight="false" outlineLevel="0" collapsed="false">
      <c r="A1116" s="2" t="n">
        <v>1115</v>
      </c>
      <c r="B1116" s="6" t="n">
        <v>31</v>
      </c>
      <c r="C1116" s="6" t="n">
        <v>51</v>
      </c>
      <c r="D1116" s="8" t="str">
        <f aca="false">INDEX(Bases!$B$2:$B$53,B1116)</f>
        <v>Mew</v>
      </c>
      <c r="E1116" s="8" t="str">
        <f aca="false">INDEX(Bases!$B$2:$B$53,C1116)</f>
        <v>Cleffa</v>
      </c>
      <c r="F1116" s="2" t="str">
        <f aca="false">LEFT(D1116,ROUNDUP(LEN(D1116)/2,0))&amp;LOWER(MID(E1116,ROUNDUP(LEN(E1116)/2,0)+1,20))</f>
        <v>Meffa</v>
      </c>
      <c r="G1116" s="8" t="str">
        <f aca="false">INDEX(Bases!$C$2:$C$53,B1116)</f>
        <v>Psychic</v>
      </c>
      <c r="H1116" s="8" t="str">
        <f aca="false">IF(INDEX(Bases!$C$2:$C$53,C1116)=G1116,"",INDEX(Bases!$C$2:$C$53,C1116))</f>
        <v>Fairy</v>
      </c>
      <c r="I1116" s="8" t="str">
        <f aca="false">IF(INDEX(Bases!$E$2:$E$53,B1116)="","",INDEX(Bases!$E$2:$E$53,B1116))</f>
        <v/>
      </c>
      <c r="J1116" s="8" t="str">
        <f aca="false">IF(INDEX(Bases!$E$2:$E$53,C1116)="","",INDEX(Bases!$E$2:$E$53,C1116))</f>
        <v/>
      </c>
      <c r="K1116" s="5"/>
      <c r="L1116" s="2" t="n">
        <f aca="false">AE1116+IF(SUMPRODUCT(--($AL1116:$AQ1116&gt;AL1116))&lt;$AK1116,1,0)</f>
        <v>98</v>
      </c>
      <c r="M1116" s="2" t="n">
        <f aca="false">AF1116+IF(SUMPRODUCT(--($AL1116:$AQ1116&gt;AM1116))+SUMPRODUCT(--($AL1116:AL1116=AM1116))&lt;$AK1116,1,0)</f>
        <v>71</v>
      </c>
      <c r="N1116" s="2" t="n">
        <f aca="false">AG1116+IF(SUMPRODUCT(--($AL1116:$AQ1116&gt;AN1116))+SUMPRODUCT(--($AL1116:AM1116=AN1116))&lt;$AK1116,1,0)</f>
        <v>73</v>
      </c>
      <c r="O1116" s="2" t="n">
        <f aca="false">AH1116+IF(SUMPRODUCT(--($AL1116:$AQ1116&gt;AO1116))+SUMPRODUCT(--($AL1116:AN1116=AO1116))&lt;$AK1116,1,0)</f>
        <v>91</v>
      </c>
      <c r="P1116" s="2" t="n">
        <f aca="false">AI1116+IF(SUMPRODUCT(--($AL1116:$AQ1116&gt;AP1116))+SUMPRODUCT(--($AL1116:AO1116=AP1116))&lt;$AK1116,1,0)</f>
        <v>105</v>
      </c>
      <c r="Q1116" s="2" t="n">
        <f aca="false">AJ1116+IF(SUMPRODUCT(--($AL1116:$AQ1116&gt;AQ1116))+SUMPRODUCT(--($AL1116:AP1116=AQ1116))&lt;$AK1116,1,0)</f>
        <v>62</v>
      </c>
      <c r="R1116" s="2" t="n">
        <f aca="false">SUM(L1116:Q1116)</f>
        <v>500</v>
      </c>
      <c r="S1116" s="2" t="n">
        <f aca="false">Settings!$B$4*MAX(INDEX(Bases!$M$2:$M$53,B1116),INDEX(Bases!$M$2:$M$53,C1116))+Settings!$B$5*MIN(INDEX(Bases!$M$2:$M$53,B1116),INDEX(Bases!$M$2:$M$53,C1116))</f>
        <v>83.6666666666667</v>
      </c>
      <c r="T1116" s="2" t="n">
        <f aca="false">Settings!$B$4*MAX(INDEX(Bases!$N$2:$N$53,B1116),INDEX(Bases!$N$2:$N$53,C1116))+Settings!$B$5*MIN(INDEX(Bases!$N$2:$N$53,B1116),INDEX(Bases!$N$2:$N$53,C1116))</f>
        <v>60</v>
      </c>
      <c r="U1116" s="2" t="n">
        <f aca="false">Settings!$B$4*MAX(INDEX(Bases!$O$2:$O$53,B1116),INDEX(Bases!$O$2:$O$53,C1116))+Settings!$B$5*MIN(INDEX(Bases!$O$2:$O$53,B1116),INDEX(Bases!$O$2:$O$53,C1116))</f>
        <v>61.6666666666667</v>
      </c>
      <c r="V1116" s="2" t="n">
        <f aca="false">Settings!$B$4*MAX(INDEX(Bases!$P$2:$P$53,B1116),INDEX(Bases!$P$2:$P$53,C1116))+Settings!$B$5*MIN(INDEX(Bases!$P$2:$P$53,B1116),INDEX(Bases!$P$2:$P$53,C1116))</f>
        <v>77.6666666666667</v>
      </c>
      <c r="W1116" s="2" t="n">
        <f aca="false">Settings!$B$4*MAX(INDEX(Bases!$Q$2:$Q$53,B1116),INDEX(Bases!$Q$2:$Q$53,C1116))+Settings!$B$5*MIN(INDEX(Bases!$Q$2:$Q$53,B1116),INDEX(Bases!$Q$2:$Q$53,C1116))</f>
        <v>89.3333333333333</v>
      </c>
      <c r="X1116" s="2" t="n">
        <f aca="false">Settings!$B$4*MAX(INDEX(Bases!$R$2:$R$53,B1116),INDEX(Bases!$R$2:$R$53,C1116))+Settings!$B$5*MIN(INDEX(Bases!$R$2:$R$53,B1116),INDEX(Bases!$R$2:$R$53,C1116))</f>
        <v>53</v>
      </c>
      <c r="Y1116" s="2" t="n">
        <f aca="false">S1116*Settings!$B$3/SUM(S1116:X1116)</f>
        <v>98.3542319749216</v>
      </c>
      <c r="Z1116" s="2" t="n">
        <f aca="false">T1116*Settings!$B$3/SUM(S1116:X1116)</f>
        <v>70.5329153605016</v>
      </c>
      <c r="AA1116" s="2" t="n">
        <f aca="false">U1116*Settings!$B$3/SUM(S1116:X1116)</f>
        <v>72.4921630094044</v>
      </c>
      <c r="AB1116" s="2" t="n">
        <f aca="false">V1116*Settings!$B$3/SUM(S1116:X1116)</f>
        <v>91.3009404388715</v>
      </c>
      <c r="AC1116" s="2" t="n">
        <f aca="false">W1116*Settings!$B$3/SUM(S1116:X1116)</f>
        <v>105.015673981191</v>
      </c>
      <c r="AD1116" s="2" t="n">
        <f aca="false">X1116*Settings!$B$3/SUM(S1116:X1116)</f>
        <v>62.3040752351097</v>
      </c>
      <c r="AE1116" s="2" t="n">
        <f aca="false">INT(Y1116)</f>
        <v>98</v>
      </c>
      <c r="AF1116" s="2" t="n">
        <f aca="false">INT(Z1116)</f>
        <v>70</v>
      </c>
      <c r="AG1116" s="2" t="n">
        <f aca="false">INT(AA1116)</f>
        <v>72</v>
      </c>
      <c r="AH1116" s="2" t="n">
        <f aca="false">INT(AB1116)</f>
        <v>91</v>
      </c>
      <c r="AI1116" s="2" t="n">
        <f aca="false">INT(AC1116)</f>
        <v>105</v>
      </c>
      <c r="AJ1116" s="2" t="n">
        <f aca="false">INT(AD1116)</f>
        <v>62</v>
      </c>
      <c r="AK1116" s="2" t="n">
        <f aca="false">Settings!$B$3-SUM(AE1116:AJ1116)</f>
        <v>2</v>
      </c>
      <c r="AL1116" s="2" t="n">
        <f aca="false">ROUND(Y1116-AE1116,9)</f>
        <v>0.354231975</v>
      </c>
      <c r="AM1116" s="2" t="n">
        <f aca="false">ROUND(Z1116-AF1116,9)</f>
        <v>0.532915361</v>
      </c>
      <c r="AN1116" s="2" t="n">
        <f aca="false">ROUND(AA1116-AG1116,9)</f>
        <v>0.492163009</v>
      </c>
      <c r="AO1116" s="2" t="n">
        <f aca="false">ROUND(AB1116-AH1116,9)</f>
        <v>0.300940439</v>
      </c>
      <c r="AP1116" s="2" t="n">
        <f aca="false">ROUND(AC1116-AI1116,9)</f>
        <v>0.015673981</v>
      </c>
      <c r="AQ1116" s="2" t="n">
        <f aca="false">ROUND(AD1116-AJ1116,9)</f>
        <v>0.304075235</v>
      </c>
    </row>
    <row r="1117" customFormat="false" ht="15" hidden="false" customHeight="false" outlineLevel="0" collapsed="false">
      <c r="A1117" s="2" t="n">
        <v>1116</v>
      </c>
      <c r="B1117" s="6" t="n">
        <v>31</v>
      </c>
      <c r="C1117" s="6" t="n">
        <v>52</v>
      </c>
      <c r="D1117" s="8" t="str">
        <f aca="false">INDEX(Bases!$B$2:$B$53,B1117)</f>
        <v>Mew</v>
      </c>
      <c r="E1117" s="8" t="str">
        <f aca="false">INDEX(Bases!$B$2:$B$53,C1117)</f>
        <v>Togepi</v>
      </c>
      <c r="F1117" s="2" t="str">
        <f aca="false">LEFT(D1117,ROUNDUP(LEN(D1117)/2,0))&amp;LOWER(MID(E1117,ROUNDUP(LEN(E1117)/2,0)+1,20))</f>
        <v>Meepi</v>
      </c>
      <c r="G1117" s="8" t="str">
        <f aca="false">INDEX(Bases!$C$2:$C$53,B1117)</f>
        <v>Psychic</v>
      </c>
      <c r="H1117" s="8" t="str">
        <f aca="false">IF(INDEX(Bases!$C$2:$C$53,C1117)=G1117,"",INDEX(Bases!$C$2:$C$53,C1117))</f>
        <v>Fairy</v>
      </c>
      <c r="I1117" s="8" t="str">
        <f aca="false">IF(INDEX(Bases!$E$2:$E$53,B1117)="","",INDEX(Bases!$E$2:$E$53,B1117))</f>
        <v/>
      </c>
      <c r="J1117" s="8" t="str">
        <f aca="false">IF(INDEX(Bases!$E$2:$E$53,C1117)="","",INDEX(Bases!$E$2:$E$53,C1117))</f>
        <v/>
      </c>
      <c r="K1117" s="5"/>
      <c r="L1117" s="2" t="n">
        <f aca="false">AE1117+IF(SUMPRODUCT(--($AL1117:$AQ1117&gt;AL1117))&lt;$AK1117,1,0)</f>
        <v>75</v>
      </c>
      <c r="M1117" s="2" t="n">
        <f aca="false">AF1117+IF(SUMPRODUCT(--($AL1117:$AQ1117&gt;AM1117))+SUMPRODUCT(--($AL1117:AL1117=AM1117))&lt;$AK1117,1,0)</f>
        <v>65</v>
      </c>
      <c r="N1117" s="2" t="n">
        <f aca="false">AG1117+IF(SUMPRODUCT(--($AL1117:$AQ1117&gt;AN1117))+SUMPRODUCT(--($AL1117:AM1117=AN1117))&lt;$AK1117,1,0)</f>
        <v>109</v>
      </c>
      <c r="O1117" s="2" t="n">
        <f aca="false">AH1117+IF(SUMPRODUCT(--($AL1117:$AQ1117&gt;AO1117))+SUMPRODUCT(--($AL1117:AN1117=AO1117))&lt;$AK1117,1,0)</f>
        <v>78</v>
      </c>
      <c r="P1117" s="2" t="n">
        <f aca="false">AI1117+IF(SUMPRODUCT(--($AL1117:$AQ1117&gt;AP1117))+SUMPRODUCT(--($AL1117:AO1117=AP1117))&lt;$AK1117,1,0)</f>
        <v>109</v>
      </c>
      <c r="Q1117" s="2" t="n">
        <f aca="false">AJ1117+IF(SUMPRODUCT(--($AL1117:$AQ1117&gt;AQ1117))+SUMPRODUCT(--($AL1117:AP1117=AQ1117))&lt;$AK1117,1,0)</f>
        <v>64</v>
      </c>
      <c r="R1117" s="2" t="n">
        <f aca="false">SUM(L1117:Q1117)</f>
        <v>500</v>
      </c>
      <c r="S1117" s="2" t="n">
        <f aca="false">Settings!$B$4*MAX(INDEX(Bases!$M$2:$M$53,B1117),INDEX(Bases!$M$2:$M$53,C1117))+Settings!$B$5*MIN(INDEX(Bases!$M$2:$M$53,B1117),INDEX(Bases!$M$2:$M$53,C1117))</f>
        <v>63.6666666666667</v>
      </c>
      <c r="T1117" s="2" t="n">
        <f aca="false">Settings!$B$4*MAX(INDEX(Bases!$N$2:$N$53,B1117),INDEX(Bases!$N$2:$N$53,C1117))+Settings!$B$5*MIN(INDEX(Bases!$N$2:$N$53,B1117),INDEX(Bases!$N$2:$N$53,C1117))</f>
        <v>55.6666666666667</v>
      </c>
      <c r="U1117" s="2" t="n">
        <f aca="false">Settings!$B$4*MAX(INDEX(Bases!$O$2:$O$53,B1117),INDEX(Bases!$O$2:$O$53,C1117))+Settings!$B$5*MIN(INDEX(Bases!$O$2:$O$53,B1117),INDEX(Bases!$O$2:$O$53,C1117))</f>
        <v>93</v>
      </c>
      <c r="V1117" s="2" t="n">
        <f aca="false">Settings!$B$4*MAX(INDEX(Bases!$P$2:$P$53,B1117),INDEX(Bases!$P$2:$P$53,C1117))+Settings!$B$5*MIN(INDEX(Bases!$P$2:$P$53,B1117),INDEX(Bases!$P$2:$P$53,C1117))</f>
        <v>66.3333333333333</v>
      </c>
      <c r="W1117" s="2" t="n">
        <f aca="false">Settings!$B$4*MAX(INDEX(Bases!$Q$2:$Q$53,B1117),INDEX(Bases!$Q$2:$Q$53,C1117))+Settings!$B$5*MIN(INDEX(Bases!$Q$2:$Q$53,B1117),INDEX(Bases!$Q$2:$Q$53,C1117))</f>
        <v>92.6666666666667</v>
      </c>
      <c r="X1117" s="2" t="n">
        <f aca="false">Settings!$B$4*MAX(INDEX(Bases!$R$2:$R$53,B1117),INDEX(Bases!$R$2:$R$53,C1117))+Settings!$B$5*MIN(INDEX(Bases!$R$2:$R$53,B1117),INDEX(Bases!$R$2:$R$53,C1117))</f>
        <v>55</v>
      </c>
      <c r="Y1117" s="2" t="n">
        <f aca="false">S1117*Settings!$B$3/SUM(S1117:X1117)</f>
        <v>74.6677091477717</v>
      </c>
      <c r="Z1117" s="2" t="n">
        <f aca="false">T1117*Settings!$B$3/SUM(S1117:X1117)</f>
        <v>65.285379202502</v>
      </c>
      <c r="AA1117" s="2" t="n">
        <f aca="false">U1117*Settings!$B$3/SUM(S1117:X1117)</f>
        <v>109.069585613761</v>
      </c>
      <c r="AB1117" s="2" t="n">
        <f aca="false">V1117*Settings!$B$3/SUM(S1117:X1117)</f>
        <v>77.7951524628616</v>
      </c>
      <c r="AC1117" s="2" t="n">
        <f aca="false">W1117*Settings!$B$3/SUM(S1117:X1117)</f>
        <v>108.678655199375</v>
      </c>
      <c r="AD1117" s="2" t="n">
        <f aca="false">X1117*Settings!$B$3/SUM(S1117:X1117)</f>
        <v>64.5035183737295</v>
      </c>
      <c r="AE1117" s="2" t="n">
        <f aca="false">INT(Y1117)</f>
        <v>74</v>
      </c>
      <c r="AF1117" s="2" t="n">
        <f aca="false">INT(Z1117)</f>
        <v>65</v>
      </c>
      <c r="AG1117" s="2" t="n">
        <f aca="false">INT(AA1117)</f>
        <v>109</v>
      </c>
      <c r="AH1117" s="2" t="n">
        <f aca="false">INT(AB1117)</f>
        <v>77</v>
      </c>
      <c r="AI1117" s="2" t="n">
        <f aca="false">INT(AC1117)</f>
        <v>108</v>
      </c>
      <c r="AJ1117" s="2" t="n">
        <f aca="false">INT(AD1117)</f>
        <v>64</v>
      </c>
      <c r="AK1117" s="2" t="n">
        <f aca="false">Settings!$B$3-SUM(AE1117:AJ1117)</f>
        <v>3</v>
      </c>
      <c r="AL1117" s="2" t="n">
        <f aca="false">ROUND(Y1117-AE1117,9)</f>
        <v>0.667709148</v>
      </c>
      <c r="AM1117" s="2" t="n">
        <f aca="false">ROUND(Z1117-AF1117,9)</f>
        <v>0.285379203</v>
      </c>
      <c r="AN1117" s="2" t="n">
        <f aca="false">ROUND(AA1117-AG1117,9)</f>
        <v>0.069585614</v>
      </c>
      <c r="AO1117" s="2" t="n">
        <f aca="false">ROUND(AB1117-AH1117,9)</f>
        <v>0.795152463</v>
      </c>
      <c r="AP1117" s="2" t="n">
        <f aca="false">ROUND(AC1117-AI1117,9)</f>
        <v>0.678655199</v>
      </c>
      <c r="AQ1117" s="2" t="n">
        <f aca="false">ROUND(AD1117-AJ1117,9)</f>
        <v>0.503518374</v>
      </c>
    </row>
    <row r="1118" customFormat="false" ht="15" hidden="false" customHeight="false" outlineLevel="0" collapsed="false">
      <c r="A1118" s="2" t="n">
        <v>1117</v>
      </c>
      <c r="B1118" s="6" t="n">
        <v>32</v>
      </c>
      <c r="C1118" s="6" t="n">
        <v>33</v>
      </c>
      <c r="D1118" s="8" t="str">
        <f aca="false">INDEX(Bases!$B$2:$B$53,B1118)</f>
        <v>Spoink</v>
      </c>
      <c r="E1118" s="8" t="str">
        <f aca="false">INDEX(Bases!$B$2:$B$53,C1118)</f>
        <v>Jirachi</v>
      </c>
      <c r="F1118" s="2" t="str">
        <f aca="false">LEFT(D1118,ROUNDUP(LEN(D1118)/2,0))&amp;LOWER(MID(E1118,ROUNDUP(LEN(E1118)/2,0)+1,20))</f>
        <v>Spochi</v>
      </c>
      <c r="G1118" s="8" t="str">
        <f aca="false">INDEX(Bases!$C$2:$C$53,B1118)</f>
        <v>Psychic</v>
      </c>
      <c r="H1118" s="8" t="str">
        <f aca="false">IF(INDEX(Bases!$C$2:$C$53,C1118)=G1118,"",INDEX(Bases!$C$2:$C$53,C1118))</f>
        <v/>
      </c>
      <c r="I1118" s="8" t="str">
        <f aca="false">IF(INDEX(Bases!$E$2:$E$53,B1118)="","",INDEX(Bases!$E$2:$E$53,B1118))</f>
        <v/>
      </c>
      <c r="J1118" s="8" t="str">
        <f aca="false">IF(INDEX(Bases!$E$2:$E$53,C1118)="","",INDEX(Bases!$E$2:$E$53,C1118))</f>
        <v/>
      </c>
      <c r="K1118" s="5"/>
      <c r="L1118" s="2" t="n">
        <f aca="false">AE1118+IF(SUMPRODUCT(--($AL1118:$AQ1118&gt;AL1118))&lt;$AK1118,1,0)</f>
        <v>84</v>
      </c>
      <c r="M1118" s="2" t="n">
        <f aca="false">AF1118+IF(SUMPRODUCT(--($AL1118:$AQ1118&gt;AM1118))+SUMPRODUCT(--($AL1118:AL1118=AM1118))&lt;$AK1118,1,0)</f>
        <v>65</v>
      </c>
      <c r="N1118" s="2" t="n">
        <f aca="false">AG1118+IF(SUMPRODUCT(--($AL1118:$AQ1118&gt;AN1118))+SUMPRODUCT(--($AL1118:AM1118=AN1118))&lt;$AK1118,1,0)</f>
        <v>70</v>
      </c>
      <c r="O1118" s="2" t="n">
        <f aca="false">AH1118+IF(SUMPRODUCT(--($AL1118:$AQ1118&gt;AO1118))+SUMPRODUCT(--($AL1118:AN1118=AO1118))&lt;$AK1118,1,0)</f>
        <v>94</v>
      </c>
      <c r="P1118" s="2" t="n">
        <f aca="false">AI1118+IF(SUMPRODUCT(--($AL1118:$AQ1118&gt;AP1118))+SUMPRODUCT(--($AL1118:AO1118=AP1118))&lt;$AK1118,1,0)</f>
        <v>103</v>
      </c>
      <c r="Q1118" s="2" t="n">
        <f aca="false">AJ1118+IF(SUMPRODUCT(--($AL1118:$AQ1118&gt;AQ1118))+SUMPRODUCT(--($AL1118:AP1118=AQ1118))&lt;$AK1118,1,0)</f>
        <v>84</v>
      </c>
      <c r="R1118" s="2" t="n">
        <f aca="false">SUM(L1118:Q1118)</f>
        <v>500</v>
      </c>
      <c r="S1118" s="2" t="n">
        <f aca="false">Settings!$B$4*MAX(INDEX(Bases!$M$2:$M$53,B1118),INDEX(Bases!$M$2:$M$53,C1118))+Settings!$B$5*MIN(INDEX(Bases!$M$2:$M$53,B1118),INDEX(Bases!$M$2:$M$53,C1118))</f>
        <v>71</v>
      </c>
      <c r="T1118" s="2" t="n">
        <f aca="false">Settings!$B$4*MAX(INDEX(Bases!$N$2:$N$53,B1118),INDEX(Bases!$N$2:$N$53,C1118))+Settings!$B$5*MIN(INDEX(Bases!$N$2:$N$53,B1118),INDEX(Bases!$N$2:$N$53,C1118))</f>
        <v>54.6666666666667</v>
      </c>
      <c r="U1118" s="2" t="n">
        <f aca="false">Settings!$B$4*MAX(INDEX(Bases!$O$2:$O$53,B1118),INDEX(Bases!$O$2:$O$53,C1118))+Settings!$B$5*MIN(INDEX(Bases!$O$2:$O$53,B1118),INDEX(Bases!$O$2:$O$53,C1118))</f>
        <v>58.6666666666667</v>
      </c>
      <c r="V1118" s="2" t="n">
        <f aca="false">Settings!$B$4*MAX(INDEX(Bases!$P$2:$P$53,B1118),INDEX(Bases!$P$2:$P$53,C1118))+Settings!$B$5*MIN(INDEX(Bases!$P$2:$P$53,B1118),INDEX(Bases!$P$2:$P$53,C1118))</f>
        <v>79</v>
      </c>
      <c r="W1118" s="2" t="n">
        <f aca="false">Settings!$B$4*MAX(INDEX(Bases!$Q$2:$Q$53,B1118),INDEX(Bases!$Q$2:$Q$53,C1118))+Settings!$B$5*MIN(INDEX(Bases!$Q$2:$Q$53,B1118),INDEX(Bases!$Q$2:$Q$53,C1118))</f>
        <v>86.6666666666667</v>
      </c>
      <c r="X1118" s="2" t="n">
        <f aca="false">Settings!$B$4*MAX(INDEX(Bases!$R$2:$R$53,B1118),INDEX(Bases!$R$2:$R$53,C1118))+Settings!$B$5*MIN(INDEX(Bases!$R$2:$R$53,B1118),INDEX(Bases!$R$2:$R$53,C1118))</f>
        <v>70.6666666666667</v>
      </c>
      <c r="Y1118" s="2" t="n">
        <f aca="false">S1118*Settings!$B$3/SUM(S1118:X1118)</f>
        <v>84.3898573692552</v>
      </c>
      <c r="Z1118" s="2" t="n">
        <f aca="false">T1118*Settings!$B$3/SUM(S1118:X1118)</f>
        <v>64.9762282091918</v>
      </c>
      <c r="AA1118" s="2" t="n">
        <f aca="false">U1118*Settings!$B$3/SUM(S1118:X1118)</f>
        <v>69.7305863708399</v>
      </c>
      <c r="AB1118" s="2" t="n">
        <f aca="false">V1118*Settings!$B$3/SUM(S1118:X1118)</f>
        <v>93.8985736925515</v>
      </c>
      <c r="AC1118" s="2" t="n">
        <f aca="false">W1118*Settings!$B$3/SUM(S1118:X1118)</f>
        <v>103.011093502377</v>
      </c>
      <c r="AD1118" s="2" t="n">
        <f aca="false">X1118*Settings!$B$3/SUM(S1118:X1118)</f>
        <v>83.9936608557845</v>
      </c>
      <c r="AE1118" s="2" t="n">
        <f aca="false">INT(Y1118)</f>
        <v>84</v>
      </c>
      <c r="AF1118" s="2" t="n">
        <f aca="false">INT(Z1118)</f>
        <v>64</v>
      </c>
      <c r="AG1118" s="2" t="n">
        <f aca="false">INT(AA1118)</f>
        <v>69</v>
      </c>
      <c r="AH1118" s="2" t="n">
        <f aca="false">INT(AB1118)</f>
        <v>93</v>
      </c>
      <c r="AI1118" s="2" t="n">
        <f aca="false">INT(AC1118)</f>
        <v>103</v>
      </c>
      <c r="AJ1118" s="2" t="n">
        <f aca="false">INT(AD1118)</f>
        <v>83</v>
      </c>
      <c r="AK1118" s="2" t="n">
        <f aca="false">Settings!$B$3-SUM(AE1118:AJ1118)</f>
        <v>4</v>
      </c>
      <c r="AL1118" s="2" t="n">
        <f aca="false">ROUND(Y1118-AE1118,9)</f>
        <v>0.389857369</v>
      </c>
      <c r="AM1118" s="2" t="n">
        <f aca="false">ROUND(Z1118-AF1118,9)</f>
        <v>0.976228209</v>
      </c>
      <c r="AN1118" s="2" t="n">
        <f aca="false">ROUND(AA1118-AG1118,9)</f>
        <v>0.730586371</v>
      </c>
      <c r="AO1118" s="2" t="n">
        <f aca="false">ROUND(AB1118-AH1118,9)</f>
        <v>0.898573693</v>
      </c>
      <c r="AP1118" s="2" t="n">
        <f aca="false">ROUND(AC1118-AI1118,9)</f>
        <v>0.011093502</v>
      </c>
      <c r="AQ1118" s="2" t="n">
        <f aca="false">ROUND(AD1118-AJ1118,9)</f>
        <v>0.993660856</v>
      </c>
    </row>
    <row r="1119" customFormat="false" ht="15" hidden="false" customHeight="false" outlineLevel="0" collapsed="false">
      <c r="A1119" s="2" t="n">
        <v>1118</v>
      </c>
      <c r="B1119" s="6" t="n">
        <v>32</v>
      </c>
      <c r="C1119" s="6" t="n">
        <v>34</v>
      </c>
      <c r="D1119" s="8" t="str">
        <f aca="false">INDEX(Bases!$B$2:$B$53,B1119)</f>
        <v>Spoink</v>
      </c>
      <c r="E1119" s="8" t="str">
        <f aca="false">INDEX(Bases!$B$2:$B$53,C1119)</f>
        <v>Paras</v>
      </c>
      <c r="F1119" s="2" t="str">
        <f aca="false">LEFT(D1119,ROUNDUP(LEN(D1119)/2,0))&amp;LOWER(MID(E1119,ROUNDUP(LEN(E1119)/2,0)+1,20))</f>
        <v>Spoas</v>
      </c>
      <c r="G1119" s="8" t="str">
        <f aca="false">INDEX(Bases!$C$2:$C$53,B1119)</f>
        <v>Psychic</v>
      </c>
      <c r="H1119" s="8" t="str">
        <f aca="false">IF(INDEX(Bases!$C$2:$C$53,C1119)=G1119,"",INDEX(Bases!$C$2:$C$53,C1119))</f>
        <v>Bug</v>
      </c>
      <c r="I1119" s="8" t="str">
        <f aca="false">IF(INDEX(Bases!$E$2:$E$53,B1119)="","",INDEX(Bases!$E$2:$E$53,B1119))</f>
        <v/>
      </c>
      <c r="J1119" s="8" t="str">
        <f aca="false">IF(INDEX(Bases!$E$2:$E$53,C1119)="","",INDEX(Bases!$E$2:$E$53,C1119))</f>
        <v/>
      </c>
      <c r="K1119" s="5"/>
      <c r="L1119" s="2" t="n">
        <f aca="false">AE1119+IF(SUMPRODUCT(--($AL1119:$AQ1119&gt;AL1119))&lt;$AK1119,1,0)</f>
        <v>75</v>
      </c>
      <c r="M1119" s="2" t="n">
        <f aca="false">AF1119+IF(SUMPRODUCT(--($AL1119:$AQ1119&gt;AM1119))+SUMPRODUCT(--($AL1119:AL1119=AM1119))&lt;$AK1119,1,0)</f>
        <v>88</v>
      </c>
      <c r="N1119" s="2" t="n">
        <f aca="false">AG1119+IF(SUMPRODUCT(--($AL1119:$AQ1119&gt;AN1119))+SUMPRODUCT(--($AL1119:AM1119=AN1119))&lt;$AK1119,1,0)</f>
        <v>75</v>
      </c>
      <c r="O1119" s="2" t="n">
        <f aca="false">AH1119+IF(SUMPRODUCT(--($AL1119:$AQ1119&gt;AO1119))+SUMPRODUCT(--($AL1119:AN1119=AO1119))&lt;$AK1119,1,0)</f>
        <v>89</v>
      </c>
      <c r="P1119" s="2" t="n">
        <f aca="false">AI1119+IF(SUMPRODUCT(--($AL1119:$AQ1119&gt;AP1119))+SUMPRODUCT(--($AL1119:AO1119=AP1119))&lt;$AK1119,1,0)</f>
        <v>104</v>
      </c>
      <c r="Q1119" s="2" t="n">
        <f aca="false">AJ1119+IF(SUMPRODUCT(--($AL1119:$AQ1119&gt;AQ1119))+SUMPRODUCT(--($AL1119:AP1119=AQ1119))&lt;$AK1119,1,0)</f>
        <v>69</v>
      </c>
      <c r="R1119" s="2" t="n">
        <f aca="false">SUM(L1119:Q1119)</f>
        <v>500</v>
      </c>
      <c r="S1119" s="2" t="n">
        <f aca="false">Settings!$B$4*MAX(INDEX(Bases!$M$2:$M$53,B1119),INDEX(Bases!$M$2:$M$53,C1119))+Settings!$B$5*MIN(INDEX(Bases!$M$2:$M$53,B1119),INDEX(Bases!$M$2:$M$53,C1119))</f>
        <v>65</v>
      </c>
      <c r="T1119" s="2" t="n">
        <f aca="false">Settings!$B$4*MAX(INDEX(Bases!$N$2:$N$53,B1119),INDEX(Bases!$N$2:$N$53,C1119))+Settings!$B$5*MIN(INDEX(Bases!$N$2:$N$53,B1119),INDEX(Bases!$N$2:$N$53,C1119))</f>
        <v>76</v>
      </c>
      <c r="U1119" s="2" t="n">
        <f aca="false">Settings!$B$4*MAX(INDEX(Bases!$O$2:$O$53,B1119),INDEX(Bases!$O$2:$O$53,C1119))+Settings!$B$5*MIN(INDEX(Bases!$O$2:$O$53,B1119),INDEX(Bases!$O$2:$O$53,C1119))</f>
        <v>65.3333333333333</v>
      </c>
      <c r="V1119" s="2" t="n">
        <f aca="false">Settings!$B$4*MAX(INDEX(Bases!$P$2:$P$53,B1119),INDEX(Bases!$P$2:$P$53,C1119))+Settings!$B$5*MIN(INDEX(Bases!$P$2:$P$53,B1119),INDEX(Bases!$P$2:$P$53,C1119))</f>
        <v>77.6666666666667</v>
      </c>
      <c r="W1119" s="2" t="n">
        <f aca="false">Settings!$B$4*MAX(INDEX(Bases!$Q$2:$Q$53,B1119),INDEX(Bases!$Q$2:$Q$53,C1119))+Settings!$B$5*MIN(INDEX(Bases!$Q$2:$Q$53,B1119),INDEX(Bases!$Q$2:$Q$53,C1119))</f>
        <v>90.3333333333333</v>
      </c>
      <c r="X1119" s="2" t="n">
        <f aca="false">Settings!$B$4*MAX(INDEX(Bases!$R$2:$R$53,B1119),INDEX(Bases!$R$2:$R$53,C1119))+Settings!$B$5*MIN(INDEX(Bases!$R$2:$R$53,B1119),INDEX(Bases!$R$2:$R$53,C1119))</f>
        <v>60.3333333333333</v>
      </c>
      <c r="Y1119" s="2" t="n">
        <f aca="false">S1119*Settings!$B$3/SUM(S1119:X1119)</f>
        <v>74.7699386503068</v>
      </c>
      <c r="Z1119" s="2" t="n">
        <f aca="false">T1119*Settings!$B$3/SUM(S1119:X1119)</f>
        <v>87.4233128834356</v>
      </c>
      <c r="AA1119" s="2" t="n">
        <f aca="false">U1119*Settings!$B$3/SUM(S1119:X1119)</f>
        <v>75.1533742331288</v>
      </c>
      <c r="AB1119" s="2" t="n">
        <f aca="false">V1119*Settings!$B$3/SUM(S1119:X1119)</f>
        <v>89.340490797546</v>
      </c>
      <c r="AC1119" s="2" t="n">
        <f aca="false">W1119*Settings!$B$3/SUM(S1119:X1119)</f>
        <v>103.911042944785</v>
      </c>
      <c r="AD1119" s="2" t="n">
        <f aca="false">X1119*Settings!$B$3/SUM(S1119:X1119)</f>
        <v>69.4018404907975</v>
      </c>
      <c r="AE1119" s="2" t="n">
        <f aca="false">INT(Y1119)</f>
        <v>74</v>
      </c>
      <c r="AF1119" s="2" t="n">
        <f aca="false">INT(Z1119)</f>
        <v>87</v>
      </c>
      <c r="AG1119" s="2" t="n">
        <f aca="false">INT(AA1119)</f>
        <v>75</v>
      </c>
      <c r="AH1119" s="2" t="n">
        <f aca="false">INT(AB1119)</f>
        <v>89</v>
      </c>
      <c r="AI1119" s="2" t="n">
        <f aca="false">INT(AC1119)</f>
        <v>103</v>
      </c>
      <c r="AJ1119" s="2" t="n">
        <f aca="false">INT(AD1119)</f>
        <v>69</v>
      </c>
      <c r="AK1119" s="2" t="n">
        <f aca="false">Settings!$B$3-SUM(AE1119:AJ1119)</f>
        <v>3</v>
      </c>
      <c r="AL1119" s="2" t="n">
        <f aca="false">ROUND(Y1119-AE1119,9)</f>
        <v>0.76993865</v>
      </c>
      <c r="AM1119" s="2" t="n">
        <f aca="false">ROUND(Z1119-AF1119,9)</f>
        <v>0.423312883</v>
      </c>
      <c r="AN1119" s="2" t="n">
        <f aca="false">ROUND(AA1119-AG1119,9)</f>
        <v>0.153374233</v>
      </c>
      <c r="AO1119" s="2" t="n">
        <f aca="false">ROUND(AB1119-AH1119,9)</f>
        <v>0.340490798</v>
      </c>
      <c r="AP1119" s="2" t="n">
        <f aca="false">ROUND(AC1119-AI1119,9)</f>
        <v>0.911042945</v>
      </c>
      <c r="AQ1119" s="2" t="n">
        <f aca="false">ROUND(AD1119-AJ1119,9)</f>
        <v>0.401840491</v>
      </c>
    </row>
    <row r="1120" customFormat="false" ht="15" hidden="false" customHeight="false" outlineLevel="0" collapsed="false">
      <c r="A1120" s="2" t="n">
        <v>1119</v>
      </c>
      <c r="B1120" s="6" t="n">
        <v>32</v>
      </c>
      <c r="C1120" s="6" t="n">
        <v>35</v>
      </c>
      <c r="D1120" s="8" t="str">
        <f aca="false">INDEX(Bases!$B$2:$B$53,B1120)</f>
        <v>Spoink</v>
      </c>
      <c r="E1120" s="8" t="str">
        <f aca="false">INDEX(Bases!$B$2:$B$53,C1120)</f>
        <v>Pineco</v>
      </c>
      <c r="F1120" s="2" t="str">
        <f aca="false">LEFT(D1120,ROUNDUP(LEN(D1120)/2,0))&amp;LOWER(MID(E1120,ROUNDUP(LEN(E1120)/2,0)+1,20))</f>
        <v>Spoeco</v>
      </c>
      <c r="G1120" s="8" t="str">
        <f aca="false">INDEX(Bases!$C$2:$C$53,B1120)</f>
        <v>Psychic</v>
      </c>
      <c r="H1120" s="8" t="str">
        <f aca="false">IF(INDEX(Bases!$C$2:$C$53,C1120)=G1120,"",INDEX(Bases!$C$2:$C$53,C1120))</f>
        <v>Bug</v>
      </c>
      <c r="I1120" s="8" t="str">
        <f aca="false">IF(INDEX(Bases!$E$2:$E$53,B1120)="","",INDEX(Bases!$E$2:$E$53,B1120))</f>
        <v/>
      </c>
      <c r="J1120" s="8" t="str">
        <f aca="false">IF(INDEX(Bases!$E$2:$E$53,C1120)="","",INDEX(Bases!$E$2:$E$53,C1120))</f>
        <v/>
      </c>
      <c r="K1120" s="5"/>
      <c r="L1120" s="2" t="n">
        <f aca="false">AE1120+IF(SUMPRODUCT(--($AL1120:$AQ1120&gt;AL1120))&lt;$AK1120,1,0)</f>
        <v>80</v>
      </c>
      <c r="M1120" s="2" t="n">
        <f aca="false">AF1120+IF(SUMPRODUCT(--($AL1120:$AQ1120&gt;AM1120))+SUMPRODUCT(--($AL1120:AL1120=AM1120))&lt;$AK1120,1,0)</f>
        <v>79</v>
      </c>
      <c r="N1120" s="2" t="n">
        <f aca="false">AG1120+IF(SUMPRODUCT(--($AL1120:$AQ1120&gt;AN1120))+SUMPRODUCT(--($AL1120:AM1120=AN1120))&lt;$AK1120,1,0)</f>
        <v>108</v>
      </c>
      <c r="O1120" s="2" t="n">
        <f aca="false">AH1120+IF(SUMPRODUCT(--($AL1120:$AQ1120&gt;AO1120))+SUMPRODUCT(--($AL1120:AN1120=AO1120))&lt;$AK1120,1,0)</f>
        <v>81</v>
      </c>
      <c r="P1120" s="2" t="n">
        <f aca="false">AI1120+IF(SUMPRODUCT(--($AL1120:$AQ1120&gt;AP1120))+SUMPRODUCT(--($AL1120:AO1120=AP1120))&lt;$AK1120,1,0)</f>
        <v>90</v>
      </c>
      <c r="Q1120" s="2" t="n">
        <f aca="false">AJ1120+IF(SUMPRODUCT(--($AL1120:$AQ1120&gt;AQ1120))+SUMPRODUCT(--($AL1120:AP1120=AQ1120))&lt;$AK1120,1,0)</f>
        <v>62</v>
      </c>
      <c r="R1120" s="2" t="n">
        <f aca="false">SUM(L1120:Q1120)</f>
        <v>500</v>
      </c>
      <c r="S1120" s="2" t="n">
        <f aca="false">Settings!$B$4*MAX(INDEX(Bases!$M$2:$M$53,B1120),INDEX(Bases!$M$2:$M$53,C1120))+Settings!$B$5*MIN(INDEX(Bases!$M$2:$M$53,B1120),INDEX(Bases!$M$2:$M$53,C1120))</f>
        <v>71.6666666666667</v>
      </c>
      <c r="T1120" s="2" t="n">
        <f aca="false">Settings!$B$4*MAX(INDEX(Bases!$N$2:$N$53,B1120),INDEX(Bases!$N$2:$N$53,C1120))+Settings!$B$5*MIN(INDEX(Bases!$N$2:$N$53,B1120),INDEX(Bases!$N$2:$N$53,C1120))</f>
        <v>70</v>
      </c>
      <c r="U1120" s="2" t="n">
        <f aca="false">Settings!$B$4*MAX(INDEX(Bases!$O$2:$O$53,B1120),INDEX(Bases!$O$2:$O$53,C1120))+Settings!$B$5*MIN(INDEX(Bases!$O$2:$O$53,B1120),INDEX(Bases!$O$2:$O$53,C1120))</f>
        <v>96.6666666666667</v>
      </c>
      <c r="V1120" s="2" t="n">
        <f aca="false">Settings!$B$4*MAX(INDEX(Bases!$P$2:$P$53,B1120),INDEX(Bases!$P$2:$P$53,C1120))+Settings!$B$5*MIN(INDEX(Bases!$P$2:$P$53,B1120),INDEX(Bases!$P$2:$P$53,C1120))</f>
        <v>72.6666666666667</v>
      </c>
      <c r="W1120" s="2" t="n">
        <f aca="false">Settings!$B$4*MAX(INDEX(Bases!$Q$2:$Q$53,B1120),INDEX(Bases!$Q$2:$Q$53,C1120))+Settings!$B$5*MIN(INDEX(Bases!$Q$2:$Q$53,B1120),INDEX(Bases!$Q$2:$Q$53,C1120))</f>
        <v>80.6666666666667</v>
      </c>
      <c r="X1120" s="2" t="n">
        <f aca="false">Settings!$B$4*MAX(INDEX(Bases!$R$2:$R$53,B1120),INDEX(Bases!$R$2:$R$53,C1120))+Settings!$B$5*MIN(INDEX(Bases!$R$2:$R$53,B1120),INDEX(Bases!$R$2:$R$53,C1120))</f>
        <v>55.6666666666667</v>
      </c>
      <c r="Y1120" s="2" t="n">
        <f aca="false">S1120*Settings!$B$3/SUM(S1120:X1120)</f>
        <v>80.1043219076006</v>
      </c>
      <c r="Z1120" s="2" t="n">
        <f aca="false">T1120*Settings!$B$3/SUM(S1120:X1120)</f>
        <v>78.2414307004471</v>
      </c>
      <c r="AA1120" s="2" t="n">
        <f aca="false">U1120*Settings!$B$3/SUM(S1120:X1120)</f>
        <v>108.047690014903</v>
      </c>
      <c r="AB1120" s="2" t="n">
        <f aca="false">V1120*Settings!$B$3/SUM(S1120:X1120)</f>
        <v>81.2220566318927</v>
      </c>
      <c r="AC1120" s="2" t="n">
        <f aca="false">W1120*Settings!$B$3/SUM(S1120:X1120)</f>
        <v>90.1639344262295</v>
      </c>
      <c r="AD1120" s="2" t="n">
        <f aca="false">X1120*Settings!$B$3/SUM(S1120:X1120)</f>
        <v>62.220566318927</v>
      </c>
      <c r="AE1120" s="2" t="n">
        <f aca="false">INT(Y1120)</f>
        <v>80</v>
      </c>
      <c r="AF1120" s="2" t="n">
        <f aca="false">INT(Z1120)</f>
        <v>78</v>
      </c>
      <c r="AG1120" s="2" t="n">
        <f aca="false">INT(AA1120)</f>
        <v>108</v>
      </c>
      <c r="AH1120" s="2" t="n">
        <f aca="false">INT(AB1120)</f>
        <v>81</v>
      </c>
      <c r="AI1120" s="2" t="n">
        <f aca="false">INT(AC1120)</f>
        <v>90</v>
      </c>
      <c r="AJ1120" s="2" t="n">
        <f aca="false">INT(AD1120)</f>
        <v>62</v>
      </c>
      <c r="AK1120" s="2" t="n">
        <f aca="false">Settings!$B$3-SUM(AE1120:AJ1120)</f>
        <v>1</v>
      </c>
      <c r="AL1120" s="2" t="n">
        <f aca="false">ROUND(Y1120-AE1120,9)</f>
        <v>0.104321908</v>
      </c>
      <c r="AM1120" s="2" t="n">
        <f aca="false">ROUND(Z1120-AF1120,9)</f>
        <v>0.2414307</v>
      </c>
      <c r="AN1120" s="2" t="n">
        <f aca="false">ROUND(AA1120-AG1120,9)</f>
        <v>0.047690015</v>
      </c>
      <c r="AO1120" s="2" t="n">
        <f aca="false">ROUND(AB1120-AH1120,9)</f>
        <v>0.222056632</v>
      </c>
      <c r="AP1120" s="2" t="n">
        <f aca="false">ROUND(AC1120-AI1120,9)</f>
        <v>0.163934426</v>
      </c>
      <c r="AQ1120" s="2" t="n">
        <f aca="false">ROUND(AD1120-AJ1120,9)</f>
        <v>0.220566319</v>
      </c>
    </row>
    <row r="1121" customFormat="false" ht="15" hidden="false" customHeight="false" outlineLevel="0" collapsed="false">
      <c r="A1121" s="2" t="n">
        <v>1120</v>
      </c>
      <c r="B1121" s="6" t="n">
        <v>32</v>
      </c>
      <c r="C1121" s="6" t="n">
        <v>36</v>
      </c>
      <c r="D1121" s="8" t="str">
        <f aca="false">INDEX(Bases!$B$2:$B$53,B1121)</f>
        <v>Spoink</v>
      </c>
      <c r="E1121" s="8" t="str">
        <f aca="false">INDEX(Bases!$B$2:$B$53,C1121)</f>
        <v>Wurmple</v>
      </c>
      <c r="F1121" s="2" t="str">
        <f aca="false">LEFT(D1121,ROUNDUP(LEN(D1121)/2,0))&amp;LOWER(MID(E1121,ROUNDUP(LEN(E1121)/2,0)+1,20))</f>
        <v>Spople</v>
      </c>
      <c r="G1121" s="8" t="str">
        <f aca="false">INDEX(Bases!$C$2:$C$53,B1121)</f>
        <v>Psychic</v>
      </c>
      <c r="H1121" s="8" t="str">
        <f aca="false">IF(INDEX(Bases!$C$2:$C$53,C1121)=G1121,"",INDEX(Bases!$C$2:$C$53,C1121))</f>
        <v>Bug</v>
      </c>
      <c r="I1121" s="8" t="str">
        <f aca="false">IF(INDEX(Bases!$E$2:$E$53,B1121)="","",INDEX(Bases!$E$2:$E$53,B1121))</f>
        <v/>
      </c>
      <c r="J1121" s="8" t="str">
        <f aca="false">IF(INDEX(Bases!$E$2:$E$53,C1121)="","",INDEX(Bases!$E$2:$E$53,C1121))</f>
        <v/>
      </c>
      <c r="K1121" s="5"/>
      <c r="L1121" s="2" t="n">
        <f aca="false">AE1121+IF(SUMPRODUCT(--($AL1121:$AQ1121&gt;AL1121))&lt;$AK1121,1,0)</f>
        <v>98</v>
      </c>
      <c r="M1121" s="2" t="n">
        <f aca="false">AF1121+IF(SUMPRODUCT(--($AL1121:$AQ1121&gt;AM1121))+SUMPRODUCT(--($AL1121:AL1121=AM1121))&lt;$AK1121,1,0)</f>
        <v>82</v>
      </c>
      <c r="N1121" s="2" t="n">
        <f aca="false">AG1121+IF(SUMPRODUCT(--($AL1121:$AQ1121&gt;AN1121))+SUMPRODUCT(--($AL1121:AM1121=AN1121))&lt;$AK1121,1,0)</f>
        <v>71</v>
      </c>
      <c r="O1121" s="2" t="n">
        <f aca="false">AH1121+IF(SUMPRODUCT(--($AL1121:$AQ1121&gt;AO1121))+SUMPRODUCT(--($AL1121:AN1121=AO1121))&lt;$AK1121,1,0)</f>
        <v>80</v>
      </c>
      <c r="P1121" s="2" t="n">
        <f aca="false">AI1121+IF(SUMPRODUCT(--($AL1121:$AQ1121&gt;AP1121))+SUMPRODUCT(--($AL1121:AO1121=AP1121))&lt;$AK1121,1,0)</f>
        <v>98</v>
      </c>
      <c r="Q1121" s="2" t="n">
        <f aca="false">AJ1121+IF(SUMPRODUCT(--($AL1121:$AQ1121&gt;AQ1121))+SUMPRODUCT(--($AL1121:AP1121=AQ1121))&lt;$AK1121,1,0)</f>
        <v>71</v>
      </c>
      <c r="R1121" s="2" t="n">
        <f aca="false">SUM(L1121:Q1121)</f>
        <v>500</v>
      </c>
      <c r="S1121" s="2" t="n">
        <f aca="false">Settings!$B$4*MAX(INDEX(Bases!$M$2:$M$53,B1121),INDEX(Bases!$M$2:$M$53,C1121))+Settings!$B$5*MIN(INDEX(Bases!$M$2:$M$53,B1121),INDEX(Bases!$M$2:$M$53,C1121))</f>
        <v>85.6666666666667</v>
      </c>
      <c r="T1121" s="2" t="n">
        <f aca="false">Settings!$B$4*MAX(INDEX(Bases!$N$2:$N$53,B1121),INDEX(Bases!$N$2:$N$53,C1121))+Settings!$B$5*MIN(INDEX(Bases!$N$2:$N$53,B1121),INDEX(Bases!$N$2:$N$53,C1121))</f>
        <v>71.3333333333333</v>
      </c>
      <c r="U1121" s="2" t="n">
        <f aca="false">Settings!$B$4*MAX(INDEX(Bases!$O$2:$O$53,B1121),INDEX(Bases!$O$2:$O$53,C1121))+Settings!$B$5*MIN(INDEX(Bases!$O$2:$O$53,B1121),INDEX(Bases!$O$2:$O$53,C1121))</f>
        <v>62</v>
      </c>
      <c r="V1121" s="2" t="n">
        <f aca="false">Settings!$B$4*MAX(INDEX(Bases!$P$2:$P$53,B1121),INDEX(Bases!$P$2:$P$53,C1121))+Settings!$B$5*MIN(INDEX(Bases!$P$2:$P$53,B1121),INDEX(Bases!$P$2:$P$53,C1121))</f>
        <v>70.3333333333333</v>
      </c>
      <c r="W1121" s="2" t="n">
        <f aca="false">Settings!$B$4*MAX(INDEX(Bases!$Q$2:$Q$53,B1121),INDEX(Bases!$Q$2:$Q$53,C1121))+Settings!$B$5*MIN(INDEX(Bases!$Q$2:$Q$53,B1121),INDEX(Bases!$Q$2:$Q$53,C1121))</f>
        <v>85.3333333333333</v>
      </c>
      <c r="X1121" s="2" t="n">
        <f aca="false">Settings!$B$4*MAX(INDEX(Bases!$R$2:$R$53,B1121),INDEX(Bases!$R$2:$R$53,C1121))+Settings!$B$5*MIN(INDEX(Bases!$R$2:$R$53,B1121),INDEX(Bases!$R$2:$R$53,C1121))</f>
        <v>62.3333333333333</v>
      </c>
      <c r="Y1121" s="2" t="n">
        <f aca="false">S1121*Settings!$B$3/SUM(S1121:X1121)</f>
        <v>98.0167810831427</v>
      </c>
      <c r="Z1121" s="2" t="n">
        <f aca="false">T1121*Settings!$B$3/SUM(S1121:X1121)</f>
        <v>81.6170861937452</v>
      </c>
      <c r="AA1121" s="2" t="n">
        <f aca="false">U1121*Settings!$B$3/SUM(S1121:X1121)</f>
        <v>70.9382151029748</v>
      </c>
      <c r="AB1121" s="2" t="n">
        <f aca="false">V1121*Settings!$B$3/SUM(S1121:X1121)</f>
        <v>80.4729214340198</v>
      </c>
      <c r="AC1121" s="2" t="n">
        <f aca="false">W1121*Settings!$B$3/SUM(S1121:X1121)</f>
        <v>97.6353928299009</v>
      </c>
      <c r="AD1121" s="2" t="n">
        <f aca="false">X1121*Settings!$B$3/SUM(S1121:X1121)</f>
        <v>71.3196033562166</v>
      </c>
      <c r="AE1121" s="2" t="n">
        <f aca="false">INT(Y1121)</f>
        <v>98</v>
      </c>
      <c r="AF1121" s="2" t="n">
        <f aca="false">INT(Z1121)</f>
        <v>81</v>
      </c>
      <c r="AG1121" s="2" t="n">
        <f aca="false">INT(AA1121)</f>
        <v>70</v>
      </c>
      <c r="AH1121" s="2" t="n">
        <f aca="false">INT(AB1121)</f>
        <v>80</v>
      </c>
      <c r="AI1121" s="2" t="n">
        <f aca="false">INT(AC1121)</f>
        <v>97</v>
      </c>
      <c r="AJ1121" s="2" t="n">
        <f aca="false">INT(AD1121)</f>
        <v>71</v>
      </c>
      <c r="AK1121" s="2" t="n">
        <f aca="false">Settings!$B$3-SUM(AE1121:AJ1121)</f>
        <v>3</v>
      </c>
      <c r="AL1121" s="2" t="n">
        <f aca="false">ROUND(Y1121-AE1121,9)</f>
        <v>0.016781083</v>
      </c>
      <c r="AM1121" s="2" t="n">
        <f aca="false">ROUND(Z1121-AF1121,9)</f>
        <v>0.617086194</v>
      </c>
      <c r="AN1121" s="2" t="n">
        <f aca="false">ROUND(AA1121-AG1121,9)</f>
        <v>0.938215103</v>
      </c>
      <c r="AO1121" s="2" t="n">
        <f aca="false">ROUND(AB1121-AH1121,9)</f>
        <v>0.472921434</v>
      </c>
      <c r="AP1121" s="2" t="n">
        <f aca="false">ROUND(AC1121-AI1121,9)</f>
        <v>0.63539283</v>
      </c>
      <c r="AQ1121" s="2" t="n">
        <f aca="false">ROUND(AD1121-AJ1121,9)</f>
        <v>0.319603356</v>
      </c>
    </row>
    <row r="1122" customFormat="false" ht="15" hidden="false" customHeight="false" outlineLevel="0" collapsed="false">
      <c r="A1122" s="2" t="n">
        <v>1121</v>
      </c>
      <c r="B1122" s="6" t="n">
        <v>32</v>
      </c>
      <c r="C1122" s="6" t="n">
        <v>37</v>
      </c>
      <c r="D1122" s="8" t="str">
        <f aca="false">INDEX(Bases!$B$2:$B$53,B1122)</f>
        <v>Spoink</v>
      </c>
      <c r="E1122" s="8" t="str">
        <f aca="false">INDEX(Bases!$B$2:$B$53,C1122)</f>
        <v>Shuckle</v>
      </c>
      <c r="F1122" s="2" t="str">
        <f aca="false">LEFT(D1122,ROUNDUP(LEN(D1122)/2,0))&amp;LOWER(MID(E1122,ROUNDUP(LEN(E1122)/2,0)+1,20))</f>
        <v>Spokle</v>
      </c>
      <c r="G1122" s="8" t="str">
        <f aca="false">INDEX(Bases!$C$2:$C$53,B1122)</f>
        <v>Psychic</v>
      </c>
      <c r="H1122" s="8" t="str">
        <f aca="false">IF(INDEX(Bases!$C$2:$C$53,C1122)=G1122,"",INDEX(Bases!$C$2:$C$53,C1122))</f>
        <v>Rock</v>
      </c>
      <c r="I1122" s="8" t="str">
        <f aca="false">IF(INDEX(Bases!$E$2:$E$53,B1122)="","",INDEX(Bases!$E$2:$E$53,B1122))</f>
        <v/>
      </c>
      <c r="J1122" s="8" t="str">
        <f aca="false">IF(INDEX(Bases!$E$2:$E$53,C1122)="","",INDEX(Bases!$E$2:$E$53,C1122))</f>
        <v/>
      </c>
      <c r="K1122" s="5"/>
      <c r="L1122" s="2" t="n">
        <f aca="false">AE1122+IF(SUMPRODUCT(--($AL1122:$AQ1122&gt;AL1122))&lt;$AK1122,1,0)</f>
        <v>57</v>
      </c>
      <c r="M1122" s="2" t="n">
        <f aca="false">AF1122+IF(SUMPRODUCT(--($AL1122:$AQ1122&gt;AM1122))+SUMPRODUCT(--($AL1122:AL1122=AM1122))&lt;$AK1122,1,0)</f>
        <v>24</v>
      </c>
      <c r="N1122" s="2" t="n">
        <f aca="false">AG1122+IF(SUMPRODUCT(--($AL1122:$AQ1122&gt;AN1122))+SUMPRODUCT(--($AL1122:AM1122=AN1122))&lt;$AK1122,1,0)</f>
        <v>142</v>
      </c>
      <c r="O1122" s="2" t="n">
        <f aca="false">AH1122+IF(SUMPRODUCT(--($AL1122:$AQ1122&gt;AO1122))+SUMPRODUCT(--($AL1122:AN1122=AO1122))&lt;$AK1122,1,0)</f>
        <v>62</v>
      </c>
      <c r="P1122" s="2" t="n">
        <f aca="false">AI1122+IF(SUMPRODUCT(--($AL1122:$AQ1122&gt;AP1122))+SUMPRODUCT(--($AL1122:AO1122=AP1122))&lt;$AK1122,1,0)</f>
        <v>162</v>
      </c>
      <c r="Q1122" s="2" t="n">
        <f aca="false">AJ1122+IF(SUMPRODUCT(--($AL1122:$AQ1122&gt;AQ1122))+SUMPRODUCT(--($AL1122:AP1122=AQ1122))&lt;$AK1122,1,0)</f>
        <v>53</v>
      </c>
      <c r="R1122" s="2" t="n">
        <f aca="false">SUM(L1122:Q1122)</f>
        <v>500</v>
      </c>
      <c r="S1122" s="2" t="n">
        <f aca="false">Settings!$B$4*MAX(INDEX(Bases!$M$2:$M$53,B1122),INDEX(Bases!$M$2:$M$53,C1122))+Settings!$B$5*MIN(INDEX(Bases!$M$2:$M$53,B1122),INDEX(Bases!$M$2:$M$53,C1122))</f>
        <v>54</v>
      </c>
      <c r="T1122" s="2" t="n">
        <f aca="false">Settings!$B$4*MAX(INDEX(Bases!$N$2:$N$53,B1122),INDEX(Bases!$N$2:$N$53,C1122))+Settings!$B$5*MIN(INDEX(Bases!$N$2:$N$53,B1122),INDEX(Bases!$N$2:$N$53,C1122))</f>
        <v>22.6666666666667</v>
      </c>
      <c r="U1122" s="2" t="n">
        <f aca="false">Settings!$B$4*MAX(INDEX(Bases!$O$2:$O$53,B1122),INDEX(Bases!$O$2:$O$53,C1122))+Settings!$B$5*MIN(INDEX(Bases!$O$2:$O$53,B1122),INDEX(Bases!$O$2:$O$53,C1122))</f>
        <v>135.333333333333</v>
      </c>
      <c r="V1122" s="2" t="n">
        <f aca="false">Settings!$B$4*MAX(INDEX(Bases!$P$2:$P$53,B1122),INDEX(Bases!$P$2:$P$53,C1122))+Settings!$B$5*MIN(INDEX(Bases!$P$2:$P$53,B1122),INDEX(Bases!$P$2:$P$53,C1122))</f>
        <v>59.3333333333333</v>
      </c>
      <c r="W1122" s="2" t="n">
        <f aca="false">Settings!$B$4*MAX(INDEX(Bases!$Q$2:$Q$53,B1122),INDEX(Bases!$Q$2:$Q$53,C1122))+Settings!$B$5*MIN(INDEX(Bases!$Q$2:$Q$53,B1122),INDEX(Bases!$Q$2:$Q$53,C1122))</f>
        <v>153.666666666667</v>
      </c>
      <c r="X1122" s="2" t="n">
        <f aca="false">Settings!$B$4*MAX(INDEX(Bases!$R$2:$R$53,B1122),INDEX(Bases!$R$2:$R$53,C1122))+Settings!$B$5*MIN(INDEX(Bases!$R$2:$R$53,B1122),INDEX(Bases!$R$2:$R$53,C1122))</f>
        <v>50</v>
      </c>
      <c r="Y1122" s="2" t="n">
        <f aca="false">S1122*Settings!$B$3/SUM(S1122:X1122)</f>
        <v>56.8421052631579</v>
      </c>
      <c r="Z1122" s="2" t="n">
        <f aca="false">T1122*Settings!$B$3/SUM(S1122:X1122)</f>
        <v>23.859649122807</v>
      </c>
      <c r="AA1122" s="2" t="n">
        <f aca="false">U1122*Settings!$B$3/SUM(S1122:X1122)</f>
        <v>142.456140350877</v>
      </c>
      <c r="AB1122" s="2" t="n">
        <f aca="false">V1122*Settings!$B$3/SUM(S1122:X1122)</f>
        <v>62.4561403508772</v>
      </c>
      <c r="AC1122" s="2" t="n">
        <f aca="false">W1122*Settings!$B$3/SUM(S1122:X1122)</f>
        <v>161.754385964912</v>
      </c>
      <c r="AD1122" s="2" t="n">
        <f aca="false">X1122*Settings!$B$3/SUM(S1122:X1122)</f>
        <v>52.6315789473684</v>
      </c>
      <c r="AE1122" s="2" t="n">
        <f aca="false">INT(Y1122)</f>
        <v>56</v>
      </c>
      <c r="AF1122" s="2" t="n">
        <f aca="false">INT(Z1122)</f>
        <v>23</v>
      </c>
      <c r="AG1122" s="2" t="n">
        <f aca="false">INT(AA1122)</f>
        <v>142</v>
      </c>
      <c r="AH1122" s="2" t="n">
        <f aca="false">INT(AB1122)</f>
        <v>62</v>
      </c>
      <c r="AI1122" s="2" t="n">
        <f aca="false">INT(AC1122)</f>
        <v>161</v>
      </c>
      <c r="AJ1122" s="2" t="n">
        <f aca="false">INT(AD1122)</f>
        <v>52</v>
      </c>
      <c r="AK1122" s="2" t="n">
        <f aca="false">Settings!$B$3-SUM(AE1122:AJ1122)</f>
        <v>4</v>
      </c>
      <c r="AL1122" s="2" t="n">
        <f aca="false">ROUND(Y1122-AE1122,9)</f>
        <v>0.842105263</v>
      </c>
      <c r="AM1122" s="2" t="n">
        <f aca="false">ROUND(Z1122-AF1122,9)</f>
        <v>0.859649123</v>
      </c>
      <c r="AN1122" s="2" t="n">
        <f aca="false">ROUND(AA1122-AG1122,9)</f>
        <v>0.456140351</v>
      </c>
      <c r="AO1122" s="2" t="n">
        <f aca="false">ROUND(AB1122-AH1122,9)</f>
        <v>0.456140351</v>
      </c>
      <c r="AP1122" s="2" t="n">
        <f aca="false">ROUND(AC1122-AI1122,9)</f>
        <v>0.754385965</v>
      </c>
      <c r="AQ1122" s="2" t="n">
        <f aca="false">ROUND(AD1122-AJ1122,9)</f>
        <v>0.631578947</v>
      </c>
    </row>
    <row r="1123" customFormat="false" ht="15" hidden="false" customHeight="false" outlineLevel="0" collapsed="false">
      <c r="A1123" s="2" t="n">
        <v>1122</v>
      </c>
      <c r="B1123" s="6" t="n">
        <v>32</v>
      </c>
      <c r="C1123" s="6" t="n">
        <v>38</v>
      </c>
      <c r="D1123" s="8" t="str">
        <f aca="false">INDEX(Bases!$B$2:$B$53,B1123)</f>
        <v>Spoink</v>
      </c>
      <c r="E1123" s="8" t="str">
        <f aca="false">INDEX(Bases!$B$2:$B$53,C1123)</f>
        <v>Larvitar</v>
      </c>
      <c r="F1123" s="2" t="str">
        <f aca="false">LEFT(D1123,ROUNDUP(LEN(D1123)/2,0))&amp;LOWER(MID(E1123,ROUNDUP(LEN(E1123)/2,0)+1,20))</f>
        <v>Spoitar</v>
      </c>
      <c r="G1123" s="8" t="str">
        <f aca="false">INDEX(Bases!$C$2:$C$53,B1123)</f>
        <v>Psychic</v>
      </c>
      <c r="H1123" s="8" t="str">
        <f aca="false">IF(INDEX(Bases!$C$2:$C$53,C1123)=G1123,"",INDEX(Bases!$C$2:$C$53,C1123))</f>
        <v>Rock</v>
      </c>
      <c r="I1123" s="8" t="str">
        <f aca="false">IF(INDEX(Bases!$E$2:$E$53,B1123)="","",INDEX(Bases!$E$2:$E$53,B1123))</f>
        <v/>
      </c>
      <c r="J1123" s="8" t="str">
        <f aca="false">IF(INDEX(Bases!$E$2:$E$53,C1123)="","",INDEX(Bases!$E$2:$E$53,C1123))</f>
        <v/>
      </c>
      <c r="K1123" s="5"/>
      <c r="L1123" s="2" t="n">
        <f aca="false">AE1123+IF(SUMPRODUCT(--($AL1123:$AQ1123&gt;AL1123))&lt;$AK1123,1,0)</f>
        <v>83</v>
      </c>
      <c r="M1123" s="2" t="n">
        <f aca="false">AF1123+IF(SUMPRODUCT(--($AL1123:$AQ1123&gt;AM1123))+SUMPRODUCT(--($AL1123:AL1123=AM1123))&lt;$AK1123,1,0)</f>
        <v>78</v>
      </c>
      <c r="N1123" s="2" t="n">
        <f aca="false">AG1123+IF(SUMPRODUCT(--($AL1123:$AQ1123&gt;AN1123))+SUMPRODUCT(--($AL1123:AM1123=AN1123))&lt;$AK1123,1,0)</f>
        <v>69</v>
      </c>
      <c r="O1123" s="2" t="n">
        <f aca="false">AH1123+IF(SUMPRODUCT(--($AL1123:$AQ1123&gt;AO1123))+SUMPRODUCT(--($AL1123:AN1123=AO1123))&lt;$AK1123,1,0)</f>
        <v>90</v>
      </c>
      <c r="P1123" s="2" t="n">
        <f aca="false">AI1123+IF(SUMPRODUCT(--($AL1123:$AQ1123&gt;AP1123))+SUMPRODUCT(--($AL1123:AO1123=AP1123))&lt;$AK1123,1,0)</f>
        <v>102</v>
      </c>
      <c r="Q1123" s="2" t="n">
        <f aca="false">AJ1123+IF(SUMPRODUCT(--($AL1123:$AQ1123&gt;AQ1123))+SUMPRODUCT(--($AL1123:AP1123=AQ1123))&lt;$AK1123,1,0)</f>
        <v>78</v>
      </c>
      <c r="R1123" s="2" t="n">
        <f aca="false">SUM(L1123:Q1123)</f>
        <v>500</v>
      </c>
      <c r="S1123" s="2" t="n">
        <f aca="false">Settings!$B$4*MAX(INDEX(Bases!$M$2:$M$53,B1123),INDEX(Bases!$M$2:$M$53,C1123))+Settings!$B$5*MIN(INDEX(Bases!$M$2:$M$53,B1123),INDEX(Bases!$M$2:$M$53,C1123))</f>
        <v>71</v>
      </c>
      <c r="T1123" s="2" t="n">
        <f aca="false">Settings!$B$4*MAX(INDEX(Bases!$N$2:$N$53,B1123),INDEX(Bases!$N$2:$N$53,C1123))+Settings!$B$5*MIN(INDEX(Bases!$N$2:$N$53,B1123),INDEX(Bases!$N$2:$N$53,C1123))</f>
        <v>66.6666666666667</v>
      </c>
      <c r="U1123" s="2" t="n">
        <f aca="false">Settings!$B$4*MAX(INDEX(Bases!$O$2:$O$53,B1123),INDEX(Bases!$O$2:$O$53,C1123))+Settings!$B$5*MIN(INDEX(Bases!$O$2:$O$53,B1123),INDEX(Bases!$O$2:$O$53,C1123))</f>
        <v>58.6666666666667</v>
      </c>
      <c r="V1123" s="2" t="n">
        <f aca="false">Settings!$B$4*MAX(INDEX(Bases!$P$2:$P$53,B1123),INDEX(Bases!$P$2:$P$53,C1123))+Settings!$B$5*MIN(INDEX(Bases!$P$2:$P$53,B1123),INDEX(Bases!$P$2:$P$53,C1123))</f>
        <v>76.6666666666667</v>
      </c>
      <c r="W1123" s="2" t="n">
        <f aca="false">Settings!$B$4*MAX(INDEX(Bases!$Q$2:$Q$53,B1123),INDEX(Bases!$Q$2:$Q$53,C1123))+Settings!$B$5*MIN(INDEX(Bases!$Q$2:$Q$53,B1123),INDEX(Bases!$Q$2:$Q$53,C1123))</f>
        <v>87</v>
      </c>
      <c r="X1123" s="2" t="n">
        <f aca="false">Settings!$B$4*MAX(INDEX(Bases!$R$2:$R$53,B1123),INDEX(Bases!$R$2:$R$53,C1123))+Settings!$B$5*MIN(INDEX(Bases!$R$2:$R$53,B1123),INDEX(Bases!$R$2:$R$53,C1123))</f>
        <v>66.6666666666667</v>
      </c>
      <c r="Y1123" s="2" t="n">
        <f aca="false">S1123*Settings!$B$3/SUM(S1123:X1123)</f>
        <v>83.203125</v>
      </c>
      <c r="Z1123" s="2" t="n">
        <f aca="false">T1123*Settings!$B$3/SUM(S1123:X1123)</f>
        <v>78.125</v>
      </c>
      <c r="AA1123" s="2" t="n">
        <f aca="false">U1123*Settings!$B$3/SUM(S1123:X1123)</f>
        <v>68.75</v>
      </c>
      <c r="AB1123" s="2" t="n">
        <f aca="false">V1123*Settings!$B$3/SUM(S1123:X1123)</f>
        <v>89.84375</v>
      </c>
      <c r="AC1123" s="2" t="n">
        <f aca="false">W1123*Settings!$B$3/SUM(S1123:X1123)</f>
        <v>101.953125</v>
      </c>
      <c r="AD1123" s="2" t="n">
        <f aca="false">X1123*Settings!$B$3/SUM(S1123:X1123)</f>
        <v>78.125</v>
      </c>
      <c r="AE1123" s="2" t="n">
        <f aca="false">INT(Y1123)</f>
        <v>83</v>
      </c>
      <c r="AF1123" s="2" t="n">
        <f aca="false">INT(Z1123)</f>
        <v>78</v>
      </c>
      <c r="AG1123" s="2" t="n">
        <f aca="false">INT(AA1123)</f>
        <v>68</v>
      </c>
      <c r="AH1123" s="2" t="n">
        <f aca="false">INT(AB1123)</f>
        <v>89</v>
      </c>
      <c r="AI1123" s="2" t="n">
        <f aca="false">INT(AC1123)</f>
        <v>101</v>
      </c>
      <c r="AJ1123" s="2" t="n">
        <f aca="false">INT(AD1123)</f>
        <v>78</v>
      </c>
      <c r="AK1123" s="2" t="n">
        <f aca="false">Settings!$B$3-SUM(AE1123:AJ1123)</f>
        <v>3</v>
      </c>
      <c r="AL1123" s="2" t="n">
        <f aca="false">ROUND(Y1123-AE1123,9)</f>
        <v>0.203125</v>
      </c>
      <c r="AM1123" s="2" t="n">
        <f aca="false">ROUND(Z1123-AF1123,9)</f>
        <v>0.125</v>
      </c>
      <c r="AN1123" s="2" t="n">
        <f aca="false">ROUND(AA1123-AG1123,9)</f>
        <v>0.75</v>
      </c>
      <c r="AO1123" s="2" t="n">
        <f aca="false">ROUND(AB1123-AH1123,9)</f>
        <v>0.84375</v>
      </c>
      <c r="AP1123" s="2" t="n">
        <f aca="false">ROUND(AC1123-AI1123,9)</f>
        <v>0.953125</v>
      </c>
      <c r="AQ1123" s="2" t="n">
        <f aca="false">ROUND(AD1123-AJ1123,9)</f>
        <v>0.125</v>
      </c>
    </row>
    <row r="1124" customFormat="false" ht="15" hidden="false" customHeight="false" outlineLevel="0" collapsed="false">
      <c r="A1124" s="2" t="n">
        <v>1123</v>
      </c>
      <c r="B1124" s="6" t="n">
        <v>32</v>
      </c>
      <c r="C1124" s="6" t="n">
        <v>39</v>
      </c>
      <c r="D1124" s="8" t="str">
        <f aca="false">INDEX(Bases!$B$2:$B$53,B1124)</f>
        <v>Spoink</v>
      </c>
      <c r="E1124" s="8" t="str">
        <f aca="false">INDEX(Bases!$B$2:$B$53,C1124)</f>
        <v>Nosepass</v>
      </c>
      <c r="F1124" s="2" t="str">
        <f aca="false">LEFT(D1124,ROUNDUP(LEN(D1124)/2,0))&amp;LOWER(MID(E1124,ROUNDUP(LEN(E1124)/2,0)+1,20))</f>
        <v>Spopass</v>
      </c>
      <c r="G1124" s="8" t="str">
        <f aca="false">INDEX(Bases!$C$2:$C$53,B1124)</f>
        <v>Psychic</v>
      </c>
      <c r="H1124" s="8" t="str">
        <f aca="false">IF(INDEX(Bases!$C$2:$C$53,C1124)=G1124,"",INDEX(Bases!$C$2:$C$53,C1124))</f>
        <v>Rock</v>
      </c>
      <c r="I1124" s="8" t="str">
        <f aca="false">IF(INDEX(Bases!$E$2:$E$53,B1124)="","",INDEX(Bases!$E$2:$E$53,B1124))</f>
        <v/>
      </c>
      <c r="J1124" s="8" t="str">
        <f aca="false">IF(INDEX(Bases!$E$2:$E$53,C1124)="","",INDEX(Bases!$E$2:$E$53,C1124))</f>
        <v/>
      </c>
      <c r="K1124" s="5"/>
      <c r="L1124" s="2" t="n">
        <f aca="false">AE1124+IF(SUMPRODUCT(--($AL1124:$AQ1124&gt;AL1124))&lt;$AK1124,1,0)</f>
        <v>67</v>
      </c>
      <c r="M1124" s="2" t="n">
        <f aca="false">AF1124+IF(SUMPRODUCT(--($AL1124:$AQ1124&gt;AM1124))+SUMPRODUCT(--($AL1124:AL1124=AM1124))&lt;$AK1124,1,0)</f>
        <v>48</v>
      </c>
      <c r="N1124" s="2" t="n">
        <f aca="false">AG1124+IF(SUMPRODUCT(--($AL1124:$AQ1124&gt;AN1124))+SUMPRODUCT(--($AL1124:AM1124=AN1124))&lt;$AK1124,1,0)</f>
        <v>125</v>
      </c>
      <c r="O1124" s="2" t="n">
        <f aca="false">AH1124+IF(SUMPRODUCT(--($AL1124:$AQ1124&gt;AO1124))+SUMPRODUCT(--($AL1124:AN1124=AO1124))&lt;$AK1124,1,0)</f>
        <v>83</v>
      </c>
      <c r="P1124" s="2" t="n">
        <f aca="false">AI1124+IF(SUMPRODUCT(--($AL1124:$AQ1124&gt;AP1124))+SUMPRODUCT(--($AL1124:AO1124=AP1124))&lt;$AK1124,1,0)</f>
        <v>110</v>
      </c>
      <c r="Q1124" s="2" t="n">
        <f aca="false">AJ1124+IF(SUMPRODUCT(--($AL1124:$AQ1124&gt;AQ1124))+SUMPRODUCT(--($AL1124:AP1124=AQ1124))&lt;$AK1124,1,0)</f>
        <v>67</v>
      </c>
      <c r="R1124" s="2" t="n">
        <f aca="false">SUM(L1124:Q1124)</f>
        <v>500</v>
      </c>
      <c r="S1124" s="2" t="n">
        <f aca="false">Settings!$B$4*MAX(INDEX(Bases!$M$2:$M$53,B1124),INDEX(Bases!$M$2:$M$53,C1124))+Settings!$B$5*MIN(INDEX(Bases!$M$2:$M$53,B1124),INDEX(Bases!$M$2:$M$53,C1124))</f>
        <v>59.3333333333333</v>
      </c>
      <c r="T1124" s="2" t="n">
        <f aca="false">Settings!$B$4*MAX(INDEX(Bases!$N$2:$N$53,B1124),INDEX(Bases!$N$2:$N$53,C1124))+Settings!$B$5*MIN(INDEX(Bases!$N$2:$N$53,B1124),INDEX(Bases!$N$2:$N$53,C1124))</f>
        <v>42</v>
      </c>
      <c r="U1124" s="2" t="n">
        <f aca="false">Settings!$B$4*MAX(INDEX(Bases!$O$2:$O$53,B1124),INDEX(Bases!$O$2:$O$53,C1124))+Settings!$B$5*MIN(INDEX(Bases!$O$2:$O$53,B1124),INDEX(Bases!$O$2:$O$53,C1124))</f>
        <v>110</v>
      </c>
      <c r="V1124" s="2" t="n">
        <f aca="false">Settings!$B$4*MAX(INDEX(Bases!$P$2:$P$53,B1124),INDEX(Bases!$P$2:$P$53,C1124))+Settings!$B$5*MIN(INDEX(Bases!$P$2:$P$53,B1124),INDEX(Bases!$P$2:$P$53,C1124))</f>
        <v>72.6666666666667</v>
      </c>
      <c r="W1124" s="2" t="n">
        <f aca="false">Settings!$B$4*MAX(INDEX(Bases!$Q$2:$Q$53,B1124),INDEX(Bases!$Q$2:$Q$53,C1124))+Settings!$B$5*MIN(INDEX(Bases!$Q$2:$Q$53,B1124),INDEX(Bases!$Q$2:$Q$53,C1124))</f>
        <v>96.6666666666667</v>
      </c>
      <c r="X1124" s="2" t="n">
        <f aca="false">Settings!$B$4*MAX(INDEX(Bases!$R$2:$R$53,B1124),INDEX(Bases!$R$2:$R$53,C1124))+Settings!$B$5*MIN(INDEX(Bases!$R$2:$R$53,B1124),INDEX(Bases!$R$2:$R$53,C1124))</f>
        <v>59.3333333333333</v>
      </c>
      <c r="Y1124" s="2" t="n">
        <f aca="false">S1124*Settings!$B$3/SUM(S1124:X1124)</f>
        <v>67.4242424242424</v>
      </c>
      <c r="Z1124" s="2" t="n">
        <f aca="false">T1124*Settings!$B$3/SUM(S1124:X1124)</f>
        <v>47.7272727272727</v>
      </c>
      <c r="AA1124" s="2" t="n">
        <f aca="false">U1124*Settings!$B$3/SUM(S1124:X1124)</f>
        <v>125</v>
      </c>
      <c r="AB1124" s="2" t="n">
        <f aca="false">V1124*Settings!$B$3/SUM(S1124:X1124)</f>
        <v>82.5757575757576</v>
      </c>
      <c r="AC1124" s="2" t="n">
        <f aca="false">W1124*Settings!$B$3/SUM(S1124:X1124)</f>
        <v>109.848484848485</v>
      </c>
      <c r="AD1124" s="2" t="n">
        <f aca="false">X1124*Settings!$B$3/SUM(S1124:X1124)</f>
        <v>67.4242424242424</v>
      </c>
      <c r="AE1124" s="2" t="n">
        <f aca="false">INT(Y1124)</f>
        <v>67</v>
      </c>
      <c r="AF1124" s="2" t="n">
        <f aca="false">INT(Z1124)</f>
        <v>47</v>
      </c>
      <c r="AG1124" s="2" t="n">
        <f aca="false">INT(AA1124)</f>
        <v>125</v>
      </c>
      <c r="AH1124" s="2" t="n">
        <f aca="false">INT(AB1124)</f>
        <v>82</v>
      </c>
      <c r="AI1124" s="2" t="n">
        <f aca="false">INT(AC1124)</f>
        <v>109</v>
      </c>
      <c r="AJ1124" s="2" t="n">
        <f aca="false">INT(AD1124)</f>
        <v>67</v>
      </c>
      <c r="AK1124" s="2" t="n">
        <f aca="false">Settings!$B$3-SUM(AE1124:AJ1124)</f>
        <v>3</v>
      </c>
      <c r="AL1124" s="2" t="n">
        <f aca="false">ROUND(Y1124-AE1124,9)</f>
        <v>0.424242424</v>
      </c>
      <c r="AM1124" s="2" t="n">
        <f aca="false">ROUND(Z1124-AF1124,9)</f>
        <v>0.727272727</v>
      </c>
      <c r="AN1124" s="2" t="n">
        <f aca="false">ROUND(AA1124-AG1124,9)</f>
        <v>0</v>
      </c>
      <c r="AO1124" s="2" t="n">
        <f aca="false">ROUND(AB1124-AH1124,9)</f>
        <v>0.575757576</v>
      </c>
      <c r="AP1124" s="2" t="n">
        <f aca="false">ROUND(AC1124-AI1124,9)</f>
        <v>0.848484848</v>
      </c>
      <c r="AQ1124" s="2" t="n">
        <f aca="false">ROUND(AD1124-AJ1124,9)</f>
        <v>0.424242424</v>
      </c>
    </row>
    <row r="1125" customFormat="false" ht="15" hidden="false" customHeight="false" outlineLevel="0" collapsed="false">
      <c r="A1125" s="2" t="n">
        <v>1124</v>
      </c>
      <c r="B1125" s="6" t="n">
        <v>32</v>
      </c>
      <c r="C1125" s="6" t="n">
        <v>40</v>
      </c>
      <c r="D1125" s="8" t="str">
        <f aca="false">INDEX(Bases!$B$2:$B$53,B1125)</f>
        <v>Spoink</v>
      </c>
      <c r="E1125" s="8" t="str">
        <f aca="false">INDEX(Bases!$B$2:$B$53,C1125)</f>
        <v>Gastly</v>
      </c>
      <c r="F1125" s="2" t="str">
        <f aca="false">LEFT(D1125,ROUNDUP(LEN(D1125)/2,0))&amp;LOWER(MID(E1125,ROUNDUP(LEN(E1125)/2,0)+1,20))</f>
        <v>Spotly</v>
      </c>
      <c r="G1125" s="8" t="str">
        <f aca="false">INDEX(Bases!$C$2:$C$53,B1125)</f>
        <v>Psychic</v>
      </c>
      <c r="H1125" s="8" t="str">
        <f aca="false">IF(INDEX(Bases!$C$2:$C$53,C1125)=G1125,"",INDEX(Bases!$C$2:$C$53,C1125))</f>
        <v>Ghost</v>
      </c>
      <c r="I1125" s="8" t="str">
        <f aca="false">IF(INDEX(Bases!$E$2:$E$53,B1125)="","",INDEX(Bases!$E$2:$E$53,B1125))</f>
        <v/>
      </c>
      <c r="J1125" s="8" t="str">
        <f aca="false">IF(INDEX(Bases!$E$2:$E$53,C1125)="","",INDEX(Bases!$E$2:$E$53,C1125))</f>
        <v/>
      </c>
      <c r="K1125" s="5"/>
      <c r="L1125" s="2" t="n">
        <f aca="false">AE1125+IF(SUMPRODUCT(--($AL1125:$AQ1125&gt;AL1125))&lt;$AK1125,1,0)</f>
        <v>72</v>
      </c>
      <c r="M1125" s="2" t="n">
        <f aca="false">AF1125+IF(SUMPRODUCT(--($AL1125:$AQ1125&gt;AM1125))+SUMPRODUCT(--($AL1125:AL1125=AM1125))&lt;$AK1125,1,0)</f>
        <v>46</v>
      </c>
      <c r="N1125" s="2" t="n">
        <f aca="false">AG1125+IF(SUMPRODUCT(--($AL1125:$AQ1125&gt;AN1125))+SUMPRODUCT(--($AL1125:AM1125=AN1125))&lt;$AK1125,1,0)</f>
        <v>48</v>
      </c>
      <c r="O1125" s="2" t="n">
        <f aca="false">AH1125+IF(SUMPRODUCT(--($AL1125:$AQ1125&gt;AO1125))+SUMPRODUCT(--($AL1125:AN1125=AO1125))&lt;$AK1125,1,0)</f>
        <v>133</v>
      </c>
      <c r="P1125" s="2" t="n">
        <f aca="false">AI1125+IF(SUMPRODUCT(--($AL1125:$AQ1125&gt;AP1125))+SUMPRODUCT(--($AL1125:AO1125=AP1125))&lt;$AK1125,1,0)</f>
        <v>93</v>
      </c>
      <c r="Q1125" s="2" t="n">
        <f aca="false">AJ1125+IF(SUMPRODUCT(--($AL1125:$AQ1125&gt;AQ1125))+SUMPRODUCT(--($AL1125:AP1125=AQ1125))&lt;$AK1125,1,0)</f>
        <v>108</v>
      </c>
      <c r="R1125" s="2" t="n">
        <f aca="false">SUM(L1125:Q1125)</f>
        <v>500</v>
      </c>
      <c r="S1125" s="2" t="n">
        <f aca="false">Settings!$B$4*MAX(INDEX(Bases!$M$2:$M$53,B1125),INDEX(Bases!$M$2:$M$53,C1125))+Settings!$B$5*MIN(INDEX(Bases!$M$2:$M$53,B1125),INDEX(Bases!$M$2:$M$53,C1125))</f>
        <v>61.6666666666667</v>
      </c>
      <c r="T1125" s="2" t="n">
        <f aca="false">Settings!$B$4*MAX(INDEX(Bases!$N$2:$N$53,B1125),INDEX(Bases!$N$2:$N$53,C1125))+Settings!$B$5*MIN(INDEX(Bases!$N$2:$N$53,B1125),INDEX(Bases!$N$2:$N$53,C1125))</f>
        <v>40</v>
      </c>
      <c r="U1125" s="2" t="n">
        <f aca="false">Settings!$B$4*MAX(INDEX(Bases!$O$2:$O$53,B1125),INDEX(Bases!$O$2:$O$53,C1125))+Settings!$B$5*MIN(INDEX(Bases!$O$2:$O$53,B1125),INDEX(Bases!$O$2:$O$53,C1125))</f>
        <v>41</v>
      </c>
      <c r="V1125" s="2" t="n">
        <f aca="false">Settings!$B$4*MAX(INDEX(Bases!$P$2:$P$53,B1125),INDEX(Bases!$P$2:$P$53,C1125))+Settings!$B$5*MIN(INDEX(Bases!$P$2:$P$53,B1125),INDEX(Bases!$P$2:$P$53,C1125))</f>
        <v>114.333333333333</v>
      </c>
      <c r="W1125" s="2" t="n">
        <f aca="false">Settings!$B$4*MAX(INDEX(Bases!$Q$2:$Q$53,B1125),INDEX(Bases!$Q$2:$Q$53,C1125))+Settings!$B$5*MIN(INDEX(Bases!$Q$2:$Q$53,B1125),INDEX(Bases!$Q$2:$Q$53,C1125))</f>
        <v>79.6666666666667</v>
      </c>
      <c r="X1125" s="2" t="n">
        <f aca="false">Settings!$B$4*MAX(INDEX(Bases!$R$2:$R$53,B1125),INDEX(Bases!$R$2:$R$53,C1125))+Settings!$B$5*MIN(INDEX(Bases!$R$2:$R$53,B1125),INDEX(Bases!$R$2:$R$53,C1125))</f>
        <v>93</v>
      </c>
      <c r="Y1125" s="2" t="n">
        <f aca="false">S1125*Settings!$B$3/SUM(S1125:X1125)</f>
        <v>71.7610550814585</v>
      </c>
      <c r="Z1125" s="2" t="n">
        <f aca="false">T1125*Settings!$B$3/SUM(S1125:X1125)</f>
        <v>46.5477114041893</v>
      </c>
      <c r="AA1125" s="2" t="n">
        <f aca="false">U1125*Settings!$B$3/SUM(S1125:X1125)</f>
        <v>47.711404189294</v>
      </c>
      <c r="AB1125" s="2" t="n">
        <f aca="false">V1125*Settings!$B$3/SUM(S1125:X1125)</f>
        <v>133.048875096974</v>
      </c>
      <c r="AC1125" s="2" t="n">
        <f aca="false">W1125*Settings!$B$3/SUM(S1125:X1125)</f>
        <v>92.7075252133437</v>
      </c>
      <c r="AD1125" s="2" t="n">
        <f aca="false">X1125*Settings!$B$3/SUM(S1125:X1125)</f>
        <v>108.22342901474</v>
      </c>
      <c r="AE1125" s="2" t="n">
        <f aca="false">INT(Y1125)</f>
        <v>71</v>
      </c>
      <c r="AF1125" s="2" t="n">
        <f aca="false">INT(Z1125)</f>
        <v>46</v>
      </c>
      <c r="AG1125" s="2" t="n">
        <f aca="false">INT(AA1125)</f>
        <v>47</v>
      </c>
      <c r="AH1125" s="2" t="n">
        <f aca="false">INT(AB1125)</f>
        <v>133</v>
      </c>
      <c r="AI1125" s="2" t="n">
        <f aca="false">INT(AC1125)</f>
        <v>92</v>
      </c>
      <c r="AJ1125" s="2" t="n">
        <f aca="false">INT(AD1125)</f>
        <v>108</v>
      </c>
      <c r="AK1125" s="2" t="n">
        <f aca="false">Settings!$B$3-SUM(AE1125:AJ1125)</f>
        <v>3</v>
      </c>
      <c r="AL1125" s="2" t="n">
        <f aca="false">ROUND(Y1125-AE1125,9)</f>
        <v>0.761055081</v>
      </c>
      <c r="AM1125" s="2" t="n">
        <f aca="false">ROUND(Z1125-AF1125,9)</f>
        <v>0.547711404</v>
      </c>
      <c r="AN1125" s="2" t="n">
        <f aca="false">ROUND(AA1125-AG1125,9)</f>
        <v>0.711404189</v>
      </c>
      <c r="AO1125" s="2" t="n">
        <f aca="false">ROUND(AB1125-AH1125,9)</f>
        <v>0.048875097</v>
      </c>
      <c r="AP1125" s="2" t="n">
        <f aca="false">ROUND(AC1125-AI1125,9)</f>
        <v>0.707525213</v>
      </c>
      <c r="AQ1125" s="2" t="n">
        <f aca="false">ROUND(AD1125-AJ1125,9)</f>
        <v>0.223429015</v>
      </c>
    </row>
    <row r="1126" customFormat="false" ht="15" hidden="false" customHeight="false" outlineLevel="0" collapsed="false">
      <c r="A1126" s="2" t="n">
        <v>1125</v>
      </c>
      <c r="B1126" s="6" t="n">
        <v>32</v>
      </c>
      <c r="C1126" s="6" t="n">
        <v>41</v>
      </c>
      <c r="D1126" s="8" t="str">
        <f aca="false">INDEX(Bases!$B$2:$B$53,B1126)</f>
        <v>Spoink</v>
      </c>
      <c r="E1126" s="8" t="str">
        <f aca="false">INDEX(Bases!$B$2:$B$53,C1126)</f>
        <v>Misdreavus</v>
      </c>
      <c r="F1126" s="2" t="str">
        <f aca="false">LEFT(D1126,ROUNDUP(LEN(D1126)/2,0))&amp;LOWER(MID(E1126,ROUNDUP(LEN(E1126)/2,0)+1,20))</f>
        <v>Spoeavus</v>
      </c>
      <c r="G1126" s="8" t="str">
        <f aca="false">INDEX(Bases!$C$2:$C$53,B1126)</f>
        <v>Psychic</v>
      </c>
      <c r="H1126" s="8" t="str">
        <f aca="false">IF(INDEX(Bases!$C$2:$C$53,C1126)=G1126,"",INDEX(Bases!$C$2:$C$53,C1126))</f>
        <v>Ghost</v>
      </c>
      <c r="I1126" s="8" t="str">
        <f aca="false">IF(INDEX(Bases!$E$2:$E$53,B1126)="","",INDEX(Bases!$E$2:$E$53,B1126))</f>
        <v/>
      </c>
      <c r="J1126" s="8" t="str">
        <f aca="false">IF(INDEX(Bases!$E$2:$E$53,C1126)="","",INDEX(Bases!$E$2:$E$53,C1126))</f>
        <v/>
      </c>
      <c r="K1126" s="5"/>
      <c r="L1126" s="2" t="n">
        <f aca="false">AE1126+IF(SUMPRODUCT(--($AL1126:$AQ1126&gt;AL1126))&lt;$AK1126,1,0)</f>
        <v>81</v>
      </c>
      <c r="M1126" s="2" t="n">
        <f aca="false">AF1126+IF(SUMPRODUCT(--($AL1126:$AQ1126&gt;AM1126))+SUMPRODUCT(--($AL1126:AL1126=AM1126))&lt;$AK1126,1,0)</f>
        <v>56</v>
      </c>
      <c r="N1126" s="2" t="n">
        <f aca="false">AG1126+IF(SUMPRODUCT(--($AL1126:$AQ1126&gt;AN1126))+SUMPRODUCT(--($AL1126:AM1126=AN1126))&lt;$AK1126,1,0)</f>
        <v>61</v>
      </c>
      <c r="O1126" s="2" t="n">
        <f aca="false">AH1126+IF(SUMPRODUCT(--($AL1126:$AQ1126&gt;AO1126))+SUMPRODUCT(--($AL1126:AN1126=AO1126))&lt;$AK1126,1,0)</f>
        <v>100</v>
      </c>
      <c r="P1126" s="2" t="n">
        <f aca="false">AI1126+IF(SUMPRODUCT(--($AL1126:$AQ1126&gt;AP1126))+SUMPRODUCT(--($AL1126:AO1126=AP1126))&lt;$AK1126,1,0)</f>
        <v>110</v>
      </c>
      <c r="Q1126" s="2" t="n">
        <f aca="false">AJ1126+IF(SUMPRODUCT(--($AL1126:$AQ1126&gt;AQ1126))+SUMPRODUCT(--($AL1126:AP1126=AQ1126))&lt;$AK1126,1,0)</f>
        <v>92</v>
      </c>
      <c r="R1126" s="2" t="n">
        <f aca="false">SUM(L1126:Q1126)</f>
        <v>500</v>
      </c>
      <c r="S1126" s="2" t="n">
        <f aca="false">Settings!$B$4*MAX(INDEX(Bases!$M$2:$M$53,B1126),INDEX(Bases!$M$2:$M$53,C1126))+Settings!$B$5*MIN(INDEX(Bases!$M$2:$M$53,B1126),INDEX(Bases!$M$2:$M$53,C1126))</f>
        <v>67.3333333333333</v>
      </c>
      <c r="T1126" s="2" t="n">
        <f aca="false">Settings!$B$4*MAX(INDEX(Bases!$N$2:$N$53,B1126),INDEX(Bases!$N$2:$N$53,C1126))+Settings!$B$5*MIN(INDEX(Bases!$N$2:$N$53,B1126),INDEX(Bases!$N$2:$N$53,C1126))</f>
        <v>46.6666666666667</v>
      </c>
      <c r="U1126" s="2" t="n">
        <f aca="false">Settings!$B$4*MAX(INDEX(Bases!$O$2:$O$53,B1126),INDEX(Bases!$O$2:$O$53,C1126))+Settings!$B$5*MIN(INDEX(Bases!$O$2:$O$53,B1126),INDEX(Bases!$O$2:$O$53,C1126))</f>
        <v>50.6666666666667</v>
      </c>
      <c r="V1126" s="2" t="n">
        <f aca="false">Settings!$B$4*MAX(INDEX(Bases!$P$2:$P$53,B1126),INDEX(Bases!$P$2:$P$53,C1126))+Settings!$B$5*MIN(INDEX(Bases!$P$2:$P$53,B1126),INDEX(Bases!$P$2:$P$53,C1126))</f>
        <v>82.6666666666667</v>
      </c>
      <c r="W1126" s="2" t="n">
        <f aca="false">Settings!$B$4*MAX(INDEX(Bases!$Q$2:$Q$53,B1126),INDEX(Bases!$Q$2:$Q$53,C1126))+Settings!$B$5*MIN(INDEX(Bases!$Q$2:$Q$53,B1126),INDEX(Bases!$Q$2:$Q$53,C1126))</f>
        <v>90.6666666666667</v>
      </c>
      <c r="X1126" s="2" t="n">
        <f aca="false">Settings!$B$4*MAX(INDEX(Bases!$R$2:$R$53,B1126),INDEX(Bases!$R$2:$R$53,C1126))+Settings!$B$5*MIN(INDEX(Bases!$R$2:$R$53,B1126),INDEX(Bases!$R$2:$R$53,C1126))</f>
        <v>76.3333333333333</v>
      </c>
      <c r="Y1126" s="2" t="n">
        <f aca="false">S1126*Settings!$B$3/SUM(S1126:X1126)</f>
        <v>81.255028157683</v>
      </c>
      <c r="Z1126" s="2" t="n">
        <f aca="false">T1126*Settings!$B$3/SUM(S1126:X1126)</f>
        <v>56.3153660498793</v>
      </c>
      <c r="AA1126" s="2" t="n">
        <f aca="false">U1126*Settings!$B$3/SUM(S1126:X1126)</f>
        <v>61.1423974255833</v>
      </c>
      <c r="AB1126" s="2" t="n">
        <f aca="false">V1126*Settings!$B$3/SUM(S1126:X1126)</f>
        <v>99.7586484312148</v>
      </c>
      <c r="AC1126" s="2" t="n">
        <f aca="false">W1126*Settings!$B$3/SUM(S1126:X1126)</f>
        <v>109.412711182623</v>
      </c>
      <c r="AD1126" s="2" t="n">
        <f aca="false">X1126*Settings!$B$3/SUM(S1126:X1126)</f>
        <v>92.1158487530169</v>
      </c>
      <c r="AE1126" s="2" t="n">
        <f aca="false">INT(Y1126)</f>
        <v>81</v>
      </c>
      <c r="AF1126" s="2" t="n">
        <f aca="false">INT(Z1126)</f>
        <v>56</v>
      </c>
      <c r="AG1126" s="2" t="n">
        <f aca="false">INT(AA1126)</f>
        <v>61</v>
      </c>
      <c r="AH1126" s="2" t="n">
        <f aca="false">INT(AB1126)</f>
        <v>99</v>
      </c>
      <c r="AI1126" s="2" t="n">
        <f aca="false">INT(AC1126)</f>
        <v>109</v>
      </c>
      <c r="AJ1126" s="2" t="n">
        <f aca="false">INT(AD1126)</f>
        <v>92</v>
      </c>
      <c r="AK1126" s="2" t="n">
        <f aca="false">Settings!$B$3-SUM(AE1126:AJ1126)</f>
        <v>2</v>
      </c>
      <c r="AL1126" s="2" t="n">
        <f aca="false">ROUND(Y1126-AE1126,9)</f>
        <v>0.255028158</v>
      </c>
      <c r="AM1126" s="2" t="n">
        <f aca="false">ROUND(Z1126-AF1126,9)</f>
        <v>0.31536605</v>
      </c>
      <c r="AN1126" s="2" t="n">
        <f aca="false">ROUND(AA1126-AG1126,9)</f>
        <v>0.142397426</v>
      </c>
      <c r="AO1126" s="2" t="n">
        <f aca="false">ROUND(AB1126-AH1126,9)</f>
        <v>0.758648431</v>
      </c>
      <c r="AP1126" s="2" t="n">
        <f aca="false">ROUND(AC1126-AI1126,9)</f>
        <v>0.412711183</v>
      </c>
      <c r="AQ1126" s="2" t="n">
        <f aca="false">ROUND(AD1126-AJ1126,9)</f>
        <v>0.115848753</v>
      </c>
    </row>
    <row r="1127" customFormat="false" ht="15" hidden="false" customHeight="false" outlineLevel="0" collapsed="false">
      <c r="A1127" s="2" t="n">
        <v>1126</v>
      </c>
      <c r="B1127" s="6" t="n">
        <v>32</v>
      </c>
      <c r="C1127" s="6" t="n">
        <v>42</v>
      </c>
      <c r="D1127" s="8" t="str">
        <f aca="false">INDEX(Bases!$B$2:$B$53,B1127)</f>
        <v>Spoink</v>
      </c>
      <c r="E1127" s="8" t="str">
        <f aca="false">INDEX(Bases!$B$2:$B$53,C1127)</f>
        <v>Sableye</v>
      </c>
      <c r="F1127" s="2" t="str">
        <f aca="false">LEFT(D1127,ROUNDUP(LEN(D1127)/2,0))&amp;LOWER(MID(E1127,ROUNDUP(LEN(E1127)/2,0)+1,20))</f>
        <v>Spoeye</v>
      </c>
      <c r="G1127" s="8" t="str">
        <f aca="false">INDEX(Bases!$C$2:$C$53,B1127)</f>
        <v>Psychic</v>
      </c>
      <c r="H1127" s="8" t="str">
        <f aca="false">IF(INDEX(Bases!$C$2:$C$53,C1127)=G1127,"",INDEX(Bases!$C$2:$C$53,C1127))</f>
        <v>Ghost</v>
      </c>
      <c r="I1127" s="8" t="str">
        <f aca="false">IF(INDEX(Bases!$E$2:$E$53,B1127)="","",INDEX(Bases!$E$2:$E$53,B1127))</f>
        <v/>
      </c>
      <c r="J1127" s="8" t="str">
        <f aca="false">IF(INDEX(Bases!$E$2:$E$53,C1127)="","",INDEX(Bases!$E$2:$E$53,C1127))</f>
        <v/>
      </c>
      <c r="K1127" s="5"/>
      <c r="L1127" s="2" t="n">
        <f aca="false">AE1127+IF(SUMPRODUCT(--($AL1127:$AQ1127&gt;AL1127))&lt;$AK1127,1,0)</f>
        <v>77</v>
      </c>
      <c r="M1127" s="2" t="n">
        <f aca="false">AF1127+IF(SUMPRODUCT(--($AL1127:$AQ1127&gt;AM1127))+SUMPRODUCT(--($AL1127:AL1127=AM1127))&lt;$AK1127,1,0)</f>
        <v>73</v>
      </c>
      <c r="N1127" s="2" t="n">
        <f aca="false">AG1127+IF(SUMPRODUCT(--($AL1127:$AQ1127&gt;AN1127))+SUMPRODUCT(--($AL1127:AM1127=AN1127))&lt;$AK1127,1,0)</f>
        <v>78</v>
      </c>
      <c r="O1127" s="2" t="n">
        <f aca="false">AH1127+IF(SUMPRODUCT(--($AL1127:$AQ1127&gt;AO1127))+SUMPRODUCT(--($AL1127:AN1127=AO1127))&lt;$AK1127,1,0)</f>
        <v>93</v>
      </c>
      <c r="P1127" s="2" t="n">
        <f aca="false">AI1127+IF(SUMPRODUCT(--($AL1127:$AQ1127&gt;AP1127))+SUMPRODUCT(--($AL1127:AO1127=AP1127))&lt;$AK1127,1,0)</f>
        <v>102</v>
      </c>
      <c r="Q1127" s="2" t="n">
        <f aca="false">AJ1127+IF(SUMPRODUCT(--($AL1127:$AQ1127&gt;AQ1127))+SUMPRODUCT(--($AL1127:AP1127=AQ1127))&lt;$AK1127,1,0)</f>
        <v>77</v>
      </c>
      <c r="R1127" s="2" t="n">
        <f aca="false">SUM(L1127:Q1127)</f>
        <v>500</v>
      </c>
      <c r="S1127" s="2" t="n">
        <f aca="false">Settings!$B$4*MAX(INDEX(Bases!$M$2:$M$53,B1127),INDEX(Bases!$M$2:$M$53,C1127))+Settings!$B$5*MIN(INDEX(Bases!$M$2:$M$53,B1127),INDEX(Bases!$M$2:$M$53,C1127))</f>
        <v>66.3333333333333</v>
      </c>
      <c r="T1127" s="2" t="n">
        <f aca="false">Settings!$B$4*MAX(INDEX(Bases!$N$2:$N$53,B1127),INDEX(Bases!$N$2:$N$53,C1127))+Settings!$B$5*MIN(INDEX(Bases!$N$2:$N$53,B1127),INDEX(Bases!$N$2:$N$53,C1127))</f>
        <v>62.6666666666667</v>
      </c>
      <c r="U1127" s="2" t="n">
        <f aca="false">Settings!$B$4*MAX(INDEX(Bases!$O$2:$O$53,B1127),INDEX(Bases!$O$2:$O$53,C1127))+Settings!$B$5*MIN(INDEX(Bases!$O$2:$O$53,B1127),INDEX(Bases!$O$2:$O$53,C1127))</f>
        <v>66.6666666666667</v>
      </c>
      <c r="V1127" s="2" t="n">
        <f aca="false">Settings!$B$4*MAX(INDEX(Bases!$P$2:$P$53,B1127),INDEX(Bases!$P$2:$P$53,C1127))+Settings!$B$5*MIN(INDEX(Bases!$P$2:$P$53,B1127),INDEX(Bases!$P$2:$P$53,C1127))</f>
        <v>79.3333333333333</v>
      </c>
      <c r="W1127" s="2" t="n">
        <f aca="false">Settings!$B$4*MAX(INDEX(Bases!$Q$2:$Q$53,B1127),INDEX(Bases!$Q$2:$Q$53,C1127))+Settings!$B$5*MIN(INDEX(Bases!$Q$2:$Q$53,B1127),INDEX(Bases!$Q$2:$Q$53,C1127))</f>
        <v>87.3333333333333</v>
      </c>
      <c r="X1127" s="2" t="n">
        <f aca="false">Settings!$B$4*MAX(INDEX(Bases!$R$2:$R$53,B1127),INDEX(Bases!$R$2:$R$53,C1127))+Settings!$B$5*MIN(INDEX(Bases!$R$2:$R$53,B1127),INDEX(Bases!$R$2:$R$53,C1127))</f>
        <v>66.3333333333333</v>
      </c>
      <c r="Y1127" s="2" t="n">
        <f aca="false">S1127*Settings!$B$3/SUM(S1127:X1127)</f>
        <v>77.3716951788492</v>
      </c>
      <c r="Z1127" s="2" t="n">
        <f aca="false">T1127*Settings!$B$3/SUM(S1127:X1127)</f>
        <v>73.094867807154</v>
      </c>
      <c r="AA1127" s="2" t="n">
        <f aca="false">U1127*Settings!$B$3/SUM(S1127:X1127)</f>
        <v>77.7604976671851</v>
      </c>
      <c r="AB1127" s="2" t="n">
        <f aca="false">V1127*Settings!$B$3/SUM(S1127:X1127)</f>
        <v>92.5349922239502</v>
      </c>
      <c r="AC1127" s="2" t="n">
        <f aca="false">W1127*Settings!$B$3/SUM(S1127:X1127)</f>
        <v>101.866251944012</v>
      </c>
      <c r="AD1127" s="2" t="n">
        <f aca="false">X1127*Settings!$B$3/SUM(S1127:X1127)</f>
        <v>77.3716951788492</v>
      </c>
      <c r="AE1127" s="2" t="n">
        <f aca="false">INT(Y1127)</f>
        <v>77</v>
      </c>
      <c r="AF1127" s="2" t="n">
        <f aca="false">INT(Z1127)</f>
        <v>73</v>
      </c>
      <c r="AG1127" s="2" t="n">
        <f aca="false">INT(AA1127)</f>
        <v>77</v>
      </c>
      <c r="AH1127" s="2" t="n">
        <f aca="false">INT(AB1127)</f>
        <v>92</v>
      </c>
      <c r="AI1127" s="2" t="n">
        <f aca="false">INT(AC1127)</f>
        <v>101</v>
      </c>
      <c r="AJ1127" s="2" t="n">
        <f aca="false">INT(AD1127)</f>
        <v>77</v>
      </c>
      <c r="AK1127" s="2" t="n">
        <f aca="false">Settings!$B$3-SUM(AE1127:AJ1127)</f>
        <v>3</v>
      </c>
      <c r="AL1127" s="2" t="n">
        <f aca="false">ROUND(Y1127-AE1127,9)</f>
        <v>0.371695179</v>
      </c>
      <c r="AM1127" s="2" t="n">
        <f aca="false">ROUND(Z1127-AF1127,9)</f>
        <v>0.094867807</v>
      </c>
      <c r="AN1127" s="2" t="n">
        <f aca="false">ROUND(AA1127-AG1127,9)</f>
        <v>0.760497667</v>
      </c>
      <c r="AO1127" s="2" t="n">
        <f aca="false">ROUND(AB1127-AH1127,9)</f>
        <v>0.534992224</v>
      </c>
      <c r="AP1127" s="2" t="n">
        <f aca="false">ROUND(AC1127-AI1127,9)</f>
        <v>0.866251944</v>
      </c>
      <c r="AQ1127" s="2" t="n">
        <f aca="false">ROUND(AD1127-AJ1127,9)</f>
        <v>0.371695179</v>
      </c>
    </row>
    <row r="1128" customFormat="false" ht="15" hidden="false" customHeight="false" outlineLevel="0" collapsed="false">
      <c r="A1128" s="2" t="n">
        <v>1127</v>
      </c>
      <c r="B1128" s="6" t="n">
        <v>32</v>
      </c>
      <c r="C1128" s="6" t="n">
        <v>43</v>
      </c>
      <c r="D1128" s="8" t="str">
        <f aca="false">INDEX(Bases!$B$2:$B$53,B1128)</f>
        <v>Spoink</v>
      </c>
      <c r="E1128" s="8" t="str">
        <f aca="false">INDEX(Bases!$B$2:$B$53,C1128)</f>
        <v>Dratini</v>
      </c>
      <c r="F1128" s="2" t="str">
        <f aca="false">LEFT(D1128,ROUNDUP(LEN(D1128)/2,0))&amp;LOWER(MID(E1128,ROUNDUP(LEN(E1128)/2,0)+1,20))</f>
        <v>Spoini</v>
      </c>
      <c r="G1128" s="8" t="str">
        <f aca="false">INDEX(Bases!$C$2:$C$53,B1128)</f>
        <v>Psychic</v>
      </c>
      <c r="H1128" s="8" t="str">
        <f aca="false">IF(INDEX(Bases!$C$2:$C$53,C1128)=G1128,"",INDEX(Bases!$C$2:$C$53,C1128))</f>
        <v>Dragon</v>
      </c>
      <c r="I1128" s="8" t="str">
        <f aca="false">IF(INDEX(Bases!$E$2:$E$53,B1128)="","",INDEX(Bases!$E$2:$E$53,B1128))</f>
        <v/>
      </c>
      <c r="J1128" s="8" t="str">
        <f aca="false">IF(INDEX(Bases!$E$2:$E$53,C1128)="","",INDEX(Bases!$E$2:$E$53,C1128))</f>
        <v/>
      </c>
      <c r="K1128" s="5"/>
      <c r="L1128" s="2" t="n">
        <f aca="false">AE1128+IF(SUMPRODUCT(--($AL1128:$AQ1128&gt;AL1128))&lt;$AK1128,1,0)</f>
        <v>79</v>
      </c>
      <c r="M1128" s="2" t="n">
        <f aca="false">AF1128+IF(SUMPRODUCT(--($AL1128:$AQ1128&gt;AM1128))+SUMPRODUCT(--($AL1128:AL1128=AM1128))&lt;$AK1128,1,0)</f>
        <v>79</v>
      </c>
      <c r="N1128" s="2" t="n">
        <f aca="false">AG1128+IF(SUMPRODUCT(--($AL1128:$AQ1128&gt;AN1128))+SUMPRODUCT(--($AL1128:AM1128=AN1128))&lt;$AK1128,1,0)</f>
        <v>64</v>
      </c>
      <c r="O1128" s="2" t="n">
        <f aca="false">AH1128+IF(SUMPRODUCT(--($AL1128:$AQ1128&gt;AO1128))+SUMPRODUCT(--($AL1128:AN1128=AO1128))&lt;$AK1128,1,0)</f>
        <v>93</v>
      </c>
      <c r="P1128" s="2" t="n">
        <f aca="false">AI1128+IF(SUMPRODUCT(--($AL1128:$AQ1128&gt;AP1128))+SUMPRODUCT(--($AL1128:AO1128=AP1128))&lt;$AK1128,1,0)</f>
        <v>102</v>
      </c>
      <c r="Q1128" s="2" t="n">
        <f aca="false">AJ1128+IF(SUMPRODUCT(--($AL1128:$AQ1128&gt;AQ1128))+SUMPRODUCT(--($AL1128:AP1128=AQ1128))&lt;$AK1128,1,0)</f>
        <v>83</v>
      </c>
      <c r="R1128" s="2" t="n">
        <f aca="false">SUM(L1128:Q1128)</f>
        <v>500</v>
      </c>
      <c r="S1128" s="2" t="n">
        <f aca="false">Settings!$B$4*MAX(INDEX(Bases!$M$2:$M$53,B1128),INDEX(Bases!$M$2:$M$53,C1128))+Settings!$B$5*MIN(INDEX(Bases!$M$2:$M$53,B1128),INDEX(Bases!$M$2:$M$53,C1128))</f>
        <v>67</v>
      </c>
      <c r="T1128" s="2" t="n">
        <f aca="false">Settings!$B$4*MAX(INDEX(Bases!$N$2:$N$53,B1128),INDEX(Bases!$N$2:$N$53,C1128))+Settings!$B$5*MIN(INDEX(Bases!$N$2:$N$53,B1128),INDEX(Bases!$N$2:$N$53,C1128))</f>
        <v>66.6666666666667</v>
      </c>
      <c r="U1128" s="2" t="n">
        <f aca="false">Settings!$B$4*MAX(INDEX(Bases!$O$2:$O$53,B1128),INDEX(Bases!$O$2:$O$53,C1128))+Settings!$B$5*MIN(INDEX(Bases!$O$2:$O$53,B1128),INDEX(Bases!$O$2:$O$53,C1128))</f>
        <v>54</v>
      </c>
      <c r="V1128" s="2" t="n">
        <f aca="false">Settings!$B$4*MAX(INDEX(Bases!$P$2:$P$53,B1128),INDEX(Bases!$P$2:$P$53,C1128))+Settings!$B$5*MIN(INDEX(Bases!$P$2:$P$53,B1128),INDEX(Bases!$P$2:$P$53,C1128))</f>
        <v>79</v>
      </c>
      <c r="W1128" s="2" t="n">
        <f aca="false">Settings!$B$4*MAX(INDEX(Bases!$Q$2:$Q$53,B1128),INDEX(Bases!$Q$2:$Q$53,C1128))+Settings!$B$5*MIN(INDEX(Bases!$Q$2:$Q$53,B1128),INDEX(Bases!$Q$2:$Q$53,C1128))</f>
        <v>87</v>
      </c>
      <c r="X1128" s="2" t="n">
        <f aca="false">Settings!$B$4*MAX(INDEX(Bases!$R$2:$R$53,B1128),INDEX(Bases!$R$2:$R$53,C1128))+Settings!$B$5*MIN(INDEX(Bases!$R$2:$R$53,B1128),INDEX(Bases!$R$2:$R$53,C1128))</f>
        <v>70.6666666666667</v>
      </c>
      <c r="Y1128" s="2" t="n">
        <f aca="false">S1128*Settings!$B$3/SUM(S1128:X1128)</f>
        <v>78.9473684210526</v>
      </c>
      <c r="Z1128" s="2" t="n">
        <f aca="false">T1128*Settings!$B$3/SUM(S1128:X1128)</f>
        <v>78.5545954438335</v>
      </c>
      <c r="AA1128" s="2" t="n">
        <f aca="false">U1128*Settings!$B$3/SUM(S1128:X1128)</f>
        <v>63.6292223095051</v>
      </c>
      <c r="AB1128" s="2" t="n">
        <f aca="false">V1128*Settings!$B$3/SUM(S1128:X1128)</f>
        <v>93.0871956009427</v>
      </c>
      <c r="AC1128" s="2" t="n">
        <f aca="false">W1128*Settings!$B$3/SUM(S1128:X1128)</f>
        <v>102.513747054203</v>
      </c>
      <c r="AD1128" s="2" t="n">
        <f aca="false">X1128*Settings!$B$3/SUM(S1128:X1128)</f>
        <v>83.2678711704635</v>
      </c>
      <c r="AE1128" s="2" t="n">
        <f aca="false">INT(Y1128)</f>
        <v>78</v>
      </c>
      <c r="AF1128" s="2" t="n">
        <f aca="false">INT(Z1128)</f>
        <v>78</v>
      </c>
      <c r="AG1128" s="2" t="n">
        <f aca="false">INT(AA1128)</f>
        <v>63</v>
      </c>
      <c r="AH1128" s="2" t="n">
        <f aca="false">INT(AB1128)</f>
        <v>93</v>
      </c>
      <c r="AI1128" s="2" t="n">
        <f aca="false">INT(AC1128)</f>
        <v>102</v>
      </c>
      <c r="AJ1128" s="2" t="n">
        <f aca="false">INT(AD1128)</f>
        <v>83</v>
      </c>
      <c r="AK1128" s="2" t="n">
        <f aca="false">Settings!$B$3-SUM(AE1128:AJ1128)</f>
        <v>3</v>
      </c>
      <c r="AL1128" s="2" t="n">
        <f aca="false">ROUND(Y1128-AE1128,9)</f>
        <v>0.947368421</v>
      </c>
      <c r="AM1128" s="2" t="n">
        <f aca="false">ROUND(Z1128-AF1128,9)</f>
        <v>0.554595444</v>
      </c>
      <c r="AN1128" s="2" t="n">
        <f aca="false">ROUND(AA1128-AG1128,9)</f>
        <v>0.62922231</v>
      </c>
      <c r="AO1128" s="2" t="n">
        <f aca="false">ROUND(AB1128-AH1128,9)</f>
        <v>0.087195601</v>
      </c>
      <c r="AP1128" s="2" t="n">
        <f aca="false">ROUND(AC1128-AI1128,9)</f>
        <v>0.513747054</v>
      </c>
      <c r="AQ1128" s="2" t="n">
        <f aca="false">ROUND(AD1128-AJ1128,9)</f>
        <v>0.26787117</v>
      </c>
    </row>
    <row r="1129" customFormat="false" ht="15" hidden="false" customHeight="false" outlineLevel="0" collapsed="false">
      <c r="A1129" s="2" t="n">
        <v>1128</v>
      </c>
      <c r="B1129" s="6" t="n">
        <v>32</v>
      </c>
      <c r="C1129" s="6" t="n">
        <v>44</v>
      </c>
      <c r="D1129" s="8" t="str">
        <f aca="false">INDEX(Bases!$B$2:$B$53,B1129)</f>
        <v>Spoink</v>
      </c>
      <c r="E1129" s="8" t="str">
        <f aca="false">INDEX(Bases!$B$2:$B$53,C1129)</f>
        <v>Bagon</v>
      </c>
      <c r="F1129" s="2" t="str">
        <f aca="false">LEFT(D1129,ROUNDUP(LEN(D1129)/2,0))&amp;LOWER(MID(E1129,ROUNDUP(LEN(E1129)/2,0)+1,20))</f>
        <v>Spoon</v>
      </c>
      <c r="G1129" s="8" t="str">
        <f aca="false">INDEX(Bases!$C$2:$C$53,B1129)</f>
        <v>Psychic</v>
      </c>
      <c r="H1129" s="8" t="str">
        <f aca="false">IF(INDEX(Bases!$C$2:$C$53,C1129)=G1129,"",INDEX(Bases!$C$2:$C$53,C1129))</f>
        <v>Dragon</v>
      </c>
      <c r="I1129" s="8" t="str">
        <f aca="false">IF(INDEX(Bases!$E$2:$E$53,B1129)="","",INDEX(Bases!$E$2:$E$53,B1129))</f>
        <v/>
      </c>
      <c r="J1129" s="8" t="str">
        <f aca="false">IF(INDEX(Bases!$E$2:$E$53,C1129)="","",INDEX(Bases!$E$2:$E$53,C1129))</f>
        <v/>
      </c>
      <c r="K1129" s="5"/>
      <c r="L1129" s="2" t="n">
        <f aca="false">AE1129+IF(SUMPRODUCT(--($AL1129:$AQ1129&gt;AL1129))&lt;$AK1129,1,0)</f>
        <v>79</v>
      </c>
      <c r="M1129" s="2" t="n">
        <f aca="false">AF1129+IF(SUMPRODUCT(--($AL1129:$AQ1129&gt;AM1129))+SUMPRODUCT(--($AL1129:AL1129=AM1129))&lt;$AK1129,1,0)</f>
        <v>88</v>
      </c>
      <c r="N1129" s="2" t="n">
        <f aca="false">AG1129+IF(SUMPRODUCT(--($AL1129:$AQ1129&gt;AN1129))+SUMPRODUCT(--($AL1129:AM1129=AN1129))&lt;$AK1129,1,0)</f>
        <v>77</v>
      </c>
      <c r="O1129" s="2" t="n">
        <f aca="false">AH1129+IF(SUMPRODUCT(--($AL1129:$AQ1129&gt;AO1129))+SUMPRODUCT(--($AL1129:AN1129=AO1129))&lt;$AK1129,1,0)</f>
        <v>85</v>
      </c>
      <c r="P1129" s="2" t="n">
        <f aca="false">AI1129+IF(SUMPRODUCT(--($AL1129:$AQ1129&gt;AP1129))+SUMPRODUCT(--($AL1129:AO1129=AP1129))&lt;$AK1129,1,0)</f>
        <v>90</v>
      </c>
      <c r="Q1129" s="2" t="n">
        <f aca="false">AJ1129+IF(SUMPRODUCT(--($AL1129:$AQ1129&gt;AQ1129))+SUMPRODUCT(--($AL1129:AP1129=AQ1129))&lt;$AK1129,1,0)</f>
        <v>81</v>
      </c>
      <c r="R1129" s="2" t="n">
        <f aca="false">SUM(L1129:Q1129)</f>
        <v>500</v>
      </c>
      <c r="S1129" s="2" t="n">
        <f aca="false">Settings!$B$4*MAX(INDEX(Bases!$M$2:$M$53,B1129),INDEX(Bases!$M$2:$M$53,C1129))+Settings!$B$5*MIN(INDEX(Bases!$M$2:$M$53,B1129),INDEX(Bases!$M$2:$M$53,C1129))</f>
        <v>68.6666666666667</v>
      </c>
      <c r="T1129" s="2" t="n">
        <f aca="false">Settings!$B$4*MAX(INDEX(Bases!$N$2:$N$53,B1129),INDEX(Bases!$N$2:$N$53,C1129))+Settings!$B$5*MIN(INDEX(Bases!$N$2:$N$53,B1129),INDEX(Bases!$N$2:$N$53,C1129))</f>
        <v>76.6666666666667</v>
      </c>
      <c r="U1129" s="2" t="n">
        <f aca="false">Settings!$B$4*MAX(INDEX(Bases!$O$2:$O$53,B1129),INDEX(Bases!$O$2:$O$53,C1129))+Settings!$B$5*MIN(INDEX(Bases!$O$2:$O$53,B1129),INDEX(Bases!$O$2:$O$53,C1129))</f>
        <v>67.3333333333333</v>
      </c>
      <c r="V1129" s="2" t="n">
        <f aca="false">Settings!$B$4*MAX(INDEX(Bases!$P$2:$P$53,B1129),INDEX(Bases!$P$2:$P$53,C1129))+Settings!$B$5*MIN(INDEX(Bases!$P$2:$P$53,B1129),INDEX(Bases!$P$2:$P$53,C1129))</f>
        <v>74.3333333333333</v>
      </c>
      <c r="W1129" s="2" t="n">
        <f aca="false">Settings!$B$4*MAX(INDEX(Bases!$Q$2:$Q$53,B1129),INDEX(Bases!$Q$2:$Q$53,C1129))+Settings!$B$5*MIN(INDEX(Bases!$Q$2:$Q$53,B1129),INDEX(Bases!$Q$2:$Q$53,C1129))</f>
        <v>78</v>
      </c>
      <c r="X1129" s="2" t="n">
        <f aca="false">Settings!$B$4*MAX(INDEX(Bases!$R$2:$R$53,B1129),INDEX(Bases!$R$2:$R$53,C1129))+Settings!$B$5*MIN(INDEX(Bases!$R$2:$R$53,B1129),INDEX(Bases!$R$2:$R$53,C1129))</f>
        <v>71</v>
      </c>
      <c r="Y1129" s="2" t="n">
        <f aca="false">S1129*Settings!$B$3/SUM(S1129:X1129)</f>
        <v>78.7461773700306</v>
      </c>
      <c r="Z1129" s="2" t="n">
        <f aca="false">T1129*Settings!$B$3/SUM(S1129:X1129)</f>
        <v>87.9204892966361</v>
      </c>
      <c r="AA1129" s="2" t="n">
        <f aca="false">U1129*Settings!$B$3/SUM(S1129:X1129)</f>
        <v>77.217125382263</v>
      </c>
      <c r="AB1129" s="2" t="n">
        <f aca="false">V1129*Settings!$B$3/SUM(S1129:X1129)</f>
        <v>85.2446483180428</v>
      </c>
      <c r="AC1129" s="2" t="n">
        <f aca="false">W1129*Settings!$B$3/SUM(S1129:X1129)</f>
        <v>89.4495412844037</v>
      </c>
      <c r="AD1129" s="2" t="n">
        <f aca="false">X1129*Settings!$B$3/SUM(S1129:X1129)</f>
        <v>81.4220183486239</v>
      </c>
      <c r="AE1129" s="2" t="n">
        <f aca="false">INT(Y1129)</f>
        <v>78</v>
      </c>
      <c r="AF1129" s="2" t="n">
        <f aca="false">INT(Z1129)</f>
        <v>87</v>
      </c>
      <c r="AG1129" s="2" t="n">
        <f aca="false">INT(AA1129)</f>
        <v>77</v>
      </c>
      <c r="AH1129" s="2" t="n">
        <f aca="false">INT(AB1129)</f>
        <v>85</v>
      </c>
      <c r="AI1129" s="2" t="n">
        <f aca="false">INT(AC1129)</f>
        <v>89</v>
      </c>
      <c r="AJ1129" s="2" t="n">
        <f aca="false">INT(AD1129)</f>
        <v>81</v>
      </c>
      <c r="AK1129" s="2" t="n">
        <f aca="false">Settings!$B$3-SUM(AE1129:AJ1129)</f>
        <v>3</v>
      </c>
      <c r="AL1129" s="2" t="n">
        <f aca="false">ROUND(Y1129-AE1129,9)</f>
        <v>0.74617737</v>
      </c>
      <c r="AM1129" s="2" t="n">
        <f aca="false">ROUND(Z1129-AF1129,9)</f>
        <v>0.920489297</v>
      </c>
      <c r="AN1129" s="2" t="n">
        <f aca="false">ROUND(AA1129-AG1129,9)</f>
        <v>0.217125382</v>
      </c>
      <c r="AO1129" s="2" t="n">
        <f aca="false">ROUND(AB1129-AH1129,9)</f>
        <v>0.244648318</v>
      </c>
      <c r="AP1129" s="2" t="n">
        <f aca="false">ROUND(AC1129-AI1129,9)</f>
        <v>0.449541284</v>
      </c>
      <c r="AQ1129" s="2" t="n">
        <f aca="false">ROUND(AD1129-AJ1129,9)</f>
        <v>0.422018349</v>
      </c>
    </row>
    <row r="1130" customFormat="false" ht="15" hidden="false" customHeight="false" outlineLevel="0" collapsed="false">
      <c r="A1130" s="2" t="n">
        <v>1129</v>
      </c>
      <c r="B1130" s="6" t="n">
        <v>32</v>
      </c>
      <c r="C1130" s="6" t="n">
        <v>45</v>
      </c>
      <c r="D1130" s="8" t="str">
        <f aca="false">INDEX(Bases!$B$2:$B$53,B1130)</f>
        <v>Spoink</v>
      </c>
      <c r="E1130" s="8" t="str">
        <f aca="false">INDEX(Bases!$B$2:$B$53,C1130)</f>
        <v>Sneasel</v>
      </c>
      <c r="F1130" s="2" t="str">
        <f aca="false">LEFT(D1130,ROUNDUP(LEN(D1130)/2,0))&amp;LOWER(MID(E1130,ROUNDUP(LEN(E1130)/2,0)+1,20))</f>
        <v>Sposel</v>
      </c>
      <c r="G1130" s="8" t="str">
        <f aca="false">INDEX(Bases!$C$2:$C$53,B1130)</f>
        <v>Psychic</v>
      </c>
      <c r="H1130" s="8" t="str">
        <f aca="false">IF(INDEX(Bases!$C$2:$C$53,C1130)=G1130,"",INDEX(Bases!$C$2:$C$53,C1130))</f>
        <v>Dark</v>
      </c>
      <c r="I1130" s="8" t="str">
        <f aca="false">IF(INDEX(Bases!$E$2:$E$53,B1130)="","",INDEX(Bases!$E$2:$E$53,B1130))</f>
        <v/>
      </c>
      <c r="J1130" s="8" t="str">
        <f aca="false">IF(INDEX(Bases!$E$2:$E$53,C1130)="","",INDEX(Bases!$E$2:$E$53,C1130))</f>
        <v/>
      </c>
      <c r="K1130" s="5"/>
      <c r="L1130" s="2" t="n">
        <f aca="false">AE1130+IF(SUMPRODUCT(--($AL1130:$AQ1130&gt;AL1130))&lt;$AK1130,1,0)</f>
        <v>76</v>
      </c>
      <c r="M1130" s="2" t="n">
        <f aca="false">AF1130+IF(SUMPRODUCT(--($AL1130:$AQ1130&gt;AM1130))+SUMPRODUCT(--($AL1130:AL1130=AM1130))&lt;$AK1130,1,0)</f>
        <v>79</v>
      </c>
      <c r="N1130" s="2" t="n">
        <f aca="false">AG1130+IF(SUMPRODUCT(--($AL1130:$AQ1130&gt;AN1130))+SUMPRODUCT(--($AL1130:AM1130=AN1130))&lt;$AK1130,1,0)</f>
        <v>55</v>
      </c>
      <c r="O1130" s="2" t="n">
        <f aca="false">AH1130+IF(SUMPRODUCT(--($AL1130:$AQ1130&gt;AO1130))+SUMPRODUCT(--($AL1130:AN1130=AO1130))&lt;$AK1130,1,0)</f>
        <v>78</v>
      </c>
      <c r="P1130" s="2" t="n">
        <f aca="false">AI1130+IF(SUMPRODUCT(--($AL1130:$AQ1130&gt;AP1130))+SUMPRODUCT(--($AL1130:AO1130=AP1130))&lt;$AK1130,1,0)</f>
        <v>102</v>
      </c>
      <c r="Q1130" s="2" t="n">
        <f aca="false">AJ1130+IF(SUMPRODUCT(--($AL1130:$AQ1130&gt;AQ1130))+SUMPRODUCT(--($AL1130:AP1130=AQ1130))&lt;$AK1130,1,0)</f>
        <v>110</v>
      </c>
      <c r="R1130" s="2" t="n">
        <f aca="false">SUM(L1130:Q1130)</f>
        <v>500</v>
      </c>
      <c r="S1130" s="2" t="n">
        <f aca="false">Settings!$B$4*MAX(INDEX(Bases!$M$2:$M$53,B1130),INDEX(Bases!$M$2:$M$53,C1130))+Settings!$B$5*MIN(INDEX(Bases!$M$2:$M$53,B1130),INDEX(Bases!$M$2:$M$53,C1130))</f>
        <v>65.6666666666667</v>
      </c>
      <c r="T1130" s="2" t="n">
        <f aca="false">Settings!$B$4*MAX(INDEX(Bases!$N$2:$N$53,B1130),INDEX(Bases!$N$2:$N$53,C1130))+Settings!$B$5*MIN(INDEX(Bases!$N$2:$N$53,B1130),INDEX(Bases!$N$2:$N$53,C1130))</f>
        <v>68.6666666666667</v>
      </c>
      <c r="U1130" s="2" t="n">
        <f aca="false">Settings!$B$4*MAX(INDEX(Bases!$O$2:$O$53,B1130),INDEX(Bases!$O$2:$O$53,C1130))+Settings!$B$5*MIN(INDEX(Bases!$O$2:$O$53,B1130),INDEX(Bases!$O$2:$O$53,C1130))</f>
        <v>48</v>
      </c>
      <c r="V1130" s="2" t="n">
        <f aca="false">Settings!$B$4*MAX(INDEX(Bases!$P$2:$P$53,B1130),INDEX(Bases!$P$2:$P$53,C1130))+Settings!$B$5*MIN(INDEX(Bases!$P$2:$P$53,B1130),INDEX(Bases!$P$2:$P$53,C1130))</f>
        <v>67.6666666666667</v>
      </c>
      <c r="W1130" s="2" t="n">
        <f aca="false">Settings!$B$4*MAX(INDEX(Bases!$Q$2:$Q$53,B1130),INDEX(Bases!$Q$2:$Q$53,C1130))+Settings!$B$5*MIN(INDEX(Bases!$Q$2:$Q$53,B1130),INDEX(Bases!$Q$2:$Q$53,C1130))</f>
        <v>88</v>
      </c>
      <c r="X1130" s="2" t="n">
        <f aca="false">Settings!$B$4*MAX(INDEX(Bases!$R$2:$R$53,B1130),INDEX(Bases!$R$2:$R$53,C1130))+Settings!$B$5*MIN(INDEX(Bases!$R$2:$R$53,B1130),INDEX(Bases!$R$2:$R$53,C1130))</f>
        <v>95.6666666666667</v>
      </c>
      <c r="Y1130" s="2" t="n">
        <f aca="false">S1130*Settings!$B$3/SUM(S1130:X1130)</f>
        <v>75.7109915449654</v>
      </c>
      <c r="Z1130" s="2" t="n">
        <f aca="false">T1130*Settings!$B$3/SUM(S1130:X1130)</f>
        <v>79.1698693312836</v>
      </c>
      <c r="AA1130" s="2" t="n">
        <f aca="false">U1130*Settings!$B$3/SUM(S1130:X1130)</f>
        <v>55.3420445810915</v>
      </c>
      <c r="AB1130" s="2" t="n">
        <f aca="false">V1130*Settings!$B$3/SUM(S1130:X1130)</f>
        <v>78.0169100691776</v>
      </c>
      <c r="AC1130" s="2" t="n">
        <f aca="false">W1130*Settings!$B$3/SUM(S1130:X1130)</f>
        <v>101.460415065334</v>
      </c>
      <c r="AD1130" s="2" t="n">
        <f aca="false">X1130*Settings!$B$3/SUM(S1130:X1130)</f>
        <v>110.299769408148</v>
      </c>
      <c r="AE1130" s="2" t="n">
        <f aca="false">INT(Y1130)</f>
        <v>75</v>
      </c>
      <c r="AF1130" s="2" t="n">
        <f aca="false">INT(Z1130)</f>
        <v>79</v>
      </c>
      <c r="AG1130" s="2" t="n">
        <f aca="false">INT(AA1130)</f>
        <v>55</v>
      </c>
      <c r="AH1130" s="2" t="n">
        <f aca="false">INT(AB1130)</f>
        <v>78</v>
      </c>
      <c r="AI1130" s="2" t="n">
        <f aca="false">INT(AC1130)</f>
        <v>101</v>
      </c>
      <c r="AJ1130" s="2" t="n">
        <f aca="false">INT(AD1130)</f>
        <v>110</v>
      </c>
      <c r="AK1130" s="2" t="n">
        <f aca="false">Settings!$B$3-SUM(AE1130:AJ1130)</f>
        <v>2</v>
      </c>
      <c r="AL1130" s="2" t="n">
        <f aca="false">ROUND(Y1130-AE1130,9)</f>
        <v>0.710991545</v>
      </c>
      <c r="AM1130" s="2" t="n">
        <f aca="false">ROUND(Z1130-AF1130,9)</f>
        <v>0.169869331</v>
      </c>
      <c r="AN1130" s="2" t="n">
        <f aca="false">ROUND(AA1130-AG1130,9)</f>
        <v>0.342044581</v>
      </c>
      <c r="AO1130" s="2" t="n">
        <f aca="false">ROUND(AB1130-AH1130,9)</f>
        <v>0.016910069</v>
      </c>
      <c r="AP1130" s="2" t="n">
        <f aca="false">ROUND(AC1130-AI1130,9)</f>
        <v>0.460415065</v>
      </c>
      <c r="AQ1130" s="2" t="n">
        <f aca="false">ROUND(AD1130-AJ1130,9)</f>
        <v>0.299769408</v>
      </c>
    </row>
    <row r="1131" customFormat="false" ht="15" hidden="false" customHeight="false" outlineLevel="0" collapsed="false">
      <c r="A1131" s="2" t="n">
        <v>1130</v>
      </c>
      <c r="B1131" s="6" t="n">
        <v>32</v>
      </c>
      <c r="C1131" s="6" t="n">
        <v>46</v>
      </c>
      <c r="D1131" s="8" t="str">
        <f aca="false">INDEX(Bases!$B$2:$B$53,B1131)</f>
        <v>Spoink</v>
      </c>
      <c r="E1131" s="8" t="str">
        <f aca="false">INDEX(Bases!$B$2:$B$53,C1131)</f>
        <v>Houndour</v>
      </c>
      <c r="F1131" s="2" t="str">
        <f aca="false">LEFT(D1131,ROUNDUP(LEN(D1131)/2,0))&amp;LOWER(MID(E1131,ROUNDUP(LEN(E1131)/2,0)+1,20))</f>
        <v>Spodour</v>
      </c>
      <c r="G1131" s="8" t="str">
        <f aca="false">INDEX(Bases!$C$2:$C$53,B1131)</f>
        <v>Psychic</v>
      </c>
      <c r="H1131" s="8" t="str">
        <f aca="false">IF(INDEX(Bases!$C$2:$C$53,C1131)=G1131,"",INDEX(Bases!$C$2:$C$53,C1131))</f>
        <v>Dark</v>
      </c>
      <c r="I1131" s="8" t="str">
        <f aca="false">IF(INDEX(Bases!$E$2:$E$53,B1131)="","",INDEX(Bases!$E$2:$E$53,B1131))</f>
        <v/>
      </c>
      <c r="J1131" s="8" t="str">
        <f aca="false">IF(INDEX(Bases!$E$2:$E$53,C1131)="","",INDEX(Bases!$E$2:$E$53,C1131))</f>
        <v/>
      </c>
      <c r="K1131" s="5"/>
      <c r="L1131" s="2" t="n">
        <f aca="false">AE1131+IF(SUMPRODUCT(--($AL1131:$AQ1131&gt;AL1131))&lt;$AK1131,1,0)</f>
        <v>79</v>
      </c>
      <c r="M1131" s="2" t="n">
        <f aca="false">AF1131+IF(SUMPRODUCT(--($AL1131:$AQ1131&gt;AM1131))+SUMPRODUCT(--($AL1131:AL1131=AM1131))&lt;$AK1131,1,0)</f>
        <v>70</v>
      </c>
      <c r="N1131" s="2" t="n">
        <f aca="false">AG1131+IF(SUMPRODUCT(--($AL1131:$AQ1131&gt;AN1131))+SUMPRODUCT(--($AL1131:AM1131=AN1131))&lt;$AK1131,1,0)</f>
        <v>47</v>
      </c>
      <c r="O1131" s="2" t="n">
        <f aca="false">AH1131+IF(SUMPRODUCT(--($AL1131:$AQ1131&gt;AO1131))+SUMPRODUCT(--($AL1131:AN1131=AO1131))&lt;$AK1131,1,0)</f>
        <v>111</v>
      </c>
      <c r="P1131" s="2" t="n">
        <f aca="false">AI1131+IF(SUMPRODUCT(--($AL1131:$AQ1131&gt;AP1131))+SUMPRODUCT(--($AL1131:AO1131=AP1131))&lt;$AK1131,1,0)</f>
        <v>101</v>
      </c>
      <c r="Q1131" s="2" t="n">
        <f aca="false">AJ1131+IF(SUMPRODUCT(--($AL1131:$AQ1131&gt;AQ1131))+SUMPRODUCT(--($AL1131:AP1131=AQ1131))&lt;$AK1131,1,0)</f>
        <v>92</v>
      </c>
      <c r="R1131" s="2" t="n">
        <f aca="false">SUM(L1131:Q1131)</f>
        <v>500</v>
      </c>
      <c r="S1131" s="2" t="n">
        <f aca="false">Settings!$B$4*MAX(INDEX(Bases!$M$2:$M$53,B1131),INDEX(Bases!$M$2:$M$53,C1131))+Settings!$B$5*MIN(INDEX(Bases!$M$2:$M$53,B1131),INDEX(Bases!$M$2:$M$53,C1131))</f>
        <v>66.6666666666667</v>
      </c>
      <c r="T1131" s="2" t="n">
        <f aca="false">Settings!$B$4*MAX(INDEX(Bases!$N$2:$N$53,B1131),INDEX(Bases!$N$2:$N$53,C1131))+Settings!$B$5*MIN(INDEX(Bases!$N$2:$N$53,B1131),INDEX(Bases!$N$2:$N$53,C1131))</f>
        <v>58.6666666666667</v>
      </c>
      <c r="U1131" s="2" t="n">
        <f aca="false">Settings!$B$4*MAX(INDEX(Bases!$O$2:$O$53,B1131),INDEX(Bases!$O$2:$O$53,C1131))+Settings!$B$5*MIN(INDEX(Bases!$O$2:$O$53,B1131),INDEX(Bases!$O$2:$O$53,C1131))</f>
        <v>40</v>
      </c>
      <c r="V1131" s="2" t="n">
        <f aca="false">Settings!$B$4*MAX(INDEX(Bases!$P$2:$P$53,B1131),INDEX(Bases!$P$2:$P$53,C1131))+Settings!$B$5*MIN(INDEX(Bases!$P$2:$P$53,B1131),INDEX(Bases!$P$2:$P$53,C1131))</f>
        <v>93</v>
      </c>
      <c r="W1131" s="2" t="n">
        <f aca="false">Settings!$B$4*MAX(INDEX(Bases!$Q$2:$Q$53,B1131),INDEX(Bases!$Q$2:$Q$53,C1131))+Settings!$B$5*MIN(INDEX(Bases!$Q$2:$Q$53,B1131),INDEX(Bases!$Q$2:$Q$53,C1131))</f>
        <v>85</v>
      </c>
      <c r="X1131" s="2" t="n">
        <f aca="false">Settings!$B$4*MAX(INDEX(Bases!$R$2:$R$53,B1131),INDEX(Bases!$R$2:$R$53,C1131))+Settings!$B$5*MIN(INDEX(Bases!$R$2:$R$53,B1131),INDEX(Bases!$R$2:$R$53,C1131))</f>
        <v>77</v>
      </c>
      <c r="Y1131" s="2" t="n">
        <f aca="false">S1131*Settings!$B$3/SUM(S1131:X1131)</f>
        <v>79.3021411578113</v>
      </c>
      <c r="Z1131" s="2" t="n">
        <f aca="false">T1131*Settings!$B$3/SUM(S1131:X1131)</f>
        <v>69.7858842188739</v>
      </c>
      <c r="AA1131" s="2" t="n">
        <f aca="false">U1131*Settings!$B$3/SUM(S1131:X1131)</f>
        <v>47.5812846946868</v>
      </c>
      <c r="AB1131" s="2" t="n">
        <f aca="false">V1131*Settings!$B$3/SUM(S1131:X1131)</f>
        <v>110.626486915147</v>
      </c>
      <c r="AC1131" s="2" t="n">
        <f aca="false">W1131*Settings!$B$3/SUM(S1131:X1131)</f>
        <v>101.110229976209</v>
      </c>
      <c r="AD1131" s="2" t="n">
        <f aca="false">X1131*Settings!$B$3/SUM(S1131:X1131)</f>
        <v>91.593973037272</v>
      </c>
      <c r="AE1131" s="2" t="n">
        <f aca="false">INT(Y1131)</f>
        <v>79</v>
      </c>
      <c r="AF1131" s="2" t="n">
        <f aca="false">INT(Z1131)</f>
        <v>69</v>
      </c>
      <c r="AG1131" s="2" t="n">
        <f aca="false">INT(AA1131)</f>
        <v>47</v>
      </c>
      <c r="AH1131" s="2" t="n">
        <f aca="false">INT(AB1131)</f>
        <v>110</v>
      </c>
      <c r="AI1131" s="2" t="n">
        <f aca="false">INT(AC1131)</f>
        <v>101</v>
      </c>
      <c r="AJ1131" s="2" t="n">
        <f aca="false">INT(AD1131)</f>
        <v>91</v>
      </c>
      <c r="AK1131" s="2" t="n">
        <f aca="false">Settings!$B$3-SUM(AE1131:AJ1131)</f>
        <v>3</v>
      </c>
      <c r="AL1131" s="2" t="n">
        <f aca="false">ROUND(Y1131-AE1131,9)</f>
        <v>0.302141158</v>
      </c>
      <c r="AM1131" s="2" t="n">
        <f aca="false">ROUND(Z1131-AF1131,9)</f>
        <v>0.785884219</v>
      </c>
      <c r="AN1131" s="2" t="n">
        <f aca="false">ROUND(AA1131-AG1131,9)</f>
        <v>0.581284695</v>
      </c>
      <c r="AO1131" s="2" t="n">
        <f aca="false">ROUND(AB1131-AH1131,9)</f>
        <v>0.626486915</v>
      </c>
      <c r="AP1131" s="2" t="n">
        <f aca="false">ROUND(AC1131-AI1131,9)</f>
        <v>0.110229976</v>
      </c>
      <c r="AQ1131" s="2" t="n">
        <f aca="false">ROUND(AD1131-AJ1131,9)</f>
        <v>0.593973037</v>
      </c>
    </row>
    <row r="1132" customFormat="false" ht="15" hidden="false" customHeight="false" outlineLevel="0" collapsed="false">
      <c r="A1132" s="2" t="n">
        <v>1131</v>
      </c>
      <c r="B1132" s="6" t="n">
        <v>32</v>
      </c>
      <c r="C1132" s="6" t="n">
        <v>47</v>
      </c>
      <c r="D1132" s="8" t="str">
        <f aca="false">INDEX(Bases!$B$2:$B$53,B1132)</f>
        <v>Spoink</v>
      </c>
      <c r="E1132" s="8" t="str">
        <f aca="false">INDEX(Bases!$B$2:$B$53,C1132)</f>
        <v>Carvanha</v>
      </c>
      <c r="F1132" s="2" t="str">
        <f aca="false">LEFT(D1132,ROUNDUP(LEN(D1132)/2,0))&amp;LOWER(MID(E1132,ROUNDUP(LEN(E1132)/2,0)+1,20))</f>
        <v>Spoanha</v>
      </c>
      <c r="G1132" s="8" t="str">
        <f aca="false">INDEX(Bases!$C$2:$C$53,B1132)</f>
        <v>Psychic</v>
      </c>
      <c r="H1132" s="8" t="str">
        <f aca="false">IF(INDEX(Bases!$C$2:$C$53,C1132)=G1132,"",INDEX(Bases!$C$2:$C$53,C1132))</f>
        <v>Dark</v>
      </c>
      <c r="I1132" s="8" t="str">
        <f aca="false">IF(INDEX(Bases!$E$2:$E$53,B1132)="","",INDEX(Bases!$E$2:$E$53,B1132))</f>
        <v/>
      </c>
      <c r="J1132" s="8" t="str">
        <f aca="false">IF(INDEX(Bases!$E$2:$E$53,C1132)="","",INDEX(Bases!$E$2:$E$53,C1132))</f>
        <v/>
      </c>
      <c r="K1132" s="5"/>
      <c r="L1132" s="2" t="n">
        <f aca="false">AE1132+IF(SUMPRODUCT(--($AL1132:$AQ1132&gt;AL1132))&lt;$AK1132,1,0)</f>
        <v>79</v>
      </c>
      <c r="M1132" s="2" t="n">
        <f aca="false">AF1132+IF(SUMPRODUCT(--($AL1132:$AQ1132&gt;AM1132))+SUMPRODUCT(--($AL1132:AL1132=AM1132))&lt;$AK1132,1,0)</f>
        <v>102</v>
      </c>
      <c r="N1132" s="2" t="n">
        <f aca="false">AG1132+IF(SUMPRODUCT(--($AL1132:$AQ1132&gt;AN1132))+SUMPRODUCT(--($AL1132:AM1132=AN1132))&lt;$AK1132,1,0)</f>
        <v>42</v>
      </c>
      <c r="O1132" s="2" t="n">
        <f aca="false">AH1132+IF(SUMPRODUCT(--($AL1132:$AQ1132&gt;AO1132))+SUMPRODUCT(--($AL1132:AN1132=AO1132))&lt;$AK1132,1,0)</f>
        <v>99</v>
      </c>
      <c r="P1132" s="2" t="n">
        <f aca="false">AI1132+IF(SUMPRODUCT(--($AL1132:$AQ1132&gt;AP1132))+SUMPRODUCT(--($AL1132:AO1132=AP1132))&lt;$AK1132,1,0)</f>
        <v>85</v>
      </c>
      <c r="Q1132" s="2" t="n">
        <f aca="false">AJ1132+IF(SUMPRODUCT(--($AL1132:$AQ1132&gt;AQ1132))+SUMPRODUCT(--($AL1132:AP1132=AQ1132))&lt;$AK1132,1,0)</f>
        <v>93</v>
      </c>
      <c r="R1132" s="2" t="n">
        <f aca="false">SUM(L1132:Q1132)</f>
        <v>500</v>
      </c>
      <c r="S1132" s="2" t="n">
        <f aca="false">Settings!$B$4*MAX(INDEX(Bases!$M$2:$M$53,B1132),INDEX(Bases!$M$2:$M$53,C1132))+Settings!$B$5*MIN(INDEX(Bases!$M$2:$M$53,B1132),INDEX(Bases!$M$2:$M$53,C1132))</f>
        <v>68.3333333333333</v>
      </c>
      <c r="T1132" s="2" t="n">
        <f aca="false">Settings!$B$4*MAX(INDEX(Bases!$N$2:$N$53,B1132),INDEX(Bases!$N$2:$N$53,C1132))+Settings!$B$5*MIN(INDEX(Bases!$N$2:$N$53,B1132),INDEX(Bases!$N$2:$N$53,C1132))</f>
        <v>88.6666666666667</v>
      </c>
      <c r="U1132" s="2" t="n">
        <f aca="false">Settings!$B$4*MAX(INDEX(Bases!$O$2:$O$53,B1132),INDEX(Bases!$O$2:$O$53,C1132))+Settings!$B$5*MIN(INDEX(Bases!$O$2:$O$53,B1132),INDEX(Bases!$O$2:$O$53,C1132))</f>
        <v>36.6666666666667</v>
      </c>
      <c r="V1132" s="2" t="n">
        <f aca="false">Settings!$B$4*MAX(INDEX(Bases!$P$2:$P$53,B1132),INDEX(Bases!$P$2:$P$53,C1132))+Settings!$B$5*MIN(INDEX(Bases!$P$2:$P$53,B1132),INDEX(Bases!$P$2:$P$53,C1132))</f>
        <v>85.6666666666667</v>
      </c>
      <c r="W1132" s="2" t="n">
        <f aca="false">Settings!$B$4*MAX(INDEX(Bases!$Q$2:$Q$53,B1132),INDEX(Bases!$Q$2:$Q$53,C1132))+Settings!$B$5*MIN(INDEX(Bases!$Q$2:$Q$53,B1132),INDEX(Bases!$Q$2:$Q$53,C1132))</f>
        <v>73.3333333333333</v>
      </c>
      <c r="X1132" s="2" t="n">
        <f aca="false">Settings!$B$4*MAX(INDEX(Bases!$R$2:$R$53,B1132),INDEX(Bases!$R$2:$R$53,C1132))+Settings!$B$5*MIN(INDEX(Bases!$R$2:$R$53,B1132),INDEX(Bases!$R$2:$R$53,C1132))</f>
        <v>81</v>
      </c>
      <c r="Y1132" s="2" t="n">
        <f aca="false">S1132*Settings!$B$3/SUM(S1132:X1132)</f>
        <v>78.7855495772483</v>
      </c>
      <c r="Z1132" s="2" t="n">
        <f aca="false">T1132*Settings!$B$3/SUM(S1132:X1132)</f>
        <v>102.229054573405</v>
      </c>
      <c r="AA1132" s="2" t="n">
        <f aca="false">U1132*Settings!$B$3/SUM(S1132:X1132)</f>
        <v>42.2751729438893</v>
      </c>
      <c r="AB1132" s="2" t="n">
        <f aca="false">V1132*Settings!$B$3/SUM(S1132:X1132)</f>
        <v>98.7701767870869</v>
      </c>
      <c r="AC1132" s="2" t="n">
        <f aca="false">W1132*Settings!$B$3/SUM(S1132:X1132)</f>
        <v>84.5503458877786</v>
      </c>
      <c r="AD1132" s="2" t="n">
        <f aca="false">X1132*Settings!$B$3/SUM(S1132:X1132)</f>
        <v>93.3897002305919</v>
      </c>
      <c r="AE1132" s="2" t="n">
        <f aca="false">INT(Y1132)</f>
        <v>78</v>
      </c>
      <c r="AF1132" s="2" t="n">
        <f aca="false">INT(Z1132)</f>
        <v>102</v>
      </c>
      <c r="AG1132" s="2" t="n">
        <f aca="false">INT(AA1132)</f>
        <v>42</v>
      </c>
      <c r="AH1132" s="2" t="n">
        <f aca="false">INT(AB1132)</f>
        <v>98</v>
      </c>
      <c r="AI1132" s="2" t="n">
        <f aca="false">INT(AC1132)</f>
        <v>84</v>
      </c>
      <c r="AJ1132" s="2" t="n">
        <f aca="false">INT(AD1132)</f>
        <v>93</v>
      </c>
      <c r="AK1132" s="2" t="n">
        <f aca="false">Settings!$B$3-SUM(AE1132:AJ1132)</f>
        <v>3</v>
      </c>
      <c r="AL1132" s="2" t="n">
        <f aca="false">ROUND(Y1132-AE1132,9)</f>
        <v>0.785549577</v>
      </c>
      <c r="AM1132" s="2" t="n">
        <f aca="false">ROUND(Z1132-AF1132,9)</f>
        <v>0.229054573</v>
      </c>
      <c r="AN1132" s="2" t="n">
        <f aca="false">ROUND(AA1132-AG1132,9)</f>
        <v>0.275172944</v>
      </c>
      <c r="AO1132" s="2" t="n">
        <f aca="false">ROUND(AB1132-AH1132,9)</f>
        <v>0.770176787</v>
      </c>
      <c r="AP1132" s="2" t="n">
        <f aca="false">ROUND(AC1132-AI1132,9)</f>
        <v>0.550345888</v>
      </c>
      <c r="AQ1132" s="2" t="n">
        <f aca="false">ROUND(AD1132-AJ1132,9)</f>
        <v>0.389700231</v>
      </c>
    </row>
    <row r="1133" customFormat="false" ht="15" hidden="false" customHeight="false" outlineLevel="0" collapsed="false">
      <c r="A1133" s="2" t="n">
        <v>1132</v>
      </c>
      <c r="B1133" s="6" t="n">
        <v>32</v>
      </c>
      <c r="C1133" s="6" t="n">
        <v>48</v>
      </c>
      <c r="D1133" s="8" t="str">
        <f aca="false">INDEX(Bases!$B$2:$B$53,B1133)</f>
        <v>Spoink</v>
      </c>
      <c r="E1133" s="8" t="str">
        <f aca="false">INDEX(Bases!$B$2:$B$53,C1133)</f>
        <v>Magnemite</v>
      </c>
      <c r="F1133" s="2" t="str">
        <f aca="false">LEFT(D1133,ROUNDUP(LEN(D1133)/2,0))&amp;LOWER(MID(E1133,ROUNDUP(LEN(E1133)/2,0)+1,20))</f>
        <v>Spomite</v>
      </c>
      <c r="G1133" s="8" t="str">
        <f aca="false">INDEX(Bases!$C$2:$C$53,B1133)</f>
        <v>Psychic</v>
      </c>
      <c r="H1133" s="8" t="str">
        <f aca="false">IF(INDEX(Bases!$C$2:$C$53,C1133)=G1133,"",INDEX(Bases!$C$2:$C$53,C1133))</f>
        <v>Steel</v>
      </c>
      <c r="I1133" s="8" t="str">
        <f aca="false">IF(INDEX(Bases!$E$2:$E$53,B1133)="","",INDEX(Bases!$E$2:$E$53,B1133))</f>
        <v/>
      </c>
      <c r="J1133" s="8" t="str">
        <f aca="false">IF(INDEX(Bases!$E$2:$E$53,C1133)="","",INDEX(Bases!$E$2:$E$53,C1133))</f>
        <v/>
      </c>
      <c r="K1133" s="5"/>
      <c r="L1133" s="2" t="n">
        <f aca="false">AE1133+IF(SUMPRODUCT(--($AL1133:$AQ1133&gt;AL1133))&lt;$AK1133,1,0)</f>
        <v>69</v>
      </c>
      <c r="M1133" s="2" t="n">
        <f aca="false">AF1133+IF(SUMPRODUCT(--($AL1133:$AQ1133&gt;AM1133))+SUMPRODUCT(--($AL1133:AL1133=AM1133))&lt;$AK1133,1,0)</f>
        <v>45</v>
      </c>
      <c r="N1133" s="2" t="n">
        <f aca="false">AG1133+IF(SUMPRODUCT(--($AL1133:$AQ1133&gt;AN1133))+SUMPRODUCT(--($AL1133:AM1133=AN1133))&lt;$AK1133,1,0)</f>
        <v>83</v>
      </c>
      <c r="O1133" s="2" t="n">
        <f aca="false">AH1133+IF(SUMPRODUCT(--($AL1133:$AQ1133&gt;AO1133))+SUMPRODUCT(--($AL1133:AN1133=AO1133))&lt;$AK1133,1,0)</f>
        <v>124</v>
      </c>
      <c r="P1133" s="2" t="n">
        <f aca="false">AI1133+IF(SUMPRODUCT(--($AL1133:$AQ1133&gt;AP1133))+SUMPRODUCT(--($AL1133:AO1133=AP1133))&lt;$AK1133,1,0)</f>
        <v>101</v>
      </c>
      <c r="Q1133" s="2" t="n">
        <f aca="false">AJ1133+IF(SUMPRODUCT(--($AL1133:$AQ1133&gt;AQ1133))+SUMPRODUCT(--($AL1133:AP1133=AQ1133))&lt;$AK1133,1,0)</f>
        <v>78</v>
      </c>
      <c r="R1133" s="2" t="n">
        <f aca="false">SUM(L1133:Q1133)</f>
        <v>500</v>
      </c>
      <c r="S1133" s="2" t="n">
        <f aca="false">Settings!$B$4*MAX(INDEX(Bases!$M$2:$M$53,B1133),INDEX(Bases!$M$2:$M$53,C1133))+Settings!$B$5*MIN(INDEX(Bases!$M$2:$M$53,B1133),INDEX(Bases!$M$2:$M$53,C1133))</f>
        <v>59</v>
      </c>
      <c r="T1133" s="2" t="n">
        <f aca="false">Settings!$B$4*MAX(INDEX(Bases!$N$2:$N$53,B1133),INDEX(Bases!$N$2:$N$53,C1133))+Settings!$B$5*MIN(INDEX(Bases!$N$2:$N$53,B1133),INDEX(Bases!$N$2:$N$53,C1133))</f>
        <v>38.6666666666667</v>
      </c>
      <c r="U1133" s="2" t="n">
        <f aca="false">Settings!$B$4*MAX(INDEX(Bases!$O$2:$O$53,B1133),INDEX(Bases!$O$2:$O$53,C1133))+Settings!$B$5*MIN(INDEX(Bases!$O$2:$O$53,B1133),INDEX(Bases!$O$2:$O$53,C1133))</f>
        <v>71.3333333333333</v>
      </c>
      <c r="V1133" s="2" t="n">
        <f aca="false">Settings!$B$4*MAX(INDEX(Bases!$P$2:$P$53,B1133),INDEX(Bases!$P$2:$P$53,C1133))+Settings!$B$5*MIN(INDEX(Bases!$P$2:$P$53,B1133),INDEX(Bases!$P$2:$P$53,C1133))</f>
        <v>106.333333333333</v>
      </c>
      <c r="W1133" s="2" t="n">
        <f aca="false">Settings!$B$4*MAX(INDEX(Bases!$Q$2:$Q$53,B1133),INDEX(Bases!$Q$2:$Q$53,C1133))+Settings!$B$5*MIN(INDEX(Bases!$Q$2:$Q$53,B1133),INDEX(Bases!$Q$2:$Q$53,C1133))</f>
        <v>87.3333333333333</v>
      </c>
      <c r="X1133" s="2" t="n">
        <f aca="false">Settings!$B$4*MAX(INDEX(Bases!$R$2:$R$53,B1133),INDEX(Bases!$R$2:$R$53,C1133))+Settings!$B$5*MIN(INDEX(Bases!$R$2:$R$53,B1133),INDEX(Bases!$R$2:$R$53,C1133))</f>
        <v>67</v>
      </c>
      <c r="Y1133" s="2" t="n">
        <f aca="false">S1133*Settings!$B$3/SUM(S1133:X1133)</f>
        <v>68.6578743211792</v>
      </c>
      <c r="Z1133" s="2" t="n">
        <f aca="false">T1133*Settings!$B$3/SUM(S1133:X1133)</f>
        <v>44.9961210240496</v>
      </c>
      <c r="AA1133" s="2" t="n">
        <f aca="false">U1133*Settings!$B$3/SUM(S1133:X1133)</f>
        <v>83.0100853374709</v>
      </c>
      <c r="AB1133" s="2" t="n">
        <f aca="false">V1133*Settings!$B$3/SUM(S1133:X1133)</f>
        <v>123.739332816137</v>
      </c>
      <c r="AC1133" s="2" t="n">
        <f aca="false">W1133*Settings!$B$3/SUM(S1133:X1133)</f>
        <v>101.629169899147</v>
      </c>
      <c r="AD1133" s="2" t="n">
        <f aca="false">X1133*Settings!$B$3/SUM(S1133:X1133)</f>
        <v>77.9674166020171</v>
      </c>
      <c r="AE1133" s="2" t="n">
        <f aca="false">INT(Y1133)</f>
        <v>68</v>
      </c>
      <c r="AF1133" s="2" t="n">
        <f aca="false">INT(Z1133)</f>
        <v>44</v>
      </c>
      <c r="AG1133" s="2" t="n">
        <f aca="false">INT(AA1133)</f>
        <v>83</v>
      </c>
      <c r="AH1133" s="2" t="n">
        <f aca="false">INT(AB1133)</f>
        <v>123</v>
      </c>
      <c r="AI1133" s="2" t="n">
        <f aca="false">INT(AC1133)</f>
        <v>101</v>
      </c>
      <c r="AJ1133" s="2" t="n">
        <f aca="false">INT(AD1133)</f>
        <v>77</v>
      </c>
      <c r="AK1133" s="2" t="n">
        <f aca="false">Settings!$B$3-SUM(AE1133:AJ1133)</f>
        <v>4</v>
      </c>
      <c r="AL1133" s="2" t="n">
        <f aca="false">ROUND(Y1133-AE1133,9)</f>
        <v>0.657874321</v>
      </c>
      <c r="AM1133" s="2" t="n">
        <f aca="false">ROUND(Z1133-AF1133,9)</f>
        <v>0.996121024</v>
      </c>
      <c r="AN1133" s="2" t="n">
        <f aca="false">ROUND(AA1133-AG1133,9)</f>
        <v>0.010085337</v>
      </c>
      <c r="AO1133" s="2" t="n">
        <f aca="false">ROUND(AB1133-AH1133,9)</f>
        <v>0.739332816</v>
      </c>
      <c r="AP1133" s="2" t="n">
        <f aca="false">ROUND(AC1133-AI1133,9)</f>
        <v>0.629169899</v>
      </c>
      <c r="AQ1133" s="2" t="n">
        <f aca="false">ROUND(AD1133-AJ1133,9)</f>
        <v>0.967416602</v>
      </c>
    </row>
    <row r="1134" customFormat="false" ht="15" hidden="false" customHeight="false" outlineLevel="0" collapsed="false">
      <c r="A1134" s="2" t="n">
        <v>1133</v>
      </c>
      <c r="B1134" s="6" t="n">
        <v>32</v>
      </c>
      <c r="C1134" s="6" t="n">
        <v>49</v>
      </c>
      <c r="D1134" s="8" t="str">
        <f aca="false">INDEX(Bases!$B$2:$B$53,B1134)</f>
        <v>Spoink</v>
      </c>
      <c r="E1134" s="8" t="str">
        <f aca="false">INDEX(Bases!$B$2:$B$53,C1134)</f>
        <v>Aron</v>
      </c>
      <c r="F1134" s="2" t="str">
        <f aca="false">LEFT(D1134,ROUNDUP(LEN(D1134)/2,0))&amp;LOWER(MID(E1134,ROUNDUP(LEN(E1134)/2,0)+1,20))</f>
        <v>Spoon</v>
      </c>
      <c r="G1134" s="8" t="str">
        <f aca="false">INDEX(Bases!$C$2:$C$53,B1134)</f>
        <v>Psychic</v>
      </c>
      <c r="H1134" s="8" t="str">
        <f aca="false">IF(INDEX(Bases!$C$2:$C$53,C1134)=G1134,"",INDEX(Bases!$C$2:$C$53,C1134))</f>
        <v>Steel</v>
      </c>
      <c r="I1134" s="8" t="str">
        <f aca="false">IF(INDEX(Bases!$E$2:$E$53,B1134)="","",INDEX(Bases!$E$2:$E$53,B1134))</f>
        <v/>
      </c>
      <c r="J1134" s="8" t="str">
        <f aca="false">IF(INDEX(Bases!$E$2:$E$53,C1134)="","",INDEX(Bases!$E$2:$E$53,C1134))</f>
        <v/>
      </c>
      <c r="K1134" s="5"/>
      <c r="L1134" s="2" t="n">
        <f aca="false">AE1134+IF(SUMPRODUCT(--($AL1134:$AQ1134&gt;AL1134))&lt;$AK1134,1,0)</f>
        <v>78</v>
      </c>
      <c r="M1134" s="2" t="n">
        <f aca="false">AF1134+IF(SUMPRODUCT(--($AL1134:$AQ1134&gt;AM1134))+SUMPRODUCT(--($AL1134:AL1134=AM1134))&lt;$AK1134,1,0)</f>
        <v>75</v>
      </c>
      <c r="N1134" s="2" t="n">
        <f aca="false">AG1134+IF(SUMPRODUCT(--($AL1134:$AQ1134&gt;AN1134))+SUMPRODUCT(--($AL1134:AM1134=AN1134))&lt;$AK1134,1,0)</f>
        <v>106</v>
      </c>
      <c r="O1134" s="2" t="n">
        <f aca="false">AH1134+IF(SUMPRODUCT(--($AL1134:$AQ1134&gt;AO1134))+SUMPRODUCT(--($AL1134:AN1134=AO1134))&lt;$AK1134,1,0)</f>
        <v>82</v>
      </c>
      <c r="P1134" s="2" t="n">
        <f aca="false">AI1134+IF(SUMPRODUCT(--($AL1134:$AQ1134&gt;AP1134))+SUMPRODUCT(--($AL1134:AO1134=AP1134))&lt;$AK1134,1,0)</f>
        <v>91</v>
      </c>
      <c r="Q1134" s="2" t="n">
        <f aca="false">AJ1134+IF(SUMPRODUCT(--($AL1134:$AQ1134&gt;AQ1134))+SUMPRODUCT(--($AL1134:AP1134=AQ1134))&lt;$AK1134,1,0)</f>
        <v>68</v>
      </c>
      <c r="R1134" s="2" t="n">
        <f aca="false">SUM(L1134:Q1134)</f>
        <v>500</v>
      </c>
      <c r="S1134" s="2" t="n">
        <f aca="false">Settings!$B$4*MAX(INDEX(Bases!$M$2:$M$53,B1134),INDEX(Bases!$M$2:$M$53,C1134))+Settings!$B$5*MIN(INDEX(Bases!$M$2:$M$53,B1134),INDEX(Bases!$M$2:$M$53,C1134))</f>
        <v>69</v>
      </c>
      <c r="T1134" s="2" t="n">
        <f aca="false">Settings!$B$4*MAX(INDEX(Bases!$N$2:$N$53,B1134),INDEX(Bases!$N$2:$N$53,C1134))+Settings!$B$5*MIN(INDEX(Bases!$N$2:$N$53,B1134),INDEX(Bases!$N$2:$N$53,C1134))</f>
        <v>66.6666666666667</v>
      </c>
      <c r="U1134" s="2" t="n">
        <f aca="false">Settings!$B$4*MAX(INDEX(Bases!$O$2:$O$53,B1134),INDEX(Bases!$O$2:$O$53,C1134))+Settings!$B$5*MIN(INDEX(Bases!$O$2:$O$53,B1134),INDEX(Bases!$O$2:$O$53,C1134))</f>
        <v>94.6666666666667</v>
      </c>
      <c r="V1134" s="2" t="n">
        <f aca="false">Settings!$B$4*MAX(INDEX(Bases!$P$2:$P$53,B1134),INDEX(Bases!$P$2:$P$53,C1134))+Settings!$B$5*MIN(INDEX(Bases!$P$2:$P$53,B1134),INDEX(Bases!$P$2:$P$53,C1134))</f>
        <v>73</v>
      </c>
      <c r="W1134" s="2" t="n">
        <f aca="false">Settings!$B$4*MAX(INDEX(Bases!$Q$2:$Q$53,B1134),INDEX(Bases!$Q$2:$Q$53,C1134))+Settings!$B$5*MIN(INDEX(Bases!$Q$2:$Q$53,B1134),INDEX(Bases!$Q$2:$Q$53,C1134))</f>
        <v>80.6666666666667</v>
      </c>
      <c r="X1134" s="2" t="n">
        <f aca="false">Settings!$B$4*MAX(INDEX(Bases!$R$2:$R$53,B1134),INDEX(Bases!$R$2:$R$53,C1134))+Settings!$B$5*MIN(INDEX(Bases!$R$2:$R$53,B1134),INDEX(Bases!$R$2:$R$53,C1134))</f>
        <v>60.6666666666667</v>
      </c>
      <c r="Y1134" s="2" t="n">
        <f aca="false">S1134*Settings!$B$3/SUM(S1134:X1134)</f>
        <v>77.5862068965517</v>
      </c>
      <c r="Z1134" s="2" t="n">
        <f aca="false">T1134*Settings!$B$3/SUM(S1134:X1134)</f>
        <v>74.9625187406297</v>
      </c>
      <c r="AA1134" s="2" t="n">
        <f aca="false">U1134*Settings!$B$3/SUM(S1134:X1134)</f>
        <v>106.446776611694</v>
      </c>
      <c r="AB1134" s="2" t="n">
        <f aca="false">V1134*Settings!$B$3/SUM(S1134:X1134)</f>
        <v>82.0839580209895</v>
      </c>
      <c r="AC1134" s="2" t="n">
        <f aca="false">W1134*Settings!$B$3/SUM(S1134:X1134)</f>
        <v>90.7046476761619</v>
      </c>
      <c r="AD1134" s="2" t="n">
        <f aca="false">X1134*Settings!$B$3/SUM(S1134:X1134)</f>
        <v>68.215892053973</v>
      </c>
      <c r="AE1134" s="2" t="n">
        <f aca="false">INT(Y1134)</f>
        <v>77</v>
      </c>
      <c r="AF1134" s="2" t="n">
        <f aca="false">INT(Z1134)</f>
        <v>74</v>
      </c>
      <c r="AG1134" s="2" t="n">
        <f aca="false">INT(AA1134)</f>
        <v>106</v>
      </c>
      <c r="AH1134" s="2" t="n">
        <f aca="false">INT(AB1134)</f>
        <v>82</v>
      </c>
      <c r="AI1134" s="2" t="n">
        <f aca="false">INT(AC1134)</f>
        <v>90</v>
      </c>
      <c r="AJ1134" s="2" t="n">
        <f aca="false">INT(AD1134)</f>
        <v>68</v>
      </c>
      <c r="AK1134" s="2" t="n">
        <f aca="false">Settings!$B$3-SUM(AE1134:AJ1134)</f>
        <v>3</v>
      </c>
      <c r="AL1134" s="2" t="n">
        <f aca="false">ROUND(Y1134-AE1134,9)</f>
        <v>0.586206897</v>
      </c>
      <c r="AM1134" s="2" t="n">
        <f aca="false">ROUND(Z1134-AF1134,9)</f>
        <v>0.962518741</v>
      </c>
      <c r="AN1134" s="2" t="n">
        <f aca="false">ROUND(AA1134-AG1134,9)</f>
        <v>0.446776612</v>
      </c>
      <c r="AO1134" s="2" t="n">
        <f aca="false">ROUND(AB1134-AH1134,9)</f>
        <v>0.083958021</v>
      </c>
      <c r="AP1134" s="2" t="n">
        <f aca="false">ROUND(AC1134-AI1134,9)</f>
        <v>0.704647676</v>
      </c>
      <c r="AQ1134" s="2" t="n">
        <f aca="false">ROUND(AD1134-AJ1134,9)</f>
        <v>0.215892054</v>
      </c>
    </row>
    <row r="1135" customFormat="false" ht="15" hidden="false" customHeight="false" outlineLevel="0" collapsed="false">
      <c r="A1135" s="2" t="n">
        <v>1134</v>
      </c>
      <c r="B1135" s="6" t="n">
        <v>32</v>
      </c>
      <c r="C1135" s="6" t="n">
        <v>50</v>
      </c>
      <c r="D1135" s="8" t="str">
        <f aca="false">INDEX(Bases!$B$2:$B$53,B1135)</f>
        <v>Spoink</v>
      </c>
      <c r="E1135" s="8" t="str">
        <f aca="false">INDEX(Bases!$B$2:$B$53,C1135)</f>
        <v>Beldum</v>
      </c>
      <c r="F1135" s="2" t="str">
        <f aca="false">LEFT(D1135,ROUNDUP(LEN(D1135)/2,0))&amp;LOWER(MID(E1135,ROUNDUP(LEN(E1135)/2,0)+1,20))</f>
        <v>Spodum</v>
      </c>
      <c r="G1135" s="8" t="str">
        <f aca="false">INDEX(Bases!$C$2:$C$53,B1135)</f>
        <v>Psychic</v>
      </c>
      <c r="H1135" s="8" t="str">
        <f aca="false">IF(INDEX(Bases!$C$2:$C$53,C1135)=G1135,"",INDEX(Bases!$C$2:$C$53,C1135))</f>
        <v>Steel</v>
      </c>
      <c r="I1135" s="8" t="str">
        <f aca="false">IF(INDEX(Bases!$E$2:$E$53,B1135)="","",INDEX(Bases!$E$2:$E$53,B1135))</f>
        <v/>
      </c>
      <c r="J1135" s="8" t="str">
        <f aca="false">IF(INDEX(Bases!$E$2:$E$53,C1135)="","",INDEX(Bases!$E$2:$E$53,C1135))</f>
        <v/>
      </c>
      <c r="K1135" s="5"/>
      <c r="L1135" s="2" t="n">
        <f aca="false">AE1135+IF(SUMPRODUCT(--($AL1135:$AQ1135&gt;AL1135))&lt;$AK1135,1,0)</f>
        <v>76</v>
      </c>
      <c r="M1135" s="2" t="n">
        <f aca="false">AF1135+IF(SUMPRODUCT(--($AL1135:$AQ1135&gt;AM1135))+SUMPRODUCT(--($AL1135:AL1135=AM1135))&lt;$AK1135,1,0)</f>
        <v>67</v>
      </c>
      <c r="N1135" s="2" t="n">
        <f aca="false">AG1135+IF(SUMPRODUCT(--($AL1135:$AQ1135&gt;AN1135))+SUMPRODUCT(--($AL1135:AM1135=AN1135))&lt;$AK1135,1,0)</f>
        <v>98</v>
      </c>
      <c r="O1135" s="2" t="n">
        <f aca="false">AH1135+IF(SUMPRODUCT(--($AL1135:$AQ1135&gt;AO1135))+SUMPRODUCT(--($AL1135:AN1135=AO1135))&lt;$AK1135,1,0)</f>
        <v>83</v>
      </c>
      <c r="P1135" s="2" t="n">
        <f aca="false">AI1135+IF(SUMPRODUCT(--($AL1135:$AQ1135&gt;AP1135))+SUMPRODUCT(--($AL1135:AO1135=AP1135))&lt;$AK1135,1,0)</f>
        <v>105</v>
      </c>
      <c r="Q1135" s="2" t="n">
        <f aca="false">AJ1135+IF(SUMPRODUCT(--($AL1135:$AQ1135&gt;AQ1135))+SUMPRODUCT(--($AL1135:AP1135=AQ1135))&lt;$AK1135,1,0)</f>
        <v>71</v>
      </c>
      <c r="R1135" s="2" t="n">
        <f aca="false">SUM(L1135:Q1135)</f>
        <v>500</v>
      </c>
      <c r="S1135" s="2" t="n">
        <f aca="false">Settings!$B$4*MAX(INDEX(Bases!$M$2:$M$53,B1135),INDEX(Bases!$M$2:$M$53,C1135))+Settings!$B$5*MIN(INDEX(Bases!$M$2:$M$53,B1135),INDEX(Bases!$M$2:$M$53,C1135))</f>
        <v>66.3333333333333</v>
      </c>
      <c r="T1135" s="2" t="n">
        <f aca="false">Settings!$B$4*MAX(INDEX(Bases!$N$2:$N$53,B1135),INDEX(Bases!$N$2:$N$53,C1135))+Settings!$B$5*MIN(INDEX(Bases!$N$2:$N$53,B1135),INDEX(Bases!$N$2:$N$53,C1135))</f>
        <v>58.6666666666667</v>
      </c>
      <c r="U1135" s="2" t="n">
        <f aca="false">Settings!$B$4*MAX(INDEX(Bases!$O$2:$O$53,B1135),INDEX(Bases!$O$2:$O$53,C1135))+Settings!$B$5*MIN(INDEX(Bases!$O$2:$O$53,B1135),INDEX(Bases!$O$2:$O$53,C1135))</f>
        <v>85.3333333333333</v>
      </c>
      <c r="V1135" s="2" t="n">
        <f aca="false">Settings!$B$4*MAX(INDEX(Bases!$P$2:$P$53,B1135),INDEX(Bases!$P$2:$P$53,C1135))+Settings!$B$5*MIN(INDEX(Bases!$P$2:$P$53,B1135),INDEX(Bases!$P$2:$P$53,C1135))</f>
        <v>72.3333333333333</v>
      </c>
      <c r="W1135" s="2" t="n">
        <f aca="false">Settings!$B$4*MAX(INDEX(Bases!$Q$2:$Q$53,B1135),INDEX(Bases!$Q$2:$Q$53,C1135))+Settings!$B$5*MIN(INDEX(Bases!$Q$2:$Q$53,B1135),INDEX(Bases!$Q$2:$Q$53,C1135))</f>
        <v>91.3333333333333</v>
      </c>
      <c r="X1135" s="2" t="n">
        <f aca="false">Settings!$B$4*MAX(INDEX(Bases!$R$2:$R$53,B1135),INDEX(Bases!$R$2:$R$53,C1135))+Settings!$B$5*MIN(INDEX(Bases!$R$2:$R$53,B1135),INDEX(Bases!$R$2:$R$53,C1135))</f>
        <v>62</v>
      </c>
      <c r="Y1135" s="2" t="n">
        <f aca="false">S1135*Settings!$B$3/SUM(S1135:X1135)</f>
        <v>76.0703363914373</v>
      </c>
      <c r="Z1135" s="2" t="n">
        <f aca="false">T1135*Settings!$B$3/SUM(S1135:X1135)</f>
        <v>67.2782874617737</v>
      </c>
      <c r="AA1135" s="2" t="n">
        <f aca="false">U1135*Settings!$B$3/SUM(S1135:X1135)</f>
        <v>97.8593272171254</v>
      </c>
      <c r="AB1135" s="2" t="n">
        <f aca="false">V1135*Settings!$B$3/SUM(S1135:X1135)</f>
        <v>82.9510703363914</v>
      </c>
      <c r="AC1135" s="2" t="n">
        <f aca="false">W1135*Settings!$B$3/SUM(S1135:X1135)</f>
        <v>104.74006116208</v>
      </c>
      <c r="AD1135" s="2" t="n">
        <f aca="false">X1135*Settings!$B$3/SUM(S1135:X1135)</f>
        <v>71.1009174311927</v>
      </c>
      <c r="AE1135" s="2" t="n">
        <f aca="false">INT(Y1135)</f>
        <v>76</v>
      </c>
      <c r="AF1135" s="2" t="n">
        <f aca="false">INT(Z1135)</f>
        <v>67</v>
      </c>
      <c r="AG1135" s="2" t="n">
        <f aca="false">INT(AA1135)</f>
        <v>97</v>
      </c>
      <c r="AH1135" s="2" t="n">
        <f aca="false">INT(AB1135)</f>
        <v>82</v>
      </c>
      <c r="AI1135" s="2" t="n">
        <f aca="false">INT(AC1135)</f>
        <v>104</v>
      </c>
      <c r="AJ1135" s="2" t="n">
        <f aca="false">INT(AD1135)</f>
        <v>71</v>
      </c>
      <c r="AK1135" s="2" t="n">
        <f aca="false">Settings!$B$3-SUM(AE1135:AJ1135)</f>
        <v>3</v>
      </c>
      <c r="AL1135" s="2" t="n">
        <f aca="false">ROUND(Y1135-AE1135,9)</f>
        <v>0.070336391</v>
      </c>
      <c r="AM1135" s="2" t="n">
        <f aca="false">ROUND(Z1135-AF1135,9)</f>
        <v>0.278287462</v>
      </c>
      <c r="AN1135" s="2" t="n">
        <f aca="false">ROUND(AA1135-AG1135,9)</f>
        <v>0.859327217</v>
      </c>
      <c r="AO1135" s="2" t="n">
        <f aca="false">ROUND(AB1135-AH1135,9)</f>
        <v>0.951070336</v>
      </c>
      <c r="AP1135" s="2" t="n">
        <f aca="false">ROUND(AC1135-AI1135,9)</f>
        <v>0.740061162</v>
      </c>
      <c r="AQ1135" s="2" t="n">
        <f aca="false">ROUND(AD1135-AJ1135,9)</f>
        <v>0.100917431</v>
      </c>
    </row>
    <row r="1136" customFormat="false" ht="15" hidden="false" customHeight="false" outlineLevel="0" collapsed="false">
      <c r="A1136" s="2" t="n">
        <v>1135</v>
      </c>
      <c r="B1136" s="6" t="n">
        <v>32</v>
      </c>
      <c r="C1136" s="6" t="n">
        <v>51</v>
      </c>
      <c r="D1136" s="8" t="str">
        <f aca="false">INDEX(Bases!$B$2:$B$53,B1136)</f>
        <v>Spoink</v>
      </c>
      <c r="E1136" s="8" t="str">
        <f aca="false">INDEX(Bases!$B$2:$B$53,C1136)</f>
        <v>Cleffa</v>
      </c>
      <c r="F1136" s="2" t="str">
        <f aca="false">LEFT(D1136,ROUNDUP(LEN(D1136)/2,0))&amp;LOWER(MID(E1136,ROUNDUP(LEN(E1136)/2,0)+1,20))</f>
        <v>Spoffa</v>
      </c>
      <c r="G1136" s="8" t="str">
        <f aca="false">INDEX(Bases!$C$2:$C$53,B1136)</f>
        <v>Psychic</v>
      </c>
      <c r="H1136" s="8" t="str">
        <f aca="false">IF(INDEX(Bases!$C$2:$C$53,C1136)=G1136,"",INDEX(Bases!$C$2:$C$53,C1136))</f>
        <v>Fairy</v>
      </c>
      <c r="I1136" s="8" t="str">
        <f aca="false">IF(INDEX(Bases!$E$2:$E$53,B1136)="","",INDEX(Bases!$E$2:$E$53,B1136))</f>
        <v/>
      </c>
      <c r="J1136" s="8" t="str">
        <f aca="false">IF(INDEX(Bases!$E$2:$E$53,C1136)="","",INDEX(Bases!$E$2:$E$53,C1136))</f>
        <v/>
      </c>
      <c r="K1136" s="5"/>
      <c r="L1136" s="2" t="n">
        <f aca="false">AE1136+IF(SUMPRODUCT(--($AL1136:$AQ1136&gt;AL1136))&lt;$AK1136,1,0)</f>
        <v>103</v>
      </c>
      <c r="M1136" s="2" t="n">
        <f aca="false">AF1136+IF(SUMPRODUCT(--($AL1136:$AQ1136&gt;AM1136))+SUMPRODUCT(--($AL1136:AL1136=AM1136))&lt;$AK1136,1,0)</f>
        <v>49</v>
      </c>
      <c r="N1136" s="2" t="n">
        <f aca="false">AG1136+IF(SUMPRODUCT(--($AL1136:$AQ1136&gt;AN1136))+SUMPRODUCT(--($AL1136:AM1136=AN1136))&lt;$AK1136,1,0)</f>
        <v>58</v>
      </c>
      <c r="O1136" s="2" t="n">
        <f aca="false">AH1136+IF(SUMPRODUCT(--($AL1136:$AQ1136&gt;AO1136))+SUMPRODUCT(--($AL1136:AN1136=AO1136))&lt;$AK1136,1,0)</f>
        <v>101</v>
      </c>
      <c r="P1136" s="2" t="n">
        <f aca="false">AI1136+IF(SUMPRODUCT(--($AL1136:$AQ1136&gt;AP1136))+SUMPRODUCT(--($AL1136:AO1136=AP1136))&lt;$AK1136,1,0)</f>
        <v>120</v>
      </c>
      <c r="Q1136" s="2" t="n">
        <f aca="false">AJ1136+IF(SUMPRODUCT(--($AL1136:$AQ1136&gt;AQ1136))+SUMPRODUCT(--($AL1136:AP1136=AQ1136))&lt;$AK1136,1,0)</f>
        <v>69</v>
      </c>
      <c r="R1136" s="2" t="n">
        <f aca="false">SUM(L1136:Q1136)</f>
        <v>500</v>
      </c>
      <c r="S1136" s="2" t="n">
        <f aca="false">Settings!$B$4*MAX(INDEX(Bases!$M$2:$M$53,B1136),INDEX(Bases!$M$2:$M$53,C1136))+Settings!$B$5*MIN(INDEX(Bases!$M$2:$M$53,B1136),INDEX(Bases!$M$2:$M$53,C1136))</f>
        <v>85.6666666666667</v>
      </c>
      <c r="T1136" s="2" t="n">
        <f aca="false">Settings!$B$4*MAX(INDEX(Bases!$N$2:$N$53,B1136),INDEX(Bases!$N$2:$N$53,C1136))+Settings!$B$5*MIN(INDEX(Bases!$N$2:$N$53,B1136),INDEX(Bases!$N$2:$N$53,C1136))</f>
        <v>40.6666666666667</v>
      </c>
      <c r="U1136" s="2" t="n">
        <f aca="false">Settings!$B$4*MAX(INDEX(Bases!$O$2:$O$53,B1136),INDEX(Bases!$O$2:$O$53,C1136))+Settings!$B$5*MIN(INDEX(Bases!$O$2:$O$53,B1136),INDEX(Bases!$O$2:$O$53,C1136))</f>
        <v>48</v>
      </c>
      <c r="V1136" s="2" t="n">
        <f aca="false">Settings!$B$4*MAX(INDEX(Bases!$P$2:$P$53,B1136),INDEX(Bases!$P$2:$P$53,C1136))+Settings!$B$5*MIN(INDEX(Bases!$P$2:$P$53,B1136),INDEX(Bases!$P$2:$P$53,C1136))</f>
        <v>84.3333333333333</v>
      </c>
      <c r="W1136" s="2" t="n">
        <f aca="false">Settings!$B$4*MAX(INDEX(Bases!$Q$2:$Q$53,B1136),INDEX(Bases!$Q$2:$Q$53,C1136))+Settings!$B$5*MIN(INDEX(Bases!$Q$2:$Q$53,B1136),INDEX(Bases!$Q$2:$Q$53,C1136))</f>
        <v>99.6666666666667</v>
      </c>
      <c r="X1136" s="2" t="n">
        <f aca="false">Settings!$B$4*MAX(INDEX(Bases!$R$2:$R$53,B1136),INDEX(Bases!$R$2:$R$53,C1136))+Settings!$B$5*MIN(INDEX(Bases!$R$2:$R$53,B1136),INDEX(Bases!$R$2:$R$53,C1136))</f>
        <v>57.6666666666667</v>
      </c>
      <c r="Y1136" s="2" t="n">
        <f aca="false">S1136*Settings!$B$3/SUM(S1136:X1136)</f>
        <v>102.964743589744</v>
      </c>
      <c r="Z1136" s="2" t="n">
        <f aca="false">T1136*Settings!$B$3/SUM(S1136:X1136)</f>
        <v>48.8782051282051</v>
      </c>
      <c r="AA1136" s="2" t="n">
        <f aca="false">U1136*Settings!$B$3/SUM(S1136:X1136)</f>
        <v>57.6923076923077</v>
      </c>
      <c r="AB1136" s="2" t="n">
        <f aca="false">V1136*Settings!$B$3/SUM(S1136:X1136)</f>
        <v>101.36217948718</v>
      </c>
      <c r="AC1136" s="2" t="n">
        <f aca="false">W1136*Settings!$B$3/SUM(S1136:X1136)</f>
        <v>119.791666666667</v>
      </c>
      <c r="AD1136" s="2" t="n">
        <f aca="false">X1136*Settings!$B$3/SUM(S1136:X1136)</f>
        <v>69.3108974358974</v>
      </c>
      <c r="AE1136" s="2" t="n">
        <f aca="false">INT(Y1136)</f>
        <v>102</v>
      </c>
      <c r="AF1136" s="2" t="n">
        <f aca="false">INT(Z1136)</f>
        <v>48</v>
      </c>
      <c r="AG1136" s="2" t="n">
        <f aca="false">INT(AA1136)</f>
        <v>57</v>
      </c>
      <c r="AH1136" s="2" t="n">
        <f aca="false">INT(AB1136)</f>
        <v>101</v>
      </c>
      <c r="AI1136" s="2" t="n">
        <f aca="false">INT(AC1136)</f>
        <v>119</v>
      </c>
      <c r="AJ1136" s="2" t="n">
        <f aca="false">INT(AD1136)</f>
        <v>69</v>
      </c>
      <c r="AK1136" s="2" t="n">
        <f aca="false">Settings!$B$3-SUM(AE1136:AJ1136)</f>
        <v>4</v>
      </c>
      <c r="AL1136" s="2" t="n">
        <f aca="false">ROUND(Y1136-AE1136,9)</f>
        <v>0.96474359</v>
      </c>
      <c r="AM1136" s="2" t="n">
        <f aca="false">ROUND(Z1136-AF1136,9)</f>
        <v>0.878205128</v>
      </c>
      <c r="AN1136" s="2" t="n">
        <f aca="false">ROUND(AA1136-AG1136,9)</f>
        <v>0.692307692</v>
      </c>
      <c r="AO1136" s="2" t="n">
        <f aca="false">ROUND(AB1136-AH1136,9)</f>
        <v>0.362179487</v>
      </c>
      <c r="AP1136" s="2" t="n">
        <f aca="false">ROUND(AC1136-AI1136,9)</f>
        <v>0.791666667</v>
      </c>
      <c r="AQ1136" s="2" t="n">
        <f aca="false">ROUND(AD1136-AJ1136,9)</f>
        <v>0.310897436</v>
      </c>
    </row>
    <row r="1137" customFormat="false" ht="15" hidden="false" customHeight="false" outlineLevel="0" collapsed="false">
      <c r="A1137" s="2" t="n">
        <v>1136</v>
      </c>
      <c r="B1137" s="6" t="n">
        <v>32</v>
      </c>
      <c r="C1137" s="6" t="n">
        <v>52</v>
      </c>
      <c r="D1137" s="8" t="str">
        <f aca="false">INDEX(Bases!$B$2:$B$53,B1137)</f>
        <v>Spoink</v>
      </c>
      <c r="E1137" s="8" t="str">
        <f aca="false">INDEX(Bases!$B$2:$B$53,C1137)</f>
        <v>Togepi</v>
      </c>
      <c r="F1137" s="2" t="str">
        <f aca="false">LEFT(D1137,ROUNDUP(LEN(D1137)/2,0))&amp;LOWER(MID(E1137,ROUNDUP(LEN(E1137)/2,0)+1,20))</f>
        <v>Spoepi</v>
      </c>
      <c r="G1137" s="8" t="str">
        <f aca="false">INDEX(Bases!$C$2:$C$53,B1137)</f>
        <v>Psychic</v>
      </c>
      <c r="H1137" s="8" t="str">
        <f aca="false">IF(INDEX(Bases!$C$2:$C$53,C1137)=G1137,"",INDEX(Bases!$C$2:$C$53,C1137))</f>
        <v>Fairy</v>
      </c>
      <c r="I1137" s="8" t="str">
        <f aca="false">IF(INDEX(Bases!$E$2:$E$53,B1137)="","",INDEX(Bases!$E$2:$E$53,B1137))</f>
        <v/>
      </c>
      <c r="J1137" s="8" t="str">
        <f aca="false">IF(INDEX(Bases!$E$2:$E$53,C1137)="","",INDEX(Bases!$E$2:$E$53,C1137))</f>
        <v/>
      </c>
      <c r="K1137" s="5"/>
      <c r="L1137" s="2" t="n">
        <f aca="false">AE1137+IF(SUMPRODUCT(--($AL1137:$AQ1137&gt;AL1137))&lt;$AK1137,1,0)</f>
        <v>80</v>
      </c>
      <c r="M1137" s="2" t="n">
        <f aca="false">AF1137+IF(SUMPRODUCT(--($AL1137:$AQ1137&gt;AM1137))+SUMPRODUCT(--($AL1137:AL1137=AM1137))&lt;$AK1137,1,0)</f>
        <v>38</v>
      </c>
      <c r="N1137" s="2" t="n">
        <f aca="false">AG1137+IF(SUMPRODUCT(--($AL1137:$AQ1137&gt;AN1137))+SUMPRODUCT(--($AL1137:AM1137=AN1137))&lt;$AK1137,1,0)</f>
        <v>99</v>
      </c>
      <c r="O1137" s="2" t="n">
        <f aca="false">AH1137+IF(SUMPRODUCT(--($AL1137:$AQ1137&gt;AO1137))+SUMPRODUCT(--($AL1137:AN1137=AO1137))&lt;$AK1137,1,0)</f>
        <v>92</v>
      </c>
      <c r="P1137" s="2" t="n">
        <f aca="false">AI1137+IF(SUMPRODUCT(--($AL1137:$AQ1137&gt;AP1137))+SUMPRODUCT(--($AL1137:AO1137=AP1137))&lt;$AK1137,1,0)</f>
        <v>121</v>
      </c>
      <c r="Q1137" s="2" t="n">
        <f aca="false">AJ1137+IF(SUMPRODUCT(--($AL1137:$AQ1137&gt;AQ1137))+SUMPRODUCT(--($AL1137:AP1137=AQ1137))&lt;$AK1137,1,0)</f>
        <v>70</v>
      </c>
      <c r="R1137" s="2" t="n">
        <f aca="false">SUM(L1137:Q1137)</f>
        <v>500</v>
      </c>
      <c r="S1137" s="2" t="n">
        <f aca="false">Settings!$B$4*MAX(INDEX(Bases!$M$2:$M$53,B1137),INDEX(Bases!$M$2:$M$53,C1137))+Settings!$B$5*MIN(INDEX(Bases!$M$2:$M$53,B1137),INDEX(Bases!$M$2:$M$53,C1137))</f>
        <v>67.6666666666667</v>
      </c>
      <c r="T1137" s="2" t="n">
        <f aca="false">Settings!$B$4*MAX(INDEX(Bases!$N$2:$N$53,B1137),INDEX(Bases!$N$2:$N$53,C1137))+Settings!$B$5*MIN(INDEX(Bases!$N$2:$N$53,B1137),INDEX(Bases!$N$2:$N$53,C1137))</f>
        <v>32</v>
      </c>
      <c r="U1137" s="2" t="n">
        <f aca="false">Settings!$B$4*MAX(INDEX(Bases!$O$2:$O$53,B1137),INDEX(Bases!$O$2:$O$53,C1137))+Settings!$B$5*MIN(INDEX(Bases!$O$2:$O$53,B1137),INDEX(Bases!$O$2:$O$53,C1137))</f>
        <v>84.6666666666667</v>
      </c>
      <c r="V1137" s="2" t="n">
        <f aca="false">Settings!$B$4*MAX(INDEX(Bases!$P$2:$P$53,B1137),INDEX(Bases!$P$2:$P$53,C1137))+Settings!$B$5*MIN(INDEX(Bases!$P$2:$P$53,B1137),INDEX(Bases!$P$2:$P$53,C1137))</f>
        <v>78.3333333333333</v>
      </c>
      <c r="W1137" s="2" t="n">
        <f aca="false">Settings!$B$4*MAX(INDEX(Bases!$Q$2:$Q$53,B1137),INDEX(Bases!$Q$2:$Q$53,C1137))+Settings!$B$5*MIN(INDEX(Bases!$Q$2:$Q$53,B1137),INDEX(Bases!$Q$2:$Q$53,C1137))</f>
        <v>103</v>
      </c>
      <c r="X1137" s="2" t="n">
        <f aca="false">Settings!$B$4*MAX(INDEX(Bases!$R$2:$R$53,B1137),INDEX(Bases!$R$2:$R$53,C1137))+Settings!$B$5*MIN(INDEX(Bases!$R$2:$R$53,B1137),INDEX(Bases!$R$2:$R$53,C1137))</f>
        <v>59.6666666666667</v>
      </c>
      <c r="Y1137" s="2" t="n">
        <f aca="false">S1137*Settings!$B$3/SUM(S1137:X1137)</f>
        <v>79.5454545454546</v>
      </c>
      <c r="Z1137" s="2" t="n">
        <f aca="false">T1137*Settings!$B$3/SUM(S1137:X1137)</f>
        <v>37.6175548589342</v>
      </c>
      <c r="AA1137" s="2" t="n">
        <f aca="false">U1137*Settings!$B$3/SUM(S1137:X1137)</f>
        <v>99.5297805642633</v>
      </c>
      <c r="AB1137" s="2" t="n">
        <f aca="false">V1137*Settings!$B$3/SUM(S1137:X1137)</f>
        <v>92.0846394984326</v>
      </c>
      <c r="AC1137" s="2" t="n">
        <f aca="false">W1137*Settings!$B$3/SUM(S1137:X1137)</f>
        <v>121.081504702194</v>
      </c>
      <c r="AD1137" s="2" t="n">
        <f aca="false">X1137*Settings!$B$3/SUM(S1137:X1137)</f>
        <v>70.141065830721</v>
      </c>
      <c r="AE1137" s="2" t="n">
        <f aca="false">INT(Y1137)</f>
        <v>79</v>
      </c>
      <c r="AF1137" s="2" t="n">
        <f aca="false">INT(Z1137)</f>
        <v>37</v>
      </c>
      <c r="AG1137" s="2" t="n">
        <f aca="false">INT(AA1137)</f>
        <v>99</v>
      </c>
      <c r="AH1137" s="2" t="n">
        <f aca="false">INT(AB1137)</f>
        <v>92</v>
      </c>
      <c r="AI1137" s="2" t="n">
        <f aca="false">INT(AC1137)</f>
        <v>121</v>
      </c>
      <c r="AJ1137" s="2" t="n">
        <f aca="false">INT(AD1137)</f>
        <v>70</v>
      </c>
      <c r="AK1137" s="2" t="n">
        <f aca="false">Settings!$B$3-SUM(AE1137:AJ1137)</f>
        <v>2</v>
      </c>
      <c r="AL1137" s="2" t="n">
        <f aca="false">ROUND(Y1137-AE1137,9)</f>
        <v>0.545454545</v>
      </c>
      <c r="AM1137" s="2" t="n">
        <f aca="false">ROUND(Z1137-AF1137,9)</f>
        <v>0.617554859</v>
      </c>
      <c r="AN1137" s="2" t="n">
        <f aca="false">ROUND(AA1137-AG1137,9)</f>
        <v>0.529780564</v>
      </c>
      <c r="AO1137" s="2" t="n">
        <f aca="false">ROUND(AB1137-AH1137,9)</f>
        <v>0.084639498</v>
      </c>
      <c r="AP1137" s="2" t="n">
        <f aca="false">ROUND(AC1137-AI1137,9)</f>
        <v>0.081504702</v>
      </c>
      <c r="AQ1137" s="2" t="n">
        <f aca="false">ROUND(AD1137-AJ1137,9)</f>
        <v>0.141065831</v>
      </c>
    </row>
    <row r="1138" customFormat="false" ht="15" hidden="false" customHeight="false" outlineLevel="0" collapsed="false">
      <c r="A1138" s="2" t="n">
        <v>1137</v>
      </c>
      <c r="B1138" s="6" t="n">
        <v>33</v>
      </c>
      <c r="C1138" s="6" t="n">
        <v>34</v>
      </c>
      <c r="D1138" s="8" t="str">
        <f aca="false">INDEX(Bases!$B$2:$B$53,B1138)</f>
        <v>Jirachi</v>
      </c>
      <c r="E1138" s="8" t="str">
        <f aca="false">INDEX(Bases!$B$2:$B$53,C1138)</f>
        <v>Paras</v>
      </c>
      <c r="F1138" s="2" t="str">
        <f aca="false">LEFT(D1138,ROUNDUP(LEN(D1138)/2,0))&amp;LOWER(MID(E1138,ROUNDUP(LEN(E1138)/2,0)+1,20))</f>
        <v>Jiraas</v>
      </c>
      <c r="G1138" s="8" t="str">
        <f aca="false">INDEX(Bases!$C$2:$C$53,B1138)</f>
        <v>Psychic</v>
      </c>
      <c r="H1138" s="8" t="str">
        <f aca="false">IF(INDEX(Bases!$C$2:$C$53,C1138)=G1138,"",INDEX(Bases!$C$2:$C$53,C1138))</f>
        <v>Bug</v>
      </c>
      <c r="I1138" s="8" t="str">
        <f aca="false">IF(INDEX(Bases!$E$2:$E$53,B1138)="","",INDEX(Bases!$E$2:$E$53,B1138))</f>
        <v/>
      </c>
      <c r="J1138" s="8" t="str">
        <f aca="false">IF(INDEX(Bases!$E$2:$E$53,C1138)="","",INDEX(Bases!$E$2:$E$53,C1138))</f>
        <v/>
      </c>
      <c r="K1138" s="5"/>
      <c r="L1138" s="2" t="n">
        <f aca="false">AE1138+IF(SUMPRODUCT(--($AL1138:$AQ1138&gt;AL1138))&lt;$AK1138,1,0)</f>
        <v>73</v>
      </c>
      <c r="M1138" s="2" t="n">
        <f aca="false">AF1138+IF(SUMPRODUCT(--($AL1138:$AQ1138&gt;AM1138))+SUMPRODUCT(--($AL1138:AL1138=AM1138))&lt;$AK1138,1,0)</f>
        <v>106</v>
      </c>
      <c r="N1138" s="2" t="n">
        <f aca="false">AG1138+IF(SUMPRODUCT(--($AL1138:$AQ1138&gt;AN1138))+SUMPRODUCT(--($AL1138:AM1138=AN1138))&lt;$AK1138,1,0)</f>
        <v>88</v>
      </c>
      <c r="O1138" s="2" t="n">
        <f aca="false">AH1138+IF(SUMPRODUCT(--($AL1138:$AQ1138&gt;AO1138))+SUMPRODUCT(--($AL1138:AN1138=AO1138))&lt;$AK1138,1,0)</f>
        <v>78</v>
      </c>
      <c r="P1138" s="2" t="n">
        <f aca="false">AI1138+IF(SUMPRODUCT(--($AL1138:$AQ1138&gt;AP1138))+SUMPRODUCT(--($AL1138:AO1138=AP1138))&lt;$AK1138,1,0)</f>
        <v>88</v>
      </c>
      <c r="Q1138" s="2" t="n">
        <f aca="false">AJ1138+IF(SUMPRODUCT(--($AL1138:$AQ1138&gt;AQ1138))+SUMPRODUCT(--($AL1138:AP1138=AQ1138))&lt;$AK1138,1,0)</f>
        <v>67</v>
      </c>
      <c r="R1138" s="2" t="n">
        <f aca="false">SUM(L1138:Q1138)</f>
        <v>500</v>
      </c>
      <c r="S1138" s="2" t="n">
        <f aca="false">Settings!$B$4*MAX(INDEX(Bases!$M$2:$M$53,B1138),INDEX(Bases!$M$2:$M$53,C1138))+Settings!$B$5*MIN(INDEX(Bases!$M$2:$M$53,B1138),INDEX(Bases!$M$2:$M$53,C1138))</f>
        <v>61</v>
      </c>
      <c r="T1138" s="2" t="n">
        <f aca="false">Settings!$B$4*MAX(INDEX(Bases!$N$2:$N$53,B1138),INDEX(Bases!$N$2:$N$53,C1138))+Settings!$B$5*MIN(INDEX(Bases!$N$2:$N$53,B1138),INDEX(Bases!$N$2:$N$53,C1138))</f>
        <v>88.3333333333333</v>
      </c>
      <c r="U1138" s="2" t="n">
        <f aca="false">Settings!$B$4*MAX(INDEX(Bases!$O$2:$O$53,B1138),INDEX(Bases!$O$2:$O$53,C1138))+Settings!$B$5*MIN(INDEX(Bases!$O$2:$O$53,B1138),INDEX(Bases!$O$2:$O$53,C1138))</f>
        <v>73.6666666666667</v>
      </c>
      <c r="V1138" s="2" t="n">
        <f aca="false">Settings!$B$4*MAX(INDEX(Bases!$P$2:$P$53,B1138),INDEX(Bases!$P$2:$P$53,C1138))+Settings!$B$5*MIN(INDEX(Bases!$P$2:$P$53,B1138),INDEX(Bases!$P$2:$P$53,C1138))</f>
        <v>65.6666666666667</v>
      </c>
      <c r="W1138" s="2" t="n">
        <f aca="false">Settings!$B$4*MAX(INDEX(Bases!$Q$2:$Q$53,B1138),INDEX(Bases!$Q$2:$Q$53,C1138))+Settings!$B$5*MIN(INDEX(Bases!$Q$2:$Q$53,B1138),INDEX(Bases!$Q$2:$Q$53,C1138))</f>
        <v>73.3333333333333</v>
      </c>
      <c r="X1138" s="2" t="n">
        <f aca="false">Settings!$B$4*MAX(INDEX(Bases!$R$2:$R$53,B1138),INDEX(Bases!$R$2:$R$53,C1138))+Settings!$B$5*MIN(INDEX(Bases!$R$2:$R$53,B1138),INDEX(Bases!$R$2:$R$53,C1138))</f>
        <v>55.6666666666667</v>
      </c>
      <c r="Y1138" s="2" t="n">
        <f aca="false">S1138*Settings!$B$3/SUM(S1138:X1138)</f>
        <v>73.024740622506</v>
      </c>
      <c r="Z1138" s="2" t="n">
        <f aca="false">T1138*Settings!$B$3/SUM(S1138:X1138)</f>
        <v>105.746209098164</v>
      </c>
      <c r="AA1138" s="2" t="n">
        <f aca="false">U1138*Settings!$B$3/SUM(S1138:X1138)</f>
        <v>88.1883479648843</v>
      </c>
      <c r="AB1138" s="2" t="n">
        <f aca="false">V1138*Settings!$B$3/SUM(S1138:X1138)</f>
        <v>78.6113328012769</v>
      </c>
      <c r="AC1138" s="2" t="n">
        <f aca="false">W1138*Settings!$B$3/SUM(S1138:X1138)</f>
        <v>87.7893056664006</v>
      </c>
      <c r="AD1138" s="2" t="n">
        <f aca="false">X1138*Settings!$B$3/SUM(S1138:X1138)</f>
        <v>66.6400638467678</v>
      </c>
      <c r="AE1138" s="2" t="n">
        <f aca="false">INT(Y1138)</f>
        <v>73</v>
      </c>
      <c r="AF1138" s="2" t="n">
        <f aca="false">INT(Z1138)</f>
        <v>105</v>
      </c>
      <c r="AG1138" s="2" t="n">
        <f aca="false">INT(AA1138)</f>
        <v>88</v>
      </c>
      <c r="AH1138" s="2" t="n">
        <f aca="false">INT(AB1138)</f>
        <v>78</v>
      </c>
      <c r="AI1138" s="2" t="n">
        <f aca="false">INT(AC1138)</f>
        <v>87</v>
      </c>
      <c r="AJ1138" s="2" t="n">
        <f aca="false">INT(AD1138)</f>
        <v>66</v>
      </c>
      <c r="AK1138" s="2" t="n">
        <f aca="false">Settings!$B$3-SUM(AE1138:AJ1138)</f>
        <v>3</v>
      </c>
      <c r="AL1138" s="2" t="n">
        <f aca="false">ROUND(Y1138-AE1138,9)</f>
        <v>0.024740623</v>
      </c>
      <c r="AM1138" s="2" t="n">
        <f aca="false">ROUND(Z1138-AF1138,9)</f>
        <v>0.746209098</v>
      </c>
      <c r="AN1138" s="2" t="n">
        <f aca="false">ROUND(AA1138-AG1138,9)</f>
        <v>0.188347965</v>
      </c>
      <c r="AO1138" s="2" t="n">
        <f aca="false">ROUND(AB1138-AH1138,9)</f>
        <v>0.611332801</v>
      </c>
      <c r="AP1138" s="2" t="n">
        <f aca="false">ROUND(AC1138-AI1138,9)</f>
        <v>0.789305666</v>
      </c>
      <c r="AQ1138" s="2" t="n">
        <f aca="false">ROUND(AD1138-AJ1138,9)</f>
        <v>0.640063847</v>
      </c>
    </row>
    <row r="1139" customFormat="false" ht="15" hidden="false" customHeight="false" outlineLevel="0" collapsed="false">
      <c r="A1139" s="2" t="n">
        <v>1138</v>
      </c>
      <c r="B1139" s="6" t="n">
        <v>33</v>
      </c>
      <c r="C1139" s="6" t="n">
        <v>35</v>
      </c>
      <c r="D1139" s="8" t="str">
        <f aca="false">INDEX(Bases!$B$2:$B$53,B1139)</f>
        <v>Jirachi</v>
      </c>
      <c r="E1139" s="8" t="str">
        <f aca="false">INDEX(Bases!$B$2:$B$53,C1139)</f>
        <v>Pineco</v>
      </c>
      <c r="F1139" s="2" t="str">
        <f aca="false">LEFT(D1139,ROUNDUP(LEN(D1139)/2,0))&amp;LOWER(MID(E1139,ROUNDUP(LEN(E1139)/2,0)+1,20))</f>
        <v>Jiraeco</v>
      </c>
      <c r="G1139" s="8" t="str">
        <f aca="false">INDEX(Bases!$C$2:$C$53,B1139)</f>
        <v>Psychic</v>
      </c>
      <c r="H1139" s="8" t="str">
        <f aca="false">IF(INDEX(Bases!$C$2:$C$53,C1139)=G1139,"",INDEX(Bases!$C$2:$C$53,C1139))</f>
        <v>Bug</v>
      </c>
      <c r="I1139" s="8" t="str">
        <f aca="false">IF(INDEX(Bases!$E$2:$E$53,B1139)="","",INDEX(Bases!$E$2:$E$53,B1139))</f>
        <v/>
      </c>
      <c r="J1139" s="8" t="str">
        <f aca="false">IF(INDEX(Bases!$E$2:$E$53,C1139)="","",INDEX(Bases!$E$2:$E$53,C1139))</f>
        <v/>
      </c>
      <c r="K1139" s="5"/>
      <c r="L1139" s="2" t="n">
        <f aca="false">AE1139+IF(SUMPRODUCT(--($AL1139:$AQ1139&gt;AL1139))&lt;$AK1139,1,0)</f>
        <v>80</v>
      </c>
      <c r="M1139" s="2" t="n">
        <f aca="false">AF1139+IF(SUMPRODUCT(--($AL1139:$AQ1139&gt;AM1139))+SUMPRODUCT(--($AL1139:AL1139=AM1139))&lt;$AK1139,1,0)</f>
        <v>96</v>
      </c>
      <c r="N1139" s="2" t="n">
        <f aca="false">AG1139+IF(SUMPRODUCT(--($AL1139:$AQ1139&gt;AN1139))+SUMPRODUCT(--($AL1139:AM1139=AN1139))&lt;$AK1139,1,0)</f>
        <v>123</v>
      </c>
      <c r="O1139" s="2" t="n">
        <f aca="false">AH1139+IF(SUMPRODUCT(--($AL1139:$AQ1139&gt;AO1139))+SUMPRODUCT(--($AL1139:AN1139=AO1139))&lt;$AK1139,1,0)</f>
        <v>71</v>
      </c>
      <c r="P1139" s="2" t="n">
        <f aca="false">AI1139+IF(SUMPRODUCT(--($AL1139:$AQ1139&gt;AP1139))+SUMPRODUCT(--($AL1139:AO1139=AP1139))&lt;$AK1139,1,0)</f>
        <v>70</v>
      </c>
      <c r="Q1139" s="2" t="n">
        <f aca="false">AJ1139+IF(SUMPRODUCT(--($AL1139:$AQ1139&gt;AQ1139))+SUMPRODUCT(--($AL1139:AP1139=AQ1139))&lt;$AK1139,1,0)</f>
        <v>60</v>
      </c>
      <c r="R1139" s="2" t="n">
        <f aca="false">SUM(L1139:Q1139)</f>
        <v>500</v>
      </c>
      <c r="S1139" s="2" t="n">
        <f aca="false">Settings!$B$4*MAX(INDEX(Bases!$M$2:$M$53,B1139),INDEX(Bases!$M$2:$M$53,C1139))+Settings!$B$5*MIN(INDEX(Bases!$M$2:$M$53,B1139),INDEX(Bases!$M$2:$M$53,C1139))</f>
        <v>68.3333333333333</v>
      </c>
      <c r="T1139" s="2" t="n">
        <f aca="false">Settings!$B$4*MAX(INDEX(Bases!$N$2:$N$53,B1139),INDEX(Bases!$N$2:$N$53,C1139))+Settings!$B$5*MIN(INDEX(Bases!$N$2:$N$53,B1139),INDEX(Bases!$N$2:$N$53,C1139))</f>
        <v>82.3333333333333</v>
      </c>
      <c r="U1139" s="2" t="n">
        <f aca="false">Settings!$B$4*MAX(INDEX(Bases!$O$2:$O$53,B1139),INDEX(Bases!$O$2:$O$53,C1139))+Settings!$B$5*MIN(INDEX(Bases!$O$2:$O$53,B1139),INDEX(Bases!$O$2:$O$53,C1139))</f>
        <v>105</v>
      </c>
      <c r="V1139" s="2" t="n">
        <f aca="false">Settings!$B$4*MAX(INDEX(Bases!$P$2:$P$53,B1139),INDEX(Bases!$P$2:$P$53,C1139))+Settings!$B$5*MIN(INDEX(Bases!$P$2:$P$53,B1139),INDEX(Bases!$P$2:$P$53,C1139))</f>
        <v>60.6666666666667</v>
      </c>
      <c r="W1139" s="2" t="n">
        <f aca="false">Settings!$B$4*MAX(INDEX(Bases!$Q$2:$Q$53,B1139),INDEX(Bases!$Q$2:$Q$53,C1139))+Settings!$B$5*MIN(INDEX(Bases!$Q$2:$Q$53,B1139),INDEX(Bases!$Q$2:$Q$53,C1139))</f>
        <v>60</v>
      </c>
      <c r="X1139" s="2" t="n">
        <f aca="false">Settings!$B$4*MAX(INDEX(Bases!$R$2:$R$53,B1139),INDEX(Bases!$R$2:$R$53,C1139))+Settings!$B$5*MIN(INDEX(Bases!$R$2:$R$53,B1139),INDEX(Bases!$R$2:$R$53,C1139))</f>
        <v>51</v>
      </c>
      <c r="Y1139" s="2" t="n">
        <f aca="false">S1139*Settings!$B$3/SUM(S1139:X1139)</f>
        <v>79.9531981279251</v>
      </c>
      <c r="Z1139" s="2" t="n">
        <f aca="false">T1139*Settings!$B$3/SUM(S1139:X1139)</f>
        <v>96.3338533541342</v>
      </c>
      <c r="AA1139" s="2" t="n">
        <f aca="false">U1139*Settings!$B$3/SUM(S1139:X1139)</f>
        <v>122.854914196568</v>
      </c>
      <c r="AB1139" s="2" t="n">
        <f aca="false">V1139*Settings!$B$3/SUM(S1139:X1139)</f>
        <v>70.9828393135725</v>
      </c>
      <c r="AC1139" s="2" t="n">
        <f aca="false">W1139*Settings!$B$3/SUM(S1139:X1139)</f>
        <v>70.2028081123245</v>
      </c>
      <c r="AD1139" s="2" t="n">
        <f aca="false">X1139*Settings!$B$3/SUM(S1139:X1139)</f>
        <v>59.6723868954758</v>
      </c>
      <c r="AE1139" s="2" t="n">
        <f aca="false">INT(Y1139)</f>
        <v>79</v>
      </c>
      <c r="AF1139" s="2" t="n">
        <f aca="false">INT(Z1139)</f>
        <v>96</v>
      </c>
      <c r="AG1139" s="2" t="n">
        <f aca="false">INT(AA1139)</f>
        <v>122</v>
      </c>
      <c r="AH1139" s="2" t="n">
        <f aca="false">INT(AB1139)</f>
        <v>70</v>
      </c>
      <c r="AI1139" s="2" t="n">
        <f aca="false">INT(AC1139)</f>
        <v>70</v>
      </c>
      <c r="AJ1139" s="2" t="n">
        <f aca="false">INT(AD1139)</f>
        <v>59</v>
      </c>
      <c r="AK1139" s="2" t="n">
        <f aca="false">Settings!$B$3-SUM(AE1139:AJ1139)</f>
        <v>4</v>
      </c>
      <c r="AL1139" s="2" t="n">
        <f aca="false">ROUND(Y1139-AE1139,9)</f>
        <v>0.953198128</v>
      </c>
      <c r="AM1139" s="2" t="n">
        <f aca="false">ROUND(Z1139-AF1139,9)</f>
        <v>0.333853354</v>
      </c>
      <c r="AN1139" s="2" t="n">
        <f aca="false">ROUND(AA1139-AG1139,9)</f>
        <v>0.854914197</v>
      </c>
      <c r="AO1139" s="2" t="n">
        <f aca="false">ROUND(AB1139-AH1139,9)</f>
        <v>0.982839314</v>
      </c>
      <c r="AP1139" s="2" t="n">
        <f aca="false">ROUND(AC1139-AI1139,9)</f>
        <v>0.202808112</v>
      </c>
      <c r="AQ1139" s="2" t="n">
        <f aca="false">ROUND(AD1139-AJ1139,9)</f>
        <v>0.672386895</v>
      </c>
    </row>
    <row r="1140" customFormat="false" ht="15" hidden="false" customHeight="false" outlineLevel="0" collapsed="false">
      <c r="A1140" s="2" t="n">
        <v>1139</v>
      </c>
      <c r="B1140" s="6" t="n">
        <v>33</v>
      </c>
      <c r="C1140" s="6" t="n">
        <v>36</v>
      </c>
      <c r="D1140" s="8" t="str">
        <f aca="false">INDEX(Bases!$B$2:$B$53,B1140)</f>
        <v>Jirachi</v>
      </c>
      <c r="E1140" s="8" t="str">
        <f aca="false">INDEX(Bases!$B$2:$B$53,C1140)</f>
        <v>Wurmple</v>
      </c>
      <c r="F1140" s="2" t="str">
        <f aca="false">LEFT(D1140,ROUNDUP(LEN(D1140)/2,0))&amp;LOWER(MID(E1140,ROUNDUP(LEN(E1140)/2,0)+1,20))</f>
        <v>Jiraple</v>
      </c>
      <c r="G1140" s="8" t="str">
        <f aca="false">INDEX(Bases!$C$2:$C$53,B1140)</f>
        <v>Psychic</v>
      </c>
      <c r="H1140" s="8" t="str">
        <f aca="false">IF(INDEX(Bases!$C$2:$C$53,C1140)=G1140,"",INDEX(Bases!$C$2:$C$53,C1140))</f>
        <v>Bug</v>
      </c>
      <c r="I1140" s="8" t="str">
        <f aca="false">IF(INDEX(Bases!$E$2:$E$53,B1140)="","",INDEX(Bases!$E$2:$E$53,B1140))</f>
        <v/>
      </c>
      <c r="J1140" s="8" t="str">
        <f aca="false">IF(INDEX(Bases!$E$2:$E$53,C1140)="","",INDEX(Bases!$E$2:$E$53,C1140))</f>
        <v/>
      </c>
      <c r="K1140" s="5"/>
      <c r="L1140" s="2" t="n">
        <f aca="false">AE1140+IF(SUMPRODUCT(--($AL1140:$AQ1140&gt;AL1140))&lt;$AK1140,1,0)</f>
        <v>100</v>
      </c>
      <c r="M1140" s="2" t="n">
        <f aca="false">AF1140+IF(SUMPRODUCT(--($AL1140:$AQ1140&gt;AM1140))+SUMPRODUCT(--($AL1140:AL1140=AM1140))&lt;$AK1140,1,0)</f>
        <v>100</v>
      </c>
      <c r="N1140" s="2" t="n">
        <f aca="false">AG1140+IF(SUMPRODUCT(--($AL1140:$AQ1140&gt;AN1140))+SUMPRODUCT(--($AL1140:AM1140=AN1140))&lt;$AK1140,1,0)</f>
        <v>84</v>
      </c>
      <c r="O1140" s="2" t="n">
        <f aca="false">AH1140+IF(SUMPRODUCT(--($AL1140:$AQ1140&gt;AO1140))+SUMPRODUCT(--($AL1140:AN1140=AO1140))&lt;$AK1140,1,0)</f>
        <v>70</v>
      </c>
      <c r="P1140" s="2" t="n">
        <f aca="false">AI1140+IF(SUMPRODUCT(--($AL1140:$AQ1140&gt;AP1140))+SUMPRODUCT(--($AL1140:AO1140=AP1140))&lt;$AK1140,1,0)</f>
        <v>77</v>
      </c>
      <c r="Q1140" s="2" t="n">
        <f aca="false">AJ1140+IF(SUMPRODUCT(--($AL1140:$AQ1140&gt;AQ1140))+SUMPRODUCT(--($AL1140:AP1140=AQ1140))&lt;$AK1140,1,0)</f>
        <v>69</v>
      </c>
      <c r="R1140" s="2" t="n">
        <f aca="false">SUM(L1140:Q1140)</f>
        <v>500</v>
      </c>
      <c r="S1140" s="2" t="n">
        <f aca="false">Settings!$B$4*MAX(INDEX(Bases!$M$2:$M$53,B1140),INDEX(Bases!$M$2:$M$53,C1140))+Settings!$B$5*MIN(INDEX(Bases!$M$2:$M$53,B1140),INDEX(Bases!$M$2:$M$53,C1140))</f>
        <v>83.6666666666667</v>
      </c>
      <c r="T1140" s="2" t="n">
        <f aca="false">Settings!$B$4*MAX(INDEX(Bases!$N$2:$N$53,B1140),INDEX(Bases!$N$2:$N$53,C1140))+Settings!$B$5*MIN(INDEX(Bases!$N$2:$N$53,B1140),INDEX(Bases!$N$2:$N$53,C1140))</f>
        <v>83.6666666666667</v>
      </c>
      <c r="U1140" s="2" t="n">
        <f aca="false">Settings!$B$4*MAX(INDEX(Bases!$O$2:$O$53,B1140),INDEX(Bases!$O$2:$O$53,C1140))+Settings!$B$5*MIN(INDEX(Bases!$O$2:$O$53,B1140),INDEX(Bases!$O$2:$O$53,C1140))</f>
        <v>70.3333333333333</v>
      </c>
      <c r="V1140" s="2" t="n">
        <f aca="false">Settings!$B$4*MAX(INDEX(Bases!$P$2:$P$53,B1140),INDEX(Bases!$P$2:$P$53,C1140))+Settings!$B$5*MIN(INDEX(Bases!$P$2:$P$53,B1140),INDEX(Bases!$P$2:$P$53,C1140))</f>
        <v>58.3333333333333</v>
      </c>
      <c r="W1140" s="2" t="n">
        <f aca="false">Settings!$B$4*MAX(INDEX(Bases!$Q$2:$Q$53,B1140),INDEX(Bases!$Q$2:$Q$53,C1140))+Settings!$B$5*MIN(INDEX(Bases!$Q$2:$Q$53,B1140),INDEX(Bases!$Q$2:$Q$53,C1140))</f>
        <v>64.6666666666667</v>
      </c>
      <c r="X1140" s="2" t="n">
        <f aca="false">Settings!$B$4*MAX(INDEX(Bases!$R$2:$R$53,B1140),INDEX(Bases!$R$2:$R$53,C1140))+Settings!$B$5*MIN(INDEX(Bases!$R$2:$R$53,B1140),INDEX(Bases!$R$2:$R$53,C1140))</f>
        <v>57.6666666666667</v>
      </c>
      <c r="Y1140" s="2" t="n">
        <f aca="false">S1140*Settings!$B$3/SUM(S1140:X1140)</f>
        <v>100</v>
      </c>
      <c r="Z1140" s="2" t="n">
        <f aca="false">T1140*Settings!$B$3/SUM(S1140:X1140)</f>
        <v>100</v>
      </c>
      <c r="AA1140" s="2" t="n">
        <f aca="false">U1140*Settings!$B$3/SUM(S1140:X1140)</f>
        <v>84.0637450199203</v>
      </c>
      <c r="AB1140" s="2" t="n">
        <f aca="false">V1140*Settings!$B$3/SUM(S1140:X1140)</f>
        <v>69.7211155378486</v>
      </c>
      <c r="AC1140" s="2" t="n">
        <f aca="false">W1140*Settings!$B$3/SUM(S1140:X1140)</f>
        <v>77.2908366533865</v>
      </c>
      <c r="AD1140" s="2" t="n">
        <f aca="false">X1140*Settings!$B$3/SUM(S1140:X1140)</f>
        <v>68.9243027888446</v>
      </c>
      <c r="AE1140" s="2" t="n">
        <f aca="false">INT(Y1140)</f>
        <v>100</v>
      </c>
      <c r="AF1140" s="2" t="n">
        <f aca="false">INT(Z1140)</f>
        <v>100</v>
      </c>
      <c r="AG1140" s="2" t="n">
        <f aca="false">INT(AA1140)</f>
        <v>84</v>
      </c>
      <c r="AH1140" s="2" t="n">
        <f aca="false">INT(AB1140)</f>
        <v>69</v>
      </c>
      <c r="AI1140" s="2" t="n">
        <f aca="false">INT(AC1140)</f>
        <v>77</v>
      </c>
      <c r="AJ1140" s="2" t="n">
        <f aca="false">INT(AD1140)</f>
        <v>68</v>
      </c>
      <c r="AK1140" s="2" t="n">
        <f aca="false">Settings!$B$3-SUM(AE1140:AJ1140)</f>
        <v>2</v>
      </c>
      <c r="AL1140" s="2" t="n">
        <f aca="false">ROUND(Y1140-AE1140,9)</f>
        <v>0</v>
      </c>
      <c r="AM1140" s="2" t="n">
        <f aca="false">ROUND(Z1140-AF1140,9)</f>
        <v>0</v>
      </c>
      <c r="AN1140" s="2" t="n">
        <f aca="false">ROUND(AA1140-AG1140,9)</f>
        <v>0.06374502</v>
      </c>
      <c r="AO1140" s="2" t="n">
        <f aca="false">ROUND(AB1140-AH1140,9)</f>
        <v>0.721115538</v>
      </c>
      <c r="AP1140" s="2" t="n">
        <f aca="false">ROUND(AC1140-AI1140,9)</f>
        <v>0.290836653</v>
      </c>
      <c r="AQ1140" s="2" t="n">
        <f aca="false">ROUND(AD1140-AJ1140,9)</f>
        <v>0.924302789</v>
      </c>
    </row>
    <row r="1141" customFormat="false" ht="15" hidden="false" customHeight="false" outlineLevel="0" collapsed="false">
      <c r="A1141" s="2" t="n">
        <v>1140</v>
      </c>
      <c r="B1141" s="6" t="n">
        <v>33</v>
      </c>
      <c r="C1141" s="6" t="n">
        <v>37</v>
      </c>
      <c r="D1141" s="8" t="str">
        <f aca="false">INDEX(Bases!$B$2:$B$53,B1141)</f>
        <v>Jirachi</v>
      </c>
      <c r="E1141" s="8" t="str">
        <f aca="false">INDEX(Bases!$B$2:$B$53,C1141)</f>
        <v>Shuckle</v>
      </c>
      <c r="F1141" s="2" t="str">
        <f aca="false">LEFT(D1141,ROUNDUP(LEN(D1141)/2,0))&amp;LOWER(MID(E1141,ROUNDUP(LEN(E1141)/2,0)+1,20))</f>
        <v>Jirakle</v>
      </c>
      <c r="G1141" s="8" t="str">
        <f aca="false">INDEX(Bases!$C$2:$C$53,B1141)</f>
        <v>Psychic</v>
      </c>
      <c r="H1141" s="8" t="str">
        <f aca="false">IF(INDEX(Bases!$C$2:$C$53,C1141)=G1141,"",INDEX(Bases!$C$2:$C$53,C1141))</f>
        <v>Rock</v>
      </c>
      <c r="I1141" s="8" t="str">
        <f aca="false">IF(INDEX(Bases!$E$2:$E$53,B1141)="","",INDEX(Bases!$E$2:$E$53,B1141))</f>
        <v/>
      </c>
      <c r="J1141" s="8" t="str">
        <f aca="false">IF(INDEX(Bases!$E$2:$E$53,C1141)="","",INDEX(Bases!$E$2:$E$53,C1141))</f>
        <v/>
      </c>
      <c r="K1141" s="5"/>
      <c r="L1141" s="2" t="n">
        <f aca="false">AE1141+IF(SUMPRODUCT(--($AL1141:$AQ1141&gt;AL1141))&lt;$AK1141,1,0)</f>
        <v>52</v>
      </c>
      <c r="M1141" s="2" t="n">
        <f aca="false">AF1141+IF(SUMPRODUCT(--($AL1141:$AQ1141&gt;AM1141))+SUMPRODUCT(--($AL1141:AL1141=AM1141))&lt;$AK1141,1,0)</f>
        <v>50</v>
      </c>
      <c r="N1141" s="2" t="n">
        <f aca="false">AG1141+IF(SUMPRODUCT(--($AL1141:$AQ1141&gt;AN1141))+SUMPRODUCT(--($AL1141:AM1141=AN1141))&lt;$AK1141,1,0)</f>
        <v>151</v>
      </c>
      <c r="O1141" s="2" t="n">
        <f aca="false">AH1141+IF(SUMPRODUCT(--($AL1141:$AQ1141&gt;AO1141))+SUMPRODUCT(--($AL1141:AN1141=AO1141))&lt;$AK1141,1,0)</f>
        <v>50</v>
      </c>
      <c r="P1141" s="2" t="n">
        <f aca="false">AI1141+IF(SUMPRODUCT(--($AL1141:$AQ1141&gt;AP1141))+SUMPRODUCT(--($AL1141:AO1141=AP1141))&lt;$AK1141,1,0)</f>
        <v>150</v>
      </c>
      <c r="Q1141" s="2" t="n">
        <f aca="false">AJ1141+IF(SUMPRODUCT(--($AL1141:$AQ1141&gt;AQ1141))+SUMPRODUCT(--($AL1141:AP1141=AQ1141))&lt;$AK1141,1,0)</f>
        <v>47</v>
      </c>
      <c r="R1141" s="2" t="n">
        <f aca="false">SUM(L1141:Q1141)</f>
        <v>500</v>
      </c>
      <c r="S1141" s="2" t="n">
        <f aca="false">Settings!$B$4*MAX(INDEX(Bases!$M$2:$M$53,B1141),INDEX(Bases!$M$2:$M$53,C1141))+Settings!$B$5*MIN(INDEX(Bases!$M$2:$M$53,B1141),INDEX(Bases!$M$2:$M$53,C1141))</f>
        <v>50</v>
      </c>
      <c r="T1141" s="2" t="n">
        <f aca="false">Settings!$B$4*MAX(INDEX(Bases!$N$2:$N$53,B1141),INDEX(Bases!$N$2:$N$53,C1141))+Settings!$B$5*MIN(INDEX(Bases!$N$2:$N$53,B1141),INDEX(Bases!$N$2:$N$53,C1141))</f>
        <v>47.3333333333333</v>
      </c>
      <c r="U1141" s="2" t="n">
        <f aca="false">Settings!$B$4*MAX(INDEX(Bases!$O$2:$O$53,B1141),INDEX(Bases!$O$2:$O$53,C1141))+Settings!$B$5*MIN(INDEX(Bases!$O$2:$O$53,B1141),INDEX(Bases!$O$2:$O$53,C1141))</f>
        <v>143.666666666667</v>
      </c>
      <c r="V1141" s="2" t="n">
        <f aca="false">Settings!$B$4*MAX(INDEX(Bases!$P$2:$P$53,B1141),INDEX(Bases!$P$2:$P$53,C1141))+Settings!$B$5*MIN(INDEX(Bases!$P$2:$P$53,B1141),INDEX(Bases!$P$2:$P$53,C1141))</f>
        <v>47.3333333333333</v>
      </c>
      <c r="W1141" s="2" t="n">
        <f aca="false">Settings!$B$4*MAX(INDEX(Bases!$Q$2:$Q$53,B1141),INDEX(Bases!$Q$2:$Q$53,C1141))+Settings!$B$5*MIN(INDEX(Bases!$Q$2:$Q$53,B1141),INDEX(Bases!$Q$2:$Q$53,C1141))</f>
        <v>143.333333333333</v>
      </c>
      <c r="X1141" s="2" t="n">
        <f aca="false">Settings!$B$4*MAX(INDEX(Bases!$R$2:$R$53,B1141),INDEX(Bases!$R$2:$R$53,C1141))+Settings!$B$5*MIN(INDEX(Bases!$R$2:$R$53,B1141),INDEX(Bases!$R$2:$R$53,C1141))</f>
        <v>45.3333333333333</v>
      </c>
      <c r="Y1141" s="2" t="n">
        <f aca="false">S1141*Settings!$B$3/SUM(S1141:X1141)</f>
        <v>52.4109014675053</v>
      </c>
      <c r="Z1141" s="2" t="n">
        <f aca="false">T1141*Settings!$B$3/SUM(S1141:X1141)</f>
        <v>49.6156533892383</v>
      </c>
      <c r="AA1141" s="2" t="n">
        <f aca="false">U1141*Settings!$B$3/SUM(S1141:X1141)</f>
        <v>150.593990216632</v>
      </c>
      <c r="AB1141" s="2" t="n">
        <f aca="false">V1141*Settings!$B$3/SUM(S1141:X1141)</f>
        <v>49.6156533892383</v>
      </c>
      <c r="AC1141" s="2" t="n">
        <f aca="false">W1141*Settings!$B$3/SUM(S1141:X1141)</f>
        <v>150.244584206848</v>
      </c>
      <c r="AD1141" s="2" t="n">
        <f aca="false">X1141*Settings!$B$3/SUM(S1141:X1141)</f>
        <v>47.5192173305381</v>
      </c>
      <c r="AE1141" s="2" t="n">
        <f aca="false">INT(Y1141)</f>
        <v>52</v>
      </c>
      <c r="AF1141" s="2" t="n">
        <f aca="false">INT(Z1141)</f>
        <v>49</v>
      </c>
      <c r="AG1141" s="2" t="n">
        <f aca="false">INT(AA1141)</f>
        <v>150</v>
      </c>
      <c r="AH1141" s="2" t="n">
        <f aca="false">INT(AB1141)</f>
        <v>49</v>
      </c>
      <c r="AI1141" s="2" t="n">
        <f aca="false">INT(AC1141)</f>
        <v>150</v>
      </c>
      <c r="AJ1141" s="2" t="n">
        <f aca="false">INT(AD1141)</f>
        <v>47</v>
      </c>
      <c r="AK1141" s="2" t="n">
        <f aca="false">Settings!$B$3-SUM(AE1141:AJ1141)</f>
        <v>3</v>
      </c>
      <c r="AL1141" s="2" t="n">
        <f aca="false">ROUND(Y1141-AE1141,9)</f>
        <v>0.410901468</v>
      </c>
      <c r="AM1141" s="2" t="n">
        <f aca="false">ROUND(Z1141-AF1141,9)</f>
        <v>0.615653389</v>
      </c>
      <c r="AN1141" s="2" t="n">
        <f aca="false">ROUND(AA1141-AG1141,9)</f>
        <v>0.593990217</v>
      </c>
      <c r="AO1141" s="2" t="n">
        <f aca="false">ROUND(AB1141-AH1141,9)</f>
        <v>0.615653389</v>
      </c>
      <c r="AP1141" s="2" t="n">
        <f aca="false">ROUND(AC1141-AI1141,9)</f>
        <v>0.244584207</v>
      </c>
      <c r="AQ1141" s="2" t="n">
        <f aca="false">ROUND(AD1141-AJ1141,9)</f>
        <v>0.519217331</v>
      </c>
    </row>
    <row r="1142" customFormat="false" ht="15" hidden="false" customHeight="false" outlineLevel="0" collapsed="false">
      <c r="A1142" s="2" t="n">
        <v>1141</v>
      </c>
      <c r="B1142" s="6" t="n">
        <v>33</v>
      </c>
      <c r="C1142" s="6" t="n">
        <v>38</v>
      </c>
      <c r="D1142" s="8" t="str">
        <f aca="false">INDEX(Bases!$B$2:$B$53,B1142)</f>
        <v>Jirachi</v>
      </c>
      <c r="E1142" s="8" t="str">
        <f aca="false">INDEX(Bases!$B$2:$B$53,C1142)</f>
        <v>Larvitar</v>
      </c>
      <c r="F1142" s="2" t="str">
        <f aca="false">LEFT(D1142,ROUNDUP(LEN(D1142)/2,0))&amp;LOWER(MID(E1142,ROUNDUP(LEN(E1142)/2,0)+1,20))</f>
        <v>Jiraitar</v>
      </c>
      <c r="G1142" s="8" t="str">
        <f aca="false">INDEX(Bases!$C$2:$C$53,B1142)</f>
        <v>Psychic</v>
      </c>
      <c r="H1142" s="8" t="str">
        <f aca="false">IF(INDEX(Bases!$C$2:$C$53,C1142)=G1142,"",INDEX(Bases!$C$2:$C$53,C1142))</f>
        <v>Rock</v>
      </c>
      <c r="I1142" s="8" t="str">
        <f aca="false">IF(INDEX(Bases!$E$2:$E$53,B1142)="","",INDEX(Bases!$E$2:$E$53,B1142))</f>
        <v/>
      </c>
      <c r="J1142" s="8" t="str">
        <f aca="false">IF(INDEX(Bases!$E$2:$E$53,C1142)="","",INDEX(Bases!$E$2:$E$53,C1142))</f>
        <v/>
      </c>
      <c r="K1142" s="5"/>
      <c r="L1142" s="2" t="n">
        <f aca="false">AE1142+IF(SUMPRODUCT(--($AL1142:$AQ1142&gt;AL1142))&lt;$AK1142,1,0)</f>
        <v>83</v>
      </c>
      <c r="M1142" s="2" t="n">
        <f aca="false">AF1142+IF(SUMPRODUCT(--($AL1142:$AQ1142&gt;AM1142))+SUMPRODUCT(--($AL1142:AL1142=AM1142))&lt;$AK1142,1,0)</f>
        <v>97</v>
      </c>
      <c r="N1142" s="2" t="n">
        <f aca="false">AG1142+IF(SUMPRODUCT(--($AL1142:$AQ1142&gt;AN1142))+SUMPRODUCT(--($AL1142:AM1142=AN1142))&lt;$AK1142,1,0)</f>
        <v>82</v>
      </c>
      <c r="O1142" s="2" t="n">
        <f aca="false">AH1142+IF(SUMPRODUCT(--($AL1142:$AQ1142&gt;AO1142))+SUMPRODUCT(--($AL1142:AN1142=AO1142))&lt;$AK1142,1,0)</f>
        <v>80</v>
      </c>
      <c r="P1142" s="2" t="n">
        <f aca="false">AI1142+IF(SUMPRODUCT(--($AL1142:$AQ1142&gt;AP1142))+SUMPRODUCT(--($AL1142:AO1142=AP1142))&lt;$AK1142,1,0)</f>
        <v>82</v>
      </c>
      <c r="Q1142" s="2" t="n">
        <f aca="false">AJ1142+IF(SUMPRODUCT(--($AL1142:$AQ1142&gt;AQ1142))+SUMPRODUCT(--($AL1142:AP1142=AQ1142))&lt;$AK1142,1,0)</f>
        <v>76</v>
      </c>
      <c r="R1142" s="2" t="n">
        <f aca="false">SUM(L1142:Q1142)</f>
        <v>500</v>
      </c>
      <c r="S1142" s="2" t="n">
        <f aca="false">Settings!$B$4*MAX(INDEX(Bases!$M$2:$M$53,B1142),INDEX(Bases!$M$2:$M$53,C1142))+Settings!$B$5*MIN(INDEX(Bases!$M$2:$M$53,B1142),INDEX(Bases!$M$2:$M$53,C1142))</f>
        <v>67</v>
      </c>
      <c r="T1142" s="2" t="n">
        <f aca="false">Settings!$B$4*MAX(INDEX(Bases!$N$2:$N$53,B1142),INDEX(Bases!$N$2:$N$53,C1142))+Settings!$B$5*MIN(INDEX(Bases!$N$2:$N$53,B1142),INDEX(Bases!$N$2:$N$53,C1142))</f>
        <v>79</v>
      </c>
      <c r="U1142" s="2" t="n">
        <f aca="false">Settings!$B$4*MAX(INDEX(Bases!$O$2:$O$53,B1142),INDEX(Bases!$O$2:$O$53,C1142))+Settings!$B$5*MIN(INDEX(Bases!$O$2:$O$53,B1142),INDEX(Bases!$O$2:$O$53,C1142))</f>
        <v>67</v>
      </c>
      <c r="V1142" s="2" t="n">
        <f aca="false">Settings!$B$4*MAX(INDEX(Bases!$P$2:$P$53,B1142),INDEX(Bases!$P$2:$P$53,C1142))+Settings!$B$5*MIN(INDEX(Bases!$P$2:$P$53,B1142),INDEX(Bases!$P$2:$P$53,C1142))</f>
        <v>64.6666666666667</v>
      </c>
      <c r="W1142" s="2" t="n">
        <f aca="false">Settings!$B$4*MAX(INDEX(Bases!$Q$2:$Q$53,B1142),INDEX(Bases!$Q$2:$Q$53,C1142))+Settings!$B$5*MIN(INDEX(Bases!$Q$2:$Q$53,B1142),INDEX(Bases!$Q$2:$Q$53,C1142))</f>
        <v>66.6666666666667</v>
      </c>
      <c r="X1142" s="2" t="n">
        <f aca="false">Settings!$B$4*MAX(INDEX(Bases!$R$2:$R$53,B1142),INDEX(Bases!$R$2:$R$53,C1142))+Settings!$B$5*MIN(INDEX(Bases!$R$2:$R$53,B1142),INDEX(Bases!$R$2:$R$53,C1142))</f>
        <v>62</v>
      </c>
      <c r="Y1142" s="2" t="n">
        <f aca="false">S1142*Settings!$B$3/SUM(S1142:X1142)</f>
        <v>82.4446267432322</v>
      </c>
      <c r="Z1142" s="2" t="n">
        <f aca="false">T1142*Settings!$B$3/SUM(S1142:X1142)</f>
        <v>97.2108285479902</v>
      </c>
      <c r="AA1142" s="2" t="n">
        <f aca="false">U1142*Settings!$B$3/SUM(S1142:X1142)</f>
        <v>82.4446267432322</v>
      </c>
      <c r="AB1142" s="2" t="n">
        <f aca="false">V1142*Settings!$B$3/SUM(S1142:X1142)</f>
        <v>79.5734208367514</v>
      </c>
      <c r="AC1142" s="2" t="n">
        <f aca="false">W1142*Settings!$B$3/SUM(S1142:X1142)</f>
        <v>82.0344544708778</v>
      </c>
      <c r="AD1142" s="2" t="n">
        <f aca="false">X1142*Settings!$B$3/SUM(S1142:X1142)</f>
        <v>76.2920426579163</v>
      </c>
      <c r="AE1142" s="2" t="n">
        <f aca="false">INT(Y1142)</f>
        <v>82</v>
      </c>
      <c r="AF1142" s="2" t="n">
        <f aca="false">INT(Z1142)</f>
        <v>97</v>
      </c>
      <c r="AG1142" s="2" t="n">
        <f aca="false">INT(AA1142)</f>
        <v>82</v>
      </c>
      <c r="AH1142" s="2" t="n">
        <f aca="false">INT(AB1142)</f>
        <v>79</v>
      </c>
      <c r="AI1142" s="2" t="n">
        <f aca="false">INT(AC1142)</f>
        <v>82</v>
      </c>
      <c r="AJ1142" s="2" t="n">
        <f aca="false">INT(AD1142)</f>
        <v>76</v>
      </c>
      <c r="AK1142" s="2" t="n">
        <f aca="false">Settings!$B$3-SUM(AE1142:AJ1142)</f>
        <v>2</v>
      </c>
      <c r="AL1142" s="2" t="n">
        <f aca="false">ROUND(Y1142-AE1142,9)</f>
        <v>0.444626743</v>
      </c>
      <c r="AM1142" s="2" t="n">
        <f aca="false">ROUND(Z1142-AF1142,9)</f>
        <v>0.210828548</v>
      </c>
      <c r="AN1142" s="2" t="n">
        <f aca="false">ROUND(AA1142-AG1142,9)</f>
        <v>0.444626743</v>
      </c>
      <c r="AO1142" s="2" t="n">
        <f aca="false">ROUND(AB1142-AH1142,9)</f>
        <v>0.573420837</v>
      </c>
      <c r="AP1142" s="2" t="n">
        <f aca="false">ROUND(AC1142-AI1142,9)</f>
        <v>0.034454471</v>
      </c>
      <c r="AQ1142" s="2" t="n">
        <f aca="false">ROUND(AD1142-AJ1142,9)</f>
        <v>0.292042658</v>
      </c>
    </row>
    <row r="1143" customFormat="false" ht="15" hidden="false" customHeight="false" outlineLevel="0" collapsed="false">
      <c r="A1143" s="2" t="n">
        <v>1142</v>
      </c>
      <c r="B1143" s="6" t="n">
        <v>33</v>
      </c>
      <c r="C1143" s="6" t="n">
        <v>39</v>
      </c>
      <c r="D1143" s="8" t="str">
        <f aca="false">INDEX(Bases!$B$2:$B$53,B1143)</f>
        <v>Jirachi</v>
      </c>
      <c r="E1143" s="8" t="str">
        <f aca="false">INDEX(Bases!$B$2:$B$53,C1143)</f>
        <v>Nosepass</v>
      </c>
      <c r="F1143" s="2" t="str">
        <f aca="false">LEFT(D1143,ROUNDUP(LEN(D1143)/2,0))&amp;LOWER(MID(E1143,ROUNDUP(LEN(E1143)/2,0)+1,20))</f>
        <v>Jirapass</v>
      </c>
      <c r="G1143" s="8" t="str">
        <f aca="false">INDEX(Bases!$C$2:$C$53,B1143)</f>
        <v>Psychic</v>
      </c>
      <c r="H1143" s="8" t="str">
        <f aca="false">IF(INDEX(Bases!$C$2:$C$53,C1143)=G1143,"",INDEX(Bases!$C$2:$C$53,C1143))</f>
        <v>Rock</v>
      </c>
      <c r="I1143" s="8" t="str">
        <f aca="false">IF(INDEX(Bases!$E$2:$E$53,B1143)="","",INDEX(Bases!$E$2:$E$53,B1143))</f>
        <v/>
      </c>
      <c r="J1143" s="8" t="str">
        <f aca="false">IF(INDEX(Bases!$E$2:$E$53,C1143)="","",INDEX(Bases!$E$2:$E$53,C1143))</f>
        <v/>
      </c>
      <c r="K1143" s="5"/>
      <c r="L1143" s="2" t="n">
        <f aca="false">AE1143+IF(SUMPRODUCT(--($AL1143:$AQ1143&gt;AL1143))&lt;$AK1143,1,0)</f>
        <v>63</v>
      </c>
      <c r="M1143" s="2" t="n">
        <f aca="false">AF1143+IF(SUMPRODUCT(--($AL1143:$AQ1143&gt;AM1143))+SUMPRODUCT(--($AL1143:AL1143=AM1143))&lt;$AK1143,1,0)</f>
        <v>70</v>
      </c>
      <c r="N1143" s="2" t="n">
        <f aca="false">AG1143+IF(SUMPRODUCT(--($AL1143:$AQ1143&gt;AN1143))+SUMPRODUCT(--($AL1143:AM1143=AN1143))&lt;$AK1143,1,0)</f>
        <v>136</v>
      </c>
      <c r="O1143" s="2" t="n">
        <f aca="false">AH1143+IF(SUMPRODUCT(--($AL1143:$AQ1143&gt;AO1143))+SUMPRODUCT(--($AL1143:AN1143=AO1143))&lt;$AK1143,1,0)</f>
        <v>69</v>
      </c>
      <c r="P1143" s="2" t="n">
        <f aca="false">AI1143+IF(SUMPRODUCT(--($AL1143:$AQ1143&gt;AP1143))+SUMPRODUCT(--($AL1143:AO1143=AP1143))&lt;$AK1143,1,0)</f>
        <v>99</v>
      </c>
      <c r="Q1143" s="2" t="n">
        <f aca="false">AJ1143+IF(SUMPRODUCT(--($AL1143:$AQ1143&gt;AQ1143))+SUMPRODUCT(--($AL1143:AP1143=AQ1143))&lt;$AK1143,1,0)</f>
        <v>63</v>
      </c>
      <c r="R1143" s="2" t="n">
        <f aca="false">SUM(L1143:Q1143)</f>
        <v>500</v>
      </c>
      <c r="S1143" s="2" t="n">
        <f aca="false">Settings!$B$4*MAX(INDEX(Bases!$M$2:$M$53,B1143),INDEX(Bases!$M$2:$M$53,C1143))+Settings!$B$5*MIN(INDEX(Bases!$M$2:$M$53,B1143),INDEX(Bases!$M$2:$M$53,C1143))</f>
        <v>55.3333333333333</v>
      </c>
      <c r="T1143" s="2" t="n">
        <f aca="false">Settings!$B$4*MAX(INDEX(Bases!$N$2:$N$53,B1143),INDEX(Bases!$N$2:$N$53,C1143))+Settings!$B$5*MIN(INDEX(Bases!$N$2:$N$53,B1143),INDEX(Bases!$N$2:$N$53,C1143))</f>
        <v>60.6666666666667</v>
      </c>
      <c r="U1143" s="2" t="n">
        <f aca="false">Settings!$B$4*MAX(INDEX(Bases!$O$2:$O$53,B1143),INDEX(Bases!$O$2:$O$53,C1143))+Settings!$B$5*MIN(INDEX(Bases!$O$2:$O$53,B1143),INDEX(Bases!$O$2:$O$53,C1143))</f>
        <v>118.333333333333</v>
      </c>
      <c r="V1143" s="2" t="n">
        <f aca="false">Settings!$B$4*MAX(INDEX(Bases!$P$2:$P$53,B1143),INDEX(Bases!$P$2:$P$53,C1143))+Settings!$B$5*MIN(INDEX(Bases!$P$2:$P$53,B1143),INDEX(Bases!$P$2:$P$53,C1143))</f>
        <v>60.6666666666667</v>
      </c>
      <c r="W1143" s="2" t="n">
        <f aca="false">Settings!$B$4*MAX(INDEX(Bases!$Q$2:$Q$53,B1143),INDEX(Bases!$Q$2:$Q$53,C1143))+Settings!$B$5*MIN(INDEX(Bases!$Q$2:$Q$53,B1143),INDEX(Bases!$Q$2:$Q$53,C1143))</f>
        <v>86</v>
      </c>
      <c r="X1143" s="2" t="n">
        <f aca="false">Settings!$B$4*MAX(INDEX(Bases!$R$2:$R$53,B1143),INDEX(Bases!$R$2:$R$53,C1143))+Settings!$B$5*MIN(INDEX(Bases!$R$2:$R$53,B1143),INDEX(Bases!$R$2:$R$53,C1143))</f>
        <v>54.6666666666667</v>
      </c>
      <c r="Y1143" s="2" t="n">
        <f aca="false">S1143*Settings!$B$3/SUM(S1143:X1143)</f>
        <v>63.504208110176</v>
      </c>
      <c r="Z1143" s="2" t="n">
        <f aca="false">T1143*Settings!$B$3/SUM(S1143:X1143)</f>
        <v>69.6250956388676</v>
      </c>
      <c r="AA1143" s="2" t="n">
        <f aca="false">U1143*Settings!$B$3/SUM(S1143:X1143)</f>
        <v>135.807192042846</v>
      </c>
      <c r="AB1143" s="2" t="n">
        <f aca="false">V1143*Settings!$B$3/SUM(S1143:X1143)</f>
        <v>69.6250956388676</v>
      </c>
      <c r="AC1143" s="2" t="n">
        <f aca="false">W1143*Settings!$B$3/SUM(S1143:X1143)</f>
        <v>98.699311400153</v>
      </c>
      <c r="AD1143" s="2" t="n">
        <f aca="false">X1143*Settings!$B$3/SUM(S1143:X1143)</f>
        <v>62.7390971690895</v>
      </c>
      <c r="AE1143" s="2" t="n">
        <f aca="false">INT(Y1143)</f>
        <v>63</v>
      </c>
      <c r="AF1143" s="2" t="n">
        <f aca="false">INT(Z1143)</f>
        <v>69</v>
      </c>
      <c r="AG1143" s="2" t="n">
        <f aca="false">INT(AA1143)</f>
        <v>135</v>
      </c>
      <c r="AH1143" s="2" t="n">
        <f aca="false">INT(AB1143)</f>
        <v>69</v>
      </c>
      <c r="AI1143" s="2" t="n">
        <f aca="false">INT(AC1143)</f>
        <v>98</v>
      </c>
      <c r="AJ1143" s="2" t="n">
        <f aca="false">INT(AD1143)</f>
        <v>62</v>
      </c>
      <c r="AK1143" s="2" t="n">
        <f aca="false">Settings!$B$3-SUM(AE1143:AJ1143)</f>
        <v>4</v>
      </c>
      <c r="AL1143" s="2" t="n">
        <f aca="false">ROUND(Y1143-AE1143,9)</f>
        <v>0.50420811</v>
      </c>
      <c r="AM1143" s="2" t="n">
        <f aca="false">ROUND(Z1143-AF1143,9)</f>
        <v>0.625095639</v>
      </c>
      <c r="AN1143" s="2" t="n">
        <f aca="false">ROUND(AA1143-AG1143,9)</f>
        <v>0.807192043</v>
      </c>
      <c r="AO1143" s="2" t="n">
        <f aca="false">ROUND(AB1143-AH1143,9)</f>
        <v>0.625095639</v>
      </c>
      <c r="AP1143" s="2" t="n">
        <f aca="false">ROUND(AC1143-AI1143,9)</f>
        <v>0.6993114</v>
      </c>
      <c r="AQ1143" s="2" t="n">
        <f aca="false">ROUND(AD1143-AJ1143,9)</f>
        <v>0.739097169</v>
      </c>
    </row>
    <row r="1144" customFormat="false" ht="15" hidden="false" customHeight="false" outlineLevel="0" collapsed="false">
      <c r="A1144" s="2" t="n">
        <v>1143</v>
      </c>
      <c r="B1144" s="6" t="n">
        <v>33</v>
      </c>
      <c r="C1144" s="6" t="n">
        <v>40</v>
      </c>
      <c r="D1144" s="8" t="str">
        <f aca="false">INDEX(Bases!$B$2:$B$53,B1144)</f>
        <v>Jirachi</v>
      </c>
      <c r="E1144" s="8" t="str">
        <f aca="false">INDEX(Bases!$B$2:$B$53,C1144)</f>
        <v>Gastly</v>
      </c>
      <c r="F1144" s="2" t="str">
        <f aca="false">LEFT(D1144,ROUNDUP(LEN(D1144)/2,0))&amp;LOWER(MID(E1144,ROUNDUP(LEN(E1144)/2,0)+1,20))</f>
        <v>Jiratly</v>
      </c>
      <c r="G1144" s="8" t="str">
        <f aca="false">INDEX(Bases!$C$2:$C$53,B1144)</f>
        <v>Psychic</v>
      </c>
      <c r="H1144" s="8" t="str">
        <f aca="false">IF(INDEX(Bases!$C$2:$C$53,C1144)=G1144,"",INDEX(Bases!$C$2:$C$53,C1144))</f>
        <v>Ghost</v>
      </c>
      <c r="I1144" s="8" t="str">
        <f aca="false">IF(INDEX(Bases!$E$2:$E$53,B1144)="","",INDEX(Bases!$E$2:$E$53,B1144))</f>
        <v/>
      </c>
      <c r="J1144" s="8" t="str">
        <f aca="false">IF(INDEX(Bases!$E$2:$E$53,C1144)="","",INDEX(Bases!$E$2:$E$53,C1144))</f>
        <v/>
      </c>
      <c r="K1144" s="5"/>
      <c r="L1144" s="2" t="n">
        <f aca="false">AE1144+IF(SUMPRODUCT(--($AL1144:$AQ1144&gt;AL1144))&lt;$AK1144,1,0)</f>
        <v>67</v>
      </c>
      <c r="M1144" s="2" t="n">
        <f aca="false">AF1144+IF(SUMPRODUCT(--($AL1144:$AQ1144&gt;AM1144))+SUMPRODUCT(--($AL1144:AL1144=AM1144))&lt;$AK1144,1,0)</f>
        <v>69</v>
      </c>
      <c r="N1144" s="2" t="n">
        <f aca="false">AG1144+IF(SUMPRODUCT(--($AL1144:$AQ1144&gt;AN1144))+SUMPRODUCT(--($AL1144:AM1144=AN1144))&lt;$AK1144,1,0)</f>
        <v>66</v>
      </c>
      <c r="O1144" s="2" t="n">
        <f aca="false">AH1144+IF(SUMPRODUCT(--($AL1144:$AQ1144&gt;AO1144))+SUMPRODUCT(--($AL1144:AN1144=AO1144))&lt;$AK1144,1,0)</f>
        <v>125</v>
      </c>
      <c r="P1144" s="2" t="n">
        <f aca="false">AI1144+IF(SUMPRODUCT(--($AL1144:$AQ1144&gt;AP1144))+SUMPRODUCT(--($AL1144:AO1144=AP1144))&lt;$AK1144,1,0)</f>
        <v>68</v>
      </c>
      <c r="Q1144" s="2" t="n">
        <f aca="false">AJ1144+IF(SUMPRODUCT(--($AL1144:$AQ1144&gt;AQ1144))+SUMPRODUCT(--($AL1144:AP1144=AQ1144))&lt;$AK1144,1,0)</f>
        <v>105</v>
      </c>
      <c r="R1144" s="2" t="n">
        <f aca="false">SUM(L1144:Q1144)</f>
        <v>500</v>
      </c>
      <c r="S1144" s="2" t="n">
        <f aca="false">Settings!$B$4*MAX(INDEX(Bases!$M$2:$M$53,B1144),INDEX(Bases!$M$2:$M$53,C1144))+Settings!$B$5*MIN(INDEX(Bases!$M$2:$M$53,B1144),INDEX(Bases!$M$2:$M$53,C1144))</f>
        <v>57.6666666666667</v>
      </c>
      <c r="T1144" s="2" t="n">
        <f aca="false">Settings!$B$4*MAX(INDEX(Bases!$N$2:$N$53,B1144),INDEX(Bases!$N$2:$N$53,C1144))+Settings!$B$5*MIN(INDEX(Bases!$N$2:$N$53,B1144),INDEX(Bases!$N$2:$N$53,C1144))</f>
        <v>59.6666666666667</v>
      </c>
      <c r="U1144" s="2" t="n">
        <f aca="false">Settings!$B$4*MAX(INDEX(Bases!$O$2:$O$53,B1144),INDEX(Bases!$O$2:$O$53,C1144))+Settings!$B$5*MIN(INDEX(Bases!$O$2:$O$53,B1144),INDEX(Bases!$O$2:$O$53,C1144))</f>
        <v>57.6666666666667</v>
      </c>
      <c r="V1144" s="2" t="n">
        <f aca="false">Settings!$B$4*MAX(INDEX(Bases!$P$2:$P$53,B1144),INDEX(Bases!$P$2:$P$53,C1144))+Settings!$B$5*MIN(INDEX(Bases!$P$2:$P$53,B1144),INDEX(Bases!$P$2:$P$53,C1144))</f>
        <v>108.333333333333</v>
      </c>
      <c r="W1144" s="2" t="n">
        <f aca="false">Settings!$B$4*MAX(INDEX(Bases!$Q$2:$Q$53,B1144),INDEX(Bases!$Q$2:$Q$53,C1144))+Settings!$B$5*MIN(INDEX(Bases!$Q$2:$Q$53,B1144),INDEX(Bases!$Q$2:$Q$53,C1144))</f>
        <v>59</v>
      </c>
      <c r="X1144" s="2" t="n">
        <f aca="false">Settings!$B$4*MAX(INDEX(Bases!$R$2:$R$53,B1144),INDEX(Bases!$R$2:$R$53,C1144))+Settings!$B$5*MIN(INDEX(Bases!$R$2:$R$53,B1144),INDEX(Bases!$R$2:$R$53,C1144))</f>
        <v>90.6666666666667</v>
      </c>
      <c r="Y1144" s="2" t="n">
        <f aca="false">S1144*Settings!$B$3/SUM(S1144:X1144)</f>
        <v>66.5896843725943</v>
      </c>
      <c r="Z1144" s="2" t="n">
        <f aca="false">T1144*Settings!$B$3/SUM(S1144:X1144)</f>
        <v>68.8991531947652</v>
      </c>
      <c r="AA1144" s="2" t="n">
        <f aca="false">U1144*Settings!$B$3/SUM(S1144:X1144)</f>
        <v>66.5896843725943</v>
      </c>
      <c r="AB1144" s="2" t="n">
        <f aca="false">V1144*Settings!$B$3/SUM(S1144:X1144)</f>
        <v>125.09622786759</v>
      </c>
      <c r="AC1144" s="2" t="n">
        <f aca="false">W1144*Settings!$B$3/SUM(S1144:X1144)</f>
        <v>68.1293302540416</v>
      </c>
      <c r="AD1144" s="2" t="n">
        <f aca="false">X1144*Settings!$B$3/SUM(S1144:X1144)</f>
        <v>104.695919938414</v>
      </c>
      <c r="AE1144" s="2" t="n">
        <f aca="false">INT(Y1144)</f>
        <v>66</v>
      </c>
      <c r="AF1144" s="2" t="n">
        <f aca="false">INT(Z1144)</f>
        <v>68</v>
      </c>
      <c r="AG1144" s="2" t="n">
        <f aca="false">INT(AA1144)</f>
        <v>66</v>
      </c>
      <c r="AH1144" s="2" t="n">
        <f aca="false">INT(AB1144)</f>
        <v>125</v>
      </c>
      <c r="AI1144" s="2" t="n">
        <f aca="false">INT(AC1144)</f>
        <v>68</v>
      </c>
      <c r="AJ1144" s="2" t="n">
        <f aca="false">INT(AD1144)</f>
        <v>104</v>
      </c>
      <c r="AK1144" s="2" t="n">
        <f aca="false">Settings!$B$3-SUM(AE1144:AJ1144)</f>
        <v>3</v>
      </c>
      <c r="AL1144" s="2" t="n">
        <f aca="false">ROUND(Y1144-AE1144,9)</f>
        <v>0.589684373</v>
      </c>
      <c r="AM1144" s="2" t="n">
        <f aca="false">ROUND(Z1144-AF1144,9)</f>
        <v>0.899153195</v>
      </c>
      <c r="AN1144" s="2" t="n">
        <f aca="false">ROUND(AA1144-AG1144,9)</f>
        <v>0.589684373</v>
      </c>
      <c r="AO1144" s="2" t="n">
        <f aca="false">ROUND(AB1144-AH1144,9)</f>
        <v>0.096227868</v>
      </c>
      <c r="AP1144" s="2" t="n">
        <f aca="false">ROUND(AC1144-AI1144,9)</f>
        <v>0.129330254</v>
      </c>
      <c r="AQ1144" s="2" t="n">
        <f aca="false">ROUND(AD1144-AJ1144,9)</f>
        <v>0.695919938</v>
      </c>
    </row>
    <row r="1145" customFormat="false" ht="15" hidden="false" customHeight="false" outlineLevel="0" collapsed="false">
      <c r="A1145" s="2" t="n">
        <v>1144</v>
      </c>
      <c r="B1145" s="6" t="n">
        <v>33</v>
      </c>
      <c r="C1145" s="6" t="n">
        <v>41</v>
      </c>
      <c r="D1145" s="8" t="str">
        <f aca="false">INDEX(Bases!$B$2:$B$53,B1145)</f>
        <v>Jirachi</v>
      </c>
      <c r="E1145" s="8" t="str">
        <f aca="false">INDEX(Bases!$B$2:$B$53,C1145)</f>
        <v>Misdreavus</v>
      </c>
      <c r="F1145" s="2" t="str">
        <f aca="false">LEFT(D1145,ROUNDUP(LEN(D1145)/2,0))&amp;LOWER(MID(E1145,ROUNDUP(LEN(E1145)/2,0)+1,20))</f>
        <v>Jiraeavus</v>
      </c>
      <c r="G1145" s="8" t="str">
        <f aca="false">INDEX(Bases!$C$2:$C$53,B1145)</f>
        <v>Psychic</v>
      </c>
      <c r="H1145" s="8" t="str">
        <f aca="false">IF(INDEX(Bases!$C$2:$C$53,C1145)=G1145,"",INDEX(Bases!$C$2:$C$53,C1145))</f>
        <v>Ghost</v>
      </c>
      <c r="I1145" s="8" t="str">
        <f aca="false">IF(INDEX(Bases!$E$2:$E$53,B1145)="","",INDEX(Bases!$E$2:$E$53,B1145))</f>
        <v/>
      </c>
      <c r="J1145" s="8" t="str">
        <f aca="false">IF(INDEX(Bases!$E$2:$E$53,C1145)="","",INDEX(Bases!$E$2:$E$53,C1145))</f>
        <v/>
      </c>
      <c r="K1145" s="5"/>
      <c r="L1145" s="2" t="n">
        <f aca="false">AE1145+IF(SUMPRODUCT(--($AL1145:$AQ1145&gt;AL1145))&lt;$AK1145,1,0)</f>
        <v>77</v>
      </c>
      <c r="M1145" s="2" t="n">
        <f aca="false">AF1145+IF(SUMPRODUCT(--($AL1145:$AQ1145&gt;AM1145))+SUMPRODUCT(--($AL1145:AL1145=AM1145))&lt;$AK1145,1,0)</f>
        <v>77</v>
      </c>
      <c r="N1145" s="2" t="n">
        <f aca="false">AG1145+IF(SUMPRODUCT(--($AL1145:$AQ1145&gt;AN1145))+SUMPRODUCT(--($AL1145:AM1145=AN1145))&lt;$AK1145,1,0)</f>
        <v>76</v>
      </c>
      <c r="O1145" s="2" t="n">
        <f aca="false">AH1145+IF(SUMPRODUCT(--($AL1145:$AQ1145&gt;AO1145))+SUMPRODUCT(--($AL1145:AN1145=AO1145))&lt;$AK1145,1,0)</f>
        <v>90</v>
      </c>
      <c r="P1145" s="2" t="n">
        <f aca="false">AI1145+IF(SUMPRODUCT(--($AL1145:$AQ1145&gt;AP1145))+SUMPRODUCT(--($AL1145:AO1145=AP1145))&lt;$AK1145,1,0)</f>
        <v>90</v>
      </c>
      <c r="Q1145" s="2" t="n">
        <f aca="false">AJ1145+IF(SUMPRODUCT(--($AL1145:$AQ1145&gt;AQ1145))+SUMPRODUCT(--($AL1145:AP1145=AQ1145))&lt;$AK1145,1,0)</f>
        <v>90</v>
      </c>
      <c r="R1145" s="2" t="n">
        <f aca="false">SUM(L1145:Q1145)</f>
        <v>500</v>
      </c>
      <c r="S1145" s="2" t="n">
        <f aca="false">Settings!$B$4*MAX(INDEX(Bases!$M$2:$M$53,B1145),INDEX(Bases!$M$2:$M$53,C1145))+Settings!$B$5*MIN(INDEX(Bases!$M$2:$M$53,B1145),INDEX(Bases!$M$2:$M$53,C1145))</f>
        <v>63.3333333333333</v>
      </c>
      <c r="T1145" s="2" t="n">
        <f aca="false">Settings!$B$4*MAX(INDEX(Bases!$N$2:$N$53,B1145),INDEX(Bases!$N$2:$N$53,C1145))+Settings!$B$5*MIN(INDEX(Bases!$N$2:$N$53,B1145),INDEX(Bases!$N$2:$N$53,C1145))</f>
        <v>63</v>
      </c>
      <c r="U1145" s="2" t="n">
        <f aca="false">Settings!$B$4*MAX(INDEX(Bases!$O$2:$O$53,B1145),INDEX(Bases!$O$2:$O$53,C1145))+Settings!$B$5*MIN(INDEX(Bases!$O$2:$O$53,B1145),INDEX(Bases!$O$2:$O$53,C1145))</f>
        <v>63</v>
      </c>
      <c r="V1145" s="2" t="n">
        <f aca="false">Settings!$B$4*MAX(INDEX(Bases!$P$2:$P$53,B1145),INDEX(Bases!$P$2:$P$53,C1145))+Settings!$B$5*MIN(INDEX(Bases!$P$2:$P$53,B1145),INDEX(Bases!$P$2:$P$53,C1145))</f>
        <v>74.3333333333333</v>
      </c>
      <c r="W1145" s="2" t="n">
        <f aca="false">Settings!$B$4*MAX(INDEX(Bases!$Q$2:$Q$53,B1145),INDEX(Bases!$Q$2:$Q$53,C1145))+Settings!$B$5*MIN(INDEX(Bases!$Q$2:$Q$53,B1145),INDEX(Bases!$Q$2:$Q$53,C1145))</f>
        <v>74</v>
      </c>
      <c r="X1145" s="2" t="n">
        <f aca="false">Settings!$B$4*MAX(INDEX(Bases!$R$2:$R$53,B1145),INDEX(Bases!$R$2:$R$53,C1145))+Settings!$B$5*MIN(INDEX(Bases!$R$2:$R$53,B1145),INDEX(Bases!$R$2:$R$53,C1145))</f>
        <v>74</v>
      </c>
      <c r="Y1145" s="2" t="n">
        <f aca="false">S1145*Settings!$B$3/SUM(S1145:X1145)</f>
        <v>76.9230769230769</v>
      </c>
      <c r="Z1145" s="2" t="n">
        <f aca="false">T1145*Settings!$B$3/SUM(S1145:X1145)</f>
        <v>76.5182186234818</v>
      </c>
      <c r="AA1145" s="2" t="n">
        <f aca="false">U1145*Settings!$B$3/SUM(S1145:X1145)</f>
        <v>76.5182186234818</v>
      </c>
      <c r="AB1145" s="2" t="n">
        <f aca="false">V1145*Settings!$B$3/SUM(S1145:X1145)</f>
        <v>90.2834008097166</v>
      </c>
      <c r="AC1145" s="2" t="n">
        <f aca="false">W1145*Settings!$B$3/SUM(S1145:X1145)</f>
        <v>89.8785425101215</v>
      </c>
      <c r="AD1145" s="2" t="n">
        <f aca="false">X1145*Settings!$B$3/SUM(S1145:X1145)</f>
        <v>89.8785425101215</v>
      </c>
      <c r="AE1145" s="2" t="n">
        <f aca="false">INT(Y1145)</f>
        <v>76</v>
      </c>
      <c r="AF1145" s="2" t="n">
        <f aca="false">INT(Z1145)</f>
        <v>76</v>
      </c>
      <c r="AG1145" s="2" t="n">
        <f aca="false">INT(AA1145)</f>
        <v>76</v>
      </c>
      <c r="AH1145" s="2" t="n">
        <f aca="false">INT(AB1145)</f>
        <v>90</v>
      </c>
      <c r="AI1145" s="2" t="n">
        <f aca="false">INT(AC1145)</f>
        <v>89</v>
      </c>
      <c r="AJ1145" s="2" t="n">
        <f aca="false">INT(AD1145)</f>
        <v>89</v>
      </c>
      <c r="AK1145" s="2" t="n">
        <f aca="false">Settings!$B$3-SUM(AE1145:AJ1145)</f>
        <v>4</v>
      </c>
      <c r="AL1145" s="2" t="n">
        <f aca="false">ROUND(Y1145-AE1145,9)</f>
        <v>0.923076923</v>
      </c>
      <c r="AM1145" s="2" t="n">
        <f aca="false">ROUND(Z1145-AF1145,9)</f>
        <v>0.518218623</v>
      </c>
      <c r="AN1145" s="2" t="n">
        <f aca="false">ROUND(AA1145-AG1145,9)</f>
        <v>0.518218623</v>
      </c>
      <c r="AO1145" s="2" t="n">
        <f aca="false">ROUND(AB1145-AH1145,9)</f>
        <v>0.28340081</v>
      </c>
      <c r="AP1145" s="2" t="n">
        <f aca="false">ROUND(AC1145-AI1145,9)</f>
        <v>0.87854251</v>
      </c>
      <c r="AQ1145" s="2" t="n">
        <f aca="false">ROUND(AD1145-AJ1145,9)</f>
        <v>0.87854251</v>
      </c>
    </row>
    <row r="1146" customFormat="false" ht="15" hidden="false" customHeight="false" outlineLevel="0" collapsed="false">
      <c r="A1146" s="2" t="n">
        <v>1145</v>
      </c>
      <c r="B1146" s="6" t="n">
        <v>33</v>
      </c>
      <c r="C1146" s="6" t="n">
        <v>42</v>
      </c>
      <c r="D1146" s="8" t="str">
        <f aca="false">INDEX(Bases!$B$2:$B$53,B1146)</f>
        <v>Jirachi</v>
      </c>
      <c r="E1146" s="8" t="str">
        <f aca="false">INDEX(Bases!$B$2:$B$53,C1146)</f>
        <v>Sableye</v>
      </c>
      <c r="F1146" s="2" t="str">
        <f aca="false">LEFT(D1146,ROUNDUP(LEN(D1146)/2,0))&amp;LOWER(MID(E1146,ROUNDUP(LEN(E1146)/2,0)+1,20))</f>
        <v>Jiraeye</v>
      </c>
      <c r="G1146" s="8" t="str">
        <f aca="false">INDEX(Bases!$C$2:$C$53,B1146)</f>
        <v>Psychic</v>
      </c>
      <c r="H1146" s="8" t="str">
        <f aca="false">IF(INDEX(Bases!$C$2:$C$53,C1146)=G1146,"",INDEX(Bases!$C$2:$C$53,C1146))</f>
        <v>Ghost</v>
      </c>
      <c r="I1146" s="8" t="str">
        <f aca="false">IF(INDEX(Bases!$E$2:$E$53,B1146)="","",INDEX(Bases!$E$2:$E$53,B1146))</f>
        <v/>
      </c>
      <c r="J1146" s="8" t="str">
        <f aca="false">IF(INDEX(Bases!$E$2:$E$53,C1146)="","",INDEX(Bases!$E$2:$E$53,C1146))</f>
        <v/>
      </c>
      <c r="K1146" s="5"/>
      <c r="L1146" s="2" t="n">
        <f aca="false">AE1146+IF(SUMPRODUCT(--($AL1146:$AQ1146&gt;AL1146))&lt;$AK1146,1,0)</f>
        <v>76</v>
      </c>
      <c r="M1146" s="2" t="n">
        <f aca="false">AF1146+IF(SUMPRODUCT(--($AL1146:$AQ1146&gt;AM1146))+SUMPRODUCT(--($AL1146:AL1146=AM1146))&lt;$AK1146,1,0)</f>
        <v>92</v>
      </c>
      <c r="N1146" s="2" t="n">
        <f aca="false">AG1146+IF(SUMPRODUCT(--($AL1146:$AQ1146&gt;AN1146))+SUMPRODUCT(--($AL1146:AM1146=AN1146))&lt;$AK1146,1,0)</f>
        <v>92</v>
      </c>
      <c r="O1146" s="2" t="n">
        <f aca="false">AH1146+IF(SUMPRODUCT(--($AL1146:$AQ1146&gt;AO1146))+SUMPRODUCT(--($AL1146:AN1146=AO1146))&lt;$AK1146,1,0)</f>
        <v>83</v>
      </c>
      <c r="P1146" s="2" t="n">
        <f aca="false">AI1146+IF(SUMPRODUCT(--($AL1146:$AQ1146&gt;AP1146))+SUMPRODUCT(--($AL1146:AO1146=AP1146))&lt;$AK1146,1,0)</f>
        <v>82</v>
      </c>
      <c r="Q1146" s="2" t="n">
        <f aca="false">AJ1146+IF(SUMPRODUCT(--($AL1146:$AQ1146&gt;AQ1146))+SUMPRODUCT(--($AL1146:AP1146=AQ1146))&lt;$AK1146,1,0)</f>
        <v>75</v>
      </c>
      <c r="R1146" s="2" t="n">
        <f aca="false">SUM(L1146:Q1146)</f>
        <v>500</v>
      </c>
      <c r="S1146" s="2" t="n">
        <f aca="false">Settings!$B$4*MAX(INDEX(Bases!$M$2:$M$53,B1146),INDEX(Bases!$M$2:$M$53,C1146))+Settings!$B$5*MIN(INDEX(Bases!$M$2:$M$53,B1146),INDEX(Bases!$M$2:$M$53,C1146))</f>
        <v>62.3333333333333</v>
      </c>
      <c r="T1146" s="2" t="n">
        <f aca="false">Settings!$B$4*MAX(INDEX(Bases!$N$2:$N$53,B1146),INDEX(Bases!$N$2:$N$53,C1146))+Settings!$B$5*MIN(INDEX(Bases!$N$2:$N$53,B1146),INDEX(Bases!$N$2:$N$53,C1146))</f>
        <v>75</v>
      </c>
      <c r="U1146" s="2" t="n">
        <f aca="false">Settings!$B$4*MAX(INDEX(Bases!$O$2:$O$53,B1146),INDEX(Bases!$O$2:$O$53,C1146))+Settings!$B$5*MIN(INDEX(Bases!$O$2:$O$53,B1146),INDEX(Bases!$O$2:$O$53,C1146))</f>
        <v>75</v>
      </c>
      <c r="V1146" s="2" t="n">
        <f aca="false">Settings!$B$4*MAX(INDEX(Bases!$P$2:$P$53,B1146),INDEX(Bases!$P$2:$P$53,C1146))+Settings!$B$5*MIN(INDEX(Bases!$P$2:$P$53,B1146),INDEX(Bases!$P$2:$P$53,C1146))</f>
        <v>67.6666666666667</v>
      </c>
      <c r="W1146" s="2" t="n">
        <f aca="false">Settings!$B$4*MAX(INDEX(Bases!$Q$2:$Q$53,B1146),INDEX(Bases!$Q$2:$Q$53,C1146))+Settings!$B$5*MIN(INDEX(Bases!$Q$2:$Q$53,B1146),INDEX(Bases!$Q$2:$Q$53,C1146))</f>
        <v>67.3333333333333</v>
      </c>
      <c r="X1146" s="2" t="n">
        <f aca="false">Settings!$B$4*MAX(INDEX(Bases!$R$2:$R$53,B1146),INDEX(Bases!$R$2:$R$53,C1146))+Settings!$B$5*MIN(INDEX(Bases!$R$2:$R$53,B1146),INDEX(Bases!$R$2:$R$53,C1146))</f>
        <v>61.6666666666667</v>
      </c>
      <c r="Y1146" s="2" t="n">
        <f aca="false">S1146*Settings!$B$3/SUM(S1146:X1146)</f>
        <v>76.2021189894051</v>
      </c>
      <c r="Z1146" s="2" t="n">
        <f aca="false">T1146*Settings!$B$3/SUM(S1146:X1146)</f>
        <v>91.6870415647922</v>
      </c>
      <c r="AA1146" s="2" t="n">
        <f aca="false">U1146*Settings!$B$3/SUM(S1146:X1146)</f>
        <v>91.6870415647922</v>
      </c>
      <c r="AB1146" s="2" t="n">
        <f aca="false">V1146*Settings!$B$3/SUM(S1146:X1146)</f>
        <v>82.722086389568</v>
      </c>
      <c r="AC1146" s="2" t="n">
        <f aca="false">W1146*Settings!$B$3/SUM(S1146:X1146)</f>
        <v>82.3145884270579</v>
      </c>
      <c r="AD1146" s="2" t="n">
        <f aca="false">X1146*Settings!$B$3/SUM(S1146:X1146)</f>
        <v>75.3871230643847</v>
      </c>
      <c r="AE1146" s="2" t="n">
        <f aca="false">INT(Y1146)</f>
        <v>76</v>
      </c>
      <c r="AF1146" s="2" t="n">
        <f aca="false">INT(Z1146)</f>
        <v>91</v>
      </c>
      <c r="AG1146" s="2" t="n">
        <f aca="false">INT(AA1146)</f>
        <v>91</v>
      </c>
      <c r="AH1146" s="2" t="n">
        <f aca="false">INT(AB1146)</f>
        <v>82</v>
      </c>
      <c r="AI1146" s="2" t="n">
        <f aca="false">INT(AC1146)</f>
        <v>82</v>
      </c>
      <c r="AJ1146" s="2" t="n">
        <f aca="false">INT(AD1146)</f>
        <v>75</v>
      </c>
      <c r="AK1146" s="2" t="n">
        <f aca="false">Settings!$B$3-SUM(AE1146:AJ1146)</f>
        <v>3</v>
      </c>
      <c r="AL1146" s="2" t="n">
        <f aca="false">ROUND(Y1146-AE1146,9)</f>
        <v>0.202118989</v>
      </c>
      <c r="AM1146" s="2" t="n">
        <f aca="false">ROUND(Z1146-AF1146,9)</f>
        <v>0.687041565</v>
      </c>
      <c r="AN1146" s="2" t="n">
        <f aca="false">ROUND(AA1146-AG1146,9)</f>
        <v>0.687041565</v>
      </c>
      <c r="AO1146" s="2" t="n">
        <f aca="false">ROUND(AB1146-AH1146,9)</f>
        <v>0.72208639</v>
      </c>
      <c r="AP1146" s="2" t="n">
        <f aca="false">ROUND(AC1146-AI1146,9)</f>
        <v>0.314588427</v>
      </c>
      <c r="AQ1146" s="2" t="n">
        <f aca="false">ROUND(AD1146-AJ1146,9)</f>
        <v>0.387123064</v>
      </c>
    </row>
    <row r="1147" customFormat="false" ht="15" hidden="false" customHeight="false" outlineLevel="0" collapsed="false">
      <c r="A1147" s="2" t="n">
        <v>1146</v>
      </c>
      <c r="B1147" s="6" t="n">
        <v>33</v>
      </c>
      <c r="C1147" s="6" t="n">
        <v>43</v>
      </c>
      <c r="D1147" s="8" t="str">
        <f aca="false">INDEX(Bases!$B$2:$B$53,B1147)</f>
        <v>Jirachi</v>
      </c>
      <c r="E1147" s="8" t="str">
        <f aca="false">INDEX(Bases!$B$2:$B$53,C1147)</f>
        <v>Dratini</v>
      </c>
      <c r="F1147" s="2" t="str">
        <f aca="false">LEFT(D1147,ROUNDUP(LEN(D1147)/2,0))&amp;LOWER(MID(E1147,ROUNDUP(LEN(E1147)/2,0)+1,20))</f>
        <v>Jiraini</v>
      </c>
      <c r="G1147" s="8" t="str">
        <f aca="false">INDEX(Bases!$C$2:$C$53,B1147)</f>
        <v>Psychic</v>
      </c>
      <c r="H1147" s="8" t="str">
        <f aca="false">IF(INDEX(Bases!$C$2:$C$53,C1147)=G1147,"",INDEX(Bases!$C$2:$C$53,C1147))</f>
        <v>Dragon</v>
      </c>
      <c r="I1147" s="8" t="str">
        <f aca="false">IF(INDEX(Bases!$E$2:$E$53,B1147)="","",INDEX(Bases!$E$2:$E$53,B1147))</f>
        <v/>
      </c>
      <c r="J1147" s="8" t="str">
        <f aca="false">IF(INDEX(Bases!$E$2:$E$53,C1147)="","",INDEX(Bases!$E$2:$E$53,C1147))</f>
        <v/>
      </c>
      <c r="K1147" s="5"/>
      <c r="L1147" s="2" t="n">
        <f aca="false">AE1147+IF(SUMPRODUCT(--($AL1147:$AQ1147&gt;AL1147))&lt;$AK1147,1,0)</f>
        <v>78</v>
      </c>
      <c r="M1147" s="2" t="n">
        <f aca="false">AF1147+IF(SUMPRODUCT(--($AL1147:$AQ1147&gt;AM1147))+SUMPRODUCT(--($AL1147:AL1147=AM1147))&lt;$AK1147,1,0)</f>
        <v>97</v>
      </c>
      <c r="N1147" s="2" t="n">
        <f aca="false">AG1147+IF(SUMPRODUCT(--($AL1147:$AQ1147&gt;AN1147))+SUMPRODUCT(--($AL1147:AM1147=AN1147))&lt;$AK1147,1,0)</f>
        <v>80</v>
      </c>
      <c r="O1147" s="2" t="n">
        <f aca="false">AH1147+IF(SUMPRODUCT(--($AL1147:$AQ1147&gt;AO1147))+SUMPRODUCT(--($AL1147:AN1147=AO1147))&lt;$AK1147,1,0)</f>
        <v>82</v>
      </c>
      <c r="P1147" s="2" t="n">
        <f aca="false">AI1147+IF(SUMPRODUCT(--($AL1147:$AQ1147&gt;AP1147))+SUMPRODUCT(--($AL1147:AO1147=AP1147))&lt;$AK1147,1,0)</f>
        <v>82</v>
      </c>
      <c r="Q1147" s="2" t="n">
        <f aca="false">AJ1147+IF(SUMPRODUCT(--($AL1147:$AQ1147&gt;AQ1147))+SUMPRODUCT(--($AL1147:AP1147=AQ1147))&lt;$AK1147,1,0)</f>
        <v>81</v>
      </c>
      <c r="R1147" s="2" t="n">
        <f aca="false">SUM(L1147:Q1147)</f>
        <v>500</v>
      </c>
      <c r="S1147" s="2" t="n">
        <f aca="false">Settings!$B$4*MAX(INDEX(Bases!$M$2:$M$53,B1147),INDEX(Bases!$M$2:$M$53,C1147))+Settings!$B$5*MIN(INDEX(Bases!$M$2:$M$53,B1147),INDEX(Bases!$M$2:$M$53,C1147))</f>
        <v>63</v>
      </c>
      <c r="T1147" s="2" t="n">
        <f aca="false">Settings!$B$4*MAX(INDEX(Bases!$N$2:$N$53,B1147),INDEX(Bases!$N$2:$N$53,C1147))+Settings!$B$5*MIN(INDEX(Bases!$N$2:$N$53,B1147),INDEX(Bases!$N$2:$N$53,C1147))</f>
        <v>79</v>
      </c>
      <c r="U1147" s="2" t="n">
        <f aca="false">Settings!$B$4*MAX(INDEX(Bases!$O$2:$O$53,B1147),INDEX(Bases!$O$2:$O$53,C1147))+Settings!$B$5*MIN(INDEX(Bases!$O$2:$O$53,B1147),INDEX(Bases!$O$2:$O$53,C1147))</f>
        <v>64.6666666666667</v>
      </c>
      <c r="V1147" s="2" t="n">
        <f aca="false">Settings!$B$4*MAX(INDEX(Bases!$P$2:$P$53,B1147),INDEX(Bases!$P$2:$P$53,C1147))+Settings!$B$5*MIN(INDEX(Bases!$P$2:$P$53,B1147),INDEX(Bases!$P$2:$P$53,C1147))</f>
        <v>67</v>
      </c>
      <c r="W1147" s="2" t="n">
        <f aca="false">Settings!$B$4*MAX(INDEX(Bases!$Q$2:$Q$53,B1147),INDEX(Bases!$Q$2:$Q$53,C1147))+Settings!$B$5*MIN(INDEX(Bases!$Q$2:$Q$53,B1147),INDEX(Bases!$Q$2:$Q$53,C1147))</f>
        <v>66.6666666666667</v>
      </c>
      <c r="X1147" s="2" t="n">
        <f aca="false">Settings!$B$4*MAX(INDEX(Bases!$R$2:$R$53,B1147),INDEX(Bases!$R$2:$R$53,C1147))+Settings!$B$5*MIN(INDEX(Bases!$R$2:$R$53,B1147),INDEX(Bases!$R$2:$R$53,C1147))</f>
        <v>66</v>
      </c>
      <c r="Y1147" s="2" t="n">
        <f aca="false">S1147*Settings!$B$3/SUM(S1147:X1147)</f>
        <v>77.5225594749795</v>
      </c>
      <c r="Z1147" s="2" t="n">
        <f aca="false">T1147*Settings!$B$3/SUM(S1147:X1147)</f>
        <v>97.2108285479902</v>
      </c>
      <c r="AA1147" s="2" t="n">
        <f aca="false">U1147*Settings!$B$3/SUM(S1147:X1147)</f>
        <v>79.5734208367514</v>
      </c>
      <c r="AB1147" s="2" t="n">
        <f aca="false">V1147*Settings!$B$3/SUM(S1147:X1147)</f>
        <v>82.4446267432322</v>
      </c>
      <c r="AC1147" s="2" t="n">
        <f aca="false">W1147*Settings!$B$3/SUM(S1147:X1147)</f>
        <v>82.0344544708778</v>
      </c>
      <c r="AD1147" s="2" t="n">
        <f aca="false">X1147*Settings!$B$3/SUM(S1147:X1147)</f>
        <v>81.214109926169</v>
      </c>
      <c r="AE1147" s="2" t="n">
        <f aca="false">INT(Y1147)</f>
        <v>77</v>
      </c>
      <c r="AF1147" s="2" t="n">
        <f aca="false">INT(Z1147)</f>
        <v>97</v>
      </c>
      <c r="AG1147" s="2" t="n">
        <f aca="false">INT(AA1147)</f>
        <v>79</v>
      </c>
      <c r="AH1147" s="2" t="n">
        <f aca="false">INT(AB1147)</f>
        <v>82</v>
      </c>
      <c r="AI1147" s="2" t="n">
        <f aca="false">INT(AC1147)</f>
        <v>82</v>
      </c>
      <c r="AJ1147" s="2" t="n">
        <f aca="false">INT(AD1147)</f>
        <v>81</v>
      </c>
      <c r="AK1147" s="2" t="n">
        <f aca="false">Settings!$B$3-SUM(AE1147:AJ1147)</f>
        <v>2</v>
      </c>
      <c r="AL1147" s="2" t="n">
        <f aca="false">ROUND(Y1147-AE1147,9)</f>
        <v>0.522559475</v>
      </c>
      <c r="AM1147" s="2" t="n">
        <f aca="false">ROUND(Z1147-AF1147,9)</f>
        <v>0.210828548</v>
      </c>
      <c r="AN1147" s="2" t="n">
        <f aca="false">ROUND(AA1147-AG1147,9)</f>
        <v>0.573420837</v>
      </c>
      <c r="AO1147" s="2" t="n">
        <f aca="false">ROUND(AB1147-AH1147,9)</f>
        <v>0.444626743</v>
      </c>
      <c r="AP1147" s="2" t="n">
        <f aca="false">ROUND(AC1147-AI1147,9)</f>
        <v>0.034454471</v>
      </c>
      <c r="AQ1147" s="2" t="n">
        <f aca="false">ROUND(AD1147-AJ1147,9)</f>
        <v>0.214109926</v>
      </c>
    </row>
    <row r="1148" customFormat="false" ht="15" hidden="false" customHeight="false" outlineLevel="0" collapsed="false">
      <c r="A1148" s="2" t="n">
        <v>1147</v>
      </c>
      <c r="B1148" s="6" t="n">
        <v>33</v>
      </c>
      <c r="C1148" s="6" t="n">
        <v>44</v>
      </c>
      <c r="D1148" s="8" t="str">
        <f aca="false">INDEX(Bases!$B$2:$B$53,B1148)</f>
        <v>Jirachi</v>
      </c>
      <c r="E1148" s="8" t="str">
        <f aca="false">INDEX(Bases!$B$2:$B$53,C1148)</f>
        <v>Bagon</v>
      </c>
      <c r="F1148" s="2" t="str">
        <f aca="false">LEFT(D1148,ROUNDUP(LEN(D1148)/2,0))&amp;LOWER(MID(E1148,ROUNDUP(LEN(E1148)/2,0)+1,20))</f>
        <v>Jiraon</v>
      </c>
      <c r="G1148" s="8" t="str">
        <f aca="false">INDEX(Bases!$C$2:$C$53,B1148)</f>
        <v>Psychic</v>
      </c>
      <c r="H1148" s="8" t="str">
        <f aca="false">IF(INDEX(Bases!$C$2:$C$53,C1148)=G1148,"",INDEX(Bases!$C$2:$C$53,C1148))</f>
        <v>Dragon</v>
      </c>
      <c r="I1148" s="8" t="str">
        <f aca="false">IF(INDEX(Bases!$E$2:$E$53,B1148)="","",INDEX(Bases!$E$2:$E$53,B1148))</f>
        <v/>
      </c>
      <c r="J1148" s="8" t="str">
        <f aca="false">IF(INDEX(Bases!$E$2:$E$53,C1148)="","",INDEX(Bases!$E$2:$E$53,C1148))</f>
        <v/>
      </c>
      <c r="K1148" s="5"/>
      <c r="L1148" s="2" t="n">
        <f aca="false">AE1148+IF(SUMPRODUCT(--($AL1148:$AQ1148&gt;AL1148))&lt;$AK1148,1,0)</f>
        <v>78</v>
      </c>
      <c r="M1148" s="2" t="n">
        <f aca="false">AF1148+IF(SUMPRODUCT(--($AL1148:$AQ1148&gt;AM1148))+SUMPRODUCT(--($AL1148:AL1148=AM1148))&lt;$AK1148,1,0)</f>
        <v>107</v>
      </c>
      <c r="N1148" s="2" t="n">
        <f aca="false">AG1148+IF(SUMPRODUCT(--($AL1148:$AQ1148&gt;AN1148))+SUMPRODUCT(--($AL1148:AM1148=AN1148))&lt;$AK1148,1,0)</f>
        <v>91</v>
      </c>
      <c r="O1148" s="2" t="n">
        <f aca="false">AH1148+IF(SUMPRODUCT(--($AL1148:$AQ1148&gt;AO1148))+SUMPRODUCT(--($AL1148:AN1148=AO1148))&lt;$AK1148,1,0)</f>
        <v>75</v>
      </c>
      <c r="P1148" s="2" t="n">
        <f aca="false">AI1148+IF(SUMPRODUCT(--($AL1148:$AQ1148&gt;AP1148))+SUMPRODUCT(--($AL1148:AO1148=AP1148))&lt;$AK1148,1,0)</f>
        <v>69</v>
      </c>
      <c r="Q1148" s="2" t="n">
        <f aca="false">AJ1148+IF(SUMPRODUCT(--($AL1148:$AQ1148&gt;AQ1148))+SUMPRODUCT(--($AL1148:AP1148=AQ1148))&lt;$AK1148,1,0)</f>
        <v>80</v>
      </c>
      <c r="R1148" s="2" t="n">
        <f aca="false">SUM(L1148:Q1148)</f>
        <v>500</v>
      </c>
      <c r="S1148" s="2" t="n">
        <f aca="false">Settings!$B$4*MAX(INDEX(Bases!$M$2:$M$53,B1148),INDEX(Bases!$M$2:$M$53,C1148))+Settings!$B$5*MIN(INDEX(Bases!$M$2:$M$53,B1148),INDEX(Bases!$M$2:$M$53,C1148))</f>
        <v>64.6666666666667</v>
      </c>
      <c r="T1148" s="2" t="n">
        <f aca="false">Settings!$B$4*MAX(INDEX(Bases!$N$2:$N$53,B1148),INDEX(Bases!$N$2:$N$53,C1148))+Settings!$B$5*MIN(INDEX(Bases!$N$2:$N$53,B1148),INDEX(Bases!$N$2:$N$53,C1148))</f>
        <v>89</v>
      </c>
      <c r="U1148" s="2" t="n">
        <f aca="false">Settings!$B$4*MAX(INDEX(Bases!$O$2:$O$53,B1148),INDEX(Bases!$O$2:$O$53,C1148))+Settings!$B$5*MIN(INDEX(Bases!$O$2:$O$53,B1148),INDEX(Bases!$O$2:$O$53,C1148))</f>
        <v>75.6666666666667</v>
      </c>
      <c r="V1148" s="2" t="n">
        <f aca="false">Settings!$B$4*MAX(INDEX(Bases!$P$2:$P$53,B1148),INDEX(Bases!$P$2:$P$53,C1148))+Settings!$B$5*MIN(INDEX(Bases!$P$2:$P$53,B1148),INDEX(Bases!$P$2:$P$53,C1148))</f>
        <v>62.3333333333333</v>
      </c>
      <c r="W1148" s="2" t="n">
        <f aca="false">Settings!$B$4*MAX(INDEX(Bases!$Q$2:$Q$53,B1148),INDEX(Bases!$Q$2:$Q$53,C1148))+Settings!$B$5*MIN(INDEX(Bases!$Q$2:$Q$53,B1148),INDEX(Bases!$Q$2:$Q$53,C1148))</f>
        <v>57.3333333333333</v>
      </c>
      <c r="X1148" s="2" t="n">
        <f aca="false">Settings!$B$4*MAX(INDEX(Bases!$R$2:$R$53,B1148),INDEX(Bases!$R$2:$R$53,C1148))+Settings!$B$5*MIN(INDEX(Bases!$R$2:$R$53,B1148),INDEX(Bases!$R$2:$R$53,C1148))</f>
        <v>66.6666666666667</v>
      </c>
      <c r="Y1148" s="2" t="n">
        <f aca="false">S1148*Settings!$B$3/SUM(S1148:X1148)</f>
        <v>77.7866880513232</v>
      </c>
      <c r="Z1148" s="2" t="n">
        <f aca="false">T1148*Settings!$B$3/SUM(S1148:X1148)</f>
        <v>107.056936647955</v>
      </c>
      <c r="AA1148" s="2" t="n">
        <f aca="false">U1148*Settings!$B$3/SUM(S1148:X1148)</f>
        <v>91.018444266239</v>
      </c>
      <c r="AB1148" s="2" t="n">
        <f aca="false">V1148*Settings!$B$3/SUM(S1148:X1148)</f>
        <v>74.9799518845229</v>
      </c>
      <c r="AC1148" s="2" t="n">
        <f aca="false">W1148*Settings!$B$3/SUM(S1148:X1148)</f>
        <v>68.9655172413793</v>
      </c>
      <c r="AD1148" s="2" t="n">
        <f aca="false">X1148*Settings!$B$3/SUM(S1148:X1148)</f>
        <v>80.1924619085806</v>
      </c>
      <c r="AE1148" s="2" t="n">
        <f aca="false">INT(Y1148)</f>
        <v>77</v>
      </c>
      <c r="AF1148" s="2" t="n">
        <f aca="false">INT(Z1148)</f>
        <v>107</v>
      </c>
      <c r="AG1148" s="2" t="n">
        <f aca="false">INT(AA1148)</f>
        <v>91</v>
      </c>
      <c r="AH1148" s="2" t="n">
        <f aca="false">INT(AB1148)</f>
        <v>74</v>
      </c>
      <c r="AI1148" s="2" t="n">
        <f aca="false">INT(AC1148)</f>
        <v>68</v>
      </c>
      <c r="AJ1148" s="2" t="n">
        <f aca="false">INT(AD1148)</f>
        <v>80</v>
      </c>
      <c r="AK1148" s="2" t="n">
        <f aca="false">Settings!$B$3-SUM(AE1148:AJ1148)</f>
        <v>3</v>
      </c>
      <c r="AL1148" s="2" t="n">
        <f aca="false">ROUND(Y1148-AE1148,9)</f>
        <v>0.786688051</v>
      </c>
      <c r="AM1148" s="2" t="n">
        <f aca="false">ROUND(Z1148-AF1148,9)</f>
        <v>0.056936648</v>
      </c>
      <c r="AN1148" s="2" t="n">
        <f aca="false">ROUND(AA1148-AG1148,9)</f>
        <v>0.018444266</v>
      </c>
      <c r="AO1148" s="2" t="n">
        <f aca="false">ROUND(AB1148-AH1148,9)</f>
        <v>0.979951885</v>
      </c>
      <c r="AP1148" s="2" t="n">
        <f aca="false">ROUND(AC1148-AI1148,9)</f>
        <v>0.965517241</v>
      </c>
      <c r="AQ1148" s="2" t="n">
        <f aca="false">ROUND(AD1148-AJ1148,9)</f>
        <v>0.192461909</v>
      </c>
    </row>
    <row r="1149" customFormat="false" ht="15" hidden="false" customHeight="false" outlineLevel="0" collapsed="false">
      <c r="A1149" s="2" t="n">
        <v>1148</v>
      </c>
      <c r="B1149" s="6" t="n">
        <v>33</v>
      </c>
      <c r="C1149" s="6" t="n">
        <v>45</v>
      </c>
      <c r="D1149" s="8" t="str">
        <f aca="false">INDEX(Bases!$B$2:$B$53,B1149)</f>
        <v>Jirachi</v>
      </c>
      <c r="E1149" s="8" t="str">
        <f aca="false">INDEX(Bases!$B$2:$B$53,C1149)</f>
        <v>Sneasel</v>
      </c>
      <c r="F1149" s="2" t="str">
        <f aca="false">LEFT(D1149,ROUNDUP(LEN(D1149)/2,0))&amp;LOWER(MID(E1149,ROUNDUP(LEN(E1149)/2,0)+1,20))</f>
        <v>Jirasel</v>
      </c>
      <c r="G1149" s="8" t="str">
        <f aca="false">INDEX(Bases!$C$2:$C$53,B1149)</f>
        <v>Psychic</v>
      </c>
      <c r="H1149" s="8" t="str">
        <f aca="false">IF(INDEX(Bases!$C$2:$C$53,C1149)=G1149,"",INDEX(Bases!$C$2:$C$53,C1149))</f>
        <v>Dark</v>
      </c>
      <c r="I1149" s="8" t="str">
        <f aca="false">IF(INDEX(Bases!$E$2:$E$53,B1149)="","",INDEX(Bases!$E$2:$E$53,B1149))</f>
        <v/>
      </c>
      <c r="J1149" s="8" t="str">
        <f aca="false">IF(INDEX(Bases!$E$2:$E$53,C1149)="","",INDEX(Bases!$E$2:$E$53,C1149))</f>
        <v/>
      </c>
      <c r="K1149" s="5"/>
      <c r="L1149" s="2" t="n">
        <f aca="false">AE1149+IF(SUMPRODUCT(--($AL1149:$AQ1149&gt;AL1149))&lt;$AK1149,1,0)</f>
        <v>73</v>
      </c>
      <c r="M1149" s="2" t="n">
        <f aca="false">AF1149+IF(SUMPRODUCT(--($AL1149:$AQ1149&gt;AM1149))+SUMPRODUCT(--($AL1149:AL1149=AM1149))&lt;$AK1149,1,0)</f>
        <v>96</v>
      </c>
      <c r="N1149" s="2" t="n">
        <f aca="false">AG1149+IF(SUMPRODUCT(--($AL1149:$AQ1149&gt;AN1149))+SUMPRODUCT(--($AL1149:AM1149=AN1149))&lt;$AK1149,1,0)</f>
        <v>73</v>
      </c>
      <c r="O1149" s="2" t="n">
        <f aca="false">AH1149+IF(SUMPRODUCT(--($AL1149:$AQ1149&gt;AO1149))+SUMPRODUCT(--($AL1149:AN1149=AO1149))&lt;$AK1149,1,0)</f>
        <v>66</v>
      </c>
      <c r="P1149" s="2" t="n">
        <f aca="false">AI1149+IF(SUMPRODUCT(--($AL1149:$AQ1149&gt;AP1149))+SUMPRODUCT(--($AL1149:AO1149=AP1149))&lt;$AK1149,1,0)</f>
        <v>81</v>
      </c>
      <c r="Q1149" s="2" t="n">
        <f aca="false">AJ1149+IF(SUMPRODUCT(--($AL1149:$AQ1149&gt;AQ1149))+SUMPRODUCT(--($AL1149:AP1149=AQ1149))&lt;$AK1149,1,0)</f>
        <v>111</v>
      </c>
      <c r="R1149" s="2" t="n">
        <f aca="false">SUM(L1149:Q1149)</f>
        <v>500</v>
      </c>
      <c r="S1149" s="2" t="n">
        <f aca="false">Settings!$B$4*MAX(INDEX(Bases!$M$2:$M$53,B1149),INDEX(Bases!$M$2:$M$53,C1149))+Settings!$B$5*MIN(INDEX(Bases!$M$2:$M$53,B1149),INDEX(Bases!$M$2:$M$53,C1149))</f>
        <v>61.6666666666667</v>
      </c>
      <c r="T1149" s="2" t="n">
        <f aca="false">Settings!$B$4*MAX(INDEX(Bases!$N$2:$N$53,B1149),INDEX(Bases!$N$2:$N$53,C1149))+Settings!$B$5*MIN(INDEX(Bases!$N$2:$N$53,B1149),INDEX(Bases!$N$2:$N$53,C1149))</f>
        <v>81</v>
      </c>
      <c r="U1149" s="2" t="n">
        <f aca="false">Settings!$B$4*MAX(INDEX(Bases!$O$2:$O$53,B1149),INDEX(Bases!$O$2:$O$53,C1149))+Settings!$B$5*MIN(INDEX(Bases!$O$2:$O$53,B1149),INDEX(Bases!$O$2:$O$53,C1149))</f>
        <v>61.6666666666667</v>
      </c>
      <c r="V1149" s="2" t="n">
        <f aca="false">Settings!$B$4*MAX(INDEX(Bases!$P$2:$P$53,B1149),INDEX(Bases!$P$2:$P$53,C1149))+Settings!$B$5*MIN(INDEX(Bases!$P$2:$P$53,B1149),INDEX(Bases!$P$2:$P$53,C1149))</f>
        <v>55.6666666666667</v>
      </c>
      <c r="W1149" s="2" t="n">
        <f aca="false">Settings!$B$4*MAX(INDEX(Bases!$Q$2:$Q$53,B1149),INDEX(Bases!$Q$2:$Q$53,C1149))+Settings!$B$5*MIN(INDEX(Bases!$Q$2:$Q$53,B1149),INDEX(Bases!$Q$2:$Q$53,C1149))</f>
        <v>68.6666666666667</v>
      </c>
      <c r="X1149" s="2" t="n">
        <f aca="false">Settings!$B$4*MAX(INDEX(Bases!$R$2:$R$53,B1149),INDEX(Bases!$R$2:$R$53,C1149))+Settings!$B$5*MIN(INDEX(Bases!$R$2:$R$53,B1149),INDEX(Bases!$R$2:$R$53,C1149))</f>
        <v>93.3333333333333</v>
      </c>
      <c r="Y1149" s="2" t="n">
        <f aca="false">S1149*Settings!$B$3/SUM(S1149:X1149)</f>
        <v>73.0647709320695</v>
      </c>
      <c r="Z1149" s="2" t="n">
        <f aca="false">T1149*Settings!$B$3/SUM(S1149:X1149)</f>
        <v>95.9715639810427</v>
      </c>
      <c r="AA1149" s="2" t="n">
        <f aca="false">U1149*Settings!$B$3/SUM(S1149:X1149)</f>
        <v>73.0647709320695</v>
      </c>
      <c r="AB1149" s="2" t="n">
        <f aca="false">V1149*Settings!$B$3/SUM(S1149:X1149)</f>
        <v>65.955766192733</v>
      </c>
      <c r="AC1149" s="2" t="n">
        <f aca="false">W1149*Settings!$B$3/SUM(S1149:X1149)</f>
        <v>81.3586097946288</v>
      </c>
      <c r="AD1149" s="2" t="n">
        <f aca="false">X1149*Settings!$B$3/SUM(S1149:X1149)</f>
        <v>110.584518167457</v>
      </c>
      <c r="AE1149" s="2" t="n">
        <f aca="false">INT(Y1149)</f>
        <v>73</v>
      </c>
      <c r="AF1149" s="2" t="n">
        <f aca="false">INT(Z1149)</f>
        <v>95</v>
      </c>
      <c r="AG1149" s="2" t="n">
        <f aca="false">INT(AA1149)</f>
        <v>73</v>
      </c>
      <c r="AH1149" s="2" t="n">
        <f aca="false">INT(AB1149)</f>
        <v>65</v>
      </c>
      <c r="AI1149" s="2" t="n">
        <f aca="false">INT(AC1149)</f>
        <v>81</v>
      </c>
      <c r="AJ1149" s="2" t="n">
        <f aca="false">INT(AD1149)</f>
        <v>110</v>
      </c>
      <c r="AK1149" s="2" t="n">
        <f aca="false">Settings!$B$3-SUM(AE1149:AJ1149)</f>
        <v>3</v>
      </c>
      <c r="AL1149" s="2" t="n">
        <f aca="false">ROUND(Y1149-AE1149,9)</f>
        <v>0.064770932</v>
      </c>
      <c r="AM1149" s="2" t="n">
        <f aca="false">ROUND(Z1149-AF1149,9)</f>
        <v>0.971563981</v>
      </c>
      <c r="AN1149" s="2" t="n">
        <f aca="false">ROUND(AA1149-AG1149,9)</f>
        <v>0.064770932</v>
      </c>
      <c r="AO1149" s="2" t="n">
        <f aca="false">ROUND(AB1149-AH1149,9)</f>
        <v>0.955766193</v>
      </c>
      <c r="AP1149" s="2" t="n">
        <f aca="false">ROUND(AC1149-AI1149,9)</f>
        <v>0.358609795</v>
      </c>
      <c r="AQ1149" s="2" t="n">
        <f aca="false">ROUND(AD1149-AJ1149,9)</f>
        <v>0.584518167</v>
      </c>
    </row>
    <row r="1150" customFormat="false" ht="15" hidden="false" customHeight="false" outlineLevel="0" collapsed="false">
      <c r="A1150" s="2" t="n">
        <v>1149</v>
      </c>
      <c r="B1150" s="6" t="n">
        <v>33</v>
      </c>
      <c r="C1150" s="6" t="n">
        <v>46</v>
      </c>
      <c r="D1150" s="8" t="str">
        <f aca="false">INDEX(Bases!$B$2:$B$53,B1150)</f>
        <v>Jirachi</v>
      </c>
      <c r="E1150" s="8" t="str">
        <f aca="false">INDEX(Bases!$B$2:$B$53,C1150)</f>
        <v>Houndour</v>
      </c>
      <c r="F1150" s="2" t="str">
        <f aca="false">LEFT(D1150,ROUNDUP(LEN(D1150)/2,0))&amp;LOWER(MID(E1150,ROUNDUP(LEN(E1150)/2,0)+1,20))</f>
        <v>Jiradour</v>
      </c>
      <c r="G1150" s="8" t="str">
        <f aca="false">INDEX(Bases!$C$2:$C$53,B1150)</f>
        <v>Psychic</v>
      </c>
      <c r="H1150" s="8" t="str">
        <f aca="false">IF(INDEX(Bases!$C$2:$C$53,C1150)=G1150,"",INDEX(Bases!$C$2:$C$53,C1150))</f>
        <v>Dark</v>
      </c>
      <c r="I1150" s="8" t="str">
        <f aca="false">IF(INDEX(Bases!$E$2:$E$53,B1150)="","",INDEX(Bases!$E$2:$E$53,B1150))</f>
        <v/>
      </c>
      <c r="J1150" s="8" t="str">
        <f aca="false">IF(INDEX(Bases!$E$2:$E$53,C1150)="","",INDEX(Bases!$E$2:$E$53,C1150))</f>
        <v/>
      </c>
      <c r="K1150" s="5"/>
      <c r="L1150" s="2" t="n">
        <f aca="false">AE1150+IF(SUMPRODUCT(--($AL1150:$AQ1150&gt;AL1150))&lt;$AK1150,1,0)</f>
        <v>75</v>
      </c>
      <c r="M1150" s="2" t="n">
        <f aca="false">AF1150+IF(SUMPRODUCT(--($AL1150:$AQ1150&gt;AM1150))+SUMPRODUCT(--($AL1150:AL1150=AM1150))&lt;$AK1150,1,0)</f>
        <v>85</v>
      </c>
      <c r="N1150" s="2" t="n">
        <f aca="false">AG1150+IF(SUMPRODUCT(--($AL1150:$AQ1150&gt;AN1150))+SUMPRODUCT(--($AL1150:AM1150=AN1150))&lt;$AK1150,1,0)</f>
        <v>68</v>
      </c>
      <c r="O1150" s="2" t="n">
        <f aca="false">AH1150+IF(SUMPRODUCT(--($AL1150:$AQ1150&gt;AO1150))+SUMPRODUCT(--($AL1150:AN1150=AO1150))&lt;$AK1150,1,0)</f>
        <v>105</v>
      </c>
      <c r="P1150" s="2" t="n">
        <f aca="false">AI1150+IF(SUMPRODUCT(--($AL1150:$AQ1150&gt;AP1150))+SUMPRODUCT(--($AL1150:AO1150=AP1150))&lt;$AK1150,1,0)</f>
        <v>77</v>
      </c>
      <c r="Q1150" s="2" t="n">
        <f aca="false">AJ1150+IF(SUMPRODUCT(--($AL1150:$AQ1150&gt;AQ1150))+SUMPRODUCT(--($AL1150:AP1150=AQ1150))&lt;$AK1150,1,0)</f>
        <v>90</v>
      </c>
      <c r="R1150" s="2" t="n">
        <f aca="false">SUM(L1150:Q1150)</f>
        <v>500</v>
      </c>
      <c r="S1150" s="2" t="n">
        <f aca="false">Settings!$B$4*MAX(INDEX(Bases!$M$2:$M$53,B1150),INDEX(Bases!$M$2:$M$53,C1150))+Settings!$B$5*MIN(INDEX(Bases!$M$2:$M$53,B1150),INDEX(Bases!$M$2:$M$53,C1150))</f>
        <v>62.6666666666667</v>
      </c>
      <c r="T1150" s="2" t="n">
        <f aca="false">Settings!$B$4*MAX(INDEX(Bases!$N$2:$N$53,B1150),INDEX(Bases!$N$2:$N$53,C1150))+Settings!$B$5*MIN(INDEX(Bases!$N$2:$N$53,B1150),INDEX(Bases!$N$2:$N$53,C1150))</f>
        <v>71</v>
      </c>
      <c r="U1150" s="2" t="n">
        <f aca="false">Settings!$B$4*MAX(INDEX(Bases!$O$2:$O$53,B1150),INDEX(Bases!$O$2:$O$53,C1150))+Settings!$B$5*MIN(INDEX(Bases!$O$2:$O$53,B1150),INDEX(Bases!$O$2:$O$53,C1150))</f>
        <v>56.6666666666667</v>
      </c>
      <c r="V1150" s="2" t="n">
        <f aca="false">Settings!$B$4*MAX(INDEX(Bases!$P$2:$P$53,B1150),INDEX(Bases!$P$2:$P$53,C1150))+Settings!$B$5*MIN(INDEX(Bases!$P$2:$P$53,B1150),INDEX(Bases!$P$2:$P$53,C1150))</f>
        <v>87</v>
      </c>
      <c r="W1150" s="2" t="n">
        <f aca="false">Settings!$B$4*MAX(INDEX(Bases!$Q$2:$Q$53,B1150),INDEX(Bases!$Q$2:$Q$53,C1150))+Settings!$B$5*MIN(INDEX(Bases!$Q$2:$Q$53,B1150),INDEX(Bases!$Q$2:$Q$53,C1150))</f>
        <v>64.3333333333333</v>
      </c>
      <c r="X1150" s="2" t="n">
        <f aca="false">Settings!$B$4*MAX(INDEX(Bases!$R$2:$R$53,B1150),INDEX(Bases!$R$2:$R$53,C1150))+Settings!$B$5*MIN(INDEX(Bases!$R$2:$R$53,B1150),INDEX(Bases!$R$2:$R$53,C1150))</f>
        <v>74.6666666666667</v>
      </c>
      <c r="Y1150" s="2" t="n">
        <f aca="false">S1150*Settings!$B$3/SUM(S1150:X1150)</f>
        <v>75.2602081665332</v>
      </c>
      <c r="Z1150" s="2" t="n">
        <f aca="false">T1150*Settings!$B$3/SUM(S1150:X1150)</f>
        <v>85.2682145716573</v>
      </c>
      <c r="AA1150" s="2" t="n">
        <f aca="false">U1150*Settings!$B$3/SUM(S1150:X1150)</f>
        <v>68.0544435548439</v>
      </c>
      <c r="AB1150" s="2" t="n">
        <f aca="false">V1150*Settings!$B$3/SUM(S1150:X1150)</f>
        <v>104.483586869496</v>
      </c>
      <c r="AC1150" s="2" t="n">
        <f aca="false">W1150*Settings!$B$3/SUM(S1150:X1150)</f>
        <v>77.2618094475581</v>
      </c>
      <c r="AD1150" s="2" t="n">
        <f aca="false">X1150*Settings!$B$3/SUM(S1150:X1150)</f>
        <v>89.6717373899119</v>
      </c>
      <c r="AE1150" s="2" t="n">
        <f aca="false">INT(Y1150)</f>
        <v>75</v>
      </c>
      <c r="AF1150" s="2" t="n">
        <f aca="false">INT(Z1150)</f>
        <v>85</v>
      </c>
      <c r="AG1150" s="2" t="n">
        <f aca="false">INT(AA1150)</f>
        <v>68</v>
      </c>
      <c r="AH1150" s="2" t="n">
        <f aca="false">INT(AB1150)</f>
        <v>104</v>
      </c>
      <c r="AI1150" s="2" t="n">
        <f aca="false">INT(AC1150)</f>
        <v>77</v>
      </c>
      <c r="AJ1150" s="2" t="n">
        <f aca="false">INT(AD1150)</f>
        <v>89</v>
      </c>
      <c r="AK1150" s="2" t="n">
        <f aca="false">Settings!$B$3-SUM(AE1150:AJ1150)</f>
        <v>2</v>
      </c>
      <c r="AL1150" s="2" t="n">
        <f aca="false">ROUND(Y1150-AE1150,9)</f>
        <v>0.260208167</v>
      </c>
      <c r="AM1150" s="2" t="n">
        <f aca="false">ROUND(Z1150-AF1150,9)</f>
        <v>0.268214572</v>
      </c>
      <c r="AN1150" s="2" t="n">
        <f aca="false">ROUND(AA1150-AG1150,9)</f>
        <v>0.054443555</v>
      </c>
      <c r="AO1150" s="2" t="n">
        <f aca="false">ROUND(AB1150-AH1150,9)</f>
        <v>0.483586869</v>
      </c>
      <c r="AP1150" s="2" t="n">
        <f aca="false">ROUND(AC1150-AI1150,9)</f>
        <v>0.261809448</v>
      </c>
      <c r="AQ1150" s="2" t="n">
        <f aca="false">ROUND(AD1150-AJ1150,9)</f>
        <v>0.67173739</v>
      </c>
    </row>
    <row r="1151" customFormat="false" ht="15" hidden="false" customHeight="false" outlineLevel="0" collapsed="false">
      <c r="A1151" s="2" t="n">
        <v>1150</v>
      </c>
      <c r="B1151" s="6" t="n">
        <v>33</v>
      </c>
      <c r="C1151" s="6" t="n">
        <v>47</v>
      </c>
      <c r="D1151" s="8" t="str">
        <f aca="false">INDEX(Bases!$B$2:$B$53,B1151)</f>
        <v>Jirachi</v>
      </c>
      <c r="E1151" s="8" t="str">
        <f aca="false">INDEX(Bases!$B$2:$B$53,C1151)</f>
        <v>Carvanha</v>
      </c>
      <c r="F1151" s="2" t="str">
        <f aca="false">LEFT(D1151,ROUNDUP(LEN(D1151)/2,0))&amp;LOWER(MID(E1151,ROUNDUP(LEN(E1151)/2,0)+1,20))</f>
        <v>Jiraanha</v>
      </c>
      <c r="G1151" s="8" t="str">
        <f aca="false">INDEX(Bases!$C$2:$C$53,B1151)</f>
        <v>Psychic</v>
      </c>
      <c r="H1151" s="8" t="str">
        <f aca="false">IF(INDEX(Bases!$C$2:$C$53,C1151)=G1151,"",INDEX(Bases!$C$2:$C$53,C1151))</f>
        <v>Dark</v>
      </c>
      <c r="I1151" s="8" t="str">
        <f aca="false">IF(INDEX(Bases!$E$2:$E$53,B1151)="","",INDEX(Bases!$E$2:$E$53,B1151))</f>
        <v/>
      </c>
      <c r="J1151" s="8" t="str">
        <f aca="false">IF(INDEX(Bases!$E$2:$E$53,C1151)="","",INDEX(Bases!$E$2:$E$53,C1151))</f>
        <v/>
      </c>
      <c r="K1151" s="5"/>
      <c r="L1151" s="2" t="n">
        <f aca="false">AE1151+IF(SUMPRODUCT(--($AL1151:$AQ1151&gt;AL1151))&lt;$AK1151,1,0)</f>
        <v>75</v>
      </c>
      <c r="M1151" s="2" t="n">
        <f aca="false">AF1151+IF(SUMPRODUCT(--($AL1151:$AQ1151&gt;AM1151))+SUMPRODUCT(--($AL1151:AL1151=AM1151))&lt;$AK1151,1,0)</f>
        <v>117</v>
      </c>
      <c r="N1151" s="2" t="n">
        <f aca="false">AG1151+IF(SUMPRODUCT(--($AL1151:$AQ1151&gt;AN1151))+SUMPRODUCT(--($AL1151:AM1151=AN1151))&lt;$AK1151,1,0)</f>
        <v>62</v>
      </c>
      <c r="O1151" s="2" t="n">
        <f aca="false">AH1151+IF(SUMPRODUCT(--($AL1151:$AQ1151&gt;AO1151))+SUMPRODUCT(--($AL1151:AN1151=AO1151))&lt;$AK1151,1,0)</f>
        <v>93</v>
      </c>
      <c r="P1151" s="2" t="n">
        <f aca="false">AI1151+IF(SUMPRODUCT(--($AL1151:$AQ1151&gt;AP1151))+SUMPRODUCT(--($AL1151:AO1151=AP1151))&lt;$AK1151,1,0)</f>
        <v>61</v>
      </c>
      <c r="Q1151" s="2" t="n">
        <f aca="false">AJ1151+IF(SUMPRODUCT(--($AL1151:$AQ1151&gt;AQ1151))+SUMPRODUCT(--($AL1151:AP1151=AQ1151))&lt;$AK1151,1,0)</f>
        <v>92</v>
      </c>
      <c r="R1151" s="2" t="n">
        <f aca="false">SUM(L1151:Q1151)</f>
        <v>500</v>
      </c>
      <c r="S1151" s="2" t="n">
        <f aca="false">Settings!$B$4*MAX(INDEX(Bases!$M$2:$M$53,B1151),INDEX(Bases!$M$2:$M$53,C1151))+Settings!$B$5*MIN(INDEX(Bases!$M$2:$M$53,B1151),INDEX(Bases!$M$2:$M$53,C1151))</f>
        <v>64.3333333333333</v>
      </c>
      <c r="T1151" s="2" t="n">
        <f aca="false">Settings!$B$4*MAX(INDEX(Bases!$N$2:$N$53,B1151),INDEX(Bases!$N$2:$N$53,C1151))+Settings!$B$5*MIN(INDEX(Bases!$N$2:$N$53,B1151),INDEX(Bases!$N$2:$N$53,C1151))</f>
        <v>101</v>
      </c>
      <c r="U1151" s="2" t="n">
        <f aca="false">Settings!$B$4*MAX(INDEX(Bases!$O$2:$O$53,B1151),INDEX(Bases!$O$2:$O$53,C1151))+Settings!$B$5*MIN(INDEX(Bases!$O$2:$O$53,B1151),INDEX(Bases!$O$2:$O$53,C1151))</f>
        <v>53.3333333333333</v>
      </c>
      <c r="V1151" s="2" t="n">
        <f aca="false">Settings!$B$4*MAX(INDEX(Bases!$P$2:$P$53,B1151),INDEX(Bases!$P$2:$P$53,C1151))+Settings!$B$5*MIN(INDEX(Bases!$P$2:$P$53,B1151),INDEX(Bases!$P$2:$P$53,C1151))</f>
        <v>79.6666666666667</v>
      </c>
      <c r="W1151" s="2" t="n">
        <f aca="false">Settings!$B$4*MAX(INDEX(Bases!$Q$2:$Q$53,B1151),INDEX(Bases!$Q$2:$Q$53,C1151))+Settings!$B$5*MIN(INDEX(Bases!$Q$2:$Q$53,B1151),INDEX(Bases!$Q$2:$Q$53,C1151))</f>
        <v>52.6666666666667</v>
      </c>
      <c r="X1151" s="2" t="n">
        <f aca="false">Settings!$B$4*MAX(INDEX(Bases!$R$2:$R$53,B1151),INDEX(Bases!$R$2:$R$53,C1151))+Settings!$B$5*MIN(INDEX(Bases!$R$2:$R$53,B1151),INDEX(Bases!$R$2:$R$53,C1151))</f>
        <v>78.6666666666667</v>
      </c>
      <c r="Y1151" s="2" t="n">
        <f aca="false">S1151*Settings!$B$3/SUM(S1151:X1151)</f>
        <v>74.8642358417378</v>
      </c>
      <c r="Z1151" s="2" t="n">
        <f aca="false">T1151*Settings!$B$3/SUM(S1151:X1151)</f>
        <v>117.532971295578</v>
      </c>
      <c r="AA1151" s="2" t="n">
        <f aca="false">U1151*Settings!$B$3/SUM(S1151:X1151)</f>
        <v>62.0636152055857</v>
      </c>
      <c r="AB1151" s="2" t="n">
        <f aca="false">V1151*Settings!$B$3/SUM(S1151:X1151)</f>
        <v>92.7075252133437</v>
      </c>
      <c r="AC1151" s="2" t="n">
        <f aca="false">W1151*Settings!$B$3/SUM(S1151:X1151)</f>
        <v>61.2878200155159</v>
      </c>
      <c r="AD1151" s="2" t="n">
        <f aca="false">X1151*Settings!$B$3/SUM(S1151:X1151)</f>
        <v>91.5438324282389</v>
      </c>
      <c r="AE1151" s="2" t="n">
        <f aca="false">INT(Y1151)</f>
        <v>74</v>
      </c>
      <c r="AF1151" s="2" t="n">
        <f aca="false">INT(Z1151)</f>
        <v>117</v>
      </c>
      <c r="AG1151" s="2" t="n">
        <f aca="false">INT(AA1151)</f>
        <v>62</v>
      </c>
      <c r="AH1151" s="2" t="n">
        <f aca="false">INT(AB1151)</f>
        <v>92</v>
      </c>
      <c r="AI1151" s="2" t="n">
        <f aca="false">INT(AC1151)</f>
        <v>61</v>
      </c>
      <c r="AJ1151" s="2" t="n">
        <f aca="false">INT(AD1151)</f>
        <v>91</v>
      </c>
      <c r="AK1151" s="2" t="n">
        <f aca="false">Settings!$B$3-SUM(AE1151:AJ1151)</f>
        <v>3</v>
      </c>
      <c r="AL1151" s="2" t="n">
        <f aca="false">ROUND(Y1151-AE1151,9)</f>
        <v>0.864235842</v>
      </c>
      <c r="AM1151" s="2" t="n">
        <f aca="false">ROUND(Z1151-AF1151,9)</f>
        <v>0.532971296</v>
      </c>
      <c r="AN1151" s="2" t="n">
        <f aca="false">ROUND(AA1151-AG1151,9)</f>
        <v>0.063615206</v>
      </c>
      <c r="AO1151" s="2" t="n">
        <f aca="false">ROUND(AB1151-AH1151,9)</f>
        <v>0.707525213</v>
      </c>
      <c r="AP1151" s="2" t="n">
        <f aca="false">ROUND(AC1151-AI1151,9)</f>
        <v>0.287820016</v>
      </c>
      <c r="AQ1151" s="2" t="n">
        <f aca="false">ROUND(AD1151-AJ1151,9)</f>
        <v>0.543832428</v>
      </c>
    </row>
    <row r="1152" customFormat="false" ht="15" hidden="false" customHeight="false" outlineLevel="0" collapsed="false">
      <c r="A1152" s="2" t="n">
        <v>1151</v>
      </c>
      <c r="B1152" s="6" t="n">
        <v>33</v>
      </c>
      <c r="C1152" s="6" t="n">
        <v>48</v>
      </c>
      <c r="D1152" s="8" t="str">
        <f aca="false">INDEX(Bases!$B$2:$B$53,B1152)</f>
        <v>Jirachi</v>
      </c>
      <c r="E1152" s="8" t="str">
        <f aca="false">INDEX(Bases!$B$2:$B$53,C1152)</f>
        <v>Magnemite</v>
      </c>
      <c r="F1152" s="2" t="str">
        <f aca="false">LEFT(D1152,ROUNDUP(LEN(D1152)/2,0))&amp;LOWER(MID(E1152,ROUNDUP(LEN(E1152)/2,0)+1,20))</f>
        <v>Jiramite</v>
      </c>
      <c r="G1152" s="8" t="str">
        <f aca="false">INDEX(Bases!$C$2:$C$53,B1152)</f>
        <v>Psychic</v>
      </c>
      <c r="H1152" s="8" t="str">
        <f aca="false">IF(INDEX(Bases!$C$2:$C$53,C1152)=G1152,"",INDEX(Bases!$C$2:$C$53,C1152))</f>
        <v>Steel</v>
      </c>
      <c r="I1152" s="8" t="str">
        <f aca="false">IF(INDEX(Bases!$E$2:$E$53,B1152)="","",INDEX(Bases!$E$2:$E$53,B1152))</f>
        <v/>
      </c>
      <c r="J1152" s="8" t="str">
        <f aca="false">IF(INDEX(Bases!$E$2:$E$53,C1152)="","",INDEX(Bases!$E$2:$E$53,C1152))</f>
        <v/>
      </c>
      <c r="K1152" s="5"/>
      <c r="L1152" s="2" t="n">
        <f aca="false">AE1152+IF(SUMPRODUCT(--($AL1152:$AQ1152&gt;AL1152))&lt;$AK1152,1,0)</f>
        <v>65</v>
      </c>
      <c r="M1152" s="2" t="n">
        <f aca="false">AF1152+IF(SUMPRODUCT(--($AL1152:$AQ1152&gt;AM1152))+SUMPRODUCT(--($AL1152:AL1152=AM1152))&lt;$AK1152,1,0)</f>
        <v>70</v>
      </c>
      <c r="N1152" s="2" t="n">
        <f aca="false">AG1152+IF(SUMPRODUCT(--($AL1152:$AQ1152&gt;AN1152))+SUMPRODUCT(--($AL1152:AM1152=AN1152))&lt;$AK1152,1,0)</f>
        <v>94</v>
      </c>
      <c r="O1152" s="2" t="n">
        <f aca="false">AH1152+IF(SUMPRODUCT(--($AL1152:$AQ1152&gt;AO1152))+SUMPRODUCT(--($AL1152:AN1152=AO1152))&lt;$AK1152,1,0)</f>
        <v>118</v>
      </c>
      <c r="P1152" s="2" t="n">
        <f aca="false">AI1152+IF(SUMPRODUCT(--($AL1152:$AQ1152&gt;AP1152))+SUMPRODUCT(--($AL1152:AO1152=AP1152))&lt;$AK1152,1,0)</f>
        <v>79</v>
      </c>
      <c r="Q1152" s="2" t="n">
        <f aca="false">AJ1152+IF(SUMPRODUCT(--($AL1152:$AQ1152&gt;AQ1152))+SUMPRODUCT(--($AL1152:AP1152=AQ1152))&lt;$AK1152,1,0)</f>
        <v>74</v>
      </c>
      <c r="R1152" s="2" t="n">
        <f aca="false">SUM(L1152:Q1152)</f>
        <v>500</v>
      </c>
      <c r="S1152" s="2" t="n">
        <f aca="false">Settings!$B$4*MAX(INDEX(Bases!$M$2:$M$53,B1152),INDEX(Bases!$M$2:$M$53,C1152))+Settings!$B$5*MIN(INDEX(Bases!$M$2:$M$53,B1152),INDEX(Bases!$M$2:$M$53,C1152))</f>
        <v>55</v>
      </c>
      <c r="T1152" s="2" t="n">
        <f aca="false">Settings!$B$4*MAX(INDEX(Bases!$N$2:$N$53,B1152),INDEX(Bases!$N$2:$N$53,C1152))+Settings!$B$5*MIN(INDEX(Bases!$N$2:$N$53,B1152),INDEX(Bases!$N$2:$N$53,C1152))</f>
        <v>59</v>
      </c>
      <c r="U1152" s="2" t="n">
        <f aca="false">Settings!$B$4*MAX(INDEX(Bases!$O$2:$O$53,B1152),INDEX(Bases!$O$2:$O$53,C1152))+Settings!$B$5*MIN(INDEX(Bases!$O$2:$O$53,B1152),INDEX(Bases!$O$2:$O$53,C1152))</f>
        <v>79.6666666666667</v>
      </c>
      <c r="V1152" s="2" t="n">
        <f aca="false">Settings!$B$4*MAX(INDEX(Bases!$P$2:$P$53,B1152),INDEX(Bases!$P$2:$P$53,C1152))+Settings!$B$5*MIN(INDEX(Bases!$P$2:$P$53,B1152),INDEX(Bases!$P$2:$P$53,C1152))</f>
        <v>100.333333333333</v>
      </c>
      <c r="W1152" s="2" t="n">
        <f aca="false">Settings!$B$4*MAX(INDEX(Bases!$Q$2:$Q$53,B1152),INDEX(Bases!$Q$2:$Q$53,C1152))+Settings!$B$5*MIN(INDEX(Bases!$Q$2:$Q$53,B1152),INDEX(Bases!$Q$2:$Q$53,C1152))</f>
        <v>67.3333333333333</v>
      </c>
      <c r="X1152" s="2" t="n">
        <f aca="false">Settings!$B$4*MAX(INDEX(Bases!$R$2:$R$53,B1152),INDEX(Bases!$R$2:$R$53,C1152))+Settings!$B$5*MIN(INDEX(Bases!$R$2:$R$53,B1152),INDEX(Bases!$R$2:$R$53,C1152))</f>
        <v>62.3333333333333</v>
      </c>
      <c r="Y1152" s="2" t="n">
        <f aca="false">S1152*Settings!$B$3/SUM(S1152:X1152)</f>
        <v>64.9095200629426</v>
      </c>
      <c r="Z1152" s="2" t="n">
        <f aca="false">T1152*Settings!$B$3/SUM(S1152:X1152)</f>
        <v>69.6302124311566</v>
      </c>
      <c r="AA1152" s="2" t="n">
        <f aca="false">U1152*Settings!$B$3/SUM(S1152:X1152)</f>
        <v>94.0204563335956</v>
      </c>
      <c r="AB1152" s="2" t="n">
        <f aca="false">V1152*Settings!$B$3/SUM(S1152:X1152)</f>
        <v>118.410700236035</v>
      </c>
      <c r="AC1152" s="2" t="n">
        <f aca="false">W1152*Settings!$B$3/SUM(S1152:X1152)</f>
        <v>79.4649881982691</v>
      </c>
      <c r="AD1152" s="2" t="n">
        <f aca="false">X1152*Settings!$B$3/SUM(S1152:X1152)</f>
        <v>73.5641227380016</v>
      </c>
      <c r="AE1152" s="2" t="n">
        <f aca="false">INT(Y1152)</f>
        <v>64</v>
      </c>
      <c r="AF1152" s="2" t="n">
        <f aca="false">INT(Z1152)</f>
        <v>69</v>
      </c>
      <c r="AG1152" s="2" t="n">
        <f aca="false">INT(AA1152)</f>
        <v>94</v>
      </c>
      <c r="AH1152" s="2" t="n">
        <f aca="false">INT(AB1152)</f>
        <v>118</v>
      </c>
      <c r="AI1152" s="2" t="n">
        <f aca="false">INT(AC1152)</f>
        <v>79</v>
      </c>
      <c r="AJ1152" s="2" t="n">
        <f aca="false">INT(AD1152)</f>
        <v>73</v>
      </c>
      <c r="AK1152" s="2" t="n">
        <f aca="false">Settings!$B$3-SUM(AE1152:AJ1152)</f>
        <v>3</v>
      </c>
      <c r="AL1152" s="2" t="n">
        <f aca="false">ROUND(Y1152-AE1152,9)</f>
        <v>0.909520063</v>
      </c>
      <c r="AM1152" s="2" t="n">
        <f aca="false">ROUND(Z1152-AF1152,9)</f>
        <v>0.630212431</v>
      </c>
      <c r="AN1152" s="2" t="n">
        <f aca="false">ROUND(AA1152-AG1152,9)</f>
        <v>0.020456334</v>
      </c>
      <c r="AO1152" s="2" t="n">
        <f aca="false">ROUND(AB1152-AH1152,9)</f>
        <v>0.410700236</v>
      </c>
      <c r="AP1152" s="2" t="n">
        <f aca="false">ROUND(AC1152-AI1152,9)</f>
        <v>0.464988198</v>
      </c>
      <c r="AQ1152" s="2" t="n">
        <f aca="false">ROUND(AD1152-AJ1152,9)</f>
        <v>0.564122738</v>
      </c>
    </row>
    <row r="1153" customFormat="false" ht="15" hidden="false" customHeight="false" outlineLevel="0" collapsed="false">
      <c r="A1153" s="2" t="n">
        <v>1152</v>
      </c>
      <c r="B1153" s="6" t="n">
        <v>33</v>
      </c>
      <c r="C1153" s="6" t="n">
        <v>49</v>
      </c>
      <c r="D1153" s="8" t="str">
        <f aca="false">INDEX(Bases!$B$2:$B$53,B1153)</f>
        <v>Jirachi</v>
      </c>
      <c r="E1153" s="8" t="str">
        <f aca="false">INDEX(Bases!$B$2:$B$53,C1153)</f>
        <v>Aron</v>
      </c>
      <c r="F1153" s="2" t="str">
        <f aca="false">LEFT(D1153,ROUNDUP(LEN(D1153)/2,0))&amp;LOWER(MID(E1153,ROUNDUP(LEN(E1153)/2,0)+1,20))</f>
        <v>Jiraon</v>
      </c>
      <c r="G1153" s="8" t="str">
        <f aca="false">INDEX(Bases!$C$2:$C$53,B1153)</f>
        <v>Psychic</v>
      </c>
      <c r="H1153" s="8" t="str">
        <f aca="false">IF(INDEX(Bases!$C$2:$C$53,C1153)=G1153,"",INDEX(Bases!$C$2:$C$53,C1153))</f>
        <v>Steel</v>
      </c>
      <c r="I1153" s="8" t="str">
        <f aca="false">IF(INDEX(Bases!$E$2:$E$53,B1153)="","",INDEX(Bases!$E$2:$E$53,B1153))</f>
        <v/>
      </c>
      <c r="J1153" s="8" t="str">
        <f aca="false">IF(INDEX(Bases!$E$2:$E$53,C1153)="","",INDEX(Bases!$E$2:$E$53,C1153))</f>
        <v/>
      </c>
      <c r="K1153" s="5"/>
      <c r="L1153" s="2" t="n">
        <f aca="false">AE1153+IF(SUMPRODUCT(--($AL1153:$AQ1153&gt;AL1153))&lt;$AK1153,1,0)</f>
        <v>77</v>
      </c>
      <c r="M1153" s="2" t="n">
        <f aca="false">AF1153+IF(SUMPRODUCT(--($AL1153:$AQ1153&gt;AM1153))+SUMPRODUCT(--($AL1153:AL1153=AM1153))&lt;$AK1153,1,0)</f>
        <v>93</v>
      </c>
      <c r="N1153" s="2" t="n">
        <f aca="false">AG1153+IF(SUMPRODUCT(--($AL1153:$AQ1153&gt;AN1153))+SUMPRODUCT(--($AL1153:AM1153=AN1153))&lt;$AK1153,1,0)</f>
        <v>121</v>
      </c>
      <c r="O1153" s="2" t="n">
        <f aca="false">AH1153+IF(SUMPRODUCT(--($AL1153:$AQ1153&gt;AO1153))+SUMPRODUCT(--($AL1153:AN1153=AO1153))&lt;$AK1153,1,0)</f>
        <v>72</v>
      </c>
      <c r="P1153" s="2" t="n">
        <f aca="false">AI1153+IF(SUMPRODUCT(--($AL1153:$AQ1153&gt;AP1153))+SUMPRODUCT(--($AL1153:AO1153=AP1153))&lt;$AK1153,1,0)</f>
        <v>71</v>
      </c>
      <c r="Q1153" s="2" t="n">
        <f aca="false">AJ1153+IF(SUMPRODUCT(--($AL1153:$AQ1153&gt;AQ1153))+SUMPRODUCT(--($AL1153:AP1153=AQ1153))&lt;$AK1153,1,0)</f>
        <v>66</v>
      </c>
      <c r="R1153" s="2" t="n">
        <f aca="false">SUM(L1153:Q1153)</f>
        <v>500</v>
      </c>
      <c r="S1153" s="2" t="n">
        <f aca="false">Settings!$B$4*MAX(INDEX(Bases!$M$2:$M$53,B1153),INDEX(Bases!$M$2:$M$53,C1153))+Settings!$B$5*MIN(INDEX(Bases!$M$2:$M$53,B1153),INDEX(Bases!$M$2:$M$53,C1153))</f>
        <v>65</v>
      </c>
      <c r="T1153" s="2" t="n">
        <f aca="false">Settings!$B$4*MAX(INDEX(Bases!$N$2:$N$53,B1153),INDEX(Bases!$N$2:$N$53,C1153))+Settings!$B$5*MIN(INDEX(Bases!$N$2:$N$53,B1153),INDEX(Bases!$N$2:$N$53,C1153))</f>
        <v>79</v>
      </c>
      <c r="U1153" s="2" t="n">
        <f aca="false">Settings!$B$4*MAX(INDEX(Bases!$O$2:$O$53,B1153),INDEX(Bases!$O$2:$O$53,C1153))+Settings!$B$5*MIN(INDEX(Bases!$O$2:$O$53,B1153),INDEX(Bases!$O$2:$O$53,C1153))</f>
        <v>103</v>
      </c>
      <c r="V1153" s="2" t="n">
        <f aca="false">Settings!$B$4*MAX(INDEX(Bases!$P$2:$P$53,B1153),INDEX(Bases!$P$2:$P$53,C1153))+Settings!$B$5*MIN(INDEX(Bases!$P$2:$P$53,B1153),INDEX(Bases!$P$2:$P$53,C1153))</f>
        <v>61</v>
      </c>
      <c r="W1153" s="2" t="n">
        <f aca="false">Settings!$B$4*MAX(INDEX(Bases!$Q$2:$Q$53,B1153),INDEX(Bases!$Q$2:$Q$53,C1153))+Settings!$B$5*MIN(INDEX(Bases!$Q$2:$Q$53,B1153),INDEX(Bases!$Q$2:$Q$53,C1153))</f>
        <v>60</v>
      </c>
      <c r="X1153" s="2" t="n">
        <f aca="false">Settings!$B$4*MAX(INDEX(Bases!$R$2:$R$53,B1153),INDEX(Bases!$R$2:$R$53,C1153))+Settings!$B$5*MIN(INDEX(Bases!$R$2:$R$53,B1153),INDEX(Bases!$R$2:$R$53,C1153))</f>
        <v>56</v>
      </c>
      <c r="Y1153" s="2" t="n">
        <f aca="false">S1153*Settings!$B$3/SUM(S1153:X1153)</f>
        <v>76.6509433962264</v>
      </c>
      <c r="Z1153" s="2" t="n">
        <f aca="false">T1153*Settings!$B$3/SUM(S1153:X1153)</f>
        <v>93.1603773584906</v>
      </c>
      <c r="AA1153" s="2" t="n">
        <f aca="false">U1153*Settings!$B$3/SUM(S1153:X1153)</f>
        <v>121.462264150943</v>
      </c>
      <c r="AB1153" s="2" t="n">
        <f aca="false">V1153*Settings!$B$3/SUM(S1153:X1153)</f>
        <v>71.933962264151</v>
      </c>
      <c r="AC1153" s="2" t="n">
        <f aca="false">W1153*Settings!$B$3/SUM(S1153:X1153)</f>
        <v>70.7547169811321</v>
      </c>
      <c r="AD1153" s="2" t="n">
        <f aca="false">X1153*Settings!$B$3/SUM(S1153:X1153)</f>
        <v>66.0377358490566</v>
      </c>
      <c r="AE1153" s="2" t="n">
        <f aca="false">INT(Y1153)</f>
        <v>76</v>
      </c>
      <c r="AF1153" s="2" t="n">
        <f aca="false">INT(Z1153)</f>
        <v>93</v>
      </c>
      <c r="AG1153" s="2" t="n">
        <f aca="false">INT(AA1153)</f>
        <v>121</v>
      </c>
      <c r="AH1153" s="2" t="n">
        <f aca="false">INT(AB1153)</f>
        <v>71</v>
      </c>
      <c r="AI1153" s="2" t="n">
        <f aca="false">INT(AC1153)</f>
        <v>70</v>
      </c>
      <c r="AJ1153" s="2" t="n">
        <f aca="false">INT(AD1153)</f>
        <v>66</v>
      </c>
      <c r="AK1153" s="2" t="n">
        <f aca="false">Settings!$B$3-SUM(AE1153:AJ1153)</f>
        <v>3</v>
      </c>
      <c r="AL1153" s="2" t="n">
        <f aca="false">ROUND(Y1153-AE1153,9)</f>
        <v>0.650943396</v>
      </c>
      <c r="AM1153" s="2" t="n">
        <f aca="false">ROUND(Z1153-AF1153,9)</f>
        <v>0.160377358</v>
      </c>
      <c r="AN1153" s="2" t="n">
        <f aca="false">ROUND(AA1153-AG1153,9)</f>
        <v>0.462264151</v>
      </c>
      <c r="AO1153" s="2" t="n">
        <f aca="false">ROUND(AB1153-AH1153,9)</f>
        <v>0.933962264</v>
      </c>
      <c r="AP1153" s="2" t="n">
        <f aca="false">ROUND(AC1153-AI1153,9)</f>
        <v>0.754716981</v>
      </c>
      <c r="AQ1153" s="2" t="n">
        <f aca="false">ROUND(AD1153-AJ1153,9)</f>
        <v>0.037735849</v>
      </c>
    </row>
    <row r="1154" customFormat="false" ht="15" hidden="false" customHeight="false" outlineLevel="0" collapsed="false">
      <c r="A1154" s="2" t="n">
        <v>1153</v>
      </c>
      <c r="B1154" s="6" t="n">
        <v>33</v>
      </c>
      <c r="C1154" s="6" t="n">
        <v>50</v>
      </c>
      <c r="D1154" s="8" t="str">
        <f aca="false">INDEX(Bases!$B$2:$B$53,B1154)</f>
        <v>Jirachi</v>
      </c>
      <c r="E1154" s="8" t="str">
        <f aca="false">INDEX(Bases!$B$2:$B$53,C1154)</f>
        <v>Beldum</v>
      </c>
      <c r="F1154" s="2" t="str">
        <f aca="false">LEFT(D1154,ROUNDUP(LEN(D1154)/2,0))&amp;LOWER(MID(E1154,ROUNDUP(LEN(E1154)/2,0)+1,20))</f>
        <v>Jiradum</v>
      </c>
      <c r="G1154" s="8" t="str">
        <f aca="false">INDEX(Bases!$C$2:$C$53,B1154)</f>
        <v>Psychic</v>
      </c>
      <c r="H1154" s="8" t="str">
        <f aca="false">IF(INDEX(Bases!$C$2:$C$53,C1154)=G1154,"",INDEX(Bases!$C$2:$C$53,C1154))</f>
        <v>Steel</v>
      </c>
      <c r="I1154" s="8" t="str">
        <f aca="false">IF(INDEX(Bases!$E$2:$E$53,B1154)="","",INDEX(Bases!$E$2:$E$53,B1154))</f>
        <v/>
      </c>
      <c r="J1154" s="8" t="str">
        <f aca="false">IF(INDEX(Bases!$E$2:$E$53,C1154)="","",INDEX(Bases!$E$2:$E$53,C1154))</f>
        <v/>
      </c>
      <c r="K1154" s="5"/>
      <c r="L1154" s="2" t="n">
        <f aca="false">AE1154+IF(SUMPRODUCT(--($AL1154:$AQ1154&gt;AL1154))&lt;$AK1154,1,0)</f>
        <v>74</v>
      </c>
      <c r="M1154" s="2" t="n">
        <f aca="false">AF1154+IF(SUMPRODUCT(--($AL1154:$AQ1154&gt;AM1154))+SUMPRODUCT(--($AL1154:AL1154=AM1154))&lt;$AK1154,1,0)</f>
        <v>85</v>
      </c>
      <c r="N1154" s="2" t="n">
        <f aca="false">AG1154+IF(SUMPRODUCT(--($AL1154:$AQ1154&gt;AN1154))+SUMPRODUCT(--($AL1154:AM1154=AN1154))&lt;$AK1154,1,0)</f>
        <v>111</v>
      </c>
      <c r="O1154" s="2" t="n">
        <f aca="false">AH1154+IF(SUMPRODUCT(--($AL1154:$AQ1154&gt;AO1154))+SUMPRODUCT(--($AL1154:AN1154=AO1154))&lt;$AK1154,1,0)</f>
        <v>72</v>
      </c>
      <c r="P1154" s="2" t="n">
        <f aca="false">AI1154+IF(SUMPRODUCT(--($AL1154:$AQ1154&gt;AP1154))+SUMPRODUCT(--($AL1154:AO1154=AP1154))&lt;$AK1154,1,0)</f>
        <v>90</v>
      </c>
      <c r="Q1154" s="2" t="n">
        <f aca="false">AJ1154+IF(SUMPRODUCT(--($AL1154:$AQ1154&gt;AQ1154))+SUMPRODUCT(--($AL1154:AP1154=AQ1154))&lt;$AK1154,1,0)</f>
        <v>68</v>
      </c>
      <c r="R1154" s="2" t="n">
        <f aca="false">SUM(L1154:Q1154)</f>
        <v>500</v>
      </c>
      <c r="S1154" s="2" t="n">
        <f aca="false">Settings!$B$4*MAX(INDEX(Bases!$M$2:$M$53,B1154),INDEX(Bases!$M$2:$M$53,C1154))+Settings!$B$5*MIN(INDEX(Bases!$M$2:$M$53,B1154),INDEX(Bases!$M$2:$M$53,C1154))</f>
        <v>62.3333333333333</v>
      </c>
      <c r="T1154" s="2" t="n">
        <f aca="false">Settings!$B$4*MAX(INDEX(Bases!$N$2:$N$53,B1154),INDEX(Bases!$N$2:$N$53,C1154))+Settings!$B$5*MIN(INDEX(Bases!$N$2:$N$53,B1154),INDEX(Bases!$N$2:$N$53,C1154))</f>
        <v>71</v>
      </c>
      <c r="U1154" s="2" t="n">
        <f aca="false">Settings!$B$4*MAX(INDEX(Bases!$O$2:$O$53,B1154),INDEX(Bases!$O$2:$O$53,C1154))+Settings!$B$5*MIN(INDEX(Bases!$O$2:$O$53,B1154),INDEX(Bases!$O$2:$O$53,C1154))</f>
        <v>93.6666666666667</v>
      </c>
      <c r="V1154" s="2" t="n">
        <f aca="false">Settings!$B$4*MAX(INDEX(Bases!$P$2:$P$53,B1154),INDEX(Bases!$P$2:$P$53,C1154))+Settings!$B$5*MIN(INDEX(Bases!$P$2:$P$53,B1154),INDEX(Bases!$P$2:$P$53,C1154))</f>
        <v>60.3333333333333</v>
      </c>
      <c r="W1154" s="2" t="n">
        <f aca="false">Settings!$B$4*MAX(INDEX(Bases!$Q$2:$Q$53,B1154),INDEX(Bases!$Q$2:$Q$53,C1154))+Settings!$B$5*MIN(INDEX(Bases!$Q$2:$Q$53,B1154),INDEX(Bases!$Q$2:$Q$53,C1154))</f>
        <v>75.3333333333333</v>
      </c>
      <c r="X1154" s="2" t="n">
        <f aca="false">Settings!$B$4*MAX(INDEX(Bases!$R$2:$R$53,B1154),INDEX(Bases!$R$2:$R$53,C1154))+Settings!$B$5*MIN(INDEX(Bases!$R$2:$R$53,B1154),INDEX(Bases!$R$2:$R$53,C1154))</f>
        <v>57.3333333333333</v>
      </c>
      <c r="Y1154" s="2" t="n">
        <f aca="false">S1154*Settings!$B$3/SUM(S1154:X1154)</f>
        <v>74.2063492063492</v>
      </c>
      <c r="Z1154" s="2" t="n">
        <f aca="false">T1154*Settings!$B$3/SUM(S1154:X1154)</f>
        <v>84.5238095238095</v>
      </c>
      <c r="AA1154" s="2" t="n">
        <f aca="false">U1154*Settings!$B$3/SUM(S1154:X1154)</f>
        <v>111.507936507937</v>
      </c>
      <c r="AB1154" s="2" t="n">
        <f aca="false">V1154*Settings!$B$3/SUM(S1154:X1154)</f>
        <v>71.8253968253968</v>
      </c>
      <c r="AC1154" s="2" t="n">
        <f aca="false">W1154*Settings!$B$3/SUM(S1154:X1154)</f>
        <v>89.6825396825397</v>
      </c>
      <c r="AD1154" s="2" t="n">
        <f aca="false">X1154*Settings!$B$3/SUM(S1154:X1154)</f>
        <v>68.2539682539683</v>
      </c>
      <c r="AE1154" s="2" t="n">
        <f aca="false">INT(Y1154)</f>
        <v>74</v>
      </c>
      <c r="AF1154" s="2" t="n">
        <f aca="false">INT(Z1154)</f>
        <v>84</v>
      </c>
      <c r="AG1154" s="2" t="n">
        <f aca="false">INT(AA1154)</f>
        <v>111</v>
      </c>
      <c r="AH1154" s="2" t="n">
        <f aca="false">INT(AB1154)</f>
        <v>71</v>
      </c>
      <c r="AI1154" s="2" t="n">
        <f aca="false">INT(AC1154)</f>
        <v>89</v>
      </c>
      <c r="AJ1154" s="2" t="n">
        <f aca="false">INT(AD1154)</f>
        <v>68</v>
      </c>
      <c r="AK1154" s="2" t="n">
        <f aca="false">Settings!$B$3-SUM(AE1154:AJ1154)</f>
        <v>3</v>
      </c>
      <c r="AL1154" s="2" t="n">
        <f aca="false">ROUND(Y1154-AE1154,9)</f>
        <v>0.206349206</v>
      </c>
      <c r="AM1154" s="2" t="n">
        <f aca="false">ROUND(Z1154-AF1154,9)</f>
        <v>0.523809524</v>
      </c>
      <c r="AN1154" s="2" t="n">
        <f aca="false">ROUND(AA1154-AG1154,9)</f>
        <v>0.507936508</v>
      </c>
      <c r="AO1154" s="2" t="n">
        <f aca="false">ROUND(AB1154-AH1154,9)</f>
        <v>0.825396825</v>
      </c>
      <c r="AP1154" s="2" t="n">
        <f aca="false">ROUND(AC1154-AI1154,9)</f>
        <v>0.682539683</v>
      </c>
      <c r="AQ1154" s="2" t="n">
        <f aca="false">ROUND(AD1154-AJ1154,9)</f>
        <v>0.253968254</v>
      </c>
    </row>
    <row r="1155" customFormat="false" ht="15" hidden="false" customHeight="false" outlineLevel="0" collapsed="false">
      <c r="A1155" s="2" t="n">
        <v>1154</v>
      </c>
      <c r="B1155" s="6" t="n">
        <v>33</v>
      </c>
      <c r="C1155" s="6" t="n">
        <v>51</v>
      </c>
      <c r="D1155" s="8" t="str">
        <f aca="false">INDEX(Bases!$B$2:$B$53,B1155)</f>
        <v>Jirachi</v>
      </c>
      <c r="E1155" s="8" t="str">
        <f aca="false">INDEX(Bases!$B$2:$B$53,C1155)</f>
        <v>Cleffa</v>
      </c>
      <c r="F1155" s="2" t="str">
        <f aca="false">LEFT(D1155,ROUNDUP(LEN(D1155)/2,0))&amp;LOWER(MID(E1155,ROUNDUP(LEN(E1155)/2,0)+1,20))</f>
        <v>Jiraffa</v>
      </c>
      <c r="G1155" s="8" t="str">
        <f aca="false">INDEX(Bases!$C$2:$C$53,B1155)</f>
        <v>Psychic</v>
      </c>
      <c r="H1155" s="8" t="str">
        <f aca="false">IF(INDEX(Bases!$C$2:$C$53,C1155)=G1155,"",INDEX(Bases!$C$2:$C$53,C1155))</f>
        <v>Fairy</v>
      </c>
      <c r="I1155" s="8" t="str">
        <f aca="false">IF(INDEX(Bases!$E$2:$E$53,B1155)="","",INDEX(Bases!$E$2:$E$53,B1155))</f>
        <v/>
      </c>
      <c r="J1155" s="8" t="str">
        <f aca="false">IF(INDEX(Bases!$E$2:$E$53,C1155)="","",INDEX(Bases!$E$2:$E$53,C1155))</f>
        <v/>
      </c>
      <c r="K1155" s="5"/>
      <c r="L1155" s="2" t="n">
        <f aca="false">AE1155+IF(SUMPRODUCT(--($AL1155:$AQ1155&gt;AL1155))&lt;$AK1155,1,0)</f>
        <v>98</v>
      </c>
      <c r="M1155" s="2" t="n">
        <f aca="false">AF1155+IF(SUMPRODUCT(--($AL1155:$AQ1155&gt;AM1155))+SUMPRODUCT(--($AL1155:AL1155=AM1155))&lt;$AK1155,1,0)</f>
        <v>71</v>
      </c>
      <c r="N1155" s="2" t="n">
        <f aca="false">AG1155+IF(SUMPRODUCT(--($AL1155:$AQ1155&gt;AN1155))+SUMPRODUCT(--($AL1155:AM1155=AN1155))&lt;$AK1155,1,0)</f>
        <v>73</v>
      </c>
      <c r="O1155" s="2" t="n">
        <f aca="false">AH1155+IF(SUMPRODUCT(--($AL1155:$AQ1155&gt;AO1155))+SUMPRODUCT(--($AL1155:AN1155=AO1155))&lt;$AK1155,1,0)</f>
        <v>91</v>
      </c>
      <c r="P1155" s="2" t="n">
        <f aca="false">AI1155+IF(SUMPRODUCT(--($AL1155:$AQ1155&gt;AP1155))+SUMPRODUCT(--($AL1155:AO1155=AP1155))&lt;$AK1155,1,0)</f>
        <v>105</v>
      </c>
      <c r="Q1155" s="2" t="n">
        <f aca="false">AJ1155+IF(SUMPRODUCT(--($AL1155:$AQ1155&gt;AQ1155))+SUMPRODUCT(--($AL1155:AP1155=AQ1155))&lt;$AK1155,1,0)</f>
        <v>62</v>
      </c>
      <c r="R1155" s="2" t="n">
        <f aca="false">SUM(L1155:Q1155)</f>
        <v>500</v>
      </c>
      <c r="S1155" s="2" t="n">
        <f aca="false">Settings!$B$4*MAX(INDEX(Bases!$M$2:$M$53,B1155),INDEX(Bases!$M$2:$M$53,C1155))+Settings!$B$5*MIN(INDEX(Bases!$M$2:$M$53,B1155),INDEX(Bases!$M$2:$M$53,C1155))</f>
        <v>83.6666666666667</v>
      </c>
      <c r="T1155" s="2" t="n">
        <f aca="false">Settings!$B$4*MAX(INDEX(Bases!$N$2:$N$53,B1155),INDEX(Bases!$N$2:$N$53,C1155))+Settings!$B$5*MIN(INDEX(Bases!$N$2:$N$53,B1155),INDEX(Bases!$N$2:$N$53,C1155))</f>
        <v>60</v>
      </c>
      <c r="U1155" s="2" t="n">
        <f aca="false">Settings!$B$4*MAX(INDEX(Bases!$O$2:$O$53,B1155),INDEX(Bases!$O$2:$O$53,C1155))+Settings!$B$5*MIN(INDEX(Bases!$O$2:$O$53,B1155),INDEX(Bases!$O$2:$O$53,C1155))</f>
        <v>61.6666666666667</v>
      </c>
      <c r="V1155" s="2" t="n">
        <f aca="false">Settings!$B$4*MAX(INDEX(Bases!$P$2:$P$53,B1155),INDEX(Bases!$P$2:$P$53,C1155))+Settings!$B$5*MIN(INDEX(Bases!$P$2:$P$53,B1155),INDEX(Bases!$P$2:$P$53,C1155))</f>
        <v>77.6666666666667</v>
      </c>
      <c r="W1155" s="2" t="n">
        <f aca="false">Settings!$B$4*MAX(INDEX(Bases!$Q$2:$Q$53,B1155),INDEX(Bases!$Q$2:$Q$53,C1155))+Settings!$B$5*MIN(INDEX(Bases!$Q$2:$Q$53,B1155),INDEX(Bases!$Q$2:$Q$53,C1155))</f>
        <v>89.3333333333333</v>
      </c>
      <c r="X1155" s="2" t="n">
        <f aca="false">Settings!$B$4*MAX(INDEX(Bases!$R$2:$R$53,B1155),INDEX(Bases!$R$2:$R$53,C1155))+Settings!$B$5*MIN(INDEX(Bases!$R$2:$R$53,B1155),INDEX(Bases!$R$2:$R$53,C1155))</f>
        <v>53</v>
      </c>
      <c r="Y1155" s="2" t="n">
        <f aca="false">S1155*Settings!$B$3/SUM(S1155:X1155)</f>
        <v>98.3542319749216</v>
      </c>
      <c r="Z1155" s="2" t="n">
        <f aca="false">T1155*Settings!$B$3/SUM(S1155:X1155)</f>
        <v>70.5329153605016</v>
      </c>
      <c r="AA1155" s="2" t="n">
        <f aca="false">U1155*Settings!$B$3/SUM(S1155:X1155)</f>
        <v>72.4921630094044</v>
      </c>
      <c r="AB1155" s="2" t="n">
        <f aca="false">V1155*Settings!$B$3/SUM(S1155:X1155)</f>
        <v>91.3009404388715</v>
      </c>
      <c r="AC1155" s="2" t="n">
        <f aca="false">W1155*Settings!$B$3/SUM(S1155:X1155)</f>
        <v>105.015673981191</v>
      </c>
      <c r="AD1155" s="2" t="n">
        <f aca="false">X1155*Settings!$B$3/SUM(S1155:X1155)</f>
        <v>62.3040752351097</v>
      </c>
      <c r="AE1155" s="2" t="n">
        <f aca="false">INT(Y1155)</f>
        <v>98</v>
      </c>
      <c r="AF1155" s="2" t="n">
        <f aca="false">INT(Z1155)</f>
        <v>70</v>
      </c>
      <c r="AG1155" s="2" t="n">
        <f aca="false">INT(AA1155)</f>
        <v>72</v>
      </c>
      <c r="AH1155" s="2" t="n">
        <f aca="false">INT(AB1155)</f>
        <v>91</v>
      </c>
      <c r="AI1155" s="2" t="n">
        <f aca="false">INT(AC1155)</f>
        <v>105</v>
      </c>
      <c r="AJ1155" s="2" t="n">
        <f aca="false">INT(AD1155)</f>
        <v>62</v>
      </c>
      <c r="AK1155" s="2" t="n">
        <f aca="false">Settings!$B$3-SUM(AE1155:AJ1155)</f>
        <v>2</v>
      </c>
      <c r="AL1155" s="2" t="n">
        <f aca="false">ROUND(Y1155-AE1155,9)</f>
        <v>0.354231975</v>
      </c>
      <c r="AM1155" s="2" t="n">
        <f aca="false">ROUND(Z1155-AF1155,9)</f>
        <v>0.532915361</v>
      </c>
      <c r="AN1155" s="2" t="n">
        <f aca="false">ROUND(AA1155-AG1155,9)</f>
        <v>0.492163009</v>
      </c>
      <c r="AO1155" s="2" t="n">
        <f aca="false">ROUND(AB1155-AH1155,9)</f>
        <v>0.300940439</v>
      </c>
      <c r="AP1155" s="2" t="n">
        <f aca="false">ROUND(AC1155-AI1155,9)</f>
        <v>0.015673981</v>
      </c>
      <c r="AQ1155" s="2" t="n">
        <f aca="false">ROUND(AD1155-AJ1155,9)</f>
        <v>0.304075235</v>
      </c>
    </row>
    <row r="1156" customFormat="false" ht="15" hidden="false" customHeight="false" outlineLevel="0" collapsed="false">
      <c r="A1156" s="2" t="n">
        <v>1155</v>
      </c>
      <c r="B1156" s="6" t="n">
        <v>33</v>
      </c>
      <c r="C1156" s="6" t="n">
        <v>52</v>
      </c>
      <c r="D1156" s="8" t="str">
        <f aca="false">INDEX(Bases!$B$2:$B$53,B1156)</f>
        <v>Jirachi</v>
      </c>
      <c r="E1156" s="8" t="str">
        <f aca="false">INDEX(Bases!$B$2:$B$53,C1156)</f>
        <v>Togepi</v>
      </c>
      <c r="F1156" s="2" t="str">
        <f aca="false">LEFT(D1156,ROUNDUP(LEN(D1156)/2,0))&amp;LOWER(MID(E1156,ROUNDUP(LEN(E1156)/2,0)+1,20))</f>
        <v>Jiraepi</v>
      </c>
      <c r="G1156" s="8" t="str">
        <f aca="false">INDEX(Bases!$C$2:$C$53,B1156)</f>
        <v>Psychic</v>
      </c>
      <c r="H1156" s="8" t="str">
        <f aca="false">IF(INDEX(Bases!$C$2:$C$53,C1156)=G1156,"",INDEX(Bases!$C$2:$C$53,C1156))</f>
        <v>Fairy</v>
      </c>
      <c r="I1156" s="8" t="str">
        <f aca="false">IF(INDEX(Bases!$E$2:$E$53,B1156)="","",INDEX(Bases!$E$2:$E$53,B1156))</f>
        <v/>
      </c>
      <c r="J1156" s="8" t="str">
        <f aca="false">IF(INDEX(Bases!$E$2:$E$53,C1156)="","",INDEX(Bases!$E$2:$E$53,C1156))</f>
        <v/>
      </c>
      <c r="K1156" s="5"/>
      <c r="L1156" s="2" t="n">
        <f aca="false">AE1156+IF(SUMPRODUCT(--($AL1156:$AQ1156&gt;AL1156))&lt;$AK1156,1,0)</f>
        <v>75</v>
      </c>
      <c r="M1156" s="2" t="n">
        <f aca="false">AF1156+IF(SUMPRODUCT(--($AL1156:$AQ1156&gt;AM1156))+SUMPRODUCT(--($AL1156:AL1156=AM1156))&lt;$AK1156,1,0)</f>
        <v>65</v>
      </c>
      <c r="N1156" s="2" t="n">
        <f aca="false">AG1156+IF(SUMPRODUCT(--($AL1156:$AQ1156&gt;AN1156))+SUMPRODUCT(--($AL1156:AM1156=AN1156))&lt;$AK1156,1,0)</f>
        <v>109</v>
      </c>
      <c r="O1156" s="2" t="n">
        <f aca="false">AH1156+IF(SUMPRODUCT(--($AL1156:$AQ1156&gt;AO1156))+SUMPRODUCT(--($AL1156:AN1156=AO1156))&lt;$AK1156,1,0)</f>
        <v>78</v>
      </c>
      <c r="P1156" s="2" t="n">
        <f aca="false">AI1156+IF(SUMPRODUCT(--($AL1156:$AQ1156&gt;AP1156))+SUMPRODUCT(--($AL1156:AO1156=AP1156))&lt;$AK1156,1,0)</f>
        <v>109</v>
      </c>
      <c r="Q1156" s="2" t="n">
        <f aca="false">AJ1156+IF(SUMPRODUCT(--($AL1156:$AQ1156&gt;AQ1156))+SUMPRODUCT(--($AL1156:AP1156=AQ1156))&lt;$AK1156,1,0)</f>
        <v>64</v>
      </c>
      <c r="R1156" s="2" t="n">
        <f aca="false">SUM(L1156:Q1156)</f>
        <v>500</v>
      </c>
      <c r="S1156" s="2" t="n">
        <f aca="false">Settings!$B$4*MAX(INDEX(Bases!$M$2:$M$53,B1156),INDEX(Bases!$M$2:$M$53,C1156))+Settings!$B$5*MIN(INDEX(Bases!$M$2:$M$53,B1156),INDEX(Bases!$M$2:$M$53,C1156))</f>
        <v>63.6666666666667</v>
      </c>
      <c r="T1156" s="2" t="n">
        <f aca="false">Settings!$B$4*MAX(INDEX(Bases!$N$2:$N$53,B1156),INDEX(Bases!$N$2:$N$53,C1156))+Settings!$B$5*MIN(INDEX(Bases!$N$2:$N$53,B1156),INDEX(Bases!$N$2:$N$53,C1156))</f>
        <v>55.6666666666667</v>
      </c>
      <c r="U1156" s="2" t="n">
        <f aca="false">Settings!$B$4*MAX(INDEX(Bases!$O$2:$O$53,B1156),INDEX(Bases!$O$2:$O$53,C1156))+Settings!$B$5*MIN(INDEX(Bases!$O$2:$O$53,B1156),INDEX(Bases!$O$2:$O$53,C1156))</f>
        <v>93</v>
      </c>
      <c r="V1156" s="2" t="n">
        <f aca="false">Settings!$B$4*MAX(INDEX(Bases!$P$2:$P$53,B1156),INDEX(Bases!$P$2:$P$53,C1156))+Settings!$B$5*MIN(INDEX(Bases!$P$2:$P$53,B1156),INDEX(Bases!$P$2:$P$53,C1156))</f>
        <v>66.3333333333333</v>
      </c>
      <c r="W1156" s="2" t="n">
        <f aca="false">Settings!$B$4*MAX(INDEX(Bases!$Q$2:$Q$53,B1156),INDEX(Bases!$Q$2:$Q$53,C1156))+Settings!$B$5*MIN(INDEX(Bases!$Q$2:$Q$53,B1156),INDEX(Bases!$Q$2:$Q$53,C1156))</f>
        <v>92.6666666666667</v>
      </c>
      <c r="X1156" s="2" t="n">
        <f aca="false">Settings!$B$4*MAX(INDEX(Bases!$R$2:$R$53,B1156),INDEX(Bases!$R$2:$R$53,C1156))+Settings!$B$5*MIN(INDEX(Bases!$R$2:$R$53,B1156),INDEX(Bases!$R$2:$R$53,C1156))</f>
        <v>55</v>
      </c>
      <c r="Y1156" s="2" t="n">
        <f aca="false">S1156*Settings!$B$3/SUM(S1156:X1156)</f>
        <v>74.6677091477717</v>
      </c>
      <c r="Z1156" s="2" t="n">
        <f aca="false">T1156*Settings!$B$3/SUM(S1156:X1156)</f>
        <v>65.285379202502</v>
      </c>
      <c r="AA1156" s="2" t="n">
        <f aca="false">U1156*Settings!$B$3/SUM(S1156:X1156)</f>
        <v>109.069585613761</v>
      </c>
      <c r="AB1156" s="2" t="n">
        <f aca="false">V1156*Settings!$B$3/SUM(S1156:X1156)</f>
        <v>77.7951524628616</v>
      </c>
      <c r="AC1156" s="2" t="n">
        <f aca="false">W1156*Settings!$B$3/SUM(S1156:X1156)</f>
        <v>108.678655199375</v>
      </c>
      <c r="AD1156" s="2" t="n">
        <f aca="false">X1156*Settings!$B$3/SUM(S1156:X1156)</f>
        <v>64.5035183737295</v>
      </c>
      <c r="AE1156" s="2" t="n">
        <f aca="false">INT(Y1156)</f>
        <v>74</v>
      </c>
      <c r="AF1156" s="2" t="n">
        <f aca="false">INT(Z1156)</f>
        <v>65</v>
      </c>
      <c r="AG1156" s="2" t="n">
        <f aca="false">INT(AA1156)</f>
        <v>109</v>
      </c>
      <c r="AH1156" s="2" t="n">
        <f aca="false">INT(AB1156)</f>
        <v>77</v>
      </c>
      <c r="AI1156" s="2" t="n">
        <f aca="false">INT(AC1156)</f>
        <v>108</v>
      </c>
      <c r="AJ1156" s="2" t="n">
        <f aca="false">INT(AD1156)</f>
        <v>64</v>
      </c>
      <c r="AK1156" s="2" t="n">
        <f aca="false">Settings!$B$3-SUM(AE1156:AJ1156)</f>
        <v>3</v>
      </c>
      <c r="AL1156" s="2" t="n">
        <f aca="false">ROUND(Y1156-AE1156,9)</f>
        <v>0.667709148</v>
      </c>
      <c r="AM1156" s="2" t="n">
        <f aca="false">ROUND(Z1156-AF1156,9)</f>
        <v>0.285379203</v>
      </c>
      <c r="AN1156" s="2" t="n">
        <f aca="false">ROUND(AA1156-AG1156,9)</f>
        <v>0.069585614</v>
      </c>
      <c r="AO1156" s="2" t="n">
        <f aca="false">ROUND(AB1156-AH1156,9)</f>
        <v>0.795152463</v>
      </c>
      <c r="AP1156" s="2" t="n">
        <f aca="false">ROUND(AC1156-AI1156,9)</f>
        <v>0.678655199</v>
      </c>
      <c r="AQ1156" s="2" t="n">
        <f aca="false">ROUND(AD1156-AJ1156,9)</f>
        <v>0.503518374</v>
      </c>
    </row>
    <row r="1157" customFormat="false" ht="15" hidden="false" customHeight="false" outlineLevel="0" collapsed="false">
      <c r="A1157" s="2" t="n">
        <v>1156</v>
      </c>
      <c r="B1157" s="6" t="n">
        <v>34</v>
      </c>
      <c r="C1157" s="6" t="n">
        <v>35</v>
      </c>
      <c r="D1157" s="8" t="str">
        <f aca="false">INDEX(Bases!$B$2:$B$53,B1157)</f>
        <v>Paras</v>
      </c>
      <c r="E1157" s="8" t="str">
        <f aca="false">INDEX(Bases!$B$2:$B$53,C1157)</f>
        <v>Pineco</v>
      </c>
      <c r="F1157" s="2" t="str">
        <f aca="false">LEFT(D1157,ROUNDUP(LEN(D1157)/2,0))&amp;LOWER(MID(E1157,ROUNDUP(LEN(E1157)/2,0)+1,20))</f>
        <v>Pareco</v>
      </c>
      <c r="G1157" s="8" t="str">
        <f aca="false">INDEX(Bases!$C$2:$C$53,B1157)</f>
        <v>Bug</v>
      </c>
      <c r="H1157" s="8" t="str">
        <f aca="false">IF(INDEX(Bases!$C$2:$C$53,C1157)=G1157,"",INDEX(Bases!$C$2:$C$53,C1157))</f>
        <v/>
      </c>
      <c r="I1157" s="8" t="str">
        <f aca="false">IF(INDEX(Bases!$E$2:$E$53,B1157)="","",INDEX(Bases!$E$2:$E$53,B1157))</f>
        <v/>
      </c>
      <c r="J1157" s="8" t="str">
        <f aca="false">IF(INDEX(Bases!$E$2:$E$53,C1157)="","",INDEX(Bases!$E$2:$E$53,C1157))</f>
        <v/>
      </c>
      <c r="K1157" s="5"/>
      <c r="L1157" s="2" t="n">
        <f aca="false">AE1157+IF(SUMPRODUCT(--($AL1157:$AQ1157&gt;AL1157))&lt;$AK1157,1,0)</f>
        <v>74</v>
      </c>
      <c r="M1157" s="2" t="n">
        <f aca="false">AF1157+IF(SUMPRODUCT(--($AL1157:$AQ1157&gt;AM1157))+SUMPRODUCT(--($AL1157:AL1157=AM1157))&lt;$AK1157,1,0)</f>
        <v>113</v>
      </c>
      <c r="N1157" s="2" t="n">
        <f aca="false">AG1157+IF(SUMPRODUCT(--($AL1157:$AQ1157&gt;AN1157))+SUMPRODUCT(--($AL1157:AM1157=AN1157))&lt;$AK1157,1,0)</f>
        <v>128</v>
      </c>
      <c r="O1157" s="2" t="n">
        <f aca="false">AH1157+IF(SUMPRODUCT(--($AL1157:$AQ1157&gt;AO1157))+SUMPRODUCT(--($AL1157:AN1157=AO1157))&lt;$AK1157,1,0)</f>
        <v>69</v>
      </c>
      <c r="P1157" s="2" t="n">
        <f aca="false">AI1157+IF(SUMPRODUCT(--($AL1157:$AQ1157&gt;AP1157))+SUMPRODUCT(--($AL1157:AO1157=AP1157))&lt;$AK1157,1,0)</f>
        <v>80</v>
      </c>
      <c r="Q1157" s="2" t="n">
        <f aca="false">AJ1157+IF(SUMPRODUCT(--($AL1157:$AQ1157&gt;AQ1157))+SUMPRODUCT(--($AL1157:AP1157=AQ1157))&lt;$AK1157,1,0)</f>
        <v>36</v>
      </c>
      <c r="R1157" s="2" t="n">
        <f aca="false">SUM(L1157:Q1157)</f>
        <v>500</v>
      </c>
      <c r="S1157" s="2" t="n">
        <f aca="false">Settings!$B$4*MAX(INDEX(Bases!$M$2:$M$53,B1157),INDEX(Bases!$M$2:$M$53,C1157))+Settings!$B$5*MIN(INDEX(Bases!$M$2:$M$53,B1157),INDEX(Bases!$M$2:$M$53,C1157))</f>
        <v>62.3333333333333</v>
      </c>
      <c r="T1157" s="2" t="n">
        <f aca="false">Settings!$B$4*MAX(INDEX(Bases!$N$2:$N$53,B1157),INDEX(Bases!$N$2:$N$53,C1157))+Settings!$B$5*MIN(INDEX(Bases!$N$2:$N$53,B1157),INDEX(Bases!$N$2:$N$53,C1157))</f>
        <v>96</v>
      </c>
      <c r="U1157" s="2" t="n">
        <f aca="false">Settings!$B$4*MAX(INDEX(Bases!$O$2:$O$53,B1157),INDEX(Bases!$O$2:$O$53,C1157))+Settings!$B$5*MIN(INDEX(Bases!$O$2:$O$53,B1157),INDEX(Bases!$O$2:$O$53,C1157))</f>
        <v>108.333333333333</v>
      </c>
      <c r="V1157" s="2" t="n">
        <f aca="false">Settings!$B$4*MAX(INDEX(Bases!$P$2:$P$53,B1157),INDEX(Bases!$P$2:$P$53,C1157))+Settings!$B$5*MIN(INDEX(Bases!$P$2:$P$53,B1157),INDEX(Bases!$P$2:$P$53,C1157))</f>
        <v>58</v>
      </c>
      <c r="W1157" s="2" t="n">
        <f aca="false">Settings!$B$4*MAX(INDEX(Bases!$Q$2:$Q$53,B1157),INDEX(Bases!$Q$2:$Q$53,C1157))+Settings!$B$5*MIN(INDEX(Bases!$Q$2:$Q$53,B1157),INDEX(Bases!$Q$2:$Q$53,C1157))</f>
        <v>67.3333333333333</v>
      </c>
      <c r="X1157" s="2" t="n">
        <f aca="false">Settings!$B$4*MAX(INDEX(Bases!$R$2:$R$53,B1157),INDEX(Bases!$R$2:$R$53,C1157))+Settings!$B$5*MIN(INDEX(Bases!$R$2:$R$53,B1157),INDEX(Bases!$R$2:$R$53,C1157))</f>
        <v>30.3333333333333</v>
      </c>
      <c r="Y1157" s="2" t="n">
        <f aca="false">S1157*Settings!$B$3/SUM(S1157:X1157)</f>
        <v>73.7963693764799</v>
      </c>
      <c r="Z1157" s="2" t="n">
        <f aca="false">T1157*Settings!$B$3/SUM(S1157:X1157)</f>
        <v>113.654301499605</v>
      </c>
      <c r="AA1157" s="2" t="n">
        <f aca="false">U1157*Settings!$B$3/SUM(S1157:X1157)</f>
        <v>128.255722178374</v>
      </c>
      <c r="AB1157" s="2" t="n">
        <f aca="false">V1157*Settings!$B$3/SUM(S1157:X1157)</f>
        <v>68.6661404893449</v>
      </c>
      <c r="AC1157" s="2" t="n">
        <f aca="false">W1157*Settings!$B$3/SUM(S1157:X1157)</f>
        <v>79.715864246251</v>
      </c>
      <c r="AD1157" s="2" t="n">
        <f aca="false">X1157*Settings!$B$3/SUM(S1157:X1157)</f>
        <v>35.9116022099448</v>
      </c>
      <c r="AE1157" s="2" t="n">
        <f aca="false">INT(Y1157)</f>
        <v>73</v>
      </c>
      <c r="AF1157" s="2" t="n">
        <f aca="false">INT(Z1157)</f>
        <v>113</v>
      </c>
      <c r="AG1157" s="2" t="n">
        <f aca="false">INT(AA1157)</f>
        <v>128</v>
      </c>
      <c r="AH1157" s="2" t="n">
        <f aca="false">INT(AB1157)</f>
        <v>68</v>
      </c>
      <c r="AI1157" s="2" t="n">
        <f aca="false">INT(AC1157)</f>
        <v>79</v>
      </c>
      <c r="AJ1157" s="2" t="n">
        <f aca="false">INT(AD1157)</f>
        <v>35</v>
      </c>
      <c r="AK1157" s="2" t="n">
        <f aca="false">Settings!$B$3-SUM(AE1157:AJ1157)</f>
        <v>4</v>
      </c>
      <c r="AL1157" s="2" t="n">
        <f aca="false">ROUND(Y1157-AE1157,9)</f>
        <v>0.796369376</v>
      </c>
      <c r="AM1157" s="2" t="n">
        <f aca="false">ROUND(Z1157-AF1157,9)</f>
        <v>0.6543015</v>
      </c>
      <c r="AN1157" s="2" t="n">
        <f aca="false">ROUND(AA1157-AG1157,9)</f>
        <v>0.255722178</v>
      </c>
      <c r="AO1157" s="2" t="n">
        <f aca="false">ROUND(AB1157-AH1157,9)</f>
        <v>0.666140489</v>
      </c>
      <c r="AP1157" s="2" t="n">
        <f aca="false">ROUND(AC1157-AI1157,9)</f>
        <v>0.715864246</v>
      </c>
      <c r="AQ1157" s="2" t="n">
        <f aca="false">ROUND(AD1157-AJ1157,9)</f>
        <v>0.91160221</v>
      </c>
    </row>
    <row r="1158" customFormat="false" ht="15" hidden="false" customHeight="false" outlineLevel="0" collapsed="false">
      <c r="A1158" s="2" t="n">
        <v>1157</v>
      </c>
      <c r="B1158" s="6" t="n">
        <v>34</v>
      </c>
      <c r="C1158" s="6" t="n">
        <v>36</v>
      </c>
      <c r="D1158" s="8" t="str">
        <f aca="false">INDEX(Bases!$B$2:$B$53,B1158)</f>
        <v>Paras</v>
      </c>
      <c r="E1158" s="8" t="str">
        <f aca="false">INDEX(Bases!$B$2:$B$53,C1158)</f>
        <v>Wurmple</v>
      </c>
      <c r="F1158" s="2" t="str">
        <f aca="false">LEFT(D1158,ROUNDUP(LEN(D1158)/2,0))&amp;LOWER(MID(E1158,ROUNDUP(LEN(E1158)/2,0)+1,20))</f>
        <v>Parple</v>
      </c>
      <c r="G1158" s="8" t="str">
        <f aca="false">INDEX(Bases!$C$2:$C$53,B1158)</f>
        <v>Bug</v>
      </c>
      <c r="H1158" s="8" t="str">
        <f aca="false">IF(INDEX(Bases!$C$2:$C$53,C1158)=G1158,"",INDEX(Bases!$C$2:$C$53,C1158))</f>
        <v/>
      </c>
      <c r="I1158" s="8" t="str">
        <f aca="false">IF(INDEX(Bases!$E$2:$E$53,B1158)="","",INDEX(Bases!$E$2:$E$53,B1158))</f>
        <v/>
      </c>
      <c r="J1158" s="8" t="str">
        <f aca="false">IF(INDEX(Bases!$E$2:$E$53,C1158)="","",INDEX(Bases!$E$2:$E$53,C1158))</f>
        <v/>
      </c>
      <c r="K1158" s="5"/>
      <c r="L1158" s="2" t="n">
        <f aca="false">AE1158+IF(SUMPRODUCT(--($AL1158:$AQ1158&gt;AL1158))&lt;$AK1158,1,0)</f>
        <v>93</v>
      </c>
      <c r="M1158" s="2" t="n">
        <f aca="false">AF1158+IF(SUMPRODUCT(--($AL1158:$AQ1158&gt;AM1158))+SUMPRODUCT(--($AL1158:AL1158=AM1158))&lt;$AK1158,1,0)</f>
        <v>116</v>
      </c>
      <c r="N1158" s="2" t="n">
        <f aca="false">AG1158+IF(SUMPRODUCT(--($AL1158:$AQ1158&gt;AN1158))+SUMPRODUCT(--($AL1158:AM1158=AN1158))&lt;$AK1158,1,0)</f>
        <v>91</v>
      </c>
      <c r="O1158" s="2" t="n">
        <f aca="false">AH1158+IF(SUMPRODUCT(--($AL1158:$AQ1158&gt;AO1158))+SUMPRODUCT(--($AL1158:AN1158=AO1158))&lt;$AK1158,1,0)</f>
        <v>67</v>
      </c>
      <c r="P1158" s="2" t="n">
        <f aca="false">AI1158+IF(SUMPRODUCT(--($AL1158:$AQ1158&gt;AP1158))+SUMPRODUCT(--($AL1158:AO1158=AP1158))&lt;$AK1158,1,0)</f>
        <v>86</v>
      </c>
      <c r="Q1158" s="2" t="n">
        <f aca="false">AJ1158+IF(SUMPRODUCT(--($AL1158:$AQ1158&gt;AQ1158))+SUMPRODUCT(--($AL1158:AP1158=AQ1158))&lt;$AK1158,1,0)</f>
        <v>47</v>
      </c>
      <c r="R1158" s="2" t="n">
        <f aca="false">SUM(L1158:Q1158)</f>
        <v>500</v>
      </c>
      <c r="S1158" s="2" t="n">
        <f aca="false">Settings!$B$4*MAX(INDEX(Bases!$M$2:$M$53,B1158),INDEX(Bases!$M$2:$M$53,C1158))+Settings!$B$5*MIN(INDEX(Bases!$M$2:$M$53,B1158),INDEX(Bases!$M$2:$M$53,C1158))</f>
        <v>77.6666666666667</v>
      </c>
      <c r="T1158" s="2" t="n">
        <f aca="false">Settings!$B$4*MAX(INDEX(Bases!$N$2:$N$53,B1158),INDEX(Bases!$N$2:$N$53,C1158))+Settings!$B$5*MIN(INDEX(Bases!$N$2:$N$53,B1158),INDEX(Bases!$N$2:$N$53,C1158))</f>
        <v>96.6666666666667</v>
      </c>
      <c r="U1158" s="2" t="n">
        <f aca="false">Settings!$B$4*MAX(INDEX(Bases!$O$2:$O$53,B1158),INDEX(Bases!$O$2:$O$53,C1158))+Settings!$B$5*MIN(INDEX(Bases!$O$2:$O$53,B1158),INDEX(Bases!$O$2:$O$53,C1158))</f>
        <v>75.3333333333333</v>
      </c>
      <c r="V1158" s="2" t="n">
        <f aca="false">Settings!$B$4*MAX(INDEX(Bases!$P$2:$P$53,B1158),INDEX(Bases!$P$2:$P$53,C1158))+Settings!$B$5*MIN(INDEX(Bases!$P$2:$P$53,B1158),INDEX(Bases!$P$2:$P$53,C1158))</f>
        <v>55.6666666666667</v>
      </c>
      <c r="W1158" s="2" t="n">
        <f aca="false">Settings!$B$4*MAX(INDEX(Bases!$Q$2:$Q$53,B1158),INDEX(Bases!$Q$2:$Q$53,C1158))+Settings!$B$5*MIN(INDEX(Bases!$Q$2:$Q$53,B1158),INDEX(Bases!$Q$2:$Q$53,C1158))</f>
        <v>72</v>
      </c>
      <c r="X1158" s="2" t="n">
        <f aca="false">Settings!$B$4*MAX(INDEX(Bases!$R$2:$R$53,B1158),INDEX(Bases!$R$2:$R$53,C1158))+Settings!$B$5*MIN(INDEX(Bases!$R$2:$R$53,B1158),INDEX(Bases!$R$2:$R$53,C1158))</f>
        <v>39</v>
      </c>
      <c r="Y1158" s="2" t="n">
        <f aca="false">S1158*Settings!$B$3/SUM(S1158:X1158)</f>
        <v>93.2746196957566</v>
      </c>
      <c r="Z1158" s="2" t="n">
        <f aca="false">T1158*Settings!$B$3/SUM(S1158:X1158)</f>
        <v>116.09287429944</v>
      </c>
      <c r="AA1158" s="2" t="n">
        <f aca="false">U1158*Settings!$B$3/SUM(S1158:X1158)</f>
        <v>90.4723779023219</v>
      </c>
      <c r="AB1158" s="2" t="n">
        <f aca="false">V1158*Settings!$B$3/SUM(S1158:X1158)</f>
        <v>66.853482786229</v>
      </c>
      <c r="AC1158" s="2" t="n">
        <f aca="false">W1158*Settings!$B$3/SUM(S1158:X1158)</f>
        <v>86.4691753402722</v>
      </c>
      <c r="AD1158" s="2" t="n">
        <f aca="false">X1158*Settings!$B$3/SUM(S1158:X1158)</f>
        <v>46.8374699759808</v>
      </c>
      <c r="AE1158" s="2" t="n">
        <f aca="false">INT(Y1158)</f>
        <v>93</v>
      </c>
      <c r="AF1158" s="2" t="n">
        <f aca="false">INT(Z1158)</f>
        <v>116</v>
      </c>
      <c r="AG1158" s="2" t="n">
        <f aca="false">INT(AA1158)</f>
        <v>90</v>
      </c>
      <c r="AH1158" s="2" t="n">
        <f aca="false">INT(AB1158)</f>
        <v>66</v>
      </c>
      <c r="AI1158" s="2" t="n">
        <f aca="false">INT(AC1158)</f>
        <v>86</v>
      </c>
      <c r="AJ1158" s="2" t="n">
        <f aca="false">INT(AD1158)</f>
        <v>46</v>
      </c>
      <c r="AK1158" s="2" t="n">
        <f aca="false">Settings!$B$3-SUM(AE1158:AJ1158)</f>
        <v>3</v>
      </c>
      <c r="AL1158" s="2" t="n">
        <f aca="false">ROUND(Y1158-AE1158,9)</f>
        <v>0.274619696</v>
      </c>
      <c r="AM1158" s="2" t="n">
        <f aca="false">ROUND(Z1158-AF1158,9)</f>
        <v>0.092874299</v>
      </c>
      <c r="AN1158" s="2" t="n">
        <f aca="false">ROUND(AA1158-AG1158,9)</f>
        <v>0.472377902</v>
      </c>
      <c r="AO1158" s="2" t="n">
        <f aca="false">ROUND(AB1158-AH1158,9)</f>
        <v>0.853482786</v>
      </c>
      <c r="AP1158" s="2" t="n">
        <f aca="false">ROUND(AC1158-AI1158,9)</f>
        <v>0.46917534</v>
      </c>
      <c r="AQ1158" s="2" t="n">
        <f aca="false">ROUND(AD1158-AJ1158,9)</f>
        <v>0.837469976</v>
      </c>
    </row>
    <row r="1159" customFormat="false" ht="15" hidden="false" customHeight="false" outlineLevel="0" collapsed="false">
      <c r="A1159" s="2" t="n">
        <v>1158</v>
      </c>
      <c r="B1159" s="6" t="n">
        <v>34</v>
      </c>
      <c r="C1159" s="6" t="n">
        <v>37</v>
      </c>
      <c r="D1159" s="8" t="str">
        <f aca="false">INDEX(Bases!$B$2:$B$53,B1159)</f>
        <v>Paras</v>
      </c>
      <c r="E1159" s="8" t="str">
        <f aca="false">INDEX(Bases!$B$2:$B$53,C1159)</f>
        <v>Shuckle</v>
      </c>
      <c r="F1159" s="2" t="str">
        <f aca="false">LEFT(D1159,ROUNDUP(LEN(D1159)/2,0))&amp;LOWER(MID(E1159,ROUNDUP(LEN(E1159)/2,0)+1,20))</f>
        <v>Parkle</v>
      </c>
      <c r="G1159" s="8" t="str">
        <f aca="false">INDEX(Bases!$C$2:$C$53,B1159)</f>
        <v>Bug</v>
      </c>
      <c r="H1159" s="8" t="str">
        <f aca="false">IF(INDEX(Bases!$C$2:$C$53,C1159)=G1159,"",INDEX(Bases!$C$2:$C$53,C1159))</f>
        <v>Rock</v>
      </c>
      <c r="I1159" s="8" t="str">
        <f aca="false">IF(INDEX(Bases!$E$2:$E$53,B1159)="","",INDEX(Bases!$E$2:$E$53,B1159))</f>
        <v/>
      </c>
      <c r="J1159" s="8" t="str">
        <f aca="false">IF(INDEX(Bases!$E$2:$E$53,C1159)="","",INDEX(Bases!$E$2:$E$53,C1159))</f>
        <v/>
      </c>
      <c r="K1159" s="5"/>
      <c r="L1159" s="2" t="n">
        <f aca="false">AE1159+IF(SUMPRODUCT(--($AL1159:$AQ1159&gt;AL1159))&lt;$AK1159,1,0)</f>
        <v>41</v>
      </c>
      <c r="M1159" s="2" t="n">
        <f aca="false">AF1159+IF(SUMPRODUCT(--($AL1159:$AQ1159&gt;AM1159))+SUMPRODUCT(--($AL1159:AL1159=AM1159))&lt;$AK1159,1,0)</f>
        <v>73</v>
      </c>
      <c r="N1159" s="2" t="n">
        <f aca="false">AG1159+IF(SUMPRODUCT(--($AL1159:$AQ1159&gt;AN1159))+SUMPRODUCT(--($AL1159:AM1159=AN1159))&lt;$AK1159,1,0)</f>
        <v>156</v>
      </c>
      <c r="O1159" s="2" t="n">
        <f aca="false">AH1159+IF(SUMPRODUCT(--($AL1159:$AQ1159&gt;AO1159))+SUMPRODUCT(--($AL1159:AN1159=AO1159))&lt;$AK1159,1,0)</f>
        <v>48</v>
      </c>
      <c r="P1159" s="2" t="n">
        <f aca="false">AI1159+IF(SUMPRODUCT(--($AL1159:$AQ1159&gt;AP1159))+SUMPRODUCT(--($AL1159:AO1159=AP1159))&lt;$AK1159,1,0)</f>
        <v>156</v>
      </c>
      <c r="Q1159" s="2" t="n">
        <f aca="false">AJ1159+IF(SUMPRODUCT(--($AL1159:$AQ1159&gt;AQ1159))+SUMPRODUCT(--($AL1159:AP1159=AQ1159))&lt;$AK1159,1,0)</f>
        <v>26</v>
      </c>
      <c r="R1159" s="2" t="n">
        <f aca="false">SUM(L1159:Q1159)</f>
        <v>500</v>
      </c>
      <c r="S1159" s="2" t="n">
        <f aca="false">Settings!$B$4*MAX(INDEX(Bases!$M$2:$M$53,B1159),INDEX(Bases!$M$2:$M$53,C1159))+Settings!$B$5*MIN(INDEX(Bases!$M$2:$M$53,B1159),INDEX(Bases!$M$2:$M$53,C1159))</f>
        <v>38</v>
      </c>
      <c r="T1159" s="2" t="n">
        <f aca="false">Settings!$B$4*MAX(INDEX(Bases!$N$2:$N$53,B1159),INDEX(Bases!$N$2:$N$53,C1159))+Settings!$B$5*MIN(INDEX(Bases!$N$2:$N$53,B1159),INDEX(Bases!$N$2:$N$53,C1159))</f>
        <v>68.6666666666667</v>
      </c>
      <c r="U1159" s="2" t="n">
        <f aca="false">Settings!$B$4*MAX(INDEX(Bases!$O$2:$O$53,B1159),INDEX(Bases!$O$2:$O$53,C1159))+Settings!$B$5*MIN(INDEX(Bases!$O$2:$O$53,B1159),INDEX(Bases!$O$2:$O$53,C1159))</f>
        <v>147</v>
      </c>
      <c r="V1159" s="2" t="n">
        <f aca="false">Settings!$B$4*MAX(INDEX(Bases!$P$2:$P$53,B1159),INDEX(Bases!$P$2:$P$53,C1159))+Settings!$B$5*MIN(INDEX(Bases!$P$2:$P$53,B1159),INDEX(Bases!$P$2:$P$53,C1159))</f>
        <v>44.6666666666667</v>
      </c>
      <c r="W1159" s="2" t="n">
        <f aca="false">Settings!$B$4*MAX(INDEX(Bases!$Q$2:$Q$53,B1159),INDEX(Bases!$Q$2:$Q$53,C1159))+Settings!$B$5*MIN(INDEX(Bases!$Q$2:$Q$53,B1159),INDEX(Bases!$Q$2:$Q$53,C1159))</f>
        <v>147</v>
      </c>
      <c r="X1159" s="2" t="n">
        <f aca="false">Settings!$B$4*MAX(INDEX(Bases!$R$2:$R$53,B1159),INDEX(Bases!$R$2:$R$53,C1159))+Settings!$B$5*MIN(INDEX(Bases!$R$2:$R$53,B1159),INDEX(Bases!$R$2:$R$53,C1159))</f>
        <v>24.6666666666667</v>
      </c>
      <c r="Y1159" s="2" t="n">
        <f aca="false">S1159*Settings!$B$3/SUM(S1159:X1159)</f>
        <v>40.4255319148936</v>
      </c>
      <c r="Z1159" s="2" t="n">
        <f aca="false">T1159*Settings!$B$3/SUM(S1159:X1159)</f>
        <v>73.0496453900709</v>
      </c>
      <c r="AA1159" s="2" t="n">
        <f aca="false">U1159*Settings!$B$3/SUM(S1159:X1159)</f>
        <v>156.382978723404</v>
      </c>
      <c r="AB1159" s="2" t="n">
        <f aca="false">V1159*Settings!$B$3/SUM(S1159:X1159)</f>
        <v>47.5177304964539</v>
      </c>
      <c r="AC1159" s="2" t="n">
        <f aca="false">W1159*Settings!$B$3/SUM(S1159:X1159)</f>
        <v>156.382978723404</v>
      </c>
      <c r="AD1159" s="2" t="n">
        <f aca="false">X1159*Settings!$B$3/SUM(S1159:X1159)</f>
        <v>26.241134751773</v>
      </c>
      <c r="AE1159" s="2" t="n">
        <f aca="false">INT(Y1159)</f>
        <v>40</v>
      </c>
      <c r="AF1159" s="2" t="n">
        <f aca="false">INT(Z1159)</f>
        <v>73</v>
      </c>
      <c r="AG1159" s="2" t="n">
        <f aca="false">INT(AA1159)</f>
        <v>156</v>
      </c>
      <c r="AH1159" s="2" t="n">
        <f aca="false">INT(AB1159)</f>
        <v>47</v>
      </c>
      <c r="AI1159" s="2" t="n">
        <f aca="false">INT(AC1159)</f>
        <v>156</v>
      </c>
      <c r="AJ1159" s="2" t="n">
        <f aca="false">INT(AD1159)</f>
        <v>26</v>
      </c>
      <c r="AK1159" s="2" t="n">
        <f aca="false">Settings!$B$3-SUM(AE1159:AJ1159)</f>
        <v>2</v>
      </c>
      <c r="AL1159" s="2" t="n">
        <f aca="false">ROUND(Y1159-AE1159,9)</f>
        <v>0.425531915</v>
      </c>
      <c r="AM1159" s="2" t="n">
        <f aca="false">ROUND(Z1159-AF1159,9)</f>
        <v>0.04964539</v>
      </c>
      <c r="AN1159" s="2" t="n">
        <f aca="false">ROUND(AA1159-AG1159,9)</f>
        <v>0.382978723</v>
      </c>
      <c r="AO1159" s="2" t="n">
        <f aca="false">ROUND(AB1159-AH1159,9)</f>
        <v>0.517730496</v>
      </c>
      <c r="AP1159" s="2" t="n">
        <f aca="false">ROUND(AC1159-AI1159,9)</f>
        <v>0.382978723</v>
      </c>
      <c r="AQ1159" s="2" t="n">
        <f aca="false">ROUND(AD1159-AJ1159,9)</f>
        <v>0.241134752</v>
      </c>
    </row>
    <row r="1160" customFormat="false" ht="15" hidden="false" customHeight="false" outlineLevel="0" collapsed="false">
      <c r="A1160" s="2" t="n">
        <v>1159</v>
      </c>
      <c r="B1160" s="6" t="n">
        <v>34</v>
      </c>
      <c r="C1160" s="6" t="n">
        <v>38</v>
      </c>
      <c r="D1160" s="8" t="str">
        <f aca="false">INDEX(Bases!$B$2:$B$53,B1160)</f>
        <v>Paras</v>
      </c>
      <c r="E1160" s="8" t="str">
        <f aca="false">INDEX(Bases!$B$2:$B$53,C1160)</f>
        <v>Larvitar</v>
      </c>
      <c r="F1160" s="2" t="str">
        <f aca="false">LEFT(D1160,ROUNDUP(LEN(D1160)/2,0))&amp;LOWER(MID(E1160,ROUNDUP(LEN(E1160)/2,0)+1,20))</f>
        <v>Paritar</v>
      </c>
      <c r="G1160" s="8" t="str">
        <f aca="false">INDEX(Bases!$C$2:$C$53,B1160)</f>
        <v>Bug</v>
      </c>
      <c r="H1160" s="8" t="str">
        <f aca="false">IF(INDEX(Bases!$C$2:$C$53,C1160)=G1160,"",INDEX(Bases!$C$2:$C$53,C1160))</f>
        <v>Rock</v>
      </c>
      <c r="I1160" s="8" t="str">
        <f aca="false">IF(INDEX(Bases!$E$2:$E$53,B1160)="","",INDEX(Bases!$E$2:$E$53,B1160))</f>
        <v/>
      </c>
      <c r="J1160" s="8" t="str">
        <f aca="false">IF(INDEX(Bases!$E$2:$E$53,C1160)="","",INDEX(Bases!$E$2:$E$53,C1160))</f>
        <v/>
      </c>
      <c r="K1160" s="5"/>
      <c r="L1160" s="2" t="n">
        <f aca="false">AE1160+IF(SUMPRODUCT(--($AL1160:$AQ1160&gt;AL1160))&lt;$AK1160,1,0)</f>
        <v>74</v>
      </c>
      <c r="M1160" s="2" t="n">
        <f aca="false">AF1160+IF(SUMPRODUCT(--($AL1160:$AQ1160&gt;AM1160))+SUMPRODUCT(--($AL1160:AL1160=AM1160))&lt;$AK1160,1,0)</f>
        <v>115</v>
      </c>
      <c r="N1160" s="2" t="n">
        <f aca="false">AG1160+IF(SUMPRODUCT(--($AL1160:$AQ1160&gt;AN1160))+SUMPRODUCT(--($AL1160:AM1160=AN1160))&lt;$AK1160,1,0)</f>
        <v>89</v>
      </c>
      <c r="O1160" s="2" t="n">
        <f aca="false">AH1160+IF(SUMPRODUCT(--($AL1160:$AQ1160&gt;AO1160))+SUMPRODUCT(--($AL1160:AN1160=AO1160))&lt;$AK1160,1,0)</f>
        <v>75</v>
      </c>
      <c r="P1160" s="2" t="n">
        <f aca="false">AI1160+IF(SUMPRODUCT(--($AL1160:$AQ1160&gt;AP1160))+SUMPRODUCT(--($AL1160:AO1160=AP1160))&lt;$AK1160,1,0)</f>
        <v>89</v>
      </c>
      <c r="Q1160" s="2" t="n">
        <f aca="false">AJ1160+IF(SUMPRODUCT(--($AL1160:$AQ1160&gt;AQ1160))+SUMPRODUCT(--($AL1160:AP1160=AQ1160))&lt;$AK1160,1,0)</f>
        <v>58</v>
      </c>
      <c r="R1160" s="2" t="n">
        <f aca="false">SUM(L1160:Q1160)</f>
        <v>500</v>
      </c>
      <c r="S1160" s="2" t="n">
        <f aca="false">Settings!$B$4*MAX(INDEX(Bases!$M$2:$M$53,B1160),INDEX(Bases!$M$2:$M$53,C1160))+Settings!$B$5*MIN(INDEX(Bases!$M$2:$M$53,B1160),INDEX(Bases!$M$2:$M$53,C1160))</f>
        <v>61</v>
      </c>
      <c r="T1160" s="2" t="n">
        <f aca="false">Settings!$B$4*MAX(INDEX(Bases!$N$2:$N$53,B1160),INDEX(Bases!$N$2:$N$53,C1160))+Settings!$B$5*MIN(INDEX(Bases!$N$2:$N$53,B1160),INDEX(Bases!$N$2:$N$53,C1160))</f>
        <v>94.3333333333333</v>
      </c>
      <c r="U1160" s="2" t="n">
        <f aca="false">Settings!$B$4*MAX(INDEX(Bases!$O$2:$O$53,B1160),INDEX(Bases!$O$2:$O$53,C1160))+Settings!$B$5*MIN(INDEX(Bases!$O$2:$O$53,B1160),INDEX(Bases!$O$2:$O$53,C1160))</f>
        <v>73.6666666666667</v>
      </c>
      <c r="V1160" s="2" t="n">
        <f aca="false">Settings!$B$4*MAX(INDEX(Bases!$P$2:$P$53,B1160),INDEX(Bases!$P$2:$P$53,C1160))+Settings!$B$5*MIN(INDEX(Bases!$P$2:$P$53,B1160),INDEX(Bases!$P$2:$P$53,C1160))</f>
        <v>62</v>
      </c>
      <c r="W1160" s="2" t="n">
        <f aca="false">Settings!$B$4*MAX(INDEX(Bases!$Q$2:$Q$53,B1160),INDEX(Bases!$Q$2:$Q$53,C1160))+Settings!$B$5*MIN(INDEX(Bases!$Q$2:$Q$53,B1160),INDEX(Bases!$Q$2:$Q$53,C1160))</f>
        <v>73.6666666666667</v>
      </c>
      <c r="X1160" s="2" t="n">
        <f aca="false">Settings!$B$4*MAX(INDEX(Bases!$R$2:$R$53,B1160),INDEX(Bases!$R$2:$R$53,C1160))+Settings!$B$5*MIN(INDEX(Bases!$R$2:$R$53,B1160),INDEX(Bases!$R$2:$R$53,C1160))</f>
        <v>47.6666666666667</v>
      </c>
      <c r="Y1160" s="2" t="n">
        <f aca="false">S1160*Settings!$B$3/SUM(S1160:X1160)</f>
        <v>73.9692805173808</v>
      </c>
      <c r="Z1160" s="2" t="n">
        <f aca="false">T1160*Settings!$B$3/SUM(S1160:X1160)</f>
        <v>114.389652384802</v>
      </c>
      <c r="AA1160" s="2" t="n">
        <f aca="false">U1160*Settings!$B$3/SUM(S1160:X1160)</f>
        <v>89.3290218270008</v>
      </c>
      <c r="AB1160" s="2" t="n">
        <f aca="false">V1160*Settings!$B$3/SUM(S1160:X1160)</f>
        <v>75.1818916734034</v>
      </c>
      <c r="AC1160" s="2" t="n">
        <f aca="false">W1160*Settings!$B$3/SUM(S1160:X1160)</f>
        <v>89.3290218270008</v>
      </c>
      <c r="AD1160" s="2" t="n">
        <f aca="false">X1160*Settings!$B$3/SUM(S1160:X1160)</f>
        <v>57.8011317704123</v>
      </c>
      <c r="AE1160" s="2" t="n">
        <f aca="false">INT(Y1160)</f>
        <v>73</v>
      </c>
      <c r="AF1160" s="2" t="n">
        <f aca="false">INT(Z1160)</f>
        <v>114</v>
      </c>
      <c r="AG1160" s="2" t="n">
        <f aca="false">INT(AA1160)</f>
        <v>89</v>
      </c>
      <c r="AH1160" s="2" t="n">
        <f aca="false">INT(AB1160)</f>
        <v>75</v>
      </c>
      <c r="AI1160" s="2" t="n">
        <f aca="false">INT(AC1160)</f>
        <v>89</v>
      </c>
      <c r="AJ1160" s="2" t="n">
        <f aca="false">INT(AD1160)</f>
        <v>57</v>
      </c>
      <c r="AK1160" s="2" t="n">
        <f aca="false">Settings!$B$3-SUM(AE1160:AJ1160)</f>
        <v>3</v>
      </c>
      <c r="AL1160" s="2" t="n">
        <f aca="false">ROUND(Y1160-AE1160,9)</f>
        <v>0.969280517</v>
      </c>
      <c r="AM1160" s="2" t="n">
        <f aca="false">ROUND(Z1160-AF1160,9)</f>
        <v>0.389652385</v>
      </c>
      <c r="AN1160" s="2" t="n">
        <f aca="false">ROUND(AA1160-AG1160,9)</f>
        <v>0.329021827</v>
      </c>
      <c r="AO1160" s="2" t="n">
        <f aca="false">ROUND(AB1160-AH1160,9)</f>
        <v>0.181891673</v>
      </c>
      <c r="AP1160" s="2" t="n">
        <f aca="false">ROUND(AC1160-AI1160,9)</f>
        <v>0.329021827</v>
      </c>
      <c r="AQ1160" s="2" t="n">
        <f aca="false">ROUND(AD1160-AJ1160,9)</f>
        <v>0.80113177</v>
      </c>
    </row>
    <row r="1161" customFormat="false" ht="15" hidden="false" customHeight="false" outlineLevel="0" collapsed="false">
      <c r="A1161" s="2" t="n">
        <v>1160</v>
      </c>
      <c r="B1161" s="6" t="n">
        <v>34</v>
      </c>
      <c r="C1161" s="6" t="n">
        <v>39</v>
      </c>
      <c r="D1161" s="8" t="str">
        <f aca="false">INDEX(Bases!$B$2:$B$53,B1161)</f>
        <v>Paras</v>
      </c>
      <c r="E1161" s="8" t="str">
        <f aca="false">INDEX(Bases!$B$2:$B$53,C1161)</f>
        <v>Nosepass</v>
      </c>
      <c r="F1161" s="2" t="str">
        <f aca="false">LEFT(D1161,ROUNDUP(LEN(D1161)/2,0))&amp;LOWER(MID(E1161,ROUNDUP(LEN(E1161)/2,0)+1,20))</f>
        <v>Parpass</v>
      </c>
      <c r="G1161" s="8" t="str">
        <f aca="false">INDEX(Bases!$C$2:$C$53,B1161)</f>
        <v>Bug</v>
      </c>
      <c r="H1161" s="8" t="str">
        <f aca="false">IF(INDEX(Bases!$C$2:$C$53,C1161)=G1161,"",INDEX(Bases!$C$2:$C$53,C1161))</f>
        <v>Rock</v>
      </c>
      <c r="I1161" s="8" t="str">
        <f aca="false">IF(INDEX(Bases!$E$2:$E$53,B1161)="","",INDEX(Bases!$E$2:$E$53,B1161))</f>
        <v/>
      </c>
      <c r="J1161" s="8" t="str">
        <f aca="false">IF(INDEX(Bases!$E$2:$E$53,C1161)="","",INDEX(Bases!$E$2:$E$53,C1161))</f>
        <v/>
      </c>
      <c r="K1161" s="5"/>
      <c r="L1161" s="2" t="n">
        <f aca="false">AE1161+IF(SUMPRODUCT(--($AL1161:$AQ1161&gt;AL1161))&lt;$AK1161,1,0)</f>
        <v>50</v>
      </c>
      <c r="M1161" s="2" t="n">
        <f aca="false">AF1161+IF(SUMPRODUCT(--($AL1161:$AQ1161&gt;AM1161))+SUMPRODUCT(--($AL1161:AL1161=AM1161))&lt;$AK1161,1,0)</f>
        <v>96</v>
      </c>
      <c r="N1161" s="2" t="n">
        <f aca="false">AG1161+IF(SUMPRODUCT(--($AL1161:$AQ1161&gt;AN1161))+SUMPRODUCT(--($AL1161:AM1161=AN1161))&lt;$AK1161,1,0)</f>
        <v>142</v>
      </c>
      <c r="O1161" s="2" t="n">
        <f aca="false">AH1161+IF(SUMPRODUCT(--($AL1161:$AQ1161&gt;AO1161))+SUMPRODUCT(--($AL1161:AN1161=AO1161))&lt;$AK1161,1,0)</f>
        <v>68</v>
      </c>
      <c r="P1161" s="2" t="n">
        <f aca="false">AI1161+IF(SUMPRODUCT(--($AL1161:$AQ1161&gt;AP1161))+SUMPRODUCT(--($AL1161:AO1161=AP1161))&lt;$AK1161,1,0)</f>
        <v>104</v>
      </c>
      <c r="Q1161" s="2" t="n">
        <f aca="false">AJ1161+IF(SUMPRODUCT(--($AL1161:$AQ1161&gt;AQ1161))+SUMPRODUCT(--($AL1161:AP1161=AQ1161))&lt;$AK1161,1,0)</f>
        <v>40</v>
      </c>
      <c r="R1161" s="2" t="n">
        <f aca="false">SUM(L1161:Q1161)</f>
        <v>500</v>
      </c>
      <c r="S1161" s="2" t="n">
        <f aca="false">Settings!$B$4*MAX(INDEX(Bases!$M$2:$M$53,B1161),INDEX(Bases!$M$2:$M$53,C1161))+Settings!$B$5*MIN(INDEX(Bases!$M$2:$M$53,B1161),INDEX(Bases!$M$2:$M$53,C1161))</f>
        <v>43.3333333333333</v>
      </c>
      <c r="T1161" s="2" t="n">
        <f aca="false">Settings!$B$4*MAX(INDEX(Bases!$N$2:$N$53,B1161),INDEX(Bases!$N$2:$N$53,C1161))+Settings!$B$5*MIN(INDEX(Bases!$N$2:$N$53,B1161),INDEX(Bases!$N$2:$N$53,C1161))</f>
        <v>82</v>
      </c>
      <c r="U1161" s="2" t="n">
        <f aca="false">Settings!$B$4*MAX(INDEX(Bases!$O$2:$O$53,B1161),INDEX(Bases!$O$2:$O$53,C1161))+Settings!$B$5*MIN(INDEX(Bases!$O$2:$O$53,B1161),INDEX(Bases!$O$2:$O$53,C1161))</f>
        <v>121.666666666667</v>
      </c>
      <c r="V1161" s="2" t="n">
        <f aca="false">Settings!$B$4*MAX(INDEX(Bases!$P$2:$P$53,B1161),INDEX(Bases!$P$2:$P$53,C1161))+Settings!$B$5*MIN(INDEX(Bases!$P$2:$P$53,B1161),INDEX(Bases!$P$2:$P$53,C1161))</f>
        <v>58</v>
      </c>
      <c r="W1161" s="2" t="n">
        <f aca="false">Settings!$B$4*MAX(INDEX(Bases!$Q$2:$Q$53,B1161),INDEX(Bases!$Q$2:$Q$53,C1161))+Settings!$B$5*MIN(INDEX(Bases!$Q$2:$Q$53,B1161),INDEX(Bases!$Q$2:$Q$53,C1161))</f>
        <v>89.6666666666667</v>
      </c>
      <c r="X1161" s="2" t="n">
        <f aca="false">Settings!$B$4*MAX(INDEX(Bases!$R$2:$R$53,B1161),INDEX(Bases!$R$2:$R$53,C1161))+Settings!$B$5*MIN(INDEX(Bases!$R$2:$R$53,B1161),INDEX(Bases!$R$2:$R$53,C1161))</f>
        <v>34</v>
      </c>
      <c r="Y1161" s="2" t="n">
        <f aca="false">S1161*Settings!$B$3/SUM(S1161:X1161)</f>
        <v>50.5443234836703</v>
      </c>
      <c r="Z1161" s="2" t="n">
        <f aca="false">T1161*Settings!$B$3/SUM(S1161:X1161)</f>
        <v>95.6454121306376</v>
      </c>
      <c r="AA1161" s="2" t="n">
        <f aca="false">U1161*Settings!$B$3/SUM(S1161:X1161)</f>
        <v>141.912908242613</v>
      </c>
      <c r="AB1161" s="2" t="n">
        <f aca="false">V1161*Settings!$B$3/SUM(S1161:X1161)</f>
        <v>67.651632970451</v>
      </c>
      <c r="AC1161" s="2" t="n">
        <f aca="false">W1161*Settings!$B$3/SUM(S1161:X1161)</f>
        <v>104.587869362364</v>
      </c>
      <c r="AD1161" s="2" t="n">
        <f aca="false">X1161*Settings!$B$3/SUM(S1161:X1161)</f>
        <v>39.6578538102644</v>
      </c>
      <c r="AE1161" s="2" t="n">
        <f aca="false">INT(Y1161)</f>
        <v>50</v>
      </c>
      <c r="AF1161" s="2" t="n">
        <f aca="false">INT(Z1161)</f>
        <v>95</v>
      </c>
      <c r="AG1161" s="2" t="n">
        <f aca="false">INT(AA1161)</f>
        <v>141</v>
      </c>
      <c r="AH1161" s="2" t="n">
        <f aca="false">INT(AB1161)</f>
        <v>67</v>
      </c>
      <c r="AI1161" s="2" t="n">
        <f aca="false">INT(AC1161)</f>
        <v>104</v>
      </c>
      <c r="AJ1161" s="2" t="n">
        <f aca="false">INT(AD1161)</f>
        <v>39</v>
      </c>
      <c r="AK1161" s="2" t="n">
        <f aca="false">Settings!$B$3-SUM(AE1161:AJ1161)</f>
        <v>4</v>
      </c>
      <c r="AL1161" s="2" t="n">
        <f aca="false">ROUND(Y1161-AE1161,9)</f>
        <v>0.544323484</v>
      </c>
      <c r="AM1161" s="2" t="n">
        <f aca="false">ROUND(Z1161-AF1161,9)</f>
        <v>0.645412131</v>
      </c>
      <c r="AN1161" s="2" t="n">
        <f aca="false">ROUND(AA1161-AG1161,9)</f>
        <v>0.912908243</v>
      </c>
      <c r="AO1161" s="2" t="n">
        <f aca="false">ROUND(AB1161-AH1161,9)</f>
        <v>0.65163297</v>
      </c>
      <c r="AP1161" s="2" t="n">
        <f aca="false">ROUND(AC1161-AI1161,9)</f>
        <v>0.587869362</v>
      </c>
      <c r="AQ1161" s="2" t="n">
        <f aca="false">ROUND(AD1161-AJ1161,9)</f>
        <v>0.65785381</v>
      </c>
    </row>
    <row r="1162" customFormat="false" ht="15" hidden="false" customHeight="false" outlineLevel="0" collapsed="false">
      <c r="A1162" s="2" t="n">
        <v>1161</v>
      </c>
      <c r="B1162" s="6" t="n">
        <v>34</v>
      </c>
      <c r="C1162" s="6" t="n">
        <v>40</v>
      </c>
      <c r="D1162" s="8" t="str">
        <f aca="false">INDEX(Bases!$B$2:$B$53,B1162)</f>
        <v>Paras</v>
      </c>
      <c r="E1162" s="8" t="str">
        <f aca="false">INDEX(Bases!$B$2:$B$53,C1162)</f>
        <v>Gastly</v>
      </c>
      <c r="F1162" s="2" t="str">
        <f aca="false">LEFT(D1162,ROUNDUP(LEN(D1162)/2,0))&amp;LOWER(MID(E1162,ROUNDUP(LEN(E1162)/2,0)+1,20))</f>
        <v>Partly</v>
      </c>
      <c r="G1162" s="8" t="str">
        <f aca="false">INDEX(Bases!$C$2:$C$53,B1162)</f>
        <v>Bug</v>
      </c>
      <c r="H1162" s="8" t="str">
        <f aca="false">IF(INDEX(Bases!$C$2:$C$53,C1162)=G1162,"",INDEX(Bases!$C$2:$C$53,C1162))</f>
        <v>Ghost</v>
      </c>
      <c r="I1162" s="8" t="str">
        <f aca="false">IF(INDEX(Bases!$E$2:$E$53,B1162)="","",INDEX(Bases!$E$2:$E$53,B1162))</f>
        <v/>
      </c>
      <c r="J1162" s="8" t="str">
        <f aca="false">IF(INDEX(Bases!$E$2:$E$53,C1162)="","",INDEX(Bases!$E$2:$E$53,C1162))</f>
        <v/>
      </c>
      <c r="K1162" s="5"/>
      <c r="L1162" s="2" t="n">
        <f aca="false">AE1162+IF(SUMPRODUCT(--($AL1162:$AQ1162&gt;AL1162))&lt;$AK1162,1,0)</f>
        <v>52</v>
      </c>
      <c r="M1162" s="2" t="n">
        <f aca="false">AF1162+IF(SUMPRODUCT(--($AL1162:$AQ1162&gt;AM1162))+SUMPRODUCT(--($AL1162:AL1162=AM1162))&lt;$AK1162,1,0)</f>
        <v>91</v>
      </c>
      <c r="N1162" s="2" t="n">
        <f aca="false">AG1162+IF(SUMPRODUCT(--($AL1162:$AQ1162&gt;AN1162))+SUMPRODUCT(--($AL1162:AM1162=AN1162))&lt;$AK1162,1,0)</f>
        <v>72</v>
      </c>
      <c r="O1162" s="2" t="n">
        <f aca="false">AH1162+IF(SUMPRODUCT(--($AL1162:$AQ1162&gt;AO1162))+SUMPRODUCT(--($AL1162:AN1162=AO1162))&lt;$AK1162,1,0)</f>
        <v>120</v>
      </c>
      <c r="P1162" s="2" t="n">
        <f aca="false">AI1162+IF(SUMPRODUCT(--($AL1162:$AQ1162&gt;AP1162))+SUMPRODUCT(--($AL1162:AO1162=AP1162))&lt;$AK1162,1,0)</f>
        <v>75</v>
      </c>
      <c r="Q1162" s="2" t="n">
        <f aca="false">AJ1162+IF(SUMPRODUCT(--($AL1162:$AQ1162&gt;AQ1162))+SUMPRODUCT(--($AL1162:AP1162=AQ1162))&lt;$AK1162,1,0)</f>
        <v>90</v>
      </c>
      <c r="R1162" s="2" t="n">
        <f aca="false">SUM(L1162:Q1162)</f>
        <v>500</v>
      </c>
      <c r="S1162" s="2" t="n">
        <f aca="false">Settings!$B$4*MAX(INDEX(Bases!$M$2:$M$53,B1162),INDEX(Bases!$M$2:$M$53,C1162))+Settings!$B$5*MIN(INDEX(Bases!$M$2:$M$53,B1162),INDEX(Bases!$M$2:$M$53,C1162))</f>
        <v>45.6666666666667</v>
      </c>
      <c r="T1162" s="2" t="n">
        <f aca="false">Settings!$B$4*MAX(INDEX(Bases!$N$2:$N$53,B1162),INDEX(Bases!$N$2:$N$53,C1162))+Settings!$B$5*MIN(INDEX(Bases!$N$2:$N$53,B1162),INDEX(Bases!$N$2:$N$53,C1162))</f>
        <v>81</v>
      </c>
      <c r="U1162" s="2" t="n">
        <f aca="false">Settings!$B$4*MAX(INDEX(Bases!$O$2:$O$53,B1162),INDEX(Bases!$O$2:$O$53,C1162))+Settings!$B$5*MIN(INDEX(Bases!$O$2:$O$53,B1162),INDEX(Bases!$O$2:$O$53,C1162))</f>
        <v>64.3333333333333</v>
      </c>
      <c r="V1162" s="2" t="n">
        <f aca="false">Settings!$B$4*MAX(INDEX(Bases!$P$2:$P$53,B1162),INDEX(Bases!$P$2:$P$53,C1162))+Settings!$B$5*MIN(INDEX(Bases!$P$2:$P$53,B1162),INDEX(Bases!$P$2:$P$53,C1162))</f>
        <v>107</v>
      </c>
      <c r="W1162" s="2" t="n">
        <f aca="false">Settings!$B$4*MAX(INDEX(Bases!$Q$2:$Q$53,B1162),INDEX(Bases!$Q$2:$Q$53,C1162))+Settings!$B$5*MIN(INDEX(Bases!$Q$2:$Q$53,B1162),INDEX(Bases!$Q$2:$Q$53,C1162))</f>
        <v>66.3333333333333</v>
      </c>
      <c r="X1162" s="2" t="n">
        <f aca="false">Settings!$B$4*MAX(INDEX(Bases!$R$2:$R$53,B1162),INDEX(Bases!$R$2:$R$53,C1162))+Settings!$B$5*MIN(INDEX(Bases!$R$2:$R$53,B1162),INDEX(Bases!$R$2:$R$53,C1162))</f>
        <v>80.3333333333333</v>
      </c>
      <c r="Y1162" s="2" t="n">
        <f aca="false">S1162*Settings!$B$3/SUM(S1162:X1162)</f>
        <v>51.3493253373313</v>
      </c>
      <c r="Z1162" s="2" t="n">
        <f aca="false">T1162*Settings!$B$3/SUM(S1162:X1162)</f>
        <v>91.0794602698651</v>
      </c>
      <c r="AA1162" s="2" t="n">
        <f aca="false">U1162*Settings!$B$3/SUM(S1162:X1162)</f>
        <v>72.3388305847077</v>
      </c>
      <c r="AB1162" s="2" t="n">
        <f aca="false">V1162*Settings!$B$3/SUM(S1162:X1162)</f>
        <v>120.314842578711</v>
      </c>
      <c r="AC1162" s="2" t="n">
        <f aca="false">W1162*Settings!$B$3/SUM(S1162:X1162)</f>
        <v>74.5877061469265</v>
      </c>
      <c r="AD1162" s="2" t="n">
        <f aca="false">X1162*Settings!$B$3/SUM(S1162:X1162)</f>
        <v>90.3298350824588</v>
      </c>
      <c r="AE1162" s="2" t="n">
        <f aca="false">INT(Y1162)</f>
        <v>51</v>
      </c>
      <c r="AF1162" s="2" t="n">
        <f aca="false">INT(Z1162)</f>
        <v>91</v>
      </c>
      <c r="AG1162" s="2" t="n">
        <f aca="false">INT(AA1162)</f>
        <v>72</v>
      </c>
      <c r="AH1162" s="2" t="n">
        <f aca="false">INT(AB1162)</f>
        <v>120</v>
      </c>
      <c r="AI1162" s="2" t="n">
        <f aca="false">INT(AC1162)</f>
        <v>74</v>
      </c>
      <c r="AJ1162" s="2" t="n">
        <f aca="false">INT(AD1162)</f>
        <v>90</v>
      </c>
      <c r="AK1162" s="2" t="n">
        <f aca="false">Settings!$B$3-SUM(AE1162:AJ1162)</f>
        <v>2</v>
      </c>
      <c r="AL1162" s="2" t="n">
        <f aca="false">ROUND(Y1162-AE1162,9)</f>
        <v>0.349325337</v>
      </c>
      <c r="AM1162" s="2" t="n">
        <f aca="false">ROUND(Z1162-AF1162,9)</f>
        <v>0.07946027</v>
      </c>
      <c r="AN1162" s="2" t="n">
        <f aca="false">ROUND(AA1162-AG1162,9)</f>
        <v>0.338830585</v>
      </c>
      <c r="AO1162" s="2" t="n">
        <f aca="false">ROUND(AB1162-AH1162,9)</f>
        <v>0.314842579</v>
      </c>
      <c r="AP1162" s="2" t="n">
        <f aca="false">ROUND(AC1162-AI1162,9)</f>
        <v>0.587706147</v>
      </c>
      <c r="AQ1162" s="2" t="n">
        <f aca="false">ROUND(AD1162-AJ1162,9)</f>
        <v>0.329835082</v>
      </c>
    </row>
    <row r="1163" customFormat="false" ht="15" hidden="false" customHeight="false" outlineLevel="0" collapsed="false">
      <c r="A1163" s="2" t="n">
        <v>1162</v>
      </c>
      <c r="B1163" s="6" t="n">
        <v>34</v>
      </c>
      <c r="C1163" s="6" t="n">
        <v>41</v>
      </c>
      <c r="D1163" s="8" t="str">
        <f aca="false">INDEX(Bases!$B$2:$B$53,B1163)</f>
        <v>Paras</v>
      </c>
      <c r="E1163" s="8" t="str">
        <f aca="false">INDEX(Bases!$B$2:$B$53,C1163)</f>
        <v>Misdreavus</v>
      </c>
      <c r="F1163" s="2" t="str">
        <f aca="false">LEFT(D1163,ROUNDUP(LEN(D1163)/2,0))&amp;LOWER(MID(E1163,ROUNDUP(LEN(E1163)/2,0)+1,20))</f>
        <v>Pareavus</v>
      </c>
      <c r="G1163" s="8" t="str">
        <f aca="false">INDEX(Bases!$C$2:$C$53,B1163)</f>
        <v>Bug</v>
      </c>
      <c r="H1163" s="8" t="str">
        <f aca="false">IF(INDEX(Bases!$C$2:$C$53,C1163)=G1163,"",INDEX(Bases!$C$2:$C$53,C1163))</f>
        <v>Ghost</v>
      </c>
      <c r="I1163" s="8" t="str">
        <f aca="false">IF(INDEX(Bases!$E$2:$E$53,B1163)="","",INDEX(Bases!$E$2:$E$53,B1163))</f>
        <v/>
      </c>
      <c r="J1163" s="8" t="str">
        <f aca="false">IF(INDEX(Bases!$E$2:$E$53,C1163)="","",INDEX(Bases!$E$2:$E$53,C1163))</f>
        <v/>
      </c>
      <c r="K1163" s="5"/>
      <c r="L1163" s="2" t="n">
        <f aca="false">AE1163+IF(SUMPRODUCT(--($AL1163:$AQ1163&gt;AL1163))&lt;$AK1163,1,0)</f>
        <v>64</v>
      </c>
      <c r="M1163" s="2" t="n">
        <f aca="false">AF1163+IF(SUMPRODUCT(--($AL1163:$AQ1163&gt;AM1163))+SUMPRODUCT(--($AL1163:AL1163=AM1163))&lt;$AK1163,1,0)</f>
        <v>100</v>
      </c>
      <c r="N1163" s="2" t="n">
        <f aca="false">AG1163+IF(SUMPRODUCT(--($AL1163:$AQ1163&gt;AN1163))+SUMPRODUCT(--($AL1163:AM1163=AN1163))&lt;$AK1163,1,0)</f>
        <v>83</v>
      </c>
      <c r="O1163" s="2" t="n">
        <f aca="false">AH1163+IF(SUMPRODUCT(--($AL1163:$AQ1163&gt;AO1163))+SUMPRODUCT(--($AL1163:AN1163=AO1163))&lt;$AK1163,1,0)</f>
        <v>86</v>
      </c>
      <c r="P1163" s="2" t="n">
        <f aca="false">AI1163+IF(SUMPRODUCT(--($AL1163:$AQ1163&gt;AP1163))+SUMPRODUCT(--($AL1163:AO1163=AP1163))&lt;$AK1163,1,0)</f>
        <v>92</v>
      </c>
      <c r="Q1163" s="2" t="n">
        <f aca="false">AJ1163+IF(SUMPRODUCT(--($AL1163:$AQ1163&gt;AQ1163))+SUMPRODUCT(--($AL1163:AP1163=AQ1163))&lt;$AK1163,1,0)</f>
        <v>75</v>
      </c>
      <c r="R1163" s="2" t="n">
        <f aca="false">SUM(L1163:Q1163)</f>
        <v>500</v>
      </c>
      <c r="S1163" s="2" t="n">
        <f aca="false">Settings!$B$4*MAX(INDEX(Bases!$M$2:$M$53,B1163),INDEX(Bases!$M$2:$M$53,C1163))+Settings!$B$5*MIN(INDEX(Bases!$M$2:$M$53,B1163),INDEX(Bases!$M$2:$M$53,C1163))</f>
        <v>53.6666666666667</v>
      </c>
      <c r="T1163" s="2" t="n">
        <f aca="false">Settings!$B$4*MAX(INDEX(Bases!$N$2:$N$53,B1163),INDEX(Bases!$N$2:$N$53,C1163))+Settings!$B$5*MIN(INDEX(Bases!$N$2:$N$53,B1163),INDEX(Bases!$N$2:$N$53,C1163))</f>
        <v>84.3333333333333</v>
      </c>
      <c r="U1163" s="2" t="n">
        <f aca="false">Settings!$B$4*MAX(INDEX(Bases!$O$2:$O$53,B1163),INDEX(Bases!$O$2:$O$53,C1163))+Settings!$B$5*MIN(INDEX(Bases!$O$2:$O$53,B1163),INDEX(Bases!$O$2:$O$53,C1163))</f>
        <v>69.6666666666667</v>
      </c>
      <c r="V1163" s="2" t="n">
        <f aca="false">Settings!$B$4*MAX(INDEX(Bases!$P$2:$P$53,B1163),INDEX(Bases!$P$2:$P$53,C1163))+Settings!$B$5*MIN(INDEX(Bases!$P$2:$P$53,B1163),INDEX(Bases!$P$2:$P$53,C1163))</f>
        <v>73</v>
      </c>
      <c r="W1163" s="2" t="n">
        <f aca="false">Settings!$B$4*MAX(INDEX(Bases!$Q$2:$Q$53,B1163),INDEX(Bases!$Q$2:$Q$53,C1163))+Settings!$B$5*MIN(INDEX(Bases!$Q$2:$Q$53,B1163),INDEX(Bases!$Q$2:$Q$53,C1163))</f>
        <v>77.6666666666667</v>
      </c>
      <c r="X1163" s="2" t="n">
        <f aca="false">Settings!$B$4*MAX(INDEX(Bases!$R$2:$R$53,B1163),INDEX(Bases!$R$2:$R$53,C1163))+Settings!$B$5*MIN(INDEX(Bases!$R$2:$R$53,B1163),INDEX(Bases!$R$2:$R$53,C1163))</f>
        <v>63.6666666666667</v>
      </c>
      <c r="Y1163" s="2" t="n">
        <f aca="false">S1163*Settings!$B$3/SUM(S1163:X1163)</f>
        <v>63.5860979462875</v>
      </c>
      <c r="Z1163" s="2" t="n">
        <f aca="false">T1163*Settings!$B$3/SUM(S1163:X1163)</f>
        <v>99.9210110584518</v>
      </c>
      <c r="AA1163" s="2" t="n">
        <f aca="false">U1163*Settings!$B$3/SUM(S1163:X1163)</f>
        <v>82.5434439178515</v>
      </c>
      <c r="AB1163" s="2" t="n">
        <f aca="false">V1163*Settings!$B$3/SUM(S1163:X1163)</f>
        <v>86.4928909952607</v>
      </c>
      <c r="AC1163" s="2" t="n">
        <f aca="false">W1163*Settings!$B$3/SUM(S1163:X1163)</f>
        <v>92.0221169036335</v>
      </c>
      <c r="AD1163" s="2" t="n">
        <f aca="false">X1163*Settings!$B$3/SUM(S1163:X1163)</f>
        <v>75.434439178515</v>
      </c>
      <c r="AE1163" s="2" t="n">
        <f aca="false">INT(Y1163)</f>
        <v>63</v>
      </c>
      <c r="AF1163" s="2" t="n">
        <f aca="false">INT(Z1163)</f>
        <v>99</v>
      </c>
      <c r="AG1163" s="2" t="n">
        <f aca="false">INT(AA1163)</f>
        <v>82</v>
      </c>
      <c r="AH1163" s="2" t="n">
        <f aca="false">INT(AB1163)</f>
        <v>86</v>
      </c>
      <c r="AI1163" s="2" t="n">
        <f aca="false">INT(AC1163)</f>
        <v>92</v>
      </c>
      <c r="AJ1163" s="2" t="n">
        <f aca="false">INT(AD1163)</f>
        <v>75</v>
      </c>
      <c r="AK1163" s="2" t="n">
        <f aca="false">Settings!$B$3-SUM(AE1163:AJ1163)</f>
        <v>3</v>
      </c>
      <c r="AL1163" s="2" t="n">
        <f aca="false">ROUND(Y1163-AE1163,9)</f>
        <v>0.586097946</v>
      </c>
      <c r="AM1163" s="2" t="n">
        <f aca="false">ROUND(Z1163-AF1163,9)</f>
        <v>0.921011058</v>
      </c>
      <c r="AN1163" s="2" t="n">
        <f aca="false">ROUND(AA1163-AG1163,9)</f>
        <v>0.543443918</v>
      </c>
      <c r="AO1163" s="2" t="n">
        <f aca="false">ROUND(AB1163-AH1163,9)</f>
        <v>0.492890995</v>
      </c>
      <c r="AP1163" s="2" t="n">
        <f aca="false">ROUND(AC1163-AI1163,9)</f>
        <v>0.022116904</v>
      </c>
      <c r="AQ1163" s="2" t="n">
        <f aca="false">ROUND(AD1163-AJ1163,9)</f>
        <v>0.434439179</v>
      </c>
    </row>
    <row r="1164" customFormat="false" ht="15" hidden="false" customHeight="false" outlineLevel="0" collapsed="false">
      <c r="A1164" s="2" t="n">
        <v>1163</v>
      </c>
      <c r="B1164" s="6" t="n">
        <v>34</v>
      </c>
      <c r="C1164" s="6" t="n">
        <v>42</v>
      </c>
      <c r="D1164" s="8" t="str">
        <f aca="false">INDEX(Bases!$B$2:$B$53,B1164)</f>
        <v>Paras</v>
      </c>
      <c r="E1164" s="8" t="str">
        <f aca="false">INDEX(Bases!$B$2:$B$53,C1164)</f>
        <v>Sableye</v>
      </c>
      <c r="F1164" s="2" t="str">
        <f aca="false">LEFT(D1164,ROUNDUP(LEN(D1164)/2,0))&amp;LOWER(MID(E1164,ROUNDUP(LEN(E1164)/2,0)+1,20))</f>
        <v>Pareye</v>
      </c>
      <c r="G1164" s="8" t="str">
        <f aca="false">INDEX(Bases!$C$2:$C$53,B1164)</f>
        <v>Bug</v>
      </c>
      <c r="H1164" s="8" t="str">
        <f aca="false">IF(INDEX(Bases!$C$2:$C$53,C1164)=G1164,"",INDEX(Bases!$C$2:$C$53,C1164))</f>
        <v>Ghost</v>
      </c>
      <c r="I1164" s="8" t="str">
        <f aca="false">IF(INDEX(Bases!$E$2:$E$53,B1164)="","",INDEX(Bases!$E$2:$E$53,B1164))</f>
        <v/>
      </c>
      <c r="J1164" s="8" t="str">
        <f aca="false">IF(INDEX(Bases!$E$2:$E$53,C1164)="","",INDEX(Bases!$E$2:$E$53,C1164))</f>
        <v/>
      </c>
      <c r="K1164" s="5"/>
      <c r="L1164" s="2" t="n">
        <f aca="false">AE1164+IF(SUMPRODUCT(--($AL1164:$AQ1164&gt;AL1164))&lt;$AK1164,1,0)</f>
        <v>63</v>
      </c>
      <c r="M1164" s="2" t="n">
        <f aca="false">AF1164+IF(SUMPRODUCT(--($AL1164:$AQ1164&gt;AM1164))+SUMPRODUCT(--($AL1164:AL1164=AM1164))&lt;$AK1164,1,0)</f>
        <v>113</v>
      </c>
      <c r="N1164" s="2" t="n">
        <f aca="false">AG1164+IF(SUMPRODUCT(--($AL1164:$AQ1164&gt;AN1164))+SUMPRODUCT(--($AL1164:AM1164=AN1164))&lt;$AK1164,1,0)</f>
        <v>96</v>
      </c>
      <c r="O1164" s="2" t="n">
        <f aca="false">AH1164+IF(SUMPRODUCT(--($AL1164:$AQ1164&gt;AO1164))+SUMPRODUCT(--($AL1164:AN1164=AO1164))&lt;$AK1164,1,0)</f>
        <v>81</v>
      </c>
      <c r="P1164" s="2" t="n">
        <f aca="false">AI1164+IF(SUMPRODUCT(--($AL1164:$AQ1164&gt;AP1164))+SUMPRODUCT(--($AL1164:AO1164=AP1164))&lt;$AK1164,1,0)</f>
        <v>90</v>
      </c>
      <c r="Q1164" s="2" t="n">
        <f aca="false">AJ1164+IF(SUMPRODUCT(--($AL1164:$AQ1164&gt;AQ1164))+SUMPRODUCT(--($AL1164:AP1164=AQ1164))&lt;$AK1164,1,0)</f>
        <v>57</v>
      </c>
      <c r="R1164" s="2" t="n">
        <f aca="false">SUM(L1164:Q1164)</f>
        <v>500</v>
      </c>
      <c r="S1164" s="2" t="n">
        <f aca="false">Settings!$B$4*MAX(INDEX(Bases!$M$2:$M$53,B1164),INDEX(Bases!$M$2:$M$53,C1164))+Settings!$B$5*MIN(INDEX(Bases!$M$2:$M$53,B1164),INDEX(Bases!$M$2:$M$53,C1164))</f>
        <v>51.6666666666667</v>
      </c>
      <c r="T1164" s="2" t="n">
        <f aca="false">Settings!$B$4*MAX(INDEX(Bases!$N$2:$N$53,B1164),INDEX(Bases!$N$2:$N$53,C1164))+Settings!$B$5*MIN(INDEX(Bases!$N$2:$N$53,B1164),INDEX(Bases!$N$2:$N$53,C1164))</f>
        <v>92.3333333333333</v>
      </c>
      <c r="U1164" s="2" t="n">
        <f aca="false">Settings!$B$4*MAX(INDEX(Bases!$O$2:$O$53,B1164),INDEX(Bases!$O$2:$O$53,C1164))+Settings!$B$5*MIN(INDEX(Bases!$O$2:$O$53,B1164),INDEX(Bases!$O$2:$O$53,C1164))</f>
        <v>78.3333333333333</v>
      </c>
      <c r="V1164" s="2" t="n">
        <f aca="false">Settings!$B$4*MAX(INDEX(Bases!$P$2:$P$53,B1164),INDEX(Bases!$P$2:$P$53,C1164))+Settings!$B$5*MIN(INDEX(Bases!$P$2:$P$53,B1164),INDEX(Bases!$P$2:$P$53,C1164))</f>
        <v>66.3333333333333</v>
      </c>
      <c r="W1164" s="2" t="n">
        <f aca="false">Settings!$B$4*MAX(INDEX(Bases!$Q$2:$Q$53,B1164),INDEX(Bases!$Q$2:$Q$53,C1164))+Settings!$B$5*MIN(INDEX(Bases!$Q$2:$Q$53,B1164),INDEX(Bases!$Q$2:$Q$53,C1164))</f>
        <v>74</v>
      </c>
      <c r="X1164" s="2" t="n">
        <f aca="false">Settings!$B$4*MAX(INDEX(Bases!$R$2:$R$53,B1164),INDEX(Bases!$R$2:$R$53,C1164))+Settings!$B$5*MIN(INDEX(Bases!$R$2:$R$53,B1164),INDEX(Bases!$R$2:$R$53,C1164))</f>
        <v>47</v>
      </c>
      <c r="Y1164" s="2" t="n">
        <f aca="false">S1164*Settings!$B$3/SUM(S1164:X1164)</f>
        <v>63.0593978844589</v>
      </c>
      <c r="Z1164" s="2" t="n">
        <f aca="false">T1164*Settings!$B$3/SUM(S1164:X1164)</f>
        <v>112.693246541904</v>
      </c>
      <c r="AA1164" s="2" t="n">
        <f aca="false">U1164*Settings!$B$3/SUM(S1164:X1164)</f>
        <v>95.6061838893409</v>
      </c>
      <c r="AB1164" s="2" t="n">
        <f aca="false">V1164*Settings!$B$3/SUM(S1164:X1164)</f>
        <v>80.960130187144</v>
      </c>
      <c r="AC1164" s="2" t="n">
        <f aca="false">W1164*Settings!$B$3/SUM(S1164:X1164)</f>
        <v>90.3173311635476</v>
      </c>
      <c r="AD1164" s="2" t="n">
        <f aca="false">X1164*Settings!$B$3/SUM(S1164:X1164)</f>
        <v>57.3637103336046</v>
      </c>
      <c r="AE1164" s="2" t="n">
        <f aca="false">INT(Y1164)</f>
        <v>63</v>
      </c>
      <c r="AF1164" s="2" t="n">
        <f aca="false">INT(Z1164)</f>
        <v>112</v>
      </c>
      <c r="AG1164" s="2" t="n">
        <f aca="false">INT(AA1164)</f>
        <v>95</v>
      </c>
      <c r="AH1164" s="2" t="n">
        <f aca="false">INT(AB1164)</f>
        <v>80</v>
      </c>
      <c r="AI1164" s="2" t="n">
        <f aca="false">INT(AC1164)</f>
        <v>90</v>
      </c>
      <c r="AJ1164" s="2" t="n">
        <f aca="false">INT(AD1164)</f>
        <v>57</v>
      </c>
      <c r="AK1164" s="2" t="n">
        <f aca="false">Settings!$B$3-SUM(AE1164:AJ1164)</f>
        <v>3</v>
      </c>
      <c r="AL1164" s="2" t="n">
        <f aca="false">ROUND(Y1164-AE1164,9)</f>
        <v>0.059397884</v>
      </c>
      <c r="AM1164" s="2" t="n">
        <f aca="false">ROUND(Z1164-AF1164,9)</f>
        <v>0.693246542</v>
      </c>
      <c r="AN1164" s="2" t="n">
        <f aca="false">ROUND(AA1164-AG1164,9)</f>
        <v>0.606183889</v>
      </c>
      <c r="AO1164" s="2" t="n">
        <f aca="false">ROUND(AB1164-AH1164,9)</f>
        <v>0.960130187</v>
      </c>
      <c r="AP1164" s="2" t="n">
        <f aca="false">ROUND(AC1164-AI1164,9)</f>
        <v>0.317331164</v>
      </c>
      <c r="AQ1164" s="2" t="n">
        <f aca="false">ROUND(AD1164-AJ1164,9)</f>
        <v>0.363710334</v>
      </c>
    </row>
    <row r="1165" customFormat="false" ht="15" hidden="false" customHeight="false" outlineLevel="0" collapsed="false">
      <c r="A1165" s="2" t="n">
        <v>1164</v>
      </c>
      <c r="B1165" s="6" t="n">
        <v>34</v>
      </c>
      <c r="C1165" s="6" t="n">
        <v>43</v>
      </c>
      <c r="D1165" s="8" t="str">
        <f aca="false">INDEX(Bases!$B$2:$B$53,B1165)</f>
        <v>Paras</v>
      </c>
      <c r="E1165" s="8" t="str">
        <f aca="false">INDEX(Bases!$B$2:$B$53,C1165)</f>
        <v>Dratini</v>
      </c>
      <c r="F1165" s="2" t="str">
        <f aca="false">LEFT(D1165,ROUNDUP(LEN(D1165)/2,0))&amp;LOWER(MID(E1165,ROUNDUP(LEN(E1165)/2,0)+1,20))</f>
        <v>Parini</v>
      </c>
      <c r="G1165" s="8" t="str">
        <f aca="false">INDEX(Bases!$C$2:$C$53,B1165)</f>
        <v>Bug</v>
      </c>
      <c r="H1165" s="8" t="str">
        <f aca="false">IF(INDEX(Bases!$C$2:$C$53,C1165)=G1165,"",INDEX(Bases!$C$2:$C$53,C1165))</f>
        <v>Dragon</v>
      </c>
      <c r="I1165" s="8" t="str">
        <f aca="false">IF(INDEX(Bases!$E$2:$E$53,B1165)="","",INDEX(Bases!$E$2:$E$53,B1165))</f>
        <v/>
      </c>
      <c r="J1165" s="8" t="str">
        <f aca="false">IF(INDEX(Bases!$E$2:$E$53,C1165)="","",INDEX(Bases!$E$2:$E$53,C1165))</f>
        <v/>
      </c>
      <c r="K1165" s="5"/>
      <c r="L1165" s="2" t="n">
        <f aca="false">AE1165+IF(SUMPRODUCT(--($AL1165:$AQ1165&gt;AL1165))&lt;$AK1165,1,0)</f>
        <v>64</v>
      </c>
      <c r="M1165" s="2" t="n">
        <f aca="false">AF1165+IF(SUMPRODUCT(--($AL1165:$AQ1165&gt;AM1165))+SUMPRODUCT(--($AL1165:AL1165=AM1165))&lt;$AK1165,1,0)</f>
        <v>114</v>
      </c>
      <c r="N1165" s="2" t="n">
        <f aca="false">AG1165+IF(SUMPRODUCT(--($AL1165:$AQ1165&gt;AN1165))+SUMPRODUCT(--($AL1165:AM1165=AN1165))&lt;$AK1165,1,0)</f>
        <v>86</v>
      </c>
      <c r="O1165" s="2" t="n">
        <f aca="false">AH1165+IF(SUMPRODUCT(--($AL1165:$AQ1165&gt;AO1165))+SUMPRODUCT(--($AL1165:AN1165=AO1165))&lt;$AK1165,1,0)</f>
        <v>80</v>
      </c>
      <c r="P1165" s="2" t="n">
        <f aca="false">AI1165+IF(SUMPRODUCT(--($AL1165:$AQ1165&gt;AP1165))+SUMPRODUCT(--($AL1165:AO1165=AP1165))&lt;$AK1165,1,0)</f>
        <v>89</v>
      </c>
      <c r="Q1165" s="2" t="n">
        <f aca="false">AJ1165+IF(SUMPRODUCT(--($AL1165:$AQ1165&gt;AQ1165))+SUMPRODUCT(--($AL1165:AP1165=AQ1165))&lt;$AK1165,1,0)</f>
        <v>67</v>
      </c>
      <c r="R1165" s="2" t="n">
        <f aca="false">SUM(L1165:Q1165)</f>
        <v>500</v>
      </c>
      <c r="S1165" s="2" t="n">
        <f aca="false">Settings!$B$4*MAX(INDEX(Bases!$M$2:$M$53,B1165),INDEX(Bases!$M$2:$M$53,C1165))+Settings!$B$5*MIN(INDEX(Bases!$M$2:$M$53,B1165),INDEX(Bases!$M$2:$M$53,C1165))</f>
        <v>53</v>
      </c>
      <c r="T1165" s="2" t="n">
        <f aca="false">Settings!$B$4*MAX(INDEX(Bases!$N$2:$N$53,B1165),INDEX(Bases!$N$2:$N$53,C1165))+Settings!$B$5*MIN(INDEX(Bases!$N$2:$N$53,B1165),INDEX(Bases!$N$2:$N$53,C1165))</f>
        <v>94.3333333333333</v>
      </c>
      <c r="U1165" s="2" t="n">
        <f aca="false">Settings!$B$4*MAX(INDEX(Bases!$O$2:$O$53,B1165),INDEX(Bases!$O$2:$O$53,C1165))+Settings!$B$5*MIN(INDEX(Bases!$O$2:$O$53,B1165),INDEX(Bases!$O$2:$O$53,C1165))</f>
        <v>71.3333333333333</v>
      </c>
      <c r="V1165" s="2" t="n">
        <f aca="false">Settings!$B$4*MAX(INDEX(Bases!$P$2:$P$53,B1165),INDEX(Bases!$P$2:$P$53,C1165))+Settings!$B$5*MIN(INDEX(Bases!$P$2:$P$53,B1165),INDEX(Bases!$P$2:$P$53,C1165))</f>
        <v>65.6666666666667</v>
      </c>
      <c r="W1165" s="2" t="n">
        <f aca="false">Settings!$B$4*MAX(INDEX(Bases!$Q$2:$Q$53,B1165),INDEX(Bases!$Q$2:$Q$53,C1165))+Settings!$B$5*MIN(INDEX(Bases!$Q$2:$Q$53,B1165),INDEX(Bases!$Q$2:$Q$53,C1165))</f>
        <v>73.6666666666667</v>
      </c>
      <c r="X1165" s="2" t="n">
        <f aca="false">Settings!$B$4*MAX(INDEX(Bases!$R$2:$R$53,B1165),INDEX(Bases!$R$2:$R$53,C1165))+Settings!$B$5*MIN(INDEX(Bases!$R$2:$R$53,B1165),INDEX(Bases!$R$2:$R$53,C1165))</f>
        <v>55.6666666666667</v>
      </c>
      <c r="Y1165" s="2" t="n">
        <f aca="false">S1165*Settings!$B$3/SUM(S1165:X1165)</f>
        <v>64.0612409347301</v>
      </c>
      <c r="Z1165" s="2" t="n">
        <f aca="false">T1165*Settings!$B$3/SUM(S1165:X1165)</f>
        <v>114.020950846092</v>
      </c>
      <c r="AA1165" s="2" t="n">
        <f aca="false">U1165*Settings!$B$3/SUM(S1165:X1165)</f>
        <v>86.2207896857373</v>
      </c>
      <c r="AB1165" s="2" t="n">
        <f aca="false">V1165*Settings!$B$3/SUM(S1165:X1165)</f>
        <v>79.3714746172442</v>
      </c>
      <c r="AC1165" s="2" t="n">
        <f aca="false">W1165*Settings!$B$3/SUM(S1165:X1165)</f>
        <v>89.0410958904109</v>
      </c>
      <c r="AD1165" s="2" t="n">
        <f aca="false">X1165*Settings!$B$3/SUM(S1165:X1165)</f>
        <v>67.2844480257857</v>
      </c>
      <c r="AE1165" s="2" t="n">
        <f aca="false">INT(Y1165)</f>
        <v>64</v>
      </c>
      <c r="AF1165" s="2" t="n">
        <f aca="false">INT(Z1165)</f>
        <v>114</v>
      </c>
      <c r="AG1165" s="2" t="n">
        <f aca="false">INT(AA1165)</f>
        <v>86</v>
      </c>
      <c r="AH1165" s="2" t="n">
        <f aca="false">INT(AB1165)</f>
        <v>79</v>
      </c>
      <c r="AI1165" s="2" t="n">
        <f aca="false">INT(AC1165)</f>
        <v>89</v>
      </c>
      <c r="AJ1165" s="2" t="n">
        <f aca="false">INT(AD1165)</f>
        <v>67</v>
      </c>
      <c r="AK1165" s="2" t="n">
        <f aca="false">Settings!$B$3-SUM(AE1165:AJ1165)</f>
        <v>1</v>
      </c>
      <c r="AL1165" s="2" t="n">
        <f aca="false">ROUND(Y1165-AE1165,9)</f>
        <v>0.061240935</v>
      </c>
      <c r="AM1165" s="2" t="n">
        <f aca="false">ROUND(Z1165-AF1165,9)</f>
        <v>0.020950846</v>
      </c>
      <c r="AN1165" s="2" t="n">
        <f aca="false">ROUND(AA1165-AG1165,9)</f>
        <v>0.220789686</v>
      </c>
      <c r="AO1165" s="2" t="n">
        <f aca="false">ROUND(AB1165-AH1165,9)</f>
        <v>0.371474617</v>
      </c>
      <c r="AP1165" s="2" t="n">
        <f aca="false">ROUND(AC1165-AI1165,9)</f>
        <v>0.04109589</v>
      </c>
      <c r="AQ1165" s="2" t="n">
        <f aca="false">ROUND(AD1165-AJ1165,9)</f>
        <v>0.284448026</v>
      </c>
    </row>
    <row r="1166" customFormat="false" ht="15" hidden="false" customHeight="false" outlineLevel="0" collapsed="false">
      <c r="A1166" s="2" t="n">
        <v>1165</v>
      </c>
      <c r="B1166" s="6" t="n">
        <v>34</v>
      </c>
      <c r="C1166" s="6" t="n">
        <v>44</v>
      </c>
      <c r="D1166" s="8" t="str">
        <f aca="false">INDEX(Bases!$B$2:$B$53,B1166)</f>
        <v>Paras</v>
      </c>
      <c r="E1166" s="8" t="str">
        <f aca="false">INDEX(Bases!$B$2:$B$53,C1166)</f>
        <v>Bagon</v>
      </c>
      <c r="F1166" s="2" t="str">
        <f aca="false">LEFT(D1166,ROUNDUP(LEN(D1166)/2,0))&amp;LOWER(MID(E1166,ROUNDUP(LEN(E1166)/2,0)+1,20))</f>
        <v>Paron</v>
      </c>
      <c r="G1166" s="8" t="str">
        <f aca="false">INDEX(Bases!$C$2:$C$53,B1166)</f>
        <v>Bug</v>
      </c>
      <c r="H1166" s="8" t="str">
        <f aca="false">IF(INDEX(Bases!$C$2:$C$53,C1166)=G1166,"",INDEX(Bases!$C$2:$C$53,C1166))</f>
        <v>Dragon</v>
      </c>
      <c r="I1166" s="8" t="str">
        <f aca="false">IF(INDEX(Bases!$E$2:$E$53,B1166)="","",INDEX(Bases!$E$2:$E$53,B1166))</f>
        <v/>
      </c>
      <c r="J1166" s="8" t="str">
        <f aca="false">IF(INDEX(Bases!$E$2:$E$53,C1166)="","",INDEX(Bases!$E$2:$E$53,C1166))</f>
        <v/>
      </c>
      <c r="K1166" s="5"/>
      <c r="L1166" s="2" t="n">
        <f aca="false">AE1166+IF(SUMPRODUCT(--($AL1166:$AQ1166&gt;AL1166))&lt;$AK1166,1,0)</f>
        <v>68</v>
      </c>
      <c r="M1166" s="2" t="n">
        <f aca="false">AF1166+IF(SUMPRODUCT(--($AL1166:$AQ1166&gt;AM1166))+SUMPRODUCT(--($AL1166:AL1166=AM1166))&lt;$AK1166,1,0)</f>
        <v>120</v>
      </c>
      <c r="N1166" s="2" t="n">
        <f aca="false">AG1166+IF(SUMPRODUCT(--($AL1166:$AQ1166&gt;AN1166))+SUMPRODUCT(--($AL1166:AM1166=AN1166))&lt;$AK1166,1,0)</f>
        <v>95</v>
      </c>
      <c r="O1166" s="2" t="n">
        <f aca="false">AH1166+IF(SUMPRODUCT(--($AL1166:$AQ1166&gt;AO1166))+SUMPRODUCT(--($AL1166:AN1166=AO1166))&lt;$AK1166,1,0)</f>
        <v>72</v>
      </c>
      <c r="P1166" s="2" t="n">
        <f aca="false">AI1166+IF(SUMPRODUCT(--($AL1166:$AQ1166&gt;AP1166))+SUMPRODUCT(--($AL1166:AO1166=AP1166))&lt;$AK1166,1,0)</f>
        <v>78</v>
      </c>
      <c r="Q1166" s="2" t="n">
        <f aca="false">AJ1166+IF(SUMPRODUCT(--($AL1166:$AQ1166&gt;AQ1166))+SUMPRODUCT(--($AL1166:AP1166=AQ1166))&lt;$AK1166,1,0)</f>
        <v>67</v>
      </c>
      <c r="R1166" s="2" t="n">
        <f aca="false">SUM(L1166:Q1166)</f>
        <v>500</v>
      </c>
      <c r="S1166" s="2" t="n">
        <f aca="false">Settings!$B$4*MAX(INDEX(Bases!$M$2:$M$53,B1166),INDEX(Bases!$M$2:$M$53,C1166))+Settings!$B$5*MIN(INDEX(Bases!$M$2:$M$53,B1166),INDEX(Bases!$M$2:$M$53,C1166))</f>
        <v>56.3333333333333</v>
      </c>
      <c r="T1166" s="2" t="n">
        <f aca="false">Settings!$B$4*MAX(INDEX(Bases!$N$2:$N$53,B1166),INDEX(Bases!$N$2:$N$53,C1166))+Settings!$B$5*MIN(INDEX(Bases!$N$2:$N$53,B1166),INDEX(Bases!$N$2:$N$53,C1166))</f>
        <v>99.6666666666667</v>
      </c>
      <c r="U1166" s="2" t="n">
        <f aca="false">Settings!$B$4*MAX(INDEX(Bases!$O$2:$O$53,B1166),INDEX(Bases!$O$2:$O$53,C1166))+Settings!$B$5*MIN(INDEX(Bases!$O$2:$O$53,B1166),INDEX(Bases!$O$2:$O$53,C1166))</f>
        <v>79</v>
      </c>
      <c r="V1166" s="2" t="n">
        <f aca="false">Settings!$B$4*MAX(INDEX(Bases!$P$2:$P$53,B1166),INDEX(Bases!$P$2:$P$53,C1166))+Settings!$B$5*MIN(INDEX(Bases!$P$2:$P$53,B1166),INDEX(Bases!$P$2:$P$53,C1166))</f>
        <v>59.6666666666667</v>
      </c>
      <c r="W1166" s="2" t="n">
        <f aca="false">Settings!$B$4*MAX(INDEX(Bases!$Q$2:$Q$53,B1166),INDEX(Bases!$Q$2:$Q$53,C1166))+Settings!$B$5*MIN(INDEX(Bases!$Q$2:$Q$53,B1166),INDEX(Bases!$Q$2:$Q$53,C1166))</f>
        <v>64.6666666666667</v>
      </c>
      <c r="X1166" s="2" t="n">
        <f aca="false">Settings!$B$4*MAX(INDEX(Bases!$R$2:$R$53,B1166),INDEX(Bases!$R$2:$R$53,C1166))+Settings!$B$5*MIN(INDEX(Bases!$R$2:$R$53,B1166),INDEX(Bases!$R$2:$R$53,C1166))</f>
        <v>56.3333333333333</v>
      </c>
      <c r="Y1166" s="2" t="n">
        <f aca="false">S1166*Settings!$B$3/SUM(S1166:X1166)</f>
        <v>67.7626303127506</v>
      </c>
      <c r="Z1166" s="2" t="n">
        <f aca="false">T1166*Settings!$B$3/SUM(S1166:X1166)</f>
        <v>119.887730553328</v>
      </c>
      <c r="AA1166" s="2" t="n">
        <f aca="false">U1166*Settings!$B$3/SUM(S1166:X1166)</f>
        <v>95.028067361668</v>
      </c>
      <c r="AB1166" s="2" t="n">
        <f aca="false">V1166*Settings!$B$3/SUM(S1166:X1166)</f>
        <v>71.7722534081796</v>
      </c>
      <c r="AC1166" s="2" t="n">
        <f aca="false">W1166*Settings!$B$3/SUM(S1166:X1166)</f>
        <v>77.7866880513232</v>
      </c>
      <c r="AD1166" s="2" t="n">
        <f aca="false">X1166*Settings!$B$3/SUM(S1166:X1166)</f>
        <v>67.7626303127506</v>
      </c>
      <c r="AE1166" s="2" t="n">
        <f aca="false">INT(Y1166)</f>
        <v>67</v>
      </c>
      <c r="AF1166" s="2" t="n">
        <f aca="false">INT(Z1166)</f>
        <v>119</v>
      </c>
      <c r="AG1166" s="2" t="n">
        <f aca="false">INT(AA1166)</f>
        <v>95</v>
      </c>
      <c r="AH1166" s="2" t="n">
        <f aca="false">INT(AB1166)</f>
        <v>71</v>
      </c>
      <c r="AI1166" s="2" t="n">
        <f aca="false">INT(AC1166)</f>
        <v>77</v>
      </c>
      <c r="AJ1166" s="2" t="n">
        <f aca="false">INT(AD1166)</f>
        <v>67</v>
      </c>
      <c r="AK1166" s="2" t="n">
        <f aca="false">Settings!$B$3-SUM(AE1166:AJ1166)</f>
        <v>4</v>
      </c>
      <c r="AL1166" s="2" t="n">
        <f aca="false">ROUND(Y1166-AE1166,9)</f>
        <v>0.762630313</v>
      </c>
      <c r="AM1166" s="2" t="n">
        <f aca="false">ROUND(Z1166-AF1166,9)</f>
        <v>0.887730553</v>
      </c>
      <c r="AN1166" s="2" t="n">
        <f aca="false">ROUND(AA1166-AG1166,9)</f>
        <v>0.028067362</v>
      </c>
      <c r="AO1166" s="2" t="n">
        <f aca="false">ROUND(AB1166-AH1166,9)</f>
        <v>0.772253408</v>
      </c>
      <c r="AP1166" s="2" t="n">
        <f aca="false">ROUND(AC1166-AI1166,9)</f>
        <v>0.786688051</v>
      </c>
      <c r="AQ1166" s="2" t="n">
        <f aca="false">ROUND(AD1166-AJ1166,9)</f>
        <v>0.762630313</v>
      </c>
    </row>
    <row r="1167" customFormat="false" ht="15" hidden="false" customHeight="false" outlineLevel="0" collapsed="false">
      <c r="A1167" s="2" t="n">
        <v>1166</v>
      </c>
      <c r="B1167" s="6" t="n">
        <v>34</v>
      </c>
      <c r="C1167" s="6" t="n">
        <v>45</v>
      </c>
      <c r="D1167" s="8" t="str">
        <f aca="false">INDEX(Bases!$B$2:$B$53,B1167)</f>
        <v>Paras</v>
      </c>
      <c r="E1167" s="8" t="str">
        <f aca="false">INDEX(Bases!$B$2:$B$53,C1167)</f>
        <v>Sneasel</v>
      </c>
      <c r="F1167" s="2" t="str">
        <f aca="false">LEFT(D1167,ROUNDUP(LEN(D1167)/2,0))&amp;LOWER(MID(E1167,ROUNDUP(LEN(E1167)/2,0)+1,20))</f>
        <v>Parsel</v>
      </c>
      <c r="G1167" s="8" t="str">
        <f aca="false">INDEX(Bases!$C$2:$C$53,B1167)</f>
        <v>Bug</v>
      </c>
      <c r="H1167" s="8" t="str">
        <f aca="false">IF(INDEX(Bases!$C$2:$C$53,C1167)=G1167,"",INDEX(Bases!$C$2:$C$53,C1167))</f>
        <v>Dark</v>
      </c>
      <c r="I1167" s="8" t="str">
        <f aca="false">IF(INDEX(Bases!$E$2:$E$53,B1167)="","",INDEX(Bases!$E$2:$E$53,B1167))</f>
        <v/>
      </c>
      <c r="J1167" s="8" t="str">
        <f aca="false">IF(INDEX(Bases!$E$2:$E$53,C1167)="","",INDEX(Bases!$E$2:$E$53,C1167))</f>
        <v/>
      </c>
      <c r="K1167" s="5"/>
      <c r="L1167" s="2" t="n">
        <f aca="false">AE1167+IF(SUMPRODUCT(--($AL1167:$AQ1167&gt;AL1167))&lt;$AK1167,1,0)</f>
        <v>59</v>
      </c>
      <c r="M1167" s="2" t="n">
        <f aca="false">AF1167+IF(SUMPRODUCT(--($AL1167:$AQ1167&gt;AM1167))+SUMPRODUCT(--($AL1167:AL1167=AM1167))&lt;$AK1167,1,0)</f>
        <v>112</v>
      </c>
      <c r="N1167" s="2" t="n">
        <f aca="false">AG1167+IF(SUMPRODUCT(--($AL1167:$AQ1167&gt;AN1167))+SUMPRODUCT(--($AL1167:AM1167=AN1167))&lt;$AK1167,1,0)</f>
        <v>81</v>
      </c>
      <c r="O1167" s="2" t="n">
        <f aca="false">AH1167+IF(SUMPRODUCT(--($AL1167:$AQ1167&gt;AO1167))+SUMPRODUCT(--($AL1167:AN1167=AO1167))&lt;$AK1167,1,0)</f>
        <v>62</v>
      </c>
      <c r="P1167" s="2" t="n">
        <f aca="false">AI1167+IF(SUMPRODUCT(--($AL1167:$AQ1167&gt;AP1167))+SUMPRODUCT(--($AL1167:AO1167=AP1167))&lt;$AK1167,1,0)</f>
        <v>88</v>
      </c>
      <c r="Q1167" s="2" t="n">
        <f aca="false">AJ1167+IF(SUMPRODUCT(--($AL1167:$AQ1167&gt;AQ1167))+SUMPRODUCT(--($AL1167:AP1167=AQ1167))&lt;$AK1167,1,0)</f>
        <v>98</v>
      </c>
      <c r="R1167" s="2" t="n">
        <f aca="false">SUM(L1167:Q1167)</f>
        <v>500</v>
      </c>
      <c r="S1167" s="2" t="n">
        <f aca="false">Settings!$B$4*MAX(INDEX(Bases!$M$2:$M$53,B1167),INDEX(Bases!$M$2:$M$53,C1167))+Settings!$B$5*MIN(INDEX(Bases!$M$2:$M$53,B1167),INDEX(Bases!$M$2:$M$53,C1167))</f>
        <v>50.3333333333333</v>
      </c>
      <c r="T1167" s="2" t="n">
        <f aca="false">Settings!$B$4*MAX(INDEX(Bases!$N$2:$N$53,B1167),INDEX(Bases!$N$2:$N$53,C1167))+Settings!$B$5*MIN(INDEX(Bases!$N$2:$N$53,B1167),INDEX(Bases!$N$2:$N$53,C1167))</f>
        <v>95.3333333333333</v>
      </c>
      <c r="U1167" s="2" t="n">
        <f aca="false">Settings!$B$4*MAX(INDEX(Bases!$O$2:$O$53,B1167),INDEX(Bases!$O$2:$O$53,C1167))+Settings!$B$5*MIN(INDEX(Bases!$O$2:$O$53,B1167),INDEX(Bases!$O$2:$O$53,C1167))</f>
        <v>68.3333333333333</v>
      </c>
      <c r="V1167" s="2" t="n">
        <f aca="false">Settings!$B$4*MAX(INDEX(Bases!$P$2:$P$53,B1167),INDEX(Bases!$P$2:$P$53,C1167))+Settings!$B$5*MIN(INDEX(Bases!$P$2:$P$53,B1167),INDEX(Bases!$P$2:$P$53,C1167))</f>
        <v>53</v>
      </c>
      <c r="W1167" s="2" t="n">
        <f aca="false">Settings!$B$4*MAX(INDEX(Bases!$Q$2:$Q$53,B1167),INDEX(Bases!$Q$2:$Q$53,C1167))+Settings!$B$5*MIN(INDEX(Bases!$Q$2:$Q$53,B1167),INDEX(Bases!$Q$2:$Q$53,C1167))</f>
        <v>74.6666666666667</v>
      </c>
      <c r="X1167" s="2" t="n">
        <f aca="false">Settings!$B$4*MAX(INDEX(Bases!$R$2:$R$53,B1167),INDEX(Bases!$R$2:$R$53,C1167))+Settings!$B$5*MIN(INDEX(Bases!$R$2:$R$53,B1167),INDEX(Bases!$R$2:$R$53,C1167))</f>
        <v>83</v>
      </c>
      <c r="Y1167" s="2" t="n">
        <f aca="false">S1167*Settings!$B$3/SUM(S1167:X1167)</f>
        <v>59.2621664050236</v>
      </c>
      <c r="Z1167" s="2" t="n">
        <f aca="false">T1167*Settings!$B$3/SUM(S1167:X1167)</f>
        <v>112.244897959184</v>
      </c>
      <c r="AA1167" s="2" t="n">
        <f aca="false">U1167*Settings!$B$3/SUM(S1167:X1167)</f>
        <v>80.4552590266876</v>
      </c>
      <c r="AB1167" s="2" t="n">
        <f aca="false">V1167*Settings!$B$3/SUM(S1167:X1167)</f>
        <v>62.4018838304553</v>
      </c>
      <c r="AC1167" s="2" t="n">
        <f aca="false">W1167*Settings!$B$3/SUM(S1167:X1167)</f>
        <v>87.9120879120879</v>
      </c>
      <c r="AD1167" s="2" t="n">
        <f aca="false">X1167*Settings!$B$3/SUM(S1167:X1167)</f>
        <v>97.723704866562</v>
      </c>
      <c r="AE1167" s="2" t="n">
        <f aca="false">INT(Y1167)</f>
        <v>59</v>
      </c>
      <c r="AF1167" s="2" t="n">
        <f aca="false">INT(Z1167)</f>
        <v>112</v>
      </c>
      <c r="AG1167" s="2" t="n">
        <f aca="false">INT(AA1167)</f>
        <v>80</v>
      </c>
      <c r="AH1167" s="2" t="n">
        <f aca="false">INT(AB1167)</f>
        <v>62</v>
      </c>
      <c r="AI1167" s="2" t="n">
        <f aca="false">INT(AC1167)</f>
        <v>87</v>
      </c>
      <c r="AJ1167" s="2" t="n">
        <f aca="false">INT(AD1167)</f>
        <v>97</v>
      </c>
      <c r="AK1167" s="2" t="n">
        <f aca="false">Settings!$B$3-SUM(AE1167:AJ1167)</f>
        <v>3</v>
      </c>
      <c r="AL1167" s="2" t="n">
        <f aca="false">ROUND(Y1167-AE1167,9)</f>
        <v>0.262166405</v>
      </c>
      <c r="AM1167" s="2" t="n">
        <f aca="false">ROUND(Z1167-AF1167,9)</f>
        <v>0.244897959</v>
      </c>
      <c r="AN1167" s="2" t="n">
        <f aca="false">ROUND(AA1167-AG1167,9)</f>
        <v>0.455259027</v>
      </c>
      <c r="AO1167" s="2" t="n">
        <f aca="false">ROUND(AB1167-AH1167,9)</f>
        <v>0.40188383</v>
      </c>
      <c r="AP1167" s="2" t="n">
        <f aca="false">ROUND(AC1167-AI1167,9)</f>
        <v>0.912087912</v>
      </c>
      <c r="AQ1167" s="2" t="n">
        <f aca="false">ROUND(AD1167-AJ1167,9)</f>
        <v>0.723704867</v>
      </c>
    </row>
    <row r="1168" customFormat="false" ht="15" hidden="false" customHeight="false" outlineLevel="0" collapsed="false">
      <c r="A1168" s="2" t="n">
        <v>1167</v>
      </c>
      <c r="B1168" s="6" t="n">
        <v>34</v>
      </c>
      <c r="C1168" s="6" t="n">
        <v>46</v>
      </c>
      <c r="D1168" s="8" t="str">
        <f aca="false">INDEX(Bases!$B$2:$B$53,B1168)</f>
        <v>Paras</v>
      </c>
      <c r="E1168" s="8" t="str">
        <f aca="false">INDEX(Bases!$B$2:$B$53,C1168)</f>
        <v>Houndour</v>
      </c>
      <c r="F1168" s="2" t="str">
        <f aca="false">LEFT(D1168,ROUNDUP(LEN(D1168)/2,0))&amp;LOWER(MID(E1168,ROUNDUP(LEN(E1168)/2,0)+1,20))</f>
        <v>Pardour</v>
      </c>
      <c r="G1168" s="8" t="str">
        <f aca="false">INDEX(Bases!$C$2:$C$53,B1168)</f>
        <v>Bug</v>
      </c>
      <c r="H1168" s="8" t="str">
        <f aca="false">IF(INDEX(Bases!$C$2:$C$53,C1168)=G1168,"",INDEX(Bases!$C$2:$C$53,C1168))</f>
        <v>Dark</v>
      </c>
      <c r="I1168" s="8" t="str">
        <f aca="false">IF(INDEX(Bases!$E$2:$E$53,B1168)="","",INDEX(Bases!$E$2:$E$53,B1168))</f>
        <v/>
      </c>
      <c r="J1168" s="8" t="str">
        <f aca="false">IF(INDEX(Bases!$E$2:$E$53,C1168)="","",INDEX(Bases!$E$2:$E$53,C1168))</f>
        <v/>
      </c>
      <c r="K1168" s="5"/>
      <c r="L1168" s="2" t="n">
        <f aca="false">AE1168+IF(SUMPRODUCT(--($AL1168:$AQ1168&gt;AL1168))&lt;$AK1168,1,0)</f>
        <v>61</v>
      </c>
      <c r="M1168" s="2" t="n">
        <f aca="false">AF1168+IF(SUMPRODUCT(--($AL1168:$AQ1168&gt;AM1168))+SUMPRODUCT(--($AL1168:AL1168=AM1168))&lt;$AK1168,1,0)</f>
        <v>106</v>
      </c>
      <c r="N1168" s="2" t="n">
        <f aca="false">AG1168+IF(SUMPRODUCT(--($AL1168:$AQ1168&gt;AN1168))+SUMPRODUCT(--($AL1168:AM1168=AN1168))&lt;$AK1168,1,0)</f>
        <v>74</v>
      </c>
      <c r="O1168" s="2" t="n">
        <f aca="false">AH1168+IF(SUMPRODUCT(--($AL1168:$AQ1168&gt;AO1168))+SUMPRODUCT(--($AL1168:AN1168=AO1168))&lt;$AK1168,1,0)</f>
        <v>100</v>
      </c>
      <c r="P1168" s="2" t="n">
        <f aca="false">AI1168+IF(SUMPRODUCT(--($AL1168:$AQ1168&gt;AP1168))+SUMPRODUCT(--($AL1168:AO1168=AP1168))&lt;$AK1168,1,0)</f>
        <v>84</v>
      </c>
      <c r="Q1168" s="2" t="n">
        <f aca="false">AJ1168+IF(SUMPRODUCT(--($AL1168:$AQ1168&gt;AQ1168))+SUMPRODUCT(--($AL1168:AP1168=AQ1168))&lt;$AK1168,1,0)</f>
        <v>75</v>
      </c>
      <c r="R1168" s="2" t="n">
        <f aca="false">SUM(L1168:Q1168)</f>
        <v>500</v>
      </c>
      <c r="S1168" s="2" t="n">
        <f aca="false">Settings!$B$4*MAX(INDEX(Bases!$M$2:$M$53,B1168),INDEX(Bases!$M$2:$M$53,C1168))+Settings!$B$5*MIN(INDEX(Bases!$M$2:$M$53,B1168),INDEX(Bases!$M$2:$M$53,C1168))</f>
        <v>52.3333333333333</v>
      </c>
      <c r="T1168" s="2" t="n">
        <f aca="false">Settings!$B$4*MAX(INDEX(Bases!$N$2:$N$53,B1168),INDEX(Bases!$N$2:$N$53,C1168))+Settings!$B$5*MIN(INDEX(Bases!$N$2:$N$53,B1168),INDEX(Bases!$N$2:$N$53,C1168))</f>
        <v>90.3333333333333</v>
      </c>
      <c r="U1168" s="2" t="n">
        <f aca="false">Settings!$B$4*MAX(INDEX(Bases!$O$2:$O$53,B1168),INDEX(Bases!$O$2:$O$53,C1168))+Settings!$B$5*MIN(INDEX(Bases!$O$2:$O$53,B1168),INDEX(Bases!$O$2:$O$53,C1168))</f>
        <v>63.3333333333333</v>
      </c>
      <c r="V1168" s="2" t="n">
        <f aca="false">Settings!$B$4*MAX(INDEX(Bases!$P$2:$P$53,B1168),INDEX(Bases!$P$2:$P$53,C1168))+Settings!$B$5*MIN(INDEX(Bases!$P$2:$P$53,B1168),INDEX(Bases!$P$2:$P$53,C1168))</f>
        <v>85.6666666666667</v>
      </c>
      <c r="W1168" s="2" t="n">
        <f aca="false">Settings!$B$4*MAX(INDEX(Bases!$Q$2:$Q$53,B1168),INDEX(Bases!$Q$2:$Q$53,C1168))+Settings!$B$5*MIN(INDEX(Bases!$Q$2:$Q$53,B1168),INDEX(Bases!$Q$2:$Q$53,C1168))</f>
        <v>71.6666666666667</v>
      </c>
      <c r="X1168" s="2" t="n">
        <f aca="false">Settings!$B$4*MAX(INDEX(Bases!$R$2:$R$53,B1168),INDEX(Bases!$R$2:$R$53,C1168))+Settings!$B$5*MIN(INDEX(Bases!$R$2:$R$53,B1168),INDEX(Bases!$R$2:$R$53,C1168))</f>
        <v>64.3333333333333</v>
      </c>
      <c r="Y1168" s="2" t="n">
        <f aca="false">S1168*Settings!$B$3/SUM(S1168:X1168)</f>
        <v>61.1847233047545</v>
      </c>
      <c r="Z1168" s="2" t="n">
        <f aca="false">T1168*Settings!$B$3/SUM(S1168:X1168)</f>
        <v>105.611847233048</v>
      </c>
      <c r="AA1168" s="2" t="n">
        <f aca="false">U1168*Settings!$B$3/SUM(S1168:X1168)</f>
        <v>74.0452065471551</v>
      </c>
      <c r="AB1168" s="2" t="n">
        <f aca="false">V1168*Settings!$B$3/SUM(S1168:X1168)</f>
        <v>100.155884645362</v>
      </c>
      <c r="AC1168" s="2" t="n">
        <f aca="false">W1168*Settings!$B$3/SUM(S1168:X1168)</f>
        <v>83.7879968823071</v>
      </c>
      <c r="AD1168" s="2" t="n">
        <f aca="false">X1168*Settings!$B$3/SUM(S1168:X1168)</f>
        <v>75.2143413873733</v>
      </c>
      <c r="AE1168" s="2" t="n">
        <f aca="false">INT(Y1168)</f>
        <v>61</v>
      </c>
      <c r="AF1168" s="2" t="n">
        <f aca="false">INT(Z1168)</f>
        <v>105</v>
      </c>
      <c r="AG1168" s="2" t="n">
        <f aca="false">INT(AA1168)</f>
        <v>74</v>
      </c>
      <c r="AH1168" s="2" t="n">
        <f aca="false">INT(AB1168)</f>
        <v>100</v>
      </c>
      <c r="AI1168" s="2" t="n">
        <f aca="false">INT(AC1168)</f>
        <v>83</v>
      </c>
      <c r="AJ1168" s="2" t="n">
        <f aca="false">INT(AD1168)</f>
        <v>75</v>
      </c>
      <c r="AK1168" s="2" t="n">
        <f aca="false">Settings!$B$3-SUM(AE1168:AJ1168)</f>
        <v>2</v>
      </c>
      <c r="AL1168" s="2" t="n">
        <f aca="false">ROUND(Y1168-AE1168,9)</f>
        <v>0.184723305</v>
      </c>
      <c r="AM1168" s="2" t="n">
        <f aca="false">ROUND(Z1168-AF1168,9)</f>
        <v>0.611847233</v>
      </c>
      <c r="AN1168" s="2" t="n">
        <f aca="false">ROUND(AA1168-AG1168,9)</f>
        <v>0.045206547</v>
      </c>
      <c r="AO1168" s="2" t="n">
        <f aca="false">ROUND(AB1168-AH1168,9)</f>
        <v>0.155884645</v>
      </c>
      <c r="AP1168" s="2" t="n">
        <f aca="false">ROUND(AC1168-AI1168,9)</f>
        <v>0.787996882</v>
      </c>
      <c r="AQ1168" s="2" t="n">
        <f aca="false">ROUND(AD1168-AJ1168,9)</f>
        <v>0.214341387</v>
      </c>
    </row>
    <row r="1169" customFormat="false" ht="15" hidden="false" customHeight="false" outlineLevel="0" collapsed="false">
      <c r="A1169" s="2" t="n">
        <v>1168</v>
      </c>
      <c r="B1169" s="6" t="n">
        <v>34</v>
      </c>
      <c r="C1169" s="6" t="n">
        <v>47</v>
      </c>
      <c r="D1169" s="8" t="str">
        <f aca="false">INDEX(Bases!$B$2:$B$53,B1169)</f>
        <v>Paras</v>
      </c>
      <c r="E1169" s="8" t="str">
        <f aca="false">INDEX(Bases!$B$2:$B$53,C1169)</f>
        <v>Carvanha</v>
      </c>
      <c r="F1169" s="2" t="str">
        <f aca="false">LEFT(D1169,ROUNDUP(LEN(D1169)/2,0))&amp;LOWER(MID(E1169,ROUNDUP(LEN(E1169)/2,0)+1,20))</f>
        <v>Paranha</v>
      </c>
      <c r="G1169" s="8" t="str">
        <f aca="false">INDEX(Bases!$C$2:$C$53,B1169)</f>
        <v>Bug</v>
      </c>
      <c r="H1169" s="8" t="str">
        <f aca="false">IF(INDEX(Bases!$C$2:$C$53,C1169)=G1169,"",INDEX(Bases!$C$2:$C$53,C1169))</f>
        <v>Dark</v>
      </c>
      <c r="I1169" s="8" t="str">
        <f aca="false">IF(INDEX(Bases!$E$2:$E$53,B1169)="","",INDEX(Bases!$E$2:$E$53,B1169))</f>
        <v/>
      </c>
      <c r="J1169" s="8" t="str">
        <f aca="false">IF(INDEX(Bases!$E$2:$E$53,C1169)="","",INDEX(Bases!$E$2:$E$53,C1169))</f>
        <v/>
      </c>
      <c r="K1169" s="5"/>
      <c r="L1169" s="2" t="n">
        <f aca="false">AE1169+IF(SUMPRODUCT(--($AL1169:$AQ1169&gt;AL1169))&lt;$AK1169,1,0)</f>
        <v>64</v>
      </c>
      <c r="M1169" s="2" t="n">
        <f aca="false">AF1169+IF(SUMPRODUCT(--($AL1169:$AQ1169&gt;AM1169))+SUMPRODUCT(--($AL1169:AL1169=AM1169))&lt;$AK1169,1,0)</f>
        <v>129</v>
      </c>
      <c r="N1169" s="2" t="n">
        <f aca="false">AG1169+IF(SUMPRODUCT(--($AL1169:$AQ1169&gt;AN1169))+SUMPRODUCT(--($AL1169:AM1169=AN1169))&lt;$AK1169,1,0)</f>
        <v>69</v>
      </c>
      <c r="O1169" s="2" t="n">
        <f aca="false">AH1169+IF(SUMPRODUCT(--($AL1169:$AQ1169&gt;AO1169))+SUMPRODUCT(--($AL1169:AN1169=AO1169))&lt;$AK1169,1,0)</f>
        <v>90</v>
      </c>
      <c r="P1169" s="2" t="n">
        <f aca="false">AI1169+IF(SUMPRODUCT(--($AL1169:$AQ1169&gt;AP1169))+SUMPRODUCT(--($AL1169:AO1169=AP1169))&lt;$AK1169,1,0)</f>
        <v>69</v>
      </c>
      <c r="Q1169" s="2" t="n">
        <f aca="false">AJ1169+IF(SUMPRODUCT(--($AL1169:$AQ1169&gt;AQ1169))+SUMPRODUCT(--($AL1169:AP1169=AQ1169))&lt;$AK1169,1,0)</f>
        <v>79</v>
      </c>
      <c r="R1169" s="2" t="n">
        <f aca="false">SUM(L1169:Q1169)</f>
        <v>500</v>
      </c>
      <c r="S1169" s="2" t="n">
        <f aca="false">Settings!$B$4*MAX(INDEX(Bases!$M$2:$M$53,B1169),INDEX(Bases!$M$2:$M$53,C1169))+Settings!$B$5*MIN(INDEX(Bases!$M$2:$M$53,B1169),INDEX(Bases!$M$2:$M$53,C1169))</f>
        <v>55.6666666666667</v>
      </c>
      <c r="T1169" s="2" t="n">
        <f aca="false">Settings!$B$4*MAX(INDEX(Bases!$N$2:$N$53,B1169),INDEX(Bases!$N$2:$N$53,C1169))+Settings!$B$5*MIN(INDEX(Bases!$N$2:$N$53,B1169),INDEX(Bases!$N$2:$N$53,C1169))</f>
        <v>111.666666666667</v>
      </c>
      <c r="U1169" s="2" t="n">
        <f aca="false">Settings!$B$4*MAX(INDEX(Bases!$O$2:$O$53,B1169),INDEX(Bases!$O$2:$O$53,C1169))+Settings!$B$5*MIN(INDEX(Bases!$O$2:$O$53,B1169),INDEX(Bases!$O$2:$O$53,C1169))</f>
        <v>60</v>
      </c>
      <c r="V1169" s="2" t="n">
        <f aca="false">Settings!$B$4*MAX(INDEX(Bases!$P$2:$P$53,B1169),INDEX(Bases!$P$2:$P$53,C1169))+Settings!$B$5*MIN(INDEX(Bases!$P$2:$P$53,B1169),INDEX(Bases!$P$2:$P$53,C1169))</f>
        <v>78.3333333333333</v>
      </c>
      <c r="W1169" s="2" t="n">
        <f aca="false">Settings!$B$4*MAX(INDEX(Bases!$Q$2:$Q$53,B1169),INDEX(Bases!$Q$2:$Q$53,C1169))+Settings!$B$5*MIN(INDEX(Bases!$Q$2:$Q$53,B1169),INDEX(Bases!$Q$2:$Q$53,C1169))</f>
        <v>60</v>
      </c>
      <c r="X1169" s="2" t="n">
        <f aca="false">Settings!$B$4*MAX(INDEX(Bases!$R$2:$R$53,B1169),INDEX(Bases!$R$2:$R$53,C1169))+Settings!$B$5*MIN(INDEX(Bases!$R$2:$R$53,B1169),INDEX(Bases!$R$2:$R$53,C1169))</f>
        <v>68.3333333333333</v>
      </c>
      <c r="Y1169" s="2" t="n">
        <f aca="false">S1169*Settings!$B$3/SUM(S1169:X1169)</f>
        <v>64.1321044546851</v>
      </c>
      <c r="Z1169" s="2" t="n">
        <f aca="false">T1169*Settings!$B$3/SUM(S1169:X1169)</f>
        <v>128.648233486943</v>
      </c>
      <c r="AA1169" s="2" t="n">
        <f aca="false">U1169*Settings!$B$3/SUM(S1169:X1169)</f>
        <v>69.1244239631337</v>
      </c>
      <c r="AB1169" s="2" t="n">
        <f aca="false">V1169*Settings!$B$3/SUM(S1169:X1169)</f>
        <v>90.2457757296467</v>
      </c>
      <c r="AC1169" s="2" t="n">
        <f aca="false">W1169*Settings!$B$3/SUM(S1169:X1169)</f>
        <v>69.1244239631337</v>
      </c>
      <c r="AD1169" s="2" t="n">
        <f aca="false">X1169*Settings!$B$3/SUM(S1169:X1169)</f>
        <v>78.7250384024578</v>
      </c>
      <c r="AE1169" s="2" t="n">
        <f aca="false">INT(Y1169)</f>
        <v>64</v>
      </c>
      <c r="AF1169" s="2" t="n">
        <f aca="false">INT(Z1169)</f>
        <v>128</v>
      </c>
      <c r="AG1169" s="2" t="n">
        <f aca="false">INT(AA1169)</f>
        <v>69</v>
      </c>
      <c r="AH1169" s="2" t="n">
        <f aca="false">INT(AB1169)</f>
        <v>90</v>
      </c>
      <c r="AI1169" s="2" t="n">
        <f aca="false">INT(AC1169)</f>
        <v>69</v>
      </c>
      <c r="AJ1169" s="2" t="n">
        <f aca="false">INT(AD1169)</f>
        <v>78</v>
      </c>
      <c r="AK1169" s="2" t="n">
        <f aca="false">Settings!$B$3-SUM(AE1169:AJ1169)</f>
        <v>2</v>
      </c>
      <c r="AL1169" s="2" t="n">
        <f aca="false">ROUND(Y1169-AE1169,9)</f>
        <v>0.132104455</v>
      </c>
      <c r="AM1169" s="2" t="n">
        <f aca="false">ROUND(Z1169-AF1169,9)</f>
        <v>0.648233487</v>
      </c>
      <c r="AN1169" s="2" t="n">
        <f aca="false">ROUND(AA1169-AG1169,9)</f>
        <v>0.124423963</v>
      </c>
      <c r="AO1169" s="2" t="n">
        <f aca="false">ROUND(AB1169-AH1169,9)</f>
        <v>0.24577573</v>
      </c>
      <c r="AP1169" s="2" t="n">
        <f aca="false">ROUND(AC1169-AI1169,9)</f>
        <v>0.124423963</v>
      </c>
      <c r="AQ1169" s="2" t="n">
        <f aca="false">ROUND(AD1169-AJ1169,9)</f>
        <v>0.725038402</v>
      </c>
    </row>
    <row r="1170" customFormat="false" ht="15" hidden="false" customHeight="false" outlineLevel="0" collapsed="false">
      <c r="A1170" s="2" t="n">
        <v>1169</v>
      </c>
      <c r="B1170" s="6" t="n">
        <v>34</v>
      </c>
      <c r="C1170" s="6" t="n">
        <v>48</v>
      </c>
      <c r="D1170" s="8" t="str">
        <f aca="false">INDEX(Bases!$B$2:$B$53,B1170)</f>
        <v>Paras</v>
      </c>
      <c r="E1170" s="8" t="str">
        <f aca="false">INDEX(Bases!$B$2:$B$53,C1170)</f>
        <v>Magnemite</v>
      </c>
      <c r="F1170" s="2" t="str">
        <f aca="false">LEFT(D1170,ROUNDUP(LEN(D1170)/2,0))&amp;LOWER(MID(E1170,ROUNDUP(LEN(E1170)/2,0)+1,20))</f>
        <v>Parmite</v>
      </c>
      <c r="G1170" s="8" t="str">
        <f aca="false">INDEX(Bases!$C$2:$C$53,B1170)</f>
        <v>Bug</v>
      </c>
      <c r="H1170" s="8" t="str">
        <f aca="false">IF(INDEX(Bases!$C$2:$C$53,C1170)=G1170,"",INDEX(Bases!$C$2:$C$53,C1170))</f>
        <v>Steel</v>
      </c>
      <c r="I1170" s="8" t="str">
        <f aca="false">IF(INDEX(Bases!$E$2:$E$53,B1170)="","",INDEX(Bases!$E$2:$E$53,B1170))</f>
        <v/>
      </c>
      <c r="J1170" s="8" t="str">
        <f aca="false">IF(INDEX(Bases!$E$2:$E$53,C1170)="","",INDEX(Bases!$E$2:$E$53,C1170))</f>
        <v/>
      </c>
      <c r="K1170" s="5"/>
      <c r="L1170" s="2" t="n">
        <f aca="false">AE1170+IF(SUMPRODUCT(--($AL1170:$AQ1170&gt;AL1170))&lt;$AK1170,1,0)</f>
        <v>50</v>
      </c>
      <c r="M1170" s="2" t="n">
        <f aca="false">AF1170+IF(SUMPRODUCT(--($AL1170:$AQ1170&gt;AM1170))+SUMPRODUCT(--($AL1170:AL1170=AM1170))&lt;$AK1170,1,0)</f>
        <v>94</v>
      </c>
      <c r="N1170" s="2" t="n">
        <f aca="false">AG1170+IF(SUMPRODUCT(--($AL1170:$AQ1170&gt;AN1170))+SUMPRODUCT(--($AL1170:AM1170=AN1170))&lt;$AK1170,1,0)</f>
        <v>97</v>
      </c>
      <c r="O1170" s="2" t="n">
        <f aca="false">AH1170+IF(SUMPRODUCT(--($AL1170:$AQ1170&gt;AO1170))+SUMPRODUCT(--($AL1170:AN1170=AO1170))&lt;$AK1170,1,0)</f>
        <v>116</v>
      </c>
      <c r="P1170" s="2" t="n">
        <f aca="false">AI1170+IF(SUMPRODUCT(--($AL1170:$AQ1170&gt;AP1170))+SUMPRODUCT(--($AL1170:AO1170=AP1170))&lt;$AK1170,1,0)</f>
        <v>87</v>
      </c>
      <c r="Q1170" s="2" t="n">
        <f aca="false">AJ1170+IF(SUMPRODUCT(--($AL1170:$AQ1170&gt;AQ1170))+SUMPRODUCT(--($AL1170:AP1170=AQ1170))&lt;$AK1170,1,0)</f>
        <v>56</v>
      </c>
      <c r="R1170" s="2" t="n">
        <f aca="false">SUM(L1170:Q1170)</f>
        <v>500</v>
      </c>
      <c r="S1170" s="2" t="n">
        <f aca="false">Settings!$B$4*MAX(INDEX(Bases!$M$2:$M$53,B1170),INDEX(Bases!$M$2:$M$53,C1170))+Settings!$B$5*MIN(INDEX(Bases!$M$2:$M$53,B1170),INDEX(Bases!$M$2:$M$53,C1170))</f>
        <v>43</v>
      </c>
      <c r="T1170" s="2" t="n">
        <f aca="false">Settings!$B$4*MAX(INDEX(Bases!$N$2:$N$53,B1170),INDEX(Bases!$N$2:$N$53,C1170))+Settings!$B$5*MIN(INDEX(Bases!$N$2:$N$53,B1170),INDEX(Bases!$N$2:$N$53,C1170))</f>
        <v>80.3333333333333</v>
      </c>
      <c r="U1170" s="2" t="n">
        <f aca="false">Settings!$B$4*MAX(INDEX(Bases!$O$2:$O$53,B1170),INDEX(Bases!$O$2:$O$53,C1170))+Settings!$B$5*MIN(INDEX(Bases!$O$2:$O$53,B1170),INDEX(Bases!$O$2:$O$53,C1170))</f>
        <v>83</v>
      </c>
      <c r="V1170" s="2" t="n">
        <f aca="false">Settings!$B$4*MAX(INDEX(Bases!$P$2:$P$53,B1170),INDEX(Bases!$P$2:$P$53,C1170))+Settings!$B$5*MIN(INDEX(Bases!$P$2:$P$53,B1170),INDEX(Bases!$P$2:$P$53,C1170))</f>
        <v>99</v>
      </c>
      <c r="W1170" s="2" t="n">
        <f aca="false">Settings!$B$4*MAX(INDEX(Bases!$Q$2:$Q$53,B1170),INDEX(Bases!$Q$2:$Q$53,C1170))+Settings!$B$5*MIN(INDEX(Bases!$Q$2:$Q$53,B1170),INDEX(Bases!$Q$2:$Q$53,C1170))</f>
        <v>74</v>
      </c>
      <c r="X1170" s="2" t="n">
        <f aca="false">Settings!$B$4*MAX(INDEX(Bases!$R$2:$R$53,B1170),INDEX(Bases!$R$2:$R$53,C1170))+Settings!$B$5*MIN(INDEX(Bases!$R$2:$R$53,B1170),INDEX(Bases!$R$2:$R$53,C1170))</f>
        <v>48.3333333333333</v>
      </c>
      <c r="Y1170" s="2" t="n">
        <f aca="false">S1170*Settings!$B$3/SUM(S1170:X1170)</f>
        <v>50.2727981293843</v>
      </c>
      <c r="Z1170" s="2" t="n">
        <f aca="false">T1170*Settings!$B$3/SUM(S1170:X1170)</f>
        <v>93.9204988308652</v>
      </c>
      <c r="AA1170" s="2" t="n">
        <f aca="false">U1170*Settings!$B$3/SUM(S1170:X1170)</f>
        <v>97.0381917381138</v>
      </c>
      <c r="AB1170" s="2" t="n">
        <f aca="false">V1170*Settings!$B$3/SUM(S1170:X1170)</f>
        <v>115.744349181606</v>
      </c>
      <c r="AC1170" s="2" t="n">
        <f aca="false">W1170*Settings!$B$3/SUM(S1170:X1170)</f>
        <v>86.5159781761496</v>
      </c>
      <c r="AD1170" s="2" t="n">
        <f aca="false">X1170*Settings!$B$3/SUM(S1170:X1170)</f>
        <v>56.5081839438815</v>
      </c>
      <c r="AE1170" s="2" t="n">
        <f aca="false">INT(Y1170)</f>
        <v>50</v>
      </c>
      <c r="AF1170" s="2" t="n">
        <f aca="false">INT(Z1170)</f>
        <v>93</v>
      </c>
      <c r="AG1170" s="2" t="n">
        <f aca="false">INT(AA1170)</f>
        <v>97</v>
      </c>
      <c r="AH1170" s="2" t="n">
        <f aca="false">INT(AB1170)</f>
        <v>115</v>
      </c>
      <c r="AI1170" s="2" t="n">
        <f aca="false">INT(AC1170)</f>
        <v>86</v>
      </c>
      <c r="AJ1170" s="2" t="n">
        <f aca="false">INT(AD1170)</f>
        <v>56</v>
      </c>
      <c r="AK1170" s="2" t="n">
        <f aca="false">Settings!$B$3-SUM(AE1170:AJ1170)</f>
        <v>3</v>
      </c>
      <c r="AL1170" s="2" t="n">
        <f aca="false">ROUND(Y1170-AE1170,9)</f>
        <v>0.272798129</v>
      </c>
      <c r="AM1170" s="2" t="n">
        <f aca="false">ROUND(Z1170-AF1170,9)</f>
        <v>0.920498831</v>
      </c>
      <c r="AN1170" s="2" t="n">
        <f aca="false">ROUND(AA1170-AG1170,9)</f>
        <v>0.038191738</v>
      </c>
      <c r="AO1170" s="2" t="n">
        <f aca="false">ROUND(AB1170-AH1170,9)</f>
        <v>0.744349182</v>
      </c>
      <c r="AP1170" s="2" t="n">
        <f aca="false">ROUND(AC1170-AI1170,9)</f>
        <v>0.515978176</v>
      </c>
      <c r="AQ1170" s="2" t="n">
        <f aca="false">ROUND(AD1170-AJ1170,9)</f>
        <v>0.508183944</v>
      </c>
    </row>
    <row r="1171" customFormat="false" ht="15" hidden="false" customHeight="false" outlineLevel="0" collapsed="false">
      <c r="A1171" s="2" t="n">
        <v>1170</v>
      </c>
      <c r="B1171" s="6" t="n">
        <v>34</v>
      </c>
      <c r="C1171" s="6" t="n">
        <v>49</v>
      </c>
      <c r="D1171" s="8" t="str">
        <f aca="false">INDEX(Bases!$B$2:$B$53,B1171)</f>
        <v>Paras</v>
      </c>
      <c r="E1171" s="8" t="str">
        <f aca="false">INDEX(Bases!$B$2:$B$53,C1171)</f>
        <v>Aron</v>
      </c>
      <c r="F1171" s="2" t="str">
        <f aca="false">LEFT(D1171,ROUNDUP(LEN(D1171)/2,0))&amp;LOWER(MID(E1171,ROUNDUP(LEN(E1171)/2,0)+1,20))</f>
        <v>Paron</v>
      </c>
      <c r="G1171" s="8" t="str">
        <f aca="false">INDEX(Bases!$C$2:$C$53,B1171)</f>
        <v>Bug</v>
      </c>
      <c r="H1171" s="8" t="str">
        <f aca="false">IF(INDEX(Bases!$C$2:$C$53,C1171)=G1171,"",INDEX(Bases!$C$2:$C$53,C1171))</f>
        <v>Steel</v>
      </c>
      <c r="I1171" s="8" t="str">
        <f aca="false">IF(INDEX(Bases!$E$2:$E$53,B1171)="","",INDEX(Bases!$E$2:$E$53,B1171))</f>
        <v/>
      </c>
      <c r="J1171" s="8" t="str">
        <f aca="false">IF(INDEX(Bases!$E$2:$E$53,C1171)="","",INDEX(Bases!$E$2:$E$53,C1171))</f>
        <v/>
      </c>
      <c r="K1171" s="5"/>
      <c r="L1171" s="2" t="n">
        <f aca="false">AE1171+IF(SUMPRODUCT(--($AL1171:$AQ1171&gt;AL1171))&lt;$AK1171,1,0)</f>
        <v>68</v>
      </c>
      <c r="M1171" s="2" t="n">
        <f aca="false">AF1171+IF(SUMPRODUCT(--($AL1171:$AQ1171&gt;AM1171))+SUMPRODUCT(--($AL1171:AL1171=AM1171))&lt;$AK1171,1,0)</f>
        <v>113</v>
      </c>
      <c r="N1171" s="2" t="n">
        <f aca="false">AG1171+IF(SUMPRODUCT(--($AL1171:$AQ1171&gt;AN1171))+SUMPRODUCT(--($AL1171:AM1171=AN1171))&lt;$AK1171,1,0)</f>
        <v>127</v>
      </c>
      <c r="O1171" s="2" t="n">
        <f aca="false">AH1171+IF(SUMPRODUCT(--($AL1171:$AQ1171&gt;AO1171))+SUMPRODUCT(--($AL1171:AN1171=AO1171))&lt;$AK1171,1,0)</f>
        <v>70</v>
      </c>
      <c r="P1171" s="2" t="n">
        <f aca="false">AI1171+IF(SUMPRODUCT(--($AL1171:$AQ1171&gt;AP1171))+SUMPRODUCT(--($AL1171:AO1171=AP1171))&lt;$AK1171,1,0)</f>
        <v>80</v>
      </c>
      <c r="Q1171" s="2" t="n">
        <f aca="false">AJ1171+IF(SUMPRODUCT(--($AL1171:$AQ1171&gt;AQ1171))+SUMPRODUCT(--($AL1171:AP1171=AQ1171))&lt;$AK1171,1,0)</f>
        <v>42</v>
      </c>
      <c r="R1171" s="2" t="n">
        <f aca="false">SUM(L1171:Q1171)</f>
        <v>500</v>
      </c>
      <c r="S1171" s="2" t="n">
        <f aca="false">Settings!$B$4*MAX(INDEX(Bases!$M$2:$M$53,B1171),INDEX(Bases!$M$2:$M$53,C1171))+Settings!$B$5*MIN(INDEX(Bases!$M$2:$M$53,B1171),INDEX(Bases!$M$2:$M$53,C1171))</f>
        <v>57</v>
      </c>
      <c r="T1171" s="2" t="n">
        <f aca="false">Settings!$B$4*MAX(INDEX(Bases!$N$2:$N$53,B1171),INDEX(Bases!$N$2:$N$53,C1171))+Settings!$B$5*MIN(INDEX(Bases!$N$2:$N$53,B1171),INDEX(Bases!$N$2:$N$53,C1171))</f>
        <v>94.3333333333333</v>
      </c>
      <c r="U1171" s="2" t="n">
        <f aca="false">Settings!$B$4*MAX(INDEX(Bases!$O$2:$O$53,B1171),INDEX(Bases!$O$2:$O$53,C1171))+Settings!$B$5*MIN(INDEX(Bases!$O$2:$O$53,B1171),INDEX(Bases!$O$2:$O$53,C1171))</f>
        <v>106.333333333333</v>
      </c>
      <c r="V1171" s="2" t="n">
        <f aca="false">Settings!$B$4*MAX(INDEX(Bases!$P$2:$P$53,B1171),INDEX(Bases!$P$2:$P$53,C1171))+Settings!$B$5*MIN(INDEX(Bases!$P$2:$P$53,B1171),INDEX(Bases!$P$2:$P$53,C1171))</f>
        <v>58.3333333333333</v>
      </c>
      <c r="W1171" s="2" t="n">
        <f aca="false">Settings!$B$4*MAX(INDEX(Bases!$Q$2:$Q$53,B1171),INDEX(Bases!$Q$2:$Q$53,C1171))+Settings!$B$5*MIN(INDEX(Bases!$Q$2:$Q$53,B1171),INDEX(Bases!$Q$2:$Q$53,C1171))</f>
        <v>67.3333333333333</v>
      </c>
      <c r="X1171" s="2" t="n">
        <f aca="false">Settings!$B$4*MAX(INDEX(Bases!$R$2:$R$53,B1171),INDEX(Bases!$R$2:$R$53,C1171))+Settings!$B$5*MIN(INDEX(Bases!$R$2:$R$53,B1171),INDEX(Bases!$R$2:$R$53,C1171))</f>
        <v>35.6666666666667</v>
      </c>
      <c r="Y1171" s="2" t="n">
        <f aca="false">S1171*Settings!$B$3/SUM(S1171:X1171)</f>
        <v>68.019093078759</v>
      </c>
      <c r="Z1171" s="2" t="n">
        <f aca="false">T1171*Settings!$B$3/SUM(S1171:X1171)</f>
        <v>112.569610182975</v>
      </c>
      <c r="AA1171" s="2" t="n">
        <f aca="false">U1171*Settings!$B$3/SUM(S1171:X1171)</f>
        <v>126.889419252188</v>
      </c>
      <c r="AB1171" s="2" t="n">
        <f aca="false">V1171*Settings!$B$3/SUM(S1171:X1171)</f>
        <v>69.6101829753381</v>
      </c>
      <c r="AC1171" s="2" t="n">
        <f aca="false">W1171*Settings!$B$3/SUM(S1171:X1171)</f>
        <v>80.3500397772474</v>
      </c>
      <c r="AD1171" s="2" t="n">
        <f aca="false">X1171*Settings!$B$3/SUM(S1171:X1171)</f>
        <v>42.5616547334924</v>
      </c>
      <c r="AE1171" s="2" t="n">
        <f aca="false">INT(Y1171)</f>
        <v>68</v>
      </c>
      <c r="AF1171" s="2" t="n">
        <f aca="false">INT(Z1171)</f>
        <v>112</v>
      </c>
      <c r="AG1171" s="2" t="n">
        <f aca="false">INT(AA1171)</f>
        <v>126</v>
      </c>
      <c r="AH1171" s="2" t="n">
        <f aca="false">INT(AB1171)</f>
        <v>69</v>
      </c>
      <c r="AI1171" s="2" t="n">
        <f aca="false">INT(AC1171)</f>
        <v>80</v>
      </c>
      <c r="AJ1171" s="2" t="n">
        <f aca="false">INT(AD1171)</f>
        <v>42</v>
      </c>
      <c r="AK1171" s="2" t="n">
        <f aca="false">Settings!$B$3-SUM(AE1171:AJ1171)</f>
        <v>3</v>
      </c>
      <c r="AL1171" s="2" t="n">
        <f aca="false">ROUND(Y1171-AE1171,9)</f>
        <v>0.019093079</v>
      </c>
      <c r="AM1171" s="2" t="n">
        <f aca="false">ROUND(Z1171-AF1171,9)</f>
        <v>0.569610183</v>
      </c>
      <c r="AN1171" s="2" t="n">
        <f aca="false">ROUND(AA1171-AG1171,9)</f>
        <v>0.889419252</v>
      </c>
      <c r="AO1171" s="2" t="n">
        <f aca="false">ROUND(AB1171-AH1171,9)</f>
        <v>0.610182975</v>
      </c>
      <c r="AP1171" s="2" t="n">
        <f aca="false">ROUND(AC1171-AI1171,9)</f>
        <v>0.350039777</v>
      </c>
      <c r="AQ1171" s="2" t="n">
        <f aca="false">ROUND(AD1171-AJ1171,9)</f>
        <v>0.561654733</v>
      </c>
    </row>
    <row r="1172" customFormat="false" ht="15" hidden="false" customHeight="false" outlineLevel="0" collapsed="false">
      <c r="A1172" s="2" t="n">
        <v>1171</v>
      </c>
      <c r="B1172" s="6" t="n">
        <v>34</v>
      </c>
      <c r="C1172" s="6" t="n">
        <v>50</v>
      </c>
      <c r="D1172" s="8" t="str">
        <f aca="false">INDEX(Bases!$B$2:$B$53,B1172)</f>
        <v>Paras</v>
      </c>
      <c r="E1172" s="8" t="str">
        <f aca="false">INDEX(Bases!$B$2:$B$53,C1172)</f>
        <v>Beldum</v>
      </c>
      <c r="F1172" s="2" t="str">
        <f aca="false">LEFT(D1172,ROUNDUP(LEN(D1172)/2,0))&amp;LOWER(MID(E1172,ROUNDUP(LEN(E1172)/2,0)+1,20))</f>
        <v>Pardum</v>
      </c>
      <c r="G1172" s="8" t="str">
        <f aca="false">INDEX(Bases!$C$2:$C$53,B1172)</f>
        <v>Bug</v>
      </c>
      <c r="H1172" s="8" t="str">
        <f aca="false">IF(INDEX(Bases!$C$2:$C$53,C1172)=G1172,"",INDEX(Bases!$C$2:$C$53,C1172))</f>
        <v>Steel</v>
      </c>
      <c r="I1172" s="8" t="str">
        <f aca="false">IF(INDEX(Bases!$E$2:$E$53,B1172)="","",INDEX(Bases!$E$2:$E$53,B1172))</f>
        <v/>
      </c>
      <c r="J1172" s="8" t="str">
        <f aca="false">IF(INDEX(Bases!$E$2:$E$53,C1172)="","",INDEX(Bases!$E$2:$E$53,C1172))</f>
        <v/>
      </c>
      <c r="K1172" s="5"/>
      <c r="L1172" s="2" t="n">
        <f aca="false">AE1172+IF(SUMPRODUCT(--($AL1172:$AQ1172&gt;AL1172))&lt;$AK1172,1,0)</f>
        <v>62</v>
      </c>
      <c r="M1172" s="2" t="n">
        <f aca="false">AF1172+IF(SUMPRODUCT(--($AL1172:$AQ1172&gt;AM1172))+SUMPRODUCT(--($AL1172:AL1172=AM1172))&lt;$AK1172,1,0)</f>
        <v>109</v>
      </c>
      <c r="N1172" s="2" t="n">
        <f aca="false">AG1172+IF(SUMPRODUCT(--($AL1172:$AQ1172&gt;AN1172))+SUMPRODUCT(--($AL1172:AM1172=AN1172))&lt;$AK1172,1,0)</f>
        <v>117</v>
      </c>
      <c r="O1172" s="2" t="n">
        <f aca="false">AH1172+IF(SUMPRODUCT(--($AL1172:$AQ1172&gt;AO1172))+SUMPRODUCT(--($AL1172:AN1172=AO1172))&lt;$AK1172,1,0)</f>
        <v>70</v>
      </c>
      <c r="P1172" s="2" t="n">
        <f aca="false">AI1172+IF(SUMPRODUCT(--($AL1172:$AQ1172&gt;AP1172))+SUMPRODUCT(--($AL1172:AO1172=AP1172))&lt;$AK1172,1,0)</f>
        <v>96</v>
      </c>
      <c r="Q1172" s="2" t="n">
        <f aca="false">AJ1172+IF(SUMPRODUCT(--($AL1172:$AQ1172&gt;AQ1172))+SUMPRODUCT(--($AL1172:AP1172=AQ1172))&lt;$AK1172,1,0)</f>
        <v>46</v>
      </c>
      <c r="R1172" s="2" t="n">
        <f aca="false">SUM(L1172:Q1172)</f>
        <v>500</v>
      </c>
      <c r="S1172" s="2" t="n">
        <f aca="false">Settings!$B$4*MAX(INDEX(Bases!$M$2:$M$53,B1172),INDEX(Bases!$M$2:$M$53,C1172))+Settings!$B$5*MIN(INDEX(Bases!$M$2:$M$53,B1172),INDEX(Bases!$M$2:$M$53,C1172))</f>
        <v>51.6666666666667</v>
      </c>
      <c r="T1172" s="2" t="n">
        <f aca="false">Settings!$B$4*MAX(INDEX(Bases!$N$2:$N$53,B1172),INDEX(Bases!$N$2:$N$53,C1172))+Settings!$B$5*MIN(INDEX(Bases!$N$2:$N$53,B1172),INDEX(Bases!$N$2:$N$53,C1172))</f>
        <v>90.3333333333333</v>
      </c>
      <c r="U1172" s="2" t="n">
        <f aca="false">Settings!$B$4*MAX(INDEX(Bases!$O$2:$O$53,B1172),INDEX(Bases!$O$2:$O$53,C1172))+Settings!$B$5*MIN(INDEX(Bases!$O$2:$O$53,B1172),INDEX(Bases!$O$2:$O$53,C1172))</f>
        <v>97</v>
      </c>
      <c r="V1172" s="2" t="n">
        <f aca="false">Settings!$B$4*MAX(INDEX(Bases!$P$2:$P$53,B1172),INDEX(Bases!$P$2:$P$53,C1172))+Settings!$B$5*MIN(INDEX(Bases!$P$2:$P$53,B1172),INDEX(Bases!$P$2:$P$53,C1172))</f>
        <v>57.6666666666667</v>
      </c>
      <c r="W1172" s="2" t="n">
        <f aca="false">Settings!$B$4*MAX(INDEX(Bases!$Q$2:$Q$53,B1172),INDEX(Bases!$Q$2:$Q$53,C1172))+Settings!$B$5*MIN(INDEX(Bases!$Q$2:$Q$53,B1172),INDEX(Bases!$Q$2:$Q$53,C1172))</f>
        <v>79</v>
      </c>
      <c r="X1172" s="2" t="n">
        <f aca="false">Settings!$B$4*MAX(INDEX(Bases!$R$2:$R$53,B1172),INDEX(Bases!$R$2:$R$53,C1172))+Settings!$B$5*MIN(INDEX(Bases!$R$2:$R$53,B1172),INDEX(Bases!$R$2:$R$53,C1172))</f>
        <v>38.3333333333333</v>
      </c>
      <c r="Y1172" s="2" t="n">
        <f aca="false">S1172*Settings!$B$3/SUM(S1172:X1172)</f>
        <v>62.3993558776167</v>
      </c>
      <c r="Z1172" s="2" t="n">
        <f aca="false">T1172*Settings!$B$3/SUM(S1172:X1172)</f>
        <v>109.098228663446</v>
      </c>
      <c r="AA1172" s="2" t="n">
        <f aca="false">U1172*Settings!$B$3/SUM(S1172:X1172)</f>
        <v>117.149758454106</v>
      </c>
      <c r="AB1172" s="2" t="n">
        <f aca="false">V1172*Settings!$B$3/SUM(S1172:X1172)</f>
        <v>69.645732689211</v>
      </c>
      <c r="AC1172" s="2" t="n">
        <f aca="false">W1172*Settings!$B$3/SUM(S1172:X1172)</f>
        <v>95.4106280193237</v>
      </c>
      <c r="AD1172" s="2" t="n">
        <f aca="false">X1172*Settings!$B$3/SUM(S1172:X1172)</f>
        <v>46.2962962962963</v>
      </c>
      <c r="AE1172" s="2" t="n">
        <f aca="false">INT(Y1172)</f>
        <v>62</v>
      </c>
      <c r="AF1172" s="2" t="n">
        <f aca="false">INT(Z1172)</f>
        <v>109</v>
      </c>
      <c r="AG1172" s="2" t="n">
        <f aca="false">INT(AA1172)</f>
        <v>117</v>
      </c>
      <c r="AH1172" s="2" t="n">
        <f aca="false">INT(AB1172)</f>
        <v>69</v>
      </c>
      <c r="AI1172" s="2" t="n">
        <f aca="false">INT(AC1172)</f>
        <v>95</v>
      </c>
      <c r="AJ1172" s="2" t="n">
        <f aca="false">INT(AD1172)</f>
        <v>46</v>
      </c>
      <c r="AK1172" s="2" t="n">
        <f aca="false">Settings!$B$3-SUM(AE1172:AJ1172)</f>
        <v>2</v>
      </c>
      <c r="AL1172" s="2" t="n">
        <f aca="false">ROUND(Y1172-AE1172,9)</f>
        <v>0.399355878</v>
      </c>
      <c r="AM1172" s="2" t="n">
        <f aca="false">ROUND(Z1172-AF1172,9)</f>
        <v>0.098228663</v>
      </c>
      <c r="AN1172" s="2" t="n">
        <f aca="false">ROUND(AA1172-AG1172,9)</f>
        <v>0.149758454</v>
      </c>
      <c r="AO1172" s="2" t="n">
        <f aca="false">ROUND(AB1172-AH1172,9)</f>
        <v>0.645732689</v>
      </c>
      <c r="AP1172" s="2" t="n">
        <f aca="false">ROUND(AC1172-AI1172,9)</f>
        <v>0.410628019</v>
      </c>
      <c r="AQ1172" s="2" t="n">
        <f aca="false">ROUND(AD1172-AJ1172,9)</f>
        <v>0.296296296</v>
      </c>
    </row>
    <row r="1173" customFormat="false" ht="15" hidden="false" customHeight="false" outlineLevel="0" collapsed="false">
      <c r="A1173" s="2" t="n">
        <v>1172</v>
      </c>
      <c r="B1173" s="6" t="n">
        <v>34</v>
      </c>
      <c r="C1173" s="6" t="n">
        <v>51</v>
      </c>
      <c r="D1173" s="8" t="str">
        <f aca="false">INDEX(Bases!$B$2:$B$53,B1173)</f>
        <v>Paras</v>
      </c>
      <c r="E1173" s="8" t="str">
        <f aca="false">INDEX(Bases!$B$2:$B$53,C1173)</f>
        <v>Cleffa</v>
      </c>
      <c r="F1173" s="2" t="str">
        <f aca="false">LEFT(D1173,ROUNDUP(LEN(D1173)/2,0))&amp;LOWER(MID(E1173,ROUNDUP(LEN(E1173)/2,0)+1,20))</f>
        <v>Parffa</v>
      </c>
      <c r="G1173" s="8" t="str">
        <f aca="false">INDEX(Bases!$C$2:$C$53,B1173)</f>
        <v>Bug</v>
      </c>
      <c r="H1173" s="8" t="str">
        <f aca="false">IF(INDEX(Bases!$C$2:$C$53,C1173)=G1173,"",INDEX(Bases!$C$2:$C$53,C1173))</f>
        <v>Fairy</v>
      </c>
      <c r="I1173" s="8" t="str">
        <f aca="false">IF(INDEX(Bases!$E$2:$E$53,B1173)="","",INDEX(Bases!$E$2:$E$53,B1173))</f>
        <v/>
      </c>
      <c r="J1173" s="8" t="str">
        <f aca="false">IF(INDEX(Bases!$E$2:$E$53,C1173)="","",INDEX(Bases!$E$2:$E$53,C1173))</f>
        <v/>
      </c>
      <c r="K1173" s="5"/>
      <c r="L1173" s="2" t="n">
        <f aca="false">AE1173+IF(SUMPRODUCT(--($AL1173:$AQ1173&gt;AL1173))&lt;$AK1173,1,0)</f>
        <v>90</v>
      </c>
      <c r="M1173" s="2" t="n">
        <f aca="false">AF1173+IF(SUMPRODUCT(--($AL1173:$AQ1173&gt;AM1173))+SUMPRODUCT(--($AL1173:AL1173=AM1173))&lt;$AK1173,1,0)</f>
        <v>95</v>
      </c>
      <c r="N1173" s="2" t="n">
        <f aca="false">AG1173+IF(SUMPRODUCT(--($AL1173:$AQ1173&gt;AN1173))+SUMPRODUCT(--($AL1173:AM1173=AN1173))&lt;$AK1173,1,0)</f>
        <v>80</v>
      </c>
      <c r="O1173" s="2" t="n">
        <f aca="false">AH1173+IF(SUMPRODUCT(--($AL1173:$AQ1173&gt;AO1173))+SUMPRODUCT(--($AL1173:AN1173=AO1173))&lt;$AK1173,1,0)</f>
        <v>89</v>
      </c>
      <c r="P1173" s="2" t="n">
        <f aca="false">AI1173+IF(SUMPRODUCT(--($AL1173:$AQ1173&gt;AP1173))+SUMPRODUCT(--($AL1173:AO1173=AP1173))&lt;$AK1173,1,0)</f>
        <v>108</v>
      </c>
      <c r="Q1173" s="2" t="n">
        <f aca="false">AJ1173+IF(SUMPRODUCT(--($AL1173:$AQ1173&gt;AQ1173))+SUMPRODUCT(--($AL1173:AP1173=AQ1173))&lt;$AK1173,1,0)</f>
        <v>38</v>
      </c>
      <c r="R1173" s="2" t="n">
        <f aca="false">SUM(L1173:Q1173)</f>
        <v>500</v>
      </c>
      <c r="S1173" s="2" t="n">
        <f aca="false">Settings!$B$4*MAX(INDEX(Bases!$M$2:$M$53,B1173),INDEX(Bases!$M$2:$M$53,C1173))+Settings!$B$5*MIN(INDEX(Bases!$M$2:$M$53,B1173),INDEX(Bases!$M$2:$M$53,C1173))</f>
        <v>77.6666666666667</v>
      </c>
      <c r="T1173" s="2" t="n">
        <f aca="false">Settings!$B$4*MAX(INDEX(Bases!$N$2:$N$53,B1173),INDEX(Bases!$N$2:$N$53,C1173))+Settings!$B$5*MIN(INDEX(Bases!$N$2:$N$53,B1173),INDEX(Bases!$N$2:$N$53,C1173))</f>
        <v>81.3333333333333</v>
      </c>
      <c r="U1173" s="2" t="n">
        <f aca="false">Settings!$B$4*MAX(INDEX(Bases!$O$2:$O$53,B1173),INDEX(Bases!$O$2:$O$53,C1173))+Settings!$B$5*MIN(INDEX(Bases!$O$2:$O$53,B1173),INDEX(Bases!$O$2:$O$53,C1173))</f>
        <v>68.3333333333333</v>
      </c>
      <c r="V1173" s="2" t="n">
        <f aca="false">Settings!$B$4*MAX(INDEX(Bases!$P$2:$P$53,B1173),INDEX(Bases!$P$2:$P$53,C1173))+Settings!$B$5*MIN(INDEX(Bases!$P$2:$P$53,B1173),INDEX(Bases!$P$2:$P$53,C1173))</f>
        <v>76.3333333333333</v>
      </c>
      <c r="W1173" s="2" t="n">
        <f aca="false">Settings!$B$4*MAX(INDEX(Bases!$Q$2:$Q$53,B1173),INDEX(Bases!$Q$2:$Q$53,C1173))+Settings!$B$5*MIN(INDEX(Bases!$Q$2:$Q$53,B1173),INDEX(Bases!$Q$2:$Q$53,C1173))</f>
        <v>93</v>
      </c>
      <c r="X1173" s="2" t="n">
        <f aca="false">Settings!$B$4*MAX(INDEX(Bases!$R$2:$R$53,B1173),INDEX(Bases!$R$2:$R$53,C1173))+Settings!$B$5*MIN(INDEX(Bases!$R$2:$R$53,B1173),INDEX(Bases!$R$2:$R$53,C1173))</f>
        <v>32.3333333333333</v>
      </c>
      <c r="Y1173" s="2" t="n">
        <f aca="false">S1173*Settings!$B$3/SUM(S1173:X1173)</f>
        <v>90.5205905205905</v>
      </c>
      <c r="Z1173" s="2" t="n">
        <f aca="false">T1173*Settings!$B$3/SUM(S1173:X1173)</f>
        <v>94.7940947940948</v>
      </c>
      <c r="AA1173" s="2" t="n">
        <f aca="false">U1173*Settings!$B$3/SUM(S1173:X1173)</f>
        <v>79.6425796425797</v>
      </c>
      <c r="AB1173" s="2" t="n">
        <f aca="false">V1173*Settings!$B$3/SUM(S1173:X1173)</f>
        <v>88.966588966589</v>
      </c>
      <c r="AC1173" s="2" t="n">
        <f aca="false">W1173*Settings!$B$3/SUM(S1173:X1173)</f>
        <v>108.391608391608</v>
      </c>
      <c r="AD1173" s="2" t="n">
        <f aca="false">X1173*Settings!$B$3/SUM(S1173:X1173)</f>
        <v>37.6845376845377</v>
      </c>
      <c r="AE1173" s="2" t="n">
        <f aca="false">INT(Y1173)</f>
        <v>90</v>
      </c>
      <c r="AF1173" s="2" t="n">
        <f aca="false">INT(Z1173)</f>
        <v>94</v>
      </c>
      <c r="AG1173" s="2" t="n">
        <f aca="false">INT(AA1173)</f>
        <v>79</v>
      </c>
      <c r="AH1173" s="2" t="n">
        <f aca="false">INT(AB1173)</f>
        <v>88</v>
      </c>
      <c r="AI1173" s="2" t="n">
        <f aca="false">INT(AC1173)</f>
        <v>108</v>
      </c>
      <c r="AJ1173" s="2" t="n">
        <f aca="false">INT(AD1173)</f>
        <v>37</v>
      </c>
      <c r="AK1173" s="2" t="n">
        <f aca="false">Settings!$B$3-SUM(AE1173:AJ1173)</f>
        <v>4</v>
      </c>
      <c r="AL1173" s="2" t="n">
        <f aca="false">ROUND(Y1173-AE1173,9)</f>
        <v>0.520590521</v>
      </c>
      <c r="AM1173" s="2" t="n">
        <f aca="false">ROUND(Z1173-AF1173,9)</f>
        <v>0.794094794</v>
      </c>
      <c r="AN1173" s="2" t="n">
        <f aca="false">ROUND(AA1173-AG1173,9)</f>
        <v>0.642579643</v>
      </c>
      <c r="AO1173" s="2" t="n">
        <f aca="false">ROUND(AB1173-AH1173,9)</f>
        <v>0.966588967</v>
      </c>
      <c r="AP1173" s="2" t="n">
        <f aca="false">ROUND(AC1173-AI1173,9)</f>
        <v>0.391608392</v>
      </c>
      <c r="AQ1173" s="2" t="n">
        <f aca="false">ROUND(AD1173-AJ1173,9)</f>
        <v>0.684537685</v>
      </c>
    </row>
    <row r="1174" customFormat="false" ht="15" hidden="false" customHeight="false" outlineLevel="0" collapsed="false">
      <c r="A1174" s="2" t="n">
        <v>1173</v>
      </c>
      <c r="B1174" s="6" t="n">
        <v>34</v>
      </c>
      <c r="C1174" s="6" t="n">
        <v>52</v>
      </c>
      <c r="D1174" s="8" t="str">
        <f aca="false">INDEX(Bases!$B$2:$B$53,B1174)</f>
        <v>Paras</v>
      </c>
      <c r="E1174" s="8" t="str">
        <f aca="false">INDEX(Bases!$B$2:$B$53,C1174)</f>
        <v>Togepi</v>
      </c>
      <c r="F1174" s="2" t="str">
        <f aca="false">LEFT(D1174,ROUNDUP(LEN(D1174)/2,0))&amp;LOWER(MID(E1174,ROUNDUP(LEN(E1174)/2,0)+1,20))</f>
        <v>Parepi</v>
      </c>
      <c r="G1174" s="8" t="str">
        <f aca="false">INDEX(Bases!$C$2:$C$53,B1174)</f>
        <v>Bug</v>
      </c>
      <c r="H1174" s="8" t="str">
        <f aca="false">IF(INDEX(Bases!$C$2:$C$53,C1174)=G1174,"",INDEX(Bases!$C$2:$C$53,C1174))</f>
        <v>Fairy</v>
      </c>
      <c r="I1174" s="8" t="str">
        <f aca="false">IF(INDEX(Bases!$E$2:$E$53,B1174)="","",INDEX(Bases!$E$2:$E$53,B1174))</f>
        <v/>
      </c>
      <c r="J1174" s="8" t="str">
        <f aca="false">IF(INDEX(Bases!$E$2:$E$53,C1174)="","",INDEX(Bases!$E$2:$E$53,C1174))</f>
        <v/>
      </c>
      <c r="K1174" s="5"/>
      <c r="L1174" s="2" t="n">
        <f aca="false">AE1174+IF(SUMPRODUCT(--($AL1174:$AQ1174&gt;AL1174))&lt;$AK1174,1,0)</f>
        <v>64</v>
      </c>
      <c r="M1174" s="2" t="n">
        <f aca="false">AF1174+IF(SUMPRODUCT(--($AL1174:$AQ1174&gt;AM1174))+SUMPRODUCT(--($AL1174:AL1174=AM1174))&lt;$AK1174,1,0)</f>
        <v>91</v>
      </c>
      <c r="N1174" s="2" t="n">
        <f aca="false">AG1174+IF(SUMPRODUCT(--($AL1174:$AQ1174&gt;AN1174))+SUMPRODUCT(--($AL1174:AM1174=AN1174))&lt;$AK1174,1,0)</f>
        <v>114</v>
      </c>
      <c r="O1174" s="2" t="n">
        <f aca="false">AH1174+IF(SUMPRODUCT(--($AL1174:$AQ1174&gt;AO1174))+SUMPRODUCT(--($AL1174:AN1174=AO1174))&lt;$AK1174,1,0)</f>
        <v>76</v>
      </c>
      <c r="P1174" s="2" t="n">
        <f aca="false">AI1174+IF(SUMPRODUCT(--($AL1174:$AQ1174&gt;AP1174))+SUMPRODUCT(--($AL1174:AO1174=AP1174))&lt;$AK1174,1,0)</f>
        <v>114</v>
      </c>
      <c r="Q1174" s="2" t="n">
        <f aca="false">AJ1174+IF(SUMPRODUCT(--($AL1174:$AQ1174&gt;AQ1174))+SUMPRODUCT(--($AL1174:AP1174=AQ1174))&lt;$AK1174,1,0)</f>
        <v>41</v>
      </c>
      <c r="R1174" s="2" t="n">
        <f aca="false">SUM(L1174:Q1174)</f>
        <v>500</v>
      </c>
      <c r="S1174" s="2" t="n">
        <f aca="false">Settings!$B$4*MAX(INDEX(Bases!$M$2:$M$53,B1174),INDEX(Bases!$M$2:$M$53,C1174))+Settings!$B$5*MIN(INDEX(Bases!$M$2:$M$53,B1174),INDEX(Bases!$M$2:$M$53,C1174))</f>
        <v>54.3333333333333</v>
      </c>
      <c r="T1174" s="2" t="n">
        <f aca="false">Settings!$B$4*MAX(INDEX(Bases!$N$2:$N$53,B1174),INDEX(Bases!$N$2:$N$53,C1174))+Settings!$B$5*MIN(INDEX(Bases!$N$2:$N$53,B1174),INDEX(Bases!$N$2:$N$53,C1174))</f>
        <v>77</v>
      </c>
      <c r="U1174" s="2" t="n">
        <f aca="false">Settings!$B$4*MAX(INDEX(Bases!$O$2:$O$53,B1174),INDEX(Bases!$O$2:$O$53,C1174))+Settings!$B$5*MIN(INDEX(Bases!$O$2:$O$53,B1174),INDEX(Bases!$O$2:$O$53,C1174))</f>
        <v>96.3333333333333</v>
      </c>
      <c r="V1174" s="2" t="n">
        <f aca="false">Settings!$B$4*MAX(INDEX(Bases!$P$2:$P$53,B1174),INDEX(Bases!$P$2:$P$53,C1174))+Settings!$B$5*MIN(INDEX(Bases!$P$2:$P$53,B1174),INDEX(Bases!$P$2:$P$53,C1174))</f>
        <v>64.3333333333333</v>
      </c>
      <c r="W1174" s="2" t="n">
        <f aca="false">Settings!$B$4*MAX(INDEX(Bases!$Q$2:$Q$53,B1174),INDEX(Bases!$Q$2:$Q$53,C1174))+Settings!$B$5*MIN(INDEX(Bases!$Q$2:$Q$53,B1174),INDEX(Bases!$Q$2:$Q$53,C1174))</f>
        <v>96.3333333333333</v>
      </c>
      <c r="X1174" s="2" t="n">
        <f aca="false">Settings!$B$4*MAX(INDEX(Bases!$R$2:$R$53,B1174),INDEX(Bases!$R$2:$R$53,C1174))+Settings!$B$5*MIN(INDEX(Bases!$R$2:$R$53,B1174),INDEX(Bases!$R$2:$R$53,C1174))</f>
        <v>34.3333333333333</v>
      </c>
      <c r="Y1174" s="2" t="n">
        <f aca="false">S1174*Settings!$B$3/SUM(S1174:X1174)</f>
        <v>64.2744479495268</v>
      </c>
      <c r="Z1174" s="2" t="n">
        <f aca="false">T1174*Settings!$B$3/SUM(S1174:X1174)</f>
        <v>91.0883280757098</v>
      </c>
      <c r="AA1174" s="2" t="n">
        <f aca="false">U1174*Settings!$B$3/SUM(S1174:X1174)</f>
        <v>113.958990536278</v>
      </c>
      <c r="AB1174" s="2" t="n">
        <f aca="false">V1174*Settings!$B$3/SUM(S1174:X1174)</f>
        <v>76.1041009463722</v>
      </c>
      <c r="AC1174" s="2" t="n">
        <f aca="false">W1174*Settings!$B$3/SUM(S1174:X1174)</f>
        <v>113.958990536278</v>
      </c>
      <c r="AD1174" s="2" t="n">
        <f aca="false">X1174*Settings!$B$3/SUM(S1174:X1174)</f>
        <v>40.615141955836</v>
      </c>
      <c r="AE1174" s="2" t="n">
        <f aca="false">INT(Y1174)</f>
        <v>64</v>
      </c>
      <c r="AF1174" s="2" t="n">
        <f aca="false">INT(Z1174)</f>
        <v>91</v>
      </c>
      <c r="AG1174" s="2" t="n">
        <f aca="false">INT(AA1174)</f>
        <v>113</v>
      </c>
      <c r="AH1174" s="2" t="n">
        <f aca="false">INT(AB1174)</f>
        <v>76</v>
      </c>
      <c r="AI1174" s="2" t="n">
        <f aca="false">INT(AC1174)</f>
        <v>113</v>
      </c>
      <c r="AJ1174" s="2" t="n">
        <f aca="false">INT(AD1174)</f>
        <v>40</v>
      </c>
      <c r="AK1174" s="2" t="n">
        <f aca="false">Settings!$B$3-SUM(AE1174:AJ1174)</f>
        <v>3</v>
      </c>
      <c r="AL1174" s="2" t="n">
        <f aca="false">ROUND(Y1174-AE1174,9)</f>
        <v>0.27444795</v>
      </c>
      <c r="AM1174" s="2" t="n">
        <f aca="false">ROUND(Z1174-AF1174,9)</f>
        <v>0.088328076</v>
      </c>
      <c r="AN1174" s="2" t="n">
        <f aca="false">ROUND(AA1174-AG1174,9)</f>
        <v>0.958990536</v>
      </c>
      <c r="AO1174" s="2" t="n">
        <f aca="false">ROUND(AB1174-AH1174,9)</f>
        <v>0.104100946</v>
      </c>
      <c r="AP1174" s="2" t="n">
        <f aca="false">ROUND(AC1174-AI1174,9)</f>
        <v>0.958990536</v>
      </c>
      <c r="AQ1174" s="2" t="n">
        <f aca="false">ROUND(AD1174-AJ1174,9)</f>
        <v>0.615141956</v>
      </c>
    </row>
    <row r="1175" customFormat="false" ht="15" hidden="false" customHeight="false" outlineLevel="0" collapsed="false">
      <c r="A1175" s="2" t="n">
        <v>1174</v>
      </c>
      <c r="B1175" s="6" t="n">
        <v>35</v>
      </c>
      <c r="C1175" s="6" t="n">
        <v>36</v>
      </c>
      <c r="D1175" s="8" t="str">
        <f aca="false">INDEX(Bases!$B$2:$B$53,B1175)</f>
        <v>Pineco</v>
      </c>
      <c r="E1175" s="8" t="str">
        <f aca="false">INDEX(Bases!$B$2:$B$53,C1175)</f>
        <v>Wurmple</v>
      </c>
      <c r="F1175" s="2" t="str">
        <f aca="false">LEFT(D1175,ROUNDUP(LEN(D1175)/2,0))&amp;LOWER(MID(E1175,ROUNDUP(LEN(E1175)/2,0)+1,20))</f>
        <v>Pinple</v>
      </c>
      <c r="G1175" s="8" t="str">
        <f aca="false">INDEX(Bases!$C$2:$C$53,B1175)</f>
        <v>Bug</v>
      </c>
      <c r="H1175" s="8" t="str">
        <f aca="false">IF(INDEX(Bases!$C$2:$C$53,C1175)=G1175,"",INDEX(Bases!$C$2:$C$53,C1175))</f>
        <v/>
      </c>
      <c r="I1175" s="8" t="str">
        <f aca="false">IF(INDEX(Bases!$E$2:$E$53,B1175)="","",INDEX(Bases!$E$2:$E$53,B1175))</f>
        <v/>
      </c>
      <c r="J1175" s="8" t="str">
        <f aca="false">IF(INDEX(Bases!$E$2:$E$53,C1175)="","",INDEX(Bases!$E$2:$E$53,C1175))</f>
        <v/>
      </c>
      <c r="K1175" s="5"/>
      <c r="L1175" s="2" t="n">
        <f aca="false">AE1175+IF(SUMPRODUCT(--($AL1175:$AQ1175&gt;AL1175))&lt;$AK1175,1,0)</f>
        <v>101</v>
      </c>
      <c r="M1175" s="2" t="n">
        <f aca="false">AF1175+IF(SUMPRODUCT(--($AL1175:$AQ1175&gt;AM1175))+SUMPRODUCT(--($AL1175:AL1175=AM1175))&lt;$AK1175,1,0)</f>
        <v>109</v>
      </c>
      <c r="N1175" s="2" t="n">
        <f aca="false">AG1175+IF(SUMPRODUCT(--($AL1175:$AQ1175&gt;AN1175))+SUMPRODUCT(--($AL1175:AM1175=AN1175))&lt;$AK1175,1,0)</f>
        <v>127</v>
      </c>
      <c r="O1175" s="2" t="n">
        <f aca="false">AH1175+IF(SUMPRODUCT(--($AL1175:$AQ1175&gt;AO1175))+SUMPRODUCT(--($AL1175:AN1175=AO1175))&lt;$AK1175,1,0)</f>
        <v>54</v>
      </c>
      <c r="P1175" s="2" t="n">
        <f aca="false">AI1175+IF(SUMPRODUCT(--($AL1175:$AQ1175&gt;AP1175))+SUMPRODUCT(--($AL1175:AO1175=AP1175))&lt;$AK1175,1,0)</f>
        <v>68</v>
      </c>
      <c r="Q1175" s="2" t="n">
        <f aca="false">AJ1175+IF(SUMPRODUCT(--($AL1175:$AQ1175&gt;AQ1175))+SUMPRODUCT(--($AL1175:AP1175=AQ1175))&lt;$AK1175,1,0)</f>
        <v>41</v>
      </c>
      <c r="R1175" s="2" t="n">
        <f aca="false">SUM(L1175:Q1175)</f>
        <v>500</v>
      </c>
      <c r="S1175" s="2" t="n">
        <f aca="false">Settings!$B$4*MAX(INDEX(Bases!$M$2:$M$53,B1175),INDEX(Bases!$M$2:$M$53,C1175))+Settings!$B$5*MIN(INDEX(Bases!$M$2:$M$53,B1175),INDEX(Bases!$M$2:$M$53,C1175))</f>
        <v>84.3333333333333</v>
      </c>
      <c r="T1175" s="2" t="n">
        <f aca="false">Settings!$B$4*MAX(INDEX(Bases!$N$2:$N$53,B1175),INDEX(Bases!$N$2:$N$53,C1175))+Settings!$B$5*MIN(INDEX(Bases!$N$2:$N$53,B1175),INDEX(Bases!$N$2:$N$53,C1175))</f>
        <v>91.3333333333333</v>
      </c>
      <c r="U1175" s="2" t="n">
        <f aca="false">Settings!$B$4*MAX(INDEX(Bases!$O$2:$O$53,B1175),INDEX(Bases!$O$2:$O$53,C1175))+Settings!$B$5*MIN(INDEX(Bases!$O$2:$O$53,B1175),INDEX(Bases!$O$2:$O$53,C1175))</f>
        <v>106.666666666667</v>
      </c>
      <c r="V1175" s="2" t="n">
        <f aca="false">Settings!$B$4*MAX(INDEX(Bases!$P$2:$P$53,B1175),INDEX(Bases!$P$2:$P$53,C1175))+Settings!$B$5*MIN(INDEX(Bases!$P$2:$P$53,B1175),INDEX(Bases!$P$2:$P$53,C1175))</f>
        <v>45.6666666666667</v>
      </c>
      <c r="W1175" s="2" t="n">
        <f aca="false">Settings!$B$4*MAX(INDEX(Bases!$Q$2:$Q$53,B1175),INDEX(Bases!$Q$2:$Q$53,C1175))+Settings!$B$5*MIN(INDEX(Bases!$Q$2:$Q$53,B1175),INDEX(Bases!$Q$2:$Q$53,C1175))</f>
        <v>57.3333333333333</v>
      </c>
      <c r="X1175" s="2" t="n">
        <f aca="false">Settings!$B$4*MAX(INDEX(Bases!$R$2:$R$53,B1175),INDEX(Bases!$R$2:$R$53,C1175))+Settings!$B$5*MIN(INDEX(Bases!$R$2:$R$53,B1175),INDEX(Bases!$R$2:$R$53,C1175))</f>
        <v>34.3333333333333</v>
      </c>
      <c r="Y1175" s="2" t="n">
        <f aca="false">S1175*Settings!$B$3/SUM(S1175:X1175)</f>
        <v>100.476568705322</v>
      </c>
      <c r="Z1175" s="2" t="n">
        <f aca="false">T1175*Settings!$B$3/SUM(S1175:X1175)</f>
        <v>108.816521048451</v>
      </c>
      <c r="AA1175" s="2" t="n">
        <f aca="false">U1175*Settings!$B$3/SUM(S1175:X1175)</f>
        <v>127.084988085782</v>
      </c>
      <c r="AB1175" s="2" t="n">
        <f aca="false">V1175*Settings!$B$3/SUM(S1175:X1175)</f>
        <v>54.4082605242256</v>
      </c>
      <c r="AC1175" s="2" t="n">
        <f aca="false">W1175*Settings!$B$3/SUM(S1175:X1175)</f>
        <v>68.308181096108</v>
      </c>
      <c r="AD1175" s="2" t="n">
        <f aca="false">X1175*Settings!$B$3/SUM(S1175:X1175)</f>
        <v>40.9054805401112</v>
      </c>
      <c r="AE1175" s="2" t="n">
        <f aca="false">INT(Y1175)</f>
        <v>100</v>
      </c>
      <c r="AF1175" s="2" t="n">
        <f aca="false">INT(Z1175)</f>
        <v>108</v>
      </c>
      <c r="AG1175" s="2" t="n">
        <f aca="false">INT(AA1175)</f>
        <v>127</v>
      </c>
      <c r="AH1175" s="2" t="n">
        <f aca="false">INT(AB1175)</f>
        <v>54</v>
      </c>
      <c r="AI1175" s="2" t="n">
        <f aca="false">INT(AC1175)</f>
        <v>68</v>
      </c>
      <c r="AJ1175" s="2" t="n">
        <f aca="false">INT(AD1175)</f>
        <v>40</v>
      </c>
      <c r="AK1175" s="2" t="n">
        <f aca="false">Settings!$B$3-SUM(AE1175:AJ1175)</f>
        <v>3</v>
      </c>
      <c r="AL1175" s="2" t="n">
        <f aca="false">ROUND(Y1175-AE1175,9)</f>
        <v>0.476568705</v>
      </c>
      <c r="AM1175" s="2" t="n">
        <f aca="false">ROUND(Z1175-AF1175,9)</f>
        <v>0.816521048</v>
      </c>
      <c r="AN1175" s="2" t="n">
        <f aca="false">ROUND(AA1175-AG1175,9)</f>
        <v>0.084988086</v>
      </c>
      <c r="AO1175" s="2" t="n">
        <f aca="false">ROUND(AB1175-AH1175,9)</f>
        <v>0.408260524</v>
      </c>
      <c r="AP1175" s="2" t="n">
        <f aca="false">ROUND(AC1175-AI1175,9)</f>
        <v>0.308181096</v>
      </c>
      <c r="AQ1175" s="2" t="n">
        <f aca="false">ROUND(AD1175-AJ1175,9)</f>
        <v>0.90548054</v>
      </c>
    </row>
    <row r="1176" customFormat="false" ht="15" hidden="false" customHeight="false" outlineLevel="0" collapsed="false">
      <c r="A1176" s="2" t="n">
        <v>1175</v>
      </c>
      <c r="B1176" s="6" t="n">
        <v>35</v>
      </c>
      <c r="C1176" s="6" t="n">
        <v>37</v>
      </c>
      <c r="D1176" s="8" t="str">
        <f aca="false">INDEX(Bases!$B$2:$B$53,B1176)</f>
        <v>Pineco</v>
      </c>
      <c r="E1176" s="8" t="str">
        <f aca="false">INDEX(Bases!$B$2:$B$53,C1176)</f>
        <v>Shuckle</v>
      </c>
      <c r="F1176" s="2" t="str">
        <f aca="false">LEFT(D1176,ROUNDUP(LEN(D1176)/2,0))&amp;LOWER(MID(E1176,ROUNDUP(LEN(E1176)/2,0)+1,20))</f>
        <v>Pinkle</v>
      </c>
      <c r="G1176" s="8" t="str">
        <f aca="false">INDEX(Bases!$C$2:$C$53,B1176)</f>
        <v>Bug</v>
      </c>
      <c r="H1176" s="8" t="str">
        <f aca="false">IF(INDEX(Bases!$C$2:$C$53,C1176)=G1176,"",INDEX(Bases!$C$2:$C$53,C1176))</f>
        <v>Rock</v>
      </c>
      <c r="I1176" s="8" t="str">
        <f aca="false">IF(INDEX(Bases!$E$2:$E$53,B1176)="","",INDEX(Bases!$E$2:$E$53,B1176))</f>
        <v/>
      </c>
      <c r="J1176" s="8" t="str">
        <f aca="false">IF(INDEX(Bases!$E$2:$E$53,C1176)="","",INDEX(Bases!$E$2:$E$53,C1176))</f>
        <v/>
      </c>
      <c r="K1176" s="5"/>
      <c r="L1176" s="2" t="n">
        <f aca="false">AE1176+IF(SUMPRODUCT(--($AL1176:$AQ1176&gt;AL1176))&lt;$AK1176,1,0)</f>
        <v>55</v>
      </c>
      <c r="M1176" s="2" t="n">
        <f aca="false">AF1176+IF(SUMPRODUCT(--($AL1176:$AQ1176&gt;AM1176))+SUMPRODUCT(--($AL1176:AL1176=AM1176))&lt;$AK1176,1,0)</f>
        <v>68</v>
      </c>
      <c r="N1176" s="2" t="n">
        <f aca="false">AG1176+IF(SUMPRODUCT(--($AL1176:$AQ1176&gt;AN1176))+SUMPRODUCT(--($AL1176:AM1176=AN1176))&lt;$AK1176,1,0)</f>
        <v>175</v>
      </c>
      <c r="O1176" s="2" t="n">
        <f aca="false">AH1176+IF(SUMPRODUCT(--($AL1176:$AQ1176&gt;AO1176))+SUMPRODUCT(--($AL1176:AN1176=AO1176))&lt;$AK1176,1,0)</f>
        <v>37</v>
      </c>
      <c r="P1176" s="2" t="n">
        <f aca="false">AI1176+IF(SUMPRODUCT(--($AL1176:$AQ1176&gt;AP1176))+SUMPRODUCT(--($AL1176:AO1176=AP1176))&lt;$AK1176,1,0)</f>
        <v>148</v>
      </c>
      <c r="Q1176" s="2" t="n">
        <f aca="false">AJ1176+IF(SUMPRODUCT(--($AL1176:$AQ1176&gt;AQ1176))+SUMPRODUCT(--($AL1176:AP1176=AQ1176))&lt;$AK1176,1,0)</f>
        <v>17</v>
      </c>
      <c r="R1176" s="2" t="n">
        <f aca="false">SUM(L1176:Q1176)</f>
        <v>500</v>
      </c>
      <c r="S1176" s="2" t="n">
        <f aca="false">Settings!$B$4*MAX(INDEX(Bases!$M$2:$M$53,B1176),INDEX(Bases!$M$2:$M$53,C1176))+Settings!$B$5*MIN(INDEX(Bases!$M$2:$M$53,B1176),INDEX(Bases!$M$2:$M$53,C1176))</f>
        <v>51.3333333333333</v>
      </c>
      <c r="T1176" s="2" t="n">
        <f aca="false">Settings!$B$4*MAX(INDEX(Bases!$N$2:$N$53,B1176),INDEX(Bases!$N$2:$N$53,C1176))+Settings!$B$5*MIN(INDEX(Bases!$N$2:$N$53,B1176),INDEX(Bases!$N$2:$N$53,C1176))</f>
        <v>62.6666666666667</v>
      </c>
      <c r="U1176" s="2" t="n">
        <f aca="false">Settings!$B$4*MAX(INDEX(Bases!$O$2:$O$53,B1176),INDEX(Bases!$O$2:$O$53,C1176))+Settings!$B$5*MIN(INDEX(Bases!$O$2:$O$53,B1176),INDEX(Bases!$O$2:$O$53,C1176))</f>
        <v>162.666666666667</v>
      </c>
      <c r="V1176" s="2" t="n">
        <f aca="false">Settings!$B$4*MAX(INDEX(Bases!$P$2:$P$53,B1176),INDEX(Bases!$P$2:$P$53,C1176))+Settings!$B$5*MIN(INDEX(Bases!$P$2:$P$53,B1176),INDEX(Bases!$P$2:$P$53,C1176))</f>
        <v>34.6666666666667</v>
      </c>
      <c r="W1176" s="2" t="n">
        <f aca="false">Settings!$B$4*MAX(INDEX(Bases!$Q$2:$Q$53,B1176),INDEX(Bases!$Q$2:$Q$53,C1176))+Settings!$B$5*MIN(INDEX(Bases!$Q$2:$Q$53,B1176),INDEX(Bases!$Q$2:$Q$53,C1176))</f>
        <v>137.333333333333</v>
      </c>
      <c r="X1176" s="2" t="n">
        <f aca="false">Settings!$B$4*MAX(INDEX(Bases!$R$2:$R$53,B1176),INDEX(Bases!$R$2:$R$53,C1176))+Settings!$B$5*MIN(INDEX(Bases!$R$2:$R$53,B1176),INDEX(Bases!$R$2:$R$53,C1176))</f>
        <v>15.3333333333333</v>
      </c>
      <c r="Y1176" s="2" t="n">
        <f aca="false">S1176*Settings!$B$3/SUM(S1176:X1176)</f>
        <v>55.316091954023</v>
      </c>
      <c r="Z1176" s="2" t="n">
        <f aca="false">T1176*Settings!$B$3/SUM(S1176:X1176)</f>
        <v>67.5287356321839</v>
      </c>
      <c r="AA1176" s="2" t="n">
        <f aca="false">U1176*Settings!$B$3/SUM(S1176:X1176)</f>
        <v>175.287356321839</v>
      </c>
      <c r="AB1176" s="2" t="n">
        <f aca="false">V1176*Settings!$B$3/SUM(S1176:X1176)</f>
        <v>37.3563218390805</v>
      </c>
      <c r="AC1176" s="2" t="n">
        <f aca="false">W1176*Settings!$B$3/SUM(S1176:X1176)</f>
        <v>147.988505747126</v>
      </c>
      <c r="AD1176" s="2" t="n">
        <f aca="false">X1176*Settings!$B$3/SUM(S1176:X1176)</f>
        <v>16.5229885057471</v>
      </c>
      <c r="AE1176" s="2" t="n">
        <f aca="false">INT(Y1176)</f>
        <v>55</v>
      </c>
      <c r="AF1176" s="2" t="n">
        <f aca="false">INT(Z1176)</f>
        <v>67</v>
      </c>
      <c r="AG1176" s="2" t="n">
        <f aca="false">INT(AA1176)</f>
        <v>175</v>
      </c>
      <c r="AH1176" s="2" t="n">
        <f aca="false">INT(AB1176)</f>
        <v>37</v>
      </c>
      <c r="AI1176" s="2" t="n">
        <f aca="false">INT(AC1176)</f>
        <v>147</v>
      </c>
      <c r="AJ1176" s="2" t="n">
        <f aca="false">INT(AD1176)</f>
        <v>16</v>
      </c>
      <c r="AK1176" s="2" t="n">
        <f aca="false">Settings!$B$3-SUM(AE1176:AJ1176)</f>
        <v>3</v>
      </c>
      <c r="AL1176" s="2" t="n">
        <f aca="false">ROUND(Y1176-AE1176,9)</f>
        <v>0.316091954</v>
      </c>
      <c r="AM1176" s="2" t="n">
        <f aca="false">ROUND(Z1176-AF1176,9)</f>
        <v>0.528735632</v>
      </c>
      <c r="AN1176" s="2" t="n">
        <f aca="false">ROUND(AA1176-AG1176,9)</f>
        <v>0.287356322</v>
      </c>
      <c r="AO1176" s="2" t="n">
        <f aca="false">ROUND(AB1176-AH1176,9)</f>
        <v>0.356321839</v>
      </c>
      <c r="AP1176" s="2" t="n">
        <f aca="false">ROUND(AC1176-AI1176,9)</f>
        <v>0.988505747</v>
      </c>
      <c r="AQ1176" s="2" t="n">
        <f aca="false">ROUND(AD1176-AJ1176,9)</f>
        <v>0.522988506</v>
      </c>
    </row>
    <row r="1177" customFormat="false" ht="15" hidden="false" customHeight="false" outlineLevel="0" collapsed="false">
      <c r="A1177" s="2" t="n">
        <v>1176</v>
      </c>
      <c r="B1177" s="6" t="n">
        <v>35</v>
      </c>
      <c r="C1177" s="6" t="n">
        <v>38</v>
      </c>
      <c r="D1177" s="8" t="str">
        <f aca="false">INDEX(Bases!$B$2:$B$53,B1177)</f>
        <v>Pineco</v>
      </c>
      <c r="E1177" s="8" t="str">
        <f aca="false">INDEX(Bases!$B$2:$B$53,C1177)</f>
        <v>Larvitar</v>
      </c>
      <c r="F1177" s="2" t="str">
        <f aca="false">LEFT(D1177,ROUNDUP(LEN(D1177)/2,0))&amp;LOWER(MID(E1177,ROUNDUP(LEN(E1177)/2,0)+1,20))</f>
        <v>Pinitar</v>
      </c>
      <c r="G1177" s="8" t="str">
        <f aca="false">INDEX(Bases!$C$2:$C$53,B1177)</f>
        <v>Bug</v>
      </c>
      <c r="H1177" s="8" t="str">
        <f aca="false">IF(INDEX(Bases!$C$2:$C$53,C1177)=G1177,"",INDEX(Bases!$C$2:$C$53,C1177))</f>
        <v>Rock</v>
      </c>
      <c r="I1177" s="8" t="str">
        <f aca="false">IF(INDEX(Bases!$E$2:$E$53,B1177)="","",INDEX(Bases!$E$2:$E$53,B1177))</f>
        <v/>
      </c>
      <c r="J1177" s="8" t="str">
        <f aca="false">IF(INDEX(Bases!$E$2:$E$53,C1177)="","",INDEX(Bases!$E$2:$E$53,C1177))</f>
        <v/>
      </c>
      <c r="K1177" s="5"/>
      <c r="L1177" s="2" t="n">
        <f aca="false">AE1177+IF(SUMPRODUCT(--($AL1177:$AQ1177&gt;AL1177))&lt;$AK1177,1,0)</f>
        <v>81</v>
      </c>
      <c r="M1177" s="2" t="n">
        <f aca="false">AF1177+IF(SUMPRODUCT(--($AL1177:$AQ1177&gt;AM1177))+SUMPRODUCT(--($AL1177:AL1177=AM1177))&lt;$AK1177,1,0)</f>
        <v>105</v>
      </c>
      <c r="N1177" s="2" t="n">
        <f aca="false">AG1177+IF(SUMPRODUCT(--($AL1177:$AQ1177&gt;AN1177))+SUMPRODUCT(--($AL1177:AM1177=AN1177))&lt;$AK1177,1,0)</f>
        <v>125</v>
      </c>
      <c r="O1177" s="2" t="n">
        <f aca="false">AH1177+IF(SUMPRODUCT(--($AL1177:$AQ1177&gt;AO1177))+SUMPRODUCT(--($AL1177:AN1177=AO1177))&lt;$AK1177,1,0)</f>
        <v>66</v>
      </c>
      <c r="P1177" s="2" t="n">
        <f aca="false">AI1177+IF(SUMPRODUCT(--($AL1177:$AQ1177&gt;AP1177))+SUMPRODUCT(--($AL1177:AO1177=AP1177))&lt;$AK1177,1,0)</f>
        <v>72</v>
      </c>
      <c r="Q1177" s="2" t="n">
        <f aca="false">AJ1177+IF(SUMPRODUCT(--($AL1177:$AQ1177&gt;AQ1177))+SUMPRODUCT(--($AL1177:AP1177=AQ1177))&lt;$AK1177,1,0)</f>
        <v>51</v>
      </c>
      <c r="R1177" s="2" t="n">
        <f aca="false">SUM(L1177:Q1177)</f>
        <v>500</v>
      </c>
      <c r="S1177" s="2" t="n">
        <f aca="false">Settings!$B$4*MAX(INDEX(Bases!$M$2:$M$53,B1177),INDEX(Bases!$M$2:$M$53,C1177))+Settings!$B$5*MIN(INDEX(Bases!$M$2:$M$53,B1177),INDEX(Bases!$M$2:$M$53,C1177))</f>
        <v>68.3333333333333</v>
      </c>
      <c r="T1177" s="2" t="n">
        <f aca="false">Settings!$B$4*MAX(INDEX(Bases!$N$2:$N$53,B1177),INDEX(Bases!$N$2:$N$53,C1177))+Settings!$B$5*MIN(INDEX(Bases!$N$2:$N$53,B1177),INDEX(Bases!$N$2:$N$53,C1177))</f>
        <v>88.3333333333333</v>
      </c>
      <c r="U1177" s="2" t="n">
        <f aca="false">Settings!$B$4*MAX(INDEX(Bases!$O$2:$O$53,B1177),INDEX(Bases!$O$2:$O$53,C1177))+Settings!$B$5*MIN(INDEX(Bases!$O$2:$O$53,B1177),INDEX(Bases!$O$2:$O$53,C1177))</f>
        <v>105</v>
      </c>
      <c r="V1177" s="2" t="n">
        <f aca="false">Settings!$B$4*MAX(INDEX(Bases!$P$2:$P$53,B1177),INDEX(Bases!$P$2:$P$53,C1177))+Settings!$B$5*MIN(INDEX(Bases!$P$2:$P$53,B1177),INDEX(Bases!$P$2:$P$53,C1177))</f>
        <v>56</v>
      </c>
      <c r="W1177" s="2" t="n">
        <f aca="false">Settings!$B$4*MAX(INDEX(Bases!$Q$2:$Q$53,B1177),INDEX(Bases!$Q$2:$Q$53,C1177))+Settings!$B$5*MIN(INDEX(Bases!$Q$2:$Q$53,B1177),INDEX(Bases!$Q$2:$Q$53,C1177))</f>
        <v>60.6666666666667</v>
      </c>
      <c r="X1177" s="2" t="n">
        <f aca="false">Settings!$B$4*MAX(INDEX(Bases!$R$2:$R$53,B1177),INDEX(Bases!$R$2:$R$53,C1177))+Settings!$B$5*MIN(INDEX(Bases!$R$2:$R$53,B1177),INDEX(Bases!$R$2:$R$53,C1177))</f>
        <v>43</v>
      </c>
      <c r="Y1177" s="2" t="n">
        <f aca="false">S1177*Settings!$B$3/SUM(S1177:X1177)</f>
        <v>81.0917721518987</v>
      </c>
      <c r="Z1177" s="2" t="n">
        <f aca="false">T1177*Settings!$B$3/SUM(S1177:X1177)</f>
        <v>104.825949367089</v>
      </c>
      <c r="AA1177" s="2" t="n">
        <f aca="false">U1177*Settings!$B$3/SUM(S1177:X1177)</f>
        <v>124.604430379747</v>
      </c>
      <c r="AB1177" s="2" t="n">
        <f aca="false">V1177*Settings!$B$3/SUM(S1177:X1177)</f>
        <v>66.4556962025316</v>
      </c>
      <c r="AC1177" s="2" t="n">
        <f aca="false">W1177*Settings!$B$3/SUM(S1177:X1177)</f>
        <v>71.993670886076</v>
      </c>
      <c r="AD1177" s="2" t="n">
        <f aca="false">X1177*Settings!$B$3/SUM(S1177:X1177)</f>
        <v>51.0284810126582</v>
      </c>
      <c r="AE1177" s="2" t="n">
        <f aca="false">INT(Y1177)</f>
        <v>81</v>
      </c>
      <c r="AF1177" s="2" t="n">
        <f aca="false">INT(Z1177)</f>
        <v>104</v>
      </c>
      <c r="AG1177" s="2" t="n">
        <f aca="false">INT(AA1177)</f>
        <v>124</v>
      </c>
      <c r="AH1177" s="2" t="n">
        <f aca="false">INT(AB1177)</f>
        <v>66</v>
      </c>
      <c r="AI1177" s="2" t="n">
        <f aca="false">INT(AC1177)</f>
        <v>71</v>
      </c>
      <c r="AJ1177" s="2" t="n">
        <f aca="false">INT(AD1177)</f>
        <v>51</v>
      </c>
      <c r="AK1177" s="2" t="n">
        <f aca="false">Settings!$B$3-SUM(AE1177:AJ1177)</f>
        <v>3</v>
      </c>
      <c r="AL1177" s="2" t="n">
        <f aca="false">ROUND(Y1177-AE1177,9)</f>
        <v>0.091772152</v>
      </c>
      <c r="AM1177" s="2" t="n">
        <f aca="false">ROUND(Z1177-AF1177,9)</f>
        <v>0.825949367</v>
      </c>
      <c r="AN1177" s="2" t="n">
        <f aca="false">ROUND(AA1177-AG1177,9)</f>
        <v>0.60443038</v>
      </c>
      <c r="AO1177" s="2" t="n">
        <f aca="false">ROUND(AB1177-AH1177,9)</f>
        <v>0.455696203</v>
      </c>
      <c r="AP1177" s="2" t="n">
        <f aca="false">ROUND(AC1177-AI1177,9)</f>
        <v>0.993670886</v>
      </c>
      <c r="AQ1177" s="2" t="n">
        <f aca="false">ROUND(AD1177-AJ1177,9)</f>
        <v>0.028481013</v>
      </c>
    </row>
    <row r="1178" customFormat="false" ht="15" hidden="false" customHeight="false" outlineLevel="0" collapsed="false">
      <c r="A1178" s="2" t="n">
        <v>1177</v>
      </c>
      <c r="B1178" s="6" t="n">
        <v>35</v>
      </c>
      <c r="C1178" s="6" t="n">
        <v>39</v>
      </c>
      <c r="D1178" s="8" t="str">
        <f aca="false">INDEX(Bases!$B$2:$B$53,B1178)</f>
        <v>Pineco</v>
      </c>
      <c r="E1178" s="8" t="str">
        <f aca="false">INDEX(Bases!$B$2:$B$53,C1178)</f>
        <v>Nosepass</v>
      </c>
      <c r="F1178" s="2" t="str">
        <f aca="false">LEFT(D1178,ROUNDUP(LEN(D1178)/2,0))&amp;LOWER(MID(E1178,ROUNDUP(LEN(E1178)/2,0)+1,20))</f>
        <v>Pinpass</v>
      </c>
      <c r="G1178" s="8" t="str">
        <f aca="false">INDEX(Bases!$C$2:$C$53,B1178)</f>
        <v>Bug</v>
      </c>
      <c r="H1178" s="8" t="str">
        <f aca="false">IF(INDEX(Bases!$C$2:$C$53,C1178)=G1178,"",INDEX(Bases!$C$2:$C$53,C1178))</f>
        <v>Rock</v>
      </c>
      <c r="I1178" s="8" t="str">
        <f aca="false">IF(INDEX(Bases!$E$2:$E$53,B1178)="","",INDEX(Bases!$E$2:$E$53,B1178))</f>
        <v/>
      </c>
      <c r="J1178" s="8" t="str">
        <f aca="false">IF(INDEX(Bases!$E$2:$E$53,C1178)="","",INDEX(Bases!$E$2:$E$53,C1178))</f>
        <v/>
      </c>
      <c r="K1178" s="5"/>
      <c r="L1178" s="2" t="n">
        <f aca="false">AE1178+IF(SUMPRODUCT(--($AL1178:$AQ1178&gt;AL1178))&lt;$AK1178,1,0)</f>
        <v>67</v>
      </c>
      <c r="M1178" s="2" t="n">
        <f aca="false">AF1178+IF(SUMPRODUCT(--($AL1178:$AQ1178&gt;AM1178))+SUMPRODUCT(--($AL1178:AL1178=AM1178))&lt;$AK1178,1,0)</f>
        <v>89</v>
      </c>
      <c r="N1178" s="2" t="n">
        <f aca="false">AG1178+IF(SUMPRODUCT(--($AL1178:$AQ1178&gt;AN1178))+SUMPRODUCT(--($AL1178:AM1178=AN1178))&lt;$AK1178,1,0)</f>
        <v>161</v>
      </c>
      <c r="O1178" s="2" t="n">
        <f aca="false">AH1178+IF(SUMPRODUCT(--($AL1178:$AQ1178&gt;AO1178))+SUMPRODUCT(--($AL1178:AN1178=AO1178))&lt;$AK1178,1,0)</f>
        <v>56</v>
      </c>
      <c r="P1178" s="2" t="n">
        <f aca="false">AI1178+IF(SUMPRODUCT(--($AL1178:$AQ1178&gt;AP1178))+SUMPRODUCT(--($AL1178:AO1178=AP1178))&lt;$AK1178,1,0)</f>
        <v>94</v>
      </c>
      <c r="Q1178" s="2" t="n">
        <f aca="false">AJ1178+IF(SUMPRODUCT(--($AL1178:$AQ1178&gt;AQ1178))+SUMPRODUCT(--($AL1178:AP1178=AQ1178))&lt;$AK1178,1,0)</f>
        <v>33</v>
      </c>
      <c r="R1178" s="2" t="n">
        <f aca="false">SUM(L1178:Q1178)</f>
        <v>500</v>
      </c>
      <c r="S1178" s="2" t="n">
        <f aca="false">Settings!$B$4*MAX(INDEX(Bases!$M$2:$M$53,B1178),INDEX(Bases!$M$2:$M$53,C1178))+Settings!$B$5*MIN(INDEX(Bases!$M$2:$M$53,B1178),INDEX(Bases!$M$2:$M$53,C1178))</f>
        <v>56.6666666666667</v>
      </c>
      <c r="T1178" s="2" t="n">
        <f aca="false">Settings!$B$4*MAX(INDEX(Bases!$N$2:$N$53,B1178),INDEX(Bases!$N$2:$N$53,C1178))+Settings!$B$5*MIN(INDEX(Bases!$N$2:$N$53,B1178),INDEX(Bases!$N$2:$N$53,C1178))</f>
        <v>76</v>
      </c>
      <c r="U1178" s="2" t="n">
        <f aca="false">Settings!$B$4*MAX(INDEX(Bases!$O$2:$O$53,B1178),INDEX(Bases!$O$2:$O$53,C1178))+Settings!$B$5*MIN(INDEX(Bases!$O$2:$O$53,B1178),INDEX(Bases!$O$2:$O$53,C1178))</f>
        <v>137.333333333333</v>
      </c>
      <c r="V1178" s="2" t="n">
        <f aca="false">Settings!$B$4*MAX(INDEX(Bases!$P$2:$P$53,B1178),INDEX(Bases!$P$2:$P$53,C1178))+Settings!$B$5*MIN(INDEX(Bases!$P$2:$P$53,B1178),INDEX(Bases!$P$2:$P$53,C1178))</f>
        <v>48</v>
      </c>
      <c r="W1178" s="2" t="n">
        <f aca="false">Settings!$B$4*MAX(INDEX(Bases!$Q$2:$Q$53,B1178),INDEX(Bases!$Q$2:$Q$53,C1178))+Settings!$B$5*MIN(INDEX(Bases!$Q$2:$Q$53,B1178),INDEX(Bases!$Q$2:$Q$53,C1178))</f>
        <v>80</v>
      </c>
      <c r="X1178" s="2" t="n">
        <f aca="false">Settings!$B$4*MAX(INDEX(Bases!$R$2:$R$53,B1178),INDEX(Bases!$R$2:$R$53,C1178))+Settings!$B$5*MIN(INDEX(Bases!$R$2:$R$53,B1178),INDEX(Bases!$R$2:$R$53,C1178))</f>
        <v>28.3333333333333</v>
      </c>
      <c r="Y1178" s="2" t="n">
        <f aca="false">S1178*Settings!$B$3/SUM(S1178:X1178)</f>
        <v>66.4581704456607</v>
      </c>
      <c r="Z1178" s="2" t="n">
        <f aca="false">T1178*Settings!$B$3/SUM(S1178:X1178)</f>
        <v>89.1321344800626</v>
      </c>
      <c r="AA1178" s="2" t="n">
        <f aca="false">U1178*Settings!$B$3/SUM(S1178:X1178)</f>
        <v>161.063330727131</v>
      </c>
      <c r="AB1178" s="2" t="n">
        <f aca="false">V1178*Settings!$B$3/SUM(S1178:X1178)</f>
        <v>56.2939796716185</v>
      </c>
      <c r="AC1178" s="2" t="n">
        <f aca="false">W1178*Settings!$B$3/SUM(S1178:X1178)</f>
        <v>93.8232994526974</v>
      </c>
      <c r="AD1178" s="2" t="n">
        <f aca="false">X1178*Settings!$B$3/SUM(S1178:X1178)</f>
        <v>33.2290852228303</v>
      </c>
      <c r="AE1178" s="2" t="n">
        <f aca="false">INT(Y1178)</f>
        <v>66</v>
      </c>
      <c r="AF1178" s="2" t="n">
        <f aca="false">INT(Z1178)</f>
        <v>89</v>
      </c>
      <c r="AG1178" s="2" t="n">
        <f aca="false">INT(AA1178)</f>
        <v>161</v>
      </c>
      <c r="AH1178" s="2" t="n">
        <f aca="false">INT(AB1178)</f>
        <v>56</v>
      </c>
      <c r="AI1178" s="2" t="n">
        <f aca="false">INT(AC1178)</f>
        <v>93</v>
      </c>
      <c r="AJ1178" s="2" t="n">
        <f aca="false">INT(AD1178)</f>
        <v>33</v>
      </c>
      <c r="AK1178" s="2" t="n">
        <f aca="false">Settings!$B$3-SUM(AE1178:AJ1178)</f>
        <v>2</v>
      </c>
      <c r="AL1178" s="2" t="n">
        <f aca="false">ROUND(Y1178-AE1178,9)</f>
        <v>0.458170446</v>
      </c>
      <c r="AM1178" s="2" t="n">
        <f aca="false">ROUND(Z1178-AF1178,9)</f>
        <v>0.13213448</v>
      </c>
      <c r="AN1178" s="2" t="n">
        <f aca="false">ROUND(AA1178-AG1178,9)</f>
        <v>0.063330727</v>
      </c>
      <c r="AO1178" s="2" t="n">
        <f aca="false">ROUND(AB1178-AH1178,9)</f>
        <v>0.293979672</v>
      </c>
      <c r="AP1178" s="2" t="n">
        <f aca="false">ROUND(AC1178-AI1178,9)</f>
        <v>0.823299453</v>
      </c>
      <c r="AQ1178" s="2" t="n">
        <f aca="false">ROUND(AD1178-AJ1178,9)</f>
        <v>0.229085223</v>
      </c>
    </row>
    <row r="1179" customFormat="false" ht="15" hidden="false" customHeight="false" outlineLevel="0" collapsed="false">
      <c r="A1179" s="2" t="n">
        <v>1178</v>
      </c>
      <c r="B1179" s="6" t="n">
        <v>35</v>
      </c>
      <c r="C1179" s="6" t="n">
        <v>40</v>
      </c>
      <c r="D1179" s="8" t="str">
        <f aca="false">INDEX(Bases!$B$2:$B$53,B1179)</f>
        <v>Pineco</v>
      </c>
      <c r="E1179" s="8" t="str">
        <f aca="false">INDEX(Bases!$B$2:$B$53,C1179)</f>
        <v>Gastly</v>
      </c>
      <c r="F1179" s="2" t="str">
        <f aca="false">LEFT(D1179,ROUNDUP(LEN(D1179)/2,0))&amp;LOWER(MID(E1179,ROUNDUP(LEN(E1179)/2,0)+1,20))</f>
        <v>Pintly</v>
      </c>
      <c r="G1179" s="8" t="str">
        <f aca="false">INDEX(Bases!$C$2:$C$53,B1179)</f>
        <v>Bug</v>
      </c>
      <c r="H1179" s="8" t="str">
        <f aca="false">IF(INDEX(Bases!$C$2:$C$53,C1179)=G1179,"",INDEX(Bases!$C$2:$C$53,C1179))</f>
        <v>Ghost</v>
      </c>
      <c r="I1179" s="8" t="str">
        <f aca="false">IF(INDEX(Bases!$E$2:$E$53,B1179)="","",INDEX(Bases!$E$2:$E$53,B1179))</f>
        <v/>
      </c>
      <c r="J1179" s="8" t="str">
        <f aca="false">IF(INDEX(Bases!$E$2:$E$53,C1179)="","",INDEX(Bases!$E$2:$E$53,C1179))</f>
        <v/>
      </c>
      <c r="K1179" s="5"/>
      <c r="L1179" s="2" t="n">
        <f aca="false">AE1179+IF(SUMPRODUCT(--($AL1179:$AQ1179&gt;AL1179))&lt;$AK1179,1,0)</f>
        <v>65</v>
      </c>
      <c r="M1179" s="2" t="n">
        <f aca="false">AF1179+IF(SUMPRODUCT(--($AL1179:$AQ1179&gt;AM1179))+SUMPRODUCT(--($AL1179:AL1179=AM1179))&lt;$AK1179,1,0)</f>
        <v>83</v>
      </c>
      <c r="N1179" s="2" t="n">
        <f aca="false">AG1179+IF(SUMPRODUCT(--($AL1179:$AQ1179&gt;AN1179))+SUMPRODUCT(--($AL1179:AM1179=AN1179))&lt;$AK1179,1,0)</f>
        <v>105</v>
      </c>
      <c r="O1179" s="2" t="n">
        <f aca="false">AH1179+IF(SUMPRODUCT(--($AL1179:$AQ1179&gt;AO1179))+SUMPRODUCT(--($AL1179:AN1179=AO1179))&lt;$AK1179,1,0)</f>
        <v>112</v>
      </c>
      <c r="P1179" s="2" t="n">
        <f aca="false">AI1179+IF(SUMPRODUCT(--($AL1179:$AQ1179&gt;AP1179))+SUMPRODUCT(--($AL1179:AO1179=AP1179))&lt;$AK1179,1,0)</f>
        <v>52</v>
      </c>
      <c r="Q1179" s="2" t="n">
        <f aca="false">AJ1179+IF(SUMPRODUCT(--($AL1179:$AQ1179&gt;AQ1179))+SUMPRODUCT(--($AL1179:AP1179=AQ1179))&lt;$AK1179,1,0)</f>
        <v>83</v>
      </c>
      <c r="R1179" s="2" t="n">
        <f aca="false">SUM(L1179:Q1179)</f>
        <v>500</v>
      </c>
      <c r="S1179" s="2" t="n">
        <f aca="false">Settings!$B$4*MAX(INDEX(Bases!$M$2:$M$53,B1179),INDEX(Bases!$M$2:$M$53,C1179))+Settings!$B$5*MIN(INDEX(Bases!$M$2:$M$53,B1179),INDEX(Bases!$M$2:$M$53,C1179))</f>
        <v>59</v>
      </c>
      <c r="T1179" s="2" t="n">
        <f aca="false">Settings!$B$4*MAX(INDEX(Bases!$N$2:$N$53,B1179),INDEX(Bases!$N$2:$N$53,C1179))+Settings!$B$5*MIN(INDEX(Bases!$N$2:$N$53,B1179),INDEX(Bases!$N$2:$N$53,C1179))</f>
        <v>75</v>
      </c>
      <c r="U1179" s="2" t="n">
        <f aca="false">Settings!$B$4*MAX(INDEX(Bases!$O$2:$O$53,B1179),INDEX(Bases!$O$2:$O$53,C1179))+Settings!$B$5*MIN(INDEX(Bases!$O$2:$O$53,B1179),INDEX(Bases!$O$2:$O$53,C1179))</f>
        <v>95.6666666666667</v>
      </c>
      <c r="V1179" s="2" t="n">
        <f aca="false">Settings!$B$4*MAX(INDEX(Bases!$P$2:$P$53,B1179),INDEX(Bases!$P$2:$P$53,C1179))+Settings!$B$5*MIN(INDEX(Bases!$P$2:$P$53,B1179),INDEX(Bases!$P$2:$P$53,C1179))</f>
        <v>102</v>
      </c>
      <c r="W1179" s="2" t="n">
        <f aca="false">Settings!$B$4*MAX(INDEX(Bases!$Q$2:$Q$53,B1179),INDEX(Bases!$Q$2:$Q$53,C1179))+Settings!$B$5*MIN(INDEX(Bases!$Q$2:$Q$53,B1179),INDEX(Bases!$Q$2:$Q$53,C1179))</f>
        <v>47</v>
      </c>
      <c r="X1179" s="2" t="n">
        <f aca="false">Settings!$B$4*MAX(INDEX(Bases!$R$2:$R$53,B1179),INDEX(Bases!$R$2:$R$53,C1179))+Settings!$B$5*MIN(INDEX(Bases!$R$2:$R$53,B1179),INDEX(Bases!$R$2:$R$53,C1179))</f>
        <v>75.6666666666667</v>
      </c>
      <c r="Y1179" s="2" t="n">
        <f aca="false">S1179*Settings!$B$3/SUM(S1179:X1179)</f>
        <v>64.9303008070433</v>
      </c>
      <c r="Z1179" s="2" t="n">
        <f aca="false">T1179*Settings!$B$3/SUM(S1179:X1179)</f>
        <v>82.538517975055</v>
      </c>
      <c r="AA1179" s="2" t="n">
        <f aca="false">U1179*Settings!$B$3/SUM(S1179:X1179)</f>
        <v>105.282465150404</v>
      </c>
      <c r="AB1179" s="2" t="n">
        <f aca="false">V1179*Settings!$B$3/SUM(S1179:X1179)</f>
        <v>112.252384446075</v>
      </c>
      <c r="AC1179" s="2" t="n">
        <f aca="false">W1179*Settings!$B$3/SUM(S1179:X1179)</f>
        <v>51.7241379310345</v>
      </c>
      <c r="AD1179" s="2" t="n">
        <f aca="false">X1179*Settings!$B$3/SUM(S1179:X1179)</f>
        <v>83.2721936903889</v>
      </c>
      <c r="AE1179" s="2" t="n">
        <f aca="false">INT(Y1179)</f>
        <v>64</v>
      </c>
      <c r="AF1179" s="2" t="n">
        <f aca="false">INT(Z1179)</f>
        <v>82</v>
      </c>
      <c r="AG1179" s="2" t="n">
        <f aca="false">INT(AA1179)</f>
        <v>105</v>
      </c>
      <c r="AH1179" s="2" t="n">
        <f aca="false">INT(AB1179)</f>
        <v>112</v>
      </c>
      <c r="AI1179" s="2" t="n">
        <f aca="false">INT(AC1179)</f>
        <v>51</v>
      </c>
      <c r="AJ1179" s="2" t="n">
        <f aca="false">INT(AD1179)</f>
        <v>83</v>
      </c>
      <c r="AK1179" s="2" t="n">
        <f aca="false">Settings!$B$3-SUM(AE1179:AJ1179)</f>
        <v>3</v>
      </c>
      <c r="AL1179" s="2" t="n">
        <f aca="false">ROUND(Y1179-AE1179,9)</f>
        <v>0.930300807</v>
      </c>
      <c r="AM1179" s="2" t="n">
        <f aca="false">ROUND(Z1179-AF1179,9)</f>
        <v>0.538517975</v>
      </c>
      <c r="AN1179" s="2" t="n">
        <f aca="false">ROUND(AA1179-AG1179,9)</f>
        <v>0.28246515</v>
      </c>
      <c r="AO1179" s="2" t="n">
        <f aca="false">ROUND(AB1179-AH1179,9)</f>
        <v>0.252384446</v>
      </c>
      <c r="AP1179" s="2" t="n">
        <f aca="false">ROUND(AC1179-AI1179,9)</f>
        <v>0.724137931</v>
      </c>
      <c r="AQ1179" s="2" t="n">
        <f aca="false">ROUND(AD1179-AJ1179,9)</f>
        <v>0.27219369</v>
      </c>
    </row>
    <row r="1180" customFormat="false" ht="15" hidden="false" customHeight="false" outlineLevel="0" collapsed="false">
      <c r="A1180" s="2" t="n">
        <v>1179</v>
      </c>
      <c r="B1180" s="6" t="n">
        <v>35</v>
      </c>
      <c r="C1180" s="6" t="n">
        <v>41</v>
      </c>
      <c r="D1180" s="8" t="str">
        <f aca="false">INDEX(Bases!$B$2:$B$53,B1180)</f>
        <v>Pineco</v>
      </c>
      <c r="E1180" s="8" t="str">
        <f aca="false">INDEX(Bases!$B$2:$B$53,C1180)</f>
        <v>Misdreavus</v>
      </c>
      <c r="F1180" s="2" t="str">
        <f aca="false">LEFT(D1180,ROUNDUP(LEN(D1180)/2,0))&amp;LOWER(MID(E1180,ROUNDUP(LEN(E1180)/2,0)+1,20))</f>
        <v>Pineavus</v>
      </c>
      <c r="G1180" s="8" t="str">
        <f aca="false">INDEX(Bases!$C$2:$C$53,B1180)</f>
        <v>Bug</v>
      </c>
      <c r="H1180" s="8" t="str">
        <f aca="false">IF(INDEX(Bases!$C$2:$C$53,C1180)=G1180,"",INDEX(Bases!$C$2:$C$53,C1180))</f>
        <v>Ghost</v>
      </c>
      <c r="I1180" s="8" t="str">
        <f aca="false">IF(INDEX(Bases!$E$2:$E$53,B1180)="","",INDEX(Bases!$E$2:$E$53,B1180))</f>
        <v/>
      </c>
      <c r="J1180" s="8" t="str">
        <f aca="false">IF(INDEX(Bases!$E$2:$E$53,C1180)="","",INDEX(Bases!$E$2:$E$53,C1180))</f>
        <v/>
      </c>
      <c r="K1180" s="5"/>
      <c r="L1180" s="2" t="n">
        <f aca="false">AE1180+IF(SUMPRODUCT(--($AL1180:$AQ1180&gt;AL1180))&lt;$AK1180,1,0)</f>
        <v>74</v>
      </c>
      <c r="M1180" s="2" t="n">
        <f aca="false">AF1180+IF(SUMPRODUCT(--($AL1180:$AQ1180&gt;AM1180))+SUMPRODUCT(--($AL1180:AL1180=AM1180))&lt;$AK1180,1,0)</f>
        <v>89</v>
      </c>
      <c r="N1180" s="2" t="n">
        <f aca="false">AG1180+IF(SUMPRODUCT(--($AL1180:$AQ1180&gt;AN1180))+SUMPRODUCT(--($AL1180:AM1180=AN1180))&lt;$AK1180,1,0)</f>
        <v>115</v>
      </c>
      <c r="O1180" s="2" t="n">
        <f aca="false">AH1180+IF(SUMPRODUCT(--($AL1180:$AQ1180&gt;AO1180))+SUMPRODUCT(--($AL1180:AN1180=AO1180))&lt;$AK1180,1,0)</f>
        <v>78</v>
      </c>
      <c r="P1180" s="2" t="n">
        <f aca="false">AI1180+IF(SUMPRODUCT(--($AL1180:$AQ1180&gt;AP1180))+SUMPRODUCT(--($AL1180:AO1180=AP1180))&lt;$AK1180,1,0)</f>
        <v>77</v>
      </c>
      <c r="Q1180" s="2" t="n">
        <f aca="false">AJ1180+IF(SUMPRODUCT(--($AL1180:$AQ1180&gt;AQ1180))+SUMPRODUCT(--($AL1180:AP1180=AQ1180))&lt;$AK1180,1,0)</f>
        <v>67</v>
      </c>
      <c r="R1180" s="2" t="n">
        <f aca="false">SUM(L1180:Q1180)</f>
        <v>500</v>
      </c>
      <c r="S1180" s="2" t="n">
        <f aca="false">Settings!$B$4*MAX(INDEX(Bases!$M$2:$M$53,B1180),INDEX(Bases!$M$2:$M$53,C1180))+Settings!$B$5*MIN(INDEX(Bases!$M$2:$M$53,B1180),INDEX(Bases!$M$2:$M$53,C1180))</f>
        <v>64.6666666666667</v>
      </c>
      <c r="T1180" s="2" t="n">
        <f aca="false">Settings!$B$4*MAX(INDEX(Bases!$N$2:$N$53,B1180),INDEX(Bases!$N$2:$N$53,C1180))+Settings!$B$5*MIN(INDEX(Bases!$N$2:$N$53,B1180),INDEX(Bases!$N$2:$N$53,C1180))</f>
        <v>78.3333333333333</v>
      </c>
      <c r="U1180" s="2" t="n">
        <f aca="false">Settings!$B$4*MAX(INDEX(Bases!$O$2:$O$53,B1180),INDEX(Bases!$O$2:$O$53,C1180))+Settings!$B$5*MIN(INDEX(Bases!$O$2:$O$53,B1180),INDEX(Bases!$O$2:$O$53,C1180))</f>
        <v>101</v>
      </c>
      <c r="V1180" s="2" t="n">
        <f aca="false">Settings!$B$4*MAX(INDEX(Bases!$P$2:$P$53,B1180),INDEX(Bases!$P$2:$P$53,C1180))+Settings!$B$5*MIN(INDEX(Bases!$P$2:$P$53,B1180),INDEX(Bases!$P$2:$P$53,C1180))</f>
        <v>68</v>
      </c>
      <c r="W1180" s="2" t="n">
        <f aca="false">Settings!$B$4*MAX(INDEX(Bases!$Q$2:$Q$53,B1180),INDEX(Bases!$Q$2:$Q$53,C1180))+Settings!$B$5*MIN(INDEX(Bases!$Q$2:$Q$53,B1180),INDEX(Bases!$Q$2:$Q$53,C1180))</f>
        <v>68</v>
      </c>
      <c r="X1180" s="2" t="n">
        <f aca="false">Settings!$B$4*MAX(INDEX(Bases!$R$2:$R$53,B1180),INDEX(Bases!$R$2:$R$53,C1180))+Settings!$B$5*MIN(INDEX(Bases!$R$2:$R$53,B1180),INDEX(Bases!$R$2:$R$53,C1180))</f>
        <v>59</v>
      </c>
      <c r="Y1180" s="2" t="n">
        <f aca="false">S1180*Settings!$B$3/SUM(S1180:X1180)</f>
        <v>73.6522399392559</v>
      </c>
      <c r="Z1180" s="2" t="n">
        <f aca="false">T1180*Settings!$B$3/SUM(S1180:X1180)</f>
        <v>89.2179195140471</v>
      </c>
      <c r="AA1180" s="2" t="n">
        <f aca="false">U1180*Settings!$B$3/SUM(S1180:X1180)</f>
        <v>115.03416856492</v>
      </c>
      <c r="AB1180" s="2" t="n">
        <f aca="false">V1180*Settings!$B$3/SUM(S1180:X1180)</f>
        <v>77.4487471526196</v>
      </c>
      <c r="AC1180" s="2" t="n">
        <f aca="false">W1180*Settings!$B$3/SUM(S1180:X1180)</f>
        <v>77.4487471526196</v>
      </c>
      <c r="AD1180" s="2" t="n">
        <f aca="false">X1180*Settings!$B$3/SUM(S1180:X1180)</f>
        <v>67.1981776765376</v>
      </c>
      <c r="AE1180" s="2" t="n">
        <f aca="false">INT(Y1180)</f>
        <v>73</v>
      </c>
      <c r="AF1180" s="2" t="n">
        <f aca="false">INT(Z1180)</f>
        <v>89</v>
      </c>
      <c r="AG1180" s="2" t="n">
        <f aca="false">INT(AA1180)</f>
        <v>115</v>
      </c>
      <c r="AH1180" s="2" t="n">
        <f aca="false">INT(AB1180)</f>
        <v>77</v>
      </c>
      <c r="AI1180" s="2" t="n">
        <f aca="false">INT(AC1180)</f>
        <v>77</v>
      </c>
      <c r="AJ1180" s="2" t="n">
        <f aca="false">INT(AD1180)</f>
        <v>67</v>
      </c>
      <c r="AK1180" s="2" t="n">
        <f aca="false">Settings!$B$3-SUM(AE1180:AJ1180)</f>
        <v>2</v>
      </c>
      <c r="AL1180" s="2" t="n">
        <f aca="false">ROUND(Y1180-AE1180,9)</f>
        <v>0.652239939</v>
      </c>
      <c r="AM1180" s="2" t="n">
        <f aca="false">ROUND(Z1180-AF1180,9)</f>
        <v>0.217919514</v>
      </c>
      <c r="AN1180" s="2" t="n">
        <f aca="false">ROUND(AA1180-AG1180,9)</f>
        <v>0.034168565</v>
      </c>
      <c r="AO1180" s="2" t="n">
        <f aca="false">ROUND(AB1180-AH1180,9)</f>
        <v>0.448747153</v>
      </c>
      <c r="AP1180" s="2" t="n">
        <f aca="false">ROUND(AC1180-AI1180,9)</f>
        <v>0.448747153</v>
      </c>
      <c r="AQ1180" s="2" t="n">
        <f aca="false">ROUND(AD1180-AJ1180,9)</f>
        <v>0.198177677</v>
      </c>
    </row>
    <row r="1181" customFormat="false" ht="15" hidden="false" customHeight="false" outlineLevel="0" collapsed="false">
      <c r="A1181" s="2" t="n">
        <v>1180</v>
      </c>
      <c r="B1181" s="6" t="n">
        <v>35</v>
      </c>
      <c r="C1181" s="6" t="n">
        <v>42</v>
      </c>
      <c r="D1181" s="8" t="str">
        <f aca="false">INDEX(Bases!$B$2:$B$53,B1181)</f>
        <v>Pineco</v>
      </c>
      <c r="E1181" s="8" t="str">
        <f aca="false">INDEX(Bases!$B$2:$B$53,C1181)</f>
        <v>Sableye</v>
      </c>
      <c r="F1181" s="2" t="str">
        <f aca="false">LEFT(D1181,ROUNDUP(LEN(D1181)/2,0))&amp;LOWER(MID(E1181,ROUNDUP(LEN(E1181)/2,0)+1,20))</f>
        <v>Pineye</v>
      </c>
      <c r="G1181" s="8" t="str">
        <f aca="false">INDEX(Bases!$C$2:$C$53,B1181)</f>
        <v>Bug</v>
      </c>
      <c r="H1181" s="8" t="str">
        <f aca="false">IF(INDEX(Bases!$C$2:$C$53,C1181)=G1181,"",INDEX(Bases!$C$2:$C$53,C1181))</f>
        <v>Ghost</v>
      </c>
      <c r="I1181" s="8" t="str">
        <f aca="false">IF(INDEX(Bases!$E$2:$E$53,B1181)="","",INDEX(Bases!$E$2:$E$53,B1181))</f>
        <v/>
      </c>
      <c r="J1181" s="8" t="str">
        <f aca="false">IF(INDEX(Bases!$E$2:$E$53,C1181)="","",INDEX(Bases!$E$2:$E$53,C1181))</f>
        <v/>
      </c>
      <c r="K1181" s="5"/>
      <c r="L1181" s="2" t="n">
        <f aca="false">AE1181+IF(SUMPRODUCT(--($AL1181:$AQ1181&gt;AL1181))&lt;$AK1181,1,0)</f>
        <v>75</v>
      </c>
      <c r="M1181" s="2" t="n">
        <f aca="false">AF1181+IF(SUMPRODUCT(--($AL1181:$AQ1181&gt;AM1181))+SUMPRODUCT(--($AL1181:AL1181=AM1181))&lt;$AK1181,1,0)</f>
        <v>102</v>
      </c>
      <c r="N1181" s="2" t="n">
        <f aca="false">AG1181+IF(SUMPRODUCT(--($AL1181:$AQ1181&gt;AN1181))+SUMPRODUCT(--($AL1181:AM1181=AN1181))&lt;$AK1181,1,0)</f>
        <v>129</v>
      </c>
      <c r="O1181" s="2" t="n">
        <f aca="false">AH1181+IF(SUMPRODUCT(--($AL1181:$AQ1181&gt;AO1181))+SUMPRODUCT(--($AL1181:AN1181=AO1181))&lt;$AK1181,1,0)</f>
        <v>72</v>
      </c>
      <c r="P1181" s="2" t="n">
        <f aca="false">AI1181+IF(SUMPRODUCT(--($AL1181:$AQ1181&gt;AP1181))+SUMPRODUCT(--($AL1181:AO1181=AP1181))&lt;$AK1181,1,0)</f>
        <v>72</v>
      </c>
      <c r="Q1181" s="2" t="n">
        <f aca="false">AJ1181+IF(SUMPRODUCT(--($AL1181:$AQ1181&gt;AQ1181))+SUMPRODUCT(--($AL1181:AP1181=AQ1181))&lt;$AK1181,1,0)</f>
        <v>50</v>
      </c>
      <c r="R1181" s="2" t="n">
        <f aca="false">SUM(L1181:Q1181)</f>
        <v>500</v>
      </c>
      <c r="S1181" s="2" t="n">
        <f aca="false">Settings!$B$4*MAX(INDEX(Bases!$M$2:$M$53,B1181),INDEX(Bases!$M$2:$M$53,C1181))+Settings!$B$5*MIN(INDEX(Bases!$M$2:$M$53,B1181),INDEX(Bases!$M$2:$M$53,C1181))</f>
        <v>63.6666666666667</v>
      </c>
      <c r="T1181" s="2" t="n">
        <f aca="false">Settings!$B$4*MAX(INDEX(Bases!$N$2:$N$53,B1181),INDEX(Bases!$N$2:$N$53,C1181))+Settings!$B$5*MIN(INDEX(Bases!$N$2:$N$53,B1181),INDEX(Bases!$N$2:$N$53,C1181))</f>
        <v>86.3333333333333</v>
      </c>
      <c r="U1181" s="2" t="n">
        <f aca="false">Settings!$B$4*MAX(INDEX(Bases!$O$2:$O$53,B1181),INDEX(Bases!$O$2:$O$53,C1181))+Settings!$B$5*MIN(INDEX(Bases!$O$2:$O$53,B1181),INDEX(Bases!$O$2:$O$53,C1181))</f>
        <v>109</v>
      </c>
      <c r="V1181" s="2" t="n">
        <f aca="false">Settings!$B$4*MAX(INDEX(Bases!$P$2:$P$53,B1181),INDEX(Bases!$P$2:$P$53,C1181))+Settings!$B$5*MIN(INDEX(Bases!$P$2:$P$53,B1181),INDEX(Bases!$P$2:$P$53,C1181))</f>
        <v>61.3333333333333</v>
      </c>
      <c r="W1181" s="2" t="n">
        <f aca="false">Settings!$B$4*MAX(INDEX(Bases!$Q$2:$Q$53,B1181),INDEX(Bases!$Q$2:$Q$53,C1181))+Settings!$B$5*MIN(INDEX(Bases!$Q$2:$Q$53,B1181),INDEX(Bases!$Q$2:$Q$53,C1181))</f>
        <v>61.3333333333333</v>
      </c>
      <c r="X1181" s="2" t="n">
        <f aca="false">Settings!$B$4*MAX(INDEX(Bases!$R$2:$R$53,B1181),INDEX(Bases!$R$2:$R$53,C1181))+Settings!$B$5*MIN(INDEX(Bases!$R$2:$R$53,B1181),INDEX(Bases!$R$2:$R$53,C1181))</f>
        <v>42.3333333333333</v>
      </c>
      <c r="Y1181" s="2" t="n">
        <f aca="false">S1181*Settings!$B$3/SUM(S1181:X1181)</f>
        <v>75.0786163522013</v>
      </c>
      <c r="Z1181" s="2" t="n">
        <f aca="false">T1181*Settings!$B$3/SUM(S1181:X1181)</f>
        <v>101.808176100629</v>
      </c>
      <c r="AA1181" s="2" t="n">
        <f aca="false">U1181*Settings!$B$3/SUM(S1181:X1181)</f>
        <v>128.537735849057</v>
      </c>
      <c r="AB1181" s="2" t="n">
        <f aca="false">V1181*Settings!$B$3/SUM(S1181:X1181)</f>
        <v>72.3270440251572</v>
      </c>
      <c r="AC1181" s="2" t="n">
        <f aca="false">W1181*Settings!$B$3/SUM(S1181:X1181)</f>
        <v>72.3270440251572</v>
      </c>
      <c r="AD1181" s="2" t="n">
        <f aca="false">X1181*Settings!$B$3/SUM(S1181:X1181)</f>
        <v>49.9213836477987</v>
      </c>
      <c r="AE1181" s="2" t="n">
        <f aca="false">INT(Y1181)</f>
        <v>75</v>
      </c>
      <c r="AF1181" s="2" t="n">
        <f aca="false">INT(Z1181)</f>
        <v>101</v>
      </c>
      <c r="AG1181" s="2" t="n">
        <f aca="false">INT(AA1181)</f>
        <v>128</v>
      </c>
      <c r="AH1181" s="2" t="n">
        <f aca="false">INT(AB1181)</f>
        <v>72</v>
      </c>
      <c r="AI1181" s="2" t="n">
        <f aca="false">INT(AC1181)</f>
        <v>72</v>
      </c>
      <c r="AJ1181" s="2" t="n">
        <f aca="false">INT(AD1181)</f>
        <v>49</v>
      </c>
      <c r="AK1181" s="2" t="n">
        <f aca="false">Settings!$B$3-SUM(AE1181:AJ1181)</f>
        <v>3</v>
      </c>
      <c r="AL1181" s="2" t="n">
        <f aca="false">ROUND(Y1181-AE1181,9)</f>
        <v>0.078616352</v>
      </c>
      <c r="AM1181" s="2" t="n">
        <f aca="false">ROUND(Z1181-AF1181,9)</f>
        <v>0.808176101</v>
      </c>
      <c r="AN1181" s="2" t="n">
        <f aca="false">ROUND(AA1181-AG1181,9)</f>
        <v>0.537735849</v>
      </c>
      <c r="AO1181" s="2" t="n">
        <f aca="false">ROUND(AB1181-AH1181,9)</f>
        <v>0.327044025</v>
      </c>
      <c r="AP1181" s="2" t="n">
        <f aca="false">ROUND(AC1181-AI1181,9)</f>
        <v>0.327044025</v>
      </c>
      <c r="AQ1181" s="2" t="n">
        <f aca="false">ROUND(AD1181-AJ1181,9)</f>
        <v>0.921383648</v>
      </c>
    </row>
    <row r="1182" customFormat="false" ht="15" hidden="false" customHeight="false" outlineLevel="0" collapsed="false">
      <c r="A1182" s="2" t="n">
        <v>1181</v>
      </c>
      <c r="B1182" s="6" t="n">
        <v>35</v>
      </c>
      <c r="C1182" s="6" t="n">
        <v>43</v>
      </c>
      <c r="D1182" s="8" t="str">
        <f aca="false">INDEX(Bases!$B$2:$B$53,B1182)</f>
        <v>Pineco</v>
      </c>
      <c r="E1182" s="8" t="str">
        <f aca="false">INDEX(Bases!$B$2:$B$53,C1182)</f>
        <v>Dratini</v>
      </c>
      <c r="F1182" s="2" t="str">
        <f aca="false">LEFT(D1182,ROUNDUP(LEN(D1182)/2,0))&amp;LOWER(MID(E1182,ROUNDUP(LEN(E1182)/2,0)+1,20))</f>
        <v>Pinini</v>
      </c>
      <c r="G1182" s="8" t="str">
        <f aca="false">INDEX(Bases!$C$2:$C$53,B1182)</f>
        <v>Bug</v>
      </c>
      <c r="H1182" s="8" t="str">
        <f aca="false">IF(INDEX(Bases!$C$2:$C$53,C1182)=G1182,"",INDEX(Bases!$C$2:$C$53,C1182))</f>
        <v>Dragon</v>
      </c>
      <c r="I1182" s="8" t="str">
        <f aca="false">IF(INDEX(Bases!$E$2:$E$53,B1182)="","",INDEX(Bases!$E$2:$E$53,B1182))</f>
        <v/>
      </c>
      <c r="J1182" s="8" t="str">
        <f aca="false">IF(INDEX(Bases!$E$2:$E$53,C1182)="","",INDEX(Bases!$E$2:$E$53,C1182))</f>
        <v/>
      </c>
      <c r="K1182" s="5"/>
      <c r="L1182" s="2" t="n">
        <f aca="false">AE1182+IF(SUMPRODUCT(--($AL1182:$AQ1182&gt;AL1182))&lt;$AK1182,1,0)</f>
        <v>75</v>
      </c>
      <c r="M1182" s="2" t="n">
        <f aca="false">AF1182+IF(SUMPRODUCT(--($AL1182:$AQ1182&gt;AM1182))+SUMPRODUCT(--($AL1182:AL1182=AM1182))&lt;$AK1182,1,0)</f>
        <v>103</v>
      </c>
      <c r="N1182" s="2" t="n">
        <f aca="false">AG1182+IF(SUMPRODUCT(--($AL1182:$AQ1182&gt;AN1182))+SUMPRODUCT(--($AL1182:AM1182=AN1182))&lt;$AK1182,1,0)</f>
        <v>120</v>
      </c>
      <c r="O1182" s="2" t="n">
        <f aca="false">AH1182+IF(SUMPRODUCT(--($AL1182:$AQ1182&gt;AO1182))+SUMPRODUCT(--($AL1182:AN1182=AO1182))&lt;$AK1182,1,0)</f>
        <v>71</v>
      </c>
      <c r="P1182" s="2" t="n">
        <f aca="false">AI1182+IF(SUMPRODUCT(--($AL1182:$AQ1182&gt;AP1182))+SUMPRODUCT(--($AL1182:AO1182=AP1182))&lt;$AK1182,1,0)</f>
        <v>71</v>
      </c>
      <c r="Q1182" s="2" t="n">
        <f aca="false">AJ1182+IF(SUMPRODUCT(--($AL1182:$AQ1182&gt;AQ1182))+SUMPRODUCT(--($AL1182:AP1182=AQ1182))&lt;$AK1182,1,0)</f>
        <v>60</v>
      </c>
      <c r="R1182" s="2" t="n">
        <f aca="false">SUM(L1182:Q1182)</f>
        <v>500</v>
      </c>
      <c r="S1182" s="2" t="n">
        <f aca="false">Settings!$B$4*MAX(INDEX(Bases!$M$2:$M$53,B1182),INDEX(Bases!$M$2:$M$53,C1182))+Settings!$B$5*MIN(INDEX(Bases!$M$2:$M$53,B1182),INDEX(Bases!$M$2:$M$53,C1182))</f>
        <v>64.3333333333333</v>
      </c>
      <c r="T1182" s="2" t="n">
        <f aca="false">Settings!$B$4*MAX(INDEX(Bases!$N$2:$N$53,B1182),INDEX(Bases!$N$2:$N$53,C1182))+Settings!$B$5*MIN(INDEX(Bases!$N$2:$N$53,B1182),INDEX(Bases!$N$2:$N$53,C1182))</f>
        <v>88.3333333333333</v>
      </c>
      <c r="U1182" s="2" t="n">
        <f aca="false">Settings!$B$4*MAX(INDEX(Bases!$O$2:$O$53,B1182),INDEX(Bases!$O$2:$O$53,C1182))+Settings!$B$5*MIN(INDEX(Bases!$O$2:$O$53,B1182),INDEX(Bases!$O$2:$O$53,C1182))</f>
        <v>102.666666666667</v>
      </c>
      <c r="V1182" s="2" t="n">
        <f aca="false">Settings!$B$4*MAX(INDEX(Bases!$P$2:$P$53,B1182),INDEX(Bases!$P$2:$P$53,C1182))+Settings!$B$5*MIN(INDEX(Bases!$P$2:$P$53,B1182),INDEX(Bases!$P$2:$P$53,C1182))</f>
        <v>60.6666666666667</v>
      </c>
      <c r="W1182" s="2" t="n">
        <f aca="false">Settings!$B$4*MAX(INDEX(Bases!$Q$2:$Q$53,B1182),INDEX(Bases!$Q$2:$Q$53,C1182))+Settings!$B$5*MIN(INDEX(Bases!$Q$2:$Q$53,B1182),INDEX(Bases!$Q$2:$Q$53,C1182))</f>
        <v>60.6666666666667</v>
      </c>
      <c r="X1182" s="2" t="n">
        <f aca="false">Settings!$B$4*MAX(INDEX(Bases!$R$2:$R$53,B1182),INDEX(Bases!$R$2:$R$53,C1182))+Settings!$B$5*MIN(INDEX(Bases!$R$2:$R$53,B1182),INDEX(Bases!$R$2:$R$53,C1182))</f>
        <v>51</v>
      </c>
      <c r="Y1182" s="2" t="n">
        <f aca="false">S1182*Settings!$B$3/SUM(S1182:X1182)</f>
        <v>75.2143413873734</v>
      </c>
      <c r="Z1182" s="2" t="n">
        <f aca="false">T1182*Settings!$B$3/SUM(S1182:X1182)</f>
        <v>103.273577552611</v>
      </c>
      <c r="AA1182" s="2" t="n">
        <f aca="false">U1182*Settings!$B$3/SUM(S1182:X1182)</f>
        <v>120.031176929072</v>
      </c>
      <c r="AB1182" s="2" t="n">
        <f aca="false">V1182*Settings!$B$3/SUM(S1182:X1182)</f>
        <v>70.9275136399065</v>
      </c>
      <c r="AC1182" s="2" t="n">
        <f aca="false">W1182*Settings!$B$3/SUM(S1182:X1182)</f>
        <v>70.9275136399065</v>
      </c>
      <c r="AD1182" s="2" t="n">
        <f aca="false">X1182*Settings!$B$3/SUM(S1182:X1182)</f>
        <v>59.6258768511302</v>
      </c>
      <c r="AE1182" s="2" t="n">
        <f aca="false">INT(Y1182)</f>
        <v>75</v>
      </c>
      <c r="AF1182" s="2" t="n">
        <f aca="false">INT(Z1182)</f>
        <v>103</v>
      </c>
      <c r="AG1182" s="2" t="n">
        <f aca="false">INT(AA1182)</f>
        <v>120</v>
      </c>
      <c r="AH1182" s="2" t="n">
        <f aca="false">INT(AB1182)</f>
        <v>70</v>
      </c>
      <c r="AI1182" s="2" t="n">
        <f aca="false">INT(AC1182)</f>
        <v>70</v>
      </c>
      <c r="AJ1182" s="2" t="n">
        <f aca="false">INT(AD1182)</f>
        <v>59</v>
      </c>
      <c r="AK1182" s="2" t="n">
        <f aca="false">Settings!$B$3-SUM(AE1182:AJ1182)</f>
        <v>3</v>
      </c>
      <c r="AL1182" s="2" t="n">
        <f aca="false">ROUND(Y1182-AE1182,9)</f>
        <v>0.214341387</v>
      </c>
      <c r="AM1182" s="2" t="n">
        <f aca="false">ROUND(Z1182-AF1182,9)</f>
        <v>0.273577553</v>
      </c>
      <c r="AN1182" s="2" t="n">
        <f aca="false">ROUND(AA1182-AG1182,9)</f>
        <v>0.031176929</v>
      </c>
      <c r="AO1182" s="2" t="n">
        <f aca="false">ROUND(AB1182-AH1182,9)</f>
        <v>0.92751364</v>
      </c>
      <c r="AP1182" s="2" t="n">
        <f aca="false">ROUND(AC1182-AI1182,9)</f>
        <v>0.92751364</v>
      </c>
      <c r="AQ1182" s="2" t="n">
        <f aca="false">ROUND(AD1182-AJ1182,9)</f>
        <v>0.625876851</v>
      </c>
    </row>
    <row r="1183" customFormat="false" ht="15" hidden="false" customHeight="false" outlineLevel="0" collapsed="false">
      <c r="A1183" s="2" t="n">
        <v>1182</v>
      </c>
      <c r="B1183" s="6" t="n">
        <v>35</v>
      </c>
      <c r="C1183" s="6" t="n">
        <v>44</v>
      </c>
      <c r="D1183" s="8" t="str">
        <f aca="false">INDEX(Bases!$B$2:$B$53,B1183)</f>
        <v>Pineco</v>
      </c>
      <c r="E1183" s="8" t="str">
        <f aca="false">INDEX(Bases!$B$2:$B$53,C1183)</f>
        <v>Bagon</v>
      </c>
      <c r="F1183" s="2" t="str">
        <f aca="false">LEFT(D1183,ROUNDUP(LEN(D1183)/2,0))&amp;LOWER(MID(E1183,ROUNDUP(LEN(E1183)/2,0)+1,20))</f>
        <v>Pinon</v>
      </c>
      <c r="G1183" s="8" t="str">
        <f aca="false">INDEX(Bases!$C$2:$C$53,B1183)</f>
        <v>Bug</v>
      </c>
      <c r="H1183" s="8" t="str">
        <f aca="false">IF(INDEX(Bases!$C$2:$C$53,C1183)=G1183,"",INDEX(Bases!$C$2:$C$53,C1183))</f>
        <v>Dragon</v>
      </c>
      <c r="I1183" s="8" t="str">
        <f aca="false">IF(INDEX(Bases!$E$2:$E$53,B1183)="","",INDEX(Bases!$E$2:$E$53,B1183))</f>
        <v/>
      </c>
      <c r="J1183" s="8" t="str">
        <f aca="false">IF(INDEX(Bases!$E$2:$E$53,C1183)="","",INDEX(Bases!$E$2:$E$53,C1183))</f>
        <v/>
      </c>
      <c r="K1183" s="5"/>
      <c r="L1183" s="2" t="n">
        <f aca="false">AE1183+IF(SUMPRODUCT(--($AL1183:$AQ1183&gt;AL1183))&lt;$AK1183,1,0)</f>
        <v>79</v>
      </c>
      <c r="M1183" s="2" t="n">
        <f aca="false">AF1183+IF(SUMPRODUCT(--($AL1183:$AQ1183&gt;AM1183))+SUMPRODUCT(--($AL1183:AL1183=AM1183))&lt;$AK1183,1,0)</f>
        <v>115</v>
      </c>
      <c r="N1183" s="2" t="n">
        <f aca="false">AG1183+IF(SUMPRODUCT(--($AL1183:$AQ1183&gt;AN1183))+SUMPRODUCT(--($AL1183:AM1183=AN1183))&lt;$AK1183,1,0)</f>
        <v>130</v>
      </c>
      <c r="O1183" s="2" t="n">
        <f aca="false">AH1183+IF(SUMPRODUCT(--($AL1183:$AQ1183&gt;AO1183))+SUMPRODUCT(--($AL1183:AN1183=AO1183))&lt;$AK1183,1,0)</f>
        <v>61</v>
      </c>
      <c r="P1183" s="2" t="n">
        <f aca="false">AI1183+IF(SUMPRODUCT(--($AL1183:$AQ1183&gt;AP1183))+SUMPRODUCT(--($AL1183:AO1183=AP1183))&lt;$AK1183,1,0)</f>
        <v>54</v>
      </c>
      <c r="Q1183" s="2" t="n">
        <f aca="false">AJ1183+IF(SUMPRODUCT(--($AL1183:$AQ1183&gt;AQ1183))+SUMPRODUCT(--($AL1183:AP1183=AQ1183))&lt;$AK1183,1,0)</f>
        <v>61</v>
      </c>
      <c r="R1183" s="2" t="n">
        <f aca="false">SUM(L1183:Q1183)</f>
        <v>500</v>
      </c>
      <c r="S1183" s="2" t="n">
        <f aca="false">Settings!$B$4*MAX(INDEX(Bases!$M$2:$M$53,B1183),INDEX(Bases!$M$2:$M$53,C1183))+Settings!$B$5*MIN(INDEX(Bases!$M$2:$M$53,B1183),INDEX(Bases!$M$2:$M$53,C1183))</f>
        <v>66</v>
      </c>
      <c r="T1183" s="2" t="n">
        <f aca="false">Settings!$B$4*MAX(INDEX(Bases!$N$2:$N$53,B1183),INDEX(Bases!$N$2:$N$53,C1183))+Settings!$B$5*MIN(INDEX(Bases!$N$2:$N$53,B1183),INDEX(Bases!$N$2:$N$53,C1183))</f>
        <v>96.6666666666667</v>
      </c>
      <c r="U1183" s="2" t="n">
        <f aca="false">Settings!$B$4*MAX(INDEX(Bases!$O$2:$O$53,B1183),INDEX(Bases!$O$2:$O$53,C1183))+Settings!$B$5*MIN(INDEX(Bases!$O$2:$O$53,B1183),INDEX(Bases!$O$2:$O$53,C1183))</f>
        <v>109.333333333333</v>
      </c>
      <c r="V1183" s="2" t="n">
        <f aca="false">Settings!$B$4*MAX(INDEX(Bases!$P$2:$P$53,B1183),INDEX(Bases!$P$2:$P$53,C1183))+Settings!$B$5*MIN(INDEX(Bases!$P$2:$P$53,B1183),INDEX(Bases!$P$2:$P$53,C1183))</f>
        <v>51.3333333333333</v>
      </c>
      <c r="W1183" s="2" t="n">
        <f aca="false">Settings!$B$4*MAX(INDEX(Bases!$Q$2:$Q$53,B1183),INDEX(Bases!$Q$2:$Q$53,C1183))+Settings!$B$5*MIN(INDEX(Bases!$Q$2:$Q$53,B1183),INDEX(Bases!$Q$2:$Q$53,C1183))</f>
        <v>45.3333333333333</v>
      </c>
      <c r="X1183" s="2" t="n">
        <f aca="false">Settings!$B$4*MAX(INDEX(Bases!$R$2:$R$53,B1183),INDEX(Bases!$R$2:$R$53,C1183))+Settings!$B$5*MIN(INDEX(Bases!$R$2:$R$53,B1183),INDEX(Bases!$R$2:$R$53,C1183))</f>
        <v>51.6666666666667</v>
      </c>
      <c r="Y1183" s="2" t="n">
        <f aca="false">S1183*Settings!$B$3/SUM(S1183:X1183)</f>
        <v>78.5091197462332</v>
      </c>
      <c r="Z1183" s="2" t="n">
        <f aca="false">T1183*Settings!$B$3/SUM(S1183:X1183)</f>
        <v>114.988104678826</v>
      </c>
      <c r="AA1183" s="2" t="n">
        <f aca="false">U1183*Settings!$B$3/SUM(S1183:X1183)</f>
        <v>130.05551149881</v>
      </c>
      <c r="AB1183" s="2" t="n">
        <f aca="false">V1183*Settings!$B$3/SUM(S1183:X1183)</f>
        <v>61.0626486915147</v>
      </c>
      <c r="AC1183" s="2" t="n">
        <f aca="false">W1183*Settings!$B$3/SUM(S1183:X1183)</f>
        <v>53.9254559873117</v>
      </c>
      <c r="AD1183" s="2" t="n">
        <f aca="false">X1183*Settings!$B$3/SUM(S1183:X1183)</f>
        <v>61.4591593973037</v>
      </c>
      <c r="AE1183" s="2" t="n">
        <f aca="false">INT(Y1183)</f>
        <v>78</v>
      </c>
      <c r="AF1183" s="2" t="n">
        <f aca="false">INT(Z1183)</f>
        <v>114</v>
      </c>
      <c r="AG1183" s="2" t="n">
        <f aca="false">INT(AA1183)</f>
        <v>130</v>
      </c>
      <c r="AH1183" s="2" t="n">
        <f aca="false">INT(AB1183)</f>
        <v>61</v>
      </c>
      <c r="AI1183" s="2" t="n">
        <f aca="false">INT(AC1183)</f>
        <v>53</v>
      </c>
      <c r="AJ1183" s="2" t="n">
        <f aca="false">INT(AD1183)</f>
        <v>61</v>
      </c>
      <c r="AK1183" s="2" t="n">
        <f aca="false">Settings!$B$3-SUM(AE1183:AJ1183)</f>
        <v>3</v>
      </c>
      <c r="AL1183" s="2" t="n">
        <f aca="false">ROUND(Y1183-AE1183,9)</f>
        <v>0.509119746</v>
      </c>
      <c r="AM1183" s="2" t="n">
        <f aca="false">ROUND(Z1183-AF1183,9)</f>
        <v>0.988104679</v>
      </c>
      <c r="AN1183" s="2" t="n">
        <f aca="false">ROUND(AA1183-AG1183,9)</f>
        <v>0.055511499</v>
      </c>
      <c r="AO1183" s="2" t="n">
        <f aca="false">ROUND(AB1183-AH1183,9)</f>
        <v>0.062648692</v>
      </c>
      <c r="AP1183" s="2" t="n">
        <f aca="false">ROUND(AC1183-AI1183,9)</f>
        <v>0.925455987</v>
      </c>
      <c r="AQ1183" s="2" t="n">
        <f aca="false">ROUND(AD1183-AJ1183,9)</f>
        <v>0.459159397</v>
      </c>
    </row>
    <row r="1184" customFormat="false" ht="15" hidden="false" customHeight="false" outlineLevel="0" collapsed="false">
      <c r="A1184" s="2" t="n">
        <v>1183</v>
      </c>
      <c r="B1184" s="6" t="n">
        <v>35</v>
      </c>
      <c r="C1184" s="6" t="n">
        <v>45</v>
      </c>
      <c r="D1184" s="8" t="str">
        <f aca="false">INDEX(Bases!$B$2:$B$53,B1184)</f>
        <v>Pineco</v>
      </c>
      <c r="E1184" s="8" t="str">
        <f aca="false">INDEX(Bases!$B$2:$B$53,C1184)</f>
        <v>Sneasel</v>
      </c>
      <c r="F1184" s="2" t="str">
        <f aca="false">LEFT(D1184,ROUNDUP(LEN(D1184)/2,0))&amp;LOWER(MID(E1184,ROUNDUP(LEN(E1184)/2,0)+1,20))</f>
        <v>Pinsel</v>
      </c>
      <c r="G1184" s="8" t="str">
        <f aca="false">INDEX(Bases!$C$2:$C$53,B1184)</f>
        <v>Bug</v>
      </c>
      <c r="H1184" s="8" t="str">
        <f aca="false">IF(INDEX(Bases!$C$2:$C$53,C1184)=G1184,"",INDEX(Bases!$C$2:$C$53,C1184))</f>
        <v>Dark</v>
      </c>
      <c r="I1184" s="8" t="str">
        <f aca="false">IF(INDEX(Bases!$E$2:$E$53,B1184)="","",INDEX(Bases!$E$2:$E$53,B1184))</f>
        <v/>
      </c>
      <c r="J1184" s="8" t="str">
        <f aca="false">IF(INDEX(Bases!$E$2:$E$53,C1184)="","",INDEX(Bases!$E$2:$E$53,C1184))</f>
        <v/>
      </c>
      <c r="K1184" s="5"/>
      <c r="L1184" s="2" t="n">
        <f aca="false">AE1184+IF(SUMPRODUCT(--($AL1184:$AQ1184&gt;AL1184))&lt;$AK1184,1,0)</f>
        <v>72</v>
      </c>
      <c r="M1184" s="2" t="n">
        <f aca="false">AF1184+IF(SUMPRODUCT(--($AL1184:$AQ1184&gt;AM1184))+SUMPRODUCT(--($AL1184:AL1184=AM1184))&lt;$AK1184,1,0)</f>
        <v>103</v>
      </c>
      <c r="N1184" s="2" t="n">
        <f aca="false">AG1184+IF(SUMPRODUCT(--($AL1184:$AQ1184&gt;AN1184))+SUMPRODUCT(--($AL1184:AM1184=AN1184))&lt;$AK1184,1,0)</f>
        <v>114</v>
      </c>
      <c r="O1184" s="2" t="n">
        <f aca="false">AH1184+IF(SUMPRODUCT(--($AL1184:$AQ1184&gt;AO1184))+SUMPRODUCT(--($AL1184:AN1184=AO1184))&lt;$AK1184,1,0)</f>
        <v>49</v>
      </c>
      <c r="P1184" s="2" t="n">
        <f aca="false">AI1184+IF(SUMPRODUCT(--($AL1184:$AQ1184&gt;AP1184))+SUMPRODUCT(--($AL1184:AO1184=AP1184))&lt;$AK1184,1,0)</f>
        <v>72</v>
      </c>
      <c r="Q1184" s="2" t="n">
        <f aca="false">AJ1184+IF(SUMPRODUCT(--($AL1184:$AQ1184&gt;AQ1184))+SUMPRODUCT(--($AL1184:AP1184=AQ1184))&lt;$AK1184,1,0)</f>
        <v>90</v>
      </c>
      <c r="R1184" s="2" t="n">
        <f aca="false">SUM(L1184:Q1184)</f>
        <v>500</v>
      </c>
      <c r="S1184" s="2" t="n">
        <f aca="false">Settings!$B$4*MAX(INDEX(Bases!$M$2:$M$53,B1184),INDEX(Bases!$M$2:$M$53,C1184))+Settings!$B$5*MIN(INDEX(Bases!$M$2:$M$53,B1184),INDEX(Bases!$M$2:$M$53,C1184))</f>
        <v>63</v>
      </c>
      <c r="T1184" s="2" t="n">
        <f aca="false">Settings!$B$4*MAX(INDEX(Bases!$N$2:$N$53,B1184),INDEX(Bases!$N$2:$N$53,C1184))+Settings!$B$5*MIN(INDEX(Bases!$N$2:$N$53,B1184),INDEX(Bases!$N$2:$N$53,C1184))</f>
        <v>89.3333333333333</v>
      </c>
      <c r="U1184" s="2" t="n">
        <f aca="false">Settings!$B$4*MAX(INDEX(Bases!$O$2:$O$53,B1184),INDEX(Bases!$O$2:$O$53,C1184))+Settings!$B$5*MIN(INDEX(Bases!$O$2:$O$53,B1184),INDEX(Bases!$O$2:$O$53,C1184))</f>
        <v>99.6666666666667</v>
      </c>
      <c r="V1184" s="2" t="n">
        <f aca="false">Settings!$B$4*MAX(INDEX(Bases!$P$2:$P$53,B1184),INDEX(Bases!$P$2:$P$53,C1184))+Settings!$B$5*MIN(INDEX(Bases!$P$2:$P$53,B1184),INDEX(Bases!$P$2:$P$53,C1184))</f>
        <v>43</v>
      </c>
      <c r="W1184" s="2" t="n">
        <f aca="false">Settings!$B$4*MAX(INDEX(Bases!$Q$2:$Q$53,B1184),INDEX(Bases!$Q$2:$Q$53,C1184))+Settings!$B$5*MIN(INDEX(Bases!$Q$2:$Q$53,B1184),INDEX(Bases!$Q$2:$Q$53,C1184))</f>
        <v>62.6666666666667</v>
      </c>
      <c r="X1184" s="2" t="n">
        <f aca="false">Settings!$B$4*MAX(INDEX(Bases!$R$2:$R$53,B1184),INDEX(Bases!$R$2:$R$53,C1184))+Settings!$B$5*MIN(INDEX(Bases!$R$2:$R$53,B1184),INDEX(Bases!$R$2:$R$53,C1184))</f>
        <v>78.3333333333333</v>
      </c>
      <c r="Y1184" s="2" t="n">
        <f aca="false">S1184*Settings!$B$3/SUM(S1184:X1184)</f>
        <v>72.2477064220184</v>
      </c>
      <c r="Z1184" s="2" t="n">
        <f aca="false">T1184*Settings!$B$3/SUM(S1184:X1184)</f>
        <v>102.446483180428</v>
      </c>
      <c r="AA1184" s="2" t="n">
        <f aca="false">U1184*Settings!$B$3/SUM(S1184:X1184)</f>
        <v>114.296636085627</v>
      </c>
      <c r="AB1184" s="2" t="n">
        <f aca="false">V1184*Settings!$B$3/SUM(S1184:X1184)</f>
        <v>49.3119266055046</v>
      </c>
      <c r="AC1184" s="2" t="n">
        <f aca="false">W1184*Settings!$B$3/SUM(S1184:X1184)</f>
        <v>71.8654434250765</v>
      </c>
      <c r="AD1184" s="2" t="n">
        <f aca="false">X1184*Settings!$B$3/SUM(S1184:X1184)</f>
        <v>89.8318042813456</v>
      </c>
      <c r="AE1184" s="2" t="n">
        <f aca="false">INT(Y1184)</f>
        <v>72</v>
      </c>
      <c r="AF1184" s="2" t="n">
        <f aca="false">INT(Z1184)</f>
        <v>102</v>
      </c>
      <c r="AG1184" s="2" t="n">
        <f aca="false">INT(AA1184)</f>
        <v>114</v>
      </c>
      <c r="AH1184" s="2" t="n">
        <f aca="false">INT(AB1184)</f>
        <v>49</v>
      </c>
      <c r="AI1184" s="2" t="n">
        <f aca="false">INT(AC1184)</f>
        <v>71</v>
      </c>
      <c r="AJ1184" s="2" t="n">
        <f aca="false">INT(AD1184)</f>
        <v>89</v>
      </c>
      <c r="AK1184" s="2" t="n">
        <f aca="false">Settings!$B$3-SUM(AE1184:AJ1184)</f>
        <v>3</v>
      </c>
      <c r="AL1184" s="2" t="n">
        <f aca="false">ROUND(Y1184-AE1184,9)</f>
        <v>0.247706422</v>
      </c>
      <c r="AM1184" s="2" t="n">
        <f aca="false">ROUND(Z1184-AF1184,9)</f>
        <v>0.44648318</v>
      </c>
      <c r="AN1184" s="2" t="n">
        <f aca="false">ROUND(AA1184-AG1184,9)</f>
        <v>0.296636086</v>
      </c>
      <c r="AO1184" s="2" t="n">
        <f aca="false">ROUND(AB1184-AH1184,9)</f>
        <v>0.311926606</v>
      </c>
      <c r="AP1184" s="2" t="n">
        <f aca="false">ROUND(AC1184-AI1184,9)</f>
        <v>0.865443425</v>
      </c>
      <c r="AQ1184" s="2" t="n">
        <f aca="false">ROUND(AD1184-AJ1184,9)</f>
        <v>0.831804281</v>
      </c>
    </row>
    <row r="1185" customFormat="false" ht="15" hidden="false" customHeight="false" outlineLevel="0" collapsed="false">
      <c r="A1185" s="2" t="n">
        <v>1184</v>
      </c>
      <c r="B1185" s="6" t="n">
        <v>35</v>
      </c>
      <c r="C1185" s="6" t="n">
        <v>46</v>
      </c>
      <c r="D1185" s="8" t="str">
        <f aca="false">INDEX(Bases!$B$2:$B$53,B1185)</f>
        <v>Pineco</v>
      </c>
      <c r="E1185" s="8" t="str">
        <f aca="false">INDEX(Bases!$B$2:$B$53,C1185)</f>
        <v>Houndour</v>
      </c>
      <c r="F1185" s="2" t="str">
        <f aca="false">LEFT(D1185,ROUNDUP(LEN(D1185)/2,0))&amp;LOWER(MID(E1185,ROUNDUP(LEN(E1185)/2,0)+1,20))</f>
        <v>Pindour</v>
      </c>
      <c r="G1185" s="8" t="str">
        <f aca="false">INDEX(Bases!$C$2:$C$53,B1185)</f>
        <v>Bug</v>
      </c>
      <c r="H1185" s="8" t="str">
        <f aca="false">IF(INDEX(Bases!$C$2:$C$53,C1185)=G1185,"",INDEX(Bases!$C$2:$C$53,C1185))</f>
        <v>Dark</v>
      </c>
      <c r="I1185" s="8" t="str">
        <f aca="false">IF(INDEX(Bases!$E$2:$E$53,B1185)="","",INDEX(Bases!$E$2:$E$53,B1185))</f>
        <v/>
      </c>
      <c r="J1185" s="8" t="str">
        <f aca="false">IF(INDEX(Bases!$E$2:$E$53,C1185)="","",INDEX(Bases!$E$2:$E$53,C1185))</f>
        <v/>
      </c>
      <c r="K1185" s="5"/>
      <c r="L1185" s="2" t="n">
        <f aca="false">AE1185+IF(SUMPRODUCT(--($AL1185:$AQ1185&gt;AL1185))&lt;$AK1185,1,0)</f>
        <v>73</v>
      </c>
      <c r="M1185" s="2" t="n">
        <f aca="false">AF1185+IF(SUMPRODUCT(--($AL1185:$AQ1185&gt;AM1185))+SUMPRODUCT(--($AL1185:AL1185=AM1185))&lt;$AK1185,1,0)</f>
        <v>96</v>
      </c>
      <c r="N1185" s="2" t="n">
        <f aca="false">AG1185+IF(SUMPRODUCT(--($AL1185:$AQ1185&gt;AN1185))+SUMPRODUCT(--($AL1185:AM1185=AN1185))&lt;$AK1185,1,0)</f>
        <v>107</v>
      </c>
      <c r="O1185" s="2" t="n">
        <f aca="false">AH1185+IF(SUMPRODUCT(--($AL1185:$AQ1185&gt;AO1185))+SUMPRODUCT(--($AL1185:AN1185=AO1185))&lt;$AK1185,1,0)</f>
        <v>92</v>
      </c>
      <c r="P1185" s="2" t="n">
        <f aca="false">AI1185+IF(SUMPRODUCT(--($AL1185:$AQ1185&gt;AP1185))+SUMPRODUCT(--($AL1185:AO1185=AP1185))&lt;$AK1185,1,0)</f>
        <v>64</v>
      </c>
      <c r="Q1185" s="2" t="n">
        <f aca="false">AJ1185+IF(SUMPRODUCT(--($AL1185:$AQ1185&gt;AQ1185))+SUMPRODUCT(--($AL1185:AP1185=AQ1185))&lt;$AK1185,1,0)</f>
        <v>68</v>
      </c>
      <c r="R1185" s="2" t="n">
        <f aca="false">SUM(L1185:Q1185)</f>
        <v>500</v>
      </c>
      <c r="S1185" s="2" t="n">
        <f aca="false">Settings!$B$4*MAX(INDEX(Bases!$M$2:$M$53,B1185),INDEX(Bases!$M$2:$M$53,C1185))+Settings!$B$5*MIN(INDEX(Bases!$M$2:$M$53,B1185),INDEX(Bases!$M$2:$M$53,C1185))</f>
        <v>64</v>
      </c>
      <c r="T1185" s="2" t="n">
        <f aca="false">Settings!$B$4*MAX(INDEX(Bases!$N$2:$N$53,B1185),INDEX(Bases!$N$2:$N$53,C1185))+Settings!$B$5*MIN(INDEX(Bases!$N$2:$N$53,B1185),INDEX(Bases!$N$2:$N$53,C1185))</f>
        <v>84.3333333333333</v>
      </c>
      <c r="U1185" s="2" t="n">
        <f aca="false">Settings!$B$4*MAX(INDEX(Bases!$O$2:$O$53,B1185),INDEX(Bases!$O$2:$O$53,C1185))+Settings!$B$5*MIN(INDEX(Bases!$O$2:$O$53,B1185),INDEX(Bases!$O$2:$O$53,C1185))</f>
        <v>94.6666666666667</v>
      </c>
      <c r="V1185" s="2" t="n">
        <f aca="false">Settings!$B$4*MAX(INDEX(Bases!$P$2:$P$53,B1185),INDEX(Bases!$P$2:$P$53,C1185))+Settings!$B$5*MIN(INDEX(Bases!$P$2:$P$53,B1185),INDEX(Bases!$P$2:$P$53,C1185))</f>
        <v>80.6666666666667</v>
      </c>
      <c r="W1185" s="2" t="n">
        <f aca="false">Settings!$B$4*MAX(INDEX(Bases!$Q$2:$Q$53,B1185),INDEX(Bases!$Q$2:$Q$53,C1185))+Settings!$B$5*MIN(INDEX(Bases!$Q$2:$Q$53,B1185),INDEX(Bases!$Q$2:$Q$53,C1185))</f>
        <v>56.6666666666667</v>
      </c>
      <c r="X1185" s="2" t="n">
        <f aca="false">Settings!$B$4*MAX(INDEX(Bases!$R$2:$R$53,B1185),INDEX(Bases!$R$2:$R$53,C1185))+Settings!$B$5*MIN(INDEX(Bases!$R$2:$R$53,B1185),INDEX(Bases!$R$2:$R$53,C1185))</f>
        <v>59.6666666666667</v>
      </c>
      <c r="Y1185" s="2" t="n">
        <f aca="false">S1185*Settings!$B$3/SUM(S1185:X1185)</f>
        <v>72.7272727272727</v>
      </c>
      <c r="Z1185" s="2" t="n">
        <f aca="false">T1185*Settings!$B$3/SUM(S1185:X1185)</f>
        <v>95.8333333333333</v>
      </c>
      <c r="AA1185" s="2" t="n">
        <f aca="false">U1185*Settings!$B$3/SUM(S1185:X1185)</f>
        <v>107.575757575758</v>
      </c>
      <c r="AB1185" s="2" t="n">
        <f aca="false">V1185*Settings!$B$3/SUM(S1185:X1185)</f>
        <v>91.6666666666667</v>
      </c>
      <c r="AC1185" s="2" t="n">
        <f aca="false">W1185*Settings!$B$3/SUM(S1185:X1185)</f>
        <v>64.3939393939394</v>
      </c>
      <c r="AD1185" s="2" t="n">
        <f aca="false">X1185*Settings!$B$3/SUM(S1185:X1185)</f>
        <v>67.8030303030303</v>
      </c>
      <c r="AE1185" s="2" t="n">
        <f aca="false">INT(Y1185)</f>
        <v>72</v>
      </c>
      <c r="AF1185" s="2" t="n">
        <f aca="false">INT(Z1185)</f>
        <v>95</v>
      </c>
      <c r="AG1185" s="2" t="n">
        <f aca="false">INT(AA1185)</f>
        <v>107</v>
      </c>
      <c r="AH1185" s="2" t="n">
        <f aca="false">INT(AB1185)</f>
        <v>91</v>
      </c>
      <c r="AI1185" s="2" t="n">
        <f aca="false">INT(AC1185)</f>
        <v>64</v>
      </c>
      <c r="AJ1185" s="2" t="n">
        <f aca="false">INT(AD1185)</f>
        <v>67</v>
      </c>
      <c r="AK1185" s="2" t="n">
        <f aca="false">Settings!$B$3-SUM(AE1185:AJ1185)</f>
        <v>4</v>
      </c>
      <c r="AL1185" s="2" t="n">
        <f aca="false">ROUND(Y1185-AE1185,9)</f>
        <v>0.727272727</v>
      </c>
      <c r="AM1185" s="2" t="n">
        <f aca="false">ROUND(Z1185-AF1185,9)</f>
        <v>0.833333333</v>
      </c>
      <c r="AN1185" s="2" t="n">
        <f aca="false">ROUND(AA1185-AG1185,9)</f>
        <v>0.575757576</v>
      </c>
      <c r="AO1185" s="2" t="n">
        <f aca="false">ROUND(AB1185-AH1185,9)</f>
        <v>0.666666667</v>
      </c>
      <c r="AP1185" s="2" t="n">
        <f aca="false">ROUND(AC1185-AI1185,9)</f>
        <v>0.393939394</v>
      </c>
      <c r="AQ1185" s="2" t="n">
        <f aca="false">ROUND(AD1185-AJ1185,9)</f>
        <v>0.803030303</v>
      </c>
    </row>
    <row r="1186" customFormat="false" ht="15" hidden="false" customHeight="false" outlineLevel="0" collapsed="false">
      <c r="A1186" s="2" t="n">
        <v>1185</v>
      </c>
      <c r="B1186" s="6" t="n">
        <v>35</v>
      </c>
      <c r="C1186" s="6" t="n">
        <v>47</v>
      </c>
      <c r="D1186" s="8" t="str">
        <f aca="false">INDEX(Bases!$B$2:$B$53,B1186)</f>
        <v>Pineco</v>
      </c>
      <c r="E1186" s="8" t="str">
        <f aca="false">INDEX(Bases!$B$2:$B$53,C1186)</f>
        <v>Carvanha</v>
      </c>
      <c r="F1186" s="2" t="str">
        <f aca="false">LEFT(D1186,ROUNDUP(LEN(D1186)/2,0))&amp;LOWER(MID(E1186,ROUNDUP(LEN(E1186)/2,0)+1,20))</f>
        <v>Pinanha</v>
      </c>
      <c r="G1186" s="8" t="str">
        <f aca="false">INDEX(Bases!$C$2:$C$53,B1186)</f>
        <v>Bug</v>
      </c>
      <c r="H1186" s="8" t="str">
        <f aca="false">IF(INDEX(Bases!$C$2:$C$53,C1186)=G1186,"",INDEX(Bases!$C$2:$C$53,C1186))</f>
        <v>Dark</v>
      </c>
      <c r="I1186" s="8" t="str">
        <f aca="false">IF(INDEX(Bases!$E$2:$E$53,B1186)="","",INDEX(Bases!$E$2:$E$53,B1186))</f>
        <v/>
      </c>
      <c r="J1186" s="8" t="str">
        <f aca="false">IF(INDEX(Bases!$E$2:$E$53,C1186)="","",INDEX(Bases!$E$2:$E$53,C1186))</f>
        <v/>
      </c>
      <c r="K1186" s="5"/>
      <c r="L1186" s="2" t="n">
        <f aca="false">AE1186+IF(SUMPRODUCT(--($AL1186:$AQ1186&gt;AL1186))&lt;$AK1186,1,0)</f>
        <v>74</v>
      </c>
      <c r="M1186" s="2" t="n">
        <f aca="false">AF1186+IF(SUMPRODUCT(--($AL1186:$AQ1186&gt;AM1186))+SUMPRODUCT(--($AL1186:AL1186=AM1186))&lt;$AK1186,1,0)</f>
        <v>122</v>
      </c>
      <c r="N1186" s="2" t="n">
        <f aca="false">AG1186+IF(SUMPRODUCT(--($AL1186:$AQ1186&gt;AN1186))+SUMPRODUCT(--($AL1186:AM1186=AN1186))&lt;$AK1186,1,0)</f>
        <v>103</v>
      </c>
      <c r="O1186" s="2" t="n">
        <f aca="false">AH1186+IF(SUMPRODUCT(--($AL1186:$AQ1186&gt;AO1186))+SUMPRODUCT(--($AL1186:AN1186=AO1186))&lt;$AK1186,1,0)</f>
        <v>83</v>
      </c>
      <c r="P1186" s="2" t="n">
        <f aca="false">AI1186+IF(SUMPRODUCT(--($AL1186:$AQ1186&gt;AP1186))+SUMPRODUCT(--($AL1186:AO1186=AP1186))&lt;$AK1186,1,0)</f>
        <v>46</v>
      </c>
      <c r="Q1186" s="2" t="n">
        <f aca="false">AJ1186+IF(SUMPRODUCT(--($AL1186:$AQ1186&gt;AQ1186))+SUMPRODUCT(--($AL1186:AP1186=AQ1186))&lt;$AK1186,1,0)</f>
        <v>72</v>
      </c>
      <c r="R1186" s="2" t="n">
        <f aca="false">SUM(L1186:Q1186)</f>
        <v>500</v>
      </c>
      <c r="S1186" s="2" t="n">
        <f aca="false">Settings!$B$4*MAX(INDEX(Bases!$M$2:$M$53,B1186),INDEX(Bases!$M$2:$M$53,C1186))+Settings!$B$5*MIN(INDEX(Bases!$M$2:$M$53,B1186),INDEX(Bases!$M$2:$M$53,C1186))</f>
        <v>65.6666666666667</v>
      </c>
      <c r="T1186" s="2" t="n">
        <f aca="false">Settings!$B$4*MAX(INDEX(Bases!$N$2:$N$53,B1186),INDEX(Bases!$N$2:$N$53,C1186))+Settings!$B$5*MIN(INDEX(Bases!$N$2:$N$53,B1186),INDEX(Bases!$N$2:$N$53,C1186))</f>
        <v>108.666666666667</v>
      </c>
      <c r="U1186" s="2" t="n">
        <f aca="false">Settings!$B$4*MAX(INDEX(Bases!$O$2:$O$53,B1186),INDEX(Bases!$O$2:$O$53,C1186))+Settings!$B$5*MIN(INDEX(Bases!$O$2:$O$53,B1186),INDEX(Bases!$O$2:$O$53,C1186))</f>
        <v>91.3333333333333</v>
      </c>
      <c r="V1186" s="2" t="n">
        <f aca="false">Settings!$B$4*MAX(INDEX(Bases!$P$2:$P$53,B1186),INDEX(Bases!$P$2:$P$53,C1186))+Settings!$B$5*MIN(INDEX(Bases!$P$2:$P$53,B1186),INDEX(Bases!$P$2:$P$53,C1186))</f>
        <v>73.3333333333333</v>
      </c>
      <c r="W1186" s="2" t="n">
        <f aca="false">Settings!$B$4*MAX(INDEX(Bases!$Q$2:$Q$53,B1186),INDEX(Bases!$Q$2:$Q$53,C1186))+Settings!$B$5*MIN(INDEX(Bases!$Q$2:$Q$53,B1186),INDEX(Bases!$Q$2:$Q$53,C1186))</f>
        <v>40.6666666666667</v>
      </c>
      <c r="X1186" s="2" t="n">
        <f aca="false">Settings!$B$4*MAX(INDEX(Bases!$R$2:$R$53,B1186),INDEX(Bases!$R$2:$R$53,C1186))+Settings!$B$5*MIN(INDEX(Bases!$R$2:$R$53,B1186),INDEX(Bases!$R$2:$R$53,C1186))</f>
        <v>63.6666666666667</v>
      </c>
      <c r="Y1186" s="2" t="n">
        <f aca="false">S1186*Settings!$B$3/SUM(S1186:X1186)</f>
        <v>74.0601503759399</v>
      </c>
      <c r="Z1186" s="2" t="n">
        <f aca="false">T1186*Settings!$B$3/SUM(S1186:X1186)</f>
        <v>122.556390977444</v>
      </c>
      <c r="AA1186" s="2" t="n">
        <f aca="false">U1186*Settings!$B$3/SUM(S1186:X1186)</f>
        <v>103.007518796992</v>
      </c>
      <c r="AB1186" s="2" t="n">
        <f aca="false">V1186*Settings!$B$3/SUM(S1186:X1186)</f>
        <v>82.7067669172932</v>
      </c>
      <c r="AC1186" s="2" t="n">
        <f aca="false">W1186*Settings!$B$3/SUM(S1186:X1186)</f>
        <v>45.8646616541354</v>
      </c>
      <c r="AD1186" s="2" t="n">
        <f aca="false">X1186*Settings!$B$3/SUM(S1186:X1186)</f>
        <v>71.8045112781955</v>
      </c>
      <c r="AE1186" s="2" t="n">
        <f aca="false">INT(Y1186)</f>
        <v>74</v>
      </c>
      <c r="AF1186" s="2" t="n">
        <f aca="false">INT(Z1186)</f>
        <v>122</v>
      </c>
      <c r="AG1186" s="2" t="n">
        <f aca="false">INT(AA1186)</f>
        <v>103</v>
      </c>
      <c r="AH1186" s="2" t="n">
        <f aca="false">INT(AB1186)</f>
        <v>82</v>
      </c>
      <c r="AI1186" s="2" t="n">
        <f aca="false">INT(AC1186)</f>
        <v>45</v>
      </c>
      <c r="AJ1186" s="2" t="n">
        <f aca="false">INT(AD1186)</f>
        <v>71</v>
      </c>
      <c r="AK1186" s="2" t="n">
        <f aca="false">Settings!$B$3-SUM(AE1186:AJ1186)</f>
        <v>3</v>
      </c>
      <c r="AL1186" s="2" t="n">
        <f aca="false">ROUND(Y1186-AE1186,9)</f>
        <v>0.060150376</v>
      </c>
      <c r="AM1186" s="2" t="n">
        <f aca="false">ROUND(Z1186-AF1186,9)</f>
        <v>0.556390977</v>
      </c>
      <c r="AN1186" s="2" t="n">
        <f aca="false">ROUND(AA1186-AG1186,9)</f>
        <v>0.007518797</v>
      </c>
      <c r="AO1186" s="2" t="n">
        <f aca="false">ROUND(AB1186-AH1186,9)</f>
        <v>0.706766917</v>
      </c>
      <c r="AP1186" s="2" t="n">
        <f aca="false">ROUND(AC1186-AI1186,9)</f>
        <v>0.864661654</v>
      </c>
      <c r="AQ1186" s="2" t="n">
        <f aca="false">ROUND(AD1186-AJ1186,9)</f>
        <v>0.804511278</v>
      </c>
    </row>
    <row r="1187" customFormat="false" ht="15" hidden="false" customHeight="false" outlineLevel="0" collapsed="false">
      <c r="A1187" s="2" t="n">
        <v>1186</v>
      </c>
      <c r="B1187" s="6" t="n">
        <v>35</v>
      </c>
      <c r="C1187" s="6" t="n">
        <v>48</v>
      </c>
      <c r="D1187" s="8" t="str">
        <f aca="false">INDEX(Bases!$B$2:$B$53,B1187)</f>
        <v>Pineco</v>
      </c>
      <c r="E1187" s="8" t="str">
        <f aca="false">INDEX(Bases!$B$2:$B$53,C1187)</f>
        <v>Magnemite</v>
      </c>
      <c r="F1187" s="2" t="str">
        <f aca="false">LEFT(D1187,ROUNDUP(LEN(D1187)/2,0))&amp;LOWER(MID(E1187,ROUNDUP(LEN(E1187)/2,0)+1,20))</f>
        <v>Pinmite</v>
      </c>
      <c r="G1187" s="8" t="str">
        <f aca="false">INDEX(Bases!$C$2:$C$53,B1187)</f>
        <v>Bug</v>
      </c>
      <c r="H1187" s="8" t="str">
        <f aca="false">IF(INDEX(Bases!$C$2:$C$53,C1187)=G1187,"",INDEX(Bases!$C$2:$C$53,C1187))</f>
        <v>Steel</v>
      </c>
      <c r="I1187" s="8" t="str">
        <f aca="false">IF(INDEX(Bases!$E$2:$E$53,B1187)="","",INDEX(Bases!$E$2:$E$53,B1187))</f>
        <v/>
      </c>
      <c r="J1187" s="8" t="str">
        <f aca="false">IF(INDEX(Bases!$E$2:$E$53,C1187)="","",INDEX(Bases!$E$2:$E$53,C1187))</f>
        <v/>
      </c>
      <c r="K1187" s="5"/>
      <c r="L1187" s="2" t="n">
        <f aca="false">AE1187+IF(SUMPRODUCT(--($AL1187:$AQ1187&gt;AL1187))&lt;$AK1187,1,0)</f>
        <v>64</v>
      </c>
      <c r="M1187" s="2" t="n">
        <f aca="false">AF1187+IF(SUMPRODUCT(--($AL1187:$AQ1187&gt;AM1187))+SUMPRODUCT(--($AL1187:AL1187=AM1187))&lt;$AK1187,1,0)</f>
        <v>84</v>
      </c>
      <c r="N1187" s="2" t="n">
        <f aca="false">AG1187+IF(SUMPRODUCT(--($AL1187:$AQ1187&gt;AN1187))+SUMPRODUCT(--($AL1187:AM1187=AN1187))&lt;$AK1187,1,0)</f>
        <v>126</v>
      </c>
      <c r="O1187" s="2" t="n">
        <f aca="false">AH1187+IF(SUMPRODUCT(--($AL1187:$AQ1187&gt;AO1187))+SUMPRODUCT(--($AL1187:AN1187=AO1187))&lt;$AK1187,1,0)</f>
        <v>107</v>
      </c>
      <c r="P1187" s="2" t="n">
        <f aca="false">AI1187+IF(SUMPRODUCT(--($AL1187:$AQ1187&gt;AP1187))+SUMPRODUCT(--($AL1187:AO1187=AP1187))&lt;$AK1187,1,0)</f>
        <v>70</v>
      </c>
      <c r="Q1187" s="2" t="n">
        <f aca="false">AJ1187+IF(SUMPRODUCT(--($AL1187:$AQ1187&gt;AQ1187))+SUMPRODUCT(--($AL1187:AP1187=AQ1187))&lt;$AK1187,1,0)</f>
        <v>49</v>
      </c>
      <c r="R1187" s="2" t="n">
        <f aca="false">SUM(L1187:Q1187)</f>
        <v>500</v>
      </c>
      <c r="S1187" s="2" t="n">
        <f aca="false">Settings!$B$4*MAX(INDEX(Bases!$M$2:$M$53,B1187),INDEX(Bases!$M$2:$M$53,C1187))+Settings!$B$5*MIN(INDEX(Bases!$M$2:$M$53,B1187),INDEX(Bases!$M$2:$M$53,C1187))</f>
        <v>56.3333333333333</v>
      </c>
      <c r="T1187" s="2" t="n">
        <f aca="false">Settings!$B$4*MAX(INDEX(Bases!$N$2:$N$53,B1187),INDEX(Bases!$N$2:$N$53,C1187))+Settings!$B$5*MIN(INDEX(Bases!$N$2:$N$53,B1187),INDEX(Bases!$N$2:$N$53,C1187))</f>
        <v>74.3333333333333</v>
      </c>
      <c r="U1187" s="2" t="n">
        <f aca="false">Settings!$B$4*MAX(INDEX(Bases!$O$2:$O$53,B1187),INDEX(Bases!$O$2:$O$53,C1187))+Settings!$B$5*MIN(INDEX(Bases!$O$2:$O$53,B1187),INDEX(Bases!$O$2:$O$53,C1187))</f>
        <v>111.333333333333</v>
      </c>
      <c r="V1187" s="2" t="n">
        <f aca="false">Settings!$B$4*MAX(INDEX(Bases!$P$2:$P$53,B1187),INDEX(Bases!$P$2:$P$53,C1187))+Settings!$B$5*MIN(INDEX(Bases!$P$2:$P$53,B1187),INDEX(Bases!$P$2:$P$53,C1187))</f>
        <v>94</v>
      </c>
      <c r="W1187" s="2" t="n">
        <f aca="false">Settings!$B$4*MAX(INDEX(Bases!$Q$2:$Q$53,B1187),INDEX(Bases!$Q$2:$Q$53,C1187))+Settings!$B$5*MIN(INDEX(Bases!$Q$2:$Q$53,B1187),INDEX(Bases!$Q$2:$Q$53,C1187))</f>
        <v>61.3333333333333</v>
      </c>
      <c r="X1187" s="2" t="n">
        <f aca="false">Settings!$B$4*MAX(INDEX(Bases!$R$2:$R$53,B1187),INDEX(Bases!$R$2:$R$53,C1187))+Settings!$B$5*MIN(INDEX(Bases!$R$2:$R$53,B1187),INDEX(Bases!$R$2:$R$53,C1187))</f>
        <v>43.6666666666667</v>
      </c>
      <c r="Y1187" s="2" t="n">
        <f aca="false">S1187*Settings!$B$3/SUM(S1187:X1187)</f>
        <v>63.869992441421</v>
      </c>
      <c r="Z1187" s="2" t="n">
        <f aca="false">T1187*Settings!$B$3/SUM(S1187:X1187)</f>
        <v>84.2781557067272</v>
      </c>
      <c r="AA1187" s="2" t="n">
        <f aca="false">U1187*Settings!$B$3/SUM(S1187:X1187)</f>
        <v>126.228269085412</v>
      </c>
      <c r="AB1187" s="2" t="n">
        <f aca="false">V1187*Settings!$B$3/SUM(S1187:X1187)</f>
        <v>106.575963718821</v>
      </c>
      <c r="AC1187" s="2" t="n">
        <f aca="false">W1187*Settings!$B$3/SUM(S1187:X1187)</f>
        <v>69.5389266817838</v>
      </c>
      <c r="AD1187" s="2" t="n">
        <f aca="false">X1187*Settings!$B$3/SUM(S1187:X1187)</f>
        <v>49.5086923658352</v>
      </c>
      <c r="AE1187" s="2" t="n">
        <f aca="false">INT(Y1187)</f>
        <v>63</v>
      </c>
      <c r="AF1187" s="2" t="n">
        <f aca="false">INT(Z1187)</f>
        <v>84</v>
      </c>
      <c r="AG1187" s="2" t="n">
        <f aca="false">INT(AA1187)</f>
        <v>126</v>
      </c>
      <c r="AH1187" s="2" t="n">
        <f aca="false">INT(AB1187)</f>
        <v>106</v>
      </c>
      <c r="AI1187" s="2" t="n">
        <f aca="false">INT(AC1187)</f>
        <v>69</v>
      </c>
      <c r="AJ1187" s="2" t="n">
        <f aca="false">INT(AD1187)</f>
        <v>49</v>
      </c>
      <c r="AK1187" s="2" t="n">
        <f aca="false">Settings!$B$3-SUM(AE1187:AJ1187)</f>
        <v>3</v>
      </c>
      <c r="AL1187" s="2" t="n">
        <f aca="false">ROUND(Y1187-AE1187,9)</f>
        <v>0.869992441</v>
      </c>
      <c r="AM1187" s="2" t="n">
        <f aca="false">ROUND(Z1187-AF1187,9)</f>
        <v>0.278155707</v>
      </c>
      <c r="AN1187" s="2" t="n">
        <f aca="false">ROUND(AA1187-AG1187,9)</f>
        <v>0.228269085</v>
      </c>
      <c r="AO1187" s="2" t="n">
        <f aca="false">ROUND(AB1187-AH1187,9)</f>
        <v>0.575963719</v>
      </c>
      <c r="AP1187" s="2" t="n">
        <f aca="false">ROUND(AC1187-AI1187,9)</f>
        <v>0.538926682</v>
      </c>
      <c r="AQ1187" s="2" t="n">
        <f aca="false">ROUND(AD1187-AJ1187,9)</f>
        <v>0.508692366</v>
      </c>
    </row>
    <row r="1188" customFormat="false" ht="15" hidden="false" customHeight="false" outlineLevel="0" collapsed="false">
      <c r="A1188" s="2" t="n">
        <v>1187</v>
      </c>
      <c r="B1188" s="6" t="n">
        <v>35</v>
      </c>
      <c r="C1188" s="6" t="n">
        <v>49</v>
      </c>
      <c r="D1188" s="8" t="str">
        <f aca="false">INDEX(Bases!$B$2:$B$53,B1188)</f>
        <v>Pineco</v>
      </c>
      <c r="E1188" s="8" t="str">
        <f aca="false">INDEX(Bases!$B$2:$B$53,C1188)</f>
        <v>Aron</v>
      </c>
      <c r="F1188" s="2" t="str">
        <f aca="false">LEFT(D1188,ROUNDUP(LEN(D1188)/2,0))&amp;LOWER(MID(E1188,ROUNDUP(LEN(E1188)/2,0)+1,20))</f>
        <v>Pinon</v>
      </c>
      <c r="G1188" s="8" t="str">
        <f aca="false">INDEX(Bases!$C$2:$C$53,B1188)</f>
        <v>Bug</v>
      </c>
      <c r="H1188" s="8" t="str">
        <f aca="false">IF(INDEX(Bases!$C$2:$C$53,C1188)=G1188,"",INDEX(Bases!$C$2:$C$53,C1188))</f>
        <v>Steel</v>
      </c>
      <c r="I1188" s="8" t="str">
        <f aca="false">IF(INDEX(Bases!$E$2:$E$53,B1188)="","",INDEX(Bases!$E$2:$E$53,B1188))</f>
        <v/>
      </c>
      <c r="J1188" s="8" t="str">
        <f aca="false">IF(INDEX(Bases!$E$2:$E$53,C1188)="","",INDEX(Bases!$E$2:$E$53,C1188))</f>
        <v/>
      </c>
      <c r="K1188" s="5"/>
      <c r="L1188" s="2" t="n">
        <f aca="false">AE1188+IF(SUMPRODUCT(--($AL1188:$AQ1188&gt;AL1188))&lt;$AK1188,1,0)</f>
        <v>82</v>
      </c>
      <c r="M1188" s="2" t="n">
        <f aca="false">AF1188+IF(SUMPRODUCT(--($AL1188:$AQ1188&gt;AM1188))+SUMPRODUCT(--($AL1188:AL1188=AM1188))&lt;$AK1188,1,0)</f>
        <v>109</v>
      </c>
      <c r="N1188" s="2" t="n">
        <f aca="false">AG1188+IF(SUMPRODUCT(--($AL1188:$AQ1188&gt;AN1188))+SUMPRODUCT(--($AL1188:AM1188=AN1188))&lt;$AK1188,1,0)</f>
        <v>152</v>
      </c>
      <c r="O1188" s="2" t="n">
        <f aca="false">AH1188+IF(SUMPRODUCT(--($AL1188:$AQ1188&gt;AO1188))+SUMPRODUCT(--($AL1188:AN1188=AO1188))&lt;$AK1188,1,0)</f>
        <v>60</v>
      </c>
      <c r="P1188" s="2" t="n">
        <f aca="false">AI1188+IF(SUMPRODUCT(--($AL1188:$AQ1188&gt;AP1188))+SUMPRODUCT(--($AL1188:AO1188=AP1188))&lt;$AK1188,1,0)</f>
        <v>59</v>
      </c>
      <c r="Q1188" s="2" t="n">
        <f aca="false">AJ1188+IF(SUMPRODUCT(--($AL1188:$AQ1188&gt;AQ1188))+SUMPRODUCT(--($AL1188:AP1188=AQ1188))&lt;$AK1188,1,0)</f>
        <v>38</v>
      </c>
      <c r="R1188" s="2" t="n">
        <f aca="false">SUM(L1188:Q1188)</f>
        <v>500</v>
      </c>
      <c r="S1188" s="2" t="n">
        <f aca="false">Settings!$B$4*MAX(INDEX(Bases!$M$2:$M$53,B1188),INDEX(Bases!$M$2:$M$53,C1188))+Settings!$B$5*MIN(INDEX(Bases!$M$2:$M$53,B1188),INDEX(Bases!$M$2:$M$53,C1188))</f>
        <v>66.3333333333333</v>
      </c>
      <c r="T1188" s="2" t="n">
        <f aca="false">Settings!$B$4*MAX(INDEX(Bases!$N$2:$N$53,B1188),INDEX(Bases!$N$2:$N$53,C1188))+Settings!$B$5*MIN(INDEX(Bases!$N$2:$N$53,B1188),INDEX(Bases!$N$2:$N$53,C1188))</f>
        <v>88.3333333333333</v>
      </c>
      <c r="U1188" s="2" t="n">
        <f aca="false">Settings!$B$4*MAX(INDEX(Bases!$O$2:$O$53,B1188),INDEX(Bases!$O$2:$O$53,C1188))+Settings!$B$5*MIN(INDEX(Bases!$O$2:$O$53,B1188),INDEX(Bases!$O$2:$O$53,C1188))</f>
        <v>123</v>
      </c>
      <c r="V1188" s="2" t="n">
        <f aca="false">Settings!$B$4*MAX(INDEX(Bases!$P$2:$P$53,B1188),INDEX(Bases!$P$2:$P$53,C1188))+Settings!$B$5*MIN(INDEX(Bases!$P$2:$P$53,B1188),INDEX(Bases!$P$2:$P$53,C1188))</f>
        <v>48.6666666666667</v>
      </c>
      <c r="W1188" s="2" t="n">
        <f aca="false">Settings!$B$4*MAX(INDEX(Bases!$Q$2:$Q$53,B1188),INDEX(Bases!$Q$2:$Q$53,C1188))+Settings!$B$5*MIN(INDEX(Bases!$Q$2:$Q$53,B1188),INDEX(Bases!$Q$2:$Q$53,C1188))</f>
        <v>48</v>
      </c>
      <c r="X1188" s="2" t="n">
        <f aca="false">Settings!$B$4*MAX(INDEX(Bases!$R$2:$R$53,B1188),INDEX(Bases!$R$2:$R$53,C1188))+Settings!$B$5*MIN(INDEX(Bases!$R$2:$R$53,B1188),INDEX(Bases!$R$2:$R$53,C1188))</f>
        <v>31</v>
      </c>
      <c r="Y1188" s="2" t="n">
        <f aca="false">S1188*Settings!$B$3/SUM(S1188:X1188)</f>
        <v>81.8256578947369</v>
      </c>
      <c r="Z1188" s="2" t="n">
        <f aca="false">T1188*Settings!$B$3/SUM(S1188:X1188)</f>
        <v>108.963815789474</v>
      </c>
      <c r="AA1188" s="2" t="n">
        <f aca="false">U1188*Settings!$B$3/SUM(S1188:X1188)</f>
        <v>151.726973684211</v>
      </c>
      <c r="AB1188" s="2" t="n">
        <f aca="false">V1188*Settings!$B$3/SUM(S1188:X1188)</f>
        <v>60.0328947368421</v>
      </c>
      <c r="AC1188" s="2" t="n">
        <f aca="false">W1188*Settings!$B$3/SUM(S1188:X1188)</f>
        <v>59.2105263157895</v>
      </c>
      <c r="AD1188" s="2" t="n">
        <f aca="false">X1188*Settings!$B$3/SUM(S1188:X1188)</f>
        <v>38.2401315789474</v>
      </c>
      <c r="AE1188" s="2" t="n">
        <f aca="false">INT(Y1188)</f>
        <v>81</v>
      </c>
      <c r="AF1188" s="2" t="n">
        <f aca="false">INT(Z1188)</f>
        <v>108</v>
      </c>
      <c r="AG1188" s="2" t="n">
        <f aca="false">INT(AA1188)</f>
        <v>151</v>
      </c>
      <c r="AH1188" s="2" t="n">
        <f aca="false">INT(AB1188)</f>
        <v>60</v>
      </c>
      <c r="AI1188" s="2" t="n">
        <f aca="false">INT(AC1188)</f>
        <v>59</v>
      </c>
      <c r="AJ1188" s="2" t="n">
        <f aca="false">INT(AD1188)</f>
        <v>38</v>
      </c>
      <c r="AK1188" s="2" t="n">
        <f aca="false">Settings!$B$3-SUM(AE1188:AJ1188)</f>
        <v>3</v>
      </c>
      <c r="AL1188" s="2" t="n">
        <f aca="false">ROUND(Y1188-AE1188,9)</f>
        <v>0.825657895</v>
      </c>
      <c r="AM1188" s="2" t="n">
        <f aca="false">ROUND(Z1188-AF1188,9)</f>
        <v>0.963815789</v>
      </c>
      <c r="AN1188" s="2" t="n">
        <f aca="false">ROUND(AA1188-AG1188,9)</f>
        <v>0.726973684</v>
      </c>
      <c r="AO1188" s="2" t="n">
        <f aca="false">ROUND(AB1188-AH1188,9)</f>
        <v>0.032894737</v>
      </c>
      <c r="AP1188" s="2" t="n">
        <f aca="false">ROUND(AC1188-AI1188,9)</f>
        <v>0.210526316</v>
      </c>
      <c r="AQ1188" s="2" t="n">
        <f aca="false">ROUND(AD1188-AJ1188,9)</f>
        <v>0.240131579</v>
      </c>
    </row>
    <row r="1189" customFormat="false" ht="15" hidden="false" customHeight="false" outlineLevel="0" collapsed="false">
      <c r="A1189" s="2" t="n">
        <v>1188</v>
      </c>
      <c r="B1189" s="6" t="n">
        <v>35</v>
      </c>
      <c r="C1189" s="6" t="n">
        <v>50</v>
      </c>
      <c r="D1189" s="8" t="str">
        <f aca="false">INDEX(Bases!$B$2:$B$53,B1189)</f>
        <v>Pineco</v>
      </c>
      <c r="E1189" s="8" t="str">
        <f aca="false">INDEX(Bases!$B$2:$B$53,C1189)</f>
        <v>Beldum</v>
      </c>
      <c r="F1189" s="2" t="str">
        <f aca="false">LEFT(D1189,ROUNDUP(LEN(D1189)/2,0))&amp;LOWER(MID(E1189,ROUNDUP(LEN(E1189)/2,0)+1,20))</f>
        <v>Pindum</v>
      </c>
      <c r="G1189" s="8" t="str">
        <f aca="false">INDEX(Bases!$C$2:$C$53,B1189)</f>
        <v>Bug</v>
      </c>
      <c r="H1189" s="8" t="str">
        <f aca="false">IF(INDEX(Bases!$C$2:$C$53,C1189)=G1189,"",INDEX(Bases!$C$2:$C$53,C1189))</f>
        <v>Steel</v>
      </c>
      <c r="I1189" s="8" t="str">
        <f aca="false">IF(INDEX(Bases!$E$2:$E$53,B1189)="","",INDEX(Bases!$E$2:$E$53,B1189))</f>
        <v/>
      </c>
      <c r="J1189" s="8" t="str">
        <f aca="false">IF(INDEX(Bases!$E$2:$E$53,C1189)="","",INDEX(Bases!$E$2:$E$53,C1189))</f>
        <v/>
      </c>
      <c r="K1189" s="5"/>
      <c r="L1189" s="2" t="n">
        <f aca="false">AE1189+IF(SUMPRODUCT(--($AL1189:$AQ1189&gt;AL1189))&lt;$AK1189,1,0)</f>
        <v>76</v>
      </c>
      <c r="M1189" s="2" t="n">
        <f aca="false">AF1189+IF(SUMPRODUCT(--($AL1189:$AQ1189&gt;AM1189))+SUMPRODUCT(--($AL1189:AL1189=AM1189))&lt;$AK1189,1,0)</f>
        <v>101</v>
      </c>
      <c r="N1189" s="2" t="n">
        <f aca="false">AG1189+IF(SUMPRODUCT(--($AL1189:$AQ1189&gt;AN1189))+SUMPRODUCT(--($AL1189:AM1189=AN1189))&lt;$AK1189,1,0)</f>
        <v>142</v>
      </c>
      <c r="O1189" s="2" t="n">
        <f aca="false">AH1189+IF(SUMPRODUCT(--($AL1189:$AQ1189&gt;AO1189))+SUMPRODUCT(--($AL1189:AN1189=AO1189))&lt;$AK1189,1,0)</f>
        <v>57</v>
      </c>
      <c r="P1189" s="2" t="n">
        <f aca="false">AI1189+IF(SUMPRODUCT(--($AL1189:$AQ1189&gt;AP1189))+SUMPRODUCT(--($AL1189:AO1189=AP1189))&lt;$AK1189,1,0)</f>
        <v>83</v>
      </c>
      <c r="Q1189" s="2" t="n">
        <f aca="false">AJ1189+IF(SUMPRODUCT(--($AL1189:$AQ1189&gt;AQ1189))+SUMPRODUCT(--($AL1189:AP1189=AQ1189))&lt;$AK1189,1,0)</f>
        <v>41</v>
      </c>
      <c r="R1189" s="2" t="n">
        <f aca="false">SUM(L1189:Q1189)</f>
        <v>500</v>
      </c>
      <c r="S1189" s="2" t="n">
        <f aca="false">Settings!$B$4*MAX(INDEX(Bases!$M$2:$M$53,B1189),INDEX(Bases!$M$2:$M$53,C1189))+Settings!$B$5*MIN(INDEX(Bases!$M$2:$M$53,B1189),INDEX(Bases!$M$2:$M$53,C1189))</f>
        <v>63.6666666666667</v>
      </c>
      <c r="T1189" s="2" t="n">
        <f aca="false">Settings!$B$4*MAX(INDEX(Bases!$N$2:$N$53,B1189),INDEX(Bases!$N$2:$N$53,C1189))+Settings!$B$5*MIN(INDEX(Bases!$N$2:$N$53,B1189),INDEX(Bases!$N$2:$N$53,C1189))</f>
        <v>84.3333333333333</v>
      </c>
      <c r="U1189" s="2" t="n">
        <f aca="false">Settings!$B$4*MAX(INDEX(Bases!$O$2:$O$53,B1189),INDEX(Bases!$O$2:$O$53,C1189))+Settings!$B$5*MIN(INDEX(Bases!$O$2:$O$53,B1189),INDEX(Bases!$O$2:$O$53,C1189))</f>
        <v>118.333333333333</v>
      </c>
      <c r="V1189" s="2" t="n">
        <f aca="false">Settings!$B$4*MAX(INDEX(Bases!$P$2:$P$53,B1189),INDEX(Bases!$P$2:$P$53,C1189))+Settings!$B$5*MIN(INDEX(Bases!$P$2:$P$53,B1189),INDEX(Bases!$P$2:$P$53,C1189))</f>
        <v>47.6666666666667</v>
      </c>
      <c r="W1189" s="2" t="n">
        <f aca="false">Settings!$B$4*MAX(INDEX(Bases!$Q$2:$Q$53,B1189),INDEX(Bases!$Q$2:$Q$53,C1189))+Settings!$B$5*MIN(INDEX(Bases!$Q$2:$Q$53,B1189),INDEX(Bases!$Q$2:$Q$53,C1189))</f>
        <v>69.3333333333333</v>
      </c>
      <c r="X1189" s="2" t="n">
        <f aca="false">Settings!$B$4*MAX(INDEX(Bases!$R$2:$R$53,B1189),INDEX(Bases!$R$2:$R$53,C1189))+Settings!$B$5*MIN(INDEX(Bases!$R$2:$R$53,B1189),INDEX(Bases!$R$2:$R$53,C1189))</f>
        <v>33.6666666666667</v>
      </c>
      <c r="Y1189" s="2" t="n">
        <f aca="false">S1189*Settings!$B$3/SUM(S1189:X1189)</f>
        <v>76.3389288569145</v>
      </c>
      <c r="Z1189" s="2" t="n">
        <f aca="false">T1189*Settings!$B$3/SUM(S1189:X1189)</f>
        <v>101.119104716227</v>
      </c>
      <c r="AA1189" s="2" t="n">
        <f aca="false">U1189*Settings!$B$3/SUM(S1189:X1189)</f>
        <v>141.886490807354</v>
      </c>
      <c r="AB1189" s="2" t="n">
        <f aca="false">V1189*Settings!$B$3/SUM(S1189:X1189)</f>
        <v>57.154276578737</v>
      </c>
      <c r="AC1189" s="2" t="n">
        <f aca="false">W1189*Settings!$B$3/SUM(S1189:X1189)</f>
        <v>83.1334932054356</v>
      </c>
      <c r="AD1189" s="2" t="n">
        <f aca="false">X1189*Settings!$B$3/SUM(S1189:X1189)</f>
        <v>40.3677058353317</v>
      </c>
      <c r="AE1189" s="2" t="n">
        <f aca="false">INT(Y1189)</f>
        <v>76</v>
      </c>
      <c r="AF1189" s="2" t="n">
        <f aca="false">INT(Z1189)</f>
        <v>101</v>
      </c>
      <c r="AG1189" s="2" t="n">
        <f aca="false">INT(AA1189)</f>
        <v>141</v>
      </c>
      <c r="AH1189" s="2" t="n">
        <f aca="false">INT(AB1189)</f>
        <v>57</v>
      </c>
      <c r="AI1189" s="2" t="n">
        <f aca="false">INT(AC1189)</f>
        <v>83</v>
      </c>
      <c r="AJ1189" s="2" t="n">
        <f aca="false">INT(AD1189)</f>
        <v>40</v>
      </c>
      <c r="AK1189" s="2" t="n">
        <f aca="false">Settings!$B$3-SUM(AE1189:AJ1189)</f>
        <v>2</v>
      </c>
      <c r="AL1189" s="2" t="n">
        <f aca="false">ROUND(Y1189-AE1189,9)</f>
        <v>0.338928857</v>
      </c>
      <c r="AM1189" s="2" t="n">
        <f aca="false">ROUND(Z1189-AF1189,9)</f>
        <v>0.119104716</v>
      </c>
      <c r="AN1189" s="2" t="n">
        <f aca="false">ROUND(AA1189-AG1189,9)</f>
        <v>0.886490807</v>
      </c>
      <c r="AO1189" s="2" t="n">
        <f aca="false">ROUND(AB1189-AH1189,9)</f>
        <v>0.154276579</v>
      </c>
      <c r="AP1189" s="2" t="n">
        <f aca="false">ROUND(AC1189-AI1189,9)</f>
        <v>0.133493205</v>
      </c>
      <c r="AQ1189" s="2" t="n">
        <f aca="false">ROUND(AD1189-AJ1189,9)</f>
        <v>0.367705835</v>
      </c>
    </row>
    <row r="1190" customFormat="false" ht="15" hidden="false" customHeight="false" outlineLevel="0" collapsed="false">
      <c r="A1190" s="2" t="n">
        <v>1189</v>
      </c>
      <c r="B1190" s="6" t="n">
        <v>35</v>
      </c>
      <c r="C1190" s="6" t="n">
        <v>51</v>
      </c>
      <c r="D1190" s="8" t="str">
        <f aca="false">INDEX(Bases!$B$2:$B$53,B1190)</f>
        <v>Pineco</v>
      </c>
      <c r="E1190" s="8" t="str">
        <f aca="false">INDEX(Bases!$B$2:$B$53,C1190)</f>
        <v>Cleffa</v>
      </c>
      <c r="F1190" s="2" t="str">
        <f aca="false">LEFT(D1190,ROUNDUP(LEN(D1190)/2,0))&amp;LOWER(MID(E1190,ROUNDUP(LEN(E1190)/2,0)+1,20))</f>
        <v>Pinffa</v>
      </c>
      <c r="G1190" s="8" t="str">
        <f aca="false">INDEX(Bases!$C$2:$C$53,B1190)</f>
        <v>Bug</v>
      </c>
      <c r="H1190" s="8" t="str">
        <f aca="false">IF(INDEX(Bases!$C$2:$C$53,C1190)=G1190,"",INDEX(Bases!$C$2:$C$53,C1190))</f>
        <v>Fairy</v>
      </c>
      <c r="I1190" s="8" t="str">
        <f aca="false">IF(INDEX(Bases!$E$2:$E$53,B1190)="","",INDEX(Bases!$E$2:$E$53,B1190))</f>
        <v/>
      </c>
      <c r="J1190" s="8" t="str">
        <f aca="false">IF(INDEX(Bases!$E$2:$E$53,C1190)="","",INDEX(Bases!$E$2:$E$53,C1190))</f>
        <v/>
      </c>
      <c r="K1190" s="5"/>
      <c r="L1190" s="2" t="n">
        <f aca="false">AE1190+IF(SUMPRODUCT(--($AL1190:$AQ1190&gt;AL1190))&lt;$AK1190,1,0)</f>
        <v>96</v>
      </c>
      <c r="M1190" s="2" t="n">
        <f aca="false">AF1190+IF(SUMPRODUCT(--($AL1190:$AQ1190&gt;AM1190))+SUMPRODUCT(--($AL1190:AL1190=AM1190))&lt;$AK1190,1,0)</f>
        <v>86</v>
      </c>
      <c r="N1190" s="2" t="n">
        <f aca="false">AG1190+IF(SUMPRODUCT(--($AL1190:$AQ1190&gt;AN1190))+SUMPRODUCT(--($AL1190:AM1190=AN1190))&lt;$AK1190,1,0)</f>
        <v>114</v>
      </c>
      <c r="O1190" s="2" t="n">
        <f aca="false">AH1190+IF(SUMPRODUCT(--($AL1190:$AQ1190&gt;AO1190))+SUMPRODUCT(--($AL1190:AN1190=AO1190))&lt;$AK1190,1,0)</f>
        <v>81</v>
      </c>
      <c r="P1190" s="2" t="n">
        <f aca="false">AI1190+IF(SUMPRODUCT(--($AL1190:$AQ1190&gt;AP1190))+SUMPRODUCT(--($AL1190:AO1190=AP1190))&lt;$AK1190,1,0)</f>
        <v>95</v>
      </c>
      <c r="Q1190" s="2" t="n">
        <f aca="false">AJ1190+IF(SUMPRODUCT(--($AL1190:$AQ1190&gt;AQ1190))+SUMPRODUCT(--($AL1190:AP1190=AQ1190))&lt;$AK1190,1,0)</f>
        <v>28</v>
      </c>
      <c r="R1190" s="2" t="n">
        <f aca="false">SUM(L1190:Q1190)</f>
        <v>500</v>
      </c>
      <c r="S1190" s="2" t="n">
        <f aca="false">Settings!$B$4*MAX(INDEX(Bases!$M$2:$M$53,B1190),INDEX(Bases!$M$2:$M$53,C1190))+Settings!$B$5*MIN(INDEX(Bases!$M$2:$M$53,B1190),INDEX(Bases!$M$2:$M$53,C1190))</f>
        <v>84.3333333333333</v>
      </c>
      <c r="T1190" s="2" t="n">
        <f aca="false">Settings!$B$4*MAX(INDEX(Bases!$N$2:$N$53,B1190),INDEX(Bases!$N$2:$N$53,C1190))+Settings!$B$5*MIN(INDEX(Bases!$N$2:$N$53,B1190),INDEX(Bases!$N$2:$N$53,C1190))</f>
        <v>75.3333333333333</v>
      </c>
      <c r="U1190" s="2" t="n">
        <f aca="false">Settings!$B$4*MAX(INDEX(Bases!$O$2:$O$53,B1190),INDEX(Bases!$O$2:$O$53,C1190))+Settings!$B$5*MIN(INDEX(Bases!$O$2:$O$53,B1190),INDEX(Bases!$O$2:$O$53,C1190))</f>
        <v>99.6666666666667</v>
      </c>
      <c r="V1190" s="2" t="n">
        <f aca="false">Settings!$B$4*MAX(INDEX(Bases!$P$2:$P$53,B1190),INDEX(Bases!$P$2:$P$53,C1190))+Settings!$B$5*MIN(INDEX(Bases!$P$2:$P$53,B1190),INDEX(Bases!$P$2:$P$53,C1190))</f>
        <v>71.3333333333333</v>
      </c>
      <c r="W1190" s="2" t="n">
        <f aca="false">Settings!$B$4*MAX(INDEX(Bases!$Q$2:$Q$53,B1190),INDEX(Bases!$Q$2:$Q$53,C1190))+Settings!$B$5*MIN(INDEX(Bases!$Q$2:$Q$53,B1190),INDEX(Bases!$Q$2:$Q$53,C1190))</f>
        <v>83.3333333333333</v>
      </c>
      <c r="X1190" s="2" t="n">
        <f aca="false">Settings!$B$4*MAX(INDEX(Bases!$R$2:$R$53,B1190),INDEX(Bases!$R$2:$R$53,C1190))+Settings!$B$5*MIN(INDEX(Bases!$R$2:$R$53,B1190),INDEX(Bases!$R$2:$R$53,C1190))</f>
        <v>25</v>
      </c>
      <c r="Y1190" s="2" t="n">
        <f aca="false">S1190*Settings!$B$3/SUM(S1190:X1190)</f>
        <v>96.0516324981017</v>
      </c>
      <c r="Z1190" s="2" t="n">
        <f aca="false">T1190*Settings!$B$3/SUM(S1190:X1190)</f>
        <v>85.8010630220198</v>
      </c>
      <c r="AA1190" s="2" t="n">
        <f aca="false">U1190*Settings!$B$3/SUM(S1190:X1190)</f>
        <v>113.515565679575</v>
      </c>
      <c r="AB1190" s="2" t="n">
        <f aca="false">V1190*Settings!$B$3/SUM(S1190:X1190)</f>
        <v>81.2452543659833</v>
      </c>
      <c r="AC1190" s="2" t="n">
        <f aca="false">W1190*Settings!$B$3/SUM(S1190:X1190)</f>
        <v>94.9126803340926</v>
      </c>
      <c r="AD1190" s="2" t="n">
        <f aca="false">X1190*Settings!$B$3/SUM(S1190:X1190)</f>
        <v>28.4738041002278</v>
      </c>
      <c r="AE1190" s="2" t="n">
        <f aca="false">INT(Y1190)</f>
        <v>96</v>
      </c>
      <c r="AF1190" s="2" t="n">
        <f aca="false">INT(Z1190)</f>
        <v>85</v>
      </c>
      <c r="AG1190" s="2" t="n">
        <f aca="false">INT(AA1190)</f>
        <v>113</v>
      </c>
      <c r="AH1190" s="2" t="n">
        <f aca="false">INT(AB1190)</f>
        <v>81</v>
      </c>
      <c r="AI1190" s="2" t="n">
        <f aca="false">INT(AC1190)</f>
        <v>94</v>
      </c>
      <c r="AJ1190" s="2" t="n">
        <f aca="false">INT(AD1190)</f>
        <v>28</v>
      </c>
      <c r="AK1190" s="2" t="n">
        <f aca="false">Settings!$B$3-SUM(AE1190:AJ1190)</f>
        <v>3</v>
      </c>
      <c r="AL1190" s="2" t="n">
        <f aca="false">ROUND(Y1190-AE1190,9)</f>
        <v>0.051632498</v>
      </c>
      <c r="AM1190" s="2" t="n">
        <f aca="false">ROUND(Z1190-AF1190,9)</f>
        <v>0.801063022</v>
      </c>
      <c r="AN1190" s="2" t="n">
        <f aca="false">ROUND(AA1190-AG1190,9)</f>
        <v>0.51556568</v>
      </c>
      <c r="AO1190" s="2" t="n">
        <f aca="false">ROUND(AB1190-AH1190,9)</f>
        <v>0.245254366</v>
      </c>
      <c r="AP1190" s="2" t="n">
        <f aca="false">ROUND(AC1190-AI1190,9)</f>
        <v>0.912680334</v>
      </c>
      <c r="AQ1190" s="2" t="n">
        <f aca="false">ROUND(AD1190-AJ1190,9)</f>
        <v>0.4738041</v>
      </c>
    </row>
    <row r="1191" customFormat="false" ht="15" hidden="false" customHeight="false" outlineLevel="0" collapsed="false">
      <c r="A1191" s="2" t="n">
        <v>1190</v>
      </c>
      <c r="B1191" s="6" t="n">
        <v>35</v>
      </c>
      <c r="C1191" s="6" t="n">
        <v>52</v>
      </c>
      <c r="D1191" s="8" t="str">
        <f aca="false">INDEX(Bases!$B$2:$B$53,B1191)</f>
        <v>Pineco</v>
      </c>
      <c r="E1191" s="8" t="str">
        <f aca="false">INDEX(Bases!$B$2:$B$53,C1191)</f>
        <v>Togepi</v>
      </c>
      <c r="F1191" s="2" t="str">
        <f aca="false">LEFT(D1191,ROUNDUP(LEN(D1191)/2,0))&amp;LOWER(MID(E1191,ROUNDUP(LEN(E1191)/2,0)+1,20))</f>
        <v>Pinepi</v>
      </c>
      <c r="G1191" s="8" t="str">
        <f aca="false">INDEX(Bases!$C$2:$C$53,B1191)</f>
        <v>Bug</v>
      </c>
      <c r="H1191" s="8" t="str">
        <f aca="false">IF(INDEX(Bases!$C$2:$C$53,C1191)=G1191,"",INDEX(Bases!$C$2:$C$53,C1191))</f>
        <v>Fairy</v>
      </c>
      <c r="I1191" s="8" t="str">
        <f aca="false">IF(INDEX(Bases!$E$2:$E$53,B1191)="","",INDEX(Bases!$E$2:$E$53,B1191))</f>
        <v/>
      </c>
      <c r="J1191" s="8" t="str">
        <f aca="false">IF(INDEX(Bases!$E$2:$E$53,C1191)="","",INDEX(Bases!$E$2:$E$53,C1191))</f>
        <v/>
      </c>
      <c r="K1191" s="5"/>
      <c r="L1191" s="2" t="n">
        <f aca="false">AE1191+IF(SUMPRODUCT(--($AL1191:$AQ1191&gt;AL1191))&lt;$AK1191,1,0)</f>
        <v>76</v>
      </c>
      <c r="M1191" s="2" t="n">
        <f aca="false">AF1191+IF(SUMPRODUCT(--($AL1191:$AQ1191&gt;AM1191))+SUMPRODUCT(--($AL1191:AL1191=AM1191))&lt;$AK1191,1,0)</f>
        <v>83</v>
      </c>
      <c r="N1191" s="2" t="n">
        <f aca="false">AG1191+IF(SUMPRODUCT(--($AL1191:$AQ1191&gt;AN1191))+SUMPRODUCT(--($AL1191:AM1191=AN1191))&lt;$AK1191,1,0)</f>
        <v>137</v>
      </c>
      <c r="O1191" s="2" t="n">
        <f aca="false">AH1191+IF(SUMPRODUCT(--($AL1191:$AQ1191&gt;AO1191))+SUMPRODUCT(--($AL1191:AN1191=AO1191))&lt;$AK1191,1,0)</f>
        <v>69</v>
      </c>
      <c r="P1191" s="2" t="n">
        <f aca="false">AI1191+IF(SUMPRODUCT(--($AL1191:$AQ1191&gt;AP1191))+SUMPRODUCT(--($AL1191:AO1191=AP1191))&lt;$AK1191,1,0)</f>
        <v>101</v>
      </c>
      <c r="Q1191" s="2" t="n">
        <f aca="false">AJ1191+IF(SUMPRODUCT(--($AL1191:$AQ1191&gt;AQ1191))+SUMPRODUCT(--($AL1191:AP1191=AQ1191))&lt;$AK1191,1,0)</f>
        <v>34</v>
      </c>
      <c r="R1191" s="2" t="n">
        <f aca="false">SUM(L1191:Q1191)</f>
        <v>500</v>
      </c>
      <c r="S1191" s="2" t="n">
        <f aca="false">Settings!$B$4*MAX(INDEX(Bases!$M$2:$M$53,B1191),INDEX(Bases!$M$2:$M$53,C1191))+Settings!$B$5*MIN(INDEX(Bases!$M$2:$M$53,B1191),INDEX(Bases!$M$2:$M$53,C1191))</f>
        <v>65</v>
      </c>
      <c r="T1191" s="2" t="n">
        <f aca="false">Settings!$B$4*MAX(INDEX(Bases!$N$2:$N$53,B1191),INDEX(Bases!$N$2:$N$53,C1191))+Settings!$B$5*MIN(INDEX(Bases!$N$2:$N$53,B1191),INDEX(Bases!$N$2:$N$53,C1191))</f>
        <v>71</v>
      </c>
      <c r="U1191" s="2" t="n">
        <f aca="false">Settings!$B$4*MAX(INDEX(Bases!$O$2:$O$53,B1191),INDEX(Bases!$O$2:$O$53,C1191))+Settings!$B$5*MIN(INDEX(Bases!$O$2:$O$53,B1191),INDEX(Bases!$O$2:$O$53,C1191))</f>
        <v>118</v>
      </c>
      <c r="V1191" s="2" t="n">
        <f aca="false">Settings!$B$4*MAX(INDEX(Bases!$P$2:$P$53,B1191),INDEX(Bases!$P$2:$P$53,C1191))+Settings!$B$5*MIN(INDEX(Bases!$P$2:$P$53,B1191),INDEX(Bases!$P$2:$P$53,C1191))</f>
        <v>59.3333333333333</v>
      </c>
      <c r="W1191" s="2" t="n">
        <f aca="false">Settings!$B$4*MAX(INDEX(Bases!$Q$2:$Q$53,B1191),INDEX(Bases!$Q$2:$Q$53,C1191))+Settings!$B$5*MIN(INDEX(Bases!$Q$2:$Q$53,B1191),INDEX(Bases!$Q$2:$Q$53,C1191))</f>
        <v>86.6666666666667</v>
      </c>
      <c r="X1191" s="2" t="n">
        <f aca="false">Settings!$B$4*MAX(INDEX(Bases!$R$2:$R$53,B1191),INDEX(Bases!$R$2:$R$53,C1191))+Settings!$B$5*MIN(INDEX(Bases!$R$2:$R$53,B1191),INDEX(Bases!$R$2:$R$53,C1191))</f>
        <v>29</v>
      </c>
      <c r="Y1191" s="2" t="n">
        <f aca="false">S1191*Settings!$B$3/SUM(S1191:X1191)</f>
        <v>75.7575757575758</v>
      </c>
      <c r="Z1191" s="2" t="n">
        <f aca="false">T1191*Settings!$B$3/SUM(S1191:X1191)</f>
        <v>82.7505827505828</v>
      </c>
      <c r="AA1191" s="2" t="n">
        <f aca="false">U1191*Settings!$B$3/SUM(S1191:X1191)</f>
        <v>137.529137529138</v>
      </c>
      <c r="AB1191" s="2" t="n">
        <f aca="false">V1191*Settings!$B$3/SUM(S1191:X1191)</f>
        <v>69.1530691530692</v>
      </c>
      <c r="AC1191" s="2" t="n">
        <f aca="false">W1191*Settings!$B$3/SUM(S1191:X1191)</f>
        <v>101.010101010101</v>
      </c>
      <c r="AD1191" s="2" t="n">
        <f aca="false">X1191*Settings!$B$3/SUM(S1191:X1191)</f>
        <v>33.7995337995338</v>
      </c>
      <c r="AE1191" s="2" t="n">
        <f aca="false">INT(Y1191)</f>
        <v>75</v>
      </c>
      <c r="AF1191" s="2" t="n">
        <f aca="false">INT(Z1191)</f>
        <v>82</v>
      </c>
      <c r="AG1191" s="2" t="n">
        <f aca="false">INT(AA1191)</f>
        <v>137</v>
      </c>
      <c r="AH1191" s="2" t="n">
        <f aca="false">INT(AB1191)</f>
        <v>69</v>
      </c>
      <c r="AI1191" s="2" t="n">
        <f aca="false">INT(AC1191)</f>
        <v>101</v>
      </c>
      <c r="AJ1191" s="2" t="n">
        <f aca="false">INT(AD1191)</f>
        <v>33</v>
      </c>
      <c r="AK1191" s="2" t="n">
        <f aca="false">Settings!$B$3-SUM(AE1191:AJ1191)</f>
        <v>3</v>
      </c>
      <c r="AL1191" s="2" t="n">
        <f aca="false">ROUND(Y1191-AE1191,9)</f>
        <v>0.757575758</v>
      </c>
      <c r="AM1191" s="2" t="n">
        <f aca="false">ROUND(Z1191-AF1191,9)</f>
        <v>0.750582751</v>
      </c>
      <c r="AN1191" s="2" t="n">
        <f aca="false">ROUND(AA1191-AG1191,9)</f>
        <v>0.529137529</v>
      </c>
      <c r="AO1191" s="2" t="n">
        <f aca="false">ROUND(AB1191-AH1191,9)</f>
        <v>0.153069153</v>
      </c>
      <c r="AP1191" s="2" t="n">
        <f aca="false">ROUND(AC1191-AI1191,9)</f>
        <v>0.01010101</v>
      </c>
      <c r="AQ1191" s="2" t="n">
        <f aca="false">ROUND(AD1191-AJ1191,9)</f>
        <v>0.7995338</v>
      </c>
    </row>
    <row r="1192" customFormat="false" ht="15" hidden="false" customHeight="false" outlineLevel="0" collapsed="false">
      <c r="A1192" s="2" t="n">
        <v>1191</v>
      </c>
      <c r="B1192" s="6" t="n">
        <v>36</v>
      </c>
      <c r="C1192" s="6" t="n">
        <v>37</v>
      </c>
      <c r="D1192" s="8" t="str">
        <f aca="false">INDEX(Bases!$B$2:$B$53,B1192)</f>
        <v>Wurmple</v>
      </c>
      <c r="E1192" s="8" t="str">
        <f aca="false">INDEX(Bases!$B$2:$B$53,C1192)</f>
        <v>Shuckle</v>
      </c>
      <c r="F1192" s="2" t="str">
        <f aca="false">LEFT(D1192,ROUNDUP(LEN(D1192)/2,0))&amp;LOWER(MID(E1192,ROUNDUP(LEN(E1192)/2,0)+1,20))</f>
        <v>Wurmkle</v>
      </c>
      <c r="G1192" s="8" t="str">
        <f aca="false">INDEX(Bases!$C$2:$C$53,B1192)</f>
        <v>Bug</v>
      </c>
      <c r="H1192" s="8" t="str">
        <f aca="false">IF(INDEX(Bases!$C$2:$C$53,C1192)=G1192,"",INDEX(Bases!$C$2:$C$53,C1192))</f>
        <v>Rock</v>
      </c>
      <c r="I1192" s="8" t="str">
        <f aca="false">IF(INDEX(Bases!$E$2:$E$53,B1192)="","",INDEX(Bases!$E$2:$E$53,B1192))</f>
        <v/>
      </c>
      <c r="J1192" s="8" t="str">
        <f aca="false">IF(INDEX(Bases!$E$2:$E$53,C1192)="","",INDEX(Bases!$E$2:$E$53,C1192))</f>
        <v/>
      </c>
      <c r="K1192" s="5"/>
      <c r="L1192" s="2" t="n">
        <f aca="false">AE1192+IF(SUMPRODUCT(--($AL1192:$AQ1192&gt;AL1192))&lt;$AK1192,1,0)</f>
        <v>70</v>
      </c>
      <c r="M1192" s="2" t="n">
        <f aca="false">AF1192+IF(SUMPRODUCT(--($AL1192:$AQ1192&gt;AM1192))+SUMPRODUCT(--($AL1192:AL1192=AM1192))&lt;$AK1192,1,0)</f>
        <v>67</v>
      </c>
      <c r="N1192" s="2" t="n">
        <f aca="false">AG1192+IF(SUMPRODUCT(--($AL1192:$AQ1192&gt;AN1192))+SUMPRODUCT(--($AL1192:AM1192=AN1192))&lt;$AK1192,1,0)</f>
        <v>152</v>
      </c>
      <c r="O1192" s="2" t="n">
        <f aca="false">AH1192+IF(SUMPRODUCT(--($AL1192:$AQ1192&gt;AO1192))+SUMPRODUCT(--($AL1192:AN1192=AO1192))&lt;$AK1192,1,0)</f>
        <v>32</v>
      </c>
      <c r="P1192" s="2" t="n">
        <f aca="false">AI1192+IF(SUMPRODUCT(--($AL1192:$AQ1192&gt;AP1192))+SUMPRODUCT(--($AL1192:AO1192=AP1192))&lt;$AK1192,1,0)</f>
        <v>149</v>
      </c>
      <c r="Q1192" s="2" t="n">
        <f aca="false">AJ1192+IF(SUMPRODUCT(--($AL1192:$AQ1192&gt;AQ1192))+SUMPRODUCT(--($AL1192:AP1192=AQ1192))&lt;$AK1192,1,0)</f>
        <v>30</v>
      </c>
      <c r="R1192" s="2" t="n">
        <f aca="false">SUM(L1192:Q1192)</f>
        <v>500</v>
      </c>
      <c r="S1192" s="2" t="n">
        <f aca="false">Settings!$B$4*MAX(INDEX(Bases!$M$2:$M$53,B1192),INDEX(Bases!$M$2:$M$53,C1192))+Settings!$B$5*MIN(INDEX(Bases!$M$2:$M$53,B1192),INDEX(Bases!$M$2:$M$53,C1192))</f>
        <v>66.6666666666667</v>
      </c>
      <c r="T1192" s="2" t="n">
        <f aca="false">Settings!$B$4*MAX(INDEX(Bases!$N$2:$N$53,B1192),INDEX(Bases!$N$2:$N$53,C1192))+Settings!$B$5*MIN(INDEX(Bases!$N$2:$N$53,B1192),INDEX(Bases!$N$2:$N$53,C1192))</f>
        <v>64</v>
      </c>
      <c r="U1192" s="2" t="n">
        <f aca="false">Settings!$B$4*MAX(INDEX(Bases!$O$2:$O$53,B1192),INDEX(Bases!$O$2:$O$53,C1192))+Settings!$B$5*MIN(INDEX(Bases!$O$2:$O$53,B1192),INDEX(Bases!$O$2:$O$53,C1192))</f>
        <v>145.333333333333</v>
      </c>
      <c r="V1192" s="2" t="n">
        <f aca="false">Settings!$B$4*MAX(INDEX(Bases!$P$2:$P$53,B1192),INDEX(Bases!$P$2:$P$53,C1192))+Settings!$B$5*MIN(INDEX(Bases!$P$2:$P$53,B1192),INDEX(Bases!$P$2:$P$53,C1192))</f>
        <v>30</v>
      </c>
      <c r="W1192" s="2" t="n">
        <f aca="false">Settings!$B$4*MAX(INDEX(Bases!$Q$2:$Q$53,B1192),INDEX(Bases!$Q$2:$Q$53,C1192))+Settings!$B$5*MIN(INDEX(Bases!$Q$2:$Q$53,B1192),INDEX(Bases!$Q$2:$Q$53,C1192))</f>
        <v>142</v>
      </c>
      <c r="X1192" s="2" t="n">
        <f aca="false">Settings!$B$4*MAX(INDEX(Bases!$R$2:$R$53,B1192),INDEX(Bases!$R$2:$R$53,C1192))+Settings!$B$5*MIN(INDEX(Bases!$R$2:$R$53,B1192),INDEX(Bases!$R$2:$R$53,C1192))</f>
        <v>28.6666666666667</v>
      </c>
      <c r="Y1192" s="2" t="n">
        <f aca="false">S1192*Settings!$B$3/SUM(S1192:X1192)</f>
        <v>69.9300699300699</v>
      </c>
      <c r="Z1192" s="2" t="n">
        <f aca="false">T1192*Settings!$B$3/SUM(S1192:X1192)</f>
        <v>67.1328671328671</v>
      </c>
      <c r="AA1192" s="2" t="n">
        <f aca="false">U1192*Settings!$B$3/SUM(S1192:X1192)</f>
        <v>152.447552447552</v>
      </c>
      <c r="AB1192" s="2" t="n">
        <f aca="false">V1192*Settings!$B$3/SUM(S1192:X1192)</f>
        <v>31.4685314685315</v>
      </c>
      <c r="AC1192" s="2" t="n">
        <f aca="false">W1192*Settings!$B$3/SUM(S1192:X1192)</f>
        <v>148.951048951049</v>
      </c>
      <c r="AD1192" s="2" t="n">
        <f aca="false">X1192*Settings!$B$3/SUM(S1192:X1192)</f>
        <v>30.0699300699301</v>
      </c>
      <c r="AE1192" s="2" t="n">
        <f aca="false">INT(Y1192)</f>
        <v>69</v>
      </c>
      <c r="AF1192" s="2" t="n">
        <f aca="false">INT(Z1192)</f>
        <v>67</v>
      </c>
      <c r="AG1192" s="2" t="n">
        <f aca="false">INT(AA1192)</f>
        <v>152</v>
      </c>
      <c r="AH1192" s="2" t="n">
        <f aca="false">INT(AB1192)</f>
        <v>31</v>
      </c>
      <c r="AI1192" s="2" t="n">
        <f aca="false">INT(AC1192)</f>
        <v>148</v>
      </c>
      <c r="AJ1192" s="2" t="n">
        <f aca="false">INT(AD1192)</f>
        <v>30</v>
      </c>
      <c r="AK1192" s="2" t="n">
        <f aca="false">Settings!$B$3-SUM(AE1192:AJ1192)</f>
        <v>3</v>
      </c>
      <c r="AL1192" s="2" t="n">
        <f aca="false">ROUND(Y1192-AE1192,9)</f>
        <v>0.93006993</v>
      </c>
      <c r="AM1192" s="2" t="n">
        <f aca="false">ROUND(Z1192-AF1192,9)</f>
        <v>0.132867133</v>
      </c>
      <c r="AN1192" s="2" t="n">
        <f aca="false">ROUND(AA1192-AG1192,9)</f>
        <v>0.447552448</v>
      </c>
      <c r="AO1192" s="2" t="n">
        <f aca="false">ROUND(AB1192-AH1192,9)</f>
        <v>0.468531469</v>
      </c>
      <c r="AP1192" s="2" t="n">
        <f aca="false">ROUND(AC1192-AI1192,9)</f>
        <v>0.951048951</v>
      </c>
      <c r="AQ1192" s="2" t="n">
        <f aca="false">ROUND(AD1192-AJ1192,9)</f>
        <v>0.06993007</v>
      </c>
    </row>
    <row r="1193" customFormat="false" ht="15" hidden="false" customHeight="false" outlineLevel="0" collapsed="false">
      <c r="A1193" s="2" t="n">
        <v>1192</v>
      </c>
      <c r="B1193" s="6" t="n">
        <v>36</v>
      </c>
      <c r="C1193" s="6" t="n">
        <v>38</v>
      </c>
      <c r="D1193" s="8" t="str">
        <f aca="false">INDEX(Bases!$B$2:$B$53,B1193)</f>
        <v>Wurmple</v>
      </c>
      <c r="E1193" s="8" t="str">
        <f aca="false">INDEX(Bases!$B$2:$B$53,C1193)</f>
        <v>Larvitar</v>
      </c>
      <c r="F1193" s="2" t="str">
        <f aca="false">LEFT(D1193,ROUNDUP(LEN(D1193)/2,0))&amp;LOWER(MID(E1193,ROUNDUP(LEN(E1193)/2,0)+1,20))</f>
        <v>Wurmitar</v>
      </c>
      <c r="G1193" s="8" t="str">
        <f aca="false">INDEX(Bases!$C$2:$C$53,B1193)</f>
        <v>Bug</v>
      </c>
      <c r="H1193" s="8" t="str">
        <f aca="false">IF(INDEX(Bases!$C$2:$C$53,C1193)=G1193,"",INDEX(Bases!$C$2:$C$53,C1193))</f>
        <v>Rock</v>
      </c>
      <c r="I1193" s="8" t="str">
        <f aca="false">IF(INDEX(Bases!$E$2:$E$53,B1193)="","",INDEX(Bases!$E$2:$E$53,B1193))</f>
        <v/>
      </c>
      <c r="J1193" s="8" t="str">
        <f aca="false">IF(INDEX(Bases!$E$2:$E$53,C1193)="","",INDEX(Bases!$E$2:$E$53,C1193))</f>
        <v/>
      </c>
      <c r="K1193" s="5"/>
      <c r="L1193" s="2" t="n">
        <f aca="false">AE1193+IF(SUMPRODUCT(--($AL1193:$AQ1193&gt;AL1193))&lt;$AK1193,1,0)</f>
        <v>102</v>
      </c>
      <c r="M1193" s="2" t="n">
        <f aca="false">AF1193+IF(SUMPRODUCT(--($AL1193:$AQ1193&gt;AM1193))+SUMPRODUCT(--($AL1193:AL1193=AM1193))&lt;$AK1193,1,0)</f>
        <v>109</v>
      </c>
      <c r="N1193" s="2" t="n">
        <f aca="false">AG1193+IF(SUMPRODUCT(--($AL1193:$AQ1193&gt;AN1193))+SUMPRODUCT(--($AL1193:AM1193=AN1193))&lt;$AK1193,1,0)</f>
        <v>85</v>
      </c>
      <c r="O1193" s="2" t="n">
        <f aca="false">AH1193+IF(SUMPRODUCT(--($AL1193:$AQ1193&gt;AO1193))+SUMPRODUCT(--($AL1193:AN1193=AO1193))&lt;$AK1193,1,0)</f>
        <v>65</v>
      </c>
      <c r="P1193" s="2" t="n">
        <f aca="false">AI1193+IF(SUMPRODUCT(--($AL1193:$AQ1193&gt;AP1193))+SUMPRODUCT(--($AL1193:AO1193=AP1193))&lt;$AK1193,1,0)</f>
        <v>79</v>
      </c>
      <c r="Q1193" s="2" t="n">
        <f aca="false">AJ1193+IF(SUMPRODUCT(--($AL1193:$AQ1193&gt;AQ1193))+SUMPRODUCT(--($AL1193:AP1193=AQ1193))&lt;$AK1193,1,0)</f>
        <v>60</v>
      </c>
      <c r="R1193" s="2" t="n">
        <f aca="false">SUM(L1193:Q1193)</f>
        <v>500</v>
      </c>
      <c r="S1193" s="2" t="n">
        <f aca="false">Settings!$B$4*MAX(INDEX(Bases!$M$2:$M$53,B1193),INDEX(Bases!$M$2:$M$53,C1193))+Settings!$B$5*MIN(INDEX(Bases!$M$2:$M$53,B1193),INDEX(Bases!$M$2:$M$53,C1193))</f>
        <v>83.6666666666667</v>
      </c>
      <c r="T1193" s="2" t="n">
        <f aca="false">Settings!$B$4*MAX(INDEX(Bases!$N$2:$N$53,B1193),INDEX(Bases!$N$2:$N$53,C1193))+Settings!$B$5*MIN(INDEX(Bases!$N$2:$N$53,B1193),INDEX(Bases!$N$2:$N$53,C1193))</f>
        <v>89.6666666666667</v>
      </c>
      <c r="U1193" s="2" t="n">
        <f aca="false">Settings!$B$4*MAX(INDEX(Bases!$O$2:$O$53,B1193),INDEX(Bases!$O$2:$O$53,C1193))+Settings!$B$5*MIN(INDEX(Bases!$O$2:$O$53,B1193),INDEX(Bases!$O$2:$O$53,C1193))</f>
        <v>70.3333333333333</v>
      </c>
      <c r="V1193" s="2" t="n">
        <f aca="false">Settings!$B$4*MAX(INDEX(Bases!$P$2:$P$53,B1193),INDEX(Bases!$P$2:$P$53,C1193))+Settings!$B$5*MIN(INDEX(Bases!$P$2:$P$53,B1193),INDEX(Bases!$P$2:$P$53,C1193))</f>
        <v>53.6666666666667</v>
      </c>
      <c r="W1193" s="2" t="n">
        <f aca="false">Settings!$B$4*MAX(INDEX(Bases!$Q$2:$Q$53,B1193),INDEX(Bases!$Q$2:$Q$53,C1193))+Settings!$B$5*MIN(INDEX(Bases!$Q$2:$Q$53,B1193),INDEX(Bases!$Q$2:$Q$53,C1193))</f>
        <v>65.3333333333333</v>
      </c>
      <c r="X1193" s="2" t="n">
        <f aca="false">Settings!$B$4*MAX(INDEX(Bases!$R$2:$R$53,B1193),INDEX(Bases!$R$2:$R$53,C1193))+Settings!$B$5*MIN(INDEX(Bases!$R$2:$R$53,B1193),INDEX(Bases!$R$2:$R$53,C1193))</f>
        <v>49.6666666666667</v>
      </c>
      <c r="Y1193" s="2" t="n">
        <f aca="false">S1193*Settings!$B$3/SUM(S1193:X1193)</f>
        <v>101.455133387227</v>
      </c>
      <c r="Z1193" s="2" t="n">
        <f aca="false">T1193*Settings!$B$3/SUM(S1193:X1193)</f>
        <v>108.730800323363</v>
      </c>
      <c r="AA1193" s="2" t="n">
        <f aca="false">U1193*Settings!$B$3/SUM(S1193:X1193)</f>
        <v>85.2869846402587</v>
      </c>
      <c r="AB1193" s="2" t="n">
        <f aca="false">V1193*Settings!$B$3/SUM(S1193:X1193)</f>
        <v>65.0767987065481</v>
      </c>
      <c r="AC1193" s="2" t="n">
        <f aca="false">W1193*Settings!$B$3/SUM(S1193:X1193)</f>
        <v>79.2239288601455</v>
      </c>
      <c r="AD1193" s="2" t="n">
        <f aca="false">X1193*Settings!$B$3/SUM(S1193:X1193)</f>
        <v>60.2263540824576</v>
      </c>
      <c r="AE1193" s="2" t="n">
        <f aca="false">INT(Y1193)</f>
        <v>101</v>
      </c>
      <c r="AF1193" s="2" t="n">
        <f aca="false">INT(Z1193)</f>
        <v>108</v>
      </c>
      <c r="AG1193" s="2" t="n">
        <f aca="false">INT(AA1193)</f>
        <v>85</v>
      </c>
      <c r="AH1193" s="2" t="n">
        <f aca="false">INT(AB1193)</f>
        <v>65</v>
      </c>
      <c r="AI1193" s="2" t="n">
        <f aca="false">INT(AC1193)</f>
        <v>79</v>
      </c>
      <c r="AJ1193" s="2" t="n">
        <f aca="false">INT(AD1193)</f>
        <v>60</v>
      </c>
      <c r="AK1193" s="2" t="n">
        <f aca="false">Settings!$B$3-SUM(AE1193:AJ1193)</f>
        <v>2</v>
      </c>
      <c r="AL1193" s="2" t="n">
        <f aca="false">ROUND(Y1193-AE1193,9)</f>
        <v>0.455133387</v>
      </c>
      <c r="AM1193" s="2" t="n">
        <f aca="false">ROUND(Z1193-AF1193,9)</f>
        <v>0.730800323</v>
      </c>
      <c r="AN1193" s="2" t="n">
        <f aca="false">ROUND(AA1193-AG1193,9)</f>
        <v>0.28698464</v>
      </c>
      <c r="AO1193" s="2" t="n">
        <f aca="false">ROUND(AB1193-AH1193,9)</f>
        <v>0.076798707</v>
      </c>
      <c r="AP1193" s="2" t="n">
        <f aca="false">ROUND(AC1193-AI1193,9)</f>
        <v>0.22392886</v>
      </c>
      <c r="AQ1193" s="2" t="n">
        <f aca="false">ROUND(AD1193-AJ1193,9)</f>
        <v>0.226354082</v>
      </c>
    </row>
    <row r="1194" customFormat="false" ht="15" hidden="false" customHeight="false" outlineLevel="0" collapsed="false">
      <c r="A1194" s="2" t="n">
        <v>1193</v>
      </c>
      <c r="B1194" s="6" t="n">
        <v>36</v>
      </c>
      <c r="C1194" s="6" t="n">
        <v>39</v>
      </c>
      <c r="D1194" s="8" t="str">
        <f aca="false">INDEX(Bases!$B$2:$B$53,B1194)</f>
        <v>Wurmple</v>
      </c>
      <c r="E1194" s="8" t="str">
        <f aca="false">INDEX(Bases!$B$2:$B$53,C1194)</f>
        <v>Nosepass</v>
      </c>
      <c r="F1194" s="2" t="str">
        <f aca="false">LEFT(D1194,ROUNDUP(LEN(D1194)/2,0))&amp;LOWER(MID(E1194,ROUNDUP(LEN(E1194)/2,0)+1,20))</f>
        <v>Wurmpass</v>
      </c>
      <c r="G1194" s="8" t="str">
        <f aca="false">INDEX(Bases!$C$2:$C$53,B1194)</f>
        <v>Bug</v>
      </c>
      <c r="H1194" s="8" t="str">
        <f aca="false">IF(INDEX(Bases!$C$2:$C$53,C1194)=G1194,"",INDEX(Bases!$C$2:$C$53,C1194))</f>
        <v>Rock</v>
      </c>
      <c r="I1194" s="8" t="str">
        <f aca="false">IF(INDEX(Bases!$E$2:$E$53,B1194)="","",INDEX(Bases!$E$2:$E$53,B1194))</f>
        <v/>
      </c>
      <c r="J1194" s="8" t="str">
        <f aca="false">IF(INDEX(Bases!$E$2:$E$53,C1194)="","",INDEX(Bases!$E$2:$E$53,C1194))</f>
        <v/>
      </c>
      <c r="K1194" s="5"/>
      <c r="L1194" s="2" t="n">
        <f aca="false">AE1194+IF(SUMPRODUCT(--($AL1194:$AQ1194&gt;AL1194))&lt;$AK1194,1,0)</f>
        <v>82</v>
      </c>
      <c r="M1194" s="2" t="n">
        <f aca="false">AF1194+IF(SUMPRODUCT(--($AL1194:$AQ1194&gt;AM1194))+SUMPRODUCT(--($AL1194:AL1194=AM1194))&lt;$AK1194,1,0)</f>
        <v>88</v>
      </c>
      <c r="N1194" s="2" t="n">
        <f aca="false">AG1194+IF(SUMPRODUCT(--($AL1194:$AQ1194&gt;AN1194))+SUMPRODUCT(--($AL1194:AM1194=AN1194))&lt;$AK1194,1,0)</f>
        <v>137</v>
      </c>
      <c r="O1194" s="2" t="n">
        <f aca="false">AH1194+IF(SUMPRODUCT(--($AL1194:$AQ1194&gt;AO1194))+SUMPRODUCT(--($AL1194:AN1194=AO1194))&lt;$AK1194,1,0)</f>
        <v>52</v>
      </c>
      <c r="P1194" s="2" t="n">
        <f aca="false">AI1194+IF(SUMPRODUCT(--($AL1194:$AQ1194&gt;AP1194))+SUMPRODUCT(--($AL1194:AO1194=AP1194))&lt;$AK1194,1,0)</f>
        <v>97</v>
      </c>
      <c r="Q1194" s="2" t="n">
        <f aca="false">AJ1194+IF(SUMPRODUCT(--($AL1194:$AQ1194&gt;AQ1194))+SUMPRODUCT(--($AL1194:AP1194=AQ1194))&lt;$AK1194,1,0)</f>
        <v>44</v>
      </c>
      <c r="R1194" s="2" t="n">
        <f aca="false">SUM(L1194:Q1194)</f>
        <v>500</v>
      </c>
      <c r="S1194" s="2" t="n">
        <f aca="false">Settings!$B$4*MAX(INDEX(Bases!$M$2:$M$53,B1194),INDEX(Bases!$M$2:$M$53,C1194))+Settings!$B$5*MIN(INDEX(Bases!$M$2:$M$53,B1194),INDEX(Bases!$M$2:$M$53,C1194))</f>
        <v>72</v>
      </c>
      <c r="T1194" s="2" t="n">
        <f aca="false">Settings!$B$4*MAX(INDEX(Bases!$N$2:$N$53,B1194),INDEX(Bases!$N$2:$N$53,C1194))+Settings!$B$5*MIN(INDEX(Bases!$N$2:$N$53,B1194),INDEX(Bases!$N$2:$N$53,C1194))</f>
        <v>77.3333333333333</v>
      </c>
      <c r="U1194" s="2" t="n">
        <f aca="false">Settings!$B$4*MAX(INDEX(Bases!$O$2:$O$53,B1194),INDEX(Bases!$O$2:$O$53,C1194))+Settings!$B$5*MIN(INDEX(Bases!$O$2:$O$53,B1194),INDEX(Bases!$O$2:$O$53,C1194))</f>
        <v>120</v>
      </c>
      <c r="V1194" s="2" t="n">
        <f aca="false">Settings!$B$4*MAX(INDEX(Bases!$P$2:$P$53,B1194),INDEX(Bases!$P$2:$P$53,C1194))+Settings!$B$5*MIN(INDEX(Bases!$P$2:$P$53,B1194),INDEX(Bases!$P$2:$P$53,C1194))</f>
        <v>45.6666666666667</v>
      </c>
      <c r="W1194" s="2" t="n">
        <f aca="false">Settings!$B$4*MAX(INDEX(Bases!$Q$2:$Q$53,B1194),INDEX(Bases!$Q$2:$Q$53,C1194))+Settings!$B$5*MIN(INDEX(Bases!$Q$2:$Q$53,B1194),INDEX(Bases!$Q$2:$Q$53,C1194))</f>
        <v>84.6666666666667</v>
      </c>
      <c r="X1194" s="2" t="n">
        <f aca="false">Settings!$B$4*MAX(INDEX(Bases!$R$2:$R$53,B1194),INDEX(Bases!$R$2:$R$53,C1194))+Settings!$B$5*MIN(INDEX(Bases!$R$2:$R$53,B1194),INDEX(Bases!$R$2:$R$53,C1194))</f>
        <v>38</v>
      </c>
      <c r="Y1194" s="2" t="n">
        <f aca="false">S1194*Settings!$B$3/SUM(S1194:X1194)</f>
        <v>82.2543792840823</v>
      </c>
      <c r="Z1194" s="2" t="n">
        <f aca="false">T1194*Settings!$B$3/SUM(S1194:X1194)</f>
        <v>88.3472962680883</v>
      </c>
      <c r="AA1194" s="2" t="n">
        <f aca="false">U1194*Settings!$B$3/SUM(S1194:X1194)</f>
        <v>137.090632140137</v>
      </c>
      <c r="AB1194" s="2" t="n">
        <f aca="false">V1194*Settings!$B$3/SUM(S1194:X1194)</f>
        <v>52.1706016755522</v>
      </c>
      <c r="AC1194" s="2" t="n">
        <f aca="false">W1194*Settings!$B$3/SUM(S1194:X1194)</f>
        <v>96.7250571210967</v>
      </c>
      <c r="AD1194" s="2" t="n">
        <f aca="false">X1194*Settings!$B$3/SUM(S1194:X1194)</f>
        <v>43.4120335110434</v>
      </c>
      <c r="AE1194" s="2" t="n">
        <f aca="false">INT(Y1194)</f>
        <v>82</v>
      </c>
      <c r="AF1194" s="2" t="n">
        <f aca="false">INT(Z1194)</f>
        <v>88</v>
      </c>
      <c r="AG1194" s="2" t="n">
        <f aca="false">INT(AA1194)</f>
        <v>137</v>
      </c>
      <c r="AH1194" s="2" t="n">
        <f aca="false">INT(AB1194)</f>
        <v>52</v>
      </c>
      <c r="AI1194" s="2" t="n">
        <f aca="false">INT(AC1194)</f>
        <v>96</v>
      </c>
      <c r="AJ1194" s="2" t="n">
        <f aca="false">INT(AD1194)</f>
        <v>43</v>
      </c>
      <c r="AK1194" s="2" t="n">
        <f aca="false">Settings!$B$3-SUM(AE1194:AJ1194)</f>
        <v>2</v>
      </c>
      <c r="AL1194" s="2" t="n">
        <f aca="false">ROUND(Y1194-AE1194,9)</f>
        <v>0.254379284</v>
      </c>
      <c r="AM1194" s="2" t="n">
        <f aca="false">ROUND(Z1194-AF1194,9)</f>
        <v>0.347296268</v>
      </c>
      <c r="AN1194" s="2" t="n">
        <f aca="false">ROUND(AA1194-AG1194,9)</f>
        <v>0.09063214</v>
      </c>
      <c r="AO1194" s="2" t="n">
        <f aca="false">ROUND(AB1194-AH1194,9)</f>
        <v>0.170601676</v>
      </c>
      <c r="AP1194" s="2" t="n">
        <f aca="false">ROUND(AC1194-AI1194,9)</f>
        <v>0.725057121</v>
      </c>
      <c r="AQ1194" s="2" t="n">
        <f aca="false">ROUND(AD1194-AJ1194,9)</f>
        <v>0.412033511</v>
      </c>
    </row>
    <row r="1195" customFormat="false" ht="15" hidden="false" customHeight="false" outlineLevel="0" collapsed="false">
      <c r="A1195" s="2" t="n">
        <v>1194</v>
      </c>
      <c r="B1195" s="6" t="n">
        <v>36</v>
      </c>
      <c r="C1195" s="6" t="n">
        <v>40</v>
      </c>
      <c r="D1195" s="8" t="str">
        <f aca="false">INDEX(Bases!$B$2:$B$53,B1195)</f>
        <v>Wurmple</v>
      </c>
      <c r="E1195" s="8" t="str">
        <f aca="false">INDEX(Bases!$B$2:$B$53,C1195)</f>
        <v>Gastly</v>
      </c>
      <c r="F1195" s="2" t="str">
        <f aca="false">LEFT(D1195,ROUNDUP(LEN(D1195)/2,0))&amp;LOWER(MID(E1195,ROUNDUP(LEN(E1195)/2,0)+1,20))</f>
        <v>Wurmtly</v>
      </c>
      <c r="G1195" s="8" t="str">
        <f aca="false">INDEX(Bases!$C$2:$C$53,B1195)</f>
        <v>Bug</v>
      </c>
      <c r="H1195" s="8" t="str">
        <f aca="false">IF(INDEX(Bases!$C$2:$C$53,C1195)=G1195,"",INDEX(Bases!$C$2:$C$53,C1195))</f>
        <v>Ghost</v>
      </c>
      <c r="I1195" s="8" t="str">
        <f aca="false">IF(INDEX(Bases!$E$2:$E$53,B1195)="","",INDEX(Bases!$E$2:$E$53,B1195))</f>
        <v/>
      </c>
      <c r="J1195" s="8" t="str">
        <f aca="false">IF(INDEX(Bases!$E$2:$E$53,C1195)="","",INDEX(Bases!$E$2:$E$53,C1195))</f>
        <v/>
      </c>
      <c r="K1195" s="5"/>
      <c r="L1195" s="2" t="n">
        <f aca="false">AE1195+IF(SUMPRODUCT(--($AL1195:$AQ1195&gt;AL1195))&lt;$AK1195,1,0)</f>
        <v>83</v>
      </c>
      <c r="M1195" s="2" t="n">
        <f aca="false">AF1195+IF(SUMPRODUCT(--($AL1195:$AQ1195&gt;AM1195))+SUMPRODUCT(--($AL1195:AL1195=AM1195))&lt;$AK1195,1,0)</f>
        <v>85</v>
      </c>
      <c r="N1195" s="2" t="n">
        <f aca="false">AG1195+IF(SUMPRODUCT(--($AL1195:$AQ1195&gt;AN1195))+SUMPRODUCT(--($AL1195:AM1195=AN1195))&lt;$AK1195,1,0)</f>
        <v>68</v>
      </c>
      <c r="O1195" s="2" t="n">
        <f aca="false">AH1195+IF(SUMPRODUCT(--($AL1195:$AQ1195&gt;AO1195))+SUMPRODUCT(--($AL1195:AN1195=AO1195))&lt;$AK1195,1,0)</f>
        <v>111</v>
      </c>
      <c r="P1195" s="2" t="n">
        <f aca="false">AI1195+IF(SUMPRODUCT(--($AL1195:$AQ1195&gt;AP1195))+SUMPRODUCT(--($AL1195:AO1195=AP1195))&lt;$AK1195,1,0)</f>
        <v>62</v>
      </c>
      <c r="Q1195" s="2" t="n">
        <f aca="false">AJ1195+IF(SUMPRODUCT(--($AL1195:$AQ1195&gt;AQ1195))+SUMPRODUCT(--($AL1195:AP1195=AQ1195))&lt;$AK1195,1,0)</f>
        <v>91</v>
      </c>
      <c r="R1195" s="2" t="n">
        <f aca="false">SUM(L1195:Q1195)</f>
        <v>500</v>
      </c>
      <c r="S1195" s="2" t="n">
        <f aca="false">Settings!$B$4*MAX(INDEX(Bases!$M$2:$M$53,B1195),INDEX(Bases!$M$2:$M$53,C1195))+Settings!$B$5*MIN(INDEX(Bases!$M$2:$M$53,B1195),INDEX(Bases!$M$2:$M$53,C1195))</f>
        <v>74.3333333333333</v>
      </c>
      <c r="T1195" s="2" t="n">
        <f aca="false">Settings!$B$4*MAX(INDEX(Bases!$N$2:$N$53,B1195),INDEX(Bases!$N$2:$N$53,C1195))+Settings!$B$5*MIN(INDEX(Bases!$N$2:$N$53,B1195),INDEX(Bases!$N$2:$N$53,C1195))</f>
        <v>76.3333333333333</v>
      </c>
      <c r="U1195" s="2" t="n">
        <f aca="false">Settings!$B$4*MAX(INDEX(Bases!$O$2:$O$53,B1195),INDEX(Bases!$O$2:$O$53,C1195))+Settings!$B$5*MIN(INDEX(Bases!$O$2:$O$53,B1195),INDEX(Bases!$O$2:$O$53,C1195))</f>
        <v>61</v>
      </c>
      <c r="V1195" s="2" t="n">
        <f aca="false">Settings!$B$4*MAX(INDEX(Bases!$P$2:$P$53,B1195),INDEX(Bases!$P$2:$P$53,C1195))+Settings!$B$5*MIN(INDEX(Bases!$P$2:$P$53,B1195),INDEX(Bases!$P$2:$P$53,C1195))</f>
        <v>99.6666666666667</v>
      </c>
      <c r="W1195" s="2" t="n">
        <f aca="false">Settings!$B$4*MAX(INDEX(Bases!$Q$2:$Q$53,B1195),INDEX(Bases!$Q$2:$Q$53,C1195))+Settings!$B$5*MIN(INDEX(Bases!$Q$2:$Q$53,B1195),INDEX(Bases!$Q$2:$Q$53,C1195))</f>
        <v>56.3333333333333</v>
      </c>
      <c r="X1195" s="2" t="n">
        <f aca="false">Settings!$B$4*MAX(INDEX(Bases!$R$2:$R$53,B1195),INDEX(Bases!$R$2:$R$53,C1195))+Settings!$B$5*MIN(INDEX(Bases!$R$2:$R$53,B1195),INDEX(Bases!$R$2:$R$53,C1195))</f>
        <v>82.3333333333333</v>
      </c>
      <c r="Y1195" s="2" t="n">
        <f aca="false">S1195*Settings!$B$3/SUM(S1195:X1195)</f>
        <v>82.5925925925926</v>
      </c>
      <c r="Z1195" s="2" t="n">
        <f aca="false">T1195*Settings!$B$3/SUM(S1195:X1195)</f>
        <v>84.8148148148148</v>
      </c>
      <c r="AA1195" s="2" t="n">
        <f aca="false">U1195*Settings!$B$3/SUM(S1195:X1195)</f>
        <v>67.7777777777778</v>
      </c>
      <c r="AB1195" s="2" t="n">
        <f aca="false">V1195*Settings!$B$3/SUM(S1195:X1195)</f>
        <v>110.740740740741</v>
      </c>
      <c r="AC1195" s="2" t="n">
        <f aca="false">W1195*Settings!$B$3/SUM(S1195:X1195)</f>
        <v>62.5925925925926</v>
      </c>
      <c r="AD1195" s="2" t="n">
        <f aca="false">X1195*Settings!$B$3/SUM(S1195:X1195)</f>
        <v>91.4814814814815</v>
      </c>
      <c r="AE1195" s="2" t="n">
        <f aca="false">INT(Y1195)</f>
        <v>82</v>
      </c>
      <c r="AF1195" s="2" t="n">
        <f aca="false">INT(Z1195)</f>
        <v>84</v>
      </c>
      <c r="AG1195" s="2" t="n">
        <f aca="false">INT(AA1195)</f>
        <v>67</v>
      </c>
      <c r="AH1195" s="2" t="n">
        <f aca="false">INT(AB1195)</f>
        <v>110</v>
      </c>
      <c r="AI1195" s="2" t="n">
        <f aca="false">INT(AC1195)</f>
        <v>62</v>
      </c>
      <c r="AJ1195" s="2" t="n">
        <f aca="false">INT(AD1195)</f>
        <v>91</v>
      </c>
      <c r="AK1195" s="2" t="n">
        <f aca="false">Settings!$B$3-SUM(AE1195:AJ1195)</f>
        <v>4</v>
      </c>
      <c r="AL1195" s="2" t="n">
        <f aca="false">ROUND(Y1195-AE1195,9)</f>
        <v>0.592592593</v>
      </c>
      <c r="AM1195" s="2" t="n">
        <f aca="false">ROUND(Z1195-AF1195,9)</f>
        <v>0.814814815</v>
      </c>
      <c r="AN1195" s="2" t="n">
        <f aca="false">ROUND(AA1195-AG1195,9)</f>
        <v>0.777777778</v>
      </c>
      <c r="AO1195" s="2" t="n">
        <f aca="false">ROUND(AB1195-AH1195,9)</f>
        <v>0.740740741</v>
      </c>
      <c r="AP1195" s="2" t="n">
        <f aca="false">ROUND(AC1195-AI1195,9)</f>
        <v>0.592592593</v>
      </c>
      <c r="AQ1195" s="2" t="n">
        <f aca="false">ROUND(AD1195-AJ1195,9)</f>
        <v>0.481481481</v>
      </c>
    </row>
    <row r="1196" customFormat="false" ht="15" hidden="false" customHeight="false" outlineLevel="0" collapsed="false">
      <c r="A1196" s="2" t="n">
        <v>1195</v>
      </c>
      <c r="B1196" s="6" t="n">
        <v>36</v>
      </c>
      <c r="C1196" s="6" t="n">
        <v>41</v>
      </c>
      <c r="D1196" s="8" t="str">
        <f aca="false">INDEX(Bases!$B$2:$B$53,B1196)</f>
        <v>Wurmple</v>
      </c>
      <c r="E1196" s="8" t="str">
        <f aca="false">INDEX(Bases!$B$2:$B$53,C1196)</f>
        <v>Misdreavus</v>
      </c>
      <c r="F1196" s="2" t="str">
        <f aca="false">LEFT(D1196,ROUNDUP(LEN(D1196)/2,0))&amp;LOWER(MID(E1196,ROUNDUP(LEN(E1196)/2,0)+1,20))</f>
        <v>Wurmeavus</v>
      </c>
      <c r="G1196" s="8" t="str">
        <f aca="false">INDEX(Bases!$C$2:$C$53,B1196)</f>
        <v>Bug</v>
      </c>
      <c r="H1196" s="8" t="str">
        <f aca="false">IF(INDEX(Bases!$C$2:$C$53,C1196)=G1196,"",INDEX(Bases!$C$2:$C$53,C1196))</f>
        <v>Ghost</v>
      </c>
      <c r="I1196" s="8" t="str">
        <f aca="false">IF(INDEX(Bases!$E$2:$E$53,B1196)="","",INDEX(Bases!$E$2:$E$53,B1196))</f>
        <v/>
      </c>
      <c r="J1196" s="8" t="str">
        <f aca="false">IF(INDEX(Bases!$E$2:$E$53,C1196)="","",INDEX(Bases!$E$2:$E$53,C1196))</f>
        <v/>
      </c>
      <c r="K1196" s="5"/>
      <c r="L1196" s="2" t="n">
        <f aca="false">AE1196+IF(SUMPRODUCT(--($AL1196:$AQ1196&gt;AL1196))&lt;$AK1196,1,0)</f>
        <v>93</v>
      </c>
      <c r="M1196" s="2" t="n">
        <f aca="false">AF1196+IF(SUMPRODUCT(--($AL1196:$AQ1196&gt;AM1196))+SUMPRODUCT(--($AL1196:AL1196=AM1196))&lt;$AK1196,1,0)</f>
        <v>93</v>
      </c>
      <c r="N1196" s="2" t="n">
        <f aca="false">AG1196+IF(SUMPRODUCT(--($AL1196:$AQ1196&gt;AN1196))+SUMPRODUCT(--($AL1196:AM1196=AN1196))&lt;$AK1196,1,0)</f>
        <v>77</v>
      </c>
      <c r="O1196" s="2" t="n">
        <f aca="false">AH1196+IF(SUMPRODUCT(--($AL1196:$AQ1196&gt;AO1196))+SUMPRODUCT(--($AL1196:AN1196=AO1196))&lt;$AK1196,1,0)</f>
        <v>76</v>
      </c>
      <c r="P1196" s="2" t="n">
        <f aca="false">AI1196+IF(SUMPRODUCT(--($AL1196:$AQ1196&gt;AP1196))+SUMPRODUCT(--($AL1196:AO1196=AP1196))&lt;$AK1196,1,0)</f>
        <v>85</v>
      </c>
      <c r="Q1196" s="2" t="n">
        <f aca="false">AJ1196+IF(SUMPRODUCT(--($AL1196:$AQ1196&gt;AQ1196))+SUMPRODUCT(--($AL1196:AP1196=AQ1196))&lt;$AK1196,1,0)</f>
        <v>76</v>
      </c>
      <c r="R1196" s="2" t="n">
        <f aca="false">SUM(L1196:Q1196)</f>
        <v>500</v>
      </c>
      <c r="S1196" s="2" t="n">
        <f aca="false">Settings!$B$4*MAX(INDEX(Bases!$M$2:$M$53,B1196),INDEX(Bases!$M$2:$M$53,C1196))+Settings!$B$5*MIN(INDEX(Bases!$M$2:$M$53,B1196),INDEX(Bases!$M$2:$M$53,C1196))</f>
        <v>80</v>
      </c>
      <c r="T1196" s="2" t="n">
        <f aca="false">Settings!$B$4*MAX(INDEX(Bases!$N$2:$N$53,B1196),INDEX(Bases!$N$2:$N$53,C1196))+Settings!$B$5*MIN(INDEX(Bases!$N$2:$N$53,B1196),INDEX(Bases!$N$2:$N$53,C1196))</f>
        <v>79.6666666666667</v>
      </c>
      <c r="U1196" s="2" t="n">
        <f aca="false">Settings!$B$4*MAX(INDEX(Bases!$O$2:$O$53,B1196),INDEX(Bases!$O$2:$O$53,C1196))+Settings!$B$5*MIN(INDEX(Bases!$O$2:$O$53,B1196),INDEX(Bases!$O$2:$O$53,C1196))</f>
        <v>66.3333333333333</v>
      </c>
      <c r="V1196" s="2" t="n">
        <f aca="false">Settings!$B$4*MAX(INDEX(Bases!$P$2:$P$53,B1196),INDEX(Bases!$P$2:$P$53,C1196))+Settings!$B$5*MIN(INDEX(Bases!$P$2:$P$53,B1196),INDEX(Bases!$P$2:$P$53,C1196))</f>
        <v>65.6666666666667</v>
      </c>
      <c r="W1196" s="2" t="n">
        <f aca="false">Settings!$B$4*MAX(INDEX(Bases!$Q$2:$Q$53,B1196),INDEX(Bases!$Q$2:$Q$53,C1196))+Settings!$B$5*MIN(INDEX(Bases!$Q$2:$Q$53,B1196),INDEX(Bases!$Q$2:$Q$53,C1196))</f>
        <v>72.6666666666667</v>
      </c>
      <c r="X1196" s="2" t="n">
        <f aca="false">Settings!$B$4*MAX(INDEX(Bases!$R$2:$R$53,B1196),INDEX(Bases!$R$2:$R$53,C1196))+Settings!$B$5*MIN(INDEX(Bases!$R$2:$R$53,B1196),INDEX(Bases!$R$2:$R$53,C1196))</f>
        <v>65.6666666666667</v>
      </c>
      <c r="Y1196" s="2" t="n">
        <f aca="false">S1196*Settings!$B$3/SUM(S1196:X1196)</f>
        <v>93.0232558139535</v>
      </c>
      <c r="Z1196" s="2" t="n">
        <f aca="false">T1196*Settings!$B$3/SUM(S1196:X1196)</f>
        <v>92.6356589147287</v>
      </c>
      <c r="AA1196" s="2" t="n">
        <f aca="false">U1196*Settings!$B$3/SUM(S1196:X1196)</f>
        <v>77.1317829457364</v>
      </c>
      <c r="AB1196" s="2" t="n">
        <f aca="false">V1196*Settings!$B$3/SUM(S1196:X1196)</f>
        <v>76.3565891472868</v>
      </c>
      <c r="AC1196" s="2" t="n">
        <f aca="false">W1196*Settings!$B$3/SUM(S1196:X1196)</f>
        <v>84.4961240310078</v>
      </c>
      <c r="AD1196" s="2" t="n">
        <f aca="false">X1196*Settings!$B$3/SUM(S1196:X1196)</f>
        <v>76.3565891472868</v>
      </c>
      <c r="AE1196" s="2" t="n">
        <f aca="false">INT(Y1196)</f>
        <v>93</v>
      </c>
      <c r="AF1196" s="2" t="n">
        <f aca="false">INT(Z1196)</f>
        <v>92</v>
      </c>
      <c r="AG1196" s="2" t="n">
        <f aca="false">INT(AA1196)</f>
        <v>77</v>
      </c>
      <c r="AH1196" s="2" t="n">
        <f aca="false">INT(AB1196)</f>
        <v>76</v>
      </c>
      <c r="AI1196" s="2" t="n">
        <f aca="false">INT(AC1196)</f>
        <v>84</v>
      </c>
      <c r="AJ1196" s="2" t="n">
        <f aca="false">INT(AD1196)</f>
        <v>76</v>
      </c>
      <c r="AK1196" s="2" t="n">
        <f aca="false">Settings!$B$3-SUM(AE1196:AJ1196)</f>
        <v>2</v>
      </c>
      <c r="AL1196" s="2" t="n">
        <f aca="false">ROUND(Y1196-AE1196,9)</f>
        <v>0.023255814</v>
      </c>
      <c r="AM1196" s="2" t="n">
        <f aca="false">ROUND(Z1196-AF1196,9)</f>
        <v>0.635658915</v>
      </c>
      <c r="AN1196" s="2" t="n">
        <f aca="false">ROUND(AA1196-AG1196,9)</f>
        <v>0.131782946</v>
      </c>
      <c r="AO1196" s="2" t="n">
        <f aca="false">ROUND(AB1196-AH1196,9)</f>
        <v>0.356589147</v>
      </c>
      <c r="AP1196" s="2" t="n">
        <f aca="false">ROUND(AC1196-AI1196,9)</f>
        <v>0.496124031</v>
      </c>
      <c r="AQ1196" s="2" t="n">
        <f aca="false">ROUND(AD1196-AJ1196,9)</f>
        <v>0.356589147</v>
      </c>
    </row>
    <row r="1197" customFormat="false" ht="15" hidden="false" customHeight="false" outlineLevel="0" collapsed="false">
      <c r="A1197" s="2" t="n">
        <v>1196</v>
      </c>
      <c r="B1197" s="6" t="n">
        <v>36</v>
      </c>
      <c r="C1197" s="6" t="n">
        <v>42</v>
      </c>
      <c r="D1197" s="8" t="str">
        <f aca="false">INDEX(Bases!$B$2:$B$53,B1197)</f>
        <v>Wurmple</v>
      </c>
      <c r="E1197" s="8" t="str">
        <f aca="false">INDEX(Bases!$B$2:$B$53,C1197)</f>
        <v>Sableye</v>
      </c>
      <c r="F1197" s="2" t="str">
        <f aca="false">LEFT(D1197,ROUNDUP(LEN(D1197)/2,0))&amp;LOWER(MID(E1197,ROUNDUP(LEN(E1197)/2,0)+1,20))</f>
        <v>Wurmeye</v>
      </c>
      <c r="G1197" s="8" t="str">
        <f aca="false">INDEX(Bases!$C$2:$C$53,B1197)</f>
        <v>Bug</v>
      </c>
      <c r="H1197" s="8" t="str">
        <f aca="false">IF(INDEX(Bases!$C$2:$C$53,C1197)=G1197,"",INDEX(Bases!$C$2:$C$53,C1197))</f>
        <v>Ghost</v>
      </c>
      <c r="I1197" s="8" t="str">
        <f aca="false">IF(INDEX(Bases!$E$2:$E$53,B1197)="","",INDEX(Bases!$E$2:$E$53,B1197))</f>
        <v/>
      </c>
      <c r="J1197" s="8" t="str">
        <f aca="false">IF(INDEX(Bases!$E$2:$E$53,C1197)="","",INDEX(Bases!$E$2:$E$53,C1197))</f>
        <v/>
      </c>
      <c r="K1197" s="5"/>
      <c r="L1197" s="2" t="n">
        <f aca="false">AE1197+IF(SUMPRODUCT(--($AL1197:$AQ1197&gt;AL1197))&lt;$AK1197,1,0)</f>
        <v>94</v>
      </c>
      <c r="M1197" s="2" t="n">
        <f aca="false">AF1197+IF(SUMPRODUCT(--($AL1197:$AQ1197&gt;AM1197))+SUMPRODUCT(--($AL1197:AL1197=AM1197))&lt;$AK1197,1,0)</f>
        <v>105</v>
      </c>
      <c r="N1197" s="2" t="n">
        <f aca="false">AG1197+IF(SUMPRODUCT(--($AL1197:$AQ1197&gt;AN1197))+SUMPRODUCT(--($AL1197:AM1197=AN1197))&lt;$AK1197,1,0)</f>
        <v>92</v>
      </c>
      <c r="O1197" s="2" t="n">
        <f aca="false">AH1197+IF(SUMPRODUCT(--($AL1197:$AQ1197&gt;AO1197))+SUMPRODUCT(--($AL1197:AN1197=AO1197))&lt;$AK1197,1,0)</f>
        <v>71</v>
      </c>
      <c r="P1197" s="2" t="n">
        <f aca="false">AI1197+IF(SUMPRODUCT(--($AL1197:$AQ1197&gt;AP1197))+SUMPRODUCT(--($AL1197:AO1197=AP1197))&lt;$AK1197,1,0)</f>
        <v>79</v>
      </c>
      <c r="Q1197" s="2" t="n">
        <f aca="false">AJ1197+IF(SUMPRODUCT(--($AL1197:$AQ1197&gt;AQ1197))+SUMPRODUCT(--($AL1197:AP1197=AQ1197))&lt;$AK1197,1,0)</f>
        <v>59</v>
      </c>
      <c r="R1197" s="2" t="n">
        <f aca="false">SUM(L1197:Q1197)</f>
        <v>500</v>
      </c>
      <c r="S1197" s="2" t="n">
        <f aca="false">Settings!$B$4*MAX(INDEX(Bases!$M$2:$M$53,B1197),INDEX(Bases!$M$2:$M$53,C1197))+Settings!$B$5*MIN(INDEX(Bases!$M$2:$M$53,B1197),INDEX(Bases!$M$2:$M$53,C1197))</f>
        <v>79</v>
      </c>
      <c r="T1197" s="2" t="n">
        <f aca="false">Settings!$B$4*MAX(INDEX(Bases!$N$2:$N$53,B1197),INDEX(Bases!$N$2:$N$53,C1197))+Settings!$B$5*MIN(INDEX(Bases!$N$2:$N$53,B1197),INDEX(Bases!$N$2:$N$53,C1197))</f>
        <v>87.6666666666667</v>
      </c>
      <c r="U1197" s="2" t="n">
        <f aca="false">Settings!$B$4*MAX(INDEX(Bases!$O$2:$O$53,B1197),INDEX(Bases!$O$2:$O$53,C1197))+Settings!$B$5*MIN(INDEX(Bases!$O$2:$O$53,B1197),INDEX(Bases!$O$2:$O$53,C1197))</f>
        <v>76.6666666666667</v>
      </c>
      <c r="V1197" s="2" t="n">
        <f aca="false">Settings!$B$4*MAX(INDEX(Bases!$P$2:$P$53,B1197),INDEX(Bases!$P$2:$P$53,C1197))+Settings!$B$5*MIN(INDEX(Bases!$P$2:$P$53,B1197),INDEX(Bases!$P$2:$P$53,C1197))</f>
        <v>59</v>
      </c>
      <c r="W1197" s="2" t="n">
        <f aca="false">Settings!$B$4*MAX(INDEX(Bases!$Q$2:$Q$53,B1197),INDEX(Bases!$Q$2:$Q$53,C1197))+Settings!$B$5*MIN(INDEX(Bases!$Q$2:$Q$53,B1197),INDEX(Bases!$Q$2:$Q$53,C1197))</f>
        <v>66</v>
      </c>
      <c r="X1197" s="2" t="n">
        <f aca="false">Settings!$B$4*MAX(INDEX(Bases!$R$2:$R$53,B1197),INDEX(Bases!$R$2:$R$53,C1197))+Settings!$B$5*MIN(INDEX(Bases!$R$2:$R$53,B1197),INDEX(Bases!$R$2:$R$53,C1197))</f>
        <v>49</v>
      </c>
      <c r="Y1197" s="2" t="n">
        <f aca="false">S1197*Settings!$B$3/SUM(S1197:X1197)</f>
        <v>94.6485623003195</v>
      </c>
      <c r="Z1197" s="2" t="n">
        <f aca="false">T1197*Settings!$B$3/SUM(S1197:X1197)</f>
        <v>105.031948881789</v>
      </c>
      <c r="AA1197" s="2" t="n">
        <f aca="false">U1197*Settings!$B$3/SUM(S1197:X1197)</f>
        <v>91.85303514377</v>
      </c>
      <c r="AB1197" s="2" t="n">
        <f aca="false">V1197*Settings!$B$3/SUM(S1197:X1197)</f>
        <v>70.6869009584665</v>
      </c>
      <c r="AC1197" s="2" t="n">
        <f aca="false">W1197*Settings!$B$3/SUM(S1197:X1197)</f>
        <v>79.073482428115</v>
      </c>
      <c r="AD1197" s="2" t="n">
        <f aca="false">X1197*Settings!$B$3/SUM(S1197:X1197)</f>
        <v>58.7060702875399</v>
      </c>
      <c r="AE1197" s="2" t="n">
        <f aca="false">INT(Y1197)</f>
        <v>94</v>
      </c>
      <c r="AF1197" s="2" t="n">
        <f aca="false">INT(Z1197)</f>
        <v>105</v>
      </c>
      <c r="AG1197" s="2" t="n">
        <f aca="false">INT(AA1197)</f>
        <v>91</v>
      </c>
      <c r="AH1197" s="2" t="n">
        <f aca="false">INT(AB1197)</f>
        <v>70</v>
      </c>
      <c r="AI1197" s="2" t="n">
        <f aca="false">INT(AC1197)</f>
        <v>79</v>
      </c>
      <c r="AJ1197" s="2" t="n">
        <f aca="false">INT(AD1197)</f>
        <v>58</v>
      </c>
      <c r="AK1197" s="2" t="n">
        <f aca="false">Settings!$B$3-SUM(AE1197:AJ1197)</f>
        <v>3</v>
      </c>
      <c r="AL1197" s="2" t="n">
        <f aca="false">ROUND(Y1197-AE1197,9)</f>
        <v>0.6485623</v>
      </c>
      <c r="AM1197" s="2" t="n">
        <f aca="false">ROUND(Z1197-AF1197,9)</f>
        <v>0.031948882</v>
      </c>
      <c r="AN1197" s="2" t="n">
        <f aca="false">ROUND(AA1197-AG1197,9)</f>
        <v>0.853035144</v>
      </c>
      <c r="AO1197" s="2" t="n">
        <f aca="false">ROUND(AB1197-AH1197,9)</f>
        <v>0.686900958</v>
      </c>
      <c r="AP1197" s="2" t="n">
        <f aca="false">ROUND(AC1197-AI1197,9)</f>
        <v>0.073482428</v>
      </c>
      <c r="AQ1197" s="2" t="n">
        <f aca="false">ROUND(AD1197-AJ1197,9)</f>
        <v>0.706070288</v>
      </c>
    </row>
    <row r="1198" customFormat="false" ht="15" hidden="false" customHeight="false" outlineLevel="0" collapsed="false">
      <c r="A1198" s="2" t="n">
        <v>1197</v>
      </c>
      <c r="B1198" s="6" t="n">
        <v>36</v>
      </c>
      <c r="C1198" s="6" t="n">
        <v>43</v>
      </c>
      <c r="D1198" s="8" t="str">
        <f aca="false">INDEX(Bases!$B$2:$B$53,B1198)</f>
        <v>Wurmple</v>
      </c>
      <c r="E1198" s="8" t="str">
        <f aca="false">INDEX(Bases!$B$2:$B$53,C1198)</f>
        <v>Dratini</v>
      </c>
      <c r="F1198" s="2" t="str">
        <f aca="false">LEFT(D1198,ROUNDUP(LEN(D1198)/2,0))&amp;LOWER(MID(E1198,ROUNDUP(LEN(E1198)/2,0)+1,20))</f>
        <v>Wurmini</v>
      </c>
      <c r="G1198" s="8" t="str">
        <f aca="false">INDEX(Bases!$C$2:$C$53,B1198)</f>
        <v>Bug</v>
      </c>
      <c r="H1198" s="8" t="str">
        <f aca="false">IF(INDEX(Bases!$C$2:$C$53,C1198)=G1198,"",INDEX(Bases!$C$2:$C$53,C1198))</f>
        <v>Dragon</v>
      </c>
      <c r="I1198" s="8" t="str">
        <f aca="false">IF(INDEX(Bases!$E$2:$E$53,B1198)="","",INDEX(Bases!$E$2:$E$53,B1198))</f>
        <v/>
      </c>
      <c r="J1198" s="8" t="str">
        <f aca="false">IF(INDEX(Bases!$E$2:$E$53,C1198)="","",INDEX(Bases!$E$2:$E$53,C1198))</f>
        <v/>
      </c>
      <c r="K1198" s="5"/>
      <c r="L1198" s="2" t="n">
        <f aca="false">AE1198+IF(SUMPRODUCT(--($AL1198:$AQ1198&gt;AL1198))&lt;$AK1198,1,0)</f>
        <v>95</v>
      </c>
      <c r="M1198" s="2" t="n">
        <f aca="false">AF1198+IF(SUMPRODUCT(--($AL1198:$AQ1198&gt;AM1198))+SUMPRODUCT(--($AL1198:AL1198=AM1198))&lt;$AK1198,1,0)</f>
        <v>107</v>
      </c>
      <c r="N1198" s="2" t="n">
        <f aca="false">AG1198+IF(SUMPRODUCT(--($AL1198:$AQ1198&gt;AN1198))+SUMPRODUCT(--($AL1198:AM1198=AN1198))&lt;$AK1198,1,0)</f>
        <v>81</v>
      </c>
      <c r="O1198" s="2" t="n">
        <f aca="false">AH1198+IF(SUMPRODUCT(--($AL1198:$AQ1198&gt;AO1198))+SUMPRODUCT(--($AL1198:AN1198=AO1198))&lt;$AK1198,1,0)</f>
        <v>70</v>
      </c>
      <c r="P1198" s="2" t="n">
        <f aca="false">AI1198+IF(SUMPRODUCT(--($AL1198:$AQ1198&gt;AP1198))+SUMPRODUCT(--($AL1198:AO1198=AP1198))&lt;$AK1198,1,0)</f>
        <v>78</v>
      </c>
      <c r="Q1198" s="2" t="n">
        <f aca="false">AJ1198+IF(SUMPRODUCT(--($AL1198:$AQ1198&gt;AQ1198))+SUMPRODUCT(--($AL1198:AP1198=AQ1198))&lt;$AK1198,1,0)</f>
        <v>69</v>
      </c>
      <c r="R1198" s="2" t="n">
        <f aca="false">SUM(L1198:Q1198)</f>
        <v>500</v>
      </c>
      <c r="S1198" s="2" t="n">
        <f aca="false">Settings!$B$4*MAX(INDEX(Bases!$M$2:$M$53,B1198),INDEX(Bases!$M$2:$M$53,C1198))+Settings!$B$5*MIN(INDEX(Bases!$M$2:$M$53,B1198),INDEX(Bases!$M$2:$M$53,C1198))</f>
        <v>79.6666666666667</v>
      </c>
      <c r="T1198" s="2" t="n">
        <f aca="false">Settings!$B$4*MAX(INDEX(Bases!$N$2:$N$53,B1198),INDEX(Bases!$N$2:$N$53,C1198))+Settings!$B$5*MIN(INDEX(Bases!$N$2:$N$53,B1198),INDEX(Bases!$N$2:$N$53,C1198))</f>
        <v>89.6666666666667</v>
      </c>
      <c r="U1198" s="2" t="n">
        <f aca="false">Settings!$B$4*MAX(INDEX(Bases!$O$2:$O$53,B1198),INDEX(Bases!$O$2:$O$53,C1198))+Settings!$B$5*MIN(INDEX(Bases!$O$2:$O$53,B1198),INDEX(Bases!$O$2:$O$53,C1198))</f>
        <v>68</v>
      </c>
      <c r="V1198" s="2" t="n">
        <f aca="false">Settings!$B$4*MAX(INDEX(Bases!$P$2:$P$53,B1198),INDEX(Bases!$P$2:$P$53,C1198))+Settings!$B$5*MIN(INDEX(Bases!$P$2:$P$53,B1198),INDEX(Bases!$P$2:$P$53,C1198))</f>
        <v>58.3333333333333</v>
      </c>
      <c r="W1198" s="2" t="n">
        <f aca="false">Settings!$B$4*MAX(INDEX(Bases!$Q$2:$Q$53,B1198),INDEX(Bases!$Q$2:$Q$53,C1198))+Settings!$B$5*MIN(INDEX(Bases!$Q$2:$Q$53,B1198),INDEX(Bases!$Q$2:$Q$53,C1198))</f>
        <v>65.3333333333333</v>
      </c>
      <c r="X1198" s="2" t="n">
        <f aca="false">Settings!$B$4*MAX(INDEX(Bases!$R$2:$R$53,B1198),INDEX(Bases!$R$2:$R$53,C1198))+Settings!$B$5*MIN(INDEX(Bases!$R$2:$R$53,B1198),INDEX(Bases!$R$2:$R$53,C1198))</f>
        <v>57.6666666666667</v>
      </c>
      <c r="Y1198" s="2" t="n">
        <f aca="false">S1198*Settings!$B$3/SUM(S1198:X1198)</f>
        <v>95.1433121019108</v>
      </c>
      <c r="Z1198" s="2" t="n">
        <f aca="false">T1198*Settings!$B$3/SUM(S1198:X1198)</f>
        <v>107.085987261146</v>
      </c>
      <c r="AA1198" s="2" t="n">
        <f aca="false">U1198*Settings!$B$3/SUM(S1198:X1198)</f>
        <v>81.2101910828025</v>
      </c>
      <c r="AB1198" s="2" t="n">
        <f aca="false">V1198*Settings!$B$3/SUM(S1198:X1198)</f>
        <v>69.6656050955414</v>
      </c>
      <c r="AC1198" s="2" t="n">
        <f aca="false">W1198*Settings!$B$3/SUM(S1198:X1198)</f>
        <v>78.0254777070064</v>
      </c>
      <c r="AD1198" s="2" t="n">
        <f aca="false">X1198*Settings!$B$3/SUM(S1198:X1198)</f>
        <v>68.8694267515924</v>
      </c>
      <c r="AE1198" s="2" t="n">
        <f aca="false">INT(Y1198)</f>
        <v>95</v>
      </c>
      <c r="AF1198" s="2" t="n">
        <f aca="false">INT(Z1198)</f>
        <v>107</v>
      </c>
      <c r="AG1198" s="2" t="n">
        <f aca="false">INT(AA1198)</f>
        <v>81</v>
      </c>
      <c r="AH1198" s="2" t="n">
        <f aca="false">INT(AB1198)</f>
        <v>69</v>
      </c>
      <c r="AI1198" s="2" t="n">
        <f aca="false">INT(AC1198)</f>
        <v>78</v>
      </c>
      <c r="AJ1198" s="2" t="n">
        <f aca="false">INT(AD1198)</f>
        <v>68</v>
      </c>
      <c r="AK1198" s="2" t="n">
        <f aca="false">Settings!$B$3-SUM(AE1198:AJ1198)</f>
        <v>2</v>
      </c>
      <c r="AL1198" s="2" t="n">
        <f aca="false">ROUND(Y1198-AE1198,9)</f>
        <v>0.143312102</v>
      </c>
      <c r="AM1198" s="2" t="n">
        <f aca="false">ROUND(Z1198-AF1198,9)</f>
        <v>0.085987261</v>
      </c>
      <c r="AN1198" s="2" t="n">
        <f aca="false">ROUND(AA1198-AG1198,9)</f>
        <v>0.210191083</v>
      </c>
      <c r="AO1198" s="2" t="n">
        <f aca="false">ROUND(AB1198-AH1198,9)</f>
        <v>0.665605096</v>
      </c>
      <c r="AP1198" s="2" t="n">
        <f aca="false">ROUND(AC1198-AI1198,9)</f>
        <v>0.025477707</v>
      </c>
      <c r="AQ1198" s="2" t="n">
        <f aca="false">ROUND(AD1198-AJ1198,9)</f>
        <v>0.869426752</v>
      </c>
    </row>
    <row r="1199" customFormat="false" ht="15" hidden="false" customHeight="false" outlineLevel="0" collapsed="false">
      <c r="A1199" s="2" t="n">
        <v>1198</v>
      </c>
      <c r="B1199" s="6" t="n">
        <v>36</v>
      </c>
      <c r="C1199" s="6" t="n">
        <v>44</v>
      </c>
      <c r="D1199" s="8" t="str">
        <f aca="false">INDEX(Bases!$B$2:$B$53,B1199)</f>
        <v>Wurmple</v>
      </c>
      <c r="E1199" s="8" t="str">
        <f aca="false">INDEX(Bases!$B$2:$B$53,C1199)</f>
        <v>Bagon</v>
      </c>
      <c r="F1199" s="2" t="str">
        <f aca="false">LEFT(D1199,ROUNDUP(LEN(D1199)/2,0))&amp;LOWER(MID(E1199,ROUNDUP(LEN(E1199)/2,0)+1,20))</f>
        <v>Wurmon</v>
      </c>
      <c r="G1199" s="8" t="str">
        <f aca="false">INDEX(Bases!$C$2:$C$53,B1199)</f>
        <v>Bug</v>
      </c>
      <c r="H1199" s="8" t="str">
        <f aca="false">IF(INDEX(Bases!$C$2:$C$53,C1199)=G1199,"",INDEX(Bases!$C$2:$C$53,C1199))</f>
        <v>Dragon</v>
      </c>
      <c r="I1199" s="8" t="str">
        <f aca="false">IF(INDEX(Bases!$E$2:$E$53,B1199)="","",INDEX(Bases!$E$2:$E$53,B1199))</f>
        <v/>
      </c>
      <c r="J1199" s="8" t="str">
        <f aca="false">IF(INDEX(Bases!$E$2:$E$53,C1199)="","",INDEX(Bases!$E$2:$E$53,C1199))</f>
        <v/>
      </c>
      <c r="K1199" s="5"/>
      <c r="L1199" s="2" t="n">
        <f aca="false">AE1199+IF(SUMPRODUCT(--($AL1199:$AQ1199&gt;AL1199))&lt;$AK1199,1,0)</f>
        <v>97</v>
      </c>
      <c r="M1199" s="2" t="n">
        <f aca="false">AF1199+IF(SUMPRODUCT(--($AL1199:$AQ1199&gt;AM1199))+SUMPRODUCT(--($AL1199:AL1199=AM1199))&lt;$AK1199,1,0)</f>
        <v>116</v>
      </c>
      <c r="N1199" s="2" t="n">
        <f aca="false">AG1199+IF(SUMPRODUCT(--($AL1199:$AQ1199&gt;AN1199))+SUMPRODUCT(--($AL1199:AM1199=AN1199))&lt;$AK1199,1,0)</f>
        <v>93</v>
      </c>
      <c r="O1199" s="2" t="n">
        <f aca="false">AH1199+IF(SUMPRODUCT(--($AL1199:$AQ1199&gt;AO1199))+SUMPRODUCT(--($AL1199:AN1199=AO1199))&lt;$AK1199,1,0)</f>
        <v>59</v>
      </c>
      <c r="P1199" s="2" t="n">
        <f aca="false">AI1199+IF(SUMPRODUCT(--($AL1199:$AQ1199&gt;AP1199))+SUMPRODUCT(--($AL1199:AO1199=AP1199))&lt;$AK1199,1,0)</f>
        <v>65</v>
      </c>
      <c r="Q1199" s="2" t="n">
        <f aca="false">AJ1199+IF(SUMPRODUCT(--($AL1199:$AQ1199&gt;AQ1199))+SUMPRODUCT(--($AL1199:AP1199=AQ1199))&lt;$AK1199,1,0)</f>
        <v>70</v>
      </c>
      <c r="R1199" s="2" t="n">
        <f aca="false">SUM(L1199:Q1199)</f>
        <v>500</v>
      </c>
      <c r="S1199" s="2" t="n">
        <f aca="false">Settings!$B$4*MAX(INDEX(Bases!$M$2:$M$53,B1199),INDEX(Bases!$M$2:$M$53,C1199))+Settings!$B$5*MIN(INDEX(Bases!$M$2:$M$53,B1199),INDEX(Bases!$M$2:$M$53,C1199))</f>
        <v>81.3333333333333</v>
      </c>
      <c r="T1199" s="2" t="n">
        <f aca="false">Settings!$B$4*MAX(INDEX(Bases!$N$2:$N$53,B1199),INDEX(Bases!$N$2:$N$53,C1199))+Settings!$B$5*MIN(INDEX(Bases!$N$2:$N$53,B1199),INDEX(Bases!$N$2:$N$53,C1199))</f>
        <v>97.3333333333333</v>
      </c>
      <c r="U1199" s="2" t="n">
        <f aca="false">Settings!$B$4*MAX(INDEX(Bases!$O$2:$O$53,B1199),INDEX(Bases!$O$2:$O$53,C1199))+Settings!$B$5*MIN(INDEX(Bases!$O$2:$O$53,B1199),INDEX(Bases!$O$2:$O$53,C1199))</f>
        <v>77.3333333333333</v>
      </c>
      <c r="V1199" s="2" t="n">
        <f aca="false">Settings!$B$4*MAX(INDEX(Bases!$P$2:$P$53,B1199),INDEX(Bases!$P$2:$P$53,C1199))+Settings!$B$5*MIN(INDEX(Bases!$P$2:$P$53,B1199),INDEX(Bases!$P$2:$P$53,C1199))</f>
        <v>49</v>
      </c>
      <c r="W1199" s="2" t="n">
        <f aca="false">Settings!$B$4*MAX(INDEX(Bases!$Q$2:$Q$53,B1199),INDEX(Bases!$Q$2:$Q$53,C1199))+Settings!$B$5*MIN(INDEX(Bases!$Q$2:$Q$53,B1199),INDEX(Bases!$Q$2:$Q$53,C1199))</f>
        <v>54.6666666666667</v>
      </c>
      <c r="X1199" s="2" t="n">
        <f aca="false">Settings!$B$4*MAX(INDEX(Bases!$R$2:$R$53,B1199),INDEX(Bases!$R$2:$R$53,C1199))+Settings!$B$5*MIN(INDEX(Bases!$R$2:$R$53,B1199),INDEX(Bases!$R$2:$R$53,C1199))</f>
        <v>58.3333333333333</v>
      </c>
      <c r="Y1199" s="2" t="n">
        <f aca="false">S1199*Settings!$B$3/SUM(S1199:X1199)</f>
        <v>97.2886762360447</v>
      </c>
      <c r="Z1199" s="2" t="n">
        <f aca="false">T1199*Settings!$B$3/SUM(S1199:X1199)</f>
        <v>116.427432216906</v>
      </c>
      <c r="AA1199" s="2" t="n">
        <f aca="false">U1199*Settings!$B$3/SUM(S1199:X1199)</f>
        <v>92.5039872408294</v>
      </c>
      <c r="AB1199" s="2" t="n">
        <f aca="false">V1199*Settings!$B$3/SUM(S1199:X1199)</f>
        <v>58.6124401913876</v>
      </c>
      <c r="AC1199" s="2" t="n">
        <f aca="false">W1199*Settings!$B$3/SUM(S1199:X1199)</f>
        <v>65.3907496012759</v>
      </c>
      <c r="AD1199" s="2" t="n">
        <f aca="false">X1199*Settings!$B$3/SUM(S1199:X1199)</f>
        <v>69.7767145135566</v>
      </c>
      <c r="AE1199" s="2" t="n">
        <f aca="false">INT(Y1199)</f>
        <v>97</v>
      </c>
      <c r="AF1199" s="2" t="n">
        <f aca="false">INT(Z1199)</f>
        <v>116</v>
      </c>
      <c r="AG1199" s="2" t="n">
        <f aca="false">INT(AA1199)</f>
        <v>92</v>
      </c>
      <c r="AH1199" s="2" t="n">
        <f aca="false">INT(AB1199)</f>
        <v>58</v>
      </c>
      <c r="AI1199" s="2" t="n">
        <f aca="false">INT(AC1199)</f>
        <v>65</v>
      </c>
      <c r="AJ1199" s="2" t="n">
        <f aca="false">INT(AD1199)</f>
        <v>69</v>
      </c>
      <c r="AK1199" s="2" t="n">
        <f aca="false">Settings!$B$3-SUM(AE1199:AJ1199)</f>
        <v>3</v>
      </c>
      <c r="AL1199" s="2" t="n">
        <f aca="false">ROUND(Y1199-AE1199,9)</f>
        <v>0.288676236</v>
      </c>
      <c r="AM1199" s="2" t="n">
        <f aca="false">ROUND(Z1199-AF1199,9)</f>
        <v>0.427432217</v>
      </c>
      <c r="AN1199" s="2" t="n">
        <f aca="false">ROUND(AA1199-AG1199,9)</f>
        <v>0.503987241</v>
      </c>
      <c r="AO1199" s="2" t="n">
        <f aca="false">ROUND(AB1199-AH1199,9)</f>
        <v>0.612440191</v>
      </c>
      <c r="AP1199" s="2" t="n">
        <f aca="false">ROUND(AC1199-AI1199,9)</f>
        <v>0.390749601</v>
      </c>
      <c r="AQ1199" s="2" t="n">
        <f aca="false">ROUND(AD1199-AJ1199,9)</f>
        <v>0.776714514</v>
      </c>
    </row>
    <row r="1200" customFormat="false" ht="15" hidden="false" customHeight="false" outlineLevel="0" collapsed="false">
      <c r="A1200" s="2" t="n">
        <v>1199</v>
      </c>
      <c r="B1200" s="6" t="n">
        <v>36</v>
      </c>
      <c r="C1200" s="6" t="n">
        <v>45</v>
      </c>
      <c r="D1200" s="8" t="str">
        <f aca="false">INDEX(Bases!$B$2:$B$53,B1200)</f>
        <v>Wurmple</v>
      </c>
      <c r="E1200" s="8" t="str">
        <f aca="false">INDEX(Bases!$B$2:$B$53,C1200)</f>
        <v>Sneasel</v>
      </c>
      <c r="F1200" s="2" t="str">
        <f aca="false">LEFT(D1200,ROUNDUP(LEN(D1200)/2,0))&amp;LOWER(MID(E1200,ROUNDUP(LEN(E1200)/2,0)+1,20))</f>
        <v>Wurmsel</v>
      </c>
      <c r="G1200" s="8" t="str">
        <f aca="false">INDEX(Bases!$C$2:$C$53,B1200)</f>
        <v>Bug</v>
      </c>
      <c r="H1200" s="8" t="str">
        <f aca="false">IF(INDEX(Bases!$C$2:$C$53,C1200)=G1200,"",INDEX(Bases!$C$2:$C$53,C1200))</f>
        <v>Dark</v>
      </c>
      <c r="I1200" s="8" t="str">
        <f aca="false">IF(INDEX(Bases!$E$2:$E$53,B1200)="","",INDEX(Bases!$E$2:$E$53,B1200))</f>
        <v/>
      </c>
      <c r="J1200" s="8" t="str">
        <f aca="false">IF(INDEX(Bases!$E$2:$E$53,C1200)="","",INDEX(Bases!$E$2:$E$53,C1200))</f>
        <v/>
      </c>
      <c r="K1200" s="5"/>
      <c r="L1200" s="2" t="n">
        <f aca="false">AE1200+IF(SUMPRODUCT(--($AL1200:$AQ1200&gt;AL1200))&lt;$AK1200,1,0)</f>
        <v>92</v>
      </c>
      <c r="M1200" s="2" t="n">
        <f aca="false">AF1200+IF(SUMPRODUCT(--($AL1200:$AQ1200&gt;AM1200))+SUMPRODUCT(--($AL1200:AL1200=AM1200))&lt;$AK1200,1,0)</f>
        <v>107</v>
      </c>
      <c r="N1200" s="2" t="n">
        <f aca="false">AG1200+IF(SUMPRODUCT(--($AL1200:$AQ1200&gt;AN1200))+SUMPRODUCT(--($AL1200:AM1200=AN1200))&lt;$AK1200,1,0)</f>
        <v>77</v>
      </c>
      <c r="O1200" s="2" t="n">
        <f aca="false">AH1200+IF(SUMPRODUCT(--($AL1200:$AQ1200&gt;AO1200))+SUMPRODUCT(--($AL1200:AN1200=AO1200))&lt;$AK1200,1,0)</f>
        <v>45</v>
      </c>
      <c r="P1200" s="2" t="n">
        <f aca="false">AI1200+IF(SUMPRODUCT(--($AL1200:$AQ1200&gt;AP1200))+SUMPRODUCT(--($AL1200:AO1200=AP1200))&lt;$AK1200,1,0)</f>
        <v>79</v>
      </c>
      <c r="Q1200" s="2" t="n">
        <f aca="false">AJ1200+IF(SUMPRODUCT(--($AL1200:$AQ1200&gt;AQ1200))+SUMPRODUCT(--($AL1200:AP1200=AQ1200))&lt;$AK1200,1,0)</f>
        <v>100</v>
      </c>
      <c r="R1200" s="2" t="n">
        <f aca="false">SUM(L1200:Q1200)</f>
        <v>500</v>
      </c>
      <c r="S1200" s="2" t="n">
        <f aca="false">Settings!$B$4*MAX(INDEX(Bases!$M$2:$M$53,B1200),INDEX(Bases!$M$2:$M$53,C1200))+Settings!$B$5*MIN(INDEX(Bases!$M$2:$M$53,B1200),INDEX(Bases!$M$2:$M$53,C1200))</f>
        <v>78.3333333333333</v>
      </c>
      <c r="T1200" s="2" t="n">
        <f aca="false">Settings!$B$4*MAX(INDEX(Bases!$N$2:$N$53,B1200),INDEX(Bases!$N$2:$N$53,C1200))+Settings!$B$5*MIN(INDEX(Bases!$N$2:$N$53,B1200),INDEX(Bases!$N$2:$N$53,C1200))</f>
        <v>90.6666666666667</v>
      </c>
      <c r="U1200" s="2" t="n">
        <f aca="false">Settings!$B$4*MAX(INDEX(Bases!$O$2:$O$53,B1200),INDEX(Bases!$O$2:$O$53,C1200))+Settings!$B$5*MIN(INDEX(Bases!$O$2:$O$53,B1200),INDEX(Bases!$O$2:$O$53,C1200))</f>
        <v>65</v>
      </c>
      <c r="V1200" s="2" t="n">
        <f aca="false">Settings!$B$4*MAX(INDEX(Bases!$P$2:$P$53,B1200),INDEX(Bases!$P$2:$P$53,C1200))+Settings!$B$5*MIN(INDEX(Bases!$P$2:$P$53,B1200),INDEX(Bases!$P$2:$P$53,C1200))</f>
        <v>38.3333333333333</v>
      </c>
      <c r="W1200" s="2" t="n">
        <f aca="false">Settings!$B$4*MAX(INDEX(Bases!$Q$2:$Q$53,B1200),INDEX(Bases!$Q$2:$Q$53,C1200))+Settings!$B$5*MIN(INDEX(Bases!$Q$2:$Q$53,B1200),INDEX(Bases!$Q$2:$Q$53,C1200))</f>
        <v>67.3333333333333</v>
      </c>
      <c r="X1200" s="2" t="n">
        <f aca="false">Settings!$B$4*MAX(INDEX(Bases!$R$2:$R$53,B1200),INDEX(Bases!$R$2:$R$53,C1200))+Settings!$B$5*MIN(INDEX(Bases!$R$2:$R$53,B1200),INDEX(Bases!$R$2:$R$53,C1200))</f>
        <v>85</v>
      </c>
      <c r="Y1200" s="2" t="n">
        <f aca="false">S1200*Settings!$B$3/SUM(S1200:X1200)</f>
        <v>92.2291993720565</v>
      </c>
      <c r="Z1200" s="2" t="n">
        <f aca="false">T1200*Settings!$B$3/SUM(S1200:X1200)</f>
        <v>106.750392464678</v>
      </c>
      <c r="AA1200" s="2" t="n">
        <f aca="false">U1200*Settings!$B$3/SUM(S1200:X1200)</f>
        <v>76.530612244898</v>
      </c>
      <c r="AB1200" s="2" t="n">
        <f aca="false">V1200*Settings!$B$3/SUM(S1200:X1200)</f>
        <v>45.1334379905809</v>
      </c>
      <c r="AC1200" s="2" t="n">
        <f aca="false">W1200*Settings!$B$3/SUM(S1200:X1200)</f>
        <v>79.2778649921507</v>
      </c>
      <c r="AD1200" s="2" t="n">
        <f aca="false">X1200*Settings!$B$3/SUM(S1200:X1200)</f>
        <v>100.078492935636</v>
      </c>
      <c r="AE1200" s="2" t="n">
        <f aca="false">INT(Y1200)</f>
        <v>92</v>
      </c>
      <c r="AF1200" s="2" t="n">
        <f aca="false">INT(Z1200)</f>
        <v>106</v>
      </c>
      <c r="AG1200" s="2" t="n">
        <f aca="false">INT(AA1200)</f>
        <v>76</v>
      </c>
      <c r="AH1200" s="2" t="n">
        <f aca="false">INT(AB1200)</f>
        <v>45</v>
      </c>
      <c r="AI1200" s="2" t="n">
        <f aca="false">INT(AC1200)</f>
        <v>79</v>
      </c>
      <c r="AJ1200" s="2" t="n">
        <f aca="false">INT(AD1200)</f>
        <v>100</v>
      </c>
      <c r="AK1200" s="2" t="n">
        <f aca="false">Settings!$B$3-SUM(AE1200:AJ1200)</f>
        <v>2</v>
      </c>
      <c r="AL1200" s="2" t="n">
        <f aca="false">ROUND(Y1200-AE1200,9)</f>
        <v>0.229199372</v>
      </c>
      <c r="AM1200" s="2" t="n">
        <f aca="false">ROUND(Z1200-AF1200,9)</f>
        <v>0.750392465</v>
      </c>
      <c r="AN1200" s="2" t="n">
        <f aca="false">ROUND(AA1200-AG1200,9)</f>
        <v>0.530612245</v>
      </c>
      <c r="AO1200" s="2" t="n">
        <f aca="false">ROUND(AB1200-AH1200,9)</f>
        <v>0.133437991</v>
      </c>
      <c r="AP1200" s="2" t="n">
        <f aca="false">ROUND(AC1200-AI1200,9)</f>
        <v>0.277864992</v>
      </c>
      <c r="AQ1200" s="2" t="n">
        <f aca="false">ROUND(AD1200-AJ1200,9)</f>
        <v>0.078492936</v>
      </c>
    </row>
    <row r="1201" customFormat="false" ht="15" hidden="false" customHeight="false" outlineLevel="0" collapsed="false">
      <c r="A1201" s="2" t="n">
        <v>1200</v>
      </c>
      <c r="B1201" s="6" t="n">
        <v>36</v>
      </c>
      <c r="C1201" s="6" t="n">
        <v>46</v>
      </c>
      <c r="D1201" s="8" t="str">
        <f aca="false">INDEX(Bases!$B$2:$B$53,B1201)</f>
        <v>Wurmple</v>
      </c>
      <c r="E1201" s="8" t="str">
        <f aca="false">INDEX(Bases!$B$2:$B$53,C1201)</f>
        <v>Houndour</v>
      </c>
      <c r="F1201" s="2" t="str">
        <f aca="false">LEFT(D1201,ROUNDUP(LEN(D1201)/2,0))&amp;LOWER(MID(E1201,ROUNDUP(LEN(E1201)/2,0)+1,20))</f>
        <v>Wurmdour</v>
      </c>
      <c r="G1201" s="8" t="str">
        <f aca="false">INDEX(Bases!$C$2:$C$53,B1201)</f>
        <v>Bug</v>
      </c>
      <c r="H1201" s="8" t="str">
        <f aca="false">IF(INDEX(Bases!$C$2:$C$53,C1201)=G1201,"",INDEX(Bases!$C$2:$C$53,C1201))</f>
        <v>Dark</v>
      </c>
      <c r="I1201" s="8" t="str">
        <f aca="false">IF(INDEX(Bases!$E$2:$E$53,B1201)="","",INDEX(Bases!$E$2:$E$53,B1201))</f>
        <v/>
      </c>
      <c r="J1201" s="8" t="str">
        <f aca="false">IF(INDEX(Bases!$E$2:$E$53,C1201)="","",INDEX(Bases!$E$2:$E$53,C1201))</f>
        <v/>
      </c>
      <c r="K1201" s="5"/>
      <c r="L1201" s="2" t="n">
        <f aca="false">AE1201+IF(SUMPRODUCT(--($AL1201:$AQ1201&gt;AL1201))&lt;$AK1201,1,0)</f>
        <v>92</v>
      </c>
      <c r="M1201" s="2" t="n">
        <f aca="false">AF1201+IF(SUMPRODUCT(--($AL1201:$AQ1201&gt;AM1201))+SUMPRODUCT(--($AL1201:AL1201=AM1201))&lt;$AK1201,1,0)</f>
        <v>99</v>
      </c>
      <c r="N1201" s="2" t="n">
        <f aca="false">AG1201+IF(SUMPRODUCT(--($AL1201:$AQ1201&gt;AN1201))+SUMPRODUCT(--($AL1201:AM1201=AN1201))&lt;$AK1201,1,0)</f>
        <v>70</v>
      </c>
      <c r="O1201" s="2" t="n">
        <f aca="false">AH1201+IF(SUMPRODUCT(--($AL1201:$AQ1201&gt;AO1201))+SUMPRODUCT(--($AL1201:AN1201=AO1201))&lt;$AK1201,1,0)</f>
        <v>91</v>
      </c>
      <c r="P1201" s="2" t="n">
        <f aca="false">AI1201+IF(SUMPRODUCT(--($AL1201:$AQ1201&gt;AP1201))+SUMPRODUCT(--($AL1201:AO1201=AP1201))&lt;$AK1201,1,0)</f>
        <v>71</v>
      </c>
      <c r="Q1201" s="2" t="n">
        <f aca="false">AJ1201+IF(SUMPRODUCT(--($AL1201:$AQ1201&gt;AQ1201))+SUMPRODUCT(--($AL1201:AP1201=AQ1201))&lt;$AK1201,1,0)</f>
        <v>77</v>
      </c>
      <c r="R1201" s="2" t="n">
        <f aca="false">SUM(L1201:Q1201)</f>
        <v>500</v>
      </c>
      <c r="S1201" s="2" t="n">
        <f aca="false">Settings!$B$4*MAX(INDEX(Bases!$M$2:$M$53,B1201),INDEX(Bases!$M$2:$M$53,C1201))+Settings!$B$5*MIN(INDEX(Bases!$M$2:$M$53,B1201),INDEX(Bases!$M$2:$M$53,C1201))</f>
        <v>79.3333333333333</v>
      </c>
      <c r="T1201" s="2" t="n">
        <f aca="false">Settings!$B$4*MAX(INDEX(Bases!$N$2:$N$53,B1201),INDEX(Bases!$N$2:$N$53,C1201))+Settings!$B$5*MIN(INDEX(Bases!$N$2:$N$53,B1201),INDEX(Bases!$N$2:$N$53,C1201))</f>
        <v>85.6666666666667</v>
      </c>
      <c r="U1201" s="2" t="n">
        <f aca="false">Settings!$B$4*MAX(INDEX(Bases!$O$2:$O$53,B1201),INDEX(Bases!$O$2:$O$53,C1201))+Settings!$B$5*MIN(INDEX(Bases!$O$2:$O$53,B1201),INDEX(Bases!$O$2:$O$53,C1201))</f>
        <v>60</v>
      </c>
      <c r="V1201" s="2" t="n">
        <f aca="false">Settings!$B$4*MAX(INDEX(Bases!$P$2:$P$53,B1201),INDEX(Bases!$P$2:$P$53,C1201))+Settings!$B$5*MIN(INDEX(Bases!$P$2:$P$53,B1201),INDEX(Bases!$P$2:$P$53,C1201))</f>
        <v>78.3333333333333</v>
      </c>
      <c r="W1201" s="2" t="n">
        <f aca="false">Settings!$B$4*MAX(INDEX(Bases!$Q$2:$Q$53,B1201),INDEX(Bases!$Q$2:$Q$53,C1201))+Settings!$B$5*MIN(INDEX(Bases!$Q$2:$Q$53,B1201),INDEX(Bases!$Q$2:$Q$53,C1201))</f>
        <v>61.6666666666667</v>
      </c>
      <c r="X1201" s="2" t="n">
        <f aca="false">Settings!$B$4*MAX(INDEX(Bases!$R$2:$R$53,B1201),INDEX(Bases!$R$2:$R$53,C1201))+Settings!$B$5*MIN(INDEX(Bases!$R$2:$R$53,B1201),INDEX(Bases!$R$2:$R$53,C1201))</f>
        <v>66.3333333333333</v>
      </c>
      <c r="Y1201" s="2" t="n">
        <f aca="false">S1201*Settings!$B$3/SUM(S1201:X1201)</f>
        <v>91.9629057187017</v>
      </c>
      <c r="Z1201" s="2" t="n">
        <f aca="false">T1201*Settings!$B$3/SUM(S1201:X1201)</f>
        <v>99.3044822256569</v>
      </c>
      <c r="AA1201" s="2" t="n">
        <f aca="false">U1201*Settings!$B$3/SUM(S1201:X1201)</f>
        <v>69.5517774343122</v>
      </c>
      <c r="AB1201" s="2" t="n">
        <f aca="false">V1201*Settings!$B$3/SUM(S1201:X1201)</f>
        <v>90.8037094281298</v>
      </c>
      <c r="AC1201" s="2" t="n">
        <f aca="false">W1201*Settings!$B$3/SUM(S1201:X1201)</f>
        <v>71.483771251932</v>
      </c>
      <c r="AD1201" s="2" t="n">
        <f aca="false">X1201*Settings!$B$3/SUM(S1201:X1201)</f>
        <v>76.8933539412674</v>
      </c>
      <c r="AE1201" s="2" t="n">
        <f aca="false">INT(Y1201)</f>
        <v>91</v>
      </c>
      <c r="AF1201" s="2" t="n">
        <f aca="false">INT(Z1201)</f>
        <v>99</v>
      </c>
      <c r="AG1201" s="2" t="n">
        <f aca="false">INT(AA1201)</f>
        <v>69</v>
      </c>
      <c r="AH1201" s="2" t="n">
        <f aca="false">INT(AB1201)</f>
        <v>90</v>
      </c>
      <c r="AI1201" s="2" t="n">
        <f aca="false">INT(AC1201)</f>
        <v>71</v>
      </c>
      <c r="AJ1201" s="2" t="n">
        <f aca="false">INT(AD1201)</f>
        <v>76</v>
      </c>
      <c r="AK1201" s="2" t="n">
        <f aca="false">Settings!$B$3-SUM(AE1201:AJ1201)</f>
        <v>4</v>
      </c>
      <c r="AL1201" s="2" t="n">
        <f aca="false">ROUND(Y1201-AE1201,9)</f>
        <v>0.962905719</v>
      </c>
      <c r="AM1201" s="2" t="n">
        <f aca="false">ROUND(Z1201-AF1201,9)</f>
        <v>0.304482226</v>
      </c>
      <c r="AN1201" s="2" t="n">
        <f aca="false">ROUND(AA1201-AG1201,9)</f>
        <v>0.551777434</v>
      </c>
      <c r="AO1201" s="2" t="n">
        <f aca="false">ROUND(AB1201-AH1201,9)</f>
        <v>0.803709428</v>
      </c>
      <c r="AP1201" s="2" t="n">
        <f aca="false">ROUND(AC1201-AI1201,9)</f>
        <v>0.483771252</v>
      </c>
      <c r="AQ1201" s="2" t="n">
        <f aca="false">ROUND(AD1201-AJ1201,9)</f>
        <v>0.893353941</v>
      </c>
    </row>
    <row r="1202" customFormat="false" ht="15" hidden="false" customHeight="false" outlineLevel="0" collapsed="false">
      <c r="A1202" s="2" t="n">
        <v>1201</v>
      </c>
      <c r="B1202" s="6" t="n">
        <v>36</v>
      </c>
      <c r="C1202" s="6" t="n">
        <v>47</v>
      </c>
      <c r="D1202" s="8" t="str">
        <f aca="false">INDEX(Bases!$B$2:$B$53,B1202)</f>
        <v>Wurmple</v>
      </c>
      <c r="E1202" s="8" t="str">
        <f aca="false">INDEX(Bases!$B$2:$B$53,C1202)</f>
        <v>Carvanha</v>
      </c>
      <c r="F1202" s="2" t="str">
        <f aca="false">LEFT(D1202,ROUNDUP(LEN(D1202)/2,0))&amp;LOWER(MID(E1202,ROUNDUP(LEN(E1202)/2,0)+1,20))</f>
        <v>Wurmanha</v>
      </c>
      <c r="G1202" s="8" t="str">
        <f aca="false">INDEX(Bases!$C$2:$C$53,B1202)</f>
        <v>Bug</v>
      </c>
      <c r="H1202" s="8" t="str">
        <f aca="false">IF(INDEX(Bases!$C$2:$C$53,C1202)=G1202,"",INDEX(Bases!$C$2:$C$53,C1202))</f>
        <v>Dark</v>
      </c>
      <c r="I1202" s="8" t="str">
        <f aca="false">IF(INDEX(Bases!$E$2:$E$53,B1202)="","",INDEX(Bases!$E$2:$E$53,B1202))</f>
        <v/>
      </c>
      <c r="J1202" s="8" t="str">
        <f aca="false">IF(INDEX(Bases!$E$2:$E$53,C1202)="","",INDEX(Bases!$E$2:$E$53,C1202))</f>
        <v/>
      </c>
      <c r="K1202" s="5"/>
      <c r="L1202" s="2" t="n">
        <f aca="false">AE1202+IF(SUMPRODUCT(--($AL1202:$AQ1202&gt;AL1202))&lt;$AK1202,1,0)</f>
        <v>92</v>
      </c>
      <c r="M1202" s="2" t="n">
        <f aca="false">AF1202+IF(SUMPRODUCT(--($AL1202:$AQ1202&gt;AM1202))+SUMPRODUCT(--($AL1202:AL1202=AM1202))&lt;$AK1202,1,0)</f>
        <v>125</v>
      </c>
      <c r="N1202" s="2" t="n">
        <f aca="false">AG1202+IF(SUMPRODUCT(--($AL1202:$AQ1202&gt;AN1202))+SUMPRODUCT(--($AL1202:AM1202=AN1202))&lt;$AK1202,1,0)</f>
        <v>65</v>
      </c>
      <c r="O1202" s="2" t="n">
        <f aca="false">AH1202+IF(SUMPRODUCT(--($AL1202:$AQ1202&gt;AO1202))+SUMPRODUCT(--($AL1202:AN1202=AO1202))&lt;$AK1202,1,0)</f>
        <v>81</v>
      </c>
      <c r="P1202" s="2" t="n">
        <f aca="false">AI1202+IF(SUMPRODUCT(--($AL1202:$AQ1202&gt;AP1202))+SUMPRODUCT(--($AL1202:AO1202=AP1202))&lt;$AK1202,1,0)</f>
        <v>57</v>
      </c>
      <c r="Q1202" s="2" t="n">
        <f aca="false">AJ1202+IF(SUMPRODUCT(--($AL1202:$AQ1202&gt;AQ1202))+SUMPRODUCT(--($AL1202:AP1202=AQ1202))&lt;$AK1202,1,0)</f>
        <v>80</v>
      </c>
      <c r="R1202" s="2" t="n">
        <f aca="false">SUM(L1202:Q1202)</f>
        <v>500</v>
      </c>
      <c r="S1202" s="2" t="n">
        <f aca="false">Settings!$B$4*MAX(INDEX(Bases!$M$2:$M$53,B1202),INDEX(Bases!$M$2:$M$53,C1202))+Settings!$B$5*MIN(INDEX(Bases!$M$2:$M$53,B1202),INDEX(Bases!$M$2:$M$53,C1202))</f>
        <v>81</v>
      </c>
      <c r="T1202" s="2" t="n">
        <f aca="false">Settings!$B$4*MAX(INDEX(Bases!$N$2:$N$53,B1202),INDEX(Bases!$N$2:$N$53,C1202))+Settings!$B$5*MIN(INDEX(Bases!$N$2:$N$53,B1202),INDEX(Bases!$N$2:$N$53,C1202))</f>
        <v>109.333333333333</v>
      </c>
      <c r="U1202" s="2" t="n">
        <f aca="false">Settings!$B$4*MAX(INDEX(Bases!$O$2:$O$53,B1202),INDEX(Bases!$O$2:$O$53,C1202))+Settings!$B$5*MIN(INDEX(Bases!$O$2:$O$53,B1202),INDEX(Bases!$O$2:$O$53,C1202))</f>
        <v>56.6666666666667</v>
      </c>
      <c r="V1202" s="2" t="n">
        <f aca="false">Settings!$B$4*MAX(INDEX(Bases!$P$2:$P$53,B1202),INDEX(Bases!$P$2:$P$53,C1202))+Settings!$B$5*MIN(INDEX(Bases!$P$2:$P$53,B1202),INDEX(Bases!$P$2:$P$53,C1202))</f>
        <v>71</v>
      </c>
      <c r="W1202" s="2" t="n">
        <f aca="false">Settings!$B$4*MAX(INDEX(Bases!$Q$2:$Q$53,B1202),INDEX(Bases!$Q$2:$Q$53,C1202))+Settings!$B$5*MIN(INDEX(Bases!$Q$2:$Q$53,B1202),INDEX(Bases!$Q$2:$Q$53,C1202))</f>
        <v>50</v>
      </c>
      <c r="X1202" s="2" t="n">
        <f aca="false">Settings!$B$4*MAX(INDEX(Bases!$R$2:$R$53,B1202),INDEX(Bases!$R$2:$R$53,C1202))+Settings!$B$5*MIN(INDEX(Bases!$R$2:$R$53,B1202),INDEX(Bases!$R$2:$R$53,C1202))</f>
        <v>70.3333333333333</v>
      </c>
      <c r="Y1202" s="2" t="n">
        <f aca="false">S1202*Settings!$B$3/SUM(S1202:X1202)</f>
        <v>92.3954372623574</v>
      </c>
      <c r="Z1202" s="2" t="n">
        <f aca="false">T1202*Settings!$B$3/SUM(S1202:X1202)</f>
        <v>124.714828897338</v>
      </c>
      <c r="AA1202" s="2" t="n">
        <f aca="false">U1202*Settings!$B$3/SUM(S1202:X1202)</f>
        <v>64.638783269962</v>
      </c>
      <c r="AB1202" s="2" t="n">
        <f aca="false">V1202*Settings!$B$3/SUM(S1202:X1202)</f>
        <v>80.9885931558935</v>
      </c>
      <c r="AC1202" s="2" t="n">
        <f aca="false">W1202*Settings!$B$3/SUM(S1202:X1202)</f>
        <v>57.0342205323194</v>
      </c>
      <c r="AD1202" s="2" t="n">
        <f aca="false">X1202*Settings!$B$3/SUM(S1202:X1202)</f>
        <v>80.2281368821293</v>
      </c>
      <c r="AE1202" s="2" t="n">
        <f aca="false">INT(Y1202)</f>
        <v>92</v>
      </c>
      <c r="AF1202" s="2" t="n">
        <f aca="false">INT(Z1202)</f>
        <v>124</v>
      </c>
      <c r="AG1202" s="2" t="n">
        <f aca="false">INT(AA1202)</f>
        <v>64</v>
      </c>
      <c r="AH1202" s="2" t="n">
        <f aca="false">INT(AB1202)</f>
        <v>80</v>
      </c>
      <c r="AI1202" s="2" t="n">
        <f aca="false">INT(AC1202)</f>
        <v>57</v>
      </c>
      <c r="AJ1202" s="2" t="n">
        <f aca="false">INT(AD1202)</f>
        <v>80</v>
      </c>
      <c r="AK1202" s="2" t="n">
        <f aca="false">Settings!$B$3-SUM(AE1202:AJ1202)</f>
        <v>3</v>
      </c>
      <c r="AL1202" s="2" t="n">
        <f aca="false">ROUND(Y1202-AE1202,9)</f>
        <v>0.395437262</v>
      </c>
      <c r="AM1202" s="2" t="n">
        <f aca="false">ROUND(Z1202-AF1202,9)</f>
        <v>0.714828897</v>
      </c>
      <c r="AN1202" s="2" t="n">
        <f aca="false">ROUND(AA1202-AG1202,9)</f>
        <v>0.63878327</v>
      </c>
      <c r="AO1202" s="2" t="n">
        <f aca="false">ROUND(AB1202-AH1202,9)</f>
        <v>0.988593156</v>
      </c>
      <c r="AP1202" s="2" t="n">
        <f aca="false">ROUND(AC1202-AI1202,9)</f>
        <v>0.034220532</v>
      </c>
      <c r="AQ1202" s="2" t="n">
        <f aca="false">ROUND(AD1202-AJ1202,9)</f>
        <v>0.228136882</v>
      </c>
    </row>
    <row r="1203" customFormat="false" ht="15" hidden="false" customHeight="false" outlineLevel="0" collapsed="false">
      <c r="A1203" s="2" t="n">
        <v>1202</v>
      </c>
      <c r="B1203" s="6" t="n">
        <v>36</v>
      </c>
      <c r="C1203" s="6" t="n">
        <v>48</v>
      </c>
      <c r="D1203" s="8" t="str">
        <f aca="false">INDEX(Bases!$B$2:$B$53,B1203)</f>
        <v>Wurmple</v>
      </c>
      <c r="E1203" s="8" t="str">
        <f aca="false">INDEX(Bases!$B$2:$B$53,C1203)</f>
        <v>Magnemite</v>
      </c>
      <c r="F1203" s="2" t="str">
        <f aca="false">LEFT(D1203,ROUNDUP(LEN(D1203)/2,0))&amp;LOWER(MID(E1203,ROUNDUP(LEN(E1203)/2,0)+1,20))</f>
        <v>Wurmmite</v>
      </c>
      <c r="G1203" s="8" t="str">
        <f aca="false">INDEX(Bases!$C$2:$C$53,B1203)</f>
        <v>Bug</v>
      </c>
      <c r="H1203" s="8" t="str">
        <f aca="false">IF(INDEX(Bases!$C$2:$C$53,C1203)=G1203,"",INDEX(Bases!$C$2:$C$53,C1203))</f>
        <v>Steel</v>
      </c>
      <c r="I1203" s="8" t="str">
        <f aca="false">IF(INDEX(Bases!$E$2:$E$53,B1203)="","",INDEX(Bases!$E$2:$E$53,B1203))</f>
        <v/>
      </c>
      <c r="J1203" s="8" t="str">
        <f aca="false">IF(INDEX(Bases!$E$2:$E$53,C1203)="","",INDEX(Bases!$E$2:$E$53,C1203))</f>
        <v/>
      </c>
      <c r="K1203" s="5"/>
      <c r="L1203" s="2" t="n">
        <f aca="false">AE1203+IF(SUMPRODUCT(--($AL1203:$AQ1203&gt;AL1203))&lt;$AK1203,1,0)</f>
        <v>82</v>
      </c>
      <c r="M1203" s="2" t="n">
        <f aca="false">AF1203+IF(SUMPRODUCT(--($AL1203:$AQ1203&gt;AM1203))+SUMPRODUCT(--($AL1203:AL1203=AM1203))&lt;$AK1203,1,0)</f>
        <v>87</v>
      </c>
      <c r="N1203" s="2" t="n">
        <f aca="false">AG1203+IF(SUMPRODUCT(--($AL1203:$AQ1203&gt;AN1203))+SUMPRODUCT(--($AL1203:AM1203=AN1203))&lt;$AK1203,1,0)</f>
        <v>93</v>
      </c>
      <c r="O1203" s="2" t="n">
        <f aca="false">AH1203+IF(SUMPRODUCT(--($AL1203:$AQ1203&gt;AO1203))+SUMPRODUCT(--($AL1203:AN1203=AO1203))&lt;$AK1203,1,0)</f>
        <v>105</v>
      </c>
      <c r="P1203" s="2" t="n">
        <f aca="false">AI1203+IF(SUMPRODUCT(--($AL1203:$AQ1203&gt;AP1203))+SUMPRODUCT(--($AL1203:AO1203=AP1203))&lt;$AK1203,1,0)</f>
        <v>75</v>
      </c>
      <c r="Q1203" s="2" t="n">
        <f aca="false">AJ1203+IF(SUMPRODUCT(--($AL1203:$AQ1203&gt;AQ1203))+SUMPRODUCT(--($AL1203:AP1203=AQ1203))&lt;$AK1203,1,0)</f>
        <v>58</v>
      </c>
      <c r="R1203" s="2" t="n">
        <f aca="false">SUM(L1203:Q1203)</f>
        <v>500</v>
      </c>
      <c r="S1203" s="2" t="n">
        <f aca="false">Settings!$B$4*MAX(INDEX(Bases!$M$2:$M$53,B1203),INDEX(Bases!$M$2:$M$53,C1203))+Settings!$B$5*MIN(INDEX(Bases!$M$2:$M$53,B1203),INDEX(Bases!$M$2:$M$53,C1203))</f>
        <v>71.6666666666667</v>
      </c>
      <c r="T1203" s="2" t="n">
        <f aca="false">Settings!$B$4*MAX(INDEX(Bases!$N$2:$N$53,B1203),INDEX(Bases!$N$2:$N$53,C1203))+Settings!$B$5*MIN(INDEX(Bases!$N$2:$N$53,B1203),INDEX(Bases!$N$2:$N$53,C1203))</f>
        <v>75.6666666666667</v>
      </c>
      <c r="U1203" s="2" t="n">
        <f aca="false">Settings!$B$4*MAX(INDEX(Bases!$O$2:$O$53,B1203),INDEX(Bases!$O$2:$O$53,C1203))+Settings!$B$5*MIN(INDEX(Bases!$O$2:$O$53,B1203),INDEX(Bases!$O$2:$O$53,C1203))</f>
        <v>81.3333333333333</v>
      </c>
      <c r="V1203" s="2" t="n">
        <f aca="false">Settings!$B$4*MAX(INDEX(Bases!$P$2:$P$53,B1203),INDEX(Bases!$P$2:$P$53,C1203))+Settings!$B$5*MIN(INDEX(Bases!$P$2:$P$53,B1203),INDEX(Bases!$P$2:$P$53,C1203))</f>
        <v>91.6666666666667</v>
      </c>
      <c r="W1203" s="2" t="n">
        <f aca="false">Settings!$B$4*MAX(INDEX(Bases!$Q$2:$Q$53,B1203),INDEX(Bases!$Q$2:$Q$53,C1203))+Settings!$B$5*MIN(INDEX(Bases!$Q$2:$Q$53,B1203),INDEX(Bases!$Q$2:$Q$53,C1203))</f>
        <v>66</v>
      </c>
      <c r="X1203" s="2" t="n">
        <f aca="false">Settings!$B$4*MAX(INDEX(Bases!$R$2:$R$53,B1203),INDEX(Bases!$R$2:$R$53,C1203))+Settings!$B$5*MIN(INDEX(Bases!$R$2:$R$53,B1203),INDEX(Bases!$R$2:$R$53,C1203))</f>
        <v>50.3333333333333</v>
      </c>
      <c r="Y1203" s="2" t="n">
        <f aca="false">S1203*Settings!$B$3/SUM(S1203:X1203)</f>
        <v>82.0610687022901</v>
      </c>
      <c r="Z1203" s="2" t="n">
        <f aca="false">T1203*Settings!$B$3/SUM(S1203:X1203)</f>
        <v>86.6412213740458</v>
      </c>
      <c r="AA1203" s="2" t="n">
        <f aca="false">U1203*Settings!$B$3/SUM(S1203:X1203)</f>
        <v>93.1297709923664</v>
      </c>
      <c r="AB1203" s="2" t="n">
        <f aca="false">V1203*Settings!$B$3/SUM(S1203:X1203)</f>
        <v>104.961832061069</v>
      </c>
      <c r="AC1203" s="2" t="n">
        <f aca="false">W1203*Settings!$B$3/SUM(S1203:X1203)</f>
        <v>75.5725190839695</v>
      </c>
      <c r="AD1203" s="2" t="n">
        <f aca="false">X1203*Settings!$B$3/SUM(S1203:X1203)</f>
        <v>57.6335877862595</v>
      </c>
      <c r="AE1203" s="2" t="n">
        <f aca="false">INT(Y1203)</f>
        <v>82</v>
      </c>
      <c r="AF1203" s="2" t="n">
        <f aca="false">INT(Z1203)</f>
        <v>86</v>
      </c>
      <c r="AG1203" s="2" t="n">
        <f aca="false">INT(AA1203)</f>
        <v>93</v>
      </c>
      <c r="AH1203" s="2" t="n">
        <f aca="false">INT(AB1203)</f>
        <v>104</v>
      </c>
      <c r="AI1203" s="2" t="n">
        <f aca="false">INT(AC1203)</f>
        <v>75</v>
      </c>
      <c r="AJ1203" s="2" t="n">
        <f aca="false">INT(AD1203)</f>
        <v>57</v>
      </c>
      <c r="AK1203" s="2" t="n">
        <f aca="false">Settings!$B$3-SUM(AE1203:AJ1203)</f>
        <v>3</v>
      </c>
      <c r="AL1203" s="2" t="n">
        <f aca="false">ROUND(Y1203-AE1203,9)</f>
        <v>0.061068702</v>
      </c>
      <c r="AM1203" s="2" t="n">
        <f aca="false">ROUND(Z1203-AF1203,9)</f>
        <v>0.641221374</v>
      </c>
      <c r="AN1203" s="2" t="n">
        <f aca="false">ROUND(AA1203-AG1203,9)</f>
        <v>0.129770992</v>
      </c>
      <c r="AO1203" s="2" t="n">
        <f aca="false">ROUND(AB1203-AH1203,9)</f>
        <v>0.961832061</v>
      </c>
      <c r="AP1203" s="2" t="n">
        <f aca="false">ROUND(AC1203-AI1203,9)</f>
        <v>0.572519084</v>
      </c>
      <c r="AQ1203" s="2" t="n">
        <f aca="false">ROUND(AD1203-AJ1203,9)</f>
        <v>0.633587786</v>
      </c>
    </row>
    <row r="1204" customFormat="false" ht="15" hidden="false" customHeight="false" outlineLevel="0" collapsed="false">
      <c r="A1204" s="2" t="n">
        <v>1203</v>
      </c>
      <c r="B1204" s="6" t="n">
        <v>36</v>
      </c>
      <c r="C1204" s="6" t="n">
        <v>49</v>
      </c>
      <c r="D1204" s="8" t="str">
        <f aca="false">INDEX(Bases!$B$2:$B$53,B1204)</f>
        <v>Wurmple</v>
      </c>
      <c r="E1204" s="8" t="str">
        <f aca="false">INDEX(Bases!$B$2:$B$53,C1204)</f>
        <v>Aron</v>
      </c>
      <c r="F1204" s="2" t="str">
        <f aca="false">LEFT(D1204,ROUNDUP(LEN(D1204)/2,0))&amp;LOWER(MID(E1204,ROUNDUP(LEN(E1204)/2,0)+1,20))</f>
        <v>Wurmon</v>
      </c>
      <c r="G1204" s="8" t="str">
        <f aca="false">INDEX(Bases!$C$2:$C$53,B1204)</f>
        <v>Bug</v>
      </c>
      <c r="H1204" s="8" t="str">
        <f aca="false">IF(INDEX(Bases!$C$2:$C$53,C1204)=G1204,"",INDEX(Bases!$C$2:$C$53,C1204))</f>
        <v>Steel</v>
      </c>
      <c r="I1204" s="8" t="str">
        <f aca="false">IF(INDEX(Bases!$E$2:$E$53,B1204)="","",INDEX(Bases!$E$2:$E$53,B1204))</f>
        <v/>
      </c>
      <c r="J1204" s="8" t="str">
        <f aca="false">IF(INDEX(Bases!$E$2:$E$53,C1204)="","",INDEX(Bases!$E$2:$E$53,C1204))</f>
        <v/>
      </c>
      <c r="K1204" s="5"/>
      <c r="L1204" s="2" t="n">
        <f aca="false">AE1204+IF(SUMPRODUCT(--($AL1204:$AQ1204&gt;AL1204))&lt;$AK1204,1,0)</f>
        <v>98</v>
      </c>
      <c r="M1204" s="2" t="n">
        <f aca="false">AF1204+IF(SUMPRODUCT(--($AL1204:$AQ1204&gt;AM1204))+SUMPRODUCT(--($AL1204:AL1204=AM1204))&lt;$AK1204,1,0)</f>
        <v>107</v>
      </c>
      <c r="N1204" s="2" t="n">
        <f aca="false">AG1204+IF(SUMPRODUCT(--($AL1204:$AQ1204&gt;AN1204))+SUMPRODUCT(--($AL1204:AM1204=AN1204))&lt;$AK1204,1,0)</f>
        <v>125</v>
      </c>
      <c r="O1204" s="2" t="n">
        <f aca="false">AH1204+IF(SUMPRODUCT(--($AL1204:$AQ1204&gt;AO1204))+SUMPRODUCT(--($AL1204:AN1204=AO1204))&lt;$AK1204,1,0)</f>
        <v>55</v>
      </c>
      <c r="P1204" s="2" t="n">
        <f aca="false">AI1204+IF(SUMPRODUCT(--($AL1204:$AQ1204&gt;AP1204))+SUMPRODUCT(--($AL1204:AO1204=AP1204))&lt;$AK1204,1,0)</f>
        <v>68</v>
      </c>
      <c r="Q1204" s="2" t="n">
        <f aca="false">AJ1204+IF(SUMPRODUCT(--($AL1204:$AQ1204&gt;AQ1204))+SUMPRODUCT(--($AL1204:AP1204=AQ1204))&lt;$AK1204,1,0)</f>
        <v>47</v>
      </c>
      <c r="R1204" s="2" t="n">
        <f aca="false">SUM(L1204:Q1204)</f>
        <v>500</v>
      </c>
      <c r="S1204" s="2" t="n">
        <f aca="false">Settings!$B$4*MAX(INDEX(Bases!$M$2:$M$53,B1204),INDEX(Bases!$M$2:$M$53,C1204))+Settings!$B$5*MIN(INDEX(Bases!$M$2:$M$53,B1204),INDEX(Bases!$M$2:$M$53,C1204))</f>
        <v>81.6666666666667</v>
      </c>
      <c r="T1204" s="2" t="n">
        <f aca="false">Settings!$B$4*MAX(INDEX(Bases!$N$2:$N$53,B1204),INDEX(Bases!$N$2:$N$53,C1204))+Settings!$B$5*MIN(INDEX(Bases!$N$2:$N$53,B1204),INDEX(Bases!$N$2:$N$53,C1204))</f>
        <v>89.6666666666667</v>
      </c>
      <c r="U1204" s="2" t="n">
        <f aca="false">Settings!$B$4*MAX(INDEX(Bases!$O$2:$O$53,B1204),INDEX(Bases!$O$2:$O$53,C1204))+Settings!$B$5*MIN(INDEX(Bases!$O$2:$O$53,B1204),INDEX(Bases!$O$2:$O$53,C1204))</f>
        <v>104.666666666667</v>
      </c>
      <c r="V1204" s="2" t="n">
        <f aca="false">Settings!$B$4*MAX(INDEX(Bases!$P$2:$P$53,B1204),INDEX(Bases!$P$2:$P$53,C1204))+Settings!$B$5*MIN(INDEX(Bases!$P$2:$P$53,B1204),INDEX(Bases!$P$2:$P$53,C1204))</f>
        <v>46.3333333333333</v>
      </c>
      <c r="W1204" s="2" t="n">
        <f aca="false">Settings!$B$4*MAX(INDEX(Bases!$Q$2:$Q$53,B1204),INDEX(Bases!$Q$2:$Q$53,C1204))+Settings!$B$5*MIN(INDEX(Bases!$Q$2:$Q$53,B1204),INDEX(Bases!$Q$2:$Q$53,C1204))</f>
        <v>57.3333333333333</v>
      </c>
      <c r="X1204" s="2" t="n">
        <f aca="false">Settings!$B$4*MAX(INDEX(Bases!$R$2:$R$53,B1204),INDEX(Bases!$R$2:$R$53,C1204))+Settings!$B$5*MIN(INDEX(Bases!$R$2:$R$53,B1204),INDEX(Bases!$R$2:$R$53,C1204))</f>
        <v>39.3333333333333</v>
      </c>
      <c r="Y1204" s="2" t="n">
        <f aca="false">S1204*Settings!$B$3/SUM(S1204:X1204)</f>
        <v>97.4542561654734</v>
      </c>
      <c r="Z1204" s="2" t="n">
        <f aca="false">T1204*Settings!$B$3/SUM(S1204:X1204)</f>
        <v>107.000795544948</v>
      </c>
      <c r="AA1204" s="2" t="n">
        <f aca="false">U1204*Settings!$B$3/SUM(S1204:X1204)</f>
        <v>124.900556881464</v>
      </c>
      <c r="AB1204" s="2" t="n">
        <f aca="false">V1204*Settings!$B$3/SUM(S1204:X1204)</f>
        <v>55.2903739061257</v>
      </c>
      <c r="AC1204" s="2" t="n">
        <f aca="false">W1204*Settings!$B$3/SUM(S1204:X1204)</f>
        <v>68.4168655529037</v>
      </c>
      <c r="AD1204" s="2" t="n">
        <f aca="false">X1204*Settings!$B$3/SUM(S1204:X1204)</f>
        <v>46.9371519490851</v>
      </c>
      <c r="AE1204" s="2" t="n">
        <f aca="false">INT(Y1204)</f>
        <v>97</v>
      </c>
      <c r="AF1204" s="2" t="n">
        <f aca="false">INT(Z1204)</f>
        <v>107</v>
      </c>
      <c r="AG1204" s="2" t="n">
        <f aca="false">INT(AA1204)</f>
        <v>124</v>
      </c>
      <c r="AH1204" s="2" t="n">
        <f aca="false">INT(AB1204)</f>
        <v>55</v>
      </c>
      <c r="AI1204" s="2" t="n">
        <f aca="false">INT(AC1204)</f>
        <v>68</v>
      </c>
      <c r="AJ1204" s="2" t="n">
        <f aca="false">INT(AD1204)</f>
        <v>46</v>
      </c>
      <c r="AK1204" s="2" t="n">
        <f aca="false">Settings!$B$3-SUM(AE1204:AJ1204)</f>
        <v>3</v>
      </c>
      <c r="AL1204" s="2" t="n">
        <f aca="false">ROUND(Y1204-AE1204,9)</f>
        <v>0.454256165</v>
      </c>
      <c r="AM1204" s="2" t="n">
        <f aca="false">ROUND(Z1204-AF1204,9)</f>
        <v>0.000795545</v>
      </c>
      <c r="AN1204" s="2" t="n">
        <f aca="false">ROUND(AA1204-AG1204,9)</f>
        <v>0.900556881</v>
      </c>
      <c r="AO1204" s="2" t="n">
        <f aca="false">ROUND(AB1204-AH1204,9)</f>
        <v>0.290373906</v>
      </c>
      <c r="AP1204" s="2" t="n">
        <f aca="false">ROUND(AC1204-AI1204,9)</f>
        <v>0.416865553</v>
      </c>
      <c r="AQ1204" s="2" t="n">
        <f aca="false">ROUND(AD1204-AJ1204,9)</f>
        <v>0.937151949</v>
      </c>
    </row>
    <row r="1205" customFormat="false" ht="15" hidden="false" customHeight="false" outlineLevel="0" collapsed="false">
      <c r="A1205" s="2" t="n">
        <v>1204</v>
      </c>
      <c r="B1205" s="6" t="n">
        <v>36</v>
      </c>
      <c r="C1205" s="6" t="n">
        <v>50</v>
      </c>
      <c r="D1205" s="8" t="str">
        <f aca="false">INDEX(Bases!$B$2:$B$53,B1205)</f>
        <v>Wurmple</v>
      </c>
      <c r="E1205" s="8" t="str">
        <f aca="false">INDEX(Bases!$B$2:$B$53,C1205)</f>
        <v>Beldum</v>
      </c>
      <c r="F1205" s="2" t="str">
        <f aca="false">LEFT(D1205,ROUNDUP(LEN(D1205)/2,0))&amp;LOWER(MID(E1205,ROUNDUP(LEN(E1205)/2,0)+1,20))</f>
        <v>Wurmdum</v>
      </c>
      <c r="G1205" s="8" t="str">
        <f aca="false">INDEX(Bases!$C$2:$C$53,B1205)</f>
        <v>Bug</v>
      </c>
      <c r="H1205" s="8" t="str">
        <f aca="false">IF(INDEX(Bases!$C$2:$C$53,C1205)=G1205,"",INDEX(Bases!$C$2:$C$53,C1205))</f>
        <v>Steel</v>
      </c>
      <c r="I1205" s="8" t="str">
        <f aca="false">IF(INDEX(Bases!$E$2:$E$53,B1205)="","",INDEX(Bases!$E$2:$E$53,B1205))</f>
        <v/>
      </c>
      <c r="J1205" s="8" t="str">
        <f aca="false">IF(INDEX(Bases!$E$2:$E$53,C1205)="","",INDEX(Bases!$E$2:$E$53,C1205))</f>
        <v/>
      </c>
      <c r="K1205" s="5"/>
      <c r="L1205" s="2" t="n">
        <f aca="false">AE1205+IF(SUMPRODUCT(--($AL1205:$AQ1205&gt;AL1205))&lt;$AK1205,1,0)</f>
        <v>94</v>
      </c>
      <c r="M1205" s="2" t="n">
        <f aca="false">AF1205+IF(SUMPRODUCT(--($AL1205:$AQ1205&gt;AM1205))+SUMPRODUCT(--($AL1205:AL1205=AM1205))&lt;$AK1205,1,0)</f>
        <v>102</v>
      </c>
      <c r="N1205" s="2" t="n">
        <f aca="false">AG1205+IF(SUMPRODUCT(--($AL1205:$AQ1205&gt;AN1205))+SUMPRODUCT(--($AL1205:AM1205=AN1205))&lt;$AK1205,1,0)</f>
        <v>114</v>
      </c>
      <c r="O1205" s="2" t="n">
        <f aca="false">AH1205+IF(SUMPRODUCT(--($AL1205:$AQ1205&gt;AO1205))+SUMPRODUCT(--($AL1205:AN1205=AO1205))&lt;$AK1205,1,0)</f>
        <v>54</v>
      </c>
      <c r="P1205" s="2" t="n">
        <f aca="false">AI1205+IF(SUMPRODUCT(--($AL1205:$AQ1205&gt;AP1205))+SUMPRODUCT(--($AL1205:AO1205=AP1205))&lt;$AK1205,1,0)</f>
        <v>88</v>
      </c>
      <c r="Q1205" s="2" t="n">
        <f aca="false">AJ1205+IF(SUMPRODUCT(--($AL1205:$AQ1205&gt;AQ1205))+SUMPRODUCT(--($AL1205:AP1205=AQ1205))&lt;$AK1205,1,0)</f>
        <v>48</v>
      </c>
      <c r="R1205" s="2" t="n">
        <f aca="false">SUM(L1205:Q1205)</f>
        <v>500</v>
      </c>
      <c r="S1205" s="2" t="n">
        <f aca="false">Settings!$B$4*MAX(INDEX(Bases!$M$2:$M$53,B1205),INDEX(Bases!$M$2:$M$53,C1205))+Settings!$B$5*MIN(INDEX(Bases!$M$2:$M$53,B1205),INDEX(Bases!$M$2:$M$53,C1205))</f>
        <v>79</v>
      </c>
      <c r="T1205" s="2" t="n">
        <f aca="false">Settings!$B$4*MAX(INDEX(Bases!$N$2:$N$53,B1205),INDEX(Bases!$N$2:$N$53,C1205))+Settings!$B$5*MIN(INDEX(Bases!$N$2:$N$53,B1205),INDEX(Bases!$N$2:$N$53,C1205))</f>
        <v>85.6666666666667</v>
      </c>
      <c r="U1205" s="2" t="n">
        <f aca="false">Settings!$B$4*MAX(INDEX(Bases!$O$2:$O$53,B1205),INDEX(Bases!$O$2:$O$53,C1205))+Settings!$B$5*MIN(INDEX(Bases!$O$2:$O$53,B1205),INDEX(Bases!$O$2:$O$53,C1205))</f>
        <v>95.3333333333333</v>
      </c>
      <c r="V1205" s="2" t="n">
        <f aca="false">Settings!$B$4*MAX(INDEX(Bases!$P$2:$P$53,B1205),INDEX(Bases!$P$2:$P$53,C1205))+Settings!$B$5*MIN(INDEX(Bases!$P$2:$P$53,B1205),INDEX(Bases!$P$2:$P$53,C1205))</f>
        <v>45</v>
      </c>
      <c r="W1205" s="2" t="n">
        <f aca="false">Settings!$B$4*MAX(INDEX(Bases!$Q$2:$Q$53,B1205),INDEX(Bases!$Q$2:$Q$53,C1205))+Settings!$B$5*MIN(INDEX(Bases!$Q$2:$Q$53,B1205),INDEX(Bases!$Q$2:$Q$53,C1205))</f>
        <v>74</v>
      </c>
      <c r="X1205" s="2" t="n">
        <f aca="false">Settings!$B$4*MAX(INDEX(Bases!$R$2:$R$53,B1205),INDEX(Bases!$R$2:$R$53,C1205))+Settings!$B$5*MIN(INDEX(Bases!$R$2:$R$53,B1205),INDEX(Bases!$R$2:$R$53,C1205))</f>
        <v>40.6666666666667</v>
      </c>
      <c r="Y1205" s="2" t="n">
        <f aca="false">S1205*Settings!$B$3/SUM(S1205:X1205)</f>
        <v>94.1223193010326</v>
      </c>
      <c r="Z1205" s="2" t="n">
        <f aca="false">T1205*Settings!$B$3/SUM(S1205:X1205)</f>
        <v>102.065131056394</v>
      </c>
      <c r="AA1205" s="2" t="n">
        <f aca="false">U1205*Settings!$B$3/SUM(S1205:X1205)</f>
        <v>113.582208101668</v>
      </c>
      <c r="AB1205" s="2" t="n">
        <f aca="false">V1205*Settings!$B$3/SUM(S1205:X1205)</f>
        <v>53.6139793486894</v>
      </c>
      <c r="AC1205" s="2" t="n">
        <f aca="false">W1205*Settings!$B$3/SUM(S1205:X1205)</f>
        <v>88.1652104845115</v>
      </c>
      <c r="AD1205" s="2" t="n">
        <f aca="false">X1205*Settings!$B$3/SUM(S1205:X1205)</f>
        <v>48.4511517077045</v>
      </c>
      <c r="AE1205" s="2" t="n">
        <f aca="false">INT(Y1205)</f>
        <v>94</v>
      </c>
      <c r="AF1205" s="2" t="n">
        <f aca="false">INT(Z1205)</f>
        <v>102</v>
      </c>
      <c r="AG1205" s="2" t="n">
        <f aca="false">INT(AA1205)</f>
        <v>113</v>
      </c>
      <c r="AH1205" s="2" t="n">
        <f aca="false">INT(AB1205)</f>
        <v>53</v>
      </c>
      <c r="AI1205" s="2" t="n">
        <f aca="false">INT(AC1205)</f>
        <v>88</v>
      </c>
      <c r="AJ1205" s="2" t="n">
        <f aca="false">INT(AD1205)</f>
        <v>48</v>
      </c>
      <c r="AK1205" s="2" t="n">
        <f aca="false">Settings!$B$3-SUM(AE1205:AJ1205)</f>
        <v>2</v>
      </c>
      <c r="AL1205" s="2" t="n">
        <f aca="false">ROUND(Y1205-AE1205,9)</f>
        <v>0.122319301</v>
      </c>
      <c r="AM1205" s="2" t="n">
        <f aca="false">ROUND(Z1205-AF1205,9)</f>
        <v>0.065131056</v>
      </c>
      <c r="AN1205" s="2" t="n">
        <f aca="false">ROUND(AA1205-AG1205,9)</f>
        <v>0.582208102</v>
      </c>
      <c r="AO1205" s="2" t="n">
        <f aca="false">ROUND(AB1205-AH1205,9)</f>
        <v>0.613979349</v>
      </c>
      <c r="AP1205" s="2" t="n">
        <f aca="false">ROUND(AC1205-AI1205,9)</f>
        <v>0.165210485</v>
      </c>
      <c r="AQ1205" s="2" t="n">
        <f aca="false">ROUND(AD1205-AJ1205,9)</f>
        <v>0.451151708</v>
      </c>
    </row>
    <row r="1206" customFormat="false" ht="15" hidden="false" customHeight="false" outlineLevel="0" collapsed="false">
      <c r="A1206" s="2" t="n">
        <v>1205</v>
      </c>
      <c r="B1206" s="6" t="n">
        <v>36</v>
      </c>
      <c r="C1206" s="6" t="n">
        <v>51</v>
      </c>
      <c r="D1206" s="8" t="str">
        <f aca="false">INDEX(Bases!$B$2:$B$53,B1206)</f>
        <v>Wurmple</v>
      </c>
      <c r="E1206" s="8" t="str">
        <f aca="false">INDEX(Bases!$B$2:$B$53,C1206)</f>
        <v>Cleffa</v>
      </c>
      <c r="F1206" s="2" t="str">
        <f aca="false">LEFT(D1206,ROUNDUP(LEN(D1206)/2,0))&amp;LOWER(MID(E1206,ROUNDUP(LEN(E1206)/2,0)+1,20))</f>
        <v>Wurmffa</v>
      </c>
      <c r="G1206" s="8" t="str">
        <f aca="false">INDEX(Bases!$C$2:$C$53,B1206)</f>
        <v>Bug</v>
      </c>
      <c r="H1206" s="8" t="str">
        <f aca="false">IF(INDEX(Bases!$C$2:$C$53,C1206)=G1206,"",INDEX(Bases!$C$2:$C$53,C1206))</f>
        <v>Fairy</v>
      </c>
      <c r="I1206" s="8" t="str">
        <f aca="false">IF(INDEX(Bases!$E$2:$E$53,B1206)="","",INDEX(Bases!$E$2:$E$53,B1206))</f>
        <v/>
      </c>
      <c r="J1206" s="8" t="str">
        <f aca="false">IF(INDEX(Bases!$E$2:$E$53,C1206)="","",INDEX(Bases!$E$2:$E$53,C1206))</f>
        <v/>
      </c>
      <c r="K1206" s="5"/>
      <c r="L1206" s="2" t="n">
        <f aca="false">AE1206+IF(SUMPRODUCT(--($AL1206:$AQ1206&gt;AL1206))&lt;$AK1206,1,0)</f>
        <v>108</v>
      </c>
      <c r="M1206" s="2" t="n">
        <f aca="false">AF1206+IF(SUMPRODUCT(--($AL1206:$AQ1206&gt;AM1206))+SUMPRODUCT(--($AL1206:AL1206=AM1206))&lt;$AK1206,1,0)</f>
        <v>90</v>
      </c>
      <c r="N1206" s="2" t="n">
        <f aca="false">AG1206+IF(SUMPRODUCT(--($AL1206:$AQ1206&gt;AN1206))+SUMPRODUCT(--($AL1206:AM1206=AN1206))&lt;$AK1206,1,0)</f>
        <v>76</v>
      </c>
      <c r="O1206" s="2" t="n">
        <f aca="false">AH1206+IF(SUMPRODUCT(--($AL1206:$AQ1206&gt;AO1206))+SUMPRODUCT(--($AL1206:AN1206=AO1206))&lt;$AK1206,1,0)</f>
        <v>81</v>
      </c>
      <c r="P1206" s="2" t="n">
        <f aca="false">AI1206+IF(SUMPRODUCT(--($AL1206:$AQ1206&gt;AP1206))+SUMPRODUCT(--($AL1206:AO1206=AP1206))&lt;$AK1206,1,0)</f>
        <v>103</v>
      </c>
      <c r="Q1206" s="2" t="n">
        <f aca="false">AJ1206+IF(SUMPRODUCT(--($AL1206:$AQ1206&gt;AQ1206))+SUMPRODUCT(--($AL1206:AP1206=AQ1206))&lt;$AK1206,1,0)</f>
        <v>42</v>
      </c>
      <c r="R1206" s="2" t="n">
        <f aca="false">SUM(L1206:Q1206)</f>
        <v>500</v>
      </c>
      <c r="S1206" s="2" t="n">
        <f aca="false">Settings!$B$4*MAX(INDEX(Bases!$M$2:$M$53,B1206),INDEX(Bases!$M$2:$M$53,C1206))+Settings!$B$5*MIN(INDEX(Bases!$M$2:$M$53,B1206),INDEX(Bases!$M$2:$M$53,C1206))</f>
        <v>92</v>
      </c>
      <c r="T1206" s="2" t="n">
        <f aca="false">Settings!$B$4*MAX(INDEX(Bases!$N$2:$N$53,B1206),INDEX(Bases!$N$2:$N$53,C1206))+Settings!$B$5*MIN(INDEX(Bases!$N$2:$N$53,B1206),INDEX(Bases!$N$2:$N$53,C1206))</f>
        <v>76.6666666666667</v>
      </c>
      <c r="U1206" s="2" t="n">
        <f aca="false">Settings!$B$4*MAX(INDEX(Bases!$O$2:$O$53,B1206),INDEX(Bases!$O$2:$O$53,C1206))+Settings!$B$5*MIN(INDEX(Bases!$O$2:$O$53,B1206),INDEX(Bases!$O$2:$O$53,C1206))</f>
        <v>65</v>
      </c>
      <c r="V1206" s="2" t="n">
        <f aca="false">Settings!$B$4*MAX(INDEX(Bases!$P$2:$P$53,B1206),INDEX(Bases!$P$2:$P$53,C1206))+Settings!$B$5*MIN(INDEX(Bases!$P$2:$P$53,B1206),INDEX(Bases!$P$2:$P$53,C1206))</f>
        <v>69</v>
      </c>
      <c r="W1206" s="2" t="n">
        <f aca="false">Settings!$B$4*MAX(INDEX(Bases!$Q$2:$Q$53,B1206),INDEX(Bases!$Q$2:$Q$53,C1206))+Settings!$B$5*MIN(INDEX(Bases!$Q$2:$Q$53,B1206),INDEX(Bases!$Q$2:$Q$53,C1206))</f>
        <v>88</v>
      </c>
      <c r="X1206" s="2" t="n">
        <f aca="false">Settings!$B$4*MAX(INDEX(Bases!$R$2:$R$53,B1206),INDEX(Bases!$R$2:$R$53,C1206))+Settings!$B$5*MIN(INDEX(Bases!$R$2:$R$53,B1206),INDEX(Bases!$R$2:$R$53,C1206))</f>
        <v>36.3333333333333</v>
      </c>
      <c r="Y1206" s="2" t="n">
        <f aca="false">S1206*Settings!$B$3/SUM(S1206:X1206)</f>
        <v>107.728337236534</v>
      </c>
      <c r="Z1206" s="2" t="n">
        <f aca="false">T1206*Settings!$B$3/SUM(S1206:X1206)</f>
        <v>89.7736143637783</v>
      </c>
      <c r="AA1206" s="2" t="n">
        <f aca="false">U1206*Settings!$B$3/SUM(S1206:X1206)</f>
        <v>76.112412177986</v>
      </c>
      <c r="AB1206" s="2" t="n">
        <f aca="false">V1206*Settings!$B$3/SUM(S1206:X1206)</f>
        <v>80.7962529274005</v>
      </c>
      <c r="AC1206" s="2" t="n">
        <f aca="false">W1206*Settings!$B$3/SUM(S1206:X1206)</f>
        <v>103.044496487119</v>
      </c>
      <c r="AD1206" s="2" t="n">
        <f aca="false">X1206*Settings!$B$3/SUM(S1206:X1206)</f>
        <v>42.5448868071819</v>
      </c>
      <c r="AE1206" s="2" t="n">
        <f aca="false">INT(Y1206)</f>
        <v>107</v>
      </c>
      <c r="AF1206" s="2" t="n">
        <f aca="false">INT(Z1206)</f>
        <v>89</v>
      </c>
      <c r="AG1206" s="2" t="n">
        <f aca="false">INT(AA1206)</f>
        <v>76</v>
      </c>
      <c r="AH1206" s="2" t="n">
        <f aca="false">INT(AB1206)</f>
        <v>80</v>
      </c>
      <c r="AI1206" s="2" t="n">
        <f aca="false">INT(AC1206)</f>
        <v>103</v>
      </c>
      <c r="AJ1206" s="2" t="n">
        <f aca="false">INT(AD1206)</f>
        <v>42</v>
      </c>
      <c r="AK1206" s="2" t="n">
        <f aca="false">Settings!$B$3-SUM(AE1206:AJ1206)</f>
        <v>3</v>
      </c>
      <c r="AL1206" s="2" t="n">
        <f aca="false">ROUND(Y1206-AE1206,9)</f>
        <v>0.728337237</v>
      </c>
      <c r="AM1206" s="2" t="n">
        <f aca="false">ROUND(Z1206-AF1206,9)</f>
        <v>0.773614364</v>
      </c>
      <c r="AN1206" s="2" t="n">
        <f aca="false">ROUND(AA1206-AG1206,9)</f>
        <v>0.112412178</v>
      </c>
      <c r="AO1206" s="2" t="n">
        <f aca="false">ROUND(AB1206-AH1206,9)</f>
        <v>0.796252927</v>
      </c>
      <c r="AP1206" s="2" t="n">
        <f aca="false">ROUND(AC1206-AI1206,9)</f>
        <v>0.044496487</v>
      </c>
      <c r="AQ1206" s="2" t="n">
        <f aca="false">ROUND(AD1206-AJ1206,9)</f>
        <v>0.544886807</v>
      </c>
    </row>
    <row r="1207" customFormat="false" ht="15" hidden="false" customHeight="false" outlineLevel="0" collapsed="false">
      <c r="A1207" s="2" t="n">
        <v>1206</v>
      </c>
      <c r="B1207" s="6" t="n">
        <v>36</v>
      </c>
      <c r="C1207" s="6" t="n">
        <v>52</v>
      </c>
      <c r="D1207" s="8" t="str">
        <f aca="false">INDEX(Bases!$B$2:$B$53,B1207)</f>
        <v>Wurmple</v>
      </c>
      <c r="E1207" s="8" t="str">
        <f aca="false">INDEX(Bases!$B$2:$B$53,C1207)</f>
        <v>Togepi</v>
      </c>
      <c r="F1207" s="2" t="str">
        <f aca="false">LEFT(D1207,ROUNDUP(LEN(D1207)/2,0))&amp;LOWER(MID(E1207,ROUNDUP(LEN(E1207)/2,0)+1,20))</f>
        <v>Wurmepi</v>
      </c>
      <c r="G1207" s="8" t="str">
        <f aca="false">INDEX(Bases!$C$2:$C$53,B1207)</f>
        <v>Bug</v>
      </c>
      <c r="H1207" s="8" t="str">
        <f aca="false">IF(INDEX(Bases!$C$2:$C$53,C1207)=G1207,"",INDEX(Bases!$C$2:$C$53,C1207))</f>
        <v>Fairy</v>
      </c>
      <c r="I1207" s="8" t="str">
        <f aca="false">IF(INDEX(Bases!$E$2:$E$53,B1207)="","",INDEX(Bases!$E$2:$E$53,B1207))</f>
        <v/>
      </c>
      <c r="J1207" s="8" t="str">
        <f aca="false">IF(INDEX(Bases!$E$2:$E$53,C1207)="","",INDEX(Bases!$E$2:$E$53,C1207))</f>
        <v/>
      </c>
      <c r="K1207" s="5"/>
      <c r="L1207" s="2" t="n">
        <f aca="false">AE1207+IF(SUMPRODUCT(--($AL1207:$AQ1207&gt;AL1207))&lt;$AK1207,1,0)</f>
        <v>93</v>
      </c>
      <c r="M1207" s="2" t="n">
        <f aca="false">AF1207+IF(SUMPRODUCT(--($AL1207:$AQ1207&gt;AM1207))+SUMPRODUCT(--($AL1207:AL1207=AM1207))&lt;$AK1207,1,0)</f>
        <v>83</v>
      </c>
      <c r="N1207" s="2" t="n">
        <f aca="false">AG1207+IF(SUMPRODUCT(--($AL1207:$AQ1207&gt;AN1207))+SUMPRODUCT(--($AL1207:AM1207=AN1207))&lt;$AK1207,1,0)</f>
        <v>109</v>
      </c>
      <c r="O1207" s="2" t="n">
        <f aca="false">AH1207+IF(SUMPRODUCT(--($AL1207:$AQ1207&gt;AO1207))+SUMPRODUCT(--($AL1207:AN1207=AO1207))&lt;$AK1207,1,0)</f>
        <v>66</v>
      </c>
      <c r="P1207" s="2" t="n">
        <f aca="false">AI1207+IF(SUMPRODUCT(--($AL1207:$AQ1207&gt;AP1207))+SUMPRODUCT(--($AL1207:AO1207=AP1207))&lt;$AK1207,1,0)</f>
        <v>105</v>
      </c>
      <c r="Q1207" s="2" t="n">
        <f aca="false">AJ1207+IF(SUMPRODUCT(--($AL1207:$AQ1207&gt;AQ1207))+SUMPRODUCT(--($AL1207:AP1207=AQ1207))&lt;$AK1207,1,0)</f>
        <v>44</v>
      </c>
      <c r="R1207" s="2" t="n">
        <f aca="false">SUM(L1207:Q1207)</f>
        <v>500</v>
      </c>
      <c r="S1207" s="2" t="n">
        <f aca="false">Settings!$B$4*MAX(INDEX(Bases!$M$2:$M$53,B1207),INDEX(Bases!$M$2:$M$53,C1207))+Settings!$B$5*MIN(INDEX(Bases!$M$2:$M$53,B1207),INDEX(Bases!$M$2:$M$53,C1207))</f>
        <v>80.3333333333333</v>
      </c>
      <c r="T1207" s="2" t="n">
        <f aca="false">Settings!$B$4*MAX(INDEX(Bases!$N$2:$N$53,B1207),INDEX(Bases!$N$2:$N$53,C1207))+Settings!$B$5*MIN(INDEX(Bases!$N$2:$N$53,B1207),INDEX(Bases!$N$2:$N$53,C1207))</f>
        <v>72.3333333333333</v>
      </c>
      <c r="U1207" s="2" t="n">
        <f aca="false">Settings!$B$4*MAX(INDEX(Bases!$O$2:$O$53,B1207),INDEX(Bases!$O$2:$O$53,C1207))+Settings!$B$5*MIN(INDEX(Bases!$O$2:$O$53,B1207),INDEX(Bases!$O$2:$O$53,C1207))</f>
        <v>94.6666666666667</v>
      </c>
      <c r="V1207" s="2" t="n">
        <f aca="false">Settings!$B$4*MAX(INDEX(Bases!$P$2:$P$53,B1207),INDEX(Bases!$P$2:$P$53,C1207))+Settings!$B$5*MIN(INDEX(Bases!$P$2:$P$53,B1207),INDEX(Bases!$P$2:$P$53,C1207))</f>
        <v>57</v>
      </c>
      <c r="W1207" s="2" t="n">
        <f aca="false">Settings!$B$4*MAX(INDEX(Bases!$Q$2:$Q$53,B1207),INDEX(Bases!$Q$2:$Q$53,C1207))+Settings!$B$5*MIN(INDEX(Bases!$Q$2:$Q$53,B1207),INDEX(Bases!$Q$2:$Q$53,C1207))</f>
        <v>91.3333333333333</v>
      </c>
      <c r="X1207" s="2" t="n">
        <f aca="false">Settings!$B$4*MAX(INDEX(Bases!$R$2:$R$53,B1207),INDEX(Bases!$R$2:$R$53,C1207))+Settings!$B$5*MIN(INDEX(Bases!$R$2:$R$53,B1207),INDEX(Bases!$R$2:$R$53,C1207))</f>
        <v>38.3333333333333</v>
      </c>
      <c r="Y1207" s="2" t="n">
        <f aca="false">S1207*Settings!$B$3/SUM(S1207:X1207)</f>
        <v>92.5499231950845</v>
      </c>
      <c r="Z1207" s="2" t="n">
        <f aca="false">T1207*Settings!$B$3/SUM(S1207:X1207)</f>
        <v>83.3333333333333</v>
      </c>
      <c r="AA1207" s="2" t="n">
        <f aca="false">U1207*Settings!$B$3/SUM(S1207:X1207)</f>
        <v>109.062980030722</v>
      </c>
      <c r="AB1207" s="2" t="n">
        <f aca="false">V1207*Settings!$B$3/SUM(S1207:X1207)</f>
        <v>65.668202764977</v>
      </c>
      <c r="AC1207" s="2" t="n">
        <f aca="false">W1207*Settings!$B$3/SUM(S1207:X1207)</f>
        <v>105.222734254992</v>
      </c>
      <c r="AD1207" s="2" t="n">
        <f aca="false">X1207*Settings!$B$3/SUM(S1207:X1207)</f>
        <v>44.1628264208909</v>
      </c>
      <c r="AE1207" s="2" t="n">
        <f aca="false">INT(Y1207)</f>
        <v>92</v>
      </c>
      <c r="AF1207" s="2" t="n">
        <f aca="false">INT(Z1207)</f>
        <v>83</v>
      </c>
      <c r="AG1207" s="2" t="n">
        <f aca="false">INT(AA1207)</f>
        <v>109</v>
      </c>
      <c r="AH1207" s="2" t="n">
        <f aca="false">INT(AB1207)</f>
        <v>65</v>
      </c>
      <c r="AI1207" s="2" t="n">
        <f aca="false">INT(AC1207)</f>
        <v>105</v>
      </c>
      <c r="AJ1207" s="2" t="n">
        <f aca="false">INT(AD1207)</f>
        <v>44</v>
      </c>
      <c r="AK1207" s="2" t="n">
        <f aca="false">Settings!$B$3-SUM(AE1207:AJ1207)</f>
        <v>2</v>
      </c>
      <c r="AL1207" s="2" t="n">
        <f aca="false">ROUND(Y1207-AE1207,9)</f>
        <v>0.549923195</v>
      </c>
      <c r="AM1207" s="2" t="n">
        <f aca="false">ROUND(Z1207-AF1207,9)</f>
        <v>0.333333333</v>
      </c>
      <c r="AN1207" s="2" t="n">
        <f aca="false">ROUND(AA1207-AG1207,9)</f>
        <v>0.062980031</v>
      </c>
      <c r="AO1207" s="2" t="n">
        <f aca="false">ROUND(AB1207-AH1207,9)</f>
        <v>0.668202765</v>
      </c>
      <c r="AP1207" s="2" t="n">
        <f aca="false">ROUND(AC1207-AI1207,9)</f>
        <v>0.222734255</v>
      </c>
      <c r="AQ1207" s="2" t="n">
        <f aca="false">ROUND(AD1207-AJ1207,9)</f>
        <v>0.162826421</v>
      </c>
    </row>
    <row r="1208" customFormat="false" ht="15" hidden="false" customHeight="false" outlineLevel="0" collapsed="false">
      <c r="A1208" s="2" t="n">
        <v>1207</v>
      </c>
      <c r="B1208" s="6" t="n">
        <v>37</v>
      </c>
      <c r="C1208" s="6" t="n">
        <v>38</v>
      </c>
      <c r="D1208" s="8" t="str">
        <f aca="false">INDEX(Bases!$B$2:$B$53,B1208)</f>
        <v>Shuckle</v>
      </c>
      <c r="E1208" s="8" t="str">
        <f aca="false">INDEX(Bases!$B$2:$B$53,C1208)</f>
        <v>Larvitar</v>
      </c>
      <c r="F1208" s="2" t="str">
        <f aca="false">LEFT(D1208,ROUNDUP(LEN(D1208)/2,0))&amp;LOWER(MID(E1208,ROUNDUP(LEN(E1208)/2,0)+1,20))</f>
        <v>Shucitar</v>
      </c>
      <c r="G1208" s="8" t="str">
        <f aca="false">INDEX(Bases!$C$2:$C$53,B1208)</f>
        <v>Rock</v>
      </c>
      <c r="H1208" s="8" t="str">
        <f aca="false">IF(INDEX(Bases!$C$2:$C$53,C1208)=G1208,"",INDEX(Bases!$C$2:$C$53,C1208))</f>
        <v/>
      </c>
      <c r="I1208" s="8" t="str">
        <f aca="false">IF(INDEX(Bases!$E$2:$E$53,B1208)="","",INDEX(Bases!$E$2:$E$53,B1208))</f>
        <v/>
      </c>
      <c r="J1208" s="8" t="str">
        <f aca="false">IF(INDEX(Bases!$E$2:$E$53,C1208)="","",INDEX(Bases!$E$2:$E$53,C1208))</f>
        <v/>
      </c>
      <c r="K1208" s="5"/>
      <c r="L1208" s="2" t="n">
        <f aca="false">AE1208+IF(SUMPRODUCT(--($AL1208:$AQ1208&gt;AL1208))&lt;$AK1208,1,0)</f>
        <v>52</v>
      </c>
      <c r="M1208" s="2" t="n">
        <f aca="false">AF1208+IF(SUMPRODUCT(--($AL1208:$AQ1208&gt;AM1208))+SUMPRODUCT(--($AL1208:AL1208=AM1208))&lt;$AK1208,1,0)</f>
        <v>62</v>
      </c>
      <c r="N1208" s="2" t="n">
        <f aca="false">AG1208+IF(SUMPRODUCT(--($AL1208:$AQ1208&gt;AN1208))+SUMPRODUCT(--($AL1208:AM1208=AN1208))&lt;$AK1208,1,0)</f>
        <v>151</v>
      </c>
      <c r="O1208" s="2" t="n">
        <f aca="false">AH1208+IF(SUMPRODUCT(--($AL1208:$AQ1208&gt;AO1208))+SUMPRODUCT(--($AL1208:AN1208=AO1208))&lt;$AK1208,1,0)</f>
        <v>45</v>
      </c>
      <c r="P1208" s="2" t="n">
        <f aca="false">AI1208+IF(SUMPRODUCT(--($AL1208:$AQ1208&gt;AP1208))+SUMPRODUCT(--($AL1208:AO1208=AP1208))&lt;$AK1208,1,0)</f>
        <v>151</v>
      </c>
      <c r="Q1208" s="2" t="n">
        <f aca="false">AJ1208+IF(SUMPRODUCT(--($AL1208:$AQ1208&gt;AQ1208))+SUMPRODUCT(--($AL1208:AP1208=AQ1208))&lt;$AK1208,1,0)</f>
        <v>39</v>
      </c>
      <c r="R1208" s="2" t="n">
        <f aca="false">SUM(L1208:Q1208)</f>
        <v>500</v>
      </c>
      <c r="S1208" s="2" t="n">
        <f aca="false">Settings!$B$4*MAX(INDEX(Bases!$M$2:$M$53,B1208),INDEX(Bases!$M$2:$M$53,C1208))+Settings!$B$5*MIN(INDEX(Bases!$M$2:$M$53,B1208),INDEX(Bases!$M$2:$M$53,C1208))</f>
        <v>50</v>
      </c>
      <c r="T1208" s="2" t="n">
        <f aca="false">Settings!$B$4*MAX(INDEX(Bases!$N$2:$N$53,B1208),INDEX(Bases!$N$2:$N$53,C1208))+Settings!$B$5*MIN(INDEX(Bases!$N$2:$N$53,B1208),INDEX(Bases!$N$2:$N$53,C1208))</f>
        <v>59.3333333333333</v>
      </c>
      <c r="U1208" s="2" t="n">
        <f aca="false">Settings!$B$4*MAX(INDEX(Bases!$O$2:$O$53,B1208),INDEX(Bases!$O$2:$O$53,C1208))+Settings!$B$5*MIN(INDEX(Bases!$O$2:$O$53,B1208),INDEX(Bases!$O$2:$O$53,C1208))</f>
        <v>143.666666666667</v>
      </c>
      <c r="V1208" s="2" t="n">
        <f aca="false">Settings!$B$4*MAX(INDEX(Bases!$P$2:$P$53,B1208),INDEX(Bases!$P$2:$P$53,C1208))+Settings!$B$5*MIN(INDEX(Bases!$P$2:$P$53,B1208),INDEX(Bases!$P$2:$P$53,C1208))</f>
        <v>42.6666666666667</v>
      </c>
      <c r="W1208" s="2" t="n">
        <f aca="false">Settings!$B$4*MAX(INDEX(Bases!$Q$2:$Q$53,B1208),INDEX(Bases!$Q$2:$Q$53,C1208))+Settings!$B$5*MIN(INDEX(Bases!$Q$2:$Q$53,B1208),INDEX(Bases!$Q$2:$Q$53,C1208))</f>
        <v>143.666666666667</v>
      </c>
      <c r="X1208" s="2" t="n">
        <f aca="false">Settings!$B$4*MAX(INDEX(Bases!$R$2:$R$53,B1208),INDEX(Bases!$R$2:$R$53,C1208))+Settings!$B$5*MIN(INDEX(Bases!$R$2:$R$53,B1208),INDEX(Bases!$R$2:$R$53,C1208))</f>
        <v>37.3333333333333</v>
      </c>
      <c r="Y1208" s="2" t="n">
        <f aca="false">S1208*Settings!$B$3/SUM(S1208:X1208)</f>
        <v>52.4475524475525</v>
      </c>
      <c r="Z1208" s="2" t="n">
        <f aca="false">T1208*Settings!$B$3/SUM(S1208:X1208)</f>
        <v>62.2377622377622</v>
      </c>
      <c r="AA1208" s="2" t="n">
        <f aca="false">U1208*Settings!$B$3/SUM(S1208:X1208)</f>
        <v>150.699300699301</v>
      </c>
      <c r="AB1208" s="2" t="n">
        <f aca="false">V1208*Settings!$B$3/SUM(S1208:X1208)</f>
        <v>44.7552447552448</v>
      </c>
      <c r="AC1208" s="2" t="n">
        <f aca="false">W1208*Settings!$B$3/SUM(S1208:X1208)</f>
        <v>150.699300699301</v>
      </c>
      <c r="AD1208" s="2" t="n">
        <f aca="false">X1208*Settings!$B$3/SUM(S1208:X1208)</f>
        <v>39.1608391608392</v>
      </c>
      <c r="AE1208" s="2" t="n">
        <f aca="false">INT(Y1208)</f>
        <v>52</v>
      </c>
      <c r="AF1208" s="2" t="n">
        <f aca="false">INT(Z1208)</f>
        <v>62</v>
      </c>
      <c r="AG1208" s="2" t="n">
        <f aca="false">INT(AA1208)</f>
        <v>150</v>
      </c>
      <c r="AH1208" s="2" t="n">
        <f aca="false">INT(AB1208)</f>
        <v>44</v>
      </c>
      <c r="AI1208" s="2" t="n">
        <f aca="false">INT(AC1208)</f>
        <v>150</v>
      </c>
      <c r="AJ1208" s="2" t="n">
        <f aca="false">INT(AD1208)</f>
        <v>39</v>
      </c>
      <c r="AK1208" s="2" t="n">
        <f aca="false">Settings!$B$3-SUM(AE1208:AJ1208)</f>
        <v>3</v>
      </c>
      <c r="AL1208" s="2" t="n">
        <f aca="false">ROUND(Y1208-AE1208,9)</f>
        <v>0.447552448</v>
      </c>
      <c r="AM1208" s="2" t="n">
        <f aca="false">ROUND(Z1208-AF1208,9)</f>
        <v>0.237762238</v>
      </c>
      <c r="AN1208" s="2" t="n">
        <f aca="false">ROUND(AA1208-AG1208,9)</f>
        <v>0.699300699</v>
      </c>
      <c r="AO1208" s="2" t="n">
        <f aca="false">ROUND(AB1208-AH1208,9)</f>
        <v>0.755244755</v>
      </c>
      <c r="AP1208" s="2" t="n">
        <f aca="false">ROUND(AC1208-AI1208,9)</f>
        <v>0.699300699</v>
      </c>
      <c r="AQ1208" s="2" t="n">
        <f aca="false">ROUND(AD1208-AJ1208,9)</f>
        <v>0.160839161</v>
      </c>
    </row>
    <row r="1209" customFormat="false" ht="15" hidden="false" customHeight="false" outlineLevel="0" collapsed="false">
      <c r="A1209" s="2" t="n">
        <v>1208</v>
      </c>
      <c r="B1209" s="6" t="n">
        <v>37</v>
      </c>
      <c r="C1209" s="6" t="n">
        <v>39</v>
      </c>
      <c r="D1209" s="8" t="str">
        <f aca="false">INDEX(Bases!$B$2:$B$53,B1209)</f>
        <v>Shuckle</v>
      </c>
      <c r="E1209" s="8" t="str">
        <f aca="false">INDEX(Bases!$B$2:$B$53,C1209)</f>
        <v>Nosepass</v>
      </c>
      <c r="F1209" s="2" t="str">
        <f aca="false">LEFT(D1209,ROUNDUP(LEN(D1209)/2,0))&amp;LOWER(MID(E1209,ROUNDUP(LEN(E1209)/2,0)+1,20))</f>
        <v>Shucpass</v>
      </c>
      <c r="G1209" s="8" t="str">
        <f aca="false">INDEX(Bases!$C$2:$C$53,B1209)</f>
        <v>Rock</v>
      </c>
      <c r="H1209" s="8" t="str">
        <f aca="false">IF(INDEX(Bases!$C$2:$C$53,C1209)=G1209,"",INDEX(Bases!$C$2:$C$53,C1209))</f>
        <v/>
      </c>
      <c r="I1209" s="8" t="str">
        <f aca="false">IF(INDEX(Bases!$E$2:$E$53,B1209)="","",INDEX(Bases!$E$2:$E$53,B1209))</f>
        <v/>
      </c>
      <c r="J1209" s="8" t="str">
        <f aca="false">IF(INDEX(Bases!$E$2:$E$53,C1209)="","",INDEX(Bases!$E$2:$E$53,C1209))</f>
        <v/>
      </c>
      <c r="K1209" s="5"/>
      <c r="L1209" s="2" t="n">
        <f aca="false">AE1209+IF(SUMPRODUCT(--($AL1209:$AQ1209&gt;AL1209))&lt;$AK1209,1,0)</f>
        <v>30</v>
      </c>
      <c r="M1209" s="2" t="n">
        <f aca="false">AF1209+IF(SUMPRODUCT(--($AL1209:$AQ1209&gt;AM1209))+SUMPRODUCT(--($AL1209:AL1209=AM1209))&lt;$AK1209,1,0)</f>
        <v>39</v>
      </c>
      <c r="N1209" s="2" t="n">
        <f aca="false">AG1209+IF(SUMPRODUCT(--($AL1209:$AQ1209&gt;AN1209))+SUMPRODUCT(--($AL1209:AM1209=AN1209))&lt;$AK1209,1,0)</f>
        <v>192</v>
      </c>
      <c r="O1209" s="2" t="n">
        <f aca="false">AH1209+IF(SUMPRODUCT(--($AL1209:$AQ1209&gt;AO1209))+SUMPRODUCT(--($AL1209:AN1209=AO1209))&lt;$AK1209,1,0)</f>
        <v>39</v>
      </c>
      <c r="P1209" s="2" t="n">
        <f aca="false">AI1209+IF(SUMPRODUCT(--($AL1209:$AQ1209&gt;AP1209))+SUMPRODUCT(--($AL1209:AO1209=AP1209))&lt;$AK1209,1,0)</f>
        <v>174</v>
      </c>
      <c r="Q1209" s="2" t="n">
        <f aca="false">AJ1209+IF(SUMPRODUCT(--($AL1209:$AQ1209&gt;AQ1209))+SUMPRODUCT(--($AL1209:AP1209=AQ1209))&lt;$AK1209,1,0)</f>
        <v>26</v>
      </c>
      <c r="R1209" s="2" t="n">
        <f aca="false">SUM(L1209:Q1209)</f>
        <v>500</v>
      </c>
      <c r="S1209" s="2" t="n">
        <f aca="false">Settings!$B$4*MAX(INDEX(Bases!$M$2:$M$53,B1209),INDEX(Bases!$M$2:$M$53,C1209))+Settings!$B$5*MIN(INDEX(Bases!$M$2:$M$53,B1209),INDEX(Bases!$M$2:$M$53,C1209))</f>
        <v>26.6666666666667</v>
      </c>
      <c r="T1209" s="2" t="n">
        <f aca="false">Settings!$B$4*MAX(INDEX(Bases!$N$2:$N$53,B1209),INDEX(Bases!$N$2:$N$53,C1209))+Settings!$B$5*MIN(INDEX(Bases!$N$2:$N$53,B1209),INDEX(Bases!$N$2:$N$53,C1209))</f>
        <v>34.6666666666667</v>
      </c>
      <c r="U1209" s="2" t="n">
        <f aca="false">Settings!$B$4*MAX(INDEX(Bases!$O$2:$O$53,B1209),INDEX(Bases!$O$2:$O$53,C1209))+Settings!$B$5*MIN(INDEX(Bases!$O$2:$O$53,B1209),INDEX(Bases!$O$2:$O$53,C1209))</f>
        <v>169.333333333333</v>
      </c>
      <c r="V1209" s="2" t="n">
        <f aca="false">Settings!$B$4*MAX(INDEX(Bases!$P$2:$P$53,B1209),INDEX(Bases!$P$2:$P$53,C1209))+Settings!$B$5*MIN(INDEX(Bases!$P$2:$P$53,B1209),INDEX(Bases!$P$2:$P$53,C1209))</f>
        <v>34.6666666666667</v>
      </c>
      <c r="W1209" s="2" t="n">
        <f aca="false">Settings!$B$4*MAX(INDEX(Bases!$Q$2:$Q$53,B1209),INDEX(Bases!$Q$2:$Q$53,C1209))+Settings!$B$5*MIN(INDEX(Bases!$Q$2:$Q$53,B1209),INDEX(Bases!$Q$2:$Q$53,C1209))</f>
        <v>153.333333333333</v>
      </c>
      <c r="X1209" s="2" t="n">
        <f aca="false">Settings!$B$4*MAX(INDEX(Bases!$R$2:$R$53,B1209),INDEX(Bases!$R$2:$R$53,C1209))+Settings!$B$5*MIN(INDEX(Bases!$R$2:$R$53,B1209),INDEX(Bases!$R$2:$R$53,C1209))</f>
        <v>22.6666666666667</v>
      </c>
      <c r="Y1209" s="2" t="n">
        <f aca="false">S1209*Settings!$B$3/SUM(S1209:X1209)</f>
        <v>30.2114803625378</v>
      </c>
      <c r="Z1209" s="2" t="n">
        <f aca="false">T1209*Settings!$B$3/SUM(S1209:X1209)</f>
        <v>39.2749244712991</v>
      </c>
      <c r="AA1209" s="2" t="n">
        <f aca="false">U1209*Settings!$B$3/SUM(S1209:X1209)</f>
        <v>191.842900302115</v>
      </c>
      <c r="AB1209" s="2" t="n">
        <f aca="false">V1209*Settings!$B$3/SUM(S1209:X1209)</f>
        <v>39.2749244712991</v>
      </c>
      <c r="AC1209" s="2" t="n">
        <f aca="false">W1209*Settings!$B$3/SUM(S1209:X1209)</f>
        <v>173.716012084592</v>
      </c>
      <c r="AD1209" s="2" t="n">
        <f aca="false">X1209*Settings!$B$3/SUM(S1209:X1209)</f>
        <v>25.6797583081571</v>
      </c>
      <c r="AE1209" s="2" t="n">
        <f aca="false">INT(Y1209)</f>
        <v>30</v>
      </c>
      <c r="AF1209" s="2" t="n">
        <f aca="false">INT(Z1209)</f>
        <v>39</v>
      </c>
      <c r="AG1209" s="2" t="n">
        <f aca="false">INT(AA1209)</f>
        <v>191</v>
      </c>
      <c r="AH1209" s="2" t="n">
        <f aca="false">INT(AB1209)</f>
        <v>39</v>
      </c>
      <c r="AI1209" s="2" t="n">
        <f aca="false">INT(AC1209)</f>
        <v>173</v>
      </c>
      <c r="AJ1209" s="2" t="n">
        <f aca="false">INT(AD1209)</f>
        <v>25</v>
      </c>
      <c r="AK1209" s="2" t="n">
        <f aca="false">Settings!$B$3-SUM(AE1209:AJ1209)</f>
        <v>3</v>
      </c>
      <c r="AL1209" s="2" t="n">
        <f aca="false">ROUND(Y1209-AE1209,9)</f>
        <v>0.211480363</v>
      </c>
      <c r="AM1209" s="2" t="n">
        <f aca="false">ROUND(Z1209-AF1209,9)</f>
        <v>0.274924471</v>
      </c>
      <c r="AN1209" s="2" t="n">
        <f aca="false">ROUND(AA1209-AG1209,9)</f>
        <v>0.842900302</v>
      </c>
      <c r="AO1209" s="2" t="n">
        <f aca="false">ROUND(AB1209-AH1209,9)</f>
        <v>0.274924471</v>
      </c>
      <c r="AP1209" s="2" t="n">
        <f aca="false">ROUND(AC1209-AI1209,9)</f>
        <v>0.716012085</v>
      </c>
      <c r="AQ1209" s="2" t="n">
        <f aca="false">ROUND(AD1209-AJ1209,9)</f>
        <v>0.679758308</v>
      </c>
    </row>
    <row r="1210" customFormat="false" ht="15" hidden="false" customHeight="false" outlineLevel="0" collapsed="false">
      <c r="A1210" s="2" t="n">
        <v>1209</v>
      </c>
      <c r="B1210" s="6" t="n">
        <v>37</v>
      </c>
      <c r="C1210" s="6" t="n">
        <v>40</v>
      </c>
      <c r="D1210" s="8" t="str">
        <f aca="false">INDEX(Bases!$B$2:$B$53,B1210)</f>
        <v>Shuckle</v>
      </c>
      <c r="E1210" s="8" t="str">
        <f aca="false">INDEX(Bases!$B$2:$B$53,C1210)</f>
        <v>Gastly</v>
      </c>
      <c r="F1210" s="2" t="str">
        <f aca="false">LEFT(D1210,ROUNDUP(LEN(D1210)/2,0))&amp;LOWER(MID(E1210,ROUNDUP(LEN(E1210)/2,0)+1,20))</f>
        <v>Shuctly</v>
      </c>
      <c r="G1210" s="8" t="str">
        <f aca="false">INDEX(Bases!$C$2:$C$53,B1210)</f>
        <v>Rock</v>
      </c>
      <c r="H1210" s="8" t="str">
        <f aca="false">IF(INDEX(Bases!$C$2:$C$53,C1210)=G1210,"",INDEX(Bases!$C$2:$C$53,C1210))</f>
        <v>Ghost</v>
      </c>
      <c r="I1210" s="8" t="str">
        <f aca="false">IF(INDEX(Bases!$E$2:$E$53,B1210)="","",INDEX(Bases!$E$2:$E$53,B1210))</f>
        <v/>
      </c>
      <c r="J1210" s="8" t="str">
        <f aca="false">IF(INDEX(Bases!$E$2:$E$53,C1210)="","",INDEX(Bases!$E$2:$E$53,C1210))</f>
        <v/>
      </c>
      <c r="K1210" s="5"/>
      <c r="L1210" s="2" t="n">
        <f aca="false">AE1210+IF(SUMPRODUCT(--($AL1210:$AQ1210&gt;AL1210))&lt;$AK1210,1,0)</f>
        <v>32</v>
      </c>
      <c r="M1210" s="2" t="n">
        <f aca="false">AF1210+IF(SUMPRODUCT(--($AL1210:$AQ1210&gt;AM1210))+SUMPRODUCT(--($AL1210:AL1210=AM1210))&lt;$AK1210,1,0)</f>
        <v>33</v>
      </c>
      <c r="N1210" s="2" t="n">
        <f aca="false">AG1210+IF(SUMPRODUCT(--($AL1210:$AQ1210&gt;AN1210))+SUMPRODUCT(--($AL1210:AM1210=AN1210))&lt;$AK1210,1,0)</f>
        <v>136</v>
      </c>
      <c r="O1210" s="2" t="n">
        <f aca="false">AH1210+IF(SUMPRODUCT(--($AL1210:$AQ1210&gt;AO1210))+SUMPRODUCT(--($AL1210:AN1210=AO1210))&lt;$AK1210,1,0)</f>
        <v>90</v>
      </c>
      <c r="P1210" s="2" t="n">
        <f aca="false">AI1210+IF(SUMPRODUCT(--($AL1210:$AQ1210&gt;AP1210))+SUMPRODUCT(--($AL1210:AO1210=AP1210))&lt;$AK1210,1,0)</f>
        <v>138</v>
      </c>
      <c r="Q1210" s="2" t="n">
        <f aca="false">AJ1210+IF(SUMPRODUCT(--($AL1210:$AQ1210&gt;AQ1210))+SUMPRODUCT(--($AL1210:AP1210=AQ1210))&lt;$AK1210,1,0)</f>
        <v>71</v>
      </c>
      <c r="R1210" s="2" t="n">
        <f aca="false">SUM(L1210:Q1210)</f>
        <v>500</v>
      </c>
      <c r="S1210" s="2" t="n">
        <f aca="false">Settings!$B$4*MAX(INDEX(Bases!$M$2:$M$53,B1210),INDEX(Bases!$M$2:$M$53,C1210))+Settings!$B$5*MIN(INDEX(Bases!$M$2:$M$53,B1210),INDEX(Bases!$M$2:$M$53,C1210))</f>
        <v>31.3333333333333</v>
      </c>
      <c r="T1210" s="2" t="n">
        <f aca="false">Settings!$B$4*MAX(INDEX(Bases!$N$2:$N$53,B1210),INDEX(Bases!$N$2:$N$53,C1210))+Settings!$B$5*MIN(INDEX(Bases!$N$2:$N$53,B1210),INDEX(Bases!$N$2:$N$53,C1210))</f>
        <v>32.6666666666667</v>
      </c>
      <c r="U1210" s="2" t="n">
        <f aca="false">Settings!$B$4*MAX(INDEX(Bases!$O$2:$O$53,B1210),INDEX(Bases!$O$2:$O$53,C1210))+Settings!$B$5*MIN(INDEX(Bases!$O$2:$O$53,B1210),INDEX(Bases!$O$2:$O$53,C1210))</f>
        <v>134.333333333333</v>
      </c>
      <c r="V1210" s="2" t="n">
        <f aca="false">Settings!$B$4*MAX(INDEX(Bases!$P$2:$P$53,B1210),INDEX(Bases!$P$2:$P$53,C1210))+Settings!$B$5*MIN(INDEX(Bases!$P$2:$P$53,B1210),INDEX(Bases!$P$2:$P$53,C1210))</f>
        <v>88.6666666666667</v>
      </c>
      <c r="W1210" s="2" t="n">
        <f aca="false">Settings!$B$4*MAX(INDEX(Bases!$Q$2:$Q$53,B1210),INDEX(Bases!$Q$2:$Q$53,C1210))+Settings!$B$5*MIN(INDEX(Bases!$Q$2:$Q$53,B1210),INDEX(Bases!$Q$2:$Q$53,C1210))</f>
        <v>136.333333333333</v>
      </c>
      <c r="X1210" s="2" t="n">
        <f aca="false">Settings!$B$4*MAX(INDEX(Bases!$R$2:$R$53,B1210),INDEX(Bases!$R$2:$R$53,C1210))+Settings!$B$5*MIN(INDEX(Bases!$R$2:$R$53,B1210),INDEX(Bases!$R$2:$R$53,C1210))</f>
        <v>70</v>
      </c>
      <c r="Y1210" s="2" t="n">
        <f aca="false">S1210*Settings!$B$3/SUM(S1210:X1210)</f>
        <v>31.7567567567568</v>
      </c>
      <c r="Z1210" s="2" t="n">
        <f aca="false">T1210*Settings!$B$3/SUM(S1210:X1210)</f>
        <v>33.1081081081081</v>
      </c>
      <c r="AA1210" s="2" t="n">
        <f aca="false">U1210*Settings!$B$3/SUM(S1210:X1210)</f>
        <v>136.148648648649</v>
      </c>
      <c r="AB1210" s="2" t="n">
        <f aca="false">V1210*Settings!$B$3/SUM(S1210:X1210)</f>
        <v>89.8648648648649</v>
      </c>
      <c r="AC1210" s="2" t="n">
        <f aca="false">W1210*Settings!$B$3/SUM(S1210:X1210)</f>
        <v>138.175675675676</v>
      </c>
      <c r="AD1210" s="2" t="n">
        <f aca="false">X1210*Settings!$B$3/SUM(S1210:X1210)</f>
        <v>70.9459459459459</v>
      </c>
      <c r="AE1210" s="2" t="n">
        <f aca="false">INT(Y1210)</f>
        <v>31</v>
      </c>
      <c r="AF1210" s="2" t="n">
        <f aca="false">INT(Z1210)</f>
        <v>33</v>
      </c>
      <c r="AG1210" s="2" t="n">
        <f aca="false">INT(AA1210)</f>
        <v>136</v>
      </c>
      <c r="AH1210" s="2" t="n">
        <f aca="false">INT(AB1210)</f>
        <v>89</v>
      </c>
      <c r="AI1210" s="2" t="n">
        <f aca="false">INT(AC1210)</f>
        <v>138</v>
      </c>
      <c r="AJ1210" s="2" t="n">
        <f aca="false">INT(AD1210)</f>
        <v>70</v>
      </c>
      <c r="AK1210" s="2" t="n">
        <f aca="false">Settings!$B$3-SUM(AE1210:AJ1210)</f>
        <v>3</v>
      </c>
      <c r="AL1210" s="2" t="n">
        <f aca="false">ROUND(Y1210-AE1210,9)</f>
        <v>0.756756757</v>
      </c>
      <c r="AM1210" s="2" t="n">
        <f aca="false">ROUND(Z1210-AF1210,9)</f>
        <v>0.108108108</v>
      </c>
      <c r="AN1210" s="2" t="n">
        <f aca="false">ROUND(AA1210-AG1210,9)</f>
        <v>0.148648649</v>
      </c>
      <c r="AO1210" s="2" t="n">
        <f aca="false">ROUND(AB1210-AH1210,9)</f>
        <v>0.864864865</v>
      </c>
      <c r="AP1210" s="2" t="n">
        <f aca="false">ROUND(AC1210-AI1210,9)</f>
        <v>0.175675676</v>
      </c>
      <c r="AQ1210" s="2" t="n">
        <f aca="false">ROUND(AD1210-AJ1210,9)</f>
        <v>0.945945946</v>
      </c>
    </row>
    <row r="1211" customFormat="false" ht="15" hidden="false" customHeight="false" outlineLevel="0" collapsed="false">
      <c r="A1211" s="2" t="n">
        <v>1210</v>
      </c>
      <c r="B1211" s="6" t="n">
        <v>37</v>
      </c>
      <c r="C1211" s="6" t="n">
        <v>41</v>
      </c>
      <c r="D1211" s="8" t="str">
        <f aca="false">INDEX(Bases!$B$2:$B$53,B1211)</f>
        <v>Shuckle</v>
      </c>
      <c r="E1211" s="8" t="str">
        <f aca="false">INDEX(Bases!$B$2:$B$53,C1211)</f>
        <v>Misdreavus</v>
      </c>
      <c r="F1211" s="2" t="str">
        <f aca="false">LEFT(D1211,ROUNDUP(LEN(D1211)/2,0))&amp;LOWER(MID(E1211,ROUNDUP(LEN(E1211)/2,0)+1,20))</f>
        <v>Shuceavus</v>
      </c>
      <c r="G1211" s="8" t="str">
        <f aca="false">INDEX(Bases!$C$2:$C$53,B1211)</f>
        <v>Rock</v>
      </c>
      <c r="H1211" s="8" t="str">
        <f aca="false">IF(INDEX(Bases!$C$2:$C$53,C1211)=G1211,"",INDEX(Bases!$C$2:$C$53,C1211))</f>
        <v>Ghost</v>
      </c>
      <c r="I1211" s="8" t="str">
        <f aca="false">IF(INDEX(Bases!$E$2:$E$53,B1211)="","",INDEX(Bases!$E$2:$E$53,B1211))</f>
        <v/>
      </c>
      <c r="J1211" s="8" t="str">
        <f aca="false">IF(INDEX(Bases!$E$2:$E$53,C1211)="","",INDEX(Bases!$E$2:$E$53,C1211))</f>
        <v/>
      </c>
      <c r="K1211" s="5"/>
      <c r="L1211" s="2" t="n">
        <f aca="false">AE1211+IF(SUMPRODUCT(--($AL1211:$AQ1211&gt;AL1211))&lt;$AK1211,1,0)</f>
        <v>45</v>
      </c>
      <c r="M1211" s="2" t="n">
        <f aca="false">AF1211+IF(SUMPRODUCT(--($AL1211:$AQ1211&gt;AM1211))+SUMPRODUCT(--($AL1211:AL1211=AM1211))&lt;$AK1211,1,0)</f>
        <v>41</v>
      </c>
      <c r="N1211" s="2" t="n">
        <f aca="false">AG1211+IF(SUMPRODUCT(--($AL1211:$AQ1211&gt;AN1211))+SUMPRODUCT(--($AL1211:AM1211=AN1211))&lt;$AK1211,1,0)</f>
        <v>146</v>
      </c>
      <c r="O1211" s="2" t="n">
        <f aca="false">AH1211+IF(SUMPRODUCT(--($AL1211:$AQ1211&gt;AO1211))+SUMPRODUCT(--($AL1211:AN1211=AO1211))&lt;$AK1211,1,0)</f>
        <v>57</v>
      </c>
      <c r="P1211" s="2" t="n">
        <f aca="false">AI1211+IF(SUMPRODUCT(--($AL1211:$AQ1211&gt;AP1211))+SUMPRODUCT(--($AL1211:AO1211=AP1211))&lt;$AK1211,1,0)</f>
        <v>155</v>
      </c>
      <c r="Q1211" s="2" t="n">
        <f aca="false">AJ1211+IF(SUMPRODUCT(--($AL1211:$AQ1211&gt;AQ1211))+SUMPRODUCT(--($AL1211:AP1211=AQ1211))&lt;$AK1211,1,0)</f>
        <v>56</v>
      </c>
      <c r="R1211" s="2" t="n">
        <f aca="false">SUM(L1211:Q1211)</f>
        <v>500</v>
      </c>
      <c r="S1211" s="2" t="n">
        <f aca="false">Settings!$B$4*MAX(INDEX(Bases!$M$2:$M$53,B1211),INDEX(Bases!$M$2:$M$53,C1211))+Settings!$B$5*MIN(INDEX(Bases!$M$2:$M$53,B1211),INDEX(Bases!$M$2:$M$53,C1211))</f>
        <v>42.6666666666667</v>
      </c>
      <c r="T1211" s="2" t="n">
        <f aca="false">Settings!$B$4*MAX(INDEX(Bases!$N$2:$N$53,B1211),INDEX(Bases!$N$2:$N$53,C1211))+Settings!$B$5*MIN(INDEX(Bases!$N$2:$N$53,B1211),INDEX(Bases!$N$2:$N$53,C1211))</f>
        <v>39.3333333333333</v>
      </c>
      <c r="U1211" s="2" t="n">
        <f aca="false">Settings!$B$4*MAX(INDEX(Bases!$O$2:$O$53,B1211),INDEX(Bases!$O$2:$O$53,C1211))+Settings!$B$5*MIN(INDEX(Bases!$O$2:$O$53,B1211),INDEX(Bases!$O$2:$O$53,C1211))</f>
        <v>139.666666666667</v>
      </c>
      <c r="V1211" s="2" t="n">
        <f aca="false">Settings!$B$4*MAX(INDEX(Bases!$P$2:$P$53,B1211),INDEX(Bases!$P$2:$P$53,C1211))+Settings!$B$5*MIN(INDEX(Bases!$P$2:$P$53,B1211),INDEX(Bases!$P$2:$P$53,C1211))</f>
        <v>54.6666666666667</v>
      </c>
      <c r="W1211" s="2" t="n">
        <f aca="false">Settings!$B$4*MAX(INDEX(Bases!$Q$2:$Q$53,B1211),INDEX(Bases!$Q$2:$Q$53,C1211))+Settings!$B$5*MIN(INDEX(Bases!$Q$2:$Q$53,B1211),INDEX(Bases!$Q$2:$Q$53,C1211))</f>
        <v>147.333333333333</v>
      </c>
      <c r="X1211" s="2" t="n">
        <f aca="false">Settings!$B$4*MAX(INDEX(Bases!$R$2:$R$53,B1211),INDEX(Bases!$R$2:$R$53,C1211))+Settings!$B$5*MIN(INDEX(Bases!$R$2:$R$53,B1211),INDEX(Bases!$R$2:$R$53,C1211))</f>
        <v>53.3333333333333</v>
      </c>
      <c r="Y1211" s="2" t="n">
        <f aca="false">S1211*Settings!$B$3/SUM(S1211:X1211)</f>
        <v>44.7239692522711</v>
      </c>
      <c r="Z1211" s="2" t="n">
        <f aca="false">T1211*Settings!$B$3/SUM(S1211:X1211)</f>
        <v>41.2299091544375</v>
      </c>
      <c r="AA1211" s="2" t="n">
        <f aca="false">U1211*Settings!$B$3/SUM(S1211:X1211)</f>
        <v>146.401118099231</v>
      </c>
      <c r="AB1211" s="2" t="n">
        <f aca="false">V1211*Settings!$B$3/SUM(S1211:X1211)</f>
        <v>57.3025856044724</v>
      </c>
      <c r="AC1211" s="2" t="n">
        <f aca="false">W1211*Settings!$B$3/SUM(S1211:X1211)</f>
        <v>154.437456324249</v>
      </c>
      <c r="AD1211" s="2" t="n">
        <f aca="false">X1211*Settings!$B$3/SUM(S1211:X1211)</f>
        <v>55.9049615653389</v>
      </c>
      <c r="AE1211" s="2" t="n">
        <f aca="false">INT(Y1211)</f>
        <v>44</v>
      </c>
      <c r="AF1211" s="2" t="n">
        <f aca="false">INT(Z1211)</f>
        <v>41</v>
      </c>
      <c r="AG1211" s="2" t="n">
        <f aca="false">INT(AA1211)</f>
        <v>146</v>
      </c>
      <c r="AH1211" s="2" t="n">
        <f aca="false">INT(AB1211)</f>
        <v>57</v>
      </c>
      <c r="AI1211" s="2" t="n">
        <f aca="false">INT(AC1211)</f>
        <v>154</v>
      </c>
      <c r="AJ1211" s="2" t="n">
        <f aca="false">INT(AD1211)</f>
        <v>55</v>
      </c>
      <c r="AK1211" s="2" t="n">
        <f aca="false">Settings!$B$3-SUM(AE1211:AJ1211)</f>
        <v>3</v>
      </c>
      <c r="AL1211" s="2" t="n">
        <f aca="false">ROUND(Y1211-AE1211,9)</f>
        <v>0.723969252</v>
      </c>
      <c r="AM1211" s="2" t="n">
        <f aca="false">ROUND(Z1211-AF1211,9)</f>
        <v>0.229909154</v>
      </c>
      <c r="AN1211" s="2" t="n">
        <f aca="false">ROUND(AA1211-AG1211,9)</f>
        <v>0.401118099</v>
      </c>
      <c r="AO1211" s="2" t="n">
        <f aca="false">ROUND(AB1211-AH1211,9)</f>
        <v>0.302585604</v>
      </c>
      <c r="AP1211" s="2" t="n">
        <f aca="false">ROUND(AC1211-AI1211,9)</f>
        <v>0.437456324</v>
      </c>
      <c r="AQ1211" s="2" t="n">
        <f aca="false">ROUND(AD1211-AJ1211,9)</f>
        <v>0.904961565</v>
      </c>
    </row>
    <row r="1212" customFormat="false" ht="15" hidden="false" customHeight="false" outlineLevel="0" collapsed="false">
      <c r="A1212" s="2" t="n">
        <v>1211</v>
      </c>
      <c r="B1212" s="6" t="n">
        <v>37</v>
      </c>
      <c r="C1212" s="6" t="n">
        <v>42</v>
      </c>
      <c r="D1212" s="8" t="str">
        <f aca="false">INDEX(Bases!$B$2:$B$53,B1212)</f>
        <v>Shuckle</v>
      </c>
      <c r="E1212" s="8" t="str">
        <f aca="false">INDEX(Bases!$B$2:$B$53,C1212)</f>
        <v>Sableye</v>
      </c>
      <c r="F1212" s="2" t="str">
        <f aca="false">LEFT(D1212,ROUNDUP(LEN(D1212)/2,0))&amp;LOWER(MID(E1212,ROUNDUP(LEN(E1212)/2,0)+1,20))</f>
        <v>Shuceye</v>
      </c>
      <c r="G1212" s="8" t="str">
        <f aca="false">INDEX(Bases!$C$2:$C$53,B1212)</f>
        <v>Rock</v>
      </c>
      <c r="H1212" s="8" t="str">
        <f aca="false">IF(INDEX(Bases!$C$2:$C$53,C1212)=G1212,"",INDEX(Bases!$C$2:$C$53,C1212))</f>
        <v>Ghost</v>
      </c>
      <c r="I1212" s="8" t="str">
        <f aca="false">IF(INDEX(Bases!$E$2:$E$53,B1212)="","",INDEX(Bases!$E$2:$E$53,B1212))</f>
        <v/>
      </c>
      <c r="J1212" s="8" t="str">
        <f aca="false">IF(INDEX(Bases!$E$2:$E$53,C1212)="","",INDEX(Bases!$E$2:$E$53,C1212))</f>
        <v/>
      </c>
      <c r="K1212" s="5"/>
      <c r="L1212" s="2" t="n">
        <f aca="false">AE1212+IF(SUMPRODUCT(--($AL1212:$AQ1212&gt;AL1212))&lt;$AK1212,1,0)</f>
        <v>43</v>
      </c>
      <c r="M1212" s="2" t="n">
        <f aca="false">AF1212+IF(SUMPRODUCT(--($AL1212:$AQ1212&gt;AM1212))+SUMPRODUCT(--($AL1212:AL1212=AM1212))&lt;$AK1212,1,0)</f>
        <v>59</v>
      </c>
      <c r="N1212" s="2" t="n">
        <f aca="false">AG1212+IF(SUMPRODUCT(--($AL1212:$AQ1212&gt;AN1212))+SUMPRODUCT(--($AL1212:AM1212=AN1212))&lt;$AK1212,1,0)</f>
        <v>156</v>
      </c>
      <c r="O1212" s="2" t="n">
        <f aca="false">AH1212+IF(SUMPRODUCT(--($AL1212:$AQ1212&gt;AO1212))+SUMPRODUCT(--($AL1212:AN1212=AO1212))&lt;$AK1212,1,0)</f>
        <v>51</v>
      </c>
      <c r="P1212" s="2" t="n">
        <f aca="false">AI1212+IF(SUMPRODUCT(--($AL1212:$AQ1212&gt;AP1212))+SUMPRODUCT(--($AL1212:AO1212=AP1212))&lt;$AK1212,1,0)</f>
        <v>152</v>
      </c>
      <c r="Q1212" s="2" t="n">
        <f aca="false">AJ1212+IF(SUMPRODUCT(--($AL1212:$AQ1212&gt;AQ1212))+SUMPRODUCT(--($AL1212:AP1212=AQ1212))&lt;$AK1212,1,0)</f>
        <v>39</v>
      </c>
      <c r="R1212" s="2" t="n">
        <f aca="false">SUM(L1212:Q1212)</f>
        <v>500</v>
      </c>
      <c r="S1212" s="2" t="n">
        <f aca="false">Settings!$B$4*MAX(INDEX(Bases!$M$2:$M$53,B1212),INDEX(Bases!$M$2:$M$53,C1212))+Settings!$B$5*MIN(INDEX(Bases!$M$2:$M$53,B1212),INDEX(Bases!$M$2:$M$53,C1212))</f>
        <v>40.6666666666667</v>
      </c>
      <c r="T1212" s="2" t="n">
        <f aca="false">Settings!$B$4*MAX(INDEX(Bases!$N$2:$N$53,B1212),INDEX(Bases!$N$2:$N$53,C1212))+Settings!$B$5*MIN(INDEX(Bases!$N$2:$N$53,B1212),INDEX(Bases!$N$2:$N$53,C1212))</f>
        <v>55.3333333333333</v>
      </c>
      <c r="U1212" s="2" t="n">
        <f aca="false">Settings!$B$4*MAX(INDEX(Bases!$O$2:$O$53,B1212),INDEX(Bases!$O$2:$O$53,C1212))+Settings!$B$5*MIN(INDEX(Bases!$O$2:$O$53,B1212),INDEX(Bases!$O$2:$O$53,C1212))</f>
        <v>147.666666666667</v>
      </c>
      <c r="V1212" s="2" t="n">
        <f aca="false">Settings!$B$4*MAX(INDEX(Bases!$P$2:$P$53,B1212),INDEX(Bases!$P$2:$P$53,C1212))+Settings!$B$5*MIN(INDEX(Bases!$P$2:$P$53,B1212),INDEX(Bases!$P$2:$P$53,C1212))</f>
        <v>48</v>
      </c>
      <c r="W1212" s="2" t="n">
        <f aca="false">Settings!$B$4*MAX(INDEX(Bases!$Q$2:$Q$53,B1212),INDEX(Bases!$Q$2:$Q$53,C1212))+Settings!$B$5*MIN(INDEX(Bases!$Q$2:$Q$53,B1212),INDEX(Bases!$Q$2:$Q$53,C1212))</f>
        <v>144</v>
      </c>
      <c r="X1212" s="2" t="n">
        <f aca="false">Settings!$B$4*MAX(INDEX(Bases!$R$2:$R$53,B1212),INDEX(Bases!$R$2:$R$53,C1212))+Settings!$B$5*MIN(INDEX(Bases!$R$2:$R$53,B1212),INDEX(Bases!$R$2:$R$53,C1212))</f>
        <v>36.6666666666667</v>
      </c>
      <c r="Y1212" s="2" t="n">
        <f aca="false">S1212*Settings!$B$3/SUM(S1212:X1212)</f>
        <v>43.0486944248412</v>
      </c>
      <c r="Z1212" s="2" t="n">
        <f aca="false">T1212*Settings!$B$3/SUM(S1212:X1212)</f>
        <v>58.5744530698659</v>
      </c>
      <c r="AA1212" s="2" t="n">
        <f aca="false">U1212*Settings!$B$3/SUM(S1212:X1212)</f>
        <v>156.316160903317</v>
      </c>
      <c r="AB1212" s="2" t="n">
        <f aca="false">V1212*Settings!$B$3/SUM(S1212:X1212)</f>
        <v>50.8115737473536</v>
      </c>
      <c r="AC1212" s="2" t="n">
        <f aca="false">W1212*Settings!$B$3/SUM(S1212:X1212)</f>
        <v>152.434721242061</v>
      </c>
      <c r="AD1212" s="2" t="n">
        <f aca="false">X1212*Settings!$B$3/SUM(S1212:X1212)</f>
        <v>38.8143966125618</v>
      </c>
      <c r="AE1212" s="2" t="n">
        <f aca="false">INT(Y1212)</f>
        <v>43</v>
      </c>
      <c r="AF1212" s="2" t="n">
        <f aca="false">INT(Z1212)</f>
        <v>58</v>
      </c>
      <c r="AG1212" s="2" t="n">
        <f aca="false">INT(AA1212)</f>
        <v>156</v>
      </c>
      <c r="AH1212" s="2" t="n">
        <f aca="false">INT(AB1212)</f>
        <v>50</v>
      </c>
      <c r="AI1212" s="2" t="n">
        <f aca="false">INT(AC1212)</f>
        <v>152</v>
      </c>
      <c r="AJ1212" s="2" t="n">
        <f aca="false">INT(AD1212)</f>
        <v>38</v>
      </c>
      <c r="AK1212" s="2" t="n">
        <f aca="false">Settings!$B$3-SUM(AE1212:AJ1212)</f>
        <v>3</v>
      </c>
      <c r="AL1212" s="2" t="n">
        <f aca="false">ROUND(Y1212-AE1212,9)</f>
        <v>0.048694425</v>
      </c>
      <c r="AM1212" s="2" t="n">
        <f aca="false">ROUND(Z1212-AF1212,9)</f>
        <v>0.57445307</v>
      </c>
      <c r="AN1212" s="2" t="n">
        <f aca="false">ROUND(AA1212-AG1212,9)</f>
        <v>0.316160903</v>
      </c>
      <c r="AO1212" s="2" t="n">
        <f aca="false">ROUND(AB1212-AH1212,9)</f>
        <v>0.811573747</v>
      </c>
      <c r="AP1212" s="2" t="n">
        <f aca="false">ROUND(AC1212-AI1212,9)</f>
        <v>0.434721242</v>
      </c>
      <c r="AQ1212" s="2" t="n">
        <f aca="false">ROUND(AD1212-AJ1212,9)</f>
        <v>0.814396613</v>
      </c>
    </row>
    <row r="1213" customFormat="false" ht="15" hidden="false" customHeight="false" outlineLevel="0" collapsed="false">
      <c r="A1213" s="2" t="n">
        <v>1212</v>
      </c>
      <c r="B1213" s="6" t="n">
        <v>37</v>
      </c>
      <c r="C1213" s="6" t="n">
        <v>43</v>
      </c>
      <c r="D1213" s="8" t="str">
        <f aca="false">INDEX(Bases!$B$2:$B$53,B1213)</f>
        <v>Shuckle</v>
      </c>
      <c r="E1213" s="8" t="str">
        <f aca="false">INDEX(Bases!$B$2:$B$53,C1213)</f>
        <v>Dratini</v>
      </c>
      <c r="F1213" s="2" t="str">
        <f aca="false">LEFT(D1213,ROUNDUP(LEN(D1213)/2,0))&amp;LOWER(MID(E1213,ROUNDUP(LEN(E1213)/2,0)+1,20))</f>
        <v>Shucini</v>
      </c>
      <c r="G1213" s="8" t="str">
        <f aca="false">INDEX(Bases!$C$2:$C$53,B1213)</f>
        <v>Rock</v>
      </c>
      <c r="H1213" s="8" t="str">
        <f aca="false">IF(INDEX(Bases!$C$2:$C$53,C1213)=G1213,"",INDEX(Bases!$C$2:$C$53,C1213))</f>
        <v>Dragon</v>
      </c>
      <c r="I1213" s="8" t="str">
        <f aca="false">IF(INDEX(Bases!$E$2:$E$53,B1213)="","",INDEX(Bases!$E$2:$E$53,B1213))</f>
        <v/>
      </c>
      <c r="J1213" s="8" t="str">
        <f aca="false">IF(INDEX(Bases!$E$2:$E$53,C1213)="","",INDEX(Bases!$E$2:$E$53,C1213))</f>
        <v/>
      </c>
      <c r="K1213" s="5"/>
      <c r="L1213" s="2" t="n">
        <f aca="false">AE1213+IF(SUMPRODUCT(--($AL1213:$AQ1213&gt;AL1213))&lt;$AK1213,1,0)</f>
        <v>44</v>
      </c>
      <c r="M1213" s="2" t="n">
        <f aca="false">AF1213+IF(SUMPRODUCT(--($AL1213:$AQ1213&gt;AM1213))+SUMPRODUCT(--($AL1213:AL1213=AM1213))&lt;$AK1213,1,0)</f>
        <v>62</v>
      </c>
      <c r="N1213" s="2" t="n">
        <f aca="false">AG1213+IF(SUMPRODUCT(--($AL1213:$AQ1213&gt;AN1213))+SUMPRODUCT(--($AL1213:AM1213=AN1213))&lt;$AK1213,1,0)</f>
        <v>148</v>
      </c>
      <c r="O1213" s="2" t="n">
        <f aca="false">AH1213+IF(SUMPRODUCT(--($AL1213:$AQ1213&gt;AO1213))+SUMPRODUCT(--($AL1213:AN1213=AO1213))&lt;$AK1213,1,0)</f>
        <v>49</v>
      </c>
      <c r="P1213" s="2" t="n">
        <f aca="false">AI1213+IF(SUMPRODUCT(--($AL1213:$AQ1213&gt;AP1213))+SUMPRODUCT(--($AL1213:AO1213=AP1213))&lt;$AK1213,1,0)</f>
        <v>150</v>
      </c>
      <c r="Q1213" s="2" t="n">
        <f aca="false">AJ1213+IF(SUMPRODUCT(--($AL1213:$AQ1213&gt;AQ1213))+SUMPRODUCT(--($AL1213:AP1213=AQ1213))&lt;$AK1213,1,0)</f>
        <v>47</v>
      </c>
      <c r="R1213" s="2" t="n">
        <f aca="false">SUM(L1213:Q1213)</f>
        <v>500</v>
      </c>
      <c r="S1213" s="2" t="n">
        <f aca="false">Settings!$B$4*MAX(INDEX(Bases!$M$2:$M$53,B1213),INDEX(Bases!$M$2:$M$53,C1213))+Settings!$B$5*MIN(INDEX(Bases!$M$2:$M$53,B1213),INDEX(Bases!$M$2:$M$53,C1213))</f>
        <v>42</v>
      </c>
      <c r="T1213" s="2" t="n">
        <f aca="false">Settings!$B$4*MAX(INDEX(Bases!$N$2:$N$53,B1213),INDEX(Bases!$N$2:$N$53,C1213))+Settings!$B$5*MIN(INDEX(Bases!$N$2:$N$53,B1213),INDEX(Bases!$N$2:$N$53,C1213))</f>
        <v>59.3333333333333</v>
      </c>
      <c r="U1213" s="2" t="n">
        <f aca="false">Settings!$B$4*MAX(INDEX(Bases!$O$2:$O$53,B1213),INDEX(Bases!$O$2:$O$53,C1213))+Settings!$B$5*MIN(INDEX(Bases!$O$2:$O$53,B1213),INDEX(Bases!$O$2:$O$53,C1213))</f>
        <v>141.333333333333</v>
      </c>
      <c r="V1213" s="2" t="n">
        <f aca="false">Settings!$B$4*MAX(INDEX(Bases!$P$2:$P$53,B1213),INDEX(Bases!$P$2:$P$53,C1213))+Settings!$B$5*MIN(INDEX(Bases!$P$2:$P$53,B1213),INDEX(Bases!$P$2:$P$53,C1213))</f>
        <v>47.3333333333333</v>
      </c>
      <c r="W1213" s="2" t="n">
        <f aca="false">Settings!$B$4*MAX(INDEX(Bases!$Q$2:$Q$53,B1213),INDEX(Bases!$Q$2:$Q$53,C1213))+Settings!$B$5*MIN(INDEX(Bases!$Q$2:$Q$53,B1213),INDEX(Bases!$Q$2:$Q$53,C1213))</f>
        <v>143.666666666667</v>
      </c>
      <c r="X1213" s="2" t="n">
        <f aca="false">Settings!$B$4*MAX(INDEX(Bases!$R$2:$R$53,B1213),INDEX(Bases!$R$2:$R$53,C1213))+Settings!$B$5*MIN(INDEX(Bases!$R$2:$R$53,B1213),INDEX(Bases!$R$2:$R$53,C1213))</f>
        <v>45.3333333333333</v>
      </c>
      <c r="Y1213" s="2" t="n">
        <f aca="false">S1213*Settings!$B$3/SUM(S1213:X1213)</f>
        <v>43.8413361169102</v>
      </c>
      <c r="Z1213" s="2" t="n">
        <f aca="false">T1213*Settings!$B$3/SUM(S1213:X1213)</f>
        <v>61.9345859429367</v>
      </c>
      <c r="AA1213" s="2" t="n">
        <f aca="false">U1213*Settings!$B$3/SUM(S1213:X1213)</f>
        <v>147.529575504523</v>
      </c>
      <c r="AB1213" s="2" t="n">
        <f aca="false">V1213*Settings!$B$3/SUM(S1213:X1213)</f>
        <v>49.4084899095338</v>
      </c>
      <c r="AC1213" s="2" t="n">
        <f aca="false">W1213*Settings!$B$3/SUM(S1213:X1213)</f>
        <v>149.965205288796</v>
      </c>
      <c r="AD1213" s="2" t="n">
        <f aca="false">X1213*Settings!$B$3/SUM(S1213:X1213)</f>
        <v>47.3208072372999</v>
      </c>
      <c r="AE1213" s="2" t="n">
        <f aca="false">INT(Y1213)</f>
        <v>43</v>
      </c>
      <c r="AF1213" s="2" t="n">
        <f aca="false">INT(Z1213)</f>
        <v>61</v>
      </c>
      <c r="AG1213" s="2" t="n">
        <f aca="false">INT(AA1213)</f>
        <v>147</v>
      </c>
      <c r="AH1213" s="2" t="n">
        <f aca="false">INT(AB1213)</f>
        <v>49</v>
      </c>
      <c r="AI1213" s="2" t="n">
        <f aca="false">INT(AC1213)</f>
        <v>149</v>
      </c>
      <c r="AJ1213" s="2" t="n">
        <f aca="false">INT(AD1213)</f>
        <v>47</v>
      </c>
      <c r="AK1213" s="2" t="n">
        <f aca="false">Settings!$B$3-SUM(AE1213:AJ1213)</f>
        <v>4</v>
      </c>
      <c r="AL1213" s="2" t="n">
        <f aca="false">ROUND(Y1213-AE1213,9)</f>
        <v>0.841336117</v>
      </c>
      <c r="AM1213" s="2" t="n">
        <f aca="false">ROUND(Z1213-AF1213,9)</f>
        <v>0.934585943</v>
      </c>
      <c r="AN1213" s="2" t="n">
        <f aca="false">ROUND(AA1213-AG1213,9)</f>
        <v>0.529575505</v>
      </c>
      <c r="AO1213" s="2" t="n">
        <f aca="false">ROUND(AB1213-AH1213,9)</f>
        <v>0.40848991</v>
      </c>
      <c r="AP1213" s="2" t="n">
        <f aca="false">ROUND(AC1213-AI1213,9)</f>
        <v>0.965205289</v>
      </c>
      <c r="AQ1213" s="2" t="n">
        <f aca="false">ROUND(AD1213-AJ1213,9)</f>
        <v>0.320807237</v>
      </c>
    </row>
    <row r="1214" customFormat="false" ht="15" hidden="false" customHeight="false" outlineLevel="0" collapsed="false">
      <c r="A1214" s="2" t="n">
        <v>1213</v>
      </c>
      <c r="B1214" s="6" t="n">
        <v>37</v>
      </c>
      <c r="C1214" s="6" t="n">
        <v>44</v>
      </c>
      <c r="D1214" s="8" t="str">
        <f aca="false">INDEX(Bases!$B$2:$B$53,B1214)</f>
        <v>Shuckle</v>
      </c>
      <c r="E1214" s="8" t="str">
        <f aca="false">INDEX(Bases!$B$2:$B$53,C1214)</f>
        <v>Bagon</v>
      </c>
      <c r="F1214" s="2" t="str">
        <f aca="false">LEFT(D1214,ROUNDUP(LEN(D1214)/2,0))&amp;LOWER(MID(E1214,ROUNDUP(LEN(E1214)/2,0)+1,20))</f>
        <v>Shucon</v>
      </c>
      <c r="G1214" s="8" t="str">
        <f aca="false">INDEX(Bases!$C$2:$C$53,B1214)</f>
        <v>Rock</v>
      </c>
      <c r="H1214" s="8" t="str">
        <f aca="false">IF(INDEX(Bases!$C$2:$C$53,C1214)=G1214,"",INDEX(Bases!$C$2:$C$53,C1214))</f>
        <v>Dragon</v>
      </c>
      <c r="I1214" s="8" t="str">
        <f aca="false">IF(INDEX(Bases!$E$2:$E$53,B1214)="","",INDEX(Bases!$E$2:$E$53,B1214))</f>
        <v/>
      </c>
      <c r="J1214" s="8" t="str">
        <f aca="false">IF(INDEX(Bases!$E$2:$E$53,C1214)="","",INDEX(Bases!$E$2:$E$53,C1214))</f>
        <v/>
      </c>
      <c r="K1214" s="5"/>
      <c r="L1214" s="2" t="n">
        <f aca="false">AE1214+IF(SUMPRODUCT(--($AL1214:$AQ1214&gt;AL1214))&lt;$AK1214,1,0)</f>
        <v>47</v>
      </c>
      <c r="M1214" s="2" t="n">
        <f aca="false">AF1214+IF(SUMPRODUCT(--($AL1214:$AQ1214&gt;AM1214))+SUMPRODUCT(--($AL1214:AL1214=AM1214))&lt;$AK1214,1,0)</f>
        <v>72</v>
      </c>
      <c r="N1214" s="2" t="n">
        <f aca="false">AG1214+IF(SUMPRODUCT(--($AL1214:$AQ1214&gt;AN1214))+SUMPRODUCT(--($AL1214:AM1214=AN1214))&lt;$AK1214,1,0)</f>
        <v>154</v>
      </c>
      <c r="O1214" s="2" t="n">
        <f aca="false">AH1214+IF(SUMPRODUCT(--($AL1214:$AQ1214&gt;AO1214))+SUMPRODUCT(--($AL1214:AN1214=AO1214))&lt;$AK1214,1,0)</f>
        <v>39</v>
      </c>
      <c r="P1214" s="2" t="n">
        <f aca="false">AI1214+IF(SUMPRODUCT(--($AL1214:$AQ1214&gt;AP1214))+SUMPRODUCT(--($AL1214:AO1214=AP1214))&lt;$AK1214,1,0)</f>
        <v>140</v>
      </c>
      <c r="Q1214" s="2" t="n">
        <f aca="false">AJ1214+IF(SUMPRODUCT(--($AL1214:$AQ1214&gt;AQ1214))+SUMPRODUCT(--($AL1214:AP1214=AQ1214))&lt;$AK1214,1,0)</f>
        <v>48</v>
      </c>
      <c r="R1214" s="2" t="n">
        <f aca="false">SUM(L1214:Q1214)</f>
        <v>500</v>
      </c>
      <c r="S1214" s="2" t="n">
        <f aca="false">Settings!$B$4*MAX(INDEX(Bases!$M$2:$M$53,B1214),INDEX(Bases!$M$2:$M$53,C1214))+Settings!$B$5*MIN(INDEX(Bases!$M$2:$M$53,B1214),INDEX(Bases!$M$2:$M$53,C1214))</f>
        <v>45.3333333333333</v>
      </c>
      <c r="T1214" s="2" t="n">
        <f aca="false">Settings!$B$4*MAX(INDEX(Bases!$N$2:$N$53,B1214),INDEX(Bases!$N$2:$N$53,C1214))+Settings!$B$5*MIN(INDEX(Bases!$N$2:$N$53,B1214),INDEX(Bases!$N$2:$N$53,C1214))</f>
        <v>69.3333333333333</v>
      </c>
      <c r="U1214" s="2" t="n">
        <f aca="false">Settings!$B$4*MAX(INDEX(Bases!$O$2:$O$53,B1214),INDEX(Bases!$O$2:$O$53,C1214))+Settings!$B$5*MIN(INDEX(Bases!$O$2:$O$53,B1214),INDEX(Bases!$O$2:$O$53,C1214))</f>
        <v>148</v>
      </c>
      <c r="V1214" s="2" t="n">
        <f aca="false">Settings!$B$4*MAX(INDEX(Bases!$P$2:$P$53,B1214),INDEX(Bases!$P$2:$P$53,C1214))+Settings!$B$5*MIN(INDEX(Bases!$P$2:$P$53,B1214),INDEX(Bases!$P$2:$P$53,C1214))</f>
        <v>38</v>
      </c>
      <c r="W1214" s="2" t="n">
        <f aca="false">Settings!$B$4*MAX(INDEX(Bases!$Q$2:$Q$53,B1214),INDEX(Bases!$Q$2:$Q$53,C1214))+Settings!$B$5*MIN(INDEX(Bases!$Q$2:$Q$53,B1214),INDEX(Bases!$Q$2:$Q$53,C1214))</f>
        <v>134.666666666667</v>
      </c>
      <c r="X1214" s="2" t="n">
        <f aca="false">Settings!$B$4*MAX(INDEX(Bases!$R$2:$R$53,B1214),INDEX(Bases!$R$2:$R$53,C1214))+Settings!$B$5*MIN(INDEX(Bases!$R$2:$R$53,B1214),INDEX(Bases!$R$2:$R$53,C1214))</f>
        <v>46</v>
      </c>
      <c r="Y1214" s="2" t="n">
        <f aca="false">S1214*Settings!$B$3/SUM(S1214:X1214)</f>
        <v>47.0914127423823</v>
      </c>
      <c r="Z1214" s="2" t="n">
        <f aca="false">T1214*Settings!$B$3/SUM(S1214:X1214)</f>
        <v>72.0221606648199</v>
      </c>
      <c r="AA1214" s="2" t="n">
        <f aca="false">U1214*Settings!$B$3/SUM(S1214:X1214)</f>
        <v>153.739612188366</v>
      </c>
      <c r="AB1214" s="2" t="n">
        <f aca="false">V1214*Settings!$B$3/SUM(S1214:X1214)</f>
        <v>39.4736842105263</v>
      </c>
      <c r="AC1214" s="2" t="n">
        <f aca="false">W1214*Settings!$B$3/SUM(S1214:X1214)</f>
        <v>139.8891966759</v>
      </c>
      <c r="AD1214" s="2" t="n">
        <f aca="false">X1214*Settings!$B$3/SUM(S1214:X1214)</f>
        <v>47.7839335180055</v>
      </c>
      <c r="AE1214" s="2" t="n">
        <f aca="false">INT(Y1214)</f>
        <v>47</v>
      </c>
      <c r="AF1214" s="2" t="n">
        <f aca="false">INT(Z1214)</f>
        <v>72</v>
      </c>
      <c r="AG1214" s="2" t="n">
        <f aca="false">INT(AA1214)</f>
        <v>153</v>
      </c>
      <c r="AH1214" s="2" t="n">
        <f aca="false">INT(AB1214)</f>
        <v>39</v>
      </c>
      <c r="AI1214" s="2" t="n">
        <f aca="false">INT(AC1214)</f>
        <v>139</v>
      </c>
      <c r="AJ1214" s="2" t="n">
        <f aca="false">INT(AD1214)</f>
        <v>47</v>
      </c>
      <c r="AK1214" s="2" t="n">
        <f aca="false">Settings!$B$3-SUM(AE1214:AJ1214)</f>
        <v>3</v>
      </c>
      <c r="AL1214" s="2" t="n">
        <f aca="false">ROUND(Y1214-AE1214,9)</f>
        <v>0.091412742</v>
      </c>
      <c r="AM1214" s="2" t="n">
        <f aca="false">ROUND(Z1214-AF1214,9)</f>
        <v>0.022160665</v>
      </c>
      <c r="AN1214" s="2" t="n">
        <f aca="false">ROUND(AA1214-AG1214,9)</f>
        <v>0.739612188</v>
      </c>
      <c r="AO1214" s="2" t="n">
        <f aca="false">ROUND(AB1214-AH1214,9)</f>
        <v>0.473684211</v>
      </c>
      <c r="AP1214" s="2" t="n">
        <f aca="false">ROUND(AC1214-AI1214,9)</f>
        <v>0.889196676</v>
      </c>
      <c r="AQ1214" s="2" t="n">
        <f aca="false">ROUND(AD1214-AJ1214,9)</f>
        <v>0.783933518</v>
      </c>
    </row>
    <row r="1215" customFormat="false" ht="15" hidden="false" customHeight="false" outlineLevel="0" collapsed="false">
      <c r="A1215" s="2" t="n">
        <v>1214</v>
      </c>
      <c r="B1215" s="6" t="n">
        <v>37</v>
      </c>
      <c r="C1215" s="6" t="n">
        <v>45</v>
      </c>
      <c r="D1215" s="8" t="str">
        <f aca="false">INDEX(Bases!$B$2:$B$53,B1215)</f>
        <v>Shuckle</v>
      </c>
      <c r="E1215" s="8" t="str">
        <f aca="false">INDEX(Bases!$B$2:$B$53,C1215)</f>
        <v>Sneasel</v>
      </c>
      <c r="F1215" s="2" t="str">
        <f aca="false">LEFT(D1215,ROUNDUP(LEN(D1215)/2,0))&amp;LOWER(MID(E1215,ROUNDUP(LEN(E1215)/2,0)+1,20))</f>
        <v>Shucsel</v>
      </c>
      <c r="G1215" s="8" t="str">
        <f aca="false">INDEX(Bases!$C$2:$C$53,B1215)</f>
        <v>Rock</v>
      </c>
      <c r="H1215" s="8" t="str">
        <f aca="false">IF(INDEX(Bases!$C$2:$C$53,C1215)=G1215,"",INDEX(Bases!$C$2:$C$53,C1215))</f>
        <v>Dark</v>
      </c>
      <c r="I1215" s="8" t="str">
        <f aca="false">IF(INDEX(Bases!$E$2:$E$53,B1215)="","",INDEX(Bases!$E$2:$E$53,B1215))</f>
        <v/>
      </c>
      <c r="J1215" s="8" t="str">
        <f aca="false">IF(INDEX(Bases!$E$2:$E$53,C1215)="","",INDEX(Bases!$E$2:$E$53,C1215))</f>
        <v/>
      </c>
      <c r="K1215" s="5"/>
      <c r="L1215" s="2" t="n">
        <f aca="false">AE1215+IF(SUMPRODUCT(--($AL1215:$AQ1215&gt;AL1215))&lt;$AK1215,1,0)</f>
        <v>41</v>
      </c>
      <c r="M1215" s="2" t="n">
        <f aca="false">AF1215+IF(SUMPRODUCT(--($AL1215:$AQ1215&gt;AM1215))+SUMPRODUCT(--($AL1215:AL1215=AM1215))&lt;$AK1215,1,0)</f>
        <v>64</v>
      </c>
      <c r="N1215" s="2" t="n">
        <f aca="false">AG1215+IF(SUMPRODUCT(--($AL1215:$AQ1215&gt;AN1215))+SUMPRODUCT(--($AL1215:AM1215=AN1215))&lt;$AK1215,1,0)</f>
        <v>144</v>
      </c>
      <c r="O1215" s="2" t="n">
        <f aca="false">AH1215+IF(SUMPRODUCT(--($AL1215:$AQ1215&gt;AO1215))+SUMPRODUCT(--($AL1215:AN1215=AO1215))&lt;$AK1215,1,0)</f>
        <v>26</v>
      </c>
      <c r="P1215" s="2" t="n">
        <f aca="false">AI1215+IF(SUMPRODUCT(--($AL1215:$AQ1215&gt;AP1215))+SUMPRODUCT(--($AL1215:AO1215=AP1215))&lt;$AK1215,1,0)</f>
        <v>150</v>
      </c>
      <c r="Q1215" s="2" t="n">
        <f aca="false">AJ1215+IF(SUMPRODUCT(--($AL1215:$AQ1215&gt;AQ1215))+SUMPRODUCT(--($AL1215:AP1215=AQ1215))&lt;$AK1215,1,0)</f>
        <v>75</v>
      </c>
      <c r="R1215" s="2" t="n">
        <f aca="false">SUM(L1215:Q1215)</f>
        <v>500</v>
      </c>
      <c r="S1215" s="2" t="n">
        <f aca="false">Settings!$B$4*MAX(INDEX(Bases!$M$2:$M$53,B1215),INDEX(Bases!$M$2:$M$53,C1215))+Settings!$B$5*MIN(INDEX(Bases!$M$2:$M$53,B1215),INDEX(Bases!$M$2:$M$53,C1215))</f>
        <v>39.3333333333333</v>
      </c>
      <c r="T1215" s="2" t="n">
        <f aca="false">Settings!$B$4*MAX(INDEX(Bases!$N$2:$N$53,B1215),INDEX(Bases!$N$2:$N$53,C1215))+Settings!$B$5*MIN(INDEX(Bases!$N$2:$N$53,B1215),INDEX(Bases!$N$2:$N$53,C1215))</f>
        <v>61.3333333333333</v>
      </c>
      <c r="U1215" s="2" t="n">
        <f aca="false">Settings!$B$4*MAX(INDEX(Bases!$O$2:$O$53,B1215),INDEX(Bases!$O$2:$O$53,C1215))+Settings!$B$5*MIN(INDEX(Bases!$O$2:$O$53,B1215),INDEX(Bases!$O$2:$O$53,C1215))</f>
        <v>138.333333333333</v>
      </c>
      <c r="V1215" s="2" t="n">
        <f aca="false">Settings!$B$4*MAX(INDEX(Bases!$P$2:$P$53,B1215),INDEX(Bases!$P$2:$P$53,C1215))+Settings!$B$5*MIN(INDEX(Bases!$P$2:$P$53,B1215),INDEX(Bases!$P$2:$P$53,C1215))</f>
        <v>24.6666666666667</v>
      </c>
      <c r="W1215" s="2" t="n">
        <f aca="false">Settings!$B$4*MAX(INDEX(Bases!$Q$2:$Q$53,B1215),INDEX(Bases!$Q$2:$Q$53,C1215))+Settings!$B$5*MIN(INDEX(Bases!$Q$2:$Q$53,B1215),INDEX(Bases!$Q$2:$Q$53,C1215))</f>
        <v>144.666666666667</v>
      </c>
      <c r="X1215" s="2" t="n">
        <f aca="false">Settings!$B$4*MAX(INDEX(Bases!$R$2:$R$53,B1215),INDEX(Bases!$R$2:$R$53,C1215))+Settings!$B$5*MIN(INDEX(Bases!$R$2:$R$53,B1215),INDEX(Bases!$R$2:$R$53,C1215))</f>
        <v>72.6666666666667</v>
      </c>
      <c r="Y1215" s="2" t="n">
        <f aca="false">S1215*Settings!$B$3/SUM(S1215:X1215)</f>
        <v>40.8870408870409</v>
      </c>
      <c r="Z1215" s="2" t="n">
        <f aca="false">T1215*Settings!$B$3/SUM(S1215:X1215)</f>
        <v>63.7560637560638</v>
      </c>
      <c r="AA1215" s="2" t="n">
        <f aca="false">U1215*Settings!$B$3/SUM(S1215:X1215)</f>
        <v>143.797643797644</v>
      </c>
      <c r="AB1215" s="2" t="n">
        <f aca="false">V1215*Settings!$B$3/SUM(S1215:X1215)</f>
        <v>25.6410256410256</v>
      </c>
      <c r="AC1215" s="2" t="n">
        <f aca="false">W1215*Settings!$B$3/SUM(S1215:X1215)</f>
        <v>150.38115038115</v>
      </c>
      <c r="AD1215" s="2" t="n">
        <f aca="false">X1215*Settings!$B$3/SUM(S1215:X1215)</f>
        <v>75.5370755370755</v>
      </c>
      <c r="AE1215" s="2" t="n">
        <f aca="false">INT(Y1215)</f>
        <v>40</v>
      </c>
      <c r="AF1215" s="2" t="n">
        <f aca="false">INT(Z1215)</f>
        <v>63</v>
      </c>
      <c r="AG1215" s="2" t="n">
        <f aca="false">INT(AA1215)</f>
        <v>143</v>
      </c>
      <c r="AH1215" s="2" t="n">
        <f aca="false">INT(AB1215)</f>
        <v>25</v>
      </c>
      <c r="AI1215" s="2" t="n">
        <f aca="false">INT(AC1215)</f>
        <v>150</v>
      </c>
      <c r="AJ1215" s="2" t="n">
        <f aca="false">INT(AD1215)</f>
        <v>75</v>
      </c>
      <c r="AK1215" s="2" t="n">
        <f aca="false">Settings!$B$3-SUM(AE1215:AJ1215)</f>
        <v>4</v>
      </c>
      <c r="AL1215" s="2" t="n">
        <f aca="false">ROUND(Y1215-AE1215,9)</f>
        <v>0.887040887</v>
      </c>
      <c r="AM1215" s="2" t="n">
        <f aca="false">ROUND(Z1215-AF1215,9)</f>
        <v>0.756063756</v>
      </c>
      <c r="AN1215" s="2" t="n">
        <f aca="false">ROUND(AA1215-AG1215,9)</f>
        <v>0.797643798</v>
      </c>
      <c r="AO1215" s="2" t="n">
        <f aca="false">ROUND(AB1215-AH1215,9)</f>
        <v>0.641025641</v>
      </c>
      <c r="AP1215" s="2" t="n">
        <f aca="false">ROUND(AC1215-AI1215,9)</f>
        <v>0.381150381</v>
      </c>
      <c r="AQ1215" s="2" t="n">
        <f aca="false">ROUND(AD1215-AJ1215,9)</f>
        <v>0.537075537</v>
      </c>
    </row>
    <row r="1216" customFormat="false" ht="15" hidden="false" customHeight="false" outlineLevel="0" collapsed="false">
      <c r="A1216" s="2" t="n">
        <v>1215</v>
      </c>
      <c r="B1216" s="6" t="n">
        <v>37</v>
      </c>
      <c r="C1216" s="6" t="n">
        <v>46</v>
      </c>
      <c r="D1216" s="8" t="str">
        <f aca="false">INDEX(Bases!$B$2:$B$53,B1216)</f>
        <v>Shuckle</v>
      </c>
      <c r="E1216" s="8" t="str">
        <f aca="false">INDEX(Bases!$B$2:$B$53,C1216)</f>
        <v>Houndour</v>
      </c>
      <c r="F1216" s="2" t="str">
        <f aca="false">LEFT(D1216,ROUNDUP(LEN(D1216)/2,0))&amp;LOWER(MID(E1216,ROUNDUP(LEN(E1216)/2,0)+1,20))</f>
        <v>Shucdour</v>
      </c>
      <c r="G1216" s="8" t="str">
        <f aca="false">INDEX(Bases!$C$2:$C$53,B1216)</f>
        <v>Rock</v>
      </c>
      <c r="H1216" s="8" t="str">
        <f aca="false">IF(INDEX(Bases!$C$2:$C$53,C1216)=G1216,"",INDEX(Bases!$C$2:$C$53,C1216))</f>
        <v>Dark</v>
      </c>
      <c r="I1216" s="8" t="str">
        <f aca="false">IF(INDEX(Bases!$E$2:$E$53,B1216)="","",INDEX(Bases!$E$2:$E$53,B1216))</f>
        <v/>
      </c>
      <c r="J1216" s="8" t="str">
        <f aca="false">IF(INDEX(Bases!$E$2:$E$53,C1216)="","",INDEX(Bases!$E$2:$E$53,C1216))</f>
        <v/>
      </c>
      <c r="K1216" s="5"/>
      <c r="L1216" s="2" t="n">
        <f aca="false">AE1216+IF(SUMPRODUCT(--($AL1216:$AQ1216&gt;AL1216))&lt;$AK1216,1,0)</f>
        <v>42</v>
      </c>
      <c r="M1216" s="2" t="n">
        <f aca="false">AF1216+IF(SUMPRODUCT(--($AL1216:$AQ1216&gt;AM1216))+SUMPRODUCT(--($AL1216:AL1216=AM1216))&lt;$AK1216,1,0)</f>
        <v>53</v>
      </c>
      <c r="N1216" s="2" t="n">
        <f aca="false">AG1216+IF(SUMPRODUCT(--($AL1216:$AQ1216&gt;AN1216))+SUMPRODUCT(--($AL1216:AM1216=AN1216))&lt;$AK1216,1,0)</f>
        <v>136</v>
      </c>
      <c r="O1216" s="2" t="n">
        <f aca="false">AH1216+IF(SUMPRODUCT(--($AL1216:$AQ1216&gt;AO1216))+SUMPRODUCT(--($AL1216:AN1216=AO1216))&lt;$AK1216,1,0)</f>
        <v>69</v>
      </c>
      <c r="P1216" s="2" t="n">
        <f aca="false">AI1216+IF(SUMPRODUCT(--($AL1216:$AQ1216&gt;AP1216))+SUMPRODUCT(--($AL1216:AO1216=AP1216))&lt;$AK1216,1,0)</f>
        <v>145</v>
      </c>
      <c r="Q1216" s="2" t="n">
        <f aca="false">AJ1216+IF(SUMPRODUCT(--($AL1216:$AQ1216&gt;AQ1216))+SUMPRODUCT(--($AL1216:AP1216=AQ1216))&lt;$AK1216,1,0)</f>
        <v>55</v>
      </c>
      <c r="R1216" s="2" t="n">
        <f aca="false">SUM(L1216:Q1216)</f>
        <v>500</v>
      </c>
      <c r="S1216" s="2" t="n">
        <f aca="false">Settings!$B$4*MAX(INDEX(Bases!$M$2:$M$53,B1216),INDEX(Bases!$M$2:$M$53,C1216))+Settings!$B$5*MIN(INDEX(Bases!$M$2:$M$53,B1216),INDEX(Bases!$M$2:$M$53,C1216))</f>
        <v>41.3333333333333</v>
      </c>
      <c r="T1216" s="2" t="n">
        <f aca="false">Settings!$B$4*MAX(INDEX(Bases!$N$2:$N$53,B1216),INDEX(Bases!$N$2:$N$53,C1216))+Settings!$B$5*MIN(INDEX(Bases!$N$2:$N$53,B1216),INDEX(Bases!$N$2:$N$53,C1216))</f>
        <v>51.3333333333333</v>
      </c>
      <c r="U1216" s="2" t="n">
        <f aca="false">Settings!$B$4*MAX(INDEX(Bases!$O$2:$O$53,B1216),INDEX(Bases!$O$2:$O$53,C1216))+Settings!$B$5*MIN(INDEX(Bases!$O$2:$O$53,B1216),INDEX(Bases!$O$2:$O$53,C1216))</f>
        <v>133.333333333333</v>
      </c>
      <c r="V1216" s="2" t="n">
        <f aca="false">Settings!$B$4*MAX(INDEX(Bases!$P$2:$P$53,B1216),INDEX(Bases!$P$2:$P$53,C1216))+Settings!$B$5*MIN(INDEX(Bases!$P$2:$P$53,B1216),INDEX(Bases!$P$2:$P$53,C1216))</f>
        <v>67.3333333333333</v>
      </c>
      <c r="W1216" s="2" t="n">
        <f aca="false">Settings!$B$4*MAX(INDEX(Bases!$Q$2:$Q$53,B1216),INDEX(Bases!$Q$2:$Q$53,C1216))+Settings!$B$5*MIN(INDEX(Bases!$Q$2:$Q$53,B1216),INDEX(Bases!$Q$2:$Q$53,C1216))</f>
        <v>141.666666666667</v>
      </c>
      <c r="X1216" s="2" t="n">
        <f aca="false">Settings!$B$4*MAX(INDEX(Bases!$R$2:$R$53,B1216),INDEX(Bases!$R$2:$R$53,C1216))+Settings!$B$5*MIN(INDEX(Bases!$R$2:$R$53,B1216),INDEX(Bases!$R$2:$R$53,C1216))</f>
        <v>54</v>
      </c>
      <c r="Y1216" s="2" t="n">
        <f aca="false">S1216*Settings!$B$3/SUM(S1216:X1216)</f>
        <v>42.2631220177233</v>
      </c>
      <c r="Z1216" s="2" t="n">
        <f aca="false">T1216*Settings!$B$3/SUM(S1216:X1216)</f>
        <v>52.4880708929789</v>
      </c>
      <c r="AA1216" s="2" t="n">
        <f aca="false">U1216*Settings!$B$3/SUM(S1216:X1216)</f>
        <v>136.332651670075</v>
      </c>
      <c r="AB1216" s="2" t="n">
        <f aca="false">V1216*Settings!$B$3/SUM(S1216:X1216)</f>
        <v>68.8479890933879</v>
      </c>
      <c r="AC1216" s="2" t="n">
        <f aca="false">W1216*Settings!$B$3/SUM(S1216:X1216)</f>
        <v>144.853442399455</v>
      </c>
      <c r="AD1216" s="2" t="n">
        <f aca="false">X1216*Settings!$B$3/SUM(S1216:X1216)</f>
        <v>55.2147239263804</v>
      </c>
      <c r="AE1216" s="2" t="n">
        <f aca="false">INT(Y1216)</f>
        <v>42</v>
      </c>
      <c r="AF1216" s="2" t="n">
        <f aca="false">INT(Z1216)</f>
        <v>52</v>
      </c>
      <c r="AG1216" s="2" t="n">
        <f aca="false">INT(AA1216)</f>
        <v>136</v>
      </c>
      <c r="AH1216" s="2" t="n">
        <f aca="false">INT(AB1216)</f>
        <v>68</v>
      </c>
      <c r="AI1216" s="2" t="n">
        <f aca="false">INT(AC1216)</f>
        <v>144</v>
      </c>
      <c r="AJ1216" s="2" t="n">
        <f aca="false">INT(AD1216)</f>
        <v>55</v>
      </c>
      <c r="AK1216" s="2" t="n">
        <f aca="false">Settings!$B$3-SUM(AE1216:AJ1216)</f>
        <v>3</v>
      </c>
      <c r="AL1216" s="2" t="n">
        <f aca="false">ROUND(Y1216-AE1216,9)</f>
        <v>0.263122018</v>
      </c>
      <c r="AM1216" s="2" t="n">
        <f aca="false">ROUND(Z1216-AF1216,9)</f>
        <v>0.488070893</v>
      </c>
      <c r="AN1216" s="2" t="n">
        <f aca="false">ROUND(AA1216-AG1216,9)</f>
        <v>0.33265167</v>
      </c>
      <c r="AO1216" s="2" t="n">
        <f aca="false">ROUND(AB1216-AH1216,9)</f>
        <v>0.847989093</v>
      </c>
      <c r="AP1216" s="2" t="n">
        <f aca="false">ROUND(AC1216-AI1216,9)</f>
        <v>0.853442399</v>
      </c>
      <c r="AQ1216" s="2" t="n">
        <f aca="false">ROUND(AD1216-AJ1216,9)</f>
        <v>0.214723926</v>
      </c>
    </row>
    <row r="1217" customFormat="false" ht="15" hidden="false" customHeight="false" outlineLevel="0" collapsed="false">
      <c r="A1217" s="2" t="n">
        <v>1216</v>
      </c>
      <c r="B1217" s="6" t="n">
        <v>37</v>
      </c>
      <c r="C1217" s="6" t="n">
        <v>47</v>
      </c>
      <c r="D1217" s="8" t="str">
        <f aca="false">INDEX(Bases!$B$2:$B$53,B1217)</f>
        <v>Shuckle</v>
      </c>
      <c r="E1217" s="8" t="str">
        <f aca="false">INDEX(Bases!$B$2:$B$53,C1217)</f>
        <v>Carvanha</v>
      </c>
      <c r="F1217" s="2" t="str">
        <f aca="false">LEFT(D1217,ROUNDUP(LEN(D1217)/2,0))&amp;LOWER(MID(E1217,ROUNDUP(LEN(E1217)/2,0)+1,20))</f>
        <v>Shucanha</v>
      </c>
      <c r="G1217" s="8" t="str">
        <f aca="false">INDEX(Bases!$C$2:$C$53,B1217)</f>
        <v>Rock</v>
      </c>
      <c r="H1217" s="8" t="str">
        <f aca="false">IF(INDEX(Bases!$C$2:$C$53,C1217)=G1217,"",INDEX(Bases!$C$2:$C$53,C1217))</f>
        <v>Dark</v>
      </c>
      <c r="I1217" s="8" t="str">
        <f aca="false">IF(INDEX(Bases!$E$2:$E$53,B1217)="","",INDEX(Bases!$E$2:$E$53,B1217))</f>
        <v/>
      </c>
      <c r="J1217" s="8" t="str">
        <f aca="false">IF(INDEX(Bases!$E$2:$E$53,C1217)="","",INDEX(Bases!$E$2:$E$53,C1217))</f>
        <v/>
      </c>
      <c r="K1217" s="5"/>
      <c r="L1217" s="2" t="n">
        <f aca="false">AE1217+IF(SUMPRODUCT(--($AL1217:$AQ1217&gt;AL1217))&lt;$AK1217,1,0)</f>
        <v>44</v>
      </c>
      <c r="M1217" s="2" t="n">
        <f aca="false">AF1217+IF(SUMPRODUCT(--($AL1217:$AQ1217&gt;AM1217))+SUMPRODUCT(--($AL1217:AL1217=AM1217))&lt;$AK1217,1,0)</f>
        <v>81</v>
      </c>
      <c r="N1217" s="2" t="n">
        <f aca="false">AG1217+IF(SUMPRODUCT(--($AL1217:$AQ1217&gt;AN1217))+SUMPRODUCT(--($AL1217:AM1217=AN1217))&lt;$AK1217,1,0)</f>
        <v>129</v>
      </c>
      <c r="O1217" s="2" t="n">
        <f aca="false">AH1217+IF(SUMPRODUCT(--($AL1217:$AQ1217&gt;AO1217))+SUMPRODUCT(--($AL1217:AN1217=AO1217))&lt;$AK1217,1,0)</f>
        <v>59</v>
      </c>
      <c r="P1217" s="2" t="n">
        <f aca="false">AI1217+IF(SUMPRODUCT(--($AL1217:$AQ1217&gt;AP1217))+SUMPRODUCT(--($AL1217:AO1217=AP1217))&lt;$AK1217,1,0)</f>
        <v>129</v>
      </c>
      <c r="Q1217" s="2" t="n">
        <f aca="false">AJ1217+IF(SUMPRODUCT(--($AL1217:$AQ1217&gt;AQ1217))+SUMPRODUCT(--($AL1217:AP1217=AQ1217))&lt;$AK1217,1,0)</f>
        <v>58</v>
      </c>
      <c r="R1217" s="2" t="n">
        <f aca="false">SUM(L1217:Q1217)</f>
        <v>500</v>
      </c>
      <c r="S1217" s="2" t="n">
        <f aca="false">Settings!$B$4*MAX(INDEX(Bases!$M$2:$M$53,B1217),INDEX(Bases!$M$2:$M$53,C1217))+Settings!$B$5*MIN(INDEX(Bases!$M$2:$M$53,B1217),INDEX(Bases!$M$2:$M$53,C1217))</f>
        <v>44.6666666666667</v>
      </c>
      <c r="T1217" s="2" t="n">
        <f aca="false">Settings!$B$4*MAX(INDEX(Bases!$N$2:$N$53,B1217),INDEX(Bases!$N$2:$N$53,C1217))+Settings!$B$5*MIN(INDEX(Bases!$N$2:$N$53,B1217),INDEX(Bases!$N$2:$N$53,C1217))</f>
        <v>81.3333333333333</v>
      </c>
      <c r="U1217" s="2" t="n">
        <f aca="false">Settings!$B$4*MAX(INDEX(Bases!$O$2:$O$53,B1217),INDEX(Bases!$O$2:$O$53,C1217))+Settings!$B$5*MIN(INDEX(Bases!$O$2:$O$53,B1217),INDEX(Bases!$O$2:$O$53,C1217))</f>
        <v>130</v>
      </c>
      <c r="V1217" s="2" t="n">
        <f aca="false">Settings!$B$4*MAX(INDEX(Bases!$P$2:$P$53,B1217),INDEX(Bases!$P$2:$P$53,C1217))+Settings!$B$5*MIN(INDEX(Bases!$P$2:$P$53,B1217),INDEX(Bases!$P$2:$P$53,C1217))</f>
        <v>60</v>
      </c>
      <c r="W1217" s="2" t="n">
        <f aca="false">Settings!$B$4*MAX(INDEX(Bases!$Q$2:$Q$53,B1217),INDEX(Bases!$Q$2:$Q$53,C1217))+Settings!$B$5*MIN(INDEX(Bases!$Q$2:$Q$53,B1217),INDEX(Bases!$Q$2:$Q$53,C1217))</f>
        <v>130</v>
      </c>
      <c r="X1217" s="2" t="n">
        <f aca="false">Settings!$B$4*MAX(INDEX(Bases!$R$2:$R$53,B1217),INDEX(Bases!$R$2:$R$53,C1217))+Settings!$B$5*MIN(INDEX(Bases!$R$2:$R$53,B1217),INDEX(Bases!$R$2:$R$53,C1217))</f>
        <v>58</v>
      </c>
      <c r="Y1217" s="2" t="n">
        <f aca="false">S1217*Settings!$B$3/SUM(S1217:X1217)</f>
        <v>44.3121693121693</v>
      </c>
      <c r="Z1217" s="2" t="n">
        <f aca="false">T1217*Settings!$B$3/SUM(S1217:X1217)</f>
        <v>80.6878306878307</v>
      </c>
      <c r="AA1217" s="2" t="n">
        <f aca="false">U1217*Settings!$B$3/SUM(S1217:X1217)</f>
        <v>128.968253968254</v>
      </c>
      <c r="AB1217" s="2" t="n">
        <f aca="false">V1217*Settings!$B$3/SUM(S1217:X1217)</f>
        <v>59.5238095238095</v>
      </c>
      <c r="AC1217" s="2" t="n">
        <f aca="false">W1217*Settings!$B$3/SUM(S1217:X1217)</f>
        <v>128.968253968254</v>
      </c>
      <c r="AD1217" s="2" t="n">
        <f aca="false">X1217*Settings!$B$3/SUM(S1217:X1217)</f>
        <v>57.5396825396825</v>
      </c>
      <c r="AE1217" s="2" t="n">
        <f aca="false">INT(Y1217)</f>
        <v>44</v>
      </c>
      <c r="AF1217" s="2" t="n">
        <f aca="false">INT(Z1217)</f>
        <v>80</v>
      </c>
      <c r="AG1217" s="2" t="n">
        <f aca="false">INT(AA1217)</f>
        <v>128</v>
      </c>
      <c r="AH1217" s="2" t="n">
        <f aca="false">INT(AB1217)</f>
        <v>59</v>
      </c>
      <c r="AI1217" s="2" t="n">
        <f aca="false">INT(AC1217)</f>
        <v>128</v>
      </c>
      <c r="AJ1217" s="2" t="n">
        <f aca="false">INT(AD1217)</f>
        <v>57</v>
      </c>
      <c r="AK1217" s="2" t="n">
        <f aca="false">Settings!$B$3-SUM(AE1217:AJ1217)</f>
        <v>4</v>
      </c>
      <c r="AL1217" s="2" t="n">
        <f aca="false">ROUND(Y1217-AE1217,9)</f>
        <v>0.312169312</v>
      </c>
      <c r="AM1217" s="2" t="n">
        <f aca="false">ROUND(Z1217-AF1217,9)</f>
        <v>0.687830688</v>
      </c>
      <c r="AN1217" s="2" t="n">
        <f aca="false">ROUND(AA1217-AG1217,9)</f>
        <v>0.968253968</v>
      </c>
      <c r="AO1217" s="2" t="n">
        <f aca="false">ROUND(AB1217-AH1217,9)</f>
        <v>0.523809524</v>
      </c>
      <c r="AP1217" s="2" t="n">
        <f aca="false">ROUND(AC1217-AI1217,9)</f>
        <v>0.968253968</v>
      </c>
      <c r="AQ1217" s="2" t="n">
        <f aca="false">ROUND(AD1217-AJ1217,9)</f>
        <v>0.53968254</v>
      </c>
    </row>
    <row r="1218" customFormat="false" ht="15" hidden="false" customHeight="false" outlineLevel="0" collapsed="false">
      <c r="A1218" s="2" t="n">
        <v>1217</v>
      </c>
      <c r="B1218" s="6" t="n">
        <v>37</v>
      </c>
      <c r="C1218" s="6" t="n">
        <v>48</v>
      </c>
      <c r="D1218" s="8" t="str">
        <f aca="false">INDEX(Bases!$B$2:$B$53,B1218)</f>
        <v>Shuckle</v>
      </c>
      <c r="E1218" s="8" t="str">
        <f aca="false">INDEX(Bases!$B$2:$B$53,C1218)</f>
        <v>Magnemite</v>
      </c>
      <c r="F1218" s="2" t="str">
        <f aca="false">LEFT(D1218,ROUNDUP(LEN(D1218)/2,0))&amp;LOWER(MID(E1218,ROUNDUP(LEN(E1218)/2,0)+1,20))</f>
        <v>Shucmite</v>
      </c>
      <c r="G1218" s="8" t="str">
        <f aca="false">INDEX(Bases!$C$2:$C$53,B1218)</f>
        <v>Rock</v>
      </c>
      <c r="H1218" s="8" t="str">
        <f aca="false">IF(INDEX(Bases!$C$2:$C$53,C1218)=G1218,"",INDEX(Bases!$C$2:$C$53,C1218))</f>
        <v>Steel</v>
      </c>
      <c r="I1218" s="8" t="str">
        <f aca="false">IF(INDEX(Bases!$E$2:$E$53,B1218)="","",INDEX(Bases!$E$2:$E$53,B1218))</f>
        <v/>
      </c>
      <c r="J1218" s="8" t="str">
        <f aca="false">IF(INDEX(Bases!$E$2:$E$53,C1218)="","",INDEX(Bases!$E$2:$E$53,C1218))</f>
        <v/>
      </c>
      <c r="K1218" s="5"/>
      <c r="L1218" s="2" t="n">
        <f aca="false">AE1218+IF(SUMPRODUCT(--($AL1218:$AQ1218&gt;AL1218))&lt;$AK1218,1,0)</f>
        <v>28</v>
      </c>
      <c r="M1218" s="2" t="n">
        <f aca="false">AF1218+IF(SUMPRODUCT(--($AL1218:$AQ1218&gt;AM1218))+SUMPRODUCT(--($AL1218:AL1218=AM1218))&lt;$AK1218,1,0)</f>
        <v>33</v>
      </c>
      <c r="N1218" s="2" t="n">
        <f aca="false">AG1218+IF(SUMPRODUCT(--($AL1218:$AQ1218&gt;AN1218))+SUMPRODUCT(--($AL1218:AM1218=AN1218))&lt;$AK1218,1,0)</f>
        <v>160</v>
      </c>
      <c r="O1218" s="2" t="n">
        <f aca="false">AH1218+IF(SUMPRODUCT(--($AL1218:$AQ1218&gt;AO1218))+SUMPRODUCT(--($AL1218:AN1218=AO1218))&lt;$AK1218,1,0)</f>
        <v>86</v>
      </c>
      <c r="P1218" s="2" t="n">
        <f aca="false">AI1218+IF(SUMPRODUCT(--($AL1218:$AQ1218&gt;AP1218))+SUMPRODUCT(--($AL1218:AO1218=AP1218))&lt;$AK1218,1,0)</f>
        <v>153</v>
      </c>
      <c r="Q1218" s="2" t="n">
        <f aca="false">AJ1218+IF(SUMPRODUCT(--($AL1218:$AQ1218&gt;AQ1218))+SUMPRODUCT(--($AL1218:AP1218=AQ1218))&lt;$AK1218,1,0)</f>
        <v>40</v>
      </c>
      <c r="R1218" s="2" t="n">
        <f aca="false">SUM(L1218:Q1218)</f>
        <v>500</v>
      </c>
      <c r="S1218" s="2" t="n">
        <f aca="false">Settings!$B$4*MAX(INDEX(Bases!$M$2:$M$53,B1218),INDEX(Bases!$M$2:$M$53,C1218))+Settings!$B$5*MIN(INDEX(Bases!$M$2:$M$53,B1218),INDEX(Bases!$M$2:$M$53,C1218))</f>
        <v>26</v>
      </c>
      <c r="T1218" s="2" t="n">
        <f aca="false">Settings!$B$4*MAX(INDEX(Bases!$N$2:$N$53,B1218),INDEX(Bases!$N$2:$N$53,C1218))+Settings!$B$5*MIN(INDEX(Bases!$N$2:$N$53,B1218),INDEX(Bases!$N$2:$N$53,C1218))</f>
        <v>31.3333333333333</v>
      </c>
      <c r="U1218" s="2" t="n">
        <f aca="false">Settings!$B$4*MAX(INDEX(Bases!$O$2:$O$53,B1218),INDEX(Bases!$O$2:$O$53,C1218))+Settings!$B$5*MIN(INDEX(Bases!$O$2:$O$53,B1218),INDEX(Bases!$O$2:$O$53,C1218))</f>
        <v>150</v>
      </c>
      <c r="V1218" s="2" t="n">
        <f aca="false">Settings!$B$4*MAX(INDEX(Bases!$P$2:$P$53,B1218),INDEX(Bases!$P$2:$P$53,C1218))+Settings!$B$5*MIN(INDEX(Bases!$P$2:$P$53,B1218),INDEX(Bases!$P$2:$P$53,C1218))</f>
        <v>80.6666666666667</v>
      </c>
      <c r="W1218" s="2" t="n">
        <f aca="false">Settings!$B$4*MAX(INDEX(Bases!$Q$2:$Q$53,B1218),INDEX(Bases!$Q$2:$Q$53,C1218))+Settings!$B$5*MIN(INDEX(Bases!$Q$2:$Q$53,B1218),INDEX(Bases!$Q$2:$Q$53,C1218))</f>
        <v>144</v>
      </c>
      <c r="X1218" s="2" t="n">
        <f aca="false">Settings!$B$4*MAX(INDEX(Bases!$R$2:$R$53,B1218),INDEX(Bases!$R$2:$R$53,C1218))+Settings!$B$5*MIN(INDEX(Bases!$R$2:$R$53,B1218),INDEX(Bases!$R$2:$R$53,C1218))</f>
        <v>38</v>
      </c>
      <c r="Y1218" s="2" t="n">
        <f aca="false">S1218*Settings!$B$3/SUM(S1218:X1218)</f>
        <v>27.6595744680851</v>
      </c>
      <c r="Z1218" s="2" t="n">
        <f aca="false">T1218*Settings!$B$3/SUM(S1218:X1218)</f>
        <v>33.3333333333333</v>
      </c>
      <c r="AA1218" s="2" t="n">
        <f aca="false">U1218*Settings!$B$3/SUM(S1218:X1218)</f>
        <v>159.574468085106</v>
      </c>
      <c r="AB1218" s="2" t="n">
        <f aca="false">V1218*Settings!$B$3/SUM(S1218:X1218)</f>
        <v>85.8156028368794</v>
      </c>
      <c r="AC1218" s="2" t="n">
        <f aca="false">W1218*Settings!$B$3/SUM(S1218:X1218)</f>
        <v>153.191489361702</v>
      </c>
      <c r="AD1218" s="2" t="n">
        <f aca="false">X1218*Settings!$B$3/SUM(S1218:X1218)</f>
        <v>40.4255319148936</v>
      </c>
      <c r="AE1218" s="2" t="n">
        <f aca="false">INT(Y1218)</f>
        <v>27</v>
      </c>
      <c r="AF1218" s="2" t="n">
        <f aca="false">INT(Z1218)</f>
        <v>33</v>
      </c>
      <c r="AG1218" s="2" t="n">
        <f aca="false">INT(AA1218)</f>
        <v>159</v>
      </c>
      <c r="AH1218" s="2" t="n">
        <f aca="false">INT(AB1218)</f>
        <v>85</v>
      </c>
      <c r="AI1218" s="2" t="n">
        <f aca="false">INT(AC1218)</f>
        <v>153</v>
      </c>
      <c r="AJ1218" s="2" t="n">
        <f aca="false">INT(AD1218)</f>
        <v>40</v>
      </c>
      <c r="AK1218" s="2" t="n">
        <f aca="false">Settings!$B$3-SUM(AE1218:AJ1218)</f>
        <v>3</v>
      </c>
      <c r="AL1218" s="2" t="n">
        <f aca="false">ROUND(Y1218-AE1218,9)</f>
        <v>0.659574468</v>
      </c>
      <c r="AM1218" s="2" t="n">
        <f aca="false">ROUND(Z1218-AF1218,9)</f>
        <v>0.333333333</v>
      </c>
      <c r="AN1218" s="2" t="n">
        <f aca="false">ROUND(AA1218-AG1218,9)</f>
        <v>0.574468085</v>
      </c>
      <c r="AO1218" s="2" t="n">
        <f aca="false">ROUND(AB1218-AH1218,9)</f>
        <v>0.815602837</v>
      </c>
      <c r="AP1218" s="2" t="n">
        <f aca="false">ROUND(AC1218-AI1218,9)</f>
        <v>0.191489362</v>
      </c>
      <c r="AQ1218" s="2" t="n">
        <f aca="false">ROUND(AD1218-AJ1218,9)</f>
        <v>0.425531915</v>
      </c>
    </row>
    <row r="1219" customFormat="false" ht="15" hidden="false" customHeight="false" outlineLevel="0" collapsed="false">
      <c r="A1219" s="2" t="n">
        <v>1218</v>
      </c>
      <c r="B1219" s="6" t="n">
        <v>37</v>
      </c>
      <c r="C1219" s="6" t="n">
        <v>49</v>
      </c>
      <c r="D1219" s="8" t="str">
        <f aca="false">INDEX(Bases!$B$2:$B$53,B1219)</f>
        <v>Shuckle</v>
      </c>
      <c r="E1219" s="8" t="str">
        <f aca="false">INDEX(Bases!$B$2:$B$53,C1219)</f>
        <v>Aron</v>
      </c>
      <c r="F1219" s="2" t="str">
        <f aca="false">LEFT(D1219,ROUNDUP(LEN(D1219)/2,0))&amp;LOWER(MID(E1219,ROUNDUP(LEN(E1219)/2,0)+1,20))</f>
        <v>Shucon</v>
      </c>
      <c r="G1219" s="8" t="str">
        <f aca="false">INDEX(Bases!$C$2:$C$53,B1219)</f>
        <v>Rock</v>
      </c>
      <c r="H1219" s="8" t="str">
        <f aca="false">IF(INDEX(Bases!$C$2:$C$53,C1219)=G1219,"",INDEX(Bases!$C$2:$C$53,C1219))</f>
        <v>Steel</v>
      </c>
      <c r="I1219" s="8" t="str">
        <f aca="false">IF(INDEX(Bases!$E$2:$E$53,B1219)="","",INDEX(Bases!$E$2:$E$53,B1219))</f>
        <v/>
      </c>
      <c r="J1219" s="8" t="str">
        <f aca="false">IF(INDEX(Bases!$E$2:$E$53,C1219)="","",INDEX(Bases!$E$2:$E$53,C1219))</f>
        <v/>
      </c>
      <c r="K1219" s="5"/>
      <c r="L1219" s="2" t="n">
        <f aca="false">AE1219+IF(SUMPRODUCT(--($AL1219:$AQ1219&gt;AL1219))&lt;$AK1219,1,0)</f>
        <v>49</v>
      </c>
      <c r="M1219" s="2" t="n">
        <f aca="false">AF1219+IF(SUMPRODUCT(--($AL1219:$AQ1219&gt;AM1219))+SUMPRODUCT(--($AL1219:AL1219=AM1219))&lt;$AK1219,1,0)</f>
        <v>64</v>
      </c>
      <c r="N1219" s="2" t="n">
        <f aca="false">AG1219+IF(SUMPRODUCT(--($AL1219:$AQ1219&gt;AN1219))+SUMPRODUCT(--($AL1219:AM1219=AN1219))&lt;$AK1219,1,0)</f>
        <v>174</v>
      </c>
      <c r="O1219" s="2" t="n">
        <f aca="false">AH1219+IF(SUMPRODUCT(--($AL1219:$AQ1219&gt;AO1219))+SUMPRODUCT(--($AL1219:AN1219=AO1219))&lt;$AK1219,1,0)</f>
        <v>38</v>
      </c>
      <c r="P1219" s="2" t="n">
        <f aca="false">AI1219+IF(SUMPRODUCT(--($AL1219:$AQ1219&gt;AP1219))+SUMPRODUCT(--($AL1219:AO1219=AP1219))&lt;$AK1219,1,0)</f>
        <v>148</v>
      </c>
      <c r="Q1219" s="2" t="n">
        <f aca="false">AJ1219+IF(SUMPRODUCT(--($AL1219:$AQ1219&gt;AQ1219))+SUMPRODUCT(--($AL1219:AP1219=AQ1219))&lt;$AK1219,1,0)</f>
        <v>27</v>
      </c>
      <c r="R1219" s="2" t="n">
        <f aca="false">SUM(L1219:Q1219)</f>
        <v>500</v>
      </c>
      <c r="S1219" s="2" t="n">
        <f aca="false">Settings!$B$4*MAX(INDEX(Bases!$M$2:$M$53,B1219),INDEX(Bases!$M$2:$M$53,C1219))+Settings!$B$5*MIN(INDEX(Bases!$M$2:$M$53,B1219),INDEX(Bases!$M$2:$M$53,C1219))</f>
        <v>46</v>
      </c>
      <c r="T1219" s="2" t="n">
        <f aca="false">Settings!$B$4*MAX(INDEX(Bases!$N$2:$N$53,B1219),INDEX(Bases!$N$2:$N$53,C1219))+Settings!$B$5*MIN(INDEX(Bases!$N$2:$N$53,B1219),INDEX(Bases!$N$2:$N$53,C1219))</f>
        <v>59.3333333333333</v>
      </c>
      <c r="U1219" s="2" t="n">
        <f aca="false">Settings!$B$4*MAX(INDEX(Bases!$O$2:$O$53,B1219),INDEX(Bases!$O$2:$O$53,C1219))+Settings!$B$5*MIN(INDEX(Bases!$O$2:$O$53,B1219),INDEX(Bases!$O$2:$O$53,C1219))</f>
        <v>161.666666666667</v>
      </c>
      <c r="V1219" s="2" t="n">
        <f aca="false">Settings!$B$4*MAX(INDEX(Bases!$P$2:$P$53,B1219),INDEX(Bases!$P$2:$P$53,C1219))+Settings!$B$5*MIN(INDEX(Bases!$P$2:$P$53,B1219),INDEX(Bases!$P$2:$P$53,C1219))</f>
        <v>35.3333333333333</v>
      </c>
      <c r="W1219" s="2" t="n">
        <f aca="false">Settings!$B$4*MAX(INDEX(Bases!$Q$2:$Q$53,B1219),INDEX(Bases!$Q$2:$Q$53,C1219))+Settings!$B$5*MIN(INDEX(Bases!$Q$2:$Q$53,B1219),INDEX(Bases!$Q$2:$Q$53,C1219))</f>
        <v>137.333333333333</v>
      </c>
      <c r="X1219" s="2" t="n">
        <f aca="false">Settings!$B$4*MAX(INDEX(Bases!$R$2:$R$53,B1219),INDEX(Bases!$R$2:$R$53,C1219))+Settings!$B$5*MIN(INDEX(Bases!$R$2:$R$53,B1219),INDEX(Bases!$R$2:$R$53,C1219))</f>
        <v>25.3333333333333</v>
      </c>
      <c r="Y1219" s="2" t="n">
        <f aca="false">S1219*Settings!$B$3/SUM(S1219:X1219)</f>
        <v>49.4623655913979</v>
      </c>
      <c r="Z1219" s="2" t="n">
        <f aca="false">T1219*Settings!$B$3/SUM(S1219:X1219)</f>
        <v>63.7992831541219</v>
      </c>
      <c r="AA1219" s="2" t="n">
        <f aca="false">U1219*Settings!$B$3/SUM(S1219:X1219)</f>
        <v>173.835125448029</v>
      </c>
      <c r="AB1219" s="2" t="n">
        <f aca="false">V1219*Settings!$B$3/SUM(S1219:X1219)</f>
        <v>37.9928315412186</v>
      </c>
      <c r="AC1219" s="2" t="n">
        <f aca="false">W1219*Settings!$B$3/SUM(S1219:X1219)</f>
        <v>147.670250896057</v>
      </c>
      <c r="AD1219" s="2" t="n">
        <f aca="false">X1219*Settings!$B$3/SUM(S1219:X1219)</f>
        <v>27.2401433691756</v>
      </c>
      <c r="AE1219" s="2" t="n">
        <f aca="false">INT(Y1219)</f>
        <v>49</v>
      </c>
      <c r="AF1219" s="2" t="n">
        <f aca="false">INT(Z1219)</f>
        <v>63</v>
      </c>
      <c r="AG1219" s="2" t="n">
        <f aca="false">INT(AA1219)</f>
        <v>173</v>
      </c>
      <c r="AH1219" s="2" t="n">
        <f aca="false">INT(AB1219)</f>
        <v>37</v>
      </c>
      <c r="AI1219" s="2" t="n">
        <f aca="false">INT(AC1219)</f>
        <v>147</v>
      </c>
      <c r="AJ1219" s="2" t="n">
        <f aca="false">INT(AD1219)</f>
        <v>27</v>
      </c>
      <c r="AK1219" s="2" t="n">
        <f aca="false">Settings!$B$3-SUM(AE1219:AJ1219)</f>
        <v>4</v>
      </c>
      <c r="AL1219" s="2" t="n">
        <f aca="false">ROUND(Y1219-AE1219,9)</f>
        <v>0.462365591</v>
      </c>
      <c r="AM1219" s="2" t="n">
        <f aca="false">ROUND(Z1219-AF1219,9)</f>
        <v>0.799283154</v>
      </c>
      <c r="AN1219" s="2" t="n">
        <f aca="false">ROUND(AA1219-AG1219,9)</f>
        <v>0.835125448</v>
      </c>
      <c r="AO1219" s="2" t="n">
        <f aca="false">ROUND(AB1219-AH1219,9)</f>
        <v>0.992831541</v>
      </c>
      <c r="AP1219" s="2" t="n">
        <f aca="false">ROUND(AC1219-AI1219,9)</f>
        <v>0.670250896</v>
      </c>
      <c r="AQ1219" s="2" t="n">
        <f aca="false">ROUND(AD1219-AJ1219,9)</f>
        <v>0.240143369</v>
      </c>
    </row>
    <row r="1220" customFormat="false" ht="15" hidden="false" customHeight="false" outlineLevel="0" collapsed="false">
      <c r="A1220" s="2" t="n">
        <v>1219</v>
      </c>
      <c r="B1220" s="6" t="n">
        <v>37</v>
      </c>
      <c r="C1220" s="6" t="n">
        <v>50</v>
      </c>
      <c r="D1220" s="8" t="str">
        <f aca="false">INDEX(Bases!$B$2:$B$53,B1220)</f>
        <v>Shuckle</v>
      </c>
      <c r="E1220" s="8" t="str">
        <f aca="false">INDEX(Bases!$B$2:$B$53,C1220)</f>
        <v>Beldum</v>
      </c>
      <c r="F1220" s="2" t="str">
        <f aca="false">LEFT(D1220,ROUNDUP(LEN(D1220)/2,0))&amp;LOWER(MID(E1220,ROUNDUP(LEN(E1220)/2,0)+1,20))</f>
        <v>Shucdum</v>
      </c>
      <c r="G1220" s="8" t="str">
        <f aca="false">INDEX(Bases!$C$2:$C$53,B1220)</f>
        <v>Rock</v>
      </c>
      <c r="H1220" s="8" t="str">
        <f aca="false">IF(INDEX(Bases!$C$2:$C$53,C1220)=G1220,"",INDEX(Bases!$C$2:$C$53,C1220))</f>
        <v>Steel</v>
      </c>
      <c r="I1220" s="8" t="str">
        <f aca="false">IF(INDEX(Bases!$E$2:$E$53,B1220)="","",INDEX(Bases!$E$2:$E$53,B1220))</f>
        <v/>
      </c>
      <c r="J1220" s="8" t="str">
        <f aca="false">IF(INDEX(Bases!$E$2:$E$53,C1220)="","",INDEX(Bases!$E$2:$E$53,C1220))</f>
        <v/>
      </c>
      <c r="K1220" s="5"/>
      <c r="L1220" s="2" t="n">
        <f aca="false">AE1220+IF(SUMPRODUCT(--($AL1220:$AQ1220&gt;AL1220))&lt;$AK1220,1,0)</f>
        <v>44</v>
      </c>
      <c r="M1220" s="2" t="n">
        <f aca="false">AF1220+IF(SUMPRODUCT(--($AL1220:$AQ1220&gt;AM1220))+SUMPRODUCT(--($AL1220:AL1220=AM1220))&lt;$AK1220,1,0)</f>
        <v>56</v>
      </c>
      <c r="N1220" s="2" t="n">
        <f aca="false">AG1220+IF(SUMPRODUCT(--($AL1220:$AQ1220&gt;AN1220))+SUMPRODUCT(--($AL1220:AM1220=AN1220))&lt;$AK1220,1,0)</f>
        <v>171</v>
      </c>
      <c r="O1220" s="2" t="n">
        <f aca="false">AH1220+IF(SUMPRODUCT(--($AL1220:$AQ1220&gt;AO1220))+SUMPRODUCT(--($AL1220:AN1220=AO1220))&lt;$AK1220,1,0)</f>
        <v>37</v>
      </c>
      <c r="P1220" s="2" t="n">
        <f aca="false">AI1220+IF(SUMPRODUCT(--($AL1220:$AQ1220&gt;AP1220))+SUMPRODUCT(--($AL1220:AO1220=AP1220))&lt;$AK1220,1,0)</f>
        <v>161</v>
      </c>
      <c r="Q1220" s="2" t="n">
        <f aca="false">AJ1220+IF(SUMPRODUCT(--($AL1220:$AQ1220&gt;AQ1220))+SUMPRODUCT(--($AL1220:AP1220=AQ1220))&lt;$AK1220,1,0)</f>
        <v>31</v>
      </c>
      <c r="R1220" s="2" t="n">
        <f aca="false">SUM(L1220:Q1220)</f>
        <v>500</v>
      </c>
      <c r="S1220" s="2" t="n">
        <f aca="false">Settings!$B$4*MAX(INDEX(Bases!$M$2:$M$53,B1220),INDEX(Bases!$M$2:$M$53,C1220))+Settings!$B$5*MIN(INDEX(Bases!$M$2:$M$53,B1220),INDEX(Bases!$M$2:$M$53,C1220))</f>
        <v>40.6666666666667</v>
      </c>
      <c r="T1220" s="2" t="n">
        <f aca="false">Settings!$B$4*MAX(INDEX(Bases!$N$2:$N$53,B1220),INDEX(Bases!$N$2:$N$53,C1220))+Settings!$B$5*MIN(INDEX(Bases!$N$2:$N$53,B1220),INDEX(Bases!$N$2:$N$53,C1220))</f>
        <v>51.3333333333333</v>
      </c>
      <c r="U1220" s="2" t="n">
        <f aca="false">Settings!$B$4*MAX(INDEX(Bases!$O$2:$O$53,B1220),INDEX(Bases!$O$2:$O$53,C1220))+Settings!$B$5*MIN(INDEX(Bases!$O$2:$O$53,B1220),INDEX(Bases!$O$2:$O$53,C1220))</f>
        <v>157</v>
      </c>
      <c r="V1220" s="2" t="n">
        <f aca="false">Settings!$B$4*MAX(INDEX(Bases!$P$2:$P$53,B1220),INDEX(Bases!$P$2:$P$53,C1220))+Settings!$B$5*MIN(INDEX(Bases!$P$2:$P$53,B1220),INDEX(Bases!$P$2:$P$53,C1220))</f>
        <v>34</v>
      </c>
      <c r="W1220" s="2" t="n">
        <f aca="false">Settings!$B$4*MAX(INDEX(Bases!$Q$2:$Q$53,B1220),INDEX(Bases!$Q$2:$Q$53,C1220))+Settings!$B$5*MIN(INDEX(Bases!$Q$2:$Q$53,B1220),INDEX(Bases!$Q$2:$Q$53,C1220))</f>
        <v>148</v>
      </c>
      <c r="X1220" s="2" t="n">
        <f aca="false">Settings!$B$4*MAX(INDEX(Bases!$R$2:$R$53,B1220),INDEX(Bases!$R$2:$R$53,C1220))+Settings!$B$5*MIN(INDEX(Bases!$R$2:$R$53,B1220),INDEX(Bases!$R$2:$R$53,C1220))</f>
        <v>28</v>
      </c>
      <c r="Y1220" s="2" t="n">
        <f aca="false">S1220*Settings!$B$3/SUM(S1220:X1220)</f>
        <v>44.2992011619463</v>
      </c>
      <c r="Z1220" s="2" t="n">
        <f aca="false">T1220*Settings!$B$3/SUM(S1220:X1220)</f>
        <v>55.918663761801</v>
      </c>
      <c r="AA1220" s="2" t="n">
        <f aca="false">U1220*Settings!$B$3/SUM(S1220:X1220)</f>
        <v>171.023965141612</v>
      </c>
      <c r="AB1220" s="2" t="n">
        <f aca="false">V1220*Settings!$B$3/SUM(S1220:X1220)</f>
        <v>37.037037037037</v>
      </c>
      <c r="AC1220" s="2" t="n">
        <f aca="false">W1220*Settings!$B$3/SUM(S1220:X1220)</f>
        <v>161.220043572985</v>
      </c>
      <c r="AD1220" s="2" t="n">
        <f aca="false">X1220*Settings!$B$3/SUM(S1220:X1220)</f>
        <v>30.5010893246187</v>
      </c>
      <c r="AE1220" s="2" t="n">
        <f aca="false">INT(Y1220)</f>
        <v>44</v>
      </c>
      <c r="AF1220" s="2" t="n">
        <f aca="false">INT(Z1220)</f>
        <v>55</v>
      </c>
      <c r="AG1220" s="2" t="n">
        <f aca="false">INT(AA1220)</f>
        <v>171</v>
      </c>
      <c r="AH1220" s="2" t="n">
        <f aca="false">INT(AB1220)</f>
        <v>37</v>
      </c>
      <c r="AI1220" s="2" t="n">
        <f aca="false">INT(AC1220)</f>
        <v>161</v>
      </c>
      <c r="AJ1220" s="2" t="n">
        <f aca="false">INT(AD1220)</f>
        <v>30</v>
      </c>
      <c r="AK1220" s="2" t="n">
        <f aca="false">Settings!$B$3-SUM(AE1220:AJ1220)</f>
        <v>2</v>
      </c>
      <c r="AL1220" s="2" t="n">
        <f aca="false">ROUND(Y1220-AE1220,9)</f>
        <v>0.299201162</v>
      </c>
      <c r="AM1220" s="2" t="n">
        <f aca="false">ROUND(Z1220-AF1220,9)</f>
        <v>0.918663762</v>
      </c>
      <c r="AN1220" s="2" t="n">
        <f aca="false">ROUND(AA1220-AG1220,9)</f>
        <v>0.023965142</v>
      </c>
      <c r="AO1220" s="2" t="n">
        <f aca="false">ROUND(AB1220-AH1220,9)</f>
        <v>0.037037037</v>
      </c>
      <c r="AP1220" s="2" t="n">
        <f aca="false">ROUND(AC1220-AI1220,9)</f>
        <v>0.220043573</v>
      </c>
      <c r="AQ1220" s="2" t="n">
        <f aca="false">ROUND(AD1220-AJ1220,9)</f>
        <v>0.501089325</v>
      </c>
    </row>
    <row r="1221" customFormat="false" ht="15" hidden="false" customHeight="false" outlineLevel="0" collapsed="false">
      <c r="A1221" s="2" t="n">
        <v>1220</v>
      </c>
      <c r="B1221" s="6" t="n">
        <v>37</v>
      </c>
      <c r="C1221" s="6" t="n">
        <v>51</v>
      </c>
      <c r="D1221" s="8" t="str">
        <f aca="false">INDEX(Bases!$B$2:$B$53,B1221)</f>
        <v>Shuckle</v>
      </c>
      <c r="E1221" s="8" t="str">
        <f aca="false">INDEX(Bases!$B$2:$B$53,C1221)</f>
        <v>Cleffa</v>
      </c>
      <c r="F1221" s="2" t="str">
        <f aca="false">LEFT(D1221,ROUNDUP(LEN(D1221)/2,0))&amp;LOWER(MID(E1221,ROUNDUP(LEN(E1221)/2,0)+1,20))</f>
        <v>Shucffa</v>
      </c>
      <c r="G1221" s="8" t="str">
        <f aca="false">INDEX(Bases!$C$2:$C$53,B1221)</f>
        <v>Rock</v>
      </c>
      <c r="H1221" s="8" t="str">
        <f aca="false">IF(INDEX(Bases!$C$2:$C$53,C1221)=G1221,"",INDEX(Bases!$C$2:$C$53,C1221))</f>
        <v>Fairy</v>
      </c>
      <c r="I1221" s="8" t="str">
        <f aca="false">IF(INDEX(Bases!$E$2:$E$53,B1221)="","",INDEX(Bases!$E$2:$E$53,B1221))</f>
        <v/>
      </c>
      <c r="J1221" s="8" t="str">
        <f aca="false">IF(INDEX(Bases!$E$2:$E$53,C1221)="","",INDEX(Bases!$E$2:$E$53,C1221))</f>
        <v/>
      </c>
      <c r="K1221" s="5"/>
      <c r="L1221" s="2" t="n">
        <f aca="false">AE1221+IF(SUMPRODUCT(--($AL1221:$AQ1221&gt;AL1221))&lt;$AK1221,1,0)</f>
        <v>71</v>
      </c>
      <c r="M1221" s="2" t="n">
        <f aca="false">AF1221+IF(SUMPRODUCT(--($AL1221:$AQ1221&gt;AM1221))+SUMPRODUCT(--($AL1221:AL1221=AM1221))&lt;$AK1221,1,0)</f>
        <v>35</v>
      </c>
      <c r="N1221" s="2" t="n">
        <f aca="false">AG1221+IF(SUMPRODUCT(--($AL1221:$AQ1221&gt;AN1221))+SUMPRODUCT(--($AL1221:AM1221=AN1221))&lt;$AK1221,1,0)</f>
        <v>147</v>
      </c>
      <c r="O1221" s="2" t="n">
        <f aca="false">AH1221+IF(SUMPRODUCT(--($AL1221:$AQ1221&gt;AO1221))+SUMPRODUCT(--($AL1221:AN1221=AO1221))&lt;$AK1221,1,0)</f>
        <v>62</v>
      </c>
      <c r="P1221" s="2" t="n">
        <f aca="false">AI1221+IF(SUMPRODUCT(--($AL1221:$AQ1221&gt;AP1221))+SUMPRODUCT(--($AL1221:AO1221=AP1221))&lt;$AK1221,1,0)</f>
        <v>165</v>
      </c>
      <c r="Q1221" s="2" t="n">
        <f aca="false">AJ1221+IF(SUMPRODUCT(--($AL1221:$AQ1221&gt;AQ1221))+SUMPRODUCT(--($AL1221:AP1221=AQ1221))&lt;$AK1221,1,0)</f>
        <v>20</v>
      </c>
      <c r="R1221" s="2" t="n">
        <f aca="false">SUM(L1221:Q1221)</f>
        <v>500</v>
      </c>
      <c r="S1221" s="2" t="n">
        <f aca="false">Settings!$B$4*MAX(INDEX(Bases!$M$2:$M$53,B1221),INDEX(Bases!$M$2:$M$53,C1221))+Settings!$B$5*MIN(INDEX(Bases!$M$2:$M$53,B1221),INDEX(Bases!$M$2:$M$53,C1221))</f>
        <v>66.6666666666667</v>
      </c>
      <c r="T1221" s="2" t="n">
        <f aca="false">Settings!$B$4*MAX(INDEX(Bases!$N$2:$N$53,B1221),INDEX(Bases!$N$2:$N$53,C1221))+Settings!$B$5*MIN(INDEX(Bases!$N$2:$N$53,B1221),INDEX(Bases!$N$2:$N$53,C1221))</f>
        <v>33.3333333333333</v>
      </c>
      <c r="U1221" s="2" t="n">
        <f aca="false">Settings!$B$4*MAX(INDEX(Bases!$O$2:$O$53,B1221),INDEX(Bases!$O$2:$O$53,C1221))+Settings!$B$5*MIN(INDEX(Bases!$O$2:$O$53,B1221),INDEX(Bases!$O$2:$O$53,C1221))</f>
        <v>138.333333333333</v>
      </c>
      <c r="V1221" s="2" t="n">
        <f aca="false">Settings!$B$4*MAX(INDEX(Bases!$P$2:$P$53,B1221),INDEX(Bases!$P$2:$P$53,C1221))+Settings!$B$5*MIN(INDEX(Bases!$P$2:$P$53,B1221),INDEX(Bases!$P$2:$P$53,C1221))</f>
        <v>58</v>
      </c>
      <c r="W1221" s="2" t="n">
        <f aca="false">Settings!$B$4*MAX(INDEX(Bases!$Q$2:$Q$53,B1221),INDEX(Bases!$Q$2:$Q$53,C1221))+Settings!$B$5*MIN(INDEX(Bases!$Q$2:$Q$53,B1221),INDEX(Bases!$Q$2:$Q$53,C1221))</f>
        <v>155</v>
      </c>
      <c r="X1221" s="2" t="n">
        <f aca="false">Settings!$B$4*MAX(INDEX(Bases!$R$2:$R$53,B1221),INDEX(Bases!$R$2:$R$53,C1221))+Settings!$B$5*MIN(INDEX(Bases!$R$2:$R$53,B1221),INDEX(Bases!$R$2:$R$53,C1221))</f>
        <v>19.3333333333333</v>
      </c>
      <c r="Y1221" s="2" t="n">
        <f aca="false">S1221*Settings!$B$3/SUM(S1221:X1221)</f>
        <v>70.8215297450425</v>
      </c>
      <c r="Z1221" s="2" t="n">
        <f aca="false">T1221*Settings!$B$3/SUM(S1221:X1221)</f>
        <v>35.4107648725212</v>
      </c>
      <c r="AA1221" s="2" t="n">
        <f aca="false">U1221*Settings!$B$3/SUM(S1221:X1221)</f>
        <v>146.954674220963</v>
      </c>
      <c r="AB1221" s="2" t="n">
        <f aca="false">V1221*Settings!$B$3/SUM(S1221:X1221)</f>
        <v>61.614730878187</v>
      </c>
      <c r="AC1221" s="2" t="n">
        <f aca="false">W1221*Settings!$B$3/SUM(S1221:X1221)</f>
        <v>164.660056657224</v>
      </c>
      <c r="AD1221" s="2" t="n">
        <f aca="false">X1221*Settings!$B$3/SUM(S1221:X1221)</f>
        <v>20.5382436260623</v>
      </c>
      <c r="AE1221" s="2" t="n">
        <f aca="false">INT(Y1221)</f>
        <v>70</v>
      </c>
      <c r="AF1221" s="2" t="n">
        <f aca="false">INT(Z1221)</f>
        <v>35</v>
      </c>
      <c r="AG1221" s="2" t="n">
        <f aca="false">INT(AA1221)</f>
        <v>146</v>
      </c>
      <c r="AH1221" s="2" t="n">
        <f aca="false">INT(AB1221)</f>
        <v>61</v>
      </c>
      <c r="AI1221" s="2" t="n">
        <f aca="false">INT(AC1221)</f>
        <v>164</v>
      </c>
      <c r="AJ1221" s="2" t="n">
        <f aca="false">INT(AD1221)</f>
        <v>20</v>
      </c>
      <c r="AK1221" s="2" t="n">
        <f aca="false">Settings!$B$3-SUM(AE1221:AJ1221)</f>
        <v>4</v>
      </c>
      <c r="AL1221" s="2" t="n">
        <f aca="false">ROUND(Y1221-AE1221,9)</f>
        <v>0.821529745</v>
      </c>
      <c r="AM1221" s="2" t="n">
        <f aca="false">ROUND(Z1221-AF1221,9)</f>
        <v>0.410764873</v>
      </c>
      <c r="AN1221" s="2" t="n">
        <f aca="false">ROUND(AA1221-AG1221,9)</f>
        <v>0.954674221</v>
      </c>
      <c r="AO1221" s="2" t="n">
        <f aca="false">ROUND(AB1221-AH1221,9)</f>
        <v>0.614730878</v>
      </c>
      <c r="AP1221" s="2" t="n">
        <f aca="false">ROUND(AC1221-AI1221,9)</f>
        <v>0.660056657</v>
      </c>
      <c r="AQ1221" s="2" t="n">
        <f aca="false">ROUND(AD1221-AJ1221,9)</f>
        <v>0.538243626</v>
      </c>
    </row>
    <row r="1222" customFormat="false" ht="15" hidden="false" customHeight="false" outlineLevel="0" collapsed="false">
      <c r="A1222" s="2" t="n">
        <v>1221</v>
      </c>
      <c r="B1222" s="6" t="n">
        <v>37</v>
      </c>
      <c r="C1222" s="6" t="n">
        <v>52</v>
      </c>
      <c r="D1222" s="8" t="str">
        <f aca="false">INDEX(Bases!$B$2:$B$53,B1222)</f>
        <v>Shuckle</v>
      </c>
      <c r="E1222" s="8" t="str">
        <f aca="false">INDEX(Bases!$B$2:$B$53,C1222)</f>
        <v>Togepi</v>
      </c>
      <c r="F1222" s="2" t="str">
        <f aca="false">LEFT(D1222,ROUNDUP(LEN(D1222)/2,0))&amp;LOWER(MID(E1222,ROUNDUP(LEN(E1222)/2,0)+1,20))</f>
        <v>Shucepi</v>
      </c>
      <c r="G1222" s="8" t="str">
        <f aca="false">INDEX(Bases!$C$2:$C$53,B1222)</f>
        <v>Rock</v>
      </c>
      <c r="H1222" s="8" t="str">
        <f aca="false">IF(INDEX(Bases!$C$2:$C$53,C1222)=G1222,"",INDEX(Bases!$C$2:$C$53,C1222))</f>
        <v>Fairy</v>
      </c>
      <c r="I1222" s="8" t="str">
        <f aca="false">IF(INDEX(Bases!$E$2:$E$53,B1222)="","",INDEX(Bases!$E$2:$E$53,B1222))</f>
        <v/>
      </c>
      <c r="J1222" s="8" t="str">
        <f aca="false">IF(INDEX(Bases!$E$2:$E$53,C1222)="","",INDEX(Bases!$E$2:$E$53,C1222))</f>
        <v/>
      </c>
      <c r="K1222" s="5"/>
      <c r="L1222" s="2" t="n">
        <f aca="false">AE1222+IF(SUMPRODUCT(--($AL1222:$AQ1222&gt;AL1222))&lt;$AK1222,1,0)</f>
        <v>48</v>
      </c>
      <c r="M1222" s="2" t="n">
        <f aca="false">AF1222+IF(SUMPRODUCT(--($AL1222:$AQ1222&gt;AM1222))+SUMPRODUCT(--($AL1222:AL1222=AM1222))&lt;$AK1222,1,0)</f>
        <v>27</v>
      </c>
      <c r="N1222" s="2" t="n">
        <f aca="false">AG1222+IF(SUMPRODUCT(--($AL1222:$AQ1222&gt;AN1222))+SUMPRODUCT(--($AL1222:AM1222=AN1222))&lt;$AK1222,1,0)</f>
        <v>174</v>
      </c>
      <c r="O1222" s="2" t="n">
        <f aca="false">AH1222+IF(SUMPRODUCT(--($AL1222:$AQ1222&gt;AO1222))+SUMPRODUCT(--($AL1222:AN1222=AO1222))&lt;$AK1222,1,0)</f>
        <v>51</v>
      </c>
      <c r="P1222" s="2" t="n">
        <f aca="false">AI1222+IF(SUMPRODUCT(--($AL1222:$AQ1222&gt;AP1222))+SUMPRODUCT(--($AL1222:AO1222=AP1222))&lt;$AK1222,1,0)</f>
        <v>174</v>
      </c>
      <c r="Q1222" s="2" t="n">
        <f aca="false">AJ1222+IF(SUMPRODUCT(--($AL1222:$AQ1222&gt;AQ1222))+SUMPRODUCT(--($AL1222:AP1222=AQ1222))&lt;$AK1222,1,0)</f>
        <v>26</v>
      </c>
      <c r="R1222" s="2" t="n">
        <f aca="false">SUM(L1222:Q1222)</f>
        <v>500</v>
      </c>
      <c r="S1222" s="2" t="n">
        <f aca="false">Settings!$B$4*MAX(INDEX(Bases!$M$2:$M$53,B1222),INDEX(Bases!$M$2:$M$53,C1222))+Settings!$B$5*MIN(INDEX(Bases!$M$2:$M$53,B1222),INDEX(Bases!$M$2:$M$53,C1222))</f>
        <v>43.3333333333333</v>
      </c>
      <c r="T1222" s="2" t="n">
        <f aca="false">Settings!$B$4*MAX(INDEX(Bases!$N$2:$N$53,B1222),INDEX(Bases!$N$2:$N$53,C1222))+Settings!$B$5*MIN(INDEX(Bases!$N$2:$N$53,B1222),INDEX(Bases!$N$2:$N$53,C1222))</f>
        <v>24.6666666666667</v>
      </c>
      <c r="U1222" s="2" t="n">
        <f aca="false">Settings!$B$4*MAX(INDEX(Bases!$O$2:$O$53,B1222),INDEX(Bases!$O$2:$O$53,C1222))+Settings!$B$5*MIN(INDEX(Bases!$O$2:$O$53,B1222),INDEX(Bases!$O$2:$O$53,C1222))</f>
        <v>156.666666666667</v>
      </c>
      <c r="V1222" s="2" t="n">
        <f aca="false">Settings!$B$4*MAX(INDEX(Bases!$P$2:$P$53,B1222),INDEX(Bases!$P$2:$P$53,C1222))+Settings!$B$5*MIN(INDEX(Bases!$P$2:$P$53,B1222),INDEX(Bases!$P$2:$P$53,C1222))</f>
        <v>46</v>
      </c>
      <c r="W1222" s="2" t="n">
        <f aca="false">Settings!$B$4*MAX(INDEX(Bases!$Q$2:$Q$53,B1222),INDEX(Bases!$Q$2:$Q$53,C1222))+Settings!$B$5*MIN(INDEX(Bases!$Q$2:$Q$53,B1222),INDEX(Bases!$Q$2:$Q$53,C1222))</f>
        <v>156.666666666667</v>
      </c>
      <c r="X1222" s="2" t="n">
        <f aca="false">Settings!$B$4*MAX(INDEX(Bases!$R$2:$R$53,B1222),INDEX(Bases!$R$2:$R$53,C1222))+Settings!$B$5*MIN(INDEX(Bases!$R$2:$R$53,B1222),INDEX(Bases!$R$2:$R$53,C1222))</f>
        <v>23.3333333333333</v>
      </c>
      <c r="Y1222" s="2" t="n">
        <f aca="false">S1222*Settings!$B$3/SUM(S1222:X1222)</f>
        <v>48.0769230769231</v>
      </c>
      <c r="Z1222" s="2" t="n">
        <f aca="false">T1222*Settings!$B$3/SUM(S1222:X1222)</f>
        <v>27.3668639053255</v>
      </c>
      <c r="AA1222" s="2" t="n">
        <f aca="false">U1222*Settings!$B$3/SUM(S1222:X1222)</f>
        <v>173.816568047337</v>
      </c>
      <c r="AB1222" s="2" t="n">
        <f aca="false">V1222*Settings!$B$3/SUM(S1222:X1222)</f>
        <v>51.0355029585799</v>
      </c>
      <c r="AC1222" s="2" t="n">
        <f aca="false">W1222*Settings!$B$3/SUM(S1222:X1222)</f>
        <v>173.816568047337</v>
      </c>
      <c r="AD1222" s="2" t="n">
        <f aca="false">X1222*Settings!$B$3/SUM(S1222:X1222)</f>
        <v>25.887573964497</v>
      </c>
      <c r="AE1222" s="2" t="n">
        <f aca="false">INT(Y1222)</f>
        <v>48</v>
      </c>
      <c r="AF1222" s="2" t="n">
        <f aca="false">INT(Z1222)</f>
        <v>27</v>
      </c>
      <c r="AG1222" s="2" t="n">
        <f aca="false">INT(AA1222)</f>
        <v>173</v>
      </c>
      <c r="AH1222" s="2" t="n">
        <f aca="false">INT(AB1222)</f>
        <v>51</v>
      </c>
      <c r="AI1222" s="2" t="n">
        <f aca="false">INT(AC1222)</f>
        <v>173</v>
      </c>
      <c r="AJ1222" s="2" t="n">
        <f aca="false">INT(AD1222)</f>
        <v>25</v>
      </c>
      <c r="AK1222" s="2" t="n">
        <f aca="false">Settings!$B$3-SUM(AE1222:AJ1222)</f>
        <v>3</v>
      </c>
      <c r="AL1222" s="2" t="n">
        <f aca="false">ROUND(Y1222-AE1222,9)</f>
        <v>0.076923077</v>
      </c>
      <c r="AM1222" s="2" t="n">
        <f aca="false">ROUND(Z1222-AF1222,9)</f>
        <v>0.366863905</v>
      </c>
      <c r="AN1222" s="2" t="n">
        <f aca="false">ROUND(AA1222-AG1222,9)</f>
        <v>0.816568047</v>
      </c>
      <c r="AO1222" s="2" t="n">
        <f aca="false">ROUND(AB1222-AH1222,9)</f>
        <v>0.035502959</v>
      </c>
      <c r="AP1222" s="2" t="n">
        <f aca="false">ROUND(AC1222-AI1222,9)</f>
        <v>0.816568047</v>
      </c>
      <c r="AQ1222" s="2" t="n">
        <f aca="false">ROUND(AD1222-AJ1222,9)</f>
        <v>0.887573964</v>
      </c>
    </row>
    <row r="1223" customFormat="false" ht="15" hidden="false" customHeight="false" outlineLevel="0" collapsed="false">
      <c r="A1223" s="2" t="n">
        <v>1222</v>
      </c>
      <c r="B1223" s="6" t="n">
        <v>38</v>
      </c>
      <c r="C1223" s="6" t="n">
        <v>39</v>
      </c>
      <c r="D1223" s="8" t="str">
        <f aca="false">INDEX(Bases!$B$2:$B$53,B1223)</f>
        <v>Larvitar</v>
      </c>
      <c r="E1223" s="8" t="str">
        <f aca="false">INDEX(Bases!$B$2:$B$53,C1223)</f>
        <v>Nosepass</v>
      </c>
      <c r="F1223" s="2" t="str">
        <f aca="false">LEFT(D1223,ROUNDUP(LEN(D1223)/2,0))&amp;LOWER(MID(E1223,ROUNDUP(LEN(E1223)/2,0)+1,20))</f>
        <v>Larvpass</v>
      </c>
      <c r="G1223" s="8" t="str">
        <f aca="false">INDEX(Bases!$C$2:$C$53,B1223)</f>
        <v>Rock</v>
      </c>
      <c r="H1223" s="8" t="str">
        <f aca="false">IF(INDEX(Bases!$C$2:$C$53,C1223)=G1223,"",INDEX(Bases!$C$2:$C$53,C1223))</f>
        <v/>
      </c>
      <c r="I1223" s="8" t="str">
        <f aca="false">IF(INDEX(Bases!$E$2:$E$53,B1223)="","",INDEX(Bases!$E$2:$E$53,B1223))</f>
        <v/>
      </c>
      <c r="J1223" s="8" t="str">
        <f aca="false">IF(INDEX(Bases!$E$2:$E$53,C1223)="","",INDEX(Bases!$E$2:$E$53,C1223))</f>
        <v/>
      </c>
      <c r="K1223" s="5"/>
      <c r="L1223" s="2" t="n">
        <f aca="false">AE1223+IF(SUMPRODUCT(--($AL1223:$AQ1223&gt;AL1223))&lt;$AK1223,1,0)</f>
        <v>64</v>
      </c>
      <c r="M1223" s="2" t="n">
        <f aca="false">AF1223+IF(SUMPRODUCT(--($AL1223:$AQ1223&gt;AM1223))+SUMPRODUCT(--($AL1223:AL1223=AM1223))&lt;$AK1223,1,0)</f>
        <v>83</v>
      </c>
      <c r="N1223" s="2" t="n">
        <f aca="false">AG1223+IF(SUMPRODUCT(--($AL1223:$AQ1223&gt;AN1223))+SUMPRODUCT(--($AL1223:AM1223=AN1223))&lt;$AK1223,1,0)</f>
        <v>136</v>
      </c>
      <c r="O1223" s="2" t="n">
        <f aca="false">AH1223+IF(SUMPRODUCT(--($AL1223:$AQ1223&gt;AO1223))+SUMPRODUCT(--($AL1223:AN1223=AO1223))&lt;$AK1223,1,0)</f>
        <v>64</v>
      </c>
      <c r="P1223" s="2" t="n">
        <f aca="false">AI1223+IF(SUMPRODUCT(--($AL1223:$AQ1223&gt;AP1223))+SUMPRODUCT(--($AL1223:AO1223=AP1223))&lt;$AK1223,1,0)</f>
        <v>99</v>
      </c>
      <c r="Q1223" s="2" t="n">
        <f aca="false">AJ1223+IF(SUMPRODUCT(--($AL1223:$AQ1223&gt;AQ1223))+SUMPRODUCT(--($AL1223:AP1223=AQ1223))&lt;$AK1223,1,0)</f>
        <v>54</v>
      </c>
      <c r="R1223" s="2" t="n">
        <f aca="false">SUM(L1223:Q1223)</f>
        <v>500</v>
      </c>
      <c r="S1223" s="2" t="n">
        <f aca="false">Settings!$B$4*MAX(INDEX(Bases!$M$2:$M$53,B1223),INDEX(Bases!$M$2:$M$53,C1223))+Settings!$B$5*MIN(INDEX(Bases!$M$2:$M$53,B1223),INDEX(Bases!$M$2:$M$53,C1223))</f>
        <v>55.3333333333333</v>
      </c>
      <c r="T1223" s="2" t="n">
        <f aca="false">Settings!$B$4*MAX(INDEX(Bases!$N$2:$N$53,B1223),INDEX(Bases!$N$2:$N$53,C1223))+Settings!$B$5*MIN(INDEX(Bases!$N$2:$N$53,B1223),INDEX(Bases!$N$2:$N$53,C1223))</f>
        <v>72.6666666666667</v>
      </c>
      <c r="U1223" s="2" t="n">
        <f aca="false">Settings!$B$4*MAX(INDEX(Bases!$O$2:$O$53,B1223),INDEX(Bases!$O$2:$O$53,C1223))+Settings!$B$5*MIN(INDEX(Bases!$O$2:$O$53,B1223),INDEX(Bases!$O$2:$O$53,C1223))</f>
        <v>118.333333333333</v>
      </c>
      <c r="V1223" s="2" t="n">
        <f aca="false">Settings!$B$4*MAX(INDEX(Bases!$P$2:$P$53,B1223),INDEX(Bases!$P$2:$P$53,C1223))+Settings!$B$5*MIN(INDEX(Bases!$P$2:$P$53,B1223),INDEX(Bases!$P$2:$P$53,C1223))</f>
        <v>56</v>
      </c>
      <c r="W1223" s="2" t="n">
        <f aca="false">Settings!$B$4*MAX(INDEX(Bases!$Q$2:$Q$53,B1223),INDEX(Bases!$Q$2:$Q$53,C1223))+Settings!$B$5*MIN(INDEX(Bases!$Q$2:$Q$53,B1223),INDEX(Bases!$Q$2:$Q$53,C1223))</f>
        <v>86.3333333333333</v>
      </c>
      <c r="X1223" s="2" t="n">
        <f aca="false">Settings!$B$4*MAX(INDEX(Bases!$R$2:$R$53,B1223),INDEX(Bases!$R$2:$R$53,C1223))+Settings!$B$5*MIN(INDEX(Bases!$R$2:$R$53,B1223),INDEX(Bases!$R$2:$R$53,C1223))</f>
        <v>46.6666666666667</v>
      </c>
      <c r="Y1223" s="2" t="n">
        <f aca="false">S1223*Settings!$B$3/SUM(S1223:X1223)</f>
        <v>63.5528330781011</v>
      </c>
      <c r="Z1223" s="2" t="n">
        <f aca="false">T1223*Settings!$B$3/SUM(S1223:X1223)</f>
        <v>83.4609494640122</v>
      </c>
      <c r="AA1223" s="2" t="n">
        <f aca="false">U1223*Settings!$B$3/SUM(S1223:X1223)</f>
        <v>135.911179173048</v>
      </c>
      <c r="AB1223" s="2" t="n">
        <f aca="false">V1223*Settings!$B$3/SUM(S1223:X1223)</f>
        <v>64.3185298621746</v>
      </c>
      <c r="AC1223" s="2" t="n">
        <f aca="false">W1223*Settings!$B$3/SUM(S1223:X1223)</f>
        <v>99.1577335375192</v>
      </c>
      <c r="AD1223" s="2" t="n">
        <f aca="false">X1223*Settings!$B$3/SUM(S1223:X1223)</f>
        <v>53.5987748851455</v>
      </c>
      <c r="AE1223" s="2" t="n">
        <f aca="false">INT(Y1223)</f>
        <v>63</v>
      </c>
      <c r="AF1223" s="2" t="n">
        <f aca="false">INT(Z1223)</f>
        <v>83</v>
      </c>
      <c r="AG1223" s="2" t="n">
        <f aca="false">INT(AA1223)</f>
        <v>135</v>
      </c>
      <c r="AH1223" s="2" t="n">
        <f aca="false">INT(AB1223)</f>
        <v>64</v>
      </c>
      <c r="AI1223" s="2" t="n">
        <f aca="false">INT(AC1223)</f>
        <v>99</v>
      </c>
      <c r="AJ1223" s="2" t="n">
        <f aca="false">INT(AD1223)</f>
        <v>53</v>
      </c>
      <c r="AK1223" s="2" t="n">
        <f aca="false">Settings!$B$3-SUM(AE1223:AJ1223)</f>
        <v>3</v>
      </c>
      <c r="AL1223" s="2" t="n">
        <f aca="false">ROUND(Y1223-AE1223,9)</f>
        <v>0.552833078</v>
      </c>
      <c r="AM1223" s="2" t="n">
        <f aca="false">ROUND(Z1223-AF1223,9)</f>
        <v>0.460949464</v>
      </c>
      <c r="AN1223" s="2" t="n">
        <f aca="false">ROUND(AA1223-AG1223,9)</f>
        <v>0.911179173</v>
      </c>
      <c r="AO1223" s="2" t="n">
        <f aca="false">ROUND(AB1223-AH1223,9)</f>
        <v>0.318529862</v>
      </c>
      <c r="AP1223" s="2" t="n">
        <f aca="false">ROUND(AC1223-AI1223,9)</f>
        <v>0.157733538</v>
      </c>
      <c r="AQ1223" s="2" t="n">
        <f aca="false">ROUND(AD1223-AJ1223,9)</f>
        <v>0.598774885</v>
      </c>
    </row>
    <row r="1224" customFormat="false" ht="15" hidden="false" customHeight="false" outlineLevel="0" collapsed="false">
      <c r="A1224" s="2" t="n">
        <v>1223</v>
      </c>
      <c r="B1224" s="6" t="n">
        <v>38</v>
      </c>
      <c r="C1224" s="6" t="n">
        <v>40</v>
      </c>
      <c r="D1224" s="8" t="str">
        <f aca="false">INDEX(Bases!$B$2:$B$53,B1224)</f>
        <v>Larvitar</v>
      </c>
      <c r="E1224" s="8" t="str">
        <f aca="false">INDEX(Bases!$B$2:$B$53,C1224)</f>
        <v>Gastly</v>
      </c>
      <c r="F1224" s="2" t="str">
        <f aca="false">LEFT(D1224,ROUNDUP(LEN(D1224)/2,0))&amp;LOWER(MID(E1224,ROUNDUP(LEN(E1224)/2,0)+1,20))</f>
        <v>Larvtly</v>
      </c>
      <c r="G1224" s="8" t="str">
        <f aca="false">INDEX(Bases!$C$2:$C$53,B1224)</f>
        <v>Rock</v>
      </c>
      <c r="H1224" s="8" t="str">
        <f aca="false">IF(INDEX(Bases!$C$2:$C$53,C1224)=G1224,"",INDEX(Bases!$C$2:$C$53,C1224))</f>
        <v>Ghost</v>
      </c>
      <c r="I1224" s="8" t="str">
        <f aca="false">IF(INDEX(Bases!$E$2:$E$53,B1224)="","",INDEX(Bases!$E$2:$E$53,B1224))</f>
        <v/>
      </c>
      <c r="J1224" s="8" t="str">
        <f aca="false">IF(INDEX(Bases!$E$2:$E$53,C1224)="","",INDEX(Bases!$E$2:$E$53,C1224))</f>
        <v/>
      </c>
      <c r="K1224" s="5"/>
      <c r="L1224" s="2" t="n">
        <f aca="false">AE1224+IF(SUMPRODUCT(--($AL1224:$AQ1224&gt;AL1224))&lt;$AK1224,1,0)</f>
        <v>66</v>
      </c>
      <c r="M1224" s="2" t="n">
        <f aca="false">AF1224+IF(SUMPRODUCT(--($AL1224:$AQ1224&gt;AM1224))+SUMPRODUCT(--($AL1224:AL1224=AM1224))&lt;$AK1224,1,0)</f>
        <v>81</v>
      </c>
      <c r="N1224" s="2" t="n">
        <f aca="false">AG1224+IF(SUMPRODUCT(--($AL1224:$AQ1224&gt;AN1224))+SUMPRODUCT(--($AL1224:AM1224=AN1224))&lt;$AK1224,1,0)</f>
        <v>65</v>
      </c>
      <c r="O1224" s="2" t="n">
        <f aca="false">AH1224+IF(SUMPRODUCT(--($AL1224:$AQ1224&gt;AO1224))+SUMPRODUCT(--($AL1224:AN1224=AO1224))&lt;$AK1224,1,0)</f>
        <v>121</v>
      </c>
      <c r="P1224" s="2" t="n">
        <f aca="false">AI1224+IF(SUMPRODUCT(--($AL1224:$AQ1224&gt;AP1224))+SUMPRODUCT(--($AL1224:AO1224=AP1224))&lt;$AK1224,1,0)</f>
        <v>68</v>
      </c>
      <c r="Q1224" s="2" t="n">
        <f aca="false">AJ1224+IF(SUMPRODUCT(--($AL1224:$AQ1224&gt;AQ1224))+SUMPRODUCT(--($AL1224:AP1224=AQ1224))&lt;$AK1224,1,0)</f>
        <v>99</v>
      </c>
      <c r="R1224" s="2" t="n">
        <f aca="false">SUM(L1224:Q1224)</f>
        <v>500</v>
      </c>
      <c r="S1224" s="2" t="n">
        <f aca="false">Settings!$B$4*MAX(INDEX(Bases!$M$2:$M$53,B1224),INDEX(Bases!$M$2:$M$53,C1224))+Settings!$B$5*MIN(INDEX(Bases!$M$2:$M$53,B1224),INDEX(Bases!$M$2:$M$53,C1224))</f>
        <v>57.6666666666667</v>
      </c>
      <c r="T1224" s="2" t="n">
        <f aca="false">Settings!$B$4*MAX(INDEX(Bases!$N$2:$N$53,B1224),INDEX(Bases!$N$2:$N$53,C1224))+Settings!$B$5*MIN(INDEX(Bases!$N$2:$N$53,B1224),INDEX(Bases!$N$2:$N$53,C1224))</f>
        <v>71.6666666666667</v>
      </c>
      <c r="U1224" s="2" t="n">
        <f aca="false">Settings!$B$4*MAX(INDEX(Bases!$O$2:$O$53,B1224),INDEX(Bases!$O$2:$O$53,C1224))+Settings!$B$5*MIN(INDEX(Bases!$O$2:$O$53,B1224),INDEX(Bases!$O$2:$O$53,C1224))</f>
        <v>57.6666666666667</v>
      </c>
      <c r="V1224" s="2" t="n">
        <f aca="false">Settings!$B$4*MAX(INDEX(Bases!$P$2:$P$53,B1224),INDEX(Bases!$P$2:$P$53,C1224))+Settings!$B$5*MIN(INDEX(Bases!$P$2:$P$53,B1224),INDEX(Bases!$P$2:$P$53,C1224))</f>
        <v>106</v>
      </c>
      <c r="W1224" s="2" t="n">
        <f aca="false">Settings!$B$4*MAX(INDEX(Bases!$Q$2:$Q$53,B1224),INDEX(Bases!$Q$2:$Q$53,C1224))+Settings!$B$5*MIN(INDEX(Bases!$Q$2:$Q$53,B1224),INDEX(Bases!$Q$2:$Q$53,C1224))</f>
        <v>59.6666666666667</v>
      </c>
      <c r="X1224" s="2" t="n">
        <f aca="false">Settings!$B$4*MAX(INDEX(Bases!$R$2:$R$53,B1224),INDEX(Bases!$R$2:$R$53,C1224))+Settings!$B$5*MIN(INDEX(Bases!$R$2:$R$53,B1224),INDEX(Bases!$R$2:$R$53,C1224))</f>
        <v>86.6666666666667</v>
      </c>
      <c r="Y1224" s="2" t="n">
        <f aca="false">S1224*Settings!$B$3/SUM(S1224:X1224)</f>
        <v>65.6297420333839</v>
      </c>
      <c r="Z1224" s="2" t="n">
        <f aca="false">T1224*Settings!$B$3/SUM(S1224:X1224)</f>
        <v>81.5629742033384</v>
      </c>
      <c r="AA1224" s="2" t="n">
        <f aca="false">U1224*Settings!$B$3/SUM(S1224:X1224)</f>
        <v>65.6297420333839</v>
      </c>
      <c r="AB1224" s="2" t="n">
        <f aca="false">V1224*Settings!$B$3/SUM(S1224:X1224)</f>
        <v>120.637329286798</v>
      </c>
      <c r="AC1224" s="2" t="n">
        <f aca="false">W1224*Settings!$B$3/SUM(S1224:X1224)</f>
        <v>67.9059180576631</v>
      </c>
      <c r="AD1224" s="2" t="n">
        <f aca="false">X1224*Settings!$B$3/SUM(S1224:X1224)</f>
        <v>98.6342943854325</v>
      </c>
      <c r="AE1224" s="2" t="n">
        <f aca="false">INT(Y1224)</f>
        <v>65</v>
      </c>
      <c r="AF1224" s="2" t="n">
        <f aca="false">INT(Z1224)</f>
        <v>81</v>
      </c>
      <c r="AG1224" s="2" t="n">
        <f aca="false">INT(AA1224)</f>
        <v>65</v>
      </c>
      <c r="AH1224" s="2" t="n">
        <f aca="false">INT(AB1224)</f>
        <v>120</v>
      </c>
      <c r="AI1224" s="2" t="n">
        <f aca="false">INT(AC1224)</f>
        <v>67</v>
      </c>
      <c r="AJ1224" s="2" t="n">
        <f aca="false">INT(AD1224)</f>
        <v>98</v>
      </c>
      <c r="AK1224" s="2" t="n">
        <f aca="false">Settings!$B$3-SUM(AE1224:AJ1224)</f>
        <v>4</v>
      </c>
      <c r="AL1224" s="2" t="n">
        <f aca="false">ROUND(Y1224-AE1224,9)</f>
        <v>0.629742033</v>
      </c>
      <c r="AM1224" s="2" t="n">
        <f aca="false">ROUND(Z1224-AF1224,9)</f>
        <v>0.562974203</v>
      </c>
      <c r="AN1224" s="2" t="n">
        <f aca="false">ROUND(AA1224-AG1224,9)</f>
        <v>0.629742033</v>
      </c>
      <c r="AO1224" s="2" t="n">
        <f aca="false">ROUND(AB1224-AH1224,9)</f>
        <v>0.637329287</v>
      </c>
      <c r="AP1224" s="2" t="n">
        <f aca="false">ROUND(AC1224-AI1224,9)</f>
        <v>0.905918058</v>
      </c>
      <c r="AQ1224" s="2" t="n">
        <f aca="false">ROUND(AD1224-AJ1224,9)</f>
        <v>0.634294385</v>
      </c>
    </row>
    <row r="1225" customFormat="false" ht="15" hidden="false" customHeight="false" outlineLevel="0" collapsed="false">
      <c r="A1225" s="2" t="n">
        <v>1224</v>
      </c>
      <c r="B1225" s="6" t="n">
        <v>38</v>
      </c>
      <c r="C1225" s="6" t="n">
        <v>41</v>
      </c>
      <c r="D1225" s="8" t="str">
        <f aca="false">INDEX(Bases!$B$2:$B$53,B1225)</f>
        <v>Larvitar</v>
      </c>
      <c r="E1225" s="8" t="str">
        <f aca="false">INDEX(Bases!$B$2:$B$53,C1225)</f>
        <v>Misdreavus</v>
      </c>
      <c r="F1225" s="2" t="str">
        <f aca="false">LEFT(D1225,ROUNDUP(LEN(D1225)/2,0))&amp;LOWER(MID(E1225,ROUNDUP(LEN(E1225)/2,0)+1,20))</f>
        <v>Larveavus</v>
      </c>
      <c r="G1225" s="8" t="str">
        <f aca="false">INDEX(Bases!$C$2:$C$53,B1225)</f>
        <v>Rock</v>
      </c>
      <c r="H1225" s="8" t="str">
        <f aca="false">IF(INDEX(Bases!$C$2:$C$53,C1225)=G1225,"",INDEX(Bases!$C$2:$C$53,C1225))</f>
        <v>Ghost</v>
      </c>
      <c r="I1225" s="8" t="str">
        <f aca="false">IF(INDEX(Bases!$E$2:$E$53,B1225)="","",INDEX(Bases!$E$2:$E$53,B1225))</f>
        <v/>
      </c>
      <c r="J1225" s="8" t="str">
        <f aca="false">IF(INDEX(Bases!$E$2:$E$53,C1225)="","",INDEX(Bases!$E$2:$E$53,C1225))</f>
        <v/>
      </c>
      <c r="K1225" s="5"/>
      <c r="L1225" s="2" t="n">
        <f aca="false">AE1225+IF(SUMPRODUCT(--($AL1225:$AQ1225&gt;AL1225))&lt;$AK1225,1,0)</f>
        <v>76</v>
      </c>
      <c r="M1225" s="2" t="n">
        <f aca="false">AF1225+IF(SUMPRODUCT(--($AL1225:$AQ1225&gt;AM1225))+SUMPRODUCT(--($AL1225:AL1225=AM1225))&lt;$AK1225,1,0)</f>
        <v>90</v>
      </c>
      <c r="N1225" s="2" t="n">
        <f aca="false">AG1225+IF(SUMPRODUCT(--($AL1225:$AQ1225&gt;AN1225))+SUMPRODUCT(--($AL1225:AM1225=AN1225))&lt;$AK1225,1,0)</f>
        <v>75</v>
      </c>
      <c r="O1225" s="2" t="n">
        <f aca="false">AH1225+IF(SUMPRODUCT(--($AL1225:$AQ1225&gt;AO1225))+SUMPRODUCT(--($AL1225:AN1225=AO1225))&lt;$AK1225,1,0)</f>
        <v>86</v>
      </c>
      <c r="P1225" s="2" t="n">
        <f aca="false">AI1225+IF(SUMPRODUCT(--($AL1225:$AQ1225&gt;AP1225))+SUMPRODUCT(--($AL1225:AO1225=AP1225))&lt;$AK1225,1,0)</f>
        <v>89</v>
      </c>
      <c r="Q1225" s="2" t="n">
        <f aca="false">AJ1225+IF(SUMPRODUCT(--($AL1225:$AQ1225&gt;AQ1225))+SUMPRODUCT(--($AL1225:AP1225=AQ1225))&lt;$AK1225,1,0)</f>
        <v>84</v>
      </c>
      <c r="R1225" s="2" t="n">
        <f aca="false">SUM(L1225:Q1225)</f>
        <v>500</v>
      </c>
      <c r="S1225" s="2" t="n">
        <f aca="false">Settings!$B$4*MAX(INDEX(Bases!$M$2:$M$53,B1225),INDEX(Bases!$M$2:$M$53,C1225))+Settings!$B$5*MIN(INDEX(Bases!$M$2:$M$53,B1225),INDEX(Bases!$M$2:$M$53,C1225))</f>
        <v>63.3333333333333</v>
      </c>
      <c r="T1225" s="2" t="n">
        <f aca="false">Settings!$B$4*MAX(INDEX(Bases!$N$2:$N$53,B1225),INDEX(Bases!$N$2:$N$53,C1225))+Settings!$B$5*MIN(INDEX(Bases!$N$2:$N$53,B1225),INDEX(Bases!$N$2:$N$53,C1225))</f>
        <v>75</v>
      </c>
      <c r="U1225" s="2" t="n">
        <f aca="false">Settings!$B$4*MAX(INDEX(Bases!$O$2:$O$53,B1225),INDEX(Bases!$O$2:$O$53,C1225))+Settings!$B$5*MIN(INDEX(Bases!$O$2:$O$53,B1225),INDEX(Bases!$O$2:$O$53,C1225))</f>
        <v>63</v>
      </c>
      <c r="V1225" s="2" t="n">
        <f aca="false">Settings!$B$4*MAX(INDEX(Bases!$P$2:$P$53,B1225),INDEX(Bases!$P$2:$P$53,C1225))+Settings!$B$5*MIN(INDEX(Bases!$P$2:$P$53,B1225),INDEX(Bases!$P$2:$P$53,C1225))</f>
        <v>72</v>
      </c>
      <c r="W1225" s="2" t="n">
        <f aca="false">Settings!$B$4*MAX(INDEX(Bases!$Q$2:$Q$53,B1225),INDEX(Bases!$Q$2:$Q$53,C1225))+Settings!$B$5*MIN(INDEX(Bases!$Q$2:$Q$53,B1225),INDEX(Bases!$Q$2:$Q$53,C1225))</f>
        <v>74.3333333333333</v>
      </c>
      <c r="X1225" s="2" t="n">
        <f aca="false">Settings!$B$4*MAX(INDEX(Bases!$R$2:$R$53,B1225),INDEX(Bases!$R$2:$R$53,C1225))+Settings!$B$5*MIN(INDEX(Bases!$R$2:$R$53,B1225),INDEX(Bases!$R$2:$R$53,C1225))</f>
        <v>70</v>
      </c>
      <c r="Y1225" s="2" t="n">
        <f aca="false">S1225*Settings!$B$3/SUM(S1225:X1225)</f>
        <v>75.8180367118915</v>
      </c>
      <c r="Z1225" s="2" t="n">
        <f aca="false">T1225*Settings!$B$3/SUM(S1225:X1225)</f>
        <v>89.7845171588188</v>
      </c>
      <c r="AA1225" s="2" t="n">
        <f aca="false">U1225*Settings!$B$3/SUM(S1225:X1225)</f>
        <v>75.4189944134078</v>
      </c>
      <c r="AB1225" s="2" t="n">
        <f aca="false">V1225*Settings!$B$3/SUM(S1225:X1225)</f>
        <v>86.1931364724661</v>
      </c>
      <c r="AC1225" s="2" t="n">
        <f aca="false">W1225*Settings!$B$3/SUM(S1225:X1225)</f>
        <v>88.9864325618516</v>
      </c>
      <c r="AD1225" s="2" t="n">
        <f aca="false">X1225*Settings!$B$3/SUM(S1225:X1225)</f>
        <v>83.7988826815642</v>
      </c>
      <c r="AE1225" s="2" t="n">
        <f aca="false">INT(Y1225)</f>
        <v>75</v>
      </c>
      <c r="AF1225" s="2" t="n">
        <f aca="false">INT(Z1225)</f>
        <v>89</v>
      </c>
      <c r="AG1225" s="2" t="n">
        <f aca="false">INT(AA1225)</f>
        <v>75</v>
      </c>
      <c r="AH1225" s="2" t="n">
        <f aca="false">INT(AB1225)</f>
        <v>86</v>
      </c>
      <c r="AI1225" s="2" t="n">
        <f aca="false">INT(AC1225)</f>
        <v>88</v>
      </c>
      <c r="AJ1225" s="2" t="n">
        <f aca="false">INT(AD1225)</f>
        <v>83</v>
      </c>
      <c r="AK1225" s="2" t="n">
        <f aca="false">Settings!$B$3-SUM(AE1225:AJ1225)</f>
        <v>4</v>
      </c>
      <c r="AL1225" s="2" t="n">
        <f aca="false">ROUND(Y1225-AE1225,9)</f>
        <v>0.818036712</v>
      </c>
      <c r="AM1225" s="2" t="n">
        <f aca="false">ROUND(Z1225-AF1225,9)</f>
        <v>0.784517159</v>
      </c>
      <c r="AN1225" s="2" t="n">
        <f aca="false">ROUND(AA1225-AG1225,9)</f>
        <v>0.418994413</v>
      </c>
      <c r="AO1225" s="2" t="n">
        <f aca="false">ROUND(AB1225-AH1225,9)</f>
        <v>0.193136472</v>
      </c>
      <c r="AP1225" s="2" t="n">
        <f aca="false">ROUND(AC1225-AI1225,9)</f>
        <v>0.986432562</v>
      </c>
      <c r="AQ1225" s="2" t="n">
        <f aca="false">ROUND(AD1225-AJ1225,9)</f>
        <v>0.798882682</v>
      </c>
    </row>
    <row r="1226" customFormat="false" ht="15" hidden="false" customHeight="false" outlineLevel="0" collapsed="false">
      <c r="A1226" s="2" t="n">
        <v>1225</v>
      </c>
      <c r="B1226" s="6" t="n">
        <v>38</v>
      </c>
      <c r="C1226" s="6" t="n">
        <v>42</v>
      </c>
      <c r="D1226" s="8" t="str">
        <f aca="false">INDEX(Bases!$B$2:$B$53,B1226)</f>
        <v>Larvitar</v>
      </c>
      <c r="E1226" s="8" t="str">
        <f aca="false">INDEX(Bases!$B$2:$B$53,C1226)</f>
        <v>Sableye</v>
      </c>
      <c r="F1226" s="2" t="str">
        <f aca="false">LEFT(D1226,ROUNDUP(LEN(D1226)/2,0))&amp;LOWER(MID(E1226,ROUNDUP(LEN(E1226)/2,0)+1,20))</f>
        <v>Larveye</v>
      </c>
      <c r="G1226" s="8" t="str">
        <f aca="false">INDEX(Bases!$C$2:$C$53,B1226)</f>
        <v>Rock</v>
      </c>
      <c r="H1226" s="8" t="str">
        <f aca="false">IF(INDEX(Bases!$C$2:$C$53,C1226)=G1226,"",INDEX(Bases!$C$2:$C$53,C1226))</f>
        <v>Ghost</v>
      </c>
      <c r="I1226" s="8" t="str">
        <f aca="false">IF(INDEX(Bases!$E$2:$E$53,B1226)="","",INDEX(Bases!$E$2:$E$53,B1226))</f>
        <v/>
      </c>
      <c r="J1226" s="8" t="str">
        <f aca="false">IF(INDEX(Bases!$E$2:$E$53,C1226)="","",INDEX(Bases!$E$2:$E$53,C1226))</f>
        <v/>
      </c>
      <c r="K1226" s="5"/>
      <c r="L1226" s="2" t="n">
        <f aca="false">AE1226+IF(SUMPRODUCT(--($AL1226:$AQ1226&gt;AL1226))&lt;$AK1226,1,0)</f>
        <v>77</v>
      </c>
      <c r="M1226" s="2" t="n">
        <f aca="false">AF1226+IF(SUMPRODUCT(--($AL1226:$AQ1226&gt;AM1226))+SUMPRODUCT(--($AL1226:AL1226=AM1226))&lt;$AK1226,1,0)</f>
        <v>102</v>
      </c>
      <c r="N1226" s="2" t="n">
        <f aca="false">AG1226+IF(SUMPRODUCT(--($AL1226:$AQ1226&gt;AN1226))+SUMPRODUCT(--($AL1226:AM1226=AN1226))&lt;$AK1226,1,0)</f>
        <v>92</v>
      </c>
      <c r="O1226" s="2" t="n">
        <f aca="false">AH1226+IF(SUMPRODUCT(--($AL1226:$AQ1226&gt;AO1226))+SUMPRODUCT(--($AL1226:AN1226=AO1226))&lt;$AK1226,1,0)</f>
        <v>80</v>
      </c>
      <c r="P1226" s="2" t="n">
        <f aca="false">AI1226+IF(SUMPRODUCT(--($AL1226:$AQ1226&gt;AP1226))+SUMPRODUCT(--($AL1226:AO1226=AP1226))&lt;$AK1226,1,0)</f>
        <v>83</v>
      </c>
      <c r="Q1226" s="2" t="n">
        <f aca="false">AJ1226+IF(SUMPRODUCT(--($AL1226:$AQ1226&gt;AQ1226))+SUMPRODUCT(--($AL1226:AP1226=AQ1226))&lt;$AK1226,1,0)</f>
        <v>66</v>
      </c>
      <c r="R1226" s="2" t="n">
        <f aca="false">SUM(L1226:Q1226)</f>
        <v>500</v>
      </c>
      <c r="S1226" s="2" t="n">
        <f aca="false">Settings!$B$4*MAX(INDEX(Bases!$M$2:$M$53,B1226),INDEX(Bases!$M$2:$M$53,C1226))+Settings!$B$5*MIN(INDEX(Bases!$M$2:$M$53,B1226),INDEX(Bases!$M$2:$M$53,C1226))</f>
        <v>62.3333333333333</v>
      </c>
      <c r="T1226" s="2" t="n">
        <f aca="false">Settings!$B$4*MAX(INDEX(Bases!$N$2:$N$53,B1226),INDEX(Bases!$N$2:$N$53,C1226))+Settings!$B$5*MIN(INDEX(Bases!$N$2:$N$53,B1226),INDEX(Bases!$N$2:$N$53,C1226))</f>
        <v>83</v>
      </c>
      <c r="U1226" s="2" t="n">
        <f aca="false">Settings!$B$4*MAX(INDEX(Bases!$O$2:$O$53,B1226),INDEX(Bases!$O$2:$O$53,C1226))+Settings!$B$5*MIN(INDEX(Bases!$O$2:$O$53,B1226),INDEX(Bases!$O$2:$O$53,C1226))</f>
        <v>75</v>
      </c>
      <c r="V1226" s="2" t="n">
        <f aca="false">Settings!$B$4*MAX(INDEX(Bases!$P$2:$P$53,B1226),INDEX(Bases!$P$2:$P$53,C1226))+Settings!$B$5*MIN(INDEX(Bases!$P$2:$P$53,B1226),INDEX(Bases!$P$2:$P$53,C1226))</f>
        <v>65.3333333333333</v>
      </c>
      <c r="W1226" s="2" t="n">
        <f aca="false">Settings!$B$4*MAX(INDEX(Bases!$Q$2:$Q$53,B1226),INDEX(Bases!$Q$2:$Q$53,C1226))+Settings!$B$5*MIN(INDEX(Bases!$Q$2:$Q$53,B1226),INDEX(Bases!$Q$2:$Q$53,C1226))</f>
        <v>67.6666666666667</v>
      </c>
      <c r="X1226" s="2" t="n">
        <f aca="false">Settings!$B$4*MAX(INDEX(Bases!$R$2:$R$53,B1226),INDEX(Bases!$R$2:$R$53,C1226))+Settings!$B$5*MIN(INDEX(Bases!$R$2:$R$53,B1226),INDEX(Bases!$R$2:$R$53,C1226))</f>
        <v>53.6666666666667</v>
      </c>
      <c r="Y1226" s="2" t="n">
        <f aca="false">S1226*Settings!$B$3/SUM(S1226:X1226)</f>
        <v>76.5765765765766</v>
      </c>
      <c r="Z1226" s="2" t="n">
        <f aca="false">T1226*Settings!$B$3/SUM(S1226:X1226)</f>
        <v>101.965601965602</v>
      </c>
      <c r="AA1226" s="2" t="n">
        <f aca="false">U1226*Settings!$B$3/SUM(S1226:X1226)</f>
        <v>92.1375921375921</v>
      </c>
      <c r="AB1226" s="2" t="n">
        <f aca="false">V1226*Settings!$B$3/SUM(S1226:X1226)</f>
        <v>80.2620802620803</v>
      </c>
      <c r="AC1226" s="2" t="n">
        <f aca="false">W1226*Settings!$B$3/SUM(S1226:X1226)</f>
        <v>83.1285831285831</v>
      </c>
      <c r="AD1226" s="2" t="n">
        <f aca="false">X1226*Settings!$B$3/SUM(S1226:X1226)</f>
        <v>65.9295659295659</v>
      </c>
      <c r="AE1226" s="2" t="n">
        <f aca="false">INT(Y1226)</f>
        <v>76</v>
      </c>
      <c r="AF1226" s="2" t="n">
        <f aca="false">INT(Z1226)</f>
        <v>101</v>
      </c>
      <c r="AG1226" s="2" t="n">
        <f aca="false">INT(AA1226)</f>
        <v>92</v>
      </c>
      <c r="AH1226" s="2" t="n">
        <f aca="false">INT(AB1226)</f>
        <v>80</v>
      </c>
      <c r="AI1226" s="2" t="n">
        <f aca="false">INT(AC1226)</f>
        <v>83</v>
      </c>
      <c r="AJ1226" s="2" t="n">
        <f aca="false">INT(AD1226)</f>
        <v>65</v>
      </c>
      <c r="AK1226" s="2" t="n">
        <f aca="false">Settings!$B$3-SUM(AE1226:AJ1226)</f>
        <v>3</v>
      </c>
      <c r="AL1226" s="2" t="n">
        <f aca="false">ROUND(Y1226-AE1226,9)</f>
        <v>0.576576577</v>
      </c>
      <c r="AM1226" s="2" t="n">
        <f aca="false">ROUND(Z1226-AF1226,9)</f>
        <v>0.965601966</v>
      </c>
      <c r="AN1226" s="2" t="n">
        <f aca="false">ROUND(AA1226-AG1226,9)</f>
        <v>0.137592138</v>
      </c>
      <c r="AO1226" s="2" t="n">
        <f aca="false">ROUND(AB1226-AH1226,9)</f>
        <v>0.262080262</v>
      </c>
      <c r="AP1226" s="2" t="n">
        <f aca="false">ROUND(AC1226-AI1226,9)</f>
        <v>0.128583129</v>
      </c>
      <c r="AQ1226" s="2" t="n">
        <f aca="false">ROUND(AD1226-AJ1226,9)</f>
        <v>0.92956593</v>
      </c>
    </row>
    <row r="1227" customFormat="false" ht="15" hidden="false" customHeight="false" outlineLevel="0" collapsed="false">
      <c r="A1227" s="2" t="n">
        <v>1226</v>
      </c>
      <c r="B1227" s="6" t="n">
        <v>38</v>
      </c>
      <c r="C1227" s="6" t="n">
        <v>43</v>
      </c>
      <c r="D1227" s="8" t="str">
        <f aca="false">INDEX(Bases!$B$2:$B$53,B1227)</f>
        <v>Larvitar</v>
      </c>
      <c r="E1227" s="8" t="str">
        <f aca="false">INDEX(Bases!$B$2:$B$53,C1227)</f>
        <v>Dratini</v>
      </c>
      <c r="F1227" s="2" t="str">
        <f aca="false">LEFT(D1227,ROUNDUP(LEN(D1227)/2,0))&amp;LOWER(MID(E1227,ROUNDUP(LEN(E1227)/2,0)+1,20))</f>
        <v>Larvini</v>
      </c>
      <c r="G1227" s="8" t="str">
        <f aca="false">INDEX(Bases!$C$2:$C$53,B1227)</f>
        <v>Rock</v>
      </c>
      <c r="H1227" s="8" t="str">
        <f aca="false">IF(INDEX(Bases!$C$2:$C$53,C1227)=G1227,"",INDEX(Bases!$C$2:$C$53,C1227))</f>
        <v>Dragon</v>
      </c>
      <c r="I1227" s="8" t="str">
        <f aca="false">IF(INDEX(Bases!$E$2:$E$53,B1227)="","",INDEX(Bases!$E$2:$E$53,B1227))</f>
        <v/>
      </c>
      <c r="J1227" s="8" t="str">
        <f aca="false">IF(INDEX(Bases!$E$2:$E$53,C1227)="","",INDEX(Bases!$E$2:$E$53,C1227))</f>
        <v/>
      </c>
      <c r="K1227" s="5"/>
      <c r="L1227" s="2" t="n">
        <f aca="false">AE1227+IF(SUMPRODUCT(--($AL1227:$AQ1227&gt;AL1227))&lt;$AK1227,1,0)</f>
        <v>77</v>
      </c>
      <c r="M1227" s="2" t="n">
        <f aca="false">AF1227+IF(SUMPRODUCT(--($AL1227:$AQ1227&gt;AM1227))+SUMPRODUCT(--($AL1227:AL1227=AM1227))&lt;$AK1227,1,0)</f>
        <v>105</v>
      </c>
      <c r="N1227" s="2" t="n">
        <f aca="false">AG1227+IF(SUMPRODUCT(--($AL1227:$AQ1227&gt;AN1227))+SUMPRODUCT(--($AL1227:AM1227=AN1227))&lt;$AK1227,1,0)</f>
        <v>80</v>
      </c>
      <c r="O1227" s="2" t="n">
        <f aca="false">AH1227+IF(SUMPRODUCT(--($AL1227:$AQ1227&gt;AO1227))+SUMPRODUCT(--($AL1227:AN1227=AO1227))&lt;$AK1227,1,0)</f>
        <v>80</v>
      </c>
      <c r="P1227" s="2" t="n">
        <f aca="false">AI1227+IF(SUMPRODUCT(--($AL1227:$AQ1227&gt;AP1227))+SUMPRODUCT(--($AL1227:AO1227=AP1227))&lt;$AK1227,1,0)</f>
        <v>82</v>
      </c>
      <c r="Q1227" s="2" t="n">
        <f aca="false">AJ1227+IF(SUMPRODUCT(--($AL1227:$AQ1227&gt;AQ1227))+SUMPRODUCT(--($AL1227:AP1227=AQ1227))&lt;$AK1227,1,0)</f>
        <v>76</v>
      </c>
      <c r="R1227" s="2" t="n">
        <f aca="false">SUM(L1227:Q1227)</f>
        <v>500</v>
      </c>
      <c r="S1227" s="2" t="n">
        <f aca="false">Settings!$B$4*MAX(INDEX(Bases!$M$2:$M$53,B1227),INDEX(Bases!$M$2:$M$53,C1227))+Settings!$B$5*MIN(INDEX(Bases!$M$2:$M$53,B1227),INDEX(Bases!$M$2:$M$53,C1227))</f>
        <v>63</v>
      </c>
      <c r="T1227" s="2" t="n">
        <f aca="false">Settings!$B$4*MAX(INDEX(Bases!$N$2:$N$53,B1227),INDEX(Bases!$N$2:$N$53,C1227))+Settings!$B$5*MIN(INDEX(Bases!$N$2:$N$53,B1227),INDEX(Bases!$N$2:$N$53,C1227))</f>
        <v>85</v>
      </c>
      <c r="U1227" s="2" t="n">
        <f aca="false">Settings!$B$4*MAX(INDEX(Bases!$O$2:$O$53,B1227),INDEX(Bases!$O$2:$O$53,C1227))+Settings!$B$5*MIN(INDEX(Bases!$O$2:$O$53,B1227),INDEX(Bases!$O$2:$O$53,C1227))</f>
        <v>64.6666666666667</v>
      </c>
      <c r="V1227" s="2" t="n">
        <f aca="false">Settings!$B$4*MAX(INDEX(Bases!$P$2:$P$53,B1227),INDEX(Bases!$P$2:$P$53,C1227))+Settings!$B$5*MIN(INDEX(Bases!$P$2:$P$53,B1227),INDEX(Bases!$P$2:$P$53,C1227))</f>
        <v>64.6666666666667</v>
      </c>
      <c r="W1227" s="2" t="n">
        <f aca="false">Settings!$B$4*MAX(INDEX(Bases!$Q$2:$Q$53,B1227),INDEX(Bases!$Q$2:$Q$53,C1227))+Settings!$B$5*MIN(INDEX(Bases!$Q$2:$Q$53,B1227),INDEX(Bases!$Q$2:$Q$53,C1227))</f>
        <v>67</v>
      </c>
      <c r="X1227" s="2" t="n">
        <f aca="false">Settings!$B$4*MAX(INDEX(Bases!$R$2:$R$53,B1227),INDEX(Bases!$R$2:$R$53,C1227))+Settings!$B$5*MIN(INDEX(Bases!$R$2:$R$53,B1227),INDEX(Bases!$R$2:$R$53,C1227))</f>
        <v>62</v>
      </c>
      <c r="Y1227" s="2" t="n">
        <f aca="false">S1227*Settings!$B$3/SUM(S1227:X1227)</f>
        <v>77.5225594749795</v>
      </c>
      <c r="Z1227" s="2" t="n">
        <f aca="false">T1227*Settings!$B$3/SUM(S1227:X1227)</f>
        <v>104.593929450369</v>
      </c>
      <c r="AA1227" s="2" t="n">
        <f aca="false">U1227*Settings!$B$3/SUM(S1227:X1227)</f>
        <v>79.5734208367514</v>
      </c>
      <c r="AB1227" s="2" t="n">
        <f aca="false">V1227*Settings!$B$3/SUM(S1227:X1227)</f>
        <v>79.5734208367514</v>
      </c>
      <c r="AC1227" s="2" t="n">
        <f aca="false">W1227*Settings!$B$3/SUM(S1227:X1227)</f>
        <v>82.4446267432322</v>
      </c>
      <c r="AD1227" s="2" t="n">
        <f aca="false">X1227*Settings!$B$3/SUM(S1227:X1227)</f>
        <v>76.2920426579163</v>
      </c>
      <c r="AE1227" s="2" t="n">
        <f aca="false">INT(Y1227)</f>
        <v>77</v>
      </c>
      <c r="AF1227" s="2" t="n">
        <f aca="false">INT(Z1227)</f>
        <v>104</v>
      </c>
      <c r="AG1227" s="2" t="n">
        <f aca="false">INT(AA1227)</f>
        <v>79</v>
      </c>
      <c r="AH1227" s="2" t="n">
        <f aca="false">INT(AB1227)</f>
        <v>79</v>
      </c>
      <c r="AI1227" s="2" t="n">
        <f aca="false">INT(AC1227)</f>
        <v>82</v>
      </c>
      <c r="AJ1227" s="2" t="n">
        <f aca="false">INT(AD1227)</f>
        <v>76</v>
      </c>
      <c r="AK1227" s="2" t="n">
        <f aca="false">Settings!$B$3-SUM(AE1227:AJ1227)</f>
        <v>3</v>
      </c>
      <c r="AL1227" s="2" t="n">
        <f aca="false">ROUND(Y1227-AE1227,9)</f>
        <v>0.522559475</v>
      </c>
      <c r="AM1227" s="2" t="n">
        <f aca="false">ROUND(Z1227-AF1227,9)</f>
        <v>0.59392945</v>
      </c>
      <c r="AN1227" s="2" t="n">
        <f aca="false">ROUND(AA1227-AG1227,9)</f>
        <v>0.573420837</v>
      </c>
      <c r="AO1227" s="2" t="n">
        <f aca="false">ROUND(AB1227-AH1227,9)</f>
        <v>0.573420837</v>
      </c>
      <c r="AP1227" s="2" t="n">
        <f aca="false">ROUND(AC1227-AI1227,9)</f>
        <v>0.444626743</v>
      </c>
      <c r="AQ1227" s="2" t="n">
        <f aca="false">ROUND(AD1227-AJ1227,9)</f>
        <v>0.292042658</v>
      </c>
    </row>
    <row r="1228" customFormat="false" ht="15" hidden="false" customHeight="false" outlineLevel="0" collapsed="false">
      <c r="A1228" s="2" t="n">
        <v>1227</v>
      </c>
      <c r="B1228" s="6" t="n">
        <v>38</v>
      </c>
      <c r="C1228" s="6" t="n">
        <v>44</v>
      </c>
      <c r="D1228" s="8" t="str">
        <f aca="false">INDEX(Bases!$B$2:$B$53,B1228)</f>
        <v>Larvitar</v>
      </c>
      <c r="E1228" s="8" t="str">
        <f aca="false">INDEX(Bases!$B$2:$B$53,C1228)</f>
        <v>Bagon</v>
      </c>
      <c r="F1228" s="2" t="str">
        <f aca="false">LEFT(D1228,ROUNDUP(LEN(D1228)/2,0))&amp;LOWER(MID(E1228,ROUNDUP(LEN(E1228)/2,0)+1,20))</f>
        <v>Larvon</v>
      </c>
      <c r="G1228" s="8" t="str">
        <f aca="false">INDEX(Bases!$C$2:$C$53,B1228)</f>
        <v>Rock</v>
      </c>
      <c r="H1228" s="8" t="str">
        <f aca="false">IF(INDEX(Bases!$C$2:$C$53,C1228)=G1228,"",INDEX(Bases!$C$2:$C$53,C1228))</f>
        <v>Dragon</v>
      </c>
      <c r="I1228" s="8" t="str">
        <f aca="false">IF(INDEX(Bases!$E$2:$E$53,B1228)="","",INDEX(Bases!$E$2:$E$53,B1228))</f>
        <v/>
      </c>
      <c r="J1228" s="8" t="str">
        <f aca="false">IF(INDEX(Bases!$E$2:$E$53,C1228)="","",INDEX(Bases!$E$2:$E$53,C1228))</f>
        <v/>
      </c>
      <c r="K1228" s="5"/>
      <c r="L1228" s="2" t="n">
        <f aca="false">AE1228+IF(SUMPRODUCT(--($AL1228:$AQ1228&gt;AL1228))&lt;$AK1228,1,0)</f>
        <v>78</v>
      </c>
      <c r="M1228" s="2" t="n">
        <f aca="false">AF1228+IF(SUMPRODUCT(--($AL1228:$AQ1228&gt;AM1228))+SUMPRODUCT(--($AL1228:AL1228=AM1228))&lt;$AK1228,1,0)</f>
        <v>115</v>
      </c>
      <c r="N1228" s="2" t="n">
        <f aca="false">AG1228+IF(SUMPRODUCT(--($AL1228:$AQ1228&gt;AN1228))+SUMPRODUCT(--($AL1228:AM1228=AN1228))&lt;$AK1228,1,0)</f>
        <v>91</v>
      </c>
      <c r="O1228" s="2" t="n">
        <f aca="false">AH1228+IF(SUMPRODUCT(--($AL1228:$AQ1228&gt;AO1228))+SUMPRODUCT(--($AL1228:AN1228=AO1228))&lt;$AK1228,1,0)</f>
        <v>70</v>
      </c>
      <c r="P1228" s="2" t="n">
        <f aca="false">AI1228+IF(SUMPRODUCT(--($AL1228:$AQ1228&gt;AP1228))+SUMPRODUCT(--($AL1228:AO1228=AP1228))&lt;$AK1228,1,0)</f>
        <v>70</v>
      </c>
      <c r="Q1228" s="2" t="n">
        <f aca="false">AJ1228+IF(SUMPRODUCT(--($AL1228:$AQ1228&gt;AQ1228))+SUMPRODUCT(--($AL1228:AP1228=AQ1228))&lt;$AK1228,1,0)</f>
        <v>76</v>
      </c>
      <c r="R1228" s="2" t="n">
        <f aca="false">SUM(L1228:Q1228)</f>
        <v>500</v>
      </c>
      <c r="S1228" s="2" t="n">
        <f aca="false">Settings!$B$4*MAX(INDEX(Bases!$M$2:$M$53,B1228),INDEX(Bases!$M$2:$M$53,C1228))+Settings!$B$5*MIN(INDEX(Bases!$M$2:$M$53,B1228),INDEX(Bases!$M$2:$M$53,C1228))</f>
        <v>64.6666666666667</v>
      </c>
      <c r="T1228" s="2" t="n">
        <f aca="false">Settings!$B$4*MAX(INDEX(Bases!$N$2:$N$53,B1228),INDEX(Bases!$N$2:$N$53,C1228))+Settings!$B$5*MIN(INDEX(Bases!$N$2:$N$53,B1228),INDEX(Bases!$N$2:$N$53,C1228))</f>
        <v>95</v>
      </c>
      <c r="U1228" s="2" t="n">
        <f aca="false">Settings!$B$4*MAX(INDEX(Bases!$O$2:$O$53,B1228),INDEX(Bases!$O$2:$O$53,C1228))+Settings!$B$5*MIN(INDEX(Bases!$O$2:$O$53,B1228),INDEX(Bases!$O$2:$O$53,C1228))</f>
        <v>75.6666666666667</v>
      </c>
      <c r="V1228" s="2" t="n">
        <f aca="false">Settings!$B$4*MAX(INDEX(Bases!$P$2:$P$53,B1228),INDEX(Bases!$P$2:$P$53,C1228))+Settings!$B$5*MIN(INDEX(Bases!$P$2:$P$53,B1228),INDEX(Bases!$P$2:$P$53,C1228))</f>
        <v>57.6666666666667</v>
      </c>
      <c r="W1228" s="2" t="n">
        <f aca="false">Settings!$B$4*MAX(INDEX(Bases!$Q$2:$Q$53,B1228),INDEX(Bases!$Q$2:$Q$53,C1228))+Settings!$B$5*MIN(INDEX(Bases!$Q$2:$Q$53,B1228),INDEX(Bases!$Q$2:$Q$53,C1228))</f>
        <v>58</v>
      </c>
      <c r="X1228" s="2" t="n">
        <f aca="false">Settings!$B$4*MAX(INDEX(Bases!$R$2:$R$53,B1228),INDEX(Bases!$R$2:$R$53,C1228))+Settings!$B$5*MIN(INDEX(Bases!$R$2:$R$53,B1228),INDEX(Bases!$R$2:$R$53,C1228))</f>
        <v>62.6666666666667</v>
      </c>
      <c r="Y1228" s="2" t="n">
        <f aca="false">S1228*Settings!$B$3/SUM(S1228:X1228)</f>
        <v>78.1627719580983</v>
      </c>
      <c r="Z1228" s="2" t="n">
        <f aca="false">T1228*Settings!$B$3/SUM(S1228:X1228)</f>
        <v>114.826752618856</v>
      </c>
      <c r="AA1228" s="2" t="n">
        <f aca="false">U1228*Settings!$B$3/SUM(S1228:X1228)</f>
        <v>91.4585012087026</v>
      </c>
      <c r="AB1228" s="2" t="n">
        <f aca="false">V1228*Settings!$B$3/SUM(S1228:X1228)</f>
        <v>69.7018533440774</v>
      </c>
      <c r="AC1228" s="2" t="n">
        <f aca="false">W1228*Settings!$B$3/SUM(S1228:X1228)</f>
        <v>70.1047542304593</v>
      </c>
      <c r="AD1228" s="2" t="n">
        <f aca="false">X1228*Settings!$B$3/SUM(S1228:X1228)</f>
        <v>75.7453666398066</v>
      </c>
      <c r="AE1228" s="2" t="n">
        <f aca="false">INT(Y1228)</f>
        <v>78</v>
      </c>
      <c r="AF1228" s="2" t="n">
        <f aca="false">INT(Z1228)</f>
        <v>114</v>
      </c>
      <c r="AG1228" s="2" t="n">
        <f aca="false">INT(AA1228)</f>
        <v>91</v>
      </c>
      <c r="AH1228" s="2" t="n">
        <f aca="false">INT(AB1228)</f>
        <v>69</v>
      </c>
      <c r="AI1228" s="2" t="n">
        <f aca="false">INT(AC1228)</f>
        <v>70</v>
      </c>
      <c r="AJ1228" s="2" t="n">
        <f aca="false">INT(AD1228)</f>
        <v>75</v>
      </c>
      <c r="AK1228" s="2" t="n">
        <f aca="false">Settings!$B$3-SUM(AE1228:AJ1228)</f>
        <v>3</v>
      </c>
      <c r="AL1228" s="2" t="n">
        <f aca="false">ROUND(Y1228-AE1228,9)</f>
        <v>0.162771958</v>
      </c>
      <c r="AM1228" s="2" t="n">
        <f aca="false">ROUND(Z1228-AF1228,9)</f>
        <v>0.826752619</v>
      </c>
      <c r="AN1228" s="2" t="n">
        <f aca="false">ROUND(AA1228-AG1228,9)</f>
        <v>0.458501209</v>
      </c>
      <c r="AO1228" s="2" t="n">
        <f aca="false">ROUND(AB1228-AH1228,9)</f>
        <v>0.701853344</v>
      </c>
      <c r="AP1228" s="2" t="n">
        <f aca="false">ROUND(AC1228-AI1228,9)</f>
        <v>0.10475423</v>
      </c>
      <c r="AQ1228" s="2" t="n">
        <f aca="false">ROUND(AD1228-AJ1228,9)</f>
        <v>0.74536664</v>
      </c>
    </row>
    <row r="1229" customFormat="false" ht="15" hidden="false" customHeight="false" outlineLevel="0" collapsed="false">
      <c r="A1229" s="2" t="n">
        <v>1228</v>
      </c>
      <c r="B1229" s="6" t="n">
        <v>38</v>
      </c>
      <c r="C1229" s="6" t="n">
        <v>45</v>
      </c>
      <c r="D1229" s="8" t="str">
        <f aca="false">INDEX(Bases!$B$2:$B$53,B1229)</f>
        <v>Larvitar</v>
      </c>
      <c r="E1229" s="8" t="str">
        <f aca="false">INDEX(Bases!$B$2:$B$53,C1229)</f>
        <v>Sneasel</v>
      </c>
      <c r="F1229" s="2" t="str">
        <f aca="false">LEFT(D1229,ROUNDUP(LEN(D1229)/2,0))&amp;LOWER(MID(E1229,ROUNDUP(LEN(E1229)/2,0)+1,20))</f>
        <v>Larvsel</v>
      </c>
      <c r="G1229" s="8" t="str">
        <f aca="false">INDEX(Bases!$C$2:$C$53,B1229)</f>
        <v>Rock</v>
      </c>
      <c r="H1229" s="8" t="str">
        <f aca="false">IF(INDEX(Bases!$C$2:$C$53,C1229)=G1229,"",INDEX(Bases!$C$2:$C$53,C1229))</f>
        <v>Dark</v>
      </c>
      <c r="I1229" s="8" t="str">
        <f aca="false">IF(INDEX(Bases!$E$2:$E$53,B1229)="","",INDEX(Bases!$E$2:$E$53,B1229))</f>
        <v/>
      </c>
      <c r="J1229" s="8" t="str">
        <f aca="false">IF(INDEX(Bases!$E$2:$E$53,C1229)="","",INDEX(Bases!$E$2:$E$53,C1229))</f>
        <v/>
      </c>
      <c r="K1229" s="5"/>
      <c r="L1229" s="2" t="n">
        <f aca="false">AE1229+IF(SUMPRODUCT(--($AL1229:$AQ1229&gt;AL1229))&lt;$AK1229,1,0)</f>
        <v>74</v>
      </c>
      <c r="M1229" s="2" t="n">
        <f aca="false">AF1229+IF(SUMPRODUCT(--($AL1229:$AQ1229&gt;AM1229))+SUMPRODUCT(--($AL1229:AL1229=AM1229))&lt;$AK1229,1,0)</f>
        <v>104</v>
      </c>
      <c r="N1229" s="2" t="n">
        <f aca="false">AG1229+IF(SUMPRODUCT(--($AL1229:$AQ1229&gt;AN1229))+SUMPRODUCT(--($AL1229:AM1229=AN1229))&lt;$AK1229,1,0)</f>
        <v>73</v>
      </c>
      <c r="O1229" s="2" t="n">
        <f aca="false">AH1229+IF(SUMPRODUCT(--($AL1229:$AQ1229&gt;AO1229))+SUMPRODUCT(--($AL1229:AN1229=AO1229))&lt;$AK1229,1,0)</f>
        <v>61</v>
      </c>
      <c r="P1229" s="2" t="n">
        <f aca="false">AI1229+IF(SUMPRODUCT(--($AL1229:$AQ1229&gt;AP1229))+SUMPRODUCT(--($AL1229:AO1229=AP1229))&lt;$AK1229,1,0)</f>
        <v>82</v>
      </c>
      <c r="Q1229" s="2" t="n">
        <f aca="false">AJ1229+IF(SUMPRODUCT(--($AL1229:$AQ1229&gt;AQ1229))+SUMPRODUCT(--($AL1229:AP1229=AQ1229))&lt;$AK1229,1,0)</f>
        <v>106</v>
      </c>
      <c r="R1229" s="2" t="n">
        <f aca="false">SUM(L1229:Q1229)</f>
        <v>500</v>
      </c>
      <c r="S1229" s="2" t="n">
        <f aca="false">Settings!$B$4*MAX(INDEX(Bases!$M$2:$M$53,B1229),INDEX(Bases!$M$2:$M$53,C1229))+Settings!$B$5*MIN(INDEX(Bases!$M$2:$M$53,B1229),INDEX(Bases!$M$2:$M$53,C1229))</f>
        <v>61.6666666666667</v>
      </c>
      <c r="T1229" s="2" t="n">
        <f aca="false">Settings!$B$4*MAX(INDEX(Bases!$N$2:$N$53,B1229),INDEX(Bases!$N$2:$N$53,C1229))+Settings!$B$5*MIN(INDEX(Bases!$N$2:$N$53,B1229),INDEX(Bases!$N$2:$N$53,C1229))</f>
        <v>87</v>
      </c>
      <c r="U1229" s="2" t="n">
        <f aca="false">Settings!$B$4*MAX(INDEX(Bases!$O$2:$O$53,B1229),INDEX(Bases!$O$2:$O$53,C1229))+Settings!$B$5*MIN(INDEX(Bases!$O$2:$O$53,B1229),INDEX(Bases!$O$2:$O$53,C1229))</f>
        <v>61.6666666666667</v>
      </c>
      <c r="V1229" s="2" t="n">
        <f aca="false">Settings!$B$4*MAX(INDEX(Bases!$P$2:$P$53,B1229),INDEX(Bases!$P$2:$P$53,C1229))+Settings!$B$5*MIN(INDEX(Bases!$P$2:$P$53,B1229),INDEX(Bases!$P$2:$P$53,C1229))</f>
        <v>51</v>
      </c>
      <c r="W1229" s="2" t="n">
        <f aca="false">Settings!$B$4*MAX(INDEX(Bases!$Q$2:$Q$53,B1229),INDEX(Bases!$Q$2:$Q$53,C1229))+Settings!$B$5*MIN(INDEX(Bases!$Q$2:$Q$53,B1229),INDEX(Bases!$Q$2:$Q$53,C1229))</f>
        <v>69</v>
      </c>
      <c r="X1229" s="2" t="n">
        <f aca="false">Settings!$B$4*MAX(INDEX(Bases!$R$2:$R$53,B1229),INDEX(Bases!$R$2:$R$53,C1229))+Settings!$B$5*MIN(INDEX(Bases!$R$2:$R$53,B1229),INDEX(Bases!$R$2:$R$53,C1229))</f>
        <v>89.3333333333333</v>
      </c>
      <c r="Y1229" s="2" t="n">
        <f aca="false">S1229*Settings!$B$3/SUM(S1229:X1229)</f>
        <v>73.4710087370929</v>
      </c>
      <c r="Z1229" s="2" t="n">
        <f aca="false">T1229*Settings!$B$3/SUM(S1229:X1229)</f>
        <v>103.653693407466</v>
      </c>
      <c r="AA1229" s="2" t="n">
        <f aca="false">U1229*Settings!$B$3/SUM(S1229:X1229)</f>
        <v>73.4710087370929</v>
      </c>
      <c r="AB1229" s="2" t="n">
        <f aca="false">V1229*Settings!$B$3/SUM(S1229:X1229)</f>
        <v>60.7625099285147</v>
      </c>
      <c r="AC1229" s="2" t="n">
        <f aca="false">W1229*Settings!$B$3/SUM(S1229:X1229)</f>
        <v>82.2081016679905</v>
      </c>
      <c r="AD1229" s="2" t="n">
        <f aca="false">X1229*Settings!$B$3/SUM(S1229:X1229)</f>
        <v>106.433677521843</v>
      </c>
      <c r="AE1229" s="2" t="n">
        <f aca="false">INT(Y1229)</f>
        <v>73</v>
      </c>
      <c r="AF1229" s="2" t="n">
        <f aca="false">INT(Z1229)</f>
        <v>103</v>
      </c>
      <c r="AG1229" s="2" t="n">
        <f aca="false">INT(AA1229)</f>
        <v>73</v>
      </c>
      <c r="AH1229" s="2" t="n">
        <f aca="false">INT(AB1229)</f>
        <v>60</v>
      </c>
      <c r="AI1229" s="2" t="n">
        <f aca="false">INT(AC1229)</f>
        <v>82</v>
      </c>
      <c r="AJ1229" s="2" t="n">
        <f aca="false">INT(AD1229)</f>
        <v>106</v>
      </c>
      <c r="AK1229" s="2" t="n">
        <f aca="false">Settings!$B$3-SUM(AE1229:AJ1229)</f>
        <v>3</v>
      </c>
      <c r="AL1229" s="2" t="n">
        <f aca="false">ROUND(Y1229-AE1229,9)</f>
        <v>0.471008737</v>
      </c>
      <c r="AM1229" s="2" t="n">
        <f aca="false">ROUND(Z1229-AF1229,9)</f>
        <v>0.653693407</v>
      </c>
      <c r="AN1229" s="2" t="n">
        <f aca="false">ROUND(AA1229-AG1229,9)</f>
        <v>0.471008737</v>
      </c>
      <c r="AO1229" s="2" t="n">
        <f aca="false">ROUND(AB1229-AH1229,9)</f>
        <v>0.762509929</v>
      </c>
      <c r="AP1229" s="2" t="n">
        <f aca="false">ROUND(AC1229-AI1229,9)</f>
        <v>0.208101668</v>
      </c>
      <c r="AQ1229" s="2" t="n">
        <f aca="false">ROUND(AD1229-AJ1229,9)</f>
        <v>0.433677522</v>
      </c>
    </row>
    <row r="1230" customFormat="false" ht="15" hidden="false" customHeight="false" outlineLevel="0" collapsed="false">
      <c r="A1230" s="2" t="n">
        <v>1229</v>
      </c>
      <c r="B1230" s="6" t="n">
        <v>38</v>
      </c>
      <c r="C1230" s="6" t="n">
        <v>46</v>
      </c>
      <c r="D1230" s="8" t="str">
        <f aca="false">INDEX(Bases!$B$2:$B$53,B1230)</f>
        <v>Larvitar</v>
      </c>
      <c r="E1230" s="8" t="str">
        <f aca="false">INDEX(Bases!$B$2:$B$53,C1230)</f>
        <v>Houndour</v>
      </c>
      <c r="F1230" s="2" t="str">
        <f aca="false">LEFT(D1230,ROUNDUP(LEN(D1230)/2,0))&amp;LOWER(MID(E1230,ROUNDUP(LEN(E1230)/2,0)+1,20))</f>
        <v>Larvdour</v>
      </c>
      <c r="G1230" s="8" t="str">
        <f aca="false">INDEX(Bases!$C$2:$C$53,B1230)</f>
        <v>Rock</v>
      </c>
      <c r="H1230" s="8" t="str">
        <f aca="false">IF(INDEX(Bases!$C$2:$C$53,C1230)=G1230,"",INDEX(Bases!$C$2:$C$53,C1230))</f>
        <v>Dark</v>
      </c>
      <c r="I1230" s="8" t="str">
        <f aca="false">IF(INDEX(Bases!$E$2:$E$53,B1230)="","",INDEX(Bases!$E$2:$E$53,B1230))</f>
        <v/>
      </c>
      <c r="J1230" s="8" t="str">
        <f aca="false">IF(INDEX(Bases!$E$2:$E$53,C1230)="","",INDEX(Bases!$E$2:$E$53,C1230))</f>
        <v/>
      </c>
      <c r="K1230" s="5"/>
      <c r="L1230" s="2" t="n">
        <f aca="false">AE1230+IF(SUMPRODUCT(--($AL1230:$AQ1230&gt;AL1230))&lt;$AK1230,1,0)</f>
        <v>75</v>
      </c>
      <c r="M1230" s="2" t="n">
        <f aca="false">AF1230+IF(SUMPRODUCT(--($AL1230:$AQ1230&gt;AM1230))+SUMPRODUCT(--($AL1230:AL1230=AM1230))&lt;$AK1230,1,0)</f>
        <v>96</v>
      </c>
      <c r="N1230" s="2" t="n">
        <f aca="false">AG1230+IF(SUMPRODUCT(--($AL1230:$AQ1230&gt;AN1230))+SUMPRODUCT(--($AL1230:AM1230=AN1230))&lt;$AK1230,1,0)</f>
        <v>67</v>
      </c>
      <c r="O1230" s="2" t="n">
        <f aca="false">AH1230+IF(SUMPRODUCT(--($AL1230:$AQ1230&gt;AO1230))+SUMPRODUCT(--($AL1230:AN1230=AO1230))&lt;$AK1230,1,0)</f>
        <v>101</v>
      </c>
      <c r="P1230" s="2" t="n">
        <f aca="false">AI1230+IF(SUMPRODUCT(--($AL1230:$AQ1230&gt;AP1230))+SUMPRODUCT(--($AL1230:AO1230=AP1230))&lt;$AK1230,1,0)</f>
        <v>77</v>
      </c>
      <c r="Q1230" s="2" t="n">
        <f aca="false">AJ1230+IF(SUMPRODUCT(--($AL1230:$AQ1230&gt;AQ1230))+SUMPRODUCT(--($AL1230:AP1230=AQ1230))&lt;$AK1230,1,0)</f>
        <v>84</v>
      </c>
      <c r="R1230" s="2" t="n">
        <f aca="false">SUM(L1230:Q1230)</f>
        <v>500</v>
      </c>
      <c r="S1230" s="2" t="n">
        <f aca="false">Settings!$B$4*MAX(INDEX(Bases!$M$2:$M$53,B1230),INDEX(Bases!$M$2:$M$53,C1230))+Settings!$B$5*MIN(INDEX(Bases!$M$2:$M$53,B1230),INDEX(Bases!$M$2:$M$53,C1230))</f>
        <v>62.6666666666667</v>
      </c>
      <c r="T1230" s="2" t="n">
        <f aca="false">Settings!$B$4*MAX(INDEX(Bases!$N$2:$N$53,B1230),INDEX(Bases!$N$2:$N$53,C1230))+Settings!$B$5*MIN(INDEX(Bases!$N$2:$N$53,B1230),INDEX(Bases!$N$2:$N$53,C1230))</f>
        <v>81</v>
      </c>
      <c r="U1230" s="2" t="n">
        <f aca="false">Settings!$B$4*MAX(INDEX(Bases!$O$2:$O$53,B1230),INDEX(Bases!$O$2:$O$53,C1230))+Settings!$B$5*MIN(INDEX(Bases!$O$2:$O$53,B1230),INDEX(Bases!$O$2:$O$53,C1230))</f>
        <v>56.6666666666667</v>
      </c>
      <c r="V1230" s="2" t="n">
        <f aca="false">Settings!$B$4*MAX(INDEX(Bases!$P$2:$P$53,B1230),INDEX(Bases!$P$2:$P$53,C1230))+Settings!$B$5*MIN(INDEX(Bases!$P$2:$P$53,B1230),INDEX(Bases!$P$2:$P$53,C1230))</f>
        <v>84.6666666666667</v>
      </c>
      <c r="W1230" s="2" t="n">
        <f aca="false">Settings!$B$4*MAX(INDEX(Bases!$Q$2:$Q$53,B1230),INDEX(Bases!$Q$2:$Q$53,C1230))+Settings!$B$5*MIN(INDEX(Bases!$Q$2:$Q$53,B1230),INDEX(Bases!$Q$2:$Q$53,C1230))</f>
        <v>65</v>
      </c>
      <c r="X1230" s="2" t="n">
        <f aca="false">Settings!$B$4*MAX(INDEX(Bases!$R$2:$R$53,B1230),INDEX(Bases!$R$2:$R$53,C1230))+Settings!$B$5*MIN(INDEX(Bases!$R$2:$R$53,B1230),INDEX(Bases!$R$2:$R$53,C1230))</f>
        <v>70.6666666666667</v>
      </c>
      <c r="Y1230" s="2" t="n">
        <f aca="false">S1230*Settings!$B$3/SUM(S1230:X1230)</f>
        <v>74.4849445324881</v>
      </c>
      <c r="Z1230" s="2" t="n">
        <f aca="false">T1230*Settings!$B$3/SUM(S1230:X1230)</f>
        <v>96.2757527733756</v>
      </c>
      <c r="AA1230" s="2" t="n">
        <f aca="false">U1230*Settings!$B$3/SUM(S1230:X1230)</f>
        <v>67.3534072900158</v>
      </c>
      <c r="AB1230" s="2" t="n">
        <f aca="false">V1230*Settings!$B$3/SUM(S1230:X1230)</f>
        <v>100.633914421553</v>
      </c>
      <c r="AC1230" s="2" t="n">
        <f aca="false">W1230*Settings!$B$3/SUM(S1230:X1230)</f>
        <v>77.2583201267829</v>
      </c>
      <c r="AD1230" s="2" t="n">
        <f aca="false">X1230*Settings!$B$3/SUM(S1230:X1230)</f>
        <v>83.9936608557845</v>
      </c>
      <c r="AE1230" s="2" t="n">
        <f aca="false">INT(Y1230)</f>
        <v>74</v>
      </c>
      <c r="AF1230" s="2" t="n">
        <f aca="false">INT(Z1230)</f>
        <v>96</v>
      </c>
      <c r="AG1230" s="2" t="n">
        <f aca="false">INT(AA1230)</f>
        <v>67</v>
      </c>
      <c r="AH1230" s="2" t="n">
        <f aca="false">INT(AB1230)</f>
        <v>100</v>
      </c>
      <c r="AI1230" s="2" t="n">
        <f aca="false">INT(AC1230)</f>
        <v>77</v>
      </c>
      <c r="AJ1230" s="2" t="n">
        <f aca="false">INT(AD1230)</f>
        <v>83</v>
      </c>
      <c r="AK1230" s="2" t="n">
        <f aca="false">Settings!$B$3-SUM(AE1230:AJ1230)</f>
        <v>3</v>
      </c>
      <c r="AL1230" s="2" t="n">
        <f aca="false">ROUND(Y1230-AE1230,9)</f>
        <v>0.484944532</v>
      </c>
      <c r="AM1230" s="2" t="n">
        <f aca="false">ROUND(Z1230-AF1230,9)</f>
        <v>0.275752773</v>
      </c>
      <c r="AN1230" s="2" t="n">
        <f aca="false">ROUND(AA1230-AG1230,9)</f>
        <v>0.35340729</v>
      </c>
      <c r="AO1230" s="2" t="n">
        <f aca="false">ROUND(AB1230-AH1230,9)</f>
        <v>0.633914422</v>
      </c>
      <c r="AP1230" s="2" t="n">
        <f aca="false">ROUND(AC1230-AI1230,9)</f>
        <v>0.258320127</v>
      </c>
      <c r="AQ1230" s="2" t="n">
        <f aca="false">ROUND(AD1230-AJ1230,9)</f>
        <v>0.993660856</v>
      </c>
    </row>
    <row r="1231" customFormat="false" ht="15" hidden="false" customHeight="false" outlineLevel="0" collapsed="false">
      <c r="A1231" s="2" t="n">
        <v>1230</v>
      </c>
      <c r="B1231" s="6" t="n">
        <v>38</v>
      </c>
      <c r="C1231" s="6" t="n">
        <v>47</v>
      </c>
      <c r="D1231" s="8" t="str">
        <f aca="false">INDEX(Bases!$B$2:$B$53,B1231)</f>
        <v>Larvitar</v>
      </c>
      <c r="E1231" s="8" t="str">
        <f aca="false">INDEX(Bases!$B$2:$B$53,C1231)</f>
        <v>Carvanha</v>
      </c>
      <c r="F1231" s="2" t="str">
        <f aca="false">LEFT(D1231,ROUNDUP(LEN(D1231)/2,0))&amp;LOWER(MID(E1231,ROUNDUP(LEN(E1231)/2,0)+1,20))</f>
        <v>Larvanha</v>
      </c>
      <c r="G1231" s="8" t="str">
        <f aca="false">INDEX(Bases!$C$2:$C$53,B1231)</f>
        <v>Rock</v>
      </c>
      <c r="H1231" s="8" t="str">
        <f aca="false">IF(INDEX(Bases!$C$2:$C$53,C1231)=G1231,"",INDEX(Bases!$C$2:$C$53,C1231))</f>
        <v>Dark</v>
      </c>
      <c r="I1231" s="8" t="str">
        <f aca="false">IF(INDEX(Bases!$E$2:$E$53,B1231)="","",INDEX(Bases!$E$2:$E$53,B1231))</f>
        <v/>
      </c>
      <c r="J1231" s="8" t="str">
        <f aca="false">IF(INDEX(Bases!$E$2:$E$53,C1231)="","",INDEX(Bases!$E$2:$E$53,C1231))</f>
        <v/>
      </c>
      <c r="K1231" s="5"/>
      <c r="L1231" s="2" t="n">
        <f aca="false">AE1231+IF(SUMPRODUCT(--($AL1231:$AQ1231&gt;AL1231))&lt;$AK1231,1,0)</f>
        <v>75</v>
      </c>
      <c r="M1231" s="2" t="n">
        <f aca="false">AF1231+IF(SUMPRODUCT(--($AL1231:$AQ1231&gt;AM1231))+SUMPRODUCT(--($AL1231:AL1231=AM1231))&lt;$AK1231,1,0)</f>
        <v>124</v>
      </c>
      <c r="N1231" s="2" t="n">
        <f aca="false">AG1231+IF(SUMPRODUCT(--($AL1231:$AQ1231&gt;AN1231))+SUMPRODUCT(--($AL1231:AM1231=AN1231))&lt;$AK1231,1,0)</f>
        <v>62</v>
      </c>
      <c r="O1231" s="2" t="n">
        <f aca="false">AH1231+IF(SUMPRODUCT(--($AL1231:$AQ1231&gt;AO1231))+SUMPRODUCT(--($AL1231:AN1231=AO1231))&lt;$AK1231,1,0)</f>
        <v>90</v>
      </c>
      <c r="P1231" s="2" t="n">
        <f aca="false">AI1231+IF(SUMPRODUCT(--($AL1231:$AQ1231&gt;AP1231))+SUMPRODUCT(--($AL1231:AO1231=AP1231))&lt;$AK1231,1,0)</f>
        <v>62</v>
      </c>
      <c r="Q1231" s="2" t="n">
        <f aca="false">AJ1231+IF(SUMPRODUCT(--($AL1231:$AQ1231&gt;AQ1231))+SUMPRODUCT(--($AL1231:AP1231=AQ1231))&lt;$AK1231,1,0)</f>
        <v>87</v>
      </c>
      <c r="R1231" s="2" t="n">
        <f aca="false">SUM(L1231:Q1231)</f>
        <v>500</v>
      </c>
      <c r="S1231" s="2" t="n">
        <f aca="false">Settings!$B$4*MAX(INDEX(Bases!$M$2:$M$53,B1231),INDEX(Bases!$M$2:$M$53,C1231))+Settings!$B$5*MIN(INDEX(Bases!$M$2:$M$53,B1231),INDEX(Bases!$M$2:$M$53,C1231))</f>
        <v>64.3333333333333</v>
      </c>
      <c r="T1231" s="2" t="n">
        <f aca="false">Settings!$B$4*MAX(INDEX(Bases!$N$2:$N$53,B1231),INDEX(Bases!$N$2:$N$53,C1231))+Settings!$B$5*MIN(INDEX(Bases!$N$2:$N$53,B1231),INDEX(Bases!$N$2:$N$53,C1231))</f>
        <v>107</v>
      </c>
      <c r="U1231" s="2" t="n">
        <f aca="false">Settings!$B$4*MAX(INDEX(Bases!$O$2:$O$53,B1231),INDEX(Bases!$O$2:$O$53,C1231))+Settings!$B$5*MIN(INDEX(Bases!$O$2:$O$53,B1231),INDEX(Bases!$O$2:$O$53,C1231))</f>
        <v>53.3333333333333</v>
      </c>
      <c r="V1231" s="2" t="n">
        <f aca="false">Settings!$B$4*MAX(INDEX(Bases!$P$2:$P$53,B1231),INDEX(Bases!$P$2:$P$53,C1231))+Settings!$B$5*MIN(INDEX(Bases!$P$2:$P$53,B1231),INDEX(Bases!$P$2:$P$53,C1231))</f>
        <v>77.3333333333333</v>
      </c>
      <c r="W1231" s="2" t="n">
        <f aca="false">Settings!$B$4*MAX(INDEX(Bases!$Q$2:$Q$53,B1231),INDEX(Bases!$Q$2:$Q$53,C1231))+Settings!$B$5*MIN(INDEX(Bases!$Q$2:$Q$53,B1231),INDEX(Bases!$Q$2:$Q$53,C1231))</f>
        <v>53.3333333333333</v>
      </c>
      <c r="X1231" s="2" t="n">
        <f aca="false">Settings!$B$4*MAX(INDEX(Bases!$R$2:$R$53,B1231),INDEX(Bases!$R$2:$R$53,C1231))+Settings!$B$5*MIN(INDEX(Bases!$R$2:$R$53,B1231),INDEX(Bases!$R$2:$R$53,C1231))</f>
        <v>74.6666666666667</v>
      </c>
      <c r="Y1231" s="2" t="n">
        <f aca="false">S1231*Settings!$B$3/SUM(S1231:X1231)</f>
        <v>74.8062015503876</v>
      </c>
      <c r="Z1231" s="2" t="n">
        <f aca="false">T1231*Settings!$B$3/SUM(S1231:X1231)</f>
        <v>124.418604651163</v>
      </c>
      <c r="AA1231" s="2" t="n">
        <f aca="false">U1231*Settings!$B$3/SUM(S1231:X1231)</f>
        <v>62.015503875969</v>
      </c>
      <c r="AB1231" s="2" t="n">
        <f aca="false">V1231*Settings!$B$3/SUM(S1231:X1231)</f>
        <v>89.922480620155</v>
      </c>
      <c r="AC1231" s="2" t="n">
        <f aca="false">W1231*Settings!$B$3/SUM(S1231:X1231)</f>
        <v>62.015503875969</v>
      </c>
      <c r="AD1231" s="2" t="n">
        <f aca="false">X1231*Settings!$B$3/SUM(S1231:X1231)</f>
        <v>86.8217054263566</v>
      </c>
      <c r="AE1231" s="2" t="n">
        <f aca="false">INT(Y1231)</f>
        <v>74</v>
      </c>
      <c r="AF1231" s="2" t="n">
        <f aca="false">INT(Z1231)</f>
        <v>124</v>
      </c>
      <c r="AG1231" s="2" t="n">
        <f aca="false">INT(AA1231)</f>
        <v>62</v>
      </c>
      <c r="AH1231" s="2" t="n">
        <f aca="false">INT(AB1231)</f>
        <v>89</v>
      </c>
      <c r="AI1231" s="2" t="n">
        <f aca="false">INT(AC1231)</f>
        <v>62</v>
      </c>
      <c r="AJ1231" s="2" t="n">
        <f aca="false">INT(AD1231)</f>
        <v>86</v>
      </c>
      <c r="AK1231" s="2" t="n">
        <f aca="false">Settings!$B$3-SUM(AE1231:AJ1231)</f>
        <v>3</v>
      </c>
      <c r="AL1231" s="2" t="n">
        <f aca="false">ROUND(Y1231-AE1231,9)</f>
        <v>0.80620155</v>
      </c>
      <c r="AM1231" s="2" t="n">
        <f aca="false">ROUND(Z1231-AF1231,9)</f>
        <v>0.418604651</v>
      </c>
      <c r="AN1231" s="2" t="n">
        <f aca="false">ROUND(AA1231-AG1231,9)</f>
        <v>0.015503876</v>
      </c>
      <c r="AO1231" s="2" t="n">
        <f aca="false">ROUND(AB1231-AH1231,9)</f>
        <v>0.92248062</v>
      </c>
      <c r="AP1231" s="2" t="n">
        <f aca="false">ROUND(AC1231-AI1231,9)</f>
        <v>0.015503876</v>
      </c>
      <c r="AQ1231" s="2" t="n">
        <f aca="false">ROUND(AD1231-AJ1231,9)</f>
        <v>0.821705426</v>
      </c>
    </row>
    <row r="1232" customFormat="false" ht="15" hidden="false" customHeight="false" outlineLevel="0" collapsed="false">
      <c r="A1232" s="2" t="n">
        <v>1231</v>
      </c>
      <c r="B1232" s="6" t="n">
        <v>38</v>
      </c>
      <c r="C1232" s="6" t="n">
        <v>48</v>
      </c>
      <c r="D1232" s="8" t="str">
        <f aca="false">INDEX(Bases!$B$2:$B$53,B1232)</f>
        <v>Larvitar</v>
      </c>
      <c r="E1232" s="8" t="str">
        <f aca="false">INDEX(Bases!$B$2:$B$53,C1232)</f>
        <v>Magnemite</v>
      </c>
      <c r="F1232" s="2" t="str">
        <f aca="false">LEFT(D1232,ROUNDUP(LEN(D1232)/2,0))&amp;LOWER(MID(E1232,ROUNDUP(LEN(E1232)/2,0)+1,20))</f>
        <v>Larvmite</v>
      </c>
      <c r="G1232" s="8" t="str">
        <f aca="false">INDEX(Bases!$C$2:$C$53,B1232)</f>
        <v>Rock</v>
      </c>
      <c r="H1232" s="8" t="str">
        <f aca="false">IF(INDEX(Bases!$C$2:$C$53,C1232)=G1232,"",INDEX(Bases!$C$2:$C$53,C1232))</f>
        <v>Steel</v>
      </c>
      <c r="I1232" s="8" t="str">
        <f aca="false">IF(INDEX(Bases!$E$2:$E$53,B1232)="","",INDEX(Bases!$E$2:$E$53,B1232))</f>
        <v/>
      </c>
      <c r="J1232" s="8" t="str">
        <f aca="false">IF(INDEX(Bases!$E$2:$E$53,C1232)="","",INDEX(Bases!$E$2:$E$53,C1232))</f>
        <v/>
      </c>
      <c r="K1232" s="5"/>
      <c r="L1232" s="2" t="n">
        <f aca="false">AE1232+IF(SUMPRODUCT(--($AL1232:$AQ1232&gt;AL1232))&lt;$AK1232,1,0)</f>
        <v>65</v>
      </c>
      <c r="M1232" s="2" t="n">
        <f aca="false">AF1232+IF(SUMPRODUCT(--($AL1232:$AQ1232&gt;AM1232))+SUMPRODUCT(--($AL1232:AL1232=AM1232))&lt;$AK1232,1,0)</f>
        <v>83</v>
      </c>
      <c r="N1232" s="2" t="n">
        <f aca="false">AG1232+IF(SUMPRODUCT(--($AL1232:$AQ1232&gt;AN1232))+SUMPRODUCT(--($AL1232:AM1232=AN1232))&lt;$AK1232,1,0)</f>
        <v>94</v>
      </c>
      <c r="O1232" s="2" t="n">
        <f aca="false">AH1232+IF(SUMPRODUCT(--($AL1232:$AQ1232&gt;AO1232))+SUMPRODUCT(--($AL1232:AN1232=AO1232))&lt;$AK1232,1,0)</f>
        <v>115</v>
      </c>
      <c r="P1232" s="2" t="n">
        <f aca="false">AI1232+IF(SUMPRODUCT(--($AL1232:$AQ1232&gt;AP1232))+SUMPRODUCT(--($AL1232:AO1232=AP1232))&lt;$AK1232,1,0)</f>
        <v>79</v>
      </c>
      <c r="Q1232" s="2" t="n">
        <f aca="false">AJ1232+IF(SUMPRODUCT(--($AL1232:$AQ1232&gt;AQ1232))+SUMPRODUCT(--($AL1232:AP1232=AQ1232))&lt;$AK1232,1,0)</f>
        <v>64</v>
      </c>
      <c r="R1232" s="2" t="n">
        <f aca="false">SUM(L1232:Q1232)</f>
        <v>500</v>
      </c>
      <c r="S1232" s="2" t="n">
        <f aca="false">Settings!$B$4*MAX(INDEX(Bases!$M$2:$M$53,B1232),INDEX(Bases!$M$2:$M$53,C1232))+Settings!$B$5*MIN(INDEX(Bases!$M$2:$M$53,B1232),INDEX(Bases!$M$2:$M$53,C1232))</f>
        <v>55</v>
      </c>
      <c r="T1232" s="2" t="n">
        <f aca="false">Settings!$B$4*MAX(INDEX(Bases!$N$2:$N$53,B1232),INDEX(Bases!$N$2:$N$53,C1232))+Settings!$B$5*MIN(INDEX(Bases!$N$2:$N$53,B1232),INDEX(Bases!$N$2:$N$53,C1232))</f>
        <v>71</v>
      </c>
      <c r="U1232" s="2" t="n">
        <f aca="false">Settings!$B$4*MAX(INDEX(Bases!$O$2:$O$53,B1232),INDEX(Bases!$O$2:$O$53,C1232))+Settings!$B$5*MIN(INDEX(Bases!$O$2:$O$53,B1232),INDEX(Bases!$O$2:$O$53,C1232))</f>
        <v>79.6666666666667</v>
      </c>
      <c r="V1232" s="2" t="n">
        <f aca="false">Settings!$B$4*MAX(INDEX(Bases!$P$2:$P$53,B1232),INDEX(Bases!$P$2:$P$53,C1232))+Settings!$B$5*MIN(INDEX(Bases!$P$2:$P$53,B1232),INDEX(Bases!$P$2:$P$53,C1232))</f>
        <v>98</v>
      </c>
      <c r="W1232" s="2" t="n">
        <f aca="false">Settings!$B$4*MAX(INDEX(Bases!$Q$2:$Q$53,B1232),INDEX(Bases!$Q$2:$Q$53,C1232))+Settings!$B$5*MIN(INDEX(Bases!$Q$2:$Q$53,B1232),INDEX(Bases!$Q$2:$Q$53,C1232))</f>
        <v>67.6666666666667</v>
      </c>
      <c r="X1232" s="2" t="n">
        <f aca="false">Settings!$B$4*MAX(INDEX(Bases!$R$2:$R$53,B1232),INDEX(Bases!$R$2:$R$53,C1232))+Settings!$B$5*MIN(INDEX(Bases!$R$2:$R$53,B1232),INDEX(Bases!$R$2:$R$53,C1232))</f>
        <v>54.6666666666667</v>
      </c>
      <c r="Y1232" s="2" t="n">
        <f aca="false">S1232*Settings!$B$3/SUM(S1232:X1232)</f>
        <v>64.5539906103286</v>
      </c>
      <c r="Z1232" s="2" t="n">
        <f aca="false">T1232*Settings!$B$3/SUM(S1232:X1232)</f>
        <v>83.3333333333333</v>
      </c>
      <c r="AA1232" s="2" t="n">
        <f aca="false">U1232*Settings!$B$3/SUM(S1232:X1232)</f>
        <v>93.5054773082942</v>
      </c>
      <c r="AB1232" s="2" t="n">
        <f aca="false">V1232*Settings!$B$3/SUM(S1232:X1232)</f>
        <v>115.023474178404</v>
      </c>
      <c r="AC1232" s="2" t="n">
        <f aca="false">W1232*Settings!$B$3/SUM(S1232:X1232)</f>
        <v>79.4209702660407</v>
      </c>
      <c r="AD1232" s="2" t="n">
        <f aca="false">X1232*Settings!$B$3/SUM(S1232:X1232)</f>
        <v>64.1627543035994</v>
      </c>
      <c r="AE1232" s="2" t="n">
        <f aca="false">INT(Y1232)</f>
        <v>64</v>
      </c>
      <c r="AF1232" s="2" t="n">
        <f aca="false">INT(Z1232)</f>
        <v>83</v>
      </c>
      <c r="AG1232" s="2" t="n">
        <f aca="false">INT(AA1232)</f>
        <v>93</v>
      </c>
      <c r="AH1232" s="2" t="n">
        <f aca="false">INT(AB1232)</f>
        <v>115</v>
      </c>
      <c r="AI1232" s="2" t="n">
        <f aca="false">INT(AC1232)</f>
        <v>79</v>
      </c>
      <c r="AJ1232" s="2" t="n">
        <f aca="false">INT(AD1232)</f>
        <v>64</v>
      </c>
      <c r="AK1232" s="2" t="n">
        <f aca="false">Settings!$B$3-SUM(AE1232:AJ1232)</f>
        <v>2</v>
      </c>
      <c r="AL1232" s="2" t="n">
        <f aca="false">ROUND(Y1232-AE1232,9)</f>
        <v>0.55399061</v>
      </c>
      <c r="AM1232" s="2" t="n">
        <f aca="false">ROUND(Z1232-AF1232,9)</f>
        <v>0.333333333</v>
      </c>
      <c r="AN1232" s="2" t="n">
        <f aca="false">ROUND(AA1232-AG1232,9)</f>
        <v>0.505477308</v>
      </c>
      <c r="AO1232" s="2" t="n">
        <f aca="false">ROUND(AB1232-AH1232,9)</f>
        <v>0.023474178</v>
      </c>
      <c r="AP1232" s="2" t="n">
        <f aca="false">ROUND(AC1232-AI1232,9)</f>
        <v>0.420970266</v>
      </c>
      <c r="AQ1232" s="2" t="n">
        <f aca="false">ROUND(AD1232-AJ1232,9)</f>
        <v>0.162754304</v>
      </c>
    </row>
    <row r="1233" customFormat="false" ht="15" hidden="false" customHeight="false" outlineLevel="0" collapsed="false">
      <c r="A1233" s="2" t="n">
        <v>1232</v>
      </c>
      <c r="B1233" s="6" t="n">
        <v>38</v>
      </c>
      <c r="C1233" s="6" t="n">
        <v>49</v>
      </c>
      <c r="D1233" s="8" t="str">
        <f aca="false">INDEX(Bases!$B$2:$B$53,B1233)</f>
        <v>Larvitar</v>
      </c>
      <c r="E1233" s="8" t="str">
        <f aca="false">INDEX(Bases!$B$2:$B$53,C1233)</f>
        <v>Aron</v>
      </c>
      <c r="F1233" s="2" t="str">
        <f aca="false">LEFT(D1233,ROUNDUP(LEN(D1233)/2,0))&amp;LOWER(MID(E1233,ROUNDUP(LEN(E1233)/2,0)+1,20))</f>
        <v>Larvon</v>
      </c>
      <c r="G1233" s="8" t="str">
        <f aca="false">INDEX(Bases!$C$2:$C$53,B1233)</f>
        <v>Rock</v>
      </c>
      <c r="H1233" s="8" t="str">
        <f aca="false">IF(INDEX(Bases!$C$2:$C$53,C1233)=G1233,"",INDEX(Bases!$C$2:$C$53,C1233))</f>
        <v>Steel</v>
      </c>
      <c r="I1233" s="8" t="str">
        <f aca="false">IF(INDEX(Bases!$E$2:$E$53,B1233)="","",INDEX(Bases!$E$2:$E$53,B1233))</f>
        <v/>
      </c>
      <c r="J1233" s="8" t="str">
        <f aca="false">IF(INDEX(Bases!$E$2:$E$53,C1233)="","",INDEX(Bases!$E$2:$E$53,C1233))</f>
        <v/>
      </c>
      <c r="K1233" s="5"/>
      <c r="L1233" s="2" t="n">
        <f aca="false">AE1233+IF(SUMPRODUCT(--($AL1233:$AQ1233&gt;AL1233))&lt;$AK1233,1,0)</f>
        <v>78</v>
      </c>
      <c r="M1233" s="2" t="n">
        <f aca="false">AF1233+IF(SUMPRODUCT(--($AL1233:$AQ1233&gt;AM1233))+SUMPRODUCT(--($AL1233:AL1233=AM1233))&lt;$AK1233,1,0)</f>
        <v>102</v>
      </c>
      <c r="N1233" s="2" t="n">
        <f aca="false">AG1233+IF(SUMPRODUCT(--($AL1233:$AQ1233&gt;AN1233))+SUMPRODUCT(--($AL1233:AM1233=AN1233))&lt;$AK1233,1,0)</f>
        <v>123</v>
      </c>
      <c r="O1233" s="2" t="n">
        <f aca="false">AH1233+IF(SUMPRODUCT(--($AL1233:$AQ1233&gt;AO1233))+SUMPRODUCT(--($AL1233:AN1233=AO1233))&lt;$AK1233,1,0)</f>
        <v>67</v>
      </c>
      <c r="P1233" s="2" t="n">
        <f aca="false">AI1233+IF(SUMPRODUCT(--($AL1233:$AQ1233&gt;AP1233))+SUMPRODUCT(--($AL1233:AO1233=AP1233))&lt;$AK1233,1,0)</f>
        <v>73</v>
      </c>
      <c r="Q1233" s="2" t="n">
        <f aca="false">AJ1233+IF(SUMPRODUCT(--($AL1233:$AQ1233&gt;AQ1233))+SUMPRODUCT(--($AL1233:AP1233=AQ1233))&lt;$AK1233,1,0)</f>
        <v>57</v>
      </c>
      <c r="R1233" s="2" t="n">
        <f aca="false">SUM(L1233:Q1233)</f>
        <v>500</v>
      </c>
      <c r="S1233" s="2" t="n">
        <f aca="false">Settings!$B$4*MAX(INDEX(Bases!$M$2:$M$53,B1233),INDEX(Bases!$M$2:$M$53,C1233))+Settings!$B$5*MIN(INDEX(Bases!$M$2:$M$53,B1233),INDEX(Bases!$M$2:$M$53,C1233))</f>
        <v>65</v>
      </c>
      <c r="T1233" s="2" t="n">
        <f aca="false">Settings!$B$4*MAX(INDEX(Bases!$N$2:$N$53,B1233),INDEX(Bases!$N$2:$N$53,C1233))+Settings!$B$5*MIN(INDEX(Bases!$N$2:$N$53,B1233),INDEX(Bases!$N$2:$N$53,C1233))</f>
        <v>85</v>
      </c>
      <c r="U1233" s="2" t="n">
        <f aca="false">Settings!$B$4*MAX(INDEX(Bases!$O$2:$O$53,B1233),INDEX(Bases!$O$2:$O$53,C1233))+Settings!$B$5*MIN(INDEX(Bases!$O$2:$O$53,B1233),INDEX(Bases!$O$2:$O$53,C1233))</f>
        <v>103</v>
      </c>
      <c r="V1233" s="2" t="n">
        <f aca="false">Settings!$B$4*MAX(INDEX(Bases!$P$2:$P$53,B1233),INDEX(Bases!$P$2:$P$53,C1233))+Settings!$B$5*MIN(INDEX(Bases!$P$2:$P$53,B1233),INDEX(Bases!$P$2:$P$53,C1233))</f>
        <v>56.3333333333333</v>
      </c>
      <c r="W1233" s="2" t="n">
        <f aca="false">Settings!$B$4*MAX(INDEX(Bases!$Q$2:$Q$53,B1233),INDEX(Bases!$Q$2:$Q$53,C1233))+Settings!$B$5*MIN(INDEX(Bases!$Q$2:$Q$53,B1233),INDEX(Bases!$Q$2:$Q$53,C1233))</f>
        <v>60.6666666666667</v>
      </c>
      <c r="X1233" s="2" t="n">
        <f aca="false">Settings!$B$4*MAX(INDEX(Bases!$R$2:$R$53,B1233),INDEX(Bases!$R$2:$R$53,C1233))+Settings!$B$5*MIN(INDEX(Bases!$R$2:$R$53,B1233),INDEX(Bases!$R$2:$R$53,C1233))</f>
        <v>48</v>
      </c>
      <c r="Y1233" s="2" t="n">
        <f aca="false">S1233*Settings!$B$3/SUM(S1233:X1233)</f>
        <v>77.7511961722488</v>
      </c>
      <c r="Z1233" s="2" t="n">
        <f aca="false">T1233*Settings!$B$3/SUM(S1233:X1233)</f>
        <v>101.674641148325</v>
      </c>
      <c r="AA1233" s="2" t="n">
        <f aca="false">U1233*Settings!$B$3/SUM(S1233:X1233)</f>
        <v>123.205741626794</v>
      </c>
      <c r="AB1233" s="2" t="n">
        <f aca="false">V1233*Settings!$B$3/SUM(S1233:X1233)</f>
        <v>67.384370015949</v>
      </c>
      <c r="AC1233" s="2" t="n">
        <f aca="false">W1233*Settings!$B$3/SUM(S1233:X1233)</f>
        <v>72.5677830940989</v>
      </c>
      <c r="AD1233" s="2" t="n">
        <f aca="false">X1233*Settings!$B$3/SUM(S1233:X1233)</f>
        <v>57.4162679425837</v>
      </c>
      <c r="AE1233" s="2" t="n">
        <f aca="false">INT(Y1233)</f>
        <v>77</v>
      </c>
      <c r="AF1233" s="2" t="n">
        <f aca="false">INT(Z1233)</f>
        <v>101</v>
      </c>
      <c r="AG1233" s="2" t="n">
        <f aca="false">INT(AA1233)</f>
        <v>123</v>
      </c>
      <c r="AH1233" s="2" t="n">
        <f aca="false">INT(AB1233)</f>
        <v>67</v>
      </c>
      <c r="AI1233" s="2" t="n">
        <f aca="false">INT(AC1233)</f>
        <v>72</v>
      </c>
      <c r="AJ1233" s="2" t="n">
        <f aca="false">INT(AD1233)</f>
        <v>57</v>
      </c>
      <c r="AK1233" s="2" t="n">
        <f aca="false">Settings!$B$3-SUM(AE1233:AJ1233)</f>
        <v>3</v>
      </c>
      <c r="AL1233" s="2" t="n">
        <f aca="false">ROUND(Y1233-AE1233,9)</f>
        <v>0.751196172</v>
      </c>
      <c r="AM1233" s="2" t="n">
        <f aca="false">ROUND(Z1233-AF1233,9)</f>
        <v>0.674641148</v>
      </c>
      <c r="AN1233" s="2" t="n">
        <f aca="false">ROUND(AA1233-AG1233,9)</f>
        <v>0.205741627</v>
      </c>
      <c r="AO1233" s="2" t="n">
        <f aca="false">ROUND(AB1233-AH1233,9)</f>
        <v>0.384370016</v>
      </c>
      <c r="AP1233" s="2" t="n">
        <f aca="false">ROUND(AC1233-AI1233,9)</f>
        <v>0.567783094</v>
      </c>
      <c r="AQ1233" s="2" t="n">
        <f aca="false">ROUND(AD1233-AJ1233,9)</f>
        <v>0.416267943</v>
      </c>
    </row>
    <row r="1234" customFormat="false" ht="15" hidden="false" customHeight="false" outlineLevel="0" collapsed="false">
      <c r="A1234" s="2" t="n">
        <v>1233</v>
      </c>
      <c r="B1234" s="6" t="n">
        <v>38</v>
      </c>
      <c r="C1234" s="6" t="n">
        <v>50</v>
      </c>
      <c r="D1234" s="8" t="str">
        <f aca="false">INDEX(Bases!$B$2:$B$53,B1234)</f>
        <v>Larvitar</v>
      </c>
      <c r="E1234" s="8" t="str">
        <f aca="false">INDEX(Bases!$B$2:$B$53,C1234)</f>
        <v>Beldum</v>
      </c>
      <c r="F1234" s="2" t="str">
        <f aca="false">LEFT(D1234,ROUNDUP(LEN(D1234)/2,0))&amp;LOWER(MID(E1234,ROUNDUP(LEN(E1234)/2,0)+1,20))</f>
        <v>Larvdum</v>
      </c>
      <c r="G1234" s="8" t="str">
        <f aca="false">INDEX(Bases!$C$2:$C$53,B1234)</f>
        <v>Rock</v>
      </c>
      <c r="H1234" s="8" t="str">
        <f aca="false">IF(INDEX(Bases!$C$2:$C$53,C1234)=G1234,"",INDEX(Bases!$C$2:$C$53,C1234))</f>
        <v>Steel</v>
      </c>
      <c r="I1234" s="8" t="str">
        <f aca="false">IF(INDEX(Bases!$E$2:$E$53,B1234)="","",INDEX(Bases!$E$2:$E$53,B1234))</f>
        <v/>
      </c>
      <c r="J1234" s="8" t="str">
        <f aca="false">IF(INDEX(Bases!$E$2:$E$53,C1234)="","",INDEX(Bases!$E$2:$E$53,C1234))</f>
        <v/>
      </c>
      <c r="K1234" s="5"/>
      <c r="L1234" s="2" t="n">
        <f aca="false">AE1234+IF(SUMPRODUCT(--($AL1234:$AQ1234&gt;AL1234))&lt;$AK1234,1,0)</f>
        <v>75</v>
      </c>
      <c r="M1234" s="2" t="n">
        <f aca="false">AF1234+IF(SUMPRODUCT(--($AL1234:$AQ1234&gt;AM1234))+SUMPRODUCT(--($AL1234:AL1234=AM1234))&lt;$AK1234,1,0)</f>
        <v>97</v>
      </c>
      <c r="N1234" s="2" t="n">
        <f aca="false">AG1234+IF(SUMPRODUCT(--($AL1234:$AQ1234&gt;AN1234))+SUMPRODUCT(--($AL1234:AM1234=AN1234))&lt;$AK1234,1,0)</f>
        <v>112</v>
      </c>
      <c r="O1234" s="2" t="n">
        <f aca="false">AH1234+IF(SUMPRODUCT(--($AL1234:$AQ1234&gt;AO1234))+SUMPRODUCT(--($AL1234:AN1234=AO1234))&lt;$AK1234,1,0)</f>
        <v>67</v>
      </c>
      <c r="P1234" s="2" t="n">
        <f aca="false">AI1234+IF(SUMPRODUCT(--($AL1234:$AQ1234&gt;AP1234))+SUMPRODUCT(--($AL1234:AO1234=AP1234))&lt;$AK1234,1,0)</f>
        <v>90</v>
      </c>
      <c r="Q1234" s="2" t="n">
        <f aca="false">AJ1234+IF(SUMPRODUCT(--($AL1234:$AQ1234&gt;AQ1234))+SUMPRODUCT(--($AL1234:AP1234=AQ1234))&lt;$AK1234,1,0)</f>
        <v>59</v>
      </c>
      <c r="R1234" s="2" t="n">
        <f aca="false">SUM(L1234:Q1234)</f>
        <v>500</v>
      </c>
      <c r="S1234" s="2" t="n">
        <f aca="false">Settings!$B$4*MAX(INDEX(Bases!$M$2:$M$53,B1234),INDEX(Bases!$M$2:$M$53,C1234))+Settings!$B$5*MIN(INDEX(Bases!$M$2:$M$53,B1234),INDEX(Bases!$M$2:$M$53,C1234))</f>
        <v>62.3333333333333</v>
      </c>
      <c r="T1234" s="2" t="n">
        <f aca="false">Settings!$B$4*MAX(INDEX(Bases!$N$2:$N$53,B1234),INDEX(Bases!$N$2:$N$53,C1234))+Settings!$B$5*MIN(INDEX(Bases!$N$2:$N$53,B1234),INDEX(Bases!$N$2:$N$53,C1234))</f>
        <v>81</v>
      </c>
      <c r="U1234" s="2" t="n">
        <f aca="false">Settings!$B$4*MAX(INDEX(Bases!$O$2:$O$53,B1234),INDEX(Bases!$O$2:$O$53,C1234))+Settings!$B$5*MIN(INDEX(Bases!$O$2:$O$53,B1234),INDEX(Bases!$O$2:$O$53,C1234))</f>
        <v>93.6666666666667</v>
      </c>
      <c r="V1234" s="2" t="n">
        <f aca="false">Settings!$B$4*MAX(INDEX(Bases!$P$2:$P$53,B1234),INDEX(Bases!$P$2:$P$53,C1234))+Settings!$B$5*MIN(INDEX(Bases!$P$2:$P$53,B1234),INDEX(Bases!$P$2:$P$53,C1234))</f>
        <v>55.6666666666667</v>
      </c>
      <c r="W1234" s="2" t="n">
        <f aca="false">Settings!$B$4*MAX(INDEX(Bases!$Q$2:$Q$53,B1234),INDEX(Bases!$Q$2:$Q$53,C1234))+Settings!$B$5*MIN(INDEX(Bases!$Q$2:$Q$53,B1234),INDEX(Bases!$Q$2:$Q$53,C1234))</f>
        <v>75.6666666666667</v>
      </c>
      <c r="X1234" s="2" t="n">
        <f aca="false">Settings!$B$4*MAX(INDEX(Bases!$R$2:$R$53,B1234),INDEX(Bases!$R$2:$R$53,C1234))+Settings!$B$5*MIN(INDEX(Bases!$R$2:$R$53,B1234),INDEX(Bases!$R$2:$R$53,C1234))</f>
        <v>49.3333333333333</v>
      </c>
      <c r="Y1234" s="2" t="n">
        <f aca="false">S1234*Settings!$B$3/SUM(S1234:X1234)</f>
        <v>74.6209098164405</v>
      </c>
      <c r="Z1234" s="2" t="n">
        <f aca="false">T1234*Settings!$B$3/SUM(S1234:X1234)</f>
        <v>96.9672785315244</v>
      </c>
      <c r="AA1234" s="2" t="n">
        <f aca="false">U1234*Settings!$B$3/SUM(S1234:X1234)</f>
        <v>112.130885873903</v>
      </c>
      <c r="AB1234" s="2" t="n">
        <f aca="false">V1234*Settings!$B$3/SUM(S1234:X1234)</f>
        <v>66.6400638467678</v>
      </c>
      <c r="AC1234" s="2" t="n">
        <f aca="false">W1234*Settings!$B$3/SUM(S1234:X1234)</f>
        <v>90.5826017557861</v>
      </c>
      <c r="AD1234" s="2" t="n">
        <f aca="false">X1234*Settings!$B$3/SUM(S1234:X1234)</f>
        <v>59.0582601755786</v>
      </c>
      <c r="AE1234" s="2" t="n">
        <f aca="false">INT(Y1234)</f>
        <v>74</v>
      </c>
      <c r="AF1234" s="2" t="n">
        <f aca="false">INT(Z1234)</f>
        <v>96</v>
      </c>
      <c r="AG1234" s="2" t="n">
        <f aca="false">INT(AA1234)</f>
        <v>112</v>
      </c>
      <c r="AH1234" s="2" t="n">
        <f aca="false">INT(AB1234)</f>
        <v>66</v>
      </c>
      <c r="AI1234" s="2" t="n">
        <f aca="false">INT(AC1234)</f>
        <v>90</v>
      </c>
      <c r="AJ1234" s="2" t="n">
        <f aca="false">INT(AD1234)</f>
        <v>59</v>
      </c>
      <c r="AK1234" s="2" t="n">
        <f aca="false">Settings!$B$3-SUM(AE1234:AJ1234)</f>
        <v>3</v>
      </c>
      <c r="AL1234" s="2" t="n">
        <f aca="false">ROUND(Y1234-AE1234,9)</f>
        <v>0.620909816</v>
      </c>
      <c r="AM1234" s="2" t="n">
        <f aca="false">ROUND(Z1234-AF1234,9)</f>
        <v>0.967278532</v>
      </c>
      <c r="AN1234" s="2" t="n">
        <f aca="false">ROUND(AA1234-AG1234,9)</f>
        <v>0.130885874</v>
      </c>
      <c r="AO1234" s="2" t="n">
        <f aca="false">ROUND(AB1234-AH1234,9)</f>
        <v>0.640063847</v>
      </c>
      <c r="AP1234" s="2" t="n">
        <f aca="false">ROUND(AC1234-AI1234,9)</f>
        <v>0.582601756</v>
      </c>
      <c r="AQ1234" s="2" t="n">
        <f aca="false">ROUND(AD1234-AJ1234,9)</f>
        <v>0.058260176</v>
      </c>
    </row>
    <row r="1235" customFormat="false" ht="15" hidden="false" customHeight="false" outlineLevel="0" collapsed="false">
      <c r="A1235" s="2" t="n">
        <v>1234</v>
      </c>
      <c r="B1235" s="6" t="n">
        <v>38</v>
      </c>
      <c r="C1235" s="6" t="n">
        <v>51</v>
      </c>
      <c r="D1235" s="8" t="str">
        <f aca="false">INDEX(Bases!$B$2:$B$53,B1235)</f>
        <v>Larvitar</v>
      </c>
      <c r="E1235" s="8" t="str">
        <f aca="false">INDEX(Bases!$B$2:$B$53,C1235)</f>
        <v>Cleffa</v>
      </c>
      <c r="F1235" s="2" t="str">
        <f aca="false">LEFT(D1235,ROUNDUP(LEN(D1235)/2,0))&amp;LOWER(MID(E1235,ROUNDUP(LEN(E1235)/2,0)+1,20))</f>
        <v>Larvffa</v>
      </c>
      <c r="G1235" s="8" t="str">
        <f aca="false">INDEX(Bases!$C$2:$C$53,B1235)</f>
        <v>Rock</v>
      </c>
      <c r="H1235" s="8" t="str">
        <f aca="false">IF(INDEX(Bases!$C$2:$C$53,C1235)=G1235,"",INDEX(Bases!$C$2:$C$53,C1235))</f>
        <v>Fairy</v>
      </c>
      <c r="I1235" s="8" t="str">
        <f aca="false">IF(INDEX(Bases!$E$2:$E$53,B1235)="","",INDEX(Bases!$E$2:$E$53,B1235))</f>
        <v/>
      </c>
      <c r="J1235" s="8" t="str">
        <f aca="false">IF(INDEX(Bases!$E$2:$E$53,C1235)="","",INDEX(Bases!$E$2:$E$53,C1235))</f>
        <v/>
      </c>
      <c r="K1235" s="5"/>
      <c r="L1235" s="2" t="n">
        <f aca="false">AE1235+IF(SUMPRODUCT(--($AL1235:$AQ1235&gt;AL1235))&lt;$AK1235,1,0)</f>
        <v>98</v>
      </c>
      <c r="M1235" s="2" t="n">
        <f aca="false">AF1235+IF(SUMPRODUCT(--($AL1235:$AQ1235&gt;AM1235))+SUMPRODUCT(--($AL1235:AL1235=AM1235))&lt;$AK1235,1,0)</f>
        <v>84</v>
      </c>
      <c r="N1235" s="2" t="n">
        <f aca="false">AG1235+IF(SUMPRODUCT(--($AL1235:$AQ1235&gt;AN1235))+SUMPRODUCT(--($AL1235:AM1235=AN1235))&lt;$AK1235,1,0)</f>
        <v>72</v>
      </c>
      <c r="O1235" s="2" t="n">
        <f aca="false">AH1235+IF(SUMPRODUCT(--($AL1235:$AQ1235&gt;AO1235))+SUMPRODUCT(--($AL1235:AN1235=AO1235))&lt;$AK1235,1,0)</f>
        <v>88</v>
      </c>
      <c r="P1235" s="2" t="n">
        <f aca="false">AI1235+IF(SUMPRODUCT(--($AL1235:$AQ1235&gt;AP1235))+SUMPRODUCT(--($AL1235:AO1235=AP1235))&lt;$AK1235,1,0)</f>
        <v>105</v>
      </c>
      <c r="Q1235" s="2" t="n">
        <f aca="false">AJ1235+IF(SUMPRODUCT(--($AL1235:$AQ1235&gt;AQ1235))+SUMPRODUCT(--($AL1235:AP1235=AQ1235))&lt;$AK1235,1,0)</f>
        <v>53</v>
      </c>
      <c r="R1235" s="2" t="n">
        <f aca="false">SUM(L1235:Q1235)</f>
        <v>500</v>
      </c>
      <c r="S1235" s="2" t="n">
        <f aca="false">Settings!$B$4*MAX(INDEX(Bases!$M$2:$M$53,B1235),INDEX(Bases!$M$2:$M$53,C1235))+Settings!$B$5*MIN(INDEX(Bases!$M$2:$M$53,B1235),INDEX(Bases!$M$2:$M$53,C1235))</f>
        <v>83.6666666666667</v>
      </c>
      <c r="T1235" s="2" t="n">
        <f aca="false">Settings!$B$4*MAX(INDEX(Bases!$N$2:$N$53,B1235),INDEX(Bases!$N$2:$N$53,C1235))+Settings!$B$5*MIN(INDEX(Bases!$N$2:$N$53,B1235),INDEX(Bases!$N$2:$N$53,C1235))</f>
        <v>72</v>
      </c>
      <c r="U1235" s="2" t="n">
        <f aca="false">Settings!$B$4*MAX(INDEX(Bases!$O$2:$O$53,B1235),INDEX(Bases!$O$2:$O$53,C1235))+Settings!$B$5*MIN(INDEX(Bases!$O$2:$O$53,B1235),INDEX(Bases!$O$2:$O$53,C1235))</f>
        <v>61.6666666666667</v>
      </c>
      <c r="V1235" s="2" t="n">
        <f aca="false">Settings!$B$4*MAX(INDEX(Bases!$P$2:$P$53,B1235),INDEX(Bases!$P$2:$P$53,C1235))+Settings!$B$5*MIN(INDEX(Bases!$P$2:$P$53,B1235),INDEX(Bases!$P$2:$P$53,C1235))</f>
        <v>75.3333333333333</v>
      </c>
      <c r="W1235" s="2" t="n">
        <f aca="false">Settings!$B$4*MAX(INDEX(Bases!$Q$2:$Q$53,B1235),INDEX(Bases!$Q$2:$Q$53,C1235))+Settings!$B$5*MIN(INDEX(Bases!$Q$2:$Q$53,B1235),INDEX(Bases!$Q$2:$Q$53,C1235))</f>
        <v>89.6666666666667</v>
      </c>
      <c r="X1235" s="2" t="n">
        <f aca="false">Settings!$B$4*MAX(INDEX(Bases!$R$2:$R$53,B1235),INDEX(Bases!$R$2:$R$53,C1235))+Settings!$B$5*MIN(INDEX(Bases!$R$2:$R$53,B1235),INDEX(Bases!$R$2:$R$53,C1235))</f>
        <v>45</v>
      </c>
      <c r="Y1235" s="2" t="n">
        <f aca="false">S1235*Settings!$B$3/SUM(S1235:X1235)</f>
        <v>97.8939157566303</v>
      </c>
      <c r="Z1235" s="2" t="n">
        <f aca="false">T1235*Settings!$B$3/SUM(S1235:X1235)</f>
        <v>84.2433697347894</v>
      </c>
      <c r="AA1235" s="2" t="n">
        <f aca="false">U1235*Settings!$B$3/SUM(S1235:X1235)</f>
        <v>72.1528861154446</v>
      </c>
      <c r="AB1235" s="2" t="n">
        <f aca="false">V1235*Settings!$B$3/SUM(S1235:X1235)</f>
        <v>88.1435257410296</v>
      </c>
      <c r="AC1235" s="2" t="n">
        <f aca="false">W1235*Settings!$B$3/SUM(S1235:X1235)</f>
        <v>104.914196567863</v>
      </c>
      <c r="AD1235" s="2" t="n">
        <f aca="false">X1235*Settings!$B$3/SUM(S1235:X1235)</f>
        <v>52.6521060842434</v>
      </c>
      <c r="AE1235" s="2" t="n">
        <f aca="false">INT(Y1235)</f>
        <v>97</v>
      </c>
      <c r="AF1235" s="2" t="n">
        <f aca="false">INT(Z1235)</f>
        <v>84</v>
      </c>
      <c r="AG1235" s="2" t="n">
        <f aca="false">INT(AA1235)</f>
        <v>72</v>
      </c>
      <c r="AH1235" s="2" t="n">
        <f aca="false">INT(AB1235)</f>
        <v>88</v>
      </c>
      <c r="AI1235" s="2" t="n">
        <f aca="false">INT(AC1235)</f>
        <v>104</v>
      </c>
      <c r="AJ1235" s="2" t="n">
        <f aca="false">INT(AD1235)</f>
        <v>52</v>
      </c>
      <c r="AK1235" s="2" t="n">
        <f aca="false">Settings!$B$3-SUM(AE1235:AJ1235)</f>
        <v>3</v>
      </c>
      <c r="AL1235" s="2" t="n">
        <f aca="false">ROUND(Y1235-AE1235,9)</f>
        <v>0.893915757</v>
      </c>
      <c r="AM1235" s="2" t="n">
        <f aca="false">ROUND(Z1235-AF1235,9)</f>
        <v>0.243369735</v>
      </c>
      <c r="AN1235" s="2" t="n">
        <f aca="false">ROUND(AA1235-AG1235,9)</f>
        <v>0.152886115</v>
      </c>
      <c r="AO1235" s="2" t="n">
        <f aca="false">ROUND(AB1235-AH1235,9)</f>
        <v>0.143525741</v>
      </c>
      <c r="AP1235" s="2" t="n">
        <f aca="false">ROUND(AC1235-AI1235,9)</f>
        <v>0.914196568</v>
      </c>
      <c r="AQ1235" s="2" t="n">
        <f aca="false">ROUND(AD1235-AJ1235,9)</f>
        <v>0.652106084</v>
      </c>
    </row>
    <row r="1236" customFormat="false" ht="15" hidden="false" customHeight="false" outlineLevel="0" collapsed="false">
      <c r="A1236" s="2" t="n">
        <v>1235</v>
      </c>
      <c r="B1236" s="6" t="n">
        <v>38</v>
      </c>
      <c r="C1236" s="6" t="n">
        <v>52</v>
      </c>
      <c r="D1236" s="8" t="str">
        <f aca="false">INDEX(Bases!$B$2:$B$53,B1236)</f>
        <v>Larvitar</v>
      </c>
      <c r="E1236" s="8" t="str">
        <f aca="false">INDEX(Bases!$B$2:$B$53,C1236)</f>
        <v>Togepi</v>
      </c>
      <c r="F1236" s="2" t="str">
        <f aca="false">LEFT(D1236,ROUNDUP(LEN(D1236)/2,0))&amp;LOWER(MID(E1236,ROUNDUP(LEN(E1236)/2,0)+1,20))</f>
        <v>Larvepi</v>
      </c>
      <c r="G1236" s="8" t="str">
        <f aca="false">INDEX(Bases!$C$2:$C$53,B1236)</f>
        <v>Rock</v>
      </c>
      <c r="H1236" s="8" t="str">
        <f aca="false">IF(INDEX(Bases!$C$2:$C$53,C1236)=G1236,"",INDEX(Bases!$C$2:$C$53,C1236))</f>
        <v>Fairy</v>
      </c>
      <c r="I1236" s="8" t="str">
        <f aca="false">IF(INDEX(Bases!$E$2:$E$53,B1236)="","",INDEX(Bases!$E$2:$E$53,B1236))</f>
        <v/>
      </c>
      <c r="J1236" s="8" t="str">
        <f aca="false">IF(INDEX(Bases!$E$2:$E$53,C1236)="","",INDEX(Bases!$E$2:$E$53,C1236))</f>
        <v/>
      </c>
      <c r="K1236" s="5"/>
      <c r="L1236" s="2" t="n">
        <f aca="false">AE1236+IF(SUMPRODUCT(--($AL1236:$AQ1236&gt;AL1236))&lt;$AK1236,1,0)</f>
        <v>74</v>
      </c>
      <c r="M1236" s="2" t="n">
        <f aca="false">AF1236+IF(SUMPRODUCT(--($AL1236:$AQ1236&gt;AM1236))+SUMPRODUCT(--($AL1236:AL1236=AM1236))&lt;$AK1236,1,0)</f>
        <v>79</v>
      </c>
      <c r="N1236" s="2" t="n">
        <f aca="false">AG1236+IF(SUMPRODUCT(--($AL1236:$AQ1236&gt;AN1236))+SUMPRODUCT(--($AL1236:AM1236=AN1236))&lt;$AK1236,1,0)</f>
        <v>109</v>
      </c>
      <c r="O1236" s="2" t="n">
        <f aca="false">AH1236+IF(SUMPRODUCT(--($AL1236:$AQ1236&gt;AO1236))+SUMPRODUCT(--($AL1236:AN1236=AO1236))&lt;$AK1236,1,0)</f>
        <v>74</v>
      </c>
      <c r="P1236" s="2" t="n">
        <f aca="false">AI1236+IF(SUMPRODUCT(--($AL1236:$AQ1236&gt;AP1236))+SUMPRODUCT(--($AL1236:AO1236=AP1236))&lt;$AK1236,1,0)</f>
        <v>109</v>
      </c>
      <c r="Q1236" s="2" t="n">
        <f aca="false">AJ1236+IF(SUMPRODUCT(--($AL1236:$AQ1236&gt;AQ1236))+SUMPRODUCT(--($AL1236:AP1236=AQ1236))&lt;$AK1236,1,0)</f>
        <v>55</v>
      </c>
      <c r="R1236" s="2" t="n">
        <f aca="false">SUM(L1236:Q1236)</f>
        <v>500</v>
      </c>
      <c r="S1236" s="2" t="n">
        <f aca="false">Settings!$B$4*MAX(INDEX(Bases!$M$2:$M$53,B1236),INDEX(Bases!$M$2:$M$53,C1236))+Settings!$B$5*MIN(INDEX(Bases!$M$2:$M$53,B1236),INDEX(Bases!$M$2:$M$53,C1236))</f>
        <v>63.6666666666667</v>
      </c>
      <c r="T1236" s="2" t="n">
        <f aca="false">Settings!$B$4*MAX(INDEX(Bases!$N$2:$N$53,B1236),INDEX(Bases!$N$2:$N$53,C1236))+Settings!$B$5*MIN(INDEX(Bases!$N$2:$N$53,B1236),INDEX(Bases!$N$2:$N$53,C1236))</f>
        <v>67.6666666666667</v>
      </c>
      <c r="U1236" s="2" t="n">
        <f aca="false">Settings!$B$4*MAX(INDEX(Bases!$O$2:$O$53,B1236),INDEX(Bases!$O$2:$O$53,C1236))+Settings!$B$5*MIN(INDEX(Bases!$O$2:$O$53,B1236),INDEX(Bases!$O$2:$O$53,C1236))</f>
        <v>93</v>
      </c>
      <c r="V1236" s="2" t="n">
        <f aca="false">Settings!$B$4*MAX(INDEX(Bases!$P$2:$P$53,B1236),INDEX(Bases!$P$2:$P$53,C1236))+Settings!$B$5*MIN(INDEX(Bases!$P$2:$P$53,B1236),INDEX(Bases!$P$2:$P$53,C1236))</f>
        <v>63.3333333333333</v>
      </c>
      <c r="W1236" s="2" t="n">
        <f aca="false">Settings!$B$4*MAX(INDEX(Bases!$Q$2:$Q$53,B1236),INDEX(Bases!$Q$2:$Q$53,C1236))+Settings!$B$5*MIN(INDEX(Bases!$Q$2:$Q$53,B1236),INDEX(Bases!$Q$2:$Q$53,C1236))</f>
        <v>93</v>
      </c>
      <c r="X1236" s="2" t="n">
        <f aca="false">Settings!$B$4*MAX(INDEX(Bases!$R$2:$R$53,B1236),INDEX(Bases!$R$2:$R$53,C1236))+Settings!$B$5*MIN(INDEX(Bases!$R$2:$R$53,B1236),INDEX(Bases!$R$2:$R$53,C1236))</f>
        <v>47</v>
      </c>
      <c r="Y1236" s="2" t="n">
        <f aca="false">S1236*Settings!$B$3/SUM(S1236:X1236)</f>
        <v>74.4349181605612</v>
      </c>
      <c r="Z1236" s="2" t="n">
        <f aca="false">T1236*Settings!$B$3/SUM(S1236:X1236)</f>
        <v>79.1114575214342</v>
      </c>
      <c r="AA1236" s="2" t="n">
        <f aca="false">U1236*Settings!$B$3/SUM(S1236:X1236)</f>
        <v>108.729540140296</v>
      </c>
      <c r="AB1236" s="2" t="n">
        <f aca="false">V1236*Settings!$B$3/SUM(S1236:X1236)</f>
        <v>74.0452065471551</v>
      </c>
      <c r="AC1236" s="2" t="n">
        <f aca="false">W1236*Settings!$B$3/SUM(S1236:X1236)</f>
        <v>108.729540140296</v>
      </c>
      <c r="AD1236" s="2" t="n">
        <f aca="false">X1236*Settings!$B$3/SUM(S1236:X1236)</f>
        <v>54.9493374902572</v>
      </c>
      <c r="AE1236" s="2" t="n">
        <f aca="false">INT(Y1236)</f>
        <v>74</v>
      </c>
      <c r="AF1236" s="2" t="n">
        <f aca="false">INT(Z1236)</f>
        <v>79</v>
      </c>
      <c r="AG1236" s="2" t="n">
        <f aca="false">INT(AA1236)</f>
        <v>108</v>
      </c>
      <c r="AH1236" s="2" t="n">
        <f aca="false">INT(AB1236)</f>
        <v>74</v>
      </c>
      <c r="AI1236" s="2" t="n">
        <f aca="false">INT(AC1236)</f>
        <v>108</v>
      </c>
      <c r="AJ1236" s="2" t="n">
        <f aca="false">INT(AD1236)</f>
        <v>54</v>
      </c>
      <c r="AK1236" s="2" t="n">
        <f aca="false">Settings!$B$3-SUM(AE1236:AJ1236)</f>
        <v>3</v>
      </c>
      <c r="AL1236" s="2" t="n">
        <f aca="false">ROUND(Y1236-AE1236,9)</f>
        <v>0.434918161</v>
      </c>
      <c r="AM1236" s="2" t="n">
        <f aca="false">ROUND(Z1236-AF1236,9)</f>
        <v>0.111457521</v>
      </c>
      <c r="AN1236" s="2" t="n">
        <f aca="false">ROUND(AA1236-AG1236,9)</f>
        <v>0.72954014</v>
      </c>
      <c r="AO1236" s="2" t="n">
        <f aca="false">ROUND(AB1236-AH1236,9)</f>
        <v>0.045206547</v>
      </c>
      <c r="AP1236" s="2" t="n">
        <f aca="false">ROUND(AC1236-AI1236,9)</f>
        <v>0.72954014</v>
      </c>
      <c r="AQ1236" s="2" t="n">
        <f aca="false">ROUND(AD1236-AJ1236,9)</f>
        <v>0.94933749</v>
      </c>
    </row>
    <row r="1237" customFormat="false" ht="15" hidden="false" customHeight="false" outlineLevel="0" collapsed="false">
      <c r="A1237" s="2" t="n">
        <v>1236</v>
      </c>
      <c r="B1237" s="6" t="n">
        <v>39</v>
      </c>
      <c r="C1237" s="6" t="n">
        <v>40</v>
      </c>
      <c r="D1237" s="8" t="str">
        <f aca="false">INDEX(Bases!$B$2:$B$53,B1237)</f>
        <v>Nosepass</v>
      </c>
      <c r="E1237" s="8" t="str">
        <f aca="false">INDEX(Bases!$B$2:$B$53,C1237)</f>
        <v>Gastly</v>
      </c>
      <c r="F1237" s="2" t="str">
        <f aca="false">LEFT(D1237,ROUNDUP(LEN(D1237)/2,0))&amp;LOWER(MID(E1237,ROUNDUP(LEN(E1237)/2,0)+1,20))</f>
        <v>Nosetly</v>
      </c>
      <c r="G1237" s="8" t="str">
        <f aca="false">INDEX(Bases!$C$2:$C$53,B1237)</f>
        <v>Rock</v>
      </c>
      <c r="H1237" s="8" t="str">
        <f aca="false">IF(INDEX(Bases!$C$2:$C$53,C1237)=G1237,"",INDEX(Bases!$C$2:$C$53,C1237))</f>
        <v>Ghost</v>
      </c>
      <c r="I1237" s="8" t="str">
        <f aca="false">IF(INDEX(Bases!$E$2:$E$53,B1237)="","",INDEX(Bases!$E$2:$E$53,B1237))</f>
        <v/>
      </c>
      <c r="J1237" s="8" t="str">
        <f aca="false">IF(INDEX(Bases!$E$2:$E$53,C1237)="","",INDEX(Bases!$E$2:$E$53,C1237))</f>
        <v/>
      </c>
      <c r="K1237" s="5"/>
      <c r="L1237" s="2" t="n">
        <f aca="false">AE1237+IF(SUMPRODUCT(--($AL1237:$AQ1237&gt;AL1237))&lt;$AK1237,1,0)</f>
        <v>40</v>
      </c>
      <c r="M1237" s="2" t="n">
        <f aca="false">AF1237+IF(SUMPRODUCT(--($AL1237:$AQ1237&gt;AM1237))+SUMPRODUCT(--($AL1237:AL1237=AM1237))&lt;$AK1237,1,0)</f>
        <v>52</v>
      </c>
      <c r="N1237" s="2" t="n">
        <f aca="false">AG1237+IF(SUMPRODUCT(--($AL1237:$AQ1237&gt;AN1237))+SUMPRODUCT(--($AL1237:AM1237=AN1237))&lt;$AK1237,1,0)</f>
        <v>120</v>
      </c>
      <c r="O1237" s="2" t="n">
        <f aca="false">AH1237+IF(SUMPRODUCT(--($AL1237:$AQ1237&gt;AO1237))+SUMPRODUCT(--($AL1237:AN1237=AO1237))&lt;$AK1237,1,0)</f>
        <v>113</v>
      </c>
      <c r="P1237" s="2" t="n">
        <f aca="false">AI1237+IF(SUMPRODUCT(--($AL1237:$AQ1237&gt;AP1237))+SUMPRODUCT(--($AL1237:AO1237=AP1237))&lt;$AK1237,1,0)</f>
        <v>87</v>
      </c>
      <c r="Q1237" s="2" t="n">
        <f aca="false">AJ1237+IF(SUMPRODUCT(--($AL1237:$AQ1237&gt;AQ1237))+SUMPRODUCT(--($AL1237:AP1237=AQ1237))&lt;$AK1237,1,0)</f>
        <v>88</v>
      </c>
      <c r="R1237" s="2" t="n">
        <f aca="false">SUM(L1237:Q1237)</f>
        <v>500</v>
      </c>
      <c r="S1237" s="2" t="n">
        <f aca="false">Settings!$B$4*MAX(INDEX(Bases!$M$2:$M$53,B1237),INDEX(Bases!$M$2:$M$53,C1237))+Settings!$B$5*MIN(INDEX(Bases!$M$2:$M$53,B1237),INDEX(Bases!$M$2:$M$53,C1237))</f>
        <v>36.6666666666667</v>
      </c>
      <c r="T1237" s="2" t="n">
        <f aca="false">Settings!$B$4*MAX(INDEX(Bases!$N$2:$N$53,B1237),INDEX(Bases!$N$2:$N$53,C1237))+Settings!$B$5*MIN(INDEX(Bases!$N$2:$N$53,B1237),INDEX(Bases!$N$2:$N$53,C1237))</f>
        <v>47</v>
      </c>
      <c r="U1237" s="2" t="n">
        <f aca="false">Settings!$B$4*MAX(INDEX(Bases!$O$2:$O$53,B1237),INDEX(Bases!$O$2:$O$53,C1237))+Settings!$B$5*MIN(INDEX(Bases!$O$2:$O$53,B1237),INDEX(Bases!$O$2:$O$53,C1237))</f>
        <v>109</v>
      </c>
      <c r="V1237" s="2" t="n">
        <f aca="false">Settings!$B$4*MAX(INDEX(Bases!$P$2:$P$53,B1237),INDEX(Bases!$P$2:$P$53,C1237))+Settings!$B$5*MIN(INDEX(Bases!$P$2:$P$53,B1237),INDEX(Bases!$P$2:$P$53,C1237))</f>
        <v>102</v>
      </c>
      <c r="W1237" s="2" t="n">
        <f aca="false">Settings!$B$4*MAX(INDEX(Bases!$Q$2:$Q$53,B1237),INDEX(Bases!$Q$2:$Q$53,C1237))+Settings!$B$5*MIN(INDEX(Bases!$Q$2:$Q$53,B1237),INDEX(Bases!$Q$2:$Q$53,C1237))</f>
        <v>79</v>
      </c>
      <c r="X1237" s="2" t="n">
        <f aca="false">Settings!$B$4*MAX(INDEX(Bases!$R$2:$R$53,B1237),INDEX(Bases!$R$2:$R$53,C1237))+Settings!$B$5*MIN(INDEX(Bases!$R$2:$R$53,B1237),INDEX(Bases!$R$2:$R$53,C1237))</f>
        <v>79.3333333333333</v>
      </c>
      <c r="Y1237" s="2" t="n">
        <f aca="false">S1237*Settings!$B$3/SUM(S1237:X1237)</f>
        <v>40.4709345106696</v>
      </c>
      <c r="Z1237" s="2" t="n">
        <f aca="false">T1237*Settings!$B$3/SUM(S1237:X1237)</f>
        <v>51.8763796909492</v>
      </c>
      <c r="AA1237" s="2" t="n">
        <f aca="false">U1237*Settings!$B$3/SUM(S1237:X1237)</f>
        <v>120.309050772627</v>
      </c>
      <c r="AB1237" s="2" t="n">
        <f aca="false">V1237*Settings!$B$3/SUM(S1237:X1237)</f>
        <v>112.582781456954</v>
      </c>
      <c r="AC1237" s="2" t="n">
        <f aca="false">W1237*Settings!$B$3/SUM(S1237:X1237)</f>
        <v>87.19646799117</v>
      </c>
      <c r="AD1237" s="2" t="n">
        <f aca="false">X1237*Settings!$B$3/SUM(S1237:X1237)</f>
        <v>87.5643855776306</v>
      </c>
      <c r="AE1237" s="2" t="n">
        <f aca="false">INT(Y1237)</f>
        <v>40</v>
      </c>
      <c r="AF1237" s="2" t="n">
        <f aca="false">INT(Z1237)</f>
        <v>51</v>
      </c>
      <c r="AG1237" s="2" t="n">
        <f aca="false">INT(AA1237)</f>
        <v>120</v>
      </c>
      <c r="AH1237" s="2" t="n">
        <f aca="false">INT(AB1237)</f>
        <v>112</v>
      </c>
      <c r="AI1237" s="2" t="n">
        <f aca="false">INT(AC1237)</f>
        <v>87</v>
      </c>
      <c r="AJ1237" s="2" t="n">
        <f aca="false">INT(AD1237)</f>
        <v>87</v>
      </c>
      <c r="AK1237" s="2" t="n">
        <f aca="false">Settings!$B$3-SUM(AE1237:AJ1237)</f>
        <v>3</v>
      </c>
      <c r="AL1237" s="2" t="n">
        <f aca="false">ROUND(Y1237-AE1237,9)</f>
        <v>0.470934511</v>
      </c>
      <c r="AM1237" s="2" t="n">
        <f aca="false">ROUND(Z1237-AF1237,9)</f>
        <v>0.876379691</v>
      </c>
      <c r="AN1237" s="2" t="n">
        <f aca="false">ROUND(AA1237-AG1237,9)</f>
        <v>0.309050773</v>
      </c>
      <c r="AO1237" s="2" t="n">
        <f aca="false">ROUND(AB1237-AH1237,9)</f>
        <v>0.582781457</v>
      </c>
      <c r="AP1237" s="2" t="n">
        <f aca="false">ROUND(AC1237-AI1237,9)</f>
        <v>0.196467991</v>
      </c>
      <c r="AQ1237" s="2" t="n">
        <f aca="false">ROUND(AD1237-AJ1237,9)</f>
        <v>0.564385578</v>
      </c>
    </row>
    <row r="1238" customFormat="false" ht="15" hidden="false" customHeight="false" outlineLevel="0" collapsed="false">
      <c r="A1238" s="2" t="n">
        <v>1237</v>
      </c>
      <c r="B1238" s="6" t="n">
        <v>39</v>
      </c>
      <c r="C1238" s="6" t="n">
        <v>41</v>
      </c>
      <c r="D1238" s="8" t="str">
        <f aca="false">INDEX(Bases!$B$2:$B$53,B1238)</f>
        <v>Nosepass</v>
      </c>
      <c r="E1238" s="8" t="str">
        <f aca="false">INDEX(Bases!$B$2:$B$53,C1238)</f>
        <v>Misdreavus</v>
      </c>
      <c r="F1238" s="2" t="str">
        <f aca="false">LEFT(D1238,ROUNDUP(LEN(D1238)/2,0))&amp;LOWER(MID(E1238,ROUNDUP(LEN(E1238)/2,0)+1,20))</f>
        <v>Noseeavus</v>
      </c>
      <c r="G1238" s="8" t="str">
        <f aca="false">INDEX(Bases!$C$2:$C$53,B1238)</f>
        <v>Rock</v>
      </c>
      <c r="H1238" s="8" t="str">
        <f aca="false">IF(INDEX(Bases!$C$2:$C$53,C1238)=G1238,"",INDEX(Bases!$C$2:$C$53,C1238))</f>
        <v>Ghost</v>
      </c>
      <c r="I1238" s="8" t="str">
        <f aca="false">IF(INDEX(Bases!$E$2:$E$53,B1238)="","",INDEX(Bases!$E$2:$E$53,B1238))</f>
        <v/>
      </c>
      <c r="J1238" s="8" t="str">
        <f aca="false">IF(INDEX(Bases!$E$2:$E$53,C1238)="","",INDEX(Bases!$E$2:$E$53,C1238))</f>
        <v/>
      </c>
      <c r="K1238" s="5"/>
      <c r="L1238" s="2" t="n">
        <f aca="false">AE1238+IF(SUMPRODUCT(--($AL1238:$AQ1238&gt;AL1238))&lt;$AK1238,1,0)</f>
        <v>55</v>
      </c>
      <c r="M1238" s="2" t="n">
        <f aca="false">AF1238+IF(SUMPRODUCT(--($AL1238:$AQ1238&gt;AM1238))+SUMPRODUCT(--($AL1238:AL1238=AM1238))&lt;$AK1238,1,0)</f>
        <v>61</v>
      </c>
      <c r="N1238" s="2" t="n">
        <f aca="false">AG1238+IF(SUMPRODUCT(--($AL1238:$AQ1238&gt;AN1238))+SUMPRODUCT(--($AL1238:AM1238=AN1238))&lt;$AK1238,1,0)</f>
        <v>131</v>
      </c>
      <c r="O1238" s="2" t="n">
        <f aca="false">AH1238+IF(SUMPRODUCT(--($AL1238:$AQ1238&gt;AO1238))+SUMPRODUCT(--($AL1238:AN1238=AO1238))&lt;$AK1238,1,0)</f>
        <v>78</v>
      </c>
      <c r="P1238" s="2" t="n">
        <f aca="false">AI1238+IF(SUMPRODUCT(--($AL1238:$AQ1238&gt;AP1238))+SUMPRODUCT(--($AL1238:AO1238=AP1238))&lt;$AK1238,1,0)</f>
        <v>103</v>
      </c>
      <c r="Q1238" s="2" t="n">
        <f aca="false">AJ1238+IF(SUMPRODUCT(--($AL1238:$AQ1238&gt;AQ1238))+SUMPRODUCT(--($AL1238:AP1238=AQ1238))&lt;$AK1238,1,0)</f>
        <v>72</v>
      </c>
      <c r="R1238" s="2" t="n">
        <f aca="false">SUM(L1238:Q1238)</f>
        <v>500</v>
      </c>
      <c r="S1238" s="2" t="n">
        <f aca="false">Settings!$B$4*MAX(INDEX(Bases!$M$2:$M$53,B1238),INDEX(Bases!$M$2:$M$53,C1238))+Settings!$B$5*MIN(INDEX(Bases!$M$2:$M$53,B1238),INDEX(Bases!$M$2:$M$53,C1238))</f>
        <v>48</v>
      </c>
      <c r="T1238" s="2" t="n">
        <f aca="false">Settings!$B$4*MAX(INDEX(Bases!$N$2:$N$53,B1238),INDEX(Bases!$N$2:$N$53,C1238))+Settings!$B$5*MIN(INDEX(Bases!$N$2:$N$53,B1238),INDEX(Bases!$N$2:$N$53,C1238))</f>
        <v>52.6666666666667</v>
      </c>
      <c r="U1238" s="2" t="n">
        <f aca="false">Settings!$B$4*MAX(INDEX(Bases!$O$2:$O$53,B1238),INDEX(Bases!$O$2:$O$53,C1238))+Settings!$B$5*MIN(INDEX(Bases!$O$2:$O$53,B1238),INDEX(Bases!$O$2:$O$53,C1238))</f>
        <v>114.333333333333</v>
      </c>
      <c r="V1238" s="2" t="n">
        <f aca="false">Settings!$B$4*MAX(INDEX(Bases!$P$2:$P$53,B1238),INDEX(Bases!$P$2:$P$53,C1238))+Settings!$B$5*MIN(INDEX(Bases!$P$2:$P$53,B1238),INDEX(Bases!$P$2:$P$53,C1238))</f>
        <v>68</v>
      </c>
      <c r="W1238" s="2" t="n">
        <f aca="false">Settings!$B$4*MAX(INDEX(Bases!$Q$2:$Q$53,B1238),INDEX(Bases!$Q$2:$Q$53,C1238))+Settings!$B$5*MIN(INDEX(Bases!$Q$2:$Q$53,B1238),INDEX(Bases!$Q$2:$Q$53,C1238))</f>
        <v>90</v>
      </c>
      <c r="X1238" s="2" t="n">
        <f aca="false">Settings!$B$4*MAX(INDEX(Bases!$R$2:$R$53,B1238),INDEX(Bases!$R$2:$R$53,C1238))+Settings!$B$5*MIN(INDEX(Bases!$R$2:$R$53,B1238),INDEX(Bases!$R$2:$R$53,C1238))</f>
        <v>62.6666666666667</v>
      </c>
      <c r="Y1238" s="2" t="n">
        <f aca="false">S1238*Settings!$B$3/SUM(S1238:X1238)</f>
        <v>55.0879877582249</v>
      </c>
      <c r="Z1238" s="2" t="n">
        <f aca="false">T1238*Settings!$B$3/SUM(S1238:X1238)</f>
        <v>60.4437643458301</v>
      </c>
      <c r="AA1238" s="2" t="n">
        <f aca="false">U1238*Settings!$B$3/SUM(S1238:X1238)</f>
        <v>131.216526396327</v>
      </c>
      <c r="AB1238" s="2" t="n">
        <f aca="false">V1238*Settings!$B$3/SUM(S1238:X1238)</f>
        <v>78.0413159908187</v>
      </c>
      <c r="AC1238" s="2" t="n">
        <f aca="false">W1238*Settings!$B$3/SUM(S1238:X1238)</f>
        <v>103.289977046672</v>
      </c>
      <c r="AD1238" s="2" t="n">
        <f aca="false">X1238*Settings!$B$3/SUM(S1238:X1238)</f>
        <v>71.920428462127</v>
      </c>
      <c r="AE1238" s="2" t="n">
        <f aca="false">INT(Y1238)</f>
        <v>55</v>
      </c>
      <c r="AF1238" s="2" t="n">
        <f aca="false">INT(Z1238)</f>
        <v>60</v>
      </c>
      <c r="AG1238" s="2" t="n">
        <f aca="false">INT(AA1238)</f>
        <v>131</v>
      </c>
      <c r="AH1238" s="2" t="n">
        <f aca="false">INT(AB1238)</f>
        <v>78</v>
      </c>
      <c r="AI1238" s="2" t="n">
        <f aca="false">INT(AC1238)</f>
        <v>103</v>
      </c>
      <c r="AJ1238" s="2" t="n">
        <f aca="false">INT(AD1238)</f>
        <v>71</v>
      </c>
      <c r="AK1238" s="2" t="n">
        <f aca="false">Settings!$B$3-SUM(AE1238:AJ1238)</f>
        <v>2</v>
      </c>
      <c r="AL1238" s="2" t="n">
        <f aca="false">ROUND(Y1238-AE1238,9)</f>
        <v>0.087987758</v>
      </c>
      <c r="AM1238" s="2" t="n">
        <f aca="false">ROUND(Z1238-AF1238,9)</f>
        <v>0.443764346</v>
      </c>
      <c r="AN1238" s="2" t="n">
        <f aca="false">ROUND(AA1238-AG1238,9)</f>
        <v>0.216526396</v>
      </c>
      <c r="AO1238" s="2" t="n">
        <f aca="false">ROUND(AB1238-AH1238,9)</f>
        <v>0.041315991</v>
      </c>
      <c r="AP1238" s="2" t="n">
        <f aca="false">ROUND(AC1238-AI1238,9)</f>
        <v>0.289977047</v>
      </c>
      <c r="AQ1238" s="2" t="n">
        <f aca="false">ROUND(AD1238-AJ1238,9)</f>
        <v>0.920428462</v>
      </c>
    </row>
    <row r="1239" customFormat="false" ht="15" hidden="false" customHeight="false" outlineLevel="0" collapsed="false">
      <c r="A1239" s="2" t="n">
        <v>1238</v>
      </c>
      <c r="B1239" s="6" t="n">
        <v>39</v>
      </c>
      <c r="C1239" s="6" t="n">
        <v>42</v>
      </c>
      <c r="D1239" s="8" t="str">
        <f aca="false">INDEX(Bases!$B$2:$B$53,B1239)</f>
        <v>Nosepass</v>
      </c>
      <c r="E1239" s="8" t="str">
        <f aca="false">INDEX(Bases!$B$2:$B$53,C1239)</f>
        <v>Sableye</v>
      </c>
      <c r="F1239" s="2" t="str">
        <f aca="false">LEFT(D1239,ROUNDUP(LEN(D1239)/2,0))&amp;LOWER(MID(E1239,ROUNDUP(LEN(E1239)/2,0)+1,20))</f>
        <v>Noseeye</v>
      </c>
      <c r="G1239" s="8" t="str">
        <f aca="false">INDEX(Bases!$C$2:$C$53,B1239)</f>
        <v>Rock</v>
      </c>
      <c r="H1239" s="8" t="str">
        <f aca="false">IF(INDEX(Bases!$C$2:$C$53,C1239)=G1239,"",INDEX(Bases!$C$2:$C$53,C1239))</f>
        <v>Ghost</v>
      </c>
      <c r="I1239" s="8" t="str">
        <f aca="false">IF(INDEX(Bases!$E$2:$E$53,B1239)="","",INDEX(Bases!$E$2:$E$53,B1239))</f>
        <v/>
      </c>
      <c r="J1239" s="8" t="str">
        <f aca="false">IF(INDEX(Bases!$E$2:$E$53,C1239)="","",INDEX(Bases!$E$2:$E$53,C1239))</f>
        <v/>
      </c>
      <c r="K1239" s="5"/>
      <c r="L1239" s="2" t="n">
        <f aca="false">AE1239+IF(SUMPRODUCT(--($AL1239:$AQ1239&gt;AL1239))&lt;$AK1239,1,0)</f>
        <v>53</v>
      </c>
      <c r="M1239" s="2" t="n">
        <f aca="false">AF1239+IF(SUMPRODUCT(--($AL1239:$AQ1239&gt;AM1239))+SUMPRODUCT(--($AL1239:AL1239=AM1239))&lt;$AK1239,1,0)</f>
        <v>80</v>
      </c>
      <c r="N1239" s="2" t="n">
        <f aca="false">AG1239+IF(SUMPRODUCT(--($AL1239:$AQ1239&gt;AN1239))+SUMPRODUCT(--($AL1239:AM1239=AN1239))&lt;$AK1239,1,0)</f>
        <v>142</v>
      </c>
      <c r="O1239" s="2" t="n">
        <f aca="false">AH1239+IF(SUMPRODUCT(--($AL1239:$AQ1239&gt;AO1239))+SUMPRODUCT(--($AL1239:AN1239=AO1239))&lt;$AK1239,1,0)</f>
        <v>71</v>
      </c>
      <c r="P1239" s="2" t="n">
        <f aca="false">AI1239+IF(SUMPRODUCT(--($AL1239:$AQ1239&gt;AP1239))+SUMPRODUCT(--($AL1239:AO1239=AP1239))&lt;$AK1239,1,0)</f>
        <v>101</v>
      </c>
      <c r="Q1239" s="2" t="n">
        <f aca="false">AJ1239+IF(SUMPRODUCT(--($AL1239:$AQ1239&gt;AQ1239))+SUMPRODUCT(--($AL1239:AP1239=AQ1239))&lt;$AK1239,1,0)</f>
        <v>53</v>
      </c>
      <c r="R1239" s="2" t="n">
        <f aca="false">SUM(L1239:Q1239)</f>
        <v>500</v>
      </c>
      <c r="S1239" s="2" t="n">
        <f aca="false">Settings!$B$4*MAX(INDEX(Bases!$M$2:$M$53,B1239),INDEX(Bases!$M$2:$M$53,C1239))+Settings!$B$5*MIN(INDEX(Bases!$M$2:$M$53,B1239),INDEX(Bases!$M$2:$M$53,C1239))</f>
        <v>46</v>
      </c>
      <c r="T1239" s="2" t="n">
        <f aca="false">Settings!$B$4*MAX(INDEX(Bases!$N$2:$N$53,B1239),INDEX(Bases!$N$2:$N$53,C1239))+Settings!$B$5*MIN(INDEX(Bases!$N$2:$N$53,B1239),INDEX(Bases!$N$2:$N$53,C1239))</f>
        <v>68.6666666666667</v>
      </c>
      <c r="U1239" s="2" t="n">
        <f aca="false">Settings!$B$4*MAX(INDEX(Bases!$O$2:$O$53,B1239),INDEX(Bases!$O$2:$O$53,C1239))+Settings!$B$5*MIN(INDEX(Bases!$O$2:$O$53,B1239),INDEX(Bases!$O$2:$O$53,C1239))</f>
        <v>122.333333333333</v>
      </c>
      <c r="V1239" s="2" t="n">
        <f aca="false">Settings!$B$4*MAX(INDEX(Bases!$P$2:$P$53,B1239),INDEX(Bases!$P$2:$P$53,C1239))+Settings!$B$5*MIN(INDEX(Bases!$P$2:$P$53,B1239),INDEX(Bases!$P$2:$P$53,C1239))</f>
        <v>61.3333333333333</v>
      </c>
      <c r="W1239" s="2" t="n">
        <f aca="false">Settings!$B$4*MAX(INDEX(Bases!$Q$2:$Q$53,B1239),INDEX(Bases!$Q$2:$Q$53,C1239))+Settings!$B$5*MIN(INDEX(Bases!$Q$2:$Q$53,B1239),INDEX(Bases!$Q$2:$Q$53,C1239))</f>
        <v>86.6666666666667</v>
      </c>
      <c r="X1239" s="2" t="n">
        <f aca="false">Settings!$B$4*MAX(INDEX(Bases!$R$2:$R$53,B1239),INDEX(Bases!$R$2:$R$53,C1239))+Settings!$B$5*MIN(INDEX(Bases!$R$2:$R$53,B1239),INDEX(Bases!$R$2:$R$53,C1239))</f>
        <v>46</v>
      </c>
      <c r="Y1239" s="2" t="n">
        <f aca="false">S1239*Settings!$B$3/SUM(S1239:X1239)</f>
        <v>53.3642691415313</v>
      </c>
      <c r="Z1239" s="2" t="n">
        <f aca="false">T1239*Settings!$B$3/SUM(S1239:X1239)</f>
        <v>79.6597061098221</v>
      </c>
      <c r="AA1239" s="2" t="n">
        <f aca="false">U1239*Settings!$B$3/SUM(S1239:X1239)</f>
        <v>141.918020108275</v>
      </c>
      <c r="AB1239" s="2" t="n">
        <f aca="false">V1239*Settings!$B$3/SUM(S1239:X1239)</f>
        <v>71.1523588553751</v>
      </c>
      <c r="AC1239" s="2" t="n">
        <f aca="false">W1239*Settings!$B$3/SUM(S1239:X1239)</f>
        <v>100.541376643465</v>
      </c>
      <c r="AD1239" s="2" t="n">
        <f aca="false">X1239*Settings!$B$3/SUM(S1239:X1239)</f>
        <v>53.3642691415313</v>
      </c>
      <c r="AE1239" s="2" t="n">
        <f aca="false">INT(Y1239)</f>
        <v>53</v>
      </c>
      <c r="AF1239" s="2" t="n">
        <f aca="false">INT(Z1239)</f>
        <v>79</v>
      </c>
      <c r="AG1239" s="2" t="n">
        <f aca="false">INT(AA1239)</f>
        <v>141</v>
      </c>
      <c r="AH1239" s="2" t="n">
        <f aca="false">INT(AB1239)</f>
        <v>71</v>
      </c>
      <c r="AI1239" s="2" t="n">
        <f aca="false">INT(AC1239)</f>
        <v>100</v>
      </c>
      <c r="AJ1239" s="2" t="n">
        <f aca="false">INT(AD1239)</f>
        <v>53</v>
      </c>
      <c r="AK1239" s="2" t="n">
        <f aca="false">Settings!$B$3-SUM(AE1239:AJ1239)</f>
        <v>3</v>
      </c>
      <c r="AL1239" s="2" t="n">
        <f aca="false">ROUND(Y1239-AE1239,9)</f>
        <v>0.364269142</v>
      </c>
      <c r="AM1239" s="2" t="n">
        <f aca="false">ROUND(Z1239-AF1239,9)</f>
        <v>0.65970611</v>
      </c>
      <c r="AN1239" s="2" t="n">
        <f aca="false">ROUND(AA1239-AG1239,9)</f>
        <v>0.918020108</v>
      </c>
      <c r="AO1239" s="2" t="n">
        <f aca="false">ROUND(AB1239-AH1239,9)</f>
        <v>0.152358855</v>
      </c>
      <c r="AP1239" s="2" t="n">
        <f aca="false">ROUND(AC1239-AI1239,9)</f>
        <v>0.541376643</v>
      </c>
      <c r="AQ1239" s="2" t="n">
        <f aca="false">ROUND(AD1239-AJ1239,9)</f>
        <v>0.364269142</v>
      </c>
    </row>
    <row r="1240" customFormat="false" ht="15" hidden="false" customHeight="false" outlineLevel="0" collapsed="false">
      <c r="A1240" s="2" t="n">
        <v>1239</v>
      </c>
      <c r="B1240" s="6" t="n">
        <v>39</v>
      </c>
      <c r="C1240" s="6" t="n">
        <v>43</v>
      </c>
      <c r="D1240" s="8" t="str">
        <f aca="false">INDEX(Bases!$B$2:$B$53,B1240)</f>
        <v>Nosepass</v>
      </c>
      <c r="E1240" s="8" t="str">
        <f aca="false">INDEX(Bases!$B$2:$B$53,C1240)</f>
        <v>Dratini</v>
      </c>
      <c r="F1240" s="2" t="str">
        <f aca="false">LEFT(D1240,ROUNDUP(LEN(D1240)/2,0))&amp;LOWER(MID(E1240,ROUNDUP(LEN(E1240)/2,0)+1,20))</f>
        <v>Noseini</v>
      </c>
      <c r="G1240" s="8" t="str">
        <f aca="false">INDEX(Bases!$C$2:$C$53,B1240)</f>
        <v>Rock</v>
      </c>
      <c r="H1240" s="8" t="str">
        <f aca="false">IF(INDEX(Bases!$C$2:$C$53,C1240)=G1240,"",INDEX(Bases!$C$2:$C$53,C1240))</f>
        <v>Dragon</v>
      </c>
      <c r="I1240" s="8" t="str">
        <f aca="false">IF(INDEX(Bases!$E$2:$E$53,B1240)="","",INDEX(Bases!$E$2:$E$53,B1240))</f>
        <v/>
      </c>
      <c r="J1240" s="8" t="str">
        <f aca="false">IF(INDEX(Bases!$E$2:$E$53,C1240)="","",INDEX(Bases!$E$2:$E$53,C1240))</f>
        <v/>
      </c>
      <c r="K1240" s="5"/>
      <c r="L1240" s="2" t="n">
        <f aca="false">AE1240+IF(SUMPRODUCT(--($AL1240:$AQ1240&gt;AL1240))&lt;$AK1240,1,0)</f>
        <v>54</v>
      </c>
      <c r="M1240" s="2" t="n">
        <f aca="false">AF1240+IF(SUMPRODUCT(--($AL1240:$AQ1240&gt;AM1240))+SUMPRODUCT(--($AL1240:AL1240=AM1240))&lt;$AK1240,1,0)</f>
        <v>83</v>
      </c>
      <c r="N1240" s="2" t="n">
        <f aca="false">AG1240+IF(SUMPRODUCT(--($AL1240:$AQ1240&gt;AN1240))+SUMPRODUCT(--($AL1240:AM1240=AN1240))&lt;$AK1240,1,0)</f>
        <v>133</v>
      </c>
      <c r="O1240" s="2" t="n">
        <f aca="false">AH1240+IF(SUMPRODUCT(--($AL1240:$AQ1240&gt;AO1240))+SUMPRODUCT(--($AL1240:AN1240=AO1240))&lt;$AK1240,1,0)</f>
        <v>69</v>
      </c>
      <c r="P1240" s="2" t="n">
        <f aca="false">AI1240+IF(SUMPRODUCT(--($AL1240:$AQ1240&gt;AP1240))+SUMPRODUCT(--($AL1240:AO1240=AP1240))&lt;$AK1240,1,0)</f>
        <v>99</v>
      </c>
      <c r="Q1240" s="2" t="n">
        <f aca="false">AJ1240+IF(SUMPRODUCT(--($AL1240:$AQ1240&gt;AQ1240))+SUMPRODUCT(--($AL1240:AP1240=AQ1240))&lt;$AK1240,1,0)</f>
        <v>62</v>
      </c>
      <c r="R1240" s="2" t="n">
        <f aca="false">SUM(L1240:Q1240)</f>
        <v>500</v>
      </c>
      <c r="S1240" s="2" t="n">
        <f aca="false">Settings!$B$4*MAX(INDEX(Bases!$M$2:$M$53,B1240),INDEX(Bases!$M$2:$M$53,C1240))+Settings!$B$5*MIN(INDEX(Bases!$M$2:$M$53,B1240),INDEX(Bases!$M$2:$M$53,C1240))</f>
        <v>47.3333333333333</v>
      </c>
      <c r="T1240" s="2" t="n">
        <f aca="false">Settings!$B$4*MAX(INDEX(Bases!$N$2:$N$53,B1240),INDEX(Bases!$N$2:$N$53,C1240))+Settings!$B$5*MIN(INDEX(Bases!$N$2:$N$53,B1240),INDEX(Bases!$N$2:$N$53,C1240))</f>
        <v>72.6666666666667</v>
      </c>
      <c r="U1240" s="2" t="n">
        <f aca="false">Settings!$B$4*MAX(INDEX(Bases!$O$2:$O$53,B1240),INDEX(Bases!$O$2:$O$53,C1240))+Settings!$B$5*MIN(INDEX(Bases!$O$2:$O$53,B1240),INDEX(Bases!$O$2:$O$53,C1240))</f>
        <v>116</v>
      </c>
      <c r="V1240" s="2" t="n">
        <f aca="false">Settings!$B$4*MAX(INDEX(Bases!$P$2:$P$53,B1240),INDEX(Bases!$P$2:$P$53,C1240))+Settings!$B$5*MIN(INDEX(Bases!$P$2:$P$53,B1240),INDEX(Bases!$P$2:$P$53,C1240))</f>
        <v>60.6666666666667</v>
      </c>
      <c r="W1240" s="2" t="n">
        <f aca="false">Settings!$B$4*MAX(INDEX(Bases!$Q$2:$Q$53,B1240),INDEX(Bases!$Q$2:$Q$53,C1240))+Settings!$B$5*MIN(INDEX(Bases!$Q$2:$Q$53,B1240),INDEX(Bases!$Q$2:$Q$53,C1240))</f>
        <v>86.3333333333333</v>
      </c>
      <c r="X1240" s="2" t="n">
        <f aca="false">Settings!$B$4*MAX(INDEX(Bases!$R$2:$R$53,B1240),INDEX(Bases!$R$2:$R$53,C1240))+Settings!$B$5*MIN(INDEX(Bases!$R$2:$R$53,B1240),INDEX(Bases!$R$2:$R$53,C1240))</f>
        <v>54.6666666666667</v>
      </c>
      <c r="Y1240" s="2" t="n">
        <f aca="false">S1240*Settings!$B$3/SUM(S1240:X1240)</f>
        <v>54.0746382330541</v>
      </c>
      <c r="Z1240" s="2" t="n">
        <f aca="false">T1240*Settings!$B$3/SUM(S1240:X1240)</f>
        <v>83.015993907083</v>
      </c>
      <c r="AA1240" s="2" t="n">
        <f aca="false">U1240*Settings!$B$3/SUM(S1240:X1240)</f>
        <v>132.520944402133</v>
      </c>
      <c r="AB1240" s="2" t="n">
        <f aca="false">V1240*Settings!$B$3/SUM(S1240:X1240)</f>
        <v>69.3069306930693</v>
      </c>
      <c r="AC1240" s="2" t="n">
        <f aca="false">W1240*Settings!$B$3/SUM(S1240:X1240)</f>
        <v>98.6290936785986</v>
      </c>
      <c r="AD1240" s="2" t="n">
        <f aca="false">X1240*Settings!$B$3/SUM(S1240:X1240)</f>
        <v>62.4523990860625</v>
      </c>
      <c r="AE1240" s="2" t="n">
        <f aca="false">INT(Y1240)</f>
        <v>54</v>
      </c>
      <c r="AF1240" s="2" t="n">
        <f aca="false">INT(Z1240)</f>
        <v>83</v>
      </c>
      <c r="AG1240" s="2" t="n">
        <f aca="false">INT(AA1240)</f>
        <v>132</v>
      </c>
      <c r="AH1240" s="2" t="n">
        <f aca="false">INT(AB1240)</f>
        <v>69</v>
      </c>
      <c r="AI1240" s="2" t="n">
        <f aca="false">INT(AC1240)</f>
        <v>98</v>
      </c>
      <c r="AJ1240" s="2" t="n">
        <f aca="false">INT(AD1240)</f>
        <v>62</v>
      </c>
      <c r="AK1240" s="2" t="n">
        <f aca="false">Settings!$B$3-SUM(AE1240:AJ1240)</f>
        <v>2</v>
      </c>
      <c r="AL1240" s="2" t="n">
        <f aca="false">ROUND(Y1240-AE1240,9)</f>
        <v>0.074638233</v>
      </c>
      <c r="AM1240" s="2" t="n">
        <f aca="false">ROUND(Z1240-AF1240,9)</f>
        <v>0.015993907</v>
      </c>
      <c r="AN1240" s="2" t="n">
        <f aca="false">ROUND(AA1240-AG1240,9)</f>
        <v>0.520944402</v>
      </c>
      <c r="AO1240" s="2" t="n">
        <f aca="false">ROUND(AB1240-AH1240,9)</f>
        <v>0.306930693</v>
      </c>
      <c r="AP1240" s="2" t="n">
        <f aca="false">ROUND(AC1240-AI1240,9)</f>
        <v>0.629093679</v>
      </c>
      <c r="AQ1240" s="2" t="n">
        <f aca="false">ROUND(AD1240-AJ1240,9)</f>
        <v>0.452399086</v>
      </c>
    </row>
    <row r="1241" customFormat="false" ht="15" hidden="false" customHeight="false" outlineLevel="0" collapsed="false">
      <c r="A1241" s="2" t="n">
        <v>1240</v>
      </c>
      <c r="B1241" s="6" t="n">
        <v>39</v>
      </c>
      <c r="C1241" s="6" t="n">
        <v>44</v>
      </c>
      <c r="D1241" s="8" t="str">
        <f aca="false">INDEX(Bases!$B$2:$B$53,B1241)</f>
        <v>Nosepass</v>
      </c>
      <c r="E1241" s="8" t="str">
        <f aca="false">INDEX(Bases!$B$2:$B$53,C1241)</f>
        <v>Bagon</v>
      </c>
      <c r="F1241" s="2" t="str">
        <f aca="false">LEFT(D1241,ROUNDUP(LEN(D1241)/2,0))&amp;LOWER(MID(E1241,ROUNDUP(LEN(E1241)/2,0)+1,20))</f>
        <v>Noseon</v>
      </c>
      <c r="G1241" s="8" t="str">
        <f aca="false">INDEX(Bases!$C$2:$C$53,B1241)</f>
        <v>Rock</v>
      </c>
      <c r="H1241" s="8" t="str">
        <f aca="false">IF(INDEX(Bases!$C$2:$C$53,C1241)=G1241,"",INDEX(Bases!$C$2:$C$53,C1241))</f>
        <v>Dragon</v>
      </c>
      <c r="I1241" s="8" t="str">
        <f aca="false">IF(INDEX(Bases!$E$2:$E$53,B1241)="","",INDEX(Bases!$E$2:$E$53,B1241))</f>
        <v/>
      </c>
      <c r="J1241" s="8" t="str">
        <f aca="false">IF(INDEX(Bases!$E$2:$E$53,C1241)="","",INDEX(Bases!$E$2:$E$53,C1241))</f>
        <v/>
      </c>
      <c r="K1241" s="5"/>
      <c r="L1241" s="2" t="n">
        <f aca="false">AE1241+IF(SUMPRODUCT(--($AL1241:$AQ1241&gt;AL1241))&lt;$AK1241,1,0)</f>
        <v>58</v>
      </c>
      <c r="M1241" s="2" t="n">
        <f aca="false">AF1241+IF(SUMPRODUCT(--($AL1241:$AQ1241&gt;AM1241))+SUMPRODUCT(--($AL1241:AL1241=AM1241))&lt;$AK1241,1,0)</f>
        <v>94</v>
      </c>
      <c r="N1241" s="2" t="n">
        <f aca="false">AG1241+IF(SUMPRODUCT(--($AL1241:$AQ1241&gt;AN1241))+SUMPRODUCT(--($AL1241:AM1241=AN1241))&lt;$AK1241,1,0)</f>
        <v>139</v>
      </c>
      <c r="O1241" s="2" t="n">
        <f aca="false">AH1241+IF(SUMPRODUCT(--($AL1241:$AQ1241&gt;AO1241))+SUMPRODUCT(--($AL1241:AN1241=AO1241))&lt;$AK1241,1,0)</f>
        <v>58</v>
      </c>
      <c r="P1241" s="2" t="n">
        <f aca="false">AI1241+IF(SUMPRODUCT(--($AL1241:$AQ1241&gt;AP1241))+SUMPRODUCT(--($AL1241:AO1241=AP1241))&lt;$AK1241,1,0)</f>
        <v>88</v>
      </c>
      <c r="Q1241" s="2" t="n">
        <f aca="false">AJ1241+IF(SUMPRODUCT(--($AL1241:$AQ1241&gt;AQ1241))+SUMPRODUCT(--($AL1241:AP1241=AQ1241))&lt;$AK1241,1,0)</f>
        <v>63</v>
      </c>
      <c r="R1241" s="2" t="n">
        <f aca="false">SUM(L1241:Q1241)</f>
        <v>500</v>
      </c>
      <c r="S1241" s="2" t="n">
        <f aca="false">Settings!$B$4*MAX(INDEX(Bases!$M$2:$M$53,B1241),INDEX(Bases!$M$2:$M$53,C1241))+Settings!$B$5*MIN(INDEX(Bases!$M$2:$M$53,B1241),INDEX(Bases!$M$2:$M$53,C1241))</f>
        <v>50.6666666666667</v>
      </c>
      <c r="T1241" s="2" t="n">
        <f aca="false">Settings!$B$4*MAX(INDEX(Bases!$N$2:$N$53,B1241),INDEX(Bases!$N$2:$N$53,C1241))+Settings!$B$5*MIN(INDEX(Bases!$N$2:$N$53,B1241),INDEX(Bases!$N$2:$N$53,C1241))</f>
        <v>82.6666666666667</v>
      </c>
      <c r="U1241" s="2" t="n">
        <f aca="false">Settings!$B$4*MAX(INDEX(Bases!$O$2:$O$53,B1241),INDEX(Bases!$O$2:$O$53,C1241))+Settings!$B$5*MIN(INDEX(Bases!$O$2:$O$53,B1241),INDEX(Bases!$O$2:$O$53,C1241))</f>
        <v>122.666666666667</v>
      </c>
      <c r="V1241" s="2" t="n">
        <f aca="false">Settings!$B$4*MAX(INDEX(Bases!$P$2:$P$53,B1241),INDEX(Bases!$P$2:$P$53,C1241))+Settings!$B$5*MIN(INDEX(Bases!$P$2:$P$53,B1241),INDEX(Bases!$P$2:$P$53,C1241))</f>
        <v>51.3333333333333</v>
      </c>
      <c r="W1241" s="2" t="n">
        <f aca="false">Settings!$B$4*MAX(INDEX(Bases!$Q$2:$Q$53,B1241),INDEX(Bases!$Q$2:$Q$53,C1241))+Settings!$B$5*MIN(INDEX(Bases!$Q$2:$Q$53,B1241),INDEX(Bases!$Q$2:$Q$53,C1241))</f>
        <v>77.3333333333333</v>
      </c>
      <c r="X1241" s="2" t="n">
        <f aca="false">Settings!$B$4*MAX(INDEX(Bases!$R$2:$R$53,B1241),INDEX(Bases!$R$2:$R$53,C1241))+Settings!$B$5*MIN(INDEX(Bases!$R$2:$R$53,B1241),INDEX(Bases!$R$2:$R$53,C1241))</f>
        <v>55.3333333333333</v>
      </c>
      <c r="Y1241" s="2" t="n">
        <f aca="false">S1241*Settings!$B$3/SUM(S1241:X1241)</f>
        <v>57.5757575757576</v>
      </c>
      <c r="Z1241" s="2" t="n">
        <f aca="false">T1241*Settings!$B$3/SUM(S1241:X1241)</f>
        <v>93.9393939393939</v>
      </c>
      <c r="AA1241" s="2" t="n">
        <f aca="false">U1241*Settings!$B$3/SUM(S1241:X1241)</f>
        <v>139.393939393939</v>
      </c>
      <c r="AB1241" s="2" t="n">
        <f aca="false">V1241*Settings!$B$3/SUM(S1241:X1241)</f>
        <v>58.3333333333333</v>
      </c>
      <c r="AC1241" s="2" t="n">
        <f aca="false">W1241*Settings!$B$3/SUM(S1241:X1241)</f>
        <v>87.8787878787879</v>
      </c>
      <c r="AD1241" s="2" t="n">
        <f aca="false">X1241*Settings!$B$3/SUM(S1241:X1241)</f>
        <v>62.8787878787879</v>
      </c>
      <c r="AE1241" s="2" t="n">
        <f aca="false">INT(Y1241)</f>
        <v>57</v>
      </c>
      <c r="AF1241" s="2" t="n">
        <f aca="false">INT(Z1241)</f>
        <v>93</v>
      </c>
      <c r="AG1241" s="2" t="n">
        <f aca="false">INT(AA1241)</f>
        <v>139</v>
      </c>
      <c r="AH1241" s="2" t="n">
        <f aca="false">INT(AB1241)</f>
        <v>58</v>
      </c>
      <c r="AI1241" s="2" t="n">
        <f aca="false">INT(AC1241)</f>
        <v>87</v>
      </c>
      <c r="AJ1241" s="2" t="n">
        <f aca="false">INT(AD1241)</f>
        <v>62</v>
      </c>
      <c r="AK1241" s="2" t="n">
        <f aca="false">Settings!$B$3-SUM(AE1241:AJ1241)</f>
        <v>4</v>
      </c>
      <c r="AL1241" s="2" t="n">
        <f aca="false">ROUND(Y1241-AE1241,9)</f>
        <v>0.575757576</v>
      </c>
      <c r="AM1241" s="2" t="n">
        <f aca="false">ROUND(Z1241-AF1241,9)</f>
        <v>0.939393939</v>
      </c>
      <c r="AN1241" s="2" t="n">
        <f aca="false">ROUND(AA1241-AG1241,9)</f>
        <v>0.393939394</v>
      </c>
      <c r="AO1241" s="2" t="n">
        <f aca="false">ROUND(AB1241-AH1241,9)</f>
        <v>0.333333333</v>
      </c>
      <c r="AP1241" s="2" t="n">
        <f aca="false">ROUND(AC1241-AI1241,9)</f>
        <v>0.878787879</v>
      </c>
      <c r="AQ1241" s="2" t="n">
        <f aca="false">ROUND(AD1241-AJ1241,9)</f>
        <v>0.878787879</v>
      </c>
    </row>
    <row r="1242" customFormat="false" ht="15" hidden="false" customHeight="false" outlineLevel="0" collapsed="false">
      <c r="A1242" s="2" t="n">
        <v>1241</v>
      </c>
      <c r="B1242" s="6" t="n">
        <v>39</v>
      </c>
      <c r="C1242" s="6" t="n">
        <v>45</v>
      </c>
      <c r="D1242" s="8" t="str">
        <f aca="false">INDEX(Bases!$B$2:$B$53,B1242)</f>
        <v>Nosepass</v>
      </c>
      <c r="E1242" s="8" t="str">
        <f aca="false">INDEX(Bases!$B$2:$B$53,C1242)</f>
        <v>Sneasel</v>
      </c>
      <c r="F1242" s="2" t="str">
        <f aca="false">LEFT(D1242,ROUNDUP(LEN(D1242)/2,0))&amp;LOWER(MID(E1242,ROUNDUP(LEN(E1242)/2,0)+1,20))</f>
        <v>Nosesel</v>
      </c>
      <c r="G1242" s="8" t="str">
        <f aca="false">INDEX(Bases!$C$2:$C$53,B1242)</f>
        <v>Rock</v>
      </c>
      <c r="H1242" s="8" t="str">
        <f aca="false">IF(INDEX(Bases!$C$2:$C$53,C1242)=G1242,"",INDEX(Bases!$C$2:$C$53,C1242))</f>
        <v>Dark</v>
      </c>
      <c r="I1242" s="8" t="str">
        <f aca="false">IF(INDEX(Bases!$E$2:$E$53,B1242)="","",INDEX(Bases!$E$2:$E$53,B1242))</f>
        <v/>
      </c>
      <c r="J1242" s="8" t="str">
        <f aca="false">IF(INDEX(Bases!$E$2:$E$53,C1242)="","",INDEX(Bases!$E$2:$E$53,C1242))</f>
        <v/>
      </c>
      <c r="K1242" s="5"/>
      <c r="L1242" s="2" t="n">
        <f aca="false">AE1242+IF(SUMPRODUCT(--($AL1242:$AQ1242&gt;AL1242))&lt;$AK1242,1,0)</f>
        <v>50</v>
      </c>
      <c r="M1242" s="2" t="n">
        <f aca="false">AF1242+IF(SUMPRODUCT(--($AL1242:$AQ1242&gt;AM1242))+SUMPRODUCT(--($AL1242:AL1242=AM1242))&lt;$AK1242,1,0)</f>
        <v>84</v>
      </c>
      <c r="N1242" s="2" t="n">
        <f aca="false">AG1242+IF(SUMPRODUCT(--($AL1242:$AQ1242&gt;AN1242))+SUMPRODUCT(--($AL1242:AM1242=AN1242))&lt;$AK1242,1,0)</f>
        <v>127</v>
      </c>
      <c r="O1242" s="2" t="n">
        <f aca="false">AH1242+IF(SUMPRODUCT(--($AL1242:$AQ1242&gt;AO1242))+SUMPRODUCT(--($AL1242:AN1242=AO1242))&lt;$AK1242,1,0)</f>
        <v>49</v>
      </c>
      <c r="P1242" s="2" t="n">
        <f aca="false">AI1242+IF(SUMPRODUCT(--($AL1242:$AQ1242&gt;AP1242))+SUMPRODUCT(--($AL1242:AO1242=AP1242))&lt;$AK1242,1,0)</f>
        <v>98</v>
      </c>
      <c r="Q1242" s="2" t="n">
        <f aca="false">AJ1242+IF(SUMPRODUCT(--($AL1242:$AQ1242&gt;AQ1242))+SUMPRODUCT(--($AL1242:AP1242=AQ1242))&lt;$AK1242,1,0)</f>
        <v>92</v>
      </c>
      <c r="R1242" s="2" t="n">
        <f aca="false">SUM(L1242:Q1242)</f>
        <v>500</v>
      </c>
      <c r="S1242" s="2" t="n">
        <f aca="false">Settings!$B$4*MAX(INDEX(Bases!$M$2:$M$53,B1242),INDEX(Bases!$M$2:$M$53,C1242))+Settings!$B$5*MIN(INDEX(Bases!$M$2:$M$53,B1242),INDEX(Bases!$M$2:$M$53,C1242))</f>
        <v>44.6666666666667</v>
      </c>
      <c r="T1242" s="2" t="n">
        <f aca="false">Settings!$B$4*MAX(INDEX(Bases!$N$2:$N$53,B1242),INDEX(Bases!$N$2:$N$53,C1242))+Settings!$B$5*MIN(INDEX(Bases!$N$2:$N$53,B1242),INDEX(Bases!$N$2:$N$53,C1242))</f>
        <v>74.6666666666667</v>
      </c>
      <c r="U1242" s="2" t="n">
        <f aca="false">Settings!$B$4*MAX(INDEX(Bases!$O$2:$O$53,B1242),INDEX(Bases!$O$2:$O$53,C1242))+Settings!$B$5*MIN(INDEX(Bases!$O$2:$O$53,B1242),INDEX(Bases!$O$2:$O$53,C1242))</f>
        <v>113</v>
      </c>
      <c r="V1242" s="2" t="n">
        <f aca="false">Settings!$B$4*MAX(INDEX(Bases!$P$2:$P$53,B1242),INDEX(Bases!$P$2:$P$53,C1242))+Settings!$B$5*MIN(INDEX(Bases!$P$2:$P$53,B1242),INDEX(Bases!$P$2:$P$53,C1242))</f>
        <v>43</v>
      </c>
      <c r="W1242" s="2" t="n">
        <f aca="false">Settings!$B$4*MAX(INDEX(Bases!$Q$2:$Q$53,B1242),INDEX(Bases!$Q$2:$Q$53,C1242))+Settings!$B$5*MIN(INDEX(Bases!$Q$2:$Q$53,B1242),INDEX(Bases!$Q$2:$Q$53,C1242))</f>
        <v>87.3333333333333</v>
      </c>
      <c r="X1242" s="2" t="n">
        <f aca="false">Settings!$B$4*MAX(INDEX(Bases!$R$2:$R$53,B1242),INDEX(Bases!$R$2:$R$53,C1242))+Settings!$B$5*MIN(INDEX(Bases!$R$2:$R$53,B1242),INDEX(Bases!$R$2:$R$53,C1242))</f>
        <v>82</v>
      </c>
      <c r="Y1242" s="2" t="n">
        <f aca="false">S1242*Settings!$B$3/SUM(S1242:X1242)</f>
        <v>50.2248875562219</v>
      </c>
      <c r="Z1242" s="2" t="n">
        <f aca="false">T1242*Settings!$B$3/SUM(S1242:X1242)</f>
        <v>83.9580209895052</v>
      </c>
      <c r="AA1242" s="2" t="n">
        <f aca="false">U1242*Settings!$B$3/SUM(S1242:X1242)</f>
        <v>127.061469265367</v>
      </c>
      <c r="AB1242" s="2" t="n">
        <f aca="false">V1242*Settings!$B$3/SUM(S1242:X1242)</f>
        <v>48.3508245877061</v>
      </c>
      <c r="AC1242" s="2" t="n">
        <f aca="false">W1242*Settings!$B$3/SUM(S1242:X1242)</f>
        <v>98.2008995502249</v>
      </c>
      <c r="AD1242" s="2" t="n">
        <f aca="false">X1242*Settings!$B$3/SUM(S1242:X1242)</f>
        <v>92.2038980509745</v>
      </c>
      <c r="AE1242" s="2" t="n">
        <f aca="false">INT(Y1242)</f>
        <v>50</v>
      </c>
      <c r="AF1242" s="2" t="n">
        <f aca="false">INT(Z1242)</f>
        <v>83</v>
      </c>
      <c r="AG1242" s="2" t="n">
        <f aca="false">INT(AA1242)</f>
        <v>127</v>
      </c>
      <c r="AH1242" s="2" t="n">
        <f aca="false">INT(AB1242)</f>
        <v>48</v>
      </c>
      <c r="AI1242" s="2" t="n">
        <f aca="false">INT(AC1242)</f>
        <v>98</v>
      </c>
      <c r="AJ1242" s="2" t="n">
        <f aca="false">INT(AD1242)</f>
        <v>92</v>
      </c>
      <c r="AK1242" s="2" t="n">
        <f aca="false">Settings!$B$3-SUM(AE1242:AJ1242)</f>
        <v>2</v>
      </c>
      <c r="AL1242" s="2" t="n">
        <f aca="false">ROUND(Y1242-AE1242,9)</f>
        <v>0.224887556</v>
      </c>
      <c r="AM1242" s="2" t="n">
        <f aca="false">ROUND(Z1242-AF1242,9)</f>
        <v>0.95802099</v>
      </c>
      <c r="AN1242" s="2" t="n">
        <f aca="false">ROUND(AA1242-AG1242,9)</f>
        <v>0.061469265</v>
      </c>
      <c r="AO1242" s="2" t="n">
        <f aca="false">ROUND(AB1242-AH1242,9)</f>
        <v>0.350824588</v>
      </c>
      <c r="AP1242" s="2" t="n">
        <f aca="false">ROUND(AC1242-AI1242,9)</f>
        <v>0.20089955</v>
      </c>
      <c r="AQ1242" s="2" t="n">
        <f aca="false">ROUND(AD1242-AJ1242,9)</f>
        <v>0.203898051</v>
      </c>
    </row>
    <row r="1243" customFormat="false" ht="15" hidden="false" customHeight="false" outlineLevel="0" collapsed="false">
      <c r="A1243" s="2" t="n">
        <v>1242</v>
      </c>
      <c r="B1243" s="6" t="n">
        <v>39</v>
      </c>
      <c r="C1243" s="6" t="n">
        <v>46</v>
      </c>
      <c r="D1243" s="8" t="str">
        <f aca="false">INDEX(Bases!$B$2:$B$53,B1243)</f>
        <v>Nosepass</v>
      </c>
      <c r="E1243" s="8" t="str">
        <f aca="false">INDEX(Bases!$B$2:$B$53,C1243)</f>
        <v>Houndour</v>
      </c>
      <c r="F1243" s="2" t="str">
        <f aca="false">LEFT(D1243,ROUNDUP(LEN(D1243)/2,0))&amp;LOWER(MID(E1243,ROUNDUP(LEN(E1243)/2,0)+1,20))</f>
        <v>Nosedour</v>
      </c>
      <c r="G1243" s="8" t="str">
        <f aca="false">INDEX(Bases!$C$2:$C$53,B1243)</f>
        <v>Rock</v>
      </c>
      <c r="H1243" s="8" t="str">
        <f aca="false">IF(INDEX(Bases!$C$2:$C$53,C1243)=G1243,"",INDEX(Bases!$C$2:$C$53,C1243))</f>
        <v>Dark</v>
      </c>
      <c r="I1243" s="8" t="str">
        <f aca="false">IF(INDEX(Bases!$E$2:$E$53,B1243)="","",INDEX(Bases!$E$2:$E$53,B1243))</f>
        <v/>
      </c>
      <c r="J1243" s="8" t="str">
        <f aca="false">IF(INDEX(Bases!$E$2:$E$53,C1243)="","",INDEX(Bases!$E$2:$E$53,C1243))</f>
        <v/>
      </c>
      <c r="K1243" s="5"/>
      <c r="L1243" s="2" t="n">
        <f aca="false">AE1243+IF(SUMPRODUCT(--($AL1243:$AQ1243&gt;AL1243))&lt;$AK1243,1,0)</f>
        <v>52</v>
      </c>
      <c r="M1243" s="2" t="n">
        <f aca="false">AF1243+IF(SUMPRODUCT(--($AL1243:$AQ1243&gt;AM1243))+SUMPRODUCT(--($AL1243:AL1243=AM1243))&lt;$AK1243,1,0)</f>
        <v>72</v>
      </c>
      <c r="N1243" s="2" t="n">
        <f aca="false">AG1243+IF(SUMPRODUCT(--($AL1243:$AQ1243&gt;AN1243))+SUMPRODUCT(--($AL1243:AM1243=AN1243))&lt;$AK1243,1,0)</f>
        <v>121</v>
      </c>
      <c r="O1243" s="2" t="n">
        <f aca="false">AH1243+IF(SUMPRODUCT(--($AL1243:$AQ1243&gt;AO1243))+SUMPRODUCT(--($AL1243:AN1243=AO1243))&lt;$AK1243,1,0)</f>
        <v>90</v>
      </c>
      <c r="P1243" s="2" t="n">
        <f aca="false">AI1243+IF(SUMPRODUCT(--($AL1243:$AQ1243&gt;AP1243))+SUMPRODUCT(--($AL1243:AO1243=AP1243))&lt;$AK1243,1,0)</f>
        <v>94</v>
      </c>
      <c r="Q1243" s="2" t="n">
        <f aca="false">AJ1243+IF(SUMPRODUCT(--($AL1243:$AQ1243&gt;AQ1243))+SUMPRODUCT(--($AL1243:AP1243=AQ1243))&lt;$AK1243,1,0)</f>
        <v>71</v>
      </c>
      <c r="R1243" s="2" t="n">
        <f aca="false">SUM(L1243:Q1243)</f>
        <v>500</v>
      </c>
      <c r="S1243" s="2" t="n">
        <f aca="false">Settings!$B$4*MAX(INDEX(Bases!$M$2:$M$53,B1243),INDEX(Bases!$M$2:$M$53,C1243))+Settings!$B$5*MIN(INDEX(Bases!$M$2:$M$53,B1243),INDEX(Bases!$M$2:$M$53,C1243))</f>
        <v>46.6666666666667</v>
      </c>
      <c r="T1243" s="2" t="n">
        <f aca="false">Settings!$B$4*MAX(INDEX(Bases!$N$2:$N$53,B1243),INDEX(Bases!$N$2:$N$53,C1243))+Settings!$B$5*MIN(INDEX(Bases!$N$2:$N$53,B1243),INDEX(Bases!$N$2:$N$53,C1243))</f>
        <v>64.6666666666667</v>
      </c>
      <c r="U1243" s="2" t="n">
        <f aca="false">Settings!$B$4*MAX(INDEX(Bases!$O$2:$O$53,B1243),INDEX(Bases!$O$2:$O$53,C1243))+Settings!$B$5*MIN(INDEX(Bases!$O$2:$O$53,B1243),INDEX(Bases!$O$2:$O$53,C1243))</f>
        <v>108</v>
      </c>
      <c r="V1243" s="2" t="n">
        <f aca="false">Settings!$B$4*MAX(INDEX(Bases!$P$2:$P$53,B1243),INDEX(Bases!$P$2:$P$53,C1243))+Settings!$B$5*MIN(INDEX(Bases!$P$2:$P$53,B1243),INDEX(Bases!$P$2:$P$53,C1243))</f>
        <v>80.6666666666667</v>
      </c>
      <c r="W1243" s="2" t="n">
        <f aca="false">Settings!$B$4*MAX(INDEX(Bases!$Q$2:$Q$53,B1243),INDEX(Bases!$Q$2:$Q$53,C1243))+Settings!$B$5*MIN(INDEX(Bases!$Q$2:$Q$53,B1243),INDEX(Bases!$Q$2:$Q$53,C1243))</f>
        <v>84.3333333333333</v>
      </c>
      <c r="X1243" s="2" t="n">
        <f aca="false">Settings!$B$4*MAX(INDEX(Bases!$R$2:$R$53,B1243),INDEX(Bases!$R$2:$R$53,C1243))+Settings!$B$5*MIN(INDEX(Bases!$R$2:$R$53,B1243),INDEX(Bases!$R$2:$R$53,C1243))</f>
        <v>63.3333333333333</v>
      </c>
      <c r="Y1243" s="2" t="n">
        <f aca="false">S1243*Settings!$B$3/SUM(S1243:X1243)</f>
        <v>52.1221146686523</v>
      </c>
      <c r="Z1243" s="2" t="n">
        <f aca="false">T1243*Settings!$B$3/SUM(S1243:X1243)</f>
        <v>72.2263588979896</v>
      </c>
      <c r="AA1243" s="2" t="n">
        <f aca="false">U1243*Settings!$B$3/SUM(S1243:X1243)</f>
        <v>120.625465376024</v>
      </c>
      <c r="AB1243" s="2" t="n">
        <f aca="false">V1243*Settings!$B$3/SUM(S1243:X1243)</f>
        <v>90.0967982129561</v>
      </c>
      <c r="AC1243" s="2" t="n">
        <f aca="false">W1243*Settings!$B$3/SUM(S1243:X1243)</f>
        <v>94.1921072226359</v>
      </c>
      <c r="AD1243" s="2" t="n">
        <f aca="false">X1243*Settings!$B$3/SUM(S1243:X1243)</f>
        <v>70.7371556217424</v>
      </c>
      <c r="AE1243" s="2" t="n">
        <f aca="false">INT(Y1243)</f>
        <v>52</v>
      </c>
      <c r="AF1243" s="2" t="n">
        <f aca="false">INT(Z1243)</f>
        <v>72</v>
      </c>
      <c r="AG1243" s="2" t="n">
        <f aca="false">INT(AA1243)</f>
        <v>120</v>
      </c>
      <c r="AH1243" s="2" t="n">
        <f aca="false">INT(AB1243)</f>
        <v>90</v>
      </c>
      <c r="AI1243" s="2" t="n">
        <f aca="false">INT(AC1243)</f>
        <v>94</v>
      </c>
      <c r="AJ1243" s="2" t="n">
        <f aca="false">INT(AD1243)</f>
        <v>70</v>
      </c>
      <c r="AK1243" s="2" t="n">
        <f aca="false">Settings!$B$3-SUM(AE1243:AJ1243)</f>
        <v>2</v>
      </c>
      <c r="AL1243" s="2" t="n">
        <f aca="false">ROUND(Y1243-AE1243,9)</f>
        <v>0.122114669</v>
      </c>
      <c r="AM1243" s="2" t="n">
        <f aca="false">ROUND(Z1243-AF1243,9)</f>
        <v>0.226358898</v>
      </c>
      <c r="AN1243" s="2" t="n">
        <f aca="false">ROUND(AA1243-AG1243,9)</f>
        <v>0.625465376</v>
      </c>
      <c r="AO1243" s="2" t="n">
        <f aca="false">ROUND(AB1243-AH1243,9)</f>
        <v>0.096798213</v>
      </c>
      <c r="AP1243" s="2" t="n">
        <f aca="false">ROUND(AC1243-AI1243,9)</f>
        <v>0.192107223</v>
      </c>
      <c r="AQ1243" s="2" t="n">
        <f aca="false">ROUND(AD1243-AJ1243,9)</f>
        <v>0.737155622</v>
      </c>
    </row>
    <row r="1244" customFormat="false" ht="15" hidden="false" customHeight="false" outlineLevel="0" collapsed="false">
      <c r="A1244" s="2" t="n">
        <v>1243</v>
      </c>
      <c r="B1244" s="6" t="n">
        <v>39</v>
      </c>
      <c r="C1244" s="6" t="n">
        <v>47</v>
      </c>
      <c r="D1244" s="8" t="str">
        <f aca="false">INDEX(Bases!$B$2:$B$53,B1244)</f>
        <v>Nosepass</v>
      </c>
      <c r="E1244" s="8" t="str">
        <f aca="false">INDEX(Bases!$B$2:$B$53,C1244)</f>
        <v>Carvanha</v>
      </c>
      <c r="F1244" s="2" t="str">
        <f aca="false">LEFT(D1244,ROUNDUP(LEN(D1244)/2,0))&amp;LOWER(MID(E1244,ROUNDUP(LEN(E1244)/2,0)+1,20))</f>
        <v>Noseanha</v>
      </c>
      <c r="G1244" s="8" t="str">
        <f aca="false">INDEX(Bases!$C$2:$C$53,B1244)</f>
        <v>Rock</v>
      </c>
      <c r="H1244" s="8" t="str">
        <f aca="false">IF(INDEX(Bases!$C$2:$C$53,C1244)=G1244,"",INDEX(Bases!$C$2:$C$53,C1244))</f>
        <v>Dark</v>
      </c>
      <c r="I1244" s="8" t="str">
        <f aca="false">IF(INDEX(Bases!$E$2:$E$53,B1244)="","",INDEX(Bases!$E$2:$E$53,B1244))</f>
        <v/>
      </c>
      <c r="J1244" s="8" t="str">
        <f aca="false">IF(INDEX(Bases!$E$2:$E$53,C1244)="","",INDEX(Bases!$E$2:$E$53,C1244))</f>
        <v/>
      </c>
      <c r="K1244" s="5"/>
      <c r="L1244" s="2" t="n">
        <f aca="false">AE1244+IF(SUMPRODUCT(--($AL1244:$AQ1244&gt;AL1244))&lt;$AK1244,1,0)</f>
        <v>54</v>
      </c>
      <c r="M1244" s="2" t="n">
        <f aca="false">AF1244+IF(SUMPRODUCT(--($AL1244:$AQ1244&gt;AM1244))+SUMPRODUCT(--($AL1244:AL1244=AM1244))&lt;$AK1244,1,0)</f>
        <v>102</v>
      </c>
      <c r="N1244" s="2" t="n">
        <f aca="false">AG1244+IF(SUMPRODUCT(--($AL1244:$AQ1244&gt;AN1244))+SUMPRODUCT(--($AL1244:AM1244=AN1244))&lt;$AK1244,1,0)</f>
        <v>113</v>
      </c>
      <c r="O1244" s="2" t="n">
        <f aca="false">AH1244+IF(SUMPRODUCT(--($AL1244:$AQ1244&gt;AO1244))+SUMPRODUCT(--($AL1244:AN1244=AO1244))&lt;$AK1244,1,0)</f>
        <v>79</v>
      </c>
      <c r="P1244" s="2" t="n">
        <f aca="false">AI1244+IF(SUMPRODUCT(--($AL1244:$AQ1244&gt;AP1244))+SUMPRODUCT(--($AL1244:AO1244=AP1244))&lt;$AK1244,1,0)</f>
        <v>79</v>
      </c>
      <c r="Q1244" s="2" t="n">
        <f aca="false">AJ1244+IF(SUMPRODUCT(--($AL1244:$AQ1244&gt;AQ1244))+SUMPRODUCT(--($AL1244:AP1244=AQ1244))&lt;$AK1244,1,0)</f>
        <v>73</v>
      </c>
      <c r="R1244" s="2" t="n">
        <f aca="false">SUM(L1244:Q1244)</f>
        <v>500</v>
      </c>
      <c r="S1244" s="2" t="n">
        <f aca="false">Settings!$B$4*MAX(INDEX(Bases!$M$2:$M$53,B1244),INDEX(Bases!$M$2:$M$53,C1244))+Settings!$B$5*MIN(INDEX(Bases!$M$2:$M$53,B1244),INDEX(Bases!$M$2:$M$53,C1244))</f>
        <v>50</v>
      </c>
      <c r="T1244" s="2" t="n">
        <f aca="false">Settings!$B$4*MAX(INDEX(Bases!$N$2:$N$53,B1244),INDEX(Bases!$N$2:$N$53,C1244))+Settings!$B$5*MIN(INDEX(Bases!$N$2:$N$53,B1244),INDEX(Bases!$N$2:$N$53,C1244))</f>
        <v>94.6666666666667</v>
      </c>
      <c r="U1244" s="2" t="n">
        <f aca="false">Settings!$B$4*MAX(INDEX(Bases!$O$2:$O$53,B1244),INDEX(Bases!$O$2:$O$53,C1244))+Settings!$B$5*MIN(INDEX(Bases!$O$2:$O$53,B1244),INDEX(Bases!$O$2:$O$53,C1244))</f>
        <v>104.666666666667</v>
      </c>
      <c r="V1244" s="2" t="n">
        <f aca="false">Settings!$B$4*MAX(INDEX(Bases!$P$2:$P$53,B1244),INDEX(Bases!$P$2:$P$53,C1244))+Settings!$B$5*MIN(INDEX(Bases!$P$2:$P$53,B1244),INDEX(Bases!$P$2:$P$53,C1244))</f>
        <v>73.3333333333333</v>
      </c>
      <c r="W1244" s="2" t="n">
        <f aca="false">Settings!$B$4*MAX(INDEX(Bases!$Q$2:$Q$53,B1244),INDEX(Bases!$Q$2:$Q$53,C1244))+Settings!$B$5*MIN(INDEX(Bases!$Q$2:$Q$53,B1244),INDEX(Bases!$Q$2:$Q$53,C1244))</f>
        <v>72.6666666666667</v>
      </c>
      <c r="X1244" s="2" t="n">
        <f aca="false">Settings!$B$4*MAX(INDEX(Bases!$R$2:$R$53,B1244),INDEX(Bases!$R$2:$R$53,C1244))+Settings!$B$5*MIN(INDEX(Bases!$R$2:$R$53,B1244),INDEX(Bases!$R$2:$R$53,C1244))</f>
        <v>67.3333333333333</v>
      </c>
      <c r="Y1244" s="2" t="n">
        <f aca="false">S1244*Settings!$B$3/SUM(S1244:X1244)</f>
        <v>54.0345821325648</v>
      </c>
      <c r="Z1244" s="2" t="n">
        <f aca="false">T1244*Settings!$B$3/SUM(S1244:X1244)</f>
        <v>102.305475504323</v>
      </c>
      <c r="AA1244" s="2" t="n">
        <f aca="false">U1244*Settings!$B$3/SUM(S1244:X1244)</f>
        <v>113.112391930836</v>
      </c>
      <c r="AB1244" s="2" t="n">
        <f aca="false">V1244*Settings!$B$3/SUM(S1244:X1244)</f>
        <v>79.2507204610951</v>
      </c>
      <c r="AC1244" s="2" t="n">
        <f aca="false">W1244*Settings!$B$3/SUM(S1244:X1244)</f>
        <v>78.5302593659943</v>
      </c>
      <c r="AD1244" s="2" t="n">
        <f aca="false">X1244*Settings!$B$3/SUM(S1244:X1244)</f>
        <v>72.7665706051873</v>
      </c>
      <c r="AE1244" s="2" t="n">
        <f aca="false">INT(Y1244)</f>
        <v>54</v>
      </c>
      <c r="AF1244" s="2" t="n">
        <f aca="false">INT(Z1244)</f>
        <v>102</v>
      </c>
      <c r="AG1244" s="2" t="n">
        <f aca="false">INT(AA1244)</f>
        <v>113</v>
      </c>
      <c r="AH1244" s="2" t="n">
        <f aca="false">INT(AB1244)</f>
        <v>79</v>
      </c>
      <c r="AI1244" s="2" t="n">
        <f aca="false">INT(AC1244)</f>
        <v>78</v>
      </c>
      <c r="AJ1244" s="2" t="n">
        <f aca="false">INT(AD1244)</f>
        <v>72</v>
      </c>
      <c r="AK1244" s="2" t="n">
        <f aca="false">Settings!$B$3-SUM(AE1244:AJ1244)</f>
        <v>2</v>
      </c>
      <c r="AL1244" s="2" t="n">
        <f aca="false">ROUND(Y1244-AE1244,9)</f>
        <v>0.034582133</v>
      </c>
      <c r="AM1244" s="2" t="n">
        <f aca="false">ROUND(Z1244-AF1244,9)</f>
        <v>0.305475504</v>
      </c>
      <c r="AN1244" s="2" t="n">
        <f aca="false">ROUND(AA1244-AG1244,9)</f>
        <v>0.112391931</v>
      </c>
      <c r="AO1244" s="2" t="n">
        <f aca="false">ROUND(AB1244-AH1244,9)</f>
        <v>0.250720461</v>
      </c>
      <c r="AP1244" s="2" t="n">
        <f aca="false">ROUND(AC1244-AI1244,9)</f>
        <v>0.530259366</v>
      </c>
      <c r="AQ1244" s="2" t="n">
        <f aca="false">ROUND(AD1244-AJ1244,9)</f>
        <v>0.766570605</v>
      </c>
    </row>
    <row r="1245" customFormat="false" ht="15" hidden="false" customHeight="false" outlineLevel="0" collapsed="false">
      <c r="A1245" s="2" t="n">
        <v>1244</v>
      </c>
      <c r="B1245" s="6" t="n">
        <v>39</v>
      </c>
      <c r="C1245" s="6" t="n">
        <v>48</v>
      </c>
      <c r="D1245" s="8" t="str">
        <f aca="false">INDEX(Bases!$B$2:$B$53,B1245)</f>
        <v>Nosepass</v>
      </c>
      <c r="E1245" s="8" t="str">
        <f aca="false">INDEX(Bases!$B$2:$B$53,C1245)</f>
        <v>Magnemite</v>
      </c>
      <c r="F1245" s="2" t="str">
        <f aca="false">LEFT(D1245,ROUNDUP(LEN(D1245)/2,0))&amp;LOWER(MID(E1245,ROUNDUP(LEN(E1245)/2,0)+1,20))</f>
        <v>Nosemite</v>
      </c>
      <c r="G1245" s="8" t="str">
        <f aca="false">INDEX(Bases!$C$2:$C$53,B1245)</f>
        <v>Rock</v>
      </c>
      <c r="H1245" s="8" t="str">
        <f aca="false">IF(INDEX(Bases!$C$2:$C$53,C1245)=G1245,"",INDEX(Bases!$C$2:$C$53,C1245))</f>
        <v>Steel</v>
      </c>
      <c r="I1245" s="8" t="str">
        <f aca="false">IF(INDEX(Bases!$E$2:$E$53,B1245)="","",INDEX(Bases!$E$2:$E$53,B1245))</f>
        <v/>
      </c>
      <c r="J1245" s="8" t="str">
        <f aca="false">IF(INDEX(Bases!$E$2:$E$53,C1245)="","",INDEX(Bases!$E$2:$E$53,C1245))</f>
        <v/>
      </c>
      <c r="K1245" s="5"/>
      <c r="L1245" s="2" t="n">
        <f aca="false">AE1245+IF(SUMPRODUCT(--($AL1245:$AQ1245&gt;AL1245))&lt;$AK1245,1,0)</f>
        <v>37</v>
      </c>
      <c r="M1245" s="2" t="n">
        <f aca="false">AF1245+IF(SUMPRODUCT(--($AL1245:$AQ1245&gt;AM1245))+SUMPRODUCT(--($AL1245:AL1245=AM1245))&lt;$AK1245,1,0)</f>
        <v>54</v>
      </c>
      <c r="N1245" s="2" t="n">
        <f aca="false">AG1245+IF(SUMPRODUCT(--($AL1245:$AQ1245&gt;AN1245))+SUMPRODUCT(--($AL1245:AM1245=AN1245))&lt;$AK1245,1,0)</f>
        <v>145</v>
      </c>
      <c r="O1245" s="2" t="n">
        <f aca="false">AH1245+IF(SUMPRODUCT(--($AL1245:$AQ1245&gt;AO1245))+SUMPRODUCT(--($AL1245:AN1245=AO1245))&lt;$AK1245,1,0)</f>
        <v>109</v>
      </c>
      <c r="P1245" s="2" t="n">
        <f aca="false">AI1245+IF(SUMPRODUCT(--($AL1245:$AQ1245&gt;AP1245))+SUMPRODUCT(--($AL1245:AO1245=AP1245))&lt;$AK1245,1,0)</f>
        <v>100</v>
      </c>
      <c r="Q1245" s="2" t="n">
        <f aca="false">AJ1245+IF(SUMPRODUCT(--($AL1245:$AQ1245&gt;AQ1245))+SUMPRODUCT(--($AL1245:AP1245=AQ1245))&lt;$AK1245,1,0)</f>
        <v>55</v>
      </c>
      <c r="R1245" s="2" t="n">
        <f aca="false">SUM(L1245:Q1245)</f>
        <v>500</v>
      </c>
      <c r="S1245" s="2" t="n">
        <f aca="false">Settings!$B$4*MAX(INDEX(Bases!$M$2:$M$53,B1245),INDEX(Bases!$M$2:$M$53,C1245))+Settings!$B$5*MIN(INDEX(Bases!$M$2:$M$53,B1245),INDEX(Bases!$M$2:$M$53,C1245))</f>
        <v>31.6666666666667</v>
      </c>
      <c r="T1245" s="2" t="n">
        <f aca="false">Settings!$B$4*MAX(INDEX(Bases!$N$2:$N$53,B1245),INDEX(Bases!$N$2:$N$53,C1245))+Settings!$B$5*MIN(INDEX(Bases!$N$2:$N$53,B1245),INDEX(Bases!$N$2:$N$53,C1245))</f>
        <v>46.3333333333333</v>
      </c>
      <c r="U1245" s="2" t="n">
        <f aca="false">Settings!$B$4*MAX(INDEX(Bases!$O$2:$O$53,B1245),INDEX(Bases!$O$2:$O$53,C1245))+Settings!$B$5*MIN(INDEX(Bases!$O$2:$O$53,B1245),INDEX(Bases!$O$2:$O$53,C1245))</f>
        <v>124.666666666667</v>
      </c>
      <c r="V1245" s="2" t="n">
        <f aca="false">Settings!$B$4*MAX(INDEX(Bases!$P$2:$P$53,B1245),INDEX(Bases!$P$2:$P$53,C1245))+Settings!$B$5*MIN(INDEX(Bases!$P$2:$P$53,B1245),INDEX(Bases!$P$2:$P$53,C1245))</f>
        <v>94</v>
      </c>
      <c r="W1245" s="2" t="n">
        <f aca="false">Settings!$B$4*MAX(INDEX(Bases!$Q$2:$Q$53,B1245),INDEX(Bases!$Q$2:$Q$53,C1245))+Settings!$B$5*MIN(INDEX(Bases!$Q$2:$Q$53,B1245),INDEX(Bases!$Q$2:$Q$53,C1245))</f>
        <v>86.6666666666667</v>
      </c>
      <c r="X1245" s="2" t="n">
        <f aca="false">Settings!$B$4*MAX(INDEX(Bases!$R$2:$R$53,B1245),INDEX(Bases!$R$2:$R$53,C1245))+Settings!$B$5*MIN(INDEX(Bases!$R$2:$R$53,B1245),INDEX(Bases!$R$2:$R$53,C1245))</f>
        <v>47.3333333333333</v>
      </c>
      <c r="Y1245" s="2" t="n">
        <f aca="false">S1245*Settings!$B$3/SUM(S1245:X1245)</f>
        <v>36.7647058823529</v>
      </c>
      <c r="Z1245" s="2" t="n">
        <f aca="false">T1245*Settings!$B$3/SUM(S1245:X1245)</f>
        <v>53.7925696594427</v>
      </c>
      <c r="AA1245" s="2" t="n">
        <f aca="false">U1245*Settings!$B$3/SUM(S1245:X1245)</f>
        <v>144.736842105263</v>
      </c>
      <c r="AB1245" s="2" t="n">
        <f aca="false">V1245*Settings!$B$3/SUM(S1245:X1245)</f>
        <v>109.133126934985</v>
      </c>
      <c r="AC1245" s="2" t="n">
        <f aca="false">W1245*Settings!$B$3/SUM(S1245:X1245)</f>
        <v>100.61919504644</v>
      </c>
      <c r="AD1245" s="2" t="n">
        <f aca="false">X1245*Settings!$B$3/SUM(S1245:X1245)</f>
        <v>54.953560371517</v>
      </c>
      <c r="AE1245" s="2" t="n">
        <f aca="false">INT(Y1245)</f>
        <v>36</v>
      </c>
      <c r="AF1245" s="2" t="n">
        <f aca="false">INT(Z1245)</f>
        <v>53</v>
      </c>
      <c r="AG1245" s="2" t="n">
        <f aca="false">INT(AA1245)</f>
        <v>144</v>
      </c>
      <c r="AH1245" s="2" t="n">
        <f aca="false">INT(AB1245)</f>
        <v>109</v>
      </c>
      <c r="AI1245" s="2" t="n">
        <f aca="false">INT(AC1245)</f>
        <v>100</v>
      </c>
      <c r="AJ1245" s="2" t="n">
        <f aca="false">INT(AD1245)</f>
        <v>54</v>
      </c>
      <c r="AK1245" s="2" t="n">
        <f aca="false">Settings!$B$3-SUM(AE1245:AJ1245)</f>
        <v>4</v>
      </c>
      <c r="AL1245" s="2" t="n">
        <f aca="false">ROUND(Y1245-AE1245,9)</f>
        <v>0.764705882</v>
      </c>
      <c r="AM1245" s="2" t="n">
        <f aca="false">ROUND(Z1245-AF1245,9)</f>
        <v>0.792569659</v>
      </c>
      <c r="AN1245" s="2" t="n">
        <f aca="false">ROUND(AA1245-AG1245,9)</f>
        <v>0.736842105</v>
      </c>
      <c r="AO1245" s="2" t="n">
        <f aca="false">ROUND(AB1245-AH1245,9)</f>
        <v>0.133126935</v>
      </c>
      <c r="AP1245" s="2" t="n">
        <f aca="false">ROUND(AC1245-AI1245,9)</f>
        <v>0.619195046</v>
      </c>
      <c r="AQ1245" s="2" t="n">
        <f aca="false">ROUND(AD1245-AJ1245,9)</f>
        <v>0.953560372</v>
      </c>
    </row>
    <row r="1246" customFormat="false" ht="15" hidden="false" customHeight="false" outlineLevel="0" collapsed="false">
      <c r="A1246" s="2" t="n">
        <v>1245</v>
      </c>
      <c r="B1246" s="6" t="n">
        <v>39</v>
      </c>
      <c r="C1246" s="6" t="n">
        <v>49</v>
      </c>
      <c r="D1246" s="8" t="str">
        <f aca="false">INDEX(Bases!$B$2:$B$53,B1246)</f>
        <v>Nosepass</v>
      </c>
      <c r="E1246" s="8" t="str">
        <f aca="false">INDEX(Bases!$B$2:$B$53,C1246)</f>
        <v>Aron</v>
      </c>
      <c r="F1246" s="2" t="str">
        <f aca="false">LEFT(D1246,ROUNDUP(LEN(D1246)/2,0))&amp;LOWER(MID(E1246,ROUNDUP(LEN(E1246)/2,0)+1,20))</f>
        <v>Noseon</v>
      </c>
      <c r="G1246" s="8" t="str">
        <f aca="false">INDEX(Bases!$C$2:$C$53,B1246)</f>
        <v>Rock</v>
      </c>
      <c r="H1246" s="8" t="str">
        <f aca="false">IF(INDEX(Bases!$C$2:$C$53,C1246)=G1246,"",INDEX(Bases!$C$2:$C$53,C1246))</f>
        <v>Steel</v>
      </c>
      <c r="I1246" s="8" t="str">
        <f aca="false">IF(INDEX(Bases!$E$2:$E$53,B1246)="","",INDEX(Bases!$E$2:$E$53,B1246))</f>
        <v/>
      </c>
      <c r="J1246" s="8" t="str">
        <f aca="false">IF(INDEX(Bases!$E$2:$E$53,C1246)="","",INDEX(Bases!$E$2:$E$53,C1246))</f>
        <v/>
      </c>
      <c r="K1246" s="5"/>
      <c r="L1246" s="2" t="n">
        <f aca="false">AE1246+IF(SUMPRODUCT(--($AL1246:$AQ1246&gt;AL1246))&lt;$AK1246,1,0)</f>
        <v>61</v>
      </c>
      <c r="M1246" s="2" t="n">
        <f aca="false">AF1246+IF(SUMPRODUCT(--($AL1246:$AQ1246&gt;AM1246))+SUMPRODUCT(--($AL1246:AL1246=AM1246))&lt;$AK1246,1,0)</f>
        <v>86</v>
      </c>
      <c r="N1246" s="2" t="n">
        <f aca="false">AG1246+IF(SUMPRODUCT(--($AL1246:$AQ1246&gt;AN1246))+SUMPRODUCT(--($AL1246:AM1246=AN1246))&lt;$AK1246,1,0)</f>
        <v>161</v>
      </c>
      <c r="O1246" s="2" t="n">
        <f aca="false">AH1246+IF(SUMPRODUCT(--($AL1246:$AQ1246&gt;AO1246))+SUMPRODUCT(--($AL1246:AN1246=AO1246))&lt;$AK1246,1,0)</f>
        <v>57</v>
      </c>
      <c r="P1246" s="2" t="n">
        <f aca="false">AI1246+IF(SUMPRODUCT(--($AL1246:$AQ1246&gt;AP1246))+SUMPRODUCT(--($AL1246:AO1246=AP1246))&lt;$AK1246,1,0)</f>
        <v>94</v>
      </c>
      <c r="Q1246" s="2" t="n">
        <f aca="false">AJ1246+IF(SUMPRODUCT(--($AL1246:$AQ1246&gt;AQ1246))+SUMPRODUCT(--($AL1246:AP1246=AQ1246))&lt;$AK1246,1,0)</f>
        <v>41</v>
      </c>
      <c r="R1246" s="2" t="n">
        <f aca="false">SUM(L1246:Q1246)</f>
        <v>500</v>
      </c>
      <c r="S1246" s="2" t="n">
        <f aca="false">Settings!$B$4*MAX(INDEX(Bases!$M$2:$M$53,B1246),INDEX(Bases!$M$2:$M$53,C1246))+Settings!$B$5*MIN(INDEX(Bases!$M$2:$M$53,B1246),INDEX(Bases!$M$2:$M$53,C1246))</f>
        <v>51.3333333333333</v>
      </c>
      <c r="T1246" s="2" t="n">
        <f aca="false">Settings!$B$4*MAX(INDEX(Bases!$N$2:$N$53,B1246),INDEX(Bases!$N$2:$N$53,C1246))+Settings!$B$5*MIN(INDEX(Bases!$N$2:$N$53,B1246),INDEX(Bases!$N$2:$N$53,C1246))</f>
        <v>72.6666666666667</v>
      </c>
      <c r="U1246" s="2" t="n">
        <f aca="false">Settings!$B$4*MAX(INDEX(Bases!$O$2:$O$53,B1246),INDEX(Bases!$O$2:$O$53,C1246))+Settings!$B$5*MIN(INDEX(Bases!$O$2:$O$53,B1246),INDEX(Bases!$O$2:$O$53,C1246))</f>
        <v>136.333333333333</v>
      </c>
      <c r="V1246" s="2" t="n">
        <f aca="false">Settings!$B$4*MAX(INDEX(Bases!$P$2:$P$53,B1246),INDEX(Bases!$P$2:$P$53,C1246))+Settings!$B$5*MIN(INDEX(Bases!$P$2:$P$53,B1246),INDEX(Bases!$P$2:$P$53,C1246))</f>
        <v>48.6666666666667</v>
      </c>
      <c r="W1246" s="2" t="n">
        <f aca="false">Settings!$B$4*MAX(INDEX(Bases!$Q$2:$Q$53,B1246),INDEX(Bases!$Q$2:$Q$53,C1246))+Settings!$B$5*MIN(INDEX(Bases!$Q$2:$Q$53,B1246),INDEX(Bases!$Q$2:$Q$53,C1246))</f>
        <v>80</v>
      </c>
      <c r="X1246" s="2" t="n">
        <f aca="false">Settings!$B$4*MAX(INDEX(Bases!$R$2:$R$53,B1246),INDEX(Bases!$R$2:$R$53,C1246))+Settings!$B$5*MIN(INDEX(Bases!$R$2:$R$53,B1246),INDEX(Bases!$R$2:$R$53,C1246))</f>
        <v>34.6666666666667</v>
      </c>
      <c r="Y1246" s="2" t="n">
        <f aca="false">S1246*Settings!$B$3/SUM(S1246:X1246)</f>
        <v>60.5822187254131</v>
      </c>
      <c r="Z1246" s="2" t="n">
        <f aca="false">T1246*Settings!$B$3/SUM(S1246:X1246)</f>
        <v>85.7592446892211</v>
      </c>
      <c r="AA1246" s="2" t="n">
        <f aca="false">U1246*Settings!$B$3/SUM(S1246:X1246)</f>
        <v>160.896931549961</v>
      </c>
      <c r="AB1246" s="2" t="n">
        <f aca="false">V1246*Settings!$B$3/SUM(S1246:X1246)</f>
        <v>57.4350904799371</v>
      </c>
      <c r="AC1246" s="2" t="n">
        <f aca="false">W1246*Settings!$B$3/SUM(S1246:X1246)</f>
        <v>94.4138473642801</v>
      </c>
      <c r="AD1246" s="2" t="n">
        <f aca="false">X1246*Settings!$B$3/SUM(S1246:X1246)</f>
        <v>40.912667191188</v>
      </c>
      <c r="AE1246" s="2" t="n">
        <f aca="false">INT(Y1246)</f>
        <v>60</v>
      </c>
      <c r="AF1246" s="2" t="n">
        <f aca="false">INT(Z1246)</f>
        <v>85</v>
      </c>
      <c r="AG1246" s="2" t="n">
        <f aca="false">INT(AA1246)</f>
        <v>160</v>
      </c>
      <c r="AH1246" s="2" t="n">
        <f aca="false">INT(AB1246)</f>
        <v>57</v>
      </c>
      <c r="AI1246" s="2" t="n">
        <f aca="false">INT(AC1246)</f>
        <v>94</v>
      </c>
      <c r="AJ1246" s="2" t="n">
        <f aca="false">INT(AD1246)</f>
        <v>40</v>
      </c>
      <c r="AK1246" s="2" t="n">
        <f aca="false">Settings!$B$3-SUM(AE1246:AJ1246)</f>
        <v>4</v>
      </c>
      <c r="AL1246" s="2" t="n">
        <f aca="false">ROUND(Y1246-AE1246,9)</f>
        <v>0.582218725</v>
      </c>
      <c r="AM1246" s="2" t="n">
        <f aca="false">ROUND(Z1246-AF1246,9)</f>
        <v>0.759244689</v>
      </c>
      <c r="AN1246" s="2" t="n">
        <f aca="false">ROUND(AA1246-AG1246,9)</f>
        <v>0.89693155</v>
      </c>
      <c r="AO1246" s="2" t="n">
        <f aca="false">ROUND(AB1246-AH1246,9)</f>
        <v>0.43509048</v>
      </c>
      <c r="AP1246" s="2" t="n">
        <f aca="false">ROUND(AC1246-AI1246,9)</f>
        <v>0.413847364</v>
      </c>
      <c r="AQ1246" s="2" t="n">
        <f aca="false">ROUND(AD1246-AJ1246,9)</f>
        <v>0.912667191</v>
      </c>
    </row>
    <row r="1247" customFormat="false" ht="15" hidden="false" customHeight="false" outlineLevel="0" collapsed="false">
      <c r="A1247" s="2" t="n">
        <v>1246</v>
      </c>
      <c r="B1247" s="6" t="n">
        <v>39</v>
      </c>
      <c r="C1247" s="6" t="n">
        <v>50</v>
      </c>
      <c r="D1247" s="8" t="str">
        <f aca="false">INDEX(Bases!$B$2:$B$53,B1247)</f>
        <v>Nosepass</v>
      </c>
      <c r="E1247" s="8" t="str">
        <f aca="false">INDEX(Bases!$B$2:$B$53,C1247)</f>
        <v>Beldum</v>
      </c>
      <c r="F1247" s="2" t="str">
        <f aca="false">LEFT(D1247,ROUNDUP(LEN(D1247)/2,0))&amp;LOWER(MID(E1247,ROUNDUP(LEN(E1247)/2,0)+1,20))</f>
        <v>Nosedum</v>
      </c>
      <c r="G1247" s="8" t="str">
        <f aca="false">INDEX(Bases!$C$2:$C$53,B1247)</f>
        <v>Rock</v>
      </c>
      <c r="H1247" s="8" t="str">
        <f aca="false">IF(INDEX(Bases!$C$2:$C$53,C1247)=G1247,"",INDEX(Bases!$C$2:$C$53,C1247))</f>
        <v>Steel</v>
      </c>
      <c r="I1247" s="8" t="str">
        <f aca="false">IF(INDEX(Bases!$E$2:$E$53,B1247)="","",INDEX(Bases!$E$2:$E$53,B1247))</f>
        <v/>
      </c>
      <c r="J1247" s="8" t="str">
        <f aca="false">IF(INDEX(Bases!$E$2:$E$53,C1247)="","",INDEX(Bases!$E$2:$E$53,C1247))</f>
        <v/>
      </c>
      <c r="K1247" s="5"/>
      <c r="L1247" s="2" t="n">
        <f aca="false">AE1247+IF(SUMPRODUCT(--($AL1247:$AQ1247&gt;AL1247))&lt;$AK1247,1,0)</f>
        <v>55</v>
      </c>
      <c r="M1247" s="2" t="n">
        <f aca="false">AF1247+IF(SUMPRODUCT(--($AL1247:$AQ1247&gt;AM1247))+SUMPRODUCT(--($AL1247:AL1247=AM1247))&lt;$AK1247,1,0)</f>
        <v>77</v>
      </c>
      <c r="N1247" s="2" t="n">
        <f aca="false">AG1247+IF(SUMPRODUCT(--($AL1247:$AQ1247&gt;AN1247))+SUMPRODUCT(--($AL1247:AM1247=AN1247))&lt;$AK1247,1,0)</f>
        <v>158</v>
      </c>
      <c r="O1247" s="2" t="n">
        <f aca="false">AH1247+IF(SUMPRODUCT(--($AL1247:$AQ1247&gt;AO1247))+SUMPRODUCT(--($AL1247:AN1247=AO1247))&lt;$AK1247,1,0)</f>
        <v>57</v>
      </c>
      <c r="P1247" s="2" t="n">
        <f aca="false">AI1247+IF(SUMPRODUCT(--($AL1247:$AQ1247&gt;AP1247))+SUMPRODUCT(--($AL1247:AO1247=AP1247))&lt;$AK1247,1,0)</f>
        <v>108</v>
      </c>
      <c r="Q1247" s="2" t="n">
        <f aca="false">AJ1247+IF(SUMPRODUCT(--($AL1247:$AQ1247&gt;AQ1247))+SUMPRODUCT(--($AL1247:AP1247=AQ1247))&lt;$AK1247,1,0)</f>
        <v>45</v>
      </c>
      <c r="R1247" s="2" t="n">
        <f aca="false">SUM(L1247:Q1247)</f>
        <v>500</v>
      </c>
      <c r="S1247" s="2" t="n">
        <f aca="false">Settings!$B$4*MAX(INDEX(Bases!$M$2:$M$53,B1247),INDEX(Bases!$M$2:$M$53,C1247))+Settings!$B$5*MIN(INDEX(Bases!$M$2:$M$53,B1247),INDEX(Bases!$M$2:$M$53,C1247))</f>
        <v>46</v>
      </c>
      <c r="T1247" s="2" t="n">
        <f aca="false">Settings!$B$4*MAX(INDEX(Bases!$N$2:$N$53,B1247),INDEX(Bases!$N$2:$N$53,C1247))+Settings!$B$5*MIN(INDEX(Bases!$N$2:$N$53,B1247),INDEX(Bases!$N$2:$N$53,C1247))</f>
        <v>64.6666666666667</v>
      </c>
      <c r="U1247" s="2" t="n">
        <f aca="false">Settings!$B$4*MAX(INDEX(Bases!$O$2:$O$53,B1247),INDEX(Bases!$O$2:$O$53,C1247))+Settings!$B$5*MIN(INDEX(Bases!$O$2:$O$53,B1247),INDEX(Bases!$O$2:$O$53,C1247))</f>
        <v>131.666666666667</v>
      </c>
      <c r="V1247" s="2" t="n">
        <f aca="false">Settings!$B$4*MAX(INDEX(Bases!$P$2:$P$53,B1247),INDEX(Bases!$P$2:$P$53,C1247))+Settings!$B$5*MIN(INDEX(Bases!$P$2:$P$53,B1247),INDEX(Bases!$P$2:$P$53,C1247))</f>
        <v>47.6666666666667</v>
      </c>
      <c r="W1247" s="2" t="n">
        <f aca="false">Settings!$B$4*MAX(INDEX(Bases!$Q$2:$Q$53,B1247),INDEX(Bases!$Q$2:$Q$53,C1247))+Settings!$B$5*MIN(INDEX(Bases!$Q$2:$Q$53,B1247),INDEX(Bases!$Q$2:$Q$53,C1247))</f>
        <v>90.6666666666667</v>
      </c>
      <c r="X1247" s="2" t="n">
        <f aca="false">Settings!$B$4*MAX(INDEX(Bases!$R$2:$R$53,B1247),INDEX(Bases!$R$2:$R$53,C1247))+Settings!$B$5*MIN(INDEX(Bases!$R$2:$R$53,B1247),INDEX(Bases!$R$2:$R$53,C1247))</f>
        <v>37.3333333333333</v>
      </c>
      <c r="Y1247" s="2" t="n">
        <f aca="false">S1247*Settings!$B$3/SUM(S1247:X1247)</f>
        <v>55.0239234449761</v>
      </c>
      <c r="Z1247" s="2" t="n">
        <f aca="false">T1247*Settings!$B$3/SUM(S1247:X1247)</f>
        <v>77.3524720893142</v>
      </c>
      <c r="AA1247" s="2" t="n">
        <f aca="false">U1247*Settings!$B$3/SUM(S1247:X1247)</f>
        <v>157.496012759171</v>
      </c>
      <c r="AB1247" s="2" t="n">
        <f aca="false">V1247*Settings!$B$3/SUM(S1247:X1247)</f>
        <v>57.0175438596491</v>
      </c>
      <c r="AC1247" s="2" t="n">
        <f aca="false">W1247*Settings!$B$3/SUM(S1247:X1247)</f>
        <v>108.452950558214</v>
      </c>
      <c r="AD1247" s="2" t="n">
        <f aca="false">X1247*Settings!$B$3/SUM(S1247:X1247)</f>
        <v>44.6570972886762</v>
      </c>
      <c r="AE1247" s="2" t="n">
        <f aca="false">INT(Y1247)</f>
        <v>55</v>
      </c>
      <c r="AF1247" s="2" t="n">
        <f aca="false">INT(Z1247)</f>
        <v>77</v>
      </c>
      <c r="AG1247" s="2" t="n">
        <f aca="false">INT(AA1247)</f>
        <v>157</v>
      </c>
      <c r="AH1247" s="2" t="n">
        <f aca="false">INT(AB1247)</f>
        <v>57</v>
      </c>
      <c r="AI1247" s="2" t="n">
        <f aca="false">INT(AC1247)</f>
        <v>108</v>
      </c>
      <c r="AJ1247" s="2" t="n">
        <f aca="false">INT(AD1247)</f>
        <v>44</v>
      </c>
      <c r="AK1247" s="2" t="n">
        <f aca="false">Settings!$B$3-SUM(AE1247:AJ1247)</f>
        <v>2</v>
      </c>
      <c r="AL1247" s="2" t="n">
        <f aca="false">ROUND(Y1247-AE1247,9)</f>
        <v>0.023923445</v>
      </c>
      <c r="AM1247" s="2" t="n">
        <f aca="false">ROUND(Z1247-AF1247,9)</f>
        <v>0.352472089</v>
      </c>
      <c r="AN1247" s="2" t="n">
        <f aca="false">ROUND(AA1247-AG1247,9)</f>
        <v>0.496012759</v>
      </c>
      <c r="AO1247" s="2" t="n">
        <f aca="false">ROUND(AB1247-AH1247,9)</f>
        <v>0.01754386</v>
      </c>
      <c r="AP1247" s="2" t="n">
        <f aca="false">ROUND(AC1247-AI1247,9)</f>
        <v>0.452950558</v>
      </c>
      <c r="AQ1247" s="2" t="n">
        <f aca="false">ROUND(AD1247-AJ1247,9)</f>
        <v>0.657097289</v>
      </c>
    </row>
    <row r="1248" customFormat="false" ht="15" hidden="false" customHeight="false" outlineLevel="0" collapsed="false">
      <c r="A1248" s="2" t="n">
        <v>1247</v>
      </c>
      <c r="B1248" s="6" t="n">
        <v>39</v>
      </c>
      <c r="C1248" s="6" t="n">
        <v>51</v>
      </c>
      <c r="D1248" s="8" t="str">
        <f aca="false">INDEX(Bases!$B$2:$B$53,B1248)</f>
        <v>Nosepass</v>
      </c>
      <c r="E1248" s="8" t="str">
        <f aca="false">INDEX(Bases!$B$2:$B$53,C1248)</f>
        <v>Cleffa</v>
      </c>
      <c r="F1248" s="2" t="str">
        <f aca="false">LEFT(D1248,ROUNDUP(LEN(D1248)/2,0))&amp;LOWER(MID(E1248,ROUNDUP(LEN(E1248)/2,0)+1,20))</f>
        <v>Noseffa</v>
      </c>
      <c r="G1248" s="8" t="str">
        <f aca="false">INDEX(Bases!$C$2:$C$53,B1248)</f>
        <v>Rock</v>
      </c>
      <c r="H1248" s="8" t="str">
        <f aca="false">IF(INDEX(Bases!$C$2:$C$53,C1248)=G1248,"",INDEX(Bases!$C$2:$C$53,C1248))</f>
        <v>Fairy</v>
      </c>
      <c r="I1248" s="8" t="str">
        <f aca="false">IF(INDEX(Bases!$E$2:$E$53,B1248)="","",INDEX(Bases!$E$2:$E$53,B1248))</f>
        <v/>
      </c>
      <c r="J1248" s="8" t="str">
        <f aca="false">IF(INDEX(Bases!$E$2:$E$53,C1248)="","",INDEX(Bases!$E$2:$E$53,C1248))</f>
        <v/>
      </c>
      <c r="K1248" s="5"/>
      <c r="L1248" s="2" t="n">
        <f aca="false">AE1248+IF(SUMPRODUCT(--($AL1248:$AQ1248&gt;AL1248))&lt;$AK1248,1,0)</f>
        <v>83</v>
      </c>
      <c r="M1248" s="2" t="n">
        <f aca="false">AF1248+IF(SUMPRODUCT(--($AL1248:$AQ1248&gt;AM1248))+SUMPRODUCT(--($AL1248:AL1248=AM1248))&lt;$AK1248,1,0)</f>
        <v>55</v>
      </c>
      <c r="N1248" s="2" t="n">
        <f aca="false">AG1248+IF(SUMPRODUCT(--($AL1248:$AQ1248&gt;AN1248))+SUMPRODUCT(--($AL1248:AM1248=AN1248))&lt;$AK1248,1,0)</f>
        <v>130</v>
      </c>
      <c r="O1248" s="2" t="n">
        <f aca="false">AH1248+IF(SUMPRODUCT(--($AL1248:$AQ1248&gt;AO1248))+SUMPRODUCT(--($AL1248:AN1248=AO1248))&lt;$AK1248,1,0)</f>
        <v>82</v>
      </c>
      <c r="P1248" s="2" t="n">
        <f aca="false">AI1248+IF(SUMPRODUCT(--($AL1248:$AQ1248&gt;AP1248))+SUMPRODUCT(--($AL1248:AO1248=AP1248))&lt;$AK1248,1,0)</f>
        <v>115</v>
      </c>
      <c r="Q1248" s="2" t="n">
        <f aca="false">AJ1248+IF(SUMPRODUCT(--($AL1248:$AQ1248&gt;AQ1248))+SUMPRODUCT(--($AL1248:AP1248=AQ1248))&lt;$AK1248,1,0)</f>
        <v>35</v>
      </c>
      <c r="R1248" s="2" t="n">
        <f aca="false">SUM(L1248:Q1248)</f>
        <v>500</v>
      </c>
      <c r="S1248" s="2" t="n">
        <f aca="false">Settings!$B$4*MAX(INDEX(Bases!$M$2:$M$53,B1248),INDEX(Bases!$M$2:$M$53,C1248))+Settings!$B$5*MIN(INDEX(Bases!$M$2:$M$53,B1248),INDEX(Bases!$M$2:$M$53,C1248))</f>
        <v>72</v>
      </c>
      <c r="T1248" s="2" t="n">
        <f aca="false">Settings!$B$4*MAX(INDEX(Bases!$N$2:$N$53,B1248),INDEX(Bases!$N$2:$N$53,C1248))+Settings!$B$5*MIN(INDEX(Bases!$N$2:$N$53,B1248),INDEX(Bases!$N$2:$N$53,C1248))</f>
        <v>47.3333333333333</v>
      </c>
      <c r="U1248" s="2" t="n">
        <f aca="false">Settings!$B$4*MAX(INDEX(Bases!$O$2:$O$53,B1248),INDEX(Bases!$O$2:$O$53,C1248))+Settings!$B$5*MIN(INDEX(Bases!$O$2:$O$53,B1248),INDEX(Bases!$O$2:$O$53,C1248))</f>
        <v>113</v>
      </c>
      <c r="V1248" s="2" t="n">
        <f aca="false">Settings!$B$4*MAX(INDEX(Bases!$P$2:$P$53,B1248),INDEX(Bases!$P$2:$P$53,C1248))+Settings!$B$5*MIN(INDEX(Bases!$P$2:$P$53,B1248),INDEX(Bases!$P$2:$P$53,C1248))</f>
        <v>71.3333333333333</v>
      </c>
      <c r="W1248" s="2" t="n">
        <f aca="false">Settings!$B$4*MAX(INDEX(Bases!$Q$2:$Q$53,B1248),INDEX(Bases!$Q$2:$Q$53,C1248))+Settings!$B$5*MIN(INDEX(Bases!$Q$2:$Q$53,B1248),INDEX(Bases!$Q$2:$Q$53,C1248))</f>
        <v>99.3333333333333</v>
      </c>
      <c r="X1248" s="2" t="n">
        <f aca="false">Settings!$B$4*MAX(INDEX(Bases!$R$2:$R$53,B1248),INDEX(Bases!$R$2:$R$53,C1248))+Settings!$B$5*MIN(INDEX(Bases!$R$2:$R$53,B1248),INDEX(Bases!$R$2:$R$53,C1248))</f>
        <v>30.3333333333333</v>
      </c>
      <c r="Y1248" s="2" t="n">
        <f aca="false">S1248*Settings!$B$3/SUM(S1248:X1248)</f>
        <v>83.0769230769231</v>
      </c>
      <c r="Z1248" s="2" t="n">
        <f aca="false">T1248*Settings!$B$3/SUM(S1248:X1248)</f>
        <v>54.6153846153846</v>
      </c>
      <c r="AA1248" s="2" t="n">
        <f aca="false">U1248*Settings!$B$3/SUM(S1248:X1248)</f>
        <v>130.384615384615</v>
      </c>
      <c r="AB1248" s="2" t="n">
        <f aca="false">V1248*Settings!$B$3/SUM(S1248:X1248)</f>
        <v>82.3076923076923</v>
      </c>
      <c r="AC1248" s="2" t="n">
        <f aca="false">W1248*Settings!$B$3/SUM(S1248:X1248)</f>
        <v>114.615384615385</v>
      </c>
      <c r="AD1248" s="2" t="n">
        <f aca="false">X1248*Settings!$B$3/SUM(S1248:X1248)</f>
        <v>35</v>
      </c>
      <c r="AE1248" s="2" t="n">
        <f aca="false">INT(Y1248)</f>
        <v>83</v>
      </c>
      <c r="AF1248" s="2" t="n">
        <f aca="false">INT(Z1248)</f>
        <v>54</v>
      </c>
      <c r="AG1248" s="2" t="n">
        <f aca="false">INT(AA1248)</f>
        <v>130</v>
      </c>
      <c r="AH1248" s="2" t="n">
        <f aca="false">INT(AB1248)</f>
        <v>82</v>
      </c>
      <c r="AI1248" s="2" t="n">
        <f aca="false">INT(AC1248)</f>
        <v>114</v>
      </c>
      <c r="AJ1248" s="2" t="n">
        <f aca="false">INT(AD1248)</f>
        <v>35</v>
      </c>
      <c r="AK1248" s="2" t="n">
        <f aca="false">Settings!$B$3-SUM(AE1248:AJ1248)</f>
        <v>2</v>
      </c>
      <c r="AL1248" s="2" t="n">
        <f aca="false">ROUND(Y1248-AE1248,9)</f>
        <v>0.076923077</v>
      </c>
      <c r="AM1248" s="2" t="n">
        <f aca="false">ROUND(Z1248-AF1248,9)</f>
        <v>0.615384615</v>
      </c>
      <c r="AN1248" s="2" t="n">
        <f aca="false">ROUND(AA1248-AG1248,9)</f>
        <v>0.384615385</v>
      </c>
      <c r="AO1248" s="2" t="n">
        <f aca="false">ROUND(AB1248-AH1248,9)</f>
        <v>0.307692308</v>
      </c>
      <c r="AP1248" s="2" t="n">
        <f aca="false">ROUND(AC1248-AI1248,9)</f>
        <v>0.615384615</v>
      </c>
      <c r="AQ1248" s="2" t="n">
        <f aca="false">ROUND(AD1248-AJ1248,9)</f>
        <v>0</v>
      </c>
    </row>
    <row r="1249" customFormat="false" ht="15" hidden="false" customHeight="false" outlineLevel="0" collapsed="false">
      <c r="A1249" s="2" t="n">
        <v>1248</v>
      </c>
      <c r="B1249" s="6" t="n">
        <v>39</v>
      </c>
      <c r="C1249" s="6" t="n">
        <v>52</v>
      </c>
      <c r="D1249" s="8" t="str">
        <f aca="false">INDEX(Bases!$B$2:$B$53,B1249)</f>
        <v>Nosepass</v>
      </c>
      <c r="E1249" s="8" t="str">
        <f aca="false">INDEX(Bases!$B$2:$B$53,C1249)</f>
        <v>Togepi</v>
      </c>
      <c r="F1249" s="2" t="str">
        <f aca="false">LEFT(D1249,ROUNDUP(LEN(D1249)/2,0))&amp;LOWER(MID(E1249,ROUNDUP(LEN(E1249)/2,0)+1,20))</f>
        <v>Noseepi</v>
      </c>
      <c r="G1249" s="8" t="str">
        <f aca="false">INDEX(Bases!$C$2:$C$53,B1249)</f>
        <v>Rock</v>
      </c>
      <c r="H1249" s="8" t="str">
        <f aca="false">IF(INDEX(Bases!$C$2:$C$53,C1249)=G1249,"",INDEX(Bases!$C$2:$C$53,C1249))</f>
        <v>Fairy</v>
      </c>
      <c r="I1249" s="8" t="str">
        <f aca="false">IF(INDEX(Bases!$E$2:$E$53,B1249)="","",INDEX(Bases!$E$2:$E$53,B1249))</f>
        <v/>
      </c>
      <c r="J1249" s="8" t="str">
        <f aca="false">IF(INDEX(Bases!$E$2:$E$53,C1249)="","",INDEX(Bases!$E$2:$E$53,C1249))</f>
        <v/>
      </c>
      <c r="K1249" s="5"/>
      <c r="L1249" s="2" t="n">
        <f aca="false">AE1249+IF(SUMPRODUCT(--($AL1249:$AQ1249&gt;AL1249))&lt;$AK1249,1,0)</f>
        <v>58</v>
      </c>
      <c r="M1249" s="2" t="n">
        <f aca="false">AF1249+IF(SUMPRODUCT(--($AL1249:$AQ1249&gt;AM1249))+SUMPRODUCT(--($AL1249:AL1249=AM1249))&lt;$AK1249,1,0)</f>
        <v>52</v>
      </c>
      <c r="N1249" s="2" t="n">
        <f aca="false">AG1249+IF(SUMPRODUCT(--($AL1249:$AQ1249&gt;AN1249))+SUMPRODUCT(--($AL1249:AM1249=AN1249))&lt;$AK1249,1,0)</f>
        <v>157</v>
      </c>
      <c r="O1249" s="2" t="n">
        <f aca="false">AH1249+IF(SUMPRODUCT(--($AL1249:$AQ1249&gt;AO1249))+SUMPRODUCT(--($AL1249:AN1249=AO1249))&lt;$AK1249,1,0)</f>
        <v>71</v>
      </c>
      <c r="P1249" s="2" t="n">
        <f aca="false">AI1249+IF(SUMPRODUCT(--($AL1249:$AQ1249&gt;AP1249))+SUMPRODUCT(--($AL1249:AO1249=AP1249))&lt;$AK1249,1,0)</f>
        <v>123</v>
      </c>
      <c r="Q1249" s="2" t="n">
        <f aca="false">AJ1249+IF(SUMPRODUCT(--($AL1249:$AQ1249&gt;AQ1249))+SUMPRODUCT(--($AL1249:AP1249=AQ1249))&lt;$AK1249,1,0)</f>
        <v>39</v>
      </c>
      <c r="R1249" s="2" t="n">
        <f aca="false">SUM(L1249:Q1249)</f>
        <v>500</v>
      </c>
      <c r="S1249" s="2" t="n">
        <f aca="false">Settings!$B$4*MAX(INDEX(Bases!$M$2:$M$53,B1249),INDEX(Bases!$M$2:$M$53,C1249))+Settings!$B$5*MIN(INDEX(Bases!$M$2:$M$53,B1249),INDEX(Bases!$M$2:$M$53,C1249))</f>
        <v>48.6666666666667</v>
      </c>
      <c r="T1249" s="2" t="n">
        <f aca="false">Settings!$B$4*MAX(INDEX(Bases!$N$2:$N$53,B1249),INDEX(Bases!$N$2:$N$53,C1249))+Settings!$B$5*MIN(INDEX(Bases!$N$2:$N$53,B1249),INDEX(Bases!$N$2:$N$53,C1249))</f>
        <v>43</v>
      </c>
      <c r="U1249" s="2" t="n">
        <f aca="false">Settings!$B$4*MAX(INDEX(Bases!$O$2:$O$53,B1249),INDEX(Bases!$O$2:$O$53,C1249))+Settings!$B$5*MIN(INDEX(Bases!$O$2:$O$53,B1249),INDEX(Bases!$O$2:$O$53,C1249))</f>
        <v>131.333333333333</v>
      </c>
      <c r="V1249" s="2" t="n">
        <f aca="false">Settings!$B$4*MAX(INDEX(Bases!$P$2:$P$53,B1249),INDEX(Bases!$P$2:$P$53,C1249))+Settings!$B$5*MIN(INDEX(Bases!$P$2:$P$53,B1249),INDEX(Bases!$P$2:$P$53,C1249))</f>
        <v>59.3333333333333</v>
      </c>
      <c r="W1249" s="2" t="n">
        <f aca="false">Settings!$B$4*MAX(INDEX(Bases!$Q$2:$Q$53,B1249),INDEX(Bases!$Q$2:$Q$53,C1249))+Settings!$B$5*MIN(INDEX(Bases!$Q$2:$Q$53,B1249),INDEX(Bases!$Q$2:$Q$53,C1249))</f>
        <v>102.666666666667</v>
      </c>
      <c r="X1249" s="2" t="n">
        <f aca="false">Settings!$B$4*MAX(INDEX(Bases!$R$2:$R$53,B1249),INDEX(Bases!$R$2:$R$53,C1249))+Settings!$B$5*MIN(INDEX(Bases!$R$2:$R$53,B1249),INDEX(Bases!$R$2:$R$53,C1249))</f>
        <v>32.6666666666667</v>
      </c>
      <c r="Y1249" s="2" t="n">
        <f aca="false">S1249*Settings!$B$3/SUM(S1249:X1249)</f>
        <v>58.2601755786113</v>
      </c>
      <c r="Z1249" s="2" t="n">
        <f aca="false">T1249*Settings!$B$3/SUM(S1249:X1249)</f>
        <v>51.4764565043895</v>
      </c>
      <c r="AA1249" s="2" t="n">
        <f aca="false">U1249*Settings!$B$3/SUM(S1249:X1249)</f>
        <v>157.222665602554</v>
      </c>
      <c r="AB1249" s="2" t="n">
        <f aca="false">V1249*Settings!$B$3/SUM(S1249:X1249)</f>
        <v>71.0295291300878</v>
      </c>
      <c r="AC1249" s="2" t="n">
        <f aca="false">W1249*Settings!$B$3/SUM(S1249:X1249)</f>
        <v>122.905027932961</v>
      </c>
      <c r="AD1249" s="2" t="n">
        <f aca="false">X1249*Settings!$B$3/SUM(S1249:X1249)</f>
        <v>39.1061452513967</v>
      </c>
      <c r="AE1249" s="2" t="n">
        <f aca="false">INT(Y1249)</f>
        <v>58</v>
      </c>
      <c r="AF1249" s="2" t="n">
        <f aca="false">INT(Z1249)</f>
        <v>51</v>
      </c>
      <c r="AG1249" s="2" t="n">
        <f aca="false">INT(AA1249)</f>
        <v>157</v>
      </c>
      <c r="AH1249" s="2" t="n">
        <f aca="false">INT(AB1249)</f>
        <v>71</v>
      </c>
      <c r="AI1249" s="2" t="n">
        <f aca="false">INT(AC1249)</f>
        <v>122</v>
      </c>
      <c r="AJ1249" s="2" t="n">
        <f aca="false">INT(AD1249)</f>
        <v>39</v>
      </c>
      <c r="AK1249" s="2" t="n">
        <f aca="false">Settings!$B$3-SUM(AE1249:AJ1249)</f>
        <v>2</v>
      </c>
      <c r="AL1249" s="2" t="n">
        <f aca="false">ROUND(Y1249-AE1249,9)</f>
        <v>0.260175579</v>
      </c>
      <c r="AM1249" s="2" t="n">
        <f aca="false">ROUND(Z1249-AF1249,9)</f>
        <v>0.476456504</v>
      </c>
      <c r="AN1249" s="2" t="n">
        <f aca="false">ROUND(AA1249-AG1249,9)</f>
        <v>0.222665603</v>
      </c>
      <c r="AO1249" s="2" t="n">
        <f aca="false">ROUND(AB1249-AH1249,9)</f>
        <v>0.02952913</v>
      </c>
      <c r="AP1249" s="2" t="n">
        <f aca="false">ROUND(AC1249-AI1249,9)</f>
        <v>0.905027933</v>
      </c>
      <c r="AQ1249" s="2" t="n">
        <f aca="false">ROUND(AD1249-AJ1249,9)</f>
        <v>0.106145251</v>
      </c>
    </row>
    <row r="1250" customFormat="false" ht="15" hidden="false" customHeight="false" outlineLevel="0" collapsed="false">
      <c r="A1250" s="2" t="n">
        <v>1249</v>
      </c>
      <c r="B1250" s="6" t="n">
        <v>40</v>
      </c>
      <c r="C1250" s="6" t="n">
        <v>41</v>
      </c>
      <c r="D1250" s="8" t="str">
        <f aca="false">INDEX(Bases!$B$2:$B$53,B1250)</f>
        <v>Gastly</v>
      </c>
      <c r="E1250" s="8" t="str">
        <f aca="false">INDEX(Bases!$B$2:$B$53,C1250)</f>
        <v>Misdreavus</v>
      </c>
      <c r="F1250" s="2" t="str">
        <f aca="false">LEFT(D1250,ROUNDUP(LEN(D1250)/2,0))&amp;LOWER(MID(E1250,ROUNDUP(LEN(E1250)/2,0)+1,20))</f>
        <v>Gaseavus</v>
      </c>
      <c r="G1250" s="8" t="str">
        <f aca="false">INDEX(Bases!$C$2:$C$53,B1250)</f>
        <v>Ghost</v>
      </c>
      <c r="H1250" s="8" t="str">
        <f aca="false">IF(INDEX(Bases!$C$2:$C$53,C1250)=G1250,"",INDEX(Bases!$C$2:$C$53,C1250))</f>
        <v/>
      </c>
      <c r="I1250" s="8" t="str">
        <f aca="false">IF(INDEX(Bases!$E$2:$E$53,B1250)="","",INDEX(Bases!$E$2:$E$53,B1250))</f>
        <v/>
      </c>
      <c r="J1250" s="8" t="str">
        <f aca="false">IF(INDEX(Bases!$E$2:$E$53,C1250)="","",INDEX(Bases!$E$2:$E$53,C1250))</f>
        <v/>
      </c>
      <c r="K1250" s="5"/>
      <c r="L1250" s="2" t="n">
        <f aca="false">AE1250+IF(SUMPRODUCT(--($AL1250:$AQ1250&gt;AL1250))&lt;$AK1250,1,0)</f>
        <v>59</v>
      </c>
      <c r="M1250" s="2" t="n">
        <f aca="false">AF1250+IF(SUMPRODUCT(--($AL1250:$AQ1250&gt;AM1250))+SUMPRODUCT(--($AL1250:AL1250=AM1250))&lt;$AK1250,1,0)</f>
        <v>61</v>
      </c>
      <c r="N1250" s="2" t="n">
        <f aca="false">AG1250+IF(SUMPRODUCT(--($AL1250:$AQ1250&gt;AN1250))+SUMPRODUCT(--($AL1250:AM1250=AN1250))&lt;$AK1250,1,0)</f>
        <v>58</v>
      </c>
      <c r="O1250" s="2" t="n">
        <f aca="false">AH1250+IF(SUMPRODUCT(--($AL1250:$AQ1250&gt;AO1250))+SUMPRODUCT(--($AL1250:AN1250=AO1250))&lt;$AK1250,1,0)</f>
        <v>132</v>
      </c>
      <c r="P1250" s="2" t="n">
        <f aca="false">AI1250+IF(SUMPRODUCT(--($AL1250:$AQ1250&gt;AP1250))+SUMPRODUCT(--($AL1250:AO1250=AP1250))&lt;$AK1250,1,0)</f>
        <v>79</v>
      </c>
      <c r="Q1250" s="2" t="n">
        <f aca="false">AJ1250+IF(SUMPRODUCT(--($AL1250:$AQ1250&gt;AQ1250))+SUMPRODUCT(--($AL1250:AP1250=AQ1250))&lt;$AK1250,1,0)</f>
        <v>111</v>
      </c>
      <c r="R1250" s="2" t="n">
        <f aca="false">SUM(L1250:Q1250)</f>
        <v>500</v>
      </c>
      <c r="S1250" s="2" t="n">
        <f aca="false">Settings!$B$4*MAX(INDEX(Bases!$M$2:$M$53,B1250),INDEX(Bases!$M$2:$M$53,C1250))+Settings!$B$5*MIN(INDEX(Bases!$M$2:$M$53,B1250),INDEX(Bases!$M$2:$M$53,C1250))</f>
        <v>50.3333333333333</v>
      </c>
      <c r="T1250" s="2" t="n">
        <f aca="false">Settings!$B$4*MAX(INDEX(Bases!$N$2:$N$53,B1250),INDEX(Bases!$N$2:$N$53,C1250))+Settings!$B$5*MIN(INDEX(Bases!$N$2:$N$53,B1250),INDEX(Bases!$N$2:$N$53,C1250))</f>
        <v>51.6666666666667</v>
      </c>
      <c r="U1250" s="2" t="n">
        <f aca="false">Settings!$B$4*MAX(INDEX(Bases!$O$2:$O$53,B1250),INDEX(Bases!$O$2:$O$53,C1250))+Settings!$B$5*MIN(INDEX(Bases!$O$2:$O$53,B1250),INDEX(Bases!$O$2:$O$53,C1250))</f>
        <v>49.6666666666667</v>
      </c>
      <c r="V1250" s="2" t="n">
        <f aca="false">Settings!$B$4*MAX(INDEX(Bases!$P$2:$P$53,B1250),INDEX(Bases!$P$2:$P$53,C1250))+Settings!$B$5*MIN(INDEX(Bases!$P$2:$P$53,B1250),INDEX(Bases!$P$2:$P$53,C1250))</f>
        <v>112</v>
      </c>
      <c r="W1250" s="2" t="n">
        <f aca="false">Settings!$B$4*MAX(INDEX(Bases!$Q$2:$Q$53,B1250),INDEX(Bases!$Q$2:$Q$53,C1250))+Settings!$B$5*MIN(INDEX(Bases!$Q$2:$Q$53,B1250),INDEX(Bases!$Q$2:$Q$53,C1250))</f>
        <v>67</v>
      </c>
      <c r="X1250" s="2" t="n">
        <f aca="false">Settings!$B$4*MAX(INDEX(Bases!$R$2:$R$53,B1250),INDEX(Bases!$R$2:$R$53,C1250))+Settings!$B$5*MIN(INDEX(Bases!$R$2:$R$53,B1250),INDEX(Bases!$R$2:$R$53,C1250))</f>
        <v>94.6666666666667</v>
      </c>
      <c r="Y1250" s="2" t="n">
        <f aca="false">S1250*Settings!$B$3/SUM(S1250:X1250)</f>
        <v>59.1692789968652</v>
      </c>
      <c r="Z1250" s="2" t="n">
        <f aca="false">T1250*Settings!$B$3/SUM(S1250:X1250)</f>
        <v>60.7366771159875</v>
      </c>
      <c r="AA1250" s="2" t="n">
        <f aca="false">U1250*Settings!$B$3/SUM(S1250:X1250)</f>
        <v>58.3855799373041</v>
      </c>
      <c r="AB1250" s="2" t="n">
        <f aca="false">V1250*Settings!$B$3/SUM(S1250:X1250)</f>
        <v>131.66144200627</v>
      </c>
      <c r="AC1250" s="2" t="n">
        <f aca="false">W1250*Settings!$B$3/SUM(S1250:X1250)</f>
        <v>78.7617554858934</v>
      </c>
      <c r="AD1250" s="2" t="n">
        <f aca="false">X1250*Settings!$B$3/SUM(S1250:X1250)</f>
        <v>111.28526645768</v>
      </c>
      <c r="AE1250" s="2" t="n">
        <f aca="false">INT(Y1250)</f>
        <v>59</v>
      </c>
      <c r="AF1250" s="2" t="n">
        <f aca="false">INT(Z1250)</f>
        <v>60</v>
      </c>
      <c r="AG1250" s="2" t="n">
        <f aca="false">INT(AA1250)</f>
        <v>58</v>
      </c>
      <c r="AH1250" s="2" t="n">
        <f aca="false">INT(AB1250)</f>
        <v>131</v>
      </c>
      <c r="AI1250" s="2" t="n">
        <f aca="false">INT(AC1250)</f>
        <v>78</v>
      </c>
      <c r="AJ1250" s="2" t="n">
        <f aca="false">INT(AD1250)</f>
        <v>111</v>
      </c>
      <c r="AK1250" s="2" t="n">
        <f aca="false">Settings!$B$3-SUM(AE1250:AJ1250)</f>
        <v>3</v>
      </c>
      <c r="AL1250" s="2" t="n">
        <f aca="false">ROUND(Y1250-AE1250,9)</f>
        <v>0.169278997</v>
      </c>
      <c r="AM1250" s="2" t="n">
        <f aca="false">ROUND(Z1250-AF1250,9)</f>
        <v>0.736677116</v>
      </c>
      <c r="AN1250" s="2" t="n">
        <f aca="false">ROUND(AA1250-AG1250,9)</f>
        <v>0.385579937</v>
      </c>
      <c r="AO1250" s="2" t="n">
        <f aca="false">ROUND(AB1250-AH1250,9)</f>
        <v>0.661442006</v>
      </c>
      <c r="AP1250" s="2" t="n">
        <f aca="false">ROUND(AC1250-AI1250,9)</f>
        <v>0.761755486</v>
      </c>
      <c r="AQ1250" s="2" t="n">
        <f aca="false">ROUND(AD1250-AJ1250,9)</f>
        <v>0.285266458</v>
      </c>
    </row>
    <row r="1251" customFormat="false" ht="15" hidden="false" customHeight="false" outlineLevel="0" collapsed="false">
      <c r="A1251" s="2" t="n">
        <v>1250</v>
      </c>
      <c r="B1251" s="6" t="n">
        <v>40</v>
      </c>
      <c r="C1251" s="6" t="n">
        <v>42</v>
      </c>
      <c r="D1251" s="8" t="str">
        <f aca="false">INDEX(Bases!$B$2:$B$53,B1251)</f>
        <v>Gastly</v>
      </c>
      <c r="E1251" s="8" t="str">
        <f aca="false">INDEX(Bases!$B$2:$B$53,C1251)</f>
        <v>Sableye</v>
      </c>
      <c r="F1251" s="2" t="str">
        <f aca="false">LEFT(D1251,ROUNDUP(LEN(D1251)/2,0))&amp;LOWER(MID(E1251,ROUNDUP(LEN(E1251)/2,0)+1,20))</f>
        <v>Gaseye</v>
      </c>
      <c r="G1251" s="8" t="str">
        <f aca="false">INDEX(Bases!$C$2:$C$53,B1251)</f>
        <v>Ghost</v>
      </c>
      <c r="H1251" s="8" t="str">
        <f aca="false">IF(INDEX(Bases!$C$2:$C$53,C1251)=G1251,"",INDEX(Bases!$C$2:$C$53,C1251))</f>
        <v/>
      </c>
      <c r="I1251" s="8" t="str">
        <f aca="false">IF(INDEX(Bases!$E$2:$E$53,B1251)="","",INDEX(Bases!$E$2:$E$53,B1251))</f>
        <v/>
      </c>
      <c r="J1251" s="8" t="str">
        <f aca="false">IF(INDEX(Bases!$E$2:$E$53,C1251)="","",INDEX(Bases!$E$2:$E$53,C1251))</f>
        <v/>
      </c>
      <c r="K1251" s="5"/>
      <c r="L1251" s="2" t="n">
        <f aca="false">AE1251+IF(SUMPRODUCT(--($AL1251:$AQ1251&gt;AL1251))&lt;$AK1251,1,0)</f>
        <v>55</v>
      </c>
      <c r="M1251" s="2" t="n">
        <f aca="false">AF1251+IF(SUMPRODUCT(--($AL1251:$AQ1251&gt;AM1251))+SUMPRODUCT(--($AL1251:AL1251=AM1251))&lt;$AK1251,1,0)</f>
        <v>78</v>
      </c>
      <c r="N1251" s="2" t="n">
        <f aca="false">AG1251+IF(SUMPRODUCT(--($AL1251:$AQ1251&gt;AN1251))+SUMPRODUCT(--($AL1251:AM1251=AN1251))&lt;$AK1251,1,0)</f>
        <v>75</v>
      </c>
      <c r="O1251" s="2" t="n">
        <f aca="false">AH1251+IF(SUMPRODUCT(--($AL1251:$AQ1251&gt;AO1251))+SUMPRODUCT(--($AL1251:AN1251=AO1251))&lt;$AK1251,1,0)</f>
        <v>124</v>
      </c>
      <c r="P1251" s="2" t="n">
        <f aca="false">AI1251+IF(SUMPRODUCT(--($AL1251:$AQ1251&gt;AP1251))+SUMPRODUCT(--($AL1251:AO1251=AP1251))&lt;$AK1251,1,0)</f>
        <v>69</v>
      </c>
      <c r="Q1251" s="2" t="n">
        <f aca="false">AJ1251+IF(SUMPRODUCT(--($AL1251:$AQ1251&gt;AQ1251))+SUMPRODUCT(--($AL1251:AP1251=AQ1251))&lt;$AK1251,1,0)</f>
        <v>99</v>
      </c>
      <c r="R1251" s="2" t="n">
        <f aca="false">SUM(L1251:Q1251)</f>
        <v>500</v>
      </c>
      <c r="S1251" s="2" t="n">
        <f aca="false">Settings!$B$4*MAX(INDEX(Bases!$M$2:$M$53,B1251),INDEX(Bases!$M$2:$M$53,C1251))+Settings!$B$5*MIN(INDEX(Bases!$M$2:$M$53,B1251),INDEX(Bases!$M$2:$M$53,C1251))</f>
        <v>48.3333333333333</v>
      </c>
      <c r="T1251" s="2" t="n">
        <f aca="false">Settings!$B$4*MAX(INDEX(Bases!$N$2:$N$53,B1251),INDEX(Bases!$N$2:$N$53,C1251))+Settings!$B$5*MIN(INDEX(Bases!$N$2:$N$53,B1251),INDEX(Bases!$N$2:$N$53,C1251))</f>
        <v>67.6666666666667</v>
      </c>
      <c r="U1251" s="2" t="n">
        <f aca="false">Settings!$B$4*MAX(INDEX(Bases!$O$2:$O$53,B1251),INDEX(Bases!$O$2:$O$53,C1251))+Settings!$B$5*MIN(INDEX(Bases!$O$2:$O$53,B1251),INDEX(Bases!$O$2:$O$53,C1251))</f>
        <v>65.6666666666667</v>
      </c>
      <c r="V1251" s="2" t="n">
        <f aca="false">Settings!$B$4*MAX(INDEX(Bases!$P$2:$P$53,B1251),INDEX(Bases!$P$2:$P$53,C1251))+Settings!$B$5*MIN(INDEX(Bases!$P$2:$P$53,B1251),INDEX(Bases!$P$2:$P$53,C1251))</f>
        <v>108.666666666667</v>
      </c>
      <c r="W1251" s="2" t="n">
        <f aca="false">Settings!$B$4*MAX(INDEX(Bases!$Q$2:$Q$53,B1251),INDEX(Bases!$Q$2:$Q$53,C1251))+Settings!$B$5*MIN(INDEX(Bases!$Q$2:$Q$53,B1251),INDEX(Bases!$Q$2:$Q$53,C1251))</f>
        <v>60.3333333333333</v>
      </c>
      <c r="X1251" s="2" t="n">
        <f aca="false">Settings!$B$4*MAX(INDEX(Bases!$R$2:$R$53,B1251),INDEX(Bases!$R$2:$R$53,C1251))+Settings!$B$5*MIN(INDEX(Bases!$R$2:$R$53,B1251),INDEX(Bases!$R$2:$R$53,C1251))</f>
        <v>86.3333333333333</v>
      </c>
      <c r="Y1251" s="2" t="n">
        <f aca="false">S1251*Settings!$B$3/SUM(S1251:X1251)</f>
        <v>55.301296720061</v>
      </c>
      <c r="Z1251" s="2" t="n">
        <f aca="false">T1251*Settings!$B$3/SUM(S1251:X1251)</f>
        <v>77.4218154080854</v>
      </c>
      <c r="AA1251" s="2" t="n">
        <f aca="false">U1251*Settings!$B$3/SUM(S1251:X1251)</f>
        <v>75.1334858886346</v>
      </c>
      <c r="AB1251" s="2" t="n">
        <f aca="false">V1251*Settings!$B$3/SUM(S1251:X1251)</f>
        <v>124.332570556827</v>
      </c>
      <c r="AC1251" s="2" t="n">
        <f aca="false">W1251*Settings!$B$3/SUM(S1251:X1251)</f>
        <v>69.0312738367658</v>
      </c>
      <c r="AD1251" s="2" t="n">
        <f aca="false">X1251*Settings!$B$3/SUM(S1251:X1251)</f>
        <v>98.7795575896262</v>
      </c>
      <c r="AE1251" s="2" t="n">
        <f aca="false">INT(Y1251)</f>
        <v>55</v>
      </c>
      <c r="AF1251" s="2" t="n">
        <f aca="false">INT(Z1251)</f>
        <v>77</v>
      </c>
      <c r="AG1251" s="2" t="n">
        <f aca="false">INT(AA1251)</f>
        <v>75</v>
      </c>
      <c r="AH1251" s="2" t="n">
        <f aca="false">INT(AB1251)</f>
        <v>124</v>
      </c>
      <c r="AI1251" s="2" t="n">
        <f aca="false">INT(AC1251)</f>
        <v>69</v>
      </c>
      <c r="AJ1251" s="2" t="n">
        <f aca="false">INT(AD1251)</f>
        <v>98</v>
      </c>
      <c r="AK1251" s="2" t="n">
        <f aca="false">Settings!$B$3-SUM(AE1251:AJ1251)</f>
        <v>2</v>
      </c>
      <c r="AL1251" s="2" t="n">
        <f aca="false">ROUND(Y1251-AE1251,9)</f>
        <v>0.30129672</v>
      </c>
      <c r="AM1251" s="2" t="n">
        <f aca="false">ROUND(Z1251-AF1251,9)</f>
        <v>0.421815408</v>
      </c>
      <c r="AN1251" s="2" t="n">
        <f aca="false">ROUND(AA1251-AG1251,9)</f>
        <v>0.133485889</v>
      </c>
      <c r="AO1251" s="2" t="n">
        <f aca="false">ROUND(AB1251-AH1251,9)</f>
        <v>0.332570557</v>
      </c>
      <c r="AP1251" s="2" t="n">
        <f aca="false">ROUND(AC1251-AI1251,9)</f>
        <v>0.031273837</v>
      </c>
      <c r="AQ1251" s="2" t="n">
        <f aca="false">ROUND(AD1251-AJ1251,9)</f>
        <v>0.77955759</v>
      </c>
    </row>
    <row r="1252" customFormat="false" ht="15" hidden="false" customHeight="false" outlineLevel="0" collapsed="false">
      <c r="A1252" s="2" t="n">
        <v>1251</v>
      </c>
      <c r="B1252" s="6" t="n">
        <v>40</v>
      </c>
      <c r="C1252" s="6" t="n">
        <v>43</v>
      </c>
      <c r="D1252" s="8" t="str">
        <f aca="false">INDEX(Bases!$B$2:$B$53,B1252)</f>
        <v>Gastly</v>
      </c>
      <c r="E1252" s="8" t="str">
        <f aca="false">INDEX(Bases!$B$2:$B$53,C1252)</f>
        <v>Dratini</v>
      </c>
      <c r="F1252" s="2" t="str">
        <f aca="false">LEFT(D1252,ROUNDUP(LEN(D1252)/2,0))&amp;LOWER(MID(E1252,ROUNDUP(LEN(E1252)/2,0)+1,20))</f>
        <v>Gasini</v>
      </c>
      <c r="G1252" s="8" t="str">
        <f aca="false">INDEX(Bases!$C$2:$C$53,B1252)</f>
        <v>Ghost</v>
      </c>
      <c r="H1252" s="8" t="str">
        <f aca="false">IF(INDEX(Bases!$C$2:$C$53,C1252)=G1252,"",INDEX(Bases!$C$2:$C$53,C1252))</f>
        <v>Dragon</v>
      </c>
      <c r="I1252" s="8" t="str">
        <f aca="false">IF(INDEX(Bases!$E$2:$E$53,B1252)="","",INDEX(Bases!$E$2:$E$53,B1252))</f>
        <v/>
      </c>
      <c r="J1252" s="8" t="str">
        <f aca="false">IF(INDEX(Bases!$E$2:$E$53,C1252)="","",INDEX(Bases!$E$2:$E$53,C1252))</f>
        <v/>
      </c>
      <c r="K1252" s="5"/>
      <c r="L1252" s="2" t="n">
        <f aca="false">AE1252+IF(SUMPRODUCT(--($AL1252:$AQ1252&gt;AL1252))&lt;$AK1252,1,0)</f>
        <v>57</v>
      </c>
      <c r="M1252" s="2" t="n">
        <f aca="false">AF1252+IF(SUMPRODUCT(--($AL1252:$AQ1252&gt;AM1252))+SUMPRODUCT(--($AL1252:AL1252=AM1252))&lt;$AK1252,1,0)</f>
        <v>83</v>
      </c>
      <c r="N1252" s="2" t="n">
        <f aca="false">AG1252+IF(SUMPRODUCT(--($AL1252:$AQ1252&gt;AN1252))+SUMPRODUCT(--($AL1252:AM1252=AN1252))&lt;$AK1252,1,0)</f>
        <v>61</v>
      </c>
      <c r="O1252" s="2" t="n">
        <f aca="false">AH1252+IF(SUMPRODUCT(--($AL1252:$AQ1252&gt;AO1252))+SUMPRODUCT(--($AL1252:AN1252=AO1252))&lt;$AK1252,1,0)</f>
        <v>125</v>
      </c>
      <c r="P1252" s="2" t="n">
        <f aca="false">AI1252+IF(SUMPRODUCT(--($AL1252:$AQ1252&gt;AP1252))+SUMPRODUCT(--($AL1252:AO1252=AP1252))&lt;$AK1252,1,0)</f>
        <v>69</v>
      </c>
      <c r="Q1252" s="2" t="n">
        <f aca="false">AJ1252+IF(SUMPRODUCT(--($AL1252:$AQ1252&gt;AQ1252))+SUMPRODUCT(--($AL1252:AP1252=AQ1252))&lt;$AK1252,1,0)</f>
        <v>105</v>
      </c>
      <c r="R1252" s="2" t="n">
        <f aca="false">SUM(L1252:Q1252)</f>
        <v>500</v>
      </c>
      <c r="S1252" s="2" t="n">
        <f aca="false">Settings!$B$4*MAX(INDEX(Bases!$M$2:$M$53,B1252),INDEX(Bases!$M$2:$M$53,C1252))+Settings!$B$5*MIN(INDEX(Bases!$M$2:$M$53,B1252),INDEX(Bases!$M$2:$M$53,C1252))</f>
        <v>49.6666666666667</v>
      </c>
      <c r="T1252" s="2" t="n">
        <f aca="false">Settings!$B$4*MAX(INDEX(Bases!$N$2:$N$53,B1252),INDEX(Bases!$N$2:$N$53,C1252))+Settings!$B$5*MIN(INDEX(Bases!$N$2:$N$53,B1252),INDEX(Bases!$N$2:$N$53,C1252))</f>
        <v>71.6666666666667</v>
      </c>
      <c r="U1252" s="2" t="n">
        <f aca="false">Settings!$B$4*MAX(INDEX(Bases!$O$2:$O$53,B1252),INDEX(Bases!$O$2:$O$53,C1252))+Settings!$B$5*MIN(INDEX(Bases!$O$2:$O$53,B1252),INDEX(Bases!$O$2:$O$53,C1252))</f>
        <v>53</v>
      </c>
      <c r="V1252" s="2" t="n">
        <f aca="false">Settings!$B$4*MAX(INDEX(Bases!$P$2:$P$53,B1252),INDEX(Bases!$P$2:$P$53,C1252))+Settings!$B$5*MIN(INDEX(Bases!$P$2:$P$53,B1252),INDEX(Bases!$P$2:$P$53,C1252))</f>
        <v>108.333333333333</v>
      </c>
      <c r="W1252" s="2" t="n">
        <f aca="false">Settings!$B$4*MAX(INDEX(Bases!$Q$2:$Q$53,B1252),INDEX(Bases!$Q$2:$Q$53,C1252))+Settings!$B$5*MIN(INDEX(Bases!$Q$2:$Q$53,B1252),INDEX(Bases!$Q$2:$Q$53,C1252))</f>
        <v>59.6666666666667</v>
      </c>
      <c r="X1252" s="2" t="n">
        <f aca="false">Settings!$B$4*MAX(INDEX(Bases!$R$2:$R$53,B1252),INDEX(Bases!$R$2:$R$53,C1252))+Settings!$B$5*MIN(INDEX(Bases!$R$2:$R$53,B1252),INDEX(Bases!$R$2:$R$53,C1252))</f>
        <v>90.6666666666667</v>
      </c>
      <c r="Y1252" s="2" t="n">
        <f aca="false">S1252*Settings!$B$3/SUM(S1252:X1252)</f>
        <v>57.3518090839107</v>
      </c>
      <c r="Z1252" s="2" t="n">
        <f aca="false">T1252*Settings!$B$3/SUM(S1252:X1252)</f>
        <v>82.7559661277906</v>
      </c>
      <c r="AA1252" s="2" t="n">
        <f aca="false">U1252*Settings!$B$3/SUM(S1252:X1252)</f>
        <v>61.2009237875289</v>
      </c>
      <c r="AB1252" s="2" t="n">
        <f aca="false">V1252*Settings!$B$3/SUM(S1252:X1252)</f>
        <v>125.09622786759</v>
      </c>
      <c r="AC1252" s="2" t="n">
        <f aca="false">W1252*Settings!$B$3/SUM(S1252:X1252)</f>
        <v>68.8991531947652</v>
      </c>
      <c r="AD1252" s="2" t="n">
        <f aca="false">X1252*Settings!$B$3/SUM(S1252:X1252)</f>
        <v>104.695919938414</v>
      </c>
      <c r="AE1252" s="2" t="n">
        <f aca="false">INT(Y1252)</f>
        <v>57</v>
      </c>
      <c r="AF1252" s="2" t="n">
        <f aca="false">INT(Z1252)</f>
        <v>82</v>
      </c>
      <c r="AG1252" s="2" t="n">
        <f aca="false">INT(AA1252)</f>
        <v>61</v>
      </c>
      <c r="AH1252" s="2" t="n">
        <f aca="false">INT(AB1252)</f>
        <v>125</v>
      </c>
      <c r="AI1252" s="2" t="n">
        <f aca="false">INT(AC1252)</f>
        <v>68</v>
      </c>
      <c r="AJ1252" s="2" t="n">
        <f aca="false">INT(AD1252)</f>
        <v>104</v>
      </c>
      <c r="AK1252" s="2" t="n">
        <f aca="false">Settings!$B$3-SUM(AE1252:AJ1252)</f>
        <v>3</v>
      </c>
      <c r="AL1252" s="2" t="n">
        <f aca="false">ROUND(Y1252-AE1252,9)</f>
        <v>0.351809084</v>
      </c>
      <c r="AM1252" s="2" t="n">
        <f aca="false">ROUND(Z1252-AF1252,9)</f>
        <v>0.755966128</v>
      </c>
      <c r="AN1252" s="2" t="n">
        <f aca="false">ROUND(AA1252-AG1252,9)</f>
        <v>0.200923788</v>
      </c>
      <c r="AO1252" s="2" t="n">
        <f aca="false">ROUND(AB1252-AH1252,9)</f>
        <v>0.096227868</v>
      </c>
      <c r="AP1252" s="2" t="n">
        <f aca="false">ROUND(AC1252-AI1252,9)</f>
        <v>0.899153195</v>
      </c>
      <c r="AQ1252" s="2" t="n">
        <f aca="false">ROUND(AD1252-AJ1252,9)</f>
        <v>0.695919938</v>
      </c>
    </row>
    <row r="1253" customFormat="false" ht="15" hidden="false" customHeight="false" outlineLevel="0" collapsed="false">
      <c r="A1253" s="2" t="n">
        <v>1252</v>
      </c>
      <c r="B1253" s="6" t="n">
        <v>40</v>
      </c>
      <c r="C1253" s="6" t="n">
        <v>44</v>
      </c>
      <c r="D1253" s="8" t="str">
        <f aca="false">INDEX(Bases!$B$2:$B$53,B1253)</f>
        <v>Gastly</v>
      </c>
      <c r="E1253" s="8" t="str">
        <f aca="false">INDEX(Bases!$B$2:$B$53,C1253)</f>
        <v>Bagon</v>
      </c>
      <c r="F1253" s="2" t="str">
        <f aca="false">LEFT(D1253,ROUNDUP(LEN(D1253)/2,0))&amp;LOWER(MID(E1253,ROUNDUP(LEN(E1253)/2,0)+1,20))</f>
        <v>Gason</v>
      </c>
      <c r="G1253" s="8" t="str">
        <f aca="false">INDEX(Bases!$C$2:$C$53,B1253)</f>
        <v>Ghost</v>
      </c>
      <c r="H1253" s="8" t="str">
        <f aca="false">IF(INDEX(Bases!$C$2:$C$53,C1253)=G1253,"",INDEX(Bases!$C$2:$C$53,C1253))</f>
        <v>Dragon</v>
      </c>
      <c r="I1253" s="8" t="str">
        <f aca="false">IF(INDEX(Bases!$E$2:$E$53,B1253)="","",INDEX(Bases!$E$2:$E$53,B1253))</f>
        <v/>
      </c>
      <c r="J1253" s="8" t="str">
        <f aca="false">IF(INDEX(Bases!$E$2:$E$53,C1253)="","",INDEX(Bases!$E$2:$E$53,C1253))</f>
        <v/>
      </c>
      <c r="K1253" s="5"/>
      <c r="L1253" s="2" t="n">
        <f aca="false">AE1253+IF(SUMPRODUCT(--($AL1253:$AQ1253&gt;AL1253))&lt;$AK1253,1,0)</f>
        <v>60</v>
      </c>
      <c r="M1253" s="2" t="n">
        <f aca="false">AF1253+IF(SUMPRODUCT(--($AL1253:$AQ1253&gt;AM1253))+SUMPRODUCT(--($AL1253:AL1253=AM1253))&lt;$AK1253,1,0)</f>
        <v>93</v>
      </c>
      <c r="N1253" s="2" t="n">
        <f aca="false">AG1253+IF(SUMPRODUCT(--($AL1253:$AQ1253&gt;AN1253))+SUMPRODUCT(--($AL1253:AM1253=AN1253))&lt;$AK1253,1,0)</f>
        <v>76</v>
      </c>
      <c r="O1253" s="2" t="n">
        <f aca="false">AH1253+IF(SUMPRODUCT(--($AL1253:$AQ1253&gt;AO1253))+SUMPRODUCT(--($AL1253:AN1253=AO1253))&lt;$AK1253,1,0)</f>
        <v>118</v>
      </c>
      <c r="P1253" s="2" t="n">
        <f aca="false">AI1253+IF(SUMPRODUCT(--($AL1253:$AQ1253&gt;AP1253))+SUMPRODUCT(--($AL1253:AO1253=AP1253))&lt;$AK1253,1,0)</f>
        <v>49</v>
      </c>
      <c r="Q1253" s="2" t="n">
        <f aca="false">AJ1253+IF(SUMPRODUCT(--($AL1253:$AQ1253&gt;AQ1253))+SUMPRODUCT(--($AL1253:AP1253=AQ1253))&lt;$AK1253,1,0)</f>
        <v>104</v>
      </c>
      <c r="R1253" s="2" t="n">
        <f aca="false">SUM(L1253:Q1253)</f>
        <v>500</v>
      </c>
      <c r="S1253" s="2" t="n">
        <f aca="false">Settings!$B$4*MAX(INDEX(Bases!$M$2:$M$53,B1253),INDEX(Bases!$M$2:$M$53,C1253))+Settings!$B$5*MIN(INDEX(Bases!$M$2:$M$53,B1253),INDEX(Bases!$M$2:$M$53,C1253))</f>
        <v>53</v>
      </c>
      <c r="T1253" s="2" t="n">
        <f aca="false">Settings!$B$4*MAX(INDEX(Bases!$N$2:$N$53,B1253),INDEX(Bases!$N$2:$N$53,C1253))+Settings!$B$5*MIN(INDEX(Bases!$N$2:$N$53,B1253),INDEX(Bases!$N$2:$N$53,C1253))</f>
        <v>81.6666666666667</v>
      </c>
      <c r="U1253" s="2" t="n">
        <f aca="false">Settings!$B$4*MAX(INDEX(Bases!$O$2:$O$53,B1253),INDEX(Bases!$O$2:$O$53,C1253))+Settings!$B$5*MIN(INDEX(Bases!$O$2:$O$53,B1253),INDEX(Bases!$O$2:$O$53,C1253))</f>
        <v>66.3333333333333</v>
      </c>
      <c r="V1253" s="2" t="n">
        <f aca="false">Settings!$B$4*MAX(INDEX(Bases!$P$2:$P$53,B1253),INDEX(Bases!$P$2:$P$53,C1253))+Settings!$B$5*MIN(INDEX(Bases!$P$2:$P$53,B1253),INDEX(Bases!$P$2:$P$53,C1253))</f>
        <v>103.666666666667</v>
      </c>
      <c r="W1253" s="2" t="n">
        <f aca="false">Settings!$B$4*MAX(INDEX(Bases!$Q$2:$Q$53,B1253),INDEX(Bases!$Q$2:$Q$53,C1253))+Settings!$B$5*MIN(INDEX(Bases!$Q$2:$Q$53,B1253),INDEX(Bases!$Q$2:$Q$53,C1253))</f>
        <v>43.3333333333333</v>
      </c>
      <c r="X1253" s="2" t="n">
        <f aca="false">Settings!$B$4*MAX(INDEX(Bases!$R$2:$R$53,B1253),INDEX(Bases!$R$2:$R$53,C1253))+Settings!$B$5*MIN(INDEX(Bases!$R$2:$R$53,B1253),INDEX(Bases!$R$2:$R$53,C1253))</f>
        <v>91</v>
      </c>
      <c r="Y1253" s="2" t="n">
        <f aca="false">S1253*Settings!$B$3/SUM(S1253:X1253)</f>
        <v>60.3644646924829</v>
      </c>
      <c r="Z1253" s="2" t="n">
        <f aca="false">T1253*Settings!$B$3/SUM(S1253:X1253)</f>
        <v>93.0144267274108</v>
      </c>
      <c r="AA1253" s="2" t="n">
        <f aca="false">U1253*Settings!$B$3/SUM(S1253:X1253)</f>
        <v>75.5504935459377</v>
      </c>
      <c r="AB1253" s="2" t="n">
        <f aca="false">V1253*Settings!$B$3/SUM(S1253:X1253)</f>
        <v>118.071374335611</v>
      </c>
      <c r="AC1253" s="2" t="n">
        <f aca="false">W1253*Settings!$B$3/SUM(S1253:X1253)</f>
        <v>49.3545937737282</v>
      </c>
      <c r="AD1253" s="2" t="n">
        <f aca="false">X1253*Settings!$B$3/SUM(S1253:X1253)</f>
        <v>103.644646924829</v>
      </c>
      <c r="AE1253" s="2" t="n">
        <f aca="false">INT(Y1253)</f>
        <v>60</v>
      </c>
      <c r="AF1253" s="2" t="n">
        <f aca="false">INT(Z1253)</f>
        <v>93</v>
      </c>
      <c r="AG1253" s="2" t="n">
        <f aca="false">INT(AA1253)</f>
        <v>75</v>
      </c>
      <c r="AH1253" s="2" t="n">
        <f aca="false">INT(AB1253)</f>
        <v>118</v>
      </c>
      <c r="AI1253" s="2" t="n">
        <f aca="false">INT(AC1253)</f>
        <v>49</v>
      </c>
      <c r="AJ1253" s="2" t="n">
        <f aca="false">INT(AD1253)</f>
        <v>103</v>
      </c>
      <c r="AK1253" s="2" t="n">
        <f aca="false">Settings!$B$3-SUM(AE1253:AJ1253)</f>
        <v>2</v>
      </c>
      <c r="AL1253" s="2" t="n">
        <f aca="false">ROUND(Y1253-AE1253,9)</f>
        <v>0.364464692</v>
      </c>
      <c r="AM1253" s="2" t="n">
        <f aca="false">ROUND(Z1253-AF1253,9)</f>
        <v>0.014426727</v>
      </c>
      <c r="AN1253" s="2" t="n">
        <f aca="false">ROUND(AA1253-AG1253,9)</f>
        <v>0.550493546</v>
      </c>
      <c r="AO1253" s="2" t="n">
        <f aca="false">ROUND(AB1253-AH1253,9)</f>
        <v>0.071374336</v>
      </c>
      <c r="AP1253" s="2" t="n">
        <f aca="false">ROUND(AC1253-AI1253,9)</f>
        <v>0.354593774</v>
      </c>
      <c r="AQ1253" s="2" t="n">
        <f aca="false">ROUND(AD1253-AJ1253,9)</f>
        <v>0.644646925</v>
      </c>
    </row>
    <row r="1254" customFormat="false" ht="15" hidden="false" customHeight="false" outlineLevel="0" collapsed="false">
      <c r="A1254" s="2" t="n">
        <v>1253</v>
      </c>
      <c r="B1254" s="6" t="n">
        <v>40</v>
      </c>
      <c r="C1254" s="6" t="n">
        <v>45</v>
      </c>
      <c r="D1254" s="8" t="str">
        <f aca="false">INDEX(Bases!$B$2:$B$53,B1254)</f>
        <v>Gastly</v>
      </c>
      <c r="E1254" s="8" t="str">
        <f aca="false">INDEX(Bases!$B$2:$B$53,C1254)</f>
        <v>Sneasel</v>
      </c>
      <c r="F1254" s="2" t="str">
        <f aca="false">LEFT(D1254,ROUNDUP(LEN(D1254)/2,0))&amp;LOWER(MID(E1254,ROUNDUP(LEN(E1254)/2,0)+1,20))</f>
        <v>Gassel</v>
      </c>
      <c r="G1254" s="8" t="str">
        <f aca="false">INDEX(Bases!$C$2:$C$53,B1254)</f>
        <v>Ghost</v>
      </c>
      <c r="H1254" s="8" t="str">
        <f aca="false">IF(INDEX(Bases!$C$2:$C$53,C1254)=G1254,"",INDEX(Bases!$C$2:$C$53,C1254))</f>
        <v>Dark</v>
      </c>
      <c r="I1254" s="8" t="str">
        <f aca="false">IF(INDEX(Bases!$E$2:$E$53,B1254)="","",INDEX(Bases!$E$2:$E$53,B1254))</f>
        <v/>
      </c>
      <c r="J1254" s="8" t="str">
        <f aca="false">IF(INDEX(Bases!$E$2:$E$53,C1254)="","",INDEX(Bases!$E$2:$E$53,C1254))</f>
        <v/>
      </c>
      <c r="K1254" s="5"/>
      <c r="L1254" s="2" t="n">
        <f aca="false">AE1254+IF(SUMPRODUCT(--($AL1254:$AQ1254&gt;AL1254))&lt;$AK1254,1,0)</f>
        <v>55</v>
      </c>
      <c r="M1254" s="2" t="n">
        <f aca="false">AF1254+IF(SUMPRODUCT(--($AL1254:$AQ1254&gt;AM1254))+SUMPRODUCT(--($AL1254:AL1254=AM1254))&lt;$AK1254,1,0)</f>
        <v>85</v>
      </c>
      <c r="N1254" s="2" t="n">
        <f aca="false">AG1254+IF(SUMPRODUCT(--($AL1254:$AQ1254&gt;AN1254))+SUMPRODUCT(--($AL1254:AM1254=AN1254))&lt;$AK1254,1,0)</f>
        <v>55</v>
      </c>
      <c r="O1254" s="2" t="n">
        <f aca="false">AH1254+IF(SUMPRODUCT(--($AL1254:$AQ1254&gt;AO1254))+SUMPRODUCT(--($AL1254:AN1254=AO1254))&lt;$AK1254,1,0)</f>
        <v>112</v>
      </c>
      <c r="P1254" s="2" t="n">
        <f aca="false">AI1254+IF(SUMPRODUCT(--($AL1254:$AQ1254&gt;AP1254))+SUMPRODUCT(--($AL1254:AO1254=AP1254))&lt;$AK1254,1,0)</f>
        <v>71</v>
      </c>
      <c r="Q1254" s="2" t="n">
        <f aca="false">AJ1254+IF(SUMPRODUCT(--($AL1254:$AQ1254&gt;AQ1254))+SUMPRODUCT(--($AL1254:AP1254=AQ1254))&lt;$AK1254,1,0)</f>
        <v>122</v>
      </c>
      <c r="R1254" s="2" t="n">
        <f aca="false">SUM(L1254:Q1254)</f>
        <v>500</v>
      </c>
      <c r="S1254" s="2" t="n">
        <f aca="false">Settings!$B$4*MAX(INDEX(Bases!$M$2:$M$53,B1254),INDEX(Bases!$M$2:$M$53,C1254))+Settings!$B$5*MIN(INDEX(Bases!$M$2:$M$53,B1254),INDEX(Bases!$M$2:$M$53,C1254))</f>
        <v>47</v>
      </c>
      <c r="T1254" s="2" t="n">
        <f aca="false">Settings!$B$4*MAX(INDEX(Bases!$N$2:$N$53,B1254),INDEX(Bases!$N$2:$N$53,C1254))+Settings!$B$5*MIN(INDEX(Bases!$N$2:$N$53,B1254),INDEX(Bases!$N$2:$N$53,C1254))</f>
        <v>73.6666666666667</v>
      </c>
      <c r="U1254" s="2" t="n">
        <f aca="false">Settings!$B$4*MAX(INDEX(Bases!$O$2:$O$53,B1254),INDEX(Bases!$O$2:$O$53,C1254))+Settings!$B$5*MIN(INDEX(Bases!$O$2:$O$53,B1254),INDEX(Bases!$O$2:$O$53,C1254))</f>
        <v>47</v>
      </c>
      <c r="V1254" s="2" t="n">
        <f aca="false">Settings!$B$4*MAX(INDEX(Bases!$P$2:$P$53,B1254),INDEX(Bases!$P$2:$P$53,C1254))+Settings!$B$5*MIN(INDEX(Bases!$P$2:$P$53,B1254),INDEX(Bases!$P$2:$P$53,C1254))</f>
        <v>97</v>
      </c>
      <c r="W1254" s="2" t="n">
        <f aca="false">Settings!$B$4*MAX(INDEX(Bases!$Q$2:$Q$53,B1254),INDEX(Bases!$Q$2:$Q$53,C1254))+Settings!$B$5*MIN(INDEX(Bases!$Q$2:$Q$53,B1254),INDEX(Bases!$Q$2:$Q$53,C1254))</f>
        <v>61.6666666666667</v>
      </c>
      <c r="X1254" s="2" t="n">
        <f aca="false">Settings!$B$4*MAX(INDEX(Bases!$R$2:$R$53,B1254),INDEX(Bases!$R$2:$R$53,C1254))+Settings!$B$5*MIN(INDEX(Bases!$R$2:$R$53,B1254),INDEX(Bases!$R$2:$R$53,C1254))</f>
        <v>105.666666666667</v>
      </c>
      <c r="Y1254" s="2" t="n">
        <f aca="false">S1254*Settings!$B$3/SUM(S1254:X1254)</f>
        <v>54.3981481481481</v>
      </c>
      <c r="Z1254" s="2" t="n">
        <f aca="false">T1254*Settings!$B$3/SUM(S1254:X1254)</f>
        <v>85.2623456790124</v>
      </c>
      <c r="AA1254" s="2" t="n">
        <f aca="false">U1254*Settings!$B$3/SUM(S1254:X1254)</f>
        <v>54.3981481481481</v>
      </c>
      <c r="AB1254" s="2" t="n">
        <f aca="false">V1254*Settings!$B$3/SUM(S1254:X1254)</f>
        <v>112.268518518519</v>
      </c>
      <c r="AC1254" s="2" t="n">
        <f aca="false">W1254*Settings!$B$3/SUM(S1254:X1254)</f>
        <v>71.3734567901235</v>
      </c>
      <c r="AD1254" s="2" t="n">
        <f aca="false">X1254*Settings!$B$3/SUM(S1254:X1254)</f>
        <v>122.299382716049</v>
      </c>
      <c r="AE1254" s="2" t="n">
        <f aca="false">INT(Y1254)</f>
        <v>54</v>
      </c>
      <c r="AF1254" s="2" t="n">
        <f aca="false">INT(Z1254)</f>
        <v>85</v>
      </c>
      <c r="AG1254" s="2" t="n">
        <f aca="false">INT(AA1254)</f>
        <v>54</v>
      </c>
      <c r="AH1254" s="2" t="n">
        <f aca="false">INT(AB1254)</f>
        <v>112</v>
      </c>
      <c r="AI1254" s="2" t="n">
        <f aca="false">INT(AC1254)</f>
        <v>71</v>
      </c>
      <c r="AJ1254" s="2" t="n">
        <f aca="false">INT(AD1254)</f>
        <v>122</v>
      </c>
      <c r="AK1254" s="2" t="n">
        <f aca="false">Settings!$B$3-SUM(AE1254:AJ1254)</f>
        <v>2</v>
      </c>
      <c r="AL1254" s="2" t="n">
        <f aca="false">ROUND(Y1254-AE1254,9)</f>
        <v>0.398148148</v>
      </c>
      <c r="AM1254" s="2" t="n">
        <f aca="false">ROUND(Z1254-AF1254,9)</f>
        <v>0.262345679</v>
      </c>
      <c r="AN1254" s="2" t="n">
        <f aca="false">ROUND(AA1254-AG1254,9)</f>
        <v>0.398148148</v>
      </c>
      <c r="AO1254" s="2" t="n">
        <f aca="false">ROUND(AB1254-AH1254,9)</f>
        <v>0.268518519</v>
      </c>
      <c r="AP1254" s="2" t="n">
        <f aca="false">ROUND(AC1254-AI1254,9)</f>
        <v>0.37345679</v>
      </c>
      <c r="AQ1254" s="2" t="n">
        <f aca="false">ROUND(AD1254-AJ1254,9)</f>
        <v>0.299382716</v>
      </c>
    </row>
    <row r="1255" customFormat="false" ht="15" hidden="false" customHeight="false" outlineLevel="0" collapsed="false">
      <c r="A1255" s="2" t="n">
        <v>1254</v>
      </c>
      <c r="B1255" s="6" t="n">
        <v>40</v>
      </c>
      <c r="C1255" s="6" t="n">
        <v>46</v>
      </c>
      <c r="D1255" s="8" t="str">
        <f aca="false">INDEX(Bases!$B$2:$B$53,B1255)</f>
        <v>Gastly</v>
      </c>
      <c r="E1255" s="8" t="str">
        <f aca="false">INDEX(Bases!$B$2:$B$53,C1255)</f>
        <v>Houndour</v>
      </c>
      <c r="F1255" s="2" t="str">
        <f aca="false">LEFT(D1255,ROUNDUP(LEN(D1255)/2,0))&amp;LOWER(MID(E1255,ROUNDUP(LEN(E1255)/2,0)+1,20))</f>
        <v>Gasdour</v>
      </c>
      <c r="G1255" s="8" t="str">
        <f aca="false">INDEX(Bases!$C$2:$C$53,B1255)</f>
        <v>Ghost</v>
      </c>
      <c r="H1255" s="8" t="str">
        <f aca="false">IF(INDEX(Bases!$C$2:$C$53,C1255)=G1255,"",INDEX(Bases!$C$2:$C$53,C1255))</f>
        <v>Dark</v>
      </c>
      <c r="I1255" s="8" t="str">
        <f aca="false">IF(INDEX(Bases!$E$2:$E$53,B1255)="","",INDEX(Bases!$E$2:$E$53,B1255))</f>
        <v/>
      </c>
      <c r="J1255" s="8" t="str">
        <f aca="false">IF(INDEX(Bases!$E$2:$E$53,C1255)="","",INDEX(Bases!$E$2:$E$53,C1255))</f>
        <v/>
      </c>
      <c r="K1255" s="5"/>
      <c r="L1255" s="2" t="n">
        <f aca="false">AE1255+IF(SUMPRODUCT(--($AL1255:$AQ1255&gt;AL1255))&lt;$AK1255,1,0)</f>
        <v>59</v>
      </c>
      <c r="M1255" s="2" t="n">
        <f aca="false">AF1255+IF(SUMPRODUCT(--($AL1255:$AQ1255&gt;AM1255))+SUMPRODUCT(--($AL1255:AL1255=AM1255))&lt;$AK1255,1,0)</f>
        <v>76</v>
      </c>
      <c r="N1255" s="2" t="n">
        <f aca="false">AG1255+IF(SUMPRODUCT(--($AL1255:$AQ1255&gt;AN1255))+SUMPRODUCT(--($AL1255:AM1255=AN1255))&lt;$AK1255,1,0)</f>
        <v>45</v>
      </c>
      <c r="O1255" s="2" t="n">
        <f aca="false">AH1255+IF(SUMPRODUCT(--($AL1255:$AQ1255&gt;AO1255))+SUMPRODUCT(--($AL1255:AN1255=AO1255))&lt;$AK1255,1,0)</f>
        <v>141</v>
      </c>
      <c r="P1255" s="2" t="n">
        <f aca="false">AI1255+IF(SUMPRODUCT(--($AL1255:$AQ1255&gt;AP1255))+SUMPRODUCT(--($AL1255:AO1255=AP1255))&lt;$AK1255,1,0)</f>
        <v>66</v>
      </c>
      <c r="Q1255" s="2" t="n">
        <f aca="false">AJ1255+IF(SUMPRODUCT(--($AL1255:$AQ1255&gt;AQ1255))+SUMPRODUCT(--($AL1255:AP1255=AQ1255))&lt;$AK1255,1,0)</f>
        <v>113</v>
      </c>
      <c r="R1255" s="2" t="n">
        <f aca="false">SUM(L1255:Q1255)</f>
        <v>500</v>
      </c>
      <c r="S1255" s="2" t="n">
        <f aca="false">Settings!$B$4*MAX(INDEX(Bases!$M$2:$M$53,B1255),INDEX(Bases!$M$2:$M$53,C1255))+Settings!$B$5*MIN(INDEX(Bases!$M$2:$M$53,B1255),INDEX(Bases!$M$2:$M$53,C1255))</f>
        <v>49</v>
      </c>
      <c r="T1255" s="2" t="n">
        <f aca="false">Settings!$B$4*MAX(INDEX(Bases!$N$2:$N$53,B1255),INDEX(Bases!$N$2:$N$53,C1255))+Settings!$B$5*MIN(INDEX(Bases!$N$2:$N$53,B1255),INDEX(Bases!$N$2:$N$53,C1255))</f>
        <v>63.6666666666667</v>
      </c>
      <c r="U1255" s="2" t="n">
        <f aca="false">Settings!$B$4*MAX(INDEX(Bases!$O$2:$O$53,B1255),INDEX(Bases!$O$2:$O$53,C1255))+Settings!$B$5*MIN(INDEX(Bases!$O$2:$O$53,B1255),INDEX(Bases!$O$2:$O$53,C1255))</f>
        <v>38</v>
      </c>
      <c r="V1255" s="2" t="n">
        <f aca="false">Settings!$B$4*MAX(INDEX(Bases!$P$2:$P$53,B1255),INDEX(Bases!$P$2:$P$53,C1255))+Settings!$B$5*MIN(INDEX(Bases!$P$2:$P$53,B1255),INDEX(Bases!$P$2:$P$53,C1255))</f>
        <v>118.333333333333</v>
      </c>
      <c r="W1255" s="2" t="n">
        <f aca="false">Settings!$B$4*MAX(INDEX(Bases!$Q$2:$Q$53,B1255),INDEX(Bases!$Q$2:$Q$53,C1255))+Settings!$B$5*MIN(INDEX(Bases!$Q$2:$Q$53,B1255),INDEX(Bases!$Q$2:$Q$53,C1255))</f>
        <v>55.6666666666667</v>
      </c>
      <c r="X1255" s="2" t="n">
        <f aca="false">Settings!$B$4*MAX(INDEX(Bases!$R$2:$R$53,B1255),INDEX(Bases!$R$2:$R$53,C1255))+Settings!$B$5*MIN(INDEX(Bases!$R$2:$R$53,B1255),INDEX(Bases!$R$2:$R$53,C1255))</f>
        <v>95</v>
      </c>
      <c r="Y1255" s="2" t="n">
        <f aca="false">S1255*Settings!$B$3/SUM(S1255:X1255)</f>
        <v>58.3796664019063</v>
      </c>
      <c r="Z1255" s="2" t="n">
        <f aca="false">T1255*Settings!$B$3/SUM(S1255:X1255)</f>
        <v>75.8538522637013</v>
      </c>
      <c r="AA1255" s="2" t="n">
        <f aca="false">U1255*Settings!$B$3/SUM(S1255:X1255)</f>
        <v>45.27402700556</v>
      </c>
      <c r="AB1255" s="2" t="n">
        <f aca="false">V1255*Settings!$B$3/SUM(S1255:X1255)</f>
        <v>140.984908657665</v>
      </c>
      <c r="AC1255" s="2" t="n">
        <f aca="false">W1255*Settings!$B$3/SUM(S1255:X1255)</f>
        <v>66.3224781572677</v>
      </c>
      <c r="AD1255" s="2" t="n">
        <f aca="false">X1255*Settings!$B$3/SUM(S1255:X1255)</f>
        <v>113.1850675139</v>
      </c>
      <c r="AE1255" s="2" t="n">
        <f aca="false">INT(Y1255)</f>
        <v>58</v>
      </c>
      <c r="AF1255" s="2" t="n">
        <f aca="false">INT(Z1255)</f>
        <v>75</v>
      </c>
      <c r="AG1255" s="2" t="n">
        <f aca="false">INT(AA1255)</f>
        <v>45</v>
      </c>
      <c r="AH1255" s="2" t="n">
        <f aca="false">INT(AB1255)</f>
        <v>140</v>
      </c>
      <c r="AI1255" s="2" t="n">
        <f aca="false">INT(AC1255)</f>
        <v>66</v>
      </c>
      <c r="AJ1255" s="2" t="n">
        <f aca="false">INT(AD1255)</f>
        <v>113</v>
      </c>
      <c r="AK1255" s="2" t="n">
        <f aca="false">Settings!$B$3-SUM(AE1255:AJ1255)</f>
        <v>3</v>
      </c>
      <c r="AL1255" s="2" t="n">
        <f aca="false">ROUND(Y1255-AE1255,9)</f>
        <v>0.379666402</v>
      </c>
      <c r="AM1255" s="2" t="n">
        <f aca="false">ROUND(Z1255-AF1255,9)</f>
        <v>0.853852264</v>
      </c>
      <c r="AN1255" s="2" t="n">
        <f aca="false">ROUND(AA1255-AG1255,9)</f>
        <v>0.274027006</v>
      </c>
      <c r="AO1255" s="2" t="n">
        <f aca="false">ROUND(AB1255-AH1255,9)</f>
        <v>0.984908658</v>
      </c>
      <c r="AP1255" s="2" t="n">
        <f aca="false">ROUND(AC1255-AI1255,9)</f>
        <v>0.322478157</v>
      </c>
      <c r="AQ1255" s="2" t="n">
        <f aca="false">ROUND(AD1255-AJ1255,9)</f>
        <v>0.185067514</v>
      </c>
    </row>
    <row r="1256" customFormat="false" ht="15" hidden="false" customHeight="false" outlineLevel="0" collapsed="false">
      <c r="A1256" s="2" t="n">
        <v>1255</v>
      </c>
      <c r="B1256" s="6" t="n">
        <v>40</v>
      </c>
      <c r="C1256" s="6" t="n">
        <v>47</v>
      </c>
      <c r="D1256" s="8" t="str">
        <f aca="false">INDEX(Bases!$B$2:$B$53,B1256)</f>
        <v>Gastly</v>
      </c>
      <c r="E1256" s="8" t="str">
        <f aca="false">INDEX(Bases!$B$2:$B$53,C1256)</f>
        <v>Carvanha</v>
      </c>
      <c r="F1256" s="2" t="str">
        <f aca="false">LEFT(D1256,ROUNDUP(LEN(D1256)/2,0))&amp;LOWER(MID(E1256,ROUNDUP(LEN(E1256)/2,0)+1,20))</f>
        <v>Gasanha</v>
      </c>
      <c r="G1256" s="8" t="str">
        <f aca="false">INDEX(Bases!$C$2:$C$53,B1256)</f>
        <v>Ghost</v>
      </c>
      <c r="H1256" s="8" t="str">
        <f aca="false">IF(INDEX(Bases!$C$2:$C$53,C1256)=G1256,"",INDEX(Bases!$C$2:$C$53,C1256))</f>
        <v>Dark</v>
      </c>
      <c r="I1256" s="8" t="str">
        <f aca="false">IF(INDEX(Bases!$E$2:$E$53,B1256)="","",INDEX(Bases!$E$2:$E$53,B1256))</f>
        <v/>
      </c>
      <c r="J1256" s="8" t="str">
        <f aca="false">IF(INDEX(Bases!$E$2:$E$53,C1256)="","",INDEX(Bases!$E$2:$E$53,C1256))</f>
        <v/>
      </c>
      <c r="K1256" s="5"/>
      <c r="L1256" s="2" t="n">
        <f aca="false">AE1256+IF(SUMPRODUCT(--($AL1256:$AQ1256&gt;AL1256))&lt;$AK1256,1,0)</f>
        <v>61</v>
      </c>
      <c r="M1256" s="2" t="n">
        <f aca="false">AF1256+IF(SUMPRODUCT(--($AL1256:$AQ1256&gt;AM1256))+SUMPRODUCT(--($AL1256:AL1256=AM1256))&lt;$AK1256,1,0)</f>
        <v>109</v>
      </c>
      <c r="N1256" s="2" t="n">
        <f aca="false">AG1256+IF(SUMPRODUCT(--($AL1256:$AQ1256&gt;AN1256))+SUMPRODUCT(--($AL1256:AM1256=AN1256))&lt;$AK1256,1,0)</f>
        <v>40</v>
      </c>
      <c r="O1256" s="2" t="n">
        <f aca="false">AH1256+IF(SUMPRODUCT(--($AL1256:$AQ1256&gt;AO1256))+SUMPRODUCT(--($AL1256:AN1256=AO1256))&lt;$AK1256,1,0)</f>
        <v>133</v>
      </c>
      <c r="P1256" s="2" t="n">
        <f aca="false">AI1256+IF(SUMPRODUCT(--($AL1256:$AQ1256&gt;AP1256))+SUMPRODUCT(--($AL1256:AO1256=AP1256))&lt;$AK1256,1,0)</f>
        <v>45</v>
      </c>
      <c r="Q1256" s="2" t="n">
        <f aca="false">AJ1256+IF(SUMPRODUCT(--($AL1256:$AQ1256&gt;AQ1256))+SUMPRODUCT(--($AL1256:AP1256=AQ1256))&lt;$AK1256,1,0)</f>
        <v>112</v>
      </c>
      <c r="R1256" s="2" t="n">
        <f aca="false">SUM(L1256:Q1256)</f>
        <v>500</v>
      </c>
      <c r="S1256" s="2" t="n">
        <f aca="false">Settings!$B$4*MAX(INDEX(Bases!$M$2:$M$53,B1256),INDEX(Bases!$M$2:$M$53,C1256))+Settings!$B$5*MIN(INDEX(Bases!$M$2:$M$53,B1256),INDEX(Bases!$M$2:$M$53,C1256))</f>
        <v>52.3333333333333</v>
      </c>
      <c r="T1256" s="2" t="n">
        <f aca="false">Settings!$B$4*MAX(INDEX(Bases!$N$2:$N$53,B1256),INDEX(Bases!$N$2:$N$53,C1256))+Settings!$B$5*MIN(INDEX(Bases!$N$2:$N$53,B1256),INDEX(Bases!$N$2:$N$53,C1256))</f>
        <v>93.6666666666667</v>
      </c>
      <c r="U1256" s="2" t="n">
        <f aca="false">Settings!$B$4*MAX(INDEX(Bases!$O$2:$O$53,B1256),INDEX(Bases!$O$2:$O$53,C1256))+Settings!$B$5*MIN(INDEX(Bases!$O$2:$O$53,B1256),INDEX(Bases!$O$2:$O$53,C1256))</f>
        <v>34.6666666666667</v>
      </c>
      <c r="V1256" s="2" t="n">
        <f aca="false">Settings!$B$4*MAX(INDEX(Bases!$P$2:$P$53,B1256),INDEX(Bases!$P$2:$P$53,C1256))+Settings!$B$5*MIN(INDEX(Bases!$P$2:$P$53,B1256),INDEX(Bases!$P$2:$P$53,C1256))</f>
        <v>114.666666666667</v>
      </c>
      <c r="W1256" s="2" t="n">
        <f aca="false">Settings!$B$4*MAX(INDEX(Bases!$Q$2:$Q$53,B1256),INDEX(Bases!$Q$2:$Q$53,C1256))+Settings!$B$5*MIN(INDEX(Bases!$Q$2:$Q$53,B1256),INDEX(Bases!$Q$2:$Q$53,C1256))</f>
        <v>38.6666666666667</v>
      </c>
      <c r="X1256" s="2" t="n">
        <f aca="false">Settings!$B$4*MAX(INDEX(Bases!$R$2:$R$53,B1256),INDEX(Bases!$R$2:$R$53,C1256))+Settings!$B$5*MIN(INDEX(Bases!$R$2:$R$53,B1256),INDEX(Bases!$R$2:$R$53,C1256))</f>
        <v>97</v>
      </c>
      <c r="Y1256" s="2" t="n">
        <f aca="false">S1256*Settings!$B$3/SUM(S1256:X1256)</f>
        <v>60.7115235885537</v>
      </c>
      <c r="Z1256" s="2" t="n">
        <f aca="false">T1256*Settings!$B$3/SUM(S1256:X1256)</f>
        <v>108.662026295437</v>
      </c>
      <c r="AA1256" s="2" t="n">
        <f aca="false">U1256*Settings!$B$3/SUM(S1256:X1256)</f>
        <v>40.2165506573859</v>
      </c>
      <c r="AB1256" s="2" t="n">
        <f aca="false">V1256*Settings!$B$3/SUM(S1256:X1256)</f>
        <v>133.023975251353</v>
      </c>
      <c r="AC1256" s="2" t="n">
        <f aca="false">W1256*Settings!$B$3/SUM(S1256:X1256)</f>
        <v>44.8569218870843</v>
      </c>
      <c r="AD1256" s="2" t="n">
        <f aca="false">X1256*Settings!$B$3/SUM(S1256:X1256)</f>
        <v>112.529002320186</v>
      </c>
      <c r="AE1256" s="2" t="n">
        <f aca="false">INT(Y1256)</f>
        <v>60</v>
      </c>
      <c r="AF1256" s="2" t="n">
        <f aca="false">INT(Z1256)</f>
        <v>108</v>
      </c>
      <c r="AG1256" s="2" t="n">
        <f aca="false">INT(AA1256)</f>
        <v>40</v>
      </c>
      <c r="AH1256" s="2" t="n">
        <f aca="false">INT(AB1256)</f>
        <v>133</v>
      </c>
      <c r="AI1256" s="2" t="n">
        <f aca="false">INT(AC1256)</f>
        <v>44</v>
      </c>
      <c r="AJ1256" s="2" t="n">
        <f aca="false">INT(AD1256)</f>
        <v>112</v>
      </c>
      <c r="AK1256" s="2" t="n">
        <f aca="false">Settings!$B$3-SUM(AE1256:AJ1256)</f>
        <v>3</v>
      </c>
      <c r="AL1256" s="2" t="n">
        <f aca="false">ROUND(Y1256-AE1256,9)</f>
        <v>0.711523589</v>
      </c>
      <c r="AM1256" s="2" t="n">
        <f aca="false">ROUND(Z1256-AF1256,9)</f>
        <v>0.662026295</v>
      </c>
      <c r="AN1256" s="2" t="n">
        <f aca="false">ROUND(AA1256-AG1256,9)</f>
        <v>0.216550657</v>
      </c>
      <c r="AO1256" s="2" t="n">
        <f aca="false">ROUND(AB1256-AH1256,9)</f>
        <v>0.023975251</v>
      </c>
      <c r="AP1256" s="2" t="n">
        <f aca="false">ROUND(AC1256-AI1256,9)</f>
        <v>0.856921887</v>
      </c>
      <c r="AQ1256" s="2" t="n">
        <f aca="false">ROUND(AD1256-AJ1256,9)</f>
        <v>0.52900232</v>
      </c>
    </row>
    <row r="1257" customFormat="false" ht="15" hidden="false" customHeight="false" outlineLevel="0" collapsed="false">
      <c r="A1257" s="2" t="n">
        <v>1256</v>
      </c>
      <c r="B1257" s="6" t="n">
        <v>40</v>
      </c>
      <c r="C1257" s="6" t="n">
        <v>48</v>
      </c>
      <c r="D1257" s="8" t="str">
        <f aca="false">INDEX(Bases!$B$2:$B$53,B1257)</f>
        <v>Gastly</v>
      </c>
      <c r="E1257" s="8" t="str">
        <f aca="false">INDEX(Bases!$B$2:$B$53,C1257)</f>
        <v>Magnemite</v>
      </c>
      <c r="F1257" s="2" t="str">
        <f aca="false">LEFT(D1257,ROUNDUP(LEN(D1257)/2,0))&amp;LOWER(MID(E1257,ROUNDUP(LEN(E1257)/2,0)+1,20))</f>
        <v>Gasmite</v>
      </c>
      <c r="G1257" s="8" t="str">
        <f aca="false">INDEX(Bases!$C$2:$C$53,B1257)</f>
        <v>Ghost</v>
      </c>
      <c r="H1257" s="8" t="str">
        <f aca="false">IF(INDEX(Bases!$C$2:$C$53,C1257)=G1257,"",INDEX(Bases!$C$2:$C$53,C1257))</f>
        <v>Steel</v>
      </c>
      <c r="I1257" s="8" t="str">
        <f aca="false">IF(INDEX(Bases!$E$2:$E$53,B1257)="","",INDEX(Bases!$E$2:$E$53,B1257))</f>
        <v/>
      </c>
      <c r="J1257" s="8" t="str">
        <f aca="false">IF(INDEX(Bases!$E$2:$E$53,C1257)="","",INDEX(Bases!$E$2:$E$53,C1257))</f>
        <v/>
      </c>
      <c r="K1257" s="5"/>
      <c r="L1257" s="2" t="n">
        <f aca="false">AE1257+IF(SUMPRODUCT(--($AL1257:$AQ1257&gt;AL1257))&lt;$AK1257,1,0)</f>
        <v>43</v>
      </c>
      <c r="M1257" s="2" t="n">
        <f aca="false">AF1257+IF(SUMPRODUCT(--($AL1257:$AQ1257&gt;AM1257))+SUMPRODUCT(--($AL1257:AL1257=AM1257))&lt;$AK1257,1,0)</f>
        <v>52</v>
      </c>
      <c r="N1257" s="2" t="n">
        <f aca="false">AG1257+IF(SUMPRODUCT(--($AL1257:$AQ1257&gt;AN1257))+SUMPRODUCT(--($AL1257:AM1257=AN1257))&lt;$AK1257,1,0)</f>
        <v>83</v>
      </c>
      <c r="O1257" s="2" t="n">
        <f aca="false">AH1257+IF(SUMPRODUCT(--($AL1257:$AQ1257&gt;AO1257))+SUMPRODUCT(--($AL1257:AN1257=AO1257))&lt;$AK1257,1,0)</f>
        <v>148</v>
      </c>
      <c r="P1257" s="2" t="n">
        <f aca="false">AI1257+IF(SUMPRODUCT(--($AL1257:$AQ1257&gt;AP1257))+SUMPRODUCT(--($AL1257:AO1257=AP1257))&lt;$AK1257,1,0)</f>
        <v>71</v>
      </c>
      <c r="Q1257" s="2" t="n">
        <f aca="false">AJ1257+IF(SUMPRODUCT(--($AL1257:$AQ1257&gt;AQ1257))+SUMPRODUCT(--($AL1257:AP1257=AQ1257))&lt;$AK1257,1,0)</f>
        <v>103</v>
      </c>
      <c r="R1257" s="2" t="n">
        <f aca="false">SUM(L1257:Q1257)</f>
        <v>500</v>
      </c>
      <c r="S1257" s="2" t="n">
        <f aca="false">Settings!$B$4*MAX(INDEX(Bases!$M$2:$M$53,B1257),INDEX(Bases!$M$2:$M$53,C1257))+Settings!$B$5*MIN(INDEX(Bases!$M$2:$M$53,B1257),INDEX(Bases!$M$2:$M$53,C1257))</f>
        <v>36.3333333333333</v>
      </c>
      <c r="T1257" s="2" t="n">
        <f aca="false">Settings!$B$4*MAX(INDEX(Bases!$N$2:$N$53,B1257),INDEX(Bases!$N$2:$N$53,C1257))+Settings!$B$5*MIN(INDEX(Bases!$N$2:$N$53,B1257),INDEX(Bases!$N$2:$N$53,C1257))</f>
        <v>44.3333333333333</v>
      </c>
      <c r="U1257" s="2" t="n">
        <f aca="false">Settings!$B$4*MAX(INDEX(Bases!$O$2:$O$53,B1257),INDEX(Bases!$O$2:$O$53,C1257))+Settings!$B$5*MIN(INDEX(Bases!$O$2:$O$53,B1257),INDEX(Bases!$O$2:$O$53,C1257))</f>
        <v>70.3333333333333</v>
      </c>
      <c r="V1257" s="2" t="n">
        <f aca="false">Settings!$B$4*MAX(INDEX(Bases!$P$2:$P$53,B1257),INDEX(Bases!$P$2:$P$53,C1257))+Settings!$B$5*MIN(INDEX(Bases!$P$2:$P$53,B1257),INDEX(Bases!$P$2:$P$53,C1257))</f>
        <v>125</v>
      </c>
      <c r="W1257" s="2" t="n">
        <f aca="false">Settings!$B$4*MAX(INDEX(Bases!$Q$2:$Q$53,B1257),INDEX(Bases!$Q$2:$Q$53,C1257))+Settings!$B$5*MIN(INDEX(Bases!$Q$2:$Q$53,B1257),INDEX(Bases!$Q$2:$Q$53,C1257))</f>
        <v>60.3333333333333</v>
      </c>
      <c r="X1257" s="2" t="n">
        <f aca="false">Settings!$B$4*MAX(INDEX(Bases!$R$2:$R$53,B1257),INDEX(Bases!$R$2:$R$53,C1257))+Settings!$B$5*MIN(INDEX(Bases!$R$2:$R$53,B1257),INDEX(Bases!$R$2:$R$53,C1257))</f>
        <v>87</v>
      </c>
      <c r="Y1257" s="2" t="n">
        <f aca="false">S1257*Settings!$B$3/SUM(S1257:X1257)</f>
        <v>42.9133858267717</v>
      </c>
      <c r="Z1257" s="2" t="n">
        <f aca="false">T1257*Settings!$B$3/SUM(S1257:X1257)</f>
        <v>52.3622047244095</v>
      </c>
      <c r="AA1257" s="2" t="n">
        <f aca="false">U1257*Settings!$B$3/SUM(S1257:X1257)</f>
        <v>83.0708661417323</v>
      </c>
      <c r="AB1257" s="2" t="n">
        <f aca="false">V1257*Settings!$B$3/SUM(S1257:X1257)</f>
        <v>147.637795275591</v>
      </c>
      <c r="AC1257" s="2" t="n">
        <f aca="false">W1257*Settings!$B$3/SUM(S1257:X1257)</f>
        <v>71.259842519685</v>
      </c>
      <c r="AD1257" s="2" t="n">
        <f aca="false">X1257*Settings!$B$3/SUM(S1257:X1257)</f>
        <v>102.755905511811</v>
      </c>
      <c r="AE1257" s="2" t="n">
        <f aca="false">INT(Y1257)</f>
        <v>42</v>
      </c>
      <c r="AF1257" s="2" t="n">
        <f aca="false">INT(Z1257)</f>
        <v>52</v>
      </c>
      <c r="AG1257" s="2" t="n">
        <f aca="false">INT(AA1257)</f>
        <v>83</v>
      </c>
      <c r="AH1257" s="2" t="n">
        <f aca="false">INT(AB1257)</f>
        <v>147</v>
      </c>
      <c r="AI1257" s="2" t="n">
        <f aca="false">INT(AC1257)</f>
        <v>71</v>
      </c>
      <c r="AJ1257" s="2" t="n">
        <f aca="false">INT(AD1257)</f>
        <v>102</v>
      </c>
      <c r="AK1257" s="2" t="n">
        <f aca="false">Settings!$B$3-SUM(AE1257:AJ1257)</f>
        <v>3</v>
      </c>
      <c r="AL1257" s="2" t="n">
        <f aca="false">ROUND(Y1257-AE1257,9)</f>
        <v>0.913385827</v>
      </c>
      <c r="AM1257" s="2" t="n">
        <f aca="false">ROUND(Z1257-AF1257,9)</f>
        <v>0.362204724</v>
      </c>
      <c r="AN1257" s="2" t="n">
        <f aca="false">ROUND(AA1257-AG1257,9)</f>
        <v>0.070866142</v>
      </c>
      <c r="AO1257" s="2" t="n">
        <f aca="false">ROUND(AB1257-AH1257,9)</f>
        <v>0.637795276</v>
      </c>
      <c r="AP1257" s="2" t="n">
        <f aca="false">ROUND(AC1257-AI1257,9)</f>
        <v>0.25984252</v>
      </c>
      <c r="AQ1257" s="2" t="n">
        <f aca="false">ROUND(AD1257-AJ1257,9)</f>
        <v>0.755905512</v>
      </c>
    </row>
    <row r="1258" customFormat="false" ht="15" hidden="false" customHeight="false" outlineLevel="0" collapsed="false">
      <c r="A1258" s="2" t="n">
        <v>1257</v>
      </c>
      <c r="B1258" s="6" t="n">
        <v>40</v>
      </c>
      <c r="C1258" s="6" t="n">
        <v>49</v>
      </c>
      <c r="D1258" s="8" t="str">
        <f aca="false">INDEX(Bases!$B$2:$B$53,B1258)</f>
        <v>Gastly</v>
      </c>
      <c r="E1258" s="8" t="str">
        <f aca="false">INDEX(Bases!$B$2:$B$53,C1258)</f>
        <v>Aron</v>
      </c>
      <c r="F1258" s="2" t="str">
        <f aca="false">LEFT(D1258,ROUNDUP(LEN(D1258)/2,0))&amp;LOWER(MID(E1258,ROUNDUP(LEN(E1258)/2,0)+1,20))</f>
        <v>Gason</v>
      </c>
      <c r="G1258" s="8" t="str">
        <f aca="false">INDEX(Bases!$C$2:$C$53,B1258)</f>
        <v>Ghost</v>
      </c>
      <c r="H1258" s="8" t="str">
        <f aca="false">IF(INDEX(Bases!$C$2:$C$53,C1258)=G1258,"",INDEX(Bases!$C$2:$C$53,C1258))</f>
        <v>Steel</v>
      </c>
      <c r="I1258" s="8" t="str">
        <f aca="false">IF(INDEX(Bases!$E$2:$E$53,B1258)="","",INDEX(Bases!$E$2:$E$53,B1258))</f>
        <v/>
      </c>
      <c r="J1258" s="8" t="str">
        <f aca="false">IF(INDEX(Bases!$E$2:$E$53,C1258)="","",INDEX(Bases!$E$2:$E$53,C1258))</f>
        <v/>
      </c>
      <c r="K1258" s="5"/>
      <c r="L1258" s="2" t="n">
        <f aca="false">AE1258+IF(SUMPRODUCT(--($AL1258:$AQ1258&gt;AL1258))&lt;$AK1258,1,0)</f>
        <v>60</v>
      </c>
      <c r="M1258" s="2" t="n">
        <f aca="false">AF1258+IF(SUMPRODUCT(--($AL1258:$AQ1258&gt;AM1258))+SUMPRODUCT(--($AL1258:AL1258=AM1258))&lt;$AK1258,1,0)</f>
        <v>80</v>
      </c>
      <c r="N1258" s="2" t="n">
        <f aca="false">AG1258+IF(SUMPRODUCT(--($AL1258:$AQ1258&gt;AN1258))+SUMPRODUCT(--($AL1258:AM1258=AN1258))&lt;$AK1258,1,0)</f>
        <v>104</v>
      </c>
      <c r="O1258" s="2" t="n">
        <f aca="false">AH1258+IF(SUMPRODUCT(--($AL1258:$AQ1258&gt;AO1258))+SUMPRODUCT(--($AL1258:AN1258=AO1258))&lt;$AK1258,1,0)</f>
        <v>114</v>
      </c>
      <c r="P1258" s="2" t="n">
        <f aca="false">AI1258+IF(SUMPRODUCT(--($AL1258:$AQ1258&gt;AP1258))+SUMPRODUCT(--($AL1258:AO1258=AP1258))&lt;$AK1258,1,0)</f>
        <v>52</v>
      </c>
      <c r="Q1258" s="2" t="n">
        <f aca="false">AJ1258+IF(SUMPRODUCT(--($AL1258:$AQ1258&gt;AQ1258))+SUMPRODUCT(--($AL1258:AP1258=AQ1258))&lt;$AK1258,1,0)</f>
        <v>90</v>
      </c>
      <c r="R1258" s="2" t="n">
        <f aca="false">SUM(L1258:Q1258)</f>
        <v>500</v>
      </c>
      <c r="S1258" s="2" t="n">
        <f aca="false">Settings!$B$4*MAX(INDEX(Bases!$M$2:$M$53,B1258),INDEX(Bases!$M$2:$M$53,C1258))+Settings!$B$5*MIN(INDEX(Bases!$M$2:$M$53,B1258),INDEX(Bases!$M$2:$M$53,C1258))</f>
        <v>53.6666666666667</v>
      </c>
      <c r="T1258" s="2" t="n">
        <f aca="false">Settings!$B$4*MAX(INDEX(Bases!$N$2:$N$53,B1258),INDEX(Bases!$N$2:$N$53,C1258))+Settings!$B$5*MIN(INDEX(Bases!$N$2:$N$53,B1258),INDEX(Bases!$N$2:$N$53,C1258))</f>
        <v>71.6666666666667</v>
      </c>
      <c r="U1258" s="2" t="n">
        <f aca="false">Settings!$B$4*MAX(INDEX(Bases!$O$2:$O$53,B1258),INDEX(Bases!$O$2:$O$53,C1258))+Settings!$B$5*MIN(INDEX(Bases!$O$2:$O$53,B1258),INDEX(Bases!$O$2:$O$53,C1258))</f>
        <v>93.6666666666667</v>
      </c>
      <c r="V1258" s="2" t="n">
        <f aca="false">Settings!$B$4*MAX(INDEX(Bases!$P$2:$P$53,B1258),INDEX(Bases!$P$2:$P$53,C1258))+Settings!$B$5*MIN(INDEX(Bases!$P$2:$P$53,B1258),INDEX(Bases!$P$2:$P$53,C1258))</f>
        <v>102.333333333333</v>
      </c>
      <c r="W1258" s="2" t="n">
        <f aca="false">Settings!$B$4*MAX(INDEX(Bases!$Q$2:$Q$53,B1258),INDEX(Bases!$Q$2:$Q$53,C1258))+Settings!$B$5*MIN(INDEX(Bases!$Q$2:$Q$53,B1258),INDEX(Bases!$Q$2:$Q$53,C1258))</f>
        <v>47</v>
      </c>
      <c r="X1258" s="2" t="n">
        <f aca="false">Settings!$B$4*MAX(INDEX(Bases!$R$2:$R$53,B1258),INDEX(Bases!$R$2:$R$53,C1258))+Settings!$B$5*MIN(INDEX(Bases!$R$2:$R$53,B1258),INDEX(Bases!$R$2:$R$53,C1258))</f>
        <v>80.6666666666667</v>
      </c>
      <c r="Y1258" s="2" t="n">
        <f aca="false">S1258*Settings!$B$3/SUM(S1258:X1258)</f>
        <v>59.7624350408315</v>
      </c>
      <c r="Z1258" s="2" t="n">
        <f aca="false">T1258*Settings!$B$3/SUM(S1258:X1258)</f>
        <v>79.8069784706756</v>
      </c>
      <c r="AA1258" s="2" t="n">
        <f aca="false">U1258*Settings!$B$3/SUM(S1258:X1258)</f>
        <v>104.305864884929</v>
      </c>
      <c r="AB1258" s="2" t="n">
        <f aca="false">V1258*Settings!$B$3/SUM(S1258:X1258)</f>
        <v>113.956941351151</v>
      </c>
      <c r="AC1258" s="2" t="n">
        <f aca="false">W1258*Settings!$B$3/SUM(S1258:X1258)</f>
        <v>52.3385300668151</v>
      </c>
      <c r="AD1258" s="2" t="n">
        <f aca="false">X1258*Settings!$B$3/SUM(S1258:X1258)</f>
        <v>89.8292501855976</v>
      </c>
      <c r="AE1258" s="2" t="n">
        <f aca="false">INT(Y1258)</f>
        <v>59</v>
      </c>
      <c r="AF1258" s="2" t="n">
        <f aca="false">INT(Z1258)</f>
        <v>79</v>
      </c>
      <c r="AG1258" s="2" t="n">
        <f aca="false">INT(AA1258)</f>
        <v>104</v>
      </c>
      <c r="AH1258" s="2" t="n">
        <f aca="false">INT(AB1258)</f>
        <v>113</v>
      </c>
      <c r="AI1258" s="2" t="n">
        <f aca="false">INT(AC1258)</f>
        <v>52</v>
      </c>
      <c r="AJ1258" s="2" t="n">
        <f aca="false">INT(AD1258)</f>
        <v>89</v>
      </c>
      <c r="AK1258" s="2" t="n">
        <f aca="false">Settings!$B$3-SUM(AE1258:AJ1258)</f>
        <v>4</v>
      </c>
      <c r="AL1258" s="2" t="n">
        <f aca="false">ROUND(Y1258-AE1258,9)</f>
        <v>0.762435041</v>
      </c>
      <c r="AM1258" s="2" t="n">
        <f aca="false">ROUND(Z1258-AF1258,9)</f>
        <v>0.806978471</v>
      </c>
      <c r="AN1258" s="2" t="n">
        <f aca="false">ROUND(AA1258-AG1258,9)</f>
        <v>0.305864885</v>
      </c>
      <c r="AO1258" s="2" t="n">
        <f aca="false">ROUND(AB1258-AH1258,9)</f>
        <v>0.956941351</v>
      </c>
      <c r="AP1258" s="2" t="n">
        <f aca="false">ROUND(AC1258-AI1258,9)</f>
        <v>0.338530067</v>
      </c>
      <c r="AQ1258" s="2" t="n">
        <f aca="false">ROUND(AD1258-AJ1258,9)</f>
        <v>0.829250186</v>
      </c>
    </row>
    <row r="1259" customFormat="false" ht="15" hidden="false" customHeight="false" outlineLevel="0" collapsed="false">
      <c r="A1259" s="2" t="n">
        <v>1258</v>
      </c>
      <c r="B1259" s="6" t="n">
        <v>40</v>
      </c>
      <c r="C1259" s="6" t="n">
        <v>50</v>
      </c>
      <c r="D1259" s="8" t="str">
        <f aca="false">INDEX(Bases!$B$2:$B$53,B1259)</f>
        <v>Gastly</v>
      </c>
      <c r="E1259" s="8" t="str">
        <f aca="false">INDEX(Bases!$B$2:$B$53,C1259)</f>
        <v>Beldum</v>
      </c>
      <c r="F1259" s="2" t="str">
        <f aca="false">LEFT(D1259,ROUNDUP(LEN(D1259)/2,0))&amp;LOWER(MID(E1259,ROUNDUP(LEN(E1259)/2,0)+1,20))</f>
        <v>Gasdum</v>
      </c>
      <c r="G1259" s="8" t="str">
        <f aca="false">INDEX(Bases!$C$2:$C$53,B1259)</f>
        <v>Ghost</v>
      </c>
      <c r="H1259" s="8" t="str">
        <f aca="false">IF(INDEX(Bases!$C$2:$C$53,C1259)=G1259,"",INDEX(Bases!$C$2:$C$53,C1259))</f>
        <v>Steel</v>
      </c>
      <c r="I1259" s="8" t="str">
        <f aca="false">IF(INDEX(Bases!$E$2:$E$53,B1259)="","",INDEX(Bases!$E$2:$E$53,B1259))</f>
        <v/>
      </c>
      <c r="J1259" s="8" t="str">
        <f aca="false">IF(INDEX(Bases!$E$2:$E$53,C1259)="","",INDEX(Bases!$E$2:$E$53,C1259))</f>
        <v/>
      </c>
      <c r="K1259" s="5"/>
      <c r="L1259" s="2" t="n">
        <f aca="false">AE1259+IF(SUMPRODUCT(--($AL1259:$AQ1259&gt;AL1259))&lt;$AK1259,1,0)</f>
        <v>54</v>
      </c>
      <c r="M1259" s="2" t="n">
        <f aca="false">AF1259+IF(SUMPRODUCT(--($AL1259:$AQ1259&gt;AM1259))+SUMPRODUCT(--($AL1259:AL1259=AM1259))&lt;$AK1259,1,0)</f>
        <v>71</v>
      </c>
      <c r="N1259" s="2" t="n">
        <f aca="false">AG1259+IF(SUMPRODUCT(--($AL1259:$AQ1259&gt;AN1259))+SUMPRODUCT(--($AL1259:AM1259=AN1259))&lt;$AK1259,1,0)</f>
        <v>94</v>
      </c>
      <c r="O1259" s="2" t="n">
        <f aca="false">AH1259+IF(SUMPRODUCT(--($AL1259:$AQ1259&gt;AO1259))+SUMPRODUCT(--($AL1259:AN1259=AO1259))&lt;$AK1259,1,0)</f>
        <v>113</v>
      </c>
      <c r="P1259" s="2" t="n">
        <f aca="false">AI1259+IF(SUMPRODUCT(--($AL1259:$AQ1259&gt;AP1259))+SUMPRODUCT(--($AL1259:AO1259=AP1259))&lt;$AK1259,1,0)</f>
        <v>76</v>
      </c>
      <c r="Q1259" s="2" t="n">
        <f aca="false">AJ1259+IF(SUMPRODUCT(--($AL1259:$AQ1259&gt;AQ1259))+SUMPRODUCT(--($AL1259:AP1259=AQ1259))&lt;$AK1259,1,0)</f>
        <v>92</v>
      </c>
      <c r="R1259" s="2" t="n">
        <f aca="false">SUM(L1259:Q1259)</f>
        <v>500</v>
      </c>
      <c r="S1259" s="2" t="n">
        <f aca="false">Settings!$B$4*MAX(INDEX(Bases!$M$2:$M$53,B1259),INDEX(Bases!$M$2:$M$53,C1259))+Settings!$B$5*MIN(INDEX(Bases!$M$2:$M$53,B1259),INDEX(Bases!$M$2:$M$53,C1259))</f>
        <v>48.3333333333333</v>
      </c>
      <c r="T1259" s="2" t="n">
        <f aca="false">Settings!$B$4*MAX(INDEX(Bases!$N$2:$N$53,B1259),INDEX(Bases!$N$2:$N$53,C1259))+Settings!$B$5*MIN(INDEX(Bases!$N$2:$N$53,B1259),INDEX(Bases!$N$2:$N$53,C1259))</f>
        <v>63.6666666666667</v>
      </c>
      <c r="U1259" s="2" t="n">
        <f aca="false">Settings!$B$4*MAX(INDEX(Bases!$O$2:$O$53,B1259),INDEX(Bases!$O$2:$O$53,C1259))+Settings!$B$5*MIN(INDEX(Bases!$O$2:$O$53,B1259),INDEX(Bases!$O$2:$O$53,C1259))</f>
        <v>84.3333333333333</v>
      </c>
      <c r="V1259" s="2" t="n">
        <f aca="false">Settings!$B$4*MAX(INDEX(Bases!$P$2:$P$53,B1259),INDEX(Bases!$P$2:$P$53,C1259))+Settings!$B$5*MIN(INDEX(Bases!$P$2:$P$53,B1259),INDEX(Bases!$P$2:$P$53,C1259))</f>
        <v>101.666666666667</v>
      </c>
      <c r="W1259" s="2" t="n">
        <f aca="false">Settings!$B$4*MAX(INDEX(Bases!$Q$2:$Q$53,B1259),INDEX(Bases!$Q$2:$Q$53,C1259))+Settings!$B$5*MIN(INDEX(Bases!$Q$2:$Q$53,B1259),INDEX(Bases!$Q$2:$Q$53,C1259))</f>
        <v>68.3333333333333</v>
      </c>
      <c r="X1259" s="2" t="n">
        <f aca="false">Settings!$B$4*MAX(INDEX(Bases!$R$2:$R$53,B1259),INDEX(Bases!$R$2:$R$53,C1259))+Settings!$B$5*MIN(INDEX(Bases!$R$2:$R$53,B1259),INDEX(Bases!$R$2:$R$53,C1259))</f>
        <v>82</v>
      </c>
      <c r="Y1259" s="2" t="n">
        <f aca="false">S1259*Settings!$B$3/SUM(S1259:X1259)</f>
        <v>53.9033457249071</v>
      </c>
      <c r="Z1259" s="2" t="n">
        <f aca="false">T1259*Settings!$B$3/SUM(S1259:X1259)</f>
        <v>71.003717472119</v>
      </c>
      <c r="AA1259" s="2" t="n">
        <f aca="false">U1259*Settings!$B$3/SUM(S1259:X1259)</f>
        <v>94.0520446096654</v>
      </c>
      <c r="AB1259" s="2" t="n">
        <f aca="false">V1259*Settings!$B$3/SUM(S1259:X1259)</f>
        <v>113.382899628253</v>
      </c>
      <c r="AC1259" s="2" t="n">
        <f aca="false">W1259*Settings!$B$3/SUM(S1259:X1259)</f>
        <v>76.2081784386617</v>
      </c>
      <c r="AD1259" s="2" t="n">
        <f aca="false">X1259*Settings!$B$3/SUM(S1259:X1259)</f>
        <v>91.4498141263941</v>
      </c>
      <c r="AE1259" s="2" t="n">
        <f aca="false">INT(Y1259)</f>
        <v>53</v>
      </c>
      <c r="AF1259" s="2" t="n">
        <f aca="false">INT(Z1259)</f>
        <v>71</v>
      </c>
      <c r="AG1259" s="2" t="n">
        <f aca="false">INT(AA1259)</f>
        <v>94</v>
      </c>
      <c r="AH1259" s="2" t="n">
        <f aca="false">INT(AB1259)</f>
        <v>113</v>
      </c>
      <c r="AI1259" s="2" t="n">
        <f aca="false">INT(AC1259)</f>
        <v>76</v>
      </c>
      <c r="AJ1259" s="2" t="n">
        <f aca="false">INT(AD1259)</f>
        <v>91</v>
      </c>
      <c r="AK1259" s="2" t="n">
        <f aca="false">Settings!$B$3-SUM(AE1259:AJ1259)</f>
        <v>2</v>
      </c>
      <c r="AL1259" s="2" t="n">
        <f aca="false">ROUND(Y1259-AE1259,9)</f>
        <v>0.903345725</v>
      </c>
      <c r="AM1259" s="2" t="n">
        <f aca="false">ROUND(Z1259-AF1259,9)</f>
        <v>0.003717472</v>
      </c>
      <c r="AN1259" s="2" t="n">
        <f aca="false">ROUND(AA1259-AG1259,9)</f>
        <v>0.05204461</v>
      </c>
      <c r="AO1259" s="2" t="n">
        <f aca="false">ROUND(AB1259-AH1259,9)</f>
        <v>0.382899628</v>
      </c>
      <c r="AP1259" s="2" t="n">
        <f aca="false">ROUND(AC1259-AI1259,9)</f>
        <v>0.208178439</v>
      </c>
      <c r="AQ1259" s="2" t="n">
        <f aca="false">ROUND(AD1259-AJ1259,9)</f>
        <v>0.449814126</v>
      </c>
    </row>
    <row r="1260" customFormat="false" ht="15" hidden="false" customHeight="false" outlineLevel="0" collapsed="false">
      <c r="A1260" s="2" t="n">
        <v>1259</v>
      </c>
      <c r="B1260" s="6" t="n">
        <v>40</v>
      </c>
      <c r="C1260" s="6" t="n">
        <v>51</v>
      </c>
      <c r="D1260" s="8" t="str">
        <f aca="false">INDEX(Bases!$B$2:$B$53,B1260)</f>
        <v>Gastly</v>
      </c>
      <c r="E1260" s="8" t="str">
        <f aca="false">INDEX(Bases!$B$2:$B$53,C1260)</f>
        <v>Cleffa</v>
      </c>
      <c r="F1260" s="2" t="str">
        <f aca="false">LEFT(D1260,ROUNDUP(LEN(D1260)/2,0))&amp;LOWER(MID(E1260,ROUNDUP(LEN(E1260)/2,0)+1,20))</f>
        <v>Gasffa</v>
      </c>
      <c r="G1260" s="8" t="str">
        <f aca="false">INDEX(Bases!$C$2:$C$53,B1260)</f>
        <v>Ghost</v>
      </c>
      <c r="H1260" s="8" t="str">
        <f aca="false">IF(INDEX(Bases!$C$2:$C$53,C1260)=G1260,"",INDEX(Bases!$C$2:$C$53,C1260))</f>
        <v>Fairy</v>
      </c>
      <c r="I1260" s="8" t="str">
        <f aca="false">IF(INDEX(Bases!$E$2:$E$53,B1260)="","",INDEX(Bases!$E$2:$E$53,B1260))</f>
        <v/>
      </c>
      <c r="J1260" s="8" t="str">
        <f aca="false">IF(INDEX(Bases!$E$2:$E$53,C1260)="","",INDEX(Bases!$E$2:$E$53,C1260))</f>
        <v/>
      </c>
      <c r="K1260" s="5"/>
      <c r="L1260" s="2" t="n">
        <f aca="false">AE1260+IF(SUMPRODUCT(--($AL1260:$AQ1260&gt;AL1260))&lt;$AK1260,1,0)</f>
        <v>84</v>
      </c>
      <c r="M1260" s="2" t="n">
        <f aca="false">AF1260+IF(SUMPRODUCT(--($AL1260:$AQ1260&gt;AM1260))+SUMPRODUCT(--($AL1260:AL1260=AM1260))&lt;$AK1260,1,0)</f>
        <v>52</v>
      </c>
      <c r="N1260" s="2" t="n">
        <f aca="false">AG1260+IF(SUMPRODUCT(--($AL1260:$AQ1260&gt;AN1260))+SUMPRODUCT(--($AL1260:AM1260=AN1260))&lt;$AK1260,1,0)</f>
        <v>53</v>
      </c>
      <c r="O1260" s="2" t="n">
        <f aca="false">AH1260+IF(SUMPRODUCT(--($AL1260:$AQ1260&gt;AO1260))+SUMPRODUCT(--($AL1260:AN1260=AO1260))&lt;$AK1260,1,0)</f>
        <v>129</v>
      </c>
      <c r="P1260" s="2" t="n">
        <f aca="false">AI1260+IF(SUMPRODUCT(--($AL1260:$AQ1260&gt;AP1260))+SUMPRODUCT(--($AL1260:AO1260=AP1260))&lt;$AK1260,1,0)</f>
        <v>94</v>
      </c>
      <c r="Q1260" s="2" t="n">
        <f aca="false">AJ1260+IF(SUMPRODUCT(--($AL1260:$AQ1260&gt;AQ1260))+SUMPRODUCT(--($AL1260:AP1260=AQ1260))&lt;$AK1260,1,0)</f>
        <v>88</v>
      </c>
      <c r="R1260" s="2" t="n">
        <f aca="false">SUM(L1260:Q1260)</f>
        <v>500</v>
      </c>
      <c r="S1260" s="2" t="n">
        <f aca="false">Settings!$B$4*MAX(INDEX(Bases!$M$2:$M$53,B1260),INDEX(Bases!$M$2:$M$53,C1260))+Settings!$B$5*MIN(INDEX(Bases!$M$2:$M$53,B1260),INDEX(Bases!$M$2:$M$53,C1260))</f>
        <v>74.3333333333333</v>
      </c>
      <c r="T1260" s="2" t="n">
        <f aca="false">Settings!$B$4*MAX(INDEX(Bases!$N$2:$N$53,B1260),INDEX(Bases!$N$2:$N$53,C1260))+Settings!$B$5*MIN(INDEX(Bases!$N$2:$N$53,B1260),INDEX(Bases!$N$2:$N$53,C1260))</f>
        <v>45.6666666666667</v>
      </c>
      <c r="U1260" s="2" t="n">
        <f aca="false">Settings!$B$4*MAX(INDEX(Bases!$O$2:$O$53,B1260),INDEX(Bases!$O$2:$O$53,C1260))+Settings!$B$5*MIN(INDEX(Bases!$O$2:$O$53,B1260),INDEX(Bases!$O$2:$O$53,C1260))</f>
        <v>47</v>
      </c>
      <c r="V1260" s="2" t="n">
        <f aca="false">Settings!$B$4*MAX(INDEX(Bases!$P$2:$P$53,B1260),INDEX(Bases!$P$2:$P$53,C1260))+Settings!$B$5*MIN(INDEX(Bases!$P$2:$P$53,B1260),INDEX(Bases!$P$2:$P$53,C1260))</f>
        <v>113.666666666667</v>
      </c>
      <c r="W1260" s="2" t="n">
        <f aca="false">Settings!$B$4*MAX(INDEX(Bases!$Q$2:$Q$53,B1260),INDEX(Bases!$Q$2:$Q$53,C1260))+Settings!$B$5*MIN(INDEX(Bases!$Q$2:$Q$53,B1260),INDEX(Bases!$Q$2:$Q$53,C1260))</f>
        <v>82.3333333333333</v>
      </c>
      <c r="X1260" s="2" t="n">
        <f aca="false">Settings!$B$4*MAX(INDEX(Bases!$R$2:$R$53,B1260),INDEX(Bases!$R$2:$R$53,C1260))+Settings!$B$5*MIN(INDEX(Bases!$R$2:$R$53,B1260),INDEX(Bases!$R$2:$R$53,C1260))</f>
        <v>77.6666666666667</v>
      </c>
      <c r="Y1260" s="2" t="n">
        <f aca="false">S1260*Settings!$B$3/SUM(S1260:X1260)</f>
        <v>84.3419062027232</v>
      </c>
      <c r="Z1260" s="2" t="n">
        <f aca="false">T1260*Settings!$B$3/SUM(S1260:X1260)</f>
        <v>51.8154311649017</v>
      </c>
      <c r="AA1260" s="2" t="n">
        <f aca="false">U1260*Settings!$B$3/SUM(S1260:X1260)</f>
        <v>53.3282904689864</v>
      </c>
      <c r="AB1260" s="2" t="n">
        <f aca="false">V1260*Settings!$B$3/SUM(S1260:X1260)</f>
        <v>128.971255673222</v>
      </c>
      <c r="AC1260" s="2" t="n">
        <f aca="false">W1260*Settings!$B$3/SUM(S1260:X1260)</f>
        <v>93.4190620272315</v>
      </c>
      <c r="AD1260" s="2" t="n">
        <f aca="false">X1260*Settings!$B$3/SUM(S1260:X1260)</f>
        <v>88.124054462935</v>
      </c>
      <c r="AE1260" s="2" t="n">
        <f aca="false">INT(Y1260)</f>
        <v>84</v>
      </c>
      <c r="AF1260" s="2" t="n">
        <f aca="false">INT(Z1260)</f>
        <v>51</v>
      </c>
      <c r="AG1260" s="2" t="n">
        <f aca="false">INT(AA1260)</f>
        <v>53</v>
      </c>
      <c r="AH1260" s="2" t="n">
        <f aca="false">INT(AB1260)</f>
        <v>128</v>
      </c>
      <c r="AI1260" s="2" t="n">
        <f aca="false">INT(AC1260)</f>
        <v>93</v>
      </c>
      <c r="AJ1260" s="2" t="n">
        <f aca="false">INT(AD1260)</f>
        <v>88</v>
      </c>
      <c r="AK1260" s="2" t="n">
        <f aca="false">Settings!$B$3-SUM(AE1260:AJ1260)</f>
        <v>3</v>
      </c>
      <c r="AL1260" s="2" t="n">
        <f aca="false">ROUND(Y1260-AE1260,9)</f>
        <v>0.341906203</v>
      </c>
      <c r="AM1260" s="2" t="n">
        <f aca="false">ROUND(Z1260-AF1260,9)</f>
        <v>0.815431165</v>
      </c>
      <c r="AN1260" s="2" t="n">
        <f aca="false">ROUND(AA1260-AG1260,9)</f>
        <v>0.328290469</v>
      </c>
      <c r="AO1260" s="2" t="n">
        <f aca="false">ROUND(AB1260-AH1260,9)</f>
        <v>0.971255673</v>
      </c>
      <c r="AP1260" s="2" t="n">
        <f aca="false">ROUND(AC1260-AI1260,9)</f>
        <v>0.419062027</v>
      </c>
      <c r="AQ1260" s="2" t="n">
        <f aca="false">ROUND(AD1260-AJ1260,9)</f>
        <v>0.124054463</v>
      </c>
    </row>
    <row r="1261" customFormat="false" ht="15" hidden="false" customHeight="false" outlineLevel="0" collapsed="false">
      <c r="A1261" s="2" t="n">
        <v>1260</v>
      </c>
      <c r="B1261" s="6" t="n">
        <v>40</v>
      </c>
      <c r="C1261" s="6" t="n">
        <v>52</v>
      </c>
      <c r="D1261" s="8" t="str">
        <f aca="false">INDEX(Bases!$B$2:$B$53,B1261)</f>
        <v>Gastly</v>
      </c>
      <c r="E1261" s="8" t="str">
        <f aca="false">INDEX(Bases!$B$2:$B$53,C1261)</f>
        <v>Togepi</v>
      </c>
      <c r="F1261" s="2" t="str">
        <f aca="false">LEFT(D1261,ROUNDUP(LEN(D1261)/2,0))&amp;LOWER(MID(E1261,ROUNDUP(LEN(E1261)/2,0)+1,20))</f>
        <v>Gasepi</v>
      </c>
      <c r="G1261" s="8" t="str">
        <f aca="false">INDEX(Bases!$C$2:$C$53,B1261)</f>
        <v>Ghost</v>
      </c>
      <c r="H1261" s="8" t="str">
        <f aca="false">IF(INDEX(Bases!$C$2:$C$53,C1261)=G1261,"",INDEX(Bases!$C$2:$C$53,C1261))</f>
        <v>Fairy</v>
      </c>
      <c r="I1261" s="8" t="str">
        <f aca="false">IF(INDEX(Bases!$E$2:$E$53,B1261)="","",INDEX(Bases!$E$2:$E$53,B1261))</f>
        <v/>
      </c>
      <c r="J1261" s="8" t="str">
        <f aca="false">IF(INDEX(Bases!$E$2:$E$53,C1261)="","",INDEX(Bases!$E$2:$E$53,C1261))</f>
        <v/>
      </c>
      <c r="K1261" s="5"/>
      <c r="L1261" s="2" t="n">
        <f aca="false">AE1261+IF(SUMPRODUCT(--($AL1261:$AQ1261&gt;AL1261))&lt;$AK1261,1,0)</f>
        <v>57</v>
      </c>
      <c r="M1261" s="2" t="n">
        <f aca="false">AF1261+IF(SUMPRODUCT(--($AL1261:$AQ1261&gt;AM1261))+SUMPRODUCT(--($AL1261:AL1261=AM1261))&lt;$AK1261,1,0)</f>
        <v>46</v>
      </c>
      <c r="N1261" s="2" t="n">
        <f aca="false">AG1261+IF(SUMPRODUCT(--($AL1261:$AQ1261&gt;AN1261))+SUMPRODUCT(--($AL1261:AM1261=AN1261))&lt;$AK1261,1,0)</f>
        <v>93</v>
      </c>
      <c r="O1261" s="2" t="n">
        <f aca="false">AH1261+IF(SUMPRODUCT(--($AL1261:$AQ1261&gt;AO1261))+SUMPRODUCT(--($AL1261:AN1261=AO1261))&lt;$AK1261,1,0)</f>
        <v>120</v>
      </c>
      <c r="P1261" s="2" t="n">
        <f aca="false">AI1261+IF(SUMPRODUCT(--($AL1261:$AQ1261&gt;AP1261))+SUMPRODUCT(--($AL1261:AO1261=AP1261))&lt;$AK1261,1,0)</f>
        <v>95</v>
      </c>
      <c r="Q1261" s="2" t="n">
        <f aca="false">AJ1261+IF(SUMPRODUCT(--($AL1261:$AQ1261&gt;AQ1261))+SUMPRODUCT(--($AL1261:AP1261=AQ1261))&lt;$AK1261,1,0)</f>
        <v>89</v>
      </c>
      <c r="R1261" s="2" t="n">
        <f aca="false">SUM(L1261:Q1261)</f>
        <v>500</v>
      </c>
      <c r="S1261" s="2" t="n">
        <f aca="false">Settings!$B$4*MAX(INDEX(Bases!$M$2:$M$53,B1261),INDEX(Bases!$M$2:$M$53,C1261))+Settings!$B$5*MIN(INDEX(Bases!$M$2:$M$53,B1261),INDEX(Bases!$M$2:$M$53,C1261))</f>
        <v>51</v>
      </c>
      <c r="T1261" s="2" t="n">
        <f aca="false">Settings!$B$4*MAX(INDEX(Bases!$N$2:$N$53,B1261),INDEX(Bases!$N$2:$N$53,C1261))+Settings!$B$5*MIN(INDEX(Bases!$N$2:$N$53,B1261),INDEX(Bases!$N$2:$N$53,C1261))</f>
        <v>41</v>
      </c>
      <c r="U1261" s="2" t="n">
        <f aca="false">Settings!$B$4*MAX(INDEX(Bases!$O$2:$O$53,B1261),INDEX(Bases!$O$2:$O$53,C1261))+Settings!$B$5*MIN(INDEX(Bases!$O$2:$O$53,B1261),INDEX(Bases!$O$2:$O$53,C1261))</f>
        <v>83.6666666666667</v>
      </c>
      <c r="V1261" s="2" t="n">
        <f aca="false">Settings!$B$4*MAX(INDEX(Bases!$P$2:$P$53,B1261),INDEX(Bases!$P$2:$P$53,C1261))+Settings!$B$5*MIN(INDEX(Bases!$P$2:$P$53,B1261),INDEX(Bases!$P$2:$P$53,C1261))</f>
        <v>107.666666666667</v>
      </c>
      <c r="W1261" s="2" t="n">
        <f aca="false">Settings!$B$4*MAX(INDEX(Bases!$Q$2:$Q$53,B1261),INDEX(Bases!$Q$2:$Q$53,C1261))+Settings!$B$5*MIN(INDEX(Bases!$Q$2:$Q$53,B1261),INDEX(Bases!$Q$2:$Q$53,C1261))</f>
        <v>85.6666666666667</v>
      </c>
      <c r="X1261" s="2" t="n">
        <f aca="false">Settings!$B$4*MAX(INDEX(Bases!$R$2:$R$53,B1261),INDEX(Bases!$R$2:$R$53,C1261))+Settings!$B$5*MIN(INDEX(Bases!$R$2:$R$53,B1261),INDEX(Bases!$R$2:$R$53,C1261))</f>
        <v>79.6666666666667</v>
      </c>
      <c r="Y1261" s="2" t="n">
        <f aca="false">S1261*Settings!$B$3/SUM(S1261:X1261)</f>
        <v>56.8350668647846</v>
      </c>
      <c r="Z1261" s="2" t="n">
        <f aca="false">T1261*Settings!$B$3/SUM(S1261:X1261)</f>
        <v>45.6909361069837</v>
      </c>
      <c r="AA1261" s="2" t="n">
        <f aca="false">U1261*Settings!$B$3/SUM(S1261:X1261)</f>
        <v>93.2392273402675</v>
      </c>
      <c r="AB1261" s="2" t="n">
        <f aca="false">V1261*Settings!$B$3/SUM(S1261:X1261)</f>
        <v>119.98514115899</v>
      </c>
      <c r="AC1261" s="2" t="n">
        <f aca="false">W1261*Settings!$B$3/SUM(S1261:X1261)</f>
        <v>95.4680534918276</v>
      </c>
      <c r="AD1261" s="2" t="n">
        <f aca="false">X1261*Settings!$B$3/SUM(S1261:X1261)</f>
        <v>88.7815750371471</v>
      </c>
      <c r="AE1261" s="2" t="n">
        <f aca="false">INT(Y1261)</f>
        <v>56</v>
      </c>
      <c r="AF1261" s="2" t="n">
        <f aca="false">INT(Z1261)</f>
        <v>45</v>
      </c>
      <c r="AG1261" s="2" t="n">
        <f aca="false">INT(AA1261)</f>
        <v>93</v>
      </c>
      <c r="AH1261" s="2" t="n">
        <f aca="false">INT(AB1261)</f>
        <v>119</v>
      </c>
      <c r="AI1261" s="2" t="n">
        <f aca="false">INT(AC1261)</f>
        <v>95</v>
      </c>
      <c r="AJ1261" s="2" t="n">
        <f aca="false">INT(AD1261)</f>
        <v>88</v>
      </c>
      <c r="AK1261" s="2" t="n">
        <f aca="false">Settings!$B$3-SUM(AE1261:AJ1261)</f>
        <v>4</v>
      </c>
      <c r="AL1261" s="2" t="n">
        <f aca="false">ROUND(Y1261-AE1261,9)</f>
        <v>0.835066865</v>
      </c>
      <c r="AM1261" s="2" t="n">
        <f aca="false">ROUND(Z1261-AF1261,9)</f>
        <v>0.690936107</v>
      </c>
      <c r="AN1261" s="2" t="n">
        <f aca="false">ROUND(AA1261-AG1261,9)</f>
        <v>0.23922734</v>
      </c>
      <c r="AO1261" s="2" t="n">
        <f aca="false">ROUND(AB1261-AH1261,9)</f>
        <v>0.985141159</v>
      </c>
      <c r="AP1261" s="2" t="n">
        <f aca="false">ROUND(AC1261-AI1261,9)</f>
        <v>0.468053492</v>
      </c>
      <c r="AQ1261" s="2" t="n">
        <f aca="false">ROUND(AD1261-AJ1261,9)</f>
        <v>0.781575037</v>
      </c>
    </row>
    <row r="1262" customFormat="false" ht="15" hidden="false" customHeight="false" outlineLevel="0" collapsed="false">
      <c r="A1262" s="2" t="n">
        <v>1261</v>
      </c>
      <c r="B1262" s="6" t="n">
        <v>41</v>
      </c>
      <c r="C1262" s="6" t="n">
        <v>42</v>
      </c>
      <c r="D1262" s="8" t="str">
        <f aca="false">INDEX(Bases!$B$2:$B$53,B1262)</f>
        <v>Misdreavus</v>
      </c>
      <c r="E1262" s="8" t="str">
        <f aca="false">INDEX(Bases!$B$2:$B$53,C1262)</f>
        <v>Sableye</v>
      </c>
      <c r="F1262" s="2" t="str">
        <f aca="false">LEFT(D1262,ROUNDUP(LEN(D1262)/2,0))&amp;LOWER(MID(E1262,ROUNDUP(LEN(E1262)/2,0)+1,20))</f>
        <v>Misdreye</v>
      </c>
      <c r="G1262" s="8" t="str">
        <f aca="false">INDEX(Bases!$C$2:$C$53,B1262)</f>
        <v>Ghost</v>
      </c>
      <c r="H1262" s="8" t="str">
        <f aca="false">IF(INDEX(Bases!$C$2:$C$53,C1262)=G1262,"",INDEX(Bases!$C$2:$C$53,C1262))</f>
        <v/>
      </c>
      <c r="I1262" s="8" t="str">
        <f aca="false">IF(INDEX(Bases!$E$2:$E$53,B1262)="","",INDEX(Bases!$E$2:$E$53,B1262))</f>
        <v/>
      </c>
      <c r="J1262" s="8" t="str">
        <f aca="false">IF(INDEX(Bases!$E$2:$E$53,C1262)="","",INDEX(Bases!$E$2:$E$53,C1262))</f>
        <v/>
      </c>
      <c r="K1262" s="5"/>
      <c r="L1262" s="2" t="n">
        <f aca="false">AE1262+IF(SUMPRODUCT(--($AL1262:$AQ1262&gt;AL1262))&lt;$AK1262,1,0)</f>
        <v>66</v>
      </c>
      <c r="M1262" s="2" t="n">
        <f aca="false">AF1262+IF(SUMPRODUCT(--($AL1262:$AQ1262&gt;AM1262))+SUMPRODUCT(--($AL1262:AL1262=AM1262))&lt;$AK1262,1,0)</f>
        <v>85</v>
      </c>
      <c r="N1262" s="2" t="n">
        <f aca="false">AG1262+IF(SUMPRODUCT(--($AL1262:$AQ1262&gt;AN1262))+SUMPRODUCT(--($AL1262:AM1262=AN1262))&lt;$AK1262,1,0)</f>
        <v>85</v>
      </c>
      <c r="O1262" s="2" t="n">
        <f aca="false">AH1262+IF(SUMPRODUCT(--($AL1262:$AQ1262&gt;AO1262))+SUMPRODUCT(--($AL1262:AN1262=AO1262))&lt;$AK1262,1,0)</f>
        <v>90</v>
      </c>
      <c r="P1262" s="2" t="n">
        <f aca="false">AI1262+IF(SUMPRODUCT(--($AL1262:$AQ1262&gt;AP1262))+SUMPRODUCT(--($AL1262:AO1262=AP1262))&lt;$AK1262,1,0)</f>
        <v>90</v>
      </c>
      <c r="Q1262" s="2" t="n">
        <f aca="false">AJ1262+IF(SUMPRODUCT(--($AL1262:$AQ1262&gt;AQ1262))+SUMPRODUCT(--($AL1262:AP1262=AQ1262))&lt;$AK1262,1,0)</f>
        <v>84</v>
      </c>
      <c r="R1262" s="2" t="n">
        <f aca="false">SUM(L1262:Q1262)</f>
        <v>500</v>
      </c>
      <c r="S1262" s="2" t="n">
        <f aca="false">Settings!$B$4*MAX(INDEX(Bases!$M$2:$M$53,B1262),INDEX(Bases!$M$2:$M$53,C1262))+Settings!$B$5*MIN(INDEX(Bases!$M$2:$M$53,B1262),INDEX(Bases!$M$2:$M$53,C1262))</f>
        <v>55</v>
      </c>
      <c r="T1262" s="2" t="n">
        <f aca="false">Settings!$B$4*MAX(INDEX(Bases!$N$2:$N$53,B1262),INDEX(Bases!$N$2:$N$53,C1262))+Settings!$B$5*MIN(INDEX(Bases!$N$2:$N$53,B1262),INDEX(Bases!$N$2:$N$53,C1262))</f>
        <v>71</v>
      </c>
      <c r="U1262" s="2" t="n">
        <f aca="false">Settings!$B$4*MAX(INDEX(Bases!$O$2:$O$53,B1262),INDEX(Bases!$O$2:$O$53,C1262))+Settings!$B$5*MIN(INDEX(Bases!$O$2:$O$53,B1262),INDEX(Bases!$O$2:$O$53,C1262))</f>
        <v>71</v>
      </c>
      <c r="V1262" s="2" t="n">
        <f aca="false">Settings!$B$4*MAX(INDEX(Bases!$P$2:$P$53,B1262),INDEX(Bases!$P$2:$P$53,C1262))+Settings!$B$5*MIN(INDEX(Bases!$P$2:$P$53,B1262),INDEX(Bases!$P$2:$P$53,C1262))</f>
        <v>74.6666666666667</v>
      </c>
      <c r="W1262" s="2" t="n">
        <f aca="false">Settings!$B$4*MAX(INDEX(Bases!$Q$2:$Q$53,B1262),INDEX(Bases!$Q$2:$Q$53,C1262))+Settings!$B$5*MIN(INDEX(Bases!$Q$2:$Q$53,B1262),INDEX(Bases!$Q$2:$Q$53,C1262))</f>
        <v>74.6666666666667</v>
      </c>
      <c r="X1262" s="2" t="n">
        <f aca="false">Settings!$B$4*MAX(INDEX(Bases!$R$2:$R$53,B1262),INDEX(Bases!$R$2:$R$53,C1262))+Settings!$B$5*MIN(INDEX(Bases!$R$2:$R$53,B1262),INDEX(Bases!$R$2:$R$53,C1262))</f>
        <v>69.6666666666667</v>
      </c>
      <c r="Y1262" s="2" t="n">
        <f aca="false">S1262*Settings!$B$3/SUM(S1262:X1262)</f>
        <v>66.1057692307692</v>
      </c>
      <c r="Z1262" s="2" t="n">
        <f aca="false">T1262*Settings!$B$3/SUM(S1262:X1262)</f>
        <v>85.3365384615385</v>
      </c>
      <c r="AA1262" s="2" t="n">
        <f aca="false">U1262*Settings!$B$3/SUM(S1262:X1262)</f>
        <v>85.3365384615385</v>
      </c>
      <c r="AB1262" s="2" t="n">
        <f aca="false">V1262*Settings!$B$3/SUM(S1262:X1262)</f>
        <v>89.7435897435897</v>
      </c>
      <c r="AC1262" s="2" t="n">
        <f aca="false">W1262*Settings!$B$3/SUM(S1262:X1262)</f>
        <v>89.7435897435897</v>
      </c>
      <c r="AD1262" s="2" t="n">
        <f aca="false">X1262*Settings!$B$3/SUM(S1262:X1262)</f>
        <v>83.7339743589744</v>
      </c>
      <c r="AE1262" s="2" t="n">
        <f aca="false">INT(Y1262)</f>
        <v>66</v>
      </c>
      <c r="AF1262" s="2" t="n">
        <f aca="false">INT(Z1262)</f>
        <v>85</v>
      </c>
      <c r="AG1262" s="2" t="n">
        <f aca="false">INT(AA1262)</f>
        <v>85</v>
      </c>
      <c r="AH1262" s="2" t="n">
        <f aca="false">INT(AB1262)</f>
        <v>89</v>
      </c>
      <c r="AI1262" s="2" t="n">
        <f aca="false">INT(AC1262)</f>
        <v>89</v>
      </c>
      <c r="AJ1262" s="2" t="n">
        <f aca="false">INT(AD1262)</f>
        <v>83</v>
      </c>
      <c r="AK1262" s="2" t="n">
        <f aca="false">Settings!$B$3-SUM(AE1262:AJ1262)</f>
        <v>3</v>
      </c>
      <c r="AL1262" s="2" t="n">
        <f aca="false">ROUND(Y1262-AE1262,9)</f>
        <v>0.105769231</v>
      </c>
      <c r="AM1262" s="2" t="n">
        <f aca="false">ROUND(Z1262-AF1262,9)</f>
        <v>0.336538462</v>
      </c>
      <c r="AN1262" s="2" t="n">
        <f aca="false">ROUND(AA1262-AG1262,9)</f>
        <v>0.336538462</v>
      </c>
      <c r="AO1262" s="2" t="n">
        <f aca="false">ROUND(AB1262-AH1262,9)</f>
        <v>0.743589744</v>
      </c>
      <c r="AP1262" s="2" t="n">
        <f aca="false">ROUND(AC1262-AI1262,9)</f>
        <v>0.743589744</v>
      </c>
      <c r="AQ1262" s="2" t="n">
        <f aca="false">ROUND(AD1262-AJ1262,9)</f>
        <v>0.733974359</v>
      </c>
    </row>
    <row r="1263" customFormat="false" ht="15" hidden="false" customHeight="false" outlineLevel="0" collapsed="false">
      <c r="A1263" s="2" t="n">
        <v>1262</v>
      </c>
      <c r="B1263" s="6" t="n">
        <v>41</v>
      </c>
      <c r="C1263" s="6" t="n">
        <v>43</v>
      </c>
      <c r="D1263" s="8" t="str">
        <f aca="false">INDEX(Bases!$B$2:$B$53,B1263)</f>
        <v>Misdreavus</v>
      </c>
      <c r="E1263" s="8" t="str">
        <f aca="false">INDEX(Bases!$B$2:$B$53,C1263)</f>
        <v>Dratini</v>
      </c>
      <c r="F1263" s="2" t="str">
        <f aca="false">LEFT(D1263,ROUNDUP(LEN(D1263)/2,0))&amp;LOWER(MID(E1263,ROUNDUP(LEN(E1263)/2,0)+1,20))</f>
        <v>Misdrini</v>
      </c>
      <c r="G1263" s="8" t="str">
        <f aca="false">INDEX(Bases!$C$2:$C$53,B1263)</f>
        <v>Ghost</v>
      </c>
      <c r="H1263" s="8" t="str">
        <f aca="false">IF(INDEX(Bases!$C$2:$C$53,C1263)=G1263,"",INDEX(Bases!$C$2:$C$53,C1263))</f>
        <v>Dragon</v>
      </c>
      <c r="I1263" s="8" t="str">
        <f aca="false">IF(INDEX(Bases!$E$2:$E$53,B1263)="","",INDEX(Bases!$E$2:$E$53,B1263))</f>
        <v/>
      </c>
      <c r="J1263" s="8" t="str">
        <f aca="false">IF(INDEX(Bases!$E$2:$E$53,C1263)="","",INDEX(Bases!$E$2:$E$53,C1263))</f>
        <v/>
      </c>
      <c r="K1263" s="5"/>
      <c r="L1263" s="2" t="n">
        <f aca="false">AE1263+IF(SUMPRODUCT(--($AL1263:$AQ1263&gt;AL1263))&lt;$AK1263,1,0)</f>
        <v>68</v>
      </c>
      <c r="M1263" s="2" t="n">
        <f aca="false">AF1263+IF(SUMPRODUCT(--($AL1263:$AQ1263&gt;AM1263))+SUMPRODUCT(--($AL1263:AL1263=AM1263))&lt;$AK1263,1,0)</f>
        <v>91</v>
      </c>
      <c r="N1263" s="2" t="n">
        <f aca="false">AG1263+IF(SUMPRODUCT(--($AL1263:$AQ1263&gt;AN1263))+SUMPRODUCT(--($AL1263:AM1263=AN1263))&lt;$AK1263,1,0)</f>
        <v>71</v>
      </c>
      <c r="O1263" s="2" t="n">
        <f aca="false">AH1263+IF(SUMPRODUCT(--($AL1263:$AQ1263&gt;AO1263))+SUMPRODUCT(--($AL1263:AN1263=AO1263))&lt;$AK1263,1,0)</f>
        <v>90</v>
      </c>
      <c r="P1263" s="2" t="n">
        <f aca="false">AI1263+IF(SUMPRODUCT(--($AL1263:$AQ1263&gt;AP1263))+SUMPRODUCT(--($AL1263:AO1263=AP1263))&lt;$AK1263,1,0)</f>
        <v>90</v>
      </c>
      <c r="Q1263" s="2" t="n">
        <f aca="false">AJ1263+IF(SUMPRODUCT(--($AL1263:$AQ1263&gt;AQ1263))+SUMPRODUCT(--($AL1263:AP1263=AQ1263))&lt;$AK1263,1,0)</f>
        <v>90</v>
      </c>
      <c r="R1263" s="2" t="n">
        <f aca="false">SUM(L1263:Q1263)</f>
        <v>500</v>
      </c>
      <c r="S1263" s="2" t="n">
        <f aca="false">Settings!$B$4*MAX(INDEX(Bases!$M$2:$M$53,B1263),INDEX(Bases!$M$2:$M$53,C1263))+Settings!$B$5*MIN(INDEX(Bases!$M$2:$M$53,B1263),INDEX(Bases!$M$2:$M$53,C1263))</f>
        <v>55.6666666666667</v>
      </c>
      <c r="T1263" s="2" t="n">
        <f aca="false">Settings!$B$4*MAX(INDEX(Bases!$N$2:$N$53,B1263),INDEX(Bases!$N$2:$N$53,C1263))+Settings!$B$5*MIN(INDEX(Bases!$N$2:$N$53,B1263),INDEX(Bases!$N$2:$N$53,C1263))</f>
        <v>75</v>
      </c>
      <c r="U1263" s="2" t="n">
        <f aca="false">Settings!$B$4*MAX(INDEX(Bases!$O$2:$O$53,B1263),INDEX(Bases!$O$2:$O$53,C1263))+Settings!$B$5*MIN(INDEX(Bases!$O$2:$O$53,B1263),INDEX(Bases!$O$2:$O$53,C1263))</f>
        <v>58.3333333333333</v>
      </c>
      <c r="V1263" s="2" t="n">
        <f aca="false">Settings!$B$4*MAX(INDEX(Bases!$P$2:$P$53,B1263),INDEX(Bases!$P$2:$P$53,C1263))+Settings!$B$5*MIN(INDEX(Bases!$P$2:$P$53,B1263),INDEX(Bases!$P$2:$P$53,C1263))</f>
        <v>74.3333333333333</v>
      </c>
      <c r="W1263" s="2" t="n">
        <f aca="false">Settings!$B$4*MAX(INDEX(Bases!$Q$2:$Q$53,B1263),INDEX(Bases!$Q$2:$Q$53,C1263))+Settings!$B$5*MIN(INDEX(Bases!$Q$2:$Q$53,B1263),INDEX(Bases!$Q$2:$Q$53,C1263))</f>
        <v>74.3333333333333</v>
      </c>
      <c r="X1263" s="2" t="n">
        <f aca="false">Settings!$B$4*MAX(INDEX(Bases!$R$2:$R$53,B1263),INDEX(Bases!$R$2:$R$53,C1263))+Settings!$B$5*MIN(INDEX(Bases!$R$2:$R$53,B1263),INDEX(Bases!$R$2:$R$53,C1263))</f>
        <v>74</v>
      </c>
      <c r="Y1263" s="2" t="n">
        <f aca="false">S1263*Settings!$B$3/SUM(S1263:X1263)</f>
        <v>67.6113360323887</v>
      </c>
      <c r="Z1263" s="2" t="n">
        <f aca="false">T1263*Settings!$B$3/SUM(S1263:X1263)</f>
        <v>91.0931174089069</v>
      </c>
      <c r="AA1263" s="2" t="n">
        <f aca="false">U1263*Settings!$B$3/SUM(S1263:X1263)</f>
        <v>70.8502024291498</v>
      </c>
      <c r="AB1263" s="2" t="n">
        <f aca="false">V1263*Settings!$B$3/SUM(S1263:X1263)</f>
        <v>90.2834008097166</v>
      </c>
      <c r="AC1263" s="2" t="n">
        <f aca="false">W1263*Settings!$B$3/SUM(S1263:X1263)</f>
        <v>90.2834008097166</v>
      </c>
      <c r="AD1263" s="2" t="n">
        <f aca="false">X1263*Settings!$B$3/SUM(S1263:X1263)</f>
        <v>89.8785425101215</v>
      </c>
      <c r="AE1263" s="2" t="n">
        <f aca="false">INT(Y1263)</f>
        <v>67</v>
      </c>
      <c r="AF1263" s="2" t="n">
        <f aca="false">INT(Z1263)</f>
        <v>91</v>
      </c>
      <c r="AG1263" s="2" t="n">
        <f aca="false">INT(AA1263)</f>
        <v>70</v>
      </c>
      <c r="AH1263" s="2" t="n">
        <f aca="false">INT(AB1263)</f>
        <v>90</v>
      </c>
      <c r="AI1263" s="2" t="n">
        <f aca="false">INT(AC1263)</f>
        <v>90</v>
      </c>
      <c r="AJ1263" s="2" t="n">
        <f aca="false">INT(AD1263)</f>
        <v>89</v>
      </c>
      <c r="AK1263" s="2" t="n">
        <f aca="false">Settings!$B$3-SUM(AE1263:AJ1263)</f>
        <v>3</v>
      </c>
      <c r="AL1263" s="2" t="n">
        <f aca="false">ROUND(Y1263-AE1263,9)</f>
        <v>0.611336032</v>
      </c>
      <c r="AM1263" s="2" t="n">
        <f aca="false">ROUND(Z1263-AF1263,9)</f>
        <v>0.093117409</v>
      </c>
      <c r="AN1263" s="2" t="n">
        <f aca="false">ROUND(AA1263-AG1263,9)</f>
        <v>0.850202429</v>
      </c>
      <c r="AO1263" s="2" t="n">
        <f aca="false">ROUND(AB1263-AH1263,9)</f>
        <v>0.28340081</v>
      </c>
      <c r="AP1263" s="2" t="n">
        <f aca="false">ROUND(AC1263-AI1263,9)</f>
        <v>0.28340081</v>
      </c>
      <c r="AQ1263" s="2" t="n">
        <f aca="false">ROUND(AD1263-AJ1263,9)</f>
        <v>0.87854251</v>
      </c>
    </row>
    <row r="1264" customFormat="false" ht="15" hidden="false" customHeight="false" outlineLevel="0" collapsed="false">
      <c r="A1264" s="2" t="n">
        <v>1263</v>
      </c>
      <c r="B1264" s="6" t="n">
        <v>41</v>
      </c>
      <c r="C1264" s="6" t="n">
        <v>44</v>
      </c>
      <c r="D1264" s="8" t="str">
        <f aca="false">INDEX(Bases!$B$2:$B$53,B1264)</f>
        <v>Misdreavus</v>
      </c>
      <c r="E1264" s="8" t="str">
        <f aca="false">INDEX(Bases!$B$2:$B$53,C1264)</f>
        <v>Bagon</v>
      </c>
      <c r="F1264" s="2" t="str">
        <f aca="false">LEFT(D1264,ROUNDUP(LEN(D1264)/2,0))&amp;LOWER(MID(E1264,ROUNDUP(LEN(E1264)/2,0)+1,20))</f>
        <v>Misdron</v>
      </c>
      <c r="G1264" s="8" t="str">
        <f aca="false">INDEX(Bases!$C$2:$C$53,B1264)</f>
        <v>Ghost</v>
      </c>
      <c r="H1264" s="8" t="str">
        <f aca="false">IF(INDEX(Bases!$C$2:$C$53,C1264)=G1264,"",INDEX(Bases!$C$2:$C$53,C1264))</f>
        <v>Dragon</v>
      </c>
      <c r="I1264" s="8" t="str">
        <f aca="false">IF(INDEX(Bases!$E$2:$E$53,B1264)="","",INDEX(Bases!$E$2:$E$53,B1264))</f>
        <v/>
      </c>
      <c r="J1264" s="8" t="str">
        <f aca="false">IF(INDEX(Bases!$E$2:$E$53,C1264)="","",INDEX(Bases!$E$2:$E$53,C1264))</f>
        <v/>
      </c>
      <c r="K1264" s="5"/>
      <c r="L1264" s="2" t="n">
        <f aca="false">AE1264+IF(SUMPRODUCT(--($AL1264:$AQ1264&gt;AL1264))&lt;$AK1264,1,0)</f>
        <v>69</v>
      </c>
      <c r="M1264" s="2" t="n">
        <f aca="false">AF1264+IF(SUMPRODUCT(--($AL1264:$AQ1264&gt;AM1264))+SUMPRODUCT(--($AL1264:AL1264=AM1264))&lt;$AK1264,1,0)</f>
        <v>100</v>
      </c>
      <c r="N1264" s="2" t="n">
        <f aca="false">AG1264+IF(SUMPRODUCT(--($AL1264:$AQ1264&gt;AN1264))+SUMPRODUCT(--($AL1264:AM1264=AN1264))&lt;$AK1264,1,0)</f>
        <v>84</v>
      </c>
      <c r="O1264" s="2" t="n">
        <f aca="false">AH1264+IF(SUMPRODUCT(--($AL1264:$AQ1264&gt;AO1264))+SUMPRODUCT(--($AL1264:AN1264=AO1264))&lt;$AK1264,1,0)</f>
        <v>82</v>
      </c>
      <c r="P1264" s="2" t="n">
        <f aca="false">AI1264+IF(SUMPRODUCT(--($AL1264:$AQ1264&gt;AP1264))+SUMPRODUCT(--($AL1264:AO1264=AP1264))&lt;$AK1264,1,0)</f>
        <v>77</v>
      </c>
      <c r="Q1264" s="2" t="n">
        <f aca="false">AJ1264+IF(SUMPRODUCT(--($AL1264:$AQ1264&gt;AQ1264))+SUMPRODUCT(--($AL1264:AP1264=AQ1264))&lt;$AK1264,1,0)</f>
        <v>88</v>
      </c>
      <c r="R1264" s="2" t="n">
        <f aca="false">SUM(L1264:Q1264)</f>
        <v>500</v>
      </c>
      <c r="S1264" s="2" t="n">
        <f aca="false">Settings!$B$4*MAX(INDEX(Bases!$M$2:$M$53,B1264),INDEX(Bases!$M$2:$M$53,C1264))+Settings!$B$5*MIN(INDEX(Bases!$M$2:$M$53,B1264),INDEX(Bases!$M$2:$M$53,C1264))</f>
        <v>58.6666666666667</v>
      </c>
      <c r="T1264" s="2" t="n">
        <f aca="false">Settings!$B$4*MAX(INDEX(Bases!$N$2:$N$53,B1264),INDEX(Bases!$N$2:$N$53,C1264))+Settings!$B$5*MIN(INDEX(Bases!$N$2:$N$53,B1264),INDEX(Bases!$N$2:$N$53,C1264))</f>
        <v>85</v>
      </c>
      <c r="U1264" s="2" t="n">
        <f aca="false">Settings!$B$4*MAX(INDEX(Bases!$O$2:$O$53,B1264),INDEX(Bases!$O$2:$O$53,C1264))+Settings!$B$5*MIN(INDEX(Bases!$O$2:$O$53,B1264),INDEX(Bases!$O$2:$O$53,C1264))</f>
        <v>71.6666666666667</v>
      </c>
      <c r="V1264" s="2" t="n">
        <f aca="false">Settings!$B$4*MAX(INDEX(Bases!$P$2:$P$53,B1264),INDEX(Bases!$P$2:$P$53,C1264))+Settings!$B$5*MIN(INDEX(Bases!$P$2:$P$53,B1264),INDEX(Bases!$P$2:$P$53,C1264))</f>
        <v>69.6666666666667</v>
      </c>
      <c r="W1264" s="2" t="n">
        <f aca="false">Settings!$B$4*MAX(INDEX(Bases!$Q$2:$Q$53,B1264),INDEX(Bases!$Q$2:$Q$53,C1264))+Settings!$B$5*MIN(INDEX(Bases!$Q$2:$Q$53,B1264),INDEX(Bases!$Q$2:$Q$53,C1264))</f>
        <v>65.3333333333333</v>
      </c>
      <c r="X1264" s="2" t="n">
        <f aca="false">Settings!$B$4*MAX(INDEX(Bases!$R$2:$R$53,B1264),INDEX(Bases!$R$2:$R$53,C1264))+Settings!$B$5*MIN(INDEX(Bases!$R$2:$R$53,B1264),INDEX(Bases!$R$2:$R$53,C1264))</f>
        <v>74.3333333333333</v>
      </c>
      <c r="Y1264" s="2" t="n">
        <f aca="false">S1264*Settings!$B$3/SUM(S1264:X1264)</f>
        <v>69.0737833594976</v>
      </c>
      <c r="Z1264" s="2" t="n">
        <f aca="false">T1264*Settings!$B$3/SUM(S1264:X1264)</f>
        <v>100.078492935636</v>
      </c>
      <c r="AA1264" s="2" t="n">
        <f aca="false">U1264*Settings!$B$3/SUM(S1264:X1264)</f>
        <v>84.3799058084772</v>
      </c>
      <c r="AB1264" s="2" t="n">
        <f aca="false">V1264*Settings!$B$3/SUM(S1264:X1264)</f>
        <v>82.0251177394034</v>
      </c>
      <c r="AC1264" s="2" t="n">
        <f aca="false">W1264*Settings!$B$3/SUM(S1264:X1264)</f>
        <v>76.9230769230769</v>
      </c>
      <c r="AD1264" s="2" t="n">
        <f aca="false">X1264*Settings!$B$3/SUM(S1264:X1264)</f>
        <v>87.5196232339089</v>
      </c>
      <c r="AE1264" s="2" t="n">
        <f aca="false">INT(Y1264)</f>
        <v>69</v>
      </c>
      <c r="AF1264" s="2" t="n">
        <f aca="false">INT(Z1264)</f>
        <v>100</v>
      </c>
      <c r="AG1264" s="2" t="n">
        <f aca="false">INT(AA1264)</f>
        <v>84</v>
      </c>
      <c r="AH1264" s="2" t="n">
        <f aca="false">INT(AB1264)</f>
        <v>82</v>
      </c>
      <c r="AI1264" s="2" t="n">
        <f aca="false">INT(AC1264)</f>
        <v>76</v>
      </c>
      <c r="AJ1264" s="2" t="n">
        <f aca="false">INT(AD1264)</f>
        <v>87</v>
      </c>
      <c r="AK1264" s="2" t="n">
        <f aca="false">Settings!$B$3-SUM(AE1264:AJ1264)</f>
        <v>2</v>
      </c>
      <c r="AL1264" s="2" t="n">
        <f aca="false">ROUND(Y1264-AE1264,9)</f>
        <v>0.073783359</v>
      </c>
      <c r="AM1264" s="2" t="n">
        <f aca="false">ROUND(Z1264-AF1264,9)</f>
        <v>0.078492936</v>
      </c>
      <c r="AN1264" s="2" t="n">
        <f aca="false">ROUND(AA1264-AG1264,9)</f>
        <v>0.379905808</v>
      </c>
      <c r="AO1264" s="2" t="n">
        <f aca="false">ROUND(AB1264-AH1264,9)</f>
        <v>0.025117739</v>
      </c>
      <c r="AP1264" s="2" t="n">
        <f aca="false">ROUND(AC1264-AI1264,9)</f>
        <v>0.923076923</v>
      </c>
      <c r="AQ1264" s="2" t="n">
        <f aca="false">ROUND(AD1264-AJ1264,9)</f>
        <v>0.519623234</v>
      </c>
    </row>
    <row r="1265" customFormat="false" ht="15" hidden="false" customHeight="false" outlineLevel="0" collapsed="false">
      <c r="A1265" s="2" t="n">
        <v>1264</v>
      </c>
      <c r="B1265" s="6" t="n">
        <v>41</v>
      </c>
      <c r="C1265" s="6" t="n">
        <v>45</v>
      </c>
      <c r="D1265" s="8" t="str">
        <f aca="false">INDEX(Bases!$B$2:$B$53,B1265)</f>
        <v>Misdreavus</v>
      </c>
      <c r="E1265" s="8" t="str">
        <f aca="false">INDEX(Bases!$B$2:$B$53,C1265)</f>
        <v>Sneasel</v>
      </c>
      <c r="F1265" s="2" t="str">
        <f aca="false">LEFT(D1265,ROUNDUP(LEN(D1265)/2,0))&amp;LOWER(MID(E1265,ROUNDUP(LEN(E1265)/2,0)+1,20))</f>
        <v>Misdrsel</v>
      </c>
      <c r="G1265" s="8" t="str">
        <f aca="false">INDEX(Bases!$C$2:$C$53,B1265)</f>
        <v>Ghost</v>
      </c>
      <c r="H1265" s="8" t="str">
        <f aca="false">IF(INDEX(Bases!$C$2:$C$53,C1265)=G1265,"",INDEX(Bases!$C$2:$C$53,C1265))</f>
        <v>Dark</v>
      </c>
      <c r="I1265" s="8" t="str">
        <f aca="false">IF(INDEX(Bases!$E$2:$E$53,B1265)="","",INDEX(Bases!$E$2:$E$53,B1265))</f>
        <v/>
      </c>
      <c r="J1265" s="8" t="str">
        <f aca="false">IF(INDEX(Bases!$E$2:$E$53,C1265)="","",INDEX(Bases!$E$2:$E$53,C1265))</f>
        <v/>
      </c>
      <c r="K1265" s="5"/>
      <c r="L1265" s="2" t="n">
        <f aca="false">AE1265+IF(SUMPRODUCT(--($AL1265:$AQ1265&gt;AL1265))&lt;$AK1265,1,0)</f>
        <v>65</v>
      </c>
      <c r="M1265" s="2" t="n">
        <f aca="false">AF1265+IF(SUMPRODUCT(--($AL1265:$AQ1265&gt;AM1265))+SUMPRODUCT(--($AL1265:AL1265=AM1265))&lt;$AK1265,1,0)</f>
        <v>91</v>
      </c>
      <c r="N1265" s="2" t="n">
        <f aca="false">AG1265+IF(SUMPRODUCT(--($AL1265:$AQ1265&gt;AN1265))+SUMPRODUCT(--($AL1265:AM1265=AN1265))&lt;$AK1265,1,0)</f>
        <v>64</v>
      </c>
      <c r="O1265" s="2" t="n">
        <f aca="false">AH1265+IF(SUMPRODUCT(--($AL1265:$AQ1265&gt;AO1265))+SUMPRODUCT(--($AL1265:AN1265=AO1265))&lt;$AK1265,1,0)</f>
        <v>75</v>
      </c>
      <c r="P1265" s="2" t="n">
        <f aca="false">AI1265+IF(SUMPRODUCT(--($AL1265:$AQ1265&gt;AP1265))+SUMPRODUCT(--($AL1265:AO1265=AP1265))&lt;$AK1265,1,0)</f>
        <v>89</v>
      </c>
      <c r="Q1265" s="2" t="n">
        <f aca="false">AJ1265+IF(SUMPRODUCT(--($AL1265:$AQ1265&gt;AQ1265))+SUMPRODUCT(--($AL1265:AP1265=AQ1265))&lt;$AK1265,1,0)</f>
        <v>116</v>
      </c>
      <c r="R1265" s="2" t="n">
        <f aca="false">SUM(L1265:Q1265)</f>
        <v>500</v>
      </c>
      <c r="S1265" s="2" t="n">
        <f aca="false">Settings!$B$4*MAX(INDEX(Bases!$M$2:$M$53,B1265),INDEX(Bases!$M$2:$M$53,C1265))+Settings!$B$5*MIN(INDEX(Bases!$M$2:$M$53,B1265),INDEX(Bases!$M$2:$M$53,C1265))</f>
        <v>54.3333333333333</v>
      </c>
      <c r="T1265" s="2" t="n">
        <f aca="false">Settings!$B$4*MAX(INDEX(Bases!$N$2:$N$53,B1265),INDEX(Bases!$N$2:$N$53,C1265))+Settings!$B$5*MIN(INDEX(Bases!$N$2:$N$53,B1265),INDEX(Bases!$N$2:$N$53,C1265))</f>
        <v>77</v>
      </c>
      <c r="U1265" s="2" t="n">
        <f aca="false">Settings!$B$4*MAX(INDEX(Bases!$O$2:$O$53,B1265),INDEX(Bases!$O$2:$O$53,C1265))+Settings!$B$5*MIN(INDEX(Bases!$O$2:$O$53,B1265),INDEX(Bases!$O$2:$O$53,C1265))</f>
        <v>53.6666666666667</v>
      </c>
      <c r="V1265" s="2" t="n">
        <f aca="false">Settings!$B$4*MAX(INDEX(Bases!$P$2:$P$53,B1265),INDEX(Bases!$P$2:$P$53,C1265))+Settings!$B$5*MIN(INDEX(Bases!$P$2:$P$53,B1265),INDEX(Bases!$P$2:$P$53,C1265))</f>
        <v>63</v>
      </c>
      <c r="W1265" s="2" t="n">
        <f aca="false">Settings!$B$4*MAX(INDEX(Bases!$Q$2:$Q$53,B1265),INDEX(Bases!$Q$2:$Q$53,C1265))+Settings!$B$5*MIN(INDEX(Bases!$Q$2:$Q$53,B1265),INDEX(Bases!$Q$2:$Q$53,C1265))</f>
        <v>75.3333333333333</v>
      </c>
      <c r="X1265" s="2" t="n">
        <f aca="false">Settings!$B$4*MAX(INDEX(Bases!$R$2:$R$53,B1265),INDEX(Bases!$R$2:$R$53,C1265))+Settings!$B$5*MIN(INDEX(Bases!$R$2:$R$53,B1265),INDEX(Bases!$R$2:$R$53,C1265))</f>
        <v>97.3333333333333</v>
      </c>
      <c r="Y1265" s="2" t="n">
        <f aca="false">S1265*Settings!$B$3/SUM(S1265:X1265)</f>
        <v>64.5800316957211</v>
      </c>
      <c r="Z1265" s="2" t="n">
        <f aca="false">T1265*Settings!$B$3/SUM(S1265:X1265)</f>
        <v>91.5213946117274</v>
      </c>
      <c r="AA1265" s="2" t="n">
        <f aca="false">U1265*Settings!$B$3/SUM(S1265:X1265)</f>
        <v>63.7876386687797</v>
      </c>
      <c r="AB1265" s="2" t="n">
        <f aca="false">V1265*Settings!$B$3/SUM(S1265:X1265)</f>
        <v>74.8811410459588</v>
      </c>
      <c r="AC1265" s="2" t="n">
        <f aca="false">W1265*Settings!$B$3/SUM(S1265:X1265)</f>
        <v>89.540412044374</v>
      </c>
      <c r="AD1265" s="2" t="n">
        <f aca="false">X1265*Settings!$B$3/SUM(S1265:X1265)</f>
        <v>115.689381933439</v>
      </c>
      <c r="AE1265" s="2" t="n">
        <f aca="false">INT(Y1265)</f>
        <v>64</v>
      </c>
      <c r="AF1265" s="2" t="n">
        <f aca="false">INT(Z1265)</f>
        <v>91</v>
      </c>
      <c r="AG1265" s="2" t="n">
        <f aca="false">INT(AA1265)</f>
        <v>63</v>
      </c>
      <c r="AH1265" s="2" t="n">
        <f aca="false">INT(AB1265)</f>
        <v>74</v>
      </c>
      <c r="AI1265" s="2" t="n">
        <f aca="false">INT(AC1265)</f>
        <v>89</v>
      </c>
      <c r="AJ1265" s="2" t="n">
        <f aca="false">INT(AD1265)</f>
        <v>115</v>
      </c>
      <c r="AK1265" s="2" t="n">
        <f aca="false">Settings!$B$3-SUM(AE1265:AJ1265)</f>
        <v>4</v>
      </c>
      <c r="AL1265" s="2" t="n">
        <f aca="false">ROUND(Y1265-AE1265,9)</f>
        <v>0.580031696</v>
      </c>
      <c r="AM1265" s="2" t="n">
        <f aca="false">ROUND(Z1265-AF1265,9)</f>
        <v>0.521394612</v>
      </c>
      <c r="AN1265" s="2" t="n">
        <f aca="false">ROUND(AA1265-AG1265,9)</f>
        <v>0.787638669</v>
      </c>
      <c r="AO1265" s="2" t="n">
        <f aca="false">ROUND(AB1265-AH1265,9)</f>
        <v>0.881141046</v>
      </c>
      <c r="AP1265" s="2" t="n">
        <f aca="false">ROUND(AC1265-AI1265,9)</f>
        <v>0.540412044</v>
      </c>
      <c r="AQ1265" s="2" t="n">
        <f aca="false">ROUND(AD1265-AJ1265,9)</f>
        <v>0.689381933</v>
      </c>
    </row>
    <row r="1266" customFormat="false" ht="15" hidden="false" customHeight="false" outlineLevel="0" collapsed="false">
      <c r="A1266" s="2" t="n">
        <v>1265</v>
      </c>
      <c r="B1266" s="6" t="n">
        <v>41</v>
      </c>
      <c r="C1266" s="6" t="n">
        <v>46</v>
      </c>
      <c r="D1266" s="8" t="str">
        <f aca="false">INDEX(Bases!$B$2:$B$53,B1266)</f>
        <v>Misdreavus</v>
      </c>
      <c r="E1266" s="8" t="str">
        <f aca="false">INDEX(Bases!$B$2:$B$53,C1266)</f>
        <v>Houndour</v>
      </c>
      <c r="F1266" s="2" t="str">
        <f aca="false">LEFT(D1266,ROUNDUP(LEN(D1266)/2,0))&amp;LOWER(MID(E1266,ROUNDUP(LEN(E1266)/2,0)+1,20))</f>
        <v>Misdrdour</v>
      </c>
      <c r="G1266" s="8" t="str">
        <f aca="false">INDEX(Bases!$C$2:$C$53,B1266)</f>
        <v>Ghost</v>
      </c>
      <c r="H1266" s="8" t="str">
        <f aca="false">IF(INDEX(Bases!$C$2:$C$53,C1266)=G1266,"",INDEX(Bases!$C$2:$C$53,C1266))</f>
        <v>Dark</v>
      </c>
      <c r="I1266" s="8" t="str">
        <f aca="false">IF(INDEX(Bases!$E$2:$E$53,B1266)="","",INDEX(Bases!$E$2:$E$53,B1266))</f>
        <v/>
      </c>
      <c r="J1266" s="8" t="str">
        <f aca="false">IF(INDEX(Bases!$E$2:$E$53,C1266)="","",INDEX(Bases!$E$2:$E$53,C1266))</f>
        <v/>
      </c>
      <c r="K1266" s="5"/>
      <c r="L1266" s="2" t="n">
        <f aca="false">AE1266+IF(SUMPRODUCT(--($AL1266:$AQ1266&gt;AL1266))&lt;$AK1266,1,0)</f>
        <v>67</v>
      </c>
      <c r="M1266" s="2" t="n">
        <f aca="false">AF1266+IF(SUMPRODUCT(--($AL1266:$AQ1266&gt;AM1266))+SUMPRODUCT(--($AL1266:AL1266=AM1266))&lt;$AK1266,1,0)</f>
        <v>81</v>
      </c>
      <c r="N1266" s="2" t="n">
        <f aca="false">AG1266+IF(SUMPRODUCT(--($AL1266:$AQ1266&gt;AN1266))+SUMPRODUCT(--($AL1266:AM1266=AN1266))&lt;$AK1266,1,0)</f>
        <v>59</v>
      </c>
      <c r="O1266" s="2" t="n">
        <f aca="false">AH1266+IF(SUMPRODUCT(--($AL1266:$AQ1266&gt;AO1266))+SUMPRODUCT(--($AL1266:AN1266=AO1266))&lt;$AK1266,1,0)</f>
        <v>110</v>
      </c>
      <c r="P1266" s="2" t="n">
        <f aca="false">AI1266+IF(SUMPRODUCT(--($AL1266:$AQ1266&gt;AP1266))+SUMPRODUCT(--($AL1266:AO1266=AP1266))&lt;$AK1266,1,0)</f>
        <v>88</v>
      </c>
      <c r="Q1266" s="2" t="n">
        <f aca="false">AJ1266+IF(SUMPRODUCT(--($AL1266:$AQ1266&gt;AQ1266))+SUMPRODUCT(--($AL1266:AP1266=AQ1266))&lt;$AK1266,1,0)</f>
        <v>95</v>
      </c>
      <c r="R1266" s="2" t="n">
        <f aca="false">SUM(L1266:Q1266)</f>
        <v>500</v>
      </c>
      <c r="S1266" s="2" t="n">
        <f aca="false">Settings!$B$4*MAX(INDEX(Bases!$M$2:$M$53,B1266),INDEX(Bases!$M$2:$M$53,C1266))+Settings!$B$5*MIN(INDEX(Bases!$M$2:$M$53,B1266),INDEX(Bases!$M$2:$M$53,C1266))</f>
        <v>55.3333333333333</v>
      </c>
      <c r="T1266" s="2" t="n">
        <f aca="false">Settings!$B$4*MAX(INDEX(Bases!$N$2:$N$53,B1266),INDEX(Bases!$N$2:$N$53,C1266))+Settings!$B$5*MIN(INDEX(Bases!$N$2:$N$53,B1266),INDEX(Bases!$N$2:$N$53,C1266))</f>
        <v>67</v>
      </c>
      <c r="U1266" s="2" t="n">
        <f aca="false">Settings!$B$4*MAX(INDEX(Bases!$O$2:$O$53,B1266),INDEX(Bases!$O$2:$O$53,C1266))+Settings!$B$5*MIN(INDEX(Bases!$O$2:$O$53,B1266),INDEX(Bases!$O$2:$O$53,C1266))</f>
        <v>48.6666666666667</v>
      </c>
      <c r="V1266" s="2" t="n">
        <f aca="false">Settings!$B$4*MAX(INDEX(Bases!$P$2:$P$53,B1266),INDEX(Bases!$P$2:$P$53,C1266))+Settings!$B$5*MIN(INDEX(Bases!$P$2:$P$53,B1266),INDEX(Bases!$P$2:$P$53,C1266))</f>
        <v>90.6666666666667</v>
      </c>
      <c r="W1266" s="2" t="n">
        <f aca="false">Settings!$B$4*MAX(INDEX(Bases!$Q$2:$Q$53,B1266),INDEX(Bases!$Q$2:$Q$53,C1266))+Settings!$B$5*MIN(INDEX(Bases!$Q$2:$Q$53,B1266),INDEX(Bases!$Q$2:$Q$53,C1266))</f>
        <v>72.3333333333333</v>
      </c>
      <c r="X1266" s="2" t="n">
        <f aca="false">Settings!$B$4*MAX(INDEX(Bases!$R$2:$R$53,B1266),INDEX(Bases!$R$2:$R$53,C1266))+Settings!$B$5*MIN(INDEX(Bases!$R$2:$R$53,B1266),INDEX(Bases!$R$2:$R$53,C1266))</f>
        <v>78.6666666666667</v>
      </c>
      <c r="Y1266" s="2" t="n">
        <f aca="false">S1266*Settings!$B$3/SUM(S1266:X1266)</f>
        <v>67.0436187399031</v>
      </c>
      <c r="Z1266" s="2" t="n">
        <f aca="false">T1266*Settings!$B$3/SUM(S1266:X1266)</f>
        <v>81.1793214862682</v>
      </c>
      <c r="AA1266" s="2" t="n">
        <f aca="false">U1266*Settings!$B$3/SUM(S1266:X1266)</f>
        <v>58.9660743134087</v>
      </c>
      <c r="AB1266" s="2" t="n">
        <f aca="false">V1266*Settings!$B$3/SUM(S1266:X1266)</f>
        <v>109.854604200323</v>
      </c>
      <c r="AC1266" s="2" t="n">
        <f aca="false">W1266*Settings!$B$3/SUM(S1266:X1266)</f>
        <v>87.6413570274637</v>
      </c>
      <c r="AD1266" s="2" t="n">
        <f aca="false">X1266*Settings!$B$3/SUM(S1266:X1266)</f>
        <v>95.3150242326333</v>
      </c>
      <c r="AE1266" s="2" t="n">
        <f aca="false">INT(Y1266)</f>
        <v>67</v>
      </c>
      <c r="AF1266" s="2" t="n">
        <f aca="false">INT(Z1266)</f>
        <v>81</v>
      </c>
      <c r="AG1266" s="2" t="n">
        <f aca="false">INT(AA1266)</f>
        <v>58</v>
      </c>
      <c r="AH1266" s="2" t="n">
        <f aca="false">INT(AB1266)</f>
        <v>109</v>
      </c>
      <c r="AI1266" s="2" t="n">
        <f aca="false">INT(AC1266)</f>
        <v>87</v>
      </c>
      <c r="AJ1266" s="2" t="n">
        <f aca="false">INT(AD1266)</f>
        <v>95</v>
      </c>
      <c r="AK1266" s="2" t="n">
        <f aca="false">Settings!$B$3-SUM(AE1266:AJ1266)</f>
        <v>3</v>
      </c>
      <c r="AL1266" s="2" t="n">
        <f aca="false">ROUND(Y1266-AE1266,9)</f>
        <v>0.04361874</v>
      </c>
      <c r="AM1266" s="2" t="n">
        <f aca="false">ROUND(Z1266-AF1266,9)</f>
        <v>0.179321486</v>
      </c>
      <c r="AN1266" s="2" t="n">
        <f aca="false">ROUND(AA1266-AG1266,9)</f>
        <v>0.966074313</v>
      </c>
      <c r="AO1266" s="2" t="n">
        <f aca="false">ROUND(AB1266-AH1266,9)</f>
        <v>0.8546042</v>
      </c>
      <c r="AP1266" s="2" t="n">
        <f aca="false">ROUND(AC1266-AI1266,9)</f>
        <v>0.641357027</v>
      </c>
      <c r="AQ1266" s="2" t="n">
        <f aca="false">ROUND(AD1266-AJ1266,9)</f>
        <v>0.315024233</v>
      </c>
    </row>
    <row r="1267" customFormat="false" ht="15" hidden="false" customHeight="false" outlineLevel="0" collapsed="false">
      <c r="A1267" s="2" t="n">
        <v>1266</v>
      </c>
      <c r="B1267" s="6" t="n">
        <v>41</v>
      </c>
      <c r="C1267" s="6" t="n">
        <v>47</v>
      </c>
      <c r="D1267" s="8" t="str">
        <f aca="false">INDEX(Bases!$B$2:$B$53,B1267)</f>
        <v>Misdreavus</v>
      </c>
      <c r="E1267" s="8" t="str">
        <f aca="false">INDEX(Bases!$B$2:$B$53,C1267)</f>
        <v>Carvanha</v>
      </c>
      <c r="F1267" s="2" t="str">
        <f aca="false">LEFT(D1267,ROUNDUP(LEN(D1267)/2,0))&amp;LOWER(MID(E1267,ROUNDUP(LEN(E1267)/2,0)+1,20))</f>
        <v>Misdranha</v>
      </c>
      <c r="G1267" s="8" t="str">
        <f aca="false">INDEX(Bases!$C$2:$C$53,B1267)</f>
        <v>Ghost</v>
      </c>
      <c r="H1267" s="8" t="str">
        <f aca="false">IF(INDEX(Bases!$C$2:$C$53,C1267)=G1267,"",INDEX(Bases!$C$2:$C$53,C1267))</f>
        <v>Dark</v>
      </c>
      <c r="I1267" s="8" t="str">
        <f aca="false">IF(INDEX(Bases!$E$2:$E$53,B1267)="","",INDEX(Bases!$E$2:$E$53,B1267))</f>
        <v/>
      </c>
      <c r="J1267" s="8" t="str">
        <f aca="false">IF(INDEX(Bases!$E$2:$E$53,C1267)="","",INDEX(Bases!$E$2:$E$53,C1267))</f>
        <v/>
      </c>
      <c r="K1267" s="5"/>
      <c r="L1267" s="2" t="n">
        <f aca="false">AE1267+IF(SUMPRODUCT(--($AL1267:$AQ1267&gt;AL1267))&lt;$AK1267,1,0)</f>
        <v>68</v>
      </c>
      <c r="M1267" s="2" t="n">
        <f aca="false">AF1267+IF(SUMPRODUCT(--($AL1267:$AQ1267&gt;AM1267))+SUMPRODUCT(--($AL1267:AL1267=AM1267))&lt;$AK1267,1,0)</f>
        <v>114</v>
      </c>
      <c r="N1267" s="2" t="n">
        <f aca="false">AG1267+IF(SUMPRODUCT(--($AL1267:$AQ1267&gt;AN1267))+SUMPRODUCT(--($AL1267:AM1267=AN1267))&lt;$AK1267,1,0)</f>
        <v>53</v>
      </c>
      <c r="O1267" s="2" t="n">
        <f aca="false">AH1267+IF(SUMPRODUCT(--($AL1267:$AQ1267&gt;AO1267))+SUMPRODUCT(--($AL1267:AN1267=AO1267))&lt;$AK1267,1,0)</f>
        <v>97</v>
      </c>
      <c r="P1267" s="2" t="n">
        <f aca="false">AI1267+IF(SUMPRODUCT(--($AL1267:$AQ1267&gt;AP1267))+SUMPRODUCT(--($AL1267:AO1267=AP1267))&lt;$AK1267,1,0)</f>
        <v>71</v>
      </c>
      <c r="Q1267" s="2" t="n">
        <f aca="false">AJ1267+IF(SUMPRODUCT(--($AL1267:$AQ1267&gt;AQ1267))+SUMPRODUCT(--($AL1267:AP1267=AQ1267))&lt;$AK1267,1,0)</f>
        <v>97</v>
      </c>
      <c r="R1267" s="2" t="n">
        <f aca="false">SUM(L1267:Q1267)</f>
        <v>500</v>
      </c>
      <c r="S1267" s="2" t="n">
        <f aca="false">Settings!$B$4*MAX(INDEX(Bases!$M$2:$M$53,B1267),INDEX(Bases!$M$2:$M$53,C1267))+Settings!$B$5*MIN(INDEX(Bases!$M$2:$M$53,B1267),INDEX(Bases!$M$2:$M$53,C1267))</f>
        <v>58</v>
      </c>
      <c r="T1267" s="2" t="n">
        <f aca="false">Settings!$B$4*MAX(INDEX(Bases!$N$2:$N$53,B1267),INDEX(Bases!$N$2:$N$53,C1267))+Settings!$B$5*MIN(INDEX(Bases!$N$2:$N$53,B1267),INDEX(Bases!$N$2:$N$53,C1267))</f>
        <v>97</v>
      </c>
      <c r="U1267" s="2" t="n">
        <f aca="false">Settings!$B$4*MAX(INDEX(Bases!$O$2:$O$53,B1267),INDEX(Bases!$O$2:$O$53,C1267))+Settings!$B$5*MIN(INDEX(Bases!$O$2:$O$53,B1267),INDEX(Bases!$O$2:$O$53,C1267))</f>
        <v>45.3333333333333</v>
      </c>
      <c r="V1267" s="2" t="n">
        <f aca="false">Settings!$B$4*MAX(INDEX(Bases!$P$2:$P$53,B1267),INDEX(Bases!$P$2:$P$53,C1267))+Settings!$B$5*MIN(INDEX(Bases!$P$2:$P$53,B1267),INDEX(Bases!$P$2:$P$53,C1267))</f>
        <v>83.3333333333333</v>
      </c>
      <c r="W1267" s="2" t="n">
        <f aca="false">Settings!$B$4*MAX(INDEX(Bases!$Q$2:$Q$53,B1267),INDEX(Bases!$Q$2:$Q$53,C1267))+Settings!$B$5*MIN(INDEX(Bases!$Q$2:$Q$53,B1267),INDEX(Bases!$Q$2:$Q$53,C1267))</f>
        <v>60.6666666666667</v>
      </c>
      <c r="X1267" s="2" t="n">
        <f aca="false">Settings!$B$4*MAX(INDEX(Bases!$R$2:$R$53,B1267),INDEX(Bases!$R$2:$R$53,C1267))+Settings!$B$5*MIN(INDEX(Bases!$R$2:$R$53,B1267),INDEX(Bases!$R$2:$R$53,C1267))</f>
        <v>82.6666666666667</v>
      </c>
      <c r="Y1267" s="2" t="n">
        <f aca="false">S1267*Settings!$B$3/SUM(S1267:X1267)</f>
        <v>67.9156908665105</v>
      </c>
      <c r="Z1267" s="2" t="n">
        <f aca="false">T1267*Settings!$B$3/SUM(S1267:X1267)</f>
        <v>113.583138173302</v>
      </c>
      <c r="AA1267" s="2" t="n">
        <f aca="false">U1267*Settings!$B$3/SUM(S1267:X1267)</f>
        <v>53.0835284933646</v>
      </c>
      <c r="AB1267" s="2" t="n">
        <f aca="false">V1267*Settings!$B$3/SUM(S1267:X1267)</f>
        <v>97.5800156128025</v>
      </c>
      <c r="AC1267" s="2" t="n">
        <f aca="false">W1267*Settings!$B$3/SUM(S1267:X1267)</f>
        <v>71.0382513661202</v>
      </c>
      <c r="AD1267" s="2" t="n">
        <f aca="false">X1267*Settings!$B$3/SUM(S1267:X1267)</f>
        <v>96.7993754879001</v>
      </c>
      <c r="AE1267" s="2" t="n">
        <f aca="false">INT(Y1267)</f>
        <v>67</v>
      </c>
      <c r="AF1267" s="2" t="n">
        <f aca="false">INT(Z1267)</f>
        <v>113</v>
      </c>
      <c r="AG1267" s="2" t="n">
        <f aca="false">INT(AA1267)</f>
        <v>53</v>
      </c>
      <c r="AH1267" s="2" t="n">
        <f aca="false">INT(AB1267)</f>
        <v>97</v>
      </c>
      <c r="AI1267" s="2" t="n">
        <f aca="false">INT(AC1267)</f>
        <v>71</v>
      </c>
      <c r="AJ1267" s="2" t="n">
        <f aca="false">INT(AD1267)</f>
        <v>96</v>
      </c>
      <c r="AK1267" s="2" t="n">
        <f aca="false">Settings!$B$3-SUM(AE1267:AJ1267)</f>
        <v>3</v>
      </c>
      <c r="AL1267" s="2" t="n">
        <f aca="false">ROUND(Y1267-AE1267,9)</f>
        <v>0.915690867</v>
      </c>
      <c r="AM1267" s="2" t="n">
        <f aca="false">ROUND(Z1267-AF1267,9)</f>
        <v>0.583138173</v>
      </c>
      <c r="AN1267" s="2" t="n">
        <f aca="false">ROUND(AA1267-AG1267,9)</f>
        <v>0.083528493</v>
      </c>
      <c r="AO1267" s="2" t="n">
        <f aca="false">ROUND(AB1267-AH1267,9)</f>
        <v>0.580015613</v>
      </c>
      <c r="AP1267" s="2" t="n">
        <f aca="false">ROUND(AC1267-AI1267,9)</f>
        <v>0.038251366</v>
      </c>
      <c r="AQ1267" s="2" t="n">
        <f aca="false">ROUND(AD1267-AJ1267,9)</f>
        <v>0.799375488</v>
      </c>
    </row>
    <row r="1268" customFormat="false" ht="15" hidden="false" customHeight="false" outlineLevel="0" collapsed="false">
      <c r="A1268" s="2" t="n">
        <v>1267</v>
      </c>
      <c r="B1268" s="6" t="n">
        <v>41</v>
      </c>
      <c r="C1268" s="6" t="n">
        <v>48</v>
      </c>
      <c r="D1268" s="8" t="str">
        <f aca="false">INDEX(Bases!$B$2:$B$53,B1268)</f>
        <v>Misdreavus</v>
      </c>
      <c r="E1268" s="8" t="str">
        <f aca="false">INDEX(Bases!$B$2:$B$53,C1268)</f>
        <v>Magnemite</v>
      </c>
      <c r="F1268" s="2" t="str">
        <f aca="false">LEFT(D1268,ROUNDUP(LEN(D1268)/2,0))&amp;LOWER(MID(E1268,ROUNDUP(LEN(E1268)/2,0)+1,20))</f>
        <v>Misdrmite</v>
      </c>
      <c r="G1268" s="8" t="str">
        <f aca="false">INDEX(Bases!$C$2:$C$53,B1268)</f>
        <v>Ghost</v>
      </c>
      <c r="H1268" s="8" t="str">
        <f aca="false">IF(INDEX(Bases!$C$2:$C$53,C1268)=G1268,"",INDEX(Bases!$C$2:$C$53,C1268))</f>
        <v>Steel</v>
      </c>
      <c r="I1268" s="8" t="str">
        <f aca="false">IF(INDEX(Bases!$E$2:$E$53,B1268)="","",INDEX(Bases!$E$2:$E$53,B1268))</f>
        <v/>
      </c>
      <c r="J1268" s="8" t="str">
        <f aca="false">IF(INDEX(Bases!$E$2:$E$53,C1268)="","",INDEX(Bases!$E$2:$E$53,C1268))</f>
        <v/>
      </c>
      <c r="K1268" s="5"/>
      <c r="L1268" s="2" t="n">
        <f aca="false">AE1268+IF(SUMPRODUCT(--($AL1268:$AQ1268&gt;AL1268))&lt;$AK1268,1,0)</f>
        <v>56</v>
      </c>
      <c r="M1268" s="2" t="n">
        <f aca="false">AF1268+IF(SUMPRODUCT(--($AL1268:$AQ1268&gt;AM1268))+SUMPRODUCT(--($AL1268:AL1268=AM1268))&lt;$AK1268,1,0)</f>
        <v>60</v>
      </c>
      <c r="N1268" s="2" t="n">
        <f aca="false">AG1268+IF(SUMPRODUCT(--($AL1268:$AQ1268&gt;AN1268))+SUMPRODUCT(--($AL1268:AM1268=AN1268))&lt;$AK1268,1,0)</f>
        <v>90</v>
      </c>
      <c r="O1268" s="2" t="n">
        <f aca="false">AH1268+IF(SUMPRODUCT(--($AL1268:$AQ1268&gt;AO1268))+SUMPRODUCT(--($AL1268:AN1268=AO1268))&lt;$AK1268,1,0)</f>
        <v>123</v>
      </c>
      <c r="P1268" s="2" t="n">
        <f aca="false">AI1268+IF(SUMPRODUCT(--($AL1268:$AQ1268&gt;AP1268))+SUMPRODUCT(--($AL1268:AO1268=AP1268))&lt;$AK1268,1,0)</f>
        <v>88</v>
      </c>
      <c r="Q1268" s="2" t="n">
        <f aca="false">AJ1268+IF(SUMPRODUCT(--($AL1268:$AQ1268&gt;AQ1268))+SUMPRODUCT(--($AL1268:AP1268=AQ1268))&lt;$AK1268,1,0)</f>
        <v>83</v>
      </c>
      <c r="R1268" s="2" t="n">
        <f aca="false">SUM(L1268:Q1268)</f>
        <v>500</v>
      </c>
      <c r="S1268" s="2" t="n">
        <f aca="false">Settings!$B$4*MAX(INDEX(Bases!$M$2:$M$53,B1268),INDEX(Bases!$M$2:$M$53,C1268))+Settings!$B$5*MIN(INDEX(Bases!$M$2:$M$53,B1268),INDEX(Bases!$M$2:$M$53,C1268))</f>
        <v>47.6666666666667</v>
      </c>
      <c r="T1268" s="2" t="n">
        <f aca="false">Settings!$B$4*MAX(INDEX(Bases!$N$2:$N$53,B1268),INDEX(Bases!$N$2:$N$53,C1268))+Settings!$B$5*MIN(INDEX(Bases!$N$2:$N$53,B1268),INDEX(Bases!$N$2:$N$53,C1268))</f>
        <v>51</v>
      </c>
      <c r="U1268" s="2" t="n">
        <f aca="false">Settings!$B$4*MAX(INDEX(Bases!$O$2:$O$53,B1268),INDEX(Bases!$O$2:$O$53,C1268))+Settings!$B$5*MIN(INDEX(Bases!$O$2:$O$53,B1268),INDEX(Bases!$O$2:$O$53,C1268))</f>
        <v>75.6666666666667</v>
      </c>
      <c r="V1268" s="2" t="n">
        <f aca="false">Settings!$B$4*MAX(INDEX(Bases!$P$2:$P$53,B1268),INDEX(Bases!$P$2:$P$53,C1268))+Settings!$B$5*MIN(INDEX(Bases!$P$2:$P$53,B1268),INDEX(Bases!$P$2:$P$53,C1268))</f>
        <v>104</v>
      </c>
      <c r="W1268" s="2" t="n">
        <f aca="false">Settings!$B$4*MAX(INDEX(Bases!$Q$2:$Q$53,B1268),INDEX(Bases!$Q$2:$Q$53,C1268))+Settings!$B$5*MIN(INDEX(Bases!$Q$2:$Q$53,B1268),INDEX(Bases!$Q$2:$Q$53,C1268))</f>
        <v>74.6666666666667</v>
      </c>
      <c r="X1268" s="2" t="n">
        <f aca="false">Settings!$B$4*MAX(INDEX(Bases!$R$2:$R$53,B1268),INDEX(Bases!$R$2:$R$53,C1268))+Settings!$B$5*MIN(INDEX(Bases!$R$2:$R$53,B1268),INDEX(Bases!$R$2:$R$53,C1268))</f>
        <v>70.3333333333333</v>
      </c>
      <c r="Y1268" s="2" t="n">
        <f aca="false">S1268*Settings!$B$3/SUM(S1268:X1268)</f>
        <v>56.2992125984252</v>
      </c>
      <c r="Z1268" s="2" t="n">
        <f aca="false">T1268*Settings!$B$3/SUM(S1268:X1268)</f>
        <v>60.2362204724409</v>
      </c>
      <c r="AA1268" s="2" t="n">
        <f aca="false">U1268*Settings!$B$3/SUM(S1268:X1268)</f>
        <v>89.3700787401575</v>
      </c>
      <c r="AB1268" s="2" t="n">
        <f aca="false">V1268*Settings!$B$3/SUM(S1268:X1268)</f>
        <v>122.834645669291</v>
      </c>
      <c r="AC1268" s="2" t="n">
        <f aca="false">W1268*Settings!$B$3/SUM(S1268:X1268)</f>
        <v>88.1889763779528</v>
      </c>
      <c r="AD1268" s="2" t="n">
        <f aca="false">X1268*Settings!$B$3/SUM(S1268:X1268)</f>
        <v>83.0708661417323</v>
      </c>
      <c r="AE1268" s="2" t="n">
        <f aca="false">INT(Y1268)</f>
        <v>56</v>
      </c>
      <c r="AF1268" s="2" t="n">
        <f aca="false">INT(Z1268)</f>
        <v>60</v>
      </c>
      <c r="AG1268" s="2" t="n">
        <f aca="false">INT(AA1268)</f>
        <v>89</v>
      </c>
      <c r="AH1268" s="2" t="n">
        <f aca="false">INT(AB1268)</f>
        <v>122</v>
      </c>
      <c r="AI1268" s="2" t="n">
        <f aca="false">INT(AC1268)</f>
        <v>88</v>
      </c>
      <c r="AJ1268" s="2" t="n">
        <f aca="false">INT(AD1268)</f>
        <v>83</v>
      </c>
      <c r="AK1268" s="2" t="n">
        <f aca="false">Settings!$B$3-SUM(AE1268:AJ1268)</f>
        <v>2</v>
      </c>
      <c r="AL1268" s="2" t="n">
        <f aca="false">ROUND(Y1268-AE1268,9)</f>
        <v>0.299212598</v>
      </c>
      <c r="AM1268" s="2" t="n">
        <f aca="false">ROUND(Z1268-AF1268,9)</f>
        <v>0.236220472</v>
      </c>
      <c r="AN1268" s="2" t="n">
        <f aca="false">ROUND(AA1268-AG1268,9)</f>
        <v>0.37007874</v>
      </c>
      <c r="AO1268" s="2" t="n">
        <f aca="false">ROUND(AB1268-AH1268,9)</f>
        <v>0.834645669</v>
      </c>
      <c r="AP1268" s="2" t="n">
        <f aca="false">ROUND(AC1268-AI1268,9)</f>
        <v>0.188976378</v>
      </c>
      <c r="AQ1268" s="2" t="n">
        <f aca="false">ROUND(AD1268-AJ1268,9)</f>
        <v>0.070866142</v>
      </c>
    </row>
    <row r="1269" customFormat="false" ht="15" hidden="false" customHeight="false" outlineLevel="0" collapsed="false">
      <c r="A1269" s="2" t="n">
        <v>1268</v>
      </c>
      <c r="B1269" s="6" t="n">
        <v>41</v>
      </c>
      <c r="C1269" s="6" t="n">
        <v>49</v>
      </c>
      <c r="D1269" s="8" t="str">
        <f aca="false">INDEX(Bases!$B$2:$B$53,B1269)</f>
        <v>Misdreavus</v>
      </c>
      <c r="E1269" s="8" t="str">
        <f aca="false">INDEX(Bases!$B$2:$B$53,C1269)</f>
        <v>Aron</v>
      </c>
      <c r="F1269" s="2" t="str">
        <f aca="false">LEFT(D1269,ROUNDUP(LEN(D1269)/2,0))&amp;LOWER(MID(E1269,ROUNDUP(LEN(E1269)/2,0)+1,20))</f>
        <v>Misdron</v>
      </c>
      <c r="G1269" s="8" t="str">
        <f aca="false">INDEX(Bases!$C$2:$C$53,B1269)</f>
        <v>Ghost</v>
      </c>
      <c r="H1269" s="8" t="str">
        <f aca="false">IF(INDEX(Bases!$C$2:$C$53,C1269)=G1269,"",INDEX(Bases!$C$2:$C$53,C1269))</f>
        <v>Steel</v>
      </c>
      <c r="I1269" s="8" t="str">
        <f aca="false">IF(INDEX(Bases!$E$2:$E$53,B1269)="","",INDEX(Bases!$E$2:$E$53,B1269))</f>
        <v/>
      </c>
      <c r="J1269" s="8" t="str">
        <f aca="false">IF(INDEX(Bases!$E$2:$E$53,C1269)="","",INDEX(Bases!$E$2:$E$53,C1269))</f>
        <v/>
      </c>
      <c r="K1269" s="5"/>
      <c r="L1269" s="2" t="n">
        <f aca="false">AE1269+IF(SUMPRODUCT(--($AL1269:$AQ1269&gt;AL1269))&lt;$AK1269,1,0)</f>
        <v>68</v>
      </c>
      <c r="M1269" s="2" t="n">
        <f aca="false">AF1269+IF(SUMPRODUCT(--($AL1269:$AQ1269&gt;AM1269))+SUMPRODUCT(--($AL1269:AL1269=AM1269))&lt;$AK1269,1,0)</f>
        <v>87</v>
      </c>
      <c r="N1269" s="2" t="n">
        <f aca="false">AG1269+IF(SUMPRODUCT(--($AL1269:$AQ1269&gt;AN1269))+SUMPRODUCT(--($AL1269:AM1269=AN1269))&lt;$AK1269,1,0)</f>
        <v>114</v>
      </c>
      <c r="O1269" s="2" t="n">
        <f aca="false">AH1269+IF(SUMPRODUCT(--($AL1269:$AQ1269&gt;AO1269))+SUMPRODUCT(--($AL1269:AN1269=AO1269))&lt;$AK1269,1,0)</f>
        <v>79</v>
      </c>
      <c r="P1269" s="2" t="n">
        <f aca="false">AI1269+IF(SUMPRODUCT(--($AL1269:$AQ1269&gt;AP1269))+SUMPRODUCT(--($AL1269:AO1269=AP1269))&lt;$AK1269,1,0)</f>
        <v>78</v>
      </c>
      <c r="Q1269" s="2" t="n">
        <f aca="false">AJ1269+IF(SUMPRODUCT(--($AL1269:$AQ1269&gt;AQ1269))+SUMPRODUCT(--($AL1269:AP1269=AQ1269))&lt;$AK1269,1,0)</f>
        <v>74</v>
      </c>
      <c r="R1269" s="2" t="n">
        <f aca="false">SUM(L1269:Q1269)</f>
        <v>500</v>
      </c>
      <c r="S1269" s="2" t="n">
        <f aca="false">Settings!$B$4*MAX(INDEX(Bases!$M$2:$M$53,B1269),INDEX(Bases!$M$2:$M$53,C1269))+Settings!$B$5*MIN(INDEX(Bases!$M$2:$M$53,B1269),INDEX(Bases!$M$2:$M$53,C1269))</f>
        <v>59.3333333333333</v>
      </c>
      <c r="T1269" s="2" t="n">
        <f aca="false">Settings!$B$4*MAX(INDEX(Bases!$N$2:$N$53,B1269),INDEX(Bases!$N$2:$N$53,C1269))+Settings!$B$5*MIN(INDEX(Bases!$N$2:$N$53,B1269),INDEX(Bases!$N$2:$N$53,C1269))</f>
        <v>75</v>
      </c>
      <c r="U1269" s="2" t="n">
        <f aca="false">Settings!$B$4*MAX(INDEX(Bases!$O$2:$O$53,B1269),INDEX(Bases!$O$2:$O$53,C1269))+Settings!$B$5*MIN(INDEX(Bases!$O$2:$O$53,B1269),INDEX(Bases!$O$2:$O$53,C1269))</f>
        <v>99</v>
      </c>
      <c r="V1269" s="2" t="n">
        <f aca="false">Settings!$B$4*MAX(INDEX(Bases!$P$2:$P$53,B1269),INDEX(Bases!$P$2:$P$53,C1269))+Settings!$B$5*MIN(INDEX(Bases!$P$2:$P$53,B1269),INDEX(Bases!$P$2:$P$53,C1269))</f>
        <v>68.3333333333333</v>
      </c>
      <c r="W1269" s="2" t="n">
        <f aca="false">Settings!$B$4*MAX(INDEX(Bases!$Q$2:$Q$53,B1269),INDEX(Bases!$Q$2:$Q$53,C1269))+Settings!$B$5*MIN(INDEX(Bases!$Q$2:$Q$53,B1269),INDEX(Bases!$Q$2:$Q$53,C1269))</f>
        <v>68</v>
      </c>
      <c r="X1269" s="2" t="n">
        <f aca="false">Settings!$B$4*MAX(INDEX(Bases!$R$2:$R$53,B1269),INDEX(Bases!$R$2:$R$53,C1269))+Settings!$B$5*MIN(INDEX(Bases!$R$2:$R$53,B1269),INDEX(Bases!$R$2:$R$53,C1269))</f>
        <v>64</v>
      </c>
      <c r="Y1269" s="2" t="n">
        <f aca="false">S1269*Settings!$B$3/SUM(S1269:X1269)</f>
        <v>68.4089162182936</v>
      </c>
      <c r="Z1269" s="2" t="n">
        <f aca="false">T1269*Settings!$B$3/SUM(S1269:X1269)</f>
        <v>86.4719446579554</v>
      </c>
      <c r="AA1269" s="2" t="n">
        <f aca="false">U1269*Settings!$B$3/SUM(S1269:X1269)</f>
        <v>114.142966948501</v>
      </c>
      <c r="AB1269" s="2" t="n">
        <f aca="false">V1269*Settings!$B$3/SUM(S1269:X1269)</f>
        <v>78.7855495772483</v>
      </c>
      <c r="AC1269" s="2" t="n">
        <f aca="false">W1269*Settings!$B$3/SUM(S1269:X1269)</f>
        <v>78.4012298232129</v>
      </c>
      <c r="AD1269" s="2" t="n">
        <f aca="false">X1269*Settings!$B$3/SUM(S1269:X1269)</f>
        <v>73.7893927747886</v>
      </c>
      <c r="AE1269" s="2" t="n">
        <f aca="false">INT(Y1269)</f>
        <v>68</v>
      </c>
      <c r="AF1269" s="2" t="n">
        <f aca="false">INT(Z1269)</f>
        <v>86</v>
      </c>
      <c r="AG1269" s="2" t="n">
        <f aca="false">INT(AA1269)</f>
        <v>114</v>
      </c>
      <c r="AH1269" s="2" t="n">
        <f aca="false">INT(AB1269)</f>
        <v>78</v>
      </c>
      <c r="AI1269" s="2" t="n">
        <f aca="false">INT(AC1269)</f>
        <v>78</v>
      </c>
      <c r="AJ1269" s="2" t="n">
        <f aca="false">INT(AD1269)</f>
        <v>73</v>
      </c>
      <c r="AK1269" s="2" t="n">
        <f aca="false">Settings!$B$3-SUM(AE1269:AJ1269)</f>
        <v>3</v>
      </c>
      <c r="AL1269" s="2" t="n">
        <f aca="false">ROUND(Y1269-AE1269,9)</f>
        <v>0.408916218</v>
      </c>
      <c r="AM1269" s="2" t="n">
        <f aca="false">ROUND(Z1269-AF1269,9)</f>
        <v>0.471944658</v>
      </c>
      <c r="AN1269" s="2" t="n">
        <f aca="false">ROUND(AA1269-AG1269,9)</f>
        <v>0.142966949</v>
      </c>
      <c r="AO1269" s="2" t="n">
        <f aca="false">ROUND(AB1269-AH1269,9)</f>
        <v>0.785549577</v>
      </c>
      <c r="AP1269" s="2" t="n">
        <f aca="false">ROUND(AC1269-AI1269,9)</f>
        <v>0.401229823</v>
      </c>
      <c r="AQ1269" s="2" t="n">
        <f aca="false">ROUND(AD1269-AJ1269,9)</f>
        <v>0.789392775</v>
      </c>
    </row>
    <row r="1270" customFormat="false" ht="15" hidden="false" customHeight="false" outlineLevel="0" collapsed="false">
      <c r="A1270" s="2" t="n">
        <v>1269</v>
      </c>
      <c r="B1270" s="6" t="n">
        <v>41</v>
      </c>
      <c r="C1270" s="6" t="n">
        <v>50</v>
      </c>
      <c r="D1270" s="8" t="str">
        <f aca="false">INDEX(Bases!$B$2:$B$53,B1270)</f>
        <v>Misdreavus</v>
      </c>
      <c r="E1270" s="8" t="str">
        <f aca="false">INDEX(Bases!$B$2:$B$53,C1270)</f>
        <v>Beldum</v>
      </c>
      <c r="F1270" s="2" t="str">
        <f aca="false">LEFT(D1270,ROUNDUP(LEN(D1270)/2,0))&amp;LOWER(MID(E1270,ROUNDUP(LEN(E1270)/2,0)+1,20))</f>
        <v>Misdrdum</v>
      </c>
      <c r="G1270" s="8" t="str">
        <f aca="false">INDEX(Bases!$C$2:$C$53,B1270)</f>
        <v>Ghost</v>
      </c>
      <c r="H1270" s="8" t="str">
        <f aca="false">IF(INDEX(Bases!$C$2:$C$53,C1270)=G1270,"",INDEX(Bases!$C$2:$C$53,C1270))</f>
        <v>Steel</v>
      </c>
      <c r="I1270" s="8" t="str">
        <f aca="false">IF(INDEX(Bases!$E$2:$E$53,B1270)="","",INDEX(Bases!$E$2:$E$53,B1270))</f>
        <v/>
      </c>
      <c r="J1270" s="8" t="str">
        <f aca="false">IF(INDEX(Bases!$E$2:$E$53,C1270)="","",INDEX(Bases!$E$2:$E$53,C1270))</f>
        <v/>
      </c>
      <c r="K1270" s="5"/>
      <c r="L1270" s="2" t="n">
        <f aca="false">AE1270+IF(SUMPRODUCT(--($AL1270:$AQ1270&gt;AL1270))&lt;$AK1270,1,0)</f>
        <v>65</v>
      </c>
      <c r="M1270" s="2" t="n">
        <f aca="false">AF1270+IF(SUMPRODUCT(--($AL1270:$AQ1270&gt;AM1270))+SUMPRODUCT(--($AL1270:AL1270=AM1270))&lt;$AK1270,1,0)</f>
        <v>79</v>
      </c>
      <c r="N1270" s="2" t="n">
        <f aca="false">AG1270+IF(SUMPRODUCT(--($AL1270:$AQ1270&gt;AN1270))+SUMPRODUCT(--($AL1270:AM1270=AN1270))&lt;$AK1270,1,0)</f>
        <v>106</v>
      </c>
      <c r="O1270" s="2" t="n">
        <f aca="false">AH1270+IF(SUMPRODUCT(--($AL1270:$AQ1270&gt;AO1270))+SUMPRODUCT(--($AL1270:AN1270=AO1270))&lt;$AK1270,1,0)</f>
        <v>80</v>
      </c>
      <c r="P1270" s="2" t="n">
        <f aca="false">AI1270+IF(SUMPRODUCT(--($AL1270:$AQ1270&gt;AP1270))+SUMPRODUCT(--($AL1270:AO1270=AP1270))&lt;$AK1270,1,0)</f>
        <v>93</v>
      </c>
      <c r="Q1270" s="2" t="n">
        <f aca="false">AJ1270+IF(SUMPRODUCT(--($AL1270:$AQ1270&gt;AQ1270))+SUMPRODUCT(--($AL1270:AP1270=AQ1270))&lt;$AK1270,1,0)</f>
        <v>77</v>
      </c>
      <c r="R1270" s="2" t="n">
        <f aca="false">SUM(L1270:Q1270)</f>
        <v>500</v>
      </c>
      <c r="S1270" s="2" t="n">
        <f aca="false">Settings!$B$4*MAX(INDEX(Bases!$M$2:$M$53,B1270),INDEX(Bases!$M$2:$M$53,C1270))+Settings!$B$5*MIN(INDEX(Bases!$M$2:$M$53,B1270),INDEX(Bases!$M$2:$M$53,C1270))</f>
        <v>55</v>
      </c>
      <c r="T1270" s="2" t="n">
        <f aca="false">Settings!$B$4*MAX(INDEX(Bases!$N$2:$N$53,B1270),INDEX(Bases!$N$2:$N$53,C1270))+Settings!$B$5*MIN(INDEX(Bases!$N$2:$N$53,B1270),INDEX(Bases!$N$2:$N$53,C1270))</f>
        <v>67</v>
      </c>
      <c r="U1270" s="2" t="n">
        <f aca="false">Settings!$B$4*MAX(INDEX(Bases!$O$2:$O$53,B1270),INDEX(Bases!$O$2:$O$53,C1270))+Settings!$B$5*MIN(INDEX(Bases!$O$2:$O$53,B1270),INDEX(Bases!$O$2:$O$53,C1270))</f>
        <v>89.6666666666667</v>
      </c>
      <c r="V1270" s="2" t="n">
        <f aca="false">Settings!$B$4*MAX(INDEX(Bases!$P$2:$P$53,B1270),INDEX(Bases!$P$2:$P$53,C1270))+Settings!$B$5*MIN(INDEX(Bases!$P$2:$P$53,B1270),INDEX(Bases!$P$2:$P$53,C1270))</f>
        <v>67.6666666666667</v>
      </c>
      <c r="W1270" s="2" t="n">
        <f aca="false">Settings!$B$4*MAX(INDEX(Bases!$Q$2:$Q$53,B1270),INDEX(Bases!$Q$2:$Q$53,C1270))+Settings!$B$5*MIN(INDEX(Bases!$Q$2:$Q$53,B1270),INDEX(Bases!$Q$2:$Q$53,C1270))</f>
        <v>79.3333333333333</v>
      </c>
      <c r="X1270" s="2" t="n">
        <f aca="false">Settings!$B$4*MAX(INDEX(Bases!$R$2:$R$53,B1270),INDEX(Bases!$R$2:$R$53,C1270))+Settings!$B$5*MIN(INDEX(Bases!$R$2:$R$53,B1270),INDEX(Bases!$R$2:$R$53,C1270))</f>
        <v>65.3333333333333</v>
      </c>
      <c r="Y1270" s="2" t="n">
        <f aca="false">S1270*Settings!$B$3/SUM(S1270:X1270)</f>
        <v>64.8584905660377</v>
      </c>
      <c r="Z1270" s="2" t="n">
        <f aca="false">T1270*Settings!$B$3/SUM(S1270:X1270)</f>
        <v>79.0094339622642</v>
      </c>
      <c r="AA1270" s="2" t="n">
        <f aca="false">U1270*Settings!$B$3/SUM(S1270:X1270)</f>
        <v>105.738993710692</v>
      </c>
      <c r="AB1270" s="2" t="n">
        <f aca="false">V1270*Settings!$B$3/SUM(S1270:X1270)</f>
        <v>79.7955974842767</v>
      </c>
      <c r="AC1270" s="2" t="n">
        <f aca="false">W1270*Settings!$B$3/SUM(S1270:X1270)</f>
        <v>93.5534591194969</v>
      </c>
      <c r="AD1270" s="2" t="n">
        <f aca="false">X1270*Settings!$B$3/SUM(S1270:X1270)</f>
        <v>77.0440251572327</v>
      </c>
      <c r="AE1270" s="2" t="n">
        <f aca="false">INT(Y1270)</f>
        <v>64</v>
      </c>
      <c r="AF1270" s="2" t="n">
        <f aca="false">INT(Z1270)</f>
        <v>79</v>
      </c>
      <c r="AG1270" s="2" t="n">
        <f aca="false">INT(AA1270)</f>
        <v>105</v>
      </c>
      <c r="AH1270" s="2" t="n">
        <f aca="false">INT(AB1270)</f>
        <v>79</v>
      </c>
      <c r="AI1270" s="2" t="n">
        <f aca="false">INT(AC1270)</f>
        <v>93</v>
      </c>
      <c r="AJ1270" s="2" t="n">
        <f aca="false">INT(AD1270)</f>
        <v>77</v>
      </c>
      <c r="AK1270" s="2" t="n">
        <f aca="false">Settings!$B$3-SUM(AE1270:AJ1270)</f>
        <v>3</v>
      </c>
      <c r="AL1270" s="2" t="n">
        <f aca="false">ROUND(Y1270-AE1270,9)</f>
        <v>0.858490566</v>
      </c>
      <c r="AM1270" s="2" t="n">
        <f aca="false">ROUND(Z1270-AF1270,9)</f>
        <v>0.009433962</v>
      </c>
      <c r="AN1270" s="2" t="n">
        <f aca="false">ROUND(AA1270-AG1270,9)</f>
        <v>0.738993711</v>
      </c>
      <c r="AO1270" s="2" t="n">
        <f aca="false">ROUND(AB1270-AH1270,9)</f>
        <v>0.795597484</v>
      </c>
      <c r="AP1270" s="2" t="n">
        <f aca="false">ROUND(AC1270-AI1270,9)</f>
        <v>0.553459119</v>
      </c>
      <c r="AQ1270" s="2" t="n">
        <f aca="false">ROUND(AD1270-AJ1270,9)</f>
        <v>0.044025157</v>
      </c>
    </row>
    <row r="1271" customFormat="false" ht="15" hidden="false" customHeight="false" outlineLevel="0" collapsed="false">
      <c r="A1271" s="2" t="n">
        <v>1270</v>
      </c>
      <c r="B1271" s="6" t="n">
        <v>41</v>
      </c>
      <c r="C1271" s="6" t="n">
        <v>51</v>
      </c>
      <c r="D1271" s="8" t="str">
        <f aca="false">INDEX(Bases!$B$2:$B$53,B1271)</f>
        <v>Misdreavus</v>
      </c>
      <c r="E1271" s="8" t="str">
        <f aca="false">INDEX(Bases!$B$2:$B$53,C1271)</f>
        <v>Cleffa</v>
      </c>
      <c r="F1271" s="2" t="str">
        <f aca="false">LEFT(D1271,ROUNDUP(LEN(D1271)/2,0))&amp;LOWER(MID(E1271,ROUNDUP(LEN(E1271)/2,0)+1,20))</f>
        <v>Misdrffa</v>
      </c>
      <c r="G1271" s="8" t="str">
        <f aca="false">INDEX(Bases!$C$2:$C$53,B1271)</f>
        <v>Ghost</v>
      </c>
      <c r="H1271" s="8" t="str">
        <f aca="false">IF(INDEX(Bases!$C$2:$C$53,C1271)=G1271,"",INDEX(Bases!$C$2:$C$53,C1271))</f>
        <v>Fairy</v>
      </c>
      <c r="I1271" s="8" t="str">
        <f aca="false">IF(INDEX(Bases!$E$2:$E$53,B1271)="","",INDEX(Bases!$E$2:$E$53,B1271))</f>
        <v/>
      </c>
      <c r="J1271" s="8" t="str">
        <f aca="false">IF(INDEX(Bases!$E$2:$E$53,C1271)="","",INDEX(Bases!$E$2:$E$53,C1271))</f>
        <v/>
      </c>
      <c r="K1271" s="5"/>
      <c r="L1271" s="2" t="n">
        <f aca="false">AE1271+IF(SUMPRODUCT(--($AL1271:$AQ1271&gt;AL1271))&lt;$AK1271,1,0)</f>
        <v>95</v>
      </c>
      <c r="M1271" s="2" t="n">
        <f aca="false">AF1271+IF(SUMPRODUCT(--($AL1271:$AQ1271&gt;AM1271))+SUMPRODUCT(--($AL1271:AL1271=AM1271))&lt;$AK1271,1,0)</f>
        <v>62</v>
      </c>
      <c r="N1271" s="2" t="n">
        <f aca="false">AG1271+IF(SUMPRODUCT(--($AL1271:$AQ1271&gt;AN1271))+SUMPRODUCT(--($AL1271:AM1271=AN1271))&lt;$AK1271,1,0)</f>
        <v>64</v>
      </c>
      <c r="O1271" s="2" t="n">
        <f aca="false">AH1271+IF(SUMPRODUCT(--($AL1271:$AQ1271&gt;AO1271))+SUMPRODUCT(--($AL1271:AN1271=AO1271))&lt;$AK1271,1,0)</f>
        <v>96</v>
      </c>
      <c r="P1271" s="2" t="n">
        <f aca="false">AI1271+IF(SUMPRODUCT(--($AL1271:$AQ1271&gt;AP1271))+SUMPRODUCT(--($AL1271:AO1271=AP1271))&lt;$AK1271,1,0)</f>
        <v>111</v>
      </c>
      <c r="Q1271" s="2" t="n">
        <f aca="false">AJ1271+IF(SUMPRODUCT(--($AL1271:$AQ1271&gt;AQ1271))+SUMPRODUCT(--($AL1271:AP1271=AQ1271))&lt;$AK1271,1,0)</f>
        <v>72</v>
      </c>
      <c r="R1271" s="2" t="n">
        <f aca="false">SUM(L1271:Q1271)</f>
        <v>500</v>
      </c>
      <c r="S1271" s="2" t="n">
        <f aca="false">Settings!$B$4*MAX(INDEX(Bases!$M$2:$M$53,B1271),INDEX(Bases!$M$2:$M$53,C1271))+Settings!$B$5*MIN(INDEX(Bases!$M$2:$M$53,B1271),INDEX(Bases!$M$2:$M$53,C1271))</f>
        <v>80</v>
      </c>
      <c r="T1271" s="2" t="n">
        <f aca="false">Settings!$B$4*MAX(INDEX(Bases!$N$2:$N$53,B1271),INDEX(Bases!$N$2:$N$53,C1271))+Settings!$B$5*MIN(INDEX(Bases!$N$2:$N$53,B1271),INDEX(Bases!$N$2:$N$53,C1271))</f>
        <v>52</v>
      </c>
      <c r="U1271" s="2" t="n">
        <f aca="false">Settings!$B$4*MAX(INDEX(Bases!$O$2:$O$53,B1271),INDEX(Bases!$O$2:$O$53,C1271))+Settings!$B$5*MIN(INDEX(Bases!$O$2:$O$53,B1271),INDEX(Bases!$O$2:$O$53,C1271))</f>
        <v>53.6666666666667</v>
      </c>
      <c r="V1271" s="2" t="n">
        <f aca="false">Settings!$B$4*MAX(INDEX(Bases!$P$2:$P$53,B1271),INDEX(Bases!$P$2:$P$53,C1271))+Settings!$B$5*MIN(INDEX(Bases!$P$2:$P$53,B1271),INDEX(Bases!$P$2:$P$53,C1271))</f>
        <v>81.3333333333333</v>
      </c>
      <c r="W1271" s="2" t="n">
        <f aca="false">Settings!$B$4*MAX(INDEX(Bases!$Q$2:$Q$53,B1271),INDEX(Bases!$Q$2:$Q$53,C1271))+Settings!$B$5*MIN(INDEX(Bases!$Q$2:$Q$53,B1271),INDEX(Bases!$Q$2:$Q$53,C1271))</f>
        <v>93.3333333333333</v>
      </c>
      <c r="X1271" s="2" t="n">
        <f aca="false">Settings!$B$4*MAX(INDEX(Bases!$R$2:$R$53,B1271),INDEX(Bases!$R$2:$R$53,C1271))+Settings!$B$5*MIN(INDEX(Bases!$R$2:$R$53,B1271),INDEX(Bases!$R$2:$R$53,C1271))</f>
        <v>61</v>
      </c>
      <c r="Y1271" s="2" t="n">
        <f aca="false">S1271*Settings!$B$3/SUM(S1271:X1271)</f>
        <v>94.9367088607595</v>
      </c>
      <c r="Z1271" s="2" t="n">
        <f aca="false">T1271*Settings!$B$3/SUM(S1271:X1271)</f>
        <v>61.7088607594937</v>
      </c>
      <c r="AA1271" s="2" t="n">
        <f aca="false">U1271*Settings!$B$3/SUM(S1271:X1271)</f>
        <v>63.6867088607595</v>
      </c>
      <c r="AB1271" s="2" t="n">
        <f aca="false">V1271*Settings!$B$3/SUM(S1271:X1271)</f>
        <v>96.5189873417722</v>
      </c>
      <c r="AC1271" s="2" t="n">
        <f aca="false">W1271*Settings!$B$3/SUM(S1271:X1271)</f>
        <v>110.759493670886</v>
      </c>
      <c r="AD1271" s="2" t="n">
        <f aca="false">X1271*Settings!$B$3/SUM(S1271:X1271)</f>
        <v>72.3892405063291</v>
      </c>
      <c r="AE1271" s="2" t="n">
        <f aca="false">INT(Y1271)</f>
        <v>94</v>
      </c>
      <c r="AF1271" s="2" t="n">
        <f aca="false">INT(Z1271)</f>
        <v>61</v>
      </c>
      <c r="AG1271" s="2" t="n">
        <f aca="false">INT(AA1271)</f>
        <v>63</v>
      </c>
      <c r="AH1271" s="2" t="n">
        <f aca="false">INT(AB1271)</f>
        <v>96</v>
      </c>
      <c r="AI1271" s="2" t="n">
        <f aca="false">INT(AC1271)</f>
        <v>110</v>
      </c>
      <c r="AJ1271" s="2" t="n">
        <f aca="false">INT(AD1271)</f>
        <v>72</v>
      </c>
      <c r="AK1271" s="2" t="n">
        <f aca="false">Settings!$B$3-SUM(AE1271:AJ1271)</f>
        <v>4</v>
      </c>
      <c r="AL1271" s="2" t="n">
        <f aca="false">ROUND(Y1271-AE1271,9)</f>
        <v>0.936708861</v>
      </c>
      <c r="AM1271" s="2" t="n">
        <f aca="false">ROUND(Z1271-AF1271,9)</f>
        <v>0.708860759</v>
      </c>
      <c r="AN1271" s="2" t="n">
        <f aca="false">ROUND(AA1271-AG1271,9)</f>
        <v>0.686708861</v>
      </c>
      <c r="AO1271" s="2" t="n">
        <f aca="false">ROUND(AB1271-AH1271,9)</f>
        <v>0.518987342</v>
      </c>
      <c r="AP1271" s="2" t="n">
        <f aca="false">ROUND(AC1271-AI1271,9)</f>
        <v>0.759493671</v>
      </c>
      <c r="AQ1271" s="2" t="n">
        <f aca="false">ROUND(AD1271-AJ1271,9)</f>
        <v>0.389240506</v>
      </c>
    </row>
    <row r="1272" customFormat="false" ht="15" hidden="false" customHeight="false" outlineLevel="0" collapsed="false">
      <c r="A1272" s="2" t="n">
        <v>1271</v>
      </c>
      <c r="B1272" s="6" t="n">
        <v>41</v>
      </c>
      <c r="C1272" s="6" t="n">
        <v>52</v>
      </c>
      <c r="D1272" s="8" t="str">
        <f aca="false">INDEX(Bases!$B$2:$B$53,B1272)</f>
        <v>Misdreavus</v>
      </c>
      <c r="E1272" s="8" t="str">
        <f aca="false">INDEX(Bases!$B$2:$B$53,C1272)</f>
        <v>Togepi</v>
      </c>
      <c r="F1272" s="2" t="str">
        <f aca="false">LEFT(D1272,ROUNDUP(LEN(D1272)/2,0))&amp;LOWER(MID(E1272,ROUNDUP(LEN(E1272)/2,0)+1,20))</f>
        <v>Misdrepi</v>
      </c>
      <c r="G1272" s="8" t="str">
        <f aca="false">INDEX(Bases!$C$2:$C$53,B1272)</f>
        <v>Ghost</v>
      </c>
      <c r="H1272" s="8" t="str">
        <f aca="false">IF(INDEX(Bases!$C$2:$C$53,C1272)=G1272,"",INDEX(Bases!$C$2:$C$53,C1272))</f>
        <v>Fairy</v>
      </c>
      <c r="I1272" s="8" t="str">
        <f aca="false">IF(INDEX(Bases!$E$2:$E$53,B1272)="","",INDEX(Bases!$E$2:$E$53,B1272))</f>
        <v/>
      </c>
      <c r="J1272" s="8" t="str">
        <f aca="false">IF(INDEX(Bases!$E$2:$E$53,C1272)="","",INDEX(Bases!$E$2:$E$53,C1272))</f>
        <v/>
      </c>
      <c r="K1272" s="5"/>
      <c r="L1272" s="2" t="n">
        <f aca="false">AE1272+IF(SUMPRODUCT(--($AL1272:$AQ1272&gt;AL1272))&lt;$AK1272,1,0)</f>
        <v>67</v>
      </c>
      <c r="M1272" s="2" t="n">
        <f aca="false">AF1272+IF(SUMPRODUCT(--($AL1272:$AQ1272&gt;AM1272))+SUMPRODUCT(--($AL1272:AL1272=AM1272))&lt;$AK1272,1,0)</f>
        <v>56</v>
      </c>
      <c r="N1272" s="2" t="n">
        <f aca="false">AG1272+IF(SUMPRODUCT(--($AL1272:$AQ1272&gt;AN1272))+SUMPRODUCT(--($AL1272:AM1272=AN1272))&lt;$AK1272,1,0)</f>
        <v>104</v>
      </c>
      <c r="O1272" s="2" t="n">
        <f aca="false">AH1272+IF(SUMPRODUCT(--($AL1272:$AQ1272&gt;AO1272))+SUMPRODUCT(--($AL1272:AN1272=AO1272))&lt;$AK1272,1,0)</f>
        <v>86</v>
      </c>
      <c r="P1272" s="2" t="n">
        <f aca="false">AI1272+IF(SUMPRODUCT(--($AL1272:$AQ1272&gt;AP1272))+SUMPRODUCT(--($AL1272:AO1272=AP1272))&lt;$AK1272,1,0)</f>
        <v>113</v>
      </c>
      <c r="Q1272" s="2" t="n">
        <f aca="false">AJ1272+IF(SUMPRODUCT(--($AL1272:$AQ1272&gt;AQ1272))+SUMPRODUCT(--($AL1272:AP1272=AQ1272))&lt;$AK1272,1,0)</f>
        <v>74</v>
      </c>
      <c r="R1272" s="2" t="n">
        <f aca="false">SUM(L1272:Q1272)</f>
        <v>500</v>
      </c>
      <c r="S1272" s="2" t="n">
        <f aca="false">Settings!$B$4*MAX(INDEX(Bases!$M$2:$M$53,B1272),INDEX(Bases!$M$2:$M$53,C1272))+Settings!$B$5*MIN(INDEX(Bases!$M$2:$M$53,B1272),INDEX(Bases!$M$2:$M$53,C1272))</f>
        <v>56.6666666666667</v>
      </c>
      <c r="T1272" s="2" t="n">
        <f aca="false">Settings!$B$4*MAX(INDEX(Bases!$N$2:$N$53,B1272),INDEX(Bases!$N$2:$N$53,C1272))+Settings!$B$5*MIN(INDEX(Bases!$N$2:$N$53,B1272),INDEX(Bases!$N$2:$N$53,C1272))</f>
        <v>47.6666666666667</v>
      </c>
      <c r="U1272" s="2" t="n">
        <f aca="false">Settings!$B$4*MAX(INDEX(Bases!$O$2:$O$53,B1272),INDEX(Bases!$O$2:$O$53,C1272))+Settings!$B$5*MIN(INDEX(Bases!$O$2:$O$53,B1272),INDEX(Bases!$O$2:$O$53,C1272))</f>
        <v>89</v>
      </c>
      <c r="V1272" s="2" t="n">
        <f aca="false">Settings!$B$4*MAX(INDEX(Bases!$P$2:$P$53,B1272),INDEX(Bases!$P$2:$P$53,C1272))+Settings!$B$5*MIN(INDEX(Bases!$P$2:$P$53,B1272),INDEX(Bases!$P$2:$P$53,C1272))</f>
        <v>73.6666666666667</v>
      </c>
      <c r="W1272" s="2" t="n">
        <f aca="false">Settings!$B$4*MAX(INDEX(Bases!$Q$2:$Q$53,B1272),INDEX(Bases!$Q$2:$Q$53,C1272))+Settings!$B$5*MIN(INDEX(Bases!$Q$2:$Q$53,B1272),INDEX(Bases!$Q$2:$Q$53,C1272))</f>
        <v>96.6666666666667</v>
      </c>
      <c r="X1272" s="2" t="n">
        <f aca="false">Settings!$B$4*MAX(INDEX(Bases!$R$2:$R$53,B1272),INDEX(Bases!$R$2:$R$53,C1272))+Settings!$B$5*MIN(INDEX(Bases!$R$2:$R$53,B1272),INDEX(Bases!$R$2:$R$53,C1272))</f>
        <v>63</v>
      </c>
      <c r="Y1272" s="2" t="n">
        <f aca="false">S1272*Settings!$B$3/SUM(S1272:X1272)</f>
        <v>66.40625</v>
      </c>
      <c r="Z1272" s="2" t="n">
        <f aca="false">T1272*Settings!$B$3/SUM(S1272:X1272)</f>
        <v>55.859375</v>
      </c>
      <c r="AA1272" s="2" t="n">
        <f aca="false">U1272*Settings!$B$3/SUM(S1272:X1272)</f>
        <v>104.296875</v>
      </c>
      <c r="AB1272" s="2" t="n">
        <f aca="false">V1272*Settings!$B$3/SUM(S1272:X1272)</f>
        <v>86.328125</v>
      </c>
      <c r="AC1272" s="2" t="n">
        <f aca="false">W1272*Settings!$B$3/SUM(S1272:X1272)</f>
        <v>113.28125</v>
      </c>
      <c r="AD1272" s="2" t="n">
        <f aca="false">X1272*Settings!$B$3/SUM(S1272:X1272)</f>
        <v>73.828125</v>
      </c>
      <c r="AE1272" s="2" t="n">
        <f aca="false">INT(Y1272)</f>
        <v>66</v>
      </c>
      <c r="AF1272" s="2" t="n">
        <f aca="false">INT(Z1272)</f>
        <v>55</v>
      </c>
      <c r="AG1272" s="2" t="n">
        <f aca="false">INT(AA1272)</f>
        <v>104</v>
      </c>
      <c r="AH1272" s="2" t="n">
        <f aca="false">INT(AB1272)</f>
        <v>86</v>
      </c>
      <c r="AI1272" s="2" t="n">
        <f aca="false">INT(AC1272)</f>
        <v>113</v>
      </c>
      <c r="AJ1272" s="2" t="n">
        <f aca="false">INT(AD1272)</f>
        <v>73</v>
      </c>
      <c r="AK1272" s="2" t="n">
        <f aca="false">Settings!$B$3-SUM(AE1272:AJ1272)</f>
        <v>3</v>
      </c>
      <c r="AL1272" s="2" t="n">
        <f aca="false">ROUND(Y1272-AE1272,9)</f>
        <v>0.40625</v>
      </c>
      <c r="AM1272" s="2" t="n">
        <f aca="false">ROUND(Z1272-AF1272,9)</f>
        <v>0.859375</v>
      </c>
      <c r="AN1272" s="2" t="n">
        <f aca="false">ROUND(AA1272-AG1272,9)</f>
        <v>0.296875</v>
      </c>
      <c r="AO1272" s="2" t="n">
        <f aca="false">ROUND(AB1272-AH1272,9)</f>
        <v>0.328125</v>
      </c>
      <c r="AP1272" s="2" t="n">
        <f aca="false">ROUND(AC1272-AI1272,9)</f>
        <v>0.28125</v>
      </c>
      <c r="AQ1272" s="2" t="n">
        <f aca="false">ROUND(AD1272-AJ1272,9)</f>
        <v>0.828125</v>
      </c>
    </row>
    <row r="1273" customFormat="false" ht="15" hidden="false" customHeight="false" outlineLevel="0" collapsed="false">
      <c r="A1273" s="2" t="n">
        <v>1272</v>
      </c>
      <c r="B1273" s="6" t="n">
        <v>42</v>
      </c>
      <c r="C1273" s="6" t="n">
        <v>43</v>
      </c>
      <c r="D1273" s="8" t="str">
        <f aca="false">INDEX(Bases!$B$2:$B$53,B1273)</f>
        <v>Sableye</v>
      </c>
      <c r="E1273" s="8" t="str">
        <f aca="false">INDEX(Bases!$B$2:$B$53,C1273)</f>
        <v>Dratini</v>
      </c>
      <c r="F1273" s="2" t="str">
        <f aca="false">LEFT(D1273,ROUNDUP(LEN(D1273)/2,0))&amp;LOWER(MID(E1273,ROUNDUP(LEN(E1273)/2,0)+1,20))</f>
        <v>Sablini</v>
      </c>
      <c r="G1273" s="8" t="str">
        <f aca="false">INDEX(Bases!$C$2:$C$53,B1273)</f>
        <v>Ghost</v>
      </c>
      <c r="H1273" s="8" t="str">
        <f aca="false">IF(INDEX(Bases!$C$2:$C$53,C1273)=G1273,"",INDEX(Bases!$C$2:$C$53,C1273))</f>
        <v>Dragon</v>
      </c>
      <c r="I1273" s="8" t="str">
        <f aca="false">IF(INDEX(Bases!$E$2:$E$53,B1273)="","",INDEX(Bases!$E$2:$E$53,B1273))</f>
        <v/>
      </c>
      <c r="J1273" s="8" t="str">
        <f aca="false">IF(INDEX(Bases!$E$2:$E$53,C1273)="","",INDEX(Bases!$E$2:$E$53,C1273))</f>
        <v/>
      </c>
      <c r="K1273" s="5"/>
      <c r="L1273" s="2" t="n">
        <f aca="false">AE1273+IF(SUMPRODUCT(--($AL1273:$AQ1273&gt;AL1273))&lt;$AK1273,1,0)</f>
        <v>67</v>
      </c>
      <c r="M1273" s="2" t="n">
        <f aca="false">AF1273+IF(SUMPRODUCT(--($AL1273:$AQ1273&gt;AM1273))+SUMPRODUCT(--($AL1273:AL1273=AM1273))&lt;$AK1273,1,0)</f>
        <v>102</v>
      </c>
      <c r="N1273" s="2" t="n">
        <f aca="false">AG1273+IF(SUMPRODUCT(--($AL1273:$AQ1273&gt;AN1273))+SUMPRODUCT(--($AL1273:AM1273=AN1273))&lt;$AK1273,1,0)</f>
        <v>89</v>
      </c>
      <c r="O1273" s="2" t="n">
        <f aca="false">AH1273+IF(SUMPRODUCT(--($AL1273:$AQ1273&gt;AO1273))+SUMPRODUCT(--($AL1273:AN1273=AO1273))&lt;$AK1273,1,0)</f>
        <v>83</v>
      </c>
      <c r="P1273" s="2" t="n">
        <f aca="false">AI1273+IF(SUMPRODUCT(--($AL1273:$AQ1273&gt;AP1273))+SUMPRODUCT(--($AL1273:AO1273=AP1273))&lt;$AK1273,1,0)</f>
        <v>83</v>
      </c>
      <c r="Q1273" s="2" t="n">
        <f aca="false">AJ1273+IF(SUMPRODUCT(--($AL1273:$AQ1273&gt;AQ1273))+SUMPRODUCT(--($AL1273:AP1273=AQ1273))&lt;$AK1273,1,0)</f>
        <v>76</v>
      </c>
      <c r="R1273" s="2" t="n">
        <f aca="false">SUM(L1273:Q1273)</f>
        <v>500</v>
      </c>
      <c r="S1273" s="2" t="n">
        <f aca="false">Settings!$B$4*MAX(INDEX(Bases!$M$2:$M$53,B1273),INDEX(Bases!$M$2:$M$53,C1273))+Settings!$B$5*MIN(INDEX(Bases!$M$2:$M$53,B1273),INDEX(Bases!$M$2:$M$53,C1273))</f>
        <v>54.3333333333333</v>
      </c>
      <c r="T1273" s="2" t="n">
        <f aca="false">Settings!$B$4*MAX(INDEX(Bases!$N$2:$N$53,B1273),INDEX(Bases!$N$2:$N$53,C1273))+Settings!$B$5*MIN(INDEX(Bases!$N$2:$N$53,B1273),INDEX(Bases!$N$2:$N$53,C1273))</f>
        <v>83</v>
      </c>
      <c r="U1273" s="2" t="n">
        <f aca="false">Settings!$B$4*MAX(INDEX(Bases!$O$2:$O$53,B1273),INDEX(Bases!$O$2:$O$53,C1273))+Settings!$B$5*MIN(INDEX(Bases!$O$2:$O$53,B1273),INDEX(Bases!$O$2:$O$53,C1273))</f>
        <v>72.6666666666667</v>
      </c>
      <c r="V1273" s="2" t="n">
        <f aca="false">Settings!$B$4*MAX(INDEX(Bases!$P$2:$P$53,B1273),INDEX(Bases!$P$2:$P$53,C1273))+Settings!$B$5*MIN(INDEX(Bases!$P$2:$P$53,B1273),INDEX(Bases!$P$2:$P$53,C1273))</f>
        <v>67.6666666666667</v>
      </c>
      <c r="W1273" s="2" t="n">
        <f aca="false">Settings!$B$4*MAX(INDEX(Bases!$Q$2:$Q$53,B1273),INDEX(Bases!$Q$2:$Q$53,C1273))+Settings!$B$5*MIN(INDEX(Bases!$Q$2:$Q$53,B1273),INDEX(Bases!$Q$2:$Q$53,C1273))</f>
        <v>67.6666666666667</v>
      </c>
      <c r="X1273" s="2" t="n">
        <f aca="false">Settings!$B$4*MAX(INDEX(Bases!$R$2:$R$53,B1273),INDEX(Bases!$R$2:$R$53,C1273))+Settings!$B$5*MIN(INDEX(Bases!$R$2:$R$53,B1273),INDEX(Bases!$R$2:$R$53,C1273))</f>
        <v>61.6666666666667</v>
      </c>
      <c r="Y1273" s="2" t="n">
        <f aca="false">S1273*Settings!$B$3/SUM(S1273:X1273)</f>
        <v>66.7485667485667</v>
      </c>
      <c r="Z1273" s="2" t="n">
        <f aca="false">T1273*Settings!$B$3/SUM(S1273:X1273)</f>
        <v>101.965601965602</v>
      </c>
      <c r="AA1273" s="2" t="n">
        <f aca="false">U1273*Settings!$B$3/SUM(S1273:X1273)</f>
        <v>89.2710892710893</v>
      </c>
      <c r="AB1273" s="2" t="n">
        <f aca="false">V1273*Settings!$B$3/SUM(S1273:X1273)</f>
        <v>83.1285831285831</v>
      </c>
      <c r="AC1273" s="2" t="n">
        <f aca="false">W1273*Settings!$B$3/SUM(S1273:X1273)</f>
        <v>83.1285831285831</v>
      </c>
      <c r="AD1273" s="2" t="n">
        <f aca="false">X1273*Settings!$B$3/SUM(S1273:X1273)</f>
        <v>75.7575757575758</v>
      </c>
      <c r="AE1273" s="2" t="n">
        <f aca="false">INT(Y1273)</f>
        <v>66</v>
      </c>
      <c r="AF1273" s="2" t="n">
        <f aca="false">INT(Z1273)</f>
        <v>101</v>
      </c>
      <c r="AG1273" s="2" t="n">
        <f aca="false">INT(AA1273)</f>
        <v>89</v>
      </c>
      <c r="AH1273" s="2" t="n">
        <f aca="false">INT(AB1273)</f>
        <v>83</v>
      </c>
      <c r="AI1273" s="2" t="n">
        <f aca="false">INT(AC1273)</f>
        <v>83</v>
      </c>
      <c r="AJ1273" s="2" t="n">
        <f aca="false">INT(AD1273)</f>
        <v>75</v>
      </c>
      <c r="AK1273" s="2" t="n">
        <f aca="false">Settings!$B$3-SUM(AE1273:AJ1273)</f>
        <v>3</v>
      </c>
      <c r="AL1273" s="2" t="n">
        <f aca="false">ROUND(Y1273-AE1273,9)</f>
        <v>0.748566749</v>
      </c>
      <c r="AM1273" s="2" t="n">
        <f aca="false">ROUND(Z1273-AF1273,9)</f>
        <v>0.965601966</v>
      </c>
      <c r="AN1273" s="2" t="n">
        <f aca="false">ROUND(AA1273-AG1273,9)</f>
        <v>0.271089271</v>
      </c>
      <c r="AO1273" s="2" t="n">
        <f aca="false">ROUND(AB1273-AH1273,9)</f>
        <v>0.128583129</v>
      </c>
      <c r="AP1273" s="2" t="n">
        <f aca="false">ROUND(AC1273-AI1273,9)</f>
        <v>0.128583129</v>
      </c>
      <c r="AQ1273" s="2" t="n">
        <f aca="false">ROUND(AD1273-AJ1273,9)</f>
        <v>0.757575758</v>
      </c>
    </row>
    <row r="1274" customFormat="false" ht="15" hidden="false" customHeight="false" outlineLevel="0" collapsed="false">
      <c r="A1274" s="2" t="n">
        <v>1273</v>
      </c>
      <c r="B1274" s="6" t="n">
        <v>42</v>
      </c>
      <c r="C1274" s="6" t="n">
        <v>44</v>
      </c>
      <c r="D1274" s="8" t="str">
        <f aca="false">INDEX(Bases!$B$2:$B$53,B1274)</f>
        <v>Sableye</v>
      </c>
      <c r="E1274" s="8" t="str">
        <f aca="false">INDEX(Bases!$B$2:$B$53,C1274)</f>
        <v>Bagon</v>
      </c>
      <c r="F1274" s="2" t="str">
        <f aca="false">LEFT(D1274,ROUNDUP(LEN(D1274)/2,0))&amp;LOWER(MID(E1274,ROUNDUP(LEN(E1274)/2,0)+1,20))</f>
        <v>Sablon</v>
      </c>
      <c r="G1274" s="8" t="str">
        <f aca="false">INDEX(Bases!$C$2:$C$53,B1274)</f>
        <v>Ghost</v>
      </c>
      <c r="H1274" s="8" t="str">
        <f aca="false">IF(INDEX(Bases!$C$2:$C$53,C1274)=G1274,"",INDEX(Bases!$C$2:$C$53,C1274))</f>
        <v>Dragon</v>
      </c>
      <c r="I1274" s="8" t="str">
        <f aca="false">IF(INDEX(Bases!$E$2:$E$53,B1274)="","",INDEX(Bases!$E$2:$E$53,B1274))</f>
        <v/>
      </c>
      <c r="J1274" s="8" t="str">
        <f aca="false">IF(INDEX(Bases!$E$2:$E$53,C1274)="","",INDEX(Bases!$E$2:$E$53,C1274))</f>
        <v/>
      </c>
      <c r="K1274" s="5"/>
      <c r="L1274" s="2" t="n">
        <f aca="false">AE1274+IF(SUMPRODUCT(--($AL1274:$AQ1274&gt;AL1274))&lt;$AK1274,1,0)</f>
        <v>70</v>
      </c>
      <c r="M1274" s="2" t="n">
        <f aca="false">AF1274+IF(SUMPRODUCT(--($AL1274:$AQ1274&gt;AM1274))+SUMPRODUCT(--($AL1274:AL1274=AM1274))&lt;$AK1274,1,0)</f>
        <v>112</v>
      </c>
      <c r="N1274" s="2" t="n">
        <f aca="false">AG1274+IF(SUMPRODUCT(--($AL1274:$AQ1274&gt;AN1274))+SUMPRODUCT(--($AL1274:AM1274=AN1274))&lt;$AK1274,1,0)</f>
        <v>96</v>
      </c>
      <c r="O1274" s="2" t="n">
        <f aca="false">AH1274+IF(SUMPRODUCT(--($AL1274:$AQ1274&gt;AO1274))+SUMPRODUCT(--($AL1274:AN1274=AO1274))&lt;$AK1274,1,0)</f>
        <v>76</v>
      </c>
      <c r="P1274" s="2" t="n">
        <f aca="false">AI1274+IF(SUMPRODUCT(--($AL1274:$AQ1274&gt;AP1274))+SUMPRODUCT(--($AL1274:AO1274=AP1274))&lt;$AK1274,1,0)</f>
        <v>71</v>
      </c>
      <c r="Q1274" s="2" t="n">
        <f aca="false">AJ1274+IF(SUMPRODUCT(--($AL1274:$AQ1274&gt;AQ1274))+SUMPRODUCT(--($AL1274:AP1274=AQ1274))&lt;$AK1274,1,0)</f>
        <v>75</v>
      </c>
      <c r="R1274" s="2" t="n">
        <f aca="false">SUM(L1274:Q1274)</f>
        <v>500</v>
      </c>
      <c r="S1274" s="2" t="n">
        <f aca="false">Settings!$B$4*MAX(INDEX(Bases!$M$2:$M$53,B1274),INDEX(Bases!$M$2:$M$53,C1274))+Settings!$B$5*MIN(INDEX(Bases!$M$2:$M$53,B1274),INDEX(Bases!$M$2:$M$53,C1274))</f>
        <v>57.6666666666667</v>
      </c>
      <c r="T1274" s="2" t="n">
        <f aca="false">Settings!$B$4*MAX(INDEX(Bases!$N$2:$N$53,B1274),INDEX(Bases!$N$2:$N$53,C1274))+Settings!$B$5*MIN(INDEX(Bases!$N$2:$N$53,B1274),INDEX(Bases!$N$2:$N$53,C1274))</f>
        <v>93</v>
      </c>
      <c r="U1274" s="2" t="n">
        <f aca="false">Settings!$B$4*MAX(INDEX(Bases!$O$2:$O$53,B1274),INDEX(Bases!$O$2:$O$53,C1274))+Settings!$B$5*MIN(INDEX(Bases!$O$2:$O$53,B1274),INDEX(Bases!$O$2:$O$53,C1274))</f>
        <v>79.6666666666667</v>
      </c>
      <c r="V1274" s="2" t="n">
        <f aca="false">Settings!$B$4*MAX(INDEX(Bases!$P$2:$P$53,B1274),INDEX(Bases!$P$2:$P$53,C1274))+Settings!$B$5*MIN(INDEX(Bases!$P$2:$P$53,B1274),INDEX(Bases!$P$2:$P$53,C1274))</f>
        <v>63</v>
      </c>
      <c r="W1274" s="2" t="n">
        <f aca="false">Settings!$B$4*MAX(INDEX(Bases!$Q$2:$Q$53,B1274),INDEX(Bases!$Q$2:$Q$53,C1274))+Settings!$B$5*MIN(INDEX(Bases!$Q$2:$Q$53,B1274),INDEX(Bases!$Q$2:$Q$53,C1274))</f>
        <v>58.6666666666667</v>
      </c>
      <c r="X1274" s="2" t="n">
        <f aca="false">Settings!$B$4*MAX(INDEX(Bases!$R$2:$R$53,B1274),INDEX(Bases!$R$2:$R$53,C1274))+Settings!$B$5*MIN(INDEX(Bases!$R$2:$R$53,B1274),INDEX(Bases!$R$2:$R$53,C1274))</f>
        <v>62.3333333333333</v>
      </c>
      <c r="Y1274" s="2" t="n">
        <f aca="false">S1274*Settings!$B$3/SUM(S1274:X1274)</f>
        <v>69.5897023330652</v>
      </c>
      <c r="Z1274" s="2" t="n">
        <f aca="false">T1274*Settings!$B$3/SUM(S1274:X1274)</f>
        <v>112.228479485117</v>
      </c>
      <c r="AA1274" s="2" t="n">
        <f aca="false">U1274*Settings!$B$3/SUM(S1274:X1274)</f>
        <v>96.1383748994368</v>
      </c>
      <c r="AB1274" s="2" t="n">
        <f aca="false">V1274*Settings!$B$3/SUM(S1274:X1274)</f>
        <v>76.0257441673371</v>
      </c>
      <c r="AC1274" s="2" t="n">
        <f aca="false">W1274*Settings!$B$3/SUM(S1274:X1274)</f>
        <v>70.7964601769912</v>
      </c>
      <c r="AD1274" s="2" t="n">
        <f aca="false">X1274*Settings!$B$3/SUM(S1274:X1274)</f>
        <v>75.2212389380531</v>
      </c>
      <c r="AE1274" s="2" t="n">
        <f aca="false">INT(Y1274)</f>
        <v>69</v>
      </c>
      <c r="AF1274" s="2" t="n">
        <f aca="false">INT(Z1274)</f>
        <v>112</v>
      </c>
      <c r="AG1274" s="2" t="n">
        <f aca="false">INT(AA1274)</f>
        <v>96</v>
      </c>
      <c r="AH1274" s="2" t="n">
        <f aca="false">INT(AB1274)</f>
        <v>76</v>
      </c>
      <c r="AI1274" s="2" t="n">
        <f aca="false">INT(AC1274)</f>
        <v>70</v>
      </c>
      <c r="AJ1274" s="2" t="n">
        <f aca="false">INT(AD1274)</f>
        <v>75</v>
      </c>
      <c r="AK1274" s="2" t="n">
        <f aca="false">Settings!$B$3-SUM(AE1274:AJ1274)</f>
        <v>2</v>
      </c>
      <c r="AL1274" s="2" t="n">
        <f aca="false">ROUND(Y1274-AE1274,9)</f>
        <v>0.589702333</v>
      </c>
      <c r="AM1274" s="2" t="n">
        <f aca="false">ROUND(Z1274-AF1274,9)</f>
        <v>0.228479485</v>
      </c>
      <c r="AN1274" s="2" t="n">
        <f aca="false">ROUND(AA1274-AG1274,9)</f>
        <v>0.138374899</v>
      </c>
      <c r="AO1274" s="2" t="n">
        <f aca="false">ROUND(AB1274-AH1274,9)</f>
        <v>0.025744167</v>
      </c>
      <c r="AP1274" s="2" t="n">
        <f aca="false">ROUND(AC1274-AI1274,9)</f>
        <v>0.796460177</v>
      </c>
      <c r="AQ1274" s="2" t="n">
        <f aca="false">ROUND(AD1274-AJ1274,9)</f>
        <v>0.221238938</v>
      </c>
    </row>
    <row r="1275" customFormat="false" ht="15" hidden="false" customHeight="false" outlineLevel="0" collapsed="false">
      <c r="A1275" s="2" t="n">
        <v>1274</v>
      </c>
      <c r="B1275" s="6" t="n">
        <v>42</v>
      </c>
      <c r="C1275" s="6" t="n">
        <v>45</v>
      </c>
      <c r="D1275" s="8" t="str">
        <f aca="false">INDEX(Bases!$B$2:$B$53,B1275)</f>
        <v>Sableye</v>
      </c>
      <c r="E1275" s="8" t="str">
        <f aca="false">INDEX(Bases!$B$2:$B$53,C1275)</f>
        <v>Sneasel</v>
      </c>
      <c r="F1275" s="2" t="str">
        <f aca="false">LEFT(D1275,ROUNDUP(LEN(D1275)/2,0))&amp;LOWER(MID(E1275,ROUNDUP(LEN(E1275)/2,0)+1,20))</f>
        <v>Sablsel</v>
      </c>
      <c r="G1275" s="8" t="str">
        <f aca="false">INDEX(Bases!$C$2:$C$53,B1275)</f>
        <v>Ghost</v>
      </c>
      <c r="H1275" s="8" t="str">
        <f aca="false">IF(INDEX(Bases!$C$2:$C$53,C1275)=G1275,"",INDEX(Bases!$C$2:$C$53,C1275))</f>
        <v>Dark</v>
      </c>
      <c r="I1275" s="8" t="str">
        <f aca="false">IF(INDEX(Bases!$E$2:$E$53,B1275)="","",INDEX(Bases!$E$2:$E$53,B1275))</f>
        <v/>
      </c>
      <c r="J1275" s="8" t="str">
        <f aca="false">IF(INDEX(Bases!$E$2:$E$53,C1275)="","",INDEX(Bases!$E$2:$E$53,C1275))</f>
        <v/>
      </c>
      <c r="K1275" s="5"/>
      <c r="L1275" s="2" t="n">
        <f aca="false">AE1275+IF(SUMPRODUCT(--($AL1275:$AQ1275&gt;AL1275))&lt;$AK1275,1,0)</f>
        <v>62</v>
      </c>
      <c r="M1275" s="2" t="n">
        <f aca="false">AF1275+IF(SUMPRODUCT(--($AL1275:$AQ1275&gt;AM1275))+SUMPRODUCT(--($AL1275:AL1275=AM1275))&lt;$AK1275,1,0)</f>
        <v>101</v>
      </c>
      <c r="N1275" s="2" t="n">
        <f aca="false">AG1275+IF(SUMPRODUCT(--($AL1275:$AQ1275&gt;AN1275))+SUMPRODUCT(--($AL1275:AM1275=AN1275))&lt;$AK1275,1,0)</f>
        <v>83</v>
      </c>
      <c r="O1275" s="2" t="n">
        <f aca="false">AH1275+IF(SUMPRODUCT(--($AL1275:$AQ1275&gt;AO1275))+SUMPRODUCT(--($AL1275:AN1275=AO1275))&lt;$AK1275,1,0)</f>
        <v>67</v>
      </c>
      <c r="P1275" s="2" t="n">
        <f aca="false">AI1275+IF(SUMPRODUCT(--($AL1275:$AQ1275&gt;AP1275))+SUMPRODUCT(--($AL1275:AO1275=AP1275))&lt;$AK1275,1,0)</f>
        <v>82</v>
      </c>
      <c r="Q1275" s="2" t="n">
        <f aca="false">AJ1275+IF(SUMPRODUCT(--($AL1275:$AQ1275&gt;AQ1275))+SUMPRODUCT(--($AL1275:AP1275=AQ1275))&lt;$AK1275,1,0)</f>
        <v>105</v>
      </c>
      <c r="R1275" s="2" t="n">
        <f aca="false">SUM(L1275:Q1275)</f>
        <v>500</v>
      </c>
      <c r="S1275" s="2" t="n">
        <f aca="false">Settings!$B$4*MAX(INDEX(Bases!$M$2:$M$53,B1275),INDEX(Bases!$M$2:$M$53,C1275))+Settings!$B$5*MIN(INDEX(Bases!$M$2:$M$53,B1275),INDEX(Bases!$M$2:$M$53,C1275))</f>
        <v>52.3333333333333</v>
      </c>
      <c r="T1275" s="2" t="n">
        <f aca="false">Settings!$B$4*MAX(INDEX(Bases!$N$2:$N$53,B1275),INDEX(Bases!$N$2:$N$53,C1275))+Settings!$B$5*MIN(INDEX(Bases!$N$2:$N$53,B1275),INDEX(Bases!$N$2:$N$53,C1275))</f>
        <v>85</v>
      </c>
      <c r="U1275" s="2" t="n">
        <f aca="false">Settings!$B$4*MAX(INDEX(Bases!$O$2:$O$53,B1275),INDEX(Bases!$O$2:$O$53,C1275))+Settings!$B$5*MIN(INDEX(Bases!$O$2:$O$53,B1275),INDEX(Bases!$O$2:$O$53,C1275))</f>
        <v>69.6666666666667</v>
      </c>
      <c r="V1275" s="2" t="n">
        <f aca="false">Settings!$B$4*MAX(INDEX(Bases!$P$2:$P$53,B1275),INDEX(Bases!$P$2:$P$53,C1275))+Settings!$B$5*MIN(INDEX(Bases!$P$2:$P$53,B1275),INDEX(Bases!$P$2:$P$53,C1275))</f>
        <v>56.3333333333333</v>
      </c>
      <c r="W1275" s="2" t="n">
        <f aca="false">Settings!$B$4*MAX(INDEX(Bases!$Q$2:$Q$53,B1275),INDEX(Bases!$Q$2:$Q$53,C1275))+Settings!$B$5*MIN(INDEX(Bases!$Q$2:$Q$53,B1275),INDEX(Bases!$Q$2:$Q$53,C1275))</f>
        <v>69.3333333333333</v>
      </c>
      <c r="X1275" s="2" t="n">
        <f aca="false">Settings!$B$4*MAX(INDEX(Bases!$R$2:$R$53,B1275),INDEX(Bases!$R$2:$R$53,C1275))+Settings!$B$5*MIN(INDEX(Bases!$R$2:$R$53,B1275),INDEX(Bases!$R$2:$R$53,C1275))</f>
        <v>89</v>
      </c>
      <c r="Y1275" s="2" t="n">
        <f aca="false">S1275*Settings!$B$3/SUM(S1275:X1275)</f>
        <v>62.0553359683794</v>
      </c>
      <c r="Z1275" s="2" t="n">
        <f aca="false">T1275*Settings!$B$3/SUM(S1275:X1275)</f>
        <v>100.790513833992</v>
      </c>
      <c r="AA1275" s="2" t="n">
        <f aca="false">U1275*Settings!$B$3/SUM(S1275:X1275)</f>
        <v>82.6086956521739</v>
      </c>
      <c r="AB1275" s="2" t="n">
        <f aca="false">V1275*Settings!$B$3/SUM(S1275:X1275)</f>
        <v>66.798418972332</v>
      </c>
      <c r="AC1275" s="2" t="n">
        <f aca="false">W1275*Settings!$B$3/SUM(S1275:X1275)</f>
        <v>82.2134387351779</v>
      </c>
      <c r="AD1275" s="2" t="n">
        <f aca="false">X1275*Settings!$B$3/SUM(S1275:X1275)</f>
        <v>105.533596837945</v>
      </c>
      <c r="AE1275" s="2" t="n">
        <f aca="false">INT(Y1275)</f>
        <v>62</v>
      </c>
      <c r="AF1275" s="2" t="n">
        <f aca="false">INT(Z1275)</f>
        <v>100</v>
      </c>
      <c r="AG1275" s="2" t="n">
        <f aca="false">INT(AA1275)</f>
        <v>82</v>
      </c>
      <c r="AH1275" s="2" t="n">
        <f aca="false">INT(AB1275)</f>
        <v>66</v>
      </c>
      <c r="AI1275" s="2" t="n">
        <f aca="false">INT(AC1275)</f>
        <v>82</v>
      </c>
      <c r="AJ1275" s="2" t="n">
        <f aca="false">INT(AD1275)</f>
        <v>105</v>
      </c>
      <c r="AK1275" s="2" t="n">
        <f aca="false">Settings!$B$3-SUM(AE1275:AJ1275)</f>
        <v>3</v>
      </c>
      <c r="AL1275" s="2" t="n">
        <f aca="false">ROUND(Y1275-AE1275,9)</f>
        <v>0.055335968</v>
      </c>
      <c r="AM1275" s="2" t="n">
        <f aca="false">ROUND(Z1275-AF1275,9)</f>
        <v>0.790513834</v>
      </c>
      <c r="AN1275" s="2" t="n">
        <f aca="false">ROUND(AA1275-AG1275,9)</f>
        <v>0.608695652</v>
      </c>
      <c r="AO1275" s="2" t="n">
        <f aca="false">ROUND(AB1275-AH1275,9)</f>
        <v>0.798418972</v>
      </c>
      <c r="AP1275" s="2" t="n">
        <f aca="false">ROUND(AC1275-AI1275,9)</f>
        <v>0.213438735</v>
      </c>
      <c r="AQ1275" s="2" t="n">
        <f aca="false">ROUND(AD1275-AJ1275,9)</f>
        <v>0.533596838</v>
      </c>
    </row>
    <row r="1276" customFormat="false" ht="15" hidden="false" customHeight="false" outlineLevel="0" collapsed="false">
      <c r="A1276" s="2" t="n">
        <v>1275</v>
      </c>
      <c r="B1276" s="6" t="n">
        <v>42</v>
      </c>
      <c r="C1276" s="6" t="n">
        <v>46</v>
      </c>
      <c r="D1276" s="8" t="str">
        <f aca="false">INDEX(Bases!$B$2:$B$53,B1276)</f>
        <v>Sableye</v>
      </c>
      <c r="E1276" s="8" t="str">
        <f aca="false">INDEX(Bases!$B$2:$B$53,C1276)</f>
        <v>Houndour</v>
      </c>
      <c r="F1276" s="2" t="str">
        <f aca="false">LEFT(D1276,ROUNDUP(LEN(D1276)/2,0))&amp;LOWER(MID(E1276,ROUNDUP(LEN(E1276)/2,0)+1,20))</f>
        <v>Sabldour</v>
      </c>
      <c r="G1276" s="8" t="str">
        <f aca="false">INDEX(Bases!$C$2:$C$53,B1276)</f>
        <v>Ghost</v>
      </c>
      <c r="H1276" s="8" t="str">
        <f aca="false">IF(INDEX(Bases!$C$2:$C$53,C1276)=G1276,"",INDEX(Bases!$C$2:$C$53,C1276))</f>
        <v>Dark</v>
      </c>
      <c r="I1276" s="8" t="str">
        <f aca="false">IF(INDEX(Bases!$E$2:$E$53,B1276)="","",INDEX(Bases!$E$2:$E$53,B1276))</f>
        <v/>
      </c>
      <c r="J1276" s="8" t="str">
        <f aca="false">IF(INDEX(Bases!$E$2:$E$53,C1276)="","",INDEX(Bases!$E$2:$E$53,C1276))</f>
        <v/>
      </c>
      <c r="K1276" s="5"/>
      <c r="L1276" s="2" t="n">
        <f aca="false">AE1276+IF(SUMPRODUCT(--($AL1276:$AQ1276&gt;AL1276))&lt;$AK1276,1,0)</f>
        <v>64</v>
      </c>
      <c r="M1276" s="2" t="n">
        <f aca="false">AF1276+IF(SUMPRODUCT(--($AL1276:$AQ1276&gt;AM1276))+SUMPRODUCT(--($AL1276:AL1276=AM1276))&lt;$AK1276,1,0)</f>
        <v>92</v>
      </c>
      <c r="N1276" s="2" t="n">
        <f aca="false">AG1276+IF(SUMPRODUCT(--($AL1276:$AQ1276&gt;AN1276))+SUMPRODUCT(--($AL1276:AM1276=AN1276))&lt;$AK1276,1,0)</f>
        <v>77</v>
      </c>
      <c r="O1276" s="2" t="n">
        <f aca="false">AH1276+IF(SUMPRODUCT(--($AL1276:$AQ1276&gt;AO1276))+SUMPRODUCT(--($AL1276:AN1276=AO1276))&lt;$AK1276,1,0)</f>
        <v>104</v>
      </c>
      <c r="P1276" s="2" t="n">
        <f aca="false">AI1276+IF(SUMPRODUCT(--($AL1276:$AQ1276&gt;AP1276))+SUMPRODUCT(--($AL1276:AO1276=AP1276))&lt;$AK1276,1,0)</f>
        <v>79</v>
      </c>
      <c r="Q1276" s="2" t="n">
        <f aca="false">AJ1276+IF(SUMPRODUCT(--($AL1276:$AQ1276&gt;AQ1276))+SUMPRODUCT(--($AL1276:AP1276=AQ1276))&lt;$AK1276,1,0)</f>
        <v>84</v>
      </c>
      <c r="R1276" s="2" t="n">
        <f aca="false">SUM(L1276:Q1276)</f>
        <v>500</v>
      </c>
      <c r="S1276" s="2" t="n">
        <f aca="false">Settings!$B$4*MAX(INDEX(Bases!$M$2:$M$53,B1276),INDEX(Bases!$M$2:$M$53,C1276))+Settings!$B$5*MIN(INDEX(Bases!$M$2:$M$53,B1276),INDEX(Bases!$M$2:$M$53,C1276))</f>
        <v>53.6666666666667</v>
      </c>
      <c r="T1276" s="2" t="n">
        <f aca="false">Settings!$B$4*MAX(INDEX(Bases!$N$2:$N$53,B1276),INDEX(Bases!$N$2:$N$53,C1276))+Settings!$B$5*MIN(INDEX(Bases!$N$2:$N$53,B1276),INDEX(Bases!$N$2:$N$53,C1276))</f>
        <v>77</v>
      </c>
      <c r="U1276" s="2" t="n">
        <f aca="false">Settings!$B$4*MAX(INDEX(Bases!$O$2:$O$53,B1276),INDEX(Bases!$O$2:$O$53,C1276))+Settings!$B$5*MIN(INDEX(Bases!$O$2:$O$53,B1276),INDEX(Bases!$O$2:$O$53,C1276))</f>
        <v>64.6666666666667</v>
      </c>
      <c r="V1276" s="2" t="n">
        <f aca="false">Settings!$B$4*MAX(INDEX(Bases!$P$2:$P$53,B1276),INDEX(Bases!$P$2:$P$53,C1276))+Settings!$B$5*MIN(INDEX(Bases!$P$2:$P$53,B1276),INDEX(Bases!$P$2:$P$53,C1276))</f>
        <v>87.3333333333333</v>
      </c>
      <c r="W1276" s="2" t="n">
        <f aca="false">Settings!$B$4*MAX(INDEX(Bases!$Q$2:$Q$53,B1276),INDEX(Bases!$Q$2:$Q$53,C1276))+Settings!$B$5*MIN(INDEX(Bases!$Q$2:$Q$53,B1276),INDEX(Bases!$Q$2:$Q$53,C1276))</f>
        <v>65.6666666666667</v>
      </c>
      <c r="X1276" s="2" t="n">
        <f aca="false">Settings!$B$4*MAX(INDEX(Bases!$R$2:$R$53,B1276),INDEX(Bases!$R$2:$R$53,C1276))+Settings!$B$5*MIN(INDEX(Bases!$R$2:$R$53,B1276),INDEX(Bases!$R$2:$R$53,C1276))</f>
        <v>70.3333333333333</v>
      </c>
      <c r="Y1276" s="2" t="n">
        <f aca="false">S1276*Settings!$B$3/SUM(S1276:X1276)</f>
        <v>64.0923566878981</v>
      </c>
      <c r="Z1276" s="2" t="n">
        <f aca="false">T1276*Settings!$B$3/SUM(S1276:X1276)</f>
        <v>91.9585987261147</v>
      </c>
      <c r="AA1276" s="2" t="n">
        <f aca="false">U1276*Settings!$B$3/SUM(S1276:X1276)</f>
        <v>77.2292993630573</v>
      </c>
      <c r="AB1276" s="2" t="n">
        <f aca="false">V1276*Settings!$B$3/SUM(S1276:X1276)</f>
        <v>104.299363057325</v>
      </c>
      <c r="AC1276" s="2" t="n">
        <f aca="false">W1276*Settings!$B$3/SUM(S1276:X1276)</f>
        <v>78.4235668789809</v>
      </c>
      <c r="AD1276" s="2" t="n">
        <f aca="false">X1276*Settings!$B$3/SUM(S1276:X1276)</f>
        <v>83.9968152866242</v>
      </c>
      <c r="AE1276" s="2" t="n">
        <f aca="false">INT(Y1276)</f>
        <v>64</v>
      </c>
      <c r="AF1276" s="2" t="n">
        <f aca="false">INT(Z1276)</f>
        <v>91</v>
      </c>
      <c r="AG1276" s="2" t="n">
        <f aca="false">INT(AA1276)</f>
        <v>77</v>
      </c>
      <c r="AH1276" s="2" t="n">
        <f aca="false">INT(AB1276)</f>
        <v>104</v>
      </c>
      <c r="AI1276" s="2" t="n">
        <f aca="false">INT(AC1276)</f>
        <v>78</v>
      </c>
      <c r="AJ1276" s="2" t="n">
        <f aca="false">INT(AD1276)</f>
        <v>83</v>
      </c>
      <c r="AK1276" s="2" t="n">
        <f aca="false">Settings!$B$3-SUM(AE1276:AJ1276)</f>
        <v>3</v>
      </c>
      <c r="AL1276" s="2" t="n">
        <f aca="false">ROUND(Y1276-AE1276,9)</f>
        <v>0.092356688</v>
      </c>
      <c r="AM1276" s="2" t="n">
        <f aca="false">ROUND(Z1276-AF1276,9)</f>
        <v>0.958598726</v>
      </c>
      <c r="AN1276" s="2" t="n">
        <f aca="false">ROUND(AA1276-AG1276,9)</f>
        <v>0.229299363</v>
      </c>
      <c r="AO1276" s="2" t="n">
        <f aca="false">ROUND(AB1276-AH1276,9)</f>
        <v>0.299363057</v>
      </c>
      <c r="AP1276" s="2" t="n">
        <f aca="false">ROUND(AC1276-AI1276,9)</f>
        <v>0.423566879</v>
      </c>
      <c r="AQ1276" s="2" t="n">
        <f aca="false">ROUND(AD1276-AJ1276,9)</f>
        <v>0.996815287</v>
      </c>
    </row>
    <row r="1277" customFormat="false" ht="15" hidden="false" customHeight="false" outlineLevel="0" collapsed="false">
      <c r="A1277" s="2" t="n">
        <v>1276</v>
      </c>
      <c r="B1277" s="6" t="n">
        <v>42</v>
      </c>
      <c r="C1277" s="6" t="n">
        <v>47</v>
      </c>
      <c r="D1277" s="8" t="str">
        <f aca="false">INDEX(Bases!$B$2:$B$53,B1277)</f>
        <v>Sableye</v>
      </c>
      <c r="E1277" s="8" t="str">
        <f aca="false">INDEX(Bases!$B$2:$B$53,C1277)</f>
        <v>Carvanha</v>
      </c>
      <c r="F1277" s="2" t="str">
        <f aca="false">LEFT(D1277,ROUNDUP(LEN(D1277)/2,0))&amp;LOWER(MID(E1277,ROUNDUP(LEN(E1277)/2,0)+1,20))</f>
        <v>Sablanha</v>
      </c>
      <c r="G1277" s="8" t="str">
        <f aca="false">INDEX(Bases!$C$2:$C$53,B1277)</f>
        <v>Ghost</v>
      </c>
      <c r="H1277" s="8" t="str">
        <f aca="false">IF(INDEX(Bases!$C$2:$C$53,C1277)=G1277,"",INDEX(Bases!$C$2:$C$53,C1277))</f>
        <v>Dark</v>
      </c>
      <c r="I1277" s="8" t="str">
        <f aca="false">IF(INDEX(Bases!$E$2:$E$53,B1277)="","",INDEX(Bases!$E$2:$E$53,B1277))</f>
        <v/>
      </c>
      <c r="J1277" s="8" t="str">
        <f aca="false">IF(INDEX(Bases!$E$2:$E$53,C1277)="","",INDEX(Bases!$E$2:$E$53,C1277))</f>
        <v/>
      </c>
      <c r="K1277" s="5"/>
      <c r="L1277" s="2" t="n">
        <f aca="false">AE1277+IF(SUMPRODUCT(--($AL1277:$AQ1277&gt;AL1277))&lt;$AK1277,1,0)</f>
        <v>66</v>
      </c>
      <c r="M1277" s="2" t="n">
        <f aca="false">AF1277+IF(SUMPRODUCT(--($AL1277:$AQ1277&gt;AM1277))+SUMPRODUCT(--($AL1277:AL1277=AM1277))&lt;$AK1277,1,0)</f>
        <v>122</v>
      </c>
      <c r="N1277" s="2" t="n">
        <f aca="false">AG1277+IF(SUMPRODUCT(--($AL1277:$AQ1277&gt;AN1277))+SUMPRODUCT(--($AL1277:AM1277=AN1277))&lt;$AK1277,1,0)</f>
        <v>71</v>
      </c>
      <c r="O1277" s="2" t="n">
        <f aca="false">AH1277+IF(SUMPRODUCT(--($AL1277:$AQ1277&gt;AO1277))+SUMPRODUCT(--($AL1277:AN1277=AO1277))&lt;$AK1277,1,0)</f>
        <v>93</v>
      </c>
      <c r="P1277" s="2" t="n">
        <f aca="false">AI1277+IF(SUMPRODUCT(--($AL1277:$AQ1277&gt;AP1277))+SUMPRODUCT(--($AL1277:AO1277=AP1277))&lt;$AK1277,1,0)</f>
        <v>62</v>
      </c>
      <c r="Q1277" s="2" t="n">
        <f aca="false">AJ1277+IF(SUMPRODUCT(--($AL1277:$AQ1277&gt;AQ1277))+SUMPRODUCT(--($AL1277:AP1277=AQ1277))&lt;$AK1277,1,0)</f>
        <v>86</v>
      </c>
      <c r="R1277" s="2" t="n">
        <f aca="false">SUM(L1277:Q1277)</f>
        <v>500</v>
      </c>
      <c r="S1277" s="2" t="n">
        <f aca="false">Settings!$B$4*MAX(INDEX(Bases!$M$2:$M$53,B1277),INDEX(Bases!$M$2:$M$53,C1277))+Settings!$B$5*MIN(INDEX(Bases!$M$2:$M$53,B1277),INDEX(Bases!$M$2:$M$53,C1277))</f>
        <v>57</v>
      </c>
      <c r="T1277" s="2" t="n">
        <f aca="false">Settings!$B$4*MAX(INDEX(Bases!$N$2:$N$53,B1277),INDEX(Bases!$N$2:$N$53,C1277))+Settings!$B$5*MIN(INDEX(Bases!$N$2:$N$53,B1277),INDEX(Bases!$N$2:$N$53,C1277))</f>
        <v>105</v>
      </c>
      <c r="U1277" s="2" t="n">
        <f aca="false">Settings!$B$4*MAX(INDEX(Bases!$O$2:$O$53,B1277),INDEX(Bases!$O$2:$O$53,C1277))+Settings!$B$5*MIN(INDEX(Bases!$O$2:$O$53,B1277),INDEX(Bases!$O$2:$O$53,C1277))</f>
        <v>61.3333333333333</v>
      </c>
      <c r="V1277" s="2" t="n">
        <f aca="false">Settings!$B$4*MAX(INDEX(Bases!$P$2:$P$53,B1277),INDEX(Bases!$P$2:$P$53,C1277))+Settings!$B$5*MIN(INDEX(Bases!$P$2:$P$53,B1277),INDEX(Bases!$P$2:$P$53,C1277))</f>
        <v>80</v>
      </c>
      <c r="W1277" s="2" t="n">
        <f aca="false">Settings!$B$4*MAX(INDEX(Bases!$Q$2:$Q$53,B1277),INDEX(Bases!$Q$2:$Q$53,C1277))+Settings!$B$5*MIN(INDEX(Bases!$Q$2:$Q$53,B1277),INDEX(Bases!$Q$2:$Q$53,C1277))</f>
        <v>54</v>
      </c>
      <c r="X1277" s="2" t="n">
        <f aca="false">Settings!$B$4*MAX(INDEX(Bases!$R$2:$R$53,B1277),INDEX(Bases!$R$2:$R$53,C1277))+Settings!$B$5*MIN(INDEX(Bases!$R$2:$R$53,B1277),INDEX(Bases!$R$2:$R$53,C1277))</f>
        <v>74.3333333333333</v>
      </c>
      <c r="Y1277" s="2" t="n">
        <f aca="false">S1277*Settings!$B$3/SUM(S1277:X1277)</f>
        <v>66.023166023166</v>
      </c>
      <c r="Z1277" s="2" t="n">
        <f aca="false">T1277*Settings!$B$3/SUM(S1277:X1277)</f>
        <v>121.621621621622</v>
      </c>
      <c r="AA1277" s="2" t="n">
        <f aca="false">U1277*Settings!$B$3/SUM(S1277:X1277)</f>
        <v>71.0424710424711</v>
      </c>
      <c r="AB1277" s="2" t="n">
        <f aca="false">V1277*Settings!$B$3/SUM(S1277:X1277)</f>
        <v>92.6640926640927</v>
      </c>
      <c r="AC1277" s="2" t="n">
        <f aca="false">W1277*Settings!$B$3/SUM(S1277:X1277)</f>
        <v>62.5482625482626</v>
      </c>
      <c r="AD1277" s="2" t="n">
        <f aca="false">X1277*Settings!$B$3/SUM(S1277:X1277)</f>
        <v>86.1003861003861</v>
      </c>
      <c r="AE1277" s="2" t="n">
        <f aca="false">INT(Y1277)</f>
        <v>66</v>
      </c>
      <c r="AF1277" s="2" t="n">
        <f aca="false">INT(Z1277)</f>
        <v>121</v>
      </c>
      <c r="AG1277" s="2" t="n">
        <f aca="false">INT(AA1277)</f>
        <v>71</v>
      </c>
      <c r="AH1277" s="2" t="n">
        <f aca="false">INT(AB1277)</f>
        <v>92</v>
      </c>
      <c r="AI1277" s="2" t="n">
        <f aca="false">INT(AC1277)</f>
        <v>62</v>
      </c>
      <c r="AJ1277" s="2" t="n">
        <f aca="false">INT(AD1277)</f>
        <v>86</v>
      </c>
      <c r="AK1277" s="2" t="n">
        <f aca="false">Settings!$B$3-SUM(AE1277:AJ1277)</f>
        <v>2</v>
      </c>
      <c r="AL1277" s="2" t="n">
        <f aca="false">ROUND(Y1277-AE1277,9)</f>
        <v>0.023166023</v>
      </c>
      <c r="AM1277" s="2" t="n">
        <f aca="false">ROUND(Z1277-AF1277,9)</f>
        <v>0.621621622</v>
      </c>
      <c r="AN1277" s="2" t="n">
        <f aca="false">ROUND(AA1277-AG1277,9)</f>
        <v>0.042471042</v>
      </c>
      <c r="AO1277" s="2" t="n">
        <f aca="false">ROUND(AB1277-AH1277,9)</f>
        <v>0.664092664</v>
      </c>
      <c r="AP1277" s="2" t="n">
        <f aca="false">ROUND(AC1277-AI1277,9)</f>
        <v>0.548262548</v>
      </c>
      <c r="AQ1277" s="2" t="n">
        <f aca="false">ROUND(AD1277-AJ1277,9)</f>
        <v>0.1003861</v>
      </c>
    </row>
    <row r="1278" customFormat="false" ht="15" hidden="false" customHeight="false" outlineLevel="0" collapsed="false">
      <c r="A1278" s="2" t="n">
        <v>1277</v>
      </c>
      <c r="B1278" s="6" t="n">
        <v>42</v>
      </c>
      <c r="C1278" s="6" t="n">
        <v>48</v>
      </c>
      <c r="D1278" s="8" t="str">
        <f aca="false">INDEX(Bases!$B$2:$B$53,B1278)</f>
        <v>Sableye</v>
      </c>
      <c r="E1278" s="8" t="str">
        <f aca="false">INDEX(Bases!$B$2:$B$53,C1278)</f>
        <v>Magnemite</v>
      </c>
      <c r="F1278" s="2" t="str">
        <f aca="false">LEFT(D1278,ROUNDUP(LEN(D1278)/2,0))&amp;LOWER(MID(E1278,ROUNDUP(LEN(E1278)/2,0)+1,20))</f>
        <v>Sablmite</v>
      </c>
      <c r="G1278" s="8" t="str">
        <f aca="false">INDEX(Bases!$C$2:$C$53,B1278)</f>
        <v>Ghost</v>
      </c>
      <c r="H1278" s="8" t="str">
        <f aca="false">IF(INDEX(Bases!$C$2:$C$53,C1278)=G1278,"",INDEX(Bases!$C$2:$C$53,C1278))</f>
        <v>Steel</v>
      </c>
      <c r="I1278" s="8" t="str">
        <f aca="false">IF(INDEX(Bases!$E$2:$E$53,B1278)="","",INDEX(Bases!$E$2:$E$53,B1278))</f>
        <v/>
      </c>
      <c r="J1278" s="8" t="str">
        <f aca="false">IF(INDEX(Bases!$E$2:$E$53,C1278)="","",INDEX(Bases!$E$2:$E$53,C1278))</f>
        <v/>
      </c>
      <c r="K1278" s="5"/>
      <c r="L1278" s="2" t="n">
        <f aca="false">AE1278+IF(SUMPRODUCT(--($AL1278:$AQ1278&gt;AL1278))&lt;$AK1278,1,0)</f>
        <v>54</v>
      </c>
      <c r="M1278" s="2" t="n">
        <f aca="false">AF1278+IF(SUMPRODUCT(--($AL1278:$AQ1278&gt;AM1278))+SUMPRODUCT(--($AL1278:AL1278=AM1278))&lt;$AK1278,1,0)</f>
        <v>80</v>
      </c>
      <c r="N1278" s="2" t="n">
        <f aca="false">AG1278+IF(SUMPRODUCT(--($AL1278:$AQ1278&gt;AN1278))+SUMPRODUCT(--($AL1278:AM1278=AN1278))&lt;$AK1278,1,0)</f>
        <v>100</v>
      </c>
      <c r="O1278" s="2" t="n">
        <f aca="false">AH1278+IF(SUMPRODUCT(--($AL1278:$AQ1278&gt;AO1278))+SUMPRODUCT(--($AL1278:AN1278=AO1278))&lt;$AK1278,1,0)</f>
        <v>120</v>
      </c>
      <c r="P1278" s="2" t="n">
        <f aca="false">AI1278+IF(SUMPRODUCT(--($AL1278:$AQ1278&gt;AP1278))+SUMPRODUCT(--($AL1278:AO1278=AP1278))&lt;$AK1278,1,0)</f>
        <v>81</v>
      </c>
      <c r="Q1278" s="2" t="n">
        <f aca="false">AJ1278+IF(SUMPRODUCT(--($AL1278:$AQ1278&gt;AQ1278))+SUMPRODUCT(--($AL1278:AP1278=AQ1278))&lt;$AK1278,1,0)</f>
        <v>65</v>
      </c>
      <c r="R1278" s="2" t="n">
        <f aca="false">SUM(L1278:Q1278)</f>
        <v>500</v>
      </c>
      <c r="S1278" s="2" t="n">
        <f aca="false">Settings!$B$4*MAX(INDEX(Bases!$M$2:$M$53,B1278),INDEX(Bases!$M$2:$M$53,C1278))+Settings!$B$5*MIN(INDEX(Bases!$M$2:$M$53,B1278),INDEX(Bases!$M$2:$M$53,C1278))</f>
        <v>45.6666666666667</v>
      </c>
      <c r="T1278" s="2" t="n">
        <f aca="false">Settings!$B$4*MAX(INDEX(Bases!$N$2:$N$53,B1278),INDEX(Bases!$N$2:$N$53,C1278))+Settings!$B$5*MIN(INDEX(Bases!$N$2:$N$53,B1278),INDEX(Bases!$N$2:$N$53,C1278))</f>
        <v>67</v>
      </c>
      <c r="U1278" s="2" t="n">
        <f aca="false">Settings!$B$4*MAX(INDEX(Bases!$O$2:$O$53,B1278),INDEX(Bases!$O$2:$O$53,C1278))+Settings!$B$5*MIN(INDEX(Bases!$O$2:$O$53,B1278),INDEX(Bases!$O$2:$O$53,C1278))</f>
        <v>83.6666666666667</v>
      </c>
      <c r="V1278" s="2" t="n">
        <f aca="false">Settings!$B$4*MAX(INDEX(Bases!$P$2:$P$53,B1278),INDEX(Bases!$P$2:$P$53,C1278))+Settings!$B$5*MIN(INDEX(Bases!$P$2:$P$53,B1278),INDEX(Bases!$P$2:$P$53,C1278))</f>
        <v>100.666666666667</v>
      </c>
      <c r="W1278" s="2" t="n">
        <f aca="false">Settings!$B$4*MAX(INDEX(Bases!$Q$2:$Q$53,B1278),INDEX(Bases!$Q$2:$Q$53,C1278))+Settings!$B$5*MIN(INDEX(Bases!$Q$2:$Q$53,B1278),INDEX(Bases!$Q$2:$Q$53,C1278))</f>
        <v>68</v>
      </c>
      <c r="X1278" s="2" t="n">
        <f aca="false">Settings!$B$4*MAX(INDEX(Bases!$R$2:$R$53,B1278),INDEX(Bases!$R$2:$R$53,C1278))+Settings!$B$5*MIN(INDEX(Bases!$R$2:$R$53,B1278),INDEX(Bases!$R$2:$R$53,C1278))</f>
        <v>54.3333333333333</v>
      </c>
      <c r="Y1278" s="2" t="n">
        <f aca="false">S1278*Settings!$B$3/SUM(S1278:X1278)</f>
        <v>54.4515103338633</v>
      </c>
      <c r="Z1278" s="2" t="n">
        <f aca="false">T1278*Settings!$B$3/SUM(S1278:X1278)</f>
        <v>79.8887122416534</v>
      </c>
      <c r="AA1278" s="2" t="n">
        <f aca="false">U1278*Settings!$B$3/SUM(S1278:X1278)</f>
        <v>99.7615262321145</v>
      </c>
      <c r="AB1278" s="2" t="n">
        <f aca="false">V1278*Settings!$B$3/SUM(S1278:X1278)</f>
        <v>120.031796502385</v>
      </c>
      <c r="AC1278" s="2" t="n">
        <f aca="false">W1278*Settings!$B$3/SUM(S1278:X1278)</f>
        <v>81.0810810810811</v>
      </c>
      <c r="AD1278" s="2" t="n">
        <f aca="false">X1278*Settings!$B$3/SUM(S1278:X1278)</f>
        <v>64.785373608903</v>
      </c>
      <c r="AE1278" s="2" t="n">
        <f aca="false">INT(Y1278)</f>
        <v>54</v>
      </c>
      <c r="AF1278" s="2" t="n">
        <f aca="false">INT(Z1278)</f>
        <v>79</v>
      </c>
      <c r="AG1278" s="2" t="n">
        <f aca="false">INT(AA1278)</f>
        <v>99</v>
      </c>
      <c r="AH1278" s="2" t="n">
        <f aca="false">INT(AB1278)</f>
        <v>120</v>
      </c>
      <c r="AI1278" s="2" t="n">
        <f aca="false">INT(AC1278)</f>
        <v>81</v>
      </c>
      <c r="AJ1278" s="2" t="n">
        <f aca="false">INT(AD1278)</f>
        <v>64</v>
      </c>
      <c r="AK1278" s="2" t="n">
        <f aca="false">Settings!$B$3-SUM(AE1278:AJ1278)</f>
        <v>3</v>
      </c>
      <c r="AL1278" s="2" t="n">
        <f aca="false">ROUND(Y1278-AE1278,9)</f>
        <v>0.451510334</v>
      </c>
      <c r="AM1278" s="2" t="n">
        <f aca="false">ROUND(Z1278-AF1278,9)</f>
        <v>0.888712242</v>
      </c>
      <c r="AN1278" s="2" t="n">
        <f aca="false">ROUND(AA1278-AG1278,9)</f>
        <v>0.761526232</v>
      </c>
      <c r="AO1278" s="2" t="n">
        <f aca="false">ROUND(AB1278-AH1278,9)</f>
        <v>0.031796502</v>
      </c>
      <c r="AP1278" s="2" t="n">
        <f aca="false">ROUND(AC1278-AI1278,9)</f>
        <v>0.081081081</v>
      </c>
      <c r="AQ1278" s="2" t="n">
        <f aca="false">ROUND(AD1278-AJ1278,9)</f>
        <v>0.785373609</v>
      </c>
    </row>
    <row r="1279" customFormat="false" ht="15" hidden="false" customHeight="false" outlineLevel="0" collapsed="false">
      <c r="A1279" s="2" t="n">
        <v>1278</v>
      </c>
      <c r="B1279" s="6" t="n">
        <v>42</v>
      </c>
      <c r="C1279" s="6" t="n">
        <v>49</v>
      </c>
      <c r="D1279" s="8" t="str">
        <f aca="false">INDEX(Bases!$B$2:$B$53,B1279)</f>
        <v>Sableye</v>
      </c>
      <c r="E1279" s="8" t="str">
        <f aca="false">INDEX(Bases!$B$2:$B$53,C1279)</f>
        <v>Aron</v>
      </c>
      <c r="F1279" s="2" t="str">
        <f aca="false">LEFT(D1279,ROUNDUP(LEN(D1279)/2,0))&amp;LOWER(MID(E1279,ROUNDUP(LEN(E1279)/2,0)+1,20))</f>
        <v>Sablon</v>
      </c>
      <c r="G1279" s="8" t="str">
        <f aca="false">INDEX(Bases!$C$2:$C$53,B1279)</f>
        <v>Ghost</v>
      </c>
      <c r="H1279" s="8" t="str">
        <f aca="false">IF(INDEX(Bases!$C$2:$C$53,C1279)=G1279,"",INDEX(Bases!$C$2:$C$53,C1279))</f>
        <v>Steel</v>
      </c>
      <c r="I1279" s="8" t="str">
        <f aca="false">IF(INDEX(Bases!$E$2:$E$53,B1279)="","",INDEX(Bases!$E$2:$E$53,B1279))</f>
        <v/>
      </c>
      <c r="J1279" s="8" t="str">
        <f aca="false">IF(INDEX(Bases!$E$2:$E$53,C1279)="","",INDEX(Bases!$E$2:$E$53,C1279))</f>
        <v/>
      </c>
      <c r="K1279" s="5"/>
      <c r="L1279" s="2" t="n">
        <f aca="false">AE1279+IF(SUMPRODUCT(--($AL1279:$AQ1279&gt;AL1279))&lt;$AK1279,1,0)</f>
        <v>70</v>
      </c>
      <c r="M1279" s="2" t="n">
        <f aca="false">AF1279+IF(SUMPRODUCT(--($AL1279:$AQ1279&gt;AM1279))+SUMPRODUCT(--($AL1279:AL1279=AM1279))&lt;$AK1279,1,0)</f>
        <v>99</v>
      </c>
      <c r="N1279" s="2" t="n">
        <f aca="false">AG1279+IF(SUMPRODUCT(--($AL1279:$AQ1279&gt;AN1279))+SUMPRODUCT(--($AL1279:AM1279=AN1279))&lt;$AK1279,1,0)</f>
        <v>128</v>
      </c>
      <c r="O1279" s="2" t="n">
        <f aca="false">AH1279+IF(SUMPRODUCT(--($AL1279:$AQ1279&gt;AO1279))+SUMPRODUCT(--($AL1279:AN1279=AO1279))&lt;$AK1279,1,0)</f>
        <v>74</v>
      </c>
      <c r="P1279" s="2" t="n">
        <f aca="false">AI1279+IF(SUMPRODUCT(--($AL1279:$AQ1279&gt;AP1279))+SUMPRODUCT(--($AL1279:AO1279=AP1279))&lt;$AK1279,1,0)</f>
        <v>73</v>
      </c>
      <c r="Q1279" s="2" t="n">
        <f aca="false">AJ1279+IF(SUMPRODUCT(--($AL1279:$AQ1279&gt;AQ1279))+SUMPRODUCT(--($AL1279:AP1279=AQ1279))&lt;$AK1279,1,0)</f>
        <v>56</v>
      </c>
      <c r="R1279" s="2" t="n">
        <f aca="false">SUM(L1279:Q1279)</f>
        <v>500</v>
      </c>
      <c r="S1279" s="2" t="n">
        <f aca="false">Settings!$B$4*MAX(INDEX(Bases!$M$2:$M$53,B1279),INDEX(Bases!$M$2:$M$53,C1279))+Settings!$B$5*MIN(INDEX(Bases!$M$2:$M$53,B1279),INDEX(Bases!$M$2:$M$53,C1279))</f>
        <v>58.3333333333333</v>
      </c>
      <c r="T1279" s="2" t="n">
        <f aca="false">Settings!$B$4*MAX(INDEX(Bases!$N$2:$N$53,B1279),INDEX(Bases!$N$2:$N$53,C1279))+Settings!$B$5*MIN(INDEX(Bases!$N$2:$N$53,B1279),INDEX(Bases!$N$2:$N$53,C1279))</f>
        <v>83</v>
      </c>
      <c r="U1279" s="2" t="n">
        <f aca="false">Settings!$B$4*MAX(INDEX(Bases!$O$2:$O$53,B1279),INDEX(Bases!$O$2:$O$53,C1279))+Settings!$B$5*MIN(INDEX(Bases!$O$2:$O$53,B1279),INDEX(Bases!$O$2:$O$53,C1279))</f>
        <v>107</v>
      </c>
      <c r="V1279" s="2" t="n">
        <f aca="false">Settings!$B$4*MAX(INDEX(Bases!$P$2:$P$53,B1279),INDEX(Bases!$P$2:$P$53,C1279))+Settings!$B$5*MIN(INDEX(Bases!$P$2:$P$53,B1279),INDEX(Bases!$P$2:$P$53,C1279))</f>
        <v>61.6666666666667</v>
      </c>
      <c r="W1279" s="2" t="n">
        <f aca="false">Settings!$B$4*MAX(INDEX(Bases!$Q$2:$Q$53,B1279),INDEX(Bases!$Q$2:$Q$53,C1279))+Settings!$B$5*MIN(INDEX(Bases!$Q$2:$Q$53,B1279),INDEX(Bases!$Q$2:$Q$53,C1279))</f>
        <v>61.3333333333333</v>
      </c>
      <c r="X1279" s="2" t="n">
        <f aca="false">Settings!$B$4*MAX(INDEX(Bases!$R$2:$R$53,B1279),INDEX(Bases!$R$2:$R$53,C1279))+Settings!$B$5*MIN(INDEX(Bases!$R$2:$R$53,B1279),INDEX(Bases!$R$2:$R$53,C1279))</f>
        <v>47.3333333333333</v>
      </c>
      <c r="Y1279" s="2" t="n">
        <f aca="false">S1279*Settings!$B$3/SUM(S1279:X1279)</f>
        <v>69.6656050955414</v>
      </c>
      <c r="Z1279" s="2" t="n">
        <f aca="false">T1279*Settings!$B$3/SUM(S1279:X1279)</f>
        <v>99.1242038216561</v>
      </c>
      <c r="AA1279" s="2" t="n">
        <f aca="false">U1279*Settings!$B$3/SUM(S1279:X1279)</f>
        <v>127.786624203822</v>
      </c>
      <c r="AB1279" s="2" t="n">
        <f aca="false">V1279*Settings!$B$3/SUM(S1279:X1279)</f>
        <v>73.6464968152866</v>
      </c>
      <c r="AC1279" s="2" t="n">
        <f aca="false">W1279*Settings!$B$3/SUM(S1279:X1279)</f>
        <v>73.2484076433121</v>
      </c>
      <c r="AD1279" s="2" t="n">
        <f aca="false">X1279*Settings!$B$3/SUM(S1279:X1279)</f>
        <v>56.5286624203822</v>
      </c>
      <c r="AE1279" s="2" t="n">
        <f aca="false">INT(Y1279)</f>
        <v>69</v>
      </c>
      <c r="AF1279" s="2" t="n">
        <f aca="false">INT(Z1279)</f>
        <v>99</v>
      </c>
      <c r="AG1279" s="2" t="n">
        <f aca="false">INT(AA1279)</f>
        <v>127</v>
      </c>
      <c r="AH1279" s="2" t="n">
        <f aca="false">INT(AB1279)</f>
        <v>73</v>
      </c>
      <c r="AI1279" s="2" t="n">
        <f aca="false">INT(AC1279)</f>
        <v>73</v>
      </c>
      <c r="AJ1279" s="2" t="n">
        <f aca="false">INT(AD1279)</f>
        <v>56</v>
      </c>
      <c r="AK1279" s="2" t="n">
        <f aca="false">Settings!$B$3-SUM(AE1279:AJ1279)</f>
        <v>3</v>
      </c>
      <c r="AL1279" s="2" t="n">
        <f aca="false">ROUND(Y1279-AE1279,9)</f>
        <v>0.665605096</v>
      </c>
      <c r="AM1279" s="2" t="n">
        <f aca="false">ROUND(Z1279-AF1279,9)</f>
        <v>0.124203822</v>
      </c>
      <c r="AN1279" s="2" t="n">
        <f aca="false">ROUND(AA1279-AG1279,9)</f>
        <v>0.786624204</v>
      </c>
      <c r="AO1279" s="2" t="n">
        <f aca="false">ROUND(AB1279-AH1279,9)</f>
        <v>0.646496815</v>
      </c>
      <c r="AP1279" s="2" t="n">
        <f aca="false">ROUND(AC1279-AI1279,9)</f>
        <v>0.248407643</v>
      </c>
      <c r="AQ1279" s="2" t="n">
        <f aca="false">ROUND(AD1279-AJ1279,9)</f>
        <v>0.52866242</v>
      </c>
    </row>
    <row r="1280" customFormat="false" ht="15" hidden="false" customHeight="false" outlineLevel="0" collapsed="false">
      <c r="A1280" s="2" t="n">
        <v>1279</v>
      </c>
      <c r="B1280" s="6" t="n">
        <v>42</v>
      </c>
      <c r="C1280" s="6" t="n">
        <v>50</v>
      </c>
      <c r="D1280" s="8" t="str">
        <f aca="false">INDEX(Bases!$B$2:$B$53,B1280)</f>
        <v>Sableye</v>
      </c>
      <c r="E1280" s="8" t="str">
        <f aca="false">INDEX(Bases!$B$2:$B$53,C1280)</f>
        <v>Beldum</v>
      </c>
      <c r="F1280" s="2" t="str">
        <f aca="false">LEFT(D1280,ROUNDUP(LEN(D1280)/2,0))&amp;LOWER(MID(E1280,ROUNDUP(LEN(E1280)/2,0)+1,20))</f>
        <v>Sabldum</v>
      </c>
      <c r="G1280" s="8" t="str">
        <f aca="false">INDEX(Bases!$C$2:$C$53,B1280)</f>
        <v>Ghost</v>
      </c>
      <c r="H1280" s="8" t="str">
        <f aca="false">IF(INDEX(Bases!$C$2:$C$53,C1280)=G1280,"",INDEX(Bases!$C$2:$C$53,C1280))</f>
        <v>Steel</v>
      </c>
      <c r="I1280" s="8" t="str">
        <f aca="false">IF(INDEX(Bases!$E$2:$E$53,B1280)="","",INDEX(Bases!$E$2:$E$53,B1280))</f>
        <v/>
      </c>
      <c r="J1280" s="8" t="str">
        <f aca="false">IF(INDEX(Bases!$E$2:$E$53,C1280)="","",INDEX(Bases!$E$2:$E$53,C1280))</f>
        <v/>
      </c>
      <c r="K1280" s="5"/>
      <c r="L1280" s="2" t="n">
        <f aca="false">AE1280+IF(SUMPRODUCT(--($AL1280:$AQ1280&gt;AL1280))&lt;$AK1280,1,0)</f>
        <v>64</v>
      </c>
      <c r="M1280" s="2" t="n">
        <f aca="false">AF1280+IF(SUMPRODUCT(--($AL1280:$AQ1280&gt;AM1280))+SUMPRODUCT(--($AL1280:AL1280=AM1280))&lt;$AK1280,1,0)</f>
        <v>93</v>
      </c>
      <c r="N1280" s="2" t="n">
        <f aca="false">AG1280+IF(SUMPRODUCT(--($AL1280:$AQ1280&gt;AN1280))+SUMPRODUCT(--($AL1280:AM1280=AN1280))&lt;$AK1280,1,0)</f>
        <v>118</v>
      </c>
      <c r="O1280" s="2" t="n">
        <f aca="false">AH1280+IF(SUMPRODUCT(--($AL1280:$AQ1280&gt;AO1280))+SUMPRODUCT(--($AL1280:AN1280=AO1280))&lt;$AK1280,1,0)</f>
        <v>74</v>
      </c>
      <c r="P1280" s="2" t="n">
        <f aca="false">AI1280+IF(SUMPRODUCT(--($AL1280:$AQ1280&gt;AP1280))+SUMPRODUCT(--($AL1280:AO1280=AP1280))&lt;$AK1280,1,0)</f>
        <v>92</v>
      </c>
      <c r="Q1280" s="2" t="n">
        <f aca="false">AJ1280+IF(SUMPRODUCT(--($AL1280:$AQ1280&gt;AQ1280))+SUMPRODUCT(--($AL1280:AP1280=AQ1280))&lt;$AK1280,1,0)</f>
        <v>59</v>
      </c>
      <c r="R1280" s="2" t="n">
        <f aca="false">SUM(L1280:Q1280)</f>
        <v>500</v>
      </c>
      <c r="S1280" s="2" t="n">
        <f aca="false">Settings!$B$4*MAX(INDEX(Bases!$M$2:$M$53,B1280),INDEX(Bases!$M$2:$M$53,C1280))+Settings!$B$5*MIN(INDEX(Bases!$M$2:$M$53,B1280),INDEX(Bases!$M$2:$M$53,C1280))</f>
        <v>53</v>
      </c>
      <c r="T1280" s="2" t="n">
        <f aca="false">Settings!$B$4*MAX(INDEX(Bases!$N$2:$N$53,B1280),INDEX(Bases!$N$2:$N$53,C1280))+Settings!$B$5*MIN(INDEX(Bases!$N$2:$N$53,B1280),INDEX(Bases!$N$2:$N$53,C1280))</f>
        <v>77</v>
      </c>
      <c r="U1280" s="2" t="n">
        <f aca="false">Settings!$B$4*MAX(INDEX(Bases!$O$2:$O$53,B1280),INDEX(Bases!$O$2:$O$53,C1280))+Settings!$B$5*MIN(INDEX(Bases!$O$2:$O$53,B1280),INDEX(Bases!$O$2:$O$53,C1280))</f>
        <v>97.6666666666667</v>
      </c>
      <c r="V1280" s="2" t="n">
        <f aca="false">Settings!$B$4*MAX(INDEX(Bases!$P$2:$P$53,B1280),INDEX(Bases!$P$2:$P$53,C1280))+Settings!$B$5*MIN(INDEX(Bases!$P$2:$P$53,B1280),INDEX(Bases!$P$2:$P$53,C1280))</f>
        <v>61</v>
      </c>
      <c r="W1280" s="2" t="n">
        <f aca="false">Settings!$B$4*MAX(INDEX(Bases!$Q$2:$Q$53,B1280),INDEX(Bases!$Q$2:$Q$53,C1280))+Settings!$B$5*MIN(INDEX(Bases!$Q$2:$Q$53,B1280),INDEX(Bases!$Q$2:$Q$53,C1280))</f>
        <v>76</v>
      </c>
      <c r="X1280" s="2" t="n">
        <f aca="false">Settings!$B$4*MAX(INDEX(Bases!$R$2:$R$53,B1280),INDEX(Bases!$R$2:$R$53,C1280))+Settings!$B$5*MIN(INDEX(Bases!$R$2:$R$53,B1280),INDEX(Bases!$R$2:$R$53,C1280))</f>
        <v>48.6666666666667</v>
      </c>
      <c r="Y1280" s="2" t="n">
        <f aca="false">S1280*Settings!$B$3/SUM(S1280:X1280)</f>
        <v>64.1129032258065</v>
      </c>
      <c r="Z1280" s="2" t="n">
        <f aca="false">T1280*Settings!$B$3/SUM(S1280:X1280)</f>
        <v>93.1451612903226</v>
      </c>
      <c r="AA1280" s="2" t="n">
        <f aca="false">U1280*Settings!$B$3/SUM(S1280:X1280)</f>
        <v>118.145161290323</v>
      </c>
      <c r="AB1280" s="2" t="n">
        <f aca="false">V1280*Settings!$B$3/SUM(S1280:X1280)</f>
        <v>73.7903225806452</v>
      </c>
      <c r="AC1280" s="2" t="n">
        <f aca="false">W1280*Settings!$B$3/SUM(S1280:X1280)</f>
        <v>91.9354838709677</v>
      </c>
      <c r="AD1280" s="2" t="n">
        <f aca="false">X1280*Settings!$B$3/SUM(S1280:X1280)</f>
        <v>58.8709677419355</v>
      </c>
      <c r="AE1280" s="2" t="n">
        <f aca="false">INT(Y1280)</f>
        <v>64</v>
      </c>
      <c r="AF1280" s="2" t="n">
        <f aca="false">INT(Z1280)</f>
        <v>93</v>
      </c>
      <c r="AG1280" s="2" t="n">
        <f aca="false">INT(AA1280)</f>
        <v>118</v>
      </c>
      <c r="AH1280" s="2" t="n">
        <f aca="false">INT(AB1280)</f>
        <v>73</v>
      </c>
      <c r="AI1280" s="2" t="n">
        <f aca="false">INT(AC1280)</f>
        <v>91</v>
      </c>
      <c r="AJ1280" s="2" t="n">
        <f aca="false">INT(AD1280)</f>
        <v>58</v>
      </c>
      <c r="AK1280" s="2" t="n">
        <f aca="false">Settings!$B$3-SUM(AE1280:AJ1280)</f>
        <v>3</v>
      </c>
      <c r="AL1280" s="2" t="n">
        <f aca="false">ROUND(Y1280-AE1280,9)</f>
        <v>0.112903226</v>
      </c>
      <c r="AM1280" s="2" t="n">
        <f aca="false">ROUND(Z1280-AF1280,9)</f>
        <v>0.14516129</v>
      </c>
      <c r="AN1280" s="2" t="n">
        <f aca="false">ROUND(AA1280-AG1280,9)</f>
        <v>0.14516129</v>
      </c>
      <c r="AO1280" s="2" t="n">
        <f aca="false">ROUND(AB1280-AH1280,9)</f>
        <v>0.790322581</v>
      </c>
      <c r="AP1280" s="2" t="n">
        <f aca="false">ROUND(AC1280-AI1280,9)</f>
        <v>0.935483871</v>
      </c>
      <c r="AQ1280" s="2" t="n">
        <f aca="false">ROUND(AD1280-AJ1280,9)</f>
        <v>0.870967742</v>
      </c>
    </row>
    <row r="1281" customFormat="false" ht="15" hidden="false" customHeight="false" outlineLevel="0" collapsed="false">
      <c r="A1281" s="2" t="n">
        <v>1280</v>
      </c>
      <c r="B1281" s="6" t="n">
        <v>42</v>
      </c>
      <c r="C1281" s="6" t="n">
        <v>51</v>
      </c>
      <c r="D1281" s="8" t="str">
        <f aca="false">INDEX(Bases!$B$2:$B$53,B1281)</f>
        <v>Sableye</v>
      </c>
      <c r="E1281" s="8" t="str">
        <f aca="false">INDEX(Bases!$B$2:$B$53,C1281)</f>
        <v>Cleffa</v>
      </c>
      <c r="F1281" s="2" t="str">
        <f aca="false">LEFT(D1281,ROUNDUP(LEN(D1281)/2,0))&amp;LOWER(MID(E1281,ROUNDUP(LEN(E1281)/2,0)+1,20))</f>
        <v>Sablffa</v>
      </c>
      <c r="G1281" s="8" t="str">
        <f aca="false">INDEX(Bases!$C$2:$C$53,B1281)</f>
        <v>Ghost</v>
      </c>
      <c r="H1281" s="8" t="str">
        <f aca="false">IF(INDEX(Bases!$C$2:$C$53,C1281)=G1281,"",INDEX(Bases!$C$2:$C$53,C1281))</f>
        <v>Fairy</v>
      </c>
      <c r="I1281" s="8" t="str">
        <f aca="false">IF(INDEX(Bases!$E$2:$E$53,B1281)="","",INDEX(Bases!$E$2:$E$53,B1281))</f>
        <v/>
      </c>
      <c r="J1281" s="8" t="str">
        <f aca="false">IF(INDEX(Bases!$E$2:$E$53,C1281)="","",INDEX(Bases!$E$2:$E$53,C1281))</f>
        <v/>
      </c>
      <c r="K1281" s="5"/>
      <c r="L1281" s="2" t="n">
        <f aca="false">AE1281+IF(SUMPRODUCT(--($AL1281:$AQ1281&gt;AL1281))&lt;$AK1281,1,0)</f>
        <v>92</v>
      </c>
      <c r="M1281" s="2" t="n">
        <f aca="false">AF1281+IF(SUMPRODUCT(--($AL1281:$AQ1281&gt;AM1281))+SUMPRODUCT(--($AL1281:AL1281=AM1281))&lt;$AK1281,1,0)</f>
        <v>79</v>
      </c>
      <c r="N1281" s="2" t="n">
        <f aca="false">AG1281+IF(SUMPRODUCT(--($AL1281:$AQ1281&gt;AN1281))+SUMPRODUCT(--($AL1281:AM1281=AN1281))&lt;$AK1281,1,0)</f>
        <v>81</v>
      </c>
      <c r="O1281" s="2" t="n">
        <f aca="false">AH1281+IF(SUMPRODUCT(--($AL1281:$AQ1281&gt;AO1281))+SUMPRODUCT(--($AL1281:AN1281=AO1281))&lt;$AK1281,1,0)</f>
        <v>91</v>
      </c>
      <c r="P1281" s="2" t="n">
        <f aca="false">AI1281+IF(SUMPRODUCT(--($AL1281:$AQ1281&gt;AP1281))+SUMPRODUCT(--($AL1281:AO1281=AP1281))&lt;$AK1281,1,0)</f>
        <v>105</v>
      </c>
      <c r="Q1281" s="2" t="n">
        <f aca="false">AJ1281+IF(SUMPRODUCT(--($AL1281:$AQ1281&gt;AQ1281))+SUMPRODUCT(--($AL1281:AP1281=AQ1281))&lt;$AK1281,1,0)</f>
        <v>52</v>
      </c>
      <c r="R1281" s="2" t="n">
        <f aca="false">SUM(L1281:Q1281)</f>
        <v>500</v>
      </c>
      <c r="S1281" s="2" t="n">
        <f aca="false">Settings!$B$4*MAX(INDEX(Bases!$M$2:$M$53,B1281),INDEX(Bases!$M$2:$M$53,C1281))+Settings!$B$5*MIN(INDEX(Bases!$M$2:$M$53,B1281),INDEX(Bases!$M$2:$M$53,C1281))</f>
        <v>79</v>
      </c>
      <c r="T1281" s="2" t="n">
        <f aca="false">Settings!$B$4*MAX(INDEX(Bases!$N$2:$N$53,B1281),INDEX(Bases!$N$2:$N$53,C1281))+Settings!$B$5*MIN(INDEX(Bases!$N$2:$N$53,B1281),INDEX(Bases!$N$2:$N$53,C1281))</f>
        <v>68</v>
      </c>
      <c r="U1281" s="2" t="n">
        <f aca="false">Settings!$B$4*MAX(INDEX(Bases!$O$2:$O$53,B1281),INDEX(Bases!$O$2:$O$53,C1281))+Settings!$B$5*MIN(INDEX(Bases!$O$2:$O$53,B1281),INDEX(Bases!$O$2:$O$53,C1281))</f>
        <v>69.6666666666667</v>
      </c>
      <c r="V1281" s="2" t="n">
        <f aca="false">Settings!$B$4*MAX(INDEX(Bases!$P$2:$P$53,B1281),INDEX(Bases!$P$2:$P$53,C1281))+Settings!$B$5*MIN(INDEX(Bases!$P$2:$P$53,B1281),INDEX(Bases!$P$2:$P$53,C1281))</f>
        <v>78</v>
      </c>
      <c r="W1281" s="2" t="n">
        <f aca="false">Settings!$B$4*MAX(INDEX(Bases!$Q$2:$Q$53,B1281),INDEX(Bases!$Q$2:$Q$53,C1281))+Settings!$B$5*MIN(INDEX(Bases!$Q$2:$Q$53,B1281),INDEX(Bases!$Q$2:$Q$53,C1281))</f>
        <v>90</v>
      </c>
      <c r="X1281" s="2" t="n">
        <f aca="false">Settings!$B$4*MAX(INDEX(Bases!$R$2:$R$53,B1281),INDEX(Bases!$R$2:$R$53,C1281))+Settings!$B$5*MIN(INDEX(Bases!$R$2:$R$53,B1281),INDEX(Bases!$R$2:$R$53,C1281))</f>
        <v>44.3333333333333</v>
      </c>
      <c r="Y1281" s="2" t="n">
        <f aca="false">S1281*Settings!$B$3/SUM(S1281:X1281)</f>
        <v>92.0745920745921</v>
      </c>
      <c r="Z1281" s="2" t="n">
        <f aca="false">T1281*Settings!$B$3/SUM(S1281:X1281)</f>
        <v>79.2540792540793</v>
      </c>
      <c r="AA1281" s="2" t="n">
        <f aca="false">U1281*Settings!$B$3/SUM(S1281:X1281)</f>
        <v>81.1965811965812</v>
      </c>
      <c r="AB1281" s="2" t="n">
        <f aca="false">V1281*Settings!$B$3/SUM(S1281:X1281)</f>
        <v>90.9090909090909</v>
      </c>
      <c r="AC1281" s="2" t="n">
        <f aca="false">W1281*Settings!$B$3/SUM(S1281:X1281)</f>
        <v>104.895104895105</v>
      </c>
      <c r="AD1281" s="2" t="n">
        <f aca="false">X1281*Settings!$B$3/SUM(S1281:X1281)</f>
        <v>51.6705516705517</v>
      </c>
      <c r="AE1281" s="2" t="n">
        <f aca="false">INT(Y1281)</f>
        <v>92</v>
      </c>
      <c r="AF1281" s="2" t="n">
        <f aca="false">INT(Z1281)</f>
        <v>79</v>
      </c>
      <c r="AG1281" s="2" t="n">
        <f aca="false">INT(AA1281)</f>
        <v>81</v>
      </c>
      <c r="AH1281" s="2" t="n">
        <f aca="false">INT(AB1281)</f>
        <v>90</v>
      </c>
      <c r="AI1281" s="2" t="n">
        <f aca="false">INT(AC1281)</f>
        <v>104</v>
      </c>
      <c r="AJ1281" s="2" t="n">
        <f aca="false">INT(AD1281)</f>
        <v>51</v>
      </c>
      <c r="AK1281" s="2" t="n">
        <f aca="false">Settings!$B$3-SUM(AE1281:AJ1281)</f>
        <v>3</v>
      </c>
      <c r="AL1281" s="2" t="n">
        <f aca="false">ROUND(Y1281-AE1281,9)</f>
        <v>0.074592075</v>
      </c>
      <c r="AM1281" s="2" t="n">
        <f aca="false">ROUND(Z1281-AF1281,9)</f>
        <v>0.254079254</v>
      </c>
      <c r="AN1281" s="2" t="n">
        <f aca="false">ROUND(AA1281-AG1281,9)</f>
        <v>0.196581197</v>
      </c>
      <c r="AO1281" s="2" t="n">
        <f aca="false">ROUND(AB1281-AH1281,9)</f>
        <v>0.909090909</v>
      </c>
      <c r="AP1281" s="2" t="n">
        <f aca="false">ROUND(AC1281-AI1281,9)</f>
        <v>0.895104895</v>
      </c>
      <c r="AQ1281" s="2" t="n">
        <f aca="false">ROUND(AD1281-AJ1281,9)</f>
        <v>0.670551671</v>
      </c>
    </row>
    <row r="1282" customFormat="false" ht="15" hidden="false" customHeight="false" outlineLevel="0" collapsed="false">
      <c r="A1282" s="2" t="n">
        <v>1281</v>
      </c>
      <c r="B1282" s="6" t="n">
        <v>42</v>
      </c>
      <c r="C1282" s="6" t="n">
        <v>52</v>
      </c>
      <c r="D1282" s="8" t="str">
        <f aca="false">INDEX(Bases!$B$2:$B$53,B1282)</f>
        <v>Sableye</v>
      </c>
      <c r="E1282" s="8" t="str">
        <f aca="false">INDEX(Bases!$B$2:$B$53,C1282)</f>
        <v>Togepi</v>
      </c>
      <c r="F1282" s="2" t="str">
        <f aca="false">LEFT(D1282,ROUNDUP(LEN(D1282)/2,0))&amp;LOWER(MID(E1282,ROUNDUP(LEN(E1282)/2,0)+1,20))</f>
        <v>Sablepi</v>
      </c>
      <c r="G1282" s="8" t="str">
        <f aca="false">INDEX(Bases!$C$2:$C$53,B1282)</f>
        <v>Ghost</v>
      </c>
      <c r="H1282" s="8" t="str">
        <f aca="false">IF(INDEX(Bases!$C$2:$C$53,C1282)=G1282,"",INDEX(Bases!$C$2:$C$53,C1282))</f>
        <v>Fairy</v>
      </c>
      <c r="I1282" s="8" t="str">
        <f aca="false">IF(INDEX(Bases!$E$2:$E$53,B1282)="","",INDEX(Bases!$E$2:$E$53,B1282))</f>
        <v/>
      </c>
      <c r="J1282" s="8" t="str">
        <f aca="false">IF(INDEX(Bases!$E$2:$E$53,C1282)="","",INDEX(Bases!$E$2:$E$53,C1282))</f>
        <v/>
      </c>
      <c r="K1282" s="5"/>
      <c r="L1282" s="2" t="n">
        <f aca="false">AE1282+IF(SUMPRODUCT(--($AL1282:$AQ1282&gt;AL1282))&lt;$AK1282,1,0)</f>
        <v>66</v>
      </c>
      <c r="M1282" s="2" t="n">
        <f aca="false">AF1282+IF(SUMPRODUCT(--($AL1282:$AQ1282&gt;AM1282))+SUMPRODUCT(--($AL1282:AL1282=AM1282))&lt;$AK1282,1,0)</f>
        <v>75</v>
      </c>
      <c r="N1282" s="2" t="n">
        <f aca="false">AG1282+IF(SUMPRODUCT(--($AL1282:$AQ1282&gt;AN1282))+SUMPRODUCT(--($AL1282:AM1282=AN1282))&lt;$AK1282,1,0)</f>
        <v>115</v>
      </c>
      <c r="O1282" s="2" t="n">
        <f aca="false">AH1282+IF(SUMPRODUCT(--($AL1282:$AQ1282&gt;AO1282))+SUMPRODUCT(--($AL1282:AN1282=AO1282))&lt;$AK1282,1,0)</f>
        <v>79</v>
      </c>
      <c r="P1282" s="2" t="n">
        <f aca="false">AI1282+IF(SUMPRODUCT(--($AL1282:$AQ1282&gt;AP1282))+SUMPRODUCT(--($AL1282:AO1282=AP1282))&lt;$AK1282,1,0)</f>
        <v>110</v>
      </c>
      <c r="Q1282" s="2" t="n">
        <f aca="false">AJ1282+IF(SUMPRODUCT(--($AL1282:$AQ1282&gt;AQ1282))+SUMPRODUCT(--($AL1282:AP1282=AQ1282))&lt;$AK1282,1,0)</f>
        <v>55</v>
      </c>
      <c r="R1282" s="2" t="n">
        <f aca="false">SUM(L1282:Q1282)</f>
        <v>500</v>
      </c>
      <c r="S1282" s="2" t="n">
        <f aca="false">Settings!$B$4*MAX(INDEX(Bases!$M$2:$M$53,B1282),INDEX(Bases!$M$2:$M$53,C1282))+Settings!$B$5*MIN(INDEX(Bases!$M$2:$M$53,B1282),INDEX(Bases!$M$2:$M$53,C1282))</f>
        <v>55.6666666666667</v>
      </c>
      <c r="T1282" s="2" t="n">
        <f aca="false">Settings!$B$4*MAX(INDEX(Bases!$N$2:$N$53,B1282),INDEX(Bases!$N$2:$N$53,C1282))+Settings!$B$5*MIN(INDEX(Bases!$N$2:$N$53,B1282),INDEX(Bases!$N$2:$N$53,C1282))</f>
        <v>63.6666666666667</v>
      </c>
      <c r="U1282" s="2" t="n">
        <f aca="false">Settings!$B$4*MAX(INDEX(Bases!$O$2:$O$53,B1282),INDEX(Bases!$O$2:$O$53,C1282))+Settings!$B$5*MIN(INDEX(Bases!$O$2:$O$53,B1282),INDEX(Bases!$O$2:$O$53,C1282))</f>
        <v>97</v>
      </c>
      <c r="V1282" s="2" t="n">
        <f aca="false">Settings!$B$4*MAX(INDEX(Bases!$P$2:$P$53,B1282),INDEX(Bases!$P$2:$P$53,C1282))+Settings!$B$5*MIN(INDEX(Bases!$P$2:$P$53,B1282),INDEX(Bases!$P$2:$P$53,C1282))</f>
        <v>67</v>
      </c>
      <c r="W1282" s="2" t="n">
        <f aca="false">Settings!$B$4*MAX(INDEX(Bases!$Q$2:$Q$53,B1282),INDEX(Bases!$Q$2:$Q$53,C1282))+Settings!$B$5*MIN(INDEX(Bases!$Q$2:$Q$53,B1282),INDEX(Bases!$Q$2:$Q$53,C1282))</f>
        <v>93.3333333333333</v>
      </c>
      <c r="X1282" s="2" t="n">
        <f aca="false">Settings!$B$4*MAX(INDEX(Bases!$R$2:$R$53,B1282),INDEX(Bases!$R$2:$R$53,C1282))+Settings!$B$5*MIN(INDEX(Bases!$R$2:$R$53,B1282),INDEX(Bases!$R$2:$R$53,C1282))</f>
        <v>46.3333333333333</v>
      </c>
      <c r="Y1282" s="2" t="n">
        <f aca="false">S1282*Settings!$B$3/SUM(S1282:X1282)</f>
        <v>65.7998423955871</v>
      </c>
      <c r="Z1282" s="2" t="n">
        <f aca="false">T1282*Settings!$B$3/SUM(S1282:X1282)</f>
        <v>75.2561071710008</v>
      </c>
      <c r="AA1282" s="2" t="n">
        <f aca="false">U1282*Settings!$B$3/SUM(S1282:X1282)</f>
        <v>114.657210401891</v>
      </c>
      <c r="AB1282" s="2" t="n">
        <f aca="false">V1282*Settings!$B$3/SUM(S1282:X1282)</f>
        <v>79.1962174940898</v>
      </c>
      <c r="AC1282" s="2" t="n">
        <f aca="false">W1282*Settings!$B$3/SUM(S1282:X1282)</f>
        <v>110.323089046493</v>
      </c>
      <c r="AD1282" s="2" t="n">
        <f aca="false">X1282*Settings!$B$3/SUM(S1282:X1282)</f>
        <v>54.7675334909377</v>
      </c>
      <c r="AE1282" s="2" t="n">
        <f aca="false">INT(Y1282)</f>
        <v>65</v>
      </c>
      <c r="AF1282" s="2" t="n">
        <f aca="false">INT(Z1282)</f>
        <v>75</v>
      </c>
      <c r="AG1282" s="2" t="n">
        <f aca="false">INT(AA1282)</f>
        <v>114</v>
      </c>
      <c r="AH1282" s="2" t="n">
        <f aca="false">INT(AB1282)</f>
        <v>79</v>
      </c>
      <c r="AI1282" s="2" t="n">
        <f aca="false">INT(AC1282)</f>
        <v>110</v>
      </c>
      <c r="AJ1282" s="2" t="n">
        <f aca="false">INT(AD1282)</f>
        <v>54</v>
      </c>
      <c r="AK1282" s="2" t="n">
        <f aca="false">Settings!$B$3-SUM(AE1282:AJ1282)</f>
        <v>3</v>
      </c>
      <c r="AL1282" s="2" t="n">
        <f aca="false">ROUND(Y1282-AE1282,9)</f>
        <v>0.799842396</v>
      </c>
      <c r="AM1282" s="2" t="n">
        <f aca="false">ROUND(Z1282-AF1282,9)</f>
        <v>0.256107171</v>
      </c>
      <c r="AN1282" s="2" t="n">
        <f aca="false">ROUND(AA1282-AG1282,9)</f>
        <v>0.657210402</v>
      </c>
      <c r="AO1282" s="2" t="n">
        <f aca="false">ROUND(AB1282-AH1282,9)</f>
        <v>0.196217494</v>
      </c>
      <c r="AP1282" s="2" t="n">
        <f aca="false">ROUND(AC1282-AI1282,9)</f>
        <v>0.323089046</v>
      </c>
      <c r="AQ1282" s="2" t="n">
        <f aca="false">ROUND(AD1282-AJ1282,9)</f>
        <v>0.767533491</v>
      </c>
    </row>
    <row r="1283" customFormat="false" ht="15" hidden="false" customHeight="false" outlineLevel="0" collapsed="false">
      <c r="A1283" s="2" t="n">
        <v>1282</v>
      </c>
      <c r="B1283" s="6" t="n">
        <v>43</v>
      </c>
      <c r="C1283" s="6" t="n">
        <v>44</v>
      </c>
      <c r="D1283" s="8" t="str">
        <f aca="false">INDEX(Bases!$B$2:$B$53,B1283)</f>
        <v>Dratini</v>
      </c>
      <c r="E1283" s="8" t="str">
        <f aca="false">INDEX(Bases!$B$2:$B$53,C1283)</f>
        <v>Bagon</v>
      </c>
      <c r="F1283" s="2" t="str">
        <f aca="false">LEFT(D1283,ROUNDUP(LEN(D1283)/2,0))&amp;LOWER(MID(E1283,ROUNDUP(LEN(E1283)/2,0)+1,20))</f>
        <v>Draton</v>
      </c>
      <c r="G1283" s="8" t="str">
        <f aca="false">INDEX(Bases!$C$2:$C$53,B1283)</f>
        <v>Dragon</v>
      </c>
      <c r="H1283" s="8" t="str">
        <f aca="false">IF(INDEX(Bases!$C$2:$C$53,C1283)=G1283,"",INDEX(Bases!$C$2:$C$53,C1283))</f>
        <v/>
      </c>
      <c r="I1283" s="8" t="str">
        <f aca="false">IF(INDEX(Bases!$E$2:$E$53,B1283)="","",INDEX(Bases!$E$2:$E$53,B1283))</f>
        <v/>
      </c>
      <c r="J1283" s="8" t="str">
        <f aca="false">IF(INDEX(Bases!$E$2:$E$53,C1283)="","",INDEX(Bases!$E$2:$E$53,C1283))</f>
        <v/>
      </c>
      <c r="K1283" s="5"/>
      <c r="L1283" s="2" t="n">
        <f aca="false">AE1283+IF(SUMPRODUCT(--($AL1283:$AQ1283&gt;AL1283))&lt;$AK1283,1,0)</f>
        <v>70</v>
      </c>
      <c r="M1283" s="2" t="n">
        <f aca="false">AF1283+IF(SUMPRODUCT(--($AL1283:$AQ1283&gt;AM1283))+SUMPRODUCT(--($AL1283:AL1283=AM1283))&lt;$AK1283,1,0)</f>
        <v>115</v>
      </c>
      <c r="N1283" s="2" t="n">
        <f aca="false">AG1283+IF(SUMPRODUCT(--($AL1283:$AQ1283&gt;AN1283))+SUMPRODUCT(--($AL1283:AM1283=AN1283))&lt;$AK1283,1,0)</f>
        <v>89</v>
      </c>
      <c r="O1283" s="2" t="n">
        <f aca="false">AH1283+IF(SUMPRODUCT(--($AL1283:$AQ1283&gt;AO1283))+SUMPRODUCT(--($AL1283:AN1283=AO1283))&lt;$AK1283,1,0)</f>
        <v>75</v>
      </c>
      <c r="P1283" s="2" t="n">
        <f aca="false">AI1283+IF(SUMPRODUCT(--($AL1283:$AQ1283&gt;AP1283))+SUMPRODUCT(--($AL1283:AO1283=AP1283))&lt;$AK1283,1,0)</f>
        <v>70</v>
      </c>
      <c r="Q1283" s="2" t="n">
        <f aca="false">AJ1283+IF(SUMPRODUCT(--($AL1283:$AQ1283&gt;AQ1283))+SUMPRODUCT(--($AL1283:AP1283=AQ1283))&lt;$AK1283,1,0)</f>
        <v>81</v>
      </c>
      <c r="R1283" s="2" t="n">
        <f aca="false">SUM(L1283:Q1283)</f>
        <v>500</v>
      </c>
      <c r="S1283" s="2" t="n">
        <f aca="false">Settings!$B$4*MAX(INDEX(Bases!$M$2:$M$53,B1283),INDEX(Bases!$M$2:$M$53,C1283))+Settings!$B$5*MIN(INDEX(Bases!$M$2:$M$53,B1283),INDEX(Bases!$M$2:$M$53,C1283))</f>
        <v>58.3333333333333</v>
      </c>
      <c r="T1283" s="2" t="n">
        <f aca="false">Settings!$B$4*MAX(INDEX(Bases!$N$2:$N$53,B1283),INDEX(Bases!$N$2:$N$53,C1283))+Settings!$B$5*MIN(INDEX(Bases!$N$2:$N$53,B1283),INDEX(Bases!$N$2:$N$53,C1283))</f>
        <v>95</v>
      </c>
      <c r="U1283" s="2" t="n">
        <f aca="false">Settings!$B$4*MAX(INDEX(Bases!$O$2:$O$53,B1283),INDEX(Bases!$O$2:$O$53,C1283))+Settings!$B$5*MIN(INDEX(Bases!$O$2:$O$53,B1283),INDEX(Bases!$O$2:$O$53,C1283))</f>
        <v>73.3333333333333</v>
      </c>
      <c r="V1283" s="2" t="n">
        <f aca="false">Settings!$B$4*MAX(INDEX(Bases!$P$2:$P$53,B1283),INDEX(Bases!$P$2:$P$53,C1283))+Settings!$B$5*MIN(INDEX(Bases!$P$2:$P$53,B1283),INDEX(Bases!$P$2:$P$53,C1283))</f>
        <v>62.3333333333333</v>
      </c>
      <c r="W1283" s="2" t="n">
        <f aca="false">Settings!$B$4*MAX(INDEX(Bases!$Q$2:$Q$53,B1283),INDEX(Bases!$Q$2:$Q$53,C1283))+Settings!$B$5*MIN(INDEX(Bases!$Q$2:$Q$53,B1283),INDEX(Bases!$Q$2:$Q$53,C1283))</f>
        <v>58</v>
      </c>
      <c r="X1283" s="2" t="n">
        <f aca="false">Settings!$B$4*MAX(INDEX(Bases!$R$2:$R$53,B1283),INDEX(Bases!$R$2:$R$53,C1283))+Settings!$B$5*MIN(INDEX(Bases!$R$2:$R$53,B1283),INDEX(Bases!$R$2:$R$53,C1283))</f>
        <v>66.6666666666667</v>
      </c>
      <c r="Y1283" s="2" t="n">
        <f aca="false">S1283*Settings!$B$3/SUM(S1283:X1283)</f>
        <v>70.5076551168413</v>
      </c>
      <c r="Z1283" s="2" t="n">
        <f aca="false">T1283*Settings!$B$3/SUM(S1283:X1283)</f>
        <v>114.826752618856</v>
      </c>
      <c r="AA1283" s="2" t="n">
        <f aca="false">U1283*Settings!$B$3/SUM(S1283:X1283)</f>
        <v>88.638195004029</v>
      </c>
      <c r="AB1283" s="2" t="n">
        <f aca="false">V1283*Settings!$B$3/SUM(S1283:X1283)</f>
        <v>75.3424657534247</v>
      </c>
      <c r="AC1283" s="2" t="n">
        <f aca="false">W1283*Settings!$B$3/SUM(S1283:X1283)</f>
        <v>70.1047542304593</v>
      </c>
      <c r="AD1283" s="2" t="n">
        <f aca="false">X1283*Settings!$B$3/SUM(S1283:X1283)</f>
        <v>80.58017727639</v>
      </c>
      <c r="AE1283" s="2" t="n">
        <f aca="false">INT(Y1283)</f>
        <v>70</v>
      </c>
      <c r="AF1283" s="2" t="n">
        <f aca="false">INT(Z1283)</f>
        <v>114</v>
      </c>
      <c r="AG1283" s="2" t="n">
        <f aca="false">INT(AA1283)</f>
        <v>88</v>
      </c>
      <c r="AH1283" s="2" t="n">
        <f aca="false">INT(AB1283)</f>
        <v>75</v>
      </c>
      <c r="AI1283" s="2" t="n">
        <f aca="false">INT(AC1283)</f>
        <v>70</v>
      </c>
      <c r="AJ1283" s="2" t="n">
        <f aca="false">INT(AD1283)</f>
        <v>80</v>
      </c>
      <c r="AK1283" s="2" t="n">
        <f aca="false">Settings!$B$3-SUM(AE1283:AJ1283)</f>
        <v>3</v>
      </c>
      <c r="AL1283" s="2" t="n">
        <f aca="false">ROUND(Y1283-AE1283,9)</f>
        <v>0.507655117</v>
      </c>
      <c r="AM1283" s="2" t="n">
        <f aca="false">ROUND(Z1283-AF1283,9)</f>
        <v>0.826752619</v>
      </c>
      <c r="AN1283" s="2" t="n">
        <f aca="false">ROUND(AA1283-AG1283,9)</f>
        <v>0.638195004</v>
      </c>
      <c r="AO1283" s="2" t="n">
        <f aca="false">ROUND(AB1283-AH1283,9)</f>
        <v>0.342465753</v>
      </c>
      <c r="AP1283" s="2" t="n">
        <f aca="false">ROUND(AC1283-AI1283,9)</f>
        <v>0.10475423</v>
      </c>
      <c r="AQ1283" s="2" t="n">
        <f aca="false">ROUND(AD1283-AJ1283,9)</f>
        <v>0.580177276</v>
      </c>
    </row>
    <row r="1284" customFormat="false" ht="15" hidden="false" customHeight="false" outlineLevel="0" collapsed="false">
      <c r="A1284" s="2" t="n">
        <v>1283</v>
      </c>
      <c r="B1284" s="6" t="n">
        <v>43</v>
      </c>
      <c r="C1284" s="6" t="n">
        <v>45</v>
      </c>
      <c r="D1284" s="8" t="str">
        <f aca="false">INDEX(Bases!$B$2:$B$53,B1284)</f>
        <v>Dratini</v>
      </c>
      <c r="E1284" s="8" t="str">
        <f aca="false">INDEX(Bases!$B$2:$B$53,C1284)</f>
        <v>Sneasel</v>
      </c>
      <c r="F1284" s="2" t="str">
        <f aca="false">LEFT(D1284,ROUNDUP(LEN(D1284)/2,0))&amp;LOWER(MID(E1284,ROUNDUP(LEN(E1284)/2,0)+1,20))</f>
        <v>Dratsel</v>
      </c>
      <c r="G1284" s="8" t="str">
        <f aca="false">INDEX(Bases!$C$2:$C$53,B1284)</f>
        <v>Dragon</v>
      </c>
      <c r="H1284" s="8" t="str">
        <f aca="false">IF(INDEX(Bases!$C$2:$C$53,C1284)=G1284,"",INDEX(Bases!$C$2:$C$53,C1284))</f>
        <v>Dark</v>
      </c>
      <c r="I1284" s="8" t="str">
        <f aca="false">IF(INDEX(Bases!$E$2:$E$53,B1284)="","",INDEX(Bases!$E$2:$E$53,B1284))</f>
        <v/>
      </c>
      <c r="J1284" s="8" t="str">
        <f aca="false">IF(INDEX(Bases!$E$2:$E$53,C1284)="","",INDEX(Bases!$E$2:$E$53,C1284))</f>
        <v/>
      </c>
      <c r="K1284" s="5"/>
      <c r="L1284" s="2" t="n">
        <f aca="false">AE1284+IF(SUMPRODUCT(--($AL1284:$AQ1284&gt;AL1284))&lt;$AK1284,1,0)</f>
        <v>64</v>
      </c>
      <c r="M1284" s="2" t="n">
        <f aca="false">AF1284+IF(SUMPRODUCT(--($AL1284:$AQ1284&gt;AM1284))+SUMPRODUCT(--($AL1284:AL1284=AM1284))&lt;$AK1284,1,0)</f>
        <v>105</v>
      </c>
      <c r="N1284" s="2" t="n">
        <f aca="false">AG1284+IF(SUMPRODUCT(--($AL1284:$AQ1284&gt;AN1284))+SUMPRODUCT(--($AL1284:AM1284=AN1284))&lt;$AK1284,1,0)</f>
        <v>69</v>
      </c>
      <c r="O1284" s="2" t="n">
        <f aca="false">AH1284+IF(SUMPRODUCT(--($AL1284:$AQ1284&gt;AO1284))+SUMPRODUCT(--($AL1284:AN1284=AO1284))&lt;$AK1284,1,0)</f>
        <v>67</v>
      </c>
      <c r="P1284" s="2" t="n">
        <f aca="false">AI1284+IF(SUMPRODUCT(--($AL1284:$AQ1284&gt;AP1284))+SUMPRODUCT(--($AL1284:AO1284=AP1284))&lt;$AK1284,1,0)</f>
        <v>83</v>
      </c>
      <c r="Q1284" s="2" t="n">
        <f aca="false">AJ1284+IF(SUMPRODUCT(--($AL1284:$AQ1284&gt;AQ1284))+SUMPRODUCT(--($AL1284:AP1284=AQ1284))&lt;$AK1284,1,0)</f>
        <v>112</v>
      </c>
      <c r="R1284" s="2" t="n">
        <f aca="false">SUM(L1284:Q1284)</f>
        <v>500</v>
      </c>
      <c r="S1284" s="2" t="n">
        <f aca="false">Settings!$B$4*MAX(INDEX(Bases!$M$2:$M$53,B1284),INDEX(Bases!$M$2:$M$53,C1284))+Settings!$B$5*MIN(INDEX(Bases!$M$2:$M$53,B1284),INDEX(Bases!$M$2:$M$53,C1284))</f>
        <v>53.6666666666667</v>
      </c>
      <c r="T1284" s="2" t="n">
        <f aca="false">Settings!$B$4*MAX(INDEX(Bases!$N$2:$N$53,B1284),INDEX(Bases!$N$2:$N$53,C1284))+Settings!$B$5*MIN(INDEX(Bases!$N$2:$N$53,B1284),INDEX(Bases!$N$2:$N$53,C1284))</f>
        <v>87</v>
      </c>
      <c r="U1284" s="2" t="n">
        <f aca="false">Settings!$B$4*MAX(INDEX(Bases!$O$2:$O$53,B1284),INDEX(Bases!$O$2:$O$53,C1284))+Settings!$B$5*MIN(INDEX(Bases!$O$2:$O$53,B1284),INDEX(Bases!$O$2:$O$53,C1284))</f>
        <v>57</v>
      </c>
      <c r="V1284" s="2" t="n">
        <f aca="false">Settings!$B$4*MAX(INDEX(Bases!$P$2:$P$53,B1284),INDEX(Bases!$P$2:$P$53,C1284))+Settings!$B$5*MIN(INDEX(Bases!$P$2:$P$53,B1284),INDEX(Bases!$P$2:$P$53,C1284))</f>
        <v>55.6666666666667</v>
      </c>
      <c r="W1284" s="2" t="n">
        <f aca="false">Settings!$B$4*MAX(INDEX(Bases!$Q$2:$Q$53,B1284),INDEX(Bases!$Q$2:$Q$53,C1284))+Settings!$B$5*MIN(INDEX(Bases!$Q$2:$Q$53,B1284),INDEX(Bases!$Q$2:$Q$53,C1284))</f>
        <v>69</v>
      </c>
      <c r="X1284" s="2" t="n">
        <f aca="false">Settings!$B$4*MAX(INDEX(Bases!$R$2:$R$53,B1284),INDEX(Bases!$R$2:$R$53,C1284))+Settings!$B$5*MIN(INDEX(Bases!$R$2:$R$53,B1284),INDEX(Bases!$R$2:$R$53,C1284))</f>
        <v>93.3333333333333</v>
      </c>
      <c r="Y1284" s="2" t="n">
        <f aca="false">S1284*Settings!$B$3/SUM(S1284:X1284)</f>
        <v>64.5549318364074</v>
      </c>
      <c r="Z1284" s="2" t="n">
        <f aca="false">T1284*Settings!$B$3/SUM(S1284:X1284)</f>
        <v>104.651162790698</v>
      </c>
      <c r="AA1284" s="2" t="n">
        <f aca="false">U1284*Settings!$B$3/SUM(S1284:X1284)</f>
        <v>68.5645549318364</v>
      </c>
      <c r="AB1284" s="2" t="n">
        <f aca="false">V1284*Settings!$B$3/SUM(S1284:X1284)</f>
        <v>66.9607056936648</v>
      </c>
      <c r="AC1284" s="2" t="n">
        <f aca="false">W1284*Settings!$B$3/SUM(S1284:X1284)</f>
        <v>82.9991980753809</v>
      </c>
      <c r="AD1284" s="2" t="n">
        <f aca="false">X1284*Settings!$B$3/SUM(S1284:X1284)</f>
        <v>112.269446672013</v>
      </c>
      <c r="AE1284" s="2" t="n">
        <f aca="false">INT(Y1284)</f>
        <v>64</v>
      </c>
      <c r="AF1284" s="2" t="n">
        <f aca="false">INT(Z1284)</f>
        <v>104</v>
      </c>
      <c r="AG1284" s="2" t="n">
        <f aca="false">INT(AA1284)</f>
        <v>68</v>
      </c>
      <c r="AH1284" s="2" t="n">
        <f aca="false">INT(AB1284)</f>
        <v>66</v>
      </c>
      <c r="AI1284" s="2" t="n">
        <f aca="false">INT(AC1284)</f>
        <v>82</v>
      </c>
      <c r="AJ1284" s="2" t="n">
        <f aca="false">INT(AD1284)</f>
        <v>112</v>
      </c>
      <c r="AK1284" s="2" t="n">
        <f aca="false">Settings!$B$3-SUM(AE1284:AJ1284)</f>
        <v>4</v>
      </c>
      <c r="AL1284" s="2" t="n">
        <f aca="false">ROUND(Y1284-AE1284,9)</f>
        <v>0.554931836</v>
      </c>
      <c r="AM1284" s="2" t="n">
        <f aca="false">ROUND(Z1284-AF1284,9)</f>
        <v>0.651162791</v>
      </c>
      <c r="AN1284" s="2" t="n">
        <f aca="false">ROUND(AA1284-AG1284,9)</f>
        <v>0.564554932</v>
      </c>
      <c r="AO1284" s="2" t="n">
        <f aca="false">ROUND(AB1284-AH1284,9)</f>
        <v>0.960705694</v>
      </c>
      <c r="AP1284" s="2" t="n">
        <f aca="false">ROUND(AC1284-AI1284,9)</f>
        <v>0.999198075</v>
      </c>
      <c r="AQ1284" s="2" t="n">
        <f aca="false">ROUND(AD1284-AJ1284,9)</f>
        <v>0.269446672</v>
      </c>
    </row>
    <row r="1285" customFormat="false" ht="15" hidden="false" customHeight="false" outlineLevel="0" collapsed="false">
      <c r="A1285" s="2" t="n">
        <v>1284</v>
      </c>
      <c r="B1285" s="6" t="n">
        <v>43</v>
      </c>
      <c r="C1285" s="6" t="n">
        <v>46</v>
      </c>
      <c r="D1285" s="8" t="str">
        <f aca="false">INDEX(Bases!$B$2:$B$53,B1285)</f>
        <v>Dratini</v>
      </c>
      <c r="E1285" s="8" t="str">
        <f aca="false">INDEX(Bases!$B$2:$B$53,C1285)</f>
        <v>Houndour</v>
      </c>
      <c r="F1285" s="2" t="str">
        <f aca="false">LEFT(D1285,ROUNDUP(LEN(D1285)/2,0))&amp;LOWER(MID(E1285,ROUNDUP(LEN(E1285)/2,0)+1,20))</f>
        <v>Dratdour</v>
      </c>
      <c r="G1285" s="8" t="str">
        <f aca="false">INDEX(Bases!$C$2:$C$53,B1285)</f>
        <v>Dragon</v>
      </c>
      <c r="H1285" s="8" t="str">
        <f aca="false">IF(INDEX(Bases!$C$2:$C$53,C1285)=G1285,"",INDEX(Bases!$C$2:$C$53,C1285))</f>
        <v>Dark</v>
      </c>
      <c r="I1285" s="8" t="str">
        <f aca="false">IF(INDEX(Bases!$E$2:$E$53,B1285)="","",INDEX(Bases!$E$2:$E$53,B1285))</f>
        <v/>
      </c>
      <c r="J1285" s="8" t="str">
        <f aca="false">IF(INDEX(Bases!$E$2:$E$53,C1285)="","",INDEX(Bases!$E$2:$E$53,C1285))</f>
        <v/>
      </c>
      <c r="K1285" s="5"/>
      <c r="L1285" s="2" t="n">
        <f aca="false">AE1285+IF(SUMPRODUCT(--($AL1285:$AQ1285&gt;AL1285))&lt;$AK1285,1,0)</f>
        <v>66</v>
      </c>
      <c r="M1285" s="2" t="n">
        <f aca="false">AF1285+IF(SUMPRODUCT(--($AL1285:$AQ1285&gt;AM1285))+SUMPRODUCT(--($AL1285:AL1285=AM1285))&lt;$AK1285,1,0)</f>
        <v>98</v>
      </c>
      <c r="N1285" s="2" t="n">
        <f aca="false">AG1285+IF(SUMPRODUCT(--($AL1285:$AQ1285&gt;AN1285))+SUMPRODUCT(--($AL1285:AM1285=AN1285))&lt;$AK1285,1,0)</f>
        <v>63</v>
      </c>
      <c r="O1285" s="2" t="n">
        <f aca="false">AH1285+IF(SUMPRODUCT(--($AL1285:$AQ1285&gt;AO1285))+SUMPRODUCT(--($AL1285:AN1285=AO1285))&lt;$AK1285,1,0)</f>
        <v>105</v>
      </c>
      <c r="P1285" s="2" t="n">
        <f aca="false">AI1285+IF(SUMPRODUCT(--($AL1285:$AQ1285&gt;AP1285))+SUMPRODUCT(--($AL1285:AO1285=AP1285))&lt;$AK1285,1,0)</f>
        <v>78</v>
      </c>
      <c r="Q1285" s="2" t="n">
        <f aca="false">AJ1285+IF(SUMPRODUCT(--($AL1285:$AQ1285&gt;AQ1285))+SUMPRODUCT(--($AL1285:AP1285=AQ1285))&lt;$AK1285,1,0)</f>
        <v>90</v>
      </c>
      <c r="R1285" s="2" t="n">
        <f aca="false">SUM(L1285:Q1285)</f>
        <v>500</v>
      </c>
      <c r="S1285" s="2" t="n">
        <f aca="false">Settings!$B$4*MAX(INDEX(Bases!$M$2:$M$53,B1285),INDEX(Bases!$M$2:$M$53,C1285))+Settings!$B$5*MIN(INDEX(Bases!$M$2:$M$53,B1285),INDEX(Bases!$M$2:$M$53,C1285))</f>
        <v>54.6666666666667</v>
      </c>
      <c r="T1285" s="2" t="n">
        <f aca="false">Settings!$B$4*MAX(INDEX(Bases!$N$2:$N$53,B1285),INDEX(Bases!$N$2:$N$53,C1285))+Settings!$B$5*MIN(INDEX(Bases!$N$2:$N$53,B1285),INDEX(Bases!$N$2:$N$53,C1285))</f>
        <v>81</v>
      </c>
      <c r="U1285" s="2" t="n">
        <f aca="false">Settings!$B$4*MAX(INDEX(Bases!$O$2:$O$53,B1285),INDEX(Bases!$O$2:$O$53,C1285))+Settings!$B$5*MIN(INDEX(Bases!$O$2:$O$53,B1285),INDEX(Bases!$O$2:$O$53,C1285))</f>
        <v>52</v>
      </c>
      <c r="V1285" s="2" t="n">
        <f aca="false">Settings!$B$4*MAX(INDEX(Bases!$P$2:$P$53,B1285),INDEX(Bases!$P$2:$P$53,C1285))+Settings!$B$5*MIN(INDEX(Bases!$P$2:$P$53,B1285),INDEX(Bases!$P$2:$P$53,C1285))</f>
        <v>87</v>
      </c>
      <c r="W1285" s="2" t="n">
        <f aca="false">Settings!$B$4*MAX(INDEX(Bases!$Q$2:$Q$53,B1285),INDEX(Bases!$Q$2:$Q$53,C1285))+Settings!$B$5*MIN(INDEX(Bases!$Q$2:$Q$53,B1285),INDEX(Bases!$Q$2:$Q$53,C1285))</f>
        <v>65</v>
      </c>
      <c r="X1285" s="2" t="n">
        <f aca="false">Settings!$B$4*MAX(INDEX(Bases!$R$2:$R$53,B1285),INDEX(Bases!$R$2:$R$53,C1285))+Settings!$B$5*MIN(INDEX(Bases!$R$2:$R$53,B1285),INDEX(Bases!$R$2:$R$53,C1285))</f>
        <v>74.6666666666667</v>
      </c>
      <c r="Y1285" s="2" t="n">
        <f aca="false">S1285*Settings!$B$3/SUM(S1285:X1285)</f>
        <v>65.9694288012872</v>
      </c>
      <c r="Z1285" s="2" t="n">
        <f aca="false">T1285*Settings!$B$3/SUM(S1285:X1285)</f>
        <v>97.7473853580048</v>
      </c>
      <c r="AA1285" s="2" t="n">
        <f aca="false">U1285*Settings!$B$3/SUM(S1285:X1285)</f>
        <v>62.7514078841512</v>
      </c>
      <c r="AB1285" s="2" t="n">
        <f aca="false">V1285*Settings!$B$3/SUM(S1285:X1285)</f>
        <v>104.987932421561</v>
      </c>
      <c r="AC1285" s="2" t="n">
        <f aca="false">W1285*Settings!$B$3/SUM(S1285:X1285)</f>
        <v>78.4392598551891</v>
      </c>
      <c r="AD1285" s="2" t="n">
        <f aca="false">X1285*Settings!$B$3/SUM(S1285:X1285)</f>
        <v>90.1045856798069</v>
      </c>
      <c r="AE1285" s="2" t="n">
        <f aca="false">INT(Y1285)</f>
        <v>65</v>
      </c>
      <c r="AF1285" s="2" t="n">
        <f aca="false">INT(Z1285)</f>
        <v>97</v>
      </c>
      <c r="AG1285" s="2" t="n">
        <f aca="false">INT(AA1285)</f>
        <v>62</v>
      </c>
      <c r="AH1285" s="2" t="n">
        <f aca="false">INT(AB1285)</f>
        <v>104</v>
      </c>
      <c r="AI1285" s="2" t="n">
        <f aca="false">INT(AC1285)</f>
        <v>78</v>
      </c>
      <c r="AJ1285" s="2" t="n">
        <f aca="false">INT(AD1285)</f>
        <v>90</v>
      </c>
      <c r="AK1285" s="2" t="n">
        <f aca="false">Settings!$B$3-SUM(AE1285:AJ1285)</f>
        <v>4</v>
      </c>
      <c r="AL1285" s="2" t="n">
        <f aca="false">ROUND(Y1285-AE1285,9)</f>
        <v>0.969428801</v>
      </c>
      <c r="AM1285" s="2" t="n">
        <f aca="false">ROUND(Z1285-AF1285,9)</f>
        <v>0.747385358</v>
      </c>
      <c r="AN1285" s="2" t="n">
        <f aca="false">ROUND(AA1285-AG1285,9)</f>
        <v>0.751407884</v>
      </c>
      <c r="AO1285" s="2" t="n">
        <f aca="false">ROUND(AB1285-AH1285,9)</f>
        <v>0.987932422</v>
      </c>
      <c r="AP1285" s="2" t="n">
        <f aca="false">ROUND(AC1285-AI1285,9)</f>
        <v>0.439259855</v>
      </c>
      <c r="AQ1285" s="2" t="n">
        <f aca="false">ROUND(AD1285-AJ1285,9)</f>
        <v>0.10458568</v>
      </c>
    </row>
    <row r="1286" customFormat="false" ht="15" hidden="false" customHeight="false" outlineLevel="0" collapsed="false">
      <c r="A1286" s="2" t="n">
        <v>1285</v>
      </c>
      <c r="B1286" s="6" t="n">
        <v>43</v>
      </c>
      <c r="C1286" s="6" t="n">
        <v>47</v>
      </c>
      <c r="D1286" s="8" t="str">
        <f aca="false">INDEX(Bases!$B$2:$B$53,B1286)</f>
        <v>Dratini</v>
      </c>
      <c r="E1286" s="8" t="str">
        <f aca="false">INDEX(Bases!$B$2:$B$53,C1286)</f>
        <v>Carvanha</v>
      </c>
      <c r="F1286" s="2" t="str">
        <f aca="false">LEFT(D1286,ROUNDUP(LEN(D1286)/2,0))&amp;LOWER(MID(E1286,ROUNDUP(LEN(E1286)/2,0)+1,20))</f>
        <v>Dratanha</v>
      </c>
      <c r="G1286" s="8" t="str">
        <f aca="false">INDEX(Bases!$C$2:$C$53,B1286)</f>
        <v>Dragon</v>
      </c>
      <c r="H1286" s="8" t="str">
        <f aca="false">IF(INDEX(Bases!$C$2:$C$53,C1286)=G1286,"",INDEX(Bases!$C$2:$C$53,C1286))</f>
        <v>Dark</v>
      </c>
      <c r="I1286" s="8" t="str">
        <f aca="false">IF(INDEX(Bases!$E$2:$E$53,B1286)="","",INDEX(Bases!$E$2:$E$53,B1286))</f>
        <v/>
      </c>
      <c r="J1286" s="8" t="str">
        <f aca="false">IF(INDEX(Bases!$E$2:$E$53,C1286)="","",INDEX(Bases!$E$2:$E$53,C1286))</f>
        <v/>
      </c>
      <c r="K1286" s="5"/>
      <c r="L1286" s="2" t="n">
        <f aca="false">AE1286+IF(SUMPRODUCT(--($AL1286:$AQ1286&gt;AL1286))&lt;$AK1286,1,0)</f>
        <v>68</v>
      </c>
      <c r="M1286" s="2" t="n">
        <f aca="false">AF1286+IF(SUMPRODUCT(--($AL1286:$AQ1286&gt;AM1286))+SUMPRODUCT(--($AL1286:AL1286=AM1286))&lt;$AK1286,1,0)</f>
        <v>126</v>
      </c>
      <c r="N1286" s="2" t="n">
        <f aca="false">AG1286+IF(SUMPRODUCT(--($AL1286:$AQ1286&gt;AN1286))+SUMPRODUCT(--($AL1286:AM1286=AN1286))&lt;$AK1286,1,0)</f>
        <v>57</v>
      </c>
      <c r="O1286" s="2" t="n">
        <f aca="false">AH1286+IF(SUMPRODUCT(--($AL1286:$AQ1286&gt;AO1286))+SUMPRODUCT(--($AL1286:AN1286=AO1286))&lt;$AK1286,1,0)</f>
        <v>94</v>
      </c>
      <c r="P1286" s="2" t="n">
        <f aca="false">AI1286+IF(SUMPRODUCT(--($AL1286:$AQ1286&gt;AP1286))+SUMPRODUCT(--($AL1286:AO1286=AP1286))&lt;$AK1286,1,0)</f>
        <v>63</v>
      </c>
      <c r="Q1286" s="2" t="n">
        <f aca="false">AJ1286+IF(SUMPRODUCT(--($AL1286:$AQ1286&gt;AQ1286))+SUMPRODUCT(--($AL1286:AP1286=AQ1286))&lt;$AK1286,1,0)</f>
        <v>92</v>
      </c>
      <c r="R1286" s="2" t="n">
        <f aca="false">SUM(L1286:Q1286)</f>
        <v>500</v>
      </c>
      <c r="S1286" s="2" t="n">
        <f aca="false">Settings!$B$4*MAX(INDEX(Bases!$M$2:$M$53,B1286),INDEX(Bases!$M$2:$M$53,C1286))+Settings!$B$5*MIN(INDEX(Bases!$M$2:$M$53,B1286),INDEX(Bases!$M$2:$M$53,C1286))</f>
        <v>57.6666666666667</v>
      </c>
      <c r="T1286" s="2" t="n">
        <f aca="false">Settings!$B$4*MAX(INDEX(Bases!$N$2:$N$53,B1286),INDEX(Bases!$N$2:$N$53,C1286))+Settings!$B$5*MIN(INDEX(Bases!$N$2:$N$53,B1286),INDEX(Bases!$N$2:$N$53,C1286))</f>
        <v>107</v>
      </c>
      <c r="U1286" s="2" t="n">
        <f aca="false">Settings!$B$4*MAX(INDEX(Bases!$O$2:$O$53,B1286),INDEX(Bases!$O$2:$O$53,C1286))+Settings!$B$5*MIN(INDEX(Bases!$O$2:$O$53,B1286),INDEX(Bases!$O$2:$O$53,C1286))</f>
        <v>48.6666666666667</v>
      </c>
      <c r="V1286" s="2" t="n">
        <f aca="false">Settings!$B$4*MAX(INDEX(Bases!$P$2:$P$53,B1286),INDEX(Bases!$P$2:$P$53,C1286))+Settings!$B$5*MIN(INDEX(Bases!$P$2:$P$53,B1286),INDEX(Bases!$P$2:$P$53,C1286))</f>
        <v>79.6666666666667</v>
      </c>
      <c r="W1286" s="2" t="n">
        <f aca="false">Settings!$B$4*MAX(INDEX(Bases!$Q$2:$Q$53,B1286),INDEX(Bases!$Q$2:$Q$53,C1286))+Settings!$B$5*MIN(INDEX(Bases!$Q$2:$Q$53,B1286),INDEX(Bases!$Q$2:$Q$53,C1286))</f>
        <v>53.3333333333333</v>
      </c>
      <c r="X1286" s="2" t="n">
        <f aca="false">Settings!$B$4*MAX(INDEX(Bases!$R$2:$R$53,B1286),INDEX(Bases!$R$2:$R$53,C1286))+Settings!$B$5*MIN(INDEX(Bases!$R$2:$R$53,B1286),INDEX(Bases!$R$2:$R$53,C1286))</f>
        <v>78.6666666666667</v>
      </c>
      <c r="Y1286" s="2" t="n">
        <f aca="false">S1286*Settings!$B$3/SUM(S1286:X1286)</f>
        <v>67.843137254902</v>
      </c>
      <c r="Z1286" s="2" t="n">
        <f aca="false">T1286*Settings!$B$3/SUM(S1286:X1286)</f>
        <v>125.882352941176</v>
      </c>
      <c r="AA1286" s="2" t="n">
        <f aca="false">U1286*Settings!$B$3/SUM(S1286:X1286)</f>
        <v>57.2549019607843</v>
      </c>
      <c r="AB1286" s="2" t="n">
        <f aca="false">V1286*Settings!$B$3/SUM(S1286:X1286)</f>
        <v>93.7254901960784</v>
      </c>
      <c r="AC1286" s="2" t="n">
        <f aca="false">W1286*Settings!$B$3/SUM(S1286:X1286)</f>
        <v>62.7450980392157</v>
      </c>
      <c r="AD1286" s="2" t="n">
        <f aca="false">X1286*Settings!$B$3/SUM(S1286:X1286)</f>
        <v>92.5490196078432</v>
      </c>
      <c r="AE1286" s="2" t="n">
        <f aca="false">INT(Y1286)</f>
        <v>67</v>
      </c>
      <c r="AF1286" s="2" t="n">
        <f aca="false">INT(Z1286)</f>
        <v>125</v>
      </c>
      <c r="AG1286" s="2" t="n">
        <f aca="false">INT(AA1286)</f>
        <v>57</v>
      </c>
      <c r="AH1286" s="2" t="n">
        <f aca="false">INT(AB1286)</f>
        <v>93</v>
      </c>
      <c r="AI1286" s="2" t="n">
        <f aca="false">INT(AC1286)</f>
        <v>62</v>
      </c>
      <c r="AJ1286" s="2" t="n">
        <f aca="false">INT(AD1286)</f>
        <v>92</v>
      </c>
      <c r="AK1286" s="2" t="n">
        <f aca="false">Settings!$B$3-SUM(AE1286:AJ1286)</f>
        <v>4</v>
      </c>
      <c r="AL1286" s="2" t="n">
        <f aca="false">ROUND(Y1286-AE1286,9)</f>
        <v>0.843137255</v>
      </c>
      <c r="AM1286" s="2" t="n">
        <f aca="false">ROUND(Z1286-AF1286,9)</f>
        <v>0.882352941</v>
      </c>
      <c r="AN1286" s="2" t="n">
        <f aca="false">ROUND(AA1286-AG1286,9)</f>
        <v>0.254901961</v>
      </c>
      <c r="AO1286" s="2" t="n">
        <f aca="false">ROUND(AB1286-AH1286,9)</f>
        <v>0.725490196</v>
      </c>
      <c r="AP1286" s="2" t="n">
        <f aca="false">ROUND(AC1286-AI1286,9)</f>
        <v>0.745098039</v>
      </c>
      <c r="AQ1286" s="2" t="n">
        <f aca="false">ROUND(AD1286-AJ1286,9)</f>
        <v>0.549019608</v>
      </c>
    </row>
    <row r="1287" customFormat="false" ht="15" hidden="false" customHeight="false" outlineLevel="0" collapsed="false">
      <c r="A1287" s="2" t="n">
        <v>1286</v>
      </c>
      <c r="B1287" s="6" t="n">
        <v>43</v>
      </c>
      <c r="C1287" s="6" t="n">
        <v>48</v>
      </c>
      <c r="D1287" s="8" t="str">
        <f aca="false">INDEX(Bases!$B$2:$B$53,B1287)</f>
        <v>Dratini</v>
      </c>
      <c r="E1287" s="8" t="str">
        <f aca="false">INDEX(Bases!$B$2:$B$53,C1287)</f>
        <v>Magnemite</v>
      </c>
      <c r="F1287" s="2" t="str">
        <f aca="false">LEFT(D1287,ROUNDUP(LEN(D1287)/2,0))&amp;LOWER(MID(E1287,ROUNDUP(LEN(E1287)/2,0)+1,20))</f>
        <v>Dratmite</v>
      </c>
      <c r="G1287" s="8" t="str">
        <f aca="false">INDEX(Bases!$C$2:$C$53,B1287)</f>
        <v>Dragon</v>
      </c>
      <c r="H1287" s="8" t="str">
        <f aca="false">IF(INDEX(Bases!$C$2:$C$53,C1287)=G1287,"",INDEX(Bases!$C$2:$C$53,C1287))</f>
        <v>Steel</v>
      </c>
      <c r="I1287" s="8" t="str">
        <f aca="false">IF(INDEX(Bases!$E$2:$E$53,B1287)="","",INDEX(Bases!$E$2:$E$53,B1287))</f>
        <v/>
      </c>
      <c r="J1287" s="8" t="str">
        <f aca="false">IF(INDEX(Bases!$E$2:$E$53,C1287)="","",INDEX(Bases!$E$2:$E$53,C1287))</f>
        <v/>
      </c>
      <c r="K1287" s="5"/>
      <c r="L1287" s="2" t="n">
        <f aca="false">AE1287+IF(SUMPRODUCT(--($AL1287:$AQ1287&gt;AL1287))&lt;$AK1287,1,0)</f>
        <v>55</v>
      </c>
      <c r="M1287" s="2" t="n">
        <f aca="false">AF1287+IF(SUMPRODUCT(--($AL1287:$AQ1287&gt;AM1287))+SUMPRODUCT(--($AL1287:AL1287=AM1287))&lt;$AK1287,1,0)</f>
        <v>83</v>
      </c>
      <c r="N1287" s="2" t="n">
        <f aca="false">AG1287+IF(SUMPRODUCT(--($AL1287:$AQ1287&gt;AN1287))+SUMPRODUCT(--($AL1287:AM1287=AN1287))&lt;$AK1287,1,0)</f>
        <v>91</v>
      </c>
      <c r="O1287" s="2" t="n">
        <f aca="false">AH1287+IF(SUMPRODUCT(--($AL1287:$AQ1287&gt;AO1287))+SUMPRODUCT(--($AL1287:AN1287=AO1287))&lt;$AK1287,1,0)</f>
        <v>118</v>
      </c>
      <c r="P1287" s="2" t="n">
        <f aca="false">AI1287+IF(SUMPRODUCT(--($AL1287:$AQ1287&gt;AP1287))+SUMPRODUCT(--($AL1287:AO1287=AP1287))&lt;$AK1287,1,0)</f>
        <v>80</v>
      </c>
      <c r="Q1287" s="2" t="n">
        <f aca="false">AJ1287+IF(SUMPRODUCT(--($AL1287:$AQ1287&gt;AQ1287))+SUMPRODUCT(--($AL1287:AP1287=AQ1287))&lt;$AK1287,1,0)</f>
        <v>73</v>
      </c>
      <c r="R1287" s="2" t="n">
        <f aca="false">SUM(L1287:Q1287)</f>
        <v>500</v>
      </c>
      <c r="S1287" s="2" t="n">
        <f aca="false">Settings!$B$4*MAX(INDEX(Bases!$M$2:$M$53,B1287),INDEX(Bases!$M$2:$M$53,C1287))+Settings!$B$5*MIN(INDEX(Bases!$M$2:$M$53,B1287),INDEX(Bases!$M$2:$M$53,C1287))</f>
        <v>47</v>
      </c>
      <c r="T1287" s="2" t="n">
        <f aca="false">Settings!$B$4*MAX(INDEX(Bases!$N$2:$N$53,B1287),INDEX(Bases!$N$2:$N$53,C1287))+Settings!$B$5*MIN(INDEX(Bases!$N$2:$N$53,B1287),INDEX(Bases!$N$2:$N$53,C1287))</f>
        <v>71</v>
      </c>
      <c r="U1287" s="2" t="n">
        <f aca="false">Settings!$B$4*MAX(INDEX(Bases!$O$2:$O$53,B1287),INDEX(Bases!$O$2:$O$53,C1287))+Settings!$B$5*MIN(INDEX(Bases!$O$2:$O$53,B1287),INDEX(Bases!$O$2:$O$53,C1287))</f>
        <v>77.3333333333333</v>
      </c>
      <c r="V1287" s="2" t="n">
        <f aca="false">Settings!$B$4*MAX(INDEX(Bases!$P$2:$P$53,B1287),INDEX(Bases!$P$2:$P$53,C1287))+Settings!$B$5*MIN(INDEX(Bases!$P$2:$P$53,B1287),INDEX(Bases!$P$2:$P$53,C1287))</f>
        <v>100.333333333333</v>
      </c>
      <c r="W1287" s="2" t="n">
        <f aca="false">Settings!$B$4*MAX(INDEX(Bases!$Q$2:$Q$53,B1287),INDEX(Bases!$Q$2:$Q$53,C1287))+Settings!$B$5*MIN(INDEX(Bases!$Q$2:$Q$53,B1287),INDEX(Bases!$Q$2:$Q$53,C1287))</f>
        <v>67.6666666666667</v>
      </c>
      <c r="X1287" s="2" t="n">
        <f aca="false">Settings!$B$4*MAX(INDEX(Bases!$R$2:$R$53,B1287),INDEX(Bases!$R$2:$R$53,C1287))+Settings!$B$5*MIN(INDEX(Bases!$R$2:$R$53,B1287),INDEX(Bases!$R$2:$R$53,C1287))</f>
        <v>62.3333333333333</v>
      </c>
      <c r="Y1287" s="2" t="n">
        <f aca="false">S1287*Settings!$B$3/SUM(S1287:X1287)</f>
        <v>55.2075176194205</v>
      </c>
      <c r="Z1287" s="2" t="n">
        <f aca="false">T1287*Settings!$B$3/SUM(S1287:X1287)</f>
        <v>83.3985904463587</v>
      </c>
      <c r="AA1287" s="2" t="n">
        <f aca="false">U1287*Settings!$B$3/SUM(S1287:X1287)</f>
        <v>90.8379013312451</v>
      </c>
      <c r="AB1287" s="2" t="n">
        <f aca="false">V1287*Settings!$B$3/SUM(S1287:X1287)</f>
        <v>117.854346123728</v>
      </c>
      <c r="AC1287" s="2" t="n">
        <f aca="false">W1287*Settings!$B$3/SUM(S1287:X1287)</f>
        <v>79.4831636648395</v>
      </c>
      <c r="AD1287" s="2" t="n">
        <f aca="false">X1287*Settings!$B$3/SUM(S1287:X1287)</f>
        <v>73.2184808144088</v>
      </c>
      <c r="AE1287" s="2" t="n">
        <f aca="false">INT(Y1287)</f>
        <v>55</v>
      </c>
      <c r="AF1287" s="2" t="n">
        <f aca="false">INT(Z1287)</f>
        <v>83</v>
      </c>
      <c r="AG1287" s="2" t="n">
        <f aca="false">INT(AA1287)</f>
        <v>90</v>
      </c>
      <c r="AH1287" s="2" t="n">
        <f aca="false">INT(AB1287)</f>
        <v>117</v>
      </c>
      <c r="AI1287" s="2" t="n">
        <f aca="false">INT(AC1287)</f>
        <v>79</v>
      </c>
      <c r="AJ1287" s="2" t="n">
        <f aca="false">INT(AD1287)</f>
        <v>73</v>
      </c>
      <c r="AK1287" s="2" t="n">
        <f aca="false">Settings!$B$3-SUM(AE1287:AJ1287)</f>
        <v>3</v>
      </c>
      <c r="AL1287" s="2" t="n">
        <f aca="false">ROUND(Y1287-AE1287,9)</f>
        <v>0.207517619</v>
      </c>
      <c r="AM1287" s="2" t="n">
        <f aca="false">ROUND(Z1287-AF1287,9)</f>
        <v>0.398590446</v>
      </c>
      <c r="AN1287" s="2" t="n">
        <f aca="false">ROUND(AA1287-AG1287,9)</f>
        <v>0.837901331</v>
      </c>
      <c r="AO1287" s="2" t="n">
        <f aca="false">ROUND(AB1287-AH1287,9)</f>
        <v>0.854346124</v>
      </c>
      <c r="AP1287" s="2" t="n">
        <f aca="false">ROUND(AC1287-AI1287,9)</f>
        <v>0.483163665</v>
      </c>
      <c r="AQ1287" s="2" t="n">
        <f aca="false">ROUND(AD1287-AJ1287,9)</f>
        <v>0.218480814</v>
      </c>
    </row>
    <row r="1288" customFormat="false" ht="15" hidden="false" customHeight="false" outlineLevel="0" collapsed="false">
      <c r="A1288" s="2" t="n">
        <v>1287</v>
      </c>
      <c r="B1288" s="6" t="n">
        <v>43</v>
      </c>
      <c r="C1288" s="6" t="n">
        <v>49</v>
      </c>
      <c r="D1288" s="8" t="str">
        <f aca="false">INDEX(Bases!$B$2:$B$53,B1288)</f>
        <v>Dratini</v>
      </c>
      <c r="E1288" s="8" t="str">
        <f aca="false">INDEX(Bases!$B$2:$B$53,C1288)</f>
        <v>Aron</v>
      </c>
      <c r="F1288" s="2" t="str">
        <f aca="false">LEFT(D1288,ROUNDUP(LEN(D1288)/2,0))&amp;LOWER(MID(E1288,ROUNDUP(LEN(E1288)/2,0)+1,20))</f>
        <v>Draton</v>
      </c>
      <c r="G1288" s="8" t="str">
        <f aca="false">INDEX(Bases!$C$2:$C$53,B1288)</f>
        <v>Dragon</v>
      </c>
      <c r="H1288" s="8" t="str">
        <f aca="false">IF(INDEX(Bases!$C$2:$C$53,C1288)=G1288,"",INDEX(Bases!$C$2:$C$53,C1288))</f>
        <v>Steel</v>
      </c>
      <c r="I1288" s="8" t="str">
        <f aca="false">IF(INDEX(Bases!$E$2:$E$53,B1288)="","",INDEX(Bases!$E$2:$E$53,B1288))</f>
        <v/>
      </c>
      <c r="J1288" s="8" t="str">
        <f aca="false">IF(INDEX(Bases!$E$2:$E$53,C1288)="","",INDEX(Bases!$E$2:$E$53,C1288))</f>
        <v/>
      </c>
      <c r="K1288" s="5"/>
      <c r="L1288" s="2" t="n">
        <f aca="false">AE1288+IF(SUMPRODUCT(--($AL1288:$AQ1288&gt;AL1288))&lt;$AK1288,1,0)</f>
        <v>70</v>
      </c>
      <c r="M1288" s="2" t="n">
        <f aca="false">AF1288+IF(SUMPRODUCT(--($AL1288:$AQ1288&gt;AM1288))+SUMPRODUCT(--($AL1288:AL1288=AM1288))&lt;$AK1288,1,0)</f>
        <v>101</v>
      </c>
      <c r="N1288" s="2" t="n">
        <f aca="false">AG1288+IF(SUMPRODUCT(--($AL1288:$AQ1288&gt;AN1288))+SUMPRODUCT(--($AL1288:AM1288=AN1288))&lt;$AK1288,1,0)</f>
        <v>119</v>
      </c>
      <c r="O1288" s="2" t="n">
        <f aca="false">AH1288+IF(SUMPRODUCT(--($AL1288:$AQ1288&gt;AO1288))+SUMPRODUCT(--($AL1288:AN1288=AO1288))&lt;$AK1288,1,0)</f>
        <v>72</v>
      </c>
      <c r="P1288" s="2" t="n">
        <f aca="false">AI1288+IF(SUMPRODUCT(--($AL1288:$AQ1288&gt;AP1288))+SUMPRODUCT(--($AL1288:AO1288=AP1288))&lt;$AK1288,1,0)</f>
        <v>72</v>
      </c>
      <c r="Q1288" s="2" t="n">
        <f aca="false">AJ1288+IF(SUMPRODUCT(--($AL1288:$AQ1288&gt;AQ1288))+SUMPRODUCT(--($AL1288:AP1288=AQ1288))&lt;$AK1288,1,0)</f>
        <v>66</v>
      </c>
      <c r="R1288" s="2" t="n">
        <f aca="false">SUM(L1288:Q1288)</f>
        <v>500</v>
      </c>
      <c r="S1288" s="2" t="n">
        <f aca="false">Settings!$B$4*MAX(INDEX(Bases!$M$2:$M$53,B1288),INDEX(Bases!$M$2:$M$53,C1288))+Settings!$B$5*MIN(INDEX(Bases!$M$2:$M$53,B1288),INDEX(Bases!$M$2:$M$53,C1288))</f>
        <v>59</v>
      </c>
      <c r="T1288" s="2" t="n">
        <f aca="false">Settings!$B$4*MAX(INDEX(Bases!$N$2:$N$53,B1288),INDEX(Bases!$N$2:$N$53,C1288))+Settings!$B$5*MIN(INDEX(Bases!$N$2:$N$53,B1288),INDEX(Bases!$N$2:$N$53,C1288))</f>
        <v>85</v>
      </c>
      <c r="U1288" s="2" t="n">
        <f aca="false">Settings!$B$4*MAX(INDEX(Bases!$O$2:$O$53,B1288),INDEX(Bases!$O$2:$O$53,C1288))+Settings!$B$5*MIN(INDEX(Bases!$O$2:$O$53,B1288),INDEX(Bases!$O$2:$O$53,C1288))</f>
        <v>100.666666666667</v>
      </c>
      <c r="V1288" s="2" t="n">
        <f aca="false">Settings!$B$4*MAX(INDEX(Bases!$P$2:$P$53,B1288),INDEX(Bases!$P$2:$P$53,C1288))+Settings!$B$5*MIN(INDEX(Bases!$P$2:$P$53,B1288),INDEX(Bases!$P$2:$P$53,C1288))</f>
        <v>61</v>
      </c>
      <c r="W1288" s="2" t="n">
        <f aca="false">Settings!$B$4*MAX(INDEX(Bases!$Q$2:$Q$53,B1288),INDEX(Bases!$Q$2:$Q$53,C1288))+Settings!$B$5*MIN(INDEX(Bases!$Q$2:$Q$53,B1288),INDEX(Bases!$Q$2:$Q$53,C1288))</f>
        <v>60.6666666666667</v>
      </c>
      <c r="X1288" s="2" t="n">
        <f aca="false">Settings!$B$4*MAX(INDEX(Bases!$R$2:$R$53,B1288),INDEX(Bases!$R$2:$R$53,C1288))+Settings!$B$5*MIN(INDEX(Bases!$R$2:$R$53,B1288),INDEX(Bases!$R$2:$R$53,C1288))</f>
        <v>56</v>
      </c>
      <c r="Y1288" s="2" t="n">
        <f aca="false">S1288*Settings!$B$3/SUM(S1288:X1288)</f>
        <v>69.8500394632991</v>
      </c>
      <c r="Z1288" s="2" t="n">
        <f aca="false">T1288*Settings!$B$3/SUM(S1288:X1288)</f>
        <v>100.631412786109</v>
      </c>
      <c r="AA1288" s="2" t="n">
        <f aca="false">U1288*Settings!$B$3/SUM(S1288:X1288)</f>
        <v>119.179163378058</v>
      </c>
      <c r="AB1288" s="2" t="n">
        <f aca="false">V1288*Settings!$B$3/SUM(S1288:X1288)</f>
        <v>72.2178374112076</v>
      </c>
      <c r="AC1288" s="2" t="n">
        <f aca="false">W1288*Settings!$B$3/SUM(S1288:X1288)</f>
        <v>71.8232044198895</v>
      </c>
      <c r="AD1288" s="2" t="n">
        <f aca="false">X1288*Settings!$B$3/SUM(S1288:X1288)</f>
        <v>66.2983425414365</v>
      </c>
      <c r="AE1288" s="2" t="n">
        <f aca="false">INT(Y1288)</f>
        <v>69</v>
      </c>
      <c r="AF1288" s="2" t="n">
        <f aca="false">INT(Z1288)</f>
        <v>100</v>
      </c>
      <c r="AG1288" s="2" t="n">
        <f aca="false">INT(AA1288)</f>
        <v>119</v>
      </c>
      <c r="AH1288" s="2" t="n">
        <f aca="false">INT(AB1288)</f>
        <v>72</v>
      </c>
      <c r="AI1288" s="2" t="n">
        <f aca="false">INT(AC1288)</f>
        <v>71</v>
      </c>
      <c r="AJ1288" s="2" t="n">
        <f aca="false">INT(AD1288)</f>
        <v>66</v>
      </c>
      <c r="AK1288" s="2" t="n">
        <f aca="false">Settings!$B$3-SUM(AE1288:AJ1288)</f>
        <v>3</v>
      </c>
      <c r="AL1288" s="2" t="n">
        <f aca="false">ROUND(Y1288-AE1288,9)</f>
        <v>0.850039463</v>
      </c>
      <c r="AM1288" s="2" t="n">
        <f aca="false">ROUND(Z1288-AF1288,9)</f>
        <v>0.631412786</v>
      </c>
      <c r="AN1288" s="2" t="n">
        <f aca="false">ROUND(AA1288-AG1288,9)</f>
        <v>0.179163378</v>
      </c>
      <c r="AO1288" s="2" t="n">
        <f aca="false">ROUND(AB1288-AH1288,9)</f>
        <v>0.217837411</v>
      </c>
      <c r="AP1288" s="2" t="n">
        <f aca="false">ROUND(AC1288-AI1288,9)</f>
        <v>0.82320442</v>
      </c>
      <c r="AQ1288" s="2" t="n">
        <f aca="false">ROUND(AD1288-AJ1288,9)</f>
        <v>0.298342541</v>
      </c>
    </row>
    <row r="1289" customFormat="false" ht="15" hidden="false" customHeight="false" outlineLevel="0" collapsed="false">
      <c r="A1289" s="2" t="n">
        <v>1288</v>
      </c>
      <c r="B1289" s="6" t="n">
        <v>43</v>
      </c>
      <c r="C1289" s="6" t="n">
        <v>50</v>
      </c>
      <c r="D1289" s="8" t="str">
        <f aca="false">INDEX(Bases!$B$2:$B$53,B1289)</f>
        <v>Dratini</v>
      </c>
      <c r="E1289" s="8" t="str">
        <f aca="false">INDEX(Bases!$B$2:$B$53,C1289)</f>
        <v>Beldum</v>
      </c>
      <c r="F1289" s="2" t="str">
        <f aca="false">LEFT(D1289,ROUNDUP(LEN(D1289)/2,0))&amp;LOWER(MID(E1289,ROUNDUP(LEN(E1289)/2,0)+1,20))</f>
        <v>Dratdum</v>
      </c>
      <c r="G1289" s="8" t="str">
        <f aca="false">INDEX(Bases!$C$2:$C$53,B1289)</f>
        <v>Dragon</v>
      </c>
      <c r="H1289" s="8" t="str">
        <f aca="false">IF(INDEX(Bases!$C$2:$C$53,C1289)=G1289,"",INDEX(Bases!$C$2:$C$53,C1289))</f>
        <v>Steel</v>
      </c>
      <c r="I1289" s="8" t="str">
        <f aca="false">IF(INDEX(Bases!$E$2:$E$53,B1289)="","",INDEX(Bases!$E$2:$E$53,B1289))</f>
        <v/>
      </c>
      <c r="J1289" s="8" t="str">
        <f aca="false">IF(INDEX(Bases!$E$2:$E$53,C1289)="","",INDEX(Bases!$E$2:$E$53,C1289))</f>
        <v/>
      </c>
      <c r="K1289" s="5"/>
      <c r="L1289" s="2" t="n">
        <f aca="false">AE1289+IF(SUMPRODUCT(--($AL1289:$AQ1289&gt;AL1289))&lt;$AK1289,1,0)</f>
        <v>65</v>
      </c>
      <c r="M1289" s="2" t="n">
        <f aca="false">AF1289+IF(SUMPRODUCT(--($AL1289:$AQ1289&gt;AM1289))+SUMPRODUCT(--($AL1289:AL1289=AM1289))&lt;$AK1289,1,0)</f>
        <v>96</v>
      </c>
      <c r="N1289" s="2" t="n">
        <f aca="false">AG1289+IF(SUMPRODUCT(--($AL1289:$AQ1289&gt;AN1289))+SUMPRODUCT(--($AL1289:AM1289=AN1289))&lt;$AK1289,1,0)</f>
        <v>109</v>
      </c>
      <c r="O1289" s="2" t="n">
        <f aca="false">AH1289+IF(SUMPRODUCT(--($AL1289:$AQ1289&gt;AO1289))+SUMPRODUCT(--($AL1289:AN1289=AO1289))&lt;$AK1289,1,0)</f>
        <v>72</v>
      </c>
      <c r="P1289" s="2" t="n">
        <f aca="false">AI1289+IF(SUMPRODUCT(--($AL1289:$AQ1289&gt;AP1289))+SUMPRODUCT(--($AL1289:AO1289=AP1289))&lt;$AK1289,1,0)</f>
        <v>90</v>
      </c>
      <c r="Q1289" s="2" t="n">
        <f aca="false">AJ1289+IF(SUMPRODUCT(--($AL1289:$AQ1289&gt;AQ1289))+SUMPRODUCT(--($AL1289:AP1289=AQ1289))&lt;$AK1289,1,0)</f>
        <v>68</v>
      </c>
      <c r="R1289" s="2" t="n">
        <f aca="false">SUM(L1289:Q1289)</f>
        <v>500</v>
      </c>
      <c r="S1289" s="2" t="n">
        <f aca="false">Settings!$B$4*MAX(INDEX(Bases!$M$2:$M$53,B1289),INDEX(Bases!$M$2:$M$53,C1289))+Settings!$B$5*MIN(INDEX(Bases!$M$2:$M$53,B1289),INDEX(Bases!$M$2:$M$53,C1289))</f>
        <v>54.3333333333333</v>
      </c>
      <c r="T1289" s="2" t="n">
        <f aca="false">Settings!$B$4*MAX(INDEX(Bases!$N$2:$N$53,B1289),INDEX(Bases!$N$2:$N$53,C1289))+Settings!$B$5*MIN(INDEX(Bases!$N$2:$N$53,B1289),INDEX(Bases!$N$2:$N$53,C1289))</f>
        <v>81</v>
      </c>
      <c r="U1289" s="2" t="n">
        <f aca="false">Settings!$B$4*MAX(INDEX(Bases!$O$2:$O$53,B1289),INDEX(Bases!$O$2:$O$53,C1289))+Settings!$B$5*MIN(INDEX(Bases!$O$2:$O$53,B1289),INDEX(Bases!$O$2:$O$53,C1289))</f>
        <v>91.3333333333333</v>
      </c>
      <c r="V1289" s="2" t="n">
        <f aca="false">Settings!$B$4*MAX(INDEX(Bases!$P$2:$P$53,B1289),INDEX(Bases!$P$2:$P$53,C1289))+Settings!$B$5*MIN(INDEX(Bases!$P$2:$P$53,B1289),INDEX(Bases!$P$2:$P$53,C1289))</f>
        <v>60.3333333333333</v>
      </c>
      <c r="W1289" s="2" t="n">
        <f aca="false">Settings!$B$4*MAX(INDEX(Bases!$Q$2:$Q$53,B1289),INDEX(Bases!$Q$2:$Q$53,C1289))+Settings!$B$5*MIN(INDEX(Bases!$Q$2:$Q$53,B1289),INDEX(Bases!$Q$2:$Q$53,C1289))</f>
        <v>75.6666666666667</v>
      </c>
      <c r="X1289" s="2" t="n">
        <f aca="false">Settings!$B$4*MAX(INDEX(Bases!$R$2:$R$53,B1289),INDEX(Bases!$R$2:$R$53,C1289))+Settings!$B$5*MIN(INDEX(Bases!$R$2:$R$53,B1289),INDEX(Bases!$R$2:$R$53,C1289))</f>
        <v>57.3333333333333</v>
      </c>
      <c r="Y1289" s="2" t="n">
        <f aca="false">S1289*Settings!$B$3/SUM(S1289:X1289)</f>
        <v>64.6825396825397</v>
      </c>
      <c r="Z1289" s="2" t="n">
        <f aca="false">T1289*Settings!$B$3/SUM(S1289:X1289)</f>
        <v>96.4285714285714</v>
      </c>
      <c r="AA1289" s="2" t="n">
        <f aca="false">U1289*Settings!$B$3/SUM(S1289:X1289)</f>
        <v>108.730158730159</v>
      </c>
      <c r="AB1289" s="2" t="n">
        <f aca="false">V1289*Settings!$B$3/SUM(S1289:X1289)</f>
        <v>71.8253968253968</v>
      </c>
      <c r="AC1289" s="2" t="n">
        <f aca="false">W1289*Settings!$B$3/SUM(S1289:X1289)</f>
        <v>90.0793650793651</v>
      </c>
      <c r="AD1289" s="2" t="n">
        <f aca="false">X1289*Settings!$B$3/SUM(S1289:X1289)</f>
        <v>68.2539682539683</v>
      </c>
      <c r="AE1289" s="2" t="n">
        <f aca="false">INT(Y1289)</f>
        <v>64</v>
      </c>
      <c r="AF1289" s="2" t="n">
        <f aca="false">INT(Z1289)</f>
        <v>96</v>
      </c>
      <c r="AG1289" s="2" t="n">
        <f aca="false">INT(AA1289)</f>
        <v>108</v>
      </c>
      <c r="AH1289" s="2" t="n">
        <f aca="false">INT(AB1289)</f>
        <v>71</v>
      </c>
      <c r="AI1289" s="2" t="n">
        <f aca="false">INT(AC1289)</f>
        <v>90</v>
      </c>
      <c r="AJ1289" s="2" t="n">
        <f aca="false">INT(AD1289)</f>
        <v>68</v>
      </c>
      <c r="AK1289" s="2" t="n">
        <f aca="false">Settings!$B$3-SUM(AE1289:AJ1289)</f>
        <v>3</v>
      </c>
      <c r="AL1289" s="2" t="n">
        <f aca="false">ROUND(Y1289-AE1289,9)</f>
        <v>0.682539683</v>
      </c>
      <c r="AM1289" s="2" t="n">
        <f aca="false">ROUND(Z1289-AF1289,9)</f>
        <v>0.428571429</v>
      </c>
      <c r="AN1289" s="2" t="n">
        <f aca="false">ROUND(AA1289-AG1289,9)</f>
        <v>0.73015873</v>
      </c>
      <c r="AO1289" s="2" t="n">
        <f aca="false">ROUND(AB1289-AH1289,9)</f>
        <v>0.825396825</v>
      </c>
      <c r="AP1289" s="2" t="n">
        <f aca="false">ROUND(AC1289-AI1289,9)</f>
        <v>0.079365079</v>
      </c>
      <c r="AQ1289" s="2" t="n">
        <f aca="false">ROUND(AD1289-AJ1289,9)</f>
        <v>0.253968254</v>
      </c>
    </row>
    <row r="1290" customFormat="false" ht="15" hidden="false" customHeight="false" outlineLevel="0" collapsed="false">
      <c r="A1290" s="2" t="n">
        <v>1289</v>
      </c>
      <c r="B1290" s="6" t="n">
        <v>43</v>
      </c>
      <c r="C1290" s="6" t="n">
        <v>51</v>
      </c>
      <c r="D1290" s="8" t="str">
        <f aca="false">INDEX(Bases!$B$2:$B$53,B1290)</f>
        <v>Dratini</v>
      </c>
      <c r="E1290" s="8" t="str">
        <f aca="false">INDEX(Bases!$B$2:$B$53,C1290)</f>
        <v>Cleffa</v>
      </c>
      <c r="F1290" s="2" t="str">
        <f aca="false">LEFT(D1290,ROUNDUP(LEN(D1290)/2,0))&amp;LOWER(MID(E1290,ROUNDUP(LEN(E1290)/2,0)+1,20))</f>
        <v>Dratffa</v>
      </c>
      <c r="G1290" s="8" t="str">
        <f aca="false">INDEX(Bases!$C$2:$C$53,B1290)</f>
        <v>Dragon</v>
      </c>
      <c r="H1290" s="8" t="str">
        <f aca="false">IF(INDEX(Bases!$C$2:$C$53,C1290)=G1290,"",INDEX(Bases!$C$2:$C$53,C1290))</f>
        <v>Fairy</v>
      </c>
      <c r="I1290" s="8" t="str">
        <f aca="false">IF(INDEX(Bases!$E$2:$E$53,B1290)="","",INDEX(Bases!$E$2:$E$53,B1290))</f>
        <v/>
      </c>
      <c r="J1290" s="8" t="str">
        <f aca="false">IF(INDEX(Bases!$E$2:$E$53,C1290)="","",INDEX(Bases!$E$2:$E$53,C1290))</f>
        <v/>
      </c>
      <c r="K1290" s="5"/>
      <c r="L1290" s="2" t="n">
        <f aca="false">AE1290+IF(SUMPRODUCT(--($AL1290:$AQ1290&gt;AL1290))&lt;$AK1290,1,0)</f>
        <v>93</v>
      </c>
      <c r="M1290" s="2" t="n">
        <f aca="false">AF1290+IF(SUMPRODUCT(--($AL1290:$AQ1290&gt;AM1290))+SUMPRODUCT(--($AL1290:AL1290=AM1290))&lt;$AK1290,1,0)</f>
        <v>84</v>
      </c>
      <c r="N1290" s="2" t="n">
        <f aca="false">AG1290+IF(SUMPRODUCT(--($AL1290:$AQ1290&gt;AN1290))+SUMPRODUCT(--($AL1290:AM1290=AN1290))&lt;$AK1290,1,0)</f>
        <v>66</v>
      </c>
      <c r="O1290" s="2" t="n">
        <f aca="false">AH1290+IF(SUMPRODUCT(--($AL1290:$AQ1290&gt;AO1290))+SUMPRODUCT(--($AL1290:AN1290=AO1290))&lt;$AK1290,1,0)</f>
        <v>91</v>
      </c>
      <c r="P1290" s="2" t="n">
        <f aca="false">AI1290+IF(SUMPRODUCT(--($AL1290:$AQ1290&gt;AP1290))+SUMPRODUCT(--($AL1290:AO1290=AP1290))&lt;$AK1290,1,0)</f>
        <v>104</v>
      </c>
      <c r="Q1290" s="2" t="n">
        <f aca="false">AJ1290+IF(SUMPRODUCT(--($AL1290:$AQ1290&gt;AQ1290))+SUMPRODUCT(--($AL1290:AP1290=AQ1290))&lt;$AK1290,1,0)</f>
        <v>62</v>
      </c>
      <c r="R1290" s="2" t="n">
        <f aca="false">SUM(L1290:Q1290)</f>
        <v>500</v>
      </c>
      <c r="S1290" s="2" t="n">
        <f aca="false">Settings!$B$4*MAX(INDEX(Bases!$M$2:$M$53,B1290),INDEX(Bases!$M$2:$M$53,C1290))+Settings!$B$5*MIN(INDEX(Bases!$M$2:$M$53,B1290),INDEX(Bases!$M$2:$M$53,C1290))</f>
        <v>79.6666666666667</v>
      </c>
      <c r="T1290" s="2" t="n">
        <f aca="false">Settings!$B$4*MAX(INDEX(Bases!$N$2:$N$53,B1290),INDEX(Bases!$N$2:$N$53,C1290))+Settings!$B$5*MIN(INDEX(Bases!$N$2:$N$53,B1290),INDEX(Bases!$N$2:$N$53,C1290))</f>
        <v>72</v>
      </c>
      <c r="U1290" s="2" t="n">
        <f aca="false">Settings!$B$4*MAX(INDEX(Bases!$O$2:$O$53,B1290),INDEX(Bases!$O$2:$O$53,C1290))+Settings!$B$5*MIN(INDEX(Bases!$O$2:$O$53,B1290),INDEX(Bases!$O$2:$O$53,C1290))</f>
        <v>57</v>
      </c>
      <c r="V1290" s="2" t="n">
        <f aca="false">Settings!$B$4*MAX(INDEX(Bases!$P$2:$P$53,B1290),INDEX(Bases!$P$2:$P$53,C1290))+Settings!$B$5*MIN(INDEX(Bases!$P$2:$P$53,B1290),INDEX(Bases!$P$2:$P$53,C1290))</f>
        <v>77.6666666666667</v>
      </c>
      <c r="W1290" s="2" t="n">
        <f aca="false">Settings!$B$4*MAX(INDEX(Bases!$Q$2:$Q$53,B1290),INDEX(Bases!$Q$2:$Q$53,C1290))+Settings!$B$5*MIN(INDEX(Bases!$Q$2:$Q$53,B1290),INDEX(Bases!$Q$2:$Q$53,C1290))</f>
        <v>89.6666666666667</v>
      </c>
      <c r="X1290" s="2" t="n">
        <f aca="false">Settings!$B$4*MAX(INDEX(Bases!$R$2:$R$53,B1290),INDEX(Bases!$R$2:$R$53,C1290))+Settings!$B$5*MIN(INDEX(Bases!$R$2:$R$53,B1290),INDEX(Bases!$R$2:$R$53,C1290))</f>
        <v>53</v>
      </c>
      <c r="Y1290" s="2" t="n">
        <f aca="false">S1290*Settings!$B$3/SUM(S1290:X1290)</f>
        <v>92.8515928515928</v>
      </c>
      <c r="Z1290" s="2" t="n">
        <f aca="false">T1290*Settings!$B$3/SUM(S1290:X1290)</f>
        <v>83.9160839160839</v>
      </c>
      <c r="AA1290" s="2" t="n">
        <f aca="false">U1290*Settings!$B$3/SUM(S1290:X1290)</f>
        <v>66.4335664335664</v>
      </c>
      <c r="AB1290" s="2" t="n">
        <f aca="false">V1290*Settings!$B$3/SUM(S1290:X1290)</f>
        <v>90.5205905205905</v>
      </c>
      <c r="AC1290" s="2" t="n">
        <f aca="false">W1290*Settings!$B$3/SUM(S1290:X1290)</f>
        <v>104.506604506604</v>
      </c>
      <c r="AD1290" s="2" t="n">
        <f aca="false">X1290*Settings!$B$3/SUM(S1290:X1290)</f>
        <v>61.7715617715618</v>
      </c>
      <c r="AE1290" s="2" t="n">
        <f aca="false">INT(Y1290)</f>
        <v>92</v>
      </c>
      <c r="AF1290" s="2" t="n">
        <f aca="false">INT(Z1290)</f>
        <v>83</v>
      </c>
      <c r="AG1290" s="2" t="n">
        <f aca="false">INT(AA1290)</f>
        <v>66</v>
      </c>
      <c r="AH1290" s="2" t="n">
        <f aca="false">INT(AB1290)</f>
        <v>90</v>
      </c>
      <c r="AI1290" s="2" t="n">
        <f aca="false">INT(AC1290)</f>
        <v>104</v>
      </c>
      <c r="AJ1290" s="2" t="n">
        <f aca="false">INT(AD1290)</f>
        <v>61</v>
      </c>
      <c r="AK1290" s="2" t="n">
        <f aca="false">Settings!$B$3-SUM(AE1290:AJ1290)</f>
        <v>4</v>
      </c>
      <c r="AL1290" s="2" t="n">
        <f aca="false">ROUND(Y1290-AE1290,9)</f>
        <v>0.851592852</v>
      </c>
      <c r="AM1290" s="2" t="n">
        <f aca="false">ROUND(Z1290-AF1290,9)</f>
        <v>0.916083916</v>
      </c>
      <c r="AN1290" s="2" t="n">
        <f aca="false">ROUND(AA1290-AG1290,9)</f>
        <v>0.433566434</v>
      </c>
      <c r="AO1290" s="2" t="n">
        <f aca="false">ROUND(AB1290-AH1290,9)</f>
        <v>0.520590521</v>
      </c>
      <c r="AP1290" s="2" t="n">
        <f aca="false">ROUND(AC1290-AI1290,9)</f>
        <v>0.506604507</v>
      </c>
      <c r="AQ1290" s="2" t="n">
        <f aca="false">ROUND(AD1290-AJ1290,9)</f>
        <v>0.771561772</v>
      </c>
    </row>
    <row r="1291" customFormat="false" ht="15" hidden="false" customHeight="false" outlineLevel="0" collapsed="false">
      <c r="A1291" s="2" t="n">
        <v>1290</v>
      </c>
      <c r="B1291" s="6" t="n">
        <v>43</v>
      </c>
      <c r="C1291" s="6" t="n">
        <v>52</v>
      </c>
      <c r="D1291" s="8" t="str">
        <f aca="false">INDEX(Bases!$B$2:$B$53,B1291)</f>
        <v>Dratini</v>
      </c>
      <c r="E1291" s="8" t="str">
        <f aca="false">INDEX(Bases!$B$2:$B$53,C1291)</f>
        <v>Togepi</v>
      </c>
      <c r="F1291" s="2" t="str">
        <f aca="false">LEFT(D1291,ROUNDUP(LEN(D1291)/2,0))&amp;LOWER(MID(E1291,ROUNDUP(LEN(E1291)/2,0)+1,20))</f>
        <v>Dratepi</v>
      </c>
      <c r="G1291" s="8" t="str">
        <f aca="false">INDEX(Bases!$C$2:$C$53,B1291)</f>
        <v>Dragon</v>
      </c>
      <c r="H1291" s="8" t="str">
        <f aca="false">IF(INDEX(Bases!$C$2:$C$53,C1291)=G1291,"",INDEX(Bases!$C$2:$C$53,C1291))</f>
        <v>Fairy</v>
      </c>
      <c r="I1291" s="8" t="str">
        <f aca="false">IF(INDEX(Bases!$E$2:$E$53,B1291)="","",INDEX(Bases!$E$2:$E$53,B1291))</f>
        <v/>
      </c>
      <c r="J1291" s="8" t="str">
        <f aca="false">IF(INDEX(Bases!$E$2:$E$53,C1291)="","",INDEX(Bases!$E$2:$E$53,C1291))</f>
        <v/>
      </c>
      <c r="K1291" s="5"/>
      <c r="L1291" s="2" t="n">
        <f aca="false">AE1291+IF(SUMPRODUCT(--($AL1291:$AQ1291&gt;AL1291))&lt;$AK1291,1,0)</f>
        <v>66</v>
      </c>
      <c r="M1291" s="2" t="n">
        <f aca="false">AF1291+IF(SUMPRODUCT(--($AL1291:$AQ1291&gt;AM1291))+SUMPRODUCT(--($AL1291:AL1291=AM1291))&lt;$AK1291,1,0)</f>
        <v>79</v>
      </c>
      <c r="N1291" s="2" t="n">
        <f aca="false">AG1291+IF(SUMPRODUCT(--($AL1291:$AQ1291&gt;AN1291))+SUMPRODUCT(--($AL1291:AM1291=AN1291))&lt;$AK1291,1,0)</f>
        <v>106</v>
      </c>
      <c r="O1291" s="2" t="n">
        <f aca="false">AH1291+IF(SUMPRODUCT(--($AL1291:$AQ1291&gt;AO1291))+SUMPRODUCT(--($AL1291:AN1291=AO1291))&lt;$AK1291,1,0)</f>
        <v>77</v>
      </c>
      <c r="P1291" s="2" t="n">
        <f aca="false">AI1291+IF(SUMPRODUCT(--($AL1291:$AQ1291&gt;AP1291))+SUMPRODUCT(--($AL1291:AO1291=AP1291))&lt;$AK1291,1,0)</f>
        <v>108</v>
      </c>
      <c r="Q1291" s="2" t="n">
        <f aca="false">AJ1291+IF(SUMPRODUCT(--($AL1291:$AQ1291&gt;AQ1291))+SUMPRODUCT(--($AL1291:AP1291=AQ1291))&lt;$AK1291,1,0)</f>
        <v>64</v>
      </c>
      <c r="R1291" s="2" t="n">
        <f aca="false">SUM(L1291:Q1291)</f>
        <v>500</v>
      </c>
      <c r="S1291" s="2" t="n">
        <f aca="false">Settings!$B$4*MAX(INDEX(Bases!$M$2:$M$53,B1291),INDEX(Bases!$M$2:$M$53,C1291))+Settings!$B$5*MIN(INDEX(Bases!$M$2:$M$53,B1291),INDEX(Bases!$M$2:$M$53,C1291))</f>
        <v>56.3333333333333</v>
      </c>
      <c r="T1291" s="2" t="n">
        <f aca="false">Settings!$B$4*MAX(INDEX(Bases!$N$2:$N$53,B1291),INDEX(Bases!$N$2:$N$53,C1291))+Settings!$B$5*MIN(INDEX(Bases!$N$2:$N$53,B1291),INDEX(Bases!$N$2:$N$53,C1291))</f>
        <v>67.6666666666667</v>
      </c>
      <c r="U1291" s="2" t="n">
        <f aca="false">Settings!$B$4*MAX(INDEX(Bases!$O$2:$O$53,B1291),INDEX(Bases!$O$2:$O$53,C1291))+Settings!$B$5*MIN(INDEX(Bases!$O$2:$O$53,B1291),INDEX(Bases!$O$2:$O$53,C1291))</f>
        <v>90.6666666666667</v>
      </c>
      <c r="V1291" s="2" t="n">
        <f aca="false">Settings!$B$4*MAX(INDEX(Bases!$P$2:$P$53,B1291),INDEX(Bases!$P$2:$P$53,C1291))+Settings!$B$5*MIN(INDEX(Bases!$P$2:$P$53,B1291),INDEX(Bases!$P$2:$P$53,C1291))</f>
        <v>66.3333333333333</v>
      </c>
      <c r="W1291" s="2" t="n">
        <f aca="false">Settings!$B$4*MAX(INDEX(Bases!$Q$2:$Q$53,B1291),INDEX(Bases!$Q$2:$Q$53,C1291))+Settings!$B$5*MIN(INDEX(Bases!$Q$2:$Q$53,B1291),INDEX(Bases!$Q$2:$Q$53,C1291))</f>
        <v>93</v>
      </c>
      <c r="X1291" s="2" t="n">
        <f aca="false">Settings!$B$4*MAX(INDEX(Bases!$R$2:$R$53,B1291),INDEX(Bases!$R$2:$R$53,C1291))+Settings!$B$5*MIN(INDEX(Bases!$R$2:$R$53,B1291),INDEX(Bases!$R$2:$R$53,C1291))</f>
        <v>55</v>
      </c>
      <c r="Y1291" s="2" t="n">
        <f aca="false">S1291*Settings!$B$3/SUM(S1291:X1291)</f>
        <v>65.6565656565657</v>
      </c>
      <c r="Z1291" s="2" t="n">
        <f aca="false">T1291*Settings!$B$3/SUM(S1291:X1291)</f>
        <v>78.8655788655789</v>
      </c>
      <c r="AA1291" s="2" t="n">
        <f aca="false">U1291*Settings!$B$3/SUM(S1291:X1291)</f>
        <v>105.672105672106</v>
      </c>
      <c r="AB1291" s="2" t="n">
        <f aca="false">V1291*Settings!$B$3/SUM(S1291:X1291)</f>
        <v>77.3115773115773</v>
      </c>
      <c r="AC1291" s="2" t="n">
        <f aca="false">W1291*Settings!$B$3/SUM(S1291:X1291)</f>
        <v>108.391608391608</v>
      </c>
      <c r="AD1291" s="2" t="n">
        <f aca="false">X1291*Settings!$B$3/SUM(S1291:X1291)</f>
        <v>64.1025641025641</v>
      </c>
      <c r="AE1291" s="2" t="n">
        <f aca="false">INT(Y1291)</f>
        <v>65</v>
      </c>
      <c r="AF1291" s="2" t="n">
        <f aca="false">INT(Z1291)</f>
        <v>78</v>
      </c>
      <c r="AG1291" s="2" t="n">
        <f aca="false">INT(AA1291)</f>
        <v>105</v>
      </c>
      <c r="AH1291" s="2" t="n">
        <f aca="false">INT(AB1291)</f>
        <v>77</v>
      </c>
      <c r="AI1291" s="2" t="n">
        <f aca="false">INT(AC1291)</f>
        <v>108</v>
      </c>
      <c r="AJ1291" s="2" t="n">
        <f aca="false">INT(AD1291)</f>
        <v>64</v>
      </c>
      <c r="AK1291" s="2" t="n">
        <f aca="false">Settings!$B$3-SUM(AE1291:AJ1291)</f>
        <v>3</v>
      </c>
      <c r="AL1291" s="2" t="n">
        <f aca="false">ROUND(Y1291-AE1291,9)</f>
        <v>0.656565657</v>
      </c>
      <c r="AM1291" s="2" t="n">
        <f aca="false">ROUND(Z1291-AF1291,9)</f>
        <v>0.865578866</v>
      </c>
      <c r="AN1291" s="2" t="n">
        <f aca="false">ROUND(AA1291-AG1291,9)</f>
        <v>0.672105672</v>
      </c>
      <c r="AO1291" s="2" t="n">
        <f aca="false">ROUND(AB1291-AH1291,9)</f>
        <v>0.311577312</v>
      </c>
      <c r="AP1291" s="2" t="n">
        <f aca="false">ROUND(AC1291-AI1291,9)</f>
        <v>0.391608392</v>
      </c>
      <c r="AQ1291" s="2" t="n">
        <f aca="false">ROUND(AD1291-AJ1291,9)</f>
        <v>0.102564103</v>
      </c>
    </row>
    <row r="1292" customFormat="false" ht="15" hidden="false" customHeight="false" outlineLevel="0" collapsed="false">
      <c r="A1292" s="2" t="n">
        <v>1291</v>
      </c>
      <c r="B1292" s="6" t="n">
        <v>44</v>
      </c>
      <c r="C1292" s="6" t="n">
        <v>45</v>
      </c>
      <c r="D1292" s="8" t="str">
        <f aca="false">INDEX(Bases!$B$2:$B$53,B1292)</f>
        <v>Bagon</v>
      </c>
      <c r="E1292" s="8" t="str">
        <f aca="false">INDEX(Bases!$B$2:$B$53,C1292)</f>
        <v>Sneasel</v>
      </c>
      <c r="F1292" s="2" t="str">
        <f aca="false">LEFT(D1292,ROUNDUP(LEN(D1292)/2,0))&amp;LOWER(MID(E1292,ROUNDUP(LEN(E1292)/2,0)+1,20))</f>
        <v>Bagsel</v>
      </c>
      <c r="G1292" s="8" t="str">
        <f aca="false">INDEX(Bases!$C$2:$C$53,B1292)</f>
        <v>Dragon</v>
      </c>
      <c r="H1292" s="8" t="str">
        <f aca="false">IF(INDEX(Bases!$C$2:$C$53,C1292)=G1292,"",INDEX(Bases!$C$2:$C$53,C1292))</f>
        <v>Dark</v>
      </c>
      <c r="I1292" s="8" t="str">
        <f aca="false">IF(INDEX(Bases!$E$2:$E$53,B1292)="","",INDEX(Bases!$E$2:$E$53,B1292))</f>
        <v/>
      </c>
      <c r="J1292" s="8" t="str">
        <f aca="false">IF(INDEX(Bases!$E$2:$E$53,C1292)="","",INDEX(Bases!$E$2:$E$53,C1292))</f>
        <v/>
      </c>
      <c r="K1292" s="5"/>
      <c r="L1292" s="2" t="n">
        <f aca="false">AE1292+IF(SUMPRODUCT(--($AL1292:$AQ1292&gt;AL1292))&lt;$AK1292,1,0)</f>
        <v>67</v>
      </c>
      <c r="M1292" s="2" t="n">
        <f aca="false">AF1292+IF(SUMPRODUCT(--($AL1292:$AQ1292&gt;AM1292))+SUMPRODUCT(--($AL1292:AL1292=AM1292))&lt;$AK1292,1,0)</f>
        <v>113</v>
      </c>
      <c r="N1292" s="2" t="n">
        <f aca="false">AG1292+IF(SUMPRODUCT(--($AL1292:$AQ1292&gt;AN1292))+SUMPRODUCT(--($AL1292:AM1292=AN1292))&lt;$AK1292,1,0)</f>
        <v>83</v>
      </c>
      <c r="O1292" s="2" t="n">
        <f aca="false">AH1292+IF(SUMPRODUCT(--($AL1292:$AQ1292&gt;AO1292))+SUMPRODUCT(--($AL1292:AN1292=AO1292))&lt;$AK1292,1,0)</f>
        <v>55</v>
      </c>
      <c r="P1292" s="2" t="n">
        <f aca="false">AI1292+IF(SUMPRODUCT(--($AL1292:$AQ1292&gt;AP1292))+SUMPRODUCT(--($AL1292:AO1292=AP1292))&lt;$AK1292,1,0)</f>
        <v>71</v>
      </c>
      <c r="Q1292" s="2" t="n">
        <f aca="false">AJ1292+IF(SUMPRODUCT(--($AL1292:$AQ1292&gt;AQ1292))+SUMPRODUCT(--($AL1292:AP1292=AQ1292))&lt;$AK1292,1,0)</f>
        <v>111</v>
      </c>
      <c r="R1292" s="2" t="n">
        <f aca="false">SUM(L1292:Q1292)</f>
        <v>500</v>
      </c>
      <c r="S1292" s="2" t="n">
        <f aca="false">Settings!$B$4*MAX(INDEX(Bases!$M$2:$M$53,B1292),INDEX(Bases!$M$2:$M$53,C1292))+Settings!$B$5*MIN(INDEX(Bases!$M$2:$M$53,B1292),INDEX(Bases!$M$2:$M$53,C1292))</f>
        <v>57</v>
      </c>
      <c r="T1292" s="2" t="n">
        <f aca="false">Settings!$B$4*MAX(INDEX(Bases!$N$2:$N$53,B1292),INDEX(Bases!$N$2:$N$53,C1292))+Settings!$B$5*MIN(INDEX(Bases!$N$2:$N$53,B1292),INDEX(Bases!$N$2:$N$53,C1292))</f>
        <v>96</v>
      </c>
      <c r="U1292" s="2" t="n">
        <f aca="false">Settings!$B$4*MAX(INDEX(Bases!$O$2:$O$53,B1292),INDEX(Bases!$O$2:$O$53,C1292))+Settings!$B$5*MIN(INDEX(Bases!$O$2:$O$53,B1292),INDEX(Bases!$O$2:$O$53,C1292))</f>
        <v>70.3333333333333</v>
      </c>
      <c r="V1292" s="2" t="n">
        <f aca="false">Settings!$B$4*MAX(INDEX(Bases!$P$2:$P$53,B1292),INDEX(Bases!$P$2:$P$53,C1292))+Settings!$B$5*MIN(INDEX(Bases!$P$2:$P$53,B1292),INDEX(Bases!$P$2:$P$53,C1292))</f>
        <v>46.3333333333333</v>
      </c>
      <c r="W1292" s="2" t="n">
        <f aca="false">Settings!$B$4*MAX(INDEX(Bases!$Q$2:$Q$53,B1292),INDEX(Bases!$Q$2:$Q$53,C1292))+Settings!$B$5*MIN(INDEX(Bases!$Q$2:$Q$53,B1292),INDEX(Bases!$Q$2:$Q$53,C1292))</f>
        <v>60</v>
      </c>
      <c r="X1292" s="2" t="n">
        <f aca="false">Settings!$B$4*MAX(INDEX(Bases!$R$2:$R$53,B1292),INDEX(Bases!$R$2:$R$53,C1292))+Settings!$B$5*MIN(INDEX(Bases!$R$2:$R$53,B1292),INDEX(Bases!$R$2:$R$53,C1292))</f>
        <v>93.6666666666667</v>
      </c>
      <c r="Y1292" s="2" t="n">
        <f aca="false">S1292*Settings!$B$3/SUM(S1292:X1292)</f>
        <v>67.3228346456693</v>
      </c>
      <c r="Z1292" s="2" t="n">
        <f aca="false">T1292*Settings!$B$3/SUM(S1292:X1292)</f>
        <v>113.385826771654</v>
      </c>
      <c r="AA1292" s="2" t="n">
        <f aca="false">U1292*Settings!$B$3/SUM(S1292:X1292)</f>
        <v>83.0708661417323</v>
      </c>
      <c r="AB1292" s="2" t="n">
        <f aca="false">V1292*Settings!$B$3/SUM(S1292:X1292)</f>
        <v>54.7244094488189</v>
      </c>
      <c r="AC1292" s="2" t="n">
        <f aca="false">W1292*Settings!$B$3/SUM(S1292:X1292)</f>
        <v>70.8661417322835</v>
      </c>
      <c r="AD1292" s="2" t="n">
        <f aca="false">X1292*Settings!$B$3/SUM(S1292:X1292)</f>
        <v>110.629921259843</v>
      </c>
      <c r="AE1292" s="2" t="n">
        <f aca="false">INT(Y1292)</f>
        <v>67</v>
      </c>
      <c r="AF1292" s="2" t="n">
        <f aca="false">INT(Z1292)</f>
        <v>113</v>
      </c>
      <c r="AG1292" s="2" t="n">
        <f aca="false">INT(AA1292)</f>
        <v>83</v>
      </c>
      <c r="AH1292" s="2" t="n">
        <f aca="false">INT(AB1292)</f>
        <v>54</v>
      </c>
      <c r="AI1292" s="2" t="n">
        <f aca="false">INT(AC1292)</f>
        <v>70</v>
      </c>
      <c r="AJ1292" s="2" t="n">
        <f aca="false">INT(AD1292)</f>
        <v>110</v>
      </c>
      <c r="AK1292" s="2" t="n">
        <f aca="false">Settings!$B$3-SUM(AE1292:AJ1292)</f>
        <v>3</v>
      </c>
      <c r="AL1292" s="2" t="n">
        <f aca="false">ROUND(Y1292-AE1292,9)</f>
        <v>0.322834646</v>
      </c>
      <c r="AM1292" s="2" t="n">
        <f aca="false">ROUND(Z1292-AF1292,9)</f>
        <v>0.385826772</v>
      </c>
      <c r="AN1292" s="2" t="n">
        <f aca="false">ROUND(AA1292-AG1292,9)</f>
        <v>0.070866142</v>
      </c>
      <c r="AO1292" s="2" t="n">
        <f aca="false">ROUND(AB1292-AH1292,9)</f>
        <v>0.724409449</v>
      </c>
      <c r="AP1292" s="2" t="n">
        <f aca="false">ROUND(AC1292-AI1292,9)</f>
        <v>0.866141732</v>
      </c>
      <c r="AQ1292" s="2" t="n">
        <f aca="false">ROUND(AD1292-AJ1292,9)</f>
        <v>0.62992126</v>
      </c>
    </row>
    <row r="1293" customFormat="false" ht="15" hidden="false" customHeight="false" outlineLevel="0" collapsed="false">
      <c r="A1293" s="2" t="n">
        <v>1292</v>
      </c>
      <c r="B1293" s="6" t="n">
        <v>44</v>
      </c>
      <c r="C1293" s="6" t="n">
        <v>46</v>
      </c>
      <c r="D1293" s="8" t="str">
        <f aca="false">INDEX(Bases!$B$2:$B$53,B1293)</f>
        <v>Bagon</v>
      </c>
      <c r="E1293" s="8" t="str">
        <f aca="false">INDEX(Bases!$B$2:$B$53,C1293)</f>
        <v>Houndour</v>
      </c>
      <c r="F1293" s="2" t="str">
        <f aca="false">LEFT(D1293,ROUNDUP(LEN(D1293)/2,0))&amp;LOWER(MID(E1293,ROUNDUP(LEN(E1293)/2,0)+1,20))</f>
        <v>Bagdour</v>
      </c>
      <c r="G1293" s="8" t="str">
        <f aca="false">INDEX(Bases!$C$2:$C$53,B1293)</f>
        <v>Dragon</v>
      </c>
      <c r="H1293" s="8" t="str">
        <f aca="false">IF(INDEX(Bases!$C$2:$C$53,C1293)=G1293,"",INDEX(Bases!$C$2:$C$53,C1293))</f>
        <v>Dark</v>
      </c>
      <c r="I1293" s="8" t="str">
        <f aca="false">IF(INDEX(Bases!$E$2:$E$53,B1293)="","",INDEX(Bases!$E$2:$E$53,B1293))</f>
        <v/>
      </c>
      <c r="J1293" s="8" t="str">
        <f aca="false">IF(INDEX(Bases!$E$2:$E$53,C1293)="","",INDEX(Bases!$E$2:$E$53,C1293))</f>
        <v/>
      </c>
      <c r="K1293" s="5"/>
      <c r="L1293" s="2" t="n">
        <f aca="false">AE1293+IF(SUMPRODUCT(--($AL1293:$AQ1293&gt;AL1293))&lt;$AK1293,1,0)</f>
        <v>68</v>
      </c>
      <c r="M1293" s="2" t="n">
        <f aca="false">AF1293+IF(SUMPRODUCT(--($AL1293:$AQ1293&gt;AM1293))+SUMPRODUCT(--($AL1293:AL1293=AM1293))&lt;$AK1293,1,0)</f>
        <v>107</v>
      </c>
      <c r="N1293" s="2" t="n">
        <f aca="false">AG1293+IF(SUMPRODUCT(--($AL1293:$AQ1293&gt;AN1293))+SUMPRODUCT(--($AL1293:AM1293=AN1293))&lt;$AK1293,1,0)</f>
        <v>77</v>
      </c>
      <c r="O1293" s="2" t="n">
        <f aca="false">AH1293+IF(SUMPRODUCT(--($AL1293:$AQ1293&gt;AO1293))+SUMPRODUCT(--($AL1293:AN1293=AO1293))&lt;$AK1293,1,0)</f>
        <v>97</v>
      </c>
      <c r="P1293" s="2" t="n">
        <f aca="false">AI1293+IF(SUMPRODUCT(--($AL1293:$AQ1293&gt;AP1293))+SUMPRODUCT(--($AL1293:AO1293=AP1293))&lt;$AK1293,1,0)</f>
        <v>63</v>
      </c>
      <c r="Q1293" s="2" t="n">
        <f aca="false">AJ1293+IF(SUMPRODUCT(--($AL1293:$AQ1293&gt;AQ1293))+SUMPRODUCT(--($AL1293:AP1293=AQ1293))&lt;$AK1293,1,0)</f>
        <v>88</v>
      </c>
      <c r="R1293" s="2" t="n">
        <f aca="false">SUM(L1293:Q1293)</f>
        <v>500</v>
      </c>
      <c r="S1293" s="2" t="n">
        <f aca="false">Settings!$B$4*MAX(INDEX(Bases!$M$2:$M$53,B1293),INDEX(Bases!$M$2:$M$53,C1293))+Settings!$B$5*MIN(INDEX(Bases!$M$2:$M$53,B1293),INDEX(Bases!$M$2:$M$53,C1293))</f>
        <v>58</v>
      </c>
      <c r="T1293" s="2" t="n">
        <f aca="false">Settings!$B$4*MAX(INDEX(Bases!$N$2:$N$53,B1293),INDEX(Bases!$N$2:$N$53,C1293))+Settings!$B$5*MIN(INDEX(Bases!$N$2:$N$53,B1293),INDEX(Bases!$N$2:$N$53,C1293))</f>
        <v>91</v>
      </c>
      <c r="U1293" s="2" t="n">
        <f aca="false">Settings!$B$4*MAX(INDEX(Bases!$O$2:$O$53,B1293),INDEX(Bases!$O$2:$O$53,C1293))+Settings!$B$5*MIN(INDEX(Bases!$O$2:$O$53,B1293),INDEX(Bases!$O$2:$O$53,C1293))</f>
        <v>65.3333333333333</v>
      </c>
      <c r="V1293" s="2" t="n">
        <f aca="false">Settings!$B$4*MAX(INDEX(Bases!$P$2:$P$53,B1293),INDEX(Bases!$P$2:$P$53,C1293))+Settings!$B$5*MIN(INDEX(Bases!$P$2:$P$53,B1293),INDEX(Bases!$P$2:$P$53,C1293))</f>
        <v>82.3333333333333</v>
      </c>
      <c r="W1293" s="2" t="n">
        <f aca="false">Settings!$B$4*MAX(INDEX(Bases!$Q$2:$Q$53,B1293),INDEX(Bases!$Q$2:$Q$53,C1293))+Settings!$B$5*MIN(INDEX(Bases!$Q$2:$Q$53,B1293),INDEX(Bases!$Q$2:$Q$53,C1293))</f>
        <v>54</v>
      </c>
      <c r="X1293" s="2" t="n">
        <f aca="false">Settings!$B$4*MAX(INDEX(Bases!$R$2:$R$53,B1293),INDEX(Bases!$R$2:$R$53,C1293))+Settings!$B$5*MIN(INDEX(Bases!$R$2:$R$53,B1293),INDEX(Bases!$R$2:$R$53,C1293))</f>
        <v>75</v>
      </c>
      <c r="Y1293" s="2" t="n">
        <f aca="false">S1293*Settings!$B$3/SUM(S1293:X1293)</f>
        <v>68.1284259984338</v>
      </c>
      <c r="Z1293" s="2" t="n">
        <f aca="false">T1293*Settings!$B$3/SUM(S1293:X1293)</f>
        <v>106.891151135474</v>
      </c>
      <c r="AA1293" s="2" t="n">
        <f aca="false">U1293*Settings!$B$3/SUM(S1293:X1293)</f>
        <v>76.742364917776</v>
      </c>
      <c r="AB1293" s="2" t="n">
        <f aca="false">V1293*Settings!$B$3/SUM(S1293:X1293)</f>
        <v>96.7110415035239</v>
      </c>
      <c r="AC1293" s="2" t="n">
        <f aca="false">W1293*Settings!$B$3/SUM(S1293:X1293)</f>
        <v>63.4299138606108</v>
      </c>
      <c r="AD1293" s="2" t="n">
        <f aca="false">X1293*Settings!$B$3/SUM(S1293:X1293)</f>
        <v>88.0971025841817</v>
      </c>
      <c r="AE1293" s="2" t="n">
        <f aca="false">INT(Y1293)</f>
        <v>68</v>
      </c>
      <c r="AF1293" s="2" t="n">
        <f aca="false">INT(Z1293)</f>
        <v>106</v>
      </c>
      <c r="AG1293" s="2" t="n">
        <f aca="false">INT(AA1293)</f>
        <v>76</v>
      </c>
      <c r="AH1293" s="2" t="n">
        <f aca="false">INT(AB1293)</f>
        <v>96</v>
      </c>
      <c r="AI1293" s="2" t="n">
        <f aca="false">INT(AC1293)</f>
        <v>63</v>
      </c>
      <c r="AJ1293" s="2" t="n">
        <f aca="false">INT(AD1293)</f>
        <v>88</v>
      </c>
      <c r="AK1293" s="2" t="n">
        <f aca="false">Settings!$B$3-SUM(AE1293:AJ1293)</f>
        <v>3</v>
      </c>
      <c r="AL1293" s="2" t="n">
        <f aca="false">ROUND(Y1293-AE1293,9)</f>
        <v>0.128425998</v>
      </c>
      <c r="AM1293" s="2" t="n">
        <f aca="false">ROUND(Z1293-AF1293,9)</f>
        <v>0.891151135</v>
      </c>
      <c r="AN1293" s="2" t="n">
        <f aca="false">ROUND(AA1293-AG1293,9)</f>
        <v>0.742364918</v>
      </c>
      <c r="AO1293" s="2" t="n">
        <f aca="false">ROUND(AB1293-AH1293,9)</f>
        <v>0.711041504</v>
      </c>
      <c r="AP1293" s="2" t="n">
        <f aca="false">ROUND(AC1293-AI1293,9)</f>
        <v>0.429913861</v>
      </c>
      <c r="AQ1293" s="2" t="n">
        <f aca="false">ROUND(AD1293-AJ1293,9)</f>
        <v>0.097102584</v>
      </c>
    </row>
    <row r="1294" customFormat="false" ht="15" hidden="false" customHeight="false" outlineLevel="0" collapsed="false">
      <c r="A1294" s="2" t="n">
        <v>1293</v>
      </c>
      <c r="B1294" s="6" t="n">
        <v>44</v>
      </c>
      <c r="C1294" s="6" t="n">
        <v>47</v>
      </c>
      <c r="D1294" s="8" t="str">
        <f aca="false">INDEX(Bases!$B$2:$B$53,B1294)</f>
        <v>Bagon</v>
      </c>
      <c r="E1294" s="8" t="str">
        <f aca="false">INDEX(Bases!$B$2:$B$53,C1294)</f>
        <v>Carvanha</v>
      </c>
      <c r="F1294" s="2" t="str">
        <f aca="false">LEFT(D1294,ROUNDUP(LEN(D1294)/2,0))&amp;LOWER(MID(E1294,ROUNDUP(LEN(E1294)/2,0)+1,20))</f>
        <v>Baganha</v>
      </c>
      <c r="G1294" s="8" t="str">
        <f aca="false">INDEX(Bases!$C$2:$C$53,B1294)</f>
        <v>Dragon</v>
      </c>
      <c r="H1294" s="8" t="str">
        <f aca="false">IF(INDEX(Bases!$C$2:$C$53,C1294)=G1294,"",INDEX(Bases!$C$2:$C$53,C1294))</f>
        <v>Dark</v>
      </c>
      <c r="I1294" s="8" t="str">
        <f aca="false">IF(INDEX(Bases!$E$2:$E$53,B1294)="","",INDEX(Bases!$E$2:$E$53,B1294))</f>
        <v/>
      </c>
      <c r="J1294" s="8" t="str">
        <f aca="false">IF(INDEX(Bases!$E$2:$E$53,C1294)="","",INDEX(Bases!$E$2:$E$53,C1294))</f>
        <v/>
      </c>
      <c r="K1294" s="5"/>
      <c r="L1294" s="2" t="n">
        <f aca="false">AE1294+IF(SUMPRODUCT(--($AL1294:$AQ1294&gt;AL1294))&lt;$AK1294,1,0)</f>
        <v>71</v>
      </c>
      <c r="M1294" s="2" t="n">
        <f aca="false">AF1294+IF(SUMPRODUCT(--($AL1294:$AQ1294&gt;AM1294))+SUMPRODUCT(--($AL1294:AL1294=AM1294))&lt;$AK1294,1,0)</f>
        <v>132</v>
      </c>
      <c r="N1294" s="2" t="n">
        <f aca="false">AG1294+IF(SUMPRODUCT(--($AL1294:$AQ1294&gt;AN1294))+SUMPRODUCT(--($AL1294:AM1294=AN1294))&lt;$AK1294,1,0)</f>
        <v>73</v>
      </c>
      <c r="O1294" s="2" t="n">
        <f aca="false">AH1294+IF(SUMPRODUCT(--($AL1294:$AQ1294&gt;AO1294))+SUMPRODUCT(--($AL1294:AN1294=AO1294))&lt;$AK1294,1,0)</f>
        <v>89</v>
      </c>
      <c r="P1294" s="2" t="n">
        <f aca="false">AI1294+IF(SUMPRODUCT(--($AL1294:$AQ1294&gt;AP1294))+SUMPRODUCT(--($AL1294:AO1294=AP1294))&lt;$AK1294,1,0)</f>
        <v>42</v>
      </c>
      <c r="Q1294" s="2" t="n">
        <f aca="false">AJ1294+IF(SUMPRODUCT(--($AL1294:$AQ1294&gt;AQ1294))+SUMPRODUCT(--($AL1294:AP1294=AQ1294))&lt;$AK1294,1,0)</f>
        <v>93</v>
      </c>
      <c r="R1294" s="2" t="n">
        <f aca="false">SUM(L1294:Q1294)</f>
        <v>500</v>
      </c>
      <c r="S1294" s="2" t="n">
        <f aca="false">Settings!$B$4*MAX(INDEX(Bases!$M$2:$M$53,B1294),INDEX(Bases!$M$2:$M$53,C1294))+Settings!$B$5*MIN(INDEX(Bases!$M$2:$M$53,B1294),INDEX(Bases!$M$2:$M$53,C1294))</f>
        <v>59.6666666666667</v>
      </c>
      <c r="T1294" s="2" t="n">
        <f aca="false">Settings!$B$4*MAX(INDEX(Bases!$N$2:$N$53,B1294),INDEX(Bases!$N$2:$N$53,C1294))+Settings!$B$5*MIN(INDEX(Bases!$N$2:$N$53,B1294),INDEX(Bases!$N$2:$N$53,C1294))</f>
        <v>112</v>
      </c>
      <c r="U1294" s="2" t="n">
        <f aca="false">Settings!$B$4*MAX(INDEX(Bases!$O$2:$O$53,B1294),INDEX(Bases!$O$2:$O$53,C1294))+Settings!$B$5*MIN(INDEX(Bases!$O$2:$O$53,B1294),INDEX(Bases!$O$2:$O$53,C1294))</f>
        <v>62</v>
      </c>
      <c r="V1294" s="2" t="n">
        <f aca="false">Settings!$B$4*MAX(INDEX(Bases!$P$2:$P$53,B1294),INDEX(Bases!$P$2:$P$53,C1294))+Settings!$B$5*MIN(INDEX(Bases!$P$2:$P$53,B1294),INDEX(Bases!$P$2:$P$53,C1294))</f>
        <v>75</v>
      </c>
      <c r="W1294" s="2" t="n">
        <f aca="false">Settings!$B$4*MAX(INDEX(Bases!$Q$2:$Q$53,B1294),INDEX(Bases!$Q$2:$Q$53,C1294))+Settings!$B$5*MIN(INDEX(Bases!$Q$2:$Q$53,B1294),INDEX(Bases!$Q$2:$Q$53,C1294))</f>
        <v>35.3333333333333</v>
      </c>
      <c r="X1294" s="2" t="n">
        <f aca="false">Settings!$B$4*MAX(INDEX(Bases!$R$2:$R$53,B1294),INDEX(Bases!$R$2:$R$53,C1294))+Settings!$B$5*MIN(INDEX(Bases!$R$2:$R$53,B1294),INDEX(Bases!$R$2:$R$53,C1294))</f>
        <v>79</v>
      </c>
      <c r="Y1294" s="2" t="n">
        <f aca="false">S1294*Settings!$B$3/SUM(S1294:X1294)</f>
        <v>70.5279747832939</v>
      </c>
      <c r="Z1294" s="2" t="n">
        <f aca="false">T1294*Settings!$B$3/SUM(S1294:X1294)</f>
        <v>132.387706855792</v>
      </c>
      <c r="AA1294" s="2" t="n">
        <f aca="false">U1294*Settings!$B$3/SUM(S1294:X1294)</f>
        <v>73.2860520094563</v>
      </c>
      <c r="AB1294" s="2" t="n">
        <f aca="false">V1294*Settings!$B$3/SUM(S1294:X1294)</f>
        <v>88.6524822695036</v>
      </c>
      <c r="AC1294" s="2" t="n">
        <f aca="false">W1294*Settings!$B$3/SUM(S1294:X1294)</f>
        <v>41.7651694247439</v>
      </c>
      <c r="AD1294" s="2" t="n">
        <f aca="false">X1294*Settings!$B$3/SUM(S1294:X1294)</f>
        <v>93.3806146572104</v>
      </c>
      <c r="AE1294" s="2" t="n">
        <f aca="false">INT(Y1294)</f>
        <v>70</v>
      </c>
      <c r="AF1294" s="2" t="n">
        <f aca="false">INT(Z1294)</f>
        <v>132</v>
      </c>
      <c r="AG1294" s="2" t="n">
        <f aca="false">INT(AA1294)</f>
        <v>73</v>
      </c>
      <c r="AH1294" s="2" t="n">
        <f aca="false">INT(AB1294)</f>
        <v>88</v>
      </c>
      <c r="AI1294" s="2" t="n">
        <f aca="false">INT(AC1294)</f>
        <v>41</v>
      </c>
      <c r="AJ1294" s="2" t="n">
        <f aca="false">INT(AD1294)</f>
        <v>93</v>
      </c>
      <c r="AK1294" s="2" t="n">
        <f aca="false">Settings!$B$3-SUM(AE1294:AJ1294)</f>
        <v>3</v>
      </c>
      <c r="AL1294" s="2" t="n">
        <f aca="false">ROUND(Y1294-AE1294,9)</f>
        <v>0.527974783</v>
      </c>
      <c r="AM1294" s="2" t="n">
        <f aca="false">ROUND(Z1294-AF1294,9)</f>
        <v>0.387706856</v>
      </c>
      <c r="AN1294" s="2" t="n">
        <f aca="false">ROUND(AA1294-AG1294,9)</f>
        <v>0.286052009</v>
      </c>
      <c r="AO1294" s="2" t="n">
        <f aca="false">ROUND(AB1294-AH1294,9)</f>
        <v>0.65248227</v>
      </c>
      <c r="AP1294" s="2" t="n">
        <f aca="false">ROUND(AC1294-AI1294,9)</f>
        <v>0.765169425</v>
      </c>
      <c r="AQ1294" s="2" t="n">
        <f aca="false">ROUND(AD1294-AJ1294,9)</f>
        <v>0.380614657</v>
      </c>
    </row>
    <row r="1295" customFormat="false" ht="15" hidden="false" customHeight="false" outlineLevel="0" collapsed="false">
      <c r="A1295" s="2" t="n">
        <v>1294</v>
      </c>
      <c r="B1295" s="6" t="n">
        <v>44</v>
      </c>
      <c r="C1295" s="6" t="n">
        <v>48</v>
      </c>
      <c r="D1295" s="8" t="str">
        <f aca="false">INDEX(Bases!$B$2:$B$53,B1295)</f>
        <v>Bagon</v>
      </c>
      <c r="E1295" s="8" t="str">
        <f aca="false">INDEX(Bases!$B$2:$B$53,C1295)</f>
        <v>Magnemite</v>
      </c>
      <c r="F1295" s="2" t="str">
        <f aca="false">LEFT(D1295,ROUNDUP(LEN(D1295)/2,0))&amp;LOWER(MID(E1295,ROUNDUP(LEN(E1295)/2,0)+1,20))</f>
        <v>Bagmite</v>
      </c>
      <c r="G1295" s="8" t="str">
        <f aca="false">INDEX(Bases!$C$2:$C$53,B1295)</f>
        <v>Dragon</v>
      </c>
      <c r="H1295" s="8" t="str">
        <f aca="false">IF(INDEX(Bases!$C$2:$C$53,C1295)=G1295,"",INDEX(Bases!$C$2:$C$53,C1295))</f>
        <v>Steel</v>
      </c>
      <c r="I1295" s="8" t="str">
        <f aca="false">IF(INDEX(Bases!$E$2:$E$53,B1295)="","",INDEX(Bases!$E$2:$E$53,B1295))</f>
        <v/>
      </c>
      <c r="J1295" s="8" t="str">
        <f aca="false">IF(INDEX(Bases!$E$2:$E$53,C1295)="","",INDEX(Bases!$E$2:$E$53,C1295))</f>
        <v/>
      </c>
      <c r="K1295" s="5"/>
      <c r="L1295" s="2" t="n">
        <f aca="false">AE1295+IF(SUMPRODUCT(--($AL1295:$AQ1295&gt;AL1295))&lt;$AK1295,1,0)</f>
        <v>58</v>
      </c>
      <c r="M1295" s="2" t="n">
        <f aca="false">AF1295+IF(SUMPRODUCT(--($AL1295:$AQ1295&gt;AM1295))+SUMPRODUCT(--($AL1295:AL1295=AM1295))&lt;$AK1295,1,0)</f>
        <v>94</v>
      </c>
      <c r="N1295" s="2" t="n">
        <f aca="false">AG1295+IF(SUMPRODUCT(--($AL1295:$AQ1295&gt;AN1295))+SUMPRODUCT(--($AL1295:AM1295=AN1295))&lt;$AK1295,1,0)</f>
        <v>97</v>
      </c>
      <c r="O1295" s="2" t="n">
        <f aca="false">AH1295+IF(SUMPRODUCT(--($AL1295:$AQ1295&gt;AO1295))+SUMPRODUCT(--($AL1295:AN1295=AO1295))&lt;$AK1295,1,0)</f>
        <v>110</v>
      </c>
      <c r="P1295" s="2" t="n">
        <f aca="false">AI1295+IF(SUMPRODUCT(--($AL1295:$AQ1295&gt;AP1295))+SUMPRODUCT(--($AL1295:AO1295=AP1295))&lt;$AK1295,1,0)</f>
        <v>68</v>
      </c>
      <c r="Q1295" s="2" t="n">
        <f aca="false">AJ1295+IF(SUMPRODUCT(--($AL1295:$AQ1295&gt;AQ1295))+SUMPRODUCT(--($AL1295:AP1295=AQ1295))&lt;$AK1295,1,0)</f>
        <v>73</v>
      </c>
      <c r="R1295" s="2" t="n">
        <f aca="false">SUM(L1295:Q1295)</f>
        <v>500</v>
      </c>
      <c r="S1295" s="2" t="n">
        <f aca="false">Settings!$B$4*MAX(INDEX(Bases!$M$2:$M$53,B1295),INDEX(Bases!$M$2:$M$53,C1295))+Settings!$B$5*MIN(INDEX(Bases!$M$2:$M$53,B1295),INDEX(Bases!$M$2:$M$53,C1295))</f>
        <v>50.3333333333333</v>
      </c>
      <c r="T1295" s="2" t="n">
        <f aca="false">Settings!$B$4*MAX(INDEX(Bases!$N$2:$N$53,B1295),INDEX(Bases!$N$2:$N$53,C1295))+Settings!$B$5*MIN(INDEX(Bases!$N$2:$N$53,B1295),INDEX(Bases!$N$2:$N$53,C1295))</f>
        <v>81</v>
      </c>
      <c r="U1295" s="2" t="n">
        <f aca="false">Settings!$B$4*MAX(INDEX(Bases!$O$2:$O$53,B1295),INDEX(Bases!$O$2:$O$53,C1295))+Settings!$B$5*MIN(INDEX(Bases!$O$2:$O$53,B1295),INDEX(Bases!$O$2:$O$53,C1295))</f>
        <v>84</v>
      </c>
      <c r="V1295" s="2" t="n">
        <f aca="false">Settings!$B$4*MAX(INDEX(Bases!$P$2:$P$53,B1295),INDEX(Bases!$P$2:$P$53,C1295))+Settings!$B$5*MIN(INDEX(Bases!$P$2:$P$53,B1295),INDEX(Bases!$P$2:$P$53,C1295))</f>
        <v>95.6666666666667</v>
      </c>
      <c r="W1295" s="2" t="n">
        <f aca="false">Settings!$B$4*MAX(INDEX(Bases!$Q$2:$Q$53,B1295),INDEX(Bases!$Q$2:$Q$53,C1295))+Settings!$B$5*MIN(INDEX(Bases!$Q$2:$Q$53,B1295),INDEX(Bases!$Q$2:$Q$53,C1295))</f>
        <v>58.6666666666667</v>
      </c>
      <c r="X1295" s="2" t="n">
        <f aca="false">Settings!$B$4*MAX(INDEX(Bases!$R$2:$R$53,B1295),INDEX(Bases!$R$2:$R$53,C1295))+Settings!$B$5*MIN(INDEX(Bases!$R$2:$R$53,B1295),INDEX(Bases!$R$2:$R$53,C1295))</f>
        <v>63</v>
      </c>
      <c r="Y1295" s="2" t="n">
        <f aca="false">S1295*Settings!$B$3/SUM(S1295:X1295)</f>
        <v>58.1664098613251</v>
      </c>
      <c r="Z1295" s="2" t="n">
        <f aca="false">T1295*Settings!$B$3/SUM(S1295:X1295)</f>
        <v>93.6055469953775</v>
      </c>
      <c r="AA1295" s="2" t="n">
        <f aca="false">U1295*Settings!$B$3/SUM(S1295:X1295)</f>
        <v>97.0724191063174</v>
      </c>
      <c r="AB1295" s="2" t="n">
        <f aca="false">V1295*Settings!$B$3/SUM(S1295:X1295)</f>
        <v>110.55469953775</v>
      </c>
      <c r="AC1295" s="2" t="n">
        <f aca="false">W1295*Settings!$B$3/SUM(S1295:X1295)</f>
        <v>67.7966101694915</v>
      </c>
      <c r="AD1295" s="2" t="n">
        <f aca="false">X1295*Settings!$B$3/SUM(S1295:X1295)</f>
        <v>72.8043143297381</v>
      </c>
      <c r="AE1295" s="2" t="n">
        <f aca="false">INT(Y1295)</f>
        <v>58</v>
      </c>
      <c r="AF1295" s="2" t="n">
        <f aca="false">INT(Z1295)</f>
        <v>93</v>
      </c>
      <c r="AG1295" s="2" t="n">
        <f aca="false">INT(AA1295)</f>
        <v>97</v>
      </c>
      <c r="AH1295" s="2" t="n">
        <f aca="false">INT(AB1295)</f>
        <v>110</v>
      </c>
      <c r="AI1295" s="2" t="n">
        <f aca="false">INT(AC1295)</f>
        <v>67</v>
      </c>
      <c r="AJ1295" s="2" t="n">
        <f aca="false">INT(AD1295)</f>
        <v>72</v>
      </c>
      <c r="AK1295" s="2" t="n">
        <f aca="false">Settings!$B$3-SUM(AE1295:AJ1295)</f>
        <v>3</v>
      </c>
      <c r="AL1295" s="2" t="n">
        <f aca="false">ROUND(Y1295-AE1295,9)</f>
        <v>0.166409861</v>
      </c>
      <c r="AM1295" s="2" t="n">
        <f aca="false">ROUND(Z1295-AF1295,9)</f>
        <v>0.605546995</v>
      </c>
      <c r="AN1295" s="2" t="n">
        <f aca="false">ROUND(AA1295-AG1295,9)</f>
        <v>0.072419106</v>
      </c>
      <c r="AO1295" s="2" t="n">
        <f aca="false">ROUND(AB1295-AH1295,9)</f>
        <v>0.554699538</v>
      </c>
      <c r="AP1295" s="2" t="n">
        <f aca="false">ROUND(AC1295-AI1295,9)</f>
        <v>0.796610169</v>
      </c>
      <c r="AQ1295" s="2" t="n">
        <f aca="false">ROUND(AD1295-AJ1295,9)</f>
        <v>0.80431433</v>
      </c>
    </row>
    <row r="1296" customFormat="false" ht="15" hidden="false" customHeight="false" outlineLevel="0" collapsed="false">
      <c r="A1296" s="2" t="n">
        <v>1295</v>
      </c>
      <c r="B1296" s="6" t="n">
        <v>44</v>
      </c>
      <c r="C1296" s="6" t="n">
        <v>49</v>
      </c>
      <c r="D1296" s="8" t="str">
        <f aca="false">INDEX(Bases!$B$2:$B$53,B1296)</f>
        <v>Bagon</v>
      </c>
      <c r="E1296" s="8" t="str">
        <f aca="false">INDEX(Bases!$B$2:$B$53,C1296)</f>
        <v>Aron</v>
      </c>
      <c r="F1296" s="2" t="str">
        <f aca="false">LEFT(D1296,ROUNDUP(LEN(D1296)/2,0))&amp;LOWER(MID(E1296,ROUNDUP(LEN(E1296)/2,0)+1,20))</f>
        <v>Bagon</v>
      </c>
      <c r="G1296" s="8" t="str">
        <f aca="false">INDEX(Bases!$C$2:$C$53,B1296)</f>
        <v>Dragon</v>
      </c>
      <c r="H1296" s="8" t="str">
        <f aca="false">IF(INDEX(Bases!$C$2:$C$53,C1296)=G1296,"",INDEX(Bases!$C$2:$C$53,C1296))</f>
        <v>Steel</v>
      </c>
      <c r="I1296" s="8" t="str">
        <f aca="false">IF(INDEX(Bases!$E$2:$E$53,B1296)="","",INDEX(Bases!$E$2:$E$53,B1296))</f>
        <v/>
      </c>
      <c r="J1296" s="8" t="str">
        <f aca="false">IF(INDEX(Bases!$E$2:$E$53,C1296)="","",INDEX(Bases!$E$2:$E$53,C1296))</f>
        <v/>
      </c>
      <c r="K1296" s="5"/>
      <c r="L1296" s="2" t="n">
        <f aca="false">AE1296+IF(SUMPRODUCT(--($AL1296:$AQ1296&gt;AL1296))&lt;$AK1296,1,0)</f>
        <v>73</v>
      </c>
      <c r="M1296" s="2" t="n">
        <f aca="false">AF1296+IF(SUMPRODUCT(--($AL1296:$AQ1296&gt;AM1296))+SUMPRODUCT(--($AL1296:AL1296=AM1296))&lt;$AK1296,1,0)</f>
        <v>114</v>
      </c>
      <c r="N1296" s="2" t="n">
        <f aca="false">AG1296+IF(SUMPRODUCT(--($AL1296:$AQ1296&gt;AN1296))+SUMPRODUCT(--($AL1296:AM1296=AN1296))&lt;$AK1296,1,0)</f>
        <v>129</v>
      </c>
      <c r="O1296" s="2" t="n">
        <f aca="false">AH1296+IF(SUMPRODUCT(--($AL1296:$AQ1296&gt;AO1296))+SUMPRODUCT(--($AL1296:AN1296=AO1296))&lt;$AK1296,1,0)</f>
        <v>62</v>
      </c>
      <c r="P1296" s="2" t="n">
        <f aca="false">AI1296+IF(SUMPRODUCT(--($AL1296:$AQ1296&gt;AP1296))+SUMPRODUCT(--($AL1296:AO1296=AP1296))&lt;$AK1296,1,0)</f>
        <v>54</v>
      </c>
      <c r="Q1296" s="2" t="n">
        <f aca="false">AJ1296+IF(SUMPRODUCT(--($AL1296:$AQ1296&gt;AQ1296))+SUMPRODUCT(--($AL1296:AP1296=AQ1296))&lt;$AK1296,1,0)</f>
        <v>68</v>
      </c>
      <c r="R1296" s="2" t="n">
        <f aca="false">SUM(L1296:Q1296)</f>
        <v>500</v>
      </c>
      <c r="S1296" s="2" t="n">
        <f aca="false">Settings!$B$4*MAX(INDEX(Bases!$M$2:$M$53,B1296),INDEX(Bases!$M$2:$M$53,C1296))+Settings!$B$5*MIN(INDEX(Bases!$M$2:$M$53,B1296),INDEX(Bases!$M$2:$M$53,C1296))</f>
        <v>60.6666666666667</v>
      </c>
      <c r="T1296" s="2" t="n">
        <f aca="false">Settings!$B$4*MAX(INDEX(Bases!$N$2:$N$53,B1296),INDEX(Bases!$N$2:$N$53,C1296))+Settings!$B$5*MIN(INDEX(Bases!$N$2:$N$53,B1296),INDEX(Bases!$N$2:$N$53,C1296))</f>
        <v>95</v>
      </c>
      <c r="U1296" s="2" t="n">
        <f aca="false">Settings!$B$4*MAX(INDEX(Bases!$O$2:$O$53,B1296),INDEX(Bases!$O$2:$O$53,C1296))+Settings!$B$5*MIN(INDEX(Bases!$O$2:$O$53,B1296),INDEX(Bases!$O$2:$O$53,C1296))</f>
        <v>107.333333333333</v>
      </c>
      <c r="V1296" s="2" t="n">
        <f aca="false">Settings!$B$4*MAX(INDEX(Bases!$P$2:$P$53,B1296),INDEX(Bases!$P$2:$P$53,C1296))+Settings!$B$5*MIN(INDEX(Bases!$P$2:$P$53,B1296),INDEX(Bases!$P$2:$P$53,C1296))</f>
        <v>51.6666666666667</v>
      </c>
      <c r="W1296" s="2" t="n">
        <f aca="false">Settings!$B$4*MAX(INDEX(Bases!$Q$2:$Q$53,B1296),INDEX(Bases!$Q$2:$Q$53,C1296))+Settings!$B$5*MIN(INDEX(Bases!$Q$2:$Q$53,B1296),INDEX(Bases!$Q$2:$Q$53,C1296))</f>
        <v>45.3333333333333</v>
      </c>
      <c r="X1296" s="2" t="n">
        <f aca="false">Settings!$B$4*MAX(INDEX(Bases!$R$2:$R$53,B1296),INDEX(Bases!$R$2:$R$53,C1296))+Settings!$B$5*MIN(INDEX(Bases!$R$2:$R$53,B1296),INDEX(Bases!$R$2:$R$53,C1296))</f>
        <v>56.6666666666667</v>
      </c>
      <c r="Y1296" s="2" t="n">
        <f aca="false">S1296*Settings!$B$3/SUM(S1296:X1296)</f>
        <v>72.8</v>
      </c>
      <c r="Z1296" s="2" t="n">
        <f aca="false">T1296*Settings!$B$3/SUM(S1296:X1296)</f>
        <v>114</v>
      </c>
      <c r="AA1296" s="2" t="n">
        <f aca="false">U1296*Settings!$B$3/SUM(S1296:X1296)</f>
        <v>128.8</v>
      </c>
      <c r="AB1296" s="2" t="n">
        <f aca="false">V1296*Settings!$B$3/SUM(S1296:X1296)</f>
        <v>62</v>
      </c>
      <c r="AC1296" s="2" t="n">
        <f aca="false">W1296*Settings!$B$3/SUM(S1296:X1296)</f>
        <v>54.4</v>
      </c>
      <c r="AD1296" s="2" t="n">
        <f aca="false">X1296*Settings!$B$3/SUM(S1296:X1296)</f>
        <v>68</v>
      </c>
      <c r="AE1296" s="2" t="n">
        <f aca="false">INT(Y1296)</f>
        <v>72</v>
      </c>
      <c r="AF1296" s="2" t="n">
        <f aca="false">INT(Z1296)</f>
        <v>114</v>
      </c>
      <c r="AG1296" s="2" t="n">
        <f aca="false">INT(AA1296)</f>
        <v>128</v>
      </c>
      <c r="AH1296" s="2" t="n">
        <f aca="false">INT(AB1296)</f>
        <v>62</v>
      </c>
      <c r="AI1296" s="2" t="n">
        <f aca="false">INT(AC1296)</f>
        <v>54</v>
      </c>
      <c r="AJ1296" s="2" t="n">
        <f aca="false">INT(AD1296)</f>
        <v>68</v>
      </c>
      <c r="AK1296" s="2" t="n">
        <f aca="false">Settings!$B$3-SUM(AE1296:AJ1296)</f>
        <v>2</v>
      </c>
      <c r="AL1296" s="2" t="n">
        <f aca="false">ROUND(Y1296-AE1296,9)</f>
        <v>0.8</v>
      </c>
      <c r="AM1296" s="2" t="n">
        <f aca="false">ROUND(Z1296-AF1296,9)</f>
        <v>0</v>
      </c>
      <c r="AN1296" s="2" t="n">
        <f aca="false">ROUND(AA1296-AG1296,9)</f>
        <v>0.8</v>
      </c>
      <c r="AO1296" s="2" t="n">
        <f aca="false">ROUND(AB1296-AH1296,9)</f>
        <v>0</v>
      </c>
      <c r="AP1296" s="2" t="n">
        <f aca="false">ROUND(AC1296-AI1296,9)</f>
        <v>0.4</v>
      </c>
      <c r="AQ1296" s="2" t="n">
        <f aca="false">ROUND(AD1296-AJ1296,9)</f>
        <v>0</v>
      </c>
    </row>
    <row r="1297" customFormat="false" ht="15" hidden="false" customHeight="false" outlineLevel="0" collapsed="false">
      <c r="A1297" s="2" t="n">
        <v>1296</v>
      </c>
      <c r="B1297" s="6" t="n">
        <v>44</v>
      </c>
      <c r="C1297" s="6" t="n">
        <v>50</v>
      </c>
      <c r="D1297" s="8" t="str">
        <f aca="false">INDEX(Bases!$B$2:$B$53,B1297)</f>
        <v>Bagon</v>
      </c>
      <c r="E1297" s="8" t="str">
        <f aca="false">INDEX(Bases!$B$2:$B$53,C1297)</f>
        <v>Beldum</v>
      </c>
      <c r="F1297" s="2" t="str">
        <f aca="false">LEFT(D1297,ROUNDUP(LEN(D1297)/2,0))&amp;LOWER(MID(E1297,ROUNDUP(LEN(E1297)/2,0)+1,20))</f>
        <v>Bagdum</v>
      </c>
      <c r="G1297" s="8" t="str">
        <f aca="false">INDEX(Bases!$C$2:$C$53,B1297)</f>
        <v>Dragon</v>
      </c>
      <c r="H1297" s="8" t="str">
        <f aca="false">IF(INDEX(Bases!$C$2:$C$53,C1297)=G1297,"",INDEX(Bases!$C$2:$C$53,C1297))</f>
        <v>Steel</v>
      </c>
      <c r="I1297" s="8" t="str">
        <f aca="false">IF(INDEX(Bases!$E$2:$E$53,B1297)="","",INDEX(Bases!$E$2:$E$53,B1297))</f>
        <v/>
      </c>
      <c r="J1297" s="8" t="str">
        <f aca="false">IF(INDEX(Bases!$E$2:$E$53,C1297)="","",INDEX(Bases!$E$2:$E$53,C1297))</f>
        <v/>
      </c>
      <c r="K1297" s="5"/>
      <c r="L1297" s="2" t="n">
        <f aca="false">AE1297+IF(SUMPRODUCT(--($AL1297:$AQ1297&gt;AL1297))&lt;$AK1297,1,0)</f>
        <v>68</v>
      </c>
      <c r="M1297" s="2" t="n">
        <f aca="false">AF1297+IF(SUMPRODUCT(--($AL1297:$AQ1297&gt;AM1297))+SUMPRODUCT(--($AL1297:AL1297=AM1297))&lt;$AK1297,1,0)</f>
        <v>108</v>
      </c>
      <c r="N1297" s="2" t="n">
        <f aca="false">AG1297+IF(SUMPRODUCT(--($AL1297:$AQ1297&gt;AN1297))+SUMPRODUCT(--($AL1297:AM1297=AN1297))&lt;$AK1297,1,0)</f>
        <v>116</v>
      </c>
      <c r="O1297" s="2" t="n">
        <f aca="false">AH1297+IF(SUMPRODUCT(--($AL1297:$AQ1297&gt;AO1297))+SUMPRODUCT(--($AL1297:AN1297=AO1297))&lt;$AK1297,1,0)</f>
        <v>60</v>
      </c>
      <c r="P1297" s="2" t="n">
        <f aca="false">AI1297+IF(SUMPRODUCT(--($AL1297:$AQ1297&gt;AP1297))+SUMPRODUCT(--($AL1297:AO1297=AP1297))&lt;$AK1297,1,0)</f>
        <v>79</v>
      </c>
      <c r="Q1297" s="2" t="n">
        <f aca="false">AJ1297+IF(SUMPRODUCT(--($AL1297:$AQ1297&gt;AQ1297))+SUMPRODUCT(--($AL1297:AP1297=AQ1297))&lt;$AK1297,1,0)</f>
        <v>69</v>
      </c>
      <c r="R1297" s="2" t="n">
        <f aca="false">SUM(L1297:Q1297)</f>
        <v>500</v>
      </c>
      <c r="S1297" s="2" t="n">
        <f aca="false">Settings!$B$4*MAX(INDEX(Bases!$M$2:$M$53,B1297),INDEX(Bases!$M$2:$M$53,C1297))+Settings!$B$5*MIN(INDEX(Bases!$M$2:$M$53,B1297),INDEX(Bases!$M$2:$M$53,C1297))</f>
        <v>57.6666666666667</v>
      </c>
      <c r="T1297" s="2" t="n">
        <f aca="false">Settings!$B$4*MAX(INDEX(Bases!$N$2:$N$53,B1297),INDEX(Bases!$N$2:$N$53,C1297))+Settings!$B$5*MIN(INDEX(Bases!$N$2:$N$53,B1297),INDEX(Bases!$N$2:$N$53,C1297))</f>
        <v>91</v>
      </c>
      <c r="U1297" s="2" t="n">
        <f aca="false">Settings!$B$4*MAX(INDEX(Bases!$O$2:$O$53,B1297),INDEX(Bases!$O$2:$O$53,C1297))+Settings!$B$5*MIN(INDEX(Bases!$O$2:$O$53,B1297),INDEX(Bases!$O$2:$O$53,C1297))</f>
        <v>98</v>
      </c>
      <c r="V1297" s="2" t="n">
        <f aca="false">Settings!$B$4*MAX(INDEX(Bases!$P$2:$P$53,B1297),INDEX(Bases!$P$2:$P$53,C1297))+Settings!$B$5*MIN(INDEX(Bases!$P$2:$P$53,B1297),INDEX(Bases!$P$2:$P$53,C1297))</f>
        <v>51</v>
      </c>
      <c r="W1297" s="2" t="n">
        <f aca="false">Settings!$B$4*MAX(INDEX(Bases!$Q$2:$Q$53,B1297),INDEX(Bases!$Q$2:$Q$53,C1297))+Settings!$B$5*MIN(INDEX(Bases!$Q$2:$Q$53,B1297),INDEX(Bases!$Q$2:$Q$53,C1297))</f>
        <v>66.6666666666667</v>
      </c>
      <c r="X1297" s="2" t="n">
        <f aca="false">Settings!$B$4*MAX(INDEX(Bases!$R$2:$R$53,B1297),INDEX(Bases!$R$2:$R$53,C1297))+Settings!$B$5*MIN(INDEX(Bases!$R$2:$R$53,B1297),INDEX(Bases!$R$2:$R$53,C1297))</f>
        <v>58</v>
      </c>
      <c r="Y1297" s="2" t="n">
        <f aca="false">S1297*Settings!$B$3/SUM(S1297:X1297)</f>
        <v>68.2715074980269</v>
      </c>
      <c r="Z1297" s="2" t="n">
        <f aca="false">T1297*Settings!$B$3/SUM(S1297:X1297)</f>
        <v>107.734806629834</v>
      </c>
      <c r="AA1297" s="2" t="n">
        <f aca="false">U1297*Settings!$B$3/SUM(S1297:X1297)</f>
        <v>116.022099447514</v>
      </c>
      <c r="AB1297" s="2" t="n">
        <f aca="false">V1297*Settings!$B$3/SUM(S1297:X1297)</f>
        <v>60.3788476716654</v>
      </c>
      <c r="AC1297" s="2" t="n">
        <f aca="false">W1297*Settings!$B$3/SUM(S1297:X1297)</f>
        <v>78.9265982636148</v>
      </c>
      <c r="AD1297" s="2" t="n">
        <f aca="false">X1297*Settings!$B$3/SUM(S1297:X1297)</f>
        <v>68.6661404893449</v>
      </c>
      <c r="AE1297" s="2" t="n">
        <f aca="false">INT(Y1297)</f>
        <v>68</v>
      </c>
      <c r="AF1297" s="2" t="n">
        <f aca="false">INT(Z1297)</f>
        <v>107</v>
      </c>
      <c r="AG1297" s="2" t="n">
        <f aca="false">INT(AA1297)</f>
        <v>116</v>
      </c>
      <c r="AH1297" s="2" t="n">
        <f aca="false">INT(AB1297)</f>
        <v>60</v>
      </c>
      <c r="AI1297" s="2" t="n">
        <f aca="false">INT(AC1297)</f>
        <v>78</v>
      </c>
      <c r="AJ1297" s="2" t="n">
        <f aca="false">INT(AD1297)</f>
        <v>68</v>
      </c>
      <c r="AK1297" s="2" t="n">
        <f aca="false">Settings!$B$3-SUM(AE1297:AJ1297)</f>
        <v>3</v>
      </c>
      <c r="AL1297" s="2" t="n">
        <f aca="false">ROUND(Y1297-AE1297,9)</f>
        <v>0.271507498</v>
      </c>
      <c r="AM1297" s="2" t="n">
        <f aca="false">ROUND(Z1297-AF1297,9)</f>
        <v>0.73480663</v>
      </c>
      <c r="AN1297" s="2" t="n">
        <f aca="false">ROUND(AA1297-AG1297,9)</f>
        <v>0.022099448</v>
      </c>
      <c r="AO1297" s="2" t="n">
        <f aca="false">ROUND(AB1297-AH1297,9)</f>
        <v>0.378847672</v>
      </c>
      <c r="AP1297" s="2" t="n">
        <f aca="false">ROUND(AC1297-AI1297,9)</f>
        <v>0.926598264</v>
      </c>
      <c r="AQ1297" s="2" t="n">
        <f aca="false">ROUND(AD1297-AJ1297,9)</f>
        <v>0.666140489</v>
      </c>
    </row>
    <row r="1298" customFormat="false" ht="15" hidden="false" customHeight="false" outlineLevel="0" collapsed="false">
      <c r="A1298" s="2" t="n">
        <v>1297</v>
      </c>
      <c r="B1298" s="6" t="n">
        <v>44</v>
      </c>
      <c r="C1298" s="6" t="n">
        <v>51</v>
      </c>
      <c r="D1298" s="8" t="str">
        <f aca="false">INDEX(Bases!$B$2:$B$53,B1298)</f>
        <v>Bagon</v>
      </c>
      <c r="E1298" s="8" t="str">
        <f aca="false">INDEX(Bases!$B$2:$B$53,C1298)</f>
        <v>Cleffa</v>
      </c>
      <c r="F1298" s="2" t="str">
        <f aca="false">LEFT(D1298,ROUNDUP(LEN(D1298)/2,0))&amp;LOWER(MID(E1298,ROUNDUP(LEN(E1298)/2,0)+1,20))</f>
        <v>Bagffa</v>
      </c>
      <c r="G1298" s="8" t="str">
        <f aca="false">INDEX(Bases!$C$2:$C$53,B1298)</f>
        <v>Dragon</v>
      </c>
      <c r="H1298" s="8" t="str">
        <f aca="false">IF(INDEX(Bases!$C$2:$C$53,C1298)=G1298,"",INDEX(Bases!$C$2:$C$53,C1298))</f>
        <v>Fairy</v>
      </c>
      <c r="I1298" s="8" t="str">
        <f aca="false">IF(INDEX(Bases!$E$2:$E$53,B1298)="","",INDEX(Bases!$E$2:$E$53,B1298))</f>
        <v/>
      </c>
      <c r="J1298" s="8" t="str">
        <f aca="false">IF(INDEX(Bases!$E$2:$E$53,C1298)="","",INDEX(Bases!$E$2:$E$53,C1298))</f>
        <v/>
      </c>
      <c r="K1298" s="5"/>
      <c r="L1298" s="2" t="n">
        <f aca="false">AE1298+IF(SUMPRODUCT(--($AL1298:$AQ1298&gt;AL1298))&lt;$AK1298,1,0)</f>
        <v>92</v>
      </c>
      <c r="M1298" s="2" t="n">
        <f aca="false">AF1298+IF(SUMPRODUCT(--($AL1298:$AQ1298&gt;AM1298))+SUMPRODUCT(--($AL1298:AL1298=AM1298))&lt;$AK1298,1,0)</f>
        <v>93</v>
      </c>
      <c r="N1298" s="2" t="n">
        <f aca="false">AG1298+IF(SUMPRODUCT(--($AL1298:$AQ1298&gt;AN1298))+SUMPRODUCT(--($AL1298:AM1298=AN1298))&lt;$AK1298,1,0)</f>
        <v>80</v>
      </c>
      <c r="O1298" s="2" t="n">
        <f aca="false">AH1298+IF(SUMPRODUCT(--($AL1298:$AQ1298&gt;AO1298))+SUMPRODUCT(--($AL1298:AN1298=AO1298))&lt;$AK1298,1,0)</f>
        <v>83</v>
      </c>
      <c r="P1298" s="2" t="n">
        <f aca="false">AI1298+IF(SUMPRODUCT(--($AL1298:$AQ1298&gt;AP1298))+SUMPRODUCT(--($AL1298:AO1298=AP1298))&lt;$AK1298,1,0)</f>
        <v>91</v>
      </c>
      <c r="Q1298" s="2" t="n">
        <f aca="false">AJ1298+IF(SUMPRODUCT(--($AL1298:$AQ1298&gt;AQ1298))+SUMPRODUCT(--($AL1298:AP1298=AQ1298))&lt;$AK1298,1,0)</f>
        <v>61</v>
      </c>
      <c r="R1298" s="2" t="n">
        <f aca="false">SUM(L1298:Q1298)</f>
        <v>500</v>
      </c>
      <c r="S1298" s="2" t="n">
        <f aca="false">Settings!$B$4*MAX(INDEX(Bases!$M$2:$M$53,B1298),INDEX(Bases!$M$2:$M$53,C1298))+Settings!$B$5*MIN(INDEX(Bases!$M$2:$M$53,B1298),INDEX(Bases!$M$2:$M$53,C1298))</f>
        <v>81.3333333333333</v>
      </c>
      <c r="T1298" s="2" t="n">
        <f aca="false">Settings!$B$4*MAX(INDEX(Bases!$N$2:$N$53,B1298),INDEX(Bases!$N$2:$N$53,C1298))+Settings!$B$5*MIN(INDEX(Bases!$N$2:$N$53,B1298),INDEX(Bases!$N$2:$N$53,C1298))</f>
        <v>82</v>
      </c>
      <c r="U1298" s="2" t="n">
        <f aca="false">Settings!$B$4*MAX(INDEX(Bases!$O$2:$O$53,B1298),INDEX(Bases!$O$2:$O$53,C1298))+Settings!$B$5*MIN(INDEX(Bases!$O$2:$O$53,B1298),INDEX(Bases!$O$2:$O$53,C1298))</f>
        <v>70.3333333333333</v>
      </c>
      <c r="V1298" s="2" t="n">
        <f aca="false">Settings!$B$4*MAX(INDEX(Bases!$P$2:$P$53,B1298),INDEX(Bases!$P$2:$P$53,C1298))+Settings!$B$5*MIN(INDEX(Bases!$P$2:$P$53,B1298),INDEX(Bases!$P$2:$P$53,C1298))</f>
        <v>73</v>
      </c>
      <c r="W1298" s="2" t="n">
        <f aca="false">Settings!$B$4*MAX(INDEX(Bases!$Q$2:$Q$53,B1298),INDEX(Bases!$Q$2:$Q$53,C1298))+Settings!$B$5*MIN(INDEX(Bases!$Q$2:$Q$53,B1298),INDEX(Bases!$Q$2:$Q$53,C1298))</f>
        <v>80.6666666666667</v>
      </c>
      <c r="X1298" s="2" t="n">
        <f aca="false">Settings!$B$4*MAX(INDEX(Bases!$R$2:$R$53,B1298),INDEX(Bases!$R$2:$R$53,C1298))+Settings!$B$5*MIN(INDEX(Bases!$R$2:$R$53,B1298),INDEX(Bases!$R$2:$R$53,C1298))</f>
        <v>53.6666666666667</v>
      </c>
      <c r="Y1298" s="2" t="n">
        <f aca="false">S1298*Settings!$B$3/SUM(S1298:X1298)</f>
        <v>92.2146636432351</v>
      </c>
      <c r="Z1298" s="2" t="n">
        <f aca="false">T1298*Settings!$B$3/SUM(S1298:X1298)</f>
        <v>92.9705215419501</v>
      </c>
      <c r="AA1298" s="2" t="n">
        <f aca="false">U1298*Settings!$B$3/SUM(S1298:X1298)</f>
        <v>79.7430083144369</v>
      </c>
      <c r="AB1298" s="2" t="n">
        <f aca="false">V1298*Settings!$B$3/SUM(S1298:X1298)</f>
        <v>82.7664399092971</v>
      </c>
      <c r="AC1298" s="2" t="n">
        <f aca="false">W1298*Settings!$B$3/SUM(S1298:X1298)</f>
        <v>91.45880574452</v>
      </c>
      <c r="AD1298" s="2" t="n">
        <f aca="false">X1298*Settings!$B$3/SUM(S1298:X1298)</f>
        <v>60.8465608465608</v>
      </c>
      <c r="AE1298" s="2" t="n">
        <f aca="false">INT(Y1298)</f>
        <v>92</v>
      </c>
      <c r="AF1298" s="2" t="n">
        <f aca="false">INT(Z1298)</f>
        <v>92</v>
      </c>
      <c r="AG1298" s="2" t="n">
        <f aca="false">INT(AA1298)</f>
        <v>79</v>
      </c>
      <c r="AH1298" s="2" t="n">
        <f aca="false">INT(AB1298)</f>
        <v>82</v>
      </c>
      <c r="AI1298" s="2" t="n">
        <f aca="false">INT(AC1298)</f>
        <v>91</v>
      </c>
      <c r="AJ1298" s="2" t="n">
        <f aca="false">INT(AD1298)</f>
        <v>60</v>
      </c>
      <c r="AK1298" s="2" t="n">
        <f aca="false">Settings!$B$3-SUM(AE1298:AJ1298)</f>
        <v>4</v>
      </c>
      <c r="AL1298" s="2" t="n">
        <f aca="false">ROUND(Y1298-AE1298,9)</f>
        <v>0.214663643</v>
      </c>
      <c r="AM1298" s="2" t="n">
        <f aca="false">ROUND(Z1298-AF1298,9)</f>
        <v>0.970521542</v>
      </c>
      <c r="AN1298" s="2" t="n">
        <f aca="false">ROUND(AA1298-AG1298,9)</f>
        <v>0.743008314</v>
      </c>
      <c r="AO1298" s="2" t="n">
        <f aca="false">ROUND(AB1298-AH1298,9)</f>
        <v>0.766439909</v>
      </c>
      <c r="AP1298" s="2" t="n">
        <f aca="false">ROUND(AC1298-AI1298,9)</f>
        <v>0.458805745</v>
      </c>
      <c r="AQ1298" s="2" t="n">
        <f aca="false">ROUND(AD1298-AJ1298,9)</f>
        <v>0.846560847</v>
      </c>
    </row>
    <row r="1299" customFormat="false" ht="15" hidden="false" customHeight="false" outlineLevel="0" collapsed="false">
      <c r="A1299" s="2" t="n">
        <v>1298</v>
      </c>
      <c r="B1299" s="6" t="n">
        <v>44</v>
      </c>
      <c r="C1299" s="6" t="n">
        <v>52</v>
      </c>
      <c r="D1299" s="8" t="str">
        <f aca="false">INDEX(Bases!$B$2:$B$53,B1299)</f>
        <v>Bagon</v>
      </c>
      <c r="E1299" s="8" t="str">
        <f aca="false">INDEX(Bases!$B$2:$B$53,C1299)</f>
        <v>Togepi</v>
      </c>
      <c r="F1299" s="2" t="str">
        <f aca="false">LEFT(D1299,ROUNDUP(LEN(D1299)/2,0))&amp;LOWER(MID(E1299,ROUNDUP(LEN(E1299)/2,0)+1,20))</f>
        <v>Bagepi</v>
      </c>
      <c r="G1299" s="8" t="str">
        <f aca="false">INDEX(Bases!$C$2:$C$53,B1299)</f>
        <v>Dragon</v>
      </c>
      <c r="H1299" s="8" t="str">
        <f aca="false">IF(INDEX(Bases!$C$2:$C$53,C1299)=G1299,"",INDEX(Bases!$C$2:$C$53,C1299))</f>
        <v>Fairy</v>
      </c>
      <c r="I1299" s="8" t="str">
        <f aca="false">IF(INDEX(Bases!$E$2:$E$53,B1299)="","",INDEX(Bases!$E$2:$E$53,B1299))</f>
        <v/>
      </c>
      <c r="J1299" s="8" t="str">
        <f aca="false">IF(INDEX(Bases!$E$2:$E$53,C1299)="","",INDEX(Bases!$E$2:$E$53,C1299))</f>
        <v/>
      </c>
      <c r="K1299" s="5"/>
      <c r="L1299" s="2" t="n">
        <f aca="false">AE1299+IF(SUMPRODUCT(--($AL1299:$AQ1299&gt;AL1299))&lt;$AK1299,1,0)</f>
        <v>68</v>
      </c>
      <c r="M1299" s="2" t="n">
        <f aca="false">AF1299+IF(SUMPRODUCT(--($AL1299:$AQ1299&gt;AM1299))+SUMPRODUCT(--($AL1299:AL1299=AM1299))&lt;$AK1299,1,0)</f>
        <v>89</v>
      </c>
      <c r="N1299" s="2" t="n">
        <f aca="false">AG1299+IF(SUMPRODUCT(--($AL1299:$AQ1299&gt;AN1299))+SUMPRODUCT(--($AL1299:AM1299=AN1299))&lt;$AK1299,1,0)</f>
        <v>112</v>
      </c>
      <c r="O1299" s="2" t="n">
        <f aca="false">AH1299+IF(SUMPRODUCT(--($AL1299:$AQ1299&gt;AO1299))+SUMPRODUCT(--($AL1299:AN1299=AO1299))&lt;$AK1299,1,0)</f>
        <v>70</v>
      </c>
      <c r="P1299" s="2" t="n">
        <f aca="false">AI1299+IF(SUMPRODUCT(--($AL1299:$AQ1299&gt;AP1299))+SUMPRODUCT(--($AL1299:AO1299=AP1299))&lt;$AK1299,1,0)</f>
        <v>97</v>
      </c>
      <c r="Q1299" s="2" t="n">
        <f aca="false">AJ1299+IF(SUMPRODUCT(--($AL1299:$AQ1299&gt;AQ1299))+SUMPRODUCT(--($AL1299:AP1299=AQ1299))&lt;$AK1299,1,0)</f>
        <v>64</v>
      </c>
      <c r="R1299" s="2" t="n">
        <f aca="false">SUM(L1299:Q1299)</f>
        <v>500</v>
      </c>
      <c r="S1299" s="2" t="n">
        <f aca="false">Settings!$B$4*MAX(INDEX(Bases!$M$2:$M$53,B1299),INDEX(Bases!$M$2:$M$53,C1299))+Settings!$B$5*MIN(INDEX(Bases!$M$2:$M$53,B1299),INDEX(Bases!$M$2:$M$53,C1299))</f>
        <v>59</v>
      </c>
      <c r="T1299" s="2" t="n">
        <f aca="false">Settings!$B$4*MAX(INDEX(Bases!$N$2:$N$53,B1299),INDEX(Bases!$N$2:$N$53,C1299))+Settings!$B$5*MIN(INDEX(Bases!$N$2:$N$53,B1299),INDEX(Bases!$N$2:$N$53,C1299))</f>
        <v>77.6666666666667</v>
      </c>
      <c r="U1299" s="2" t="n">
        <f aca="false">Settings!$B$4*MAX(INDEX(Bases!$O$2:$O$53,B1299),INDEX(Bases!$O$2:$O$53,C1299))+Settings!$B$5*MIN(INDEX(Bases!$O$2:$O$53,B1299),INDEX(Bases!$O$2:$O$53,C1299))</f>
        <v>97.3333333333333</v>
      </c>
      <c r="V1299" s="2" t="n">
        <f aca="false">Settings!$B$4*MAX(INDEX(Bases!$P$2:$P$53,B1299),INDEX(Bases!$P$2:$P$53,C1299))+Settings!$B$5*MIN(INDEX(Bases!$P$2:$P$53,B1299),INDEX(Bases!$P$2:$P$53,C1299))</f>
        <v>61</v>
      </c>
      <c r="W1299" s="2" t="n">
        <f aca="false">Settings!$B$4*MAX(INDEX(Bases!$Q$2:$Q$53,B1299),INDEX(Bases!$Q$2:$Q$53,C1299))+Settings!$B$5*MIN(INDEX(Bases!$Q$2:$Q$53,B1299),INDEX(Bases!$Q$2:$Q$53,C1299))</f>
        <v>84</v>
      </c>
      <c r="X1299" s="2" t="n">
        <f aca="false">Settings!$B$4*MAX(INDEX(Bases!$R$2:$R$53,B1299),INDEX(Bases!$R$2:$R$53,C1299))+Settings!$B$5*MIN(INDEX(Bases!$R$2:$R$53,B1299),INDEX(Bases!$R$2:$R$53,C1299))</f>
        <v>55.6666666666667</v>
      </c>
      <c r="Y1299" s="2" t="n">
        <f aca="false">S1299*Settings!$B$3/SUM(S1299:X1299)</f>
        <v>67.8680981595092</v>
      </c>
      <c r="Z1299" s="2" t="n">
        <f aca="false">T1299*Settings!$B$3/SUM(S1299:X1299)</f>
        <v>89.340490797546</v>
      </c>
      <c r="AA1299" s="2" t="n">
        <f aca="false">U1299*Settings!$B$3/SUM(S1299:X1299)</f>
        <v>111.963190184049</v>
      </c>
      <c r="AB1299" s="2" t="n">
        <f aca="false">V1299*Settings!$B$3/SUM(S1299:X1299)</f>
        <v>70.1687116564417</v>
      </c>
      <c r="AC1299" s="2" t="n">
        <f aca="false">W1299*Settings!$B$3/SUM(S1299:X1299)</f>
        <v>96.6257668711656</v>
      </c>
      <c r="AD1299" s="2" t="n">
        <f aca="false">X1299*Settings!$B$3/SUM(S1299:X1299)</f>
        <v>64.0337423312883</v>
      </c>
      <c r="AE1299" s="2" t="n">
        <f aca="false">INT(Y1299)</f>
        <v>67</v>
      </c>
      <c r="AF1299" s="2" t="n">
        <f aca="false">INT(Z1299)</f>
        <v>89</v>
      </c>
      <c r="AG1299" s="2" t="n">
        <f aca="false">INT(AA1299)</f>
        <v>111</v>
      </c>
      <c r="AH1299" s="2" t="n">
        <f aca="false">INT(AB1299)</f>
        <v>70</v>
      </c>
      <c r="AI1299" s="2" t="n">
        <f aca="false">INT(AC1299)</f>
        <v>96</v>
      </c>
      <c r="AJ1299" s="2" t="n">
        <f aca="false">INT(AD1299)</f>
        <v>64</v>
      </c>
      <c r="AK1299" s="2" t="n">
        <f aca="false">Settings!$B$3-SUM(AE1299:AJ1299)</f>
        <v>3</v>
      </c>
      <c r="AL1299" s="2" t="n">
        <f aca="false">ROUND(Y1299-AE1299,9)</f>
        <v>0.86809816</v>
      </c>
      <c r="AM1299" s="2" t="n">
        <f aca="false">ROUND(Z1299-AF1299,9)</f>
        <v>0.340490798</v>
      </c>
      <c r="AN1299" s="2" t="n">
        <f aca="false">ROUND(AA1299-AG1299,9)</f>
        <v>0.963190184</v>
      </c>
      <c r="AO1299" s="2" t="n">
        <f aca="false">ROUND(AB1299-AH1299,9)</f>
        <v>0.168711656</v>
      </c>
      <c r="AP1299" s="2" t="n">
        <f aca="false">ROUND(AC1299-AI1299,9)</f>
        <v>0.625766871</v>
      </c>
      <c r="AQ1299" s="2" t="n">
        <f aca="false">ROUND(AD1299-AJ1299,9)</f>
        <v>0.033742331</v>
      </c>
    </row>
    <row r="1300" customFormat="false" ht="15" hidden="false" customHeight="false" outlineLevel="0" collapsed="false">
      <c r="A1300" s="2" t="n">
        <v>1299</v>
      </c>
      <c r="B1300" s="6" t="n">
        <v>45</v>
      </c>
      <c r="C1300" s="6" t="n">
        <v>46</v>
      </c>
      <c r="D1300" s="8" t="str">
        <f aca="false">INDEX(Bases!$B$2:$B$53,B1300)</f>
        <v>Sneasel</v>
      </c>
      <c r="E1300" s="8" t="str">
        <f aca="false">INDEX(Bases!$B$2:$B$53,C1300)</f>
        <v>Houndour</v>
      </c>
      <c r="F1300" s="2" t="str">
        <f aca="false">LEFT(D1300,ROUNDUP(LEN(D1300)/2,0))&amp;LOWER(MID(E1300,ROUNDUP(LEN(E1300)/2,0)+1,20))</f>
        <v>Sneadour</v>
      </c>
      <c r="G1300" s="8" t="str">
        <f aca="false">INDEX(Bases!$C$2:$C$53,B1300)</f>
        <v>Dark</v>
      </c>
      <c r="H1300" s="8" t="str">
        <f aca="false">IF(INDEX(Bases!$C$2:$C$53,C1300)=G1300,"",INDEX(Bases!$C$2:$C$53,C1300))</f>
        <v/>
      </c>
      <c r="I1300" s="8" t="str">
        <f aca="false">IF(INDEX(Bases!$E$2:$E$53,B1300)="","",INDEX(Bases!$E$2:$E$53,B1300))</f>
        <v/>
      </c>
      <c r="J1300" s="8" t="str">
        <f aca="false">IF(INDEX(Bases!$E$2:$E$53,C1300)="","",INDEX(Bases!$E$2:$E$53,C1300))</f>
        <v/>
      </c>
      <c r="K1300" s="5"/>
      <c r="L1300" s="2" t="n">
        <f aca="false">AE1300+IF(SUMPRODUCT(--($AL1300:$AQ1300&gt;AL1300))&lt;$AK1300,1,0)</f>
        <v>63</v>
      </c>
      <c r="M1300" s="2" t="n">
        <f aca="false">AF1300+IF(SUMPRODUCT(--($AL1300:$AQ1300&gt;AM1300))+SUMPRODUCT(--($AL1300:AL1300=AM1300))&lt;$AK1300,1,0)</f>
        <v>98</v>
      </c>
      <c r="N1300" s="2" t="n">
        <f aca="false">AG1300+IF(SUMPRODUCT(--($AL1300:$AQ1300&gt;AN1300))+SUMPRODUCT(--($AL1300:AM1300=AN1300))&lt;$AK1300,1,0)</f>
        <v>54</v>
      </c>
      <c r="O1300" s="2" t="n">
        <f aca="false">AH1300+IF(SUMPRODUCT(--($AL1300:$AQ1300&gt;AO1300))+SUMPRODUCT(--($AL1300:AN1300=AO1300))&lt;$AK1300,1,0)</f>
        <v>90</v>
      </c>
      <c r="P1300" s="2" t="n">
        <f aca="false">AI1300+IF(SUMPRODUCT(--($AL1300:$AQ1300&gt;AP1300))+SUMPRODUCT(--($AL1300:AO1300=AP1300))&lt;$AK1300,1,0)</f>
        <v>79</v>
      </c>
      <c r="Q1300" s="2" t="n">
        <f aca="false">AJ1300+IF(SUMPRODUCT(--($AL1300:$AQ1300&gt;AQ1300))+SUMPRODUCT(--($AL1300:AP1300=AQ1300))&lt;$AK1300,1,0)</f>
        <v>116</v>
      </c>
      <c r="R1300" s="2" t="n">
        <f aca="false">SUM(L1300:Q1300)</f>
        <v>500</v>
      </c>
      <c r="S1300" s="2" t="n">
        <f aca="false">Settings!$B$4*MAX(INDEX(Bases!$M$2:$M$53,B1300),INDEX(Bases!$M$2:$M$53,C1300))+Settings!$B$5*MIN(INDEX(Bases!$M$2:$M$53,B1300),INDEX(Bases!$M$2:$M$53,C1300))</f>
        <v>53</v>
      </c>
      <c r="T1300" s="2" t="n">
        <f aca="false">Settings!$B$4*MAX(INDEX(Bases!$N$2:$N$53,B1300),INDEX(Bases!$N$2:$N$53,C1300))+Settings!$B$5*MIN(INDEX(Bases!$N$2:$N$53,B1300),INDEX(Bases!$N$2:$N$53,C1300))</f>
        <v>83</v>
      </c>
      <c r="U1300" s="2" t="n">
        <f aca="false">Settings!$B$4*MAX(INDEX(Bases!$O$2:$O$53,B1300),INDEX(Bases!$O$2:$O$53,C1300))+Settings!$B$5*MIN(INDEX(Bases!$O$2:$O$53,B1300),INDEX(Bases!$O$2:$O$53,C1300))</f>
        <v>46</v>
      </c>
      <c r="V1300" s="2" t="n">
        <f aca="false">Settings!$B$4*MAX(INDEX(Bases!$P$2:$P$53,B1300),INDEX(Bases!$P$2:$P$53,C1300))+Settings!$B$5*MIN(INDEX(Bases!$P$2:$P$53,B1300),INDEX(Bases!$P$2:$P$53,C1300))</f>
        <v>75.6666666666667</v>
      </c>
      <c r="W1300" s="2" t="n">
        <f aca="false">Settings!$B$4*MAX(INDEX(Bases!$Q$2:$Q$53,B1300),INDEX(Bases!$Q$2:$Q$53,C1300))+Settings!$B$5*MIN(INDEX(Bases!$Q$2:$Q$53,B1300),INDEX(Bases!$Q$2:$Q$53,C1300))</f>
        <v>67</v>
      </c>
      <c r="X1300" s="2" t="n">
        <f aca="false">Settings!$B$4*MAX(INDEX(Bases!$R$2:$R$53,B1300),INDEX(Bases!$R$2:$R$53,C1300))+Settings!$B$5*MIN(INDEX(Bases!$R$2:$R$53,B1300),INDEX(Bases!$R$2:$R$53,C1300))</f>
        <v>97.6666666666667</v>
      </c>
      <c r="Y1300" s="2" t="n">
        <f aca="false">S1300*Settings!$B$3/SUM(S1300:X1300)</f>
        <v>62.7466456195738</v>
      </c>
      <c r="Z1300" s="2" t="n">
        <f aca="false">T1300*Settings!$B$3/SUM(S1300:X1300)</f>
        <v>98.2636148382005</v>
      </c>
      <c r="AA1300" s="2" t="n">
        <f aca="false">U1300*Settings!$B$3/SUM(S1300:X1300)</f>
        <v>54.4593528018943</v>
      </c>
      <c r="AB1300" s="2" t="n">
        <f aca="false">V1300*Settings!$B$3/SUM(S1300:X1300)</f>
        <v>89.5816890292029</v>
      </c>
      <c r="AC1300" s="2" t="n">
        <f aca="false">W1300*Settings!$B$3/SUM(S1300:X1300)</f>
        <v>79.3212312549329</v>
      </c>
      <c r="AD1300" s="2" t="n">
        <f aca="false">X1300*Settings!$B$3/SUM(S1300:X1300)</f>
        <v>115.627466456196</v>
      </c>
      <c r="AE1300" s="2" t="n">
        <f aca="false">INT(Y1300)</f>
        <v>62</v>
      </c>
      <c r="AF1300" s="2" t="n">
        <f aca="false">INT(Z1300)</f>
        <v>98</v>
      </c>
      <c r="AG1300" s="2" t="n">
        <f aca="false">INT(AA1300)</f>
        <v>54</v>
      </c>
      <c r="AH1300" s="2" t="n">
        <f aca="false">INT(AB1300)</f>
        <v>89</v>
      </c>
      <c r="AI1300" s="2" t="n">
        <f aca="false">INT(AC1300)</f>
        <v>79</v>
      </c>
      <c r="AJ1300" s="2" t="n">
        <f aca="false">INT(AD1300)</f>
        <v>115</v>
      </c>
      <c r="AK1300" s="2" t="n">
        <f aca="false">Settings!$B$3-SUM(AE1300:AJ1300)</f>
        <v>3</v>
      </c>
      <c r="AL1300" s="2" t="n">
        <f aca="false">ROUND(Y1300-AE1300,9)</f>
        <v>0.74664562</v>
      </c>
      <c r="AM1300" s="2" t="n">
        <f aca="false">ROUND(Z1300-AF1300,9)</f>
        <v>0.263614838</v>
      </c>
      <c r="AN1300" s="2" t="n">
        <f aca="false">ROUND(AA1300-AG1300,9)</f>
        <v>0.459352802</v>
      </c>
      <c r="AO1300" s="2" t="n">
        <f aca="false">ROUND(AB1300-AH1300,9)</f>
        <v>0.581689029</v>
      </c>
      <c r="AP1300" s="2" t="n">
        <f aca="false">ROUND(AC1300-AI1300,9)</f>
        <v>0.321231255</v>
      </c>
      <c r="AQ1300" s="2" t="n">
        <f aca="false">ROUND(AD1300-AJ1300,9)</f>
        <v>0.627466456</v>
      </c>
    </row>
    <row r="1301" customFormat="false" ht="15" hidden="false" customHeight="false" outlineLevel="0" collapsed="false">
      <c r="A1301" s="2" t="n">
        <v>1300</v>
      </c>
      <c r="B1301" s="6" t="n">
        <v>45</v>
      </c>
      <c r="C1301" s="6" t="n">
        <v>47</v>
      </c>
      <c r="D1301" s="8" t="str">
        <f aca="false">INDEX(Bases!$B$2:$B$53,B1301)</f>
        <v>Sneasel</v>
      </c>
      <c r="E1301" s="8" t="str">
        <f aca="false">INDEX(Bases!$B$2:$B$53,C1301)</f>
        <v>Carvanha</v>
      </c>
      <c r="F1301" s="2" t="str">
        <f aca="false">LEFT(D1301,ROUNDUP(LEN(D1301)/2,0))&amp;LOWER(MID(E1301,ROUNDUP(LEN(E1301)/2,0)+1,20))</f>
        <v>Sneaanha</v>
      </c>
      <c r="G1301" s="8" t="str">
        <f aca="false">INDEX(Bases!$C$2:$C$53,B1301)</f>
        <v>Dark</v>
      </c>
      <c r="H1301" s="8" t="str">
        <f aca="false">IF(INDEX(Bases!$C$2:$C$53,C1301)=G1301,"",INDEX(Bases!$C$2:$C$53,C1301))</f>
        <v/>
      </c>
      <c r="I1301" s="8" t="str">
        <f aca="false">IF(INDEX(Bases!$E$2:$E$53,B1301)="","",INDEX(Bases!$E$2:$E$53,B1301))</f>
        <v/>
      </c>
      <c r="J1301" s="8" t="str">
        <f aca="false">IF(INDEX(Bases!$E$2:$E$53,C1301)="","",INDEX(Bases!$E$2:$E$53,C1301))</f>
        <v/>
      </c>
      <c r="K1301" s="5"/>
      <c r="L1301" s="2" t="n">
        <f aca="false">AE1301+IF(SUMPRODUCT(--($AL1301:$AQ1301&gt;AL1301))&lt;$AK1301,1,0)</f>
        <v>65</v>
      </c>
      <c r="M1301" s="2" t="n">
        <f aca="false">AF1301+IF(SUMPRODUCT(--($AL1301:$AQ1301&gt;AM1301))+SUMPRODUCT(--($AL1301:AL1301=AM1301))&lt;$AK1301,1,0)</f>
        <v>126</v>
      </c>
      <c r="N1301" s="2" t="n">
        <f aca="false">AG1301+IF(SUMPRODUCT(--($AL1301:$AQ1301&gt;AN1301))+SUMPRODUCT(--($AL1301:AM1301=AN1301))&lt;$AK1301,1,0)</f>
        <v>50</v>
      </c>
      <c r="O1301" s="2" t="n">
        <f aca="false">AH1301+IF(SUMPRODUCT(--($AL1301:$AQ1301&gt;AO1301))+SUMPRODUCT(--($AL1301:AN1301=AO1301))&lt;$AK1301,1,0)</f>
        <v>79</v>
      </c>
      <c r="P1301" s="2" t="n">
        <f aca="false">AI1301+IF(SUMPRODUCT(--($AL1301:$AQ1301&gt;AP1301))+SUMPRODUCT(--($AL1301:AO1301=AP1301))&lt;$AK1301,1,0)</f>
        <v>64</v>
      </c>
      <c r="Q1301" s="2" t="n">
        <f aca="false">AJ1301+IF(SUMPRODUCT(--($AL1301:$AQ1301&gt;AQ1301))+SUMPRODUCT(--($AL1301:AP1301=AQ1301))&lt;$AK1301,1,0)</f>
        <v>116</v>
      </c>
      <c r="R1301" s="2" t="n">
        <f aca="false">SUM(L1301:Q1301)</f>
        <v>500</v>
      </c>
      <c r="S1301" s="2" t="n">
        <f aca="false">Settings!$B$4*MAX(INDEX(Bases!$M$2:$M$53,B1301),INDEX(Bases!$M$2:$M$53,C1301))+Settings!$B$5*MIN(INDEX(Bases!$M$2:$M$53,B1301),INDEX(Bases!$M$2:$M$53,C1301))</f>
        <v>56.3333333333333</v>
      </c>
      <c r="T1301" s="2" t="n">
        <f aca="false">Settings!$B$4*MAX(INDEX(Bases!$N$2:$N$53,B1301),INDEX(Bases!$N$2:$N$53,C1301))+Settings!$B$5*MIN(INDEX(Bases!$N$2:$N$53,B1301),INDEX(Bases!$N$2:$N$53,C1301))</f>
        <v>108</v>
      </c>
      <c r="U1301" s="2" t="n">
        <f aca="false">Settings!$B$4*MAX(INDEX(Bases!$O$2:$O$53,B1301),INDEX(Bases!$O$2:$O$53,C1301))+Settings!$B$5*MIN(INDEX(Bases!$O$2:$O$53,B1301),INDEX(Bases!$O$2:$O$53,C1301))</f>
        <v>42.6666666666667</v>
      </c>
      <c r="V1301" s="2" t="n">
        <f aca="false">Settings!$B$4*MAX(INDEX(Bases!$P$2:$P$53,B1301),INDEX(Bases!$P$2:$P$53,C1301))+Settings!$B$5*MIN(INDEX(Bases!$P$2:$P$53,B1301),INDEX(Bases!$P$2:$P$53,C1301))</f>
        <v>68.3333333333333</v>
      </c>
      <c r="W1301" s="2" t="n">
        <f aca="false">Settings!$B$4*MAX(INDEX(Bases!$Q$2:$Q$53,B1301),INDEX(Bases!$Q$2:$Q$53,C1301))+Settings!$B$5*MIN(INDEX(Bases!$Q$2:$Q$53,B1301),INDEX(Bases!$Q$2:$Q$53,C1301))</f>
        <v>55.3333333333333</v>
      </c>
      <c r="X1301" s="2" t="n">
        <f aca="false">Settings!$B$4*MAX(INDEX(Bases!$R$2:$R$53,B1301),INDEX(Bases!$R$2:$R$53,C1301))+Settings!$B$5*MIN(INDEX(Bases!$R$2:$R$53,B1301),INDEX(Bases!$R$2:$R$53,C1301))</f>
        <v>99.6666666666667</v>
      </c>
      <c r="Y1301" s="2" t="n">
        <f aca="false">S1301*Settings!$B$3/SUM(S1301:X1301)</f>
        <v>65.4531371030209</v>
      </c>
      <c r="Z1301" s="2" t="n">
        <f aca="false">T1301*Settings!$B$3/SUM(S1301:X1301)</f>
        <v>125.484120836561</v>
      </c>
      <c r="AA1301" s="2" t="n">
        <f aca="false">U1301*Settings!$B$3/SUM(S1301:X1301)</f>
        <v>49.5739736638265</v>
      </c>
      <c r="AB1301" s="2" t="n">
        <f aca="false">V1301*Settings!$B$3/SUM(S1301:X1301)</f>
        <v>79.3958171959721</v>
      </c>
      <c r="AC1301" s="2" t="n">
        <f aca="false">W1301*Settings!$B$3/SUM(S1301:X1301)</f>
        <v>64.291247095275</v>
      </c>
      <c r="AD1301" s="2" t="n">
        <f aca="false">X1301*Settings!$B$3/SUM(S1301:X1301)</f>
        <v>115.801704105345</v>
      </c>
      <c r="AE1301" s="2" t="n">
        <f aca="false">INT(Y1301)</f>
        <v>65</v>
      </c>
      <c r="AF1301" s="2" t="n">
        <f aca="false">INT(Z1301)</f>
        <v>125</v>
      </c>
      <c r="AG1301" s="2" t="n">
        <f aca="false">INT(AA1301)</f>
        <v>49</v>
      </c>
      <c r="AH1301" s="2" t="n">
        <f aca="false">INT(AB1301)</f>
        <v>79</v>
      </c>
      <c r="AI1301" s="2" t="n">
        <f aca="false">INT(AC1301)</f>
        <v>64</v>
      </c>
      <c r="AJ1301" s="2" t="n">
        <f aca="false">INT(AD1301)</f>
        <v>115</v>
      </c>
      <c r="AK1301" s="2" t="n">
        <f aca="false">Settings!$B$3-SUM(AE1301:AJ1301)</f>
        <v>3</v>
      </c>
      <c r="AL1301" s="2" t="n">
        <f aca="false">ROUND(Y1301-AE1301,9)</f>
        <v>0.453137103</v>
      </c>
      <c r="AM1301" s="2" t="n">
        <f aca="false">ROUND(Z1301-AF1301,9)</f>
        <v>0.484120837</v>
      </c>
      <c r="AN1301" s="2" t="n">
        <f aca="false">ROUND(AA1301-AG1301,9)</f>
        <v>0.573973664</v>
      </c>
      <c r="AO1301" s="2" t="n">
        <f aca="false">ROUND(AB1301-AH1301,9)</f>
        <v>0.395817196</v>
      </c>
      <c r="AP1301" s="2" t="n">
        <f aca="false">ROUND(AC1301-AI1301,9)</f>
        <v>0.291247095</v>
      </c>
      <c r="AQ1301" s="2" t="n">
        <f aca="false">ROUND(AD1301-AJ1301,9)</f>
        <v>0.801704105</v>
      </c>
    </row>
    <row r="1302" customFormat="false" ht="15" hidden="false" customHeight="false" outlineLevel="0" collapsed="false">
      <c r="A1302" s="2" t="n">
        <v>1301</v>
      </c>
      <c r="B1302" s="6" t="n">
        <v>45</v>
      </c>
      <c r="C1302" s="6" t="n">
        <v>48</v>
      </c>
      <c r="D1302" s="8" t="str">
        <f aca="false">INDEX(Bases!$B$2:$B$53,B1302)</f>
        <v>Sneasel</v>
      </c>
      <c r="E1302" s="8" t="str">
        <f aca="false">INDEX(Bases!$B$2:$B$53,C1302)</f>
        <v>Magnemite</v>
      </c>
      <c r="F1302" s="2" t="str">
        <f aca="false">LEFT(D1302,ROUNDUP(LEN(D1302)/2,0))&amp;LOWER(MID(E1302,ROUNDUP(LEN(E1302)/2,0)+1,20))</f>
        <v>Sneamite</v>
      </c>
      <c r="G1302" s="8" t="str">
        <f aca="false">INDEX(Bases!$C$2:$C$53,B1302)</f>
        <v>Dark</v>
      </c>
      <c r="H1302" s="8" t="str">
        <f aca="false">IF(INDEX(Bases!$C$2:$C$53,C1302)=G1302,"",INDEX(Bases!$C$2:$C$53,C1302))</f>
        <v>Steel</v>
      </c>
      <c r="I1302" s="8" t="str">
        <f aca="false">IF(INDEX(Bases!$E$2:$E$53,B1302)="","",INDEX(Bases!$E$2:$E$53,B1302))</f>
        <v/>
      </c>
      <c r="J1302" s="8" t="str">
        <f aca="false">IF(INDEX(Bases!$E$2:$E$53,C1302)="","",INDEX(Bases!$E$2:$E$53,C1302))</f>
        <v/>
      </c>
      <c r="K1302" s="5"/>
      <c r="L1302" s="2" t="n">
        <f aca="false">AE1302+IF(SUMPRODUCT(--($AL1302:$AQ1302&gt;AL1302))&lt;$AK1302,1,0)</f>
        <v>50</v>
      </c>
      <c r="M1302" s="2" t="n">
        <f aca="false">AF1302+IF(SUMPRODUCT(--($AL1302:$AQ1302&gt;AM1302))+SUMPRODUCT(--($AL1302:AL1302=AM1302))&lt;$AK1302,1,0)</f>
        <v>83</v>
      </c>
      <c r="N1302" s="2" t="n">
        <f aca="false">AG1302+IF(SUMPRODUCT(--($AL1302:$AQ1302&gt;AN1302))+SUMPRODUCT(--($AL1302:AM1302=AN1302))&lt;$AK1302,1,0)</f>
        <v>85</v>
      </c>
      <c r="O1302" s="2" t="n">
        <f aca="false">AH1302+IF(SUMPRODUCT(--($AL1302:$AQ1302&gt;AO1302))+SUMPRODUCT(--($AL1302:AN1302=AO1302))&lt;$AK1302,1,0)</f>
        <v>101</v>
      </c>
      <c r="P1302" s="2" t="n">
        <f aca="false">AI1302+IF(SUMPRODUCT(--($AL1302:$AQ1302&gt;AP1302))+SUMPRODUCT(--($AL1302:AO1302=AP1302))&lt;$AK1302,1,0)</f>
        <v>79</v>
      </c>
      <c r="Q1302" s="2" t="n">
        <f aca="false">AJ1302+IF(SUMPRODUCT(--($AL1302:$AQ1302&gt;AQ1302))+SUMPRODUCT(--($AL1302:AP1302=AQ1302))&lt;$AK1302,1,0)</f>
        <v>102</v>
      </c>
      <c r="R1302" s="2" t="n">
        <f aca="false">SUM(L1302:Q1302)</f>
        <v>500</v>
      </c>
      <c r="S1302" s="2" t="n">
        <f aca="false">Settings!$B$4*MAX(INDEX(Bases!$M$2:$M$53,B1302),INDEX(Bases!$M$2:$M$53,C1302))+Settings!$B$5*MIN(INDEX(Bases!$M$2:$M$53,B1302),INDEX(Bases!$M$2:$M$53,C1302))</f>
        <v>44.3333333333333</v>
      </c>
      <c r="T1302" s="2" t="n">
        <f aca="false">Settings!$B$4*MAX(INDEX(Bases!$N$2:$N$53,B1302),INDEX(Bases!$N$2:$N$53,C1302))+Settings!$B$5*MIN(INDEX(Bases!$N$2:$N$53,B1302),INDEX(Bases!$N$2:$N$53,C1302))</f>
        <v>73</v>
      </c>
      <c r="U1302" s="2" t="n">
        <f aca="false">Settings!$B$4*MAX(INDEX(Bases!$O$2:$O$53,B1302),INDEX(Bases!$O$2:$O$53,C1302))+Settings!$B$5*MIN(INDEX(Bases!$O$2:$O$53,B1302),INDEX(Bases!$O$2:$O$53,C1302))</f>
        <v>74.3333333333333</v>
      </c>
      <c r="V1302" s="2" t="n">
        <f aca="false">Settings!$B$4*MAX(INDEX(Bases!$P$2:$P$53,B1302),INDEX(Bases!$P$2:$P$53,C1302))+Settings!$B$5*MIN(INDEX(Bases!$P$2:$P$53,B1302),INDEX(Bases!$P$2:$P$53,C1302))</f>
        <v>89</v>
      </c>
      <c r="W1302" s="2" t="n">
        <f aca="false">Settings!$B$4*MAX(INDEX(Bases!$Q$2:$Q$53,B1302),INDEX(Bases!$Q$2:$Q$53,C1302))+Settings!$B$5*MIN(INDEX(Bases!$Q$2:$Q$53,B1302),INDEX(Bases!$Q$2:$Q$53,C1302))</f>
        <v>69.3333333333333</v>
      </c>
      <c r="X1302" s="2" t="n">
        <f aca="false">Settings!$B$4*MAX(INDEX(Bases!$R$2:$R$53,B1302),INDEX(Bases!$R$2:$R$53,C1302))+Settings!$B$5*MIN(INDEX(Bases!$R$2:$R$53,B1302),INDEX(Bases!$R$2:$R$53,C1302))</f>
        <v>89.6666666666667</v>
      </c>
      <c r="Y1302" s="2" t="n">
        <f aca="false">S1302*Settings!$B$3/SUM(S1302:X1302)</f>
        <v>50.4169825625474</v>
      </c>
      <c r="Z1302" s="2" t="n">
        <f aca="false">T1302*Settings!$B$3/SUM(S1302:X1302)</f>
        <v>83.0174374526156</v>
      </c>
      <c r="AA1302" s="2" t="n">
        <f aca="false">U1302*Settings!$B$3/SUM(S1302:X1302)</f>
        <v>84.5337376800607</v>
      </c>
      <c r="AB1302" s="2" t="n">
        <f aca="false">V1302*Settings!$B$3/SUM(S1302:X1302)</f>
        <v>101.213040181956</v>
      </c>
      <c r="AC1302" s="2" t="n">
        <f aca="false">W1302*Settings!$B$3/SUM(S1302:X1302)</f>
        <v>78.8476118271418</v>
      </c>
      <c r="AD1302" s="2" t="n">
        <f aca="false">X1302*Settings!$B$3/SUM(S1302:X1302)</f>
        <v>101.971190295679</v>
      </c>
      <c r="AE1302" s="2" t="n">
        <f aca="false">INT(Y1302)</f>
        <v>50</v>
      </c>
      <c r="AF1302" s="2" t="n">
        <f aca="false">INT(Z1302)</f>
        <v>83</v>
      </c>
      <c r="AG1302" s="2" t="n">
        <f aca="false">INT(AA1302)</f>
        <v>84</v>
      </c>
      <c r="AH1302" s="2" t="n">
        <f aca="false">INT(AB1302)</f>
        <v>101</v>
      </c>
      <c r="AI1302" s="2" t="n">
        <f aca="false">INT(AC1302)</f>
        <v>78</v>
      </c>
      <c r="AJ1302" s="2" t="n">
        <f aca="false">INT(AD1302)</f>
        <v>101</v>
      </c>
      <c r="AK1302" s="2" t="n">
        <f aca="false">Settings!$B$3-SUM(AE1302:AJ1302)</f>
        <v>3</v>
      </c>
      <c r="AL1302" s="2" t="n">
        <f aca="false">ROUND(Y1302-AE1302,9)</f>
        <v>0.416982563</v>
      </c>
      <c r="AM1302" s="2" t="n">
        <f aca="false">ROUND(Z1302-AF1302,9)</f>
        <v>0.017437453</v>
      </c>
      <c r="AN1302" s="2" t="n">
        <f aca="false">ROUND(AA1302-AG1302,9)</f>
        <v>0.53373768</v>
      </c>
      <c r="AO1302" s="2" t="n">
        <f aca="false">ROUND(AB1302-AH1302,9)</f>
        <v>0.213040182</v>
      </c>
      <c r="AP1302" s="2" t="n">
        <f aca="false">ROUND(AC1302-AI1302,9)</f>
        <v>0.847611827</v>
      </c>
      <c r="AQ1302" s="2" t="n">
        <f aca="false">ROUND(AD1302-AJ1302,9)</f>
        <v>0.971190296</v>
      </c>
    </row>
    <row r="1303" customFormat="false" ht="15" hidden="false" customHeight="false" outlineLevel="0" collapsed="false">
      <c r="A1303" s="2" t="n">
        <v>1302</v>
      </c>
      <c r="B1303" s="6" t="n">
        <v>45</v>
      </c>
      <c r="C1303" s="6" t="n">
        <v>49</v>
      </c>
      <c r="D1303" s="8" t="str">
        <f aca="false">INDEX(Bases!$B$2:$B$53,B1303)</f>
        <v>Sneasel</v>
      </c>
      <c r="E1303" s="8" t="str">
        <f aca="false">INDEX(Bases!$B$2:$B$53,C1303)</f>
        <v>Aron</v>
      </c>
      <c r="F1303" s="2" t="str">
        <f aca="false">LEFT(D1303,ROUNDUP(LEN(D1303)/2,0))&amp;LOWER(MID(E1303,ROUNDUP(LEN(E1303)/2,0)+1,20))</f>
        <v>Sneaon</v>
      </c>
      <c r="G1303" s="8" t="str">
        <f aca="false">INDEX(Bases!$C$2:$C$53,B1303)</f>
        <v>Dark</v>
      </c>
      <c r="H1303" s="8" t="str">
        <f aca="false">IF(INDEX(Bases!$C$2:$C$53,C1303)=G1303,"",INDEX(Bases!$C$2:$C$53,C1303))</f>
        <v>Steel</v>
      </c>
      <c r="I1303" s="8" t="str">
        <f aca="false">IF(INDEX(Bases!$E$2:$E$53,B1303)="","",INDEX(Bases!$E$2:$E$53,B1303))</f>
        <v/>
      </c>
      <c r="J1303" s="8" t="str">
        <f aca="false">IF(INDEX(Bases!$E$2:$E$53,C1303)="","",INDEX(Bases!$E$2:$E$53,C1303))</f>
        <v/>
      </c>
      <c r="K1303" s="5"/>
      <c r="L1303" s="2" t="n">
        <f aca="false">AE1303+IF(SUMPRODUCT(--($AL1303:$AQ1303&gt;AL1303))&lt;$AK1303,1,0)</f>
        <v>67</v>
      </c>
      <c r="M1303" s="2" t="n">
        <f aca="false">AF1303+IF(SUMPRODUCT(--($AL1303:$AQ1303&gt;AM1303))+SUMPRODUCT(--($AL1303:AL1303=AM1303))&lt;$AK1303,1,0)</f>
        <v>101</v>
      </c>
      <c r="N1303" s="2" t="n">
        <f aca="false">AG1303+IF(SUMPRODUCT(--($AL1303:$AQ1303&gt;AN1303))+SUMPRODUCT(--($AL1303:AM1303=AN1303))&lt;$AK1303,1,0)</f>
        <v>113</v>
      </c>
      <c r="O1303" s="2" t="n">
        <f aca="false">AH1303+IF(SUMPRODUCT(--($AL1303:$AQ1303&gt;AO1303))+SUMPRODUCT(--($AL1303:AN1303=AO1303))&lt;$AK1303,1,0)</f>
        <v>51</v>
      </c>
      <c r="P1303" s="2" t="n">
        <f aca="false">AI1303+IF(SUMPRODUCT(--($AL1303:$AQ1303&gt;AP1303))+SUMPRODUCT(--($AL1303:AO1303=AP1303))&lt;$AK1303,1,0)</f>
        <v>72</v>
      </c>
      <c r="Q1303" s="2" t="n">
        <f aca="false">AJ1303+IF(SUMPRODUCT(--($AL1303:$AQ1303&gt;AQ1303))+SUMPRODUCT(--($AL1303:AP1303=AQ1303))&lt;$AK1303,1,0)</f>
        <v>96</v>
      </c>
      <c r="R1303" s="2" t="n">
        <f aca="false">SUM(L1303:Q1303)</f>
        <v>500</v>
      </c>
      <c r="S1303" s="2" t="n">
        <f aca="false">Settings!$B$4*MAX(INDEX(Bases!$M$2:$M$53,B1303),INDEX(Bases!$M$2:$M$53,C1303))+Settings!$B$5*MIN(INDEX(Bases!$M$2:$M$53,B1303),INDEX(Bases!$M$2:$M$53,C1303))</f>
        <v>57.6666666666667</v>
      </c>
      <c r="T1303" s="2" t="n">
        <f aca="false">Settings!$B$4*MAX(INDEX(Bases!$N$2:$N$53,B1303),INDEX(Bases!$N$2:$N$53,C1303))+Settings!$B$5*MIN(INDEX(Bases!$N$2:$N$53,B1303),INDEX(Bases!$N$2:$N$53,C1303))</f>
        <v>87</v>
      </c>
      <c r="U1303" s="2" t="n">
        <f aca="false">Settings!$B$4*MAX(INDEX(Bases!$O$2:$O$53,B1303),INDEX(Bases!$O$2:$O$53,C1303))+Settings!$B$5*MIN(INDEX(Bases!$O$2:$O$53,B1303),INDEX(Bases!$O$2:$O$53,C1303))</f>
        <v>97.6666666666667</v>
      </c>
      <c r="V1303" s="2" t="n">
        <f aca="false">Settings!$B$4*MAX(INDEX(Bases!$P$2:$P$53,B1303),INDEX(Bases!$P$2:$P$53,C1303))+Settings!$B$5*MIN(INDEX(Bases!$P$2:$P$53,B1303),INDEX(Bases!$P$2:$P$53,C1303))</f>
        <v>43.6666666666667</v>
      </c>
      <c r="W1303" s="2" t="n">
        <f aca="false">Settings!$B$4*MAX(INDEX(Bases!$Q$2:$Q$53,B1303),INDEX(Bases!$Q$2:$Q$53,C1303))+Settings!$B$5*MIN(INDEX(Bases!$Q$2:$Q$53,B1303),INDEX(Bases!$Q$2:$Q$53,C1303))</f>
        <v>62.6666666666667</v>
      </c>
      <c r="X1303" s="2" t="n">
        <f aca="false">Settings!$B$4*MAX(INDEX(Bases!$R$2:$R$53,B1303),INDEX(Bases!$R$2:$R$53,C1303))+Settings!$B$5*MIN(INDEX(Bases!$R$2:$R$53,B1303),INDEX(Bases!$R$2:$R$53,C1303))</f>
        <v>83.3333333333333</v>
      </c>
      <c r="Y1303" s="2" t="n">
        <f aca="false">S1303*Settings!$B$3/SUM(S1303:X1303)</f>
        <v>66.7438271604938</v>
      </c>
      <c r="Z1303" s="2" t="n">
        <f aca="false">T1303*Settings!$B$3/SUM(S1303:X1303)</f>
        <v>100.694444444444</v>
      </c>
      <c r="AA1303" s="2" t="n">
        <f aca="false">U1303*Settings!$B$3/SUM(S1303:X1303)</f>
        <v>113.04012345679</v>
      </c>
      <c r="AB1303" s="2" t="n">
        <f aca="false">V1303*Settings!$B$3/SUM(S1303:X1303)</f>
        <v>50.5401234567901</v>
      </c>
      <c r="AC1303" s="2" t="n">
        <f aca="false">W1303*Settings!$B$3/SUM(S1303:X1303)</f>
        <v>72.5308641975309</v>
      </c>
      <c r="AD1303" s="2" t="n">
        <f aca="false">X1303*Settings!$B$3/SUM(S1303:X1303)</f>
        <v>96.4506172839506</v>
      </c>
      <c r="AE1303" s="2" t="n">
        <f aca="false">INT(Y1303)</f>
        <v>66</v>
      </c>
      <c r="AF1303" s="2" t="n">
        <f aca="false">INT(Z1303)</f>
        <v>100</v>
      </c>
      <c r="AG1303" s="2" t="n">
        <f aca="false">INT(AA1303)</f>
        <v>113</v>
      </c>
      <c r="AH1303" s="2" t="n">
        <f aca="false">INT(AB1303)</f>
        <v>50</v>
      </c>
      <c r="AI1303" s="2" t="n">
        <f aca="false">INT(AC1303)</f>
        <v>72</v>
      </c>
      <c r="AJ1303" s="2" t="n">
        <f aca="false">INT(AD1303)</f>
        <v>96</v>
      </c>
      <c r="AK1303" s="2" t="n">
        <f aca="false">Settings!$B$3-SUM(AE1303:AJ1303)</f>
        <v>3</v>
      </c>
      <c r="AL1303" s="2" t="n">
        <f aca="false">ROUND(Y1303-AE1303,9)</f>
        <v>0.74382716</v>
      </c>
      <c r="AM1303" s="2" t="n">
        <f aca="false">ROUND(Z1303-AF1303,9)</f>
        <v>0.694444444</v>
      </c>
      <c r="AN1303" s="2" t="n">
        <f aca="false">ROUND(AA1303-AG1303,9)</f>
        <v>0.040123457</v>
      </c>
      <c r="AO1303" s="2" t="n">
        <f aca="false">ROUND(AB1303-AH1303,9)</f>
        <v>0.540123457</v>
      </c>
      <c r="AP1303" s="2" t="n">
        <f aca="false">ROUND(AC1303-AI1303,9)</f>
        <v>0.530864198</v>
      </c>
      <c r="AQ1303" s="2" t="n">
        <f aca="false">ROUND(AD1303-AJ1303,9)</f>
        <v>0.450617284</v>
      </c>
    </row>
    <row r="1304" customFormat="false" ht="15" hidden="false" customHeight="false" outlineLevel="0" collapsed="false">
      <c r="A1304" s="2" t="n">
        <v>1303</v>
      </c>
      <c r="B1304" s="6" t="n">
        <v>45</v>
      </c>
      <c r="C1304" s="6" t="n">
        <v>50</v>
      </c>
      <c r="D1304" s="8" t="str">
        <f aca="false">INDEX(Bases!$B$2:$B$53,B1304)</f>
        <v>Sneasel</v>
      </c>
      <c r="E1304" s="8" t="str">
        <f aca="false">INDEX(Bases!$B$2:$B$53,C1304)</f>
        <v>Beldum</v>
      </c>
      <c r="F1304" s="2" t="str">
        <f aca="false">LEFT(D1304,ROUNDUP(LEN(D1304)/2,0))&amp;LOWER(MID(E1304,ROUNDUP(LEN(E1304)/2,0)+1,20))</f>
        <v>Sneadum</v>
      </c>
      <c r="G1304" s="8" t="str">
        <f aca="false">INDEX(Bases!$C$2:$C$53,B1304)</f>
        <v>Dark</v>
      </c>
      <c r="H1304" s="8" t="str">
        <f aca="false">IF(INDEX(Bases!$C$2:$C$53,C1304)=G1304,"",INDEX(Bases!$C$2:$C$53,C1304))</f>
        <v>Steel</v>
      </c>
      <c r="I1304" s="8" t="str">
        <f aca="false">IF(INDEX(Bases!$E$2:$E$53,B1304)="","",INDEX(Bases!$E$2:$E$53,B1304))</f>
        <v/>
      </c>
      <c r="J1304" s="8" t="str">
        <f aca="false">IF(INDEX(Bases!$E$2:$E$53,C1304)="","",INDEX(Bases!$E$2:$E$53,C1304))</f>
        <v/>
      </c>
      <c r="K1304" s="5"/>
      <c r="L1304" s="2" t="n">
        <f aca="false">AE1304+IF(SUMPRODUCT(--($AL1304:$AQ1304&gt;AL1304))&lt;$AK1304,1,0)</f>
        <v>61</v>
      </c>
      <c r="M1304" s="2" t="n">
        <f aca="false">AF1304+IF(SUMPRODUCT(--($AL1304:$AQ1304&gt;AM1304))+SUMPRODUCT(--($AL1304:AL1304=AM1304))&lt;$AK1304,1,0)</f>
        <v>97</v>
      </c>
      <c r="N1304" s="2" t="n">
        <f aca="false">AG1304+IF(SUMPRODUCT(--($AL1304:$AQ1304&gt;AN1304))+SUMPRODUCT(--($AL1304:AM1304=AN1304))&lt;$AK1304,1,0)</f>
        <v>103</v>
      </c>
      <c r="O1304" s="2" t="n">
        <f aca="false">AH1304+IF(SUMPRODUCT(--($AL1304:$AQ1304&gt;AO1304))+SUMPRODUCT(--($AL1304:AN1304=AO1304))&lt;$AK1304,1,0)</f>
        <v>50</v>
      </c>
      <c r="P1304" s="2" t="n">
        <f aca="false">AI1304+IF(SUMPRODUCT(--($AL1304:$AQ1304&gt;AP1304))+SUMPRODUCT(--($AL1304:AO1304=AP1304))&lt;$AK1304,1,0)</f>
        <v>90</v>
      </c>
      <c r="Q1304" s="2" t="n">
        <f aca="false">AJ1304+IF(SUMPRODUCT(--($AL1304:$AQ1304&gt;AQ1304))+SUMPRODUCT(--($AL1304:AP1304=AQ1304))&lt;$AK1304,1,0)</f>
        <v>99</v>
      </c>
      <c r="R1304" s="2" t="n">
        <f aca="false">SUM(L1304:Q1304)</f>
        <v>500</v>
      </c>
      <c r="S1304" s="2" t="n">
        <f aca="false">Settings!$B$4*MAX(INDEX(Bases!$M$2:$M$53,B1304),INDEX(Bases!$M$2:$M$53,C1304))+Settings!$B$5*MIN(INDEX(Bases!$M$2:$M$53,B1304),INDEX(Bases!$M$2:$M$53,C1304))</f>
        <v>52.3333333333333</v>
      </c>
      <c r="T1304" s="2" t="n">
        <f aca="false">Settings!$B$4*MAX(INDEX(Bases!$N$2:$N$53,B1304),INDEX(Bases!$N$2:$N$53,C1304))+Settings!$B$5*MIN(INDEX(Bases!$N$2:$N$53,B1304),INDEX(Bases!$N$2:$N$53,C1304))</f>
        <v>83</v>
      </c>
      <c r="U1304" s="2" t="n">
        <f aca="false">Settings!$B$4*MAX(INDEX(Bases!$O$2:$O$53,B1304),INDEX(Bases!$O$2:$O$53,C1304))+Settings!$B$5*MIN(INDEX(Bases!$O$2:$O$53,B1304),INDEX(Bases!$O$2:$O$53,C1304))</f>
        <v>88.3333333333333</v>
      </c>
      <c r="V1304" s="2" t="n">
        <f aca="false">Settings!$B$4*MAX(INDEX(Bases!$P$2:$P$53,B1304),INDEX(Bases!$P$2:$P$53,C1304))+Settings!$B$5*MIN(INDEX(Bases!$P$2:$P$53,B1304),INDEX(Bases!$P$2:$P$53,C1304))</f>
        <v>42.3333333333333</v>
      </c>
      <c r="W1304" s="2" t="n">
        <f aca="false">Settings!$B$4*MAX(INDEX(Bases!$Q$2:$Q$53,B1304),INDEX(Bases!$Q$2:$Q$53,C1304))+Settings!$B$5*MIN(INDEX(Bases!$Q$2:$Q$53,B1304),INDEX(Bases!$Q$2:$Q$53,C1304))</f>
        <v>76.6666666666667</v>
      </c>
      <c r="X1304" s="2" t="n">
        <f aca="false">Settings!$B$4*MAX(INDEX(Bases!$R$2:$R$53,B1304),INDEX(Bases!$R$2:$R$53,C1304))+Settings!$B$5*MIN(INDEX(Bases!$R$2:$R$53,B1304),INDEX(Bases!$R$2:$R$53,C1304))</f>
        <v>84.6666666666667</v>
      </c>
      <c r="Y1304" s="2" t="n">
        <f aca="false">S1304*Settings!$B$3/SUM(S1304:X1304)</f>
        <v>61.2324492979719</v>
      </c>
      <c r="Z1304" s="2" t="n">
        <f aca="false">T1304*Settings!$B$3/SUM(S1304:X1304)</f>
        <v>97.1138845553822</v>
      </c>
      <c r="AA1304" s="2" t="n">
        <f aca="false">U1304*Settings!$B$3/SUM(S1304:X1304)</f>
        <v>103.354134165367</v>
      </c>
      <c r="AB1304" s="2" t="n">
        <f aca="false">V1304*Settings!$B$3/SUM(S1304:X1304)</f>
        <v>49.5319812792512</v>
      </c>
      <c r="AC1304" s="2" t="n">
        <f aca="false">W1304*Settings!$B$3/SUM(S1304:X1304)</f>
        <v>89.7035881435258</v>
      </c>
      <c r="AD1304" s="2" t="n">
        <f aca="false">X1304*Settings!$B$3/SUM(S1304:X1304)</f>
        <v>99.0639625585023</v>
      </c>
      <c r="AE1304" s="2" t="n">
        <f aca="false">INT(Y1304)</f>
        <v>61</v>
      </c>
      <c r="AF1304" s="2" t="n">
        <f aca="false">INT(Z1304)</f>
        <v>97</v>
      </c>
      <c r="AG1304" s="2" t="n">
        <f aca="false">INT(AA1304)</f>
        <v>103</v>
      </c>
      <c r="AH1304" s="2" t="n">
        <f aca="false">INT(AB1304)</f>
        <v>49</v>
      </c>
      <c r="AI1304" s="2" t="n">
        <f aca="false">INT(AC1304)</f>
        <v>89</v>
      </c>
      <c r="AJ1304" s="2" t="n">
        <f aca="false">INT(AD1304)</f>
        <v>99</v>
      </c>
      <c r="AK1304" s="2" t="n">
        <f aca="false">Settings!$B$3-SUM(AE1304:AJ1304)</f>
        <v>2</v>
      </c>
      <c r="AL1304" s="2" t="n">
        <f aca="false">ROUND(Y1304-AE1304,9)</f>
        <v>0.232449298</v>
      </c>
      <c r="AM1304" s="2" t="n">
        <f aca="false">ROUND(Z1304-AF1304,9)</f>
        <v>0.113884555</v>
      </c>
      <c r="AN1304" s="2" t="n">
        <f aca="false">ROUND(AA1304-AG1304,9)</f>
        <v>0.354134165</v>
      </c>
      <c r="AO1304" s="2" t="n">
        <f aca="false">ROUND(AB1304-AH1304,9)</f>
        <v>0.531981279</v>
      </c>
      <c r="AP1304" s="2" t="n">
        <f aca="false">ROUND(AC1304-AI1304,9)</f>
        <v>0.703588144</v>
      </c>
      <c r="AQ1304" s="2" t="n">
        <f aca="false">ROUND(AD1304-AJ1304,9)</f>
        <v>0.063962559</v>
      </c>
    </row>
    <row r="1305" customFormat="false" ht="15" hidden="false" customHeight="false" outlineLevel="0" collapsed="false">
      <c r="A1305" s="2" t="n">
        <v>1304</v>
      </c>
      <c r="B1305" s="6" t="n">
        <v>45</v>
      </c>
      <c r="C1305" s="6" t="n">
        <v>51</v>
      </c>
      <c r="D1305" s="8" t="str">
        <f aca="false">INDEX(Bases!$B$2:$B$53,B1305)</f>
        <v>Sneasel</v>
      </c>
      <c r="E1305" s="8" t="str">
        <f aca="false">INDEX(Bases!$B$2:$B$53,C1305)</f>
        <v>Cleffa</v>
      </c>
      <c r="F1305" s="2" t="str">
        <f aca="false">LEFT(D1305,ROUNDUP(LEN(D1305)/2,0))&amp;LOWER(MID(E1305,ROUNDUP(LEN(E1305)/2,0)+1,20))</f>
        <v>Sneaffa</v>
      </c>
      <c r="G1305" s="8" t="str">
        <f aca="false">INDEX(Bases!$C$2:$C$53,B1305)</f>
        <v>Dark</v>
      </c>
      <c r="H1305" s="8" t="str">
        <f aca="false">IF(INDEX(Bases!$C$2:$C$53,C1305)=G1305,"",INDEX(Bases!$C$2:$C$53,C1305))</f>
        <v>Fairy</v>
      </c>
      <c r="I1305" s="8" t="str">
        <f aca="false">IF(INDEX(Bases!$E$2:$E$53,B1305)="","",INDEX(Bases!$E$2:$E$53,B1305))</f>
        <v/>
      </c>
      <c r="J1305" s="8" t="str">
        <f aca="false">IF(INDEX(Bases!$E$2:$E$53,C1305)="","",INDEX(Bases!$E$2:$E$53,C1305))</f>
        <v/>
      </c>
      <c r="K1305" s="5"/>
      <c r="L1305" s="2" t="n">
        <f aca="false">AE1305+IF(SUMPRODUCT(--($AL1305:$AQ1305&gt;AL1305))&lt;$AK1305,1,0)</f>
        <v>89</v>
      </c>
      <c r="M1305" s="2" t="n">
        <f aca="false">AF1305+IF(SUMPRODUCT(--($AL1305:$AQ1305&gt;AM1305))+SUMPRODUCT(--($AL1305:AL1305=AM1305))&lt;$AK1305,1,0)</f>
        <v>84</v>
      </c>
      <c r="N1305" s="2" t="n">
        <f aca="false">AG1305+IF(SUMPRODUCT(--($AL1305:$AQ1305&gt;AN1305))+SUMPRODUCT(--($AL1305:AM1305=AN1305))&lt;$AK1305,1,0)</f>
        <v>58</v>
      </c>
      <c r="O1305" s="2" t="n">
        <f aca="false">AH1305+IF(SUMPRODUCT(--($AL1305:$AQ1305&gt;AO1305))+SUMPRODUCT(--($AL1305:AN1305=AO1305))&lt;$AK1305,1,0)</f>
        <v>75</v>
      </c>
      <c r="P1305" s="2" t="n">
        <f aca="false">AI1305+IF(SUMPRODUCT(--($AL1305:$AQ1305&gt;AP1305))+SUMPRODUCT(--($AL1305:AO1305=AP1305))&lt;$AK1305,1,0)</f>
        <v>103</v>
      </c>
      <c r="Q1305" s="2" t="n">
        <f aca="false">AJ1305+IF(SUMPRODUCT(--($AL1305:$AQ1305&gt;AQ1305))+SUMPRODUCT(--($AL1305:AP1305=AQ1305))&lt;$AK1305,1,0)</f>
        <v>91</v>
      </c>
      <c r="R1305" s="2" t="n">
        <f aca="false">SUM(L1305:Q1305)</f>
        <v>500</v>
      </c>
      <c r="S1305" s="2" t="n">
        <f aca="false">Settings!$B$4*MAX(INDEX(Bases!$M$2:$M$53,B1305),INDEX(Bases!$M$2:$M$53,C1305))+Settings!$B$5*MIN(INDEX(Bases!$M$2:$M$53,B1305),INDEX(Bases!$M$2:$M$53,C1305))</f>
        <v>78.3333333333333</v>
      </c>
      <c r="T1305" s="2" t="n">
        <f aca="false">Settings!$B$4*MAX(INDEX(Bases!$N$2:$N$53,B1305),INDEX(Bases!$N$2:$N$53,C1305))+Settings!$B$5*MIN(INDEX(Bases!$N$2:$N$53,B1305),INDEX(Bases!$N$2:$N$53,C1305))</f>
        <v>74</v>
      </c>
      <c r="U1305" s="2" t="n">
        <f aca="false">Settings!$B$4*MAX(INDEX(Bases!$O$2:$O$53,B1305),INDEX(Bases!$O$2:$O$53,C1305))+Settings!$B$5*MIN(INDEX(Bases!$O$2:$O$53,B1305),INDEX(Bases!$O$2:$O$53,C1305))</f>
        <v>51</v>
      </c>
      <c r="V1305" s="2" t="n">
        <f aca="false">Settings!$B$4*MAX(INDEX(Bases!$P$2:$P$53,B1305),INDEX(Bases!$P$2:$P$53,C1305))+Settings!$B$5*MIN(INDEX(Bases!$P$2:$P$53,B1305),INDEX(Bases!$P$2:$P$53,C1305))</f>
        <v>66.3333333333333</v>
      </c>
      <c r="W1305" s="2" t="n">
        <f aca="false">Settings!$B$4*MAX(INDEX(Bases!$Q$2:$Q$53,B1305),INDEX(Bases!$Q$2:$Q$53,C1305))+Settings!$B$5*MIN(INDEX(Bases!$Q$2:$Q$53,B1305),INDEX(Bases!$Q$2:$Q$53,C1305))</f>
        <v>90.6666666666667</v>
      </c>
      <c r="X1305" s="2" t="n">
        <f aca="false">Settings!$B$4*MAX(INDEX(Bases!$R$2:$R$53,B1305),INDEX(Bases!$R$2:$R$53,C1305))+Settings!$B$5*MIN(INDEX(Bases!$R$2:$R$53,B1305),INDEX(Bases!$R$2:$R$53,C1305))</f>
        <v>80.3333333333333</v>
      </c>
      <c r="Y1305" s="2" t="n">
        <f aca="false">S1305*Settings!$B$3/SUM(S1305:X1305)</f>
        <v>88.8804841149773</v>
      </c>
      <c r="Z1305" s="2" t="n">
        <f aca="false">T1305*Settings!$B$3/SUM(S1305:X1305)</f>
        <v>83.963691376702</v>
      </c>
      <c r="AA1305" s="2" t="n">
        <f aca="false">U1305*Settings!$B$3/SUM(S1305:X1305)</f>
        <v>57.8668683812406</v>
      </c>
      <c r="AB1305" s="2" t="n">
        <f aca="false">V1305*Settings!$B$3/SUM(S1305:X1305)</f>
        <v>75.2647503782148</v>
      </c>
      <c r="AC1305" s="2" t="n">
        <f aca="false">W1305*Settings!$B$3/SUM(S1305:X1305)</f>
        <v>102.874432677761</v>
      </c>
      <c r="AD1305" s="2" t="n">
        <f aca="false">X1305*Settings!$B$3/SUM(S1305:X1305)</f>
        <v>91.1497730711044</v>
      </c>
      <c r="AE1305" s="2" t="n">
        <f aca="false">INT(Y1305)</f>
        <v>88</v>
      </c>
      <c r="AF1305" s="2" t="n">
        <f aca="false">INT(Z1305)</f>
        <v>83</v>
      </c>
      <c r="AG1305" s="2" t="n">
        <f aca="false">INT(AA1305)</f>
        <v>57</v>
      </c>
      <c r="AH1305" s="2" t="n">
        <f aca="false">INT(AB1305)</f>
        <v>75</v>
      </c>
      <c r="AI1305" s="2" t="n">
        <f aca="false">INT(AC1305)</f>
        <v>102</v>
      </c>
      <c r="AJ1305" s="2" t="n">
        <f aca="false">INT(AD1305)</f>
        <v>91</v>
      </c>
      <c r="AK1305" s="2" t="n">
        <f aca="false">Settings!$B$3-SUM(AE1305:AJ1305)</f>
        <v>4</v>
      </c>
      <c r="AL1305" s="2" t="n">
        <f aca="false">ROUND(Y1305-AE1305,9)</f>
        <v>0.880484115</v>
      </c>
      <c r="AM1305" s="2" t="n">
        <f aca="false">ROUND(Z1305-AF1305,9)</f>
        <v>0.963691377</v>
      </c>
      <c r="AN1305" s="2" t="n">
        <f aca="false">ROUND(AA1305-AG1305,9)</f>
        <v>0.866868381</v>
      </c>
      <c r="AO1305" s="2" t="n">
        <f aca="false">ROUND(AB1305-AH1305,9)</f>
        <v>0.264750378</v>
      </c>
      <c r="AP1305" s="2" t="n">
        <f aca="false">ROUND(AC1305-AI1305,9)</f>
        <v>0.874432678</v>
      </c>
      <c r="AQ1305" s="2" t="n">
        <f aca="false">ROUND(AD1305-AJ1305,9)</f>
        <v>0.149773071</v>
      </c>
    </row>
    <row r="1306" customFormat="false" ht="15" hidden="false" customHeight="false" outlineLevel="0" collapsed="false">
      <c r="A1306" s="2" t="n">
        <v>1305</v>
      </c>
      <c r="B1306" s="6" t="n">
        <v>45</v>
      </c>
      <c r="C1306" s="6" t="n">
        <v>52</v>
      </c>
      <c r="D1306" s="8" t="str">
        <f aca="false">INDEX(Bases!$B$2:$B$53,B1306)</f>
        <v>Sneasel</v>
      </c>
      <c r="E1306" s="8" t="str">
        <f aca="false">INDEX(Bases!$B$2:$B$53,C1306)</f>
        <v>Togepi</v>
      </c>
      <c r="F1306" s="2" t="str">
        <f aca="false">LEFT(D1306,ROUNDUP(LEN(D1306)/2,0))&amp;LOWER(MID(E1306,ROUNDUP(LEN(E1306)/2,0)+1,20))</f>
        <v>Sneaepi</v>
      </c>
      <c r="G1306" s="8" t="str">
        <f aca="false">INDEX(Bases!$C$2:$C$53,B1306)</f>
        <v>Dark</v>
      </c>
      <c r="H1306" s="8" t="str">
        <f aca="false">IF(INDEX(Bases!$C$2:$C$53,C1306)=G1306,"",INDEX(Bases!$C$2:$C$53,C1306))</f>
        <v>Fairy</v>
      </c>
      <c r="I1306" s="8" t="str">
        <f aca="false">IF(INDEX(Bases!$E$2:$E$53,B1306)="","",INDEX(Bases!$E$2:$E$53,B1306))</f>
        <v/>
      </c>
      <c r="J1306" s="8" t="str">
        <f aca="false">IF(INDEX(Bases!$E$2:$E$53,C1306)="","",INDEX(Bases!$E$2:$E$53,C1306))</f>
        <v/>
      </c>
      <c r="K1306" s="5"/>
      <c r="L1306" s="2" t="n">
        <f aca="false">AE1306+IF(SUMPRODUCT(--($AL1306:$AQ1306&gt;AL1306))&lt;$AK1306,1,0)</f>
        <v>62</v>
      </c>
      <c r="M1306" s="2" t="n">
        <f aca="false">AF1306+IF(SUMPRODUCT(--($AL1306:$AQ1306&gt;AM1306))+SUMPRODUCT(--($AL1306:AL1306=AM1306))&lt;$AK1306,1,0)</f>
        <v>79</v>
      </c>
      <c r="N1306" s="2" t="n">
        <f aca="false">AG1306+IF(SUMPRODUCT(--($AL1306:$AQ1306&gt;AN1306))+SUMPRODUCT(--($AL1306:AM1306=AN1306))&lt;$AK1306,1,0)</f>
        <v>99</v>
      </c>
      <c r="O1306" s="2" t="n">
        <f aca="false">AH1306+IF(SUMPRODUCT(--($AL1306:$AQ1306&gt;AO1306))+SUMPRODUCT(--($AL1306:AN1306=AO1306))&lt;$AK1306,1,0)</f>
        <v>61</v>
      </c>
      <c r="P1306" s="2" t="n">
        <f aca="false">AI1306+IF(SUMPRODUCT(--($AL1306:$AQ1306&gt;AP1306))+SUMPRODUCT(--($AL1306:AO1306=AP1306))&lt;$AK1306,1,0)</f>
        <v>106</v>
      </c>
      <c r="Q1306" s="2" t="n">
        <f aca="false">AJ1306+IF(SUMPRODUCT(--($AL1306:$AQ1306&gt;AQ1306))+SUMPRODUCT(--($AL1306:AP1306=AQ1306))&lt;$AK1306,1,0)</f>
        <v>93</v>
      </c>
      <c r="R1306" s="2" t="n">
        <f aca="false">SUM(L1306:Q1306)</f>
        <v>500</v>
      </c>
      <c r="S1306" s="2" t="n">
        <f aca="false">Settings!$B$4*MAX(INDEX(Bases!$M$2:$M$53,B1306),INDEX(Bases!$M$2:$M$53,C1306))+Settings!$B$5*MIN(INDEX(Bases!$M$2:$M$53,B1306),INDEX(Bases!$M$2:$M$53,C1306))</f>
        <v>55</v>
      </c>
      <c r="T1306" s="2" t="n">
        <f aca="false">Settings!$B$4*MAX(INDEX(Bases!$N$2:$N$53,B1306),INDEX(Bases!$N$2:$N$53,C1306))+Settings!$B$5*MIN(INDEX(Bases!$N$2:$N$53,B1306),INDEX(Bases!$N$2:$N$53,C1306))</f>
        <v>69.6666666666667</v>
      </c>
      <c r="U1306" s="2" t="n">
        <f aca="false">Settings!$B$4*MAX(INDEX(Bases!$O$2:$O$53,B1306),INDEX(Bases!$O$2:$O$53,C1306))+Settings!$B$5*MIN(INDEX(Bases!$O$2:$O$53,B1306),INDEX(Bases!$O$2:$O$53,C1306))</f>
        <v>87.6666666666667</v>
      </c>
      <c r="V1306" s="2" t="n">
        <f aca="false">Settings!$B$4*MAX(INDEX(Bases!$P$2:$P$53,B1306),INDEX(Bases!$P$2:$P$53,C1306))+Settings!$B$5*MIN(INDEX(Bases!$P$2:$P$53,B1306),INDEX(Bases!$P$2:$P$53,C1306))</f>
        <v>54.3333333333333</v>
      </c>
      <c r="W1306" s="2" t="n">
        <f aca="false">Settings!$B$4*MAX(INDEX(Bases!$Q$2:$Q$53,B1306),INDEX(Bases!$Q$2:$Q$53,C1306))+Settings!$B$5*MIN(INDEX(Bases!$Q$2:$Q$53,B1306),INDEX(Bases!$Q$2:$Q$53,C1306))</f>
        <v>94</v>
      </c>
      <c r="X1306" s="2" t="n">
        <f aca="false">Settings!$B$4*MAX(INDEX(Bases!$R$2:$R$53,B1306),INDEX(Bases!$R$2:$R$53,C1306))+Settings!$B$5*MIN(INDEX(Bases!$R$2:$R$53,B1306),INDEX(Bases!$R$2:$R$53,C1306))</f>
        <v>82.3333333333333</v>
      </c>
      <c r="Y1306" s="2" t="n">
        <f aca="false">S1306*Settings!$B$3/SUM(S1306:X1306)</f>
        <v>62.0767494356659</v>
      </c>
      <c r="Z1306" s="2" t="n">
        <f aca="false">T1306*Settings!$B$3/SUM(S1306:X1306)</f>
        <v>78.6305492851768</v>
      </c>
      <c r="AA1306" s="2" t="n">
        <f aca="false">U1306*Settings!$B$3/SUM(S1306:X1306)</f>
        <v>98.946576373213</v>
      </c>
      <c r="AB1306" s="2" t="n">
        <f aca="false">V1306*Settings!$B$3/SUM(S1306:X1306)</f>
        <v>61.3243039879609</v>
      </c>
      <c r="AC1306" s="2" t="n">
        <f aca="false">W1306*Settings!$B$3/SUM(S1306:X1306)</f>
        <v>106.094808126411</v>
      </c>
      <c r="AD1306" s="2" t="n">
        <f aca="false">X1306*Settings!$B$3/SUM(S1306:X1306)</f>
        <v>92.9270127915726</v>
      </c>
      <c r="AE1306" s="2" t="n">
        <f aca="false">INT(Y1306)</f>
        <v>62</v>
      </c>
      <c r="AF1306" s="2" t="n">
        <f aca="false">INT(Z1306)</f>
        <v>78</v>
      </c>
      <c r="AG1306" s="2" t="n">
        <f aca="false">INT(AA1306)</f>
        <v>98</v>
      </c>
      <c r="AH1306" s="2" t="n">
        <f aca="false">INT(AB1306)</f>
        <v>61</v>
      </c>
      <c r="AI1306" s="2" t="n">
        <f aca="false">INT(AC1306)</f>
        <v>106</v>
      </c>
      <c r="AJ1306" s="2" t="n">
        <f aca="false">INT(AD1306)</f>
        <v>92</v>
      </c>
      <c r="AK1306" s="2" t="n">
        <f aca="false">Settings!$B$3-SUM(AE1306:AJ1306)</f>
        <v>3</v>
      </c>
      <c r="AL1306" s="2" t="n">
        <f aca="false">ROUND(Y1306-AE1306,9)</f>
        <v>0.076749436</v>
      </c>
      <c r="AM1306" s="2" t="n">
        <f aca="false">ROUND(Z1306-AF1306,9)</f>
        <v>0.630549285</v>
      </c>
      <c r="AN1306" s="2" t="n">
        <f aca="false">ROUND(AA1306-AG1306,9)</f>
        <v>0.946576373</v>
      </c>
      <c r="AO1306" s="2" t="n">
        <f aca="false">ROUND(AB1306-AH1306,9)</f>
        <v>0.324303988</v>
      </c>
      <c r="AP1306" s="2" t="n">
        <f aca="false">ROUND(AC1306-AI1306,9)</f>
        <v>0.094808126</v>
      </c>
      <c r="AQ1306" s="2" t="n">
        <f aca="false">ROUND(AD1306-AJ1306,9)</f>
        <v>0.927012792</v>
      </c>
    </row>
    <row r="1307" customFormat="false" ht="15" hidden="false" customHeight="false" outlineLevel="0" collapsed="false">
      <c r="A1307" s="2" t="n">
        <v>1306</v>
      </c>
      <c r="B1307" s="6" t="n">
        <v>46</v>
      </c>
      <c r="C1307" s="6" t="n">
        <v>47</v>
      </c>
      <c r="D1307" s="8" t="str">
        <f aca="false">INDEX(Bases!$B$2:$B$53,B1307)</f>
        <v>Houndour</v>
      </c>
      <c r="E1307" s="8" t="str">
        <f aca="false">INDEX(Bases!$B$2:$B$53,C1307)</f>
        <v>Carvanha</v>
      </c>
      <c r="F1307" s="2" t="str">
        <f aca="false">LEFT(D1307,ROUNDUP(LEN(D1307)/2,0))&amp;LOWER(MID(E1307,ROUNDUP(LEN(E1307)/2,0)+1,20))</f>
        <v>Hounanha</v>
      </c>
      <c r="G1307" s="8" t="str">
        <f aca="false">INDEX(Bases!$C$2:$C$53,B1307)</f>
        <v>Dark</v>
      </c>
      <c r="H1307" s="8" t="str">
        <f aca="false">IF(INDEX(Bases!$C$2:$C$53,C1307)=G1307,"",INDEX(Bases!$C$2:$C$53,C1307))</f>
        <v/>
      </c>
      <c r="I1307" s="8" t="str">
        <f aca="false">IF(INDEX(Bases!$E$2:$E$53,B1307)="","",INDEX(Bases!$E$2:$E$53,B1307))</f>
        <v/>
      </c>
      <c r="J1307" s="8" t="str">
        <f aca="false">IF(INDEX(Bases!$E$2:$E$53,C1307)="","",INDEX(Bases!$E$2:$E$53,C1307))</f>
        <v/>
      </c>
      <c r="K1307" s="5"/>
      <c r="L1307" s="2" t="n">
        <f aca="false">AE1307+IF(SUMPRODUCT(--($AL1307:$AQ1307&gt;AL1307))&lt;$AK1307,1,0)</f>
        <v>69</v>
      </c>
      <c r="M1307" s="2" t="n">
        <f aca="false">AF1307+IF(SUMPRODUCT(--($AL1307:$AQ1307&gt;AM1307))+SUMPRODUCT(--($AL1307:AL1307=AM1307))&lt;$AK1307,1,0)</f>
        <v>123</v>
      </c>
      <c r="N1307" s="2" t="n">
        <f aca="false">AG1307+IF(SUMPRODUCT(--($AL1307:$AQ1307&gt;AN1307))+SUMPRODUCT(--($AL1307:AM1307=AN1307))&lt;$AK1307,1,0)</f>
        <v>39</v>
      </c>
      <c r="O1307" s="2" t="n">
        <f aca="false">AH1307+IF(SUMPRODUCT(--($AL1307:$AQ1307&gt;AO1307))+SUMPRODUCT(--($AL1307:AN1307=AO1307))&lt;$AK1307,1,0)</f>
        <v>111</v>
      </c>
      <c r="P1307" s="2" t="n">
        <f aca="false">AI1307+IF(SUMPRODUCT(--($AL1307:$AQ1307&gt;AP1307))+SUMPRODUCT(--($AL1307:AO1307=AP1307))&lt;$AK1307,1,0)</f>
        <v>59</v>
      </c>
      <c r="Q1307" s="2" t="n">
        <f aca="false">AJ1307+IF(SUMPRODUCT(--($AL1307:$AQ1307&gt;AQ1307))+SUMPRODUCT(--($AL1307:AP1307=AQ1307))&lt;$AK1307,1,0)</f>
        <v>99</v>
      </c>
      <c r="R1307" s="2" t="n">
        <f aca="false">SUM(L1307:Q1307)</f>
        <v>500</v>
      </c>
      <c r="S1307" s="2" t="n">
        <f aca="false">Settings!$B$4*MAX(INDEX(Bases!$M$2:$M$53,B1307),INDEX(Bases!$M$2:$M$53,C1307))+Settings!$B$5*MIN(INDEX(Bases!$M$2:$M$53,B1307),INDEX(Bases!$M$2:$M$53,C1307))</f>
        <v>57.3333333333333</v>
      </c>
      <c r="T1307" s="2" t="n">
        <f aca="false">Settings!$B$4*MAX(INDEX(Bases!$N$2:$N$53,B1307),INDEX(Bases!$N$2:$N$53,C1307))+Settings!$B$5*MIN(INDEX(Bases!$N$2:$N$53,B1307),INDEX(Bases!$N$2:$N$53,C1307))</f>
        <v>103</v>
      </c>
      <c r="U1307" s="2" t="n">
        <f aca="false">Settings!$B$4*MAX(INDEX(Bases!$O$2:$O$53,B1307),INDEX(Bases!$O$2:$O$53,C1307))+Settings!$B$5*MIN(INDEX(Bases!$O$2:$O$53,B1307),INDEX(Bases!$O$2:$O$53,C1307))</f>
        <v>32.6666666666667</v>
      </c>
      <c r="V1307" s="2" t="n">
        <f aca="false">Settings!$B$4*MAX(INDEX(Bases!$P$2:$P$53,B1307),INDEX(Bases!$P$2:$P$53,C1307))+Settings!$B$5*MIN(INDEX(Bases!$P$2:$P$53,B1307),INDEX(Bases!$P$2:$P$53,C1307))</f>
        <v>93.3333333333333</v>
      </c>
      <c r="W1307" s="2" t="n">
        <f aca="false">Settings!$B$4*MAX(INDEX(Bases!$Q$2:$Q$53,B1307),INDEX(Bases!$Q$2:$Q$53,C1307))+Settings!$B$5*MIN(INDEX(Bases!$Q$2:$Q$53,B1307),INDEX(Bases!$Q$2:$Q$53,C1307))</f>
        <v>49.3333333333333</v>
      </c>
      <c r="X1307" s="2" t="n">
        <f aca="false">Settings!$B$4*MAX(INDEX(Bases!$R$2:$R$53,B1307),INDEX(Bases!$R$2:$R$53,C1307))+Settings!$B$5*MIN(INDEX(Bases!$R$2:$R$53,B1307),INDEX(Bases!$R$2:$R$53,C1307))</f>
        <v>83</v>
      </c>
      <c r="Y1307" s="2" t="n">
        <f aca="false">S1307*Settings!$B$3/SUM(S1307:X1307)</f>
        <v>68.4713375796178</v>
      </c>
      <c r="Z1307" s="2" t="n">
        <f aca="false">T1307*Settings!$B$3/SUM(S1307:X1307)</f>
        <v>123.009554140127</v>
      </c>
      <c r="AA1307" s="2" t="n">
        <f aca="false">U1307*Settings!$B$3/SUM(S1307:X1307)</f>
        <v>39.0127388535032</v>
      </c>
      <c r="AB1307" s="2" t="n">
        <f aca="false">V1307*Settings!$B$3/SUM(S1307:X1307)</f>
        <v>111.464968152866</v>
      </c>
      <c r="AC1307" s="2" t="n">
        <f aca="false">W1307*Settings!$B$3/SUM(S1307:X1307)</f>
        <v>58.9171974522293</v>
      </c>
      <c r="AD1307" s="2" t="n">
        <f aca="false">X1307*Settings!$B$3/SUM(S1307:X1307)</f>
        <v>99.1242038216561</v>
      </c>
      <c r="AE1307" s="2" t="n">
        <f aca="false">INT(Y1307)</f>
        <v>68</v>
      </c>
      <c r="AF1307" s="2" t="n">
        <f aca="false">INT(Z1307)</f>
        <v>123</v>
      </c>
      <c r="AG1307" s="2" t="n">
        <f aca="false">INT(AA1307)</f>
        <v>39</v>
      </c>
      <c r="AH1307" s="2" t="n">
        <f aca="false">INT(AB1307)</f>
        <v>111</v>
      </c>
      <c r="AI1307" s="2" t="n">
        <f aca="false">INT(AC1307)</f>
        <v>58</v>
      </c>
      <c r="AJ1307" s="2" t="n">
        <f aca="false">INT(AD1307)</f>
        <v>99</v>
      </c>
      <c r="AK1307" s="2" t="n">
        <f aca="false">Settings!$B$3-SUM(AE1307:AJ1307)</f>
        <v>2</v>
      </c>
      <c r="AL1307" s="2" t="n">
        <f aca="false">ROUND(Y1307-AE1307,9)</f>
        <v>0.47133758</v>
      </c>
      <c r="AM1307" s="2" t="n">
        <f aca="false">ROUND(Z1307-AF1307,9)</f>
        <v>0.00955414</v>
      </c>
      <c r="AN1307" s="2" t="n">
        <f aca="false">ROUND(AA1307-AG1307,9)</f>
        <v>0.012738854</v>
      </c>
      <c r="AO1307" s="2" t="n">
        <f aca="false">ROUND(AB1307-AH1307,9)</f>
        <v>0.464968153</v>
      </c>
      <c r="AP1307" s="2" t="n">
        <f aca="false">ROUND(AC1307-AI1307,9)</f>
        <v>0.917197452</v>
      </c>
      <c r="AQ1307" s="2" t="n">
        <f aca="false">ROUND(AD1307-AJ1307,9)</f>
        <v>0.124203822</v>
      </c>
    </row>
    <row r="1308" customFormat="false" ht="15" hidden="false" customHeight="false" outlineLevel="0" collapsed="false">
      <c r="A1308" s="2" t="n">
        <v>1307</v>
      </c>
      <c r="B1308" s="6" t="n">
        <v>46</v>
      </c>
      <c r="C1308" s="6" t="n">
        <v>48</v>
      </c>
      <c r="D1308" s="8" t="str">
        <f aca="false">INDEX(Bases!$B$2:$B$53,B1308)</f>
        <v>Houndour</v>
      </c>
      <c r="E1308" s="8" t="str">
        <f aca="false">INDEX(Bases!$B$2:$B$53,C1308)</f>
        <v>Magnemite</v>
      </c>
      <c r="F1308" s="2" t="str">
        <f aca="false">LEFT(D1308,ROUNDUP(LEN(D1308)/2,0))&amp;LOWER(MID(E1308,ROUNDUP(LEN(E1308)/2,0)+1,20))</f>
        <v>Hounmite</v>
      </c>
      <c r="G1308" s="8" t="str">
        <f aca="false">INDEX(Bases!$C$2:$C$53,B1308)</f>
        <v>Dark</v>
      </c>
      <c r="H1308" s="8" t="str">
        <f aca="false">IF(INDEX(Bases!$C$2:$C$53,C1308)=G1308,"",INDEX(Bases!$C$2:$C$53,C1308))</f>
        <v>Steel</v>
      </c>
      <c r="I1308" s="8" t="str">
        <f aca="false">IF(INDEX(Bases!$E$2:$E$53,B1308)="","",INDEX(Bases!$E$2:$E$53,B1308))</f>
        <v/>
      </c>
      <c r="J1308" s="8" t="str">
        <f aca="false">IF(INDEX(Bases!$E$2:$E$53,C1308)="","",INDEX(Bases!$E$2:$E$53,C1308))</f>
        <v/>
      </c>
      <c r="K1308" s="5"/>
      <c r="L1308" s="2" t="n">
        <f aca="false">AE1308+IF(SUMPRODUCT(--($AL1308:$AQ1308&gt;AL1308))&lt;$AK1308,1,0)</f>
        <v>54</v>
      </c>
      <c r="M1308" s="2" t="n">
        <f aca="false">AF1308+IF(SUMPRODUCT(--($AL1308:$AQ1308&gt;AM1308))+SUMPRODUCT(--($AL1308:AL1308=AM1308))&lt;$AK1308,1,0)</f>
        <v>74</v>
      </c>
      <c r="N1308" s="2" t="n">
        <f aca="false">AG1308+IF(SUMPRODUCT(--($AL1308:$AQ1308&gt;AN1308))+SUMPRODUCT(--($AL1308:AM1308=AN1308))&lt;$AK1308,1,0)</f>
        <v>82</v>
      </c>
      <c r="O1308" s="2" t="n">
        <f aca="false">AH1308+IF(SUMPRODUCT(--($AL1308:$AQ1308&gt;AO1308))+SUMPRODUCT(--($AL1308:AN1308=AO1308))&lt;$AK1308,1,0)</f>
        <v>130</v>
      </c>
      <c r="P1308" s="2" t="n">
        <f aca="false">AI1308+IF(SUMPRODUCT(--($AL1308:$AQ1308&gt;AP1308))+SUMPRODUCT(--($AL1308:AO1308=AP1308))&lt;$AK1308,1,0)</f>
        <v>77</v>
      </c>
      <c r="Q1308" s="2" t="n">
        <f aca="false">AJ1308+IF(SUMPRODUCT(--($AL1308:$AQ1308&gt;AQ1308))+SUMPRODUCT(--($AL1308:AP1308=AQ1308))&lt;$AK1308,1,0)</f>
        <v>83</v>
      </c>
      <c r="R1308" s="2" t="n">
        <f aca="false">SUM(L1308:Q1308)</f>
        <v>500</v>
      </c>
      <c r="S1308" s="2" t="n">
        <f aca="false">Settings!$B$4*MAX(INDEX(Bases!$M$2:$M$53,B1308),INDEX(Bases!$M$2:$M$53,C1308))+Settings!$B$5*MIN(INDEX(Bases!$M$2:$M$53,B1308),INDEX(Bases!$M$2:$M$53,C1308))</f>
        <v>46.3333333333333</v>
      </c>
      <c r="T1308" s="2" t="n">
        <f aca="false">Settings!$B$4*MAX(INDEX(Bases!$N$2:$N$53,B1308),INDEX(Bases!$N$2:$N$53,C1308))+Settings!$B$5*MIN(INDEX(Bases!$N$2:$N$53,B1308),INDEX(Bases!$N$2:$N$53,C1308))</f>
        <v>63</v>
      </c>
      <c r="U1308" s="2" t="n">
        <f aca="false">Settings!$B$4*MAX(INDEX(Bases!$O$2:$O$53,B1308),INDEX(Bases!$O$2:$O$53,C1308))+Settings!$B$5*MIN(INDEX(Bases!$O$2:$O$53,B1308),INDEX(Bases!$O$2:$O$53,C1308))</f>
        <v>69.3333333333333</v>
      </c>
      <c r="V1308" s="2" t="n">
        <f aca="false">Settings!$B$4*MAX(INDEX(Bases!$P$2:$P$53,B1308),INDEX(Bases!$P$2:$P$53,C1308))+Settings!$B$5*MIN(INDEX(Bases!$P$2:$P$53,B1308),INDEX(Bases!$P$2:$P$53,C1308))</f>
        <v>110.333333333333</v>
      </c>
      <c r="W1308" s="2" t="n">
        <f aca="false">Settings!$B$4*MAX(INDEX(Bases!$Q$2:$Q$53,B1308),INDEX(Bases!$Q$2:$Q$53,C1308))+Settings!$B$5*MIN(INDEX(Bases!$Q$2:$Q$53,B1308),INDEX(Bases!$Q$2:$Q$53,C1308))</f>
        <v>65.6666666666667</v>
      </c>
      <c r="X1308" s="2" t="n">
        <f aca="false">Settings!$B$4*MAX(INDEX(Bases!$R$2:$R$53,B1308),INDEX(Bases!$R$2:$R$53,C1308))+Settings!$B$5*MIN(INDEX(Bases!$R$2:$R$53,B1308),INDEX(Bases!$R$2:$R$53,C1308))</f>
        <v>71</v>
      </c>
      <c r="Y1308" s="2" t="n">
        <f aca="false">S1308*Settings!$B$3/SUM(S1308:X1308)</f>
        <v>54.4244322631167</v>
      </c>
      <c r="Z1308" s="2" t="n">
        <f aca="false">T1308*Settings!$B$3/SUM(S1308:X1308)</f>
        <v>74.0015661707126</v>
      </c>
      <c r="AA1308" s="2" t="n">
        <f aca="false">U1308*Settings!$B$3/SUM(S1308:X1308)</f>
        <v>81.4408770555991</v>
      </c>
      <c r="AB1308" s="2" t="n">
        <f aca="false">V1308*Settings!$B$3/SUM(S1308:X1308)</f>
        <v>129.600626468285</v>
      </c>
      <c r="AC1308" s="2" t="n">
        <f aca="false">W1308*Settings!$B$3/SUM(S1308:X1308)</f>
        <v>77.1339075959279</v>
      </c>
      <c r="AD1308" s="2" t="n">
        <f aca="false">X1308*Settings!$B$3/SUM(S1308:X1308)</f>
        <v>83.3985904463587</v>
      </c>
      <c r="AE1308" s="2" t="n">
        <f aca="false">INT(Y1308)</f>
        <v>54</v>
      </c>
      <c r="AF1308" s="2" t="n">
        <f aca="false">INT(Z1308)</f>
        <v>74</v>
      </c>
      <c r="AG1308" s="2" t="n">
        <f aca="false">INT(AA1308)</f>
        <v>81</v>
      </c>
      <c r="AH1308" s="2" t="n">
        <f aca="false">INT(AB1308)</f>
        <v>129</v>
      </c>
      <c r="AI1308" s="2" t="n">
        <f aca="false">INT(AC1308)</f>
        <v>77</v>
      </c>
      <c r="AJ1308" s="2" t="n">
        <f aca="false">INT(AD1308)</f>
        <v>83</v>
      </c>
      <c r="AK1308" s="2" t="n">
        <f aca="false">Settings!$B$3-SUM(AE1308:AJ1308)</f>
        <v>2</v>
      </c>
      <c r="AL1308" s="2" t="n">
        <f aca="false">ROUND(Y1308-AE1308,9)</f>
        <v>0.424432263</v>
      </c>
      <c r="AM1308" s="2" t="n">
        <f aca="false">ROUND(Z1308-AF1308,9)</f>
        <v>0.001566171</v>
      </c>
      <c r="AN1308" s="2" t="n">
        <f aca="false">ROUND(AA1308-AG1308,9)</f>
        <v>0.440877056</v>
      </c>
      <c r="AO1308" s="2" t="n">
        <f aca="false">ROUND(AB1308-AH1308,9)</f>
        <v>0.600626468</v>
      </c>
      <c r="AP1308" s="2" t="n">
        <f aca="false">ROUND(AC1308-AI1308,9)</f>
        <v>0.133907596</v>
      </c>
      <c r="AQ1308" s="2" t="n">
        <f aca="false">ROUND(AD1308-AJ1308,9)</f>
        <v>0.398590446</v>
      </c>
    </row>
    <row r="1309" customFormat="false" ht="15" hidden="false" customHeight="false" outlineLevel="0" collapsed="false">
      <c r="A1309" s="2" t="n">
        <v>1308</v>
      </c>
      <c r="B1309" s="6" t="n">
        <v>46</v>
      </c>
      <c r="C1309" s="6" t="n">
        <v>49</v>
      </c>
      <c r="D1309" s="8" t="str">
        <f aca="false">INDEX(Bases!$B$2:$B$53,B1309)</f>
        <v>Houndour</v>
      </c>
      <c r="E1309" s="8" t="str">
        <f aca="false">INDEX(Bases!$B$2:$B$53,C1309)</f>
        <v>Aron</v>
      </c>
      <c r="F1309" s="2" t="str">
        <f aca="false">LEFT(D1309,ROUNDUP(LEN(D1309)/2,0))&amp;LOWER(MID(E1309,ROUNDUP(LEN(E1309)/2,0)+1,20))</f>
        <v>Hounon</v>
      </c>
      <c r="G1309" s="8" t="str">
        <f aca="false">INDEX(Bases!$C$2:$C$53,B1309)</f>
        <v>Dark</v>
      </c>
      <c r="H1309" s="8" t="str">
        <f aca="false">IF(INDEX(Bases!$C$2:$C$53,C1309)=G1309,"",INDEX(Bases!$C$2:$C$53,C1309))</f>
        <v>Steel</v>
      </c>
      <c r="I1309" s="8" t="str">
        <f aca="false">IF(INDEX(Bases!$E$2:$E$53,B1309)="","",INDEX(Bases!$E$2:$E$53,B1309))</f>
        <v/>
      </c>
      <c r="J1309" s="8" t="str">
        <f aca="false">IF(INDEX(Bases!$E$2:$E$53,C1309)="","",INDEX(Bases!$E$2:$E$53,C1309))</f>
        <v/>
      </c>
      <c r="K1309" s="5"/>
      <c r="L1309" s="2" t="n">
        <f aca="false">AE1309+IF(SUMPRODUCT(--($AL1309:$AQ1309&gt;AL1309))&lt;$AK1309,1,0)</f>
        <v>68</v>
      </c>
      <c r="M1309" s="2" t="n">
        <f aca="false">AF1309+IF(SUMPRODUCT(--($AL1309:$AQ1309&gt;AM1309))+SUMPRODUCT(--($AL1309:AL1309=AM1309))&lt;$AK1309,1,0)</f>
        <v>93</v>
      </c>
      <c r="N1309" s="2" t="n">
        <f aca="false">AG1309+IF(SUMPRODUCT(--($AL1309:$AQ1309&gt;AN1309))+SUMPRODUCT(--($AL1309:AM1309=AN1309))&lt;$AK1309,1,0)</f>
        <v>107</v>
      </c>
      <c r="O1309" s="2" t="n">
        <f aca="false">AH1309+IF(SUMPRODUCT(--($AL1309:$AQ1309&gt;AO1309))+SUMPRODUCT(--($AL1309:AN1309=AO1309))&lt;$AK1309,1,0)</f>
        <v>93</v>
      </c>
      <c r="P1309" s="2" t="n">
        <f aca="false">AI1309+IF(SUMPRODUCT(--($AL1309:$AQ1309&gt;AP1309))+SUMPRODUCT(--($AL1309:AO1309=AP1309))&lt;$AK1309,1,0)</f>
        <v>65</v>
      </c>
      <c r="Q1309" s="2" t="n">
        <f aca="false">AJ1309+IF(SUMPRODUCT(--($AL1309:$AQ1309&gt;AQ1309))+SUMPRODUCT(--($AL1309:AP1309=AQ1309))&lt;$AK1309,1,0)</f>
        <v>74</v>
      </c>
      <c r="R1309" s="2" t="n">
        <f aca="false">SUM(L1309:Q1309)</f>
        <v>500</v>
      </c>
      <c r="S1309" s="2" t="n">
        <f aca="false">Settings!$B$4*MAX(INDEX(Bases!$M$2:$M$53,B1309),INDEX(Bases!$M$2:$M$53,C1309))+Settings!$B$5*MIN(INDEX(Bases!$M$2:$M$53,B1309),INDEX(Bases!$M$2:$M$53,C1309))</f>
        <v>58.6666666666667</v>
      </c>
      <c r="T1309" s="2" t="n">
        <f aca="false">Settings!$B$4*MAX(INDEX(Bases!$N$2:$N$53,B1309),INDEX(Bases!$N$2:$N$53,C1309))+Settings!$B$5*MIN(INDEX(Bases!$N$2:$N$53,B1309),INDEX(Bases!$N$2:$N$53,C1309))</f>
        <v>81</v>
      </c>
      <c r="U1309" s="2" t="n">
        <f aca="false">Settings!$B$4*MAX(INDEX(Bases!$O$2:$O$53,B1309),INDEX(Bases!$O$2:$O$53,C1309))+Settings!$B$5*MIN(INDEX(Bases!$O$2:$O$53,B1309),INDEX(Bases!$O$2:$O$53,C1309))</f>
        <v>92.6666666666667</v>
      </c>
      <c r="V1309" s="2" t="n">
        <f aca="false">Settings!$B$4*MAX(INDEX(Bases!$P$2:$P$53,B1309),INDEX(Bases!$P$2:$P$53,C1309))+Settings!$B$5*MIN(INDEX(Bases!$P$2:$P$53,B1309),INDEX(Bases!$P$2:$P$53,C1309))</f>
        <v>81</v>
      </c>
      <c r="W1309" s="2" t="n">
        <f aca="false">Settings!$B$4*MAX(INDEX(Bases!$Q$2:$Q$53,B1309),INDEX(Bases!$Q$2:$Q$53,C1309))+Settings!$B$5*MIN(INDEX(Bases!$Q$2:$Q$53,B1309),INDEX(Bases!$Q$2:$Q$53,C1309))</f>
        <v>56.6666666666667</v>
      </c>
      <c r="X1309" s="2" t="n">
        <f aca="false">Settings!$B$4*MAX(INDEX(Bases!$R$2:$R$53,B1309),INDEX(Bases!$R$2:$R$53,C1309))+Settings!$B$5*MIN(INDEX(Bases!$R$2:$R$53,B1309),INDEX(Bases!$R$2:$R$53,C1309))</f>
        <v>64.6666666666667</v>
      </c>
      <c r="Y1309" s="2" t="n">
        <f aca="false">S1309*Settings!$B$3/SUM(S1309:X1309)</f>
        <v>67.4846625766871</v>
      </c>
      <c r="Z1309" s="2" t="n">
        <f aca="false">T1309*Settings!$B$3/SUM(S1309:X1309)</f>
        <v>93.1748466257669</v>
      </c>
      <c r="AA1309" s="2" t="n">
        <f aca="false">U1309*Settings!$B$3/SUM(S1309:X1309)</f>
        <v>106.59509202454</v>
      </c>
      <c r="AB1309" s="2" t="n">
        <f aca="false">V1309*Settings!$B$3/SUM(S1309:X1309)</f>
        <v>93.1748466257669</v>
      </c>
      <c r="AC1309" s="2" t="n">
        <f aca="false">W1309*Settings!$B$3/SUM(S1309:X1309)</f>
        <v>65.1840490797546</v>
      </c>
      <c r="AD1309" s="2" t="n">
        <f aca="false">X1309*Settings!$B$3/SUM(S1309:X1309)</f>
        <v>74.3865030674847</v>
      </c>
      <c r="AE1309" s="2" t="n">
        <f aca="false">INT(Y1309)</f>
        <v>67</v>
      </c>
      <c r="AF1309" s="2" t="n">
        <f aca="false">INT(Z1309)</f>
        <v>93</v>
      </c>
      <c r="AG1309" s="2" t="n">
        <f aca="false">INT(AA1309)</f>
        <v>106</v>
      </c>
      <c r="AH1309" s="2" t="n">
        <f aca="false">INT(AB1309)</f>
        <v>93</v>
      </c>
      <c r="AI1309" s="2" t="n">
        <f aca="false">INT(AC1309)</f>
        <v>65</v>
      </c>
      <c r="AJ1309" s="2" t="n">
        <f aca="false">INT(AD1309)</f>
        <v>74</v>
      </c>
      <c r="AK1309" s="2" t="n">
        <f aca="false">Settings!$B$3-SUM(AE1309:AJ1309)</f>
        <v>2</v>
      </c>
      <c r="AL1309" s="2" t="n">
        <f aca="false">ROUND(Y1309-AE1309,9)</f>
        <v>0.484662577</v>
      </c>
      <c r="AM1309" s="2" t="n">
        <f aca="false">ROUND(Z1309-AF1309,9)</f>
        <v>0.174846626</v>
      </c>
      <c r="AN1309" s="2" t="n">
        <f aca="false">ROUND(AA1309-AG1309,9)</f>
        <v>0.595092025</v>
      </c>
      <c r="AO1309" s="2" t="n">
        <f aca="false">ROUND(AB1309-AH1309,9)</f>
        <v>0.174846626</v>
      </c>
      <c r="AP1309" s="2" t="n">
        <f aca="false">ROUND(AC1309-AI1309,9)</f>
        <v>0.18404908</v>
      </c>
      <c r="AQ1309" s="2" t="n">
        <f aca="false">ROUND(AD1309-AJ1309,9)</f>
        <v>0.386503067</v>
      </c>
    </row>
    <row r="1310" customFormat="false" ht="15" hidden="false" customHeight="false" outlineLevel="0" collapsed="false">
      <c r="A1310" s="2" t="n">
        <v>1309</v>
      </c>
      <c r="B1310" s="6" t="n">
        <v>46</v>
      </c>
      <c r="C1310" s="6" t="n">
        <v>50</v>
      </c>
      <c r="D1310" s="8" t="str">
        <f aca="false">INDEX(Bases!$B$2:$B$53,B1310)</f>
        <v>Houndour</v>
      </c>
      <c r="E1310" s="8" t="str">
        <f aca="false">INDEX(Bases!$B$2:$B$53,C1310)</f>
        <v>Beldum</v>
      </c>
      <c r="F1310" s="2" t="str">
        <f aca="false">LEFT(D1310,ROUNDUP(LEN(D1310)/2,0))&amp;LOWER(MID(E1310,ROUNDUP(LEN(E1310)/2,0)+1,20))</f>
        <v>Houndum</v>
      </c>
      <c r="G1310" s="8" t="str">
        <f aca="false">INDEX(Bases!$C$2:$C$53,B1310)</f>
        <v>Dark</v>
      </c>
      <c r="H1310" s="8" t="str">
        <f aca="false">IF(INDEX(Bases!$C$2:$C$53,C1310)=G1310,"",INDEX(Bases!$C$2:$C$53,C1310))</f>
        <v>Steel</v>
      </c>
      <c r="I1310" s="8" t="str">
        <f aca="false">IF(INDEX(Bases!$E$2:$E$53,B1310)="","",INDEX(Bases!$E$2:$E$53,B1310))</f>
        <v/>
      </c>
      <c r="J1310" s="8" t="str">
        <f aca="false">IF(INDEX(Bases!$E$2:$E$53,C1310)="","",INDEX(Bases!$E$2:$E$53,C1310))</f>
        <v/>
      </c>
      <c r="K1310" s="5"/>
      <c r="L1310" s="2" t="n">
        <f aca="false">AE1310+IF(SUMPRODUCT(--($AL1310:$AQ1310&gt;AL1310))&lt;$AK1310,1,0)</f>
        <v>62</v>
      </c>
      <c r="M1310" s="2" t="n">
        <f aca="false">AF1310+IF(SUMPRODUCT(--($AL1310:$AQ1310&gt;AM1310))+SUMPRODUCT(--($AL1310:AL1310=AM1310))&lt;$AK1310,1,0)</f>
        <v>85</v>
      </c>
      <c r="N1310" s="2" t="n">
        <f aca="false">AG1310+IF(SUMPRODUCT(--($AL1310:$AQ1310&gt;AN1310))+SUMPRODUCT(--($AL1310:AM1310=AN1310))&lt;$AK1310,1,0)</f>
        <v>97</v>
      </c>
      <c r="O1310" s="2" t="n">
        <f aca="false">AH1310+IF(SUMPRODUCT(--($AL1310:$AQ1310&gt;AO1310))+SUMPRODUCT(--($AL1310:AN1310=AO1310))&lt;$AK1310,1,0)</f>
        <v>93</v>
      </c>
      <c r="P1310" s="2" t="n">
        <f aca="false">AI1310+IF(SUMPRODUCT(--($AL1310:$AQ1310&gt;AP1310))+SUMPRODUCT(--($AL1310:AO1310=AP1310))&lt;$AK1310,1,0)</f>
        <v>86</v>
      </c>
      <c r="Q1310" s="2" t="n">
        <f aca="false">AJ1310+IF(SUMPRODUCT(--($AL1310:$AQ1310&gt;AQ1310))+SUMPRODUCT(--($AL1310:AP1310=AQ1310))&lt;$AK1310,1,0)</f>
        <v>77</v>
      </c>
      <c r="R1310" s="2" t="n">
        <f aca="false">SUM(L1310:Q1310)</f>
        <v>500</v>
      </c>
      <c r="S1310" s="2" t="n">
        <f aca="false">Settings!$B$4*MAX(INDEX(Bases!$M$2:$M$53,B1310),INDEX(Bases!$M$2:$M$53,C1310))+Settings!$B$5*MIN(INDEX(Bases!$M$2:$M$53,B1310),INDEX(Bases!$M$2:$M$53,C1310))</f>
        <v>53.6666666666667</v>
      </c>
      <c r="T1310" s="2" t="n">
        <f aca="false">Settings!$B$4*MAX(INDEX(Bases!$N$2:$N$53,B1310),INDEX(Bases!$N$2:$N$53,C1310))+Settings!$B$5*MIN(INDEX(Bases!$N$2:$N$53,B1310),INDEX(Bases!$N$2:$N$53,C1310))</f>
        <v>73</v>
      </c>
      <c r="U1310" s="2" t="n">
        <f aca="false">Settings!$B$4*MAX(INDEX(Bases!$O$2:$O$53,B1310),INDEX(Bases!$O$2:$O$53,C1310))+Settings!$B$5*MIN(INDEX(Bases!$O$2:$O$53,B1310),INDEX(Bases!$O$2:$O$53,C1310))</f>
        <v>83.3333333333333</v>
      </c>
      <c r="V1310" s="2" t="n">
        <f aca="false">Settings!$B$4*MAX(INDEX(Bases!$P$2:$P$53,B1310),INDEX(Bases!$P$2:$P$53,C1310))+Settings!$B$5*MIN(INDEX(Bases!$P$2:$P$53,B1310),INDEX(Bases!$P$2:$P$53,C1310))</f>
        <v>80.3333333333333</v>
      </c>
      <c r="W1310" s="2" t="n">
        <f aca="false">Settings!$B$4*MAX(INDEX(Bases!$Q$2:$Q$53,B1310),INDEX(Bases!$Q$2:$Q$53,C1310))+Settings!$B$5*MIN(INDEX(Bases!$Q$2:$Q$53,B1310),INDEX(Bases!$Q$2:$Q$53,C1310))</f>
        <v>73.6666666666667</v>
      </c>
      <c r="X1310" s="2" t="n">
        <f aca="false">Settings!$B$4*MAX(INDEX(Bases!$R$2:$R$53,B1310),INDEX(Bases!$R$2:$R$53,C1310))+Settings!$B$5*MIN(INDEX(Bases!$R$2:$R$53,B1310),INDEX(Bases!$R$2:$R$53,C1310))</f>
        <v>66</v>
      </c>
      <c r="Y1310" s="2" t="n">
        <f aca="false">S1310*Settings!$B$3/SUM(S1310:X1310)</f>
        <v>62.4031007751938</v>
      </c>
      <c r="Z1310" s="2" t="n">
        <f aca="false">T1310*Settings!$B$3/SUM(S1310:X1310)</f>
        <v>84.8837209302326</v>
      </c>
      <c r="AA1310" s="2" t="n">
        <f aca="false">U1310*Settings!$B$3/SUM(S1310:X1310)</f>
        <v>96.8992248062015</v>
      </c>
      <c r="AB1310" s="2" t="n">
        <f aca="false">V1310*Settings!$B$3/SUM(S1310:X1310)</f>
        <v>93.4108527131783</v>
      </c>
      <c r="AC1310" s="2" t="n">
        <f aca="false">W1310*Settings!$B$3/SUM(S1310:X1310)</f>
        <v>85.6589147286822</v>
      </c>
      <c r="AD1310" s="2" t="n">
        <f aca="false">X1310*Settings!$B$3/SUM(S1310:X1310)</f>
        <v>76.7441860465116</v>
      </c>
      <c r="AE1310" s="2" t="n">
        <f aca="false">INT(Y1310)</f>
        <v>62</v>
      </c>
      <c r="AF1310" s="2" t="n">
        <f aca="false">INT(Z1310)</f>
        <v>84</v>
      </c>
      <c r="AG1310" s="2" t="n">
        <f aca="false">INT(AA1310)</f>
        <v>96</v>
      </c>
      <c r="AH1310" s="2" t="n">
        <f aca="false">INT(AB1310)</f>
        <v>93</v>
      </c>
      <c r="AI1310" s="2" t="n">
        <f aca="false">INT(AC1310)</f>
        <v>85</v>
      </c>
      <c r="AJ1310" s="2" t="n">
        <f aca="false">INT(AD1310)</f>
        <v>76</v>
      </c>
      <c r="AK1310" s="2" t="n">
        <f aca="false">Settings!$B$3-SUM(AE1310:AJ1310)</f>
        <v>4</v>
      </c>
      <c r="AL1310" s="2" t="n">
        <f aca="false">ROUND(Y1310-AE1310,9)</f>
        <v>0.403100775</v>
      </c>
      <c r="AM1310" s="2" t="n">
        <f aca="false">ROUND(Z1310-AF1310,9)</f>
        <v>0.88372093</v>
      </c>
      <c r="AN1310" s="2" t="n">
        <f aca="false">ROUND(AA1310-AG1310,9)</f>
        <v>0.899224806</v>
      </c>
      <c r="AO1310" s="2" t="n">
        <f aca="false">ROUND(AB1310-AH1310,9)</f>
        <v>0.410852713</v>
      </c>
      <c r="AP1310" s="2" t="n">
        <f aca="false">ROUND(AC1310-AI1310,9)</f>
        <v>0.658914729</v>
      </c>
      <c r="AQ1310" s="2" t="n">
        <f aca="false">ROUND(AD1310-AJ1310,9)</f>
        <v>0.744186047</v>
      </c>
    </row>
    <row r="1311" customFormat="false" ht="15" hidden="false" customHeight="false" outlineLevel="0" collapsed="false">
      <c r="A1311" s="2" t="n">
        <v>1310</v>
      </c>
      <c r="B1311" s="6" t="n">
        <v>46</v>
      </c>
      <c r="C1311" s="6" t="n">
        <v>51</v>
      </c>
      <c r="D1311" s="8" t="str">
        <f aca="false">INDEX(Bases!$B$2:$B$53,B1311)</f>
        <v>Houndour</v>
      </c>
      <c r="E1311" s="8" t="str">
        <f aca="false">INDEX(Bases!$B$2:$B$53,C1311)</f>
        <v>Cleffa</v>
      </c>
      <c r="F1311" s="2" t="str">
        <f aca="false">LEFT(D1311,ROUNDUP(LEN(D1311)/2,0))&amp;LOWER(MID(E1311,ROUNDUP(LEN(E1311)/2,0)+1,20))</f>
        <v>Hounffa</v>
      </c>
      <c r="G1311" s="8" t="str">
        <f aca="false">INDEX(Bases!$C$2:$C$53,B1311)</f>
        <v>Dark</v>
      </c>
      <c r="H1311" s="8" t="str">
        <f aca="false">IF(INDEX(Bases!$C$2:$C$53,C1311)=G1311,"",INDEX(Bases!$C$2:$C$53,C1311))</f>
        <v>Fairy</v>
      </c>
      <c r="I1311" s="8" t="str">
        <f aca="false">IF(INDEX(Bases!$E$2:$E$53,B1311)="","",INDEX(Bases!$E$2:$E$53,B1311))</f>
        <v/>
      </c>
      <c r="J1311" s="8" t="str">
        <f aca="false">IF(INDEX(Bases!$E$2:$E$53,C1311)="","",INDEX(Bases!$E$2:$E$53,C1311))</f>
        <v/>
      </c>
      <c r="K1311" s="5"/>
      <c r="L1311" s="2" t="n">
        <f aca="false">AE1311+IF(SUMPRODUCT(--($AL1311:$AQ1311&gt;AL1311))&lt;$AK1311,1,0)</f>
        <v>92</v>
      </c>
      <c r="M1311" s="2" t="n">
        <f aca="false">AF1311+IF(SUMPRODUCT(--($AL1311:$AQ1311&gt;AM1311))+SUMPRODUCT(--($AL1311:AL1311=AM1311))&lt;$AK1311,1,0)</f>
        <v>74</v>
      </c>
      <c r="N1311" s="2" t="n">
        <f aca="false">AG1311+IF(SUMPRODUCT(--($AL1311:$AQ1311&gt;AN1311))+SUMPRODUCT(--($AL1311:AM1311=AN1311))&lt;$AK1311,1,0)</f>
        <v>53</v>
      </c>
      <c r="O1311" s="2" t="n">
        <f aca="false">AH1311+IF(SUMPRODUCT(--($AL1311:$AQ1311&gt;AO1311))+SUMPRODUCT(--($AL1311:AN1311=AO1311))&lt;$AK1311,1,0)</f>
        <v>107</v>
      </c>
      <c r="P1311" s="2" t="n">
        <f aca="false">AI1311+IF(SUMPRODUCT(--($AL1311:$AQ1311&gt;AP1311))+SUMPRODUCT(--($AL1311:AO1311=AP1311))&lt;$AK1311,1,0)</f>
        <v>102</v>
      </c>
      <c r="Q1311" s="2" t="n">
        <f aca="false">AJ1311+IF(SUMPRODUCT(--($AL1311:$AQ1311&gt;AQ1311))+SUMPRODUCT(--($AL1311:AP1311=AQ1311))&lt;$AK1311,1,0)</f>
        <v>72</v>
      </c>
      <c r="R1311" s="2" t="n">
        <f aca="false">SUM(L1311:Q1311)</f>
        <v>500</v>
      </c>
      <c r="S1311" s="2" t="n">
        <f aca="false">Settings!$B$4*MAX(INDEX(Bases!$M$2:$M$53,B1311),INDEX(Bases!$M$2:$M$53,C1311))+Settings!$B$5*MIN(INDEX(Bases!$M$2:$M$53,B1311),INDEX(Bases!$M$2:$M$53,C1311))</f>
        <v>79.3333333333333</v>
      </c>
      <c r="T1311" s="2" t="n">
        <f aca="false">Settings!$B$4*MAX(INDEX(Bases!$N$2:$N$53,B1311),INDEX(Bases!$N$2:$N$53,C1311))+Settings!$B$5*MIN(INDEX(Bases!$N$2:$N$53,B1311),INDEX(Bases!$N$2:$N$53,C1311))</f>
        <v>64</v>
      </c>
      <c r="U1311" s="2" t="n">
        <f aca="false">Settings!$B$4*MAX(INDEX(Bases!$O$2:$O$53,B1311),INDEX(Bases!$O$2:$O$53,C1311))+Settings!$B$5*MIN(INDEX(Bases!$O$2:$O$53,B1311),INDEX(Bases!$O$2:$O$53,C1311))</f>
        <v>46</v>
      </c>
      <c r="V1311" s="2" t="n">
        <f aca="false">Settings!$B$4*MAX(INDEX(Bases!$P$2:$P$53,B1311),INDEX(Bases!$P$2:$P$53,C1311))+Settings!$B$5*MIN(INDEX(Bases!$P$2:$P$53,B1311),INDEX(Bases!$P$2:$P$53,C1311))</f>
        <v>92.3333333333333</v>
      </c>
      <c r="W1311" s="2" t="n">
        <f aca="false">Settings!$B$4*MAX(INDEX(Bases!$Q$2:$Q$53,B1311),INDEX(Bases!$Q$2:$Q$53,C1311))+Settings!$B$5*MIN(INDEX(Bases!$Q$2:$Q$53,B1311),INDEX(Bases!$Q$2:$Q$53,C1311))</f>
        <v>87.6666666666667</v>
      </c>
      <c r="X1311" s="2" t="n">
        <f aca="false">Settings!$B$4*MAX(INDEX(Bases!$R$2:$R$53,B1311),INDEX(Bases!$R$2:$R$53,C1311))+Settings!$B$5*MIN(INDEX(Bases!$R$2:$R$53,B1311),INDEX(Bases!$R$2:$R$53,C1311))</f>
        <v>61.6666666666667</v>
      </c>
      <c r="Y1311" s="2" t="n">
        <f aca="false">S1311*Settings!$B$3/SUM(S1311:X1311)</f>
        <v>92.0340293890178</v>
      </c>
      <c r="Z1311" s="2" t="n">
        <f aca="false">T1311*Settings!$B$3/SUM(S1311:X1311)</f>
        <v>74.245939675174</v>
      </c>
      <c r="AA1311" s="2" t="n">
        <f aca="false">U1311*Settings!$B$3/SUM(S1311:X1311)</f>
        <v>53.3642691415313</v>
      </c>
      <c r="AB1311" s="2" t="n">
        <f aca="false">V1311*Settings!$B$3/SUM(S1311:X1311)</f>
        <v>107.115235885538</v>
      </c>
      <c r="AC1311" s="2" t="n">
        <f aca="false">W1311*Settings!$B$3/SUM(S1311:X1311)</f>
        <v>101.701469450889</v>
      </c>
      <c r="AD1311" s="2" t="n">
        <f aca="false">X1311*Settings!$B$3/SUM(S1311:X1311)</f>
        <v>71.53905645785</v>
      </c>
      <c r="AE1311" s="2" t="n">
        <f aca="false">INT(Y1311)</f>
        <v>92</v>
      </c>
      <c r="AF1311" s="2" t="n">
        <f aca="false">INT(Z1311)</f>
        <v>74</v>
      </c>
      <c r="AG1311" s="2" t="n">
        <f aca="false">INT(AA1311)</f>
        <v>53</v>
      </c>
      <c r="AH1311" s="2" t="n">
        <f aca="false">INT(AB1311)</f>
        <v>107</v>
      </c>
      <c r="AI1311" s="2" t="n">
        <f aca="false">INT(AC1311)</f>
        <v>101</v>
      </c>
      <c r="AJ1311" s="2" t="n">
        <f aca="false">INT(AD1311)</f>
        <v>71</v>
      </c>
      <c r="AK1311" s="2" t="n">
        <f aca="false">Settings!$B$3-SUM(AE1311:AJ1311)</f>
        <v>2</v>
      </c>
      <c r="AL1311" s="2" t="n">
        <f aca="false">ROUND(Y1311-AE1311,9)</f>
        <v>0.034029389</v>
      </c>
      <c r="AM1311" s="2" t="n">
        <f aca="false">ROUND(Z1311-AF1311,9)</f>
        <v>0.245939675</v>
      </c>
      <c r="AN1311" s="2" t="n">
        <f aca="false">ROUND(AA1311-AG1311,9)</f>
        <v>0.364269142</v>
      </c>
      <c r="AO1311" s="2" t="n">
        <f aca="false">ROUND(AB1311-AH1311,9)</f>
        <v>0.115235886</v>
      </c>
      <c r="AP1311" s="2" t="n">
        <f aca="false">ROUND(AC1311-AI1311,9)</f>
        <v>0.701469451</v>
      </c>
      <c r="AQ1311" s="2" t="n">
        <f aca="false">ROUND(AD1311-AJ1311,9)</f>
        <v>0.539056458</v>
      </c>
    </row>
    <row r="1312" customFormat="false" ht="15" hidden="false" customHeight="false" outlineLevel="0" collapsed="false">
      <c r="A1312" s="2" t="n">
        <v>1311</v>
      </c>
      <c r="B1312" s="6" t="n">
        <v>46</v>
      </c>
      <c r="C1312" s="6" t="n">
        <v>52</v>
      </c>
      <c r="D1312" s="8" t="str">
        <f aca="false">INDEX(Bases!$B$2:$B$53,B1312)</f>
        <v>Houndour</v>
      </c>
      <c r="E1312" s="8" t="str">
        <f aca="false">INDEX(Bases!$B$2:$B$53,C1312)</f>
        <v>Togepi</v>
      </c>
      <c r="F1312" s="2" t="str">
        <f aca="false">LEFT(D1312,ROUNDUP(LEN(D1312)/2,0))&amp;LOWER(MID(E1312,ROUNDUP(LEN(E1312)/2,0)+1,20))</f>
        <v>Hounepi</v>
      </c>
      <c r="G1312" s="8" t="str">
        <f aca="false">INDEX(Bases!$C$2:$C$53,B1312)</f>
        <v>Dark</v>
      </c>
      <c r="H1312" s="8" t="str">
        <f aca="false">IF(INDEX(Bases!$C$2:$C$53,C1312)=G1312,"",INDEX(Bases!$C$2:$C$53,C1312))</f>
        <v>Fairy</v>
      </c>
      <c r="I1312" s="8" t="str">
        <f aca="false">IF(INDEX(Bases!$E$2:$E$53,B1312)="","",INDEX(Bases!$E$2:$E$53,B1312))</f>
        <v/>
      </c>
      <c r="J1312" s="8" t="str">
        <f aca="false">IF(INDEX(Bases!$E$2:$E$53,C1312)="","",INDEX(Bases!$E$2:$E$53,C1312))</f>
        <v/>
      </c>
      <c r="K1312" s="5"/>
      <c r="L1312" s="2" t="n">
        <f aca="false">AE1312+IF(SUMPRODUCT(--($AL1312:$AQ1312&gt;AL1312))&lt;$AK1312,1,0)</f>
        <v>64</v>
      </c>
      <c r="M1312" s="2" t="n">
        <f aca="false">AF1312+IF(SUMPRODUCT(--($AL1312:$AQ1312&gt;AM1312))+SUMPRODUCT(--($AL1312:AL1312=AM1312))&lt;$AK1312,1,0)</f>
        <v>68</v>
      </c>
      <c r="N1312" s="2" t="n">
        <f aca="false">AG1312+IF(SUMPRODUCT(--($AL1312:$AQ1312&gt;AN1312))+SUMPRODUCT(--($AL1312:AM1312=AN1312))&lt;$AK1312,1,0)</f>
        <v>94</v>
      </c>
      <c r="O1312" s="2" t="n">
        <f aca="false">AH1312+IF(SUMPRODUCT(--($AL1312:$AQ1312&gt;AO1312))+SUMPRODUCT(--($AL1312:AN1312=AO1312))&lt;$AK1312,1,0)</f>
        <v>98</v>
      </c>
      <c r="P1312" s="2" t="n">
        <f aca="false">AI1312+IF(SUMPRODUCT(--($AL1312:$AQ1312&gt;AP1312))+SUMPRODUCT(--($AL1312:AO1312=AP1312))&lt;$AK1312,1,0)</f>
        <v>104</v>
      </c>
      <c r="Q1312" s="2" t="n">
        <f aca="false">AJ1312+IF(SUMPRODUCT(--($AL1312:$AQ1312&gt;AQ1312))+SUMPRODUCT(--($AL1312:AP1312=AQ1312))&lt;$AK1312,1,0)</f>
        <v>72</v>
      </c>
      <c r="R1312" s="2" t="n">
        <f aca="false">SUM(L1312:Q1312)</f>
        <v>500</v>
      </c>
      <c r="S1312" s="2" t="n">
        <f aca="false">Settings!$B$4*MAX(INDEX(Bases!$M$2:$M$53,B1312),INDEX(Bases!$M$2:$M$53,C1312))+Settings!$B$5*MIN(INDEX(Bases!$M$2:$M$53,B1312),INDEX(Bases!$M$2:$M$53,C1312))</f>
        <v>56</v>
      </c>
      <c r="T1312" s="2" t="n">
        <f aca="false">Settings!$B$4*MAX(INDEX(Bases!$N$2:$N$53,B1312),INDEX(Bases!$N$2:$N$53,C1312))+Settings!$B$5*MIN(INDEX(Bases!$N$2:$N$53,B1312),INDEX(Bases!$N$2:$N$53,C1312))</f>
        <v>59.6666666666667</v>
      </c>
      <c r="U1312" s="2" t="n">
        <f aca="false">Settings!$B$4*MAX(INDEX(Bases!$O$2:$O$53,B1312),INDEX(Bases!$O$2:$O$53,C1312))+Settings!$B$5*MIN(INDEX(Bases!$O$2:$O$53,B1312),INDEX(Bases!$O$2:$O$53,C1312))</f>
        <v>82.6666666666667</v>
      </c>
      <c r="V1312" s="2" t="n">
        <f aca="false">Settings!$B$4*MAX(INDEX(Bases!$P$2:$P$53,B1312),INDEX(Bases!$P$2:$P$53,C1312))+Settings!$B$5*MIN(INDEX(Bases!$P$2:$P$53,B1312),INDEX(Bases!$P$2:$P$53,C1312))</f>
        <v>86.3333333333333</v>
      </c>
      <c r="W1312" s="2" t="n">
        <f aca="false">Settings!$B$4*MAX(INDEX(Bases!$Q$2:$Q$53,B1312),INDEX(Bases!$Q$2:$Q$53,C1312))+Settings!$B$5*MIN(INDEX(Bases!$Q$2:$Q$53,B1312),INDEX(Bases!$Q$2:$Q$53,C1312))</f>
        <v>91</v>
      </c>
      <c r="X1312" s="2" t="n">
        <f aca="false">Settings!$B$4*MAX(INDEX(Bases!$R$2:$R$53,B1312),INDEX(Bases!$R$2:$R$53,C1312))+Settings!$B$5*MIN(INDEX(Bases!$R$2:$R$53,B1312),INDEX(Bases!$R$2:$R$53,C1312))</f>
        <v>63.6666666666667</v>
      </c>
      <c r="Y1312" s="2" t="n">
        <f aca="false">S1312*Settings!$B$3/SUM(S1312:X1312)</f>
        <v>63.7329286798179</v>
      </c>
      <c r="Z1312" s="2" t="n">
        <f aca="false">T1312*Settings!$B$3/SUM(S1312:X1312)</f>
        <v>67.9059180576631</v>
      </c>
      <c r="AA1312" s="2" t="n">
        <f aca="false">U1312*Settings!$B$3/SUM(S1312:X1312)</f>
        <v>94.0819423368741</v>
      </c>
      <c r="AB1312" s="2" t="n">
        <f aca="false">V1312*Settings!$B$3/SUM(S1312:X1312)</f>
        <v>98.2549317147193</v>
      </c>
      <c r="AC1312" s="2" t="n">
        <f aca="false">W1312*Settings!$B$3/SUM(S1312:X1312)</f>
        <v>103.566009104704</v>
      </c>
      <c r="AD1312" s="2" t="n">
        <f aca="false">X1312*Settings!$B$3/SUM(S1312:X1312)</f>
        <v>72.4582701062216</v>
      </c>
      <c r="AE1312" s="2" t="n">
        <f aca="false">INT(Y1312)</f>
        <v>63</v>
      </c>
      <c r="AF1312" s="2" t="n">
        <f aca="false">INT(Z1312)</f>
        <v>67</v>
      </c>
      <c r="AG1312" s="2" t="n">
        <f aca="false">INT(AA1312)</f>
        <v>94</v>
      </c>
      <c r="AH1312" s="2" t="n">
        <f aca="false">INT(AB1312)</f>
        <v>98</v>
      </c>
      <c r="AI1312" s="2" t="n">
        <f aca="false">INT(AC1312)</f>
        <v>103</v>
      </c>
      <c r="AJ1312" s="2" t="n">
        <f aca="false">INT(AD1312)</f>
        <v>72</v>
      </c>
      <c r="AK1312" s="2" t="n">
        <f aca="false">Settings!$B$3-SUM(AE1312:AJ1312)</f>
        <v>3</v>
      </c>
      <c r="AL1312" s="2" t="n">
        <f aca="false">ROUND(Y1312-AE1312,9)</f>
        <v>0.73292868</v>
      </c>
      <c r="AM1312" s="2" t="n">
        <f aca="false">ROUND(Z1312-AF1312,9)</f>
        <v>0.905918058</v>
      </c>
      <c r="AN1312" s="2" t="n">
        <f aca="false">ROUND(AA1312-AG1312,9)</f>
        <v>0.081942337</v>
      </c>
      <c r="AO1312" s="2" t="n">
        <f aca="false">ROUND(AB1312-AH1312,9)</f>
        <v>0.254931715</v>
      </c>
      <c r="AP1312" s="2" t="n">
        <f aca="false">ROUND(AC1312-AI1312,9)</f>
        <v>0.566009105</v>
      </c>
      <c r="AQ1312" s="2" t="n">
        <f aca="false">ROUND(AD1312-AJ1312,9)</f>
        <v>0.458270106</v>
      </c>
    </row>
    <row r="1313" customFormat="false" ht="15" hidden="false" customHeight="false" outlineLevel="0" collapsed="false">
      <c r="A1313" s="2" t="n">
        <v>1312</v>
      </c>
      <c r="B1313" s="6" t="n">
        <v>47</v>
      </c>
      <c r="C1313" s="6" t="n">
        <v>48</v>
      </c>
      <c r="D1313" s="8" t="str">
        <f aca="false">INDEX(Bases!$B$2:$B$53,B1313)</f>
        <v>Carvanha</v>
      </c>
      <c r="E1313" s="8" t="str">
        <f aca="false">INDEX(Bases!$B$2:$B$53,C1313)</f>
        <v>Magnemite</v>
      </c>
      <c r="F1313" s="2" t="str">
        <f aca="false">LEFT(D1313,ROUNDUP(LEN(D1313)/2,0))&amp;LOWER(MID(E1313,ROUNDUP(LEN(E1313)/2,0)+1,20))</f>
        <v>Carvmite</v>
      </c>
      <c r="G1313" s="8" t="str">
        <f aca="false">INDEX(Bases!$C$2:$C$53,B1313)</f>
        <v>Dark</v>
      </c>
      <c r="H1313" s="8" t="str">
        <f aca="false">IF(INDEX(Bases!$C$2:$C$53,C1313)=G1313,"",INDEX(Bases!$C$2:$C$53,C1313))</f>
        <v>Steel</v>
      </c>
      <c r="I1313" s="8" t="str">
        <f aca="false">IF(INDEX(Bases!$E$2:$E$53,B1313)="","",INDEX(Bases!$E$2:$E$53,B1313))</f>
        <v/>
      </c>
      <c r="J1313" s="8" t="str">
        <f aca="false">IF(INDEX(Bases!$E$2:$E$53,C1313)="","",INDEX(Bases!$E$2:$E$53,C1313))</f>
        <v/>
      </c>
      <c r="K1313" s="5"/>
      <c r="L1313" s="2" t="n">
        <f aca="false">AE1313+IF(SUMPRODUCT(--($AL1313:$AQ1313&gt;AL1313))&lt;$AK1313,1,0)</f>
        <v>56</v>
      </c>
      <c r="M1313" s="2" t="n">
        <f aca="false">AF1313+IF(SUMPRODUCT(--($AL1313:$AQ1313&gt;AM1313))+SUMPRODUCT(--($AL1313:AL1313=AM1313))&lt;$AK1313,1,0)</f>
        <v>105</v>
      </c>
      <c r="N1313" s="2" t="n">
        <f aca="false">AG1313+IF(SUMPRODUCT(--($AL1313:$AQ1313&gt;AN1313))+SUMPRODUCT(--($AL1313:AM1313=AN1313))&lt;$AK1313,1,0)</f>
        <v>74</v>
      </c>
      <c r="O1313" s="2" t="n">
        <f aca="false">AH1313+IF(SUMPRODUCT(--($AL1313:$AQ1313&gt;AO1313))+SUMPRODUCT(--($AL1313:AN1313=AO1313))&lt;$AK1313,1,0)</f>
        <v>120</v>
      </c>
      <c r="P1313" s="2" t="n">
        <f aca="false">AI1313+IF(SUMPRODUCT(--($AL1313:$AQ1313&gt;AP1313))+SUMPRODUCT(--($AL1313:AO1313=AP1313))&lt;$AK1313,1,0)</f>
        <v>61</v>
      </c>
      <c r="Q1313" s="2" t="n">
        <f aca="false">AJ1313+IF(SUMPRODUCT(--($AL1313:$AQ1313&gt;AQ1313))+SUMPRODUCT(--($AL1313:AP1313=AQ1313))&lt;$AK1313,1,0)</f>
        <v>84</v>
      </c>
      <c r="R1313" s="2" t="n">
        <f aca="false">SUM(L1313:Q1313)</f>
        <v>500</v>
      </c>
      <c r="S1313" s="2" t="n">
        <f aca="false">Settings!$B$4*MAX(INDEX(Bases!$M$2:$M$53,B1313),INDEX(Bases!$M$2:$M$53,C1313))+Settings!$B$5*MIN(INDEX(Bases!$M$2:$M$53,B1313),INDEX(Bases!$M$2:$M$53,C1313))</f>
        <v>49.6666666666667</v>
      </c>
      <c r="T1313" s="2" t="n">
        <f aca="false">Settings!$B$4*MAX(INDEX(Bases!$N$2:$N$53,B1313),INDEX(Bases!$N$2:$N$53,C1313))+Settings!$B$5*MIN(INDEX(Bases!$N$2:$N$53,B1313),INDEX(Bases!$N$2:$N$53,C1313))</f>
        <v>93</v>
      </c>
      <c r="U1313" s="2" t="n">
        <f aca="false">Settings!$B$4*MAX(INDEX(Bases!$O$2:$O$53,B1313),INDEX(Bases!$O$2:$O$53,C1313))+Settings!$B$5*MIN(INDEX(Bases!$O$2:$O$53,B1313),INDEX(Bases!$O$2:$O$53,C1313))</f>
        <v>66</v>
      </c>
      <c r="V1313" s="2" t="n">
        <f aca="false">Settings!$B$4*MAX(INDEX(Bases!$P$2:$P$53,B1313),INDEX(Bases!$P$2:$P$53,C1313))+Settings!$B$5*MIN(INDEX(Bases!$P$2:$P$53,B1313),INDEX(Bases!$P$2:$P$53,C1313))</f>
        <v>106.666666666667</v>
      </c>
      <c r="W1313" s="2" t="n">
        <f aca="false">Settings!$B$4*MAX(INDEX(Bases!$Q$2:$Q$53,B1313),INDEX(Bases!$Q$2:$Q$53,C1313))+Settings!$B$5*MIN(INDEX(Bases!$Q$2:$Q$53,B1313),INDEX(Bases!$Q$2:$Q$53,C1313))</f>
        <v>54</v>
      </c>
      <c r="X1313" s="2" t="n">
        <f aca="false">Settings!$B$4*MAX(INDEX(Bases!$R$2:$R$53,B1313),INDEX(Bases!$R$2:$R$53,C1313))+Settings!$B$5*MIN(INDEX(Bases!$R$2:$R$53,B1313),INDEX(Bases!$R$2:$R$53,C1313))</f>
        <v>75</v>
      </c>
      <c r="Y1313" s="2" t="n">
        <f aca="false">S1313*Settings!$B$3/SUM(S1313:X1313)</f>
        <v>55.8889722430608</v>
      </c>
      <c r="Z1313" s="2" t="n">
        <f aca="false">T1313*Settings!$B$3/SUM(S1313:X1313)</f>
        <v>104.651162790698</v>
      </c>
      <c r="AA1313" s="2" t="n">
        <f aca="false">U1313*Settings!$B$3/SUM(S1313:X1313)</f>
        <v>74.2685671417855</v>
      </c>
      <c r="AB1313" s="2" t="n">
        <f aca="false">V1313*Settings!$B$3/SUM(S1313:X1313)</f>
        <v>120.030007501875</v>
      </c>
      <c r="AC1313" s="2" t="n">
        <f aca="false">W1313*Settings!$B$3/SUM(S1313:X1313)</f>
        <v>60.7651912978245</v>
      </c>
      <c r="AD1313" s="2" t="n">
        <f aca="false">X1313*Settings!$B$3/SUM(S1313:X1313)</f>
        <v>84.3960990247562</v>
      </c>
      <c r="AE1313" s="2" t="n">
        <f aca="false">INT(Y1313)</f>
        <v>55</v>
      </c>
      <c r="AF1313" s="2" t="n">
        <f aca="false">INT(Z1313)</f>
        <v>104</v>
      </c>
      <c r="AG1313" s="2" t="n">
        <f aca="false">INT(AA1313)</f>
        <v>74</v>
      </c>
      <c r="AH1313" s="2" t="n">
        <f aca="false">INT(AB1313)</f>
        <v>120</v>
      </c>
      <c r="AI1313" s="2" t="n">
        <f aca="false">INT(AC1313)</f>
        <v>60</v>
      </c>
      <c r="AJ1313" s="2" t="n">
        <f aca="false">INT(AD1313)</f>
        <v>84</v>
      </c>
      <c r="AK1313" s="2" t="n">
        <f aca="false">Settings!$B$3-SUM(AE1313:AJ1313)</f>
        <v>3</v>
      </c>
      <c r="AL1313" s="2" t="n">
        <f aca="false">ROUND(Y1313-AE1313,9)</f>
        <v>0.888972243</v>
      </c>
      <c r="AM1313" s="2" t="n">
        <f aca="false">ROUND(Z1313-AF1313,9)</f>
        <v>0.651162791</v>
      </c>
      <c r="AN1313" s="2" t="n">
        <f aca="false">ROUND(AA1313-AG1313,9)</f>
        <v>0.268567142</v>
      </c>
      <c r="AO1313" s="2" t="n">
        <f aca="false">ROUND(AB1313-AH1313,9)</f>
        <v>0.030007502</v>
      </c>
      <c r="AP1313" s="2" t="n">
        <f aca="false">ROUND(AC1313-AI1313,9)</f>
        <v>0.765191298</v>
      </c>
      <c r="AQ1313" s="2" t="n">
        <f aca="false">ROUND(AD1313-AJ1313,9)</f>
        <v>0.396099025</v>
      </c>
    </row>
    <row r="1314" customFormat="false" ht="15" hidden="false" customHeight="false" outlineLevel="0" collapsed="false">
      <c r="A1314" s="2" t="n">
        <v>1313</v>
      </c>
      <c r="B1314" s="6" t="n">
        <v>47</v>
      </c>
      <c r="C1314" s="6" t="n">
        <v>49</v>
      </c>
      <c r="D1314" s="8" t="str">
        <f aca="false">INDEX(Bases!$B$2:$B$53,B1314)</f>
        <v>Carvanha</v>
      </c>
      <c r="E1314" s="8" t="str">
        <f aca="false">INDEX(Bases!$B$2:$B$53,C1314)</f>
        <v>Aron</v>
      </c>
      <c r="F1314" s="2" t="str">
        <f aca="false">LEFT(D1314,ROUNDUP(LEN(D1314)/2,0))&amp;LOWER(MID(E1314,ROUNDUP(LEN(E1314)/2,0)+1,20))</f>
        <v>Carvon</v>
      </c>
      <c r="G1314" s="8" t="str">
        <f aca="false">INDEX(Bases!$C$2:$C$53,B1314)</f>
        <v>Dark</v>
      </c>
      <c r="H1314" s="8" t="str">
        <f aca="false">IF(INDEX(Bases!$C$2:$C$53,C1314)=G1314,"",INDEX(Bases!$C$2:$C$53,C1314))</f>
        <v>Steel</v>
      </c>
      <c r="I1314" s="8" t="str">
        <f aca="false">IF(INDEX(Bases!$E$2:$E$53,B1314)="","",INDEX(Bases!$E$2:$E$53,B1314))</f>
        <v/>
      </c>
      <c r="J1314" s="8" t="str">
        <f aca="false">IF(INDEX(Bases!$E$2:$E$53,C1314)="","",INDEX(Bases!$E$2:$E$53,C1314))</f>
        <v/>
      </c>
      <c r="K1314" s="5"/>
      <c r="L1314" s="2" t="n">
        <f aca="false">AE1314+IF(SUMPRODUCT(--($AL1314:$AQ1314&gt;AL1314))&lt;$AK1314,1,0)</f>
        <v>69</v>
      </c>
      <c r="M1314" s="2" t="n">
        <f aca="false">AF1314+IF(SUMPRODUCT(--($AL1314:$AQ1314&gt;AM1314))+SUMPRODUCT(--($AL1314:AL1314=AM1314))&lt;$AK1314,1,0)</f>
        <v>122</v>
      </c>
      <c r="N1314" s="2" t="n">
        <f aca="false">AG1314+IF(SUMPRODUCT(--($AL1314:$AQ1314&gt;AN1314))+SUMPRODUCT(--($AL1314:AM1314=AN1314))&lt;$AK1314,1,0)</f>
        <v>101</v>
      </c>
      <c r="O1314" s="2" t="n">
        <f aca="false">AH1314+IF(SUMPRODUCT(--($AL1314:$AQ1314&gt;AO1314))+SUMPRODUCT(--($AL1314:AN1314=AO1314))&lt;$AK1314,1,0)</f>
        <v>84</v>
      </c>
      <c r="P1314" s="2" t="n">
        <f aca="false">AI1314+IF(SUMPRODUCT(--($AL1314:$AQ1314&gt;AP1314))+SUMPRODUCT(--($AL1314:AO1314=AP1314))&lt;$AK1314,1,0)</f>
        <v>46</v>
      </c>
      <c r="Q1314" s="2" t="n">
        <f aca="false">AJ1314+IF(SUMPRODUCT(--($AL1314:$AQ1314&gt;AQ1314))+SUMPRODUCT(--($AL1314:AP1314=AQ1314))&lt;$AK1314,1,0)</f>
        <v>78</v>
      </c>
      <c r="R1314" s="2" t="n">
        <f aca="false">SUM(L1314:Q1314)</f>
        <v>500</v>
      </c>
      <c r="S1314" s="2" t="n">
        <f aca="false">Settings!$B$4*MAX(INDEX(Bases!$M$2:$M$53,B1314),INDEX(Bases!$M$2:$M$53,C1314))+Settings!$B$5*MIN(INDEX(Bases!$M$2:$M$53,B1314),INDEX(Bases!$M$2:$M$53,C1314))</f>
        <v>60.3333333333333</v>
      </c>
      <c r="T1314" s="2" t="n">
        <f aca="false">Settings!$B$4*MAX(INDEX(Bases!$N$2:$N$53,B1314),INDEX(Bases!$N$2:$N$53,C1314))+Settings!$B$5*MIN(INDEX(Bases!$N$2:$N$53,B1314),INDEX(Bases!$N$2:$N$53,C1314))</f>
        <v>107</v>
      </c>
      <c r="U1314" s="2" t="n">
        <f aca="false">Settings!$B$4*MAX(INDEX(Bases!$O$2:$O$53,B1314),INDEX(Bases!$O$2:$O$53,C1314))+Settings!$B$5*MIN(INDEX(Bases!$O$2:$O$53,B1314),INDEX(Bases!$O$2:$O$53,C1314))</f>
        <v>89.3333333333333</v>
      </c>
      <c r="V1314" s="2" t="n">
        <f aca="false">Settings!$B$4*MAX(INDEX(Bases!$P$2:$P$53,B1314),INDEX(Bases!$P$2:$P$53,C1314))+Settings!$B$5*MIN(INDEX(Bases!$P$2:$P$53,B1314),INDEX(Bases!$P$2:$P$53,C1314))</f>
        <v>73.6666666666667</v>
      </c>
      <c r="W1314" s="2" t="n">
        <f aca="false">Settings!$B$4*MAX(INDEX(Bases!$Q$2:$Q$53,B1314),INDEX(Bases!$Q$2:$Q$53,C1314))+Settings!$B$5*MIN(INDEX(Bases!$Q$2:$Q$53,B1314),INDEX(Bases!$Q$2:$Q$53,C1314))</f>
        <v>40.6666666666667</v>
      </c>
      <c r="X1314" s="2" t="n">
        <f aca="false">Settings!$B$4*MAX(INDEX(Bases!$R$2:$R$53,B1314),INDEX(Bases!$R$2:$R$53,C1314))+Settings!$B$5*MIN(INDEX(Bases!$R$2:$R$53,B1314),INDEX(Bases!$R$2:$R$53,C1314))</f>
        <v>68.6666666666667</v>
      </c>
      <c r="Y1314" s="2" t="n">
        <f aca="false">S1314*Settings!$B$3/SUM(S1314:X1314)</f>
        <v>68.6125852918878</v>
      </c>
      <c r="Z1314" s="2" t="n">
        <f aca="false">T1314*Settings!$B$3/SUM(S1314:X1314)</f>
        <v>121.683093252464</v>
      </c>
      <c r="AA1314" s="2" t="n">
        <f aca="false">U1314*Settings!$B$3/SUM(S1314:X1314)</f>
        <v>101.592115238817</v>
      </c>
      <c r="AB1314" s="2" t="n">
        <f aca="false">V1314*Settings!$B$3/SUM(S1314:X1314)</f>
        <v>83.7755875663381</v>
      </c>
      <c r="AC1314" s="2" t="n">
        <f aca="false">W1314*Settings!$B$3/SUM(S1314:X1314)</f>
        <v>46.2471569370735</v>
      </c>
      <c r="AD1314" s="2" t="n">
        <f aca="false">X1314*Settings!$B$3/SUM(S1314:X1314)</f>
        <v>78.0894617134193</v>
      </c>
      <c r="AE1314" s="2" t="n">
        <f aca="false">INT(Y1314)</f>
        <v>68</v>
      </c>
      <c r="AF1314" s="2" t="n">
        <f aca="false">INT(Z1314)</f>
        <v>121</v>
      </c>
      <c r="AG1314" s="2" t="n">
        <f aca="false">INT(AA1314)</f>
        <v>101</v>
      </c>
      <c r="AH1314" s="2" t="n">
        <f aca="false">INT(AB1314)</f>
        <v>83</v>
      </c>
      <c r="AI1314" s="2" t="n">
        <f aca="false">INT(AC1314)</f>
        <v>46</v>
      </c>
      <c r="AJ1314" s="2" t="n">
        <f aca="false">INT(AD1314)</f>
        <v>78</v>
      </c>
      <c r="AK1314" s="2" t="n">
        <f aca="false">Settings!$B$3-SUM(AE1314:AJ1314)</f>
        <v>3</v>
      </c>
      <c r="AL1314" s="2" t="n">
        <f aca="false">ROUND(Y1314-AE1314,9)</f>
        <v>0.612585292</v>
      </c>
      <c r="AM1314" s="2" t="n">
        <f aca="false">ROUND(Z1314-AF1314,9)</f>
        <v>0.683093252</v>
      </c>
      <c r="AN1314" s="2" t="n">
        <f aca="false">ROUND(AA1314-AG1314,9)</f>
        <v>0.592115239</v>
      </c>
      <c r="AO1314" s="2" t="n">
        <f aca="false">ROUND(AB1314-AH1314,9)</f>
        <v>0.775587566</v>
      </c>
      <c r="AP1314" s="2" t="n">
        <f aca="false">ROUND(AC1314-AI1314,9)</f>
        <v>0.247156937</v>
      </c>
      <c r="AQ1314" s="2" t="n">
        <f aca="false">ROUND(AD1314-AJ1314,9)</f>
        <v>0.089461713</v>
      </c>
    </row>
    <row r="1315" customFormat="false" ht="15" hidden="false" customHeight="false" outlineLevel="0" collapsed="false">
      <c r="A1315" s="2" t="n">
        <v>1314</v>
      </c>
      <c r="B1315" s="6" t="n">
        <v>47</v>
      </c>
      <c r="C1315" s="6" t="n">
        <v>50</v>
      </c>
      <c r="D1315" s="8" t="str">
        <f aca="false">INDEX(Bases!$B$2:$B$53,B1315)</f>
        <v>Carvanha</v>
      </c>
      <c r="E1315" s="8" t="str">
        <f aca="false">INDEX(Bases!$B$2:$B$53,C1315)</f>
        <v>Beldum</v>
      </c>
      <c r="F1315" s="2" t="str">
        <f aca="false">LEFT(D1315,ROUNDUP(LEN(D1315)/2,0))&amp;LOWER(MID(E1315,ROUNDUP(LEN(E1315)/2,0)+1,20))</f>
        <v>Carvdum</v>
      </c>
      <c r="G1315" s="8" t="str">
        <f aca="false">INDEX(Bases!$C$2:$C$53,B1315)</f>
        <v>Dark</v>
      </c>
      <c r="H1315" s="8" t="str">
        <f aca="false">IF(INDEX(Bases!$C$2:$C$53,C1315)=G1315,"",INDEX(Bases!$C$2:$C$53,C1315))</f>
        <v>Steel</v>
      </c>
      <c r="I1315" s="8" t="str">
        <f aca="false">IF(INDEX(Bases!$E$2:$E$53,B1315)="","",INDEX(Bases!$E$2:$E$53,B1315))</f>
        <v/>
      </c>
      <c r="J1315" s="8" t="str">
        <f aca="false">IF(INDEX(Bases!$E$2:$E$53,C1315)="","",INDEX(Bases!$E$2:$E$53,C1315))</f>
        <v/>
      </c>
      <c r="K1315" s="5"/>
      <c r="L1315" s="2" t="n">
        <f aca="false">AE1315+IF(SUMPRODUCT(--($AL1315:$AQ1315&gt;AL1315))&lt;$AK1315,1,0)</f>
        <v>64</v>
      </c>
      <c r="M1315" s="2" t="n">
        <f aca="false">AF1315+IF(SUMPRODUCT(--($AL1315:$AQ1315&gt;AM1315))+SUMPRODUCT(--($AL1315:AL1315=AM1315))&lt;$AK1315,1,0)</f>
        <v>116</v>
      </c>
      <c r="N1315" s="2" t="n">
        <f aca="false">AG1315+IF(SUMPRODUCT(--($AL1315:$AQ1315&gt;AN1315))+SUMPRODUCT(--($AL1315:AM1315=AN1315))&lt;$AK1315,1,0)</f>
        <v>90</v>
      </c>
      <c r="O1315" s="2" t="n">
        <f aca="false">AH1315+IF(SUMPRODUCT(--($AL1315:$AQ1315&gt;AO1315))+SUMPRODUCT(--($AL1315:AN1315=AO1315))&lt;$AK1315,1,0)</f>
        <v>82</v>
      </c>
      <c r="P1315" s="2" t="n">
        <f aca="false">AI1315+IF(SUMPRODUCT(--($AL1315:$AQ1315&gt;AP1315))+SUMPRODUCT(--($AL1315:AO1315=AP1315))&lt;$AK1315,1,0)</f>
        <v>70</v>
      </c>
      <c r="Q1315" s="2" t="n">
        <f aca="false">AJ1315+IF(SUMPRODUCT(--($AL1315:$AQ1315&gt;AQ1315))+SUMPRODUCT(--($AL1315:AP1315=AQ1315))&lt;$AK1315,1,0)</f>
        <v>78</v>
      </c>
      <c r="R1315" s="2" t="n">
        <f aca="false">SUM(L1315:Q1315)</f>
        <v>500</v>
      </c>
      <c r="S1315" s="2" t="n">
        <f aca="false">Settings!$B$4*MAX(INDEX(Bases!$M$2:$M$53,B1315),INDEX(Bases!$M$2:$M$53,C1315))+Settings!$B$5*MIN(INDEX(Bases!$M$2:$M$53,B1315),INDEX(Bases!$M$2:$M$53,C1315))</f>
        <v>57</v>
      </c>
      <c r="T1315" s="2" t="n">
        <f aca="false">Settings!$B$4*MAX(INDEX(Bases!$N$2:$N$53,B1315),INDEX(Bases!$N$2:$N$53,C1315))+Settings!$B$5*MIN(INDEX(Bases!$N$2:$N$53,B1315),INDEX(Bases!$N$2:$N$53,C1315))</f>
        <v>103</v>
      </c>
      <c r="U1315" s="2" t="n">
        <f aca="false">Settings!$B$4*MAX(INDEX(Bases!$O$2:$O$53,B1315),INDEX(Bases!$O$2:$O$53,C1315))+Settings!$B$5*MIN(INDEX(Bases!$O$2:$O$53,B1315),INDEX(Bases!$O$2:$O$53,C1315))</f>
        <v>80</v>
      </c>
      <c r="V1315" s="2" t="n">
        <f aca="false">Settings!$B$4*MAX(INDEX(Bases!$P$2:$P$53,B1315),INDEX(Bases!$P$2:$P$53,C1315))+Settings!$B$5*MIN(INDEX(Bases!$P$2:$P$53,B1315),INDEX(Bases!$P$2:$P$53,C1315))</f>
        <v>73</v>
      </c>
      <c r="W1315" s="2" t="n">
        <f aca="false">Settings!$B$4*MAX(INDEX(Bases!$Q$2:$Q$53,B1315),INDEX(Bases!$Q$2:$Q$53,C1315))+Settings!$B$5*MIN(INDEX(Bases!$Q$2:$Q$53,B1315),INDEX(Bases!$Q$2:$Q$53,C1315))</f>
        <v>62</v>
      </c>
      <c r="X1315" s="2" t="n">
        <f aca="false">Settings!$B$4*MAX(INDEX(Bases!$R$2:$R$53,B1315),INDEX(Bases!$R$2:$R$53,C1315))+Settings!$B$5*MIN(INDEX(Bases!$R$2:$R$53,B1315),INDEX(Bases!$R$2:$R$53,C1315))</f>
        <v>70</v>
      </c>
      <c r="Y1315" s="2" t="n">
        <f aca="false">S1315*Settings!$B$3/SUM(S1315:X1315)</f>
        <v>64.0449438202247</v>
      </c>
      <c r="Z1315" s="2" t="n">
        <f aca="false">T1315*Settings!$B$3/SUM(S1315:X1315)</f>
        <v>115.730337078652</v>
      </c>
      <c r="AA1315" s="2" t="n">
        <f aca="false">U1315*Settings!$B$3/SUM(S1315:X1315)</f>
        <v>89.8876404494382</v>
      </c>
      <c r="AB1315" s="2" t="n">
        <f aca="false">V1315*Settings!$B$3/SUM(S1315:X1315)</f>
        <v>82.0224719101124</v>
      </c>
      <c r="AC1315" s="2" t="n">
        <f aca="false">W1315*Settings!$B$3/SUM(S1315:X1315)</f>
        <v>69.6629213483146</v>
      </c>
      <c r="AD1315" s="2" t="n">
        <f aca="false">X1315*Settings!$B$3/SUM(S1315:X1315)</f>
        <v>78.6516853932584</v>
      </c>
      <c r="AE1315" s="2" t="n">
        <f aca="false">INT(Y1315)</f>
        <v>64</v>
      </c>
      <c r="AF1315" s="2" t="n">
        <f aca="false">INT(Z1315)</f>
        <v>115</v>
      </c>
      <c r="AG1315" s="2" t="n">
        <f aca="false">INT(AA1315)</f>
        <v>89</v>
      </c>
      <c r="AH1315" s="2" t="n">
        <f aca="false">INT(AB1315)</f>
        <v>82</v>
      </c>
      <c r="AI1315" s="2" t="n">
        <f aca="false">INT(AC1315)</f>
        <v>69</v>
      </c>
      <c r="AJ1315" s="2" t="n">
        <f aca="false">INT(AD1315)</f>
        <v>78</v>
      </c>
      <c r="AK1315" s="2" t="n">
        <f aca="false">Settings!$B$3-SUM(AE1315:AJ1315)</f>
        <v>3</v>
      </c>
      <c r="AL1315" s="2" t="n">
        <f aca="false">ROUND(Y1315-AE1315,9)</f>
        <v>0.04494382</v>
      </c>
      <c r="AM1315" s="2" t="n">
        <f aca="false">ROUND(Z1315-AF1315,9)</f>
        <v>0.730337079</v>
      </c>
      <c r="AN1315" s="2" t="n">
        <f aca="false">ROUND(AA1315-AG1315,9)</f>
        <v>0.887640449</v>
      </c>
      <c r="AO1315" s="2" t="n">
        <f aca="false">ROUND(AB1315-AH1315,9)</f>
        <v>0.02247191</v>
      </c>
      <c r="AP1315" s="2" t="n">
        <f aca="false">ROUND(AC1315-AI1315,9)</f>
        <v>0.662921348</v>
      </c>
      <c r="AQ1315" s="2" t="n">
        <f aca="false">ROUND(AD1315-AJ1315,9)</f>
        <v>0.651685393</v>
      </c>
    </row>
    <row r="1316" customFormat="false" ht="15" hidden="false" customHeight="false" outlineLevel="0" collapsed="false">
      <c r="A1316" s="2" t="n">
        <v>1315</v>
      </c>
      <c r="B1316" s="6" t="n">
        <v>47</v>
      </c>
      <c r="C1316" s="6" t="n">
        <v>51</v>
      </c>
      <c r="D1316" s="8" t="str">
        <f aca="false">INDEX(Bases!$B$2:$B$53,B1316)</f>
        <v>Carvanha</v>
      </c>
      <c r="E1316" s="8" t="str">
        <f aca="false">INDEX(Bases!$B$2:$B$53,C1316)</f>
        <v>Cleffa</v>
      </c>
      <c r="F1316" s="2" t="str">
        <f aca="false">LEFT(D1316,ROUNDUP(LEN(D1316)/2,0))&amp;LOWER(MID(E1316,ROUNDUP(LEN(E1316)/2,0)+1,20))</f>
        <v>Carvffa</v>
      </c>
      <c r="G1316" s="8" t="str">
        <f aca="false">INDEX(Bases!$C$2:$C$53,B1316)</f>
        <v>Dark</v>
      </c>
      <c r="H1316" s="8" t="str">
        <f aca="false">IF(INDEX(Bases!$C$2:$C$53,C1316)=G1316,"",INDEX(Bases!$C$2:$C$53,C1316))</f>
        <v>Fairy</v>
      </c>
      <c r="I1316" s="8" t="str">
        <f aca="false">IF(INDEX(Bases!$E$2:$E$53,B1316)="","",INDEX(Bases!$E$2:$E$53,B1316))</f>
        <v/>
      </c>
      <c r="J1316" s="8" t="str">
        <f aca="false">IF(INDEX(Bases!$E$2:$E$53,C1316)="","",INDEX(Bases!$E$2:$E$53,C1316))</f>
        <v/>
      </c>
      <c r="K1316" s="5"/>
      <c r="L1316" s="2" t="n">
        <f aca="false">AE1316+IF(SUMPRODUCT(--($AL1316:$AQ1316&gt;AL1316))&lt;$AK1316,1,0)</f>
        <v>91</v>
      </c>
      <c r="M1316" s="2" t="n">
        <f aca="false">AF1316+IF(SUMPRODUCT(--($AL1316:$AQ1316&gt;AM1316))+SUMPRODUCT(--($AL1316:AL1316=AM1316))&lt;$AK1316,1,0)</f>
        <v>106</v>
      </c>
      <c r="N1316" s="2" t="n">
        <f aca="false">AG1316+IF(SUMPRODUCT(--($AL1316:$AQ1316&gt;AN1316))+SUMPRODUCT(--($AL1316:AM1316=AN1316))&lt;$AK1316,1,0)</f>
        <v>48</v>
      </c>
      <c r="O1316" s="2" t="n">
        <f aca="false">AH1316+IF(SUMPRODUCT(--($AL1316:$AQ1316&gt;AO1316))+SUMPRODUCT(--($AL1316:AN1316=AO1316))&lt;$AK1316,1,0)</f>
        <v>96</v>
      </c>
      <c r="P1316" s="2" t="n">
        <f aca="false">AI1316+IF(SUMPRODUCT(--($AL1316:$AQ1316&gt;AP1316))+SUMPRODUCT(--($AL1316:AO1316=AP1316))&lt;$AK1316,1,0)</f>
        <v>85</v>
      </c>
      <c r="Q1316" s="2" t="n">
        <f aca="false">AJ1316+IF(SUMPRODUCT(--($AL1316:$AQ1316&gt;AQ1316))+SUMPRODUCT(--($AL1316:AP1316=AQ1316))&lt;$AK1316,1,0)</f>
        <v>74</v>
      </c>
      <c r="R1316" s="2" t="n">
        <f aca="false">SUM(L1316:Q1316)</f>
        <v>500</v>
      </c>
      <c r="S1316" s="2" t="n">
        <f aca="false">Settings!$B$4*MAX(INDEX(Bases!$M$2:$M$53,B1316),INDEX(Bases!$M$2:$M$53,C1316))+Settings!$B$5*MIN(INDEX(Bases!$M$2:$M$53,B1316),INDEX(Bases!$M$2:$M$53,C1316))</f>
        <v>81</v>
      </c>
      <c r="T1316" s="2" t="n">
        <f aca="false">Settings!$B$4*MAX(INDEX(Bases!$N$2:$N$53,B1316),INDEX(Bases!$N$2:$N$53,C1316))+Settings!$B$5*MIN(INDEX(Bases!$N$2:$N$53,B1316),INDEX(Bases!$N$2:$N$53,C1316))</f>
        <v>94</v>
      </c>
      <c r="U1316" s="2" t="n">
        <f aca="false">Settings!$B$4*MAX(INDEX(Bases!$O$2:$O$53,B1316),INDEX(Bases!$O$2:$O$53,C1316))+Settings!$B$5*MIN(INDEX(Bases!$O$2:$O$53,B1316),INDEX(Bases!$O$2:$O$53,C1316))</f>
        <v>42.6666666666667</v>
      </c>
      <c r="V1316" s="2" t="n">
        <f aca="false">Settings!$B$4*MAX(INDEX(Bases!$P$2:$P$53,B1316),INDEX(Bases!$P$2:$P$53,C1316))+Settings!$B$5*MIN(INDEX(Bases!$P$2:$P$53,B1316),INDEX(Bases!$P$2:$P$53,C1316))</f>
        <v>85</v>
      </c>
      <c r="W1316" s="2" t="n">
        <f aca="false">Settings!$B$4*MAX(INDEX(Bases!$Q$2:$Q$53,B1316),INDEX(Bases!$Q$2:$Q$53,C1316))+Settings!$B$5*MIN(INDEX(Bases!$Q$2:$Q$53,B1316),INDEX(Bases!$Q$2:$Q$53,C1316))</f>
        <v>76</v>
      </c>
      <c r="X1316" s="2" t="n">
        <f aca="false">Settings!$B$4*MAX(INDEX(Bases!$R$2:$R$53,B1316),INDEX(Bases!$R$2:$R$53,C1316))+Settings!$B$5*MIN(INDEX(Bases!$R$2:$R$53,B1316),INDEX(Bases!$R$2:$R$53,C1316))</f>
        <v>65.6666666666667</v>
      </c>
      <c r="Y1316" s="2" t="n">
        <f aca="false">S1316*Settings!$B$3/SUM(S1316:X1316)</f>
        <v>91.1477869467367</v>
      </c>
      <c r="Z1316" s="2" t="n">
        <f aca="false">T1316*Settings!$B$3/SUM(S1316:X1316)</f>
        <v>105.776444111028</v>
      </c>
      <c r="AA1316" s="2" t="n">
        <f aca="false">U1316*Settings!$B$3/SUM(S1316:X1316)</f>
        <v>48.0120030007502</v>
      </c>
      <c r="AB1316" s="2" t="n">
        <f aca="false">V1316*Settings!$B$3/SUM(S1316:X1316)</f>
        <v>95.648912228057</v>
      </c>
      <c r="AC1316" s="2" t="n">
        <f aca="false">W1316*Settings!$B$3/SUM(S1316:X1316)</f>
        <v>85.5213803450863</v>
      </c>
      <c r="AD1316" s="2" t="n">
        <f aca="false">X1316*Settings!$B$3/SUM(S1316:X1316)</f>
        <v>73.8934733683421</v>
      </c>
      <c r="AE1316" s="2" t="n">
        <f aca="false">INT(Y1316)</f>
        <v>91</v>
      </c>
      <c r="AF1316" s="2" t="n">
        <f aca="false">INT(Z1316)</f>
        <v>105</v>
      </c>
      <c r="AG1316" s="2" t="n">
        <f aca="false">INT(AA1316)</f>
        <v>48</v>
      </c>
      <c r="AH1316" s="2" t="n">
        <f aca="false">INT(AB1316)</f>
        <v>95</v>
      </c>
      <c r="AI1316" s="2" t="n">
        <f aca="false">INT(AC1316)</f>
        <v>85</v>
      </c>
      <c r="AJ1316" s="2" t="n">
        <f aca="false">INT(AD1316)</f>
        <v>73</v>
      </c>
      <c r="AK1316" s="2" t="n">
        <f aca="false">Settings!$B$3-SUM(AE1316:AJ1316)</f>
        <v>3</v>
      </c>
      <c r="AL1316" s="2" t="n">
        <f aca="false">ROUND(Y1316-AE1316,9)</f>
        <v>0.147786947</v>
      </c>
      <c r="AM1316" s="2" t="n">
        <f aca="false">ROUND(Z1316-AF1316,9)</f>
        <v>0.776444111</v>
      </c>
      <c r="AN1316" s="2" t="n">
        <f aca="false">ROUND(AA1316-AG1316,9)</f>
        <v>0.012003001</v>
      </c>
      <c r="AO1316" s="2" t="n">
        <f aca="false">ROUND(AB1316-AH1316,9)</f>
        <v>0.648912228</v>
      </c>
      <c r="AP1316" s="2" t="n">
        <f aca="false">ROUND(AC1316-AI1316,9)</f>
        <v>0.521380345</v>
      </c>
      <c r="AQ1316" s="2" t="n">
        <f aca="false">ROUND(AD1316-AJ1316,9)</f>
        <v>0.893473368</v>
      </c>
    </row>
    <row r="1317" customFormat="false" ht="15" hidden="false" customHeight="false" outlineLevel="0" collapsed="false">
      <c r="A1317" s="2" t="n">
        <v>1316</v>
      </c>
      <c r="B1317" s="6" t="n">
        <v>47</v>
      </c>
      <c r="C1317" s="6" t="n">
        <v>52</v>
      </c>
      <c r="D1317" s="8" t="str">
        <f aca="false">INDEX(Bases!$B$2:$B$53,B1317)</f>
        <v>Carvanha</v>
      </c>
      <c r="E1317" s="8" t="str">
        <f aca="false">INDEX(Bases!$B$2:$B$53,C1317)</f>
        <v>Togepi</v>
      </c>
      <c r="F1317" s="2" t="str">
        <f aca="false">LEFT(D1317,ROUNDUP(LEN(D1317)/2,0))&amp;LOWER(MID(E1317,ROUNDUP(LEN(E1317)/2,0)+1,20))</f>
        <v>Carvepi</v>
      </c>
      <c r="G1317" s="8" t="str">
        <f aca="false">INDEX(Bases!$C$2:$C$53,B1317)</f>
        <v>Dark</v>
      </c>
      <c r="H1317" s="8" t="str">
        <f aca="false">IF(INDEX(Bases!$C$2:$C$53,C1317)=G1317,"",INDEX(Bases!$C$2:$C$53,C1317))</f>
        <v>Fairy</v>
      </c>
      <c r="I1317" s="8" t="str">
        <f aca="false">IF(INDEX(Bases!$E$2:$E$53,B1317)="","",INDEX(Bases!$E$2:$E$53,B1317))</f>
        <v/>
      </c>
      <c r="J1317" s="8" t="str">
        <f aca="false">IF(INDEX(Bases!$E$2:$E$53,C1317)="","",INDEX(Bases!$E$2:$E$53,C1317))</f>
        <v/>
      </c>
      <c r="K1317" s="5"/>
      <c r="L1317" s="2" t="n">
        <f aca="false">AE1317+IF(SUMPRODUCT(--($AL1317:$AQ1317&gt;AL1317))&lt;$AK1317,1,0)</f>
        <v>64</v>
      </c>
      <c r="M1317" s="2" t="n">
        <f aca="false">AF1317+IF(SUMPRODUCT(--($AL1317:$AQ1317&gt;AM1317))+SUMPRODUCT(--($AL1317:AL1317=AM1317))&lt;$AK1317,1,0)</f>
        <v>99</v>
      </c>
      <c r="N1317" s="2" t="n">
        <f aca="false">AG1317+IF(SUMPRODUCT(--($AL1317:$AQ1317&gt;AN1317))+SUMPRODUCT(--($AL1317:AM1317=AN1317))&lt;$AK1317,1,0)</f>
        <v>88</v>
      </c>
      <c r="O1317" s="2" t="n">
        <f aca="false">AH1317+IF(SUMPRODUCT(--($AL1317:$AQ1317&gt;AO1317))+SUMPRODUCT(--($AL1317:AN1317=AO1317))&lt;$AK1317,1,0)</f>
        <v>87</v>
      </c>
      <c r="P1317" s="2" t="n">
        <f aca="false">AI1317+IF(SUMPRODUCT(--($AL1317:$AQ1317&gt;AP1317))+SUMPRODUCT(--($AL1317:AO1317=AP1317))&lt;$AK1317,1,0)</f>
        <v>87</v>
      </c>
      <c r="Q1317" s="2" t="n">
        <f aca="false">AJ1317+IF(SUMPRODUCT(--($AL1317:$AQ1317&gt;AQ1317))+SUMPRODUCT(--($AL1317:AP1317=AQ1317))&lt;$AK1317,1,0)</f>
        <v>75</v>
      </c>
      <c r="R1317" s="2" t="n">
        <f aca="false">SUM(L1317:Q1317)</f>
        <v>500</v>
      </c>
      <c r="S1317" s="2" t="n">
        <f aca="false">Settings!$B$4*MAX(INDEX(Bases!$M$2:$M$53,B1317),INDEX(Bases!$M$2:$M$53,C1317))+Settings!$B$5*MIN(INDEX(Bases!$M$2:$M$53,B1317),INDEX(Bases!$M$2:$M$53,C1317))</f>
        <v>58.3333333333333</v>
      </c>
      <c r="T1317" s="2" t="n">
        <f aca="false">Settings!$B$4*MAX(INDEX(Bases!$N$2:$N$53,B1317),INDEX(Bases!$N$2:$N$53,C1317))+Settings!$B$5*MIN(INDEX(Bases!$N$2:$N$53,B1317),INDEX(Bases!$N$2:$N$53,C1317))</f>
        <v>89.6666666666667</v>
      </c>
      <c r="U1317" s="2" t="n">
        <f aca="false">Settings!$B$4*MAX(INDEX(Bases!$O$2:$O$53,B1317),INDEX(Bases!$O$2:$O$53,C1317))+Settings!$B$5*MIN(INDEX(Bases!$O$2:$O$53,B1317),INDEX(Bases!$O$2:$O$53,C1317))</f>
        <v>79.3333333333333</v>
      </c>
      <c r="V1317" s="2" t="n">
        <f aca="false">Settings!$B$4*MAX(INDEX(Bases!$P$2:$P$53,B1317),INDEX(Bases!$P$2:$P$53,C1317))+Settings!$B$5*MIN(INDEX(Bases!$P$2:$P$53,B1317),INDEX(Bases!$P$2:$P$53,C1317))</f>
        <v>79</v>
      </c>
      <c r="W1317" s="2" t="n">
        <f aca="false">Settings!$B$4*MAX(INDEX(Bases!$Q$2:$Q$53,B1317),INDEX(Bases!$Q$2:$Q$53,C1317))+Settings!$B$5*MIN(INDEX(Bases!$Q$2:$Q$53,B1317),INDEX(Bases!$Q$2:$Q$53,C1317))</f>
        <v>79.3333333333333</v>
      </c>
      <c r="X1317" s="2" t="n">
        <f aca="false">Settings!$B$4*MAX(INDEX(Bases!$R$2:$R$53,B1317),INDEX(Bases!$R$2:$R$53,C1317))+Settings!$B$5*MIN(INDEX(Bases!$R$2:$R$53,B1317),INDEX(Bases!$R$2:$R$53,C1317))</f>
        <v>67.6666666666667</v>
      </c>
      <c r="Y1317" s="2" t="n">
        <f aca="false">S1317*Settings!$B$3/SUM(S1317:X1317)</f>
        <v>64.3382352941176</v>
      </c>
      <c r="Z1317" s="2" t="n">
        <f aca="false">T1317*Settings!$B$3/SUM(S1317:X1317)</f>
        <v>98.8970588235294</v>
      </c>
      <c r="AA1317" s="2" t="n">
        <f aca="false">U1317*Settings!$B$3/SUM(S1317:X1317)</f>
        <v>87.5</v>
      </c>
      <c r="AB1317" s="2" t="n">
        <f aca="false">V1317*Settings!$B$3/SUM(S1317:X1317)</f>
        <v>87.1323529411765</v>
      </c>
      <c r="AC1317" s="2" t="n">
        <f aca="false">W1317*Settings!$B$3/SUM(S1317:X1317)</f>
        <v>87.5</v>
      </c>
      <c r="AD1317" s="2" t="n">
        <f aca="false">X1317*Settings!$B$3/SUM(S1317:X1317)</f>
        <v>74.6323529411765</v>
      </c>
      <c r="AE1317" s="2" t="n">
        <f aca="false">INT(Y1317)</f>
        <v>64</v>
      </c>
      <c r="AF1317" s="2" t="n">
        <f aca="false">INT(Z1317)</f>
        <v>98</v>
      </c>
      <c r="AG1317" s="2" t="n">
        <f aca="false">INT(AA1317)</f>
        <v>87</v>
      </c>
      <c r="AH1317" s="2" t="n">
        <f aca="false">INT(AB1317)</f>
        <v>87</v>
      </c>
      <c r="AI1317" s="2" t="n">
        <f aca="false">INT(AC1317)</f>
        <v>87</v>
      </c>
      <c r="AJ1317" s="2" t="n">
        <f aca="false">INT(AD1317)</f>
        <v>74</v>
      </c>
      <c r="AK1317" s="2" t="n">
        <f aca="false">Settings!$B$3-SUM(AE1317:AJ1317)</f>
        <v>3</v>
      </c>
      <c r="AL1317" s="2" t="n">
        <f aca="false">ROUND(Y1317-AE1317,9)</f>
        <v>0.338235294</v>
      </c>
      <c r="AM1317" s="2" t="n">
        <f aca="false">ROUND(Z1317-AF1317,9)</f>
        <v>0.897058824</v>
      </c>
      <c r="AN1317" s="2" t="n">
        <f aca="false">ROUND(AA1317-AG1317,9)</f>
        <v>0.5</v>
      </c>
      <c r="AO1317" s="2" t="n">
        <f aca="false">ROUND(AB1317-AH1317,9)</f>
        <v>0.132352941</v>
      </c>
      <c r="AP1317" s="2" t="n">
        <f aca="false">ROUND(AC1317-AI1317,9)</f>
        <v>0.5</v>
      </c>
      <c r="AQ1317" s="2" t="n">
        <f aca="false">ROUND(AD1317-AJ1317,9)</f>
        <v>0.632352941</v>
      </c>
    </row>
    <row r="1318" customFormat="false" ht="15" hidden="false" customHeight="false" outlineLevel="0" collapsed="false">
      <c r="A1318" s="2" t="n">
        <v>1317</v>
      </c>
      <c r="B1318" s="6" t="n">
        <v>48</v>
      </c>
      <c r="C1318" s="6" t="n">
        <v>49</v>
      </c>
      <c r="D1318" s="8" t="str">
        <f aca="false">INDEX(Bases!$B$2:$B$53,B1318)</f>
        <v>Magnemite</v>
      </c>
      <c r="E1318" s="8" t="str">
        <f aca="false">INDEX(Bases!$B$2:$B$53,C1318)</f>
        <v>Aron</v>
      </c>
      <c r="F1318" s="2" t="str">
        <f aca="false">LEFT(D1318,ROUNDUP(LEN(D1318)/2,0))&amp;LOWER(MID(E1318,ROUNDUP(LEN(E1318)/2,0)+1,20))</f>
        <v>Magneon</v>
      </c>
      <c r="G1318" s="8" t="str">
        <f aca="false">INDEX(Bases!$C$2:$C$53,B1318)</f>
        <v>Steel</v>
      </c>
      <c r="H1318" s="8" t="str">
        <f aca="false">IF(INDEX(Bases!$C$2:$C$53,C1318)=G1318,"",INDEX(Bases!$C$2:$C$53,C1318))</f>
        <v/>
      </c>
      <c r="I1318" s="8" t="str">
        <f aca="false">IF(INDEX(Bases!$E$2:$E$53,B1318)="","",INDEX(Bases!$E$2:$E$53,B1318))</f>
        <v/>
      </c>
      <c r="J1318" s="8" t="str">
        <f aca="false">IF(INDEX(Bases!$E$2:$E$53,C1318)="","",INDEX(Bases!$E$2:$E$53,C1318))</f>
        <v/>
      </c>
      <c r="K1318" s="5"/>
      <c r="L1318" s="2" t="n">
        <f aca="false">AE1318+IF(SUMPRODUCT(--($AL1318:$AQ1318&gt;AL1318))&lt;$AK1318,1,0)</f>
        <v>59</v>
      </c>
      <c r="M1318" s="2" t="n">
        <f aca="false">AF1318+IF(SUMPRODUCT(--($AL1318:$AQ1318&gt;AM1318))+SUMPRODUCT(--($AL1318:AL1318=AM1318))&lt;$AK1318,1,0)</f>
        <v>82</v>
      </c>
      <c r="N1318" s="2" t="n">
        <f aca="false">AG1318+IF(SUMPRODUCT(--($AL1318:$AQ1318&gt;AN1318))+SUMPRODUCT(--($AL1318:AM1318=AN1318))&lt;$AK1318,1,0)</f>
        <v>125</v>
      </c>
      <c r="O1318" s="2" t="n">
        <f aca="false">AH1318+IF(SUMPRODUCT(--($AL1318:$AQ1318&gt;AO1318))+SUMPRODUCT(--($AL1318:AN1318=AO1318))&lt;$AK1318,1,0)</f>
        <v>108</v>
      </c>
      <c r="P1318" s="2" t="n">
        <f aca="false">AI1318+IF(SUMPRODUCT(--($AL1318:$AQ1318&gt;AP1318))+SUMPRODUCT(--($AL1318:AO1318=AP1318))&lt;$AK1318,1,0)</f>
        <v>70</v>
      </c>
      <c r="Q1318" s="2" t="n">
        <f aca="false">AJ1318+IF(SUMPRODUCT(--($AL1318:$AQ1318&gt;AQ1318))+SUMPRODUCT(--($AL1318:AP1318=AQ1318))&lt;$AK1318,1,0)</f>
        <v>56</v>
      </c>
      <c r="R1318" s="2" t="n">
        <f aca="false">SUM(L1318:Q1318)</f>
        <v>500</v>
      </c>
      <c r="S1318" s="2" t="n">
        <f aca="false">Settings!$B$4*MAX(INDEX(Bases!$M$2:$M$53,B1318),INDEX(Bases!$M$2:$M$53,C1318))+Settings!$B$5*MIN(INDEX(Bases!$M$2:$M$53,B1318),INDEX(Bases!$M$2:$M$53,C1318))</f>
        <v>51</v>
      </c>
      <c r="T1318" s="2" t="n">
        <f aca="false">Settings!$B$4*MAX(INDEX(Bases!$N$2:$N$53,B1318),INDEX(Bases!$N$2:$N$53,C1318))+Settings!$B$5*MIN(INDEX(Bases!$N$2:$N$53,B1318),INDEX(Bases!$N$2:$N$53,C1318))</f>
        <v>71</v>
      </c>
      <c r="U1318" s="2" t="n">
        <f aca="false">Settings!$B$4*MAX(INDEX(Bases!$O$2:$O$53,B1318),INDEX(Bases!$O$2:$O$53,C1318))+Settings!$B$5*MIN(INDEX(Bases!$O$2:$O$53,B1318),INDEX(Bases!$O$2:$O$53,C1318))</f>
        <v>109.333333333333</v>
      </c>
      <c r="V1318" s="2" t="n">
        <f aca="false">Settings!$B$4*MAX(INDEX(Bases!$P$2:$P$53,B1318),INDEX(Bases!$P$2:$P$53,C1318))+Settings!$B$5*MIN(INDEX(Bases!$P$2:$P$53,B1318),INDEX(Bases!$P$2:$P$53,C1318))</f>
        <v>94.3333333333333</v>
      </c>
      <c r="W1318" s="2" t="n">
        <f aca="false">Settings!$B$4*MAX(INDEX(Bases!$Q$2:$Q$53,B1318),INDEX(Bases!$Q$2:$Q$53,C1318))+Settings!$B$5*MIN(INDEX(Bases!$Q$2:$Q$53,B1318),INDEX(Bases!$Q$2:$Q$53,C1318))</f>
        <v>61.3333333333333</v>
      </c>
      <c r="X1318" s="2" t="n">
        <f aca="false">Settings!$B$4*MAX(INDEX(Bases!$R$2:$R$53,B1318),INDEX(Bases!$R$2:$R$53,C1318))+Settings!$B$5*MIN(INDEX(Bases!$R$2:$R$53,B1318),INDEX(Bases!$R$2:$R$53,C1318))</f>
        <v>48.6666666666667</v>
      </c>
      <c r="Y1318" s="2" t="n">
        <f aca="false">S1318*Settings!$B$3/SUM(S1318:X1318)</f>
        <v>58.530986993114</v>
      </c>
      <c r="Z1318" s="2" t="n">
        <f aca="false">T1318*Settings!$B$3/SUM(S1318:X1318)</f>
        <v>81.4843152257077</v>
      </c>
      <c r="AA1318" s="2" t="n">
        <f aca="false">U1318*Settings!$B$3/SUM(S1318:X1318)</f>
        <v>125.478194338179</v>
      </c>
      <c r="AB1318" s="2" t="n">
        <f aca="false">V1318*Settings!$B$3/SUM(S1318:X1318)</f>
        <v>108.263198163734</v>
      </c>
      <c r="AC1318" s="2" t="n">
        <f aca="false">W1318*Settings!$B$3/SUM(S1318:X1318)</f>
        <v>70.3902065799541</v>
      </c>
      <c r="AD1318" s="2" t="n">
        <f aca="false">X1318*Settings!$B$3/SUM(S1318:X1318)</f>
        <v>55.8530986993114</v>
      </c>
      <c r="AE1318" s="2" t="n">
        <f aca="false">INT(Y1318)</f>
        <v>58</v>
      </c>
      <c r="AF1318" s="2" t="n">
        <f aca="false">INT(Z1318)</f>
        <v>81</v>
      </c>
      <c r="AG1318" s="2" t="n">
        <f aca="false">INT(AA1318)</f>
        <v>125</v>
      </c>
      <c r="AH1318" s="2" t="n">
        <f aca="false">INT(AB1318)</f>
        <v>108</v>
      </c>
      <c r="AI1318" s="2" t="n">
        <f aca="false">INT(AC1318)</f>
        <v>70</v>
      </c>
      <c r="AJ1318" s="2" t="n">
        <f aca="false">INT(AD1318)</f>
        <v>55</v>
      </c>
      <c r="AK1318" s="2" t="n">
        <f aca="false">Settings!$B$3-SUM(AE1318:AJ1318)</f>
        <v>3</v>
      </c>
      <c r="AL1318" s="2" t="n">
        <f aca="false">ROUND(Y1318-AE1318,9)</f>
        <v>0.530986993</v>
      </c>
      <c r="AM1318" s="2" t="n">
        <f aca="false">ROUND(Z1318-AF1318,9)</f>
        <v>0.484315226</v>
      </c>
      <c r="AN1318" s="2" t="n">
        <f aca="false">ROUND(AA1318-AG1318,9)</f>
        <v>0.478194338</v>
      </c>
      <c r="AO1318" s="2" t="n">
        <f aca="false">ROUND(AB1318-AH1318,9)</f>
        <v>0.263198164</v>
      </c>
      <c r="AP1318" s="2" t="n">
        <f aca="false">ROUND(AC1318-AI1318,9)</f>
        <v>0.39020658</v>
      </c>
      <c r="AQ1318" s="2" t="n">
        <f aca="false">ROUND(AD1318-AJ1318,9)</f>
        <v>0.853098699</v>
      </c>
    </row>
    <row r="1319" customFormat="false" ht="15" hidden="false" customHeight="false" outlineLevel="0" collapsed="false">
      <c r="A1319" s="2" t="n">
        <v>1318</v>
      </c>
      <c r="B1319" s="6" t="n">
        <v>48</v>
      </c>
      <c r="C1319" s="6" t="n">
        <v>50</v>
      </c>
      <c r="D1319" s="8" t="str">
        <f aca="false">INDEX(Bases!$B$2:$B$53,B1319)</f>
        <v>Magnemite</v>
      </c>
      <c r="E1319" s="8" t="str">
        <f aca="false">INDEX(Bases!$B$2:$B$53,C1319)</f>
        <v>Beldum</v>
      </c>
      <c r="F1319" s="2" t="str">
        <f aca="false">LEFT(D1319,ROUNDUP(LEN(D1319)/2,0))&amp;LOWER(MID(E1319,ROUNDUP(LEN(E1319)/2,0)+1,20))</f>
        <v>Magnedum</v>
      </c>
      <c r="G1319" s="8" t="str">
        <f aca="false">INDEX(Bases!$C$2:$C$53,B1319)</f>
        <v>Steel</v>
      </c>
      <c r="H1319" s="8" t="str">
        <f aca="false">IF(INDEX(Bases!$C$2:$C$53,C1319)=G1319,"",INDEX(Bases!$C$2:$C$53,C1319))</f>
        <v/>
      </c>
      <c r="I1319" s="8" t="str">
        <f aca="false">IF(INDEX(Bases!$E$2:$E$53,B1319)="","",INDEX(Bases!$E$2:$E$53,B1319))</f>
        <v/>
      </c>
      <c r="J1319" s="8" t="str">
        <f aca="false">IF(INDEX(Bases!$E$2:$E$53,C1319)="","",INDEX(Bases!$E$2:$E$53,C1319))</f>
        <v/>
      </c>
      <c r="K1319" s="5"/>
      <c r="L1319" s="2" t="n">
        <f aca="false">AE1319+IF(SUMPRODUCT(--($AL1319:$AQ1319&gt;AL1319))&lt;$AK1319,1,0)</f>
        <v>53</v>
      </c>
      <c r="M1319" s="2" t="n">
        <f aca="false">AF1319+IF(SUMPRODUCT(--($AL1319:$AQ1319&gt;AM1319))+SUMPRODUCT(--($AL1319:AL1319=AM1319))&lt;$AK1319,1,0)</f>
        <v>74</v>
      </c>
      <c r="N1319" s="2" t="n">
        <f aca="false">AG1319+IF(SUMPRODUCT(--($AL1319:$AQ1319&gt;AN1319))+SUMPRODUCT(--($AL1319:AM1319=AN1319))&lt;$AK1319,1,0)</f>
        <v>117</v>
      </c>
      <c r="O1319" s="2" t="n">
        <f aca="false">AH1319+IF(SUMPRODUCT(--($AL1319:$AQ1319&gt;AO1319))+SUMPRODUCT(--($AL1319:AN1319=AO1319))&lt;$AK1319,1,0)</f>
        <v>109</v>
      </c>
      <c r="P1319" s="2" t="n">
        <f aca="false">AI1319+IF(SUMPRODUCT(--($AL1319:$AQ1319&gt;AP1319))+SUMPRODUCT(--($AL1319:AO1319=AP1319))&lt;$AK1319,1,0)</f>
        <v>89</v>
      </c>
      <c r="Q1319" s="2" t="n">
        <f aca="false">AJ1319+IF(SUMPRODUCT(--($AL1319:$AQ1319&gt;AQ1319))+SUMPRODUCT(--($AL1319:AP1319=AQ1319))&lt;$AK1319,1,0)</f>
        <v>58</v>
      </c>
      <c r="R1319" s="2" t="n">
        <f aca="false">SUM(L1319:Q1319)</f>
        <v>500</v>
      </c>
      <c r="S1319" s="2" t="n">
        <f aca="false">Settings!$B$4*MAX(INDEX(Bases!$M$2:$M$53,B1319),INDEX(Bases!$M$2:$M$53,C1319))+Settings!$B$5*MIN(INDEX(Bases!$M$2:$M$53,B1319),INDEX(Bases!$M$2:$M$53,C1319))</f>
        <v>45.6666666666667</v>
      </c>
      <c r="T1319" s="2" t="n">
        <f aca="false">Settings!$B$4*MAX(INDEX(Bases!$N$2:$N$53,B1319),INDEX(Bases!$N$2:$N$53,C1319))+Settings!$B$5*MIN(INDEX(Bases!$N$2:$N$53,B1319),INDEX(Bases!$N$2:$N$53,C1319))</f>
        <v>63</v>
      </c>
      <c r="U1319" s="2" t="n">
        <f aca="false">Settings!$B$4*MAX(INDEX(Bases!$O$2:$O$53,B1319),INDEX(Bases!$O$2:$O$53,C1319))+Settings!$B$5*MIN(INDEX(Bases!$O$2:$O$53,B1319),INDEX(Bases!$O$2:$O$53,C1319))</f>
        <v>100</v>
      </c>
      <c r="V1319" s="2" t="n">
        <f aca="false">Settings!$B$4*MAX(INDEX(Bases!$P$2:$P$53,B1319),INDEX(Bases!$P$2:$P$53,C1319))+Settings!$B$5*MIN(INDEX(Bases!$P$2:$P$53,B1319),INDEX(Bases!$P$2:$P$53,C1319))</f>
        <v>93.6666666666667</v>
      </c>
      <c r="W1319" s="2" t="n">
        <f aca="false">Settings!$B$4*MAX(INDEX(Bases!$Q$2:$Q$53,B1319),INDEX(Bases!$Q$2:$Q$53,C1319))+Settings!$B$5*MIN(INDEX(Bases!$Q$2:$Q$53,B1319),INDEX(Bases!$Q$2:$Q$53,C1319))</f>
        <v>76</v>
      </c>
      <c r="X1319" s="2" t="n">
        <f aca="false">Settings!$B$4*MAX(INDEX(Bases!$R$2:$R$53,B1319),INDEX(Bases!$R$2:$R$53,C1319))+Settings!$B$5*MIN(INDEX(Bases!$R$2:$R$53,B1319),INDEX(Bases!$R$2:$R$53,C1319))</f>
        <v>50</v>
      </c>
      <c r="Y1319" s="2" t="n">
        <f aca="false">S1319*Settings!$B$3/SUM(S1319:X1319)</f>
        <v>53.307392996109</v>
      </c>
      <c r="Z1319" s="2" t="n">
        <f aca="false">T1319*Settings!$B$3/SUM(S1319:X1319)</f>
        <v>73.5408560311284</v>
      </c>
      <c r="AA1319" s="2" t="n">
        <f aca="false">U1319*Settings!$B$3/SUM(S1319:X1319)</f>
        <v>116.731517509728</v>
      </c>
      <c r="AB1319" s="2" t="n">
        <f aca="false">V1319*Settings!$B$3/SUM(S1319:X1319)</f>
        <v>109.338521400778</v>
      </c>
      <c r="AC1319" s="2" t="n">
        <f aca="false">W1319*Settings!$B$3/SUM(S1319:X1319)</f>
        <v>88.715953307393</v>
      </c>
      <c r="AD1319" s="2" t="n">
        <f aca="false">X1319*Settings!$B$3/SUM(S1319:X1319)</f>
        <v>58.3657587548638</v>
      </c>
      <c r="AE1319" s="2" t="n">
        <f aca="false">INT(Y1319)</f>
        <v>53</v>
      </c>
      <c r="AF1319" s="2" t="n">
        <f aca="false">INT(Z1319)</f>
        <v>73</v>
      </c>
      <c r="AG1319" s="2" t="n">
        <f aca="false">INT(AA1319)</f>
        <v>116</v>
      </c>
      <c r="AH1319" s="2" t="n">
        <f aca="false">INT(AB1319)</f>
        <v>109</v>
      </c>
      <c r="AI1319" s="2" t="n">
        <f aca="false">INT(AC1319)</f>
        <v>88</v>
      </c>
      <c r="AJ1319" s="2" t="n">
        <f aca="false">INT(AD1319)</f>
        <v>58</v>
      </c>
      <c r="AK1319" s="2" t="n">
        <f aca="false">Settings!$B$3-SUM(AE1319:AJ1319)</f>
        <v>3</v>
      </c>
      <c r="AL1319" s="2" t="n">
        <f aca="false">ROUND(Y1319-AE1319,9)</f>
        <v>0.307392996</v>
      </c>
      <c r="AM1319" s="2" t="n">
        <f aca="false">ROUND(Z1319-AF1319,9)</f>
        <v>0.540856031</v>
      </c>
      <c r="AN1319" s="2" t="n">
        <f aca="false">ROUND(AA1319-AG1319,9)</f>
        <v>0.73151751</v>
      </c>
      <c r="AO1319" s="2" t="n">
        <f aca="false">ROUND(AB1319-AH1319,9)</f>
        <v>0.338521401</v>
      </c>
      <c r="AP1319" s="2" t="n">
        <f aca="false">ROUND(AC1319-AI1319,9)</f>
        <v>0.715953307</v>
      </c>
      <c r="AQ1319" s="2" t="n">
        <f aca="false">ROUND(AD1319-AJ1319,9)</f>
        <v>0.365758755</v>
      </c>
    </row>
    <row r="1320" customFormat="false" ht="15" hidden="false" customHeight="false" outlineLevel="0" collapsed="false">
      <c r="A1320" s="2" t="n">
        <v>1319</v>
      </c>
      <c r="B1320" s="6" t="n">
        <v>48</v>
      </c>
      <c r="C1320" s="6" t="n">
        <v>51</v>
      </c>
      <c r="D1320" s="8" t="str">
        <f aca="false">INDEX(Bases!$B$2:$B$53,B1320)</f>
        <v>Magnemite</v>
      </c>
      <c r="E1320" s="8" t="str">
        <f aca="false">INDEX(Bases!$B$2:$B$53,C1320)</f>
        <v>Cleffa</v>
      </c>
      <c r="F1320" s="2" t="str">
        <f aca="false">LEFT(D1320,ROUNDUP(LEN(D1320)/2,0))&amp;LOWER(MID(E1320,ROUNDUP(LEN(E1320)/2,0)+1,20))</f>
        <v>Magneffa</v>
      </c>
      <c r="G1320" s="8" t="str">
        <f aca="false">INDEX(Bases!$C$2:$C$53,B1320)</f>
        <v>Steel</v>
      </c>
      <c r="H1320" s="8" t="str">
        <f aca="false">IF(INDEX(Bases!$C$2:$C$53,C1320)=G1320,"",INDEX(Bases!$C$2:$C$53,C1320))</f>
        <v>Fairy</v>
      </c>
      <c r="I1320" s="8" t="str">
        <f aca="false">IF(INDEX(Bases!$E$2:$E$53,B1320)="","",INDEX(Bases!$E$2:$E$53,B1320))</f>
        <v/>
      </c>
      <c r="J1320" s="8" t="str">
        <f aca="false">IF(INDEX(Bases!$E$2:$E$53,C1320)="","",INDEX(Bases!$E$2:$E$53,C1320))</f>
        <v/>
      </c>
      <c r="K1320" s="5"/>
      <c r="L1320" s="2" t="n">
        <f aca="false">AE1320+IF(SUMPRODUCT(--($AL1320:$AQ1320&gt;AL1320))&lt;$AK1320,1,0)</f>
        <v>83</v>
      </c>
      <c r="M1320" s="2" t="n">
        <f aca="false">AF1320+IF(SUMPRODUCT(--($AL1320:$AQ1320&gt;AM1320))+SUMPRODUCT(--($AL1320:AL1320=AM1320))&lt;$AK1320,1,0)</f>
        <v>52</v>
      </c>
      <c r="N1320" s="2" t="n">
        <f aca="false">AG1320+IF(SUMPRODUCT(--($AL1320:$AQ1320&gt;AN1320))+SUMPRODUCT(--($AL1320:AM1320=AN1320))&lt;$AK1320,1,0)</f>
        <v>86</v>
      </c>
      <c r="O1320" s="2" t="n">
        <f aca="false">AH1320+IF(SUMPRODUCT(--($AL1320:$AQ1320&gt;AO1320))+SUMPRODUCT(--($AL1320:AN1320=AO1320))&lt;$AK1320,1,0)</f>
        <v>122</v>
      </c>
      <c r="P1320" s="2" t="n">
        <f aca="false">AI1320+IF(SUMPRODUCT(--($AL1320:$AQ1320&gt;AP1320))+SUMPRODUCT(--($AL1320:AO1320=AP1320))&lt;$AK1320,1,0)</f>
        <v>104</v>
      </c>
      <c r="Q1320" s="2" t="n">
        <f aca="false">AJ1320+IF(SUMPRODUCT(--($AL1320:$AQ1320&gt;AQ1320))+SUMPRODUCT(--($AL1320:AP1320=AQ1320))&lt;$AK1320,1,0)</f>
        <v>53</v>
      </c>
      <c r="R1320" s="2" t="n">
        <f aca="false">SUM(L1320:Q1320)</f>
        <v>500</v>
      </c>
      <c r="S1320" s="2" t="n">
        <f aca="false">Settings!$B$4*MAX(INDEX(Bases!$M$2:$M$53,B1320),INDEX(Bases!$M$2:$M$53,C1320))+Settings!$B$5*MIN(INDEX(Bases!$M$2:$M$53,B1320),INDEX(Bases!$M$2:$M$53,C1320))</f>
        <v>71.6666666666667</v>
      </c>
      <c r="T1320" s="2" t="n">
        <f aca="false">Settings!$B$4*MAX(INDEX(Bases!$N$2:$N$53,B1320),INDEX(Bases!$N$2:$N$53,C1320))+Settings!$B$5*MIN(INDEX(Bases!$N$2:$N$53,B1320),INDEX(Bases!$N$2:$N$53,C1320))</f>
        <v>45</v>
      </c>
      <c r="U1320" s="2" t="n">
        <f aca="false">Settings!$B$4*MAX(INDEX(Bases!$O$2:$O$53,B1320),INDEX(Bases!$O$2:$O$53,C1320))+Settings!$B$5*MIN(INDEX(Bases!$O$2:$O$53,B1320),INDEX(Bases!$O$2:$O$53,C1320))</f>
        <v>74.3333333333333</v>
      </c>
      <c r="V1320" s="2" t="n">
        <f aca="false">Settings!$B$4*MAX(INDEX(Bases!$P$2:$P$53,B1320),INDEX(Bases!$P$2:$P$53,C1320))+Settings!$B$5*MIN(INDEX(Bases!$P$2:$P$53,B1320),INDEX(Bases!$P$2:$P$53,C1320))</f>
        <v>105.666666666667</v>
      </c>
      <c r="W1320" s="2" t="n">
        <f aca="false">Settings!$B$4*MAX(INDEX(Bases!$Q$2:$Q$53,B1320),INDEX(Bases!$Q$2:$Q$53,C1320))+Settings!$B$5*MIN(INDEX(Bases!$Q$2:$Q$53,B1320),INDEX(Bases!$Q$2:$Q$53,C1320))</f>
        <v>90</v>
      </c>
      <c r="X1320" s="2" t="n">
        <f aca="false">Settings!$B$4*MAX(INDEX(Bases!$R$2:$R$53,B1320),INDEX(Bases!$R$2:$R$53,C1320))+Settings!$B$5*MIN(INDEX(Bases!$R$2:$R$53,B1320),INDEX(Bases!$R$2:$R$53,C1320))</f>
        <v>45.6666666666667</v>
      </c>
      <c r="Y1320" s="2" t="n">
        <f aca="false">S1320*Settings!$B$3/SUM(S1320:X1320)</f>
        <v>82.8835774865073</v>
      </c>
      <c r="Z1320" s="2" t="n">
        <f aca="false">T1320*Settings!$B$3/SUM(S1320:X1320)</f>
        <v>52.0431765612953</v>
      </c>
      <c r="AA1320" s="2" t="n">
        <f aca="false">U1320*Settings!$B$3/SUM(S1320:X1320)</f>
        <v>85.9676175790285</v>
      </c>
      <c r="AB1320" s="2" t="n">
        <f aca="false">V1320*Settings!$B$3/SUM(S1320:X1320)</f>
        <v>122.205088666153</v>
      </c>
      <c r="AC1320" s="2" t="n">
        <f aca="false">W1320*Settings!$B$3/SUM(S1320:X1320)</f>
        <v>104.086353122591</v>
      </c>
      <c r="AD1320" s="2" t="n">
        <f aca="false">X1320*Settings!$B$3/SUM(S1320:X1320)</f>
        <v>52.8141865844256</v>
      </c>
      <c r="AE1320" s="2" t="n">
        <f aca="false">INT(Y1320)</f>
        <v>82</v>
      </c>
      <c r="AF1320" s="2" t="n">
        <f aca="false">INT(Z1320)</f>
        <v>52</v>
      </c>
      <c r="AG1320" s="2" t="n">
        <f aca="false">INT(AA1320)</f>
        <v>85</v>
      </c>
      <c r="AH1320" s="2" t="n">
        <f aca="false">INT(AB1320)</f>
        <v>122</v>
      </c>
      <c r="AI1320" s="2" t="n">
        <f aca="false">INT(AC1320)</f>
        <v>104</v>
      </c>
      <c r="AJ1320" s="2" t="n">
        <f aca="false">INT(AD1320)</f>
        <v>52</v>
      </c>
      <c r="AK1320" s="2" t="n">
        <f aca="false">Settings!$B$3-SUM(AE1320:AJ1320)</f>
        <v>3</v>
      </c>
      <c r="AL1320" s="2" t="n">
        <f aca="false">ROUND(Y1320-AE1320,9)</f>
        <v>0.883577487</v>
      </c>
      <c r="AM1320" s="2" t="n">
        <f aca="false">ROUND(Z1320-AF1320,9)</f>
        <v>0.043176561</v>
      </c>
      <c r="AN1320" s="2" t="n">
        <f aca="false">ROUND(AA1320-AG1320,9)</f>
        <v>0.967617579</v>
      </c>
      <c r="AO1320" s="2" t="n">
        <f aca="false">ROUND(AB1320-AH1320,9)</f>
        <v>0.205088666</v>
      </c>
      <c r="AP1320" s="2" t="n">
        <f aca="false">ROUND(AC1320-AI1320,9)</f>
        <v>0.086353123</v>
      </c>
      <c r="AQ1320" s="2" t="n">
        <f aca="false">ROUND(AD1320-AJ1320,9)</f>
        <v>0.814186584</v>
      </c>
    </row>
    <row r="1321" customFormat="false" ht="15" hidden="false" customHeight="false" outlineLevel="0" collapsed="false">
      <c r="A1321" s="2" t="n">
        <v>1320</v>
      </c>
      <c r="B1321" s="6" t="n">
        <v>48</v>
      </c>
      <c r="C1321" s="6" t="n">
        <v>52</v>
      </c>
      <c r="D1321" s="8" t="str">
        <f aca="false">INDEX(Bases!$B$2:$B$53,B1321)</f>
        <v>Magnemite</v>
      </c>
      <c r="E1321" s="8" t="str">
        <f aca="false">INDEX(Bases!$B$2:$B$53,C1321)</f>
        <v>Togepi</v>
      </c>
      <c r="F1321" s="2" t="str">
        <f aca="false">LEFT(D1321,ROUNDUP(LEN(D1321)/2,0))&amp;LOWER(MID(E1321,ROUNDUP(LEN(E1321)/2,0)+1,20))</f>
        <v>Magneepi</v>
      </c>
      <c r="G1321" s="8" t="str">
        <f aca="false">INDEX(Bases!$C$2:$C$53,B1321)</f>
        <v>Steel</v>
      </c>
      <c r="H1321" s="8" t="str">
        <f aca="false">IF(INDEX(Bases!$C$2:$C$53,C1321)=G1321,"",INDEX(Bases!$C$2:$C$53,C1321))</f>
        <v>Fairy</v>
      </c>
      <c r="I1321" s="8" t="str">
        <f aca="false">IF(INDEX(Bases!$E$2:$E$53,B1321)="","",INDEX(Bases!$E$2:$E$53,B1321))</f>
        <v/>
      </c>
      <c r="J1321" s="8" t="str">
        <f aca="false">IF(INDEX(Bases!$E$2:$E$53,C1321)="","",INDEX(Bases!$E$2:$E$53,C1321))</f>
        <v/>
      </c>
      <c r="K1321" s="5"/>
      <c r="L1321" s="2" t="n">
        <f aca="false">AE1321+IF(SUMPRODUCT(--($AL1321:$AQ1321&gt;AL1321))&lt;$AK1321,1,0)</f>
        <v>57</v>
      </c>
      <c r="M1321" s="2" t="n">
        <f aca="false">AF1321+IF(SUMPRODUCT(--($AL1321:$AQ1321&gt;AM1321))+SUMPRODUCT(--($AL1321:AL1321=AM1321))&lt;$AK1321,1,0)</f>
        <v>46</v>
      </c>
      <c r="N1321" s="2" t="n">
        <f aca="false">AG1321+IF(SUMPRODUCT(--($AL1321:$AQ1321&gt;AN1321))+SUMPRODUCT(--($AL1321:AM1321=AN1321))&lt;$AK1321,1,0)</f>
        <v>116</v>
      </c>
      <c r="O1321" s="2" t="n">
        <f aca="false">AH1321+IF(SUMPRODUCT(--($AL1321:$AQ1321&gt;AO1321))+SUMPRODUCT(--($AL1321:AN1321=AO1321))&lt;$AK1321,1,0)</f>
        <v>116</v>
      </c>
      <c r="P1321" s="2" t="n">
        <f aca="false">AI1321+IF(SUMPRODUCT(--($AL1321:$AQ1321&gt;AP1321))+SUMPRODUCT(--($AL1321:AO1321=AP1321))&lt;$AK1321,1,0)</f>
        <v>109</v>
      </c>
      <c r="Q1321" s="2" t="n">
        <f aca="false">AJ1321+IF(SUMPRODUCT(--($AL1321:$AQ1321&gt;AQ1321))+SUMPRODUCT(--($AL1321:AP1321=AQ1321))&lt;$AK1321,1,0)</f>
        <v>56</v>
      </c>
      <c r="R1321" s="2" t="n">
        <f aca="false">SUM(L1321:Q1321)</f>
        <v>500</v>
      </c>
      <c r="S1321" s="2" t="n">
        <f aca="false">Settings!$B$4*MAX(INDEX(Bases!$M$2:$M$53,B1321),INDEX(Bases!$M$2:$M$53,C1321))+Settings!$B$5*MIN(INDEX(Bases!$M$2:$M$53,B1321),INDEX(Bases!$M$2:$M$53,C1321))</f>
        <v>48.3333333333333</v>
      </c>
      <c r="T1321" s="2" t="n">
        <f aca="false">Settings!$B$4*MAX(INDEX(Bases!$N$2:$N$53,B1321),INDEX(Bases!$N$2:$N$53,C1321))+Settings!$B$5*MIN(INDEX(Bases!$N$2:$N$53,B1321),INDEX(Bases!$N$2:$N$53,C1321))</f>
        <v>39.6666666666667</v>
      </c>
      <c r="U1321" s="2" t="n">
        <f aca="false">Settings!$B$4*MAX(INDEX(Bases!$O$2:$O$53,B1321),INDEX(Bases!$O$2:$O$53,C1321))+Settings!$B$5*MIN(INDEX(Bases!$O$2:$O$53,B1321),INDEX(Bases!$O$2:$O$53,C1321))</f>
        <v>99.3333333333333</v>
      </c>
      <c r="V1321" s="2" t="n">
        <f aca="false">Settings!$B$4*MAX(INDEX(Bases!$P$2:$P$53,B1321),INDEX(Bases!$P$2:$P$53,C1321))+Settings!$B$5*MIN(INDEX(Bases!$P$2:$P$53,B1321),INDEX(Bases!$P$2:$P$53,C1321))</f>
        <v>99.6666666666667</v>
      </c>
      <c r="W1321" s="2" t="n">
        <f aca="false">Settings!$B$4*MAX(INDEX(Bases!$Q$2:$Q$53,B1321),INDEX(Bases!$Q$2:$Q$53,C1321))+Settings!$B$5*MIN(INDEX(Bases!$Q$2:$Q$53,B1321),INDEX(Bases!$Q$2:$Q$53,C1321))</f>
        <v>93.3333333333333</v>
      </c>
      <c r="X1321" s="2" t="n">
        <f aca="false">Settings!$B$4*MAX(INDEX(Bases!$R$2:$R$53,B1321),INDEX(Bases!$R$2:$R$53,C1321))+Settings!$B$5*MIN(INDEX(Bases!$R$2:$R$53,B1321),INDEX(Bases!$R$2:$R$53,C1321))</f>
        <v>47.6666666666667</v>
      </c>
      <c r="Y1321" s="2" t="n">
        <f aca="false">S1321*Settings!$B$3/SUM(S1321:X1321)</f>
        <v>56.4641744548287</v>
      </c>
      <c r="Z1321" s="2" t="n">
        <f aca="false">T1321*Settings!$B$3/SUM(S1321:X1321)</f>
        <v>46.3395638629283</v>
      </c>
      <c r="AA1321" s="2" t="n">
        <f aca="false">U1321*Settings!$B$3/SUM(S1321:X1321)</f>
        <v>116.043613707165</v>
      </c>
      <c r="AB1321" s="2" t="n">
        <f aca="false">V1321*Settings!$B$3/SUM(S1321:X1321)</f>
        <v>116.433021806854</v>
      </c>
      <c r="AC1321" s="2" t="n">
        <f aca="false">W1321*Settings!$B$3/SUM(S1321:X1321)</f>
        <v>109.034267912773</v>
      </c>
      <c r="AD1321" s="2" t="n">
        <f aca="false">X1321*Settings!$B$3/SUM(S1321:X1321)</f>
        <v>55.6853582554517</v>
      </c>
      <c r="AE1321" s="2" t="n">
        <f aca="false">INT(Y1321)</f>
        <v>56</v>
      </c>
      <c r="AF1321" s="2" t="n">
        <f aca="false">INT(Z1321)</f>
        <v>46</v>
      </c>
      <c r="AG1321" s="2" t="n">
        <f aca="false">INT(AA1321)</f>
        <v>116</v>
      </c>
      <c r="AH1321" s="2" t="n">
        <f aca="false">INT(AB1321)</f>
        <v>116</v>
      </c>
      <c r="AI1321" s="2" t="n">
        <f aca="false">INT(AC1321)</f>
        <v>109</v>
      </c>
      <c r="AJ1321" s="2" t="n">
        <f aca="false">INT(AD1321)</f>
        <v>55</v>
      </c>
      <c r="AK1321" s="2" t="n">
        <f aca="false">Settings!$B$3-SUM(AE1321:AJ1321)</f>
        <v>2</v>
      </c>
      <c r="AL1321" s="2" t="n">
        <f aca="false">ROUND(Y1321-AE1321,9)</f>
        <v>0.464174455</v>
      </c>
      <c r="AM1321" s="2" t="n">
        <f aca="false">ROUND(Z1321-AF1321,9)</f>
        <v>0.339563863</v>
      </c>
      <c r="AN1321" s="2" t="n">
        <f aca="false">ROUND(AA1321-AG1321,9)</f>
        <v>0.043613707</v>
      </c>
      <c r="AO1321" s="2" t="n">
        <f aca="false">ROUND(AB1321-AH1321,9)</f>
        <v>0.433021807</v>
      </c>
      <c r="AP1321" s="2" t="n">
        <f aca="false">ROUND(AC1321-AI1321,9)</f>
        <v>0.034267913</v>
      </c>
      <c r="AQ1321" s="2" t="n">
        <f aca="false">ROUND(AD1321-AJ1321,9)</f>
        <v>0.685358255</v>
      </c>
    </row>
    <row r="1322" customFormat="false" ht="15" hidden="false" customHeight="false" outlineLevel="0" collapsed="false">
      <c r="A1322" s="2" t="n">
        <v>1321</v>
      </c>
      <c r="B1322" s="6" t="n">
        <v>49</v>
      </c>
      <c r="C1322" s="6" t="n">
        <v>50</v>
      </c>
      <c r="D1322" s="8" t="str">
        <f aca="false">INDEX(Bases!$B$2:$B$53,B1322)</f>
        <v>Aron</v>
      </c>
      <c r="E1322" s="8" t="str">
        <f aca="false">INDEX(Bases!$B$2:$B$53,C1322)</f>
        <v>Beldum</v>
      </c>
      <c r="F1322" s="2" t="str">
        <f aca="false">LEFT(D1322,ROUNDUP(LEN(D1322)/2,0))&amp;LOWER(MID(E1322,ROUNDUP(LEN(E1322)/2,0)+1,20))</f>
        <v>Ardum</v>
      </c>
      <c r="G1322" s="8" t="str">
        <f aca="false">INDEX(Bases!$C$2:$C$53,B1322)</f>
        <v>Steel</v>
      </c>
      <c r="H1322" s="8" t="str">
        <f aca="false">IF(INDEX(Bases!$C$2:$C$53,C1322)=G1322,"",INDEX(Bases!$C$2:$C$53,C1322))</f>
        <v/>
      </c>
      <c r="I1322" s="8" t="str">
        <f aca="false">IF(INDEX(Bases!$E$2:$E$53,B1322)="","",INDEX(Bases!$E$2:$E$53,B1322))</f>
        <v/>
      </c>
      <c r="J1322" s="8" t="str">
        <f aca="false">IF(INDEX(Bases!$E$2:$E$53,C1322)="","",INDEX(Bases!$E$2:$E$53,C1322))</f>
        <v/>
      </c>
      <c r="K1322" s="5"/>
      <c r="L1322" s="2" t="n">
        <f aca="false">AE1322+IF(SUMPRODUCT(--($AL1322:$AQ1322&gt;AL1322))&lt;$AK1322,1,0)</f>
        <v>71</v>
      </c>
      <c r="M1322" s="2" t="n">
        <f aca="false">AF1322+IF(SUMPRODUCT(--($AL1322:$AQ1322&gt;AM1322))+SUMPRODUCT(--($AL1322:AL1322=AM1322))&lt;$AK1322,1,0)</f>
        <v>98</v>
      </c>
      <c r="N1322" s="2" t="n">
        <f aca="false">AG1322+IF(SUMPRODUCT(--($AL1322:$AQ1322&gt;AN1322))+SUMPRODUCT(--($AL1322:AM1322=AN1322))&lt;$AK1322,1,0)</f>
        <v>141</v>
      </c>
      <c r="O1322" s="2" t="n">
        <f aca="false">AH1322+IF(SUMPRODUCT(--($AL1322:$AQ1322&gt;AO1322))+SUMPRODUCT(--($AL1322:AN1322=AO1322))&lt;$AK1322,1,0)</f>
        <v>59</v>
      </c>
      <c r="P1322" s="2" t="n">
        <f aca="false">AI1322+IF(SUMPRODUCT(--($AL1322:$AQ1322&gt;AP1322))+SUMPRODUCT(--($AL1322:AO1322=AP1322))&lt;$AK1322,1,0)</f>
        <v>84</v>
      </c>
      <c r="Q1322" s="2" t="n">
        <f aca="false">AJ1322+IF(SUMPRODUCT(--($AL1322:$AQ1322&gt;AQ1322))+SUMPRODUCT(--($AL1322:AP1322=AQ1322))&lt;$AK1322,1,0)</f>
        <v>47</v>
      </c>
      <c r="R1322" s="2" t="n">
        <f aca="false">SUM(L1322:Q1322)</f>
        <v>500</v>
      </c>
      <c r="S1322" s="2" t="n">
        <f aca="false">Settings!$B$4*MAX(INDEX(Bases!$M$2:$M$53,B1322),INDEX(Bases!$M$2:$M$53,C1322))+Settings!$B$5*MIN(INDEX(Bases!$M$2:$M$53,B1322),INDEX(Bases!$M$2:$M$53,C1322))</f>
        <v>58.3333333333333</v>
      </c>
      <c r="T1322" s="2" t="n">
        <f aca="false">Settings!$B$4*MAX(INDEX(Bases!$N$2:$N$53,B1322),INDEX(Bases!$N$2:$N$53,C1322))+Settings!$B$5*MIN(INDEX(Bases!$N$2:$N$53,B1322),INDEX(Bases!$N$2:$N$53,C1322))</f>
        <v>81</v>
      </c>
      <c r="U1322" s="2" t="n">
        <f aca="false">Settings!$B$4*MAX(INDEX(Bases!$O$2:$O$53,B1322),INDEX(Bases!$O$2:$O$53,C1322))+Settings!$B$5*MIN(INDEX(Bases!$O$2:$O$53,B1322),INDEX(Bases!$O$2:$O$53,C1322))</f>
        <v>116.333333333333</v>
      </c>
      <c r="V1322" s="2" t="n">
        <f aca="false">Settings!$B$4*MAX(INDEX(Bases!$P$2:$P$53,B1322),INDEX(Bases!$P$2:$P$53,C1322))+Settings!$B$5*MIN(INDEX(Bases!$P$2:$P$53,B1322),INDEX(Bases!$P$2:$P$53,C1322))</f>
        <v>48.3333333333333</v>
      </c>
      <c r="W1322" s="2" t="n">
        <f aca="false">Settings!$B$4*MAX(INDEX(Bases!$Q$2:$Q$53,B1322),INDEX(Bases!$Q$2:$Q$53,C1322))+Settings!$B$5*MIN(INDEX(Bases!$Q$2:$Q$53,B1322),INDEX(Bases!$Q$2:$Q$53,C1322))</f>
        <v>69.3333333333333</v>
      </c>
      <c r="X1322" s="2" t="n">
        <f aca="false">Settings!$B$4*MAX(INDEX(Bases!$R$2:$R$53,B1322),INDEX(Bases!$R$2:$R$53,C1322))+Settings!$B$5*MIN(INDEX(Bases!$R$2:$R$53,B1322),INDEX(Bases!$R$2:$R$53,C1322))</f>
        <v>38.6666666666667</v>
      </c>
      <c r="Y1322" s="2" t="n">
        <f aca="false">S1322*Settings!$B$3/SUM(S1322:X1322)</f>
        <v>70.7928802588997</v>
      </c>
      <c r="Z1322" s="2" t="n">
        <f aca="false">T1322*Settings!$B$3/SUM(S1322:X1322)</f>
        <v>98.3009708737864</v>
      </c>
      <c r="AA1322" s="2" t="n">
        <f aca="false">U1322*Settings!$B$3/SUM(S1322:X1322)</f>
        <v>141.181229773463</v>
      </c>
      <c r="AB1322" s="2" t="n">
        <f aca="false">V1322*Settings!$B$3/SUM(S1322:X1322)</f>
        <v>58.6569579288026</v>
      </c>
      <c r="AC1322" s="2" t="n">
        <f aca="false">W1322*Settings!$B$3/SUM(S1322:X1322)</f>
        <v>84.1423948220065</v>
      </c>
      <c r="AD1322" s="2" t="n">
        <f aca="false">X1322*Settings!$B$3/SUM(S1322:X1322)</f>
        <v>46.9255663430421</v>
      </c>
      <c r="AE1322" s="2" t="n">
        <f aca="false">INT(Y1322)</f>
        <v>70</v>
      </c>
      <c r="AF1322" s="2" t="n">
        <f aca="false">INT(Z1322)</f>
        <v>98</v>
      </c>
      <c r="AG1322" s="2" t="n">
        <f aca="false">INT(AA1322)</f>
        <v>141</v>
      </c>
      <c r="AH1322" s="2" t="n">
        <f aca="false">INT(AB1322)</f>
        <v>58</v>
      </c>
      <c r="AI1322" s="2" t="n">
        <f aca="false">INT(AC1322)</f>
        <v>84</v>
      </c>
      <c r="AJ1322" s="2" t="n">
        <f aca="false">INT(AD1322)</f>
        <v>46</v>
      </c>
      <c r="AK1322" s="2" t="n">
        <f aca="false">Settings!$B$3-SUM(AE1322:AJ1322)</f>
        <v>3</v>
      </c>
      <c r="AL1322" s="2" t="n">
        <f aca="false">ROUND(Y1322-AE1322,9)</f>
        <v>0.792880259</v>
      </c>
      <c r="AM1322" s="2" t="n">
        <f aca="false">ROUND(Z1322-AF1322,9)</f>
        <v>0.300970874</v>
      </c>
      <c r="AN1322" s="2" t="n">
        <f aca="false">ROUND(AA1322-AG1322,9)</f>
        <v>0.181229773</v>
      </c>
      <c r="AO1322" s="2" t="n">
        <f aca="false">ROUND(AB1322-AH1322,9)</f>
        <v>0.656957929</v>
      </c>
      <c r="AP1322" s="2" t="n">
        <f aca="false">ROUND(AC1322-AI1322,9)</f>
        <v>0.142394822</v>
      </c>
      <c r="AQ1322" s="2" t="n">
        <f aca="false">ROUND(AD1322-AJ1322,9)</f>
        <v>0.925566343</v>
      </c>
    </row>
    <row r="1323" customFormat="false" ht="15" hidden="false" customHeight="false" outlineLevel="0" collapsed="false">
      <c r="A1323" s="2" t="n">
        <v>1322</v>
      </c>
      <c r="B1323" s="6" t="n">
        <v>49</v>
      </c>
      <c r="C1323" s="6" t="n">
        <v>51</v>
      </c>
      <c r="D1323" s="8" t="str">
        <f aca="false">INDEX(Bases!$B$2:$B$53,B1323)</f>
        <v>Aron</v>
      </c>
      <c r="E1323" s="8" t="str">
        <f aca="false">INDEX(Bases!$B$2:$B$53,C1323)</f>
        <v>Cleffa</v>
      </c>
      <c r="F1323" s="2" t="str">
        <f aca="false">LEFT(D1323,ROUNDUP(LEN(D1323)/2,0))&amp;LOWER(MID(E1323,ROUNDUP(LEN(E1323)/2,0)+1,20))</f>
        <v>Arffa</v>
      </c>
      <c r="G1323" s="8" t="str">
        <f aca="false">INDEX(Bases!$C$2:$C$53,B1323)</f>
        <v>Steel</v>
      </c>
      <c r="H1323" s="8" t="str">
        <f aca="false">IF(INDEX(Bases!$C$2:$C$53,C1323)=G1323,"",INDEX(Bases!$C$2:$C$53,C1323))</f>
        <v>Fairy</v>
      </c>
      <c r="I1323" s="8" t="str">
        <f aca="false">IF(INDEX(Bases!$E$2:$E$53,B1323)="","",INDEX(Bases!$E$2:$E$53,B1323))</f>
        <v/>
      </c>
      <c r="J1323" s="8" t="str">
        <f aca="false">IF(INDEX(Bases!$E$2:$E$53,C1323)="","",INDEX(Bases!$E$2:$E$53,C1323))</f>
        <v/>
      </c>
      <c r="K1323" s="5"/>
      <c r="L1323" s="2" t="n">
        <f aca="false">AE1323+IF(SUMPRODUCT(--($AL1323:$AQ1323&gt;AL1323))&lt;$AK1323,1,0)</f>
        <v>93</v>
      </c>
      <c r="M1323" s="2" t="n">
        <f aca="false">AF1323+IF(SUMPRODUCT(--($AL1323:$AQ1323&gt;AM1323))+SUMPRODUCT(--($AL1323:AL1323=AM1323))&lt;$AK1323,1,0)</f>
        <v>82</v>
      </c>
      <c r="N1323" s="2" t="n">
        <f aca="false">AG1323+IF(SUMPRODUCT(--($AL1323:$AQ1323&gt;AN1323))+SUMPRODUCT(--($AL1323:AM1323=AN1323))&lt;$AK1323,1,0)</f>
        <v>111</v>
      </c>
      <c r="O1323" s="2" t="n">
        <f aca="false">AH1323+IF(SUMPRODUCT(--($AL1323:$AQ1323&gt;AO1323))+SUMPRODUCT(--($AL1323:AN1323=AO1323))&lt;$AK1323,1,0)</f>
        <v>82</v>
      </c>
      <c r="P1323" s="2" t="n">
        <f aca="false">AI1323+IF(SUMPRODUCT(--($AL1323:$AQ1323&gt;AP1323))+SUMPRODUCT(--($AL1323:AO1323=AP1323))&lt;$AK1323,1,0)</f>
        <v>95</v>
      </c>
      <c r="Q1323" s="2" t="n">
        <f aca="false">AJ1323+IF(SUMPRODUCT(--($AL1323:$AQ1323&gt;AQ1323))+SUMPRODUCT(--($AL1323:AP1323=AQ1323))&lt;$AK1323,1,0)</f>
        <v>37</v>
      </c>
      <c r="R1323" s="2" t="n">
        <f aca="false">SUM(L1323:Q1323)</f>
        <v>500</v>
      </c>
      <c r="S1323" s="2" t="n">
        <f aca="false">Settings!$B$4*MAX(INDEX(Bases!$M$2:$M$53,B1323),INDEX(Bases!$M$2:$M$53,C1323))+Settings!$B$5*MIN(INDEX(Bases!$M$2:$M$53,B1323),INDEX(Bases!$M$2:$M$53,C1323))</f>
        <v>81.6666666666667</v>
      </c>
      <c r="T1323" s="2" t="n">
        <f aca="false">Settings!$B$4*MAX(INDEX(Bases!$N$2:$N$53,B1323),INDEX(Bases!$N$2:$N$53,C1323))+Settings!$B$5*MIN(INDEX(Bases!$N$2:$N$53,B1323),INDEX(Bases!$N$2:$N$53,C1323))</f>
        <v>72</v>
      </c>
      <c r="U1323" s="2" t="n">
        <f aca="false">Settings!$B$4*MAX(INDEX(Bases!$O$2:$O$53,B1323),INDEX(Bases!$O$2:$O$53,C1323))+Settings!$B$5*MIN(INDEX(Bases!$O$2:$O$53,B1323),INDEX(Bases!$O$2:$O$53,C1323))</f>
        <v>97.6666666666667</v>
      </c>
      <c r="V1323" s="2" t="n">
        <f aca="false">Settings!$B$4*MAX(INDEX(Bases!$P$2:$P$53,B1323),INDEX(Bases!$P$2:$P$53,C1323))+Settings!$B$5*MIN(INDEX(Bases!$P$2:$P$53,B1323),INDEX(Bases!$P$2:$P$53,C1323))</f>
        <v>71.6666666666667</v>
      </c>
      <c r="W1323" s="2" t="n">
        <f aca="false">Settings!$B$4*MAX(INDEX(Bases!$Q$2:$Q$53,B1323),INDEX(Bases!$Q$2:$Q$53,C1323))+Settings!$B$5*MIN(INDEX(Bases!$Q$2:$Q$53,B1323),INDEX(Bases!$Q$2:$Q$53,C1323))</f>
        <v>83.3333333333333</v>
      </c>
      <c r="X1323" s="2" t="n">
        <f aca="false">Settings!$B$4*MAX(INDEX(Bases!$R$2:$R$53,B1323),INDEX(Bases!$R$2:$R$53,C1323))+Settings!$B$5*MIN(INDEX(Bases!$R$2:$R$53,B1323),INDEX(Bases!$R$2:$R$53,C1323))</f>
        <v>33</v>
      </c>
      <c r="Y1323" s="2" t="n">
        <f aca="false">S1323*Settings!$B$3/SUM(S1323:X1323)</f>
        <v>92.9438543247345</v>
      </c>
      <c r="Z1323" s="2" t="n">
        <f aca="false">T1323*Settings!$B$3/SUM(S1323:X1323)</f>
        <v>81.9423368740516</v>
      </c>
      <c r="AA1323" s="2" t="n">
        <f aca="false">U1323*Settings!$B$3/SUM(S1323:X1323)</f>
        <v>111.153262518968</v>
      </c>
      <c r="AB1323" s="2" t="n">
        <f aca="false">V1323*Settings!$B$3/SUM(S1323:X1323)</f>
        <v>81.5629742033384</v>
      </c>
      <c r="AC1323" s="2" t="n">
        <f aca="false">W1323*Settings!$B$3/SUM(S1323:X1323)</f>
        <v>94.8406676783005</v>
      </c>
      <c r="AD1323" s="2" t="n">
        <f aca="false">X1323*Settings!$B$3/SUM(S1323:X1323)</f>
        <v>37.556904400607</v>
      </c>
      <c r="AE1323" s="2" t="n">
        <f aca="false">INT(Y1323)</f>
        <v>92</v>
      </c>
      <c r="AF1323" s="2" t="n">
        <f aca="false">INT(Z1323)</f>
        <v>81</v>
      </c>
      <c r="AG1323" s="2" t="n">
        <f aca="false">INT(AA1323)</f>
        <v>111</v>
      </c>
      <c r="AH1323" s="2" t="n">
        <f aca="false">INT(AB1323)</f>
        <v>81</v>
      </c>
      <c r="AI1323" s="2" t="n">
        <f aca="false">INT(AC1323)</f>
        <v>94</v>
      </c>
      <c r="AJ1323" s="2" t="n">
        <f aca="false">INT(AD1323)</f>
        <v>37</v>
      </c>
      <c r="AK1323" s="2" t="n">
        <f aca="false">Settings!$B$3-SUM(AE1323:AJ1323)</f>
        <v>4</v>
      </c>
      <c r="AL1323" s="2" t="n">
        <f aca="false">ROUND(Y1323-AE1323,9)</f>
        <v>0.943854325</v>
      </c>
      <c r="AM1323" s="2" t="n">
        <f aca="false">ROUND(Z1323-AF1323,9)</f>
        <v>0.942336874</v>
      </c>
      <c r="AN1323" s="2" t="n">
        <f aca="false">ROUND(AA1323-AG1323,9)</f>
        <v>0.153262519</v>
      </c>
      <c r="AO1323" s="2" t="n">
        <f aca="false">ROUND(AB1323-AH1323,9)</f>
        <v>0.562974203</v>
      </c>
      <c r="AP1323" s="2" t="n">
        <f aca="false">ROUND(AC1323-AI1323,9)</f>
        <v>0.840667678</v>
      </c>
      <c r="AQ1323" s="2" t="n">
        <f aca="false">ROUND(AD1323-AJ1323,9)</f>
        <v>0.556904401</v>
      </c>
    </row>
    <row r="1324" customFormat="false" ht="15" hidden="false" customHeight="false" outlineLevel="0" collapsed="false">
      <c r="A1324" s="2" t="n">
        <v>1323</v>
      </c>
      <c r="B1324" s="6" t="n">
        <v>49</v>
      </c>
      <c r="C1324" s="6" t="n">
        <v>52</v>
      </c>
      <c r="D1324" s="8" t="str">
        <f aca="false">INDEX(Bases!$B$2:$B$53,B1324)</f>
        <v>Aron</v>
      </c>
      <c r="E1324" s="8" t="str">
        <f aca="false">INDEX(Bases!$B$2:$B$53,C1324)</f>
        <v>Togepi</v>
      </c>
      <c r="F1324" s="2" t="str">
        <f aca="false">LEFT(D1324,ROUNDUP(LEN(D1324)/2,0))&amp;LOWER(MID(E1324,ROUNDUP(LEN(E1324)/2,0)+1,20))</f>
        <v>Arepi</v>
      </c>
      <c r="G1324" s="8" t="str">
        <f aca="false">INDEX(Bases!$C$2:$C$53,B1324)</f>
        <v>Steel</v>
      </c>
      <c r="H1324" s="8" t="str">
        <f aca="false">IF(INDEX(Bases!$C$2:$C$53,C1324)=G1324,"",INDEX(Bases!$C$2:$C$53,C1324))</f>
        <v>Fairy</v>
      </c>
      <c r="I1324" s="8" t="str">
        <f aca="false">IF(INDEX(Bases!$E$2:$E$53,B1324)="","",INDEX(Bases!$E$2:$E$53,B1324))</f>
        <v/>
      </c>
      <c r="J1324" s="8" t="str">
        <f aca="false">IF(INDEX(Bases!$E$2:$E$53,C1324)="","",INDEX(Bases!$E$2:$E$53,C1324))</f>
        <v/>
      </c>
      <c r="K1324" s="5"/>
      <c r="L1324" s="2" t="n">
        <f aca="false">AE1324+IF(SUMPRODUCT(--($AL1324:$AQ1324&gt;AL1324))&lt;$AK1324,1,0)</f>
        <v>70</v>
      </c>
      <c r="M1324" s="2" t="n">
        <f aca="false">AF1324+IF(SUMPRODUCT(--($AL1324:$AQ1324&gt;AM1324))+SUMPRODUCT(--($AL1324:AL1324=AM1324))&lt;$AK1324,1,0)</f>
        <v>80</v>
      </c>
      <c r="N1324" s="2" t="n">
        <f aca="false">AG1324+IF(SUMPRODUCT(--($AL1324:$AQ1324&gt;AN1324))+SUMPRODUCT(--($AL1324:AM1324=AN1324))&lt;$AK1324,1,0)</f>
        <v>137</v>
      </c>
      <c r="O1324" s="2" t="n">
        <f aca="false">AH1324+IF(SUMPRODUCT(--($AL1324:$AQ1324&gt;AO1324))+SUMPRODUCT(--($AL1324:AN1324=AO1324))&lt;$AK1324,1,0)</f>
        <v>70</v>
      </c>
      <c r="P1324" s="2" t="n">
        <f aca="false">AI1324+IF(SUMPRODUCT(--($AL1324:$AQ1324&gt;AP1324))+SUMPRODUCT(--($AL1324:AO1324=AP1324))&lt;$AK1324,1,0)</f>
        <v>102</v>
      </c>
      <c r="Q1324" s="2" t="n">
        <f aca="false">AJ1324+IF(SUMPRODUCT(--($AL1324:$AQ1324&gt;AQ1324))+SUMPRODUCT(--($AL1324:AP1324=AQ1324))&lt;$AK1324,1,0)</f>
        <v>41</v>
      </c>
      <c r="R1324" s="2" t="n">
        <f aca="false">SUM(L1324:Q1324)</f>
        <v>500</v>
      </c>
      <c r="S1324" s="2" t="n">
        <f aca="false">Settings!$B$4*MAX(INDEX(Bases!$M$2:$M$53,B1324),INDEX(Bases!$M$2:$M$53,C1324))+Settings!$B$5*MIN(INDEX(Bases!$M$2:$M$53,B1324),INDEX(Bases!$M$2:$M$53,C1324))</f>
        <v>59.6666666666667</v>
      </c>
      <c r="T1324" s="2" t="n">
        <f aca="false">Settings!$B$4*MAX(INDEX(Bases!$N$2:$N$53,B1324),INDEX(Bases!$N$2:$N$53,C1324))+Settings!$B$5*MIN(INDEX(Bases!$N$2:$N$53,B1324),INDEX(Bases!$N$2:$N$53,C1324))</f>
        <v>67.6666666666667</v>
      </c>
      <c r="U1324" s="2" t="n">
        <f aca="false">Settings!$B$4*MAX(INDEX(Bases!$O$2:$O$53,B1324),INDEX(Bases!$O$2:$O$53,C1324))+Settings!$B$5*MIN(INDEX(Bases!$O$2:$O$53,B1324),INDEX(Bases!$O$2:$O$53,C1324))</f>
        <v>116</v>
      </c>
      <c r="V1324" s="2" t="n">
        <f aca="false">Settings!$B$4*MAX(INDEX(Bases!$P$2:$P$53,B1324),INDEX(Bases!$P$2:$P$53,C1324))+Settings!$B$5*MIN(INDEX(Bases!$P$2:$P$53,B1324),INDEX(Bases!$P$2:$P$53,C1324))</f>
        <v>59.6666666666667</v>
      </c>
      <c r="W1324" s="2" t="n">
        <f aca="false">Settings!$B$4*MAX(INDEX(Bases!$Q$2:$Q$53,B1324),INDEX(Bases!$Q$2:$Q$53,C1324))+Settings!$B$5*MIN(INDEX(Bases!$Q$2:$Q$53,B1324),INDEX(Bases!$Q$2:$Q$53,C1324))</f>
        <v>86.6666666666667</v>
      </c>
      <c r="X1324" s="2" t="n">
        <f aca="false">Settings!$B$4*MAX(INDEX(Bases!$R$2:$R$53,B1324),INDEX(Bases!$R$2:$R$53,C1324))+Settings!$B$5*MIN(INDEX(Bases!$R$2:$R$53,B1324),INDEX(Bases!$R$2:$R$53,C1324))</f>
        <v>35</v>
      </c>
      <c r="Y1324" s="2" t="n">
        <f aca="false">S1324*Settings!$B$3/SUM(S1324:X1324)</f>
        <v>70.2511773940345</v>
      </c>
      <c r="Z1324" s="2" t="n">
        <f aca="false">T1324*Settings!$B$3/SUM(S1324:X1324)</f>
        <v>79.6703296703297</v>
      </c>
      <c r="AA1324" s="2" t="n">
        <f aca="false">U1324*Settings!$B$3/SUM(S1324:X1324)</f>
        <v>136.577708006279</v>
      </c>
      <c r="AB1324" s="2" t="n">
        <f aca="false">V1324*Settings!$B$3/SUM(S1324:X1324)</f>
        <v>70.2511773940345</v>
      </c>
      <c r="AC1324" s="2" t="n">
        <f aca="false">W1324*Settings!$B$3/SUM(S1324:X1324)</f>
        <v>102.040816326531</v>
      </c>
      <c r="AD1324" s="2" t="n">
        <f aca="false">X1324*Settings!$B$3/SUM(S1324:X1324)</f>
        <v>41.2087912087912</v>
      </c>
      <c r="AE1324" s="2" t="n">
        <f aca="false">INT(Y1324)</f>
        <v>70</v>
      </c>
      <c r="AF1324" s="2" t="n">
        <f aca="false">INT(Z1324)</f>
        <v>79</v>
      </c>
      <c r="AG1324" s="2" t="n">
        <f aca="false">INT(AA1324)</f>
        <v>136</v>
      </c>
      <c r="AH1324" s="2" t="n">
        <f aca="false">INT(AB1324)</f>
        <v>70</v>
      </c>
      <c r="AI1324" s="2" t="n">
        <f aca="false">INT(AC1324)</f>
        <v>102</v>
      </c>
      <c r="AJ1324" s="2" t="n">
        <f aca="false">INT(AD1324)</f>
        <v>41</v>
      </c>
      <c r="AK1324" s="2" t="n">
        <f aca="false">Settings!$B$3-SUM(AE1324:AJ1324)</f>
        <v>2</v>
      </c>
      <c r="AL1324" s="2" t="n">
        <f aca="false">ROUND(Y1324-AE1324,9)</f>
        <v>0.251177394</v>
      </c>
      <c r="AM1324" s="2" t="n">
        <f aca="false">ROUND(Z1324-AF1324,9)</f>
        <v>0.67032967</v>
      </c>
      <c r="AN1324" s="2" t="n">
        <f aca="false">ROUND(AA1324-AG1324,9)</f>
        <v>0.577708006</v>
      </c>
      <c r="AO1324" s="2" t="n">
        <f aca="false">ROUND(AB1324-AH1324,9)</f>
        <v>0.251177394</v>
      </c>
      <c r="AP1324" s="2" t="n">
        <f aca="false">ROUND(AC1324-AI1324,9)</f>
        <v>0.040816327</v>
      </c>
      <c r="AQ1324" s="2" t="n">
        <f aca="false">ROUND(AD1324-AJ1324,9)</f>
        <v>0.208791209</v>
      </c>
    </row>
    <row r="1325" customFormat="false" ht="15" hidden="false" customHeight="false" outlineLevel="0" collapsed="false">
      <c r="A1325" s="2" t="n">
        <v>1324</v>
      </c>
      <c r="B1325" s="6" t="n">
        <v>50</v>
      </c>
      <c r="C1325" s="6" t="n">
        <v>51</v>
      </c>
      <c r="D1325" s="8" t="str">
        <f aca="false">INDEX(Bases!$B$2:$B$53,B1325)</f>
        <v>Beldum</v>
      </c>
      <c r="E1325" s="8" t="str">
        <f aca="false">INDEX(Bases!$B$2:$B$53,C1325)</f>
        <v>Cleffa</v>
      </c>
      <c r="F1325" s="2" t="str">
        <f aca="false">LEFT(D1325,ROUNDUP(LEN(D1325)/2,0))&amp;LOWER(MID(E1325,ROUNDUP(LEN(E1325)/2,0)+1,20))</f>
        <v>Belffa</v>
      </c>
      <c r="G1325" s="8" t="str">
        <f aca="false">INDEX(Bases!$C$2:$C$53,B1325)</f>
        <v>Steel</v>
      </c>
      <c r="H1325" s="8" t="str">
        <f aca="false">IF(INDEX(Bases!$C$2:$C$53,C1325)=G1325,"",INDEX(Bases!$C$2:$C$53,C1325))</f>
        <v>Fairy</v>
      </c>
      <c r="I1325" s="8" t="str">
        <f aca="false">IF(INDEX(Bases!$E$2:$E$53,B1325)="","",INDEX(Bases!$E$2:$E$53,B1325))</f>
        <v/>
      </c>
      <c r="J1325" s="8" t="str">
        <f aca="false">IF(INDEX(Bases!$E$2:$E$53,C1325)="","",INDEX(Bases!$E$2:$E$53,C1325))</f>
        <v/>
      </c>
      <c r="K1325" s="5"/>
      <c r="L1325" s="2" t="n">
        <f aca="false">AE1325+IF(SUMPRODUCT(--($AL1325:$AQ1325&gt;AL1325))&lt;$AK1325,1,0)</f>
        <v>92</v>
      </c>
      <c r="M1325" s="2" t="n">
        <f aca="false">AF1325+IF(SUMPRODUCT(--($AL1325:$AQ1325&gt;AM1325))+SUMPRODUCT(--($AL1325:AL1325=AM1325))&lt;$AK1325,1,0)</f>
        <v>74</v>
      </c>
      <c r="N1325" s="2" t="n">
        <f aca="false">AG1325+IF(SUMPRODUCT(--($AL1325:$AQ1325&gt;AN1325))+SUMPRODUCT(--($AL1325:AM1325=AN1325))&lt;$AK1325,1,0)</f>
        <v>102</v>
      </c>
      <c r="O1325" s="2" t="n">
        <f aca="false">AH1325+IF(SUMPRODUCT(--($AL1325:$AQ1325&gt;AO1325))+SUMPRODUCT(--($AL1325:AN1325=AO1325))&lt;$AK1325,1,0)</f>
        <v>82</v>
      </c>
      <c r="P1325" s="2" t="n">
        <f aca="false">AI1325+IF(SUMPRODUCT(--($AL1325:$AQ1325&gt;AP1325))+SUMPRODUCT(--($AL1325:AO1325=AP1325))&lt;$AK1325,1,0)</f>
        <v>109</v>
      </c>
      <c r="Q1325" s="2" t="n">
        <f aca="false">AJ1325+IF(SUMPRODUCT(--($AL1325:$AQ1325&gt;AQ1325))+SUMPRODUCT(--($AL1325:AP1325=AQ1325))&lt;$AK1325,1,0)</f>
        <v>41</v>
      </c>
      <c r="R1325" s="2" t="n">
        <f aca="false">SUM(L1325:Q1325)</f>
        <v>500</v>
      </c>
      <c r="S1325" s="2" t="n">
        <f aca="false">Settings!$B$4*MAX(INDEX(Bases!$M$2:$M$53,B1325),INDEX(Bases!$M$2:$M$53,C1325))+Settings!$B$5*MIN(INDEX(Bases!$M$2:$M$53,B1325),INDEX(Bases!$M$2:$M$53,C1325))</f>
        <v>79</v>
      </c>
      <c r="T1325" s="2" t="n">
        <f aca="false">Settings!$B$4*MAX(INDEX(Bases!$N$2:$N$53,B1325),INDEX(Bases!$N$2:$N$53,C1325))+Settings!$B$5*MIN(INDEX(Bases!$N$2:$N$53,B1325),INDEX(Bases!$N$2:$N$53,C1325))</f>
        <v>64</v>
      </c>
      <c r="U1325" s="2" t="n">
        <f aca="false">Settings!$B$4*MAX(INDEX(Bases!$O$2:$O$53,B1325),INDEX(Bases!$O$2:$O$53,C1325))+Settings!$B$5*MIN(INDEX(Bases!$O$2:$O$53,B1325),INDEX(Bases!$O$2:$O$53,C1325))</f>
        <v>88.3333333333333</v>
      </c>
      <c r="V1325" s="2" t="n">
        <f aca="false">Settings!$B$4*MAX(INDEX(Bases!$P$2:$P$53,B1325),INDEX(Bases!$P$2:$P$53,C1325))+Settings!$B$5*MIN(INDEX(Bases!$P$2:$P$53,B1325),INDEX(Bases!$P$2:$P$53,C1325))</f>
        <v>71</v>
      </c>
      <c r="W1325" s="2" t="n">
        <f aca="false">Settings!$B$4*MAX(INDEX(Bases!$Q$2:$Q$53,B1325),INDEX(Bases!$Q$2:$Q$53,C1325))+Settings!$B$5*MIN(INDEX(Bases!$Q$2:$Q$53,B1325),INDEX(Bases!$Q$2:$Q$53,C1325))</f>
        <v>94</v>
      </c>
      <c r="X1325" s="2" t="n">
        <f aca="false">Settings!$B$4*MAX(INDEX(Bases!$R$2:$R$53,B1325),INDEX(Bases!$R$2:$R$53,C1325))+Settings!$B$5*MIN(INDEX(Bases!$R$2:$R$53,B1325),INDEX(Bases!$R$2:$R$53,C1325))</f>
        <v>35.6666666666667</v>
      </c>
      <c r="Y1325" s="2" t="n">
        <f aca="false">S1325*Settings!$B$3/SUM(S1325:X1325)</f>
        <v>91.4351851851852</v>
      </c>
      <c r="Z1325" s="2" t="n">
        <f aca="false">T1325*Settings!$B$3/SUM(S1325:X1325)</f>
        <v>74.0740740740741</v>
      </c>
      <c r="AA1325" s="2" t="n">
        <f aca="false">U1325*Settings!$B$3/SUM(S1325:X1325)</f>
        <v>102.237654320988</v>
      </c>
      <c r="AB1325" s="2" t="n">
        <f aca="false">V1325*Settings!$B$3/SUM(S1325:X1325)</f>
        <v>82.1759259259259</v>
      </c>
      <c r="AC1325" s="2" t="n">
        <f aca="false">W1325*Settings!$B$3/SUM(S1325:X1325)</f>
        <v>108.796296296296</v>
      </c>
      <c r="AD1325" s="2" t="n">
        <f aca="false">X1325*Settings!$B$3/SUM(S1325:X1325)</f>
        <v>41.2808641975309</v>
      </c>
      <c r="AE1325" s="2" t="n">
        <f aca="false">INT(Y1325)</f>
        <v>91</v>
      </c>
      <c r="AF1325" s="2" t="n">
        <f aca="false">INT(Z1325)</f>
        <v>74</v>
      </c>
      <c r="AG1325" s="2" t="n">
        <f aca="false">INT(AA1325)</f>
        <v>102</v>
      </c>
      <c r="AH1325" s="2" t="n">
        <f aca="false">INT(AB1325)</f>
        <v>82</v>
      </c>
      <c r="AI1325" s="2" t="n">
        <f aca="false">INT(AC1325)</f>
        <v>108</v>
      </c>
      <c r="AJ1325" s="2" t="n">
        <f aca="false">INT(AD1325)</f>
        <v>41</v>
      </c>
      <c r="AK1325" s="2" t="n">
        <f aca="false">Settings!$B$3-SUM(AE1325:AJ1325)</f>
        <v>2</v>
      </c>
      <c r="AL1325" s="2" t="n">
        <f aca="false">ROUND(Y1325-AE1325,9)</f>
        <v>0.435185185</v>
      </c>
      <c r="AM1325" s="2" t="n">
        <f aca="false">ROUND(Z1325-AF1325,9)</f>
        <v>0.074074074</v>
      </c>
      <c r="AN1325" s="2" t="n">
        <f aca="false">ROUND(AA1325-AG1325,9)</f>
        <v>0.237654321</v>
      </c>
      <c r="AO1325" s="2" t="n">
        <f aca="false">ROUND(AB1325-AH1325,9)</f>
        <v>0.175925926</v>
      </c>
      <c r="AP1325" s="2" t="n">
        <f aca="false">ROUND(AC1325-AI1325,9)</f>
        <v>0.796296296</v>
      </c>
      <c r="AQ1325" s="2" t="n">
        <f aca="false">ROUND(AD1325-AJ1325,9)</f>
        <v>0.280864198</v>
      </c>
    </row>
    <row r="1326" customFormat="false" ht="15" hidden="false" customHeight="false" outlineLevel="0" collapsed="false">
      <c r="A1326" s="2" t="n">
        <v>1325</v>
      </c>
      <c r="B1326" s="6" t="n">
        <v>50</v>
      </c>
      <c r="C1326" s="6" t="n">
        <v>52</v>
      </c>
      <c r="D1326" s="8" t="str">
        <f aca="false">INDEX(Bases!$B$2:$B$53,B1326)</f>
        <v>Beldum</v>
      </c>
      <c r="E1326" s="8" t="str">
        <f aca="false">INDEX(Bases!$B$2:$B$53,C1326)</f>
        <v>Togepi</v>
      </c>
      <c r="F1326" s="2" t="str">
        <f aca="false">LEFT(D1326,ROUNDUP(LEN(D1326)/2,0))&amp;LOWER(MID(E1326,ROUNDUP(LEN(E1326)/2,0)+1,20))</f>
        <v>Belepi</v>
      </c>
      <c r="G1326" s="8" t="str">
        <f aca="false">INDEX(Bases!$C$2:$C$53,B1326)</f>
        <v>Steel</v>
      </c>
      <c r="H1326" s="8" t="str">
        <f aca="false">IF(INDEX(Bases!$C$2:$C$53,C1326)=G1326,"",INDEX(Bases!$C$2:$C$53,C1326))</f>
        <v>Fairy</v>
      </c>
      <c r="I1326" s="8" t="str">
        <f aca="false">IF(INDEX(Bases!$E$2:$E$53,B1326)="","",INDEX(Bases!$E$2:$E$53,B1326))</f>
        <v/>
      </c>
      <c r="J1326" s="8" t="str">
        <f aca="false">IF(INDEX(Bases!$E$2:$E$53,C1326)="","",INDEX(Bases!$E$2:$E$53,C1326))</f>
        <v/>
      </c>
      <c r="K1326" s="5"/>
      <c r="L1326" s="2" t="n">
        <f aca="false">AE1326+IF(SUMPRODUCT(--($AL1326:$AQ1326&gt;AL1326))&lt;$AK1326,1,0)</f>
        <v>67</v>
      </c>
      <c r="M1326" s="2" t="n">
        <f aca="false">AF1326+IF(SUMPRODUCT(--($AL1326:$AQ1326&gt;AM1326))+SUMPRODUCT(--($AL1326:AL1326=AM1326))&lt;$AK1326,1,0)</f>
        <v>72</v>
      </c>
      <c r="N1326" s="2" t="n">
        <f aca="false">AG1326+IF(SUMPRODUCT(--($AL1326:$AQ1326&gt;AN1326))+SUMPRODUCT(--($AL1326:AM1326=AN1326))&lt;$AK1326,1,0)</f>
        <v>128</v>
      </c>
      <c r="O1326" s="2" t="n">
        <f aca="false">AH1326+IF(SUMPRODUCT(--($AL1326:$AQ1326&gt;AO1326))+SUMPRODUCT(--($AL1326:AN1326=AO1326))&lt;$AK1326,1,0)</f>
        <v>71</v>
      </c>
      <c r="P1326" s="2" t="n">
        <f aca="false">AI1326+IF(SUMPRODUCT(--($AL1326:$AQ1326&gt;AP1326))+SUMPRODUCT(--($AL1326:AO1326=AP1326))&lt;$AK1326,1,0)</f>
        <v>117</v>
      </c>
      <c r="Q1326" s="2" t="n">
        <f aca="false">AJ1326+IF(SUMPRODUCT(--($AL1326:$AQ1326&gt;AQ1326))+SUMPRODUCT(--($AL1326:AP1326=AQ1326))&lt;$AK1326,1,0)</f>
        <v>45</v>
      </c>
      <c r="R1326" s="2" t="n">
        <f aca="false">SUM(L1326:Q1326)</f>
        <v>500</v>
      </c>
      <c r="S1326" s="2" t="n">
        <f aca="false">Settings!$B$4*MAX(INDEX(Bases!$M$2:$M$53,B1326),INDEX(Bases!$M$2:$M$53,C1326))+Settings!$B$5*MIN(INDEX(Bases!$M$2:$M$53,B1326),INDEX(Bases!$M$2:$M$53,C1326))</f>
        <v>55.6666666666667</v>
      </c>
      <c r="T1326" s="2" t="n">
        <f aca="false">Settings!$B$4*MAX(INDEX(Bases!$N$2:$N$53,B1326),INDEX(Bases!$N$2:$N$53,C1326))+Settings!$B$5*MIN(INDEX(Bases!$N$2:$N$53,B1326),INDEX(Bases!$N$2:$N$53,C1326))</f>
        <v>59.6666666666667</v>
      </c>
      <c r="U1326" s="2" t="n">
        <f aca="false">Settings!$B$4*MAX(INDEX(Bases!$O$2:$O$53,B1326),INDEX(Bases!$O$2:$O$53,C1326))+Settings!$B$5*MIN(INDEX(Bases!$O$2:$O$53,B1326),INDEX(Bases!$O$2:$O$53,C1326))</f>
        <v>106.666666666667</v>
      </c>
      <c r="V1326" s="2" t="n">
        <f aca="false">Settings!$B$4*MAX(INDEX(Bases!$P$2:$P$53,B1326),INDEX(Bases!$P$2:$P$53,C1326))+Settings!$B$5*MIN(INDEX(Bases!$P$2:$P$53,B1326),INDEX(Bases!$P$2:$P$53,C1326))</f>
        <v>59</v>
      </c>
      <c r="W1326" s="2" t="n">
        <f aca="false">Settings!$B$4*MAX(INDEX(Bases!$Q$2:$Q$53,B1326),INDEX(Bases!$Q$2:$Q$53,C1326))+Settings!$B$5*MIN(INDEX(Bases!$Q$2:$Q$53,B1326),INDEX(Bases!$Q$2:$Q$53,C1326))</f>
        <v>97.3333333333333</v>
      </c>
      <c r="X1326" s="2" t="n">
        <f aca="false">Settings!$B$4*MAX(INDEX(Bases!$R$2:$R$53,B1326),INDEX(Bases!$R$2:$R$53,C1326))+Settings!$B$5*MIN(INDEX(Bases!$R$2:$R$53,B1326),INDEX(Bases!$R$2:$R$53,C1326))</f>
        <v>37.6666666666667</v>
      </c>
      <c r="Y1326" s="2" t="n">
        <f aca="false">S1326*Settings!$B$3/SUM(S1326:X1326)</f>
        <v>66.9070512820513</v>
      </c>
      <c r="Z1326" s="2" t="n">
        <f aca="false">T1326*Settings!$B$3/SUM(S1326:X1326)</f>
        <v>71.7147435897436</v>
      </c>
      <c r="AA1326" s="2" t="n">
        <f aca="false">U1326*Settings!$B$3/SUM(S1326:X1326)</f>
        <v>128.205128205128</v>
      </c>
      <c r="AB1326" s="2" t="n">
        <f aca="false">V1326*Settings!$B$3/SUM(S1326:X1326)</f>
        <v>70.9134615384615</v>
      </c>
      <c r="AC1326" s="2" t="n">
        <f aca="false">W1326*Settings!$B$3/SUM(S1326:X1326)</f>
        <v>116.987179487179</v>
      </c>
      <c r="AD1326" s="2" t="n">
        <f aca="false">X1326*Settings!$B$3/SUM(S1326:X1326)</f>
        <v>45.2724358974359</v>
      </c>
      <c r="AE1326" s="2" t="n">
        <f aca="false">INT(Y1326)</f>
        <v>66</v>
      </c>
      <c r="AF1326" s="2" t="n">
        <f aca="false">INT(Z1326)</f>
        <v>71</v>
      </c>
      <c r="AG1326" s="2" t="n">
        <f aca="false">INT(AA1326)</f>
        <v>128</v>
      </c>
      <c r="AH1326" s="2" t="n">
        <f aca="false">INT(AB1326)</f>
        <v>70</v>
      </c>
      <c r="AI1326" s="2" t="n">
        <f aca="false">INT(AC1326)</f>
        <v>116</v>
      </c>
      <c r="AJ1326" s="2" t="n">
        <f aca="false">INT(AD1326)</f>
        <v>45</v>
      </c>
      <c r="AK1326" s="2" t="n">
        <f aca="false">Settings!$B$3-SUM(AE1326:AJ1326)</f>
        <v>4</v>
      </c>
      <c r="AL1326" s="2" t="n">
        <f aca="false">ROUND(Y1326-AE1326,9)</f>
        <v>0.907051282</v>
      </c>
      <c r="AM1326" s="2" t="n">
        <f aca="false">ROUND(Z1326-AF1326,9)</f>
        <v>0.71474359</v>
      </c>
      <c r="AN1326" s="2" t="n">
        <f aca="false">ROUND(AA1326-AG1326,9)</f>
        <v>0.205128205</v>
      </c>
      <c r="AO1326" s="2" t="n">
        <f aca="false">ROUND(AB1326-AH1326,9)</f>
        <v>0.913461538</v>
      </c>
      <c r="AP1326" s="2" t="n">
        <f aca="false">ROUND(AC1326-AI1326,9)</f>
        <v>0.987179487</v>
      </c>
      <c r="AQ1326" s="2" t="n">
        <f aca="false">ROUND(AD1326-AJ1326,9)</f>
        <v>0.272435897</v>
      </c>
    </row>
    <row r="1327" customFormat="false" ht="15" hidden="false" customHeight="false" outlineLevel="0" collapsed="false">
      <c r="A1327" s="2" t="n">
        <v>1326</v>
      </c>
      <c r="B1327" s="6" t="n">
        <v>51</v>
      </c>
      <c r="C1327" s="6" t="n">
        <v>52</v>
      </c>
      <c r="D1327" s="8" t="str">
        <f aca="false">INDEX(Bases!$B$2:$B$53,B1327)</f>
        <v>Cleffa</v>
      </c>
      <c r="E1327" s="8" t="str">
        <f aca="false">INDEX(Bases!$B$2:$B$53,C1327)</f>
        <v>Togepi</v>
      </c>
      <c r="F1327" s="2" t="str">
        <f aca="false">LEFT(D1327,ROUNDUP(LEN(D1327)/2,0))&amp;LOWER(MID(E1327,ROUNDUP(LEN(E1327)/2,0)+1,20))</f>
        <v>Cleepi</v>
      </c>
      <c r="G1327" s="8" t="str">
        <f aca="false">INDEX(Bases!$C$2:$C$53,B1327)</f>
        <v>Fairy</v>
      </c>
      <c r="H1327" s="8" t="str">
        <f aca="false">IF(INDEX(Bases!$C$2:$C$53,C1327)=G1327,"",INDEX(Bases!$C$2:$C$53,C1327))</f>
        <v/>
      </c>
      <c r="I1327" s="8" t="str">
        <f aca="false">IF(INDEX(Bases!$E$2:$E$53,B1327)="","",INDEX(Bases!$E$2:$E$53,B1327))</f>
        <v/>
      </c>
      <c r="J1327" s="8" t="str">
        <f aca="false">IF(INDEX(Bases!$E$2:$E$53,C1327)="","",INDEX(Bases!$E$2:$E$53,C1327))</f>
        <v/>
      </c>
      <c r="K1327" s="5"/>
      <c r="L1327" s="2" t="n">
        <f aca="false">AE1327+IF(SUMPRODUCT(--($AL1327:$AQ1327&gt;AL1327))&lt;$AK1327,1,0)</f>
        <v>95</v>
      </c>
      <c r="M1327" s="2" t="n">
        <f aca="false">AF1327+IF(SUMPRODUCT(--($AL1327:$AQ1327&gt;AM1327))+SUMPRODUCT(--($AL1327:AL1327=AM1327))&lt;$AK1327,1,0)</f>
        <v>49</v>
      </c>
      <c r="N1327" s="2" t="n">
        <f aca="false">AG1327+IF(SUMPRODUCT(--($AL1327:$AQ1327&gt;AN1327))+SUMPRODUCT(--($AL1327:AM1327=AN1327))&lt;$AK1327,1,0)</f>
        <v>104</v>
      </c>
      <c r="O1327" s="2" t="n">
        <f aca="false">AH1327+IF(SUMPRODUCT(--($AL1327:$AQ1327&gt;AO1327))+SUMPRODUCT(--($AL1327:AN1327=AO1327))&lt;$AK1327,1,0)</f>
        <v>91</v>
      </c>
      <c r="P1327" s="2" t="n">
        <f aca="false">AI1327+IF(SUMPRODUCT(--($AL1327:$AQ1327&gt;AP1327))+SUMPRODUCT(--($AL1327:AO1327=AP1327))&lt;$AK1327,1,0)</f>
        <v>124</v>
      </c>
      <c r="Q1327" s="2" t="n">
        <f aca="false">AJ1327+IF(SUMPRODUCT(--($AL1327:$AQ1327&gt;AQ1327))+SUMPRODUCT(--($AL1327:AP1327=AQ1327))&lt;$AK1327,1,0)</f>
        <v>37</v>
      </c>
      <c r="R1327" s="2" t="n">
        <f aca="false">SUM(L1327:Q1327)</f>
        <v>500</v>
      </c>
      <c r="S1327" s="2" t="n">
        <f aca="false">Settings!$B$4*MAX(INDEX(Bases!$M$2:$M$53,B1327),INDEX(Bases!$M$2:$M$53,C1327))+Settings!$B$5*MIN(INDEX(Bases!$M$2:$M$53,B1327),INDEX(Bases!$M$2:$M$53,C1327))</f>
        <v>80.3333333333333</v>
      </c>
      <c r="T1327" s="2" t="n">
        <f aca="false">Settings!$B$4*MAX(INDEX(Bases!$N$2:$N$53,B1327),INDEX(Bases!$N$2:$N$53,C1327))+Settings!$B$5*MIN(INDEX(Bases!$N$2:$N$53,B1327),INDEX(Bases!$N$2:$N$53,C1327))</f>
        <v>41.6666666666667</v>
      </c>
      <c r="U1327" s="2" t="n">
        <f aca="false">Settings!$B$4*MAX(INDEX(Bases!$O$2:$O$53,B1327),INDEX(Bases!$O$2:$O$53,C1327))+Settings!$B$5*MIN(INDEX(Bases!$O$2:$O$53,B1327),INDEX(Bases!$O$2:$O$53,C1327))</f>
        <v>87.6666666666667</v>
      </c>
      <c r="V1327" s="2" t="n">
        <f aca="false">Settings!$B$4*MAX(INDEX(Bases!$P$2:$P$53,B1327),INDEX(Bases!$P$2:$P$53,C1327))+Settings!$B$5*MIN(INDEX(Bases!$P$2:$P$53,B1327),INDEX(Bases!$P$2:$P$53,C1327))</f>
        <v>77</v>
      </c>
      <c r="W1327" s="2" t="n">
        <f aca="false">Settings!$B$4*MAX(INDEX(Bases!$Q$2:$Q$53,B1327),INDEX(Bases!$Q$2:$Q$53,C1327))+Settings!$B$5*MIN(INDEX(Bases!$Q$2:$Q$53,B1327),INDEX(Bases!$Q$2:$Q$53,C1327))</f>
        <v>104.333333333333</v>
      </c>
      <c r="X1327" s="2" t="n">
        <f aca="false">Settings!$B$4*MAX(INDEX(Bases!$R$2:$R$53,B1327),INDEX(Bases!$R$2:$R$53,C1327))+Settings!$B$5*MIN(INDEX(Bases!$R$2:$R$53,B1327),INDEX(Bases!$R$2:$R$53,C1327))</f>
        <v>31</v>
      </c>
      <c r="Y1327" s="2" t="n">
        <f aca="false">S1327*Settings!$B$3/SUM(S1327:X1327)</f>
        <v>95.1816745655608</v>
      </c>
      <c r="Z1327" s="2" t="n">
        <f aca="false">T1327*Settings!$B$3/SUM(S1327:X1327)</f>
        <v>49.3680884676145</v>
      </c>
      <c r="AA1327" s="2" t="n">
        <f aca="false">U1327*Settings!$B$3/SUM(S1327:X1327)</f>
        <v>103.870458135861</v>
      </c>
      <c r="AB1327" s="2" t="n">
        <f aca="false">V1327*Settings!$B$3/SUM(S1327:X1327)</f>
        <v>91.2322274881517</v>
      </c>
      <c r="AC1327" s="2" t="n">
        <f aca="false">W1327*Settings!$B$3/SUM(S1327:X1327)</f>
        <v>123.617693522907</v>
      </c>
      <c r="AD1327" s="2" t="n">
        <f aca="false">X1327*Settings!$B$3/SUM(S1327:X1327)</f>
        <v>36.7298578199052</v>
      </c>
      <c r="AE1327" s="2" t="n">
        <f aca="false">INT(Y1327)</f>
        <v>95</v>
      </c>
      <c r="AF1327" s="2" t="n">
        <f aca="false">INT(Z1327)</f>
        <v>49</v>
      </c>
      <c r="AG1327" s="2" t="n">
        <f aca="false">INT(AA1327)</f>
        <v>103</v>
      </c>
      <c r="AH1327" s="2" t="n">
        <f aca="false">INT(AB1327)</f>
        <v>91</v>
      </c>
      <c r="AI1327" s="2" t="n">
        <f aca="false">INT(AC1327)</f>
        <v>123</v>
      </c>
      <c r="AJ1327" s="2" t="n">
        <f aca="false">INT(AD1327)</f>
        <v>36</v>
      </c>
      <c r="AK1327" s="2" t="n">
        <f aca="false">Settings!$B$3-SUM(AE1327:AJ1327)</f>
        <v>3</v>
      </c>
      <c r="AL1327" s="2" t="n">
        <f aca="false">ROUND(Y1327-AE1327,9)</f>
        <v>0.181674566</v>
      </c>
      <c r="AM1327" s="2" t="n">
        <f aca="false">ROUND(Z1327-AF1327,9)</f>
        <v>0.368088468</v>
      </c>
      <c r="AN1327" s="2" t="n">
        <f aca="false">ROUND(AA1327-AG1327,9)</f>
        <v>0.870458136</v>
      </c>
      <c r="AO1327" s="2" t="n">
        <f aca="false">ROUND(AB1327-AH1327,9)</f>
        <v>0.232227488</v>
      </c>
      <c r="AP1327" s="2" t="n">
        <f aca="false">ROUND(AC1327-AI1327,9)</f>
        <v>0.617693523</v>
      </c>
      <c r="AQ1327" s="2" t="n">
        <f aca="false">ROUND(AD1327-AJ1327,9)</f>
        <v>0.72985782</v>
      </c>
    </row>
  </sheetData>
  <autoFilter ref="A1:AQ13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2026-09-28T07:15:33Z</dcterms:created>
  <dc:creator>openpyxl</dc:creator>
  <dc:description/>
  <dc:language>en-US</dc:language>
  <cp:lastModifiedBy/>
  <dcterms:modified xsi:type="dcterms:W3CDTF">2026-09-28T07:15:33Z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